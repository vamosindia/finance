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24"/>
  <workbookPr defaultThemeVersion="124226"/>
  <mc:AlternateContent xmlns:mc="http://schemas.openxmlformats.org/markup-compatibility/2006">
    <mc:Choice Requires="x15">
      <x15ac:absPath xmlns:x15ac="http://schemas.microsoft.com/office/spreadsheetml/2010/11/ac" url="C:\Users\User\Desktop\Investments\2023\"/>
    </mc:Choice>
  </mc:AlternateContent>
  <xr:revisionPtr revIDLastSave="0" documentId="13_ncr:1_{CF714BF0-892A-435E-BC7F-9157B7ED794F}" xr6:coauthVersionLast="47" xr6:coauthVersionMax="47" xr10:uidLastSave="{00000000-0000-0000-0000-000000000000}"/>
  <bookViews>
    <workbookView xWindow="-135" yWindow="0" windowWidth="16080" windowHeight="15585" firstSheet="2" activeTab="5" xr2:uid="{00000000-000D-0000-FFFF-FFFF00000000}"/>
  </bookViews>
  <sheets>
    <sheet name="Problem5.1." sheetId="20" r:id="rId1"/>
    <sheet name="Problem5.2." sheetId="21" r:id="rId2"/>
    <sheet name="Problem5.3." sheetId="23" r:id="rId3"/>
    <sheet name="Problem5.4." sheetId="22" r:id="rId4"/>
    <sheet name="Problem5.5." sheetId="24" r:id="rId5"/>
    <sheet name="Problem5.6." sheetId="2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8" i="25" l="1"/>
  <c r="F41" i="25"/>
  <c r="G40" i="25"/>
  <c r="H39" i="25"/>
  <c r="D39" i="25"/>
  <c r="E22" i="25"/>
  <c r="C23" i="25"/>
  <c r="C21" i="25"/>
  <c r="C17" i="25"/>
  <c r="C16" i="25"/>
  <c r="C14" i="25"/>
  <c r="L144" i="22"/>
  <c r="F110" i="20"/>
  <c r="F104" i="20"/>
  <c r="F90" i="20"/>
  <c r="F88" i="20"/>
  <c r="E80" i="20"/>
  <c r="L145" i="22"/>
  <c r="H148" i="22"/>
  <c r="H146" i="22"/>
  <c r="H144" i="22"/>
  <c r="J148" i="22"/>
  <c r="J146" i="22"/>
  <c r="J144" i="22"/>
  <c r="C74" i="22"/>
  <c r="C73" i="22"/>
  <c r="C72" i="22"/>
  <c r="C71" i="22"/>
  <c r="C51" i="22"/>
  <c r="C50" i="22"/>
  <c r="C49" i="22"/>
  <c r="C313" i="21"/>
  <c r="C311" i="21"/>
  <c r="C297" i="21"/>
  <c r="C295" i="21"/>
  <c r="P202" i="21"/>
  <c r="P200" i="21"/>
  <c r="B201" i="21"/>
  <c r="G169" i="21"/>
  <c r="H93" i="21"/>
  <c r="H89" i="21"/>
  <c r="B67" i="21"/>
  <c r="F55" i="21"/>
  <c r="G56" i="21"/>
  <c r="H57" i="21"/>
  <c r="H55" i="21"/>
  <c r="H53" i="21"/>
  <c r="C16" i="21"/>
  <c r="H24" i="21"/>
  <c r="G23" i="21"/>
  <c r="H22" i="21"/>
  <c r="H20" i="21"/>
  <c r="G21" i="21"/>
  <c r="F22" i="21"/>
  <c r="G129" i="20"/>
  <c r="F108" i="20"/>
  <c r="F102" i="20"/>
  <c r="F94" i="20"/>
  <c r="I165" i="20"/>
  <c r="C61" i="20"/>
  <c r="D58" i="20"/>
  <c r="D57" i="20"/>
  <c r="F41" i="20"/>
  <c r="C40" i="20"/>
  <c r="F38" i="20"/>
  <c r="F36" i="20"/>
  <c r="H62" i="25"/>
  <c r="G62" i="25"/>
  <c r="C49" i="25"/>
  <c r="C50" i="25" s="1"/>
  <c r="B41" i="25"/>
  <c r="C34" i="25"/>
  <c r="C51" i="25" s="1"/>
  <c r="B22" i="25"/>
  <c r="C32" i="25"/>
  <c r="D15" i="24"/>
  <c r="D31" i="24"/>
  <c r="D23" i="24"/>
  <c r="C267" i="21"/>
  <c r="D267" i="21"/>
  <c r="F267" i="21"/>
  <c r="G267" i="21"/>
  <c r="H267" i="21"/>
  <c r="B267" i="21"/>
  <c r="C14" i="23"/>
  <c r="C15" i="23" s="1"/>
  <c r="C47" i="23" s="1"/>
  <c r="B22" i="23"/>
  <c r="B54" i="23" s="1"/>
  <c r="B5" i="23"/>
  <c r="C23" i="23" s="1"/>
  <c r="B4" i="23"/>
  <c r="C21" i="23" s="1"/>
  <c r="H137" i="22"/>
  <c r="H139" i="22"/>
  <c r="F89" i="22"/>
  <c r="G90" i="22" s="1"/>
  <c r="C67" i="22"/>
  <c r="C45" i="22"/>
  <c r="C82" i="22" s="1"/>
  <c r="C83" i="22" s="1"/>
  <c r="B5" i="22"/>
  <c r="B4" i="22"/>
  <c r="D239" i="21"/>
  <c r="C130" i="21"/>
  <c r="C264" i="21" s="1"/>
  <c r="C64" i="21"/>
  <c r="F47" i="21"/>
  <c r="F83" i="21" s="1"/>
  <c r="F137" i="21" s="1"/>
  <c r="B5" i="21"/>
  <c r="B4" i="21"/>
  <c r="C15" i="21"/>
  <c r="C40" i="21" s="1"/>
  <c r="C76" i="21" s="1"/>
  <c r="B13" i="21"/>
  <c r="I150" i="20"/>
  <c r="G128" i="20"/>
  <c r="E74" i="20"/>
  <c r="B90" i="20" s="1"/>
  <c r="B104" i="20" s="1"/>
  <c r="F75" i="20"/>
  <c r="F81" i="20" s="1"/>
  <c r="C97" i="20" s="1"/>
  <c r="C111" i="20" s="1"/>
  <c r="F73" i="20"/>
  <c r="C89" i="20" s="1"/>
  <c r="C41" i="20"/>
  <c r="F32" i="20"/>
  <c r="F30" i="20"/>
  <c r="E31" i="20"/>
  <c r="H91" i="22" l="1"/>
  <c r="G123" i="22"/>
  <c r="C53" i="23"/>
  <c r="D20" i="23"/>
  <c r="D22" i="23"/>
  <c r="D24" i="23"/>
  <c r="C55" i="23"/>
  <c r="G88" i="22"/>
  <c r="F21" i="25"/>
  <c r="C40" i="25"/>
  <c r="B58" i="25"/>
  <c r="C46" i="23"/>
  <c r="F122" i="22"/>
  <c r="C15" i="25"/>
  <c r="C33" i="25" s="1"/>
  <c r="C42" i="25" s="1"/>
  <c r="D43" i="25" s="1"/>
  <c r="H43" i="25" s="1"/>
  <c r="C46" i="22"/>
  <c r="C164" i="21"/>
  <c r="C183" i="21" s="1"/>
  <c r="C269" i="21" s="1"/>
  <c r="B221" i="21"/>
  <c r="B240" i="21" s="1"/>
  <c r="B305" i="21" s="1"/>
  <c r="C166" i="21"/>
  <c r="C185" i="21" s="1"/>
  <c r="B165" i="21"/>
  <c r="B184" i="21" s="1"/>
  <c r="G46" i="21"/>
  <c r="C103" i="20"/>
  <c r="F79" i="20"/>
  <c r="C95" i="20" s="1"/>
  <c r="C91" i="20"/>
  <c r="C105" i="20" s="1"/>
  <c r="C68" i="22" l="1"/>
  <c r="C35" i="25"/>
  <c r="C52" i="25" s="1"/>
  <c r="H87" i="22"/>
  <c r="H89" i="22"/>
  <c r="G121" i="22"/>
  <c r="C57" i="25"/>
  <c r="C59" i="25"/>
  <c r="D56" i="23"/>
  <c r="E25" i="23"/>
  <c r="D54" i="23"/>
  <c r="E23" i="23"/>
  <c r="E21" i="23"/>
  <c r="D52" i="23"/>
  <c r="E19" i="23"/>
  <c r="D41" i="25"/>
  <c r="H41" i="25" s="1"/>
  <c r="F23" i="25"/>
  <c r="H124" i="22"/>
  <c r="H107" i="22"/>
  <c r="H140" i="22" s="1"/>
  <c r="H99" i="22"/>
  <c r="D165" i="21"/>
  <c r="D184" i="21" s="1"/>
  <c r="D270" i="21" s="1"/>
  <c r="C288" i="21"/>
  <c r="D163" i="21"/>
  <c r="D182" i="21" s="1"/>
  <c r="D287" i="21" s="1"/>
  <c r="B270" i="21"/>
  <c r="B289" i="21"/>
  <c r="D268" i="21"/>
  <c r="G82" i="21"/>
  <c r="G136" i="21" s="1"/>
  <c r="C220" i="21"/>
  <c r="C239" i="21" s="1"/>
  <c r="C304" i="21" s="1"/>
  <c r="D167" i="21"/>
  <c r="D186" i="21" s="1"/>
  <c r="G48" i="21"/>
  <c r="C290" i="21"/>
  <c r="C271" i="21"/>
  <c r="C41" i="21"/>
  <c r="C77" i="21" s="1"/>
  <c r="C131" i="21" s="1"/>
  <c r="H49" i="21"/>
  <c r="D223" i="21" s="1"/>
  <c r="D242" i="21" s="1"/>
  <c r="D307" i="21" s="1"/>
  <c r="H32" i="21"/>
  <c r="H45" i="21"/>
  <c r="D219" i="21" s="1"/>
  <c r="D238" i="21" s="1"/>
  <c r="D303" i="21" s="1"/>
  <c r="H28" i="21"/>
  <c r="G130" i="20"/>
  <c r="I135" i="20" s="1"/>
  <c r="I160" i="20"/>
  <c r="I152" i="20"/>
  <c r="C109" i="20"/>
  <c r="B96" i="20"/>
  <c r="C42" i="20"/>
  <c r="B110" i="20" l="1"/>
  <c r="I166" i="20" s="1"/>
  <c r="F96" i="20"/>
  <c r="G63" i="25"/>
  <c r="H132" i="22"/>
  <c r="H114" i="22"/>
  <c r="H120" i="22"/>
  <c r="H103" i="22"/>
  <c r="H95" i="22"/>
  <c r="L19" i="23"/>
  <c r="E51" i="23"/>
  <c r="L51" i="23" s="1"/>
  <c r="L61" i="23" s="1"/>
  <c r="E57" i="23"/>
  <c r="L57" i="23" s="1"/>
  <c r="L67" i="23" s="1"/>
  <c r="L25" i="23"/>
  <c r="L35" i="23" s="1"/>
  <c r="E55" i="23"/>
  <c r="L55" i="23" s="1"/>
  <c r="L23" i="23"/>
  <c r="D58" i="25"/>
  <c r="K58" i="25" s="1"/>
  <c r="D56" i="25"/>
  <c r="K56" i="25" s="1"/>
  <c r="G57" i="25"/>
  <c r="H105" i="22"/>
  <c r="H97" i="22"/>
  <c r="H122" i="22"/>
  <c r="D289" i="21"/>
  <c r="E53" i="23"/>
  <c r="L53" i="23" s="1"/>
  <c r="L21" i="23"/>
  <c r="G59" i="25"/>
  <c r="D60" i="25"/>
  <c r="K60" i="25" s="1"/>
  <c r="J130" i="22"/>
  <c r="J138" i="22" s="1"/>
  <c r="J132" i="22"/>
  <c r="J140" i="22" s="1"/>
  <c r="H47" i="21"/>
  <c r="D221" i="21" s="1"/>
  <c r="D240" i="21" s="1"/>
  <c r="D305" i="21" s="1"/>
  <c r="G42" i="25"/>
  <c r="H30" i="21"/>
  <c r="D173" i="21" s="1"/>
  <c r="H184" i="21" s="1"/>
  <c r="H101" i="21"/>
  <c r="D171" i="21"/>
  <c r="H182" i="21" s="1"/>
  <c r="H121" i="21"/>
  <c r="D175" i="21"/>
  <c r="H186" i="21" s="1"/>
  <c r="G84" i="21"/>
  <c r="G138" i="21" s="1"/>
  <c r="C222" i="21"/>
  <c r="C241" i="21" s="1"/>
  <c r="C306" i="21" s="1"/>
  <c r="G31" i="21"/>
  <c r="D291" i="21"/>
  <c r="D272" i="21"/>
  <c r="K62" i="23"/>
  <c r="K52" i="23"/>
  <c r="L63" i="23"/>
  <c r="D229" i="21"/>
  <c r="H240" i="21" s="1"/>
  <c r="H83" i="21"/>
  <c r="D227" i="21"/>
  <c r="H238" i="21" s="1"/>
  <c r="H81" i="21"/>
  <c r="H85" i="21"/>
  <c r="I153" i="20"/>
  <c r="I154" i="20" s="1"/>
  <c r="I164" i="20" s="1"/>
  <c r="I161" i="20"/>
  <c r="I162" i="20" s="1"/>
  <c r="G64" i="25" l="1"/>
  <c r="J59" i="25"/>
  <c r="L29" i="23"/>
  <c r="K30" i="23"/>
  <c r="K20" i="23"/>
  <c r="K34" i="23"/>
  <c r="L33" i="23"/>
  <c r="K24" i="23"/>
  <c r="G29" i="21"/>
  <c r="C172" i="21" s="1"/>
  <c r="H112" i="22"/>
  <c r="G98" i="22"/>
  <c r="H130" i="22"/>
  <c r="H136" i="22"/>
  <c r="G104" i="22"/>
  <c r="F105" i="22" s="1"/>
  <c r="K32" i="23"/>
  <c r="L31" i="23"/>
  <c r="K22" i="23"/>
  <c r="H63" i="25"/>
  <c r="I63" i="25" s="1"/>
  <c r="J128" i="22"/>
  <c r="J136" i="22" s="1"/>
  <c r="G96" i="22"/>
  <c r="H128" i="22"/>
  <c r="H110" i="22"/>
  <c r="K56" i="23"/>
  <c r="K66" i="23"/>
  <c r="L65" i="23"/>
  <c r="H138" i="22"/>
  <c r="G106" i="22"/>
  <c r="K64" i="23"/>
  <c r="K54" i="23"/>
  <c r="J57" i="25"/>
  <c r="H100" i="21"/>
  <c r="H135" i="21"/>
  <c r="H143" i="21" s="1"/>
  <c r="H270" i="21"/>
  <c r="H192" i="21"/>
  <c r="G193" i="21"/>
  <c r="H289" i="21"/>
  <c r="H272" i="21"/>
  <c r="H291" i="21"/>
  <c r="H194" i="21"/>
  <c r="H122" i="21"/>
  <c r="H123" i="21" s="1"/>
  <c r="D231" i="21"/>
  <c r="H242" i="21" s="1"/>
  <c r="H305" i="21"/>
  <c r="H248" i="21"/>
  <c r="D257" i="21" s="1"/>
  <c r="H257" i="21" s="1"/>
  <c r="H120" i="21"/>
  <c r="H139" i="21"/>
  <c r="H147" i="21" s="1"/>
  <c r="H91" i="21"/>
  <c r="H137" i="21"/>
  <c r="H145" i="21" s="1"/>
  <c r="H190" i="21"/>
  <c r="G191" i="21"/>
  <c r="H268" i="21"/>
  <c r="H287" i="21"/>
  <c r="G183" i="21"/>
  <c r="H246" i="21"/>
  <c r="D255" i="21" s="1"/>
  <c r="H255" i="21" s="1"/>
  <c r="H303" i="21"/>
  <c r="G247" i="21"/>
  <c r="C256" i="21" s="1"/>
  <c r="G256" i="21" s="1"/>
  <c r="G116" i="21"/>
  <c r="C174" i="21"/>
  <c r="G185" i="21" s="1"/>
  <c r="F30" i="21"/>
  <c r="B173" i="21" s="1"/>
  <c r="F184" i="21" s="1"/>
  <c r="G106" i="21"/>
  <c r="H102" i="21"/>
  <c r="H103" i="21" s="1"/>
  <c r="G54" i="21"/>
  <c r="C228" i="21" s="1"/>
  <c r="I58" i="25" l="1"/>
  <c r="H64" i="25" s="1"/>
  <c r="I64" i="25" s="1"/>
  <c r="L136" i="22"/>
  <c r="J65" i="23"/>
  <c r="J55" i="23"/>
  <c r="J53" i="23"/>
  <c r="G90" i="21"/>
  <c r="J33" i="23"/>
  <c r="J23" i="23"/>
  <c r="I22" i="23" s="1"/>
  <c r="G113" i="22"/>
  <c r="J63" i="23"/>
  <c r="L128" i="22"/>
  <c r="J21" i="23"/>
  <c r="J31" i="23"/>
  <c r="F97" i="22"/>
  <c r="F112" i="22" s="1"/>
  <c r="G111" i="22"/>
  <c r="G92" i="21"/>
  <c r="G115" i="21" s="1"/>
  <c r="G172" i="21"/>
  <c r="G239" i="21"/>
  <c r="D277" i="21"/>
  <c r="D199" i="21"/>
  <c r="H199" i="21" s="1"/>
  <c r="H250" i="21"/>
  <c r="D259" i="21" s="1"/>
  <c r="H259" i="21" s="1"/>
  <c r="H307" i="21"/>
  <c r="G269" i="21"/>
  <c r="G288" i="21"/>
  <c r="F192" i="21"/>
  <c r="C278" i="21"/>
  <c r="G278" i="21" s="1"/>
  <c r="H277" i="21" s="1"/>
  <c r="L277" i="21" s="1"/>
  <c r="C200" i="21"/>
  <c r="G200" i="21" s="1"/>
  <c r="D201" i="21"/>
  <c r="H201" i="21" s="1"/>
  <c r="D279" i="21"/>
  <c r="G117" i="21"/>
  <c r="G118" i="21" s="1"/>
  <c r="C230" i="21"/>
  <c r="G241" i="21" s="1"/>
  <c r="G306" i="21" s="1"/>
  <c r="G271" i="21"/>
  <c r="G290" i="21"/>
  <c r="D281" i="21"/>
  <c r="D203" i="21"/>
  <c r="H203" i="21" s="1"/>
  <c r="C202" i="21"/>
  <c r="G202" i="21" s="1"/>
  <c r="C280" i="21"/>
  <c r="G146" i="21"/>
  <c r="G249" i="21"/>
  <c r="C258" i="21" s="1"/>
  <c r="G258" i="21" s="1"/>
  <c r="F270" i="21"/>
  <c r="F289" i="21"/>
  <c r="I54" i="23"/>
  <c r="G105" i="21"/>
  <c r="F91" i="21"/>
  <c r="F110" i="21" s="1"/>
  <c r="G107" i="21"/>
  <c r="G108" i="21" s="1"/>
  <c r="B229" i="21"/>
  <c r="F240" i="21" s="1"/>
  <c r="F305" i="21" s="1"/>
  <c r="F111" i="21"/>
  <c r="G144" i="21"/>
  <c r="F145" i="21" s="1"/>
  <c r="I32" i="23" l="1"/>
  <c r="I64" i="23"/>
  <c r="G225" i="21"/>
  <c r="G228" i="21" s="1"/>
  <c r="G280" i="21"/>
  <c r="K280" i="21" s="1"/>
  <c r="B279" i="21"/>
  <c r="F279" i="21" s="1"/>
  <c r="J279" i="21" s="1"/>
  <c r="F201" i="21"/>
  <c r="P203" i="21" s="1"/>
  <c r="G304" i="21"/>
  <c r="F248" i="21"/>
  <c r="B257" i="21" s="1"/>
  <c r="F257" i="21" s="1"/>
  <c r="J257" i="21" s="1"/>
  <c r="K278" i="21"/>
  <c r="D67" i="21"/>
  <c r="F112" i="21"/>
  <c r="F113" i="21" s="1"/>
  <c r="J259" i="21" l="1"/>
  <c r="H281" i="21"/>
  <c r="L281" i="21" s="1"/>
  <c r="H279" i="21"/>
  <c r="L279" i="21" s="1"/>
  <c r="P201" i="21"/>
</calcChain>
</file>

<file path=xl/sharedStrings.xml><?xml version="1.0" encoding="utf-8"?>
<sst xmlns="http://schemas.openxmlformats.org/spreadsheetml/2006/main" count="1016" uniqueCount="362">
  <si>
    <t>Position</t>
  </si>
  <si>
    <t>T-t</t>
  </si>
  <si>
    <t>$</t>
  </si>
  <si>
    <r>
      <t>DF</t>
    </r>
    <r>
      <rPr>
        <vertAlign val="subscript"/>
        <sz val="11"/>
        <color theme="1"/>
        <rFont val="Calibri"/>
        <family val="2"/>
        <charset val="238"/>
        <scheme val="minor"/>
      </rPr>
      <t>1</t>
    </r>
  </si>
  <si>
    <t>K</t>
  </si>
  <si>
    <r>
      <t>c</t>
    </r>
    <r>
      <rPr>
        <vertAlign val="superscript"/>
        <sz val="11"/>
        <color theme="1"/>
        <rFont val="Calibri"/>
        <family val="2"/>
        <charset val="238"/>
        <scheme val="minor"/>
      </rPr>
      <t>m</t>
    </r>
  </si>
  <si>
    <t>LC(1)</t>
  </si>
  <si>
    <t>SC(1)</t>
  </si>
  <si>
    <t>Arbitrage  strategy</t>
  </si>
  <si>
    <t>CF(0)</t>
  </si>
  <si>
    <t>long position in a 1-year zero-coupon bond</t>
  </si>
  <si>
    <t>CF(1)</t>
  </si>
  <si>
    <t>The portfolio market value at the option expiration date will be based on the undelying asset spot price!</t>
  </si>
  <si>
    <t xml:space="preserve">We have two cases: </t>
  </si>
  <si>
    <t>First case:</t>
  </si>
  <si>
    <t>sum</t>
  </si>
  <si>
    <t>the long call option expire without exercised</t>
  </si>
  <si>
    <t>Second case:</t>
  </si>
  <si>
    <t>Price difference at t=0</t>
  </si>
  <si>
    <t>SB(1)</t>
  </si>
  <si>
    <r>
      <t>short call (SC(1))</t>
    </r>
    <r>
      <rPr>
        <sz val="11"/>
        <color theme="1"/>
        <rFont val="Calibri"/>
        <family val="2"/>
        <charset val="238"/>
        <scheme val="minor"/>
      </rPr>
      <t xml:space="preserve"> </t>
    </r>
  </si>
  <si>
    <t>long position in the underlying asset</t>
  </si>
  <si>
    <t>sell the underlying asset on the strike</t>
  </si>
  <si>
    <t>B(1)</t>
  </si>
  <si>
    <t>If its negative - long bond position</t>
  </si>
  <si>
    <t>If its positive - short bond position</t>
  </si>
  <si>
    <t xml:space="preserve">short call position </t>
  </si>
  <si>
    <t xml:space="preserve">the call option will be exercised </t>
  </si>
  <si>
    <t>=</t>
  </si>
  <si>
    <t>S(0)</t>
  </si>
  <si>
    <r>
      <t>S</t>
    </r>
    <r>
      <rPr>
        <vertAlign val="subscript"/>
        <sz val="11"/>
        <color theme="1"/>
        <rFont val="Calibri"/>
        <family val="2"/>
        <charset val="238"/>
        <scheme val="minor"/>
      </rPr>
      <t>u</t>
    </r>
    <r>
      <rPr>
        <sz val="11"/>
        <color theme="1"/>
        <rFont val="Calibri"/>
        <family val="2"/>
        <charset val="238"/>
        <scheme val="minor"/>
      </rPr>
      <t>(1)</t>
    </r>
  </si>
  <si>
    <r>
      <t>S</t>
    </r>
    <r>
      <rPr>
        <vertAlign val="subscript"/>
        <sz val="11"/>
        <color theme="1"/>
        <rFont val="Calibri"/>
        <family val="2"/>
        <charset val="238"/>
        <scheme val="minor"/>
      </rPr>
      <t>d</t>
    </r>
    <r>
      <rPr>
        <sz val="11"/>
        <color theme="1"/>
        <rFont val="Calibri"/>
        <family val="2"/>
        <charset val="238"/>
        <scheme val="minor"/>
      </rPr>
      <t>(1)</t>
    </r>
  </si>
  <si>
    <r>
      <t>r</t>
    </r>
    <r>
      <rPr>
        <vertAlign val="subscript"/>
        <sz val="11"/>
        <color theme="1"/>
        <rFont val="Calibri"/>
        <family val="2"/>
        <charset val="238"/>
        <scheme val="minor"/>
      </rPr>
      <t>1</t>
    </r>
  </si>
  <si>
    <t>Δ</t>
  </si>
  <si>
    <t xml:space="preserve">General rule </t>
  </si>
  <si>
    <t>β</t>
  </si>
  <si>
    <t>bond maturity is equal with the call expiration date T-t</t>
  </si>
  <si>
    <t>a) What is the value of a 1 year European call option with a strike price of $400? Use no-arbitrage arguments.</t>
  </si>
  <si>
    <t xml:space="preserve">we can replicate the call option with </t>
  </si>
  <si>
    <r>
      <t>c</t>
    </r>
    <r>
      <rPr>
        <vertAlign val="subscript"/>
        <sz val="11"/>
        <color rgb="FFFF0000"/>
        <rFont val="Calibri"/>
        <family val="2"/>
        <charset val="238"/>
        <scheme val="minor"/>
      </rPr>
      <t>u</t>
    </r>
    <r>
      <rPr>
        <sz val="11"/>
        <color rgb="FFFF0000"/>
        <rFont val="Calibri"/>
        <family val="2"/>
        <charset val="238"/>
        <scheme val="minor"/>
      </rPr>
      <t xml:space="preserve"> - c</t>
    </r>
    <r>
      <rPr>
        <vertAlign val="subscript"/>
        <sz val="11"/>
        <color rgb="FFFF0000"/>
        <rFont val="Calibri"/>
        <family val="2"/>
        <charset val="238"/>
        <scheme val="minor"/>
      </rPr>
      <t>d</t>
    </r>
  </si>
  <si>
    <r>
      <t>S</t>
    </r>
    <r>
      <rPr>
        <vertAlign val="subscript"/>
        <sz val="11"/>
        <color rgb="FFFF0000"/>
        <rFont val="Calibri"/>
        <family val="2"/>
        <charset val="238"/>
        <scheme val="minor"/>
      </rPr>
      <t>u</t>
    </r>
    <r>
      <rPr>
        <sz val="11"/>
        <color rgb="FFFF0000"/>
        <rFont val="Calibri"/>
        <family val="2"/>
        <charset val="238"/>
        <scheme val="minor"/>
      </rPr>
      <t xml:space="preserve"> - S</t>
    </r>
    <r>
      <rPr>
        <vertAlign val="subscript"/>
        <sz val="11"/>
        <color rgb="FFFF0000"/>
        <rFont val="Calibri"/>
        <family val="2"/>
        <charset val="238"/>
        <scheme val="minor"/>
      </rPr>
      <t>d</t>
    </r>
  </si>
  <si>
    <t>option</t>
  </si>
  <si>
    <t>call</t>
  </si>
  <si>
    <t>years</t>
  </si>
  <si>
    <t>Call tree</t>
  </si>
  <si>
    <t>c(0)</t>
  </si>
  <si>
    <r>
      <t>c</t>
    </r>
    <r>
      <rPr>
        <vertAlign val="subscript"/>
        <sz val="11"/>
        <color theme="1"/>
        <rFont val="Calibri"/>
        <family val="2"/>
        <charset val="238"/>
        <scheme val="minor"/>
      </rPr>
      <t>u</t>
    </r>
    <r>
      <rPr>
        <sz val="11"/>
        <color theme="1"/>
        <rFont val="Calibri"/>
        <family val="2"/>
        <charset val="238"/>
        <scheme val="minor"/>
      </rPr>
      <t>(1)</t>
    </r>
  </si>
  <si>
    <r>
      <t>c</t>
    </r>
    <r>
      <rPr>
        <vertAlign val="subscript"/>
        <sz val="11"/>
        <color theme="1"/>
        <rFont val="Calibri"/>
        <family val="2"/>
        <charset val="238"/>
        <scheme val="minor"/>
      </rPr>
      <t>d</t>
    </r>
    <r>
      <rPr>
        <sz val="11"/>
        <color theme="1"/>
        <rFont val="Calibri"/>
        <family val="2"/>
        <charset val="238"/>
        <scheme val="minor"/>
      </rPr>
      <t>(1)</t>
    </r>
  </si>
  <si>
    <r>
      <t xml:space="preserve">c = </t>
    </r>
    <r>
      <rPr>
        <sz val="11"/>
        <color rgb="FFFF0000"/>
        <rFont val="Calibri"/>
        <family val="2"/>
        <charset val="238"/>
      </rPr>
      <t>ΔS + β</t>
    </r>
  </si>
  <si>
    <t xml:space="preserve">delta underlying asset and  zero-coupon bond </t>
  </si>
  <si>
    <t>beta is the market value of the zero coupon bond</t>
  </si>
  <si>
    <t>Call option price</t>
  </si>
  <si>
    <t>b) Calculate the risk-neutral probability.</t>
  </si>
  <si>
    <t>General rule</t>
  </si>
  <si>
    <r>
      <t>S/DF</t>
    </r>
    <r>
      <rPr>
        <vertAlign val="subscript"/>
        <sz val="11"/>
        <color theme="1"/>
        <rFont val="Calibri"/>
        <family val="2"/>
        <charset val="238"/>
        <scheme val="minor"/>
      </rPr>
      <t>T-t</t>
    </r>
  </si>
  <si>
    <t>q</t>
  </si>
  <si>
    <t>d</t>
  </si>
  <si>
    <r>
      <t>S</t>
    </r>
    <r>
      <rPr>
        <vertAlign val="subscript"/>
        <sz val="11"/>
        <color theme="1"/>
        <rFont val="Calibri"/>
        <family val="2"/>
        <charset val="238"/>
        <scheme val="minor"/>
      </rPr>
      <t>d</t>
    </r>
    <r>
      <rPr>
        <sz val="11"/>
        <color theme="1"/>
        <rFont val="Calibri"/>
        <family val="2"/>
        <charset val="238"/>
        <scheme val="minor"/>
      </rPr>
      <t>/S</t>
    </r>
  </si>
  <si>
    <t xml:space="preserve">u </t>
  </si>
  <si>
    <r>
      <t>S</t>
    </r>
    <r>
      <rPr>
        <vertAlign val="subscript"/>
        <sz val="11"/>
        <color theme="1"/>
        <rFont val="Calibri"/>
        <family val="2"/>
        <charset val="238"/>
        <scheme val="minor"/>
      </rPr>
      <t>u</t>
    </r>
    <r>
      <rPr>
        <sz val="11"/>
        <color theme="1"/>
        <rFont val="Calibri"/>
        <family val="2"/>
        <charset val="238"/>
        <scheme val="minor"/>
      </rPr>
      <t>/S</t>
    </r>
  </si>
  <si>
    <t xml:space="preserve">= </t>
  </si>
  <si>
    <t>with the risk free rate</t>
  </si>
  <si>
    <t>risk-neutral probability</t>
  </si>
  <si>
    <t>u</t>
  </si>
  <si>
    <r>
      <t>S</t>
    </r>
    <r>
      <rPr>
        <vertAlign val="subscript"/>
        <sz val="11"/>
        <color theme="1"/>
        <rFont val="Calibri"/>
        <family val="2"/>
        <charset val="238"/>
        <scheme val="minor"/>
      </rPr>
      <t>u</t>
    </r>
    <r>
      <rPr>
        <sz val="11"/>
        <color theme="1"/>
        <rFont val="Calibri"/>
        <family val="2"/>
        <charset val="238"/>
        <scheme val="minor"/>
      </rPr>
      <t>(1) / S(0)</t>
    </r>
  </si>
  <si>
    <r>
      <t>S</t>
    </r>
    <r>
      <rPr>
        <vertAlign val="subscript"/>
        <sz val="11"/>
        <color theme="1"/>
        <rFont val="Calibri"/>
        <family val="2"/>
        <charset val="238"/>
        <scheme val="minor"/>
      </rPr>
      <t>d</t>
    </r>
    <r>
      <rPr>
        <sz val="11"/>
        <color theme="1"/>
        <rFont val="Calibri"/>
        <family val="2"/>
        <charset val="238"/>
        <scheme val="minor"/>
      </rPr>
      <t>(1) / S(0)</t>
    </r>
  </si>
  <si>
    <t>Δt</t>
  </si>
  <si>
    <r>
      <t>(c</t>
    </r>
    <r>
      <rPr>
        <vertAlign val="subscript"/>
        <sz val="11"/>
        <color rgb="FFFF0000"/>
        <rFont val="Calibri"/>
        <family val="2"/>
        <charset val="238"/>
        <scheme val="minor"/>
      </rPr>
      <t>u</t>
    </r>
    <r>
      <rPr>
        <sz val="11"/>
        <color rgb="FFFF0000"/>
        <rFont val="Calibri"/>
        <family val="2"/>
        <charset val="238"/>
        <scheme val="minor"/>
      </rPr>
      <t xml:space="preserve"> - </t>
    </r>
    <r>
      <rPr>
        <sz val="11"/>
        <color rgb="FFFF0000"/>
        <rFont val="Calibri"/>
        <family val="2"/>
        <charset val="238"/>
      </rPr>
      <t>Δ*S</t>
    </r>
    <r>
      <rPr>
        <vertAlign val="subscript"/>
        <sz val="11"/>
        <color rgb="FFFF0000"/>
        <rFont val="Calibri"/>
        <family val="2"/>
        <charset val="238"/>
      </rPr>
      <t>u</t>
    </r>
    <r>
      <rPr>
        <sz val="11"/>
        <color rgb="FFFF0000"/>
        <rFont val="Calibri"/>
        <family val="2"/>
        <charset val="238"/>
      </rPr>
      <t>)*DF</t>
    </r>
    <r>
      <rPr>
        <vertAlign val="subscript"/>
        <sz val="11"/>
        <color rgb="FFFF0000"/>
        <rFont val="Calibri"/>
        <family val="2"/>
        <charset val="238"/>
      </rPr>
      <t>Δt</t>
    </r>
  </si>
  <si>
    <r>
      <t>1/DF</t>
    </r>
    <r>
      <rPr>
        <vertAlign val="subscript"/>
        <sz val="11"/>
        <color rgb="FFFF0000"/>
        <rFont val="Calibri"/>
        <family val="2"/>
        <charset val="238"/>
      </rPr>
      <t>Δt</t>
    </r>
    <r>
      <rPr>
        <sz val="11"/>
        <color rgb="FFFF0000"/>
        <rFont val="Calibri"/>
        <family val="2"/>
        <charset val="238"/>
        <scheme val="minor"/>
      </rPr>
      <t xml:space="preserve"> - d</t>
    </r>
  </si>
  <si>
    <t>c) Calculate the option price based on the risk-neutral valuation.</t>
  </si>
  <si>
    <r>
      <t>E</t>
    </r>
    <r>
      <rPr>
        <vertAlign val="superscript"/>
        <sz val="11"/>
        <color theme="1"/>
        <rFont val="Calibri"/>
        <family val="2"/>
        <charset val="238"/>
        <scheme val="minor"/>
      </rPr>
      <t>q</t>
    </r>
    <r>
      <rPr>
        <vertAlign val="subscript"/>
        <sz val="11"/>
        <color theme="1"/>
        <rFont val="Calibri"/>
        <family val="2"/>
        <charset val="238"/>
        <scheme val="minor"/>
      </rPr>
      <t>(S)</t>
    </r>
  </si>
  <si>
    <r>
      <t>q*S</t>
    </r>
    <r>
      <rPr>
        <vertAlign val="subscript"/>
        <sz val="11"/>
        <color theme="1"/>
        <rFont val="Calibri"/>
        <family val="2"/>
        <charset val="238"/>
        <scheme val="minor"/>
      </rPr>
      <t>u</t>
    </r>
    <r>
      <rPr>
        <sz val="11"/>
        <color theme="1"/>
        <rFont val="Calibri"/>
        <family val="2"/>
        <charset val="238"/>
        <scheme val="minor"/>
      </rPr>
      <t xml:space="preserve"> + (1-q)*S</t>
    </r>
    <r>
      <rPr>
        <vertAlign val="subscript"/>
        <sz val="11"/>
        <color theme="1"/>
        <rFont val="Calibri"/>
        <family val="2"/>
        <charset val="238"/>
        <scheme val="minor"/>
      </rPr>
      <t>d</t>
    </r>
  </si>
  <si>
    <t xml:space="preserve">option value is qeual with the option expected future payoff </t>
  </si>
  <si>
    <t>weighted by the risk-neutral probability and  discounted at the risk-free rate.</t>
  </si>
  <si>
    <r>
      <t>(q*c</t>
    </r>
    <r>
      <rPr>
        <vertAlign val="subscript"/>
        <sz val="11"/>
        <color rgb="FFFF0000"/>
        <rFont val="Calibri"/>
        <family val="2"/>
        <charset val="238"/>
        <scheme val="minor"/>
      </rPr>
      <t>u</t>
    </r>
    <r>
      <rPr>
        <sz val="11"/>
        <color rgb="FFFF0000"/>
        <rFont val="Calibri"/>
        <family val="2"/>
        <charset val="238"/>
        <scheme val="minor"/>
      </rPr>
      <t xml:space="preserve"> + (1-q)*c</t>
    </r>
    <r>
      <rPr>
        <vertAlign val="subscript"/>
        <sz val="11"/>
        <color rgb="FFFF0000"/>
        <rFont val="Calibri"/>
        <family val="2"/>
        <charset val="238"/>
        <scheme val="minor"/>
      </rPr>
      <t>d</t>
    </r>
    <r>
      <rPr>
        <sz val="11"/>
        <color rgb="FFFF0000"/>
        <rFont val="Calibri"/>
        <family val="2"/>
        <charset val="238"/>
        <scheme val="minor"/>
      </rPr>
      <t>)*DF</t>
    </r>
    <r>
      <rPr>
        <vertAlign val="subscript"/>
        <sz val="11"/>
        <color rgb="FFFF0000"/>
        <rFont val="Calibri"/>
        <family val="2"/>
        <charset val="238"/>
        <scheme val="minor"/>
      </rPr>
      <t>Δt</t>
    </r>
  </si>
  <si>
    <t>Stock tree</t>
  </si>
  <si>
    <t>p</t>
  </si>
  <si>
    <r>
      <t>E</t>
    </r>
    <r>
      <rPr>
        <vertAlign val="superscript"/>
        <sz val="11"/>
        <color theme="1"/>
        <rFont val="Calibri"/>
        <family val="2"/>
        <charset val="238"/>
        <scheme val="minor"/>
      </rPr>
      <t>p</t>
    </r>
    <r>
      <rPr>
        <sz val="11"/>
        <color theme="1"/>
        <rFont val="Calibri"/>
        <family val="2"/>
        <charset val="238"/>
        <scheme val="minor"/>
      </rPr>
      <t xml:space="preserve"> ( r )</t>
    </r>
  </si>
  <si>
    <t>e) What is the expected return of the stock and the option in the risk-neutral world?</t>
  </si>
  <si>
    <r>
      <t>E</t>
    </r>
    <r>
      <rPr>
        <vertAlign val="superscript"/>
        <sz val="11"/>
        <color theme="1"/>
        <rFont val="Calibri"/>
        <family val="2"/>
        <charset val="238"/>
        <scheme val="minor"/>
      </rPr>
      <t>q</t>
    </r>
    <r>
      <rPr>
        <sz val="11"/>
        <color theme="1"/>
        <rFont val="Calibri"/>
        <family val="2"/>
        <charset val="238"/>
        <scheme val="minor"/>
      </rPr>
      <t xml:space="preserve"> ( r )</t>
    </r>
  </si>
  <si>
    <r>
      <t>E</t>
    </r>
    <r>
      <rPr>
        <vertAlign val="superscript"/>
        <sz val="11"/>
        <color theme="1"/>
        <rFont val="Calibri"/>
        <family val="2"/>
        <charset val="238"/>
        <scheme val="minor"/>
      </rPr>
      <t>p</t>
    </r>
    <r>
      <rPr>
        <sz val="11"/>
        <color theme="1"/>
        <rFont val="Calibri"/>
        <family val="2"/>
        <charset val="238"/>
        <scheme val="minor"/>
      </rPr>
      <t>(c)</t>
    </r>
  </si>
  <si>
    <r>
      <t>E</t>
    </r>
    <r>
      <rPr>
        <vertAlign val="superscript"/>
        <sz val="11"/>
        <color theme="1"/>
        <rFont val="Calibri"/>
        <family val="2"/>
        <charset val="238"/>
        <scheme val="minor"/>
      </rPr>
      <t>p</t>
    </r>
    <r>
      <rPr>
        <sz val="11"/>
        <color theme="1"/>
        <rFont val="Calibri"/>
        <family val="2"/>
        <charset val="238"/>
        <scheme val="minor"/>
      </rPr>
      <t>(S1)</t>
    </r>
  </si>
  <si>
    <r>
      <t>E</t>
    </r>
    <r>
      <rPr>
        <vertAlign val="superscript"/>
        <sz val="11"/>
        <color theme="1"/>
        <rFont val="Calibri"/>
        <family val="2"/>
        <charset val="238"/>
        <scheme val="minor"/>
      </rPr>
      <t>q</t>
    </r>
    <r>
      <rPr>
        <sz val="11"/>
        <color theme="1"/>
        <rFont val="Calibri"/>
        <family val="2"/>
        <charset val="238"/>
        <scheme val="minor"/>
      </rPr>
      <t>(S1)</t>
    </r>
  </si>
  <si>
    <r>
      <t>E</t>
    </r>
    <r>
      <rPr>
        <vertAlign val="superscript"/>
        <sz val="11"/>
        <color theme="1"/>
        <rFont val="Calibri"/>
        <family val="2"/>
        <charset val="238"/>
        <scheme val="minor"/>
      </rPr>
      <t>q</t>
    </r>
    <r>
      <rPr>
        <sz val="11"/>
        <color theme="1"/>
        <rFont val="Calibri"/>
        <family val="2"/>
        <charset val="238"/>
        <scheme val="minor"/>
      </rPr>
      <t>(c1)</t>
    </r>
  </si>
  <si>
    <t>Expected return of stock</t>
  </si>
  <si>
    <t>Expected return of option</t>
  </si>
  <si>
    <t>f) Identify the arbitrage opportunity if the market call price is $70.</t>
  </si>
  <si>
    <t xml:space="preserve">we can replicate the call option with an underlying asset and a zero-coupon bond </t>
  </si>
  <si>
    <t>sell the call option on the market - because it's more expensive than the arbitrage free - and buy a replicated call option</t>
  </si>
  <si>
    <r>
      <rPr>
        <sz val="11"/>
        <color theme="1"/>
        <rFont val="Calibri"/>
        <family val="2"/>
        <charset val="238"/>
      </rPr>
      <t>Δ</t>
    </r>
    <r>
      <rPr>
        <sz val="11"/>
        <color theme="1"/>
        <rFont val="Calibri"/>
        <family val="2"/>
        <charset val="238"/>
        <scheme val="minor"/>
      </rPr>
      <t>LU</t>
    </r>
  </si>
  <si>
    <r>
      <t xml:space="preserve">Market price of the B(1) position is the opposit of the sum of the </t>
    </r>
    <r>
      <rPr>
        <sz val="11"/>
        <color theme="1"/>
        <rFont val="Calibri"/>
        <family val="2"/>
        <charset val="238"/>
      </rPr>
      <t>Δ</t>
    </r>
    <r>
      <rPr>
        <sz val="11"/>
        <color theme="1"/>
        <rFont val="Calibri"/>
        <family val="2"/>
        <charset val="238"/>
        <scheme val="minor"/>
      </rPr>
      <t xml:space="preserve">LU+ SC(1) market price </t>
    </r>
  </si>
  <si>
    <t>The face value of the zero-coupon bond 150,22$/0,9048</t>
  </si>
  <si>
    <t>take a short position in a 1-year zero-coupon bond B(1) - market value $152,22 face value $168,23</t>
  </si>
  <si>
    <t>g) How much is the arbitrage profit PV in this case? Why?</t>
  </si>
  <si>
    <r>
      <t>S</t>
    </r>
    <r>
      <rPr>
        <vertAlign val="subscript"/>
        <sz val="11"/>
        <color theme="1"/>
        <rFont val="Calibri"/>
        <family val="2"/>
        <charset val="238"/>
        <scheme val="minor"/>
      </rPr>
      <t>u</t>
    </r>
    <r>
      <rPr>
        <sz val="11"/>
        <color theme="1"/>
        <rFont val="Calibri"/>
        <family val="2"/>
        <charset val="238"/>
        <scheme val="minor"/>
      </rPr>
      <t xml:space="preserve">(1) &gt; K the call option will be exercised </t>
    </r>
  </si>
  <si>
    <r>
      <t>S</t>
    </r>
    <r>
      <rPr>
        <vertAlign val="subscript"/>
        <sz val="11"/>
        <color theme="1"/>
        <rFont val="Calibri"/>
        <family val="2"/>
        <charset val="238"/>
        <scheme val="minor"/>
      </rPr>
      <t>d</t>
    </r>
    <r>
      <rPr>
        <sz val="11"/>
        <color theme="1"/>
        <rFont val="Calibri"/>
        <family val="2"/>
        <charset val="238"/>
        <scheme val="minor"/>
      </rPr>
      <t>(1) &lt; K the call option expire without exercised</t>
    </r>
  </si>
  <si>
    <r>
      <t>if S</t>
    </r>
    <r>
      <rPr>
        <vertAlign val="subscript"/>
        <sz val="11"/>
        <color theme="1"/>
        <rFont val="Calibri"/>
        <family val="2"/>
        <charset val="238"/>
        <scheme val="minor"/>
      </rPr>
      <t>u</t>
    </r>
    <r>
      <rPr>
        <sz val="11"/>
        <color theme="1"/>
        <rFont val="Calibri"/>
        <family val="2"/>
        <charset val="238"/>
        <scheme val="minor"/>
      </rPr>
      <t>(1) = 500</t>
    </r>
  </si>
  <si>
    <r>
      <rPr>
        <sz val="11"/>
        <color theme="1"/>
        <rFont val="Calibri"/>
        <family val="2"/>
        <charset val="238"/>
      </rPr>
      <t>Δ</t>
    </r>
    <r>
      <rPr>
        <sz val="11"/>
        <color theme="1"/>
        <rFont val="Calibri"/>
        <family val="2"/>
        <charset val="238"/>
        <scheme val="minor"/>
      </rPr>
      <t>long underlying position is closed out by the option</t>
    </r>
  </si>
  <si>
    <r>
      <t>(1-</t>
    </r>
    <r>
      <rPr>
        <sz val="11"/>
        <color theme="1"/>
        <rFont val="Calibri"/>
        <family val="2"/>
        <charset val="238"/>
      </rPr>
      <t>Δ)LU</t>
    </r>
  </si>
  <si>
    <r>
      <t>we buy 1-</t>
    </r>
    <r>
      <rPr>
        <sz val="11"/>
        <color theme="1"/>
        <rFont val="Calibri"/>
        <family val="2"/>
        <charset val="238"/>
      </rPr>
      <t>Δ underlying asset on the spot market</t>
    </r>
  </si>
  <si>
    <t>pay back the face value of the zero-coupon bond</t>
  </si>
  <si>
    <t>If the call option market price is different from the arbitrage-free price you can earn an arbitrage profit</t>
  </si>
  <si>
    <t xml:space="preserve">The  arbitrage profit PV will be equal with the difference between the market price and the arbitrage-free price </t>
  </si>
  <si>
    <r>
      <t>if S</t>
    </r>
    <r>
      <rPr>
        <vertAlign val="subscript"/>
        <sz val="11"/>
        <color theme="1"/>
        <rFont val="Calibri"/>
        <family val="2"/>
        <charset val="238"/>
        <scheme val="minor"/>
      </rPr>
      <t>d</t>
    </r>
    <r>
      <rPr>
        <sz val="11"/>
        <color theme="1"/>
        <rFont val="Calibri"/>
        <family val="2"/>
        <charset val="238"/>
        <scheme val="minor"/>
      </rPr>
      <t>(1) = 320</t>
    </r>
  </si>
  <si>
    <r>
      <rPr>
        <sz val="11"/>
        <color theme="1"/>
        <rFont val="Calibri"/>
        <family val="2"/>
        <charset val="238"/>
      </rPr>
      <t>ΔL</t>
    </r>
    <r>
      <rPr>
        <sz val="11"/>
        <color theme="1"/>
        <rFont val="Calibri"/>
        <family val="2"/>
        <charset val="238"/>
        <scheme val="minor"/>
      </rPr>
      <t>U</t>
    </r>
  </si>
  <si>
    <r>
      <t xml:space="preserve">sell the </t>
    </r>
    <r>
      <rPr>
        <sz val="11"/>
        <color theme="1"/>
        <rFont val="Calibri"/>
        <family val="2"/>
        <charset val="238"/>
      </rPr>
      <t>Δ</t>
    </r>
    <r>
      <rPr>
        <sz val="11"/>
        <color theme="1"/>
        <rFont val="Calibri"/>
        <family val="2"/>
        <charset val="238"/>
        <scheme val="minor"/>
      </rPr>
      <t xml:space="preserve"> underlying asset on the spot price</t>
    </r>
  </si>
  <si>
    <t>replication of a long call option: buy delta underlying asset (delta is positive for a call option) and take a bond position - sign of the bond will be based on the portfolio CF(0) maturity is equal with the option expiration date</t>
  </si>
  <si>
    <t>a) What is the value of a 1-year ATM European call option? Use risk-neutral valuation.</t>
  </si>
  <si>
    <t>annual continuous compounding</t>
  </si>
  <si>
    <r>
      <t>DF</t>
    </r>
    <r>
      <rPr>
        <vertAlign val="subscript"/>
        <sz val="11"/>
        <color theme="1"/>
        <rFont val="Calibri"/>
        <family val="2"/>
        <charset val="238"/>
        <scheme val="minor"/>
      </rPr>
      <t>0,5</t>
    </r>
  </si>
  <si>
    <t>u - d</t>
  </si>
  <si>
    <r>
      <t>S</t>
    </r>
    <r>
      <rPr>
        <vertAlign val="subscript"/>
        <sz val="11"/>
        <color theme="1"/>
        <rFont val="Calibri"/>
        <family val="2"/>
        <charset val="238"/>
        <scheme val="minor"/>
      </rPr>
      <t>u</t>
    </r>
    <r>
      <rPr>
        <sz val="11"/>
        <color theme="1"/>
        <rFont val="Calibri"/>
        <family val="2"/>
        <charset val="238"/>
        <scheme val="minor"/>
      </rPr>
      <t>(0,5)</t>
    </r>
  </si>
  <si>
    <r>
      <t>S</t>
    </r>
    <r>
      <rPr>
        <vertAlign val="subscript"/>
        <sz val="11"/>
        <color theme="1"/>
        <rFont val="Calibri"/>
        <family val="2"/>
        <charset val="238"/>
        <scheme val="minor"/>
      </rPr>
      <t>uu</t>
    </r>
    <r>
      <rPr>
        <sz val="11"/>
        <color theme="1"/>
        <rFont val="Calibri"/>
        <family val="2"/>
        <charset val="238"/>
        <scheme val="minor"/>
      </rPr>
      <t>(1)</t>
    </r>
  </si>
  <si>
    <r>
      <t>S</t>
    </r>
    <r>
      <rPr>
        <vertAlign val="subscript"/>
        <sz val="11"/>
        <color theme="1"/>
        <rFont val="Calibri"/>
        <family val="2"/>
        <charset val="238"/>
        <scheme val="minor"/>
      </rPr>
      <t>d</t>
    </r>
    <r>
      <rPr>
        <sz val="11"/>
        <color theme="1"/>
        <rFont val="Calibri"/>
        <family val="2"/>
        <charset val="238"/>
        <scheme val="minor"/>
      </rPr>
      <t>(0,5)</t>
    </r>
  </si>
  <si>
    <r>
      <t>S</t>
    </r>
    <r>
      <rPr>
        <vertAlign val="subscript"/>
        <sz val="11"/>
        <color theme="1"/>
        <rFont val="Calibri"/>
        <family val="2"/>
        <charset val="238"/>
        <scheme val="minor"/>
      </rPr>
      <t>ud&amp;du</t>
    </r>
    <r>
      <rPr>
        <sz val="11"/>
        <color theme="1"/>
        <rFont val="Calibri"/>
        <family val="2"/>
        <charset val="238"/>
        <scheme val="minor"/>
      </rPr>
      <t>(1)</t>
    </r>
  </si>
  <si>
    <r>
      <t>S</t>
    </r>
    <r>
      <rPr>
        <vertAlign val="subscript"/>
        <sz val="11"/>
        <color theme="1"/>
        <rFont val="Calibri"/>
        <family val="2"/>
        <charset val="238"/>
        <scheme val="minor"/>
      </rPr>
      <t>dd</t>
    </r>
    <r>
      <rPr>
        <sz val="11"/>
        <color theme="1"/>
        <rFont val="Calibri"/>
        <family val="2"/>
        <charset val="238"/>
        <scheme val="minor"/>
      </rPr>
      <t>(1)</t>
    </r>
  </si>
  <si>
    <r>
      <t>c</t>
    </r>
    <r>
      <rPr>
        <vertAlign val="subscript"/>
        <sz val="11"/>
        <color theme="1"/>
        <rFont val="Calibri"/>
        <family val="2"/>
        <charset val="238"/>
        <scheme val="minor"/>
      </rPr>
      <t>u</t>
    </r>
    <r>
      <rPr>
        <sz val="11"/>
        <color theme="1"/>
        <rFont val="Calibri"/>
        <family val="2"/>
        <charset val="238"/>
        <scheme val="minor"/>
      </rPr>
      <t>(0,5)</t>
    </r>
  </si>
  <si>
    <r>
      <t>c</t>
    </r>
    <r>
      <rPr>
        <vertAlign val="subscript"/>
        <sz val="11"/>
        <color theme="1"/>
        <rFont val="Calibri"/>
        <family val="2"/>
        <charset val="238"/>
        <scheme val="minor"/>
      </rPr>
      <t>uu</t>
    </r>
    <r>
      <rPr>
        <sz val="11"/>
        <color theme="1"/>
        <rFont val="Calibri"/>
        <family val="2"/>
        <charset val="238"/>
        <scheme val="minor"/>
      </rPr>
      <t>(1)</t>
    </r>
  </si>
  <si>
    <r>
      <t>c</t>
    </r>
    <r>
      <rPr>
        <vertAlign val="subscript"/>
        <sz val="11"/>
        <color theme="1"/>
        <rFont val="Calibri"/>
        <family val="2"/>
        <charset val="238"/>
        <scheme val="minor"/>
      </rPr>
      <t>ud&amp;du</t>
    </r>
    <r>
      <rPr>
        <sz val="11"/>
        <color theme="1"/>
        <rFont val="Calibri"/>
        <family val="2"/>
        <charset val="238"/>
        <scheme val="minor"/>
      </rPr>
      <t>(1)</t>
    </r>
  </si>
  <si>
    <r>
      <t>c</t>
    </r>
    <r>
      <rPr>
        <vertAlign val="subscript"/>
        <sz val="11"/>
        <color theme="1"/>
        <rFont val="Calibri"/>
        <family val="2"/>
        <charset val="238"/>
        <scheme val="minor"/>
      </rPr>
      <t>d</t>
    </r>
    <r>
      <rPr>
        <sz val="11"/>
        <color theme="1"/>
        <rFont val="Calibri"/>
        <family val="2"/>
        <charset val="238"/>
        <scheme val="minor"/>
      </rPr>
      <t>(0,5)</t>
    </r>
  </si>
  <si>
    <r>
      <t>c</t>
    </r>
    <r>
      <rPr>
        <vertAlign val="subscript"/>
        <sz val="11"/>
        <color theme="1"/>
        <rFont val="Calibri"/>
        <family val="2"/>
        <charset val="238"/>
        <scheme val="minor"/>
      </rPr>
      <t>dd</t>
    </r>
    <r>
      <rPr>
        <sz val="11"/>
        <color theme="1"/>
        <rFont val="Calibri"/>
        <family val="2"/>
        <charset val="238"/>
        <scheme val="minor"/>
      </rPr>
      <t>(1)</t>
    </r>
  </si>
  <si>
    <t>t = 0</t>
  </si>
  <si>
    <t>t = 1</t>
  </si>
  <si>
    <t>t = 0,5</t>
  </si>
  <si>
    <r>
      <t>c(t = 0,5 and if  S</t>
    </r>
    <r>
      <rPr>
        <vertAlign val="subscript"/>
        <sz val="11"/>
        <color rgb="FF7030A0"/>
        <rFont val="Calibri"/>
        <family val="2"/>
        <charset val="238"/>
        <scheme val="minor"/>
      </rPr>
      <t>u</t>
    </r>
    <r>
      <rPr>
        <sz val="11"/>
        <color rgb="FF7030A0"/>
        <rFont val="Calibri"/>
        <family val="2"/>
        <charset val="238"/>
        <scheme val="minor"/>
      </rPr>
      <t>(0,5) = 500)  =  E</t>
    </r>
    <r>
      <rPr>
        <vertAlign val="superscript"/>
        <sz val="11"/>
        <color rgb="FF7030A0"/>
        <rFont val="Calibri"/>
        <family val="2"/>
        <charset val="238"/>
        <scheme val="minor"/>
      </rPr>
      <t>q</t>
    </r>
    <r>
      <rPr>
        <sz val="11"/>
        <color rgb="FF7030A0"/>
        <rFont val="Calibri"/>
        <family val="2"/>
        <charset val="238"/>
        <scheme val="minor"/>
      </rPr>
      <t>(225,0)*DF</t>
    </r>
    <r>
      <rPr>
        <vertAlign val="subscript"/>
        <sz val="11"/>
        <color rgb="FF7030A0"/>
        <rFont val="Calibri"/>
        <family val="2"/>
        <charset val="238"/>
        <scheme val="minor"/>
      </rPr>
      <t>0,5</t>
    </r>
    <r>
      <rPr>
        <sz val="11"/>
        <color rgb="FF7030A0"/>
        <rFont val="Calibri"/>
        <family val="2"/>
        <charset val="238"/>
        <scheme val="minor"/>
      </rPr>
      <t xml:space="preserve"> = (0,56*225 + (1-0,56)*0) *0,9512 = 119,51</t>
    </r>
  </si>
  <si>
    <r>
      <t>c(t = 0,5 and if  S</t>
    </r>
    <r>
      <rPr>
        <vertAlign val="subscript"/>
        <sz val="11"/>
        <color rgb="FF7030A0"/>
        <rFont val="Calibri"/>
        <family val="2"/>
        <charset val="238"/>
        <scheme val="minor"/>
      </rPr>
      <t>d</t>
    </r>
    <r>
      <rPr>
        <sz val="11"/>
        <color rgb="FF7030A0"/>
        <rFont val="Calibri"/>
        <family val="2"/>
        <charset val="238"/>
        <scheme val="minor"/>
      </rPr>
      <t>(0,5) = 320)  =  E</t>
    </r>
    <r>
      <rPr>
        <vertAlign val="superscript"/>
        <sz val="11"/>
        <color rgb="FF7030A0"/>
        <rFont val="Calibri"/>
        <family val="2"/>
        <charset val="238"/>
        <scheme val="minor"/>
      </rPr>
      <t>q</t>
    </r>
    <r>
      <rPr>
        <sz val="11"/>
        <color rgb="FF7030A0"/>
        <rFont val="Calibri"/>
        <family val="2"/>
        <charset val="238"/>
        <scheme val="minor"/>
      </rPr>
      <t>(0,0)*DF</t>
    </r>
    <r>
      <rPr>
        <vertAlign val="subscript"/>
        <sz val="11"/>
        <color rgb="FF7030A0"/>
        <rFont val="Calibri"/>
        <family val="2"/>
        <charset val="238"/>
        <scheme val="minor"/>
      </rPr>
      <t>0,5</t>
    </r>
    <r>
      <rPr>
        <sz val="11"/>
        <color rgb="FF7030A0"/>
        <rFont val="Calibri"/>
        <family val="2"/>
        <charset val="238"/>
        <scheme val="minor"/>
      </rPr>
      <t xml:space="preserve"> = (0,56*0 + (1-0,56)*0) *0,9512 = 0</t>
    </r>
  </si>
  <si>
    <t>max(625-400;0)</t>
  </si>
  <si>
    <t>max(400-400;0)</t>
  </si>
  <si>
    <t>max(256-400;0)</t>
  </si>
  <si>
    <t>max(500-400;0)</t>
  </si>
  <si>
    <t>max(320-400;0)</t>
  </si>
  <si>
    <t>b) What is the value of a 1-year ATM European put option? Use risk-neutral valuation.</t>
  </si>
  <si>
    <t>put</t>
  </si>
  <si>
    <t>Put tree</t>
  </si>
  <si>
    <t>p(0)</t>
  </si>
  <si>
    <r>
      <t>p</t>
    </r>
    <r>
      <rPr>
        <vertAlign val="subscript"/>
        <sz val="11"/>
        <color theme="1"/>
        <rFont val="Calibri"/>
        <family val="2"/>
        <charset val="238"/>
        <scheme val="minor"/>
      </rPr>
      <t>u</t>
    </r>
    <r>
      <rPr>
        <sz val="11"/>
        <color theme="1"/>
        <rFont val="Calibri"/>
        <family val="2"/>
        <charset val="238"/>
        <scheme val="minor"/>
      </rPr>
      <t>(0,5)</t>
    </r>
  </si>
  <si>
    <r>
      <t>p</t>
    </r>
    <r>
      <rPr>
        <vertAlign val="subscript"/>
        <sz val="11"/>
        <color theme="1"/>
        <rFont val="Calibri"/>
        <family val="2"/>
        <charset val="238"/>
        <scheme val="minor"/>
      </rPr>
      <t>d</t>
    </r>
    <r>
      <rPr>
        <sz val="11"/>
        <color theme="1"/>
        <rFont val="Calibri"/>
        <family val="2"/>
        <charset val="238"/>
        <scheme val="minor"/>
      </rPr>
      <t>(0,5)</t>
    </r>
  </si>
  <si>
    <r>
      <t>p</t>
    </r>
    <r>
      <rPr>
        <vertAlign val="subscript"/>
        <sz val="11"/>
        <color theme="1"/>
        <rFont val="Calibri"/>
        <family val="2"/>
        <charset val="238"/>
        <scheme val="minor"/>
      </rPr>
      <t>uu</t>
    </r>
    <r>
      <rPr>
        <sz val="11"/>
        <color theme="1"/>
        <rFont val="Calibri"/>
        <family val="2"/>
        <charset val="238"/>
        <scheme val="minor"/>
      </rPr>
      <t>(1)</t>
    </r>
  </si>
  <si>
    <r>
      <t>p</t>
    </r>
    <r>
      <rPr>
        <vertAlign val="subscript"/>
        <sz val="11"/>
        <color theme="1"/>
        <rFont val="Calibri"/>
        <family val="2"/>
        <charset val="238"/>
        <scheme val="minor"/>
      </rPr>
      <t>ud&amp;du</t>
    </r>
    <r>
      <rPr>
        <sz val="11"/>
        <color theme="1"/>
        <rFont val="Calibri"/>
        <family val="2"/>
        <charset val="238"/>
        <scheme val="minor"/>
      </rPr>
      <t>(1)</t>
    </r>
  </si>
  <si>
    <r>
      <t>p</t>
    </r>
    <r>
      <rPr>
        <vertAlign val="subscript"/>
        <sz val="11"/>
        <color theme="1"/>
        <rFont val="Calibri"/>
        <family val="2"/>
        <charset val="238"/>
        <scheme val="minor"/>
      </rPr>
      <t>dd</t>
    </r>
    <r>
      <rPr>
        <sz val="11"/>
        <color theme="1"/>
        <rFont val="Calibri"/>
        <family val="2"/>
        <charset val="238"/>
        <scheme val="minor"/>
      </rPr>
      <t>(1)</t>
    </r>
  </si>
  <si>
    <t>Put option price</t>
  </si>
  <si>
    <t>max(400-625;0)</t>
  </si>
  <si>
    <t>max(400-256;0)</t>
  </si>
  <si>
    <r>
      <t>p(t = 0,5 and if  S</t>
    </r>
    <r>
      <rPr>
        <vertAlign val="subscript"/>
        <sz val="11"/>
        <color rgb="FF7030A0"/>
        <rFont val="Calibri"/>
        <family val="2"/>
        <charset val="238"/>
        <scheme val="minor"/>
      </rPr>
      <t>u</t>
    </r>
    <r>
      <rPr>
        <sz val="11"/>
        <color rgb="FF7030A0"/>
        <rFont val="Calibri"/>
        <family val="2"/>
        <charset val="238"/>
        <scheme val="minor"/>
      </rPr>
      <t>(0,5) = 500)  =  E</t>
    </r>
    <r>
      <rPr>
        <vertAlign val="superscript"/>
        <sz val="11"/>
        <color rgb="FF7030A0"/>
        <rFont val="Calibri"/>
        <family val="2"/>
        <charset val="238"/>
        <scheme val="minor"/>
      </rPr>
      <t>q</t>
    </r>
    <r>
      <rPr>
        <sz val="11"/>
        <color rgb="FF7030A0"/>
        <rFont val="Calibri"/>
        <family val="2"/>
        <charset val="238"/>
        <scheme val="minor"/>
      </rPr>
      <t>(0,0)*DF</t>
    </r>
    <r>
      <rPr>
        <vertAlign val="subscript"/>
        <sz val="11"/>
        <color rgb="FF7030A0"/>
        <rFont val="Calibri"/>
        <family val="2"/>
        <charset val="238"/>
        <scheme val="minor"/>
      </rPr>
      <t>0,5</t>
    </r>
    <r>
      <rPr>
        <sz val="11"/>
        <color rgb="FF7030A0"/>
        <rFont val="Calibri"/>
        <family val="2"/>
        <charset val="238"/>
        <scheme val="minor"/>
      </rPr>
      <t xml:space="preserve"> = (0,56*0 + (1-0,56)*0) *0,9512 = 0</t>
    </r>
  </si>
  <si>
    <r>
      <t>p(t = 0 and if  S(0) = 500)  =  E</t>
    </r>
    <r>
      <rPr>
        <vertAlign val="superscript"/>
        <sz val="11"/>
        <color rgb="FF7030A0"/>
        <rFont val="Calibri"/>
        <family val="2"/>
        <charset val="238"/>
        <scheme val="minor"/>
      </rPr>
      <t>q</t>
    </r>
    <r>
      <rPr>
        <sz val="11"/>
        <color rgb="FF7030A0"/>
        <rFont val="Calibri"/>
        <family val="2"/>
        <charset val="238"/>
        <scheme val="minor"/>
      </rPr>
      <t>(0, 60,49)*DF</t>
    </r>
    <r>
      <rPr>
        <vertAlign val="subscript"/>
        <sz val="11"/>
        <color rgb="FF7030A0"/>
        <rFont val="Calibri"/>
        <family val="2"/>
        <charset val="238"/>
        <scheme val="minor"/>
      </rPr>
      <t>0,5</t>
    </r>
    <r>
      <rPr>
        <sz val="11"/>
        <color rgb="FF7030A0"/>
        <rFont val="Calibri"/>
        <family val="2"/>
        <charset val="238"/>
        <scheme val="minor"/>
      </rPr>
      <t xml:space="preserve"> = (0,56*0 + (1-0,56)*60,49) *0,9512 = 25,41</t>
    </r>
  </si>
  <si>
    <r>
      <t>c(t = 0 and if  S(0) = 500)  =  E</t>
    </r>
    <r>
      <rPr>
        <vertAlign val="superscript"/>
        <sz val="11"/>
        <color rgb="FF7030A0"/>
        <rFont val="Calibri"/>
        <family val="2"/>
        <charset val="238"/>
        <scheme val="minor"/>
      </rPr>
      <t>q</t>
    </r>
    <r>
      <rPr>
        <sz val="11"/>
        <color rgb="FF7030A0"/>
        <rFont val="Calibri"/>
        <family val="2"/>
        <charset val="238"/>
        <scheme val="minor"/>
      </rPr>
      <t>(119,51, 0)*DF</t>
    </r>
    <r>
      <rPr>
        <vertAlign val="subscript"/>
        <sz val="11"/>
        <color rgb="FF7030A0"/>
        <rFont val="Calibri"/>
        <family val="2"/>
        <charset val="238"/>
        <scheme val="minor"/>
      </rPr>
      <t>0,5</t>
    </r>
    <r>
      <rPr>
        <sz val="11"/>
        <color rgb="FF7030A0"/>
        <rFont val="Calibri"/>
        <family val="2"/>
        <charset val="238"/>
        <scheme val="minor"/>
      </rPr>
      <t xml:space="preserve"> = (0,56*119,51 + (1-0,56)*0) *0,9512 = 63,48</t>
    </r>
  </si>
  <si>
    <t>c) Verify that the European call and European put prices satisfy put–call parity.</t>
  </si>
  <si>
    <r>
      <t>c + DF</t>
    </r>
    <r>
      <rPr>
        <vertAlign val="subscript"/>
        <sz val="11"/>
        <color theme="1"/>
        <rFont val="Calibri"/>
        <family val="2"/>
        <charset val="238"/>
        <scheme val="minor"/>
      </rPr>
      <t>T-t</t>
    </r>
    <r>
      <rPr>
        <sz val="11"/>
        <color theme="1"/>
        <rFont val="Calibri"/>
        <family val="2"/>
        <charset val="238"/>
        <scheme val="minor"/>
      </rPr>
      <t xml:space="preserve">*K </t>
    </r>
  </si>
  <si>
    <t>S + p</t>
  </si>
  <si>
    <t>put-call parity</t>
  </si>
  <si>
    <t>verifying put-call parity</t>
  </si>
  <si>
    <t>contract</t>
  </si>
  <si>
    <t>forward</t>
  </si>
  <si>
    <t>long</t>
  </si>
  <si>
    <t>d) What is the value of a 1-year long forward contract if the delivery price is $400? Use risk-neutral valuation.</t>
  </si>
  <si>
    <t>Forward tree</t>
  </si>
  <si>
    <t>f(0)</t>
  </si>
  <si>
    <r>
      <t>f</t>
    </r>
    <r>
      <rPr>
        <vertAlign val="subscript"/>
        <sz val="11"/>
        <color theme="1"/>
        <rFont val="Calibri"/>
        <family val="2"/>
        <charset val="238"/>
        <scheme val="minor"/>
      </rPr>
      <t>u</t>
    </r>
    <r>
      <rPr>
        <sz val="11"/>
        <color theme="1"/>
        <rFont val="Calibri"/>
        <family val="2"/>
        <charset val="238"/>
        <scheme val="minor"/>
      </rPr>
      <t>(0,5)</t>
    </r>
  </si>
  <si>
    <r>
      <t>f</t>
    </r>
    <r>
      <rPr>
        <vertAlign val="subscript"/>
        <sz val="11"/>
        <color theme="1"/>
        <rFont val="Calibri"/>
        <family val="2"/>
        <charset val="238"/>
        <scheme val="minor"/>
      </rPr>
      <t>d</t>
    </r>
    <r>
      <rPr>
        <sz val="11"/>
        <color theme="1"/>
        <rFont val="Calibri"/>
        <family val="2"/>
        <charset val="238"/>
        <scheme val="minor"/>
      </rPr>
      <t>(0,5)</t>
    </r>
  </si>
  <si>
    <r>
      <t>f</t>
    </r>
    <r>
      <rPr>
        <vertAlign val="subscript"/>
        <sz val="11"/>
        <color theme="1"/>
        <rFont val="Calibri"/>
        <family val="2"/>
        <charset val="238"/>
        <scheme val="minor"/>
      </rPr>
      <t>uu</t>
    </r>
    <r>
      <rPr>
        <sz val="11"/>
        <color theme="1"/>
        <rFont val="Calibri"/>
        <family val="2"/>
        <charset val="238"/>
        <scheme val="minor"/>
      </rPr>
      <t>(1)</t>
    </r>
  </si>
  <si>
    <r>
      <t>f</t>
    </r>
    <r>
      <rPr>
        <vertAlign val="subscript"/>
        <sz val="11"/>
        <color theme="1"/>
        <rFont val="Calibri"/>
        <family val="2"/>
        <charset val="238"/>
        <scheme val="minor"/>
      </rPr>
      <t>ud&amp;du</t>
    </r>
    <r>
      <rPr>
        <sz val="11"/>
        <color theme="1"/>
        <rFont val="Calibri"/>
        <family val="2"/>
        <charset val="238"/>
        <scheme val="minor"/>
      </rPr>
      <t>(1)</t>
    </r>
  </si>
  <si>
    <r>
      <t>f</t>
    </r>
    <r>
      <rPr>
        <vertAlign val="subscript"/>
        <sz val="11"/>
        <color theme="1"/>
        <rFont val="Calibri"/>
        <family val="2"/>
        <charset val="238"/>
        <scheme val="minor"/>
      </rPr>
      <t>dd</t>
    </r>
    <r>
      <rPr>
        <sz val="11"/>
        <color theme="1"/>
        <rFont val="Calibri"/>
        <family val="2"/>
        <charset val="238"/>
        <scheme val="minor"/>
      </rPr>
      <t>(1)</t>
    </r>
  </si>
  <si>
    <t>625-400</t>
  </si>
  <si>
    <t>400-400</t>
  </si>
  <si>
    <t>256-400</t>
  </si>
  <si>
    <r>
      <t>f(t = 0,5 and if  S</t>
    </r>
    <r>
      <rPr>
        <vertAlign val="subscript"/>
        <sz val="11"/>
        <color rgb="FF7030A0"/>
        <rFont val="Calibri"/>
        <family val="2"/>
        <charset val="238"/>
        <scheme val="minor"/>
      </rPr>
      <t>u</t>
    </r>
    <r>
      <rPr>
        <sz val="11"/>
        <color rgb="FF7030A0"/>
        <rFont val="Calibri"/>
        <family val="2"/>
        <charset val="238"/>
        <scheme val="minor"/>
      </rPr>
      <t>(0,5) = 500)  =  E</t>
    </r>
    <r>
      <rPr>
        <vertAlign val="superscript"/>
        <sz val="11"/>
        <color rgb="FF7030A0"/>
        <rFont val="Calibri"/>
        <family val="2"/>
        <charset val="238"/>
        <scheme val="minor"/>
      </rPr>
      <t>q</t>
    </r>
    <r>
      <rPr>
        <sz val="11"/>
        <color rgb="FF7030A0"/>
        <rFont val="Calibri"/>
        <family val="2"/>
        <charset val="238"/>
        <scheme val="minor"/>
      </rPr>
      <t>(225,0)*DF</t>
    </r>
    <r>
      <rPr>
        <vertAlign val="subscript"/>
        <sz val="11"/>
        <color rgb="FF7030A0"/>
        <rFont val="Calibri"/>
        <family val="2"/>
        <charset val="238"/>
        <scheme val="minor"/>
      </rPr>
      <t>0,5</t>
    </r>
    <r>
      <rPr>
        <sz val="11"/>
        <color rgb="FF7030A0"/>
        <rFont val="Calibri"/>
        <family val="2"/>
        <charset val="238"/>
        <scheme val="minor"/>
      </rPr>
      <t xml:space="preserve"> = (0,56*225 + (1-0,56)*0) *0,9512 = 119,51</t>
    </r>
  </si>
  <si>
    <r>
      <t>p(t = 0,5 and if  S</t>
    </r>
    <r>
      <rPr>
        <vertAlign val="subscript"/>
        <sz val="11"/>
        <color rgb="FF7030A0"/>
        <rFont val="Calibri"/>
        <family val="2"/>
        <charset val="238"/>
        <scheme val="minor"/>
      </rPr>
      <t>d</t>
    </r>
    <r>
      <rPr>
        <sz val="11"/>
        <color rgb="FF7030A0"/>
        <rFont val="Calibri"/>
        <family val="2"/>
        <charset val="238"/>
        <scheme val="minor"/>
      </rPr>
      <t>(0,5) = 320)  =  E</t>
    </r>
    <r>
      <rPr>
        <vertAlign val="superscript"/>
        <sz val="11"/>
        <color rgb="FF7030A0"/>
        <rFont val="Calibri"/>
        <family val="2"/>
        <charset val="238"/>
        <scheme val="minor"/>
      </rPr>
      <t>q</t>
    </r>
    <r>
      <rPr>
        <sz val="11"/>
        <color rgb="FF7030A0"/>
        <rFont val="Calibri"/>
        <family val="2"/>
        <charset val="238"/>
        <scheme val="minor"/>
      </rPr>
      <t>(0,144)*DF</t>
    </r>
    <r>
      <rPr>
        <vertAlign val="subscript"/>
        <sz val="11"/>
        <color rgb="FF7030A0"/>
        <rFont val="Calibri"/>
        <family val="2"/>
        <charset val="238"/>
        <scheme val="minor"/>
      </rPr>
      <t>0,5</t>
    </r>
    <r>
      <rPr>
        <sz val="11"/>
        <color rgb="FF7030A0"/>
        <rFont val="Calibri"/>
        <family val="2"/>
        <charset val="238"/>
        <scheme val="minor"/>
      </rPr>
      <t xml:space="preserve"> = (0,56*0 + (1-0,56)*144) *0,9512 = 60,49</t>
    </r>
  </si>
  <si>
    <r>
      <t>f(t = 0,5 and if  S</t>
    </r>
    <r>
      <rPr>
        <vertAlign val="subscript"/>
        <sz val="11"/>
        <color rgb="FF7030A0"/>
        <rFont val="Calibri"/>
        <family val="2"/>
        <charset val="238"/>
        <scheme val="minor"/>
      </rPr>
      <t>d</t>
    </r>
    <r>
      <rPr>
        <sz val="11"/>
        <color rgb="FF7030A0"/>
        <rFont val="Calibri"/>
        <family val="2"/>
        <charset val="238"/>
        <scheme val="minor"/>
      </rPr>
      <t>(0,5) = 320)  =  E</t>
    </r>
    <r>
      <rPr>
        <vertAlign val="superscript"/>
        <sz val="11"/>
        <color rgb="FF7030A0"/>
        <rFont val="Calibri"/>
        <family val="2"/>
        <charset val="238"/>
        <scheme val="minor"/>
      </rPr>
      <t>q</t>
    </r>
    <r>
      <rPr>
        <sz val="11"/>
        <color rgb="FF7030A0"/>
        <rFont val="Calibri"/>
        <family val="2"/>
        <charset val="238"/>
        <scheme val="minor"/>
      </rPr>
      <t>(0,-144)*DF</t>
    </r>
    <r>
      <rPr>
        <vertAlign val="subscript"/>
        <sz val="11"/>
        <color rgb="FF7030A0"/>
        <rFont val="Calibri"/>
        <family val="2"/>
        <charset val="238"/>
        <scheme val="minor"/>
      </rPr>
      <t>0,5</t>
    </r>
    <r>
      <rPr>
        <sz val="11"/>
        <color rgb="FF7030A0"/>
        <rFont val="Calibri"/>
        <family val="2"/>
        <charset val="238"/>
        <scheme val="minor"/>
      </rPr>
      <t xml:space="preserve"> = (0,56*0 + (1-0,56)*(-144)) *0,9512 = -60,49</t>
    </r>
  </si>
  <si>
    <r>
      <t>c(t = 0 and if  S(0) = 500)  =  E</t>
    </r>
    <r>
      <rPr>
        <vertAlign val="superscript"/>
        <sz val="11"/>
        <color rgb="FF7030A0"/>
        <rFont val="Calibri"/>
        <family val="2"/>
        <charset val="238"/>
        <scheme val="minor"/>
      </rPr>
      <t>q</t>
    </r>
    <r>
      <rPr>
        <sz val="11"/>
        <color rgb="FF7030A0"/>
        <rFont val="Calibri"/>
        <family val="2"/>
        <charset val="238"/>
        <scheme val="minor"/>
      </rPr>
      <t>(119,51, -60,49)*DF</t>
    </r>
    <r>
      <rPr>
        <vertAlign val="subscript"/>
        <sz val="11"/>
        <color rgb="FF7030A0"/>
        <rFont val="Calibri"/>
        <family val="2"/>
        <charset val="238"/>
        <scheme val="minor"/>
      </rPr>
      <t>0,5</t>
    </r>
    <r>
      <rPr>
        <sz val="11"/>
        <color rgb="FF7030A0"/>
        <rFont val="Calibri"/>
        <family val="2"/>
        <charset val="238"/>
        <scheme val="minor"/>
      </rPr>
      <t xml:space="preserve"> = (0,56*119,51 + (1-0,56)*(-60,49)) *0,9512 = 38,07</t>
    </r>
  </si>
  <si>
    <r>
      <t xml:space="preserve"> -p</t>
    </r>
    <r>
      <rPr>
        <vertAlign val="subscript"/>
        <sz val="11"/>
        <color theme="1"/>
        <rFont val="Calibri"/>
        <family val="2"/>
        <charset val="238"/>
        <scheme val="minor"/>
      </rPr>
      <t>uu</t>
    </r>
    <r>
      <rPr>
        <sz val="11"/>
        <color theme="1"/>
        <rFont val="Calibri"/>
        <family val="2"/>
        <charset val="238"/>
        <scheme val="minor"/>
      </rPr>
      <t>(1)</t>
    </r>
  </si>
  <si>
    <t>Long forward = Long call + Short put</t>
  </si>
  <si>
    <r>
      <rPr>
        <vertAlign val="subscript"/>
        <sz val="11"/>
        <color theme="1"/>
        <rFont val="Calibri"/>
        <family val="2"/>
        <charset val="238"/>
        <scheme val="minor"/>
      </rPr>
      <t xml:space="preserve"> </t>
    </r>
    <r>
      <rPr>
        <sz val="11"/>
        <color theme="1"/>
        <rFont val="Calibri"/>
        <family val="2"/>
        <charset val="238"/>
        <scheme val="minor"/>
      </rPr>
      <t>-p</t>
    </r>
    <r>
      <rPr>
        <vertAlign val="subscript"/>
        <sz val="11"/>
        <color theme="1"/>
        <rFont val="Calibri"/>
        <family val="2"/>
        <charset val="238"/>
        <scheme val="minor"/>
      </rPr>
      <t>ud&amp;du</t>
    </r>
    <r>
      <rPr>
        <sz val="11"/>
        <color theme="1"/>
        <rFont val="Calibri"/>
        <family val="2"/>
        <charset val="238"/>
        <scheme val="minor"/>
      </rPr>
      <t>(1)</t>
    </r>
  </si>
  <si>
    <r>
      <t>f*</t>
    </r>
    <r>
      <rPr>
        <vertAlign val="subscript"/>
        <sz val="11"/>
        <color theme="1"/>
        <rFont val="Calibri"/>
        <family val="2"/>
        <charset val="238"/>
        <scheme val="minor"/>
      </rPr>
      <t>uu</t>
    </r>
    <r>
      <rPr>
        <sz val="11"/>
        <color theme="1"/>
        <rFont val="Calibri"/>
        <family val="2"/>
        <charset val="238"/>
        <scheme val="minor"/>
      </rPr>
      <t>(1)</t>
    </r>
  </si>
  <si>
    <t>f* replicated long forward</t>
  </si>
  <si>
    <r>
      <t>f*</t>
    </r>
    <r>
      <rPr>
        <vertAlign val="subscript"/>
        <sz val="11"/>
        <color theme="1"/>
        <rFont val="Calibri"/>
        <family val="2"/>
        <charset val="238"/>
        <scheme val="minor"/>
      </rPr>
      <t>ud&amp;du</t>
    </r>
    <r>
      <rPr>
        <sz val="11"/>
        <color theme="1"/>
        <rFont val="Calibri"/>
        <family val="2"/>
        <charset val="238"/>
        <scheme val="minor"/>
      </rPr>
      <t>(1)</t>
    </r>
  </si>
  <si>
    <t>f*(0)</t>
  </si>
  <si>
    <r>
      <t>f*</t>
    </r>
    <r>
      <rPr>
        <vertAlign val="subscript"/>
        <sz val="11"/>
        <color theme="1"/>
        <rFont val="Calibri"/>
        <family val="2"/>
        <charset val="238"/>
        <scheme val="minor"/>
      </rPr>
      <t>u</t>
    </r>
    <r>
      <rPr>
        <sz val="11"/>
        <color theme="1"/>
        <rFont val="Calibri"/>
        <family val="2"/>
        <charset val="238"/>
        <scheme val="minor"/>
      </rPr>
      <t>(0,5)</t>
    </r>
  </si>
  <si>
    <r>
      <rPr>
        <vertAlign val="subscript"/>
        <sz val="11"/>
        <color theme="1"/>
        <rFont val="Calibri"/>
        <family val="2"/>
        <charset val="238"/>
        <scheme val="minor"/>
      </rPr>
      <t xml:space="preserve"> </t>
    </r>
    <r>
      <rPr>
        <sz val="11"/>
        <color theme="1"/>
        <rFont val="Calibri"/>
        <family val="2"/>
        <charset val="238"/>
        <scheme val="minor"/>
      </rPr>
      <t>-p</t>
    </r>
    <r>
      <rPr>
        <vertAlign val="subscript"/>
        <sz val="11"/>
        <color theme="1"/>
        <rFont val="Calibri"/>
        <family val="2"/>
        <charset val="238"/>
        <scheme val="minor"/>
      </rPr>
      <t>u</t>
    </r>
    <r>
      <rPr>
        <sz val="11"/>
        <color theme="1"/>
        <rFont val="Calibri"/>
        <family val="2"/>
        <charset val="238"/>
        <scheme val="minor"/>
      </rPr>
      <t>(0,5)</t>
    </r>
  </si>
  <si>
    <r>
      <t>f*</t>
    </r>
    <r>
      <rPr>
        <vertAlign val="subscript"/>
        <sz val="11"/>
        <color theme="1"/>
        <rFont val="Calibri"/>
        <family val="2"/>
        <charset val="238"/>
        <scheme val="minor"/>
      </rPr>
      <t>d</t>
    </r>
    <r>
      <rPr>
        <sz val="11"/>
        <color theme="1"/>
        <rFont val="Calibri"/>
        <family val="2"/>
        <charset val="238"/>
        <scheme val="minor"/>
      </rPr>
      <t>(0,5)</t>
    </r>
  </si>
  <si>
    <r>
      <t xml:space="preserve"> -p</t>
    </r>
    <r>
      <rPr>
        <vertAlign val="subscript"/>
        <sz val="11"/>
        <color theme="1"/>
        <rFont val="Calibri"/>
        <family val="2"/>
        <charset val="238"/>
        <scheme val="minor"/>
      </rPr>
      <t>d</t>
    </r>
    <r>
      <rPr>
        <sz val="11"/>
        <color theme="1"/>
        <rFont val="Calibri"/>
        <family val="2"/>
        <charset val="238"/>
        <scheme val="minor"/>
      </rPr>
      <t>(0,5)</t>
    </r>
  </si>
  <si>
    <r>
      <t xml:space="preserve"> -p</t>
    </r>
    <r>
      <rPr>
        <vertAlign val="subscript"/>
        <sz val="11"/>
        <color theme="1"/>
        <rFont val="Calibri"/>
        <family val="2"/>
        <charset val="238"/>
        <scheme val="minor"/>
      </rPr>
      <t>dd</t>
    </r>
    <r>
      <rPr>
        <sz val="11"/>
        <color theme="1"/>
        <rFont val="Calibri"/>
        <family val="2"/>
        <charset val="238"/>
        <scheme val="minor"/>
      </rPr>
      <t>(1)</t>
    </r>
  </si>
  <si>
    <r>
      <t>f*</t>
    </r>
    <r>
      <rPr>
        <vertAlign val="subscript"/>
        <sz val="11"/>
        <color theme="1"/>
        <rFont val="Calibri"/>
        <family val="2"/>
        <charset val="238"/>
        <scheme val="minor"/>
      </rPr>
      <t>dd</t>
    </r>
    <r>
      <rPr>
        <sz val="11"/>
        <color theme="1"/>
        <rFont val="Calibri"/>
        <family val="2"/>
        <charset val="238"/>
        <scheme val="minor"/>
      </rPr>
      <t>(1)</t>
    </r>
  </si>
  <si>
    <t>underlying</t>
  </si>
  <si>
    <t>Stock price</t>
  </si>
  <si>
    <r>
      <t>S(t = 0,5 and if  S</t>
    </r>
    <r>
      <rPr>
        <vertAlign val="subscript"/>
        <sz val="11"/>
        <color rgb="FF7030A0"/>
        <rFont val="Calibri"/>
        <family val="2"/>
        <charset val="238"/>
        <scheme val="minor"/>
      </rPr>
      <t>u</t>
    </r>
    <r>
      <rPr>
        <sz val="11"/>
        <color rgb="FF7030A0"/>
        <rFont val="Calibri"/>
        <family val="2"/>
        <charset val="238"/>
        <scheme val="minor"/>
      </rPr>
      <t>(0,5) = 500)  =  E</t>
    </r>
    <r>
      <rPr>
        <vertAlign val="superscript"/>
        <sz val="11"/>
        <color rgb="FF7030A0"/>
        <rFont val="Calibri"/>
        <family val="2"/>
        <charset val="238"/>
        <scheme val="minor"/>
      </rPr>
      <t>q</t>
    </r>
    <r>
      <rPr>
        <sz val="11"/>
        <color rgb="FF7030A0"/>
        <rFont val="Calibri"/>
        <family val="2"/>
        <charset val="238"/>
        <scheme val="minor"/>
      </rPr>
      <t>(625,400)*DF</t>
    </r>
    <r>
      <rPr>
        <vertAlign val="subscript"/>
        <sz val="11"/>
        <color rgb="FF7030A0"/>
        <rFont val="Calibri"/>
        <family val="2"/>
        <charset val="238"/>
        <scheme val="minor"/>
      </rPr>
      <t>0,5</t>
    </r>
    <r>
      <rPr>
        <sz val="11"/>
        <color rgb="FF7030A0"/>
        <rFont val="Calibri"/>
        <family val="2"/>
        <charset val="238"/>
        <scheme val="minor"/>
      </rPr>
      <t xml:space="preserve"> = (0,56*625 + (1-0,56)*400) *0,9512 = 500</t>
    </r>
  </si>
  <si>
    <r>
      <t>S(t = 0,5 and if  S</t>
    </r>
    <r>
      <rPr>
        <vertAlign val="subscript"/>
        <sz val="11"/>
        <color rgb="FF7030A0"/>
        <rFont val="Calibri"/>
        <family val="2"/>
        <charset val="238"/>
        <scheme val="minor"/>
      </rPr>
      <t>d</t>
    </r>
    <r>
      <rPr>
        <sz val="11"/>
        <color rgb="FF7030A0"/>
        <rFont val="Calibri"/>
        <family val="2"/>
        <charset val="238"/>
        <scheme val="minor"/>
      </rPr>
      <t>(0,5) = 320)  =  E</t>
    </r>
    <r>
      <rPr>
        <vertAlign val="superscript"/>
        <sz val="11"/>
        <color rgb="FF7030A0"/>
        <rFont val="Calibri"/>
        <family val="2"/>
        <charset val="238"/>
        <scheme val="minor"/>
      </rPr>
      <t>q</t>
    </r>
    <r>
      <rPr>
        <sz val="11"/>
        <color rgb="FF7030A0"/>
        <rFont val="Calibri"/>
        <family val="2"/>
        <charset val="238"/>
        <scheme val="minor"/>
      </rPr>
      <t>(400,256)*DF</t>
    </r>
    <r>
      <rPr>
        <vertAlign val="subscript"/>
        <sz val="11"/>
        <color rgb="FF7030A0"/>
        <rFont val="Calibri"/>
        <family val="2"/>
        <charset val="238"/>
        <scheme val="minor"/>
      </rPr>
      <t>0,5</t>
    </r>
    <r>
      <rPr>
        <sz val="11"/>
        <color rgb="FF7030A0"/>
        <rFont val="Calibri"/>
        <family val="2"/>
        <charset val="238"/>
        <scheme val="minor"/>
      </rPr>
      <t xml:space="preserve"> = (0,56*400 + (1-0,56)*256) *0,9512 = 320</t>
    </r>
  </si>
  <si>
    <r>
      <t>S(t = 0 and if  S(0) = 500)  =  E</t>
    </r>
    <r>
      <rPr>
        <vertAlign val="superscript"/>
        <sz val="11"/>
        <color rgb="FF7030A0"/>
        <rFont val="Calibri"/>
        <family val="2"/>
        <charset val="238"/>
        <scheme val="minor"/>
      </rPr>
      <t>q</t>
    </r>
    <r>
      <rPr>
        <sz val="11"/>
        <color rgb="FF7030A0"/>
        <rFont val="Calibri"/>
        <family val="2"/>
        <charset val="238"/>
        <scheme val="minor"/>
      </rPr>
      <t>(500, 320)*DF</t>
    </r>
    <r>
      <rPr>
        <vertAlign val="subscript"/>
        <sz val="11"/>
        <color rgb="FF7030A0"/>
        <rFont val="Calibri"/>
        <family val="2"/>
        <charset val="238"/>
        <scheme val="minor"/>
      </rPr>
      <t>0,5</t>
    </r>
    <r>
      <rPr>
        <sz val="11"/>
        <color rgb="FF7030A0"/>
        <rFont val="Calibri"/>
        <family val="2"/>
        <charset val="238"/>
        <scheme val="minor"/>
      </rPr>
      <t xml:space="preserve"> = (0,56*500 + (1-0,56)*320) *0,9512 = 400</t>
    </r>
  </si>
  <si>
    <r>
      <t>c</t>
    </r>
    <r>
      <rPr>
        <vertAlign val="subscript"/>
        <sz val="11"/>
        <rFont val="Calibri"/>
        <family val="2"/>
        <charset val="238"/>
        <scheme val="minor"/>
      </rPr>
      <t>u</t>
    </r>
    <r>
      <rPr>
        <sz val="11"/>
        <rFont val="Calibri"/>
        <family val="2"/>
        <charset val="238"/>
        <scheme val="minor"/>
      </rPr>
      <t>(0,5) - c</t>
    </r>
    <r>
      <rPr>
        <vertAlign val="subscript"/>
        <sz val="11"/>
        <rFont val="Calibri"/>
        <family val="2"/>
        <charset val="238"/>
        <scheme val="minor"/>
      </rPr>
      <t>d</t>
    </r>
    <r>
      <rPr>
        <sz val="11"/>
        <rFont val="Calibri"/>
        <family val="2"/>
        <charset val="238"/>
        <scheme val="minor"/>
      </rPr>
      <t>(0,5)</t>
    </r>
  </si>
  <si>
    <r>
      <t>S</t>
    </r>
    <r>
      <rPr>
        <vertAlign val="subscript"/>
        <sz val="11"/>
        <rFont val="Calibri"/>
        <family val="2"/>
        <charset val="238"/>
        <scheme val="minor"/>
      </rPr>
      <t>u</t>
    </r>
    <r>
      <rPr>
        <sz val="11"/>
        <rFont val="Calibri"/>
        <family val="2"/>
        <charset val="238"/>
        <scheme val="minor"/>
      </rPr>
      <t>(0,5) - S</t>
    </r>
    <r>
      <rPr>
        <vertAlign val="subscript"/>
        <sz val="11"/>
        <rFont val="Calibri"/>
        <family val="2"/>
        <charset val="238"/>
        <scheme val="minor"/>
      </rPr>
      <t>d</t>
    </r>
    <r>
      <rPr>
        <sz val="11"/>
        <rFont val="Calibri"/>
        <family val="2"/>
        <charset val="238"/>
        <scheme val="minor"/>
      </rPr>
      <t>(0,5)</t>
    </r>
  </si>
  <si>
    <t>We have to calculate the delta of a call option at time t = 0</t>
  </si>
  <si>
    <t>position</t>
  </si>
  <si>
    <t>short</t>
  </si>
  <si>
    <t>Δ(0)</t>
  </si>
  <si>
    <t>Long call delta</t>
  </si>
  <si>
    <t>contract number</t>
  </si>
  <si>
    <t>contract size</t>
  </si>
  <si>
    <t>portfolio delta</t>
  </si>
  <si>
    <t>Hedging strategy</t>
  </si>
  <si>
    <t>Delta tree</t>
  </si>
  <si>
    <r>
      <rPr>
        <sz val="11"/>
        <color theme="1"/>
        <rFont val="Calibri"/>
        <family val="2"/>
        <charset val="238"/>
      </rPr>
      <t>Δ</t>
    </r>
    <r>
      <rPr>
        <sz val="11"/>
        <color theme="1"/>
        <rFont val="Calibri"/>
        <family val="2"/>
        <charset val="238"/>
        <scheme val="minor"/>
      </rPr>
      <t>(0)</t>
    </r>
  </si>
  <si>
    <r>
      <t>Δ</t>
    </r>
    <r>
      <rPr>
        <vertAlign val="subscript"/>
        <sz val="11"/>
        <color theme="1"/>
        <rFont val="Calibri"/>
        <family val="2"/>
        <charset val="238"/>
        <scheme val="minor"/>
      </rPr>
      <t>u</t>
    </r>
    <r>
      <rPr>
        <sz val="11"/>
        <color theme="1"/>
        <rFont val="Calibri"/>
        <family val="2"/>
        <charset val="238"/>
        <scheme val="minor"/>
      </rPr>
      <t>(0,5)</t>
    </r>
  </si>
  <si>
    <r>
      <t>Δ</t>
    </r>
    <r>
      <rPr>
        <vertAlign val="subscript"/>
        <sz val="11"/>
        <color theme="1"/>
        <rFont val="Calibri"/>
        <family val="2"/>
        <charset val="238"/>
        <scheme val="minor"/>
      </rPr>
      <t>uu</t>
    </r>
    <r>
      <rPr>
        <sz val="11"/>
        <color theme="1"/>
        <rFont val="Calibri"/>
        <family val="2"/>
        <charset val="238"/>
        <scheme val="minor"/>
      </rPr>
      <t>(1)</t>
    </r>
  </si>
  <si>
    <r>
      <t>Δ</t>
    </r>
    <r>
      <rPr>
        <vertAlign val="subscript"/>
        <sz val="11"/>
        <color theme="1"/>
        <rFont val="Calibri"/>
        <family val="2"/>
        <charset val="238"/>
        <scheme val="minor"/>
      </rPr>
      <t>ud&amp;du</t>
    </r>
    <r>
      <rPr>
        <sz val="11"/>
        <color theme="1"/>
        <rFont val="Calibri"/>
        <family val="2"/>
        <charset val="238"/>
        <scheme val="minor"/>
      </rPr>
      <t>(1)</t>
    </r>
  </si>
  <si>
    <r>
      <t>Δ</t>
    </r>
    <r>
      <rPr>
        <vertAlign val="subscript"/>
        <sz val="11"/>
        <color theme="1"/>
        <rFont val="Calibri"/>
        <family val="2"/>
        <charset val="238"/>
        <scheme val="minor"/>
      </rPr>
      <t>d</t>
    </r>
    <r>
      <rPr>
        <sz val="11"/>
        <color theme="1"/>
        <rFont val="Calibri"/>
        <family val="2"/>
        <charset val="238"/>
        <scheme val="minor"/>
      </rPr>
      <t>(0,5)</t>
    </r>
  </si>
  <si>
    <r>
      <t>Δ</t>
    </r>
    <r>
      <rPr>
        <vertAlign val="subscript"/>
        <sz val="11"/>
        <color theme="1"/>
        <rFont val="Calibri"/>
        <family val="2"/>
        <charset val="238"/>
        <scheme val="minor"/>
      </rPr>
      <t>dd</t>
    </r>
    <r>
      <rPr>
        <sz val="11"/>
        <color theme="1"/>
        <rFont val="Calibri"/>
        <family val="2"/>
        <charset val="238"/>
        <scheme val="minor"/>
      </rPr>
      <t>(1)</t>
    </r>
  </si>
  <si>
    <t>if the option will be exercised at t=1 the delta is 1</t>
  </si>
  <si>
    <t>if the option expire without exercised at t=1 the delta is 0</t>
  </si>
  <si>
    <t>Portfolio delta</t>
  </si>
  <si>
    <t>Hedging with underlying assets</t>
  </si>
  <si>
    <t>if the underlying asset price increase</t>
  </si>
  <si>
    <t>if the underlying asset price decrease</t>
  </si>
  <si>
    <t>Hedging strategy at t = 0,5</t>
  </si>
  <si>
    <t>i) Suppose a trader sells 1,000 1-year ATM European put options (10 contracts). What position in the stock is necessary to hedge the trader’s position at the time of the trade?</t>
  </si>
  <si>
    <r>
      <t>p</t>
    </r>
    <r>
      <rPr>
        <vertAlign val="subscript"/>
        <sz val="11"/>
        <rFont val="Calibri"/>
        <family val="2"/>
        <charset val="238"/>
        <scheme val="minor"/>
      </rPr>
      <t>u</t>
    </r>
    <r>
      <rPr>
        <sz val="11"/>
        <rFont val="Calibri"/>
        <family val="2"/>
        <charset val="238"/>
        <scheme val="minor"/>
      </rPr>
      <t>(0,5) - p</t>
    </r>
    <r>
      <rPr>
        <vertAlign val="subscript"/>
        <sz val="11"/>
        <rFont val="Calibri"/>
        <family val="2"/>
        <charset val="238"/>
        <scheme val="minor"/>
      </rPr>
      <t>d</t>
    </r>
    <r>
      <rPr>
        <sz val="11"/>
        <rFont val="Calibri"/>
        <family val="2"/>
        <charset val="238"/>
        <scheme val="minor"/>
      </rPr>
      <t>(0,5)</t>
    </r>
  </si>
  <si>
    <t>Longput delta</t>
  </si>
  <si>
    <r>
      <rPr>
        <b/>
        <sz val="11"/>
        <color rgb="FFFF0000"/>
        <rFont val="Calibri"/>
        <family val="2"/>
        <charset val="238"/>
      </rPr>
      <t>1000*Δ</t>
    </r>
    <r>
      <rPr>
        <b/>
        <sz val="11"/>
        <color rgb="FFFF0000"/>
        <rFont val="Calibri"/>
        <family val="2"/>
        <charset val="238"/>
        <scheme val="minor"/>
      </rPr>
      <t xml:space="preserve">  postion in the underlying asset</t>
    </r>
  </si>
  <si>
    <t>j) How many shares of the stock are needed to sell or buy if you hedge the European puts for the second 6-month period? For the second time period, consider both the case where the stock price moves up during the first period and the case where it moves down during the first period.</t>
  </si>
  <si>
    <t>if the option will be exercised at t=1 the delta is -1</t>
  </si>
  <si>
    <t>Holding period return for a call option</t>
  </si>
  <si>
    <t>a) Calculate the one-year Arrow-Debreu prices.</t>
  </si>
  <si>
    <t>+</t>
  </si>
  <si>
    <r>
      <t>ΔS</t>
    </r>
    <r>
      <rPr>
        <vertAlign val="subscript"/>
        <sz val="11"/>
        <rFont val="Calibri"/>
        <family val="2"/>
        <charset val="238"/>
      </rPr>
      <t>u</t>
    </r>
  </si>
  <si>
    <r>
      <t>β/DF</t>
    </r>
    <r>
      <rPr>
        <vertAlign val="subscript"/>
        <sz val="11"/>
        <rFont val="Calibri"/>
        <family val="2"/>
        <charset val="238"/>
      </rPr>
      <t>Δt</t>
    </r>
  </si>
  <si>
    <r>
      <t>c</t>
    </r>
    <r>
      <rPr>
        <vertAlign val="subscript"/>
        <sz val="11"/>
        <rFont val="Calibri"/>
        <family val="2"/>
        <charset val="238"/>
        <scheme val="minor"/>
      </rPr>
      <t>u</t>
    </r>
  </si>
  <si>
    <r>
      <t>ΔS</t>
    </r>
    <r>
      <rPr>
        <vertAlign val="subscript"/>
        <sz val="11"/>
        <rFont val="Calibri"/>
        <family val="2"/>
        <charset val="238"/>
      </rPr>
      <t>d</t>
    </r>
  </si>
  <si>
    <r>
      <t>c</t>
    </r>
    <r>
      <rPr>
        <vertAlign val="subscript"/>
        <sz val="11"/>
        <rFont val="Calibri"/>
        <family val="2"/>
        <charset val="238"/>
        <scheme val="minor"/>
      </rPr>
      <t>d</t>
    </r>
  </si>
  <si>
    <t>n</t>
  </si>
  <si>
    <t>k</t>
  </si>
  <si>
    <r>
      <t>T/</t>
    </r>
    <r>
      <rPr>
        <sz val="11"/>
        <color theme="1"/>
        <rFont val="Calibri"/>
        <family val="2"/>
        <charset val="238"/>
      </rPr>
      <t>Δt</t>
    </r>
  </si>
  <si>
    <t>state probability</t>
  </si>
  <si>
    <t>t = T</t>
  </si>
  <si>
    <t>AD assets for three states</t>
  </si>
  <si>
    <t>Arrow-Debreu prices</t>
  </si>
  <si>
    <t>g</t>
  </si>
  <si>
    <r>
      <t>g</t>
    </r>
    <r>
      <rPr>
        <vertAlign val="subscript"/>
        <sz val="11"/>
        <color theme="1"/>
        <rFont val="Calibri"/>
        <family val="2"/>
        <charset val="238"/>
        <scheme val="minor"/>
      </rPr>
      <t>k</t>
    </r>
    <r>
      <rPr>
        <sz val="11"/>
        <color theme="1"/>
        <rFont val="Calibri"/>
        <family val="2"/>
        <charset val="238"/>
        <scheme val="minor"/>
      </rPr>
      <t>*q</t>
    </r>
    <r>
      <rPr>
        <vertAlign val="subscript"/>
        <sz val="11"/>
        <color theme="1"/>
        <rFont val="Calibri"/>
        <family val="2"/>
        <charset val="238"/>
        <scheme val="minor"/>
      </rPr>
      <t>k</t>
    </r>
    <r>
      <rPr>
        <sz val="11"/>
        <color theme="1"/>
        <rFont val="Calibri"/>
        <family val="2"/>
        <charset val="238"/>
        <scheme val="minor"/>
      </rPr>
      <t>*DF</t>
    </r>
    <r>
      <rPr>
        <vertAlign val="subscript"/>
        <sz val="11"/>
        <color theme="1"/>
        <rFont val="Calibri"/>
        <family val="2"/>
        <charset val="238"/>
        <scheme val="minor"/>
      </rPr>
      <t>T-t</t>
    </r>
  </si>
  <si>
    <r>
      <t>g</t>
    </r>
    <r>
      <rPr>
        <vertAlign val="subscript"/>
        <sz val="11"/>
        <color theme="1"/>
        <rFont val="Calibri"/>
        <family val="2"/>
        <charset val="238"/>
        <scheme val="minor"/>
      </rPr>
      <t>k</t>
    </r>
    <r>
      <rPr>
        <sz val="11"/>
        <color theme="1"/>
        <rFont val="Calibri"/>
        <family val="2"/>
        <charset val="238"/>
        <scheme val="minor"/>
      </rPr>
      <t xml:space="preserve"> payoff function of the asset</t>
    </r>
  </si>
  <si>
    <r>
      <t>q</t>
    </r>
    <r>
      <rPr>
        <vertAlign val="subscript"/>
        <sz val="11"/>
        <color rgb="FFFF0000"/>
        <rFont val="Calibri"/>
        <family val="2"/>
        <charset val="238"/>
        <scheme val="minor"/>
      </rPr>
      <t>k</t>
    </r>
    <r>
      <rPr>
        <sz val="11"/>
        <color rgb="FFFF0000"/>
        <rFont val="Calibri"/>
        <family val="2"/>
        <charset val="238"/>
        <scheme val="minor"/>
      </rPr>
      <t>*DF</t>
    </r>
    <r>
      <rPr>
        <vertAlign val="subscript"/>
        <sz val="11"/>
        <color rgb="FFFF0000"/>
        <rFont val="Calibri"/>
        <family val="2"/>
        <charset val="238"/>
        <scheme val="minor"/>
      </rPr>
      <t>T-t</t>
    </r>
  </si>
  <si>
    <r>
      <t>q</t>
    </r>
    <r>
      <rPr>
        <vertAlign val="subscript"/>
        <sz val="11"/>
        <color rgb="FFFF0000"/>
        <rFont val="Calibri"/>
        <family val="2"/>
        <charset val="238"/>
        <scheme val="minor"/>
      </rPr>
      <t>k</t>
    </r>
  </si>
  <si>
    <r>
      <t>q</t>
    </r>
    <r>
      <rPr>
        <vertAlign val="superscript"/>
        <sz val="11"/>
        <color rgb="FFFF0000"/>
        <rFont val="Calibri"/>
        <family val="2"/>
        <charset val="238"/>
        <scheme val="minor"/>
      </rPr>
      <t>k</t>
    </r>
  </si>
  <si>
    <r>
      <t xml:space="preserve"> (1-q)</t>
    </r>
    <r>
      <rPr>
        <vertAlign val="superscript"/>
        <sz val="11"/>
        <color rgb="FFFF0000"/>
        <rFont val="Calibri"/>
        <family val="2"/>
        <charset val="238"/>
        <scheme val="minor"/>
      </rPr>
      <t>(n-k)</t>
    </r>
  </si>
  <si>
    <t>Valuation with AD prices</t>
  </si>
  <si>
    <t>?</t>
  </si>
  <si>
    <t>AD assets for two states (maturity is T)</t>
  </si>
  <si>
    <r>
      <t>AD</t>
    </r>
    <r>
      <rPr>
        <vertAlign val="superscript"/>
        <sz val="11"/>
        <color theme="1"/>
        <rFont val="Calibri"/>
        <family val="2"/>
        <charset val="238"/>
        <scheme val="minor"/>
      </rPr>
      <t>1</t>
    </r>
    <r>
      <rPr>
        <vertAlign val="subscript"/>
        <sz val="11"/>
        <color theme="1"/>
        <rFont val="Calibri"/>
        <family val="2"/>
        <charset val="238"/>
        <scheme val="minor"/>
      </rPr>
      <t>T</t>
    </r>
  </si>
  <si>
    <r>
      <t>AD</t>
    </r>
    <r>
      <rPr>
        <vertAlign val="superscript"/>
        <sz val="11"/>
        <color theme="1"/>
        <rFont val="Calibri"/>
        <family val="2"/>
        <charset val="238"/>
        <scheme val="minor"/>
      </rPr>
      <t>2</t>
    </r>
    <r>
      <rPr>
        <vertAlign val="subscript"/>
        <sz val="11"/>
        <color theme="1"/>
        <rFont val="Calibri"/>
        <family val="2"/>
        <charset val="238"/>
        <scheme val="minor"/>
      </rPr>
      <t>T</t>
    </r>
  </si>
  <si>
    <r>
      <t>AD</t>
    </r>
    <r>
      <rPr>
        <vertAlign val="superscript"/>
        <sz val="11"/>
        <color theme="1"/>
        <rFont val="Calibri"/>
        <family val="2"/>
        <charset val="238"/>
        <scheme val="minor"/>
      </rPr>
      <t>3</t>
    </r>
    <r>
      <rPr>
        <vertAlign val="subscript"/>
        <sz val="11"/>
        <color theme="1"/>
        <rFont val="Calibri"/>
        <family val="2"/>
        <charset val="238"/>
        <scheme val="minor"/>
      </rPr>
      <t>T</t>
    </r>
  </si>
  <si>
    <r>
      <t>PAD</t>
    </r>
    <r>
      <rPr>
        <vertAlign val="superscript"/>
        <sz val="11"/>
        <color rgb="FFFF0000"/>
        <rFont val="Calibri"/>
        <family val="2"/>
        <charset val="238"/>
        <scheme val="minor"/>
      </rPr>
      <t>k</t>
    </r>
    <r>
      <rPr>
        <vertAlign val="subscript"/>
        <sz val="11"/>
        <color rgb="FFFF0000"/>
        <rFont val="Calibri"/>
        <family val="2"/>
        <charset val="238"/>
        <scheme val="minor"/>
      </rPr>
      <t>T-t</t>
    </r>
  </si>
  <si>
    <r>
      <t>AD</t>
    </r>
    <r>
      <rPr>
        <vertAlign val="superscript"/>
        <sz val="11"/>
        <color theme="1"/>
        <rFont val="Calibri"/>
        <family val="2"/>
        <charset val="238"/>
        <scheme val="minor"/>
      </rPr>
      <t>1</t>
    </r>
    <r>
      <rPr>
        <vertAlign val="subscript"/>
        <sz val="11"/>
        <color theme="1"/>
        <rFont val="Calibri"/>
        <family val="2"/>
        <charset val="238"/>
        <scheme val="minor"/>
      </rPr>
      <t>1</t>
    </r>
  </si>
  <si>
    <r>
      <t>AD</t>
    </r>
    <r>
      <rPr>
        <vertAlign val="superscript"/>
        <sz val="11"/>
        <color theme="1"/>
        <rFont val="Calibri"/>
        <family val="2"/>
        <charset val="238"/>
        <scheme val="minor"/>
      </rPr>
      <t>2</t>
    </r>
    <r>
      <rPr>
        <vertAlign val="subscript"/>
        <sz val="11"/>
        <color theme="1"/>
        <rFont val="Calibri"/>
        <family val="2"/>
        <charset val="238"/>
        <scheme val="minor"/>
      </rPr>
      <t>1</t>
    </r>
  </si>
  <si>
    <r>
      <t>The sum of the AD</t>
    </r>
    <r>
      <rPr>
        <vertAlign val="superscript"/>
        <sz val="11"/>
        <color rgb="FF7030A0"/>
        <rFont val="Calibri"/>
        <family val="2"/>
        <charset val="238"/>
        <scheme val="minor"/>
      </rPr>
      <t>k</t>
    </r>
    <r>
      <rPr>
        <vertAlign val="subscript"/>
        <sz val="11"/>
        <color rgb="FF7030A0"/>
        <rFont val="Calibri"/>
        <family val="2"/>
        <charset val="238"/>
        <scheme val="minor"/>
      </rPr>
      <t>1</t>
    </r>
    <r>
      <rPr>
        <sz val="11"/>
        <color rgb="FF7030A0"/>
        <rFont val="Calibri"/>
        <family val="2"/>
        <charset val="238"/>
        <scheme val="minor"/>
      </rPr>
      <t xml:space="preserve"> prices is equal with the DF</t>
    </r>
    <r>
      <rPr>
        <vertAlign val="subscript"/>
        <sz val="11"/>
        <color rgb="FF7030A0"/>
        <rFont val="Calibri"/>
        <family val="2"/>
        <charset val="238"/>
        <scheme val="minor"/>
      </rPr>
      <t>1</t>
    </r>
  </si>
  <si>
    <t>one-year Arrow-Debreu prices</t>
  </si>
  <si>
    <r>
      <t>PAD</t>
    </r>
    <r>
      <rPr>
        <b/>
        <vertAlign val="superscript"/>
        <sz val="11"/>
        <color rgb="FFFF0000"/>
        <rFont val="Calibri"/>
        <family val="2"/>
        <charset val="238"/>
        <scheme val="minor"/>
      </rPr>
      <t>1</t>
    </r>
    <r>
      <rPr>
        <b/>
        <vertAlign val="subscript"/>
        <sz val="11"/>
        <color rgb="FFFF0000"/>
        <rFont val="Calibri"/>
        <family val="2"/>
        <charset val="238"/>
        <scheme val="minor"/>
      </rPr>
      <t>1</t>
    </r>
  </si>
  <si>
    <r>
      <t>PAD</t>
    </r>
    <r>
      <rPr>
        <b/>
        <vertAlign val="superscript"/>
        <sz val="11"/>
        <color rgb="FFFF0000"/>
        <rFont val="Calibri"/>
        <family val="2"/>
        <charset val="238"/>
        <scheme val="minor"/>
      </rPr>
      <t>2</t>
    </r>
    <r>
      <rPr>
        <b/>
        <vertAlign val="subscript"/>
        <sz val="11"/>
        <color rgb="FFFF0000"/>
        <rFont val="Calibri"/>
        <family val="2"/>
        <charset val="238"/>
        <scheme val="minor"/>
      </rPr>
      <t>1</t>
    </r>
  </si>
  <si>
    <t>b) Calculate the two-year Arrow-Debreu prices.</t>
  </si>
  <si>
    <t>We have two Arrow-Debreu assets</t>
  </si>
  <si>
    <t>We have three Arrow-Debreu assets</t>
  </si>
  <si>
    <t>t = 2</t>
  </si>
  <si>
    <r>
      <t>AD</t>
    </r>
    <r>
      <rPr>
        <vertAlign val="superscript"/>
        <sz val="11"/>
        <color theme="1"/>
        <rFont val="Calibri"/>
        <family val="2"/>
        <charset val="238"/>
        <scheme val="minor"/>
      </rPr>
      <t>1</t>
    </r>
    <r>
      <rPr>
        <vertAlign val="subscript"/>
        <sz val="11"/>
        <color theme="1"/>
        <rFont val="Calibri"/>
        <family val="2"/>
        <charset val="238"/>
        <scheme val="minor"/>
      </rPr>
      <t>2</t>
    </r>
  </si>
  <si>
    <r>
      <t>AD</t>
    </r>
    <r>
      <rPr>
        <vertAlign val="superscript"/>
        <sz val="11"/>
        <color theme="1"/>
        <rFont val="Calibri"/>
        <family val="2"/>
        <charset val="238"/>
        <scheme val="minor"/>
      </rPr>
      <t>2</t>
    </r>
    <r>
      <rPr>
        <vertAlign val="subscript"/>
        <sz val="11"/>
        <color theme="1"/>
        <rFont val="Calibri"/>
        <family val="2"/>
        <charset val="238"/>
        <scheme val="minor"/>
      </rPr>
      <t>2</t>
    </r>
  </si>
  <si>
    <r>
      <t>AD</t>
    </r>
    <r>
      <rPr>
        <vertAlign val="superscript"/>
        <sz val="11"/>
        <color theme="1"/>
        <rFont val="Calibri"/>
        <family val="2"/>
        <charset val="238"/>
        <scheme val="minor"/>
      </rPr>
      <t>3</t>
    </r>
    <r>
      <rPr>
        <vertAlign val="subscript"/>
        <sz val="11"/>
        <color theme="1"/>
        <rFont val="Calibri"/>
        <family val="2"/>
        <charset val="238"/>
        <scheme val="minor"/>
      </rPr>
      <t>2</t>
    </r>
  </si>
  <si>
    <r>
      <t>DF</t>
    </r>
    <r>
      <rPr>
        <vertAlign val="subscript"/>
        <sz val="11"/>
        <color theme="1"/>
        <rFont val="Calibri"/>
        <family val="2"/>
        <charset val="238"/>
        <scheme val="minor"/>
      </rPr>
      <t>2</t>
    </r>
  </si>
  <si>
    <t>T</t>
  </si>
  <si>
    <t>two-year Arrow-Debreu prices</t>
  </si>
  <si>
    <r>
      <t>PAD</t>
    </r>
    <r>
      <rPr>
        <b/>
        <vertAlign val="superscript"/>
        <sz val="11"/>
        <color rgb="FFFF0000"/>
        <rFont val="Calibri"/>
        <family val="2"/>
        <charset val="238"/>
        <scheme val="minor"/>
      </rPr>
      <t>1</t>
    </r>
    <r>
      <rPr>
        <b/>
        <vertAlign val="subscript"/>
        <sz val="11"/>
        <color rgb="FFFF0000"/>
        <rFont val="Calibri"/>
        <family val="2"/>
        <charset val="238"/>
        <scheme val="minor"/>
      </rPr>
      <t>2</t>
    </r>
  </si>
  <si>
    <r>
      <t>PAD</t>
    </r>
    <r>
      <rPr>
        <b/>
        <vertAlign val="superscript"/>
        <sz val="11"/>
        <color rgb="FFFF0000"/>
        <rFont val="Calibri"/>
        <family val="2"/>
        <charset val="238"/>
        <scheme val="minor"/>
      </rPr>
      <t>2</t>
    </r>
    <r>
      <rPr>
        <b/>
        <vertAlign val="subscript"/>
        <sz val="11"/>
        <color rgb="FFFF0000"/>
        <rFont val="Calibri"/>
        <family val="2"/>
        <charset val="238"/>
        <scheme val="minor"/>
      </rPr>
      <t>2</t>
    </r>
  </si>
  <si>
    <r>
      <t>PAD</t>
    </r>
    <r>
      <rPr>
        <b/>
        <vertAlign val="superscript"/>
        <sz val="11"/>
        <color rgb="FFFF0000"/>
        <rFont val="Calibri"/>
        <family val="2"/>
        <charset val="238"/>
        <scheme val="minor"/>
      </rPr>
      <t>3</t>
    </r>
    <r>
      <rPr>
        <b/>
        <vertAlign val="subscript"/>
        <sz val="11"/>
        <color rgb="FFFF0000"/>
        <rFont val="Calibri"/>
        <family val="2"/>
        <charset val="238"/>
        <scheme val="minor"/>
      </rPr>
      <t>2</t>
    </r>
  </si>
  <si>
    <r>
      <t>The sum of the AD</t>
    </r>
    <r>
      <rPr>
        <vertAlign val="superscript"/>
        <sz val="11"/>
        <color rgb="FF7030A0"/>
        <rFont val="Calibri"/>
        <family val="2"/>
        <charset val="238"/>
        <scheme val="minor"/>
      </rPr>
      <t>k</t>
    </r>
    <r>
      <rPr>
        <vertAlign val="subscript"/>
        <sz val="11"/>
        <color rgb="FF7030A0"/>
        <rFont val="Calibri"/>
        <family val="2"/>
        <charset val="238"/>
        <scheme val="minor"/>
      </rPr>
      <t>2</t>
    </r>
    <r>
      <rPr>
        <sz val="11"/>
        <color rgb="FF7030A0"/>
        <rFont val="Calibri"/>
        <family val="2"/>
        <charset val="238"/>
        <scheme val="minor"/>
      </rPr>
      <t xml:space="preserve"> prices is equal with the DF</t>
    </r>
    <r>
      <rPr>
        <vertAlign val="subscript"/>
        <sz val="11"/>
        <color rgb="FF7030A0"/>
        <rFont val="Calibri"/>
        <family val="2"/>
        <charset val="238"/>
        <scheme val="minor"/>
      </rPr>
      <t>2</t>
    </r>
  </si>
  <si>
    <t>c) What is the value of a 2-year ATM European straddle? Use risk-neutral valuation.</t>
  </si>
  <si>
    <t>straddle</t>
  </si>
  <si>
    <r>
      <t>S</t>
    </r>
    <r>
      <rPr>
        <vertAlign val="subscript"/>
        <sz val="11"/>
        <color theme="1"/>
        <rFont val="Calibri"/>
        <family val="2"/>
        <charset val="238"/>
        <scheme val="minor"/>
      </rPr>
      <t>uu</t>
    </r>
    <r>
      <rPr>
        <sz val="11"/>
        <color theme="1"/>
        <rFont val="Calibri"/>
        <family val="2"/>
        <charset val="238"/>
        <scheme val="minor"/>
      </rPr>
      <t>(2)</t>
    </r>
  </si>
  <si>
    <r>
      <t>S</t>
    </r>
    <r>
      <rPr>
        <vertAlign val="subscript"/>
        <sz val="11"/>
        <color theme="1"/>
        <rFont val="Calibri"/>
        <family val="2"/>
        <charset val="238"/>
        <scheme val="minor"/>
      </rPr>
      <t>ud&amp;du</t>
    </r>
    <r>
      <rPr>
        <sz val="11"/>
        <color theme="1"/>
        <rFont val="Calibri"/>
        <family val="2"/>
        <charset val="238"/>
        <scheme val="minor"/>
      </rPr>
      <t>(2)</t>
    </r>
  </si>
  <si>
    <r>
      <t>S</t>
    </r>
    <r>
      <rPr>
        <vertAlign val="subscript"/>
        <sz val="11"/>
        <color theme="1"/>
        <rFont val="Calibri"/>
        <family val="2"/>
        <charset val="238"/>
        <scheme val="minor"/>
      </rPr>
      <t>dd</t>
    </r>
    <r>
      <rPr>
        <sz val="11"/>
        <color theme="1"/>
        <rFont val="Calibri"/>
        <family val="2"/>
        <charset val="238"/>
        <scheme val="minor"/>
      </rPr>
      <t>(2)</t>
    </r>
  </si>
  <si>
    <r>
      <t>c</t>
    </r>
    <r>
      <rPr>
        <vertAlign val="subscript"/>
        <sz val="11"/>
        <color theme="1"/>
        <rFont val="Calibri"/>
        <family val="2"/>
        <charset val="238"/>
        <scheme val="minor"/>
      </rPr>
      <t>uu</t>
    </r>
    <r>
      <rPr>
        <sz val="11"/>
        <color theme="1"/>
        <rFont val="Calibri"/>
        <family val="2"/>
        <charset val="238"/>
        <scheme val="minor"/>
      </rPr>
      <t>(2)</t>
    </r>
  </si>
  <si>
    <r>
      <t>c</t>
    </r>
    <r>
      <rPr>
        <vertAlign val="subscript"/>
        <sz val="11"/>
        <color theme="1"/>
        <rFont val="Calibri"/>
        <family val="2"/>
        <charset val="238"/>
        <scheme val="minor"/>
      </rPr>
      <t>ud&amp;du</t>
    </r>
    <r>
      <rPr>
        <sz val="11"/>
        <color theme="1"/>
        <rFont val="Calibri"/>
        <family val="2"/>
        <charset val="238"/>
        <scheme val="minor"/>
      </rPr>
      <t>(2)</t>
    </r>
  </si>
  <si>
    <r>
      <t>c</t>
    </r>
    <r>
      <rPr>
        <vertAlign val="subscript"/>
        <sz val="11"/>
        <color theme="1"/>
        <rFont val="Calibri"/>
        <family val="2"/>
        <charset val="238"/>
        <scheme val="minor"/>
      </rPr>
      <t>dd</t>
    </r>
    <r>
      <rPr>
        <sz val="11"/>
        <color theme="1"/>
        <rFont val="Calibri"/>
        <family val="2"/>
        <charset val="238"/>
        <scheme val="minor"/>
      </rPr>
      <t>(2)</t>
    </r>
  </si>
  <si>
    <r>
      <t>p</t>
    </r>
    <r>
      <rPr>
        <vertAlign val="subscript"/>
        <sz val="11"/>
        <color theme="1"/>
        <rFont val="Calibri"/>
        <family val="2"/>
        <charset val="238"/>
        <scheme val="minor"/>
      </rPr>
      <t>u</t>
    </r>
    <r>
      <rPr>
        <sz val="11"/>
        <color theme="1"/>
        <rFont val="Calibri"/>
        <family val="2"/>
        <charset val="238"/>
        <scheme val="minor"/>
      </rPr>
      <t>(1)</t>
    </r>
  </si>
  <si>
    <r>
      <t>p</t>
    </r>
    <r>
      <rPr>
        <vertAlign val="subscript"/>
        <sz val="11"/>
        <color theme="1"/>
        <rFont val="Calibri"/>
        <family val="2"/>
        <charset val="238"/>
        <scheme val="minor"/>
      </rPr>
      <t>d</t>
    </r>
    <r>
      <rPr>
        <sz val="11"/>
        <color theme="1"/>
        <rFont val="Calibri"/>
        <family val="2"/>
        <charset val="238"/>
        <scheme val="minor"/>
      </rPr>
      <t>(1)</t>
    </r>
  </si>
  <si>
    <r>
      <t>p</t>
    </r>
    <r>
      <rPr>
        <vertAlign val="subscript"/>
        <sz val="11"/>
        <color theme="1"/>
        <rFont val="Calibri"/>
        <family val="2"/>
        <charset val="238"/>
        <scheme val="minor"/>
      </rPr>
      <t>uu</t>
    </r>
    <r>
      <rPr>
        <sz val="11"/>
        <color theme="1"/>
        <rFont val="Calibri"/>
        <family val="2"/>
        <charset val="238"/>
        <scheme val="minor"/>
      </rPr>
      <t>(2)</t>
    </r>
  </si>
  <si>
    <r>
      <t>p</t>
    </r>
    <r>
      <rPr>
        <vertAlign val="subscript"/>
        <sz val="11"/>
        <color theme="1"/>
        <rFont val="Calibri"/>
        <family val="2"/>
        <charset val="238"/>
        <scheme val="minor"/>
      </rPr>
      <t>ud&amp;du</t>
    </r>
    <r>
      <rPr>
        <sz val="11"/>
        <color theme="1"/>
        <rFont val="Calibri"/>
        <family val="2"/>
        <charset val="238"/>
        <scheme val="minor"/>
      </rPr>
      <t>(2)</t>
    </r>
  </si>
  <si>
    <r>
      <t>p</t>
    </r>
    <r>
      <rPr>
        <vertAlign val="subscript"/>
        <sz val="11"/>
        <color theme="1"/>
        <rFont val="Calibri"/>
        <family val="2"/>
        <charset val="238"/>
        <scheme val="minor"/>
      </rPr>
      <t>dd</t>
    </r>
    <r>
      <rPr>
        <sz val="11"/>
        <color theme="1"/>
        <rFont val="Calibri"/>
        <family val="2"/>
        <charset val="238"/>
        <scheme val="minor"/>
      </rPr>
      <t>(2)</t>
    </r>
  </si>
  <si>
    <t>Straddle tree</t>
  </si>
  <si>
    <t>s(0)</t>
  </si>
  <si>
    <r>
      <t>s</t>
    </r>
    <r>
      <rPr>
        <vertAlign val="subscript"/>
        <sz val="11"/>
        <color theme="1"/>
        <rFont val="Calibri"/>
        <family val="2"/>
        <charset val="238"/>
        <scheme val="minor"/>
      </rPr>
      <t>u</t>
    </r>
    <r>
      <rPr>
        <sz val="11"/>
        <color theme="1"/>
        <rFont val="Calibri"/>
        <family val="2"/>
        <charset val="238"/>
        <scheme val="minor"/>
      </rPr>
      <t>(1)</t>
    </r>
  </si>
  <si>
    <r>
      <t>s</t>
    </r>
    <r>
      <rPr>
        <vertAlign val="subscript"/>
        <sz val="11"/>
        <color theme="1"/>
        <rFont val="Calibri"/>
        <family val="2"/>
        <charset val="238"/>
        <scheme val="minor"/>
      </rPr>
      <t>uu</t>
    </r>
    <r>
      <rPr>
        <sz val="11"/>
        <color theme="1"/>
        <rFont val="Calibri"/>
        <family val="2"/>
        <charset val="238"/>
        <scheme val="minor"/>
      </rPr>
      <t>(2)</t>
    </r>
  </si>
  <si>
    <r>
      <t>s</t>
    </r>
    <r>
      <rPr>
        <vertAlign val="subscript"/>
        <sz val="11"/>
        <color theme="1"/>
        <rFont val="Calibri"/>
        <family val="2"/>
        <charset val="238"/>
        <scheme val="minor"/>
      </rPr>
      <t>d</t>
    </r>
    <r>
      <rPr>
        <sz val="11"/>
        <color theme="1"/>
        <rFont val="Calibri"/>
        <family val="2"/>
        <charset val="238"/>
        <scheme val="minor"/>
      </rPr>
      <t>(1)</t>
    </r>
  </si>
  <si>
    <r>
      <t>s</t>
    </r>
    <r>
      <rPr>
        <vertAlign val="subscript"/>
        <sz val="11"/>
        <color theme="1"/>
        <rFont val="Calibri"/>
        <family val="2"/>
        <charset val="238"/>
        <scheme val="minor"/>
      </rPr>
      <t>ud&amp;du</t>
    </r>
    <r>
      <rPr>
        <sz val="11"/>
        <color theme="1"/>
        <rFont val="Calibri"/>
        <family val="2"/>
        <charset val="238"/>
        <scheme val="minor"/>
      </rPr>
      <t>(2)</t>
    </r>
  </si>
  <si>
    <r>
      <t>s</t>
    </r>
    <r>
      <rPr>
        <vertAlign val="subscript"/>
        <sz val="11"/>
        <color theme="1"/>
        <rFont val="Calibri"/>
        <family val="2"/>
        <charset val="238"/>
        <scheme val="minor"/>
      </rPr>
      <t>dd</t>
    </r>
    <r>
      <rPr>
        <sz val="11"/>
        <color theme="1"/>
        <rFont val="Calibri"/>
        <family val="2"/>
        <charset val="238"/>
        <scheme val="minor"/>
      </rPr>
      <t>(2)</t>
    </r>
  </si>
  <si>
    <t>Straddle price</t>
  </si>
  <si>
    <t xml:space="preserve">d) What is the value of a 2-year ATM European straddle? Use Arrow-Debreu prices based valuation.
</t>
  </si>
  <si>
    <r>
      <t>PAD</t>
    </r>
    <r>
      <rPr>
        <vertAlign val="superscript"/>
        <sz val="11"/>
        <color theme="1"/>
        <rFont val="Calibri"/>
        <family val="2"/>
        <charset val="238"/>
        <scheme val="minor"/>
      </rPr>
      <t>k</t>
    </r>
    <r>
      <rPr>
        <vertAlign val="subscript"/>
        <sz val="11"/>
        <color theme="1"/>
        <rFont val="Calibri"/>
        <family val="2"/>
        <charset val="238"/>
        <scheme val="minor"/>
      </rPr>
      <t>2</t>
    </r>
  </si>
  <si>
    <t>Call price</t>
  </si>
  <si>
    <t>Put price</t>
  </si>
  <si>
    <t>a) Calculate the delta of a 3-year call option on the stock with a strike price of $300 for every time period.</t>
  </si>
  <si>
    <t>t = 3</t>
  </si>
  <si>
    <r>
      <t>Δ</t>
    </r>
    <r>
      <rPr>
        <vertAlign val="subscript"/>
        <sz val="11"/>
        <color theme="1"/>
        <rFont val="Calibri"/>
        <family val="2"/>
        <charset val="238"/>
        <scheme val="minor"/>
      </rPr>
      <t>u</t>
    </r>
    <r>
      <rPr>
        <sz val="11"/>
        <color theme="1"/>
        <rFont val="Calibri"/>
        <family val="2"/>
        <charset val="238"/>
        <scheme val="minor"/>
      </rPr>
      <t>(1)</t>
    </r>
  </si>
  <si>
    <r>
      <t>Δ</t>
    </r>
    <r>
      <rPr>
        <vertAlign val="subscript"/>
        <sz val="11"/>
        <color theme="1"/>
        <rFont val="Calibri"/>
        <family val="2"/>
        <charset val="238"/>
        <scheme val="minor"/>
      </rPr>
      <t>d</t>
    </r>
    <r>
      <rPr>
        <sz val="11"/>
        <color theme="1"/>
        <rFont val="Calibri"/>
        <family val="2"/>
        <charset val="238"/>
        <scheme val="minor"/>
      </rPr>
      <t>(1)</t>
    </r>
  </si>
  <si>
    <r>
      <t>Δ</t>
    </r>
    <r>
      <rPr>
        <vertAlign val="subscript"/>
        <sz val="11"/>
        <color theme="1"/>
        <rFont val="Calibri"/>
        <family val="2"/>
        <charset val="238"/>
        <scheme val="minor"/>
      </rPr>
      <t>uu</t>
    </r>
    <r>
      <rPr>
        <sz val="11"/>
        <color theme="1"/>
        <rFont val="Calibri"/>
        <family val="2"/>
        <charset val="238"/>
        <scheme val="minor"/>
      </rPr>
      <t>(2)</t>
    </r>
  </si>
  <si>
    <r>
      <t>Δ</t>
    </r>
    <r>
      <rPr>
        <vertAlign val="subscript"/>
        <sz val="11"/>
        <color theme="1"/>
        <rFont val="Calibri"/>
        <family val="2"/>
        <charset val="238"/>
        <scheme val="minor"/>
      </rPr>
      <t>ud&amp;du</t>
    </r>
    <r>
      <rPr>
        <sz val="11"/>
        <color theme="1"/>
        <rFont val="Calibri"/>
        <family val="2"/>
        <charset val="238"/>
        <scheme val="minor"/>
      </rPr>
      <t>(2)</t>
    </r>
  </si>
  <si>
    <r>
      <t>Δ</t>
    </r>
    <r>
      <rPr>
        <vertAlign val="subscript"/>
        <sz val="11"/>
        <color theme="1"/>
        <rFont val="Calibri"/>
        <family val="2"/>
        <charset val="238"/>
        <scheme val="minor"/>
      </rPr>
      <t>dd</t>
    </r>
    <r>
      <rPr>
        <sz val="11"/>
        <color theme="1"/>
        <rFont val="Calibri"/>
        <family val="2"/>
        <charset val="238"/>
        <scheme val="minor"/>
      </rPr>
      <t>(2)</t>
    </r>
  </si>
  <si>
    <r>
      <t>Δ</t>
    </r>
    <r>
      <rPr>
        <vertAlign val="subscript"/>
        <sz val="11"/>
        <color theme="1"/>
        <rFont val="Calibri"/>
        <family val="2"/>
        <charset val="238"/>
        <scheme val="minor"/>
      </rPr>
      <t>uuu</t>
    </r>
    <r>
      <rPr>
        <sz val="11"/>
        <color theme="1"/>
        <rFont val="Calibri"/>
        <family val="2"/>
        <charset val="238"/>
        <scheme val="minor"/>
      </rPr>
      <t>(3)</t>
    </r>
  </si>
  <si>
    <r>
      <t>Δ</t>
    </r>
    <r>
      <rPr>
        <vertAlign val="subscript"/>
        <sz val="11"/>
        <color theme="1"/>
        <rFont val="Calibri"/>
        <family val="2"/>
        <charset val="238"/>
        <scheme val="minor"/>
      </rPr>
      <t>uud&amp;udu&amp;duu</t>
    </r>
    <r>
      <rPr>
        <sz val="11"/>
        <color theme="1"/>
        <rFont val="Calibri"/>
        <family val="2"/>
        <charset val="238"/>
        <scheme val="minor"/>
      </rPr>
      <t>(3)</t>
    </r>
  </si>
  <si>
    <r>
      <t>Δ</t>
    </r>
    <r>
      <rPr>
        <vertAlign val="subscript"/>
        <sz val="11"/>
        <color theme="1"/>
        <rFont val="Calibri"/>
        <family val="2"/>
        <charset val="238"/>
        <scheme val="minor"/>
      </rPr>
      <t>udd&amp;udd&amp;ddu</t>
    </r>
    <r>
      <rPr>
        <sz val="11"/>
        <color theme="1"/>
        <rFont val="Calibri"/>
        <family val="2"/>
        <charset val="238"/>
        <scheme val="minor"/>
      </rPr>
      <t>(3)</t>
    </r>
  </si>
  <si>
    <r>
      <t>Δ</t>
    </r>
    <r>
      <rPr>
        <vertAlign val="subscript"/>
        <sz val="11"/>
        <color theme="1"/>
        <rFont val="Calibri"/>
        <family val="2"/>
        <charset val="238"/>
        <scheme val="minor"/>
      </rPr>
      <t>ddd</t>
    </r>
    <r>
      <rPr>
        <sz val="11"/>
        <color theme="1"/>
        <rFont val="Calibri"/>
        <family val="2"/>
        <charset val="238"/>
        <scheme val="minor"/>
      </rPr>
      <t>(3)</t>
    </r>
  </si>
  <si>
    <t xml:space="preserve">b) Calculate the delta of a 3-year call option on the stock with a strike price of $500 for every time period. </t>
  </si>
  <si>
    <t>If the price increasing the delta increasing too.</t>
  </si>
  <si>
    <t>If the price decreasing the delta decreasing too.</t>
  </si>
  <si>
    <t>The option is an ITM option --&gt;  during the time the delta converges to 1!</t>
  </si>
  <si>
    <t>The option is an OTM option --&gt;  during the time the delta converges to 0!</t>
  </si>
  <si>
    <t>Delta tree for call</t>
  </si>
  <si>
    <t>Beta tree for call</t>
  </si>
  <si>
    <t xml:space="preserve">SC(1) + replicated LC(1) </t>
  </si>
  <si>
    <r>
      <t xml:space="preserve">SC(1) + </t>
    </r>
    <r>
      <rPr>
        <b/>
        <sz val="11"/>
        <color rgb="FFFF0000"/>
        <rFont val="Calibri"/>
        <family val="2"/>
        <charset val="238"/>
      </rPr>
      <t>ΔU + beta zero coupon bond</t>
    </r>
  </si>
  <si>
    <t xml:space="preserve">l) Calculate the 6-month holding period return of the ATM European call option for the first time period. Consider both the case where the stock price moves up during the first period and the case where it moves down during the first period. </t>
  </si>
  <si>
    <t xml:space="preserve">m) Calculate the 6-month holding period return of the ATM European put option for the first time period. Consider both the case where the stock price moves up during the first period and the case where it moves down during the first period. </t>
  </si>
  <si>
    <t>k) Calculate the value of a short call + the replicated long call portfolio for every time period.</t>
  </si>
  <si>
    <t>modell</t>
  </si>
  <si>
    <t>CRR</t>
  </si>
  <si>
    <t>a) Calculte the underlying asset volatility if the time period is one year and the stock is expected to go up by 300% or down by 75%.</t>
  </si>
  <si>
    <t>1/u</t>
  </si>
  <si>
    <t xml:space="preserve">d </t>
  </si>
  <si>
    <t>Crr modell</t>
  </si>
  <si>
    <t>σ</t>
  </si>
  <si>
    <t>b) Calculte the underlying asset volatility if the time period is one year and the stock is expected to go up by 100% or down by 50%.</t>
  </si>
  <si>
    <t>c) Calculte the underlying asset volatility if the time period is one year and the stock is expected to go up by 25% or down by 20%.</t>
  </si>
  <si>
    <r>
      <t>exp</t>
    </r>
    <r>
      <rPr>
        <vertAlign val="superscript"/>
        <sz val="11"/>
        <color rgb="FFFF0000"/>
        <rFont val="Calibri"/>
        <family val="2"/>
        <charset val="238"/>
        <scheme val="minor"/>
      </rPr>
      <t>(</t>
    </r>
    <r>
      <rPr>
        <vertAlign val="superscript"/>
        <sz val="11"/>
        <color rgb="FFFF0000"/>
        <rFont val="Calibri"/>
        <family val="2"/>
        <charset val="238"/>
      </rPr>
      <t>σ</t>
    </r>
    <r>
      <rPr>
        <vertAlign val="superscript"/>
        <sz val="11"/>
        <color rgb="FFFF0000"/>
        <rFont val="Calibri"/>
        <family val="2"/>
        <charset val="238"/>
        <scheme val="minor"/>
      </rPr>
      <t>*(Δt)^0,5)</t>
    </r>
  </si>
  <si>
    <t>a) What is the value of a 1-year ATM European call option if the time period is one year? Use CRR model.</t>
  </si>
  <si>
    <t>year</t>
  </si>
  <si>
    <t>b) What is the value of a 2-year ATM European call option if the time period is one year? Use CRR model.</t>
  </si>
  <si>
    <t>c) During the day the underlying asset implied volatility increased to 30%. What is the new value of a 1-year ATM European call option? What is the new value of a 2-year ATM European call option?</t>
  </si>
  <si>
    <t>The longer options are more sensitive!</t>
  </si>
  <si>
    <t>1-year call option price</t>
  </si>
  <si>
    <t>1- year call tree</t>
  </si>
  <si>
    <t>2- year call tree</t>
  </si>
  <si>
    <t>2-year call option price</t>
  </si>
  <si>
    <t xml:space="preserve">In a risk neutral world the underlying asset expected return is equal </t>
  </si>
  <si>
    <t>the market price is different from the call arbitrage-free price: it is an arbitrage opportunity</t>
  </si>
  <si>
    <r>
      <rPr>
        <b/>
        <sz val="11"/>
        <color rgb="FFFF0000"/>
        <rFont val="Calibri"/>
        <family val="2"/>
        <charset val="238"/>
      </rPr>
      <t xml:space="preserve">Δ </t>
    </r>
    <r>
      <rPr>
        <b/>
        <sz val="11"/>
        <color rgb="FFFF0000"/>
        <rFont val="Calibri"/>
        <family val="2"/>
        <charset val="238"/>
        <scheme val="minor"/>
      </rPr>
      <t xml:space="preserve">long postion in the underlying asset </t>
    </r>
    <r>
      <rPr>
        <b/>
        <sz val="11"/>
        <color rgb="FFFF0000"/>
        <rFont val="Calibri"/>
        <family val="2"/>
        <charset val="238"/>
      </rPr>
      <t>Δ LU</t>
    </r>
  </si>
  <si>
    <t>The arbitrage profit</t>
  </si>
  <si>
    <t>PVarb profit)</t>
  </si>
  <si>
    <t>Forward value</t>
  </si>
  <si>
    <t>e) Verify that the European call and European put prices satisfy put–call parity at t=0,5 and at t=1.</t>
  </si>
  <si>
    <t>f) Valuate the stock on the tree as a derivative. Verify that you get back the stock price tree.</t>
  </si>
  <si>
    <t>g) Suppose a trader sells 1000 1-year ATM European call options (10 contracts). What position in the stock is necessary to hedge the trader’s position at the time of the trade?</t>
  </si>
  <si>
    <r>
      <rPr>
        <b/>
        <sz val="11"/>
        <color rgb="FFFF0000"/>
        <rFont val="Calibri"/>
        <family val="2"/>
        <charset val="238"/>
      </rPr>
      <t>1000*Δ</t>
    </r>
    <r>
      <rPr>
        <b/>
        <sz val="11"/>
        <color rgb="FFFF0000"/>
        <rFont val="Calibri"/>
        <family val="2"/>
        <charset val="238"/>
        <scheme val="minor"/>
      </rPr>
      <t xml:space="preserve">  position in the underlying asset</t>
    </r>
  </si>
  <si>
    <t>should be rounded to the closest integer</t>
  </si>
  <si>
    <t>664 (long) position in the underlying asset: 664 stocks</t>
  </si>
  <si>
    <t xml:space="preserve">if the underlying asset price increase, we need to have </t>
  </si>
  <si>
    <t>shares for the hedge</t>
  </si>
  <si>
    <t>so we ned to buy more shares:</t>
  </si>
  <si>
    <t>if the underlying asset price decrease, we need to have</t>
  </si>
  <si>
    <t>so we need to sell shares:</t>
  </si>
  <si>
    <t>h) How many shares of the stock do you need to sell or buy if you hedge the European calls for the second 6-month period? For the second time period, consider both the case where the stock price moves up during the first period and the case where it moves down during the first period.</t>
  </si>
  <si>
    <t xml:space="preserve"> -336 (short) postion in the underlying asset: 336 SU</t>
  </si>
  <si>
    <t>buy</t>
  </si>
  <si>
    <t>sell more</t>
  </si>
  <si>
    <t>if the underlying asset price increases</t>
  </si>
  <si>
    <t>if the underlying asset price decreases</t>
  </si>
  <si>
    <t>Holding period return for a put option</t>
  </si>
  <si>
    <t>Call payout</t>
  </si>
  <si>
    <t>Put payout</t>
  </si>
  <si>
    <t>If the volatility is increasing the call option prices are increasing too!</t>
  </si>
  <si>
    <t>d) What is the expected return of the stock and the option in the real world if the real world probability is 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</si>
</sst>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00"/>
  </numFmts>
  <fonts count="26" x14ac:knownFonts="1">
    <font>
      <sz val="11"/>
      <color theme="1"/>
      <name val="Calibri"/>
      <family val="2"/>
      <charset val="238"/>
      <scheme val="minor"/>
    </font>
    <font>
      <sz val="11"/>
      <color theme="1"/>
      <name val="Calibri"/>
      <family val="2"/>
      <charset val="238"/>
      <scheme val="minor"/>
    </font>
    <font>
      <vertAlign val="subscript"/>
      <sz val="11"/>
      <color theme="1"/>
      <name val="Calibri"/>
      <family val="2"/>
      <charset val="238"/>
      <scheme val="minor"/>
    </font>
    <font>
      <sz val="11"/>
      <color theme="1"/>
      <name val="Calibri"/>
      <family val="2"/>
      <scheme val="minor"/>
    </font>
    <font>
      <b/>
      <sz val="11"/>
      <color rgb="FFFF0000"/>
      <name val="Calibri"/>
      <family val="2"/>
      <charset val="238"/>
      <scheme val="minor"/>
    </font>
    <font>
      <sz val="11"/>
      <color rgb="FF7030A0"/>
      <name val="Calibri"/>
      <family val="2"/>
      <charset val="238"/>
      <scheme val="minor"/>
    </font>
    <font>
      <sz val="11"/>
      <name val="Calibri"/>
      <family val="2"/>
      <charset val="238"/>
      <scheme val="minor"/>
    </font>
    <font>
      <sz val="11"/>
      <color rgb="FFFF0000"/>
      <name val="Calibri"/>
      <family val="2"/>
      <charset val="238"/>
      <scheme val="minor"/>
    </font>
    <font>
      <vertAlign val="superscript"/>
      <sz val="11"/>
      <color theme="1"/>
      <name val="Calibri"/>
      <family val="2"/>
      <charset val="238"/>
      <scheme val="minor"/>
    </font>
    <font>
      <i/>
      <sz val="11"/>
      <color theme="1"/>
      <name val="Calibri"/>
      <family val="2"/>
      <charset val="238"/>
      <scheme val="minor"/>
    </font>
    <font>
      <vertAlign val="subscript"/>
      <sz val="11"/>
      <color rgb="FFFF0000"/>
      <name val="Calibri"/>
      <family val="2"/>
      <charset val="238"/>
      <scheme val="minor"/>
    </font>
    <font>
      <sz val="11"/>
      <color theme="1"/>
      <name val="Calibri"/>
      <family val="2"/>
      <charset val="238"/>
    </font>
    <font>
      <sz val="11"/>
      <color rgb="FFFF0000"/>
      <name val="Calibri"/>
      <family val="2"/>
      <charset val="238"/>
    </font>
    <font>
      <vertAlign val="subscript"/>
      <sz val="11"/>
      <color rgb="FFFF0000"/>
      <name val="Calibri"/>
      <family val="2"/>
      <charset val="238"/>
    </font>
    <font>
      <b/>
      <sz val="11"/>
      <color rgb="FFFF0000"/>
      <name val="Calibri"/>
      <family val="2"/>
      <charset val="238"/>
    </font>
    <font>
      <vertAlign val="subscript"/>
      <sz val="11"/>
      <color rgb="FF7030A0"/>
      <name val="Calibri"/>
      <family val="2"/>
      <charset val="238"/>
      <scheme val="minor"/>
    </font>
    <font>
      <vertAlign val="superscript"/>
      <sz val="11"/>
      <color rgb="FF7030A0"/>
      <name val="Calibri"/>
      <family val="2"/>
      <charset val="238"/>
      <scheme val="minor"/>
    </font>
    <font>
      <sz val="11"/>
      <name val="Calibri"/>
      <family val="2"/>
      <charset val="238"/>
    </font>
    <font>
      <vertAlign val="subscript"/>
      <sz val="11"/>
      <name val="Calibri"/>
      <family val="2"/>
      <charset val="238"/>
      <scheme val="minor"/>
    </font>
    <font>
      <sz val="11"/>
      <color theme="7"/>
      <name val="Calibri"/>
      <family val="2"/>
      <charset val="238"/>
      <scheme val="minor"/>
    </font>
    <font>
      <vertAlign val="subscript"/>
      <sz val="11"/>
      <name val="Calibri"/>
      <family val="2"/>
      <charset val="238"/>
    </font>
    <font>
      <vertAlign val="superscript"/>
      <sz val="11"/>
      <color rgb="FFFF0000"/>
      <name val="Calibri"/>
      <family val="2"/>
      <charset val="238"/>
      <scheme val="minor"/>
    </font>
    <font>
      <b/>
      <vertAlign val="superscript"/>
      <sz val="11"/>
      <color rgb="FFFF0000"/>
      <name val="Calibri"/>
      <family val="2"/>
      <charset val="238"/>
      <scheme val="minor"/>
    </font>
    <font>
      <b/>
      <vertAlign val="subscript"/>
      <sz val="11"/>
      <color rgb="FFFF0000"/>
      <name val="Calibri"/>
      <family val="2"/>
      <charset val="238"/>
      <scheme val="minor"/>
    </font>
    <font>
      <b/>
      <sz val="11"/>
      <color rgb="FF00B050"/>
      <name val="Calibri"/>
      <family val="2"/>
      <charset val="238"/>
      <scheme val="minor"/>
    </font>
    <font>
      <vertAlign val="superscript"/>
      <sz val="11"/>
      <color rgb="FFFF0000"/>
      <name val="Calibri"/>
      <family val="2"/>
      <charset val="238"/>
    </font>
  </fonts>
  <fills count="5">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rgb="FF92D050"/>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4">
    <xf numFmtId="0" fontId="0" fillId="0" borderId="0"/>
    <xf numFmtId="9" fontId="1" fillId="0" borderId="0" applyFont="0" applyFill="0" applyBorder="0" applyAlignment="0" applyProtection="0"/>
    <xf numFmtId="0" fontId="3" fillId="0" borderId="0"/>
    <xf numFmtId="9" fontId="3" fillId="0" borderId="0" applyFont="0" applyFill="0" applyBorder="0" applyAlignment="0" applyProtection="0"/>
  </cellStyleXfs>
  <cellXfs count="82">
    <xf numFmtId="0" fontId="0" fillId="0" borderId="0" xfId="0"/>
    <xf numFmtId="2" fontId="0" fillId="0" borderId="0" xfId="0" applyNumberFormat="1"/>
    <xf numFmtId="2" fontId="4" fillId="3" borderId="0" xfId="0" applyNumberFormat="1" applyFont="1" applyFill="1" applyAlignment="1">
      <alignment horizontal="center"/>
    </xf>
    <xf numFmtId="0" fontId="0" fillId="2" borderId="0" xfId="0" applyFill="1"/>
    <xf numFmtId="1" fontId="0" fillId="0" borderId="0" xfId="0" applyNumberFormat="1" applyAlignment="1">
      <alignment horizontal="center"/>
    </xf>
    <xf numFmtId="2" fontId="4" fillId="3" borderId="0" xfId="1" applyNumberFormat="1" applyFont="1" applyFill="1" applyAlignment="1">
      <alignment horizontal="center"/>
    </xf>
    <xf numFmtId="9" fontId="0" fillId="2" borderId="0" xfId="0" applyNumberFormat="1" applyFill="1" applyAlignment="1">
      <alignment horizontal="center"/>
    </xf>
    <xf numFmtId="0" fontId="0" fillId="0" borderId="0" xfId="0" applyAlignment="1">
      <alignment horizontal="center"/>
    </xf>
    <xf numFmtId="0" fontId="0" fillId="2" borderId="0" xfId="0" applyFill="1" applyAlignment="1">
      <alignment horizontal="center"/>
    </xf>
    <xf numFmtId="0" fontId="4" fillId="0" borderId="0" xfId="0" applyFont="1"/>
    <xf numFmtId="2" fontId="0" fillId="0" borderId="0" xfId="0" applyNumberFormat="1" applyAlignment="1">
      <alignment horizontal="center"/>
    </xf>
    <xf numFmtId="0" fontId="4" fillId="0" borderId="0" xfId="0" applyFont="1" applyAlignment="1">
      <alignment horizontal="left"/>
    </xf>
    <xf numFmtId="0" fontId="0" fillId="4" borderId="0" xfId="0" applyFill="1"/>
    <xf numFmtId="0" fontId="7" fillId="4" borderId="0" xfId="0" applyFont="1" applyFill="1"/>
    <xf numFmtId="0" fontId="7" fillId="4" borderId="0" xfId="0" applyFont="1" applyFill="1" applyAlignment="1">
      <alignment horizontal="center"/>
    </xf>
    <xf numFmtId="0" fontId="0" fillId="2" borderId="0" xfId="0" applyFill="1" applyAlignment="1">
      <alignment horizontal="left"/>
    </xf>
    <xf numFmtId="0" fontId="6" fillId="4" borderId="0" xfId="0" applyFont="1" applyFill="1"/>
    <xf numFmtId="9" fontId="0" fillId="2" borderId="0" xfId="0" applyNumberFormat="1" applyFill="1"/>
    <xf numFmtId="0" fontId="11" fillId="0" borderId="0" xfId="0" applyFont="1" applyAlignment="1">
      <alignment horizontal="center"/>
    </xf>
    <xf numFmtId="0" fontId="7" fillId="4" borderId="1" xfId="0" applyFont="1" applyFill="1" applyBorder="1" applyAlignment="1">
      <alignment horizontal="center"/>
    </xf>
    <xf numFmtId="0" fontId="12" fillId="4" borderId="0" xfId="0" applyFont="1" applyFill="1" applyAlignment="1">
      <alignment horizontal="center"/>
    </xf>
    <xf numFmtId="0" fontId="7" fillId="4" borderId="0" xfId="0" applyFont="1" applyFill="1" applyAlignment="1">
      <alignment horizontal="left"/>
    </xf>
    <xf numFmtId="164" fontId="0" fillId="0" borderId="0" xfId="0" applyNumberFormat="1" applyAlignment="1">
      <alignment horizontal="center"/>
    </xf>
    <xf numFmtId="0" fontId="0" fillId="4" borderId="0" xfId="0" applyFill="1" applyAlignment="1">
      <alignment horizontal="center"/>
    </xf>
    <xf numFmtId="0" fontId="7" fillId="4" borderId="1" xfId="0" applyFont="1" applyFill="1" applyBorder="1"/>
    <xf numFmtId="164" fontId="4" fillId="3" borderId="0" xfId="1" applyNumberFormat="1" applyFont="1" applyFill="1" applyAlignment="1">
      <alignment horizontal="center"/>
    </xf>
    <xf numFmtId="165" fontId="4" fillId="3" borderId="0" xfId="1" applyNumberFormat="1" applyFont="1" applyFill="1" applyAlignment="1">
      <alignment horizontal="center"/>
    </xf>
    <xf numFmtId="10" fontId="4" fillId="3" borderId="0" xfId="1" applyNumberFormat="1" applyFont="1" applyFill="1"/>
    <xf numFmtId="0" fontId="0" fillId="3" borderId="0" xfId="0" applyFill="1"/>
    <xf numFmtId="2" fontId="4" fillId="0" borderId="0" xfId="3" applyNumberFormat="1" applyFont="1" applyFill="1" applyAlignment="1">
      <alignment horizontal="left"/>
    </xf>
    <xf numFmtId="2" fontId="4" fillId="3" borderId="0" xfId="3" applyNumberFormat="1" applyFont="1" applyFill="1" applyAlignment="1">
      <alignment horizontal="left"/>
    </xf>
    <xf numFmtId="0" fontId="0" fillId="0" borderId="2" xfId="0" applyBorder="1" applyAlignment="1">
      <alignment horizontal="center"/>
    </xf>
    <xf numFmtId="0" fontId="0" fillId="0" borderId="2" xfId="0" applyBorder="1"/>
    <xf numFmtId="0" fontId="0" fillId="0" borderId="1" xfId="0" applyBorder="1"/>
    <xf numFmtId="1" fontId="0" fillId="0" borderId="1" xfId="0" applyNumberFormat="1" applyBorder="1" applyAlignment="1">
      <alignment horizontal="center"/>
    </xf>
    <xf numFmtId="2" fontId="0" fillId="0" borderId="2" xfId="0" applyNumberFormat="1" applyBorder="1" applyAlignment="1">
      <alignment horizontal="center"/>
    </xf>
    <xf numFmtId="0" fontId="5" fillId="0" borderId="0" xfId="0" applyFont="1"/>
    <xf numFmtId="0" fontId="9" fillId="0" borderId="0" xfId="0" applyFont="1"/>
    <xf numFmtId="0" fontId="0" fillId="0" borderId="0" xfId="0" applyAlignment="1">
      <alignment horizontal="left"/>
    </xf>
    <xf numFmtId="164" fontId="0" fillId="0" borderId="0" xfId="0" applyNumberFormat="1"/>
    <xf numFmtId="9" fontId="0" fillId="0" borderId="0" xfId="1" applyFont="1"/>
    <xf numFmtId="0" fontId="4" fillId="3" borderId="0" xfId="0" applyFont="1" applyFill="1" applyAlignment="1">
      <alignment horizontal="center"/>
    </xf>
    <xf numFmtId="2" fontId="4" fillId="3" borderId="0" xfId="0" applyNumberFormat="1" applyFont="1" applyFill="1"/>
    <xf numFmtId="0" fontId="4" fillId="3" borderId="0" xfId="0" applyFont="1" applyFill="1"/>
    <xf numFmtId="0" fontId="7" fillId="0" borderId="0" xfId="0" applyFont="1" applyAlignment="1">
      <alignment horizontal="center"/>
    </xf>
    <xf numFmtId="0" fontId="6" fillId="0" borderId="0" xfId="0" applyFont="1" applyAlignment="1">
      <alignment horizontal="center"/>
    </xf>
    <xf numFmtId="0" fontId="19" fillId="0" borderId="0" xfId="0" applyFont="1"/>
    <xf numFmtId="9" fontId="4" fillId="3" borderId="0" xfId="1" applyFont="1" applyFill="1"/>
    <xf numFmtId="9" fontId="4" fillId="3" borderId="0" xfId="0" applyNumberFormat="1" applyFont="1" applyFill="1"/>
    <xf numFmtId="0" fontId="17" fillId="4" borderId="0" xfId="0" applyFont="1" applyFill="1" applyAlignment="1">
      <alignment horizontal="center"/>
    </xf>
    <xf numFmtId="0" fontId="6" fillId="4" borderId="0" xfId="0" applyFont="1" applyFill="1" applyAlignment="1">
      <alignment horizontal="center"/>
    </xf>
    <xf numFmtId="0" fontId="7" fillId="0" borderId="0" xfId="0" applyFont="1"/>
    <xf numFmtId="165" fontId="0" fillId="0" borderId="0" xfId="1" applyNumberFormat="1" applyFont="1" applyAlignment="1">
      <alignment horizontal="center"/>
    </xf>
    <xf numFmtId="164" fontId="4" fillId="3" borderId="0" xfId="0" applyNumberFormat="1" applyFont="1" applyFill="1" applyAlignment="1">
      <alignment horizontal="center"/>
    </xf>
    <xf numFmtId="0" fontId="4" fillId="3" borderId="1" xfId="0" applyFont="1" applyFill="1" applyBorder="1" applyAlignment="1">
      <alignment horizontal="center"/>
    </xf>
    <xf numFmtId="164" fontId="4" fillId="3" borderId="1" xfId="0" applyNumberFormat="1" applyFont="1" applyFill="1" applyBorder="1" applyAlignment="1">
      <alignment horizontal="center"/>
    </xf>
    <xf numFmtId="0" fontId="6" fillId="2" borderId="0" xfId="0" applyFont="1" applyFill="1" applyAlignment="1">
      <alignment horizontal="center"/>
    </xf>
    <xf numFmtId="165" fontId="0" fillId="0" borderId="0" xfId="0" applyNumberFormat="1"/>
    <xf numFmtId="164" fontId="4" fillId="3" borderId="0" xfId="0" applyNumberFormat="1" applyFont="1" applyFill="1"/>
    <xf numFmtId="164" fontId="4" fillId="3" borderId="1" xfId="0" applyNumberFormat="1" applyFont="1" applyFill="1" applyBorder="1"/>
    <xf numFmtId="165" fontId="0" fillId="0" borderId="0" xfId="1" applyNumberFormat="1" applyFont="1"/>
    <xf numFmtId="2" fontId="24" fillId="3" borderId="0" xfId="0" applyNumberFormat="1" applyFont="1" applyFill="1" applyAlignment="1">
      <alignment horizontal="center"/>
    </xf>
    <xf numFmtId="166" fontId="0" fillId="0" borderId="0" xfId="0" applyNumberFormat="1" applyAlignment="1">
      <alignment horizontal="center"/>
    </xf>
    <xf numFmtId="0" fontId="5" fillId="2" borderId="0" xfId="0" applyFont="1" applyFill="1"/>
    <xf numFmtId="9" fontId="0" fillId="0" borderId="0" xfId="0" applyNumberFormat="1" applyAlignment="1">
      <alignment horizontal="center"/>
    </xf>
    <xf numFmtId="9" fontId="0" fillId="0" borderId="0" xfId="1" applyFont="1" applyAlignment="1">
      <alignment horizontal="center"/>
    </xf>
    <xf numFmtId="165" fontId="0" fillId="0" borderId="0" xfId="0" applyNumberFormat="1" applyAlignment="1">
      <alignment horizontal="center"/>
    </xf>
    <xf numFmtId="165" fontId="0" fillId="2" borderId="0" xfId="0" applyNumberFormat="1" applyFill="1" applyAlignment="1">
      <alignment horizontal="center"/>
    </xf>
    <xf numFmtId="1" fontId="0" fillId="0" borderId="0" xfId="0" applyNumberFormat="1"/>
    <xf numFmtId="10" fontId="5" fillId="0" borderId="0" xfId="1" applyNumberFormat="1" applyFont="1" applyAlignment="1">
      <alignment horizontal="center"/>
    </xf>
    <xf numFmtId="10" fontId="0" fillId="0" borderId="0" xfId="1" applyNumberFormat="1" applyFont="1"/>
    <xf numFmtId="1" fontId="4" fillId="3" borderId="0" xfId="0" applyNumberFormat="1" applyFont="1" applyFill="1"/>
    <xf numFmtId="2" fontId="4" fillId="0" borderId="0" xfId="0" applyNumberFormat="1" applyFont="1" applyAlignment="1">
      <alignment horizontal="center"/>
    </xf>
    <xf numFmtId="0" fontId="7" fillId="4" borderId="0" xfId="0" applyFont="1" applyFill="1" applyAlignment="1">
      <alignment horizontal="center"/>
    </xf>
    <xf numFmtId="0" fontId="12" fillId="4" borderId="0" xfId="0" applyFont="1" applyFill="1" applyAlignment="1">
      <alignment horizontal="center" vertical="center"/>
    </xf>
    <xf numFmtId="0" fontId="7" fillId="4" borderId="0" xfId="0" applyFont="1" applyFill="1" applyAlignment="1">
      <alignment horizontal="center" vertical="center"/>
    </xf>
    <xf numFmtId="0" fontId="0" fillId="4" borderId="0" xfId="0" applyFill="1" applyAlignment="1">
      <alignment horizontal="center"/>
    </xf>
    <xf numFmtId="0" fontId="17" fillId="0" borderId="0" xfId="0" applyFont="1" applyAlignment="1">
      <alignment horizontal="center" vertical="center"/>
    </xf>
    <xf numFmtId="0" fontId="6" fillId="0" borderId="0" xfId="0" applyFont="1" applyAlignment="1">
      <alignment horizontal="center" vertical="center"/>
    </xf>
    <xf numFmtId="0" fontId="6" fillId="0" borderId="1" xfId="0" applyFont="1" applyBorder="1" applyAlignment="1">
      <alignment horizontal="center"/>
    </xf>
    <xf numFmtId="0" fontId="6" fillId="0" borderId="2" xfId="0" applyFont="1" applyBorder="1" applyAlignment="1">
      <alignment horizontal="center"/>
    </xf>
    <xf numFmtId="0" fontId="7" fillId="4" borderId="0" xfId="0" applyFont="1" applyFill="1" applyAlignment="1">
      <alignment vertical="center"/>
    </xf>
  </cellXfs>
  <cellStyles count="4">
    <cellStyle name="Normal" xfId="0" builtinId="0"/>
    <cellStyle name="Normál 2" xfId="2" xr:uid="{00000000-0005-0000-0000-000001000000}"/>
    <cellStyle name="Percent" xfId="1" builtinId="5"/>
    <cellStyle name="Százalék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238125</xdr:colOff>
      <xdr:row>24</xdr:row>
      <xdr:rowOff>114300</xdr:rowOff>
    </xdr:from>
    <xdr:to>
      <xdr:col>9</xdr:col>
      <xdr:colOff>552450</xdr:colOff>
      <xdr:row>26</xdr:row>
      <xdr:rowOff>133350</xdr:rowOff>
    </xdr:to>
    <xdr:pic>
      <xdr:nvPicPr>
        <xdr:cNvPr id="3074" name="Picture 2">
          <a:extLst>
            <a:ext uri="{FF2B5EF4-FFF2-40B4-BE49-F238E27FC236}">
              <a16:creationId xmlns:a16="http://schemas.microsoft.com/office/drawing/2014/main" id="{00000000-0008-0000-0300-0000020C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2066925" y="7191375"/>
          <a:ext cx="314325" cy="438150"/>
        </a:xfrm>
        <a:prstGeom prst="rect">
          <a:avLst/>
        </a:prstGeom>
        <a:noFill/>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K169"/>
  <sheetViews>
    <sheetView topLeftCell="A122" zoomScale="115" zoomScaleNormal="115" workbookViewId="0">
      <selection activeCell="F170" sqref="F170"/>
    </sheetView>
  </sheetViews>
  <sheetFormatPr defaultRowHeight="15" x14ac:dyDescent="0.25"/>
  <cols>
    <col min="2" max="2" width="9.85546875" customWidth="1"/>
  </cols>
  <sheetData>
    <row r="3" spans="1:11" x14ac:dyDescent="0.25">
      <c r="A3" s="7" t="s">
        <v>29</v>
      </c>
      <c r="B3" s="3">
        <v>400</v>
      </c>
      <c r="C3" t="s">
        <v>2</v>
      </c>
    </row>
    <row r="4" spans="1:11" ht="18" x14ac:dyDescent="0.35">
      <c r="A4" s="7" t="s">
        <v>30</v>
      </c>
      <c r="B4" s="3">
        <v>500</v>
      </c>
      <c r="C4" t="s">
        <v>2</v>
      </c>
    </row>
    <row r="5" spans="1:11" ht="18" x14ac:dyDescent="0.35">
      <c r="A5" s="7" t="s">
        <v>31</v>
      </c>
      <c r="B5" s="3">
        <v>320</v>
      </c>
      <c r="C5" t="s">
        <v>2</v>
      </c>
    </row>
    <row r="6" spans="1:11" ht="18" x14ac:dyDescent="0.35">
      <c r="A6" s="7" t="s">
        <v>32</v>
      </c>
      <c r="B6" s="17">
        <v>0.1</v>
      </c>
      <c r="C6" t="s">
        <v>108</v>
      </c>
    </row>
    <row r="8" spans="1:11" x14ac:dyDescent="0.25">
      <c r="A8" s="15" t="s">
        <v>37</v>
      </c>
      <c r="B8" s="3"/>
      <c r="C8" s="3"/>
      <c r="D8" s="3"/>
      <c r="E8" s="3"/>
      <c r="F8" s="3"/>
      <c r="G8" s="3"/>
      <c r="H8" s="3"/>
      <c r="I8" s="3"/>
      <c r="J8" s="3"/>
      <c r="K8" s="3"/>
    </row>
    <row r="10" spans="1:11" x14ac:dyDescent="0.25">
      <c r="A10" s="7" t="s">
        <v>151</v>
      </c>
      <c r="B10" s="8" t="s">
        <v>42</v>
      </c>
      <c r="C10" t="s">
        <v>41</v>
      </c>
    </row>
    <row r="11" spans="1:11" x14ac:dyDescent="0.25">
      <c r="A11" s="7" t="s">
        <v>1</v>
      </c>
      <c r="B11" s="8">
        <v>1</v>
      </c>
      <c r="C11" t="s">
        <v>43</v>
      </c>
    </row>
    <row r="12" spans="1:11" x14ac:dyDescent="0.25">
      <c r="A12" s="7" t="s">
        <v>4</v>
      </c>
      <c r="B12" s="8">
        <v>400</v>
      </c>
      <c r="C12" t="s">
        <v>2</v>
      </c>
    </row>
    <row r="13" spans="1:11" x14ac:dyDescent="0.25">
      <c r="A13" s="18" t="s">
        <v>66</v>
      </c>
      <c r="B13" s="8">
        <v>1</v>
      </c>
      <c r="C13" t="s">
        <v>43</v>
      </c>
    </row>
    <row r="15" spans="1:11" x14ac:dyDescent="0.25">
      <c r="B15" s="16" t="s">
        <v>34</v>
      </c>
      <c r="C15" s="13"/>
      <c r="D15" s="16" t="s">
        <v>38</v>
      </c>
      <c r="E15" s="16"/>
      <c r="F15" s="16"/>
      <c r="G15" s="16"/>
      <c r="H15" s="16"/>
      <c r="I15" s="16"/>
    </row>
    <row r="16" spans="1:11" x14ac:dyDescent="0.25">
      <c r="B16" s="13"/>
      <c r="C16" s="13"/>
      <c r="D16" s="16" t="s">
        <v>49</v>
      </c>
      <c r="E16" s="16"/>
      <c r="F16" s="16"/>
      <c r="G16" s="16"/>
      <c r="H16" s="16"/>
      <c r="I16" s="16"/>
    </row>
    <row r="17" spans="2:9" x14ac:dyDescent="0.25">
      <c r="B17" s="13" t="s">
        <v>48</v>
      </c>
      <c r="C17" s="13"/>
      <c r="D17" s="12" t="s">
        <v>50</v>
      </c>
      <c r="E17" s="16"/>
      <c r="F17" s="16"/>
      <c r="G17" s="16"/>
      <c r="H17" s="16"/>
      <c r="I17" s="16"/>
    </row>
    <row r="18" spans="2:9" x14ac:dyDescent="0.25">
      <c r="B18" s="13"/>
      <c r="C18" s="13"/>
      <c r="D18" s="16" t="s">
        <v>36</v>
      </c>
      <c r="E18" s="13"/>
      <c r="F18" s="13"/>
      <c r="G18" s="13"/>
      <c r="H18" s="13"/>
      <c r="I18" s="13"/>
    </row>
    <row r="19" spans="2:9" x14ac:dyDescent="0.25">
      <c r="B19" s="13"/>
      <c r="C19" s="13"/>
      <c r="D19" s="16"/>
      <c r="E19" s="13"/>
      <c r="F19" s="13"/>
      <c r="G19" s="13"/>
      <c r="H19" s="13"/>
      <c r="I19" s="13"/>
    </row>
    <row r="20" spans="2:9" ht="18" x14ac:dyDescent="0.35">
      <c r="B20" s="49" t="s">
        <v>221</v>
      </c>
      <c r="C20" s="16" t="s">
        <v>220</v>
      </c>
      <c r="D20" s="49" t="s">
        <v>222</v>
      </c>
      <c r="E20" s="50" t="s">
        <v>28</v>
      </c>
      <c r="F20" s="50" t="s">
        <v>223</v>
      </c>
      <c r="G20" s="13"/>
      <c r="H20" s="13"/>
      <c r="I20" s="13"/>
    </row>
    <row r="21" spans="2:9" ht="18" x14ac:dyDescent="0.35">
      <c r="B21" s="49" t="s">
        <v>224</v>
      </c>
      <c r="C21" s="16" t="s">
        <v>220</v>
      </c>
      <c r="D21" s="49" t="s">
        <v>222</v>
      </c>
      <c r="E21" s="50" t="s">
        <v>28</v>
      </c>
      <c r="F21" s="50" t="s">
        <v>225</v>
      </c>
      <c r="G21" s="13"/>
      <c r="H21" s="13"/>
      <c r="I21" s="13"/>
    </row>
    <row r="22" spans="2:9" x14ac:dyDescent="0.25">
      <c r="B22" s="13"/>
      <c r="C22" s="13"/>
      <c r="D22" s="16"/>
      <c r="E22" s="13"/>
      <c r="F22" s="13"/>
      <c r="G22" s="13"/>
      <c r="H22" s="13"/>
      <c r="I22" s="13"/>
    </row>
    <row r="23" spans="2:9" ht="18" x14ac:dyDescent="0.35">
      <c r="B23" s="74" t="s">
        <v>33</v>
      </c>
      <c r="C23" s="75" t="s">
        <v>28</v>
      </c>
      <c r="D23" s="19" t="s">
        <v>39</v>
      </c>
      <c r="E23" s="16"/>
      <c r="F23" s="13"/>
      <c r="G23" s="13"/>
      <c r="H23" s="13"/>
      <c r="I23" s="13"/>
    </row>
    <row r="24" spans="2:9" ht="18" x14ac:dyDescent="0.35">
      <c r="B24" s="74"/>
      <c r="C24" s="75"/>
      <c r="D24" s="14" t="s">
        <v>40</v>
      </c>
      <c r="E24" s="16"/>
      <c r="F24" s="13"/>
      <c r="G24" s="13"/>
      <c r="H24" s="13"/>
      <c r="I24" s="13"/>
    </row>
    <row r="25" spans="2:9" x14ac:dyDescent="0.25">
      <c r="B25" s="16"/>
      <c r="C25" s="16"/>
      <c r="D25" s="16"/>
      <c r="E25" s="16"/>
      <c r="F25" s="13"/>
      <c r="G25" s="13"/>
      <c r="H25" s="13"/>
      <c r="I25" s="13"/>
    </row>
    <row r="26" spans="2:9" ht="18" x14ac:dyDescent="0.35">
      <c r="B26" s="20" t="s">
        <v>35</v>
      </c>
      <c r="C26" s="14" t="s">
        <v>28</v>
      </c>
      <c r="D26" s="21" t="s">
        <v>67</v>
      </c>
      <c r="E26" s="13"/>
      <c r="F26" s="13"/>
      <c r="G26" s="13"/>
      <c r="H26" s="13"/>
      <c r="I26" s="13"/>
    </row>
    <row r="28" spans="2:9" x14ac:dyDescent="0.25">
      <c r="B28" s="7" t="s">
        <v>75</v>
      </c>
      <c r="C28" s="7"/>
    </row>
    <row r="29" spans="2:9" x14ac:dyDescent="0.25">
      <c r="B29" s="7" t="s">
        <v>121</v>
      </c>
      <c r="C29" s="7" t="s">
        <v>122</v>
      </c>
      <c r="E29" s="7" t="s">
        <v>121</v>
      </c>
      <c r="F29" s="7" t="s">
        <v>122</v>
      </c>
    </row>
    <row r="30" spans="2:9" ht="18" x14ac:dyDescent="0.35">
      <c r="B30" s="7"/>
      <c r="C30" s="7" t="s">
        <v>30</v>
      </c>
      <c r="E30" s="7"/>
      <c r="F30" s="7">
        <f>B4</f>
        <v>500</v>
      </c>
    </row>
    <row r="31" spans="2:9" x14ac:dyDescent="0.25">
      <c r="B31" s="7" t="s">
        <v>29</v>
      </c>
      <c r="C31" s="7"/>
      <c r="E31" s="7">
        <f>B3</f>
        <v>400</v>
      </c>
      <c r="F31" s="7"/>
    </row>
    <row r="32" spans="2:9" ht="18" x14ac:dyDescent="0.35">
      <c r="B32" s="7"/>
      <c r="C32" s="7" t="s">
        <v>31</v>
      </c>
      <c r="E32" s="7"/>
      <c r="F32" s="7">
        <f>B5</f>
        <v>320</v>
      </c>
    </row>
    <row r="34" spans="1:8" x14ac:dyDescent="0.25">
      <c r="B34" t="s">
        <v>44</v>
      </c>
    </row>
    <row r="35" spans="1:8" x14ac:dyDescent="0.25">
      <c r="B35" s="7" t="s">
        <v>121</v>
      </c>
      <c r="C35" s="7" t="s">
        <v>122</v>
      </c>
      <c r="E35" s="7" t="s">
        <v>121</v>
      </c>
      <c r="F35" s="7" t="s">
        <v>122</v>
      </c>
    </row>
    <row r="36" spans="1:8" ht="18" x14ac:dyDescent="0.35">
      <c r="C36" s="7" t="s">
        <v>46</v>
      </c>
      <c r="F36" s="7">
        <f>MAX(F30-$B$12,0)</f>
        <v>100</v>
      </c>
      <c r="H36" s="36" t="s">
        <v>129</v>
      </c>
    </row>
    <row r="37" spans="1:8" x14ac:dyDescent="0.25">
      <c r="B37" s="7" t="s">
        <v>45</v>
      </c>
      <c r="C37" s="7"/>
      <c r="F37" s="7"/>
    </row>
    <row r="38" spans="1:8" ht="18" x14ac:dyDescent="0.35">
      <c r="C38" s="7" t="s">
        <v>47</v>
      </c>
      <c r="F38" s="7">
        <f>MAX(F32-$B$12,0)</f>
        <v>0</v>
      </c>
      <c r="H38" s="36" t="s">
        <v>130</v>
      </c>
    </row>
    <row r="40" spans="1:8" x14ac:dyDescent="0.25">
      <c r="B40" s="7" t="s">
        <v>33</v>
      </c>
      <c r="C40" s="10">
        <f>(F36-F38)/(F30-F32)</f>
        <v>0.55555555555555558</v>
      </c>
      <c r="F40" s="11" t="s">
        <v>51</v>
      </c>
    </row>
    <row r="41" spans="1:8" ht="18" x14ac:dyDescent="0.35">
      <c r="B41" s="7" t="s">
        <v>3</v>
      </c>
      <c r="C41" s="22">
        <f>EXP(-B11*B6)</f>
        <v>0.90483741803595952</v>
      </c>
      <c r="E41" s="7" t="s">
        <v>45</v>
      </c>
      <c r="F41" s="5">
        <f>C40*E31+C42</f>
        <v>61.362236793607195</v>
      </c>
    </row>
    <row r="42" spans="1:8" x14ac:dyDescent="0.25">
      <c r="B42" s="7" t="s">
        <v>35</v>
      </c>
      <c r="C42" s="7">
        <f>(F36-C40*F30)*C41</f>
        <v>-160.85998542861503</v>
      </c>
    </row>
    <row r="44" spans="1:8" x14ac:dyDescent="0.25">
      <c r="A44" s="3" t="s">
        <v>52</v>
      </c>
      <c r="B44" s="3"/>
      <c r="C44" s="3"/>
      <c r="D44" s="3"/>
    </row>
    <row r="46" spans="1:8" x14ac:dyDescent="0.25">
      <c r="B46" s="12" t="s">
        <v>53</v>
      </c>
      <c r="C46" s="12"/>
      <c r="D46" s="12"/>
      <c r="E46" s="12"/>
      <c r="F46" s="12"/>
      <c r="G46" s="12"/>
      <c r="H46" s="12"/>
    </row>
    <row r="47" spans="1:8" x14ac:dyDescent="0.25">
      <c r="B47" s="12" t="s">
        <v>334</v>
      </c>
      <c r="C47" s="12"/>
      <c r="D47" s="12"/>
      <c r="E47" s="12"/>
      <c r="F47" s="12"/>
      <c r="G47" s="12"/>
      <c r="H47" s="12"/>
    </row>
    <row r="48" spans="1:8" x14ac:dyDescent="0.25">
      <c r="B48" s="12"/>
      <c r="C48" s="12"/>
      <c r="D48" s="12" t="s">
        <v>61</v>
      </c>
      <c r="E48" s="12"/>
      <c r="F48" s="12"/>
      <c r="G48" s="12"/>
      <c r="H48" s="12"/>
    </row>
    <row r="49" spans="1:8" ht="18.75" x14ac:dyDescent="0.35">
      <c r="B49" s="23" t="s">
        <v>70</v>
      </c>
      <c r="C49" s="23" t="s">
        <v>60</v>
      </c>
      <c r="D49" s="76" t="s">
        <v>71</v>
      </c>
      <c r="E49" s="76"/>
      <c r="F49" s="23" t="s">
        <v>28</v>
      </c>
      <c r="G49" s="23" t="s">
        <v>54</v>
      </c>
      <c r="H49" s="12"/>
    </row>
    <row r="50" spans="1:8" x14ac:dyDescent="0.25">
      <c r="B50" s="12"/>
      <c r="C50" s="12"/>
      <c r="D50" s="12"/>
      <c r="E50" s="12"/>
      <c r="F50" s="12"/>
      <c r="G50" s="12"/>
      <c r="H50" s="12"/>
    </row>
    <row r="51" spans="1:8" ht="18" x14ac:dyDescent="0.35">
      <c r="B51" s="12"/>
      <c r="C51" s="12"/>
      <c r="D51" s="23" t="s">
        <v>58</v>
      </c>
      <c r="E51" s="23" t="s">
        <v>28</v>
      </c>
      <c r="F51" s="23" t="s">
        <v>59</v>
      </c>
      <c r="G51" s="12"/>
      <c r="H51" s="12"/>
    </row>
    <row r="52" spans="1:8" ht="18" x14ac:dyDescent="0.35">
      <c r="B52" s="12"/>
      <c r="C52" s="12"/>
      <c r="D52" s="23" t="s">
        <v>56</v>
      </c>
      <c r="E52" s="23" t="s">
        <v>28</v>
      </c>
      <c r="F52" s="23" t="s">
        <v>57</v>
      </c>
      <c r="G52" s="12"/>
      <c r="H52" s="12"/>
    </row>
    <row r="53" spans="1:8" x14ac:dyDescent="0.25">
      <c r="B53" s="12"/>
      <c r="C53" s="12"/>
      <c r="D53" s="12"/>
      <c r="E53" s="12"/>
      <c r="F53" s="12"/>
      <c r="G53" s="12"/>
      <c r="H53" s="12"/>
    </row>
    <row r="54" spans="1:8" ht="18" x14ac:dyDescent="0.35">
      <c r="B54" s="12"/>
      <c r="C54" s="12"/>
      <c r="D54" s="75" t="s">
        <v>55</v>
      </c>
      <c r="E54" s="75" t="s">
        <v>28</v>
      </c>
      <c r="F54" s="24" t="s">
        <v>68</v>
      </c>
      <c r="G54" s="12"/>
      <c r="H54" s="12"/>
    </row>
    <row r="55" spans="1:8" x14ac:dyDescent="0.25">
      <c r="B55" s="12"/>
      <c r="C55" s="12"/>
      <c r="D55" s="75"/>
      <c r="E55" s="75"/>
      <c r="F55" s="14" t="s">
        <v>110</v>
      </c>
      <c r="G55" s="12"/>
      <c r="H55" s="12"/>
    </row>
    <row r="57" spans="1:8" ht="18" x14ac:dyDescent="0.35">
      <c r="B57" t="s">
        <v>64</v>
      </c>
      <c r="C57" s="7" t="s">
        <v>63</v>
      </c>
      <c r="D57">
        <f>B4/B3</f>
        <v>1.25</v>
      </c>
    </row>
    <row r="58" spans="1:8" ht="18" x14ac:dyDescent="0.35">
      <c r="B58" t="s">
        <v>65</v>
      </c>
      <c r="C58" s="7" t="s">
        <v>56</v>
      </c>
      <c r="D58">
        <f>B5/B3</f>
        <v>0.8</v>
      </c>
    </row>
    <row r="59" spans="1:8" x14ac:dyDescent="0.25">
      <c r="B59" s="7"/>
    </row>
    <row r="60" spans="1:8" x14ac:dyDescent="0.25">
      <c r="B60" s="7"/>
      <c r="C60" s="9" t="s">
        <v>62</v>
      </c>
    </row>
    <row r="61" spans="1:8" x14ac:dyDescent="0.25">
      <c r="B61" s="7" t="s">
        <v>55</v>
      </c>
      <c r="C61" s="25">
        <f>(1/C41 - D58)/(D57-D58)</f>
        <v>0.67815759572366152</v>
      </c>
    </row>
    <row r="63" spans="1:8" x14ac:dyDescent="0.25">
      <c r="A63" s="3" t="s">
        <v>69</v>
      </c>
      <c r="B63" s="3"/>
      <c r="C63" s="3"/>
      <c r="D63" s="3"/>
      <c r="E63" s="3"/>
      <c r="F63" s="3"/>
      <c r="G63" s="3"/>
    </row>
    <row r="65" spans="2:9" x14ac:dyDescent="0.25">
      <c r="B65" s="12" t="s">
        <v>53</v>
      </c>
      <c r="C65" s="12"/>
      <c r="D65" s="12"/>
      <c r="E65" s="12"/>
      <c r="F65" s="12"/>
      <c r="G65" s="12"/>
      <c r="H65" s="12"/>
      <c r="I65" s="12"/>
    </row>
    <row r="66" spans="2:9" x14ac:dyDescent="0.25">
      <c r="B66" s="12" t="s">
        <v>72</v>
      </c>
      <c r="C66" s="12"/>
      <c r="D66" s="12"/>
      <c r="E66" s="12"/>
      <c r="F66" s="12"/>
      <c r="G66" s="12"/>
      <c r="H66" s="12"/>
      <c r="I66" s="12"/>
    </row>
    <row r="67" spans="2:9" x14ac:dyDescent="0.25">
      <c r="B67" s="12" t="s">
        <v>73</v>
      </c>
      <c r="C67" s="12"/>
      <c r="D67" s="12"/>
      <c r="E67" s="12"/>
      <c r="F67" s="12"/>
      <c r="G67" s="12"/>
      <c r="H67" s="12"/>
      <c r="I67" s="12"/>
    </row>
    <row r="68" spans="2:9" x14ac:dyDescent="0.25">
      <c r="B68" s="12"/>
      <c r="C68" s="12"/>
      <c r="D68" s="12"/>
      <c r="E68" s="12"/>
      <c r="F68" s="12"/>
      <c r="G68" s="12"/>
      <c r="H68" s="12"/>
      <c r="I68" s="12"/>
    </row>
    <row r="69" spans="2:9" ht="18" x14ac:dyDescent="0.35">
      <c r="B69" s="14" t="s">
        <v>45</v>
      </c>
      <c r="C69" s="14" t="s">
        <v>60</v>
      </c>
      <c r="D69" s="73" t="s">
        <v>74</v>
      </c>
      <c r="E69" s="73"/>
      <c r="F69" s="12"/>
      <c r="G69" s="12"/>
      <c r="H69" s="12"/>
      <c r="I69" s="12"/>
    </row>
    <row r="71" spans="2:9" x14ac:dyDescent="0.25">
      <c r="B71" s="7" t="s">
        <v>75</v>
      </c>
      <c r="C71" s="7"/>
      <c r="E71" s="7" t="s">
        <v>75</v>
      </c>
    </row>
    <row r="72" spans="2:9" x14ac:dyDescent="0.25">
      <c r="B72" s="7" t="s">
        <v>121</v>
      </c>
      <c r="C72" s="7" t="s">
        <v>122</v>
      </c>
      <c r="E72" s="7" t="s">
        <v>121</v>
      </c>
      <c r="F72" s="7" t="s">
        <v>122</v>
      </c>
    </row>
    <row r="73" spans="2:9" ht="18" x14ac:dyDescent="0.35">
      <c r="B73" s="7"/>
      <c r="C73" s="7" t="s">
        <v>30</v>
      </c>
      <c r="E73" s="7"/>
      <c r="F73" s="7">
        <f>B4</f>
        <v>500</v>
      </c>
    </row>
    <row r="74" spans="2:9" x14ac:dyDescent="0.25">
      <c r="B74" s="7" t="s">
        <v>29</v>
      </c>
      <c r="C74" s="7"/>
      <c r="E74" s="7">
        <f>B3</f>
        <v>400</v>
      </c>
      <c r="F74" s="7"/>
    </row>
    <row r="75" spans="2:9" ht="18" x14ac:dyDescent="0.35">
      <c r="B75" s="7"/>
      <c r="C75" s="7" t="s">
        <v>31</v>
      </c>
      <c r="E75" s="7"/>
      <c r="F75" s="7">
        <f>B5</f>
        <v>320</v>
      </c>
    </row>
    <row r="76" spans="2:9" x14ac:dyDescent="0.25">
      <c r="B76" s="7"/>
      <c r="C76" s="7"/>
      <c r="E76" s="7"/>
      <c r="F76" s="7"/>
    </row>
    <row r="77" spans="2:9" x14ac:dyDescent="0.25">
      <c r="B77" t="s">
        <v>44</v>
      </c>
      <c r="E77" t="s">
        <v>44</v>
      </c>
    </row>
    <row r="78" spans="2:9" x14ac:dyDescent="0.25">
      <c r="B78" s="7" t="s">
        <v>121</v>
      </c>
      <c r="C78" s="7" t="s">
        <v>122</v>
      </c>
      <c r="E78" s="7" t="s">
        <v>121</v>
      </c>
      <c r="F78" s="7" t="s">
        <v>122</v>
      </c>
    </row>
    <row r="79" spans="2:9" ht="18" x14ac:dyDescent="0.35">
      <c r="C79" s="7" t="s">
        <v>46</v>
      </c>
      <c r="E79" s="11" t="s">
        <v>51</v>
      </c>
      <c r="F79" s="7">
        <f>MAX(F73-$B$12,0)</f>
        <v>100</v>
      </c>
    </row>
    <row r="80" spans="2:9" x14ac:dyDescent="0.25">
      <c r="B80" s="7" t="s">
        <v>45</v>
      </c>
      <c r="C80" s="7"/>
      <c r="E80" s="2">
        <f>(F79*C61 +F81*(1-C61))*C41</f>
        <v>61.362236793607188</v>
      </c>
      <c r="F80" s="7"/>
    </row>
    <row r="81" spans="1:11" ht="18" x14ac:dyDescent="0.35">
      <c r="C81" s="7" t="s">
        <v>47</v>
      </c>
      <c r="F81" s="7">
        <f>MAX(F75-$B$12,0)</f>
        <v>0</v>
      </c>
    </row>
    <row r="83" spans="1:11" x14ac:dyDescent="0.25">
      <c r="A83" s="3" t="s">
        <v>361</v>
      </c>
      <c r="B83" s="3"/>
      <c r="C83" s="3"/>
      <c r="D83" s="3"/>
      <c r="E83" s="3"/>
      <c r="F83" s="3"/>
      <c r="G83" s="3"/>
      <c r="H83" s="3"/>
      <c r="I83" s="3"/>
      <c r="J83" s="3"/>
      <c r="K83" s="3"/>
    </row>
    <row r="85" spans="1:11" x14ac:dyDescent="0.25">
      <c r="A85" s="7" t="s">
        <v>76</v>
      </c>
      <c r="B85" s="6">
        <v>0.7</v>
      </c>
    </row>
    <row r="87" spans="1:11" x14ac:dyDescent="0.25">
      <c r="B87" s="7" t="s">
        <v>75</v>
      </c>
    </row>
    <row r="88" spans="1:11" ht="17.25" x14ac:dyDescent="0.25">
      <c r="B88" s="7" t="s">
        <v>121</v>
      </c>
      <c r="C88" s="7" t="s">
        <v>122</v>
      </c>
      <c r="E88" t="s">
        <v>81</v>
      </c>
      <c r="F88" s="7">
        <f>C89*$B$85+C91*(1-$B$85)</f>
        <v>446</v>
      </c>
    </row>
    <row r="89" spans="1:11" x14ac:dyDescent="0.25">
      <c r="B89" s="7"/>
      <c r="C89" s="7">
        <f>F73</f>
        <v>500</v>
      </c>
      <c r="F89" s="9" t="s">
        <v>84</v>
      </c>
    </row>
    <row r="90" spans="1:11" ht="17.25" x14ac:dyDescent="0.25">
      <c r="B90" s="7">
        <f>E74</f>
        <v>400</v>
      </c>
      <c r="C90" s="7"/>
      <c r="E90" t="s">
        <v>77</v>
      </c>
      <c r="F90" s="26">
        <f>LN(F88/B90)</f>
        <v>0.10885440491208208</v>
      </c>
    </row>
    <row r="91" spans="1:11" x14ac:dyDescent="0.25">
      <c r="B91" s="7"/>
      <c r="C91" s="7">
        <f>F75</f>
        <v>320</v>
      </c>
    </row>
    <row r="93" spans="1:11" x14ac:dyDescent="0.25">
      <c r="B93" t="s">
        <v>44</v>
      </c>
    </row>
    <row r="94" spans="1:11" ht="17.25" x14ac:dyDescent="0.25">
      <c r="B94" s="7" t="s">
        <v>121</v>
      </c>
      <c r="C94" s="7" t="s">
        <v>122</v>
      </c>
      <c r="E94" t="s">
        <v>80</v>
      </c>
      <c r="F94" s="7">
        <f>C95*$B$85+C97*(1-$B$85)</f>
        <v>70</v>
      </c>
    </row>
    <row r="95" spans="1:11" x14ac:dyDescent="0.25">
      <c r="B95" s="10"/>
      <c r="C95" s="4">
        <f>F79</f>
        <v>100</v>
      </c>
      <c r="F95" s="9" t="s">
        <v>85</v>
      </c>
    </row>
    <row r="96" spans="1:11" ht="17.25" x14ac:dyDescent="0.25">
      <c r="B96" s="10">
        <f>E80</f>
        <v>61.362236793607188</v>
      </c>
      <c r="C96" s="10"/>
      <c r="E96" t="s">
        <v>77</v>
      </c>
      <c r="F96" s="26">
        <f>LN(F94/B96)</f>
        <v>0.13170063204318452</v>
      </c>
    </row>
    <row r="97" spans="1:8" x14ac:dyDescent="0.25">
      <c r="B97" s="10"/>
      <c r="C97" s="10">
        <f>F81</f>
        <v>0</v>
      </c>
    </row>
    <row r="99" spans="1:8" x14ac:dyDescent="0.25">
      <c r="A99" s="3" t="s">
        <v>78</v>
      </c>
      <c r="B99" s="3"/>
      <c r="C99" s="3"/>
      <c r="D99" s="3"/>
      <c r="E99" s="3"/>
      <c r="F99" s="3"/>
      <c r="G99" s="3"/>
      <c r="H99" s="3"/>
    </row>
    <row r="101" spans="1:8" x14ac:dyDescent="0.25">
      <c r="B101" s="7" t="s">
        <v>75</v>
      </c>
    </row>
    <row r="102" spans="1:8" ht="17.25" x14ac:dyDescent="0.25">
      <c r="B102" s="7" t="s">
        <v>121</v>
      </c>
      <c r="C102" s="7" t="s">
        <v>122</v>
      </c>
      <c r="E102" t="s">
        <v>82</v>
      </c>
      <c r="F102" s="1">
        <f>C103*$C$61+(1-$C$61)*C105</f>
        <v>442.06836723025907</v>
      </c>
    </row>
    <row r="103" spans="1:8" x14ac:dyDescent="0.25">
      <c r="B103" s="7"/>
      <c r="C103" s="7">
        <f>C89</f>
        <v>500</v>
      </c>
      <c r="F103" s="9" t="s">
        <v>84</v>
      </c>
    </row>
    <row r="104" spans="1:8" ht="17.25" x14ac:dyDescent="0.25">
      <c r="B104" s="7">
        <f t="shared" ref="B104" si="0">B90</f>
        <v>400</v>
      </c>
      <c r="C104" s="7"/>
      <c r="E104" t="s">
        <v>79</v>
      </c>
      <c r="F104" s="27">
        <f>LN(F102/B104)</f>
        <v>0.10000000000000007</v>
      </c>
    </row>
    <row r="105" spans="1:8" x14ac:dyDescent="0.25">
      <c r="B105" s="7"/>
      <c r="C105" s="7">
        <f t="shared" ref="C105" si="1">C91</f>
        <v>320</v>
      </c>
    </row>
    <row r="107" spans="1:8" x14ac:dyDescent="0.25">
      <c r="B107" t="s">
        <v>44</v>
      </c>
    </row>
    <row r="108" spans="1:8" ht="17.25" x14ac:dyDescent="0.25">
      <c r="B108" s="7" t="s">
        <v>121</v>
      </c>
      <c r="C108" s="7" t="s">
        <v>122</v>
      </c>
      <c r="E108" t="s">
        <v>83</v>
      </c>
      <c r="F108" s="1">
        <f>C109*$C$61+(1-$C$61)*C111</f>
        <v>67.815759572366147</v>
      </c>
    </row>
    <row r="109" spans="1:8" x14ac:dyDescent="0.25">
      <c r="B109" s="4"/>
      <c r="C109" s="4">
        <f>C95</f>
        <v>100</v>
      </c>
      <c r="F109" s="9" t="s">
        <v>85</v>
      </c>
    </row>
    <row r="110" spans="1:8" ht="17.25" x14ac:dyDescent="0.25">
      <c r="B110" s="10">
        <f t="shared" ref="B110" si="2">B96</f>
        <v>61.362236793607188</v>
      </c>
      <c r="C110" s="4"/>
      <c r="E110" t="s">
        <v>79</v>
      </c>
      <c r="F110" s="27">
        <f>LN(F108/B110)</f>
        <v>0.10000000000000007</v>
      </c>
    </row>
    <row r="111" spans="1:8" x14ac:dyDescent="0.25">
      <c r="B111" s="4"/>
      <c r="C111" s="4">
        <f t="shared" ref="C111" si="3">C97</f>
        <v>0</v>
      </c>
    </row>
    <row r="113" spans="1:8" x14ac:dyDescent="0.25">
      <c r="A113" s="3" t="s">
        <v>86</v>
      </c>
      <c r="B113" s="3"/>
      <c r="C113" s="3"/>
      <c r="D113" s="3"/>
      <c r="E113" s="3"/>
      <c r="F113" s="3"/>
      <c r="G113" s="3"/>
    </row>
    <row r="115" spans="1:8" ht="17.25" x14ac:dyDescent="0.25">
      <c r="A115" s="7" t="s">
        <v>5</v>
      </c>
      <c r="B115" s="8">
        <v>70</v>
      </c>
      <c r="C115" t="s">
        <v>2</v>
      </c>
    </row>
    <row r="117" spans="1:8" x14ac:dyDescent="0.25">
      <c r="B117" t="s">
        <v>335</v>
      </c>
    </row>
    <row r="119" spans="1:8" x14ac:dyDescent="0.25">
      <c r="B119" t="s">
        <v>88</v>
      </c>
    </row>
    <row r="120" spans="1:8" x14ac:dyDescent="0.25">
      <c r="B120" t="s">
        <v>87</v>
      </c>
    </row>
    <row r="121" spans="1:8" x14ac:dyDescent="0.25">
      <c r="B121" t="s">
        <v>106</v>
      </c>
    </row>
    <row r="123" spans="1:8" x14ac:dyDescent="0.25">
      <c r="B123" t="s">
        <v>7</v>
      </c>
      <c r="D123" t="s">
        <v>6</v>
      </c>
      <c r="E123" s="7" t="s">
        <v>89</v>
      </c>
    </row>
    <row r="124" spans="1:8" x14ac:dyDescent="0.25">
      <c r="E124" s="7" t="s">
        <v>23</v>
      </c>
    </row>
    <row r="127" spans="1:8" x14ac:dyDescent="0.25">
      <c r="F127" t="s">
        <v>0</v>
      </c>
      <c r="G127" s="7" t="s">
        <v>9</v>
      </c>
    </row>
    <row r="128" spans="1:8" x14ac:dyDescent="0.25">
      <c r="B128" t="s">
        <v>26</v>
      </c>
      <c r="F128" t="s">
        <v>7</v>
      </c>
      <c r="G128" s="7">
        <f>B115</f>
        <v>70</v>
      </c>
      <c r="H128" t="s">
        <v>2</v>
      </c>
    </row>
    <row r="129" spans="1:10" x14ac:dyDescent="0.25">
      <c r="B129" t="s">
        <v>21</v>
      </c>
      <c r="F129" t="s">
        <v>89</v>
      </c>
      <c r="G129" s="10">
        <f>-C40*B3</f>
        <v>-222.22222222222223</v>
      </c>
      <c r="H129" t="s">
        <v>2</v>
      </c>
    </row>
    <row r="130" spans="1:10" x14ac:dyDescent="0.25">
      <c r="B130" t="s">
        <v>10</v>
      </c>
      <c r="F130" t="s">
        <v>19</v>
      </c>
      <c r="G130" s="10">
        <f>-(G128+G129)</f>
        <v>152.22222222222223</v>
      </c>
      <c r="H130" t="s">
        <v>2</v>
      </c>
      <c r="I130" t="s">
        <v>90</v>
      </c>
    </row>
    <row r="131" spans="1:10" x14ac:dyDescent="0.25">
      <c r="F131" s="32" t="s">
        <v>15</v>
      </c>
      <c r="G131" s="31">
        <v>0</v>
      </c>
      <c r="I131" t="s">
        <v>24</v>
      </c>
    </row>
    <row r="132" spans="1:10" x14ac:dyDescent="0.25">
      <c r="G132" s="7"/>
      <c r="I132" t="s">
        <v>25</v>
      </c>
    </row>
    <row r="133" spans="1:10" x14ac:dyDescent="0.25">
      <c r="G133" s="7"/>
    </row>
    <row r="134" spans="1:10" x14ac:dyDescent="0.25">
      <c r="I134" t="s">
        <v>91</v>
      </c>
    </row>
    <row r="135" spans="1:10" x14ac:dyDescent="0.25">
      <c r="I135" s="1">
        <f>G130/C41</f>
        <v>168.23157308484861</v>
      </c>
      <c r="J135" t="s">
        <v>2</v>
      </c>
    </row>
    <row r="137" spans="1:10" x14ac:dyDescent="0.25">
      <c r="B137" s="29" t="s">
        <v>8</v>
      </c>
    </row>
    <row r="138" spans="1:10" x14ac:dyDescent="0.25">
      <c r="B138" s="30" t="s">
        <v>20</v>
      </c>
      <c r="C138" s="28"/>
      <c r="D138" s="28"/>
      <c r="E138" s="28"/>
      <c r="F138" s="28"/>
    </row>
    <row r="139" spans="1:10" x14ac:dyDescent="0.25">
      <c r="B139" s="30" t="s">
        <v>336</v>
      </c>
      <c r="C139" s="28"/>
      <c r="D139" s="28"/>
      <c r="E139" s="28"/>
      <c r="F139" s="28"/>
    </row>
    <row r="140" spans="1:10" x14ac:dyDescent="0.25">
      <c r="B140" s="30" t="s">
        <v>92</v>
      </c>
      <c r="C140" s="28"/>
      <c r="D140" s="28"/>
      <c r="E140" s="28"/>
      <c r="F140" s="28"/>
    </row>
    <row r="142" spans="1:10" x14ac:dyDescent="0.25">
      <c r="A142" s="3" t="s">
        <v>93</v>
      </c>
      <c r="B142" s="3"/>
      <c r="C142" s="3"/>
      <c r="D142" s="3"/>
      <c r="E142" s="3"/>
      <c r="F142" s="3"/>
    </row>
    <row r="144" spans="1:10" x14ac:dyDescent="0.25">
      <c r="B144" t="s">
        <v>12</v>
      </c>
    </row>
    <row r="145" spans="2:10" ht="18" x14ac:dyDescent="0.35">
      <c r="B145" t="s">
        <v>13</v>
      </c>
      <c r="E145" t="s">
        <v>94</v>
      </c>
    </row>
    <row r="146" spans="2:10" ht="18" x14ac:dyDescent="0.35">
      <c r="E146" t="s">
        <v>95</v>
      </c>
    </row>
    <row r="148" spans="2:10" ht="18" x14ac:dyDescent="0.35">
      <c r="B148" s="37" t="s">
        <v>14</v>
      </c>
      <c r="I148" t="s">
        <v>96</v>
      </c>
    </row>
    <row r="149" spans="2:10" x14ac:dyDescent="0.25">
      <c r="B149" t="s">
        <v>27</v>
      </c>
      <c r="H149" t="s">
        <v>0</v>
      </c>
      <c r="I149" t="s">
        <v>11</v>
      </c>
    </row>
    <row r="150" spans="2:10" x14ac:dyDescent="0.25">
      <c r="B150" t="s">
        <v>22</v>
      </c>
      <c r="H150" t="s">
        <v>7</v>
      </c>
      <c r="I150" s="7">
        <f>B12</f>
        <v>400</v>
      </c>
      <c r="J150" t="s">
        <v>2</v>
      </c>
    </row>
    <row r="151" spans="2:10" x14ac:dyDescent="0.25">
      <c r="B151" t="s">
        <v>97</v>
      </c>
      <c r="H151" t="s">
        <v>89</v>
      </c>
      <c r="I151" s="7">
        <v>0</v>
      </c>
      <c r="J151" t="s">
        <v>2</v>
      </c>
    </row>
    <row r="152" spans="2:10" x14ac:dyDescent="0.25">
      <c r="B152" t="s">
        <v>99</v>
      </c>
      <c r="H152" t="s">
        <v>98</v>
      </c>
      <c r="I152" s="7">
        <f>-(1-C40)*B4</f>
        <v>-222.2222222222222</v>
      </c>
      <c r="J152" t="s">
        <v>2</v>
      </c>
    </row>
    <row r="153" spans="2:10" x14ac:dyDescent="0.25">
      <c r="B153" t="s">
        <v>100</v>
      </c>
      <c r="H153" s="33" t="s">
        <v>19</v>
      </c>
      <c r="I153" s="4">
        <f>-I135</f>
        <v>-168.23157308484861</v>
      </c>
      <c r="J153" t="s">
        <v>2</v>
      </c>
    </row>
    <row r="154" spans="2:10" x14ac:dyDescent="0.25">
      <c r="H154" t="s">
        <v>15</v>
      </c>
      <c r="I154" s="35">
        <f>SUM(I150:I153)</f>
        <v>9.5462046929291944</v>
      </c>
      <c r="J154" t="s">
        <v>2</v>
      </c>
    </row>
    <row r="157" spans="2:10" ht="18" x14ac:dyDescent="0.35">
      <c r="B157" s="37" t="s">
        <v>17</v>
      </c>
      <c r="I157" t="s">
        <v>103</v>
      </c>
    </row>
    <row r="158" spans="2:10" x14ac:dyDescent="0.25">
      <c r="H158" t="s">
        <v>0</v>
      </c>
      <c r="I158" t="s">
        <v>11</v>
      </c>
    </row>
    <row r="159" spans="2:10" x14ac:dyDescent="0.25">
      <c r="B159" t="s">
        <v>16</v>
      </c>
      <c r="H159" t="s">
        <v>7</v>
      </c>
      <c r="I159" s="7">
        <v>0</v>
      </c>
      <c r="J159" t="s">
        <v>2</v>
      </c>
    </row>
    <row r="160" spans="2:10" x14ac:dyDescent="0.25">
      <c r="B160" t="s">
        <v>105</v>
      </c>
      <c r="H160" t="s">
        <v>104</v>
      </c>
      <c r="I160" s="10">
        <f>+C40*B5</f>
        <v>177.77777777777777</v>
      </c>
      <c r="J160" t="s">
        <v>2</v>
      </c>
    </row>
    <row r="161" spans="2:10" x14ac:dyDescent="0.25">
      <c r="B161" t="s">
        <v>100</v>
      </c>
      <c r="H161" s="33" t="s">
        <v>19</v>
      </c>
      <c r="I161" s="34">
        <f>-I135</f>
        <v>-168.23157308484861</v>
      </c>
      <c r="J161" t="s">
        <v>2</v>
      </c>
    </row>
    <row r="162" spans="2:10" x14ac:dyDescent="0.25">
      <c r="H162" t="s">
        <v>15</v>
      </c>
      <c r="I162" s="10">
        <f>SUM(I159:I161)</f>
        <v>9.546204692929166</v>
      </c>
      <c r="J162" t="s">
        <v>2</v>
      </c>
    </row>
    <row r="163" spans="2:10" x14ac:dyDescent="0.25">
      <c r="I163" s="7"/>
    </row>
    <row r="164" spans="2:10" x14ac:dyDescent="0.25">
      <c r="F164" s="11" t="s">
        <v>337</v>
      </c>
      <c r="I164" s="2">
        <f>I154</f>
        <v>9.5462046929291944</v>
      </c>
      <c r="J164" t="s">
        <v>2</v>
      </c>
    </row>
    <row r="165" spans="2:10" x14ac:dyDescent="0.25">
      <c r="F165" s="9" t="s">
        <v>338</v>
      </c>
      <c r="I165" s="2">
        <f>I164*C41</f>
        <v>8.6377632063928118</v>
      </c>
      <c r="J165" t="s">
        <v>2</v>
      </c>
    </row>
    <row r="166" spans="2:10" x14ac:dyDescent="0.25">
      <c r="F166" t="s">
        <v>18</v>
      </c>
      <c r="I166" s="10">
        <f>ABS(B115-B110)</f>
        <v>8.6377632063928118</v>
      </c>
      <c r="J166" t="s">
        <v>2</v>
      </c>
    </row>
    <row r="168" spans="2:10" x14ac:dyDescent="0.25">
      <c r="F168" s="36" t="s">
        <v>101</v>
      </c>
    </row>
    <row r="169" spans="2:10" x14ac:dyDescent="0.25">
      <c r="F169" s="36" t="s">
        <v>102</v>
      </c>
    </row>
  </sheetData>
  <mergeCells count="6">
    <mergeCell ref="D69:E69"/>
    <mergeCell ref="B23:B24"/>
    <mergeCell ref="C23:C24"/>
    <mergeCell ref="D54:D55"/>
    <mergeCell ref="E54:E55"/>
    <mergeCell ref="D49:E4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AB313"/>
  <sheetViews>
    <sheetView topLeftCell="A284" workbookViewId="0">
      <selection activeCell="C295" sqref="C295"/>
    </sheetView>
  </sheetViews>
  <sheetFormatPr defaultRowHeight="15" x14ac:dyDescent="0.25"/>
  <sheetData>
    <row r="3" spans="1:9" x14ac:dyDescent="0.25">
      <c r="A3" s="7" t="s">
        <v>29</v>
      </c>
      <c r="B3" s="8">
        <v>400</v>
      </c>
      <c r="C3" t="s">
        <v>2</v>
      </c>
    </row>
    <row r="4" spans="1:9" x14ac:dyDescent="0.25">
      <c r="A4" s="7" t="s">
        <v>63</v>
      </c>
      <c r="B4" s="6">
        <f>125%</f>
        <v>1.25</v>
      </c>
    </row>
    <row r="5" spans="1:9" x14ac:dyDescent="0.25">
      <c r="A5" s="7" t="s">
        <v>56</v>
      </c>
      <c r="B5" s="6">
        <f>80%</f>
        <v>0.8</v>
      </c>
    </row>
    <row r="6" spans="1:9" x14ac:dyDescent="0.25">
      <c r="A6" s="18" t="s">
        <v>66</v>
      </c>
      <c r="B6" s="8">
        <v>0.5</v>
      </c>
      <c r="C6" t="s">
        <v>43</v>
      </c>
    </row>
    <row r="7" spans="1:9" ht="18" x14ac:dyDescent="0.35">
      <c r="A7" s="7" t="s">
        <v>32</v>
      </c>
      <c r="B7" s="6">
        <v>0.1</v>
      </c>
      <c r="C7" t="s">
        <v>108</v>
      </c>
    </row>
    <row r="9" spans="1:9" x14ac:dyDescent="0.25">
      <c r="A9" s="15" t="s">
        <v>107</v>
      </c>
      <c r="B9" s="3"/>
      <c r="C9" s="3"/>
      <c r="D9" s="3"/>
      <c r="E9" s="3"/>
      <c r="F9" s="3"/>
      <c r="G9" s="3"/>
      <c r="H9" s="3"/>
      <c r="I9" s="3"/>
    </row>
    <row r="11" spans="1:9" x14ac:dyDescent="0.25">
      <c r="A11" s="7" t="s">
        <v>151</v>
      </c>
      <c r="B11" s="8" t="s">
        <v>42</v>
      </c>
      <c r="C11" s="7" t="s">
        <v>41</v>
      </c>
    </row>
    <row r="12" spans="1:9" x14ac:dyDescent="0.25">
      <c r="A12" s="7" t="s">
        <v>1</v>
      </c>
      <c r="B12" s="8">
        <v>1</v>
      </c>
      <c r="C12" t="s">
        <v>43</v>
      </c>
    </row>
    <row r="13" spans="1:9" x14ac:dyDescent="0.25">
      <c r="A13" s="7" t="s">
        <v>4</v>
      </c>
      <c r="B13" s="8">
        <f>B3</f>
        <v>400</v>
      </c>
      <c r="C13" t="s">
        <v>2</v>
      </c>
    </row>
    <row r="15" spans="1:9" ht="18" x14ac:dyDescent="0.35">
      <c r="B15" t="s">
        <v>109</v>
      </c>
      <c r="C15" s="39">
        <f>EXP(-B7*B6)</f>
        <v>0.95122942450071402</v>
      </c>
    </row>
    <row r="16" spans="1:9" x14ac:dyDescent="0.25">
      <c r="B16" t="s">
        <v>55</v>
      </c>
      <c r="C16" s="70">
        <f>(1/C15-B5)/(B4-B5)</f>
        <v>0.55838021416894246</v>
      </c>
    </row>
    <row r="18" spans="2:12" x14ac:dyDescent="0.25">
      <c r="B18" s="7" t="s">
        <v>75</v>
      </c>
      <c r="C18" s="7"/>
      <c r="F18" s="7" t="s">
        <v>75</v>
      </c>
    </row>
    <row r="19" spans="2:12" x14ac:dyDescent="0.25">
      <c r="B19" s="7" t="s">
        <v>121</v>
      </c>
      <c r="C19" s="7" t="s">
        <v>123</v>
      </c>
      <c r="D19" s="7" t="s">
        <v>122</v>
      </c>
      <c r="F19" s="7" t="s">
        <v>121</v>
      </c>
      <c r="G19" s="7" t="s">
        <v>123</v>
      </c>
      <c r="H19" s="7" t="s">
        <v>122</v>
      </c>
    </row>
    <row r="20" spans="2:12" ht="18" x14ac:dyDescent="0.35">
      <c r="B20" s="7"/>
      <c r="D20" s="7" t="s">
        <v>112</v>
      </c>
      <c r="F20" s="7"/>
      <c r="G20" s="7"/>
      <c r="H20" s="7">
        <f>G21*B4</f>
        <v>625</v>
      </c>
    </row>
    <row r="21" spans="2:12" ht="18" x14ac:dyDescent="0.35">
      <c r="C21" s="7" t="s">
        <v>111</v>
      </c>
      <c r="D21" s="7"/>
      <c r="F21" s="7"/>
      <c r="G21" s="7">
        <f>F22*B4</f>
        <v>500</v>
      </c>
      <c r="H21" s="7"/>
    </row>
    <row r="22" spans="2:12" ht="18" x14ac:dyDescent="0.35">
      <c r="B22" s="7" t="s">
        <v>29</v>
      </c>
      <c r="D22" s="7" t="s">
        <v>114</v>
      </c>
      <c r="F22" s="7">
        <f>B3</f>
        <v>400</v>
      </c>
      <c r="G22" s="7"/>
      <c r="H22" s="7">
        <f>G21*B5</f>
        <v>400</v>
      </c>
    </row>
    <row r="23" spans="2:12" ht="18" x14ac:dyDescent="0.35">
      <c r="B23" s="7"/>
      <c r="C23" s="7" t="s">
        <v>113</v>
      </c>
      <c r="D23" s="7"/>
      <c r="F23" s="7"/>
      <c r="G23" s="7">
        <f>F22*B5</f>
        <v>320</v>
      </c>
      <c r="H23" s="7"/>
    </row>
    <row r="24" spans="2:12" ht="18" x14ac:dyDescent="0.35">
      <c r="B24" s="7"/>
      <c r="D24" s="7" t="s">
        <v>115</v>
      </c>
      <c r="F24" s="7"/>
      <c r="G24" s="7"/>
      <c r="H24" s="7">
        <f>G23*B5</f>
        <v>256</v>
      </c>
    </row>
    <row r="25" spans="2:12" x14ac:dyDescent="0.25">
      <c r="B25" s="7"/>
      <c r="D25" s="7"/>
    </row>
    <row r="26" spans="2:12" x14ac:dyDescent="0.25">
      <c r="B26" t="s">
        <v>44</v>
      </c>
      <c r="F26" t="s">
        <v>44</v>
      </c>
    </row>
    <row r="27" spans="2:12" x14ac:dyDescent="0.25">
      <c r="B27" s="7" t="s">
        <v>121</v>
      </c>
      <c r="C27" s="7" t="s">
        <v>123</v>
      </c>
      <c r="D27" s="7" t="s">
        <v>122</v>
      </c>
      <c r="F27" s="7" t="s">
        <v>121</v>
      </c>
      <c r="G27" s="7" t="s">
        <v>123</v>
      </c>
      <c r="H27" s="7" t="s">
        <v>122</v>
      </c>
    </row>
    <row r="28" spans="2:12" ht="18" x14ac:dyDescent="0.35">
      <c r="B28" s="7"/>
      <c r="D28" s="7" t="s">
        <v>117</v>
      </c>
      <c r="H28" s="7">
        <f>MAX(H20-$B$13,0)</f>
        <v>225</v>
      </c>
      <c r="L28" s="36" t="s">
        <v>126</v>
      </c>
    </row>
    <row r="29" spans="2:12" ht="18.75" x14ac:dyDescent="0.35">
      <c r="C29" s="7" t="s">
        <v>116</v>
      </c>
      <c r="D29" s="7"/>
      <c r="F29" s="11" t="s">
        <v>51</v>
      </c>
      <c r="G29" s="10">
        <f>($C$16*H28+(1-$C$16)*H30)*$C$15</f>
        <v>119.50823019971443</v>
      </c>
      <c r="H29" s="7"/>
      <c r="K29" s="36" t="s">
        <v>124</v>
      </c>
    </row>
    <row r="30" spans="2:12" ht="18.75" x14ac:dyDescent="0.35">
      <c r="B30" s="7" t="s">
        <v>45</v>
      </c>
      <c r="D30" s="7" t="s">
        <v>118</v>
      </c>
      <c r="F30" s="2">
        <f>(G29*C16+G31*(1-C16))*C15</f>
        <v>63.47652037985749</v>
      </c>
      <c r="G30" s="7"/>
      <c r="H30" s="7">
        <f t="shared" ref="H30:H32" si="0">MAX(H22-$B$13,0)</f>
        <v>0</v>
      </c>
      <c r="J30" s="36" t="s">
        <v>145</v>
      </c>
      <c r="L30" s="36" t="s">
        <v>127</v>
      </c>
    </row>
    <row r="31" spans="2:12" ht="18.75" x14ac:dyDescent="0.35">
      <c r="B31" s="7"/>
      <c r="C31" s="7" t="s">
        <v>119</v>
      </c>
      <c r="D31" s="7"/>
      <c r="G31" s="7">
        <f>($C$16*H30+(1-$C$16)*H32)*$C$15</f>
        <v>0</v>
      </c>
      <c r="H31" s="7"/>
      <c r="K31" s="36" t="s">
        <v>125</v>
      </c>
    </row>
    <row r="32" spans="2:12" ht="18" x14ac:dyDescent="0.35">
      <c r="B32" s="7"/>
      <c r="D32" s="7" t="s">
        <v>120</v>
      </c>
      <c r="H32" s="7">
        <f t="shared" si="0"/>
        <v>0</v>
      </c>
      <c r="L32" s="36" t="s">
        <v>128</v>
      </c>
    </row>
    <row r="34" spans="1:9" x14ac:dyDescent="0.25">
      <c r="A34" s="3" t="s">
        <v>131</v>
      </c>
      <c r="B34" s="3"/>
      <c r="C34" s="3"/>
      <c r="D34" s="3"/>
      <c r="E34" s="3"/>
      <c r="F34" s="3"/>
      <c r="G34" s="3"/>
      <c r="H34" s="3"/>
      <c r="I34" s="3"/>
    </row>
    <row r="36" spans="1:9" x14ac:dyDescent="0.25">
      <c r="A36" s="7" t="s">
        <v>151</v>
      </c>
      <c r="B36" s="8" t="s">
        <v>132</v>
      </c>
      <c r="C36" s="7" t="s">
        <v>41</v>
      </c>
    </row>
    <row r="37" spans="1:9" x14ac:dyDescent="0.25">
      <c r="A37" s="7" t="s">
        <v>1</v>
      </c>
      <c r="B37" s="8">
        <v>1</v>
      </c>
      <c r="C37" t="s">
        <v>43</v>
      </c>
    </row>
    <row r="38" spans="1:9" x14ac:dyDescent="0.25">
      <c r="A38" s="7" t="s">
        <v>4</v>
      </c>
      <c r="B38" s="8">
        <v>400</v>
      </c>
      <c r="C38" t="s">
        <v>2</v>
      </c>
    </row>
    <row r="40" spans="1:9" ht="18" x14ac:dyDescent="0.35">
      <c r="B40" t="s">
        <v>109</v>
      </c>
      <c r="C40" s="39">
        <f>C15</f>
        <v>0.95122942450071402</v>
      </c>
    </row>
    <row r="41" spans="1:9" x14ac:dyDescent="0.25">
      <c r="B41" t="s">
        <v>55</v>
      </c>
      <c r="C41" s="70">
        <f>C16</f>
        <v>0.55838021416894246</v>
      </c>
    </row>
    <row r="43" spans="1:9" x14ac:dyDescent="0.25">
      <c r="B43" s="7" t="s">
        <v>75</v>
      </c>
      <c r="C43" s="7"/>
      <c r="F43" s="7" t="s">
        <v>75</v>
      </c>
    </row>
    <row r="44" spans="1:9" x14ac:dyDescent="0.25">
      <c r="B44" s="7" t="s">
        <v>121</v>
      </c>
      <c r="C44" s="7" t="s">
        <v>123</v>
      </c>
      <c r="D44" s="7" t="s">
        <v>122</v>
      </c>
      <c r="F44" s="7" t="s">
        <v>121</v>
      </c>
      <c r="G44" s="7" t="s">
        <v>123</v>
      </c>
      <c r="H44" s="7" t="s">
        <v>122</v>
      </c>
    </row>
    <row r="45" spans="1:9" ht="18" x14ac:dyDescent="0.35">
      <c r="B45" s="7"/>
      <c r="D45" s="7" t="s">
        <v>112</v>
      </c>
      <c r="F45" s="7"/>
      <c r="G45" s="7"/>
      <c r="H45" s="7">
        <f>H20</f>
        <v>625</v>
      </c>
    </row>
    <row r="46" spans="1:9" ht="18" x14ac:dyDescent="0.35">
      <c r="C46" s="7" t="s">
        <v>111</v>
      </c>
      <c r="D46" s="7"/>
      <c r="F46" s="7"/>
      <c r="G46" s="7">
        <f>G21</f>
        <v>500</v>
      </c>
      <c r="H46" s="7"/>
    </row>
    <row r="47" spans="1:9" ht="18" x14ac:dyDescent="0.35">
      <c r="B47" s="7" t="s">
        <v>29</v>
      </c>
      <c r="D47" s="7" t="s">
        <v>114</v>
      </c>
      <c r="F47" s="7">
        <f>F22</f>
        <v>400</v>
      </c>
      <c r="G47" s="7"/>
      <c r="H47" s="7">
        <f t="shared" ref="H47:H49" si="1">H22</f>
        <v>400</v>
      </c>
    </row>
    <row r="48" spans="1:9" ht="18" x14ac:dyDescent="0.35">
      <c r="B48" s="7"/>
      <c r="C48" s="7" t="s">
        <v>113</v>
      </c>
      <c r="D48" s="7"/>
      <c r="F48" s="7"/>
      <c r="G48" s="7">
        <f>G23</f>
        <v>320</v>
      </c>
      <c r="H48" s="7"/>
    </row>
    <row r="49" spans="1:12" ht="18" x14ac:dyDescent="0.35">
      <c r="B49" s="7"/>
      <c r="D49" s="7" t="s">
        <v>115</v>
      </c>
      <c r="F49" s="7"/>
      <c r="G49" s="7"/>
      <c r="H49" s="7">
        <f t="shared" si="1"/>
        <v>256</v>
      </c>
    </row>
    <row r="50" spans="1:12" x14ac:dyDescent="0.25">
      <c r="B50" s="7"/>
      <c r="D50" s="7"/>
    </row>
    <row r="51" spans="1:12" x14ac:dyDescent="0.25">
      <c r="B51" t="s">
        <v>133</v>
      </c>
      <c r="F51" t="s">
        <v>133</v>
      </c>
    </row>
    <row r="52" spans="1:12" x14ac:dyDescent="0.25">
      <c r="B52" s="7" t="s">
        <v>121</v>
      </c>
      <c r="C52" s="7" t="s">
        <v>123</v>
      </c>
      <c r="D52" s="7" t="s">
        <v>122</v>
      </c>
      <c r="F52" s="7" t="s">
        <v>121</v>
      </c>
      <c r="G52" s="7" t="s">
        <v>123</v>
      </c>
      <c r="H52" s="7" t="s">
        <v>122</v>
      </c>
    </row>
    <row r="53" spans="1:12" ht="18" x14ac:dyDescent="0.35">
      <c r="B53" s="7"/>
      <c r="D53" s="7" t="s">
        <v>137</v>
      </c>
      <c r="H53" s="7">
        <f>MAX($B$38-H45,0)</f>
        <v>0</v>
      </c>
      <c r="L53" s="36" t="s">
        <v>141</v>
      </c>
    </row>
    <row r="54" spans="1:12" ht="18.75" x14ac:dyDescent="0.35">
      <c r="C54" s="7" t="s">
        <v>135</v>
      </c>
      <c r="D54" s="7"/>
      <c r="F54" s="11" t="s">
        <v>140</v>
      </c>
      <c r="G54" s="10">
        <f>($C$16*H53+(1-$C$16)*H55)*$C$15</f>
        <v>0</v>
      </c>
      <c r="H54" s="7"/>
      <c r="K54" s="36" t="s">
        <v>143</v>
      </c>
    </row>
    <row r="55" spans="1:12" ht="18.75" x14ac:dyDescent="0.35">
      <c r="B55" s="7" t="s">
        <v>134</v>
      </c>
      <c r="D55" s="7" t="s">
        <v>138</v>
      </c>
      <c r="F55" s="2">
        <f>(G54*C41+G56*(1-C41))*C40</f>
        <v>25.411487594241272</v>
      </c>
      <c r="G55" s="7"/>
      <c r="H55" s="7">
        <f>MAX($B$38-H47,0)</f>
        <v>0</v>
      </c>
      <c r="J55" s="36" t="s">
        <v>144</v>
      </c>
      <c r="L55" s="36" t="s">
        <v>127</v>
      </c>
    </row>
    <row r="56" spans="1:12" ht="18.75" x14ac:dyDescent="0.35">
      <c r="B56" s="7"/>
      <c r="C56" s="7" t="s">
        <v>136</v>
      </c>
      <c r="D56" s="7"/>
      <c r="G56" s="10">
        <f>($C$16*H55+(1-$C$16)*H57)*$C$15</f>
        <v>60.491769800285581</v>
      </c>
      <c r="H56" s="7"/>
      <c r="K56" s="36" t="s">
        <v>166</v>
      </c>
    </row>
    <row r="57" spans="1:12" ht="18" x14ac:dyDescent="0.35">
      <c r="B57" s="7"/>
      <c r="D57" s="7" t="s">
        <v>139</v>
      </c>
      <c r="H57" s="7">
        <f>MAX($B$38-H49,0)</f>
        <v>144</v>
      </c>
      <c r="L57" s="36" t="s">
        <v>142</v>
      </c>
    </row>
    <row r="59" spans="1:12" x14ac:dyDescent="0.25">
      <c r="A59" s="3" t="s">
        <v>146</v>
      </c>
      <c r="B59" s="3"/>
      <c r="C59" s="3"/>
      <c r="D59" s="3"/>
      <c r="E59" s="3"/>
      <c r="F59" s="3"/>
      <c r="G59" s="3"/>
      <c r="H59" s="3"/>
    </row>
    <row r="61" spans="1:12" x14ac:dyDescent="0.25">
      <c r="C61" t="s">
        <v>149</v>
      </c>
    </row>
    <row r="62" spans="1:12" ht="18" x14ac:dyDescent="0.35">
      <c r="B62" t="s">
        <v>147</v>
      </c>
      <c r="C62" s="7" t="s">
        <v>28</v>
      </c>
      <c r="D62" t="s">
        <v>148</v>
      </c>
    </row>
    <row r="64" spans="1:12" ht="18" x14ac:dyDescent="0.35">
      <c r="B64" t="s">
        <v>3</v>
      </c>
      <c r="C64">
        <f>EXP(-B7*B12)</f>
        <v>0.90483741803595952</v>
      </c>
    </row>
    <row r="66" spans="1:10" x14ac:dyDescent="0.25">
      <c r="C66" s="9" t="s">
        <v>150</v>
      </c>
    </row>
    <row r="67" spans="1:10" x14ac:dyDescent="0.25">
      <c r="B67" s="2">
        <f>F30+C64*B13</f>
        <v>425.41148759424129</v>
      </c>
      <c r="C67" s="41" t="s">
        <v>28</v>
      </c>
      <c r="D67" s="42">
        <f>B3+F55</f>
        <v>425.41148759424129</v>
      </c>
    </row>
    <row r="69" spans="1:10" x14ac:dyDescent="0.25">
      <c r="A69" s="3" t="s">
        <v>154</v>
      </c>
      <c r="B69" s="3"/>
      <c r="C69" s="3"/>
      <c r="D69" s="3"/>
      <c r="E69" s="3"/>
      <c r="F69" s="3"/>
      <c r="G69" s="3"/>
      <c r="H69" s="3"/>
      <c r="I69" s="3"/>
      <c r="J69" s="3"/>
    </row>
    <row r="71" spans="1:10" x14ac:dyDescent="0.25">
      <c r="A71" s="7" t="s">
        <v>151</v>
      </c>
      <c r="B71" s="15" t="s">
        <v>152</v>
      </c>
    </row>
    <row r="72" spans="1:10" x14ac:dyDescent="0.25">
      <c r="A72" s="7" t="s">
        <v>190</v>
      </c>
      <c r="B72" s="15" t="s">
        <v>153</v>
      </c>
    </row>
    <row r="73" spans="1:10" x14ac:dyDescent="0.25">
      <c r="A73" s="7" t="s">
        <v>1</v>
      </c>
      <c r="B73" s="8">
        <v>1</v>
      </c>
      <c r="C73" t="s">
        <v>43</v>
      </c>
    </row>
    <row r="74" spans="1:10" x14ac:dyDescent="0.25">
      <c r="A74" s="7" t="s">
        <v>4</v>
      </c>
      <c r="B74" s="8">
        <v>400</v>
      </c>
      <c r="C74" t="s">
        <v>2</v>
      </c>
    </row>
    <row r="76" spans="1:10" ht="18" x14ac:dyDescent="0.35">
      <c r="B76" t="s">
        <v>109</v>
      </c>
      <c r="C76" s="39">
        <f>C40</f>
        <v>0.95122942450071402</v>
      </c>
    </row>
    <row r="77" spans="1:10" x14ac:dyDescent="0.25">
      <c r="B77" t="s">
        <v>55</v>
      </c>
      <c r="C77" s="40">
        <f>C41</f>
        <v>0.55838021416894246</v>
      </c>
    </row>
    <row r="79" spans="1:10" x14ac:dyDescent="0.25">
      <c r="B79" s="7" t="s">
        <v>75</v>
      </c>
      <c r="C79" s="7"/>
      <c r="F79" s="7" t="s">
        <v>75</v>
      </c>
    </row>
    <row r="80" spans="1:10" x14ac:dyDescent="0.25">
      <c r="B80" s="7" t="s">
        <v>121</v>
      </c>
      <c r="C80" s="7" t="s">
        <v>123</v>
      </c>
      <c r="D80" s="7" t="s">
        <v>122</v>
      </c>
      <c r="F80" s="7" t="s">
        <v>121</v>
      </c>
      <c r="G80" s="7" t="s">
        <v>123</v>
      </c>
      <c r="H80" s="7" t="s">
        <v>122</v>
      </c>
    </row>
    <row r="81" spans="1:12" ht="18" x14ac:dyDescent="0.35">
      <c r="B81" s="7"/>
      <c r="D81" s="7" t="s">
        <v>112</v>
      </c>
      <c r="F81" s="7"/>
      <c r="G81" s="7"/>
      <c r="H81" s="7">
        <f>H45</f>
        <v>625</v>
      </c>
    </row>
    <row r="82" spans="1:12" ht="18" x14ac:dyDescent="0.35">
      <c r="C82" s="7" t="s">
        <v>111</v>
      </c>
      <c r="D82" s="7"/>
      <c r="F82" s="7"/>
      <c r="G82" s="7">
        <f t="shared" ref="G82" si="2">G46</f>
        <v>500</v>
      </c>
      <c r="H82" s="7"/>
    </row>
    <row r="83" spans="1:12" ht="18" x14ac:dyDescent="0.35">
      <c r="B83" s="7" t="s">
        <v>29</v>
      </c>
      <c r="D83" s="7" t="s">
        <v>114</v>
      </c>
      <c r="F83" s="7">
        <f t="shared" ref="F83:H83" si="3">F47</f>
        <v>400</v>
      </c>
      <c r="G83" s="7"/>
      <c r="H83" s="7">
        <f t="shared" si="3"/>
        <v>400</v>
      </c>
    </row>
    <row r="84" spans="1:12" ht="18" x14ac:dyDescent="0.35">
      <c r="B84" s="7"/>
      <c r="C84" s="7" t="s">
        <v>113</v>
      </c>
      <c r="D84" s="7"/>
      <c r="F84" s="7"/>
      <c r="G84" s="7">
        <f t="shared" ref="G84" si="4">G48</f>
        <v>320</v>
      </c>
      <c r="H84" s="7"/>
    </row>
    <row r="85" spans="1:12" ht="18" x14ac:dyDescent="0.35">
      <c r="B85" s="7"/>
      <c r="D85" s="7" t="s">
        <v>115</v>
      </c>
      <c r="F85" s="7"/>
      <c r="G85" s="7"/>
      <c r="H85" s="7">
        <f t="shared" ref="H85" si="5">H49</f>
        <v>256</v>
      </c>
    </row>
    <row r="86" spans="1:12" x14ac:dyDescent="0.25">
      <c r="B86" s="7"/>
      <c r="D86" s="7"/>
    </row>
    <row r="87" spans="1:12" x14ac:dyDescent="0.25">
      <c r="B87" t="s">
        <v>155</v>
      </c>
      <c r="F87" t="s">
        <v>155</v>
      </c>
    </row>
    <row r="88" spans="1:12" x14ac:dyDescent="0.25">
      <c r="B88" s="7" t="s">
        <v>121</v>
      </c>
      <c r="C88" s="7" t="s">
        <v>123</v>
      </c>
      <c r="D88" s="7" t="s">
        <v>122</v>
      </c>
      <c r="F88" s="7" t="s">
        <v>121</v>
      </c>
      <c r="G88" s="7" t="s">
        <v>123</v>
      </c>
      <c r="H88" s="7" t="s">
        <v>122</v>
      </c>
    </row>
    <row r="89" spans="1:12" ht="18" x14ac:dyDescent="0.35">
      <c r="B89" s="7"/>
      <c r="D89" s="7" t="s">
        <v>159</v>
      </c>
      <c r="H89" s="7">
        <f>H81-$B$74</f>
        <v>225</v>
      </c>
      <c r="L89" s="36" t="s">
        <v>162</v>
      </c>
    </row>
    <row r="90" spans="1:12" ht="18.75" x14ac:dyDescent="0.35">
      <c r="C90" s="7" t="s">
        <v>157</v>
      </c>
      <c r="D90" s="7"/>
      <c r="F90" s="11" t="s">
        <v>339</v>
      </c>
      <c r="G90" s="10">
        <f>($C$16*H89+(1-$C$16)*H91)*$C$15</f>
        <v>119.50823019971443</v>
      </c>
      <c r="H90" s="7"/>
      <c r="K90" s="36" t="s">
        <v>165</v>
      </c>
    </row>
    <row r="91" spans="1:12" ht="18.75" x14ac:dyDescent="0.35">
      <c r="B91" s="7" t="s">
        <v>156</v>
      </c>
      <c r="D91" s="7" t="s">
        <v>160</v>
      </c>
      <c r="F91" s="2">
        <f>(G90*C77+G92*(1-C77))*C76</f>
        <v>38.065032785616225</v>
      </c>
      <c r="G91" s="7"/>
      <c r="H91" s="7">
        <f t="shared" ref="H91" si="6">H83-$B$74</f>
        <v>0</v>
      </c>
      <c r="J91" s="36" t="s">
        <v>168</v>
      </c>
      <c r="L91" s="36" t="s">
        <v>163</v>
      </c>
    </row>
    <row r="92" spans="1:12" ht="18.75" x14ac:dyDescent="0.35">
      <c r="B92" s="7"/>
      <c r="C92" s="7" t="s">
        <v>158</v>
      </c>
      <c r="D92" s="7"/>
      <c r="G92" s="10">
        <f>($C$16*H91+(1-$C$16)*H93)*$C$15</f>
        <v>-60.491769800285581</v>
      </c>
      <c r="H92" s="7"/>
      <c r="K92" s="36" t="s">
        <v>167</v>
      </c>
    </row>
    <row r="93" spans="1:12" ht="18" x14ac:dyDescent="0.35">
      <c r="B93" s="7"/>
      <c r="D93" s="7" t="s">
        <v>161</v>
      </c>
      <c r="H93" s="7">
        <f>H85-$B$74</f>
        <v>-144</v>
      </c>
      <c r="L93" s="36" t="s">
        <v>164</v>
      </c>
    </row>
    <row r="95" spans="1:12" x14ac:dyDescent="0.25">
      <c r="A95" s="3" t="s">
        <v>340</v>
      </c>
      <c r="B95" s="3"/>
      <c r="C95" s="3"/>
      <c r="D95" s="3"/>
      <c r="E95" s="3"/>
      <c r="F95" s="3"/>
      <c r="G95" s="3"/>
      <c r="H95" s="3"/>
      <c r="I95" s="3"/>
      <c r="J95" s="3"/>
    </row>
    <row r="97" spans="2:8" x14ac:dyDescent="0.25">
      <c r="C97" t="s">
        <v>170</v>
      </c>
      <c r="G97" t="s">
        <v>173</v>
      </c>
    </row>
    <row r="99" spans="2:8" x14ac:dyDescent="0.25">
      <c r="B99" s="7" t="s">
        <v>121</v>
      </c>
      <c r="C99" s="7" t="s">
        <v>123</v>
      </c>
      <c r="D99" s="7" t="s">
        <v>122</v>
      </c>
      <c r="F99" s="7" t="s">
        <v>121</v>
      </c>
      <c r="G99" s="7" t="s">
        <v>123</v>
      </c>
      <c r="H99" s="7" t="s">
        <v>122</v>
      </c>
    </row>
    <row r="100" spans="2:8" ht="18" x14ac:dyDescent="0.35">
      <c r="D100" s="7" t="s">
        <v>159</v>
      </c>
      <c r="H100" s="43">
        <f>H89</f>
        <v>225</v>
      </c>
    </row>
    <row r="101" spans="2:8" ht="18" x14ac:dyDescent="0.35">
      <c r="D101" s="7" t="s">
        <v>117</v>
      </c>
      <c r="H101">
        <f>H28</f>
        <v>225</v>
      </c>
    </row>
    <row r="102" spans="2:8" ht="18" x14ac:dyDescent="0.35">
      <c r="D102" s="7" t="s">
        <v>169</v>
      </c>
      <c r="H102">
        <f>-H53</f>
        <v>0</v>
      </c>
    </row>
    <row r="103" spans="2:8" ht="18" x14ac:dyDescent="0.35">
      <c r="D103" s="7" t="s">
        <v>172</v>
      </c>
      <c r="H103" s="43">
        <f>H101+H102</f>
        <v>225</v>
      </c>
    </row>
    <row r="105" spans="2:8" ht="18" x14ac:dyDescent="0.35">
      <c r="C105" s="7" t="s">
        <v>157</v>
      </c>
      <c r="G105" s="42">
        <f>G90</f>
        <v>119.50823019971443</v>
      </c>
    </row>
    <row r="106" spans="2:8" ht="18" x14ac:dyDescent="0.35">
      <c r="C106" s="7" t="s">
        <v>116</v>
      </c>
      <c r="G106" s="1">
        <f>G29</f>
        <v>119.50823019971443</v>
      </c>
    </row>
    <row r="107" spans="2:8" ht="18" x14ac:dyDescent="0.35">
      <c r="C107" s="7" t="s">
        <v>177</v>
      </c>
      <c r="G107" s="1">
        <f>-G54</f>
        <v>0</v>
      </c>
    </row>
    <row r="108" spans="2:8" ht="18" x14ac:dyDescent="0.35">
      <c r="C108" s="7" t="s">
        <v>176</v>
      </c>
      <c r="G108" s="42">
        <f>G106+G107</f>
        <v>119.50823019971443</v>
      </c>
    </row>
    <row r="110" spans="2:8" ht="18" x14ac:dyDescent="0.35">
      <c r="B110" s="7" t="s">
        <v>156</v>
      </c>
      <c r="D110" s="7" t="s">
        <v>160</v>
      </c>
      <c r="F110" s="42">
        <f>F91</f>
        <v>38.065032785616225</v>
      </c>
    </row>
    <row r="111" spans="2:8" ht="18" x14ac:dyDescent="0.35">
      <c r="B111" s="7" t="s">
        <v>45</v>
      </c>
      <c r="D111" s="7" t="s">
        <v>118</v>
      </c>
      <c r="F111" s="1">
        <f>F30</f>
        <v>63.47652037985749</v>
      </c>
    </row>
    <row r="112" spans="2:8" ht="18" x14ac:dyDescent="0.35">
      <c r="B112" s="7" t="s">
        <v>134</v>
      </c>
      <c r="D112" s="7" t="s">
        <v>171</v>
      </c>
      <c r="F112" s="1">
        <f>-F55</f>
        <v>-25.411487594241272</v>
      </c>
    </row>
    <row r="113" spans="1:9" ht="18" x14ac:dyDescent="0.35">
      <c r="B113" s="7" t="s">
        <v>175</v>
      </c>
      <c r="D113" s="7" t="s">
        <v>174</v>
      </c>
      <c r="F113" s="42">
        <f>F111+F112</f>
        <v>38.065032785616218</v>
      </c>
    </row>
    <row r="115" spans="1:9" ht="18" x14ac:dyDescent="0.35">
      <c r="C115" s="7" t="s">
        <v>158</v>
      </c>
      <c r="G115" s="42">
        <f>G92</f>
        <v>-60.491769800285581</v>
      </c>
    </row>
    <row r="116" spans="1:9" ht="18" x14ac:dyDescent="0.35">
      <c r="C116" s="7" t="s">
        <v>119</v>
      </c>
      <c r="G116" s="1">
        <f>G31</f>
        <v>0</v>
      </c>
    </row>
    <row r="117" spans="1:9" ht="18" x14ac:dyDescent="0.35">
      <c r="C117" s="7" t="s">
        <v>179</v>
      </c>
      <c r="G117" s="1">
        <f>-G56</f>
        <v>-60.491769800285581</v>
      </c>
    </row>
    <row r="118" spans="1:9" ht="18" x14ac:dyDescent="0.35">
      <c r="C118" s="7" t="s">
        <v>178</v>
      </c>
      <c r="G118" s="42">
        <f>G116+G117</f>
        <v>-60.491769800285581</v>
      </c>
    </row>
    <row r="120" spans="1:9" ht="18" x14ac:dyDescent="0.35">
      <c r="D120" s="7" t="s">
        <v>161</v>
      </c>
      <c r="H120" s="43">
        <f>H93</f>
        <v>-144</v>
      </c>
    </row>
    <row r="121" spans="1:9" ht="18" x14ac:dyDescent="0.35">
      <c r="D121" s="7" t="s">
        <v>120</v>
      </c>
      <c r="H121">
        <f>H32</f>
        <v>0</v>
      </c>
    </row>
    <row r="122" spans="1:9" ht="18" x14ac:dyDescent="0.35">
      <c r="D122" s="7" t="s">
        <v>180</v>
      </c>
      <c r="H122">
        <f>-H57</f>
        <v>-144</v>
      </c>
    </row>
    <row r="123" spans="1:9" ht="18" x14ac:dyDescent="0.35">
      <c r="D123" s="7" t="s">
        <v>181</v>
      </c>
      <c r="H123" s="43">
        <f>H121+H122</f>
        <v>-144</v>
      </c>
    </row>
    <row r="125" spans="1:9" x14ac:dyDescent="0.25">
      <c r="A125" s="3" t="s">
        <v>341</v>
      </c>
      <c r="B125" s="3"/>
      <c r="C125" s="3"/>
      <c r="D125" s="3"/>
      <c r="E125" s="3"/>
      <c r="F125" s="3"/>
      <c r="G125" s="3"/>
      <c r="H125" s="3"/>
      <c r="I125" s="3"/>
    </row>
    <row r="127" spans="1:9" x14ac:dyDescent="0.25">
      <c r="A127" s="7" t="s">
        <v>151</v>
      </c>
      <c r="B127" s="15" t="s">
        <v>182</v>
      </c>
    </row>
    <row r="128" spans="1:9" x14ac:dyDescent="0.25">
      <c r="A128" s="7" t="s">
        <v>1</v>
      </c>
      <c r="B128" s="8">
        <v>1</v>
      </c>
      <c r="C128" t="s">
        <v>43</v>
      </c>
    </row>
    <row r="130" spans="2:12" ht="18" x14ac:dyDescent="0.35">
      <c r="B130" t="s">
        <v>109</v>
      </c>
      <c r="C130" s="39">
        <f>C76</f>
        <v>0.95122942450071402</v>
      </c>
    </row>
    <row r="131" spans="2:12" x14ac:dyDescent="0.25">
      <c r="B131" t="s">
        <v>55</v>
      </c>
      <c r="C131" s="40">
        <f>C77</f>
        <v>0.55838021416894246</v>
      </c>
    </row>
    <row r="133" spans="2:12" x14ac:dyDescent="0.25">
      <c r="B133" s="7" t="s">
        <v>75</v>
      </c>
      <c r="C133" s="7"/>
      <c r="F133" s="7" t="s">
        <v>75</v>
      </c>
    </row>
    <row r="134" spans="2:12" x14ac:dyDescent="0.25">
      <c r="B134" s="7" t="s">
        <v>121</v>
      </c>
      <c r="C134" s="7" t="s">
        <v>123</v>
      </c>
      <c r="D134" s="7" t="s">
        <v>122</v>
      </c>
      <c r="F134" s="7" t="s">
        <v>121</v>
      </c>
      <c r="G134" s="7" t="s">
        <v>123</v>
      </c>
      <c r="H134" s="7" t="s">
        <v>122</v>
      </c>
    </row>
    <row r="135" spans="2:12" ht="18" x14ac:dyDescent="0.35">
      <c r="B135" s="7"/>
      <c r="D135" s="7" t="s">
        <v>112</v>
      </c>
      <c r="F135" s="7"/>
      <c r="G135" s="7"/>
      <c r="H135" s="7">
        <f>H81</f>
        <v>625</v>
      </c>
    </row>
    <row r="136" spans="2:12" ht="18" x14ac:dyDescent="0.35">
      <c r="C136" s="7" t="s">
        <v>111</v>
      </c>
      <c r="D136" s="7"/>
      <c r="F136" s="7"/>
      <c r="G136" s="7">
        <f t="shared" ref="F136:H139" si="7">G82</f>
        <v>500</v>
      </c>
      <c r="H136" s="7"/>
    </row>
    <row r="137" spans="2:12" ht="18" x14ac:dyDescent="0.35">
      <c r="B137" s="7" t="s">
        <v>29</v>
      </c>
      <c r="D137" s="7" t="s">
        <v>114</v>
      </c>
      <c r="F137" s="7">
        <f t="shared" si="7"/>
        <v>400</v>
      </c>
      <c r="G137" s="7"/>
      <c r="H137" s="7">
        <f t="shared" si="7"/>
        <v>400</v>
      </c>
    </row>
    <row r="138" spans="2:12" ht="18" x14ac:dyDescent="0.35">
      <c r="B138" s="7"/>
      <c r="C138" s="7" t="s">
        <v>113</v>
      </c>
      <c r="D138" s="7"/>
      <c r="F138" s="7"/>
      <c r="G138" s="7">
        <f t="shared" si="7"/>
        <v>320</v>
      </c>
      <c r="H138" s="7"/>
    </row>
    <row r="139" spans="2:12" ht="18" x14ac:dyDescent="0.35">
      <c r="B139" s="7"/>
      <c r="D139" s="7" t="s">
        <v>115</v>
      </c>
      <c r="F139" s="7"/>
      <c r="G139" s="7"/>
      <c r="H139" s="7">
        <f t="shared" si="7"/>
        <v>256</v>
      </c>
    </row>
    <row r="140" spans="2:12" x14ac:dyDescent="0.25">
      <c r="B140" s="7"/>
      <c r="D140" s="7"/>
    </row>
    <row r="141" spans="2:12" x14ac:dyDescent="0.25">
      <c r="B141" t="s">
        <v>75</v>
      </c>
      <c r="F141" t="s">
        <v>75</v>
      </c>
    </row>
    <row r="142" spans="2:12" x14ac:dyDescent="0.25">
      <c r="B142" s="7" t="s">
        <v>121</v>
      </c>
      <c r="C142" s="7" t="s">
        <v>123</v>
      </c>
      <c r="D142" s="7" t="s">
        <v>122</v>
      </c>
      <c r="F142" s="7" t="s">
        <v>121</v>
      </c>
      <c r="G142" s="7" t="s">
        <v>123</v>
      </c>
      <c r="H142" s="7" t="s">
        <v>122</v>
      </c>
    </row>
    <row r="143" spans="2:12" ht="18" x14ac:dyDescent="0.35">
      <c r="B143" s="7"/>
      <c r="D143" s="7" t="s">
        <v>112</v>
      </c>
      <c r="H143" s="7">
        <f>H135</f>
        <v>625</v>
      </c>
      <c r="L143" s="36">
        <v>625</v>
      </c>
    </row>
    <row r="144" spans="2:12" ht="18.75" x14ac:dyDescent="0.35">
      <c r="C144" s="7" t="s">
        <v>111</v>
      </c>
      <c r="D144" s="7"/>
      <c r="F144" s="11" t="s">
        <v>183</v>
      </c>
      <c r="G144" s="10">
        <f>($C$16*H143+(1-$C$16)*H145)*$C$15</f>
        <v>500.00000000000006</v>
      </c>
      <c r="H144" s="7"/>
      <c r="K144" s="36" t="s">
        <v>184</v>
      </c>
    </row>
    <row r="145" spans="1:17" ht="18.75" x14ac:dyDescent="0.35">
      <c r="B145" s="7" t="s">
        <v>29</v>
      </c>
      <c r="D145" s="7" t="s">
        <v>114</v>
      </c>
      <c r="F145" s="2">
        <f>(G144*C131+G146*(1-C131))*C130</f>
        <v>400.00000000000006</v>
      </c>
      <c r="G145" s="7"/>
      <c r="H145" s="7">
        <f t="shared" ref="H145:H147" si="8">H137</f>
        <v>400</v>
      </c>
      <c r="J145" s="36" t="s">
        <v>186</v>
      </c>
      <c r="L145" s="36">
        <v>400</v>
      </c>
    </row>
    <row r="146" spans="1:17" ht="18.75" x14ac:dyDescent="0.35">
      <c r="B146" s="7"/>
      <c r="C146" s="7" t="s">
        <v>113</v>
      </c>
      <c r="D146" s="7"/>
      <c r="G146" s="10">
        <f>($C$16*H145+(1-$C$16)*H147)*$C$15</f>
        <v>320.00000000000006</v>
      </c>
      <c r="H146" s="7"/>
      <c r="K146" s="36" t="s">
        <v>185</v>
      </c>
    </row>
    <row r="147" spans="1:17" ht="18" x14ac:dyDescent="0.35">
      <c r="B147" s="7"/>
      <c r="D147" s="7" t="s">
        <v>115</v>
      </c>
      <c r="H147" s="7">
        <f t="shared" si="8"/>
        <v>256</v>
      </c>
      <c r="L147" s="36">
        <v>256</v>
      </c>
    </row>
    <row r="149" spans="1:17" x14ac:dyDescent="0.25">
      <c r="A149" s="3" t="s">
        <v>342</v>
      </c>
      <c r="B149" s="3"/>
      <c r="C149" s="3"/>
      <c r="D149" s="3"/>
      <c r="E149" s="3"/>
      <c r="F149" s="3"/>
      <c r="G149" s="3"/>
      <c r="H149" s="3"/>
      <c r="I149" s="3"/>
      <c r="J149" s="3"/>
      <c r="K149" s="3"/>
      <c r="L149" s="3"/>
      <c r="M149" s="3"/>
      <c r="N149" s="3"/>
      <c r="O149" s="3"/>
      <c r="P149" s="3"/>
      <c r="Q149" s="3"/>
    </row>
    <row r="151" spans="1:17" x14ac:dyDescent="0.25">
      <c r="A151" s="7" t="s">
        <v>151</v>
      </c>
      <c r="B151" s="8" t="s">
        <v>42</v>
      </c>
      <c r="C151" s="7" t="s">
        <v>41</v>
      </c>
    </row>
    <row r="152" spans="1:17" x14ac:dyDescent="0.25">
      <c r="A152" t="s">
        <v>190</v>
      </c>
      <c r="B152" s="8" t="s">
        <v>191</v>
      </c>
    </row>
    <row r="153" spans="1:17" x14ac:dyDescent="0.25">
      <c r="A153" t="s">
        <v>194</v>
      </c>
      <c r="B153" s="8">
        <v>10</v>
      </c>
    </row>
    <row r="154" spans="1:17" x14ac:dyDescent="0.25">
      <c r="A154" t="s">
        <v>195</v>
      </c>
      <c r="B154" s="8">
        <v>100</v>
      </c>
    </row>
    <row r="156" spans="1:17" x14ac:dyDescent="0.25">
      <c r="B156" t="s">
        <v>189</v>
      </c>
    </row>
    <row r="158" spans="1:17" ht="18" x14ac:dyDescent="0.35">
      <c r="B158" s="77" t="s">
        <v>192</v>
      </c>
      <c r="C158" s="78" t="s">
        <v>28</v>
      </c>
      <c r="D158" s="79" t="s">
        <v>187</v>
      </c>
      <c r="E158" s="79"/>
    </row>
    <row r="159" spans="1:17" ht="18" x14ac:dyDescent="0.35">
      <c r="B159" s="77"/>
      <c r="C159" s="78"/>
      <c r="D159" s="80" t="s">
        <v>188</v>
      </c>
      <c r="E159" s="80"/>
    </row>
    <row r="161" spans="2:11" x14ac:dyDescent="0.25">
      <c r="B161" s="7" t="s">
        <v>75</v>
      </c>
    </row>
    <row r="162" spans="2:11" x14ac:dyDescent="0.25">
      <c r="B162" s="7" t="s">
        <v>121</v>
      </c>
      <c r="C162" s="7" t="s">
        <v>123</v>
      </c>
      <c r="D162" s="7" t="s">
        <v>122</v>
      </c>
    </row>
    <row r="163" spans="2:11" x14ac:dyDescent="0.25">
      <c r="B163" s="7"/>
      <c r="C163" s="7"/>
      <c r="D163" s="7">
        <f>H20</f>
        <v>625</v>
      </c>
    </row>
    <row r="164" spans="2:11" x14ac:dyDescent="0.25">
      <c r="B164" s="7"/>
      <c r="C164" s="7">
        <f>G21</f>
        <v>500</v>
      </c>
      <c r="D164" s="7"/>
    </row>
    <row r="165" spans="2:11" x14ac:dyDescent="0.25">
      <c r="B165" s="7">
        <f>F22</f>
        <v>400</v>
      </c>
      <c r="C165" s="7"/>
      <c r="D165" s="7">
        <f>H22</f>
        <v>400</v>
      </c>
    </row>
    <row r="166" spans="2:11" x14ac:dyDescent="0.25">
      <c r="B166" s="7"/>
      <c r="C166" s="7">
        <f>G23</f>
        <v>320</v>
      </c>
      <c r="D166" s="7"/>
    </row>
    <row r="167" spans="2:11" x14ac:dyDescent="0.25">
      <c r="B167" s="7"/>
      <c r="C167" s="7"/>
      <c r="D167" s="7">
        <f>H24</f>
        <v>256</v>
      </c>
    </row>
    <row r="168" spans="2:11" x14ac:dyDescent="0.25">
      <c r="D168" s="7"/>
      <c r="F168" t="s">
        <v>193</v>
      </c>
    </row>
    <row r="169" spans="2:11" x14ac:dyDescent="0.25">
      <c r="B169" t="s">
        <v>44</v>
      </c>
      <c r="F169" s="18" t="s">
        <v>192</v>
      </c>
      <c r="G169" s="22">
        <f>(C172-C174)/(C164-C166)</f>
        <v>0.66393461222063577</v>
      </c>
    </row>
    <row r="170" spans="2:11" x14ac:dyDescent="0.25">
      <c r="B170" s="7" t="s">
        <v>121</v>
      </c>
      <c r="C170" s="7" t="s">
        <v>123</v>
      </c>
      <c r="D170" s="7" t="s">
        <v>122</v>
      </c>
    </row>
    <row r="171" spans="2:11" x14ac:dyDescent="0.25">
      <c r="B171" s="7"/>
      <c r="C171" s="7"/>
      <c r="D171" s="7">
        <f>H28</f>
        <v>225</v>
      </c>
      <c r="F171" t="s">
        <v>196</v>
      </c>
    </row>
    <row r="172" spans="2:11" x14ac:dyDescent="0.25">
      <c r="B172" s="7"/>
      <c r="C172" s="10">
        <f>G29</f>
        <v>119.50823019971443</v>
      </c>
      <c r="D172" s="7"/>
      <c r="F172" s="18" t="s">
        <v>192</v>
      </c>
      <c r="G172" s="68">
        <f>-B154*B153*G169</f>
        <v>-663.93461222063581</v>
      </c>
      <c r="H172" t="s">
        <v>344</v>
      </c>
    </row>
    <row r="173" spans="2:11" x14ac:dyDescent="0.25">
      <c r="B173" s="10">
        <f>F30</f>
        <v>63.47652037985749</v>
      </c>
      <c r="C173" s="7"/>
      <c r="D173" s="7">
        <f>H30</f>
        <v>0</v>
      </c>
    </row>
    <row r="174" spans="2:11" x14ac:dyDescent="0.25">
      <c r="B174" s="7"/>
      <c r="C174" s="7">
        <f>G31</f>
        <v>0</v>
      </c>
      <c r="D174" s="7"/>
      <c r="F174" s="9" t="s">
        <v>197</v>
      </c>
    </row>
    <row r="175" spans="2:11" x14ac:dyDescent="0.25">
      <c r="B175" s="7"/>
      <c r="C175" s="7"/>
      <c r="D175" s="7">
        <f>H32</f>
        <v>0</v>
      </c>
      <c r="F175" s="43" t="s">
        <v>343</v>
      </c>
      <c r="G175" s="28"/>
      <c r="H175" s="28"/>
      <c r="I175" s="28"/>
      <c r="J175" s="28"/>
      <c r="K175" s="28"/>
    </row>
    <row r="176" spans="2:11" x14ac:dyDescent="0.25">
      <c r="F176" s="43" t="s">
        <v>345</v>
      </c>
      <c r="G176" s="28"/>
      <c r="H176" s="28"/>
      <c r="I176" s="28"/>
      <c r="J176" s="28"/>
      <c r="K176" s="28"/>
    </row>
    <row r="178" spans="1:28" x14ac:dyDescent="0.25">
      <c r="A178" s="3" t="s">
        <v>351</v>
      </c>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80" spans="1:28" x14ac:dyDescent="0.25">
      <c r="B180" s="7" t="s">
        <v>75</v>
      </c>
      <c r="F180" t="s">
        <v>44</v>
      </c>
    </row>
    <row r="181" spans="1:28" x14ac:dyDescent="0.25">
      <c r="B181" s="7" t="s">
        <v>121</v>
      </c>
      <c r="C181" s="7" t="s">
        <v>123</v>
      </c>
      <c r="D181" s="7" t="s">
        <v>122</v>
      </c>
      <c r="F181" s="7" t="s">
        <v>121</v>
      </c>
      <c r="G181" s="7" t="s">
        <v>123</v>
      </c>
      <c r="H181" s="7" t="s">
        <v>122</v>
      </c>
    </row>
    <row r="182" spans="1:28" x14ac:dyDescent="0.25">
      <c r="B182" s="7"/>
      <c r="C182" s="7"/>
      <c r="D182" s="7">
        <f>D163</f>
        <v>625</v>
      </c>
      <c r="F182" s="7"/>
      <c r="G182" s="7"/>
      <c r="H182" s="7">
        <f>D171</f>
        <v>225</v>
      </c>
    </row>
    <row r="183" spans="1:28" x14ac:dyDescent="0.25">
      <c r="B183" s="7"/>
      <c r="C183" s="7">
        <f t="shared" ref="C183" si="9">C164</f>
        <v>500</v>
      </c>
      <c r="D183" s="7"/>
      <c r="F183" s="7"/>
      <c r="G183" s="10">
        <f>C172</f>
        <v>119.50823019971443</v>
      </c>
      <c r="H183" s="7"/>
    </row>
    <row r="184" spans="1:28" x14ac:dyDescent="0.25">
      <c r="B184" s="7">
        <f t="shared" ref="B184:D184" si="10">B165</f>
        <v>400</v>
      </c>
      <c r="C184" s="7"/>
      <c r="D184" s="7">
        <f t="shared" si="10"/>
        <v>400</v>
      </c>
      <c r="F184" s="10">
        <f>B173</f>
        <v>63.47652037985749</v>
      </c>
      <c r="G184" s="7"/>
      <c r="H184" s="7">
        <f>D173</f>
        <v>0</v>
      </c>
    </row>
    <row r="185" spans="1:28" x14ac:dyDescent="0.25">
      <c r="B185" s="7"/>
      <c r="C185" s="7">
        <f t="shared" ref="C185" si="11">C166</f>
        <v>320</v>
      </c>
      <c r="D185" s="7"/>
      <c r="F185" s="7"/>
      <c r="G185" s="7">
        <f>C174</f>
        <v>0</v>
      </c>
      <c r="H185" s="7"/>
    </row>
    <row r="186" spans="1:28" x14ac:dyDescent="0.25">
      <c r="B186" s="7"/>
      <c r="C186" s="7"/>
      <c r="D186" s="7">
        <f t="shared" ref="D186" si="12">D167</f>
        <v>256</v>
      </c>
      <c r="F186" s="7"/>
      <c r="G186" s="7"/>
      <c r="H186" s="7">
        <f>D175</f>
        <v>0</v>
      </c>
    </row>
    <row r="187" spans="1:28" x14ac:dyDescent="0.25">
      <c r="D187" s="7"/>
    </row>
    <row r="188" spans="1:28" x14ac:dyDescent="0.25">
      <c r="B188" t="s">
        <v>198</v>
      </c>
      <c r="F188" t="s">
        <v>198</v>
      </c>
    </row>
    <row r="189" spans="1:28" x14ac:dyDescent="0.25">
      <c r="B189" s="7" t="s">
        <v>121</v>
      </c>
      <c r="C189" s="7" t="s">
        <v>123</v>
      </c>
      <c r="D189" s="7" t="s">
        <v>122</v>
      </c>
      <c r="F189" s="7" t="s">
        <v>121</v>
      </c>
      <c r="G189" s="7" t="s">
        <v>123</v>
      </c>
      <c r="H189" s="7" t="s">
        <v>122</v>
      </c>
    </row>
    <row r="190" spans="1:28" ht="18" x14ac:dyDescent="0.35">
      <c r="B190" s="7"/>
      <c r="D190" s="7" t="s">
        <v>201</v>
      </c>
      <c r="H190" s="7">
        <f>IF(H182&gt;0,1,0)</f>
        <v>1</v>
      </c>
      <c r="I190" s="46" t="s">
        <v>205</v>
      </c>
    </row>
    <row r="191" spans="1:28" ht="18" x14ac:dyDescent="0.35">
      <c r="C191" s="7" t="s">
        <v>200</v>
      </c>
      <c r="D191" s="7"/>
      <c r="G191" s="62">
        <f>(H182-H184)/(D182-D184)</f>
        <v>1</v>
      </c>
      <c r="H191" s="7"/>
      <c r="I191" s="46"/>
    </row>
    <row r="192" spans="1:28" ht="18" x14ac:dyDescent="0.35">
      <c r="B192" s="7" t="s">
        <v>199</v>
      </c>
      <c r="D192" s="7" t="s">
        <v>202</v>
      </c>
      <c r="F192" s="62">
        <f>(G183-G185)/(C183-C185)</f>
        <v>0.66393461222063577</v>
      </c>
      <c r="H192" s="7">
        <f t="shared" ref="H192:H194" si="13">IF(H184&gt;0,1,0)</f>
        <v>0</v>
      </c>
      <c r="I192" s="46" t="s">
        <v>206</v>
      </c>
    </row>
    <row r="193" spans="1:17" ht="18" x14ac:dyDescent="0.35">
      <c r="B193" s="7"/>
      <c r="C193" s="7" t="s">
        <v>203</v>
      </c>
      <c r="D193" s="7"/>
      <c r="G193" s="7">
        <f>(H184-H186)/(D184-D186)</f>
        <v>0</v>
      </c>
      <c r="H193" s="7"/>
      <c r="I193" s="46"/>
    </row>
    <row r="194" spans="1:17" ht="18" x14ac:dyDescent="0.35">
      <c r="B194" s="7"/>
      <c r="D194" s="7" t="s">
        <v>204</v>
      </c>
      <c r="H194" s="7">
        <f t="shared" si="13"/>
        <v>0</v>
      </c>
      <c r="I194" s="46" t="s">
        <v>206</v>
      </c>
    </row>
    <row r="197" spans="1:17" x14ac:dyDescent="0.25">
      <c r="B197" t="s">
        <v>207</v>
      </c>
      <c r="F197" t="s">
        <v>208</v>
      </c>
    </row>
    <row r="198" spans="1:17" x14ac:dyDescent="0.25">
      <c r="B198" s="7" t="s">
        <v>121</v>
      </c>
      <c r="C198" s="7" t="s">
        <v>123</v>
      </c>
      <c r="D198" s="7" t="s">
        <v>122</v>
      </c>
      <c r="F198" s="7" t="s">
        <v>121</v>
      </c>
      <c r="G198" s="7" t="s">
        <v>123</v>
      </c>
      <c r="H198" s="7" t="s">
        <v>122</v>
      </c>
    </row>
    <row r="199" spans="1:17" x14ac:dyDescent="0.25">
      <c r="B199" s="1"/>
      <c r="C199" s="1"/>
      <c r="D199" s="68">
        <f t="shared" ref="D199:D201" si="14">-$B$153*$B$154*H190</f>
        <v>-1000</v>
      </c>
      <c r="F199" s="10"/>
      <c r="G199" s="10"/>
      <c r="H199" s="4">
        <f t="shared" ref="H199:H201" si="15">-D199</f>
        <v>1000</v>
      </c>
      <c r="J199" s="9" t="s">
        <v>211</v>
      </c>
    </row>
    <row r="200" spans="1:17" x14ac:dyDescent="0.25">
      <c r="B200" s="1"/>
      <c r="C200" s="68">
        <f t="shared" ref="C200" si="16">-$B$153*$B$154*G191</f>
        <v>-1000</v>
      </c>
      <c r="D200" s="1"/>
      <c r="F200" s="10"/>
      <c r="G200" s="4">
        <f t="shared" ref="G200" si="17">-C200</f>
        <v>1000</v>
      </c>
      <c r="H200" s="10"/>
      <c r="J200" s="43" t="s">
        <v>346</v>
      </c>
      <c r="K200" s="43"/>
      <c r="L200" s="43"/>
      <c r="M200" s="43"/>
      <c r="N200" s="43"/>
      <c r="O200" s="43"/>
      <c r="P200" s="68">
        <f>G200</f>
        <v>1000</v>
      </c>
      <c r="Q200" t="s">
        <v>347</v>
      </c>
    </row>
    <row r="201" spans="1:17" x14ac:dyDescent="0.25">
      <c r="B201" s="68">
        <f>-$B$153*$B$154*F192</f>
        <v>-663.93461222063581</v>
      </c>
      <c r="C201" s="1"/>
      <c r="D201" s="68">
        <f t="shared" si="14"/>
        <v>0</v>
      </c>
      <c r="F201" s="4">
        <f>-B201</f>
        <v>663.93461222063581</v>
      </c>
      <c r="G201" s="10"/>
      <c r="H201" s="4">
        <f t="shared" si="15"/>
        <v>0</v>
      </c>
      <c r="K201" s="43" t="s">
        <v>348</v>
      </c>
      <c r="L201" s="43"/>
      <c r="M201" s="43"/>
      <c r="N201" s="43"/>
      <c r="O201" s="43" t="s">
        <v>220</v>
      </c>
      <c r="P201" s="71">
        <f>G200-F201</f>
        <v>336.06538777936419</v>
      </c>
    </row>
    <row r="202" spans="1:17" x14ac:dyDescent="0.25">
      <c r="B202" s="1"/>
      <c r="C202" s="1">
        <f t="shared" ref="C202" si="18">-$B$153*$B$154*G193</f>
        <v>0</v>
      </c>
      <c r="D202" s="1"/>
      <c r="F202" s="10"/>
      <c r="G202" s="4">
        <f t="shared" ref="G202" si="19">-C202</f>
        <v>0</v>
      </c>
      <c r="H202" s="10"/>
      <c r="J202" s="43" t="s">
        <v>349</v>
      </c>
      <c r="K202" s="43"/>
      <c r="L202" s="43"/>
      <c r="M202" s="43"/>
      <c r="N202" s="43"/>
      <c r="O202" s="43"/>
      <c r="P202" s="68">
        <f>G202</f>
        <v>0</v>
      </c>
      <c r="Q202" t="s">
        <v>347</v>
      </c>
    </row>
    <row r="203" spans="1:17" x14ac:dyDescent="0.25">
      <c r="B203" s="1"/>
      <c r="C203" s="1"/>
      <c r="D203" s="68">
        <f t="shared" ref="D203" si="20">-$B$153*$B$154*H194</f>
        <v>0</v>
      </c>
      <c r="F203" s="10"/>
      <c r="G203" s="10"/>
      <c r="H203" s="4">
        <f t="shared" ref="H203" si="21">-D203</f>
        <v>0</v>
      </c>
      <c r="K203" s="43" t="s">
        <v>350</v>
      </c>
      <c r="L203" s="43"/>
      <c r="M203" s="43"/>
      <c r="N203" s="43"/>
      <c r="O203" s="43"/>
      <c r="P203" s="71">
        <f>G202-F201</f>
        <v>-663.93461222063581</v>
      </c>
    </row>
    <row r="205" spans="1:17" x14ac:dyDescent="0.25">
      <c r="A205" s="3" t="s">
        <v>212</v>
      </c>
      <c r="B205" s="3"/>
      <c r="C205" s="3"/>
      <c r="D205" s="3"/>
      <c r="E205" s="3"/>
      <c r="F205" s="3"/>
      <c r="G205" s="3"/>
      <c r="H205" s="3"/>
      <c r="I205" s="3"/>
      <c r="J205" s="3"/>
      <c r="K205" s="3"/>
      <c r="L205" s="3"/>
      <c r="M205" s="3"/>
      <c r="N205" s="3"/>
      <c r="O205" s="3"/>
      <c r="P205" s="3"/>
      <c r="Q205" s="3"/>
    </row>
    <row r="207" spans="1:17" x14ac:dyDescent="0.25">
      <c r="A207" s="7" t="s">
        <v>151</v>
      </c>
      <c r="B207" s="8" t="s">
        <v>132</v>
      </c>
      <c r="C207" s="7" t="s">
        <v>41</v>
      </c>
    </row>
    <row r="208" spans="1:17" x14ac:dyDescent="0.25">
      <c r="A208" t="s">
        <v>190</v>
      </c>
      <c r="B208" s="8" t="s">
        <v>191</v>
      </c>
    </row>
    <row r="209" spans="1:6" x14ac:dyDescent="0.25">
      <c r="A209" t="s">
        <v>194</v>
      </c>
      <c r="B209" s="8">
        <v>10</v>
      </c>
    </row>
    <row r="210" spans="1:6" x14ac:dyDescent="0.25">
      <c r="A210" t="s">
        <v>195</v>
      </c>
      <c r="B210" s="8">
        <v>100</v>
      </c>
    </row>
    <row r="212" spans="1:6" x14ac:dyDescent="0.25">
      <c r="B212" t="s">
        <v>189</v>
      </c>
    </row>
    <row r="214" spans="1:6" ht="18" x14ac:dyDescent="0.35">
      <c r="B214" s="77" t="s">
        <v>192</v>
      </c>
      <c r="C214" s="78" t="s">
        <v>28</v>
      </c>
      <c r="D214" s="79" t="s">
        <v>213</v>
      </c>
      <c r="E214" s="79"/>
    </row>
    <row r="215" spans="1:6" ht="18" x14ac:dyDescent="0.35">
      <c r="B215" s="77"/>
      <c r="C215" s="78"/>
      <c r="D215" s="80" t="s">
        <v>188</v>
      </c>
      <c r="E215" s="80"/>
    </row>
    <row r="217" spans="1:6" x14ac:dyDescent="0.25">
      <c r="B217" s="7" t="s">
        <v>75</v>
      </c>
    </row>
    <row r="218" spans="1:6" x14ac:dyDescent="0.25">
      <c r="B218" s="7" t="s">
        <v>121</v>
      </c>
      <c r="C218" s="7" t="s">
        <v>123</v>
      </c>
      <c r="D218" s="7" t="s">
        <v>122</v>
      </c>
    </row>
    <row r="219" spans="1:6" x14ac:dyDescent="0.25">
      <c r="B219" s="7"/>
      <c r="C219" s="7"/>
      <c r="D219" s="7">
        <f>H45</f>
        <v>625</v>
      </c>
    </row>
    <row r="220" spans="1:6" x14ac:dyDescent="0.25">
      <c r="B220" s="7"/>
      <c r="C220" s="7">
        <f>G46</f>
        <v>500</v>
      </c>
      <c r="D220" s="7"/>
    </row>
    <row r="221" spans="1:6" x14ac:dyDescent="0.25">
      <c r="B221" s="7">
        <f>F47</f>
        <v>400</v>
      </c>
      <c r="C221" s="7"/>
      <c r="D221" s="7">
        <f>H47</f>
        <v>400</v>
      </c>
    </row>
    <row r="222" spans="1:6" x14ac:dyDescent="0.25">
      <c r="B222" s="7"/>
      <c r="C222" s="7">
        <f>G48</f>
        <v>320</v>
      </c>
      <c r="D222" s="7"/>
    </row>
    <row r="223" spans="1:6" x14ac:dyDescent="0.25">
      <c r="B223" s="7"/>
      <c r="C223" s="7"/>
      <c r="D223" s="7">
        <f>H49</f>
        <v>256</v>
      </c>
    </row>
    <row r="224" spans="1:6" x14ac:dyDescent="0.25">
      <c r="D224" s="7"/>
      <c r="F224" t="s">
        <v>214</v>
      </c>
    </row>
    <row r="225" spans="1:18" x14ac:dyDescent="0.25">
      <c r="B225" t="s">
        <v>133</v>
      </c>
      <c r="F225" s="18" t="s">
        <v>192</v>
      </c>
      <c r="G225" s="62">
        <f>(C228-C230)/(C220-C222)</f>
        <v>-0.33606538777936434</v>
      </c>
    </row>
    <row r="226" spans="1:18" x14ac:dyDescent="0.25">
      <c r="B226" s="7" t="s">
        <v>121</v>
      </c>
      <c r="C226" s="7" t="s">
        <v>123</v>
      </c>
      <c r="D226" s="7" t="s">
        <v>122</v>
      </c>
    </row>
    <row r="227" spans="1:18" x14ac:dyDescent="0.25">
      <c r="B227" s="7"/>
      <c r="C227" s="7"/>
      <c r="D227" s="7">
        <f>H53</f>
        <v>0</v>
      </c>
      <c r="F227" t="s">
        <v>196</v>
      </c>
    </row>
    <row r="228" spans="1:18" x14ac:dyDescent="0.25">
      <c r="B228" s="7"/>
      <c r="C228" s="7">
        <f>G54</f>
        <v>0</v>
      </c>
      <c r="D228" s="7"/>
      <c r="F228" s="18" t="s">
        <v>192</v>
      </c>
      <c r="G228" s="68">
        <f>-B210*B209*G225</f>
        <v>336.06538777936436</v>
      </c>
    </row>
    <row r="229" spans="1:18" x14ac:dyDescent="0.25">
      <c r="B229" s="10">
        <f>F55</f>
        <v>25.411487594241272</v>
      </c>
      <c r="C229" s="10"/>
      <c r="D229" s="7">
        <f>H55</f>
        <v>0</v>
      </c>
    </row>
    <row r="230" spans="1:18" x14ac:dyDescent="0.25">
      <c r="B230" s="10"/>
      <c r="C230" s="10">
        <f>G56</f>
        <v>60.491769800285581</v>
      </c>
      <c r="D230" s="7"/>
      <c r="F230" s="9" t="s">
        <v>197</v>
      </c>
    </row>
    <row r="231" spans="1:18" x14ac:dyDescent="0.25">
      <c r="B231" s="7"/>
      <c r="C231" s="7"/>
      <c r="D231" s="7">
        <f>H57</f>
        <v>144</v>
      </c>
      <c r="F231" s="43" t="s">
        <v>215</v>
      </c>
      <c r="G231" s="28"/>
      <c r="H231" s="28"/>
      <c r="I231" s="28"/>
      <c r="J231" s="28"/>
      <c r="K231" s="28"/>
    </row>
    <row r="232" spans="1:18" x14ac:dyDescent="0.25">
      <c r="F232" s="43" t="s">
        <v>352</v>
      </c>
      <c r="G232" s="28"/>
      <c r="H232" s="28"/>
      <c r="I232" s="28"/>
      <c r="J232" s="28"/>
      <c r="K232" s="28"/>
    </row>
    <row r="234" spans="1:18" x14ac:dyDescent="0.25">
      <c r="A234" s="3" t="s">
        <v>216</v>
      </c>
      <c r="B234" s="3"/>
      <c r="C234" s="3"/>
      <c r="D234" s="3"/>
      <c r="E234" s="3"/>
      <c r="F234" s="3"/>
      <c r="G234" s="3"/>
      <c r="H234" s="3"/>
      <c r="I234" s="3"/>
      <c r="J234" s="3"/>
      <c r="K234" s="3"/>
      <c r="L234" s="3"/>
      <c r="M234" s="3"/>
      <c r="N234" s="3"/>
      <c r="O234" s="3"/>
      <c r="P234" s="3"/>
      <c r="Q234" s="3"/>
      <c r="R234" s="3"/>
    </row>
    <row r="236" spans="1:18" x14ac:dyDescent="0.25">
      <c r="B236" s="7" t="s">
        <v>75</v>
      </c>
      <c r="F236" t="s">
        <v>133</v>
      </c>
    </row>
    <row r="237" spans="1:18" x14ac:dyDescent="0.25">
      <c r="B237" s="7" t="s">
        <v>121</v>
      </c>
      <c r="C237" s="7" t="s">
        <v>123</v>
      </c>
      <c r="D237" s="7" t="s">
        <v>122</v>
      </c>
      <c r="F237" s="7" t="s">
        <v>121</v>
      </c>
      <c r="G237" s="7" t="s">
        <v>123</v>
      </c>
      <c r="H237" s="7" t="s">
        <v>122</v>
      </c>
    </row>
    <row r="238" spans="1:18" x14ac:dyDescent="0.25">
      <c r="B238" s="7"/>
      <c r="C238" s="7"/>
      <c r="D238" s="7">
        <f t="shared" ref="D238" si="22">D219</f>
        <v>625</v>
      </c>
      <c r="F238" s="10"/>
      <c r="G238" s="10"/>
      <c r="H238" s="4">
        <f t="shared" ref="H238" si="23">D227</f>
        <v>0</v>
      </c>
    </row>
    <row r="239" spans="1:18" x14ac:dyDescent="0.25">
      <c r="B239" s="7"/>
      <c r="C239" s="7">
        <f t="shared" ref="C239:D239" si="24">C220</f>
        <v>500</v>
      </c>
      <c r="D239" s="7">
        <f t="shared" si="24"/>
        <v>0</v>
      </c>
      <c r="F239" s="10"/>
      <c r="G239" s="4">
        <f t="shared" ref="G239" si="25">C228</f>
        <v>0</v>
      </c>
      <c r="H239" s="10"/>
    </row>
    <row r="240" spans="1:18" x14ac:dyDescent="0.25">
      <c r="B240" s="7">
        <f>B221</f>
        <v>400</v>
      </c>
      <c r="C240" s="7"/>
      <c r="D240" s="7">
        <f t="shared" ref="D240" si="26">D221</f>
        <v>400</v>
      </c>
      <c r="F240" s="10">
        <f>B229</f>
        <v>25.411487594241272</v>
      </c>
      <c r="G240" s="10"/>
      <c r="H240" s="4">
        <f t="shared" ref="G240:H242" si="27">D229</f>
        <v>0</v>
      </c>
    </row>
    <row r="241" spans="2:15" x14ac:dyDescent="0.25">
      <c r="B241" s="7"/>
      <c r="C241" s="7">
        <f t="shared" ref="C241" si="28">C222</f>
        <v>320</v>
      </c>
      <c r="D241" s="7"/>
      <c r="F241" s="10"/>
      <c r="G241" s="10">
        <f t="shared" si="27"/>
        <v>60.491769800285581</v>
      </c>
      <c r="H241" s="10"/>
    </row>
    <row r="242" spans="2:15" x14ac:dyDescent="0.25">
      <c r="B242" s="7"/>
      <c r="C242" s="7"/>
      <c r="D242" s="7">
        <f t="shared" ref="D242" si="29">D223</f>
        <v>256</v>
      </c>
      <c r="F242" s="10"/>
      <c r="G242" s="10"/>
      <c r="H242" s="4">
        <f t="shared" si="27"/>
        <v>144</v>
      </c>
    </row>
    <row r="243" spans="2:15" x14ac:dyDescent="0.25">
      <c r="D243" s="7"/>
    </row>
    <row r="244" spans="2:15" x14ac:dyDescent="0.25">
      <c r="B244" t="s">
        <v>198</v>
      </c>
      <c r="F244" t="s">
        <v>198</v>
      </c>
    </row>
    <row r="245" spans="2:15" x14ac:dyDescent="0.25">
      <c r="B245" s="7" t="s">
        <v>121</v>
      </c>
      <c r="C245" s="7" t="s">
        <v>123</v>
      </c>
      <c r="D245" s="7" t="s">
        <v>122</v>
      </c>
      <c r="F245" s="7" t="s">
        <v>121</v>
      </c>
      <c r="G245" s="7" t="s">
        <v>123</v>
      </c>
      <c r="H245" s="7" t="s">
        <v>122</v>
      </c>
    </row>
    <row r="246" spans="2:15" ht="18" x14ac:dyDescent="0.35">
      <c r="B246" s="7"/>
      <c r="D246" s="7" t="s">
        <v>201</v>
      </c>
      <c r="H246" s="7">
        <f>IF(H238&gt;0,1,0)</f>
        <v>0</v>
      </c>
      <c r="I246" s="46" t="s">
        <v>206</v>
      </c>
    </row>
    <row r="247" spans="2:15" ht="18" x14ac:dyDescent="0.35">
      <c r="C247" s="7" t="s">
        <v>200</v>
      </c>
      <c r="D247" s="7"/>
      <c r="G247" s="10">
        <f>(H238-H240)/(D238-D240)</f>
        <v>0</v>
      </c>
      <c r="H247" s="7"/>
      <c r="I247" s="46"/>
    </row>
    <row r="248" spans="2:15" ht="18" x14ac:dyDescent="0.35">
      <c r="B248" s="7" t="s">
        <v>199</v>
      </c>
      <c r="D248" s="7" t="s">
        <v>202</v>
      </c>
      <c r="F248" s="62">
        <f>(G239-G241)/(C239-C241)</f>
        <v>-0.33606538777936434</v>
      </c>
      <c r="H248" s="7">
        <f t="shared" ref="H248" si="30">IF(H240&gt;0,1,0)</f>
        <v>0</v>
      </c>
      <c r="I248" s="46" t="s">
        <v>206</v>
      </c>
    </row>
    <row r="249" spans="2:15" ht="18" x14ac:dyDescent="0.35">
      <c r="B249" s="7"/>
      <c r="C249" s="7" t="s">
        <v>203</v>
      </c>
      <c r="D249" s="7"/>
      <c r="G249" s="7">
        <f>(H240-H242)/(D240-D242)</f>
        <v>-1</v>
      </c>
      <c r="H249" s="7"/>
    </row>
    <row r="250" spans="2:15" ht="18" x14ac:dyDescent="0.35">
      <c r="B250" s="7"/>
      <c r="D250" s="7" t="s">
        <v>204</v>
      </c>
      <c r="H250" s="7">
        <f>-IF(H242&gt;0,1,0)</f>
        <v>-1</v>
      </c>
      <c r="I250" s="46" t="s">
        <v>217</v>
      </c>
    </row>
    <row r="253" spans="2:15" x14ac:dyDescent="0.25">
      <c r="B253" t="s">
        <v>207</v>
      </c>
      <c r="F253" t="s">
        <v>208</v>
      </c>
    </row>
    <row r="254" spans="2:15" x14ac:dyDescent="0.25">
      <c r="B254" s="7" t="s">
        <v>121</v>
      </c>
      <c r="C254" s="7" t="s">
        <v>123</v>
      </c>
      <c r="D254" s="7" t="s">
        <v>122</v>
      </c>
      <c r="F254" s="7" t="s">
        <v>121</v>
      </c>
      <c r="G254" s="7" t="s">
        <v>123</v>
      </c>
      <c r="H254" s="7" t="s">
        <v>122</v>
      </c>
    </row>
    <row r="255" spans="2:15" x14ac:dyDescent="0.25">
      <c r="B255" s="1"/>
      <c r="C255" s="1"/>
      <c r="D255" s="68">
        <f t="shared" ref="D255" si="31">-$B$153*$B$154*H246</f>
        <v>0</v>
      </c>
      <c r="F255" s="10"/>
      <c r="G255" s="10"/>
      <c r="H255" s="4">
        <f t="shared" ref="H255" si="32">-D255</f>
        <v>0</v>
      </c>
      <c r="J255" s="9" t="s">
        <v>211</v>
      </c>
    </row>
    <row r="256" spans="2:15" x14ac:dyDescent="0.25">
      <c r="B256" s="1"/>
      <c r="C256" s="68">
        <f t="shared" ref="C256" si="33">-$B$153*$B$154*G247</f>
        <v>0</v>
      </c>
      <c r="D256" s="1"/>
      <c r="F256" s="10"/>
      <c r="G256" s="10">
        <f t="shared" ref="G256" si="34">-C256</f>
        <v>0</v>
      </c>
      <c r="H256" s="10"/>
      <c r="J256" s="43" t="s">
        <v>209</v>
      </c>
      <c r="K256" s="43"/>
      <c r="L256" s="43"/>
      <c r="M256" s="43"/>
      <c r="N256" s="43"/>
      <c r="O256" s="43"/>
    </row>
    <row r="257" spans="1:15" x14ac:dyDescent="0.25">
      <c r="B257" s="68">
        <f>-$B$153*$B$154*F248</f>
        <v>336.06538777936436</v>
      </c>
      <c r="C257" s="1"/>
      <c r="D257" s="1">
        <f t="shared" ref="D257" si="35">-$B$153*$B$154*H248</f>
        <v>0</v>
      </c>
      <c r="F257" s="4">
        <f>-B257</f>
        <v>-336.06538777936436</v>
      </c>
      <c r="G257" s="10"/>
      <c r="H257" s="4">
        <f t="shared" ref="H257" si="36">-D257</f>
        <v>0</v>
      </c>
      <c r="J257" s="71">
        <f>G256-F257</f>
        <v>336.06538777936436</v>
      </c>
      <c r="K257" s="43" t="s">
        <v>353</v>
      </c>
      <c r="L257" s="43"/>
      <c r="M257" s="43"/>
      <c r="N257" s="43"/>
      <c r="O257" s="43"/>
    </row>
    <row r="258" spans="1:15" x14ac:dyDescent="0.25">
      <c r="B258" s="1"/>
      <c r="C258" s="68">
        <f t="shared" ref="C258" si="37">-$B$153*$B$154*G249</f>
        <v>1000</v>
      </c>
      <c r="D258" s="1"/>
      <c r="F258" s="10"/>
      <c r="G258" s="4">
        <f t="shared" ref="G258" si="38">-C258</f>
        <v>-1000</v>
      </c>
      <c r="H258" s="10"/>
      <c r="J258" s="43" t="s">
        <v>210</v>
      </c>
      <c r="K258" s="43"/>
      <c r="L258" s="43"/>
      <c r="M258" s="43"/>
      <c r="N258" s="43"/>
      <c r="O258" s="43"/>
    </row>
    <row r="259" spans="1:15" x14ac:dyDescent="0.25">
      <c r="B259" s="1"/>
      <c r="C259" s="1"/>
      <c r="D259" s="68">
        <f t="shared" ref="D259" si="39">-$B$153*$B$154*H250</f>
        <v>1000</v>
      </c>
      <c r="F259" s="10"/>
      <c r="G259" s="10"/>
      <c r="H259" s="4">
        <f t="shared" ref="H259" si="40">-D259</f>
        <v>-1000</v>
      </c>
      <c r="J259" s="71">
        <f>G258-F257</f>
        <v>-663.9346122206357</v>
      </c>
      <c r="K259" s="43" t="s">
        <v>354</v>
      </c>
      <c r="L259" s="43"/>
      <c r="M259" s="43"/>
      <c r="N259" s="43"/>
      <c r="O259" s="43"/>
    </row>
    <row r="261" spans="1:15" x14ac:dyDescent="0.25">
      <c r="I261" s="36"/>
    </row>
    <row r="262" spans="1:15" x14ac:dyDescent="0.25">
      <c r="A262" s="3" t="s">
        <v>314</v>
      </c>
      <c r="B262" s="3"/>
      <c r="C262" s="3"/>
      <c r="D262" s="3"/>
      <c r="E262" s="3"/>
      <c r="F262" s="3"/>
      <c r="G262" s="3"/>
      <c r="H262" s="3"/>
      <c r="I262" s="63"/>
    </row>
    <row r="263" spans="1:15" x14ac:dyDescent="0.25">
      <c r="A263" s="3"/>
      <c r="B263" s="3"/>
      <c r="C263" s="3"/>
      <c r="D263" s="3"/>
      <c r="E263" s="3"/>
      <c r="F263" s="3"/>
      <c r="G263" s="3"/>
      <c r="H263" s="3"/>
      <c r="I263" s="63"/>
    </row>
    <row r="264" spans="1:15" ht="18" x14ac:dyDescent="0.35">
      <c r="B264" t="s">
        <v>109</v>
      </c>
      <c r="C264" s="39">
        <f>C130</f>
        <v>0.95122942450071402</v>
      </c>
      <c r="I264" s="36"/>
    </row>
    <row r="265" spans="1:15" x14ac:dyDescent="0.25">
      <c r="I265" s="36"/>
    </row>
    <row r="266" spans="1:15" x14ac:dyDescent="0.25">
      <c r="B266" s="7" t="s">
        <v>75</v>
      </c>
      <c r="F266" t="s">
        <v>44</v>
      </c>
      <c r="I266" s="36"/>
    </row>
    <row r="267" spans="1:15" x14ac:dyDescent="0.25">
      <c r="B267" s="7" t="str">
        <f>B181</f>
        <v>t = 0</v>
      </c>
      <c r="C267" s="7" t="str">
        <f>C181</f>
        <v>t = 0,5</v>
      </c>
      <c r="D267" s="7" t="str">
        <f>D181</f>
        <v>t = 1</v>
      </c>
      <c r="E267" s="7"/>
      <c r="F267" s="7" t="str">
        <f>F181</f>
        <v>t = 0</v>
      </c>
      <c r="G267" s="7" t="str">
        <f>G181</f>
        <v>t = 0,5</v>
      </c>
      <c r="H267" s="7" t="str">
        <f>H181</f>
        <v>t = 1</v>
      </c>
      <c r="I267" s="36"/>
    </row>
    <row r="268" spans="1:15" x14ac:dyDescent="0.25">
      <c r="B268" s="7"/>
      <c r="C268" s="7"/>
      <c r="D268" s="7">
        <f>D182</f>
        <v>625</v>
      </c>
      <c r="E268" s="7"/>
      <c r="F268" s="7"/>
      <c r="G268" s="7"/>
      <c r="H268" s="7">
        <f>H182</f>
        <v>225</v>
      </c>
      <c r="I268" s="36"/>
    </row>
    <row r="269" spans="1:15" x14ac:dyDescent="0.25">
      <c r="B269" s="7"/>
      <c r="C269" s="7">
        <f>C183</f>
        <v>500</v>
      </c>
      <c r="D269" s="7"/>
      <c r="F269" s="7"/>
      <c r="G269" s="10">
        <f>G183</f>
        <v>119.50823019971443</v>
      </c>
      <c r="H269" s="7"/>
      <c r="I269" s="36"/>
    </row>
    <row r="270" spans="1:15" x14ac:dyDescent="0.25">
      <c r="B270" s="7">
        <f>B184</f>
        <v>400</v>
      </c>
      <c r="C270" s="7"/>
      <c r="D270" s="7">
        <f>D184</f>
        <v>400</v>
      </c>
      <c r="F270" s="10">
        <f>F184</f>
        <v>63.47652037985749</v>
      </c>
      <c r="G270" s="7"/>
      <c r="H270" s="7">
        <f>H184</f>
        <v>0</v>
      </c>
      <c r="I270" s="36"/>
    </row>
    <row r="271" spans="1:15" x14ac:dyDescent="0.25">
      <c r="B271" s="7"/>
      <c r="C271" s="7">
        <f>C185</f>
        <v>320</v>
      </c>
      <c r="D271" s="7"/>
      <c r="F271" s="7"/>
      <c r="G271" s="7">
        <f>G185</f>
        <v>0</v>
      </c>
      <c r="H271" s="7"/>
      <c r="I271" s="36"/>
    </row>
    <row r="272" spans="1:15" x14ac:dyDescent="0.25">
      <c r="B272" s="7"/>
      <c r="C272" s="7"/>
      <c r="D272" s="7">
        <f>D186</f>
        <v>256</v>
      </c>
      <c r="F272" s="7"/>
      <c r="G272" s="7"/>
      <c r="H272" s="7">
        <f>H186</f>
        <v>0</v>
      </c>
      <c r="I272" s="36"/>
    </row>
    <row r="273" spans="1:24" x14ac:dyDescent="0.25">
      <c r="I273" s="36"/>
    </row>
    <row r="274" spans="1:24" x14ac:dyDescent="0.25">
      <c r="I274" s="36"/>
      <c r="J274" s="9" t="s">
        <v>310</v>
      </c>
      <c r="K274" s="9"/>
      <c r="L274" s="9"/>
      <c r="M274" s="9"/>
    </row>
    <row r="275" spans="1:24" x14ac:dyDescent="0.25">
      <c r="B275" t="s">
        <v>308</v>
      </c>
      <c r="F275" t="s">
        <v>309</v>
      </c>
      <c r="I275" s="36"/>
      <c r="J275" s="9" t="s">
        <v>311</v>
      </c>
      <c r="K275" s="9"/>
      <c r="L275" s="9"/>
      <c r="M275" s="9"/>
    </row>
    <row r="276" spans="1:24" x14ac:dyDescent="0.25">
      <c r="B276" s="7" t="s">
        <v>121</v>
      </c>
      <c r="C276" s="7" t="s">
        <v>123</v>
      </c>
      <c r="D276" s="7" t="s">
        <v>122</v>
      </c>
      <c r="F276" s="7" t="s">
        <v>121</v>
      </c>
      <c r="G276" s="7" t="s">
        <v>123</v>
      </c>
      <c r="H276" s="7" t="s">
        <v>122</v>
      </c>
      <c r="I276" s="36"/>
      <c r="J276" s="41" t="s">
        <v>121</v>
      </c>
      <c r="K276" s="41" t="s">
        <v>123</v>
      </c>
      <c r="L276" s="41" t="s">
        <v>122</v>
      </c>
    </row>
    <row r="277" spans="1:24" x14ac:dyDescent="0.25">
      <c r="B277" s="7"/>
      <c r="C277" s="7"/>
      <c r="D277" s="7">
        <f>H190</f>
        <v>1</v>
      </c>
      <c r="H277" s="10">
        <f>G278/C264</f>
        <v>-400</v>
      </c>
      <c r="I277" s="36"/>
      <c r="J277" s="41"/>
      <c r="K277" s="41"/>
      <c r="L277" s="2">
        <f>-H268+D277*D268+H277</f>
        <v>0</v>
      </c>
    </row>
    <row r="278" spans="1:24" x14ac:dyDescent="0.25">
      <c r="B278" s="7"/>
      <c r="C278" s="7">
        <f>G191</f>
        <v>1</v>
      </c>
      <c r="D278" s="7"/>
      <c r="G278" s="1">
        <f>(H268-C278*D268)*$C$264</f>
        <v>-380.49176980028562</v>
      </c>
      <c r="H278" s="7"/>
      <c r="I278" s="36"/>
      <c r="J278" s="41"/>
      <c r="K278" s="2">
        <f>-G269+C278*C269+G278</f>
        <v>0</v>
      </c>
      <c r="L278" s="41"/>
    </row>
    <row r="279" spans="1:24" x14ac:dyDescent="0.25">
      <c r="B279" s="62">
        <f>F192</f>
        <v>0.66393461222063577</v>
      </c>
      <c r="C279" s="7"/>
      <c r="D279" s="7">
        <f>H192</f>
        <v>0</v>
      </c>
      <c r="F279" s="1">
        <f>(G269-B279*C269)*$C$264</f>
        <v>-202.09732450839687</v>
      </c>
      <c r="H279" s="7">
        <f>G280</f>
        <v>0</v>
      </c>
      <c r="I279" s="36"/>
      <c r="J279" s="2">
        <f>-F270+B279*B270+F279</f>
        <v>0</v>
      </c>
      <c r="K279" s="41"/>
      <c r="L279" s="2">
        <f>-H270+D279*D270+H279</f>
        <v>0</v>
      </c>
    </row>
    <row r="280" spans="1:24" x14ac:dyDescent="0.25">
      <c r="B280" s="7"/>
      <c r="C280" s="7">
        <f>G193</f>
        <v>0</v>
      </c>
      <c r="D280" s="7"/>
      <c r="G280">
        <f>(G271-C280*D270)*$C$264</f>
        <v>0</v>
      </c>
      <c r="H280" s="7"/>
      <c r="I280" s="36"/>
      <c r="J280" s="41"/>
      <c r="K280" s="2">
        <f>-G271+C280*C271+G280</f>
        <v>0</v>
      </c>
      <c r="L280" s="41"/>
    </row>
    <row r="281" spans="1:24" x14ac:dyDescent="0.25">
      <c r="B281" s="7"/>
      <c r="C281" s="7"/>
      <c r="D281" s="7">
        <f>H194</f>
        <v>0</v>
      </c>
      <c r="H281" s="7">
        <f>G280</f>
        <v>0</v>
      </c>
      <c r="I281" s="36"/>
      <c r="J281" s="41"/>
      <c r="K281" s="41"/>
      <c r="L281" s="2">
        <f>-H272+D281*D272+H281</f>
        <v>0</v>
      </c>
    </row>
    <row r="283" spans="1:24" x14ac:dyDescent="0.25">
      <c r="A283" s="3" t="s">
        <v>312</v>
      </c>
      <c r="B283" s="3"/>
      <c r="C283" s="3"/>
      <c r="D283" s="3"/>
      <c r="E283" s="3"/>
      <c r="F283" s="3"/>
      <c r="G283" s="3"/>
      <c r="H283" s="3"/>
      <c r="I283" s="3"/>
      <c r="J283" s="3"/>
      <c r="K283" s="3"/>
      <c r="L283" s="3"/>
      <c r="M283" s="3"/>
      <c r="N283" s="3"/>
      <c r="O283" s="3"/>
      <c r="P283" s="3"/>
      <c r="Q283" s="3"/>
      <c r="R283" s="3"/>
      <c r="S283" s="3"/>
      <c r="T283" s="3"/>
      <c r="U283" s="3"/>
      <c r="V283" s="3"/>
      <c r="W283" s="3"/>
      <c r="X283" s="3"/>
    </row>
    <row r="285" spans="1:24" x14ac:dyDescent="0.25">
      <c r="B285" s="7" t="s">
        <v>75</v>
      </c>
      <c r="F285" t="s">
        <v>44</v>
      </c>
    </row>
    <row r="286" spans="1:24" x14ac:dyDescent="0.25">
      <c r="B286" s="7" t="s">
        <v>121</v>
      </c>
      <c r="C286" s="7" t="s">
        <v>123</v>
      </c>
      <c r="D286" s="7" t="s">
        <v>122</v>
      </c>
      <c r="F286" s="7" t="s">
        <v>121</v>
      </c>
      <c r="G286" s="7" t="s">
        <v>123</v>
      </c>
      <c r="H286" s="7" t="s">
        <v>122</v>
      </c>
    </row>
    <row r="287" spans="1:24" x14ac:dyDescent="0.25">
      <c r="B287" s="7"/>
      <c r="C287" s="7"/>
      <c r="D287" s="7">
        <f t="shared" ref="D287:H287" si="41">D182</f>
        <v>625</v>
      </c>
      <c r="E287" s="7"/>
      <c r="F287" s="7"/>
      <c r="G287" s="7"/>
      <c r="H287" s="7">
        <f t="shared" si="41"/>
        <v>225</v>
      </c>
    </row>
    <row r="288" spans="1:24" x14ac:dyDescent="0.25">
      <c r="B288" s="7"/>
      <c r="C288" s="7">
        <f t="shared" ref="C288:G288" si="42">C183</f>
        <v>500</v>
      </c>
      <c r="D288" s="7"/>
      <c r="E288" s="7"/>
      <c r="F288" s="7"/>
      <c r="G288" s="10">
        <f t="shared" si="42"/>
        <v>119.50823019971443</v>
      </c>
      <c r="H288" s="10"/>
    </row>
    <row r="289" spans="1:24" x14ac:dyDescent="0.25">
      <c r="B289" s="7">
        <f t="shared" ref="B289:H289" si="43">B184</f>
        <v>400</v>
      </c>
      <c r="C289" s="7"/>
      <c r="D289" s="7">
        <f t="shared" si="43"/>
        <v>400</v>
      </c>
      <c r="E289" s="7"/>
      <c r="F289" s="10">
        <f t="shared" si="43"/>
        <v>63.47652037985749</v>
      </c>
      <c r="G289" s="7"/>
      <c r="H289" s="7">
        <f t="shared" si="43"/>
        <v>0</v>
      </c>
    </row>
    <row r="290" spans="1:24" x14ac:dyDescent="0.25">
      <c r="B290" s="7"/>
      <c r="C290" s="7">
        <f t="shared" ref="C290:G290" si="44">C185</f>
        <v>320</v>
      </c>
      <c r="D290" s="7"/>
      <c r="E290" s="7"/>
      <c r="F290" s="7"/>
      <c r="G290" s="7">
        <f t="shared" si="44"/>
        <v>0</v>
      </c>
      <c r="H290" s="7"/>
    </row>
    <row r="291" spans="1:24" x14ac:dyDescent="0.25">
      <c r="B291" s="7"/>
      <c r="C291" s="7"/>
      <c r="D291" s="7">
        <f t="shared" ref="D291:H291" si="45">D186</f>
        <v>256</v>
      </c>
      <c r="E291" s="7"/>
      <c r="F291" s="7"/>
      <c r="G291" s="7"/>
      <c r="H291" s="7">
        <f t="shared" si="45"/>
        <v>0</v>
      </c>
    </row>
    <row r="293" spans="1:24" x14ac:dyDescent="0.25">
      <c r="B293" s="9" t="s">
        <v>218</v>
      </c>
    </row>
    <row r="294" spans="1:24" x14ac:dyDescent="0.25">
      <c r="C294" s="43" t="s">
        <v>355</v>
      </c>
      <c r="D294" s="28"/>
      <c r="E294" s="28"/>
      <c r="F294" s="28"/>
    </row>
    <row r="295" spans="1:24" x14ac:dyDescent="0.25">
      <c r="C295" s="47">
        <f>G288/F289-1</f>
        <v>0.88271552196860892</v>
      </c>
      <c r="D295" s="28"/>
      <c r="E295" s="28"/>
      <c r="F295" s="28"/>
    </row>
    <row r="296" spans="1:24" x14ac:dyDescent="0.25">
      <c r="C296" s="43" t="s">
        <v>356</v>
      </c>
      <c r="D296" s="28"/>
      <c r="E296" s="28"/>
      <c r="F296" s="28"/>
    </row>
    <row r="297" spans="1:24" x14ac:dyDescent="0.25">
      <c r="C297" s="48">
        <f>G290/F289-1</f>
        <v>-1</v>
      </c>
      <c r="D297" s="28"/>
      <c r="E297" s="28"/>
      <c r="F297" s="28"/>
    </row>
    <row r="299" spans="1:24" x14ac:dyDescent="0.25">
      <c r="A299" s="3" t="s">
        <v>313</v>
      </c>
      <c r="B299" s="3"/>
      <c r="C299" s="3"/>
      <c r="D299" s="3"/>
      <c r="E299" s="3"/>
      <c r="F299" s="3"/>
      <c r="G299" s="3"/>
      <c r="H299" s="3"/>
      <c r="I299" s="3"/>
      <c r="J299" s="3"/>
      <c r="K299" s="3"/>
      <c r="L299" s="3"/>
      <c r="M299" s="3"/>
      <c r="N299" s="3"/>
      <c r="O299" s="3"/>
      <c r="P299" s="3"/>
      <c r="Q299" s="3"/>
      <c r="R299" s="3"/>
      <c r="S299" s="3"/>
      <c r="T299" s="3"/>
      <c r="U299" s="3"/>
      <c r="V299" s="3"/>
      <c r="W299" s="3"/>
      <c r="X299" s="3"/>
    </row>
    <row r="301" spans="1:24" x14ac:dyDescent="0.25">
      <c r="B301" s="7" t="s">
        <v>75</v>
      </c>
      <c r="F301" t="s">
        <v>133</v>
      </c>
    </row>
    <row r="302" spans="1:24" x14ac:dyDescent="0.25">
      <c r="B302" s="7" t="s">
        <v>121</v>
      </c>
      <c r="C302" s="7" t="s">
        <v>123</v>
      </c>
      <c r="D302" s="7" t="s">
        <v>122</v>
      </c>
      <c r="F302" s="7" t="s">
        <v>121</v>
      </c>
      <c r="G302" s="7" t="s">
        <v>123</v>
      </c>
      <c r="H302" s="7" t="s">
        <v>122</v>
      </c>
    </row>
    <row r="303" spans="1:24" x14ac:dyDescent="0.25">
      <c r="B303" s="7"/>
      <c r="C303" s="7"/>
      <c r="D303" s="7">
        <f t="shared" ref="D303:H303" si="46">D238</f>
        <v>625</v>
      </c>
      <c r="E303" s="7"/>
      <c r="F303" s="7"/>
      <c r="G303" s="7"/>
      <c r="H303" s="7">
        <f t="shared" si="46"/>
        <v>0</v>
      </c>
    </row>
    <row r="304" spans="1:24" x14ac:dyDescent="0.25">
      <c r="B304" s="7"/>
      <c r="C304" s="7">
        <f t="shared" ref="C304:G304" si="47">C239</f>
        <v>500</v>
      </c>
      <c r="D304" s="7"/>
      <c r="E304" s="7"/>
      <c r="F304" s="7"/>
      <c r="G304" s="7">
        <f t="shared" si="47"/>
        <v>0</v>
      </c>
      <c r="H304" s="7"/>
    </row>
    <row r="305" spans="2:8" x14ac:dyDescent="0.25">
      <c r="B305" s="7">
        <f t="shared" ref="B305:H305" si="48">B240</f>
        <v>400</v>
      </c>
      <c r="C305" s="7"/>
      <c r="D305" s="7">
        <f t="shared" si="48"/>
        <v>400</v>
      </c>
      <c r="E305" s="7"/>
      <c r="F305" s="10">
        <f t="shared" si="48"/>
        <v>25.411487594241272</v>
      </c>
      <c r="G305" s="7"/>
      <c r="H305" s="7">
        <f t="shared" si="48"/>
        <v>0</v>
      </c>
    </row>
    <row r="306" spans="2:8" x14ac:dyDescent="0.25">
      <c r="B306" s="7"/>
      <c r="C306" s="7">
        <f t="shared" ref="C306:G306" si="49">C241</f>
        <v>320</v>
      </c>
      <c r="D306" s="7"/>
      <c r="E306" s="7"/>
      <c r="F306" s="7"/>
      <c r="G306" s="10">
        <f t="shared" si="49"/>
        <v>60.491769800285581</v>
      </c>
      <c r="H306" s="7"/>
    </row>
    <row r="307" spans="2:8" x14ac:dyDescent="0.25">
      <c r="B307" s="7"/>
      <c r="C307" s="7"/>
      <c r="D307" s="7">
        <f t="shared" ref="D307:H307" si="50">D242</f>
        <v>256</v>
      </c>
      <c r="E307" s="7"/>
      <c r="F307" s="7"/>
      <c r="G307" s="7"/>
      <c r="H307" s="7">
        <f t="shared" si="50"/>
        <v>144</v>
      </c>
    </row>
    <row r="309" spans="2:8" x14ac:dyDescent="0.25">
      <c r="B309" s="9" t="s">
        <v>357</v>
      </c>
    </row>
    <row r="310" spans="2:8" x14ac:dyDescent="0.25">
      <c r="C310" s="43" t="s">
        <v>209</v>
      </c>
      <c r="D310" s="28"/>
      <c r="E310" s="28"/>
      <c r="F310" s="28"/>
    </row>
    <row r="311" spans="2:8" x14ac:dyDescent="0.25">
      <c r="C311" s="47">
        <f>G304/F305-1</f>
        <v>-1</v>
      </c>
      <c r="D311" s="28"/>
      <c r="E311" s="28"/>
      <c r="F311" s="28"/>
    </row>
    <row r="312" spans="2:8" x14ac:dyDescent="0.25">
      <c r="C312" s="43" t="s">
        <v>210</v>
      </c>
      <c r="D312" s="28"/>
      <c r="E312" s="28"/>
      <c r="F312" s="28"/>
    </row>
    <row r="313" spans="2:8" x14ac:dyDescent="0.25">
      <c r="C313" s="48">
        <f>G306/F305-1</f>
        <v>1.3804891223288389</v>
      </c>
      <c r="D313" s="28"/>
      <c r="E313" s="28"/>
      <c r="F313" s="28"/>
    </row>
  </sheetData>
  <mergeCells count="8">
    <mergeCell ref="B158:B159"/>
    <mergeCell ref="C158:C159"/>
    <mergeCell ref="D158:E158"/>
    <mergeCell ref="D159:E159"/>
    <mergeCell ref="B214:B215"/>
    <mergeCell ref="C214:C215"/>
    <mergeCell ref="D214:E214"/>
    <mergeCell ref="D215:E2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M71"/>
  <sheetViews>
    <sheetView topLeftCell="A15" workbookViewId="0">
      <selection activeCell="H11" sqref="H11"/>
    </sheetView>
  </sheetViews>
  <sheetFormatPr defaultRowHeight="15" x14ac:dyDescent="0.25"/>
  <sheetData>
    <row r="3" spans="1:10" x14ac:dyDescent="0.25">
      <c r="A3" s="7" t="s">
        <v>29</v>
      </c>
      <c r="B3" s="8">
        <v>400</v>
      </c>
      <c r="C3" t="s">
        <v>2</v>
      </c>
    </row>
    <row r="4" spans="1:10" x14ac:dyDescent="0.25">
      <c r="A4" s="7" t="s">
        <v>63</v>
      </c>
      <c r="B4" s="6">
        <f>125%</f>
        <v>1.25</v>
      </c>
    </row>
    <row r="5" spans="1:10" x14ac:dyDescent="0.25">
      <c r="A5" s="7" t="s">
        <v>56</v>
      </c>
      <c r="B5" s="6">
        <f>80%</f>
        <v>0.8</v>
      </c>
    </row>
    <row r="6" spans="1:10" x14ac:dyDescent="0.25">
      <c r="A6" s="18" t="s">
        <v>66</v>
      </c>
      <c r="B6" s="8">
        <v>1</v>
      </c>
      <c r="C6" t="s">
        <v>43</v>
      </c>
    </row>
    <row r="7" spans="1:10" ht="18" x14ac:dyDescent="0.35">
      <c r="A7" s="7" t="s">
        <v>32</v>
      </c>
      <c r="B7" s="6">
        <v>0.1</v>
      </c>
      <c r="C7" t="s">
        <v>108</v>
      </c>
    </row>
    <row r="9" spans="1:10" x14ac:dyDescent="0.25">
      <c r="A9" s="15" t="s">
        <v>292</v>
      </c>
      <c r="B9" s="3"/>
      <c r="C9" s="3"/>
      <c r="D9" s="3"/>
      <c r="E9" s="3"/>
      <c r="F9" s="3"/>
      <c r="G9" s="3"/>
      <c r="H9" s="3"/>
      <c r="I9" s="3"/>
      <c r="J9" s="3"/>
    </row>
    <row r="11" spans="1:10" x14ac:dyDescent="0.25">
      <c r="A11" s="7" t="s">
        <v>261</v>
      </c>
      <c r="B11" s="6">
        <v>0.03</v>
      </c>
      <c r="C11" t="s">
        <v>43</v>
      </c>
    </row>
    <row r="12" spans="1:10" x14ac:dyDescent="0.25">
      <c r="A12" s="7" t="s">
        <v>4</v>
      </c>
      <c r="B12" s="8">
        <v>300</v>
      </c>
      <c r="C12" t="s">
        <v>2</v>
      </c>
    </row>
    <row r="14" spans="1:10" ht="18" x14ac:dyDescent="0.35">
      <c r="B14" s="7" t="s">
        <v>3</v>
      </c>
      <c r="C14" s="39">
        <f>EXP(-$B$7*$B$6)</f>
        <v>0.90483741803595952</v>
      </c>
    </row>
    <row r="15" spans="1:10" x14ac:dyDescent="0.25">
      <c r="B15" s="7" t="s">
        <v>55</v>
      </c>
      <c r="C15" s="39">
        <f>(1/C14-B5)/(B4-B5)</f>
        <v>0.67815759572366152</v>
      </c>
    </row>
    <row r="17" spans="2:13" x14ac:dyDescent="0.25">
      <c r="B17" s="7" t="s">
        <v>75</v>
      </c>
      <c r="I17" t="s">
        <v>44</v>
      </c>
    </row>
    <row r="18" spans="2:13" x14ac:dyDescent="0.25">
      <c r="B18" s="7" t="s">
        <v>121</v>
      </c>
      <c r="C18" s="7" t="s">
        <v>122</v>
      </c>
      <c r="D18" s="7" t="s">
        <v>256</v>
      </c>
      <c r="E18" s="7" t="s">
        <v>293</v>
      </c>
      <c r="I18" s="7" t="s">
        <v>121</v>
      </c>
      <c r="J18" s="7" t="s">
        <v>122</v>
      </c>
      <c r="K18" s="7" t="s">
        <v>256</v>
      </c>
      <c r="L18" s="7" t="s">
        <v>293</v>
      </c>
    </row>
    <row r="19" spans="2:13" x14ac:dyDescent="0.25">
      <c r="E19" s="7">
        <f>D20*B4</f>
        <v>781.25</v>
      </c>
      <c r="L19" s="7">
        <f>MAX(E19-$B$12,0)</f>
        <v>481.25</v>
      </c>
    </row>
    <row r="20" spans="2:13" x14ac:dyDescent="0.25">
      <c r="B20" s="7"/>
      <c r="C20" s="7"/>
      <c r="D20" s="7">
        <f>C21*B4</f>
        <v>625</v>
      </c>
      <c r="E20" s="7"/>
      <c r="I20" s="7"/>
      <c r="J20" s="7"/>
      <c r="K20" s="10">
        <f>(L19*$C$15+L21*(1-$C$15))*$C$14</f>
        <v>353.54877458921214</v>
      </c>
      <c r="L20" s="7"/>
    </row>
    <row r="21" spans="2:13" x14ac:dyDescent="0.25">
      <c r="B21" s="7"/>
      <c r="C21" s="7">
        <f>B3*B4</f>
        <v>500</v>
      </c>
      <c r="D21" s="7"/>
      <c r="E21" s="7">
        <f>D20*B5</f>
        <v>500</v>
      </c>
      <c r="I21" s="7"/>
      <c r="J21" s="10">
        <f>(K20*$C$15+K22*(1-$C$15))*$C$14</f>
        <v>254.38077407660549</v>
      </c>
      <c r="K21" s="7"/>
      <c r="L21" s="7">
        <f t="shared" ref="L21:L25" si="0">MAX(E21-$B$12,0)</f>
        <v>200</v>
      </c>
    </row>
    <row r="22" spans="2:13" x14ac:dyDescent="0.25">
      <c r="B22" s="7">
        <f>B3</f>
        <v>400</v>
      </c>
      <c r="C22" s="7"/>
      <c r="D22" s="7">
        <f>C21*B5</f>
        <v>400</v>
      </c>
      <c r="E22" s="7"/>
      <c r="I22" s="10">
        <f>(J21*$C$15+J23*(1-$C$15))*$C$14</f>
        <v>180.10567328294781</v>
      </c>
      <c r="J22" s="7"/>
      <c r="K22" s="10">
        <f>(L21*$C$15+L23*(1-$C$15))*$C$14</f>
        <v>128.54877458921214</v>
      </c>
      <c r="L22" s="7"/>
    </row>
    <row r="23" spans="2:13" x14ac:dyDescent="0.25">
      <c r="B23" s="7"/>
      <c r="C23" s="7">
        <f>B22*B5</f>
        <v>320</v>
      </c>
      <c r="D23" s="7"/>
      <c r="E23" s="7">
        <f>D22*B5</f>
        <v>320</v>
      </c>
      <c r="I23" s="7"/>
      <c r="J23" s="10">
        <f>(K22*$C$15+K24*(1-$C$15))*$C$14</f>
        <v>82.454324831131004</v>
      </c>
      <c r="K23" s="7"/>
      <c r="L23" s="7">
        <f t="shared" si="0"/>
        <v>20</v>
      </c>
    </row>
    <row r="24" spans="2:13" x14ac:dyDescent="0.25">
      <c r="B24" s="7"/>
      <c r="C24" s="7"/>
      <c r="D24" s="7">
        <f>C23*B5</f>
        <v>256</v>
      </c>
      <c r="E24" s="7"/>
      <c r="I24" s="7"/>
      <c r="J24" s="7"/>
      <c r="K24" s="10">
        <f>(L23*$C$15+L25*(1-$C$15))*$C$14</f>
        <v>12.27244735872144</v>
      </c>
      <c r="L24" s="7"/>
    </row>
    <row r="25" spans="2:13" x14ac:dyDescent="0.25">
      <c r="E25" s="10">
        <f>D24*B5</f>
        <v>204.8</v>
      </c>
      <c r="L25" s="7">
        <f t="shared" si="0"/>
        <v>0</v>
      </c>
    </row>
    <row r="27" spans="2:13" x14ac:dyDescent="0.25">
      <c r="B27" t="s">
        <v>198</v>
      </c>
      <c r="I27" s="9" t="s">
        <v>198</v>
      </c>
    </row>
    <row r="28" spans="2:13" x14ac:dyDescent="0.25">
      <c r="B28" s="7" t="s">
        <v>121</v>
      </c>
      <c r="C28" s="7" t="s">
        <v>122</v>
      </c>
      <c r="D28" s="7" t="s">
        <v>256</v>
      </c>
      <c r="E28" s="7" t="s">
        <v>293</v>
      </c>
      <c r="I28" s="41" t="s">
        <v>121</v>
      </c>
      <c r="J28" s="41" t="s">
        <v>122</v>
      </c>
      <c r="K28" s="41" t="s">
        <v>256</v>
      </c>
      <c r="L28" s="41" t="s">
        <v>293</v>
      </c>
    </row>
    <row r="29" spans="2:13" ht="18" x14ac:dyDescent="0.35">
      <c r="E29" s="7" t="s">
        <v>299</v>
      </c>
      <c r="I29" s="43"/>
      <c r="J29" s="43"/>
      <c r="K29" s="43"/>
      <c r="L29" s="41">
        <f>IF(L19&gt;0,1,0)</f>
        <v>1</v>
      </c>
      <c r="M29" s="46" t="s">
        <v>205</v>
      </c>
    </row>
    <row r="30" spans="2:13" ht="18" x14ac:dyDescent="0.35">
      <c r="B30" s="7"/>
      <c r="D30" s="7" t="s">
        <v>296</v>
      </c>
      <c r="E30" s="7"/>
      <c r="I30" s="43"/>
      <c r="J30" s="43"/>
      <c r="K30" s="2">
        <f>(L19-L21)/(E19-E21)</f>
        <v>1</v>
      </c>
      <c r="L30" s="41"/>
      <c r="M30" s="46"/>
    </row>
    <row r="31" spans="2:13" ht="18" x14ac:dyDescent="0.35">
      <c r="C31" s="7" t="s">
        <v>294</v>
      </c>
      <c r="D31" s="7"/>
      <c r="E31" s="38" t="s">
        <v>300</v>
      </c>
      <c r="I31" s="43"/>
      <c r="J31" s="2">
        <f>(K20-K22)/(D20-D22)</f>
        <v>1</v>
      </c>
      <c r="K31" s="43"/>
      <c r="L31" s="41">
        <f t="shared" ref="L31:L35" si="1">IF(L21&gt;0,1,0)</f>
        <v>1</v>
      </c>
      <c r="M31" s="46" t="s">
        <v>205</v>
      </c>
    </row>
    <row r="32" spans="2:13" ht="18" x14ac:dyDescent="0.35">
      <c r="B32" s="7" t="s">
        <v>199</v>
      </c>
      <c r="D32" s="7" t="s">
        <v>297</v>
      </c>
      <c r="E32" s="7"/>
      <c r="I32" s="61">
        <f>(J21-J23)/(C21-C23)</f>
        <v>0.95514694025263602</v>
      </c>
      <c r="J32" s="43"/>
      <c r="K32" s="61">
        <f>(L21-L23)/(E21-E23)</f>
        <v>1</v>
      </c>
      <c r="L32" s="41"/>
      <c r="M32" s="46"/>
    </row>
    <row r="33" spans="1:13" ht="18" x14ac:dyDescent="0.35">
      <c r="B33" s="7"/>
      <c r="C33" s="7" t="s">
        <v>295</v>
      </c>
      <c r="D33" s="7"/>
      <c r="E33" s="38" t="s">
        <v>301</v>
      </c>
      <c r="I33" s="43"/>
      <c r="J33" s="2">
        <f>(K22-K24)/(D22-D24)</f>
        <v>0.80747449465618548</v>
      </c>
      <c r="K33" s="2"/>
      <c r="L33" s="41">
        <f t="shared" si="1"/>
        <v>1</v>
      </c>
      <c r="M33" s="46" t="s">
        <v>205</v>
      </c>
    </row>
    <row r="34" spans="1:13" ht="18" x14ac:dyDescent="0.35">
      <c r="B34" s="7"/>
      <c r="D34" s="7" t="s">
        <v>298</v>
      </c>
      <c r="I34" s="43"/>
      <c r="J34" s="43"/>
      <c r="K34" s="2">
        <f>(L23-L25)/(E23-E25)</f>
        <v>0.17361111111111113</v>
      </c>
      <c r="L34" s="41"/>
    </row>
    <row r="35" spans="1:13" ht="18" x14ac:dyDescent="0.35">
      <c r="E35" s="7" t="s">
        <v>302</v>
      </c>
      <c r="I35" s="43"/>
      <c r="J35" s="43"/>
      <c r="K35" s="43"/>
      <c r="L35" s="41">
        <f t="shared" si="1"/>
        <v>0</v>
      </c>
      <c r="M35" s="46" t="s">
        <v>206</v>
      </c>
    </row>
    <row r="37" spans="1:13" x14ac:dyDescent="0.25">
      <c r="I37" s="36" t="s">
        <v>304</v>
      </c>
      <c r="J37" s="36"/>
      <c r="K37" s="36"/>
      <c r="L37" s="36"/>
      <c r="M37" s="36"/>
    </row>
    <row r="38" spans="1:13" x14ac:dyDescent="0.25">
      <c r="I38" s="36" t="s">
        <v>305</v>
      </c>
      <c r="J38" s="36"/>
      <c r="K38" s="36"/>
      <c r="L38" s="36"/>
      <c r="M38" s="36"/>
    </row>
    <row r="39" spans="1:13" x14ac:dyDescent="0.25">
      <c r="I39" s="36" t="s">
        <v>306</v>
      </c>
    </row>
    <row r="41" spans="1:13" x14ac:dyDescent="0.25">
      <c r="A41" t="s">
        <v>303</v>
      </c>
    </row>
    <row r="43" spans="1:13" x14ac:dyDescent="0.25">
      <c r="A43" s="7" t="s">
        <v>261</v>
      </c>
      <c r="B43" s="6">
        <v>0.03</v>
      </c>
      <c r="C43" t="s">
        <v>43</v>
      </c>
    </row>
    <row r="44" spans="1:13" x14ac:dyDescent="0.25">
      <c r="A44" s="7" t="s">
        <v>4</v>
      </c>
      <c r="B44" s="8">
        <v>500</v>
      </c>
      <c r="C44" t="s">
        <v>2</v>
      </c>
    </row>
    <row r="46" spans="1:13" ht="18" x14ac:dyDescent="0.35">
      <c r="B46" s="7" t="s">
        <v>3</v>
      </c>
      <c r="C46" s="39">
        <f>C14</f>
        <v>0.90483741803595952</v>
      </c>
    </row>
    <row r="47" spans="1:13" x14ac:dyDescent="0.25">
      <c r="B47" s="7" t="s">
        <v>55</v>
      </c>
      <c r="C47" s="39">
        <f>C15</f>
        <v>0.67815759572366152</v>
      </c>
    </row>
    <row r="49" spans="2:13" x14ac:dyDescent="0.25">
      <c r="B49" s="7" t="s">
        <v>75</v>
      </c>
      <c r="I49" t="s">
        <v>44</v>
      </c>
    </row>
    <row r="50" spans="2:13" x14ac:dyDescent="0.25">
      <c r="B50" s="7" t="s">
        <v>121</v>
      </c>
      <c r="C50" s="7" t="s">
        <v>122</v>
      </c>
      <c r="D50" s="7" t="s">
        <v>256</v>
      </c>
      <c r="E50" s="7" t="s">
        <v>293</v>
      </c>
      <c r="I50" s="7" t="s">
        <v>121</v>
      </c>
      <c r="J50" s="7" t="s">
        <v>122</v>
      </c>
      <c r="K50" s="7" t="s">
        <v>256</v>
      </c>
      <c r="L50" s="7" t="s">
        <v>293</v>
      </c>
    </row>
    <row r="51" spans="2:13" x14ac:dyDescent="0.25">
      <c r="E51" s="7">
        <f>E19</f>
        <v>781.25</v>
      </c>
      <c r="L51" s="7">
        <f>MAX(E51-$B$44,0)</f>
        <v>281.25</v>
      </c>
    </row>
    <row r="52" spans="2:13" x14ac:dyDescent="0.25">
      <c r="D52">
        <f>D20</f>
        <v>625</v>
      </c>
      <c r="E52" s="7"/>
      <c r="I52" s="7"/>
      <c r="J52" s="7"/>
      <c r="K52" s="10">
        <f>(L51*$C$15+L53*(1-$C$15))*$C$14</f>
        <v>172.58129098202025</v>
      </c>
      <c r="L52" s="7"/>
    </row>
    <row r="53" spans="2:13" x14ac:dyDescent="0.25">
      <c r="C53">
        <f>C21</f>
        <v>500</v>
      </c>
      <c r="E53" s="7">
        <f>E21</f>
        <v>500</v>
      </c>
      <c r="I53" s="7"/>
      <c r="J53" s="10">
        <f>(K52*$C$15+K54*(1-$C$15))*$C$14</f>
        <v>105.89974043385152</v>
      </c>
      <c r="K53" s="7"/>
      <c r="L53" s="7">
        <f>MAX(E53-$B$44,0)</f>
        <v>0</v>
      </c>
    </row>
    <row r="54" spans="2:13" x14ac:dyDescent="0.25">
      <c r="B54">
        <f>B22</f>
        <v>400</v>
      </c>
      <c r="D54">
        <f>D22</f>
        <v>400</v>
      </c>
      <c r="E54" s="7"/>
      <c r="I54" s="10">
        <f>(J53*$C$15+J55*(1-$C$15))*$C$14</f>
        <v>64.982449488835357</v>
      </c>
      <c r="J54" s="7"/>
      <c r="K54" s="10">
        <f>(L53*$C$15+L55*(1-$C$15))*$C$14</f>
        <v>0</v>
      </c>
      <c r="L54" s="7"/>
    </row>
    <row r="55" spans="2:13" x14ac:dyDescent="0.25">
      <c r="C55">
        <f>C23</f>
        <v>320</v>
      </c>
      <c r="E55" s="7">
        <f>E23</f>
        <v>320</v>
      </c>
      <c r="I55" s="7"/>
      <c r="J55" s="10">
        <f>(K54*$C$15+K56*(1-$C$15))*$C$14</f>
        <v>0</v>
      </c>
      <c r="K55" s="7"/>
      <c r="L55" s="7">
        <f>MAX(E55-$B$44,0)</f>
        <v>0</v>
      </c>
    </row>
    <row r="56" spans="2:13" x14ac:dyDescent="0.25">
      <c r="D56">
        <f>D24</f>
        <v>256</v>
      </c>
      <c r="E56" s="7"/>
      <c r="I56" s="7"/>
      <c r="J56" s="7"/>
      <c r="K56" s="10">
        <f>(L55*$C$15+L57*(1-$C$15))*$C$14</f>
        <v>0</v>
      </c>
      <c r="L56" s="7"/>
    </row>
    <row r="57" spans="2:13" x14ac:dyDescent="0.25">
      <c r="E57" s="7">
        <f>E25</f>
        <v>204.8</v>
      </c>
      <c r="L57" s="7">
        <f>MAX(E57-$B$44,0)</f>
        <v>0</v>
      </c>
    </row>
    <row r="59" spans="2:13" x14ac:dyDescent="0.25">
      <c r="B59" t="s">
        <v>198</v>
      </c>
      <c r="I59" s="9" t="s">
        <v>198</v>
      </c>
    </row>
    <row r="60" spans="2:13" x14ac:dyDescent="0.25">
      <c r="B60" s="7" t="s">
        <v>121</v>
      </c>
      <c r="C60" s="7" t="s">
        <v>122</v>
      </c>
      <c r="D60" s="7" t="s">
        <v>256</v>
      </c>
      <c r="E60" s="7" t="s">
        <v>293</v>
      </c>
      <c r="I60" s="41" t="s">
        <v>121</v>
      </c>
      <c r="J60" s="41" t="s">
        <v>122</v>
      </c>
      <c r="K60" s="41" t="s">
        <v>256</v>
      </c>
      <c r="L60" s="41" t="s">
        <v>293</v>
      </c>
    </row>
    <row r="61" spans="2:13" ht="18" x14ac:dyDescent="0.35">
      <c r="E61" s="7" t="s">
        <v>299</v>
      </c>
      <c r="I61" s="43"/>
      <c r="J61" s="43"/>
      <c r="K61" s="43"/>
      <c r="L61" s="41">
        <f>IF(L51&gt;0,1,0)</f>
        <v>1</v>
      </c>
      <c r="M61" s="46" t="s">
        <v>205</v>
      </c>
    </row>
    <row r="62" spans="2:13" ht="18" x14ac:dyDescent="0.35">
      <c r="B62" s="7"/>
      <c r="D62" s="7" t="s">
        <v>296</v>
      </c>
      <c r="E62" s="7"/>
      <c r="I62" s="43"/>
      <c r="J62" s="43"/>
      <c r="K62" s="2">
        <f>(L51-L53)/(E51-E53)</f>
        <v>1</v>
      </c>
      <c r="L62" s="41"/>
      <c r="M62" s="46"/>
    </row>
    <row r="63" spans="2:13" ht="18" x14ac:dyDescent="0.35">
      <c r="C63" s="7" t="s">
        <v>294</v>
      </c>
      <c r="D63" s="7"/>
      <c r="E63" s="38" t="s">
        <v>300</v>
      </c>
      <c r="I63" s="43"/>
      <c r="J63" s="2">
        <f>(K52-K54)/(D52-D54)</f>
        <v>0.76702795992008999</v>
      </c>
      <c r="K63" s="43"/>
      <c r="L63" s="41">
        <f t="shared" ref="L63:L67" si="2">IF(L53&gt;0,1,0)</f>
        <v>0</v>
      </c>
      <c r="M63" s="46" t="s">
        <v>205</v>
      </c>
    </row>
    <row r="64" spans="2:13" ht="18" x14ac:dyDescent="0.35">
      <c r="B64" s="7" t="s">
        <v>199</v>
      </c>
      <c r="D64" s="7" t="s">
        <v>297</v>
      </c>
      <c r="E64" s="7"/>
      <c r="I64" s="61">
        <f>(J53-J55)/(C53-C55)</f>
        <v>0.58833189129917507</v>
      </c>
      <c r="J64" s="43"/>
      <c r="K64" s="61">
        <f>(L53-L55)/(E53-E55)</f>
        <v>0</v>
      </c>
      <c r="L64" s="41"/>
      <c r="M64" s="46"/>
    </row>
    <row r="65" spans="2:13" ht="18" x14ac:dyDescent="0.35">
      <c r="B65" s="7"/>
      <c r="C65" s="7" t="s">
        <v>295</v>
      </c>
      <c r="D65" s="7"/>
      <c r="E65" s="38" t="s">
        <v>301</v>
      </c>
      <c r="I65" s="43"/>
      <c r="J65" s="2">
        <f>(K54-K56)/(D54-D56)</f>
        <v>0</v>
      </c>
      <c r="K65" s="2"/>
      <c r="L65" s="41">
        <f t="shared" si="2"/>
        <v>0</v>
      </c>
      <c r="M65" s="46" t="s">
        <v>205</v>
      </c>
    </row>
    <row r="66" spans="2:13" ht="18" x14ac:dyDescent="0.35">
      <c r="B66" s="7"/>
      <c r="D66" s="7" t="s">
        <v>298</v>
      </c>
      <c r="I66" s="43"/>
      <c r="J66" s="43"/>
      <c r="K66" s="2">
        <f>(L55-L57)/(E55-E57)</f>
        <v>0</v>
      </c>
      <c r="L66" s="41"/>
    </row>
    <row r="67" spans="2:13" ht="18" x14ac:dyDescent="0.35">
      <c r="E67" s="7" t="s">
        <v>302</v>
      </c>
      <c r="I67" s="43"/>
      <c r="J67" s="43"/>
      <c r="K67" s="43"/>
      <c r="L67" s="41">
        <f t="shared" si="2"/>
        <v>0</v>
      </c>
      <c r="M67" s="46" t="s">
        <v>206</v>
      </c>
    </row>
    <row r="69" spans="2:13" x14ac:dyDescent="0.25">
      <c r="I69" s="36" t="s">
        <v>304</v>
      </c>
      <c r="J69" s="36"/>
      <c r="K69" s="36"/>
      <c r="L69" s="36"/>
      <c r="M69" s="36"/>
    </row>
    <row r="70" spans="2:13" x14ac:dyDescent="0.25">
      <c r="I70" s="36" t="s">
        <v>305</v>
      </c>
      <c r="J70" s="36"/>
      <c r="K70" s="36"/>
      <c r="L70" s="36"/>
      <c r="M70" s="36"/>
    </row>
    <row r="71" spans="2:13" x14ac:dyDescent="0.25">
      <c r="I71" s="36" t="s">
        <v>307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L148"/>
  <sheetViews>
    <sheetView topLeftCell="A124" workbookViewId="0">
      <selection activeCell="J128" sqref="J128"/>
    </sheetView>
  </sheetViews>
  <sheetFormatPr defaultRowHeight="15" x14ac:dyDescent="0.25"/>
  <cols>
    <col min="4" max="5" width="9.140625" customWidth="1"/>
    <col min="7" max="7" width="9.5703125" bestFit="1" customWidth="1"/>
  </cols>
  <sheetData>
    <row r="3" spans="1:6" x14ac:dyDescent="0.25">
      <c r="A3" s="7" t="s">
        <v>29</v>
      </c>
      <c r="B3" s="8">
        <v>400</v>
      </c>
      <c r="C3" t="s">
        <v>2</v>
      </c>
    </row>
    <row r="4" spans="1:6" x14ac:dyDescent="0.25">
      <c r="A4" s="7" t="s">
        <v>63</v>
      </c>
      <c r="B4" s="6">
        <f>125%</f>
        <v>1.25</v>
      </c>
    </row>
    <row r="5" spans="1:6" x14ac:dyDescent="0.25">
      <c r="A5" s="7" t="s">
        <v>56</v>
      </c>
      <c r="B5" s="6">
        <f>80%</f>
        <v>0.8</v>
      </c>
    </row>
    <row r="6" spans="1:6" x14ac:dyDescent="0.25">
      <c r="A6" s="18" t="s">
        <v>66</v>
      </c>
      <c r="B6" s="8">
        <v>1</v>
      </c>
      <c r="C6" t="s">
        <v>43</v>
      </c>
    </row>
    <row r="7" spans="1:6" ht="18" x14ac:dyDescent="0.35">
      <c r="A7" s="7" t="s">
        <v>32</v>
      </c>
      <c r="B7" s="6">
        <v>0.1</v>
      </c>
      <c r="C7" t="s">
        <v>108</v>
      </c>
    </row>
    <row r="9" spans="1:6" x14ac:dyDescent="0.25">
      <c r="A9" s="15" t="s">
        <v>219</v>
      </c>
      <c r="B9" s="3"/>
      <c r="C9" s="3"/>
      <c r="D9" s="3"/>
      <c r="E9" s="3"/>
    </row>
    <row r="11" spans="1:6" x14ac:dyDescent="0.25">
      <c r="B11" s="12" t="s">
        <v>53</v>
      </c>
      <c r="C11" s="12"/>
      <c r="D11" s="12"/>
      <c r="E11" s="12"/>
      <c r="F11" s="12"/>
    </row>
    <row r="12" spans="1:6" x14ac:dyDescent="0.25">
      <c r="B12" s="23" t="s">
        <v>226</v>
      </c>
      <c r="C12" s="23" t="s">
        <v>28</v>
      </c>
      <c r="D12" s="23" t="s">
        <v>228</v>
      </c>
      <c r="E12" s="12"/>
      <c r="F12" s="12"/>
    </row>
    <row r="13" spans="1:6" x14ac:dyDescent="0.25">
      <c r="B13" s="23"/>
      <c r="C13" s="23"/>
      <c r="D13" s="23"/>
      <c r="E13" s="12"/>
      <c r="F13" s="12"/>
    </row>
    <row r="14" spans="1:6" x14ac:dyDescent="0.25">
      <c r="B14" s="12" t="s">
        <v>229</v>
      </c>
      <c r="C14" s="12"/>
      <c r="D14" s="12"/>
      <c r="E14" s="12"/>
      <c r="F14" s="12"/>
    </row>
    <row r="15" spans="1:6" ht="17.25" customHeight="1" x14ac:dyDescent="0.25">
      <c r="B15" s="75" t="s">
        <v>237</v>
      </c>
      <c r="C15" s="75" t="s">
        <v>28</v>
      </c>
      <c r="D15" s="14" t="s">
        <v>226</v>
      </c>
      <c r="E15" s="75" t="s">
        <v>238</v>
      </c>
      <c r="F15" s="81" t="s">
        <v>239</v>
      </c>
    </row>
    <row r="16" spans="1:6" x14ac:dyDescent="0.25">
      <c r="B16" s="75"/>
      <c r="C16" s="75"/>
      <c r="D16" s="14" t="s">
        <v>227</v>
      </c>
      <c r="E16" s="75"/>
      <c r="F16" s="81"/>
    </row>
    <row r="17" spans="2:11" x14ac:dyDescent="0.25">
      <c r="B17" s="12"/>
      <c r="C17" s="12"/>
      <c r="D17" s="12"/>
      <c r="E17" s="12"/>
      <c r="F17" s="12"/>
    </row>
    <row r="18" spans="2:11" x14ac:dyDescent="0.25">
      <c r="B18" s="12" t="s">
        <v>242</v>
      </c>
      <c r="C18" s="12"/>
      <c r="D18" s="12"/>
      <c r="E18" s="12"/>
      <c r="F18" s="12"/>
    </row>
    <row r="19" spans="2:11" ht="18.75" x14ac:dyDescent="0.35">
      <c r="B19" s="23" t="s">
        <v>243</v>
      </c>
      <c r="C19" s="12"/>
      <c r="D19" s="23" t="s">
        <v>244</v>
      </c>
      <c r="E19" s="12"/>
      <c r="F19" s="12"/>
    </row>
    <row r="20" spans="2:11" x14ac:dyDescent="0.25">
      <c r="B20" s="23" t="s">
        <v>230</v>
      </c>
      <c r="C20" s="12"/>
      <c r="D20" s="23" t="s">
        <v>230</v>
      </c>
      <c r="E20" s="23"/>
      <c r="F20" s="12"/>
    </row>
    <row r="21" spans="2:11" x14ac:dyDescent="0.25">
      <c r="B21" s="23">
        <v>1</v>
      </c>
      <c r="C21" s="12"/>
      <c r="D21" s="23">
        <v>0</v>
      </c>
      <c r="E21" s="12"/>
      <c r="F21" s="12"/>
    </row>
    <row r="22" spans="2:11" x14ac:dyDescent="0.25">
      <c r="B22" s="23"/>
      <c r="C22" s="12"/>
      <c r="D22" s="23"/>
      <c r="E22" s="12"/>
      <c r="F22" s="12"/>
    </row>
    <row r="23" spans="2:11" x14ac:dyDescent="0.25">
      <c r="B23" s="23">
        <v>0</v>
      </c>
      <c r="C23" s="12"/>
      <c r="D23" s="23">
        <v>1</v>
      </c>
      <c r="E23" s="12"/>
      <c r="F23" s="12"/>
      <c r="H23" t="s">
        <v>240</v>
      </c>
    </row>
    <row r="24" spans="2:11" ht="18" x14ac:dyDescent="0.35">
      <c r="B24" s="12"/>
      <c r="C24" s="12"/>
      <c r="D24" s="12"/>
      <c r="E24" s="12"/>
      <c r="F24" s="12"/>
      <c r="H24" t="s">
        <v>235</v>
      </c>
    </row>
    <row r="25" spans="2:11" x14ac:dyDescent="0.25">
      <c r="B25" s="12" t="s">
        <v>231</v>
      </c>
      <c r="C25" s="12"/>
      <c r="D25" s="12"/>
      <c r="E25" s="12"/>
      <c r="F25" s="12"/>
    </row>
    <row r="26" spans="2:11" ht="18.75" x14ac:dyDescent="0.35">
      <c r="B26" s="23" t="s">
        <v>243</v>
      </c>
      <c r="C26" s="12"/>
      <c r="D26" s="23" t="s">
        <v>244</v>
      </c>
      <c r="E26" s="12"/>
      <c r="F26" s="23" t="s">
        <v>245</v>
      </c>
      <c r="H26" s="7" t="s">
        <v>233</v>
      </c>
      <c r="I26" s="7" t="s">
        <v>28</v>
      </c>
      <c r="K26" t="s">
        <v>234</v>
      </c>
    </row>
    <row r="27" spans="2:11" x14ac:dyDescent="0.25">
      <c r="B27" s="23" t="s">
        <v>230</v>
      </c>
      <c r="C27" s="23"/>
      <c r="D27" s="23" t="s">
        <v>230</v>
      </c>
      <c r="E27" s="23"/>
      <c r="F27" s="23" t="s">
        <v>230</v>
      </c>
    </row>
    <row r="28" spans="2:11" x14ac:dyDescent="0.25">
      <c r="B28" s="23">
        <v>1</v>
      </c>
      <c r="C28" s="23"/>
      <c r="D28" s="23">
        <v>0</v>
      </c>
      <c r="E28" s="23"/>
      <c r="F28" s="23">
        <v>0</v>
      </c>
    </row>
    <row r="29" spans="2:11" x14ac:dyDescent="0.25">
      <c r="B29" s="23">
        <v>0</v>
      </c>
      <c r="C29" s="23"/>
      <c r="D29" s="23">
        <v>1</v>
      </c>
      <c r="E29" s="23"/>
      <c r="F29" s="23">
        <v>0</v>
      </c>
    </row>
    <row r="30" spans="2:11" x14ac:dyDescent="0.25">
      <c r="B30" s="23">
        <v>0</v>
      </c>
      <c r="C30" s="23"/>
      <c r="D30" s="23">
        <v>0</v>
      </c>
      <c r="E30" s="23"/>
      <c r="F30" s="23">
        <v>1</v>
      </c>
    </row>
    <row r="31" spans="2:11" x14ac:dyDescent="0.25">
      <c r="B31" s="12"/>
      <c r="C31" s="12"/>
      <c r="D31" s="12"/>
      <c r="E31" s="12"/>
      <c r="F31" s="12"/>
    </row>
    <row r="32" spans="2:11" x14ac:dyDescent="0.25">
      <c r="B32" s="12" t="s">
        <v>232</v>
      </c>
      <c r="C32" s="12"/>
      <c r="D32" s="12"/>
      <c r="E32" s="12"/>
      <c r="F32" s="12"/>
    </row>
    <row r="33" spans="1:6" ht="18.75" x14ac:dyDescent="0.35">
      <c r="B33" s="14" t="s">
        <v>246</v>
      </c>
      <c r="C33" s="14" t="s">
        <v>28</v>
      </c>
      <c r="D33" s="13" t="s">
        <v>236</v>
      </c>
      <c r="E33" s="12"/>
      <c r="F33" s="12"/>
    </row>
    <row r="34" spans="1:6" x14ac:dyDescent="0.25">
      <c r="B34" s="44"/>
      <c r="C34" s="44"/>
      <c r="D34" s="51"/>
    </row>
    <row r="35" spans="1:6" x14ac:dyDescent="0.25">
      <c r="A35" s="7" t="s">
        <v>261</v>
      </c>
      <c r="B35" s="56">
        <v>1</v>
      </c>
      <c r="C35" s="45" t="s">
        <v>43</v>
      </c>
      <c r="D35" s="51"/>
    </row>
    <row r="36" spans="1:6" x14ac:dyDescent="0.25">
      <c r="B36" s="44"/>
      <c r="C36" s="44"/>
      <c r="D36" s="51"/>
    </row>
    <row r="37" spans="1:6" x14ac:dyDescent="0.25">
      <c r="B37" t="s">
        <v>254</v>
      </c>
      <c r="D37" s="51"/>
    </row>
    <row r="38" spans="1:6" x14ac:dyDescent="0.25">
      <c r="C38" s="44"/>
      <c r="D38" s="51"/>
    </row>
    <row r="39" spans="1:6" ht="18.75" x14ac:dyDescent="0.35">
      <c r="C39" s="7" t="s">
        <v>247</v>
      </c>
      <c r="F39" s="7" t="s">
        <v>248</v>
      </c>
    </row>
    <row r="40" spans="1:6" x14ac:dyDescent="0.25">
      <c r="B40" s="7" t="s">
        <v>121</v>
      </c>
      <c r="C40" s="7" t="s">
        <v>122</v>
      </c>
      <c r="E40" s="7" t="s">
        <v>121</v>
      </c>
      <c r="F40" s="7" t="s">
        <v>122</v>
      </c>
    </row>
    <row r="41" spans="1:6" x14ac:dyDescent="0.25">
      <c r="C41" s="7">
        <v>1</v>
      </c>
      <c r="F41" s="7">
        <v>0</v>
      </c>
    </row>
    <row r="42" spans="1:6" x14ac:dyDescent="0.25">
      <c r="B42" s="7" t="s">
        <v>241</v>
      </c>
      <c r="C42" s="7"/>
      <c r="E42" s="7" t="s">
        <v>241</v>
      </c>
      <c r="F42" s="7"/>
    </row>
    <row r="43" spans="1:6" x14ac:dyDescent="0.25">
      <c r="C43" s="7">
        <v>0</v>
      </c>
      <c r="F43" s="7">
        <v>1</v>
      </c>
    </row>
    <row r="44" spans="1:6" x14ac:dyDescent="0.25">
      <c r="C44" s="7"/>
      <c r="F44" s="7"/>
    </row>
    <row r="45" spans="1:6" ht="18" x14ac:dyDescent="0.35">
      <c r="B45" s="7" t="s">
        <v>3</v>
      </c>
      <c r="C45" s="22">
        <f>EXP(-B7*B6)</f>
        <v>0.90483741803595952</v>
      </c>
    </row>
    <row r="46" spans="1:6" x14ac:dyDescent="0.25">
      <c r="B46" s="7" t="s">
        <v>55</v>
      </c>
      <c r="C46" s="52">
        <f>(1/C45 - B5)/(B4-B5)</f>
        <v>0.67815759572366152</v>
      </c>
    </row>
    <row r="47" spans="1:6" x14ac:dyDescent="0.25">
      <c r="B47" s="7"/>
      <c r="C47" s="52"/>
    </row>
    <row r="48" spans="1:6" x14ac:dyDescent="0.25">
      <c r="B48" s="9" t="s">
        <v>250</v>
      </c>
    </row>
    <row r="49" spans="1:12" ht="18.75" x14ac:dyDescent="0.35">
      <c r="B49" s="41" t="s">
        <v>251</v>
      </c>
      <c r="C49" s="53">
        <f>C46*C45</f>
        <v>0.61362236793607194</v>
      </c>
    </row>
    <row r="50" spans="1:12" ht="18.75" x14ac:dyDescent="0.35">
      <c r="B50" s="54" t="s">
        <v>252</v>
      </c>
      <c r="C50" s="55">
        <f>(1-C46)*C45</f>
        <v>0.29121505009988757</v>
      </c>
    </row>
    <row r="51" spans="1:12" ht="18.75" x14ac:dyDescent="0.35">
      <c r="B51" s="7" t="s">
        <v>15</v>
      </c>
      <c r="C51" s="22">
        <f>SUM(C49:C50)</f>
        <v>0.90483741803595952</v>
      </c>
      <c r="E51" s="36" t="s">
        <v>249</v>
      </c>
      <c r="F51" s="36"/>
      <c r="G51" s="36"/>
      <c r="H51" s="36"/>
      <c r="I51" s="36"/>
    </row>
    <row r="53" spans="1:12" x14ac:dyDescent="0.25">
      <c r="A53" s="3" t="s">
        <v>253</v>
      </c>
      <c r="B53" s="3"/>
      <c r="C53" s="3"/>
      <c r="D53" s="3"/>
      <c r="E53" s="3"/>
    </row>
    <row r="55" spans="1:12" x14ac:dyDescent="0.25">
      <c r="A55" s="7" t="s">
        <v>261</v>
      </c>
      <c r="B55" s="56">
        <v>2</v>
      </c>
      <c r="C55" s="45" t="s">
        <v>43</v>
      </c>
    </row>
    <row r="57" spans="1:12" x14ac:dyDescent="0.25">
      <c r="B57" t="s">
        <v>255</v>
      </c>
    </row>
    <row r="59" spans="1:12" ht="18.75" x14ac:dyDescent="0.35">
      <c r="C59" s="7" t="s">
        <v>257</v>
      </c>
      <c r="G59" s="7" t="s">
        <v>258</v>
      </c>
      <c r="K59" s="7" t="s">
        <v>259</v>
      </c>
    </row>
    <row r="60" spans="1:12" x14ac:dyDescent="0.25">
      <c r="B60" s="7" t="s">
        <v>121</v>
      </c>
      <c r="C60" s="7" t="s">
        <v>122</v>
      </c>
      <c r="D60" s="7" t="s">
        <v>256</v>
      </c>
      <c r="F60" s="7" t="s">
        <v>121</v>
      </c>
      <c r="G60" s="7" t="s">
        <v>122</v>
      </c>
      <c r="H60" s="7" t="s">
        <v>256</v>
      </c>
      <c r="J60" s="7" t="s">
        <v>121</v>
      </c>
      <c r="K60" s="7" t="s">
        <v>122</v>
      </c>
      <c r="L60" s="7" t="s">
        <v>256</v>
      </c>
    </row>
    <row r="61" spans="1:12" x14ac:dyDescent="0.25">
      <c r="D61" s="7">
        <v>1</v>
      </c>
      <c r="H61" s="7">
        <v>0</v>
      </c>
      <c r="L61" s="7">
        <v>0</v>
      </c>
    </row>
    <row r="62" spans="1:12" x14ac:dyDescent="0.25">
      <c r="D62" s="7"/>
      <c r="H62" s="7"/>
      <c r="L62" s="7"/>
    </row>
    <row r="63" spans="1:12" x14ac:dyDescent="0.25">
      <c r="B63" s="7" t="s">
        <v>241</v>
      </c>
      <c r="D63" s="7">
        <v>0</v>
      </c>
      <c r="F63" s="7" t="s">
        <v>241</v>
      </c>
      <c r="H63" s="7">
        <v>1</v>
      </c>
      <c r="J63" s="7" t="s">
        <v>241</v>
      </c>
      <c r="L63" s="7">
        <v>0</v>
      </c>
    </row>
    <row r="64" spans="1:12" x14ac:dyDescent="0.25">
      <c r="D64" s="7"/>
      <c r="H64" s="7"/>
      <c r="L64" s="7"/>
    </row>
    <row r="65" spans="1:12" x14ac:dyDescent="0.25">
      <c r="D65" s="7">
        <v>0</v>
      </c>
      <c r="H65" s="7">
        <v>0</v>
      </c>
      <c r="L65" s="7">
        <v>1</v>
      </c>
    </row>
    <row r="67" spans="1:12" ht="18" x14ac:dyDescent="0.35">
      <c r="B67" s="7" t="s">
        <v>260</v>
      </c>
      <c r="C67" s="39">
        <f>EXP(-B55*B7)</f>
        <v>0.81873075307798182</v>
      </c>
    </row>
    <row r="68" spans="1:12" x14ac:dyDescent="0.25">
      <c r="B68" s="7" t="s">
        <v>55</v>
      </c>
      <c r="C68" s="57">
        <f>C46</f>
        <v>0.67815759572366152</v>
      </c>
    </row>
    <row r="70" spans="1:12" x14ac:dyDescent="0.25">
      <c r="B70" s="9" t="s">
        <v>262</v>
      </c>
    </row>
    <row r="71" spans="1:12" ht="18.75" x14ac:dyDescent="0.35">
      <c r="B71" s="41" t="s">
        <v>263</v>
      </c>
      <c r="C71" s="58">
        <f>C68^2*C67</f>
        <v>0.37653241043147206</v>
      </c>
    </row>
    <row r="72" spans="1:12" ht="18.75" x14ac:dyDescent="0.35">
      <c r="B72" s="41" t="s">
        <v>264</v>
      </c>
      <c r="C72" s="58">
        <f>C68*(1-C68)*2*C67</f>
        <v>0.35739213724182967</v>
      </c>
    </row>
    <row r="73" spans="1:12" ht="18.75" x14ac:dyDescent="0.35">
      <c r="B73" s="54" t="s">
        <v>265</v>
      </c>
      <c r="C73" s="59">
        <f>(1-C68)^2*C67</f>
        <v>8.4806205404680035E-2</v>
      </c>
    </row>
    <row r="74" spans="1:12" ht="18.75" x14ac:dyDescent="0.35">
      <c r="B74" s="45" t="s">
        <v>15</v>
      </c>
      <c r="C74" s="39">
        <f>SUM(C71:C73)</f>
        <v>0.81873075307798171</v>
      </c>
      <c r="E74" s="36" t="s">
        <v>266</v>
      </c>
    </row>
    <row r="76" spans="1:12" x14ac:dyDescent="0.25">
      <c r="A76" s="3" t="s">
        <v>267</v>
      </c>
      <c r="B76" s="3"/>
      <c r="C76" s="3"/>
      <c r="D76" s="3"/>
      <c r="E76" s="3"/>
      <c r="F76" s="3"/>
      <c r="G76" s="3"/>
      <c r="H76" s="3"/>
    </row>
    <row r="78" spans="1:12" x14ac:dyDescent="0.25">
      <c r="A78" s="7" t="s">
        <v>151</v>
      </c>
      <c r="B78" s="8" t="s">
        <v>268</v>
      </c>
      <c r="C78" t="s">
        <v>41</v>
      </c>
    </row>
    <row r="79" spans="1:12" x14ac:dyDescent="0.25">
      <c r="A79" s="7" t="s">
        <v>1</v>
      </c>
      <c r="B79" s="8">
        <v>2</v>
      </c>
      <c r="C79" t="s">
        <v>43</v>
      </c>
    </row>
    <row r="80" spans="1:12" x14ac:dyDescent="0.25">
      <c r="A80" s="7" t="s">
        <v>4</v>
      </c>
      <c r="B80" s="8">
        <v>400</v>
      </c>
      <c r="C80" t="s">
        <v>2</v>
      </c>
    </row>
    <row r="82" spans="2:8" ht="18" x14ac:dyDescent="0.35">
      <c r="B82" t="s">
        <v>3</v>
      </c>
      <c r="C82" s="39">
        <f>C45</f>
        <v>0.90483741803595952</v>
      </c>
    </row>
    <row r="83" spans="2:8" x14ac:dyDescent="0.25">
      <c r="B83" t="s">
        <v>55</v>
      </c>
      <c r="C83" s="60">
        <f>(1/C82-B5)/(B4-B5)</f>
        <v>0.67815759572366152</v>
      </c>
    </row>
    <row r="85" spans="2:8" x14ac:dyDescent="0.25">
      <c r="B85" s="7" t="s">
        <v>75</v>
      </c>
      <c r="C85" s="7"/>
      <c r="F85" s="7" t="s">
        <v>75</v>
      </c>
    </row>
    <row r="86" spans="2:8" x14ac:dyDescent="0.25">
      <c r="B86" s="7" t="s">
        <v>121</v>
      </c>
      <c r="C86" s="7" t="s">
        <v>122</v>
      </c>
      <c r="D86" s="7" t="s">
        <v>256</v>
      </c>
      <c r="F86" s="7" t="s">
        <v>121</v>
      </c>
      <c r="G86" s="7" t="s">
        <v>123</v>
      </c>
      <c r="H86" s="7" t="s">
        <v>122</v>
      </c>
    </row>
    <row r="87" spans="2:8" ht="18" x14ac:dyDescent="0.35">
      <c r="B87" s="7"/>
      <c r="D87" s="7" t="s">
        <v>269</v>
      </c>
      <c r="F87" s="7"/>
      <c r="G87" s="7"/>
      <c r="H87" s="7">
        <f>G88*B4</f>
        <v>625</v>
      </c>
    </row>
    <row r="88" spans="2:8" ht="18" x14ac:dyDescent="0.35">
      <c r="C88" s="7" t="s">
        <v>30</v>
      </c>
      <c r="D88" s="7"/>
      <c r="F88" s="7"/>
      <c r="G88" s="7">
        <f>F89*B4</f>
        <v>500</v>
      </c>
      <c r="H88" s="7"/>
    </row>
    <row r="89" spans="2:8" ht="18" x14ac:dyDescent="0.35">
      <c r="B89" s="7" t="s">
        <v>29</v>
      </c>
      <c r="D89" s="7" t="s">
        <v>270</v>
      </c>
      <c r="F89" s="7">
        <f>B3</f>
        <v>400</v>
      </c>
      <c r="G89" s="7"/>
      <c r="H89" s="7">
        <f>G88*B5</f>
        <v>400</v>
      </c>
    </row>
    <row r="90" spans="2:8" ht="18" x14ac:dyDescent="0.35">
      <c r="B90" s="7"/>
      <c r="C90" s="7" t="s">
        <v>31</v>
      </c>
      <c r="D90" s="7"/>
      <c r="F90" s="7"/>
      <c r="G90" s="7">
        <f>F89*B5</f>
        <v>320</v>
      </c>
      <c r="H90" s="7"/>
    </row>
    <row r="91" spans="2:8" ht="18" x14ac:dyDescent="0.35">
      <c r="B91" s="7"/>
      <c r="D91" s="7" t="s">
        <v>271</v>
      </c>
      <c r="F91" s="7"/>
      <c r="G91" s="7"/>
      <c r="H91" s="7">
        <f>G90*B5</f>
        <v>256</v>
      </c>
    </row>
    <row r="93" spans="2:8" x14ac:dyDescent="0.25">
      <c r="B93" t="s">
        <v>44</v>
      </c>
      <c r="F93" t="s">
        <v>44</v>
      </c>
    </row>
    <row r="94" spans="2:8" x14ac:dyDescent="0.25">
      <c r="B94" s="7" t="s">
        <v>121</v>
      </c>
      <c r="C94" s="7" t="s">
        <v>122</v>
      </c>
      <c r="D94" s="7" t="s">
        <v>256</v>
      </c>
      <c r="F94" s="7" t="s">
        <v>121</v>
      </c>
      <c r="G94" s="7" t="s">
        <v>123</v>
      </c>
      <c r="H94" s="7" t="s">
        <v>122</v>
      </c>
    </row>
    <row r="95" spans="2:8" ht="18" x14ac:dyDescent="0.35">
      <c r="B95" s="7"/>
      <c r="D95" s="7" t="s">
        <v>272</v>
      </c>
      <c r="H95" s="7">
        <f>MAX(H87-$B$80,0)</f>
        <v>225</v>
      </c>
    </row>
    <row r="96" spans="2:8" ht="18" x14ac:dyDescent="0.35">
      <c r="C96" s="7" t="s">
        <v>46</v>
      </c>
      <c r="D96" s="7"/>
      <c r="G96" s="1">
        <f>(H95*$C$83+H97*(1-$C$83))*$C$82</f>
        <v>138.06503278561621</v>
      </c>
      <c r="H96" s="7"/>
    </row>
    <row r="97" spans="2:8" ht="18" x14ac:dyDescent="0.35">
      <c r="B97" s="7" t="s">
        <v>45</v>
      </c>
      <c r="D97" s="7" t="s">
        <v>273</v>
      </c>
      <c r="F97" s="1">
        <f>(G96*$C$83+G98*(1-$C$83))*$C$82</f>
        <v>84.719792347081238</v>
      </c>
      <c r="G97" s="1"/>
      <c r="H97" s="7">
        <f t="shared" ref="H97:H99" si="0">MAX(H89-$B$80,0)</f>
        <v>0</v>
      </c>
    </row>
    <row r="98" spans="2:8" ht="18" x14ac:dyDescent="0.35">
      <c r="B98" s="7"/>
      <c r="C98" s="7" t="s">
        <v>47</v>
      </c>
      <c r="D98" s="7"/>
      <c r="G98" s="1">
        <f t="shared" ref="G98" si="1">(H97*$C$83+H99*(1-$C$83))*C84</f>
        <v>0</v>
      </c>
      <c r="H98" s="7"/>
    </row>
    <row r="99" spans="2:8" ht="18" x14ac:dyDescent="0.35">
      <c r="B99" s="7"/>
      <c r="D99" s="7" t="s">
        <v>274</v>
      </c>
      <c r="H99" s="7">
        <f t="shared" si="0"/>
        <v>0</v>
      </c>
    </row>
    <row r="101" spans="2:8" x14ac:dyDescent="0.25">
      <c r="B101" t="s">
        <v>133</v>
      </c>
      <c r="F101" t="s">
        <v>133</v>
      </c>
    </row>
    <row r="102" spans="2:8" x14ac:dyDescent="0.25">
      <c r="B102" s="7" t="s">
        <v>121</v>
      </c>
      <c r="C102" s="7" t="s">
        <v>122</v>
      </c>
      <c r="D102" s="7" t="s">
        <v>256</v>
      </c>
      <c r="F102" s="7" t="s">
        <v>121</v>
      </c>
      <c r="G102" s="7" t="s">
        <v>122</v>
      </c>
      <c r="H102" s="7" t="s">
        <v>256</v>
      </c>
    </row>
    <row r="103" spans="2:8" ht="18" x14ac:dyDescent="0.35">
      <c r="B103" s="7"/>
      <c r="D103" s="7" t="s">
        <v>277</v>
      </c>
      <c r="H103" s="7">
        <f>MAX($B$80-H87,0)</f>
        <v>0</v>
      </c>
    </row>
    <row r="104" spans="2:8" ht="18" x14ac:dyDescent="0.35">
      <c r="C104" s="7" t="s">
        <v>275</v>
      </c>
      <c r="D104" s="7"/>
      <c r="G104" s="1">
        <f>(H103*$C$83+H105*(1-$C$83))*$C$82</f>
        <v>0</v>
      </c>
      <c r="H104" s="7"/>
    </row>
    <row r="105" spans="2:8" ht="18" x14ac:dyDescent="0.35">
      <c r="B105" s="7" t="s">
        <v>134</v>
      </c>
      <c r="D105" s="7" t="s">
        <v>278</v>
      </c>
      <c r="F105" s="1">
        <f>(G104*$C$83+G106*(1-$C$83))*$C$82</f>
        <v>12.212093578273924</v>
      </c>
      <c r="H105" s="7">
        <f t="shared" ref="H105:H107" si="2">MAX($B$80-H89,0)</f>
        <v>0</v>
      </c>
    </row>
    <row r="106" spans="2:8" ht="18" x14ac:dyDescent="0.35">
      <c r="B106" s="7"/>
      <c r="C106" s="7" t="s">
        <v>276</v>
      </c>
      <c r="D106" s="7"/>
      <c r="G106" s="1">
        <f>(H105*$C$83+H107*(1-$C$83))*$C$82</f>
        <v>41.934967214383811</v>
      </c>
      <c r="H106" s="7"/>
    </row>
    <row r="107" spans="2:8" ht="18" x14ac:dyDescent="0.35">
      <c r="B107" s="7"/>
      <c r="D107" s="7" t="s">
        <v>279</v>
      </c>
      <c r="H107" s="7">
        <f t="shared" si="2"/>
        <v>144</v>
      </c>
    </row>
    <row r="109" spans="2:8" x14ac:dyDescent="0.25">
      <c r="B109" t="s">
        <v>280</v>
      </c>
      <c r="F109" t="s">
        <v>280</v>
      </c>
    </row>
    <row r="110" spans="2:8" ht="18" x14ac:dyDescent="0.35">
      <c r="B110" s="7"/>
      <c r="D110" s="7" t="s">
        <v>283</v>
      </c>
      <c r="H110" s="7">
        <f>H95+H103</f>
        <v>225</v>
      </c>
    </row>
    <row r="111" spans="2:8" ht="18" x14ac:dyDescent="0.35">
      <c r="C111" s="7" t="s">
        <v>282</v>
      </c>
      <c r="D111" s="7"/>
      <c r="F111" s="11" t="s">
        <v>287</v>
      </c>
      <c r="G111" s="10">
        <f t="shared" ref="G111" si="3">G96+G104</f>
        <v>138.06503278561621</v>
      </c>
    </row>
    <row r="112" spans="2:8" ht="18" x14ac:dyDescent="0.35">
      <c r="B112" s="7" t="s">
        <v>281</v>
      </c>
      <c r="D112" s="7" t="s">
        <v>285</v>
      </c>
      <c r="F112" s="2">
        <f t="shared" ref="F112:H112" si="4">F97+F105</f>
        <v>96.931885925355161</v>
      </c>
      <c r="G112" s="1"/>
      <c r="H112" s="7">
        <f t="shared" si="4"/>
        <v>0</v>
      </c>
    </row>
    <row r="113" spans="1:12" ht="18" x14ac:dyDescent="0.35">
      <c r="B113" s="7"/>
      <c r="C113" s="7" t="s">
        <v>284</v>
      </c>
      <c r="D113" s="7"/>
      <c r="F113" s="1"/>
      <c r="G113" s="10">
        <f t="shared" ref="G113" si="5">G98+G106</f>
        <v>41.934967214383811</v>
      </c>
      <c r="H113" s="7"/>
    </row>
    <row r="114" spans="1:12" ht="18" x14ac:dyDescent="0.35">
      <c r="B114" s="7"/>
      <c r="D114" s="7" t="s">
        <v>286</v>
      </c>
      <c r="H114" s="7">
        <f t="shared" ref="H114" si="6">H99+H107</f>
        <v>144</v>
      </c>
    </row>
    <row r="116" spans="1:12" x14ac:dyDescent="0.25">
      <c r="A116" s="3" t="s">
        <v>288</v>
      </c>
      <c r="B116" s="3"/>
      <c r="C116" s="3"/>
      <c r="D116" s="3"/>
      <c r="E116" s="3"/>
      <c r="F116" s="3"/>
      <c r="G116" s="3"/>
      <c r="H116" s="3"/>
      <c r="I116" s="3"/>
      <c r="J116" s="3"/>
    </row>
    <row r="118" spans="1:12" x14ac:dyDescent="0.25">
      <c r="B118" s="7" t="s">
        <v>75</v>
      </c>
      <c r="C118" s="7"/>
      <c r="F118" s="7" t="s">
        <v>75</v>
      </c>
    </row>
    <row r="119" spans="1:12" x14ac:dyDescent="0.25">
      <c r="B119" s="7" t="s">
        <v>121</v>
      </c>
      <c r="C119" s="7" t="s">
        <v>122</v>
      </c>
      <c r="D119" s="7" t="s">
        <v>256</v>
      </c>
      <c r="F119" s="7" t="s">
        <v>121</v>
      </c>
      <c r="G119" s="7" t="s">
        <v>123</v>
      </c>
      <c r="H119" s="7" t="s">
        <v>122</v>
      </c>
    </row>
    <row r="120" spans="1:12" ht="18" x14ac:dyDescent="0.35">
      <c r="B120" s="7"/>
      <c r="D120" s="7" t="s">
        <v>269</v>
      </c>
      <c r="F120" s="7"/>
      <c r="G120" s="7"/>
      <c r="H120" s="7">
        <f>H87</f>
        <v>625</v>
      </c>
    </row>
    <row r="121" spans="1:12" ht="18" x14ac:dyDescent="0.35">
      <c r="C121" s="7" t="s">
        <v>30</v>
      </c>
      <c r="D121" s="7"/>
      <c r="F121" s="7"/>
      <c r="G121" s="7">
        <f t="shared" ref="G121" si="7">G88</f>
        <v>500</v>
      </c>
      <c r="H121" s="7"/>
    </row>
    <row r="122" spans="1:12" ht="18" x14ac:dyDescent="0.35">
      <c r="B122" s="7" t="s">
        <v>29</v>
      </c>
      <c r="D122" s="7" t="s">
        <v>270</v>
      </c>
      <c r="F122" s="7">
        <f t="shared" ref="F122:H122" si="8">F89</f>
        <v>400</v>
      </c>
      <c r="G122" s="7"/>
      <c r="H122" s="7">
        <f t="shared" si="8"/>
        <v>400</v>
      </c>
    </row>
    <row r="123" spans="1:12" ht="18" x14ac:dyDescent="0.35">
      <c r="B123" s="7"/>
      <c r="C123" s="7" t="s">
        <v>31</v>
      </c>
      <c r="D123" s="7"/>
      <c r="F123" s="7"/>
      <c r="G123" s="7">
        <f t="shared" ref="G123" si="9">G90</f>
        <v>320</v>
      </c>
      <c r="H123" s="7"/>
    </row>
    <row r="124" spans="1:12" ht="18" x14ac:dyDescent="0.35">
      <c r="B124" s="7"/>
      <c r="D124" s="7" t="s">
        <v>271</v>
      </c>
      <c r="F124" s="7"/>
      <c r="G124" s="7"/>
      <c r="H124" s="7">
        <f t="shared" ref="H124" si="10">H91</f>
        <v>256</v>
      </c>
    </row>
    <row r="126" spans="1:12" ht="18.75" x14ac:dyDescent="0.35">
      <c r="B126" t="s">
        <v>44</v>
      </c>
      <c r="H126" t="s">
        <v>358</v>
      </c>
      <c r="J126" t="s">
        <v>289</v>
      </c>
    </row>
    <row r="127" spans="1:12" x14ac:dyDescent="0.25">
      <c r="B127" s="7" t="s">
        <v>121</v>
      </c>
      <c r="C127" s="7" t="s">
        <v>122</v>
      </c>
      <c r="D127" s="7" t="s">
        <v>256</v>
      </c>
      <c r="H127" s="7" t="s">
        <v>256</v>
      </c>
      <c r="J127" s="7"/>
      <c r="L127" t="s">
        <v>290</v>
      </c>
    </row>
    <row r="128" spans="1:12" ht="18" x14ac:dyDescent="0.35">
      <c r="B128" s="7"/>
      <c r="D128" s="7" t="s">
        <v>272</v>
      </c>
      <c r="H128" s="7">
        <f>H95</f>
        <v>225</v>
      </c>
      <c r="J128" s="22">
        <f>C71</f>
        <v>0.37653241043147206</v>
      </c>
      <c r="L128" s="10">
        <f>H128*J128+H130*J130+H132*J132</f>
        <v>84.71979234708121</v>
      </c>
    </row>
    <row r="129" spans="2:12" ht="18" x14ac:dyDescent="0.35">
      <c r="C129" s="7" t="s">
        <v>46</v>
      </c>
      <c r="D129" s="7"/>
      <c r="H129" s="7"/>
      <c r="J129" s="7"/>
    </row>
    <row r="130" spans="2:12" ht="18" x14ac:dyDescent="0.35">
      <c r="B130" s="7" t="s">
        <v>45</v>
      </c>
      <c r="D130" s="7" t="s">
        <v>273</v>
      </c>
      <c r="H130" s="7">
        <f t="shared" ref="H130:H132" si="11">H97</f>
        <v>0</v>
      </c>
      <c r="J130" s="22">
        <f>C72</f>
        <v>0.35739213724182967</v>
      </c>
    </row>
    <row r="131" spans="2:12" ht="18" x14ac:dyDescent="0.35">
      <c r="B131" s="7"/>
      <c r="C131" s="7" t="s">
        <v>47</v>
      </c>
      <c r="D131" s="7"/>
      <c r="H131" s="7"/>
      <c r="J131" s="7"/>
    </row>
    <row r="132" spans="2:12" ht="18" x14ac:dyDescent="0.35">
      <c r="B132" s="7"/>
      <c r="D132" s="7" t="s">
        <v>274</v>
      </c>
      <c r="H132" s="7">
        <f t="shared" si="11"/>
        <v>0</v>
      </c>
      <c r="J132" s="22">
        <f>C73</f>
        <v>8.4806205404680035E-2</v>
      </c>
    </row>
    <row r="134" spans="2:12" ht="18.75" x14ac:dyDescent="0.35">
      <c r="B134" t="s">
        <v>133</v>
      </c>
      <c r="H134" t="s">
        <v>359</v>
      </c>
      <c r="J134" t="s">
        <v>289</v>
      </c>
    </row>
    <row r="135" spans="2:12" x14ac:dyDescent="0.25">
      <c r="B135" s="7" t="s">
        <v>121</v>
      </c>
      <c r="C135" s="7" t="s">
        <v>122</v>
      </c>
      <c r="D135" s="7" t="s">
        <v>256</v>
      </c>
      <c r="H135" s="7" t="s">
        <v>256</v>
      </c>
      <c r="L135" t="s">
        <v>291</v>
      </c>
    </row>
    <row r="136" spans="2:12" ht="18" x14ac:dyDescent="0.35">
      <c r="B136" s="7"/>
      <c r="D136" s="7" t="s">
        <v>277</v>
      </c>
      <c r="F136" s="7"/>
      <c r="G136" s="7"/>
      <c r="H136" s="7">
        <f>H103</f>
        <v>0</v>
      </c>
      <c r="J136" s="22">
        <f>J128</f>
        <v>0.37653241043147206</v>
      </c>
      <c r="L136" s="10">
        <f>H136*J136+H138*J138+H140*J140</f>
        <v>12.212093578273926</v>
      </c>
    </row>
    <row r="137" spans="2:12" ht="18" x14ac:dyDescent="0.35">
      <c r="C137" s="7" t="s">
        <v>275</v>
      </c>
      <c r="D137" s="7"/>
      <c r="F137" s="7"/>
      <c r="G137" s="7"/>
      <c r="H137" s="7">
        <f t="shared" ref="H137:H140" si="12">H104</f>
        <v>0</v>
      </c>
      <c r="J137" s="22"/>
    </row>
    <row r="138" spans="2:12" ht="18" x14ac:dyDescent="0.35">
      <c r="B138" s="7" t="s">
        <v>134</v>
      </c>
      <c r="D138" s="7" t="s">
        <v>278</v>
      </c>
      <c r="F138" s="7"/>
      <c r="G138" s="7"/>
      <c r="H138" s="7">
        <f t="shared" si="12"/>
        <v>0</v>
      </c>
      <c r="J138" s="22">
        <f t="shared" ref="J138:J140" si="13">J130</f>
        <v>0.35739213724182967</v>
      </c>
      <c r="L138" s="9"/>
    </row>
    <row r="139" spans="2:12" ht="18" x14ac:dyDescent="0.35">
      <c r="B139" s="7"/>
      <c r="C139" s="7" t="s">
        <v>276</v>
      </c>
      <c r="D139" s="7"/>
      <c r="F139" s="7"/>
      <c r="G139" s="7"/>
      <c r="H139" s="7">
        <f t="shared" si="12"/>
        <v>0</v>
      </c>
      <c r="J139" s="22"/>
    </row>
    <row r="140" spans="2:12" ht="18" x14ac:dyDescent="0.35">
      <c r="B140" s="7"/>
      <c r="D140" s="7" t="s">
        <v>279</v>
      </c>
      <c r="F140" s="7"/>
      <c r="G140" s="7"/>
      <c r="H140" s="7">
        <f t="shared" si="12"/>
        <v>144</v>
      </c>
      <c r="J140" s="22">
        <f t="shared" si="13"/>
        <v>8.4806205404680035E-2</v>
      </c>
    </row>
    <row r="142" spans="2:12" ht="18.75" x14ac:dyDescent="0.35">
      <c r="H142" t="s">
        <v>359</v>
      </c>
      <c r="J142" t="s">
        <v>289</v>
      </c>
    </row>
    <row r="143" spans="2:12" x14ac:dyDescent="0.25">
      <c r="H143" s="7" t="s">
        <v>256</v>
      </c>
      <c r="L143" s="9" t="s">
        <v>287</v>
      </c>
    </row>
    <row r="144" spans="2:12" x14ac:dyDescent="0.25">
      <c r="H144" s="7">
        <f>H110</f>
        <v>225</v>
      </c>
      <c r="J144" s="22">
        <f>J136</f>
        <v>0.37653241043147206</v>
      </c>
      <c r="L144" s="2">
        <f>H144*J144+H146*J146+H148*J148</f>
        <v>96.931885925355132</v>
      </c>
    </row>
    <row r="145" spans="8:12" x14ac:dyDescent="0.25">
      <c r="H145" s="7"/>
      <c r="J145" s="22"/>
      <c r="L145" s="2">
        <f>L128+L136</f>
        <v>96.931885925355132</v>
      </c>
    </row>
    <row r="146" spans="8:12" x14ac:dyDescent="0.25">
      <c r="H146" s="7">
        <f>H112</f>
        <v>0</v>
      </c>
      <c r="J146" s="22">
        <f t="shared" ref="J146:J148" si="14">J138</f>
        <v>0.35739213724182967</v>
      </c>
      <c r="L146" s="9"/>
    </row>
    <row r="147" spans="8:12" x14ac:dyDescent="0.25">
      <c r="H147" s="7"/>
      <c r="J147" s="22"/>
      <c r="L147" s="72"/>
    </row>
    <row r="148" spans="8:12" x14ac:dyDescent="0.25">
      <c r="H148" s="7">
        <f>H114</f>
        <v>144</v>
      </c>
      <c r="J148" s="22">
        <f t="shared" si="14"/>
        <v>8.4806205404680035E-2</v>
      </c>
    </row>
  </sheetData>
  <mergeCells count="4">
    <mergeCell ref="B15:B16"/>
    <mergeCell ref="C15:C16"/>
    <mergeCell ref="F15:F16"/>
    <mergeCell ref="E15:E1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D31"/>
  <sheetViews>
    <sheetView workbookViewId="0">
      <selection activeCell="D15" sqref="D15"/>
    </sheetView>
  </sheetViews>
  <sheetFormatPr defaultRowHeight="15" x14ac:dyDescent="0.25"/>
  <cols>
    <col min="4" max="4" width="13.28515625" bestFit="1" customWidth="1"/>
  </cols>
  <sheetData>
    <row r="2" spans="1:4" x14ac:dyDescent="0.25">
      <c r="A2" t="s">
        <v>315</v>
      </c>
      <c r="B2" s="8" t="s">
        <v>316</v>
      </c>
    </row>
    <row r="4" spans="1:4" x14ac:dyDescent="0.25">
      <c r="A4" t="s">
        <v>317</v>
      </c>
    </row>
    <row r="6" spans="1:4" x14ac:dyDescent="0.25">
      <c r="A6" s="18" t="s">
        <v>66</v>
      </c>
      <c r="B6" s="8">
        <v>1</v>
      </c>
      <c r="C6" t="s">
        <v>43</v>
      </c>
    </row>
    <row r="7" spans="1:4" x14ac:dyDescent="0.25">
      <c r="A7" s="7" t="s">
        <v>63</v>
      </c>
      <c r="B7" s="6">
        <v>4</v>
      </c>
    </row>
    <row r="8" spans="1:4" x14ac:dyDescent="0.25">
      <c r="A8" s="7" t="s">
        <v>56</v>
      </c>
      <c r="B8" s="6">
        <v>0.25</v>
      </c>
    </row>
    <row r="10" spans="1:4" x14ac:dyDescent="0.25">
      <c r="B10" s="12" t="s">
        <v>53</v>
      </c>
      <c r="C10" s="12"/>
      <c r="D10" s="12" t="s">
        <v>320</v>
      </c>
    </row>
    <row r="11" spans="1:4" x14ac:dyDescent="0.25">
      <c r="B11" s="12"/>
      <c r="C11" s="12"/>
      <c r="D11" s="12"/>
    </row>
    <row r="12" spans="1:4" ht="17.25" x14ac:dyDescent="0.25">
      <c r="B12" s="14" t="s">
        <v>58</v>
      </c>
      <c r="C12" s="14" t="s">
        <v>28</v>
      </c>
      <c r="D12" s="14" t="s">
        <v>324</v>
      </c>
    </row>
    <row r="13" spans="1:4" x14ac:dyDescent="0.25">
      <c r="B13" s="14" t="s">
        <v>319</v>
      </c>
      <c r="C13" s="14" t="s">
        <v>28</v>
      </c>
      <c r="D13" s="14" t="s">
        <v>318</v>
      </c>
    </row>
    <row r="15" spans="1:4" x14ac:dyDescent="0.25">
      <c r="B15" s="18" t="s">
        <v>321</v>
      </c>
      <c r="C15" s="7" t="s">
        <v>28</v>
      </c>
      <c r="D15" s="65">
        <f>LN(B7)/SQRT(B6)</f>
        <v>1.3862943611198906</v>
      </c>
    </row>
    <row r="17" spans="1:4" x14ac:dyDescent="0.25">
      <c r="A17" t="s">
        <v>322</v>
      </c>
    </row>
    <row r="19" spans="1:4" x14ac:dyDescent="0.25">
      <c r="A19" s="18" t="s">
        <v>66</v>
      </c>
      <c r="B19" s="8">
        <v>1</v>
      </c>
      <c r="C19" t="s">
        <v>43</v>
      </c>
    </row>
    <row r="20" spans="1:4" x14ac:dyDescent="0.25">
      <c r="A20" s="7" t="s">
        <v>63</v>
      </c>
      <c r="B20" s="6">
        <v>2</v>
      </c>
    </row>
    <row r="21" spans="1:4" x14ac:dyDescent="0.25">
      <c r="A21" s="7" t="s">
        <v>56</v>
      </c>
      <c r="B21" s="6">
        <v>0.5</v>
      </c>
    </row>
    <row r="23" spans="1:4" x14ac:dyDescent="0.25">
      <c r="B23" s="18" t="s">
        <v>321</v>
      </c>
      <c r="C23" s="7" t="s">
        <v>28</v>
      </c>
      <c r="D23" s="65">
        <f>LN(B20)/SQRT(B19)</f>
        <v>0.69314718055994529</v>
      </c>
    </row>
    <row r="25" spans="1:4" x14ac:dyDescent="0.25">
      <c r="A25" t="s">
        <v>323</v>
      </c>
    </row>
    <row r="27" spans="1:4" x14ac:dyDescent="0.25">
      <c r="A27" s="18" t="s">
        <v>66</v>
      </c>
      <c r="B27" s="8">
        <v>1</v>
      </c>
      <c r="C27" t="s">
        <v>43</v>
      </c>
    </row>
    <row r="28" spans="1:4" x14ac:dyDescent="0.25">
      <c r="A28" s="7" t="s">
        <v>63</v>
      </c>
      <c r="B28" s="6">
        <v>1.25</v>
      </c>
    </row>
    <row r="29" spans="1:4" x14ac:dyDescent="0.25">
      <c r="A29" s="7" t="s">
        <v>56</v>
      </c>
      <c r="B29" s="6">
        <v>0.75</v>
      </c>
    </row>
    <row r="31" spans="1:4" x14ac:dyDescent="0.25">
      <c r="B31" s="18" t="s">
        <v>321</v>
      </c>
      <c r="C31" s="7" t="s">
        <v>28</v>
      </c>
      <c r="D31" s="65">
        <f>LN(B28)/SQRT(B27)</f>
        <v>0.22314355131420976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S67"/>
  <sheetViews>
    <sheetView tabSelected="1" topLeftCell="A27" workbookViewId="0">
      <selection activeCell="G49" sqref="G49"/>
    </sheetView>
  </sheetViews>
  <sheetFormatPr defaultRowHeight="15" x14ac:dyDescent="0.25"/>
  <cols>
    <col min="3" max="3" width="9.140625" customWidth="1"/>
  </cols>
  <sheetData>
    <row r="3" spans="1:3" x14ac:dyDescent="0.25">
      <c r="A3" s="7" t="s">
        <v>29</v>
      </c>
      <c r="B3" s="8">
        <v>400</v>
      </c>
      <c r="C3" t="s">
        <v>2</v>
      </c>
    </row>
    <row r="4" spans="1:3" x14ac:dyDescent="0.25">
      <c r="A4" s="18" t="s">
        <v>321</v>
      </c>
      <c r="B4" s="67">
        <v>0.2</v>
      </c>
    </row>
    <row r="5" spans="1:3" ht="18" x14ac:dyDescent="0.35">
      <c r="A5" s="7" t="s">
        <v>32</v>
      </c>
      <c r="B5" s="6">
        <v>0.1</v>
      </c>
      <c r="C5" t="s">
        <v>108</v>
      </c>
    </row>
    <row r="7" spans="1:3" x14ac:dyDescent="0.25">
      <c r="A7" s="38" t="s">
        <v>325</v>
      </c>
      <c r="B7" s="64"/>
    </row>
    <row r="8" spans="1:3" x14ac:dyDescent="0.25">
      <c r="A8" s="38"/>
      <c r="B8" s="64"/>
    </row>
    <row r="9" spans="1:3" x14ac:dyDescent="0.25">
      <c r="A9" t="s">
        <v>315</v>
      </c>
      <c r="B9" s="8" t="s">
        <v>316</v>
      </c>
    </row>
    <row r="10" spans="1:3" x14ac:dyDescent="0.25">
      <c r="A10" s="7" t="s">
        <v>4</v>
      </c>
      <c r="B10" s="8">
        <v>400</v>
      </c>
      <c r="C10" t="s">
        <v>2</v>
      </c>
    </row>
    <row r="11" spans="1:3" x14ac:dyDescent="0.25">
      <c r="A11" s="7" t="s">
        <v>1</v>
      </c>
      <c r="B11" s="8">
        <v>1</v>
      </c>
      <c r="C11" t="s">
        <v>326</v>
      </c>
    </row>
    <row r="12" spans="1:3" x14ac:dyDescent="0.25">
      <c r="A12" s="18" t="s">
        <v>66</v>
      </c>
      <c r="B12" s="8">
        <v>1</v>
      </c>
      <c r="C12" t="s">
        <v>326</v>
      </c>
    </row>
    <row r="14" spans="1:3" x14ac:dyDescent="0.25">
      <c r="B14" s="7" t="s">
        <v>63</v>
      </c>
      <c r="C14" s="10">
        <f>EXP(B4*SQRT(B12))</f>
        <v>1.2214027581601699</v>
      </c>
    </row>
    <row r="15" spans="1:3" x14ac:dyDescent="0.25">
      <c r="B15" s="7" t="s">
        <v>56</v>
      </c>
      <c r="C15" s="10">
        <f>1/C14</f>
        <v>0.81873075307798182</v>
      </c>
    </row>
    <row r="16" spans="1:3" ht="18" x14ac:dyDescent="0.35">
      <c r="B16" s="7" t="s">
        <v>3</v>
      </c>
      <c r="C16" s="22">
        <f>EXP(-B12*B5)</f>
        <v>0.90483741803595952</v>
      </c>
    </row>
    <row r="17" spans="1:10" x14ac:dyDescent="0.25">
      <c r="B17" s="7" t="s">
        <v>55</v>
      </c>
      <c r="C17" s="52">
        <f>(1/C16-C15)/(C14-C15)</f>
        <v>0.71134859484259794</v>
      </c>
    </row>
    <row r="18" spans="1:10" x14ac:dyDescent="0.25">
      <c r="B18" s="7"/>
    </row>
    <row r="19" spans="1:10" x14ac:dyDescent="0.25">
      <c r="B19" s="7" t="s">
        <v>75</v>
      </c>
      <c r="E19" t="s">
        <v>44</v>
      </c>
    </row>
    <row r="20" spans="1:10" x14ac:dyDescent="0.25">
      <c r="B20" s="7" t="s">
        <v>121</v>
      </c>
      <c r="C20" s="7" t="s">
        <v>122</v>
      </c>
      <c r="E20" s="7" t="s">
        <v>121</v>
      </c>
      <c r="F20" s="7" t="s">
        <v>122</v>
      </c>
    </row>
    <row r="21" spans="1:10" x14ac:dyDescent="0.25">
      <c r="C21" s="4">
        <f>B22*C14</f>
        <v>488.56110326406792</v>
      </c>
      <c r="F21" s="68">
        <f>MAX(C21-$B$10,0)</f>
        <v>88.561103264067924</v>
      </c>
    </row>
    <row r="22" spans="1:10" x14ac:dyDescent="0.25">
      <c r="B22">
        <f>B3</f>
        <v>400</v>
      </c>
      <c r="C22" s="4"/>
      <c r="E22" s="2">
        <f>(F21*C17+F23*(1-C17))*C16</f>
        <v>57.002781501252642</v>
      </c>
      <c r="F22" s="68"/>
    </row>
    <row r="23" spans="1:10" x14ac:dyDescent="0.25">
      <c r="C23" s="4">
        <f>B22*C15</f>
        <v>327.49230123119276</v>
      </c>
      <c r="E23" s="11" t="s">
        <v>51</v>
      </c>
      <c r="F23" s="68">
        <f t="shared" ref="F23" si="0">MAX(C23-$B$10,0)</f>
        <v>0</v>
      </c>
    </row>
    <row r="25" spans="1:10" x14ac:dyDescent="0.25">
      <c r="A25" s="3" t="s">
        <v>327</v>
      </c>
      <c r="B25" s="3"/>
      <c r="C25" s="3"/>
      <c r="D25" s="3"/>
      <c r="E25" s="3"/>
      <c r="F25" s="3"/>
      <c r="G25" s="3"/>
      <c r="H25" s="3"/>
      <c r="I25" s="3"/>
      <c r="J25" s="3"/>
    </row>
    <row r="27" spans="1:10" x14ac:dyDescent="0.25">
      <c r="A27" t="s">
        <v>315</v>
      </c>
      <c r="B27" s="8" t="s">
        <v>316</v>
      </c>
    </row>
    <row r="28" spans="1:10" x14ac:dyDescent="0.25">
      <c r="A28" s="7" t="s">
        <v>4</v>
      </c>
      <c r="B28" s="8">
        <v>400</v>
      </c>
      <c r="C28" t="s">
        <v>2</v>
      </c>
    </row>
    <row r="29" spans="1:10" x14ac:dyDescent="0.25">
      <c r="A29" s="7" t="s">
        <v>1</v>
      </c>
      <c r="B29" s="8">
        <v>2</v>
      </c>
      <c r="C29" t="s">
        <v>326</v>
      </c>
    </row>
    <row r="30" spans="1:10" x14ac:dyDescent="0.25">
      <c r="A30" s="18" t="s">
        <v>66</v>
      </c>
      <c r="B30" s="8">
        <v>1</v>
      </c>
      <c r="C30" t="s">
        <v>326</v>
      </c>
    </row>
    <row r="32" spans="1:10" x14ac:dyDescent="0.25">
      <c r="B32" s="7" t="s">
        <v>63</v>
      </c>
      <c r="C32" s="10">
        <f>C14</f>
        <v>1.2214027581601699</v>
      </c>
    </row>
    <row r="33" spans="1:19" x14ac:dyDescent="0.25">
      <c r="B33" s="7" t="s">
        <v>56</v>
      </c>
      <c r="C33" s="10">
        <f t="shared" ref="C33:C35" si="1">C15</f>
        <v>0.81873075307798182</v>
      </c>
    </row>
    <row r="34" spans="1:19" ht="18" x14ac:dyDescent="0.35">
      <c r="B34" s="7" t="s">
        <v>3</v>
      </c>
      <c r="C34" s="10">
        <f t="shared" si="1"/>
        <v>0.90483741803595952</v>
      </c>
    </row>
    <row r="35" spans="1:19" x14ac:dyDescent="0.25">
      <c r="B35" s="7" t="s">
        <v>55</v>
      </c>
      <c r="C35" s="10">
        <f t="shared" si="1"/>
        <v>0.71134859484259794</v>
      </c>
    </row>
    <row r="36" spans="1:19" x14ac:dyDescent="0.25">
      <c r="B36" s="7"/>
      <c r="C36" s="10"/>
    </row>
    <row r="37" spans="1:19" x14ac:dyDescent="0.25">
      <c r="B37" s="7" t="s">
        <v>75</v>
      </c>
      <c r="F37" t="s">
        <v>44</v>
      </c>
    </row>
    <row r="38" spans="1:19" x14ac:dyDescent="0.25">
      <c r="B38" s="7" t="s">
        <v>121</v>
      </c>
      <c r="C38" s="7" t="s">
        <v>122</v>
      </c>
      <c r="D38" s="7" t="s">
        <v>256</v>
      </c>
      <c r="F38" s="7" t="s">
        <v>121</v>
      </c>
      <c r="G38" s="7" t="s">
        <v>122</v>
      </c>
      <c r="H38" s="7" t="s">
        <v>256</v>
      </c>
    </row>
    <row r="39" spans="1:19" x14ac:dyDescent="0.25">
      <c r="B39" s="7"/>
      <c r="C39" s="4"/>
      <c r="D39" s="4">
        <f>C40*C32</f>
        <v>596.72987905650814</v>
      </c>
      <c r="G39" s="68"/>
      <c r="H39" s="4">
        <f>MAX(D39-$B$28,0)</f>
        <v>196.72987905650814</v>
      </c>
    </row>
    <row r="40" spans="1:19" x14ac:dyDescent="0.25">
      <c r="B40" s="7"/>
      <c r="C40" s="4">
        <f>B41*C32</f>
        <v>488.56110326406792</v>
      </c>
      <c r="D40" s="7"/>
      <c r="F40" s="11" t="s">
        <v>51</v>
      </c>
      <c r="G40" s="10">
        <f>(H39*$C$35+H41*(1-$C$35))*$C$34</f>
        <v>126.62613604968416</v>
      </c>
      <c r="H40" s="4"/>
    </row>
    <row r="41" spans="1:19" x14ac:dyDescent="0.25">
      <c r="B41" s="7">
        <f>B3</f>
        <v>400</v>
      </c>
      <c r="C41" s="4"/>
      <c r="D41" s="7">
        <f>C40*C33</f>
        <v>400</v>
      </c>
      <c r="F41" s="2">
        <f>(G40*$C$35+G42*(1-$C$35))*$C$34</f>
        <v>81.503523551028607</v>
      </c>
      <c r="G41" s="4"/>
      <c r="H41" s="4">
        <f t="shared" ref="H41:H43" si="2">MAX(D41-$B$28,0)</f>
        <v>0</v>
      </c>
    </row>
    <row r="42" spans="1:19" x14ac:dyDescent="0.25">
      <c r="B42" s="7"/>
      <c r="C42" s="4">
        <f>B41*C33</f>
        <v>327.49230123119276</v>
      </c>
      <c r="D42" s="7"/>
      <c r="F42" s="7"/>
      <c r="G42" s="4">
        <f>(H41*$C$35+H43*(1-$C$35))*$C$34</f>
        <v>0</v>
      </c>
      <c r="H42" s="4"/>
    </row>
    <row r="43" spans="1:19" x14ac:dyDescent="0.25">
      <c r="B43" s="7"/>
      <c r="C43" s="7"/>
      <c r="D43" s="4">
        <f>C42*C33</f>
        <v>268.12801841425573</v>
      </c>
      <c r="F43" s="7"/>
      <c r="G43" s="7"/>
      <c r="H43" s="4">
        <f t="shared" si="2"/>
        <v>0</v>
      </c>
    </row>
    <row r="45" spans="1:19" x14ac:dyDescent="0.25">
      <c r="A45" s="3" t="s">
        <v>328</v>
      </c>
      <c r="B45" s="3"/>
      <c r="C45" s="3"/>
      <c r="D45" s="3"/>
      <c r="E45" s="3"/>
      <c r="F45" s="3"/>
      <c r="G45" s="3"/>
      <c r="H45" s="3"/>
      <c r="I45" s="3"/>
      <c r="J45" s="3"/>
      <c r="K45" s="3"/>
      <c r="L45" s="3"/>
      <c r="M45" s="3"/>
      <c r="N45" s="3"/>
      <c r="O45" s="3"/>
      <c r="P45" s="3"/>
      <c r="Q45" s="3"/>
      <c r="R45" s="3"/>
      <c r="S45" s="3"/>
    </row>
    <row r="47" spans="1:19" x14ac:dyDescent="0.25">
      <c r="A47" s="18" t="s">
        <v>321</v>
      </c>
      <c r="B47" s="6">
        <v>0.3</v>
      </c>
    </row>
    <row r="49" spans="2:11" x14ac:dyDescent="0.25">
      <c r="B49" s="7" t="s">
        <v>63</v>
      </c>
      <c r="C49" s="62">
        <f>EXP(B47*SQRT(B12))</f>
        <v>1.3498588075760032</v>
      </c>
    </row>
    <row r="50" spans="2:11" x14ac:dyDescent="0.25">
      <c r="B50" s="7" t="s">
        <v>56</v>
      </c>
      <c r="C50" s="62">
        <f>1/C49</f>
        <v>0.74081822068171788</v>
      </c>
    </row>
    <row r="51" spans="2:11" ht="18" x14ac:dyDescent="0.35">
      <c r="B51" s="7" t="s">
        <v>3</v>
      </c>
      <c r="C51" s="10">
        <f>C34</f>
        <v>0.90483741803595952</v>
      </c>
    </row>
    <row r="52" spans="2:11" x14ac:dyDescent="0.25">
      <c r="B52" s="7" t="s">
        <v>55</v>
      </c>
      <c r="C52" s="10">
        <f>C35</f>
        <v>0.71134859484259794</v>
      </c>
    </row>
    <row r="54" spans="2:11" x14ac:dyDescent="0.25">
      <c r="B54" s="7" t="s">
        <v>75</v>
      </c>
      <c r="F54" t="s">
        <v>331</v>
      </c>
      <c r="I54" t="s">
        <v>332</v>
      </c>
    </row>
    <row r="55" spans="2:11" x14ac:dyDescent="0.25">
      <c r="B55" s="7" t="s">
        <v>121</v>
      </c>
      <c r="C55" s="7" t="s">
        <v>122</v>
      </c>
      <c r="D55" s="7" t="s">
        <v>256</v>
      </c>
      <c r="F55" s="7" t="s">
        <v>121</v>
      </c>
      <c r="G55" s="7" t="s">
        <v>122</v>
      </c>
      <c r="I55" s="7" t="s">
        <v>121</v>
      </c>
      <c r="J55" s="7" t="s">
        <v>122</v>
      </c>
      <c r="K55" s="7" t="s">
        <v>256</v>
      </c>
    </row>
    <row r="56" spans="2:11" x14ac:dyDescent="0.25">
      <c r="B56" s="7"/>
      <c r="C56" s="10"/>
      <c r="D56" s="10">
        <f>C57*C49</f>
        <v>728.8475201562037</v>
      </c>
      <c r="K56" s="10">
        <f>MAX(D56-$B$28,0)</f>
        <v>328.8475201562037</v>
      </c>
    </row>
    <row r="57" spans="2:11" x14ac:dyDescent="0.25">
      <c r="B57" s="7"/>
      <c r="C57" s="10">
        <f>B58*C49</f>
        <v>539.94352303040125</v>
      </c>
      <c r="D57" s="7"/>
      <c r="F57" s="11" t="s">
        <v>51</v>
      </c>
      <c r="G57" s="10">
        <f>MAX(C57-$B$28,0)</f>
        <v>139.94352303040125</v>
      </c>
      <c r="I57" s="11" t="s">
        <v>51</v>
      </c>
      <c r="J57" s="10">
        <f>(K56*$C$52+K58*(1-$C$52))*$C$51</f>
        <v>211.66429332750184</v>
      </c>
      <c r="K57" s="1"/>
    </row>
    <row r="58" spans="2:11" x14ac:dyDescent="0.25">
      <c r="B58" s="7">
        <f>B41</f>
        <v>400</v>
      </c>
      <c r="C58" s="10"/>
      <c r="D58" s="7">
        <f>C57*C50</f>
        <v>400</v>
      </c>
      <c r="F58" s="2">
        <f>(G57*C52+G59*(1-C52))*C51</f>
        <v>90.075323949290421</v>
      </c>
      <c r="G58" s="10"/>
      <c r="I58" s="2">
        <f>(J57*$C$52+J59*(1-$C$52))*$C$51</f>
        <v>136.23874386691358</v>
      </c>
      <c r="K58" s="4">
        <f t="shared" ref="K58:K60" si="3">MAX(D58-$B$28,0)</f>
        <v>0</v>
      </c>
    </row>
    <row r="59" spans="2:11" x14ac:dyDescent="0.25">
      <c r="B59" s="7"/>
      <c r="C59" s="10">
        <f>B58*C50</f>
        <v>296.32728827268716</v>
      </c>
      <c r="D59" s="7"/>
      <c r="F59" s="7"/>
      <c r="G59" s="10">
        <f t="shared" ref="G59" si="4">MAX(C59-$B$28,0)</f>
        <v>0</v>
      </c>
      <c r="J59" s="7">
        <f>(K58*$C$52+K60*(1-$C$52))*$C$51</f>
        <v>0</v>
      </c>
      <c r="K59" s="68"/>
    </row>
    <row r="60" spans="2:11" x14ac:dyDescent="0.25">
      <c r="B60" s="7"/>
      <c r="C60" s="7"/>
      <c r="D60" s="10">
        <f>C59*C50</f>
        <v>219.52465443761059</v>
      </c>
      <c r="K60" s="4">
        <f t="shared" si="3"/>
        <v>0</v>
      </c>
    </row>
    <row r="61" spans="2:11" x14ac:dyDescent="0.25">
      <c r="B61" s="7"/>
      <c r="C61" s="7"/>
      <c r="D61" s="10"/>
    </row>
    <row r="62" spans="2:11" x14ac:dyDescent="0.25">
      <c r="F62" s="18" t="s">
        <v>321</v>
      </c>
      <c r="G62" s="66">
        <f>B4</f>
        <v>0.2</v>
      </c>
      <c r="H62" s="64">
        <f>B47</f>
        <v>0.3</v>
      </c>
      <c r="I62" s="7"/>
    </row>
    <row r="63" spans="2:11" x14ac:dyDescent="0.25">
      <c r="F63" s="38" t="s">
        <v>330</v>
      </c>
      <c r="G63" s="10">
        <f>E22</f>
        <v>57.002781501252642</v>
      </c>
      <c r="H63" s="10">
        <f>F58</f>
        <v>90.075323949290421</v>
      </c>
      <c r="I63" s="69">
        <f>LN(H63/G63)</f>
        <v>0.45754618815567344</v>
      </c>
    </row>
    <row r="64" spans="2:11" x14ac:dyDescent="0.25">
      <c r="F64" t="s">
        <v>333</v>
      </c>
      <c r="G64" s="10">
        <f>F41</f>
        <v>81.503523551028607</v>
      </c>
      <c r="H64" s="10">
        <f>I58</f>
        <v>136.23874386691358</v>
      </c>
      <c r="I64" s="69">
        <f>LN(H64/G64)</f>
        <v>0.51376256324260861</v>
      </c>
    </row>
    <row r="66" spans="6:13" x14ac:dyDescent="0.25">
      <c r="F66" s="36" t="s">
        <v>360</v>
      </c>
      <c r="G66" s="36"/>
      <c r="H66" s="36"/>
      <c r="I66" s="36"/>
      <c r="J66" s="36"/>
      <c r="K66" s="36"/>
      <c r="L66" s="36"/>
      <c r="M66" s="36"/>
    </row>
    <row r="67" spans="6:13" x14ac:dyDescent="0.25">
      <c r="F67" s="36" t="s">
        <v>329</v>
      </c>
      <c r="G67" s="36"/>
      <c r="H67" s="36"/>
      <c r="I67" s="36"/>
      <c r="J67" s="36"/>
      <c r="K67" s="36"/>
      <c r="L67" s="36"/>
      <c r="M67" s="3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Problem5.1.</vt:lpstr>
      <vt:lpstr>Problem5.2.</vt:lpstr>
      <vt:lpstr>Problem5.3.</vt:lpstr>
      <vt:lpstr>Problem5.4.</vt:lpstr>
      <vt:lpstr>Problem5.5.</vt:lpstr>
      <vt:lpstr>Problem5.6.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Milan</dc:creator>
  <cp:lastModifiedBy>Bihary  Zsolt</cp:lastModifiedBy>
  <dcterms:created xsi:type="dcterms:W3CDTF">2022-11-20T20:31:47Z</dcterms:created>
  <dcterms:modified xsi:type="dcterms:W3CDTF">2023-12-05T14:26:34Z</dcterms:modified>
</cp:coreProperties>
</file>