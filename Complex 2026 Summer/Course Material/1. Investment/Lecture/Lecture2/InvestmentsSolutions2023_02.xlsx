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gao/Downloads/考文纽斯课程资料/1. Investment/Lecture/Lecture2/"/>
    </mc:Choice>
  </mc:AlternateContent>
  <xr:revisionPtr revIDLastSave="0" documentId="13_ncr:1_{2900AEF6-8FB9-F748-979E-C76C51897FF3}" xr6:coauthVersionLast="47" xr6:coauthVersionMax="47" xr10:uidLastSave="{00000000-0000-0000-0000-000000000000}"/>
  <bookViews>
    <workbookView xWindow="0" yWindow="0" windowWidth="28800" windowHeight="18000" activeTab="4" xr2:uid="{00000000-000D-0000-FFFF-FFFF00000000}"/>
  </bookViews>
  <sheets>
    <sheet name="1." sheetId="37" r:id="rId1"/>
    <sheet name="2." sheetId="38" r:id="rId2"/>
    <sheet name="3." sheetId="39" r:id="rId3"/>
    <sheet name="4." sheetId="20" r:id="rId4"/>
    <sheet name="5." sheetId="32" r:id="rId5"/>
    <sheet name="6." sheetId="33" r:id="rId6"/>
    <sheet name="7." sheetId="34" r:id="rId7"/>
    <sheet name="8." sheetId="35" r:id="rId8"/>
    <sheet name="9." sheetId="3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32" l="1"/>
  <c r="J24" i="32"/>
  <c r="B22" i="32"/>
  <c r="B19" i="32"/>
  <c r="J22" i="32"/>
  <c r="B16" i="32"/>
  <c r="D48" i="20"/>
  <c r="N34" i="20"/>
  <c r="N33" i="20"/>
  <c r="N32" i="20"/>
  <c r="N31" i="20"/>
  <c r="M33" i="20"/>
  <c r="M32" i="20"/>
  <c r="C41" i="20"/>
  <c r="M31" i="20"/>
  <c r="B22" i="39"/>
  <c r="C42" i="20"/>
  <c r="N28" i="20"/>
  <c r="D34" i="20"/>
  <c r="N26" i="20"/>
  <c r="N25" i="20"/>
  <c r="N24" i="20"/>
  <c r="N23" i="20"/>
  <c r="M22" i="20"/>
  <c r="M20" i="20"/>
  <c r="M19" i="20"/>
  <c r="M18" i="20"/>
  <c r="M17" i="20"/>
  <c r="O19" i="38"/>
  <c r="O18" i="38"/>
  <c r="N18" i="38"/>
  <c r="O17" i="38"/>
  <c r="B21" i="38"/>
  <c r="F18" i="38"/>
  <c r="B20" i="38"/>
  <c r="F34" i="37"/>
  <c r="B37" i="37" s="1"/>
  <c r="T25" i="37"/>
  <c r="S33" i="37"/>
  <c r="S34" i="37" s="1"/>
  <c r="S32" i="37"/>
  <c r="B32" i="37"/>
  <c r="B23" i="37"/>
  <c r="B41" i="34"/>
  <c r="B23" i="39"/>
  <c r="H20" i="38"/>
  <c r="F20" i="37"/>
  <c r="B18" i="37"/>
  <c r="E37" i="37" s="1"/>
  <c r="E23" i="37" l="1"/>
  <c r="C18" i="36" l="1"/>
  <c r="B18" i="36"/>
  <c r="B15" i="36"/>
  <c r="B12" i="36"/>
  <c r="B7" i="36"/>
  <c r="B11" i="35"/>
  <c r="B24" i="34"/>
  <c r="C38" i="34"/>
  <c r="C64" i="33"/>
  <c r="C46" i="33"/>
  <c r="C39" i="33"/>
  <c r="C37" i="33"/>
  <c r="C36" i="33"/>
  <c r="B68" i="33"/>
  <c r="C65" i="33"/>
  <c r="D20" i="20"/>
  <c r="E13" i="34"/>
  <c r="C21" i="34" s="1"/>
  <c r="C16" i="34"/>
  <c r="E30" i="34"/>
  <c r="C30" i="34"/>
  <c r="C33" i="34" s="1"/>
  <c r="B79" i="33"/>
  <c r="B59" i="33"/>
  <c r="C38" i="33"/>
  <c r="C35" i="33"/>
  <c r="C25" i="33"/>
  <c r="C21" i="33"/>
  <c r="C22" i="33" s="1"/>
  <c r="C24" i="33" s="1"/>
  <c r="C28" i="33" s="1"/>
  <c r="A28" i="20"/>
  <c r="A27" i="20"/>
  <c r="B82" i="33" l="1"/>
  <c r="C84" i="33" s="1"/>
  <c r="C85" i="33" s="1"/>
  <c r="B88" i="33" s="1"/>
  <c r="C43" i="33"/>
  <c r="C13" i="20"/>
  <c r="C14" i="20"/>
  <c r="C12" i="20"/>
  <c r="B12" i="20"/>
  <c r="B13" i="20" s="1"/>
  <c r="B14" i="20" s="1"/>
  <c r="C42" i="33" l="1"/>
  <c r="B62" i="33"/>
  <c r="C27" i="20"/>
  <c r="B28" i="20"/>
  <c r="B42" i="20" s="1"/>
  <c r="D42" i="20" s="1"/>
  <c r="B27" i="20"/>
  <c r="C28" i="20"/>
  <c r="B26" i="20"/>
  <c r="D12" i="20"/>
  <c r="D13" i="20"/>
  <c r="D14" i="20"/>
  <c r="D26" i="20" l="1"/>
  <c r="B40" i="20"/>
  <c r="D40" i="20" s="1"/>
  <c r="D45" i="20" s="1"/>
  <c r="D27" i="20"/>
  <c r="B41" i="20"/>
  <c r="D41" i="20" s="1"/>
  <c r="D28" i="20"/>
  <c r="D17" i="20"/>
  <c r="D31" i="20" l="1"/>
</calcChain>
</file>

<file path=xl/sharedStrings.xml><?xml version="1.0" encoding="utf-8"?>
<sst xmlns="http://schemas.openxmlformats.org/spreadsheetml/2006/main" count="391" uniqueCount="197">
  <si>
    <t>T</t>
  </si>
  <si>
    <t>Face value</t>
  </si>
  <si>
    <t>Arbitrage-free forward price</t>
  </si>
  <si>
    <t>$</t>
  </si>
  <si>
    <t>(in years)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</si>
  <si>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</t>
    </r>
  </si>
  <si>
    <t>Long</t>
  </si>
  <si>
    <t>Postion</t>
  </si>
  <si>
    <t>Value of the forward contract</t>
  </si>
  <si>
    <t>General rule</t>
  </si>
  <si>
    <t>f(t) =</t>
  </si>
  <si>
    <r>
      <t>(F</t>
    </r>
    <r>
      <rPr>
        <vertAlign val="subscript"/>
        <sz val="11"/>
        <color theme="1"/>
        <rFont val="Calibri"/>
        <family val="2"/>
        <charset val="238"/>
        <scheme val="minor"/>
      </rPr>
      <t>T-t</t>
    </r>
    <r>
      <rPr>
        <sz val="11"/>
        <color theme="1"/>
        <rFont val="Calibri"/>
        <family val="2"/>
        <charset val="238"/>
        <scheme val="minor"/>
      </rPr>
      <t>(t) - F</t>
    </r>
    <r>
      <rPr>
        <vertAlign val="subscript"/>
        <sz val="11"/>
        <color theme="1"/>
        <rFont val="Calibri"/>
        <family val="2"/>
        <charset val="238"/>
        <scheme val="minor"/>
      </rPr>
      <t>T</t>
    </r>
    <r>
      <rPr>
        <sz val="11"/>
        <color theme="1"/>
        <rFont val="Calibri"/>
        <family val="2"/>
        <charset val="238"/>
        <scheme val="minor"/>
      </rPr>
      <t>(0))*DF</t>
    </r>
    <r>
      <rPr>
        <vertAlign val="subscript"/>
        <sz val="11"/>
        <color theme="1"/>
        <rFont val="Calibri"/>
        <family val="2"/>
        <charset val="238"/>
        <scheme val="minor"/>
      </rPr>
      <t>T-t</t>
    </r>
    <r>
      <rPr>
        <sz val="11"/>
        <color theme="1"/>
        <rFont val="Calibri"/>
        <family val="2"/>
        <charset val="238"/>
        <scheme val="minor"/>
      </rPr>
      <t>(t)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</si>
  <si>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</t>
    </r>
  </si>
  <si>
    <t>Discounting to t!</t>
  </si>
  <si>
    <t>=</t>
  </si>
  <si>
    <r>
      <t>S(t) - F</t>
    </r>
    <r>
      <rPr>
        <vertAlign val="subscript"/>
        <sz val="11"/>
        <color theme="1"/>
        <rFont val="Calibri"/>
        <family val="2"/>
        <charset val="238"/>
        <scheme val="minor"/>
      </rPr>
      <t>T</t>
    </r>
    <r>
      <rPr>
        <sz val="11"/>
        <color theme="1"/>
        <rFont val="Calibri"/>
        <family val="2"/>
        <charset val="238"/>
        <scheme val="minor"/>
      </rPr>
      <t>(0)*DF</t>
    </r>
    <r>
      <rPr>
        <vertAlign val="subscript"/>
        <sz val="11"/>
        <color theme="1"/>
        <rFont val="Calibri"/>
        <family val="2"/>
        <charset val="238"/>
        <scheme val="minor"/>
      </rPr>
      <t>T-t</t>
    </r>
    <r>
      <rPr>
        <sz val="11"/>
        <color theme="1"/>
        <rFont val="Calibri"/>
        <family val="2"/>
        <charset val="238"/>
        <scheme val="minor"/>
      </rPr>
      <t>(t)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</si>
  <si>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(0)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</si>
  <si>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(0)</t>
    </r>
  </si>
  <si>
    <t>k</t>
  </si>
  <si>
    <t>CF</t>
  </si>
  <si>
    <t>DF</t>
  </si>
  <si>
    <t>Market price</t>
  </si>
  <si>
    <t>million $</t>
  </si>
  <si>
    <t>N</t>
  </si>
  <si>
    <t>years</t>
  </si>
  <si>
    <t>S(1)</t>
  </si>
  <si>
    <t>LF(1)</t>
  </si>
  <si>
    <t>Position</t>
  </si>
  <si>
    <t>t = 0</t>
  </si>
  <si>
    <t>T = 1</t>
  </si>
  <si>
    <t>t = 1</t>
  </si>
  <si>
    <t>maturity is right before the first year coupon payment</t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</si>
  <si>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(1) = DF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(0)/ DF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</si>
  <si>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(1) = DF</t>
    </r>
    <r>
      <rPr>
        <vertAlign val="subscript"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(0)/ DF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</t>
    </r>
  </si>
  <si>
    <t>LF(1) = LU + SB(1)</t>
  </si>
  <si>
    <t xml:space="preserve">LU </t>
  </si>
  <si>
    <t>SB(1)</t>
  </si>
  <si>
    <t>long bond (3 year coupon payment 10%)</t>
  </si>
  <si>
    <t>short bond ( zero coupon bond)</t>
  </si>
  <si>
    <t>The HPR will be equal on different bonds if and only if the yield curve dynamics is based on implied forward rates - if the expectations theory of the yield curve is correct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</si>
  <si>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T-t</t>
    </r>
    <r>
      <rPr>
        <sz val="11"/>
        <color theme="1"/>
        <rFont val="Calibri"/>
        <family val="2"/>
        <charset val="238"/>
        <scheme val="minor"/>
      </rPr>
      <t>(t) - F</t>
    </r>
    <r>
      <rPr>
        <vertAlign val="subscript"/>
        <sz val="11"/>
        <color theme="1"/>
        <rFont val="Calibri"/>
        <family val="2"/>
        <charset val="238"/>
        <scheme val="minor"/>
      </rPr>
      <t>T</t>
    </r>
    <r>
      <rPr>
        <sz val="11"/>
        <color theme="1"/>
        <rFont val="Calibri"/>
        <family val="2"/>
        <charset val="238"/>
        <scheme val="minor"/>
      </rPr>
      <t>(0)</t>
    </r>
  </si>
  <si>
    <t>fut(t) =</t>
  </si>
  <si>
    <t>barrels</t>
  </si>
  <si>
    <t>contract size</t>
  </si>
  <si>
    <t>exposure</t>
  </si>
  <si>
    <t>position</t>
  </si>
  <si>
    <t>contract number</t>
  </si>
  <si>
    <t>contracts number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</si>
  <si>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Dec20-Jun8</t>
    </r>
    <r>
      <rPr>
        <sz val="11"/>
        <color theme="1"/>
        <rFont val="Calibri"/>
        <family val="2"/>
        <charset val="238"/>
        <scheme val="minor"/>
      </rPr>
      <t>(Jun8)</t>
    </r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</si>
  <si>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Dec20-Nov10</t>
    </r>
    <r>
      <rPr>
        <sz val="11"/>
        <color theme="1"/>
        <rFont val="Calibri"/>
        <family val="2"/>
        <charset val="238"/>
        <scheme val="minor"/>
      </rPr>
      <t>(Nov10)</t>
    </r>
  </si>
  <si>
    <t>S(Nov10)</t>
  </si>
  <si>
    <t>fut(Nov10) =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</si>
  <si>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Dec20-Nov10</t>
    </r>
    <r>
      <rPr>
        <sz val="11"/>
        <color theme="1"/>
        <rFont val="Calibri"/>
        <family val="2"/>
        <charset val="238"/>
        <scheme val="minor"/>
      </rPr>
      <t>(Nov10)- F</t>
    </r>
    <r>
      <rPr>
        <vertAlign val="subscript"/>
        <sz val="11"/>
        <color theme="1"/>
        <rFont val="Calibri"/>
        <family val="2"/>
        <charset val="238"/>
        <scheme val="minor"/>
      </rPr>
      <t>Dec20-Jun8</t>
    </r>
    <r>
      <rPr>
        <sz val="11"/>
        <color theme="1"/>
        <rFont val="Calibri"/>
        <family val="2"/>
        <charset val="238"/>
        <scheme val="minor"/>
      </rPr>
      <t>(Jun8)</t>
    </r>
  </si>
  <si>
    <t>$/barrel</t>
  </si>
  <si>
    <t>Effective price</t>
  </si>
  <si>
    <t>Total price paid</t>
  </si>
  <si>
    <t>EURUSD</t>
  </si>
  <si>
    <t>S(Sept15)</t>
  </si>
  <si>
    <t>dollars</t>
  </si>
  <si>
    <t xml:space="preserve"> Febr 20</t>
  </si>
  <si>
    <t>euros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</si>
  <si>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Dec17-Sept15</t>
    </r>
    <r>
      <rPr>
        <sz val="11"/>
        <color theme="1"/>
        <rFont val="Calibri"/>
        <family val="2"/>
        <charset val="238"/>
        <scheme val="minor"/>
      </rPr>
      <t>(Sept15)</t>
    </r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</si>
  <si>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Marc17-Sept15</t>
    </r>
    <r>
      <rPr>
        <sz val="11"/>
        <color theme="1"/>
        <rFont val="Calibri"/>
        <family val="2"/>
        <charset val="238"/>
        <scheme val="minor"/>
      </rPr>
      <t>(Sept15)</t>
    </r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</si>
  <si>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Febr20-Sept15</t>
    </r>
    <r>
      <rPr>
        <sz val="11"/>
        <color theme="1"/>
        <rFont val="Calibri"/>
        <family val="2"/>
        <charset val="238"/>
        <scheme val="minor"/>
      </rPr>
      <t>(Sept15)</t>
    </r>
  </si>
  <si>
    <t>b) Which of the available futures contracts should be used for hedging?</t>
  </si>
  <si>
    <t>c) If the company uses a forward contract to hedge currency risk</t>
  </si>
  <si>
    <t>Long forward</t>
  </si>
  <si>
    <t>forward price</t>
  </si>
  <si>
    <t xml:space="preserve"> Febr20</t>
  </si>
  <si>
    <t xml:space="preserve"> Sept15</t>
  </si>
  <si>
    <t xml:space="preserve">buy </t>
  </si>
  <si>
    <t>sell</t>
  </si>
  <si>
    <t>exposure date</t>
  </si>
  <si>
    <t>futures price</t>
  </si>
  <si>
    <t>Short futures</t>
  </si>
  <si>
    <t>Second futures - Marc17 delivery date</t>
  </si>
  <si>
    <t>contract number - rounded</t>
  </si>
  <si>
    <t>N'</t>
  </si>
  <si>
    <t>on the spot market</t>
  </si>
  <si>
    <t>March17</t>
  </si>
  <si>
    <t>-</t>
  </si>
  <si>
    <t>futures - EURUSD</t>
  </si>
  <si>
    <t>forward - bid - EURUSD</t>
  </si>
  <si>
    <t>forward - ask - EURUSD</t>
  </si>
  <si>
    <t>fut(Febr20) =</t>
  </si>
  <si>
    <t>S(Febr20)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</si>
  <si>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Marc17-Febr20</t>
    </r>
    <r>
      <rPr>
        <sz val="11"/>
        <color theme="1"/>
        <rFont val="Calibri"/>
        <family val="2"/>
        <charset val="238"/>
        <scheme val="minor"/>
      </rPr>
      <t>(Febr20)</t>
    </r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</si>
  <si>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Marc17-Febr20</t>
    </r>
    <r>
      <rPr>
        <sz val="11"/>
        <color theme="1"/>
        <rFont val="Calibri"/>
        <family val="2"/>
        <charset val="238"/>
        <scheme val="minor"/>
      </rPr>
      <t>(Febr20) - F</t>
    </r>
    <r>
      <rPr>
        <vertAlign val="subscript"/>
        <sz val="11"/>
        <color theme="1"/>
        <rFont val="Calibri"/>
        <family val="2"/>
        <charset val="238"/>
        <scheme val="minor"/>
      </rPr>
      <t>Marc17-Sept15</t>
    </r>
    <r>
      <rPr>
        <sz val="11"/>
        <color theme="1"/>
        <rFont val="Calibri"/>
        <family val="2"/>
        <charset val="238"/>
        <scheme val="minor"/>
      </rPr>
      <t>(Sept15)</t>
    </r>
  </si>
  <si>
    <t>Value of the futures contract/Gain on the future contract</t>
  </si>
  <si>
    <t>buy</t>
  </si>
  <si>
    <t>Portfolio duration</t>
  </si>
  <si>
    <t>Portfolio market value</t>
  </si>
  <si>
    <t>face value</t>
  </si>
  <si>
    <t>Market value</t>
  </si>
  <si>
    <t>Duration</t>
  </si>
  <si>
    <t>Portfolio</t>
  </si>
  <si>
    <t>LB(1)</t>
  </si>
  <si>
    <t>long bond (one and half year zero-coupon bond)</t>
  </si>
  <si>
    <t>short bond (on year zero coupon bond)</t>
  </si>
  <si>
    <t>X</t>
  </si>
  <si>
    <t xml:space="preserve"> -X</t>
  </si>
  <si>
    <t>Portfolio duration after hedging</t>
  </si>
  <si>
    <t>Portfolio'</t>
  </si>
  <si>
    <t>YTM - 1,5 year bond</t>
  </si>
  <si>
    <t>(500*4,5+X*1,5-X*1)/500 = 2</t>
  </si>
  <si>
    <t>market value</t>
  </si>
  <si>
    <t>X =</t>
  </si>
  <si>
    <t>cash</t>
  </si>
  <si>
    <t>the market value of the bond</t>
  </si>
  <si>
    <t>(500*4,5+X*1,5-X*0)/500 = 2</t>
  </si>
  <si>
    <t>N of a short forward position</t>
  </si>
  <si>
    <t>SF(1) = SU + LB(1)</t>
  </si>
  <si>
    <t xml:space="preserve">SU </t>
  </si>
  <si>
    <t>short bond (one and half year zero-coupon bond)</t>
  </si>
  <si>
    <t>long bond (on year zero coupon bond)</t>
  </si>
  <si>
    <t xml:space="preserve">If X is negative </t>
  </si>
  <si>
    <t>SB</t>
  </si>
  <si>
    <t>face value of a short bond position</t>
  </si>
  <si>
    <t>a)</t>
  </si>
  <si>
    <t>b)</t>
  </si>
  <si>
    <t>b) yield curve will be the same as today</t>
  </si>
  <si>
    <t>c) if the expectations theory of the yield curve is correct</t>
  </si>
  <si>
    <t>c)</t>
  </si>
  <si>
    <t>a) Why are the futures and forward prices different?</t>
  </si>
  <si>
    <t>spot price SD</t>
  </si>
  <si>
    <t>futures price SD</t>
  </si>
  <si>
    <t>correlation</t>
  </si>
  <si>
    <t>Optimal hedge ratio</t>
  </si>
  <si>
    <t>The futures position should be 64,2% of the company's exposure</t>
  </si>
  <si>
    <t>spot price SD / futures price SD</t>
  </si>
  <si>
    <t>gallons</t>
  </si>
  <si>
    <t>million gallon</t>
  </si>
  <si>
    <t>Exposure</t>
  </si>
  <si>
    <t xml:space="preserve">The company will lose $1 million for each 1 cent increase in the price per gallon of the new fuel </t>
  </si>
  <si>
    <t>Contract number</t>
  </si>
  <si>
    <t>B</t>
  </si>
  <si>
    <t>profit/loss</t>
  </si>
  <si>
    <t>d) If the company uses a futures contract to hedge currency risk</t>
  </si>
  <si>
    <t>Long futures</t>
  </si>
  <si>
    <t>e) What will be the effective EURUSD price if the spot price on February 20 is 1.0102 and the  futures price for March is 1.0135?</t>
  </si>
  <si>
    <t>f) What will be the effective EURUSD price if the spot price on February 20 is 1.0715 and the  futures price for March is 1.0752?</t>
  </si>
  <si>
    <t>U</t>
  </si>
  <si>
    <t>B(1)</t>
  </si>
  <si>
    <t xml:space="preserve">b) How can the investor decrease his portfolio duration to 2 years with a one-year forward contract on a half-year zero-coupon bond?  </t>
  </si>
  <si>
    <t>a) How can the investor decrease his portfolio duration to 2 years on the spot market?</t>
  </si>
  <si>
    <t>h*</t>
  </si>
  <si>
    <t>Futures position in gallon</t>
  </si>
  <si>
    <t>Long position payoff function at T</t>
  </si>
  <si>
    <r>
      <t>S(T) - F</t>
    </r>
    <r>
      <rPr>
        <vertAlign val="subscript"/>
        <sz val="11"/>
        <color theme="1"/>
        <rFont val="Calibri"/>
        <family val="2"/>
        <charset val="238"/>
        <scheme val="minor"/>
      </rPr>
      <t>T</t>
    </r>
    <r>
      <rPr>
        <sz val="11"/>
        <color theme="1"/>
        <rFont val="Calibri"/>
        <family val="2"/>
        <charset val="238"/>
        <scheme val="minor"/>
      </rPr>
      <t>(0)</t>
    </r>
  </si>
  <si>
    <t xml:space="preserve">Short position payoff function at T - entered into t 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</si>
  <si>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T-t</t>
    </r>
    <r>
      <rPr>
        <sz val="11"/>
        <color theme="1"/>
        <rFont val="Calibri"/>
        <family val="2"/>
        <charset val="238"/>
        <scheme val="minor"/>
      </rPr>
      <t>(t) - S(T)</t>
    </r>
  </si>
  <si>
    <t>Total payoff function</t>
  </si>
  <si>
    <r>
      <t>(F</t>
    </r>
    <r>
      <rPr>
        <vertAlign val="subscript"/>
        <sz val="11"/>
        <color theme="1"/>
        <rFont val="Calibri"/>
        <family val="2"/>
        <charset val="238"/>
        <scheme val="minor"/>
      </rPr>
      <t>T-t</t>
    </r>
    <r>
      <rPr>
        <sz val="11"/>
        <color theme="1"/>
        <rFont val="Calibri"/>
        <family val="2"/>
        <charset val="238"/>
        <scheme val="minor"/>
      </rPr>
      <t>(t) - F</t>
    </r>
    <r>
      <rPr>
        <vertAlign val="subscript"/>
        <sz val="11"/>
        <color theme="1"/>
        <rFont val="Calibri"/>
        <family val="2"/>
        <charset val="238"/>
        <scheme val="minor"/>
      </rPr>
      <t>T</t>
    </r>
    <r>
      <rPr>
        <sz val="11"/>
        <color theme="1"/>
        <rFont val="Calibri"/>
        <family val="2"/>
        <charset val="238"/>
        <scheme val="minor"/>
      </rPr>
      <t>(0))</t>
    </r>
  </si>
  <si>
    <r>
      <t>K(0) =  F</t>
    </r>
    <r>
      <rPr>
        <vertAlign val="subscript"/>
        <sz val="11"/>
        <color theme="1"/>
        <rFont val="Calibri"/>
        <family val="2"/>
        <charset val="238"/>
        <scheme val="minor"/>
      </rPr>
      <t>T</t>
    </r>
    <r>
      <rPr>
        <sz val="11"/>
        <color theme="1"/>
        <rFont val="Calibri"/>
        <family val="2"/>
        <charset val="238"/>
        <scheme val="minor"/>
      </rPr>
      <t>(0)</t>
    </r>
  </si>
  <si>
    <r>
      <t>(F</t>
    </r>
    <r>
      <rPr>
        <vertAlign val="subscript"/>
        <sz val="11"/>
        <color theme="1"/>
        <rFont val="Calibri"/>
        <family val="2"/>
        <charset val="238"/>
        <scheme val="minor"/>
      </rPr>
      <t>T-t</t>
    </r>
    <r>
      <rPr>
        <sz val="11"/>
        <color theme="1"/>
        <rFont val="Calibri"/>
        <family val="2"/>
        <charset val="238"/>
        <scheme val="minor"/>
      </rPr>
      <t>(t) - K(0))*DF</t>
    </r>
    <r>
      <rPr>
        <vertAlign val="subscript"/>
        <sz val="11"/>
        <color theme="1"/>
        <rFont val="Calibri"/>
        <family val="2"/>
        <charset val="238"/>
        <scheme val="minor"/>
      </rPr>
      <t>T-t</t>
    </r>
    <r>
      <rPr>
        <sz val="11"/>
        <color theme="1"/>
        <rFont val="Calibri"/>
        <family val="2"/>
        <charset val="238"/>
        <scheme val="minor"/>
      </rPr>
      <t>(t)</t>
    </r>
  </si>
  <si>
    <r>
      <t>S(t) - K(0)*DF</t>
    </r>
    <r>
      <rPr>
        <vertAlign val="subscript"/>
        <sz val="11"/>
        <color theme="1"/>
        <rFont val="Calibri"/>
        <family val="2"/>
        <charset val="238"/>
        <scheme val="minor"/>
      </rPr>
      <t>T-t</t>
    </r>
    <r>
      <rPr>
        <sz val="11"/>
        <color theme="1"/>
        <rFont val="Calibri"/>
        <family val="2"/>
        <charset val="238"/>
        <scheme val="minor"/>
      </rPr>
      <t>(t)</t>
    </r>
  </si>
  <si>
    <t>S(0)</t>
  </si>
  <si>
    <t>r(0)</t>
  </si>
  <si>
    <t>continous compounding</t>
  </si>
  <si>
    <t>q(0)</t>
  </si>
  <si>
    <t>dividend yield with continous compounding</t>
  </si>
  <si>
    <t>T - t</t>
  </si>
  <si>
    <t>f(0) =</t>
  </si>
  <si>
    <r>
      <t>(F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 - 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(0))*DF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</t>
    </r>
  </si>
  <si>
    <r>
      <t>S(0) - F</t>
    </r>
    <r>
      <rPr>
        <vertAlign val="subscript"/>
        <sz val="11"/>
        <color theme="1"/>
        <rFont val="Calibri"/>
        <family val="2"/>
        <charset val="238"/>
        <scheme val="minor"/>
      </rPr>
      <t>T</t>
    </r>
    <r>
      <rPr>
        <sz val="11"/>
        <color theme="1"/>
        <rFont val="Calibri"/>
        <family val="2"/>
        <charset val="238"/>
        <scheme val="minor"/>
      </rPr>
      <t>(0)*DF</t>
    </r>
    <r>
      <rPr>
        <vertAlign val="subscript"/>
        <sz val="11"/>
        <color theme="1"/>
        <rFont val="Calibri"/>
        <family val="2"/>
        <charset val="238"/>
        <scheme val="minor"/>
      </rPr>
      <t>T-t</t>
    </r>
    <r>
      <rPr>
        <sz val="11"/>
        <color theme="1"/>
        <rFont val="Calibri"/>
        <family val="2"/>
        <charset val="238"/>
        <scheme val="minor"/>
      </rPr>
      <t>(t)</t>
    </r>
  </si>
  <si>
    <t>Initial value of the forward contract</t>
  </si>
  <si>
    <t>The initial value of the forrward contract is zero if the delivery price is equal with the arbitrage free forward price</t>
  </si>
  <si>
    <t>S(0,5)</t>
  </si>
  <si>
    <t>r(0,5)</t>
  </si>
  <si>
    <t>q(0,5)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</si>
  <si>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0,5</t>
    </r>
    <r>
      <rPr>
        <sz val="11"/>
        <color theme="1"/>
        <rFont val="Calibri"/>
        <family val="2"/>
        <charset val="238"/>
        <scheme val="minor"/>
      </rPr>
      <t>(0,5)</t>
    </r>
  </si>
  <si>
    <t>f(0,5) =</t>
  </si>
  <si>
    <r>
      <t>(F</t>
    </r>
    <r>
      <rPr>
        <vertAlign val="subscript"/>
        <sz val="11"/>
        <color theme="1"/>
        <rFont val="Calibri"/>
        <family val="2"/>
        <charset val="238"/>
        <scheme val="minor"/>
      </rPr>
      <t>0,5</t>
    </r>
    <r>
      <rPr>
        <sz val="11"/>
        <color theme="1"/>
        <rFont val="Calibri"/>
        <family val="2"/>
        <charset val="238"/>
        <scheme val="minor"/>
      </rPr>
      <t>(0,5) - 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(0))*DF</t>
    </r>
    <r>
      <rPr>
        <vertAlign val="subscript"/>
        <sz val="11"/>
        <color theme="1"/>
        <rFont val="Calibri"/>
        <family val="2"/>
        <charset val="238"/>
        <scheme val="minor"/>
      </rPr>
      <t>0,5</t>
    </r>
    <r>
      <rPr>
        <sz val="11"/>
        <color theme="1"/>
        <rFont val="Calibri"/>
        <family val="2"/>
        <charset val="238"/>
        <scheme val="minor"/>
      </rPr>
      <t>(0,5)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</si>
  <si>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0,5</t>
    </r>
    <r>
      <rPr>
        <sz val="11"/>
        <color theme="1"/>
        <rFont val="Calibri"/>
        <family val="2"/>
        <charset val="238"/>
        <scheme val="minor"/>
      </rPr>
      <t>(0,5)</t>
    </r>
  </si>
  <si>
    <r>
      <t>S(0,5) - 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(0)*DF</t>
    </r>
    <r>
      <rPr>
        <vertAlign val="subscript"/>
        <sz val="11"/>
        <color theme="1"/>
        <rFont val="Calibri"/>
        <family val="2"/>
        <charset val="238"/>
        <scheme val="minor"/>
      </rPr>
      <t>0,5</t>
    </r>
    <r>
      <rPr>
        <sz val="11"/>
        <color theme="1"/>
        <rFont val="Calibri"/>
        <family val="2"/>
        <charset val="238"/>
        <scheme val="minor"/>
      </rPr>
      <t>(0,5)</t>
    </r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</si>
  <si>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0,5</t>
    </r>
    <r>
      <rPr>
        <sz val="11"/>
        <color theme="1"/>
        <rFont val="Calibri"/>
        <family val="2"/>
        <charset val="238"/>
        <scheme val="minor"/>
      </rPr>
      <t>(0)</t>
    </r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</si>
  <si>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(0,5)</t>
    </r>
  </si>
  <si>
    <t xml:space="preserve">Position size </t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</si>
  <si>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0,5</t>
    </r>
    <r>
      <rPr>
        <sz val="11"/>
        <color theme="1"/>
        <rFont val="Calibri"/>
        <family val="2"/>
        <charset val="238"/>
        <scheme val="minor"/>
      </rPr>
      <t>(0,5) =</t>
    </r>
  </si>
  <si>
    <r>
      <t>S(0,5)/F</t>
    </r>
    <r>
      <rPr>
        <vertAlign val="subscript"/>
        <sz val="11"/>
        <color theme="1"/>
        <rFont val="Calibri"/>
        <family val="2"/>
        <charset val="238"/>
        <scheme val="minor"/>
      </rPr>
      <t>0,5</t>
    </r>
    <r>
      <rPr>
        <sz val="11"/>
        <color theme="1"/>
        <rFont val="Calibri"/>
        <family val="2"/>
        <charset val="238"/>
        <scheme val="minor"/>
      </rPr>
      <t>(0,5)</t>
    </r>
  </si>
  <si>
    <t xml:space="preserve">DF0,5(0,5) </t>
  </si>
  <si>
    <t>per share</t>
  </si>
  <si>
    <t>contract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</si>
  <si>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T-t</t>
    </r>
    <r>
      <rPr>
        <sz val="11"/>
        <color theme="1"/>
        <rFont val="Calibri"/>
        <family val="2"/>
        <charset val="238"/>
        <scheme val="minor"/>
      </rPr>
      <t>(t) - K(0)</t>
    </r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</si>
  <si>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0,5</t>
    </r>
    <r>
      <rPr>
        <sz val="11"/>
        <color theme="1"/>
        <rFont val="Calibri"/>
        <family val="2"/>
        <charset val="238"/>
        <scheme val="minor"/>
      </rPr>
      <t>(0,5) - 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</t>
    </r>
  </si>
  <si>
    <t>Value of the futures contract</t>
  </si>
  <si>
    <t>the reason behind the difference is the daily settlement</t>
  </si>
  <si>
    <t>Futures and forward prices are associated with different maturities, and forward bid-offer prices obviously different</t>
  </si>
  <si>
    <t>s</t>
  </si>
  <si>
    <t>rf</t>
  </si>
  <si>
    <t>forward</t>
  </si>
  <si>
    <t>initial</t>
  </si>
  <si>
    <t>spot price  June 8</t>
  </si>
  <si>
    <t>Future price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</si>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</sst>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000"/>
    <numFmt numFmtId="166" formatCode="0.0%"/>
    <numFmt numFmtId="167" formatCode="0.0"/>
    <numFmt numFmtId="168" formatCode="#,##0.0"/>
    <numFmt numFmtId="169" formatCode="#,##0.0000"/>
    <numFmt numFmtId="171" formatCode="0.000%"/>
  </numFmts>
  <fonts count="1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rgb="FF7030A0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b/>
      <sz val="12"/>
      <color rgb="FF00B05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63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9" fontId="0" fillId="2" borderId="0" xfId="0" applyNumberFormat="1" applyFill="1" applyAlignment="1">
      <alignment horizontal="center"/>
    </xf>
    <xf numFmtId="0" fontId="1" fillId="2" borderId="0" xfId="1" applyFill="1" applyAlignment="1">
      <alignment horizontal="center"/>
    </xf>
    <xf numFmtId="9" fontId="1" fillId="2" borderId="0" xfId="1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2" fillId="0" borderId="0" xfId="0" applyFont="1"/>
    <xf numFmtId="0" fontId="7" fillId="0" borderId="0" xfId="0" applyFont="1"/>
    <xf numFmtId="2" fontId="0" fillId="2" borderId="0" xfId="0" applyNumberFormat="1" applyFill="1" applyAlignment="1">
      <alignment horizontal="center"/>
    </xf>
    <xf numFmtId="2" fontId="2" fillId="0" borderId="0" xfId="2" applyNumberFormat="1" applyFont="1" applyFill="1" applyAlignment="1">
      <alignment horizontal="left"/>
    </xf>
    <xf numFmtId="167" fontId="1" fillId="2" borderId="0" xfId="1" applyNumberFormat="1" applyFill="1" applyAlignment="1">
      <alignment horizontal="center"/>
    </xf>
    <xf numFmtId="165" fontId="0" fillId="0" borderId="0" xfId="0" applyNumberFormat="1"/>
    <xf numFmtId="0" fontId="8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center"/>
    </xf>
    <xf numFmtId="0" fontId="5" fillId="4" borderId="0" xfId="0" applyFont="1" applyFill="1"/>
    <xf numFmtId="0" fontId="8" fillId="0" borderId="0" xfId="0" applyFont="1"/>
    <xf numFmtId="1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/>
    </xf>
    <xf numFmtId="2" fontId="8" fillId="0" borderId="0" xfId="2" applyNumberFormat="1" applyFont="1" applyFill="1" applyAlignment="1">
      <alignment horizontal="center"/>
    </xf>
    <xf numFmtId="2" fontId="8" fillId="0" borderId="0" xfId="2" applyNumberFormat="1" applyFont="1" applyFill="1" applyAlignment="1">
      <alignment horizontal="left"/>
    </xf>
    <xf numFmtId="0" fontId="8" fillId="0" borderId="0" xfId="0" applyFont="1" applyAlignment="1">
      <alignment horizontal="left"/>
    </xf>
    <xf numFmtId="9" fontId="0" fillId="0" borderId="0" xfId="3" applyFont="1" applyAlignment="1">
      <alignment horizontal="center"/>
    </xf>
    <xf numFmtId="10" fontId="2" fillId="0" borderId="0" xfId="3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9" fontId="3" fillId="0" borderId="0" xfId="3" applyFont="1" applyFill="1" applyAlignment="1">
      <alignment horizontal="center"/>
    </xf>
    <xf numFmtId="3" fontId="0" fillId="2" borderId="0" xfId="0" applyNumberFormat="1" applyFill="1"/>
    <xf numFmtId="3" fontId="0" fillId="0" borderId="0" xfId="0" applyNumberFormat="1"/>
    <xf numFmtId="3" fontId="0" fillId="2" borderId="0" xfId="0" applyNumberFormat="1" applyFill="1" applyAlignment="1">
      <alignment horizontal="right"/>
    </xf>
    <xf numFmtId="168" fontId="0" fillId="2" borderId="0" xfId="0" applyNumberFormat="1" applyFill="1" applyAlignment="1">
      <alignment horizontal="right"/>
    </xf>
    <xf numFmtId="16" fontId="0" fillId="0" borderId="0" xfId="0" applyNumberFormat="1"/>
    <xf numFmtId="2" fontId="2" fillId="3" borderId="0" xfId="3" applyNumberFormat="1" applyFont="1" applyFill="1" applyAlignment="1">
      <alignment horizontal="center"/>
    </xf>
    <xf numFmtId="3" fontId="2" fillId="3" borderId="0" xfId="3" applyNumberFormat="1" applyFont="1" applyFill="1" applyAlignment="1">
      <alignment horizontal="center"/>
    </xf>
    <xf numFmtId="16" fontId="0" fillId="2" borderId="0" xfId="0" applyNumberFormat="1" applyFill="1" applyAlignment="1">
      <alignment horizontal="right"/>
    </xf>
    <xf numFmtId="2" fontId="2" fillId="3" borderId="0" xfId="3" applyNumberFormat="1" applyFont="1" applyFill="1" applyAlignment="1">
      <alignment horizontal="left"/>
    </xf>
    <xf numFmtId="165" fontId="2" fillId="3" borderId="0" xfId="3" applyNumberFormat="1" applyFont="1" applyFill="1" applyAlignment="1">
      <alignment horizontal="left"/>
    </xf>
    <xf numFmtId="169" fontId="2" fillId="3" borderId="0" xfId="3" applyNumberFormat="1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0" fillId="0" borderId="0" xfId="0" applyFont="1"/>
    <xf numFmtId="9" fontId="8" fillId="0" borderId="0" xfId="3" applyFont="1" applyFill="1" applyAlignment="1">
      <alignment horizontal="center"/>
    </xf>
    <xf numFmtId="0" fontId="2" fillId="0" borderId="0" xfId="0" applyFont="1" applyAlignment="1">
      <alignment horizontal="left"/>
    </xf>
    <xf numFmtId="164" fontId="2" fillId="3" borderId="0" xfId="3" applyNumberFormat="1" applyFont="1" applyFill="1" applyAlignment="1">
      <alignment horizontal="center"/>
    </xf>
    <xf numFmtId="1" fontId="2" fillId="3" borderId="0" xfId="3" applyNumberFormat="1" applyFont="1" applyFill="1" applyAlignment="1">
      <alignment horizontal="center"/>
    </xf>
    <xf numFmtId="2" fontId="8" fillId="0" borderId="0" xfId="3" applyNumberFormat="1" applyFont="1" applyFill="1" applyAlignment="1">
      <alignment horizontal="center"/>
    </xf>
    <xf numFmtId="2" fontId="2" fillId="3" borderId="0" xfId="2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9" fontId="0" fillId="0" borderId="0" xfId="0" applyNumberFormat="1"/>
    <xf numFmtId="0" fontId="0" fillId="0" borderId="0" xfId="0" applyNumberFormat="1"/>
    <xf numFmtId="171" fontId="0" fillId="0" borderId="0" xfId="0" applyNumberFormat="1"/>
    <xf numFmtId="10" fontId="0" fillId="0" borderId="0" xfId="0" applyNumberFormat="1"/>
  </cellXfs>
  <cellStyles count="4">
    <cellStyle name="Normal" xfId="0" builtinId="0"/>
    <cellStyle name="Normál 2" xfId="1" xr:uid="{00000000-0005-0000-0000-000001000000}"/>
    <cellStyle name="Per cent" xfId="3" builtinId="5"/>
    <cellStyle name="Százalék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8</xdr:row>
      <xdr:rowOff>0</xdr:rowOff>
    </xdr:from>
    <xdr:to>
      <xdr:col>28</xdr:col>
      <xdr:colOff>368300</xdr:colOff>
      <xdr:row>16</xdr:row>
      <xdr:rowOff>107731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0C0878-36FB-715C-681E-DF7AEF68D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2700" y="1676400"/>
          <a:ext cx="7772400" cy="16825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22</xdr:col>
      <xdr:colOff>368300</xdr:colOff>
      <xdr:row>12</xdr:row>
      <xdr:rowOff>70025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03D891-FD25-9668-4B42-C5920CD58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7300" y="203200"/>
          <a:ext cx="7772400" cy="2292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250152</xdr:colOff>
      <xdr:row>0</xdr:row>
      <xdr:rowOff>0</xdr:rowOff>
    </xdr:from>
    <xdr:to>
      <xdr:col>18</xdr:col>
      <xdr:colOff>614219</xdr:colOff>
      <xdr:row>12</xdr:row>
      <xdr:rowOff>38869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2FEF30-0A98-B171-02C6-4B2BD4FCF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64546" y="0"/>
          <a:ext cx="7772400" cy="24730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12700</xdr:rowOff>
    </xdr:from>
    <xdr:to>
      <xdr:col>21</xdr:col>
      <xdr:colOff>228600</xdr:colOff>
      <xdr:row>11</xdr:row>
      <xdr:rowOff>37452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E989F7-CD2C-AA09-F61A-900BA0F7D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0" y="12700"/>
          <a:ext cx="7772400" cy="220915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18</xdr:col>
      <xdr:colOff>444500</xdr:colOff>
      <xdr:row>16</xdr:row>
      <xdr:rowOff>88282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C42BBB-DD9F-BE46-3185-2432DF2C5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3300" y="0"/>
          <a:ext cx="7772400" cy="3237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BE332-F466-4CE5-8302-9ABFFC959BB9}">
  <dimension ref="A1:T37"/>
  <sheetViews>
    <sheetView workbookViewId="0">
      <selection activeCell="F35" sqref="F35"/>
    </sheetView>
  </sheetViews>
  <sheetFormatPr baseColWidth="10" defaultColWidth="8.83203125" defaultRowHeight="15" x14ac:dyDescent="0.2"/>
  <sheetData>
    <row r="1" spans="1:12" x14ac:dyDescent="0.2">
      <c r="A1" s="23"/>
      <c r="B1" s="23"/>
      <c r="C1" s="23"/>
      <c r="D1" s="23"/>
      <c r="E1" s="23"/>
      <c r="F1" s="23"/>
      <c r="G1" s="23" t="s">
        <v>9</v>
      </c>
      <c r="H1" s="23"/>
      <c r="I1" s="23"/>
      <c r="J1" s="23"/>
      <c r="K1" s="23"/>
      <c r="L1" s="23"/>
    </row>
    <row r="2" spans="1:12" ht="17" x14ac:dyDescent="0.25">
      <c r="A2" s="23"/>
      <c r="B2" s="23"/>
      <c r="C2" s="23"/>
      <c r="D2" s="23" t="s">
        <v>10</v>
      </c>
      <c r="E2" s="23"/>
      <c r="F2" s="23" t="s">
        <v>11</v>
      </c>
      <c r="G2" s="23"/>
      <c r="H2" s="23"/>
      <c r="I2" s="24" t="s">
        <v>14</v>
      </c>
      <c r="J2" s="23"/>
      <c r="K2" s="23" t="s">
        <v>15</v>
      </c>
      <c r="L2" s="23"/>
    </row>
    <row r="3" spans="1:12" x14ac:dyDescent="0.2">
      <c r="A3" s="23"/>
      <c r="B3" s="23"/>
      <c r="C3" s="23"/>
      <c r="D3" s="23"/>
      <c r="E3" s="23"/>
      <c r="F3" s="23"/>
      <c r="G3" s="23"/>
      <c r="H3" s="23"/>
      <c r="I3" s="24"/>
      <c r="J3" s="23"/>
      <c r="K3" s="23"/>
      <c r="L3" s="23"/>
    </row>
    <row r="4" spans="1:12" ht="17" x14ac:dyDescent="0.25">
      <c r="A4" s="23" t="s">
        <v>147</v>
      </c>
      <c r="B4" s="23"/>
      <c r="C4" s="23"/>
      <c r="D4" s="23"/>
      <c r="E4" s="23"/>
      <c r="F4" s="23" t="s">
        <v>148</v>
      </c>
      <c r="G4" s="23"/>
      <c r="H4" s="23"/>
      <c r="I4" s="24"/>
      <c r="J4" s="23"/>
      <c r="K4" s="23"/>
      <c r="L4" s="23"/>
    </row>
    <row r="5" spans="1:12" ht="17" x14ac:dyDescent="0.25">
      <c r="A5" s="23" t="s">
        <v>149</v>
      </c>
      <c r="B5" s="23"/>
      <c r="C5" s="23"/>
      <c r="D5" s="23"/>
      <c r="E5" s="23"/>
      <c r="F5" s="23" t="s">
        <v>150</v>
      </c>
      <c r="G5" s="23"/>
      <c r="H5" s="23"/>
      <c r="I5" s="24"/>
      <c r="J5" s="23"/>
      <c r="K5" s="23"/>
      <c r="L5" s="23"/>
    </row>
    <row r="6" spans="1:12" ht="17" x14ac:dyDescent="0.25">
      <c r="A6" s="23" t="s">
        <v>151</v>
      </c>
      <c r="B6" s="23"/>
      <c r="C6" s="23"/>
      <c r="D6" s="23"/>
      <c r="E6" s="23"/>
      <c r="F6" s="23" t="s">
        <v>152</v>
      </c>
      <c r="G6" s="23"/>
      <c r="H6" s="23"/>
      <c r="I6" s="24"/>
      <c r="J6" s="23"/>
      <c r="K6" s="23"/>
      <c r="L6" s="23"/>
    </row>
    <row r="7" spans="1:12" ht="17" x14ac:dyDescent="0.25">
      <c r="A7" s="23" t="s">
        <v>13</v>
      </c>
      <c r="B7" s="23"/>
      <c r="C7" s="23"/>
      <c r="D7" s="23"/>
      <c r="E7" s="23"/>
      <c r="F7" s="23" t="s">
        <v>11</v>
      </c>
      <c r="G7" s="23"/>
      <c r="H7" s="23"/>
      <c r="I7" s="24" t="s">
        <v>14</v>
      </c>
      <c r="J7" s="23"/>
      <c r="K7" s="23" t="s">
        <v>15</v>
      </c>
      <c r="L7" s="23"/>
    </row>
    <row r="8" spans="1:12" ht="17" x14ac:dyDescent="0.25">
      <c r="A8" s="23"/>
      <c r="B8" s="23"/>
      <c r="C8" s="23"/>
      <c r="D8" s="23"/>
      <c r="E8" s="23"/>
      <c r="F8" s="23" t="s">
        <v>153</v>
      </c>
      <c r="G8" s="23"/>
      <c r="H8" s="23"/>
      <c r="I8" s="24"/>
      <c r="J8" s="23"/>
      <c r="K8" s="23" t="s">
        <v>153</v>
      </c>
      <c r="L8" s="23"/>
    </row>
    <row r="9" spans="1:12" ht="17" x14ac:dyDescent="0.25">
      <c r="A9" s="23"/>
      <c r="B9" s="23"/>
      <c r="C9" s="25"/>
      <c r="D9" s="23" t="s">
        <v>10</v>
      </c>
      <c r="E9" s="23"/>
      <c r="F9" s="23" t="s">
        <v>154</v>
      </c>
      <c r="G9" s="23"/>
      <c r="H9" s="23"/>
      <c r="I9" s="24" t="s">
        <v>14</v>
      </c>
      <c r="J9" s="23"/>
      <c r="K9" s="23" t="s">
        <v>155</v>
      </c>
      <c r="L9" s="23"/>
    </row>
    <row r="10" spans="1:12" ht="16" x14ac:dyDescent="0.2">
      <c r="C10" s="10"/>
    </row>
    <row r="11" spans="1:12" ht="16" x14ac:dyDescent="0.2">
      <c r="A11" s="2" t="s">
        <v>156</v>
      </c>
      <c r="B11" s="4">
        <v>40</v>
      </c>
      <c r="C11" s="14" t="s">
        <v>3</v>
      </c>
    </row>
    <row r="12" spans="1:12" x14ac:dyDescent="0.2">
      <c r="A12" s="2" t="s">
        <v>157</v>
      </c>
      <c r="B12" s="5">
        <v>0.05</v>
      </c>
      <c r="C12" t="s">
        <v>158</v>
      </c>
    </row>
    <row r="13" spans="1:12" x14ac:dyDescent="0.2">
      <c r="A13" s="6" t="s">
        <v>159</v>
      </c>
      <c r="B13" s="5">
        <v>0</v>
      </c>
      <c r="C13" t="s">
        <v>160</v>
      </c>
    </row>
    <row r="14" spans="1:12" x14ac:dyDescent="0.2">
      <c r="A14" s="6" t="s">
        <v>161</v>
      </c>
      <c r="B14" s="15">
        <v>1</v>
      </c>
      <c r="C14" t="s">
        <v>4</v>
      </c>
    </row>
    <row r="15" spans="1:12" x14ac:dyDescent="0.2">
      <c r="A15" t="s">
        <v>27</v>
      </c>
      <c r="B15" s="15" t="s">
        <v>6</v>
      </c>
    </row>
    <row r="17" spans="1:20" x14ac:dyDescent="0.2">
      <c r="A17" t="s">
        <v>118</v>
      </c>
      <c r="B17" s="13" t="s">
        <v>2</v>
      </c>
      <c r="C17" s="12"/>
    </row>
    <row r="18" spans="1:20" ht="17" x14ac:dyDescent="0.25">
      <c r="A18" s="6" t="s">
        <v>5</v>
      </c>
      <c r="B18" s="56">
        <f>B11*EXP((B12-B13)*B14)</f>
        <v>42.050843855040966</v>
      </c>
      <c r="C18" s="14" t="s">
        <v>3</v>
      </c>
    </row>
    <row r="20" spans="1:20" ht="17" x14ac:dyDescent="0.25">
      <c r="A20" t="s">
        <v>162</v>
      </c>
      <c r="B20" t="s">
        <v>163</v>
      </c>
      <c r="E20" t="s">
        <v>12</v>
      </c>
      <c r="F20" s="18">
        <f>EXP(-B12*B14)</f>
        <v>0.95122942450071402</v>
      </c>
      <c r="H20" t="s">
        <v>164</v>
      </c>
      <c r="R20" t="s">
        <v>0</v>
      </c>
      <c r="S20">
        <v>1</v>
      </c>
    </row>
    <row r="21" spans="1:20" x14ac:dyDescent="0.2">
      <c r="R21" t="s">
        <v>188</v>
      </c>
      <c r="S21">
        <v>40</v>
      </c>
    </row>
    <row r="22" spans="1:20" ht="17" x14ac:dyDescent="0.25">
      <c r="A22" s="6"/>
      <c r="B22" s="13" t="s">
        <v>165</v>
      </c>
      <c r="E22" t="s">
        <v>164</v>
      </c>
      <c r="R22" t="s">
        <v>189</v>
      </c>
      <c r="S22" s="59">
        <v>0.05</v>
      </c>
    </row>
    <row r="23" spans="1:20" ht="16" x14ac:dyDescent="0.2">
      <c r="A23" s="6" t="s">
        <v>162</v>
      </c>
      <c r="B23" s="56">
        <f>(B18-B18)*F20</f>
        <v>0</v>
      </c>
      <c r="C23" s="14" t="s">
        <v>3</v>
      </c>
      <c r="E23" s="6">
        <f>B11-B18*EXP(-B12*B14)</f>
        <v>0</v>
      </c>
      <c r="G23" s="11" t="s">
        <v>166</v>
      </c>
    </row>
    <row r="24" spans="1:20" ht="16" x14ac:dyDescent="0.2">
      <c r="A24" s="6"/>
      <c r="B24" s="56"/>
      <c r="C24" s="14"/>
      <c r="E24" s="6"/>
      <c r="G24" s="11"/>
    </row>
    <row r="25" spans="1:20" x14ac:dyDescent="0.2">
      <c r="A25" t="s">
        <v>119</v>
      </c>
      <c r="R25" t="s">
        <v>118</v>
      </c>
      <c r="S25" t="s">
        <v>190</v>
      </c>
      <c r="T25">
        <f>S21*EXP(S20*S22)</f>
        <v>42.050843855040966</v>
      </c>
    </row>
    <row r="26" spans="1:20" ht="16" x14ac:dyDescent="0.2">
      <c r="A26" s="2" t="s">
        <v>167</v>
      </c>
      <c r="B26" s="4">
        <v>45</v>
      </c>
      <c r="C26" s="14" t="s">
        <v>3</v>
      </c>
      <c r="S26" t="s">
        <v>191</v>
      </c>
      <c r="T26">
        <v>0</v>
      </c>
    </row>
    <row r="27" spans="1:20" x14ac:dyDescent="0.2">
      <c r="A27" s="2" t="s">
        <v>168</v>
      </c>
      <c r="B27" s="5">
        <v>0.05</v>
      </c>
      <c r="C27" t="s">
        <v>158</v>
      </c>
    </row>
    <row r="28" spans="1:20" x14ac:dyDescent="0.2">
      <c r="A28" s="6" t="s">
        <v>169</v>
      </c>
      <c r="B28" s="5">
        <v>0</v>
      </c>
      <c r="C28" t="s">
        <v>160</v>
      </c>
    </row>
    <row r="29" spans="1:20" x14ac:dyDescent="0.2">
      <c r="A29" s="6" t="s">
        <v>161</v>
      </c>
      <c r="B29" s="17">
        <v>0.5</v>
      </c>
      <c r="C29" t="s">
        <v>4</v>
      </c>
      <c r="R29" t="s">
        <v>119</v>
      </c>
      <c r="S29" t="s">
        <v>188</v>
      </c>
      <c r="T29">
        <v>45</v>
      </c>
    </row>
    <row r="30" spans="1:20" x14ac:dyDescent="0.2">
      <c r="S30" t="s">
        <v>189</v>
      </c>
      <c r="T30" s="59">
        <v>0.05</v>
      </c>
    </row>
    <row r="31" spans="1:20" x14ac:dyDescent="0.2">
      <c r="B31" s="13" t="s">
        <v>2</v>
      </c>
      <c r="C31" s="12"/>
    </row>
    <row r="32" spans="1:20" ht="17" x14ac:dyDescent="0.25">
      <c r="A32" s="6" t="s">
        <v>170</v>
      </c>
      <c r="B32" s="56">
        <f>B26*EXP((B27-B28)*B29)</f>
        <v>46.139180423599299</v>
      </c>
      <c r="C32" s="14" t="s">
        <v>3</v>
      </c>
      <c r="S32">
        <f>T29*EXP(S22*0.5)</f>
        <v>46.139180423599299</v>
      </c>
    </row>
    <row r="33" spans="1:19" x14ac:dyDescent="0.2">
      <c r="S33">
        <f>S32-T25</f>
        <v>4.0883365685583328</v>
      </c>
    </row>
    <row r="34" spans="1:19" ht="17" x14ac:dyDescent="0.25">
      <c r="A34" t="s">
        <v>171</v>
      </c>
      <c r="B34" t="s">
        <v>172</v>
      </c>
      <c r="E34" t="s">
        <v>173</v>
      </c>
      <c r="F34" s="18">
        <f>EXP(-B27*B29)</f>
        <v>0.97530991202833262</v>
      </c>
      <c r="S34">
        <f>S33*EXP(-S22*0.5)</f>
        <v>3.987395179022843</v>
      </c>
    </row>
    <row r="36" spans="1:19" ht="17" x14ac:dyDescent="0.25">
      <c r="A36" s="6"/>
      <c r="B36" s="13" t="s">
        <v>8</v>
      </c>
      <c r="E36" t="s">
        <v>174</v>
      </c>
    </row>
    <row r="37" spans="1:19" ht="16" x14ac:dyDescent="0.2">
      <c r="A37" s="6" t="s">
        <v>171</v>
      </c>
      <c r="B37" s="56">
        <f>(B32-B18)*F34</f>
        <v>3.987395179022843</v>
      </c>
      <c r="C37" s="14" t="s">
        <v>3</v>
      </c>
      <c r="E37" s="9">
        <f>B26-B18*EXP(-B27*B29)</f>
        <v>3.9873951790228404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9735-DEE2-4291-8027-23E20448D64B}">
  <dimension ref="A1:O21"/>
  <sheetViews>
    <sheetView workbookViewId="0">
      <selection activeCell="O20" sqref="O20"/>
    </sheetView>
  </sheetViews>
  <sheetFormatPr baseColWidth="10" defaultColWidth="8.83203125" defaultRowHeight="15" x14ac:dyDescent="0.2"/>
  <cols>
    <col min="5" max="5" width="11.5" customWidth="1"/>
  </cols>
  <sheetData>
    <row r="1" spans="1:7" ht="16" x14ac:dyDescent="0.2">
      <c r="C1" s="10"/>
    </row>
    <row r="3" spans="1:7" ht="16" x14ac:dyDescent="0.2">
      <c r="A3" s="2" t="s">
        <v>156</v>
      </c>
      <c r="B3" s="4">
        <v>560</v>
      </c>
      <c r="C3" s="14" t="s">
        <v>3</v>
      </c>
    </row>
    <row r="4" spans="1:7" ht="16" x14ac:dyDescent="0.2">
      <c r="A4" s="2" t="s">
        <v>167</v>
      </c>
      <c r="B4" s="4">
        <v>640</v>
      </c>
      <c r="C4" s="14" t="s">
        <v>3</v>
      </c>
    </row>
    <row r="5" spans="1:7" ht="17" x14ac:dyDescent="0.25">
      <c r="A5" s="6" t="s">
        <v>175</v>
      </c>
      <c r="B5" s="4">
        <v>600</v>
      </c>
      <c r="C5" s="14" t="s">
        <v>3</v>
      </c>
    </row>
    <row r="6" spans="1:7" ht="17" x14ac:dyDescent="0.25">
      <c r="A6" s="6" t="s">
        <v>170</v>
      </c>
      <c r="B6" s="4">
        <v>690</v>
      </c>
      <c r="C6" s="14" t="s">
        <v>3</v>
      </c>
    </row>
    <row r="7" spans="1:7" ht="17" x14ac:dyDescent="0.25">
      <c r="A7" s="6" t="s">
        <v>5</v>
      </c>
      <c r="B7" s="4">
        <v>650</v>
      </c>
      <c r="C7" s="14" t="s">
        <v>3</v>
      </c>
    </row>
    <row r="8" spans="1:7" ht="17" x14ac:dyDescent="0.25">
      <c r="A8" s="6" t="s">
        <v>176</v>
      </c>
      <c r="B8" s="4">
        <v>750</v>
      </c>
      <c r="C8" s="14" t="s">
        <v>3</v>
      </c>
    </row>
    <row r="9" spans="1:7" x14ac:dyDescent="0.2">
      <c r="A9" t="s">
        <v>7</v>
      </c>
      <c r="B9" s="15" t="s">
        <v>6</v>
      </c>
    </row>
    <row r="10" spans="1:7" x14ac:dyDescent="0.2">
      <c r="A10" t="s">
        <v>177</v>
      </c>
      <c r="B10" s="4">
        <v>1000</v>
      </c>
    </row>
    <row r="11" spans="1:7" x14ac:dyDescent="0.2">
      <c r="A11" s="6" t="s">
        <v>161</v>
      </c>
      <c r="B11" s="17">
        <v>0.5</v>
      </c>
      <c r="C11" t="s">
        <v>4</v>
      </c>
    </row>
    <row r="13" spans="1:7" x14ac:dyDescent="0.2">
      <c r="B13" t="s">
        <v>9</v>
      </c>
    </row>
    <row r="14" spans="1:7" ht="17" x14ac:dyDescent="0.25">
      <c r="A14" t="s">
        <v>10</v>
      </c>
      <c r="B14" t="s">
        <v>11</v>
      </c>
      <c r="E14" t="s">
        <v>14</v>
      </c>
      <c r="G14" t="s">
        <v>15</v>
      </c>
    </row>
    <row r="16" spans="1:7" ht="17" x14ac:dyDescent="0.25">
      <c r="A16" t="s">
        <v>171</v>
      </c>
      <c r="B16" t="s">
        <v>172</v>
      </c>
      <c r="E16" t="s">
        <v>178</v>
      </c>
      <c r="F16" s="18" t="s">
        <v>179</v>
      </c>
    </row>
    <row r="17" spans="1:15" x14ac:dyDescent="0.2">
      <c r="M17">
        <v>690</v>
      </c>
      <c r="N17">
        <v>650</v>
      </c>
      <c r="O17">
        <f>M17-N17</f>
        <v>40</v>
      </c>
    </row>
    <row r="18" spans="1:15" x14ac:dyDescent="0.2">
      <c r="E18" t="s">
        <v>180</v>
      </c>
      <c r="F18" s="18">
        <f>B4/B6</f>
        <v>0.92753623188405798</v>
      </c>
      <c r="M18">
        <v>640</v>
      </c>
      <c r="N18">
        <f>LN(M17/M18)*2</f>
        <v>0.15044684247517506</v>
      </c>
      <c r="O18">
        <f>EXP(-N18*0.5)</f>
        <v>0.92753623188405798</v>
      </c>
    </row>
    <row r="19" spans="1:15" ht="17" x14ac:dyDescent="0.25">
      <c r="A19" s="6"/>
      <c r="B19" s="13" t="s">
        <v>8</v>
      </c>
      <c r="H19" t="s">
        <v>174</v>
      </c>
      <c r="O19">
        <f>O17*O18</f>
        <v>37.10144927536232</v>
      </c>
    </row>
    <row r="20" spans="1:15" ht="16" x14ac:dyDescent="0.2">
      <c r="A20" s="6" t="s">
        <v>171</v>
      </c>
      <c r="B20" s="56">
        <f>(B6-B7)*F18</f>
        <v>37.10144927536232</v>
      </c>
      <c r="C20" s="14" t="s">
        <v>3</v>
      </c>
      <c r="D20" t="s">
        <v>181</v>
      </c>
      <c r="H20" s="9">
        <f>B4-B7*F18</f>
        <v>37.101449275362256</v>
      </c>
      <c r="M20" s="60"/>
    </row>
    <row r="21" spans="1:15" ht="16" x14ac:dyDescent="0.2">
      <c r="B21" s="57">
        <f>B20*B10</f>
        <v>37101.44927536232</v>
      </c>
      <c r="C21" s="14" t="s">
        <v>3</v>
      </c>
      <c r="D21" t="s">
        <v>182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391B-71EB-4D69-941C-78B0D3C2FC51}">
  <dimension ref="A1:F23"/>
  <sheetViews>
    <sheetView topLeftCell="A5" zoomScale="132" workbookViewId="0">
      <selection activeCell="F28" sqref="F28"/>
    </sheetView>
  </sheetViews>
  <sheetFormatPr baseColWidth="10" defaultColWidth="8.83203125" defaultRowHeight="15" x14ac:dyDescent="0.2"/>
  <sheetData>
    <row r="1" spans="1:3" ht="16" x14ac:dyDescent="0.2">
      <c r="C1" s="10"/>
    </row>
    <row r="3" spans="1:3" x14ac:dyDescent="0.2">
      <c r="A3" s="23"/>
      <c r="B3" s="23" t="s">
        <v>9</v>
      </c>
      <c r="C3" s="23"/>
    </row>
    <row r="4" spans="1:3" ht="17" x14ac:dyDescent="0.25">
      <c r="A4" s="23" t="s">
        <v>10</v>
      </c>
      <c r="B4" s="23" t="s">
        <v>40</v>
      </c>
      <c r="C4" s="23"/>
    </row>
    <row r="5" spans="1:3" x14ac:dyDescent="0.2">
      <c r="A5" s="23"/>
      <c r="B5" s="23"/>
      <c r="C5" s="23"/>
    </row>
    <row r="6" spans="1:3" ht="17" x14ac:dyDescent="0.25">
      <c r="A6" s="23"/>
      <c r="B6" s="23" t="s">
        <v>153</v>
      </c>
      <c r="C6" s="23"/>
    </row>
    <row r="7" spans="1:3" ht="17" x14ac:dyDescent="0.25">
      <c r="A7" s="23" t="s">
        <v>10</v>
      </c>
      <c r="B7" s="23" t="s">
        <v>183</v>
      </c>
      <c r="C7" s="23"/>
    </row>
    <row r="9" spans="1:3" ht="16" x14ac:dyDescent="0.2">
      <c r="A9" s="2" t="s">
        <v>156</v>
      </c>
      <c r="B9" s="4">
        <v>560</v>
      </c>
      <c r="C9" s="14" t="s">
        <v>3</v>
      </c>
    </row>
    <row r="10" spans="1:3" ht="16" x14ac:dyDescent="0.2">
      <c r="A10" s="2" t="s">
        <v>167</v>
      </c>
      <c r="B10" s="4">
        <v>640</v>
      </c>
      <c r="C10" s="14" t="s">
        <v>3</v>
      </c>
    </row>
    <row r="11" spans="1:3" ht="17" x14ac:dyDescent="0.25">
      <c r="A11" s="6" t="s">
        <v>175</v>
      </c>
      <c r="B11" s="4">
        <v>600</v>
      </c>
      <c r="C11" s="14" t="s">
        <v>3</v>
      </c>
    </row>
    <row r="12" spans="1:3" ht="17" x14ac:dyDescent="0.25">
      <c r="A12" s="6" t="s">
        <v>170</v>
      </c>
      <c r="B12" s="4">
        <v>690</v>
      </c>
      <c r="C12" s="14" t="s">
        <v>3</v>
      </c>
    </row>
    <row r="13" spans="1:3" ht="17" x14ac:dyDescent="0.25">
      <c r="A13" s="6" t="s">
        <v>5</v>
      </c>
      <c r="B13" s="4">
        <v>650</v>
      </c>
      <c r="C13" s="14" t="s">
        <v>3</v>
      </c>
    </row>
    <row r="14" spans="1:3" ht="17" x14ac:dyDescent="0.25">
      <c r="A14" s="6" t="s">
        <v>176</v>
      </c>
      <c r="B14" s="4">
        <v>750</v>
      </c>
      <c r="C14" s="14" t="s">
        <v>3</v>
      </c>
    </row>
    <row r="15" spans="1:3" x14ac:dyDescent="0.2">
      <c r="A15" t="s">
        <v>7</v>
      </c>
      <c r="B15" s="15" t="s">
        <v>6</v>
      </c>
    </row>
    <row r="16" spans="1:3" x14ac:dyDescent="0.2">
      <c r="A16" t="s">
        <v>177</v>
      </c>
      <c r="B16" s="4">
        <v>1000</v>
      </c>
    </row>
    <row r="17" spans="1:6" x14ac:dyDescent="0.2">
      <c r="A17" s="6" t="s">
        <v>161</v>
      </c>
      <c r="B17" s="17">
        <v>0.5</v>
      </c>
      <c r="C17" t="s">
        <v>4</v>
      </c>
    </row>
    <row r="19" spans="1:6" ht="17" x14ac:dyDescent="0.25">
      <c r="A19" t="s">
        <v>171</v>
      </c>
      <c r="B19" t="s">
        <v>184</v>
      </c>
    </row>
    <row r="21" spans="1:6" x14ac:dyDescent="0.2">
      <c r="A21" s="6"/>
      <c r="B21" s="13" t="s">
        <v>185</v>
      </c>
      <c r="F21" s="18"/>
    </row>
    <row r="22" spans="1:6" ht="16" x14ac:dyDescent="0.2">
      <c r="A22" s="6" t="s">
        <v>171</v>
      </c>
      <c r="B22" s="56">
        <f>B12-B13</f>
        <v>40</v>
      </c>
      <c r="C22" s="14" t="s">
        <v>3</v>
      </c>
      <c r="D22" t="s">
        <v>181</v>
      </c>
      <c r="F22" s="11" t="s">
        <v>186</v>
      </c>
    </row>
    <row r="23" spans="1:6" ht="16" x14ac:dyDescent="0.2">
      <c r="B23" s="58">
        <f>B22*B16</f>
        <v>40000</v>
      </c>
      <c r="C23" s="14" t="s">
        <v>3</v>
      </c>
      <c r="D23" t="s">
        <v>182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1"/>
  <sheetViews>
    <sheetView workbookViewId="0">
      <selection activeCell="D49" sqref="D49"/>
    </sheetView>
  </sheetViews>
  <sheetFormatPr baseColWidth="10" defaultColWidth="8.83203125" defaultRowHeight="15" x14ac:dyDescent="0.2"/>
  <cols>
    <col min="4" max="4" width="9.83203125" bestFit="1" customWidth="1"/>
  </cols>
  <sheetData>
    <row r="1" spans="1:5" ht="16" x14ac:dyDescent="0.2">
      <c r="C1" s="10"/>
    </row>
    <row r="3" spans="1:5" ht="17" x14ac:dyDescent="0.25">
      <c r="A3" s="6" t="s">
        <v>12</v>
      </c>
      <c r="B3" s="3">
        <v>0.8</v>
      </c>
      <c r="C3" s="6" t="s">
        <v>0</v>
      </c>
      <c r="D3" s="1" t="s">
        <v>1</v>
      </c>
      <c r="E3" s="6" t="s">
        <v>18</v>
      </c>
    </row>
    <row r="4" spans="1:5" ht="17" x14ac:dyDescent="0.25">
      <c r="A4" s="6" t="s">
        <v>17</v>
      </c>
      <c r="B4" s="3">
        <v>0.7</v>
      </c>
      <c r="C4" s="7">
        <v>3</v>
      </c>
      <c r="D4" s="4">
        <v>1000</v>
      </c>
      <c r="E4" s="3">
        <v>0.1</v>
      </c>
    </row>
    <row r="5" spans="1:5" ht="17" x14ac:dyDescent="0.25">
      <c r="A5" s="6" t="s">
        <v>16</v>
      </c>
      <c r="B5" s="3">
        <v>0.6</v>
      </c>
    </row>
    <row r="7" spans="1:5" x14ac:dyDescent="0.2">
      <c r="A7" s="6" t="s">
        <v>27</v>
      </c>
      <c r="B7" s="7" t="s">
        <v>26</v>
      </c>
      <c r="C7" t="s">
        <v>31</v>
      </c>
    </row>
    <row r="8" spans="1:5" x14ac:dyDescent="0.2">
      <c r="A8" s="6"/>
      <c r="B8" s="6"/>
    </row>
    <row r="9" spans="1:5" x14ac:dyDescent="0.2">
      <c r="A9" s="8"/>
      <c r="B9" s="6" t="s">
        <v>28</v>
      </c>
      <c r="C9" s="6" t="s">
        <v>29</v>
      </c>
    </row>
    <row r="10" spans="1:5" x14ac:dyDescent="0.2">
      <c r="A10" s="8"/>
    </row>
    <row r="11" spans="1:5" x14ac:dyDescent="0.2">
      <c r="B11" s="19" t="s">
        <v>19</v>
      </c>
      <c r="C11" s="6" t="s">
        <v>20</v>
      </c>
    </row>
    <row r="12" spans="1:5" x14ac:dyDescent="0.2">
      <c r="A12" s="6">
        <v>1</v>
      </c>
      <c r="B12" s="6">
        <f>D4*E4</f>
        <v>100</v>
      </c>
      <c r="C12" s="20">
        <f>B3</f>
        <v>0.8</v>
      </c>
      <c r="D12" s="6">
        <f>B12*C12</f>
        <v>80</v>
      </c>
    </row>
    <row r="13" spans="1:5" x14ac:dyDescent="0.2">
      <c r="A13" s="6">
        <v>2</v>
      </c>
      <c r="B13" s="6">
        <f>B12</f>
        <v>100</v>
      </c>
      <c r="C13" s="20">
        <f t="shared" ref="C13:C14" si="0">B4</f>
        <v>0.7</v>
      </c>
      <c r="D13" s="6">
        <f t="shared" ref="D13:D14" si="1">B13*C13</f>
        <v>70</v>
      </c>
    </row>
    <row r="14" spans="1:5" x14ac:dyDescent="0.2">
      <c r="A14" s="6">
        <v>3</v>
      </c>
      <c r="B14" s="6">
        <f>B13+D4</f>
        <v>1100</v>
      </c>
      <c r="C14" s="20">
        <f t="shared" si="0"/>
        <v>0.6</v>
      </c>
      <c r="D14" s="6">
        <f t="shared" si="1"/>
        <v>660</v>
      </c>
    </row>
    <row r="15" spans="1:5" x14ac:dyDescent="0.2">
      <c r="B15" s="6"/>
      <c r="C15" s="6"/>
      <c r="D15" s="6"/>
    </row>
    <row r="16" spans="1:5" x14ac:dyDescent="0.2">
      <c r="B16" s="6"/>
      <c r="C16" s="6"/>
      <c r="D16" s="8" t="s">
        <v>21</v>
      </c>
    </row>
    <row r="17" spans="1:14" x14ac:dyDescent="0.2">
      <c r="B17" s="6"/>
      <c r="C17" s="6"/>
      <c r="D17" s="6">
        <f>SUM(D12:D14)</f>
        <v>810</v>
      </c>
      <c r="K17" s="59">
        <v>0.8</v>
      </c>
      <c r="L17">
        <v>100</v>
      </c>
      <c r="M17">
        <f>K17*L17</f>
        <v>80</v>
      </c>
    </row>
    <row r="18" spans="1:14" x14ac:dyDescent="0.2">
      <c r="K18" s="59">
        <v>0.7</v>
      </c>
      <c r="L18">
        <v>100</v>
      </c>
      <c r="M18">
        <f>K18*L18</f>
        <v>70</v>
      </c>
    </row>
    <row r="19" spans="1:14" x14ac:dyDescent="0.2">
      <c r="D19" s="26" t="s">
        <v>2</v>
      </c>
      <c r="K19" s="59">
        <v>0.6</v>
      </c>
      <c r="L19">
        <v>1100</v>
      </c>
      <c r="M19">
        <f>K19*L19</f>
        <v>660</v>
      </c>
    </row>
    <row r="20" spans="1:14" ht="17" x14ac:dyDescent="0.25">
      <c r="C20" t="s">
        <v>5</v>
      </c>
      <c r="D20" s="55">
        <f>D17/B3</f>
        <v>1012.5</v>
      </c>
      <c r="E20" s="31" t="s">
        <v>3</v>
      </c>
      <c r="M20">
        <f>SUM(M17:M19)</f>
        <v>810</v>
      </c>
    </row>
    <row r="21" spans="1:14" x14ac:dyDescent="0.2">
      <c r="D21" s="30"/>
      <c r="E21" s="31"/>
    </row>
    <row r="22" spans="1:14" x14ac:dyDescent="0.2">
      <c r="A22" s="29" t="s">
        <v>120</v>
      </c>
      <c r="B22" s="28"/>
      <c r="C22" s="28"/>
      <c r="D22" s="28"/>
      <c r="K22" t="s">
        <v>118</v>
      </c>
      <c r="M22">
        <f>M20/K17</f>
        <v>1012.5</v>
      </c>
    </row>
    <row r="23" spans="1:14" ht="16" x14ac:dyDescent="0.2">
      <c r="B23" s="6" t="s">
        <v>30</v>
      </c>
      <c r="C23" s="6" t="s">
        <v>29</v>
      </c>
      <c r="D23" s="30"/>
      <c r="E23" s="14"/>
      <c r="K23" t="s">
        <v>119</v>
      </c>
      <c r="L23">
        <v>100</v>
      </c>
      <c r="M23" s="59">
        <v>1</v>
      </c>
      <c r="N23">
        <f>L23*M23</f>
        <v>100</v>
      </c>
    </row>
    <row r="24" spans="1:14" ht="16" x14ac:dyDescent="0.2">
      <c r="B24" s="6"/>
      <c r="C24" s="6"/>
      <c r="D24" s="30"/>
      <c r="E24" s="14"/>
      <c r="L24">
        <v>100</v>
      </c>
      <c r="M24" s="59">
        <v>0.8</v>
      </c>
      <c r="N24">
        <f>L24*M24</f>
        <v>80</v>
      </c>
    </row>
    <row r="25" spans="1:14" x14ac:dyDescent="0.2">
      <c r="B25" s="19" t="s">
        <v>19</v>
      </c>
      <c r="C25" s="6" t="s">
        <v>20</v>
      </c>
      <c r="L25">
        <v>1100</v>
      </c>
      <c r="M25" s="59">
        <v>0.7</v>
      </c>
      <c r="N25">
        <f>L25*M25</f>
        <v>770</v>
      </c>
    </row>
    <row r="26" spans="1:14" x14ac:dyDescent="0.2">
      <c r="A26" s="6">
        <v>0</v>
      </c>
      <c r="B26" s="32">
        <f>B12</f>
        <v>100</v>
      </c>
      <c r="C26" s="33">
        <v>1</v>
      </c>
      <c r="D26" s="6">
        <f>B26*C26</f>
        <v>100</v>
      </c>
      <c r="N26">
        <f>SUM(N23:N25)</f>
        <v>950</v>
      </c>
    </row>
    <row r="27" spans="1:14" x14ac:dyDescent="0.2">
      <c r="A27" s="6">
        <f>A13-1</f>
        <v>1</v>
      </c>
      <c r="B27" s="8">
        <f>B13</f>
        <v>100</v>
      </c>
      <c r="C27" s="20">
        <f>C12</f>
        <v>0.8</v>
      </c>
      <c r="D27" s="6">
        <f>B27*C27</f>
        <v>80</v>
      </c>
    </row>
    <row r="28" spans="1:14" x14ac:dyDescent="0.2">
      <c r="A28" s="6">
        <f>A14-1</f>
        <v>2</v>
      </c>
      <c r="B28" s="8">
        <f>B14</f>
        <v>1100</v>
      </c>
      <c r="C28" s="20">
        <f>C13</f>
        <v>0.7</v>
      </c>
      <c r="D28" s="6">
        <f>B28*C28</f>
        <v>770</v>
      </c>
      <c r="N28">
        <f>M22-N26</f>
        <v>62.5</v>
      </c>
    </row>
    <row r="30" spans="1:14" x14ac:dyDescent="0.2">
      <c r="D30" s="8" t="s">
        <v>21</v>
      </c>
    </row>
    <row r="31" spans="1:14" x14ac:dyDescent="0.2">
      <c r="C31" s="6" t="s">
        <v>25</v>
      </c>
      <c r="D31" s="6">
        <f>SUM(D25:D28)</f>
        <v>950</v>
      </c>
      <c r="E31" s="31" t="s">
        <v>3</v>
      </c>
      <c r="K31" t="s">
        <v>122</v>
      </c>
      <c r="L31">
        <v>100</v>
      </c>
      <c r="M31">
        <f>100%</f>
        <v>1</v>
      </c>
      <c r="N31">
        <f>L31*M31</f>
        <v>100</v>
      </c>
    </row>
    <row r="32" spans="1:14" x14ac:dyDescent="0.2">
      <c r="L32">
        <v>100</v>
      </c>
      <c r="M32" s="61">
        <f>B4/B3</f>
        <v>0.87499999999999989</v>
      </c>
      <c r="N32">
        <f>L32*M32</f>
        <v>87.499999999999986</v>
      </c>
    </row>
    <row r="33" spans="1:14" x14ac:dyDescent="0.2">
      <c r="D33" s="16" t="s">
        <v>136</v>
      </c>
      <c r="L33">
        <v>1100</v>
      </c>
      <c r="M33" s="62">
        <f>B5/B3</f>
        <v>0.74999999999999989</v>
      </c>
      <c r="N33">
        <f>L33*M33</f>
        <v>824.99999999999989</v>
      </c>
    </row>
    <row r="34" spans="1:14" x14ac:dyDescent="0.2">
      <c r="D34" s="42">
        <f>(D31-D20)</f>
        <v>-62.5</v>
      </c>
      <c r="E34" s="31"/>
      <c r="N34">
        <f>SUM(N31:N33)</f>
        <v>1012.4999999999999</v>
      </c>
    </row>
    <row r="36" spans="1:14" x14ac:dyDescent="0.2">
      <c r="A36" s="29" t="s">
        <v>121</v>
      </c>
      <c r="B36" s="28"/>
      <c r="C36" s="28"/>
      <c r="D36" s="28"/>
    </row>
    <row r="37" spans="1:14" ht="16" x14ac:dyDescent="0.2">
      <c r="B37" s="6" t="s">
        <v>30</v>
      </c>
      <c r="C37" s="6" t="s">
        <v>29</v>
      </c>
      <c r="D37" s="30"/>
      <c r="E37" s="14"/>
    </row>
    <row r="38" spans="1:14" ht="16" x14ac:dyDescent="0.2">
      <c r="B38" s="6"/>
      <c r="C38" s="6"/>
      <c r="D38" s="30"/>
      <c r="E38" s="14"/>
    </row>
    <row r="39" spans="1:14" ht="17" x14ac:dyDescent="0.25">
      <c r="B39" s="19" t="s">
        <v>19</v>
      </c>
      <c r="C39" s="6" t="s">
        <v>20</v>
      </c>
      <c r="F39" t="s">
        <v>32</v>
      </c>
    </row>
    <row r="40" spans="1:14" ht="17" x14ac:dyDescent="0.25">
      <c r="A40" s="6">
        <v>0</v>
      </c>
      <c r="B40" s="32">
        <f>B26</f>
        <v>100</v>
      </c>
      <c r="C40" s="33">
        <v>1</v>
      </c>
      <c r="D40" s="6">
        <f>B40*C40</f>
        <v>100</v>
      </c>
      <c r="F40" t="s">
        <v>33</v>
      </c>
    </row>
    <row r="41" spans="1:14" x14ac:dyDescent="0.2">
      <c r="A41" s="6">
        <v>1</v>
      </c>
      <c r="B41" s="8">
        <f>B27</f>
        <v>100</v>
      </c>
      <c r="C41" s="35">
        <f>B4/B3</f>
        <v>0.87499999999999989</v>
      </c>
      <c r="D41" s="6">
        <f>B41*C41</f>
        <v>87.499999999999986</v>
      </c>
    </row>
    <row r="42" spans="1:14" x14ac:dyDescent="0.2">
      <c r="A42" s="6">
        <v>2</v>
      </c>
      <c r="B42" s="8">
        <f>B28</f>
        <v>1100</v>
      </c>
      <c r="C42" s="20">
        <f>B5/B3</f>
        <v>0.74999999999999989</v>
      </c>
      <c r="D42" s="6">
        <f>B42*C42</f>
        <v>824.99999999999989</v>
      </c>
    </row>
    <row r="44" spans="1:14" x14ac:dyDescent="0.2">
      <c r="D44" s="8" t="s">
        <v>21</v>
      </c>
    </row>
    <row r="45" spans="1:14" x14ac:dyDescent="0.2">
      <c r="C45" s="6" t="s">
        <v>25</v>
      </c>
      <c r="D45" s="6">
        <f>SUM(D39:D42)</f>
        <v>1012.4999999999999</v>
      </c>
      <c r="E45" s="31" t="s">
        <v>3</v>
      </c>
    </row>
    <row r="47" spans="1:14" x14ac:dyDescent="0.2">
      <c r="D47" s="16" t="s">
        <v>136</v>
      </c>
    </row>
    <row r="48" spans="1:14" x14ac:dyDescent="0.2">
      <c r="D48" s="42">
        <f>D45-D20</f>
        <v>0</v>
      </c>
      <c r="E48" s="31"/>
    </row>
    <row r="49" spans="1:7" ht="16" x14ac:dyDescent="0.2">
      <c r="D49" s="30"/>
      <c r="E49" s="14"/>
    </row>
    <row r="50" spans="1:7" ht="16" x14ac:dyDescent="0.2">
      <c r="B50" s="22" t="s">
        <v>34</v>
      </c>
      <c r="C50" s="6"/>
      <c r="D50" s="30"/>
      <c r="E50" s="14"/>
    </row>
    <row r="51" spans="1:7" ht="16" x14ac:dyDescent="0.2">
      <c r="B51" s="6"/>
      <c r="C51" s="6"/>
      <c r="D51" s="30"/>
      <c r="E51" s="14"/>
    </row>
    <row r="52" spans="1:7" x14ac:dyDescent="0.2">
      <c r="B52" s="11" t="s">
        <v>35</v>
      </c>
      <c r="C52" s="21"/>
      <c r="D52" s="11" t="s">
        <v>37</v>
      </c>
      <c r="E52" s="11"/>
      <c r="F52" s="11"/>
      <c r="G52" s="11"/>
    </row>
    <row r="53" spans="1:7" x14ac:dyDescent="0.2">
      <c r="A53" s="6"/>
      <c r="B53" s="22" t="s">
        <v>36</v>
      </c>
      <c r="C53" s="36"/>
      <c r="D53" s="22" t="s">
        <v>38</v>
      </c>
      <c r="E53" s="11"/>
      <c r="F53" s="11"/>
      <c r="G53" s="11"/>
    </row>
    <row r="54" spans="1:7" x14ac:dyDescent="0.2">
      <c r="A54" s="6"/>
      <c r="B54" s="8"/>
      <c r="C54" s="20"/>
      <c r="D54" s="6"/>
    </row>
    <row r="55" spans="1:7" x14ac:dyDescent="0.2">
      <c r="A55" s="6"/>
      <c r="B55" s="8"/>
      <c r="C55" s="20"/>
      <c r="D55" s="22" t="s">
        <v>39</v>
      </c>
    </row>
    <row r="57" spans="1:7" x14ac:dyDescent="0.2">
      <c r="D57" s="8"/>
    </row>
    <row r="58" spans="1:7" x14ac:dyDescent="0.2">
      <c r="C58" s="6"/>
      <c r="D58" s="6"/>
      <c r="E58" s="31"/>
    </row>
    <row r="60" spans="1:7" x14ac:dyDescent="0.2">
      <c r="D60" s="16"/>
    </row>
    <row r="61" spans="1:7" x14ac:dyDescent="0.2">
      <c r="D61" s="34"/>
      <c r="E61" s="3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J24"/>
  <sheetViews>
    <sheetView tabSelected="1" workbookViewId="0">
      <selection activeCell="O26" sqref="O26"/>
    </sheetView>
  </sheetViews>
  <sheetFormatPr baseColWidth="10" defaultColWidth="8.83203125" defaultRowHeight="15" x14ac:dyDescent="0.2"/>
  <cols>
    <col min="1" max="1" width="16.33203125" customWidth="1"/>
    <col min="2" max="2" width="10.5" customWidth="1"/>
    <col min="9" max="9" width="16.6640625" customWidth="1"/>
  </cols>
  <sheetData>
    <row r="3" spans="1:3" x14ac:dyDescent="0.2">
      <c r="A3" t="s">
        <v>43</v>
      </c>
      <c r="B3" s="39">
        <v>1000</v>
      </c>
      <c r="C3" t="s">
        <v>42</v>
      </c>
    </row>
    <row r="4" spans="1:3" x14ac:dyDescent="0.2">
      <c r="A4" t="s">
        <v>45</v>
      </c>
      <c r="B4" s="39" t="s">
        <v>6</v>
      </c>
    </row>
    <row r="5" spans="1:3" x14ac:dyDescent="0.2">
      <c r="A5" t="s">
        <v>47</v>
      </c>
      <c r="B5" s="39">
        <v>20</v>
      </c>
    </row>
    <row r="6" spans="1:3" ht="17" x14ac:dyDescent="0.25">
      <c r="A6" t="s">
        <v>48</v>
      </c>
      <c r="B6" s="39">
        <v>48</v>
      </c>
      <c r="C6" t="s">
        <v>3</v>
      </c>
    </row>
    <row r="7" spans="1:3" x14ac:dyDescent="0.2">
      <c r="A7" t="s">
        <v>50</v>
      </c>
      <c r="B7" s="39">
        <v>50</v>
      </c>
      <c r="C7" t="s">
        <v>3</v>
      </c>
    </row>
    <row r="8" spans="1:3" ht="17" x14ac:dyDescent="0.25">
      <c r="A8" t="s">
        <v>49</v>
      </c>
      <c r="B8" s="40">
        <v>49.1</v>
      </c>
      <c r="C8" t="s">
        <v>3</v>
      </c>
    </row>
    <row r="10" spans="1:3" x14ac:dyDescent="0.2">
      <c r="B10" t="s">
        <v>9</v>
      </c>
    </row>
    <row r="11" spans="1:3" ht="17" x14ac:dyDescent="0.25">
      <c r="A11" s="6" t="s">
        <v>41</v>
      </c>
      <c r="B11" t="s">
        <v>40</v>
      </c>
    </row>
    <row r="13" spans="1:3" ht="17" x14ac:dyDescent="0.25">
      <c r="A13" s="6" t="s">
        <v>51</v>
      </c>
      <c r="B13" t="s">
        <v>52</v>
      </c>
    </row>
    <row r="14" spans="1:3" x14ac:dyDescent="0.2">
      <c r="A14" s="6"/>
      <c r="B14" s="6"/>
      <c r="C14" s="27"/>
    </row>
    <row r="15" spans="1:3" x14ac:dyDescent="0.2">
      <c r="A15" s="6" t="s">
        <v>118</v>
      </c>
      <c r="B15" s="13" t="s">
        <v>88</v>
      </c>
    </row>
    <row r="16" spans="1:3" x14ac:dyDescent="0.2">
      <c r="A16" s="6" t="s">
        <v>51</v>
      </c>
      <c r="B16" s="42">
        <f>B8-B6</f>
        <v>1.1000000000000014</v>
      </c>
      <c r="C16" t="s">
        <v>53</v>
      </c>
    </row>
    <row r="17" spans="1:10" x14ac:dyDescent="0.2">
      <c r="C17" s="18"/>
    </row>
    <row r="18" spans="1:10" x14ac:dyDescent="0.2">
      <c r="A18" s="6" t="s">
        <v>119</v>
      </c>
      <c r="B18" s="13" t="s">
        <v>54</v>
      </c>
    </row>
    <row r="19" spans="1:10" x14ac:dyDescent="0.2">
      <c r="B19" s="42">
        <f>B7-B16</f>
        <v>48.9</v>
      </c>
      <c r="C19" t="s">
        <v>53</v>
      </c>
      <c r="I19" t="s">
        <v>192</v>
      </c>
      <c r="J19">
        <v>50</v>
      </c>
    </row>
    <row r="20" spans="1:10" x14ac:dyDescent="0.2">
      <c r="I20" s="41">
        <v>46336</v>
      </c>
      <c r="J20">
        <v>49.1</v>
      </c>
    </row>
    <row r="21" spans="1:10" x14ac:dyDescent="0.2">
      <c r="A21" s="6" t="s">
        <v>122</v>
      </c>
      <c r="B21" t="s">
        <v>55</v>
      </c>
      <c r="I21" t="s">
        <v>193</v>
      </c>
      <c r="J21">
        <v>48</v>
      </c>
    </row>
    <row r="22" spans="1:10" x14ac:dyDescent="0.2">
      <c r="B22" s="43">
        <f>B19*B3*B5</f>
        <v>978000</v>
      </c>
      <c r="C22" t="s">
        <v>3</v>
      </c>
      <c r="I22" t="s">
        <v>194</v>
      </c>
      <c r="J22">
        <f>J20-J21</f>
        <v>1.1000000000000014</v>
      </c>
    </row>
    <row r="23" spans="1:10" x14ac:dyDescent="0.2">
      <c r="I23" t="s">
        <v>195</v>
      </c>
      <c r="J23">
        <f>J19-J22</f>
        <v>48.9</v>
      </c>
    </row>
    <row r="24" spans="1:10" x14ac:dyDescent="0.2">
      <c r="I24" t="s">
        <v>196</v>
      </c>
      <c r="J24">
        <f>J23*20000/1000</f>
        <v>978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K88"/>
  <sheetViews>
    <sheetView topLeftCell="A59" workbookViewId="0">
      <selection activeCell="E63" sqref="E63"/>
    </sheetView>
  </sheetViews>
  <sheetFormatPr baseColWidth="10" defaultColWidth="8.83203125" defaultRowHeight="15" x14ac:dyDescent="0.2"/>
  <cols>
    <col min="1" max="1" width="18.33203125" customWidth="1"/>
    <col min="2" max="2" width="16.33203125" customWidth="1"/>
    <col min="3" max="3" width="10.5" bestFit="1" customWidth="1"/>
  </cols>
  <sheetData>
    <row r="3" spans="1:6" x14ac:dyDescent="0.2">
      <c r="A3" s="6" t="s">
        <v>57</v>
      </c>
      <c r="B3" s="28">
        <v>1.0405</v>
      </c>
      <c r="C3" t="s">
        <v>56</v>
      </c>
    </row>
    <row r="4" spans="1:6" x14ac:dyDescent="0.2">
      <c r="A4" s="6" t="s">
        <v>44</v>
      </c>
      <c r="B4" s="37">
        <v>10000000</v>
      </c>
      <c r="C4" t="s">
        <v>58</v>
      </c>
    </row>
    <row r="5" spans="1:6" x14ac:dyDescent="0.2">
      <c r="A5" s="6" t="s">
        <v>72</v>
      </c>
      <c r="B5" s="44" t="s">
        <v>59</v>
      </c>
    </row>
    <row r="6" spans="1:6" x14ac:dyDescent="0.2">
      <c r="A6" t="s">
        <v>43</v>
      </c>
      <c r="B6" s="37">
        <v>125000</v>
      </c>
      <c r="C6" t="s">
        <v>60</v>
      </c>
    </row>
    <row r="7" spans="1:6" ht="17" x14ac:dyDescent="0.25">
      <c r="A7" t="s">
        <v>61</v>
      </c>
      <c r="B7" s="28">
        <v>1.0531999999999999</v>
      </c>
      <c r="C7" t="s">
        <v>81</v>
      </c>
    </row>
    <row r="8" spans="1:6" ht="17" x14ac:dyDescent="0.25">
      <c r="A8" t="s">
        <v>62</v>
      </c>
      <c r="B8" s="28">
        <v>1.0654999999999999</v>
      </c>
      <c r="C8" t="s">
        <v>81</v>
      </c>
    </row>
    <row r="9" spans="1:6" ht="17" x14ac:dyDescent="0.25">
      <c r="A9" t="s">
        <v>63</v>
      </c>
      <c r="B9" s="28">
        <v>1.0622</v>
      </c>
      <c r="C9" t="s">
        <v>82</v>
      </c>
    </row>
    <row r="10" spans="1:6" ht="17" x14ac:dyDescent="0.25">
      <c r="A10" t="s">
        <v>63</v>
      </c>
      <c r="B10" s="28">
        <v>1.0623</v>
      </c>
      <c r="C10" t="s">
        <v>83</v>
      </c>
    </row>
    <row r="12" spans="1:6" x14ac:dyDescent="0.2">
      <c r="A12" s="28" t="s">
        <v>123</v>
      </c>
      <c r="B12" s="28"/>
      <c r="C12" s="28"/>
      <c r="D12" s="28"/>
      <c r="E12" s="28"/>
      <c r="F12" s="28"/>
    </row>
    <row r="13" spans="1:6" x14ac:dyDescent="0.2">
      <c r="B13" s="45" t="s">
        <v>187</v>
      </c>
    </row>
    <row r="15" spans="1:6" x14ac:dyDescent="0.2">
      <c r="A15" s="28" t="s">
        <v>64</v>
      </c>
      <c r="B15" s="28"/>
      <c r="C15" s="28"/>
      <c r="D15" s="28"/>
      <c r="E15" s="28"/>
      <c r="F15" s="28"/>
    </row>
    <row r="16" spans="1:6" x14ac:dyDescent="0.2">
      <c r="A16" s="41"/>
      <c r="B16" s="45" t="s">
        <v>75</v>
      </c>
      <c r="C16" s="45"/>
      <c r="D16" s="45"/>
      <c r="E16" s="45"/>
    </row>
    <row r="18" spans="1:6" x14ac:dyDescent="0.2">
      <c r="A18" s="28" t="s">
        <v>65</v>
      </c>
      <c r="B18" s="28"/>
      <c r="C18" s="28"/>
      <c r="D18" s="28"/>
      <c r="E18" s="28"/>
      <c r="F18" s="28"/>
    </row>
    <row r="19" spans="1:6" x14ac:dyDescent="0.2">
      <c r="A19" t="s">
        <v>69</v>
      </c>
      <c r="B19" t="s">
        <v>66</v>
      </c>
    </row>
    <row r="20" spans="1:6" x14ac:dyDescent="0.2">
      <c r="B20" t="s">
        <v>44</v>
      </c>
      <c r="C20">
        <v>10000000</v>
      </c>
      <c r="D20" t="s">
        <v>58</v>
      </c>
    </row>
    <row r="21" spans="1:6" x14ac:dyDescent="0.2">
      <c r="B21" t="s">
        <v>67</v>
      </c>
      <c r="C21">
        <f>B10</f>
        <v>1.0623</v>
      </c>
      <c r="D21" t="s">
        <v>83</v>
      </c>
    </row>
    <row r="22" spans="1:6" x14ac:dyDescent="0.2">
      <c r="B22" t="s">
        <v>23</v>
      </c>
      <c r="C22">
        <f>C20/C21</f>
        <v>9413536.6657253131</v>
      </c>
      <c r="D22" t="s">
        <v>60</v>
      </c>
    </row>
    <row r="24" spans="1:6" x14ac:dyDescent="0.2">
      <c r="A24" s="41" t="s">
        <v>68</v>
      </c>
      <c r="B24" t="s">
        <v>70</v>
      </c>
      <c r="C24">
        <f>C22</f>
        <v>9413536.6657253131</v>
      </c>
      <c r="D24" t="s">
        <v>60</v>
      </c>
    </row>
    <row r="25" spans="1:6" x14ac:dyDescent="0.2">
      <c r="B25" t="s">
        <v>71</v>
      </c>
      <c r="C25">
        <f>C20</f>
        <v>10000000</v>
      </c>
      <c r="D25" t="s">
        <v>58</v>
      </c>
    </row>
    <row r="27" spans="1:6" x14ac:dyDescent="0.2">
      <c r="C27" s="13" t="s">
        <v>54</v>
      </c>
    </row>
    <row r="28" spans="1:6" x14ac:dyDescent="0.2">
      <c r="C28" s="46">
        <f>C25/C24</f>
        <v>1.0623</v>
      </c>
      <c r="D28" t="s">
        <v>56</v>
      </c>
    </row>
    <row r="30" spans="1:6" x14ac:dyDescent="0.2">
      <c r="A30" t="s">
        <v>79</v>
      </c>
      <c r="C30" s="6" t="s">
        <v>80</v>
      </c>
    </row>
    <row r="32" spans="1:6" x14ac:dyDescent="0.2">
      <c r="A32" s="28" t="s">
        <v>137</v>
      </c>
      <c r="B32" s="28"/>
      <c r="C32" s="28"/>
      <c r="D32" s="28"/>
      <c r="E32" s="28"/>
      <c r="F32" s="28"/>
    </row>
    <row r="33" spans="1:5" x14ac:dyDescent="0.2">
      <c r="A33" t="s">
        <v>69</v>
      </c>
      <c r="B33" t="s">
        <v>138</v>
      </c>
    </row>
    <row r="34" spans="1:5" x14ac:dyDescent="0.2">
      <c r="B34" t="s">
        <v>44</v>
      </c>
      <c r="C34">
        <v>10000000</v>
      </c>
      <c r="D34" t="s">
        <v>58</v>
      </c>
    </row>
    <row r="35" spans="1:5" x14ac:dyDescent="0.2">
      <c r="B35" t="s">
        <v>73</v>
      </c>
      <c r="C35">
        <f>B8</f>
        <v>1.0654999999999999</v>
      </c>
      <c r="D35" t="s">
        <v>81</v>
      </c>
    </row>
    <row r="36" spans="1:5" x14ac:dyDescent="0.2">
      <c r="B36" t="s">
        <v>23</v>
      </c>
      <c r="C36">
        <f>C34/C35</f>
        <v>9385265.1337400284</v>
      </c>
      <c r="D36" t="s">
        <v>60</v>
      </c>
    </row>
    <row r="37" spans="1:5" x14ac:dyDescent="0.2">
      <c r="B37" t="s">
        <v>46</v>
      </c>
      <c r="C37">
        <f>C36/B6</f>
        <v>75.082121069920234</v>
      </c>
    </row>
    <row r="38" spans="1:5" x14ac:dyDescent="0.2">
      <c r="B38" t="s">
        <v>76</v>
      </c>
      <c r="C38">
        <f>ROUNDDOWN(C37,0)</f>
        <v>75</v>
      </c>
    </row>
    <row r="39" spans="1:5" x14ac:dyDescent="0.2">
      <c r="B39" t="s">
        <v>77</v>
      </c>
      <c r="C39">
        <f>C38*B6</f>
        <v>9375000</v>
      </c>
      <c r="D39" t="s">
        <v>60</v>
      </c>
    </row>
    <row r="41" spans="1:5" x14ac:dyDescent="0.2">
      <c r="A41" s="41" t="s">
        <v>68</v>
      </c>
      <c r="B41" t="s">
        <v>74</v>
      </c>
    </row>
    <row r="42" spans="1:5" x14ac:dyDescent="0.2">
      <c r="B42" t="s">
        <v>77</v>
      </c>
      <c r="C42">
        <f>C43*B6</f>
        <v>9375000</v>
      </c>
      <c r="D42" t="s">
        <v>60</v>
      </c>
    </row>
    <row r="43" spans="1:5" x14ac:dyDescent="0.2">
      <c r="B43" t="s">
        <v>46</v>
      </c>
      <c r="C43" s="6">
        <f>C38</f>
        <v>75</v>
      </c>
    </row>
    <row r="45" spans="1:5" x14ac:dyDescent="0.2">
      <c r="B45" t="s">
        <v>70</v>
      </c>
      <c r="D45" t="s">
        <v>60</v>
      </c>
      <c r="E45" t="s">
        <v>78</v>
      </c>
    </row>
    <row r="46" spans="1:5" x14ac:dyDescent="0.2">
      <c r="B46" t="s">
        <v>71</v>
      </c>
      <c r="C46" s="38">
        <f>B4</f>
        <v>10000000</v>
      </c>
      <c r="D46" t="s">
        <v>58</v>
      </c>
      <c r="E46" t="s">
        <v>78</v>
      </c>
    </row>
    <row r="48" spans="1:5" x14ac:dyDescent="0.2">
      <c r="A48" t="s">
        <v>79</v>
      </c>
      <c r="C48" s="6" t="s">
        <v>80</v>
      </c>
    </row>
    <row r="50" spans="1:11" x14ac:dyDescent="0.2">
      <c r="A50" s="28" t="s">
        <v>139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</row>
    <row r="52" spans="1:11" x14ac:dyDescent="0.2">
      <c r="A52" s="6" t="s">
        <v>85</v>
      </c>
      <c r="B52" s="28">
        <v>1.0102</v>
      </c>
      <c r="C52" t="s">
        <v>56</v>
      </c>
    </row>
    <row r="53" spans="1:11" ht="17" x14ac:dyDescent="0.25">
      <c r="A53" t="s">
        <v>86</v>
      </c>
      <c r="B53" s="28">
        <v>1.0135000000000001</v>
      </c>
      <c r="C53" t="s">
        <v>81</v>
      </c>
    </row>
    <row r="55" spans="1:11" x14ac:dyDescent="0.2">
      <c r="B55" t="s">
        <v>9</v>
      </c>
    </row>
    <row r="56" spans="1:11" ht="17" x14ac:dyDescent="0.25">
      <c r="A56" s="6" t="s">
        <v>41</v>
      </c>
      <c r="B56" t="s">
        <v>40</v>
      </c>
    </row>
    <row r="58" spans="1:11" ht="17" x14ac:dyDescent="0.25">
      <c r="A58" s="6" t="s">
        <v>84</v>
      </c>
      <c r="B58" t="s">
        <v>87</v>
      </c>
    </row>
    <row r="59" spans="1:11" x14ac:dyDescent="0.2">
      <c r="B59" s="6">
        <f>B53-B8</f>
        <v>-5.1999999999999824E-2</v>
      </c>
    </row>
    <row r="61" spans="1:11" x14ac:dyDescent="0.2">
      <c r="B61" t="s">
        <v>88</v>
      </c>
    </row>
    <row r="62" spans="1:11" x14ac:dyDescent="0.2">
      <c r="B62" s="6">
        <f>B59*C43*B6</f>
        <v>-487499.99999999837</v>
      </c>
      <c r="C62" t="s">
        <v>58</v>
      </c>
    </row>
    <row r="64" spans="1:11" x14ac:dyDescent="0.2">
      <c r="B64" t="s">
        <v>71</v>
      </c>
      <c r="C64" s="38">
        <f>B62+B4</f>
        <v>9512500.0000000019</v>
      </c>
      <c r="D64" t="s">
        <v>58</v>
      </c>
    </row>
    <row r="65" spans="1:10" x14ac:dyDescent="0.2">
      <c r="B65" s="27" t="s">
        <v>89</v>
      </c>
      <c r="C65" s="38">
        <f>C64/B52</f>
        <v>9416452.1876856089</v>
      </c>
      <c r="D65" t="s">
        <v>60</v>
      </c>
    </row>
    <row r="67" spans="1:10" x14ac:dyDescent="0.2">
      <c r="B67" s="13" t="s">
        <v>54</v>
      </c>
    </row>
    <row r="68" spans="1:10" x14ac:dyDescent="0.2">
      <c r="B68" s="47">
        <f>B4/C65</f>
        <v>1.0619710906701707</v>
      </c>
      <c r="C68" t="s">
        <v>56</v>
      </c>
    </row>
    <row r="70" spans="1:10" x14ac:dyDescent="0.2">
      <c r="A70" s="28" t="s">
        <v>140</v>
      </c>
      <c r="B70" s="28"/>
      <c r="C70" s="28"/>
      <c r="D70" s="28"/>
      <c r="E70" s="28"/>
      <c r="F70" s="28"/>
      <c r="G70" s="28"/>
      <c r="H70" s="28"/>
      <c r="I70" s="28"/>
      <c r="J70" s="28"/>
    </row>
    <row r="72" spans="1:10" x14ac:dyDescent="0.2">
      <c r="A72" s="6" t="s">
        <v>85</v>
      </c>
      <c r="B72" s="28">
        <v>1.0714999999999999</v>
      </c>
      <c r="C72" t="s">
        <v>56</v>
      </c>
    </row>
    <row r="73" spans="1:10" ht="17" x14ac:dyDescent="0.25">
      <c r="A73" t="s">
        <v>86</v>
      </c>
      <c r="B73" s="28">
        <v>1.0751999999999999</v>
      </c>
      <c r="C73" t="s">
        <v>81</v>
      </c>
    </row>
    <row r="75" spans="1:10" x14ac:dyDescent="0.2">
      <c r="B75" t="s">
        <v>9</v>
      </c>
    </row>
    <row r="76" spans="1:10" ht="17" x14ac:dyDescent="0.25">
      <c r="A76" s="6" t="s">
        <v>41</v>
      </c>
      <c r="B76" t="s">
        <v>40</v>
      </c>
    </row>
    <row r="78" spans="1:10" ht="17" x14ac:dyDescent="0.25">
      <c r="A78" s="6" t="s">
        <v>84</v>
      </c>
      <c r="B78" t="s">
        <v>87</v>
      </c>
    </row>
    <row r="79" spans="1:10" x14ac:dyDescent="0.2">
      <c r="B79" s="6">
        <f>B73-B8</f>
        <v>9.7000000000000419E-3</v>
      </c>
    </row>
    <row r="81" spans="2:4" x14ac:dyDescent="0.2">
      <c r="B81" t="s">
        <v>88</v>
      </c>
    </row>
    <row r="82" spans="2:4" x14ac:dyDescent="0.2">
      <c r="B82" s="6">
        <f>B79*C43*B6</f>
        <v>90937.500000000393</v>
      </c>
      <c r="C82" t="s">
        <v>58</v>
      </c>
    </row>
    <row r="84" spans="2:4" x14ac:dyDescent="0.2">
      <c r="B84" t="s">
        <v>71</v>
      </c>
      <c r="C84" s="38">
        <f>B82+B4</f>
        <v>10090937.5</v>
      </c>
      <c r="D84" t="s">
        <v>58</v>
      </c>
    </row>
    <row r="85" spans="2:4" x14ac:dyDescent="0.2">
      <c r="B85" s="27" t="s">
        <v>89</v>
      </c>
      <c r="C85" s="38">
        <f>C84/B72</f>
        <v>9417580.4946336914</v>
      </c>
      <c r="D85" t="s">
        <v>60</v>
      </c>
    </row>
    <row r="87" spans="2:4" x14ac:dyDescent="0.2">
      <c r="B87" s="13" t="s">
        <v>54</v>
      </c>
    </row>
    <row r="88" spans="2:4" x14ac:dyDescent="0.2">
      <c r="B88" s="47">
        <f>B4/C85</f>
        <v>1.0618438574215725</v>
      </c>
      <c r="C88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O41"/>
  <sheetViews>
    <sheetView workbookViewId="0">
      <selection activeCell="B42" sqref="B42"/>
    </sheetView>
  </sheetViews>
  <sheetFormatPr baseColWidth="10" defaultColWidth="8.83203125" defaultRowHeight="15" x14ac:dyDescent="0.2"/>
  <cols>
    <col min="1" max="1" width="28.83203125" customWidth="1"/>
  </cols>
  <sheetData>
    <row r="3" spans="1:13" x14ac:dyDescent="0.2">
      <c r="A3" t="s">
        <v>90</v>
      </c>
      <c r="B3" s="7">
        <v>4.5</v>
      </c>
      <c r="C3" t="s">
        <v>24</v>
      </c>
    </row>
    <row r="4" spans="1:13" x14ac:dyDescent="0.2">
      <c r="A4" t="s">
        <v>91</v>
      </c>
      <c r="B4" s="7">
        <v>500</v>
      </c>
      <c r="C4" t="s">
        <v>22</v>
      </c>
    </row>
    <row r="5" spans="1:13" x14ac:dyDescent="0.2">
      <c r="A5" t="s">
        <v>103</v>
      </c>
      <c r="B5" s="3">
        <v>0.1</v>
      </c>
    </row>
    <row r="6" spans="1:13" x14ac:dyDescent="0.2">
      <c r="A6" t="s">
        <v>92</v>
      </c>
      <c r="B6" s="7">
        <v>100</v>
      </c>
      <c r="C6" t="s">
        <v>3</v>
      </c>
    </row>
    <row r="7" spans="1:13" x14ac:dyDescent="0.2">
      <c r="A7" t="s">
        <v>101</v>
      </c>
      <c r="B7" s="7">
        <v>2</v>
      </c>
      <c r="C7" t="s">
        <v>24</v>
      </c>
    </row>
    <row r="10" spans="1:13" x14ac:dyDescent="0.2">
      <c r="A10" s="28" t="s">
        <v>144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</row>
    <row r="12" spans="1:13" x14ac:dyDescent="0.2">
      <c r="C12" t="s">
        <v>93</v>
      </c>
      <c r="E12" t="s">
        <v>94</v>
      </c>
    </row>
    <row r="13" spans="1:13" ht="16" x14ac:dyDescent="0.2">
      <c r="B13" t="s">
        <v>95</v>
      </c>
      <c r="C13" s="6">
        <v>500</v>
      </c>
      <c r="E13" s="6">
        <f>B3</f>
        <v>4.5</v>
      </c>
      <c r="G13" s="32"/>
      <c r="H13" s="19"/>
      <c r="I13" s="30"/>
      <c r="J13" s="50"/>
      <c r="K13" s="26"/>
      <c r="L13" s="26"/>
      <c r="M13" s="19"/>
    </row>
    <row r="14" spans="1:13" ht="16" x14ac:dyDescent="0.2">
      <c r="B14" t="s">
        <v>135</v>
      </c>
      <c r="C14" s="6" t="s">
        <v>99</v>
      </c>
      <c r="E14" s="6">
        <v>1.5</v>
      </c>
      <c r="G14" s="26" t="s">
        <v>116</v>
      </c>
      <c r="H14" s="19"/>
      <c r="I14" s="26" t="s">
        <v>113</v>
      </c>
      <c r="J14" s="50"/>
      <c r="K14" s="26"/>
      <c r="L14" s="26"/>
      <c r="M14" s="26"/>
    </row>
    <row r="15" spans="1:13" x14ac:dyDescent="0.2">
      <c r="B15" s="48" t="s">
        <v>107</v>
      </c>
      <c r="C15" s="49" t="s">
        <v>100</v>
      </c>
      <c r="D15" s="48"/>
      <c r="E15" s="49">
        <v>0</v>
      </c>
      <c r="G15" s="26" t="s">
        <v>107</v>
      </c>
      <c r="H15" s="19"/>
      <c r="I15" s="26" t="s">
        <v>108</v>
      </c>
      <c r="J15" s="26"/>
      <c r="K15" s="26"/>
      <c r="L15" s="26"/>
      <c r="M15" s="26"/>
    </row>
    <row r="16" spans="1:13" x14ac:dyDescent="0.2">
      <c r="B16" t="s">
        <v>102</v>
      </c>
      <c r="C16" s="6">
        <f>C13</f>
        <v>500</v>
      </c>
      <c r="E16" s="6">
        <v>2</v>
      </c>
      <c r="G16" s="32"/>
      <c r="H16" s="51"/>
      <c r="I16" s="32"/>
      <c r="J16" s="26"/>
      <c r="K16" s="26"/>
      <c r="L16" s="26"/>
      <c r="M16" s="26"/>
    </row>
    <row r="18" spans="1:13" x14ac:dyDescent="0.2">
      <c r="B18" t="s">
        <v>90</v>
      </c>
    </row>
    <row r="19" spans="1:13" x14ac:dyDescent="0.2">
      <c r="B19" t="s">
        <v>109</v>
      </c>
    </row>
    <row r="21" spans="1:13" x14ac:dyDescent="0.2">
      <c r="B21" s="6" t="s">
        <v>106</v>
      </c>
      <c r="C21" s="6">
        <f>-(C13*E13-E16*C16)*(1/(E14+E15))</f>
        <v>-833.33333333333326</v>
      </c>
      <c r="D21" t="s">
        <v>22</v>
      </c>
      <c r="E21" t="s">
        <v>105</v>
      </c>
    </row>
    <row r="23" spans="1:13" x14ac:dyDescent="0.2">
      <c r="B23" s="52" t="s">
        <v>117</v>
      </c>
    </row>
    <row r="24" spans="1:13" x14ac:dyDescent="0.2">
      <c r="B24" s="45">
        <f>ABS(C21/EXP(-B5*1.5))</f>
        <v>968.19520227356918</v>
      </c>
      <c r="C24" t="s">
        <v>22</v>
      </c>
    </row>
    <row r="27" spans="1:13" x14ac:dyDescent="0.2">
      <c r="A27" s="28" t="s">
        <v>143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</row>
    <row r="29" spans="1:13" x14ac:dyDescent="0.2">
      <c r="C29" t="s">
        <v>93</v>
      </c>
      <c r="E29" t="s">
        <v>94</v>
      </c>
    </row>
    <row r="30" spans="1:13" ht="16" x14ac:dyDescent="0.2">
      <c r="B30" t="s">
        <v>95</v>
      </c>
      <c r="C30" s="6">
        <f>B4</f>
        <v>500</v>
      </c>
      <c r="E30" s="6">
        <f>B3</f>
        <v>4.5</v>
      </c>
      <c r="G30" s="32" t="s">
        <v>34</v>
      </c>
      <c r="H30" s="19"/>
      <c r="I30" s="30"/>
      <c r="J30" s="50"/>
      <c r="K30" s="26"/>
      <c r="L30" s="26"/>
      <c r="M30" s="19"/>
    </row>
    <row r="31" spans="1:13" ht="16" x14ac:dyDescent="0.2">
      <c r="B31" t="s">
        <v>141</v>
      </c>
      <c r="C31" s="6" t="s">
        <v>99</v>
      </c>
      <c r="E31" s="6">
        <v>1.5</v>
      </c>
      <c r="G31" s="19"/>
      <c r="H31" s="19"/>
      <c r="I31" s="30"/>
      <c r="J31" s="50"/>
      <c r="K31" s="26"/>
      <c r="L31" s="26"/>
      <c r="M31" s="26"/>
    </row>
    <row r="32" spans="1:13" x14ac:dyDescent="0.2">
      <c r="B32" s="48" t="s">
        <v>142</v>
      </c>
      <c r="C32" s="49" t="s">
        <v>100</v>
      </c>
      <c r="D32" s="48"/>
      <c r="E32" s="49">
        <v>1</v>
      </c>
      <c r="G32" s="26" t="s">
        <v>35</v>
      </c>
      <c r="H32" s="19"/>
      <c r="I32" s="26" t="s">
        <v>97</v>
      </c>
      <c r="J32" s="26"/>
      <c r="K32" s="26"/>
      <c r="L32" s="26"/>
      <c r="M32" s="26"/>
    </row>
    <row r="33" spans="2:15" x14ac:dyDescent="0.2">
      <c r="B33" t="s">
        <v>102</v>
      </c>
      <c r="C33" s="6">
        <f>C30</f>
        <v>500</v>
      </c>
      <c r="E33" s="6">
        <v>2</v>
      </c>
      <c r="G33" s="32" t="s">
        <v>36</v>
      </c>
      <c r="H33" s="51"/>
      <c r="I33" s="32" t="s">
        <v>98</v>
      </c>
      <c r="J33" s="26"/>
      <c r="K33" s="26"/>
      <c r="L33" s="26"/>
      <c r="M33" s="26"/>
    </row>
    <row r="35" spans="2:15" x14ac:dyDescent="0.2">
      <c r="B35" t="s">
        <v>90</v>
      </c>
    </row>
    <row r="36" spans="2:15" ht="16" x14ac:dyDescent="0.2">
      <c r="B36" t="s">
        <v>104</v>
      </c>
      <c r="G36" t="s">
        <v>115</v>
      </c>
      <c r="I36" s="32" t="s">
        <v>111</v>
      </c>
      <c r="J36" s="19"/>
      <c r="K36" s="30"/>
      <c r="L36" s="50"/>
      <c r="M36" s="26"/>
      <c r="N36" s="26"/>
      <c r="O36" s="19"/>
    </row>
    <row r="37" spans="2:15" ht="16" x14ac:dyDescent="0.2">
      <c r="I37" s="19"/>
      <c r="J37" s="19"/>
      <c r="K37" s="30"/>
      <c r="L37" s="50"/>
      <c r="M37" s="26"/>
      <c r="N37" s="26"/>
      <c r="O37" s="26"/>
    </row>
    <row r="38" spans="2:15" x14ac:dyDescent="0.2">
      <c r="B38" s="6" t="s">
        <v>106</v>
      </c>
      <c r="C38" s="6">
        <f>-(C30*E30-E33*C33)*(1/(E31-E32))</f>
        <v>-2500</v>
      </c>
      <c r="D38" t="s">
        <v>22</v>
      </c>
      <c r="E38" t="s">
        <v>105</v>
      </c>
      <c r="I38" s="26" t="s">
        <v>112</v>
      </c>
      <c r="J38" s="19"/>
      <c r="K38" s="26" t="s">
        <v>113</v>
      </c>
      <c r="L38" s="26"/>
      <c r="M38" s="26"/>
      <c r="N38" s="26"/>
      <c r="O38" s="26"/>
    </row>
    <row r="39" spans="2:15" x14ac:dyDescent="0.2">
      <c r="I39" s="32" t="s">
        <v>96</v>
      </c>
      <c r="J39" s="51"/>
      <c r="K39" s="32" t="s">
        <v>114</v>
      </c>
      <c r="L39" s="26"/>
      <c r="M39" s="26"/>
      <c r="N39" s="26"/>
      <c r="O39" s="26"/>
    </row>
    <row r="40" spans="2:15" x14ac:dyDescent="0.2">
      <c r="B40" s="52" t="s">
        <v>110</v>
      </c>
    </row>
    <row r="41" spans="2:15" x14ac:dyDescent="0.2">
      <c r="B41" s="42">
        <f>ABS(C38/EXP(-B5*1.5))</f>
        <v>2904.5856068207077</v>
      </c>
      <c r="C41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6:C13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15.5" customWidth="1"/>
  </cols>
  <sheetData>
    <row r="6" spans="1:3" x14ac:dyDescent="0.2">
      <c r="A6" t="s">
        <v>124</v>
      </c>
      <c r="B6" s="7">
        <v>0.65</v>
      </c>
      <c r="C6" t="s">
        <v>3</v>
      </c>
    </row>
    <row r="7" spans="1:3" x14ac:dyDescent="0.2">
      <c r="A7" t="s">
        <v>125</v>
      </c>
      <c r="B7" s="7">
        <v>0.81</v>
      </c>
      <c r="C7" t="s">
        <v>3</v>
      </c>
    </row>
    <row r="8" spans="1:3" x14ac:dyDescent="0.2">
      <c r="A8" t="s">
        <v>126</v>
      </c>
      <c r="B8" s="7">
        <v>0.8</v>
      </c>
    </row>
    <row r="10" spans="1:3" x14ac:dyDescent="0.2">
      <c r="B10" s="52" t="s">
        <v>127</v>
      </c>
    </row>
    <row r="11" spans="1:3" x14ac:dyDescent="0.2">
      <c r="A11" t="s">
        <v>145</v>
      </c>
      <c r="B11" s="53">
        <f>B8*B6/B7</f>
        <v>0.64197530864197527</v>
      </c>
    </row>
    <row r="13" spans="1:3" x14ac:dyDescent="0.2">
      <c r="B13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I18"/>
  <sheetViews>
    <sheetView workbookViewId="0">
      <selection activeCell="E11" sqref="E11"/>
    </sheetView>
  </sheetViews>
  <sheetFormatPr baseColWidth="10" defaultColWidth="8.83203125" defaultRowHeight="15" x14ac:dyDescent="0.2"/>
  <cols>
    <col min="1" max="1" width="14.83203125" customWidth="1"/>
  </cols>
  <sheetData>
    <row r="2" spans="1:9" x14ac:dyDescent="0.2">
      <c r="A2" t="s">
        <v>126</v>
      </c>
      <c r="B2" s="7">
        <v>0.6</v>
      </c>
    </row>
    <row r="3" spans="1:9" x14ac:dyDescent="0.2">
      <c r="A3" t="s">
        <v>129</v>
      </c>
      <c r="B3" s="7">
        <v>1.5</v>
      </c>
    </row>
    <row r="4" spans="1:9" x14ac:dyDescent="0.2">
      <c r="A4" t="s">
        <v>43</v>
      </c>
      <c r="B4" s="7">
        <v>42000</v>
      </c>
      <c r="C4" t="s">
        <v>130</v>
      </c>
    </row>
    <row r="6" spans="1:9" x14ac:dyDescent="0.2">
      <c r="B6" s="52" t="s">
        <v>127</v>
      </c>
    </row>
    <row r="7" spans="1:9" x14ac:dyDescent="0.2">
      <c r="A7" t="s">
        <v>145</v>
      </c>
      <c r="B7" s="42">
        <f>B2*B3</f>
        <v>0.89999999999999991</v>
      </c>
    </row>
    <row r="8" spans="1:9" x14ac:dyDescent="0.2">
      <c r="B8" s="34"/>
    </row>
    <row r="9" spans="1:9" x14ac:dyDescent="0.2">
      <c r="A9" s="28" t="s">
        <v>133</v>
      </c>
      <c r="B9" s="28"/>
      <c r="C9" s="28"/>
      <c r="D9" s="28"/>
      <c r="E9" s="28"/>
      <c r="F9" s="28"/>
      <c r="G9" s="28"/>
      <c r="H9" s="28"/>
      <c r="I9" s="28"/>
    </row>
    <row r="11" spans="1:9" x14ac:dyDescent="0.2">
      <c r="B11" s="52" t="s">
        <v>132</v>
      </c>
    </row>
    <row r="12" spans="1:9" x14ac:dyDescent="0.2">
      <c r="B12" s="42">
        <f>1*1/0.01</f>
        <v>100</v>
      </c>
      <c r="C12" t="s">
        <v>131</v>
      </c>
    </row>
    <row r="14" spans="1:9" x14ac:dyDescent="0.2">
      <c r="B14" s="52" t="s">
        <v>146</v>
      </c>
    </row>
    <row r="15" spans="1:9" x14ac:dyDescent="0.2">
      <c r="B15" s="42">
        <f>B12*B7</f>
        <v>89.999999999999986</v>
      </c>
      <c r="C15" t="s">
        <v>131</v>
      </c>
    </row>
    <row r="17" spans="2:3" x14ac:dyDescent="0.2">
      <c r="B17" s="52" t="s">
        <v>134</v>
      </c>
    </row>
    <row r="18" spans="2:3" x14ac:dyDescent="0.2">
      <c r="B18" s="42">
        <f>B15*1000000/B4</f>
        <v>2142.8571428571427</v>
      </c>
      <c r="C18" s="54">
        <f>B18</f>
        <v>2142.8571428571427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</vt:lpstr>
      <vt:lpstr>2.</vt:lpstr>
      <vt:lpstr>3.</vt:lpstr>
      <vt:lpstr>4.</vt:lpstr>
      <vt:lpstr>5.</vt:lpstr>
      <vt:lpstr>6.</vt:lpstr>
      <vt:lpstr>7.</vt:lpstr>
      <vt:lpstr>8.</vt:lpstr>
      <vt:lpstr>9.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</dc:creator>
  <cp:lastModifiedBy>Gao Weijun</cp:lastModifiedBy>
  <dcterms:created xsi:type="dcterms:W3CDTF">2021-02-16T07:20:52Z</dcterms:created>
  <dcterms:modified xsi:type="dcterms:W3CDTF">2026-05-17T16:29:40Z</dcterms:modified>
</cp:coreProperties>
</file>