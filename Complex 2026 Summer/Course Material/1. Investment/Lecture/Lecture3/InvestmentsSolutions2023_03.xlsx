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nvestments\2023\"/>
    </mc:Choice>
  </mc:AlternateContent>
  <xr:revisionPtr revIDLastSave="0" documentId="13_ncr:1_{DE322206-7C9F-4B1B-A742-B217E11130D1}" xr6:coauthVersionLast="47" xr6:coauthVersionMax="47" xr10:uidLastSave="{00000000-0000-0000-0000-000000000000}"/>
  <bookViews>
    <workbookView xWindow="-135" yWindow="75" windowWidth="16740" windowHeight="15360" activeTab="1" xr2:uid="{00000000-000D-0000-FFFF-FFFF00000000}"/>
  </bookViews>
  <sheets>
    <sheet name="1." sheetId="1" r:id="rId1"/>
    <sheet name="2." sheetId="3" r:id="rId2"/>
    <sheet name="3." sheetId="5" r:id="rId3"/>
    <sheet name="4." sheetId="6" r:id="rId4"/>
    <sheet name="5.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3" l="1"/>
  <c r="E40" i="3"/>
  <c r="E37" i="3"/>
  <c r="E38" i="3"/>
  <c r="E36" i="3"/>
  <c r="D37" i="3"/>
  <c r="D38" i="3"/>
  <c r="D36" i="3"/>
  <c r="C38" i="3"/>
  <c r="C37" i="3"/>
  <c r="C36" i="3"/>
  <c r="E33" i="3"/>
  <c r="J71" i="1"/>
  <c r="J68" i="1"/>
  <c r="J67" i="1"/>
  <c r="J66" i="1"/>
  <c r="I67" i="1"/>
  <c r="I66" i="1"/>
  <c r="B68" i="1"/>
  <c r="B67" i="1"/>
  <c r="B66" i="1"/>
  <c r="E67" i="1"/>
  <c r="E66" i="1"/>
  <c r="E58" i="1"/>
  <c r="F55" i="1"/>
  <c r="F54" i="1"/>
  <c r="F53" i="1"/>
  <c r="C55" i="1"/>
  <c r="C54" i="1"/>
  <c r="C53" i="1"/>
  <c r="F51" i="1"/>
  <c r="F50" i="1"/>
  <c r="F49" i="1"/>
  <c r="F52" i="7"/>
  <c r="F49" i="7"/>
  <c r="F47" i="7"/>
  <c r="F37" i="7"/>
  <c r="F56" i="6"/>
  <c r="H56" i="6" s="1"/>
  <c r="G56" i="6"/>
  <c r="F45" i="6"/>
  <c r="F42" i="6"/>
  <c r="F39" i="6"/>
  <c r="E39" i="6"/>
  <c r="F35" i="6"/>
  <c r="F33" i="6"/>
  <c r="F31" i="6"/>
  <c r="F30" i="6"/>
  <c r="E31" i="6"/>
  <c r="D30" i="6"/>
  <c r="C18" i="3"/>
  <c r="B16" i="1"/>
  <c r="C23" i="1" s="1"/>
  <c r="C36" i="1" s="1"/>
  <c r="D90" i="1" s="1"/>
  <c r="E41" i="7"/>
  <c r="C42" i="7"/>
  <c r="E42" i="7" s="1"/>
  <c r="C45" i="7"/>
  <c r="E45" i="7" s="1"/>
  <c r="C41" i="7"/>
  <c r="E31" i="7"/>
  <c r="C32" i="7"/>
  <c r="E32" i="7" s="1"/>
  <c r="C33" i="7"/>
  <c r="C43" i="7" s="1"/>
  <c r="E43" i="7" s="1"/>
  <c r="C34" i="7"/>
  <c r="E34" i="7" s="1"/>
  <c r="D34" i="7"/>
  <c r="F34" i="7" s="1"/>
  <c r="C35" i="7"/>
  <c r="E35" i="7" s="1"/>
  <c r="D31" i="7"/>
  <c r="F31" i="7" s="1"/>
  <c r="C31" i="7"/>
  <c r="C24" i="7"/>
  <c r="D35" i="7" s="1"/>
  <c r="E24" i="7"/>
  <c r="D45" i="7" s="1"/>
  <c r="E21" i="7"/>
  <c r="D42" i="7" s="1"/>
  <c r="F42" i="7" s="1"/>
  <c r="E22" i="7"/>
  <c r="D43" i="7" s="1"/>
  <c r="F43" i="7" s="1"/>
  <c r="E23" i="7"/>
  <c r="D44" i="7" s="1"/>
  <c r="E20" i="7"/>
  <c r="D41" i="7" s="1"/>
  <c r="F41" i="7" s="1"/>
  <c r="C21" i="7"/>
  <c r="D32" i="7" s="1"/>
  <c r="F32" i="7" s="1"/>
  <c r="C22" i="7"/>
  <c r="D33" i="7" s="1"/>
  <c r="C23" i="7"/>
  <c r="C20" i="7"/>
  <c r="F60" i="6"/>
  <c r="C40" i="6"/>
  <c r="E40" i="6" s="1"/>
  <c r="G60" i="6" s="1"/>
  <c r="C39" i="6"/>
  <c r="C31" i="6"/>
  <c r="C30" i="6"/>
  <c r="E30" i="6" s="1"/>
  <c r="E20" i="6"/>
  <c r="D40" i="6" s="1"/>
  <c r="E19" i="6"/>
  <c r="D39" i="6" s="1"/>
  <c r="C20" i="6"/>
  <c r="D31" i="6" s="1"/>
  <c r="C19" i="6"/>
  <c r="J24" i="5"/>
  <c r="J25" i="5"/>
  <c r="K25" i="5" s="1"/>
  <c r="J23" i="5"/>
  <c r="I25" i="5"/>
  <c r="I24" i="5"/>
  <c r="K24" i="5" s="1"/>
  <c r="I23" i="5"/>
  <c r="K23" i="5" s="1"/>
  <c r="C25" i="5"/>
  <c r="C24" i="5"/>
  <c r="E23" i="5"/>
  <c r="C23" i="5"/>
  <c r="C26" i="5" s="1"/>
  <c r="F90" i="1"/>
  <c r="F91" i="1"/>
  <c r="J25" i="3"/>
  <c r="J26" i="3"/>
  <c r="J24" i="3"/>
  <c r="F24" i="3"/>
  <c r="C25" i="3"/>
  <c r="C26" i="3"/>
  <c r="C24" i="3"/>
  <c r="F26" i="3"/>
  <c r="G87" i="1"/>
  <c r="C67" i="1"/>
  <c r="C68" i="1"/>
  <c r="C66" i="1"/>
  <c r="I68" i="1"/>
  <c r="D37" i="1"/>
  <c r="D38" i="1"/>
  <c r="D36" i="1"/>
  <c r="E33" i="1"/>
  <c r="K26" i="5" l="1"/>
  <c r="L23" i="5"/>
  <c r="M23" i="5" s="1"/>
  <c r="L24" i="5"/>
  <c r="M24" i="5" s="1"/>
  <c r="F33" i="7"/>
  <c r="F45" i="7"/>
  <c r="F35" i="7"/>
  <c r="L25" i="5"/>
  <c r="M25" i="5" s="1"/>
  <c r="F44" i="7"/>
  <c r="E33" i="7"/>
  <c r="D60" i="6"/>
  <c r="E60" i="6"/>
  <c r="I24" i="3"/>
  <c r="K24" i="3" s="1"/>
  <c r="D56" i="6"/>
  <c r="C44" i="7"/>
  <c r="E44" i="7" s="1"/>
  <c r="I26" i="3"/>
  <c r="K26" i="3" s="1"/>
  <c r="E56" i="6"/>
  <c r="H63" i="6" s="1"/>
  <c r="H60" i="6"/>
  <c r="F40" i="6"/>
  <c r="F25" i="3"/>
  <c r="I25" i="3" s="1"/>
  <c r="K25" i="3" s="1"/>
  <c r="C24" i="1"/>
  <c r="E68" i="1"/>
  <c r="C25" i="1" l="1"/>
  <c r="C38" i="1" s="1"/>
  <c r="D91" i="1" s="1"/>
  <c r="C37" i="1"/>
  <c r="H66" i="1"/>
  <c r="E36" i="1"/>
  <c r="M26" i="5"/>
  <c r="E25" i="5" s="1"/>
  <c r="B32" i="5" s="1"/>
  <c r="K29" i="3"/>
  <c r="H68" i="1"/>
  <c r="G91" i="1"/>
  <c r="E38" i="1" l="1"/>
  <c r="G90" i="1"/>
  <c r="G94" i="1" s="1"/>
  <c r="G96" i="1" s="1"/>
  <c r="E37" i="1"/>
  <c r="E40" i="1" s="1"/>
  <c r="E41" i="1" s="1"/>
  <c r="H67" i="1"/>
</calcChain>
</file>

<file path=xl/sharedStrings.xml><?xml version="1.0" encoding="utf-8"?>
<sst xmlns="http://schemas.openxmlformats.org/spreadsheetml/2006/main" count="323" uniqueCount="165">
  <si>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</si>
  <si>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</si>
  <si>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</t>
    </r>
  </si>
  <si>
    <t>Position</t>
  </si>
  <si>
    <t>Long</t>
  </si>
  <si>
    <t>N</t>
  </si>
  <si>
    <t>million $</t>
  </si>
  <si>
    <t>once</t>
  </si>
  <si>
    <t xml:space="preserve">payments are exchanged </t>
  </si>
  <si>
    <t>per year</t>
  </si>
  <si>
    <t xml:space="preserve">Long IRS - paying fix receiving floating rate </t>
  </si>
  <si>
    <r>
      <t xml:space="preserve"> + Libor</t>
    </r>
    <r>
      <rPr>
        <b/>
        <vertAlign val="subscript"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rgb="FFFF0000"/>
        <rFont val="Calibri"/>
        <family val="2"/>
        <charset val="238"/>
        <scheme val="minor"/>
      </rPr>
      <t>(0)*100</t>
    </r>
  </si>
  <si>
    <r>
      <t xml:space="preserve"> + Libor</t>
    </r>
    <r>
      <rPr>
        <b/>
        <vertAlign val="subscript"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rgb="FFFF0000"/>
        <rFont val="Calibri"/>
        <family val="2"/>
        <charset val="238"/>
        <scheme val="minor"/>
      </rPr>
      <t>(1)*100</t>
    </r>
  </si>
  <si>
    <r>
      <t xml:space="preserve"> + Libor</t>
    </r>
    <r>
      <rPr>
        <b/>
        <vertAlign val="subscript"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rgb="FFFF0000"/>
        <rFont val="Calibri"/>
        <family val="2"/>
        <charset val="238"/>
        <scheme val="minor"/>
      </rPr>
      <t>(2)*100</t>
    </r>
  </si>
  <si>
    <t>floating leg CF</t>
  </si>
  <si>
    <t>fix leg CF</t>
  </si>
  <si>
    <t>CF</t>
  </si>
  <si>
    <t>DF</t>
  </si>
  <si>
    <t>sum PV</t>
  </si>
  <si>
    <r>
      <t>Long IRS(3) = LB</t>
    </r>
    <r>
      <rPr>
        <vertAlign val="subscript"/>
        <sz val="11"/>
        <color theme="1"/>
        <rFont val="Calibri"/>
        <family val="2"/>
        <charset val="238"/>
        <scheme val="minor"/>
      </rPr>
      <t>Floating</t>
    </r>
    <r>
      <rPr>
        <sz val="11"/>
        <color theme="1"/>
        <rFont val="Calibri"/>
        <family val="2"/>
        <charset val="238"/>
        <scheme val="minor"/>
      </rPr>
      <t>(3) + SB</t>
    </r>
    <r>
      <rPr>
        <vertAlign val="subscript"/>
        <sz val="11"/>
        <color theme="1"/>
        <rFont val="Calibri"/>
        <family val="2"/>
        <charset val="238"/>
        <scheme val="minor"/>
      </rPr>
      <t>Fix</t>
    </r>
    <r>
      <rPr>
        <sz val="11"/>
        <color theme="1"/>
        <rFont val="Calibri"/>
        <family val="2"/>
        <charset val="238"/>
        <scheme val="minor"/>
      </rPr>
      <t>(3)</t>
    </r>
  </si>
  <si>
    <t>PV(Floating)</t>
  </si>
  <si>
    <t>PV(Fix)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</si>
  <si>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</si>
  <si>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</si>
  <si>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</t>
    </r>
  </si>
  <si>
    <r>
      <t>r'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</si>
  <si>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r>
      <t>r'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</si>
  <si>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r>
      <t>r'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</t>
    </r>
  </si>
  <si>
    <r>
      <t>DF'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</si>
  <si>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r>
      <t>DF'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</si>
  <si>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r>
      <t>DF'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</t>
    </r>
  </si>
  <si>
    <t>Long IRS CF</t>
  </si>
  <si>
    <t>Short IRS CF</t>
  </si>
  <si>
    <t>Fix leg</t>
  </si>
  <si>
    <t>Floating Leg</t>
  </si>
  <si>
    <t>Fix Leg</t>
  </si>
  <si>
    <r>
      <t xml:space="preserve"> - Libor</t>
    </r>
    <r>
      <rPr>
        <vertAlign val="subscript"/>
        <sz val="11"/>
        <rFont val="Calibri"/>
        <family val="2"/>
        <charset val="238"/>
        <scheme val="minor"/>
      </rPr>
      <t>1</t>
    </r>
    <r>
      <rPr>
        <sz val="11"/>
        <rFont val="Calibri"/>
        <family val="2"/>
        <charset val="238"/>
        <scheme val="minor"/>
      </rPr>
      <t>(0)*100</t>
    </r>
  </si>
  <si>
    <r>
      <t xml:space="preserve"> - Libor</t>
    </r>
    <r>
      <rPr>
        <vertAlign val="subscript"/>
        <sz val="11"/>
        <rFont val="Calibri"/>
        <family val="2"/>
        <charset val="238"/>
        <scheme val="minor"/>
      </rPr>
      <t>1</t>
    </r>
    <r>
      <rPr>
        <sz val="11"/>
        <rFont val="Calibri"/>
        <family val="2"/>
        <charset val="238"/>
        <scheme val="minor"/>
      </rPr>
      <t>(2)*100</t>
    </r>
  </si>
  <si>
    <t xml:space="preserve"> - Libor1(1)*100</t>
  </si>
  <si>
    <t>Sum CF</t>
  </si>
  <si>
    <t>PV CF</t>
  </si>
  <si>
    <t>Gain/Loss</t>
  </si>
  <si>
    <t>Par yield will be between 8% and 10%</t>
  </si>
  <si>
    <t>The bank can close the position on par yield - the value will be negative!</t>
  </si>
  <si>
    <r>
      <t>Long IRS(2) = LB</t>
    </r>
    <r>
      <rPr>
        <vertAlign val="subscript"/>
        <sz val="11"/>
        <color theme="1"/>
        <rFont val="Calibri"/>
        <family val="2"/>
        <charset val="238"/>
        <scheme val="minor"/>
      </rPr>
      <t>Floating</t>
    </r>
    <r>
      <rPr>
        <sz val="11"/>
        <color theme="1"/>
        <rFont val="Calibri"/>
        <family val="2"/>
        <charset val="238"/>
        <scheme val="minor"/>
      </rPr>
      <t>(2) + SB</t>
    </r>
    <r>
      <rPr>
        <vertAlign val="subscript"/>
        <sz val="11"/>
        <color theme="1"/>
        <rFont val="Calibri"/>
        <family val="2"/>
        <charset val="238"/>
        <scheme val="minor"/>
      </rPr>
      <t>Fix</t>
    </r>
    <r>
      <rPr>
        <sz val="11"/>
        <color theme="1"/>
        <rFont val="Calibri"/>
        <family val="2"/>
        <charset val="238"/>
        <scheme val="minor"/>
      </rPr>
      <t>(2)</t>
    </r>
  </si>
  <si>
    <t>r</t>
  </si>
  <si>
    <t>PV(IRS)</t>
  </si>
  <si>
    <t>par yield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</si>
  <si>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(2)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</si>
  <si>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(2)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</si>
  <si>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(2)</t>
    </r>
  </si>
  <si>
    <t>T</t>
  </si>
  <si>
    <t>year</t>
  </si>
  <si>
    <t>k(0)</t>
  </si>
  <si>
    <t>Fix rate k(0)</t>
  </si>
  <si>
    <t>Fix rate k'(0)</t>
  </si>
  <si>
    <t>Short</t>
  </si>
  <si>
    <t>We can close the position with Long IRS(3) Fix rate 12,35% Notional 100 million $</t>
  </si>
  <si>
    <t xml:space="preserve">Short IRS - paying floating receiving fix rate </t>
  </si>
  <si>
    <r>
      <t xml:space="preserve"> - Libor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(2)*100</t>
    </r>
  </si>
  <si>
    <r>
      <t xml:space="preserve"> - Libor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(2)*100</t>
    </r>
  </si>
  <si>
    <r>
      <t xml:space="preserve"> - Libor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(2)*100</t>
    </r>
  </si>
  <si>
    <r>
      <t xml:space="preserve"> + Libor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(2)*100</t>
    </r>
  </si>
  <si>
    <r>
      <t xml:space="preserve"> + Libor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(2)*100</t>
    </r>
  </si>
  <si>
    <r>
      <t xml:space="preserve"> + Libor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(2)*100</t>
    </r>
  </si>
  <si>
    <t xml:space="preserve">t </t>
  </si>
  <si>
    <t>years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</si>
  <si>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 + 1%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</si>
  <si>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 + 1%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</si>
  <si>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 + 1%</t>
    </r>
  </si>
  <si>
    <t>t'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</si>
  <si>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</si>
  <si>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</si>
  <si>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t>r(1)</t>
  </si>
  <si>
    <t>t</t>
  </si>
  <si>
    <t>Floating rate</t>
  </si>
  <si>
    <t>Libor</t>
  </si>
  <si>
    <t>T-t</t>
  </si>
  <si>
    <t>Portfolio duration</t>
  </si>
  <si>
    <t>Portfolio market value</t>
  </si>
  <si>
    <t>Paying</t>
  </si>
  <si>
    <t>Receiving</t>
  </si>
  <si>
    <t>Fix</t>
  </si>
  <si>
    <t>Floating</t>
  </si>
  <si>
    <t>Market value</t>
  </si>
  <si>
    <t>Duration</t>
  </si>
  <si>
    <t>Portfolio</t>
  </si>
  <si>
    <t>Portfolio'</t>
  </si>
  <si>
    <r>
      <t>SB</t>
    </r>
    <r>
      <rPr>
        <vertAlign val="subscript"/>
        <sz val="11"/>
        <color theme="1"/>
        <rFont val="Calibri"/>
        <family val="2"/>
        <charset val="238"/>
        <scheme val="minor"/>
      </rPr>
      <t>Fix</t>
    </r>
    <r>
      <rPr>
        <sz val="11"/>
        <color theme="1"/>
        <rFont val="Calibri"/>
        <family val="2"/>
        <charset val="238"/>
        <scheme val="minor"/>
      </rPr>
      <t>(1)</t>
    </r>
  </si>
  <si>
    <r>
      <t>LB</t>
    </r>
    <r>
      <rPr>
        <vertAlign val="subscript"/>
        <sz val="11"/>
        <color theme="1"/>
        <rFont val="Calibri"/>
        <family val="2"/>
        <charset val="238"/>
        <scheme val="minor"/>
      </rPr>
      <t>Floating</t>
    </r>
    <r>
      <rPr>
        <sz val="11"/>
        <color theme="1"/>
        <rFont val="Calibri"/>
        <family val="2"/>
        <charset val="238"/>
        <scheme val="minor"/>
      </rPr>
      <t>(3)</t>
    </r>
  </si>
  <si>
    <r>
      <t>SB</t>
    </r>
    <r>
      <rPr>
        <vertAlign val="subscript"/>
        <sz val="11"/>
        <color theme="1"/>
        <rFont val="Calibri"/>
        <family val="2"/>
        <charset val="238"/>
        <scheme val="minor"/>
      </rPr>
      <t>Fix</t>
    </r>
    <r>
      <rPr>
        <sz val="11"/>
        <color theme="1"/>
        <rFont val="Calibri"/>
        <family val="2"/>
        <charset val="238"/>
        <scheme val="minor"/>
      </rPr>
      <t>(3) - Duration</t>
    </r>
  </si>
  <si>
    <t>w</t>
  </si>
  <si>
    <t>t*w</t>
  </si>
  <si>
    <t>PV(CF)</t>
  </si>
  <si>
    <t xml:space="preserve">(2000*3,5+500*1-500*2,74)/2000 </t>
  </si>
  <si>
    <t>million £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</si>
  <si>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USD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</si>
  <si>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GBP</t>
    </r>
  </si>
  <si>
    <t>Notional GBP leg</t>
  </si>
  <si>
    <t>Notional USD leg</t>
  </si>
  <si>
    <r>
      <t>k(0)</t>
    </r>
    <r>
      <rPr>
        <vertAlign val="subscript"/>
        <sz val="11"/>
        <color theme="1"/>
        <rFont val="Calibri"/>
        <family val="2"/>
        <charset val="238"/>
        <scheme val="minor"/>
      </rPr>
      <t>GBP</t>
    </r>
  </si>
  <si>
    <r>
      <t>k(0)</t>
    </r>
    <r>
      <rPr>
        <vertAlign val="subscript"/>
        <sz val="11"/>
        <color theme="1"/>
        <rFont val="Calibri"/>
        <family val="2"/>
        <charset val="238"/>
        <scheme val="minor"/>
      </rPr>
      <t>USD</t>
    </r>
  </si>
  <si>
    <t>annual compounding</t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</si>
  <si>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GBPUSD</t>
    </r>
  </si>
  <si>
    <t>a) What is the CF of the swap to the party paying sterling?</t>
  </si>
  <si>
    <t>a) What is the fixed rate in the interest rate swap?</t>
  </si>
  <si>
    <t>b) What is the CF of the swap to the party paying fix?</t>
  </si>
  <si>
    <t>a) Is it a short or a long IRS position for a bank?</t>
  </si>
  <si>
    <t>$ leg</t>
  </si>
  <si>
    <t xml:space="preserve">CCS(1,25) - paying £ receiving $ </t>
  </si>
  <si>
    <t>CCS(1,25) CF</t>
  </si>
  <si>
    <t xml:space="preserve"> £ leg</t>
  </si>
  <si>
    <r>
      <t>CCS(1,25) = SB</t>
    </r>
    <r>
      <rPr>
        <vertAlign val="subscript"/>
        <sz val="11"/>
        <color theme="1"/>
        <rFont val="Calibri"/>
        <family val="2"/>
        <charset val="238"/>
        <scheme val="minor"/>
      </rPr>
      <t>GBP</t>
    </r>
    <r>
      <rPr>
        <sz val="11"/>
        <color theme="1"/>
        <rFont val="Calibri"/>
        <family val="2"/>
        <charset val="238"/>
        <scheme val="minor"/>
      </rPr>
      <t>(1,25) + LB</t>
    </r>
    <r>
      <rPr>
        <vertAlign val="subscript"/>
        <sz val="11"/>
        <color theme="1"/>
        <rFont val="Calibri"/>
        <family val="2"/>
        <charset val="238"/>
        <scheme val="minor"/>
      </rPr>
      <t>USD</t>
    </r>
    <r>
      <rPr>
        <sz val="11"/>
        <color theme="1"/>
        <rFont val="Calibri"/>
        <family val="2"/>
        <charset val="238"/>
        <scheme val="minor"/>
      </rPr>
      <t>(1,25)</t>
    </r>
  </si>
  <si>
    <r>
      <t>SB</t>
    </r>
    <r>
      <rPr>
        <vertAlign val="subscript"/>
        <sz val="11"/>
        <color theme="1"/>
        <rFont val="Calibri"/>
        <family val="2"/>
        <charset val="238"/>
        <scheme val="minor"/>
      </rPr>
      <t>GBP</t>
    </r>
    <r>
      <rPr>
        <sz val="11"/>
        <color theme="1"/>
        <rFont val="Calibri"/>
        <family val="2"/>
        <charset val="238"/>
        <scheme val="minor"/>
      </rPr>
      <t>(1,25)</t>
    </r>
  </si>
  <si>
    <r>
      <t>PV (SB</t>
    </r>
    <r>
      <rPr>
        <vertAlign val="subscript"/>
        <sz val="11"/>
        <color theme="1"/>
        <rFont val="Calibri"/>
        <family val="2"/>
        <charset val="238"/>
        <scheme val="minor"/>
      </rPr>
      <t>GBP</t>
    </r>
    <r>
      <rPr>
        <sz val="11"/>
        <color theme="1"/>
        <rFont val="Calibri"/>
        <family val="2"/>
        <charset val="238"/>
        <scheme val="minor"/>
      </rPr>
      <t>(1,25))</t>
    </r>
  </si>
  <si>
    <r>
      <t>LB</t>
    </r>
    <r>
      <rPr>
        <vertAlign val="subscript"/>
        <sz val="11"/>
        <color theme="1"/>
        <rFont val="Calibri"/>
        <family val="2"/>
        <charset val="238"/>
        <scheme val="minor"/>
      </rPr>
      <t>USD</t>
    </r>
    <r>
      <rPr>
        <sz val="11"/>
        <color theme="1"/>
        <rFont val="Calibri"/>
        <family val="2"/>
        <charset val="238"/>
        <scheme val="minor"/>
      </rPr>
      <t>(1,25)</t>
    </r>
  </si>
  <si>
    <t>b) How can the party paying sterling replicate the CCS with bonds?</t>
  </si>
  <si>
    <t xml:space="preserve">c) What is the current value of the bonds to the party paying sterling? What is the value of the swap to the party paying sterling? </t>
  </si>
  <si>
    <r>
      <t>PV (SB</t>
    </r>
    <r>
      <rPr>
        <b/>
        <vertAlign val="subscript"/>
        <sz val="11"/>
        <color rgb="FFFF0000"/>
        <rFont val="Calibri"/>
        <family val="2"/>
        <charset val="238"/>
        <scheme val="minor"/>
      </rPr>
      <t>GBP</t>
    </r>
    <r>
      <rPr>
        <b/>
        <sz val="11"/>
        <color rgb="FFFF0000"/>
        <rFont val="Calibri"/>
        <family val="2"/>
        <charset val="238"/>
        <scheme val="minor"/>
      </rPr>
      <t>(1,25))</t>
    </r>
  </si>
  <si>
    <r>
      <t>PV (LB</t>
    </r>
    <r>
      <rPr>
        <b/>
        <vertAlign val="subscript"/>
        <sz val="11"/>
        <color rgb="FFFF0000"/>
        <rFont val="Calibri"/>
        <family val="2"/>
        <charset val="238"/>
        <scheme val="minor"/>
      </rPr>
      <t>USD</t>
    </r>
    <r>
      <rPr>
        <b/>
        <sz val="11"/>
        <color rgb="FFFF0000"/>
        <rFont val="Calibri"/>
        <family val="2"/>
        <charset val="238"/>
        <scheme val="minor"/>
      </rPr>
      <t>(1,25))</t>
    </r>
  </si>
  <si>
    <t>d) How can the party paying sterling replicate the CCS with forward contracts?</t>
  </si>
  <si>
    <r>
      <t>CCS(1,25) = LF</t>
    </r>
    <r>
      <rPr>
        <b/>
        <vertAlign val="subscript"/>
        <sz val="11"/>
        <color rgb="FFFF0000"/>
        <rFont val="Calibri"/>
        <family val="2"/>
        <charset val="238"/>
        <scheme val="minor"/>
      </rPr>
      <t>GBPUSD</t>
    </r>
    <r>
      <rPr>
        <b/>
        <sz val="11"/>
        <color rgb="FFFF0000"/>
        <rFont val="Calibri"/>
        <family val="2"/>
        <charset val="238"/>
        <scheme val="minor"/>
      </rPr>
      <t>(0,25) + LF</t>
    </r>
    <r>
      <rPr>
        <b/>
        <vertAlign val="subscript"/>
        <sz val="11"/>
        <color rgb="FFFF0000"/>
        <rFont val="Calibri"/>
        <family val="2"/>
        <charset val="238"/>
        <scheme val="minor"/>
      </rPr>
      <t>GBPUSD</t>
    </r>
    <r>
      <rPr>
        <b/>
        <sz val="11"/>
        <color rgb="FFFF0000"/>
        <rFont val="Calibri"/>
        <family val="2"/>
        <charset val="238"/>
        <scheme val="minor"/>
      </rPr>
      <t>(1,25)</t>
    </r>
  </si>
  <si>
    <t xml:space="preserve">e) What is the current value of the forwards to the party paying sterling? What is the value of the forwards to the party paying sterling? </t>
  </si>
  <si>
    <r>
      <t>LF</t>
    </r>
    <r>
      <rPr>
        <vertAlign val="subscript"/>
        <sz val="11"/>
        <color theme="1"/>
        <rFont val="Calibri"/>
        <family val="2"/>
        <charset val="238"/>
        <scheme val="minor"/>
      </rPr>
      <t>GBPUSD</t>
    </r>
    <r>
      <rPr>
        <sz val="11"/>
        <color theme="1"/>
        <rFont val="Calibri"/>
        <family val="2"/>
        <charset val="238"/>
        <scheme val="minor"/>
      </rPr>
      <t xml:space="preserve">(0,25) </t>
    </r>
  </si>
  <si>
    <t xml:space="preserve">CF  £ </t>
  </si>
  <si>
    <t>CF  $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</si>
  <si>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GBPUSD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</si>
  <si>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USD</t>
    </r>
  </si>
  <si>
    <r>
      <t>PV(LF</t>
    </r>
    <r>
      <rPr>
        <b/>
        <vertAlign val="subscript"/>
        <sz val="11"/>
        <color rgb="FFFF0000"/>
        <rFont val="Calibri"/>
        <family val="2"/>
        <charset val="238"/>
        <scheme val="minor"/>
      </rPr>
      <t>GBPUSD</t>
    </r>
    <r>
      <rPr>
        <b/>
        <sz val="11"/>
        <color rgb="FFFF0000"/>
        <rFont val="Calibri"/>
        <family val="2"/>
        <charset val="238"/>
        <scheme val="minor"/>
      </rPr>
      <t>(0,25))</t>
    </r>
  </si>
  <si>
    <r>
      <t>LF</t>
    </r>
    <r>
      <rPr>
        <vertAlign val="subscript"/>
        <sz val="11"/>
        <color theme="1"/>
        <rFont val="Calibri"/>
        <family val="2"/>
        <charset val="238"/>
        <scheme val="minor"/>
      </rPr>
      <t>GBPUSD</t>
    </r>
    <r>
      <rPr>
        <sz val="11"/>
        <color theme="1"/>
        <rFont val="Calibri"/>
        <family val="2"/>
        <charset val="238"/>
        <scheme val="minor"/>
      </rPr>
      <t xml:space="preserve">(1,25) </t>
    </r>
  </si>
  <si>
    <r>
      <t>k(0)</t>
    </r>
    <r>
      <rPr>
        <vertAlign val="subscript"/>
        <sz val="11"/>
        <color theme="1"/>
        <rFont val="Calibri"/>
        <family val="2"/>
        <charset val="238"/>
        <scheme val="minor"/>
      </rPr>
      <t>CHF</t>
    </r>
  </si>
  <si>
    <t>Notional CHF leg</t>
  </si>
  <si>
    <t>million francs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</si>
  <si>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CHF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</si>
  <si>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USDCHF</t>
    </r>
  </si>
  <si>
    <t>a) What is the CF of the swap to the financial institution?</t>
  </si>
  <si>
    <t xml:space="preserve">CCS(4) - paying $ receiving francs </t>
  </si>
  <si>
    <t>francs leg</t>
  </si>
  <si>
    <t xml:space="preserve">b) What is the cost to the financial institution? </t>
  </si>
  <si>
    <r>
      <t>CCS(4) = SB</t>
    </r>
    <r>
      <rPr>
        <vertAlign val="subscript"/>
        <sz val="11"/>
        <color theme="1"/>
        <rFont val="Calibri"/>
        <family val="2"/>
        <charset val="238"/>
        <scheme val="minor"/>
      </rPr>
      <t>USD</t>
    </r>
    <r>
      <rPr>
        <sz val="11"/>
        <color theme="1"/>
        <rFont val="Calibri"/>
        <family val="2"/>
        <charset val="238"/>
        <scheme val="minor"/>
      </rPr>
      <t>(4) + LB</t>
    </r>
    <r>
      <rPr>
        <vertAlign val="subscript"/>
        <sz val="11"/>
        <color theme="1"/>
        <rFont val="Calibri"/>
        <family val="2"/>
        <charset val="238"/>
        <scheme val="minor"/>
      </rPr>
      <t>CHF</t>
    </r>
    <r>
      <rPr>
        <sz val="11"/>
        <color theme="1"/>
        <rFont val="Calibri"/>
        <family val="2"/>
        <charset val="238"/>
        <scheme val="minor"/>
      </rPr>
      <t>(4)</t>
    </r>
  </si>
  <si>
    <r>
      <t>SB</t>
    </r>
    <r>
      <rPr>
        <vertAlign val="subscript"/>
        <sz val="11"/>
        <color theme="1"/>
        <rFont val="Calibri"/>
        <family val="2"/>
        <charset val="238"/>
        <scheme val="minor"/>
      </rPr>
      <t>USD</t>
    </r>
    <r>
      <rPr>
        <sz val="11"/>
        <color theme="1"/>
        <rFont val="Calibri"/>
        <family val="2"/>
        <charset val="238"/>
        <scheme val="minor"/>
      </rPr>
      <t>(4)</t>
    </r>
  </si>
  <si>
    <r>
      <t>PV(SB</t>
    </r>
    <r>
      <rPr>
        <vertAlign val="subscript"/>
        <sz val="11"/>
        <color theme="1"/>
        <rFont val="Calibri"/>
        <family val="2"/>
        <charset val="238"/>
        <scheme val="minor"/>
      </rPr>
      <t>USD</t>
    </r>
    <r>
      <rPr>
        <sz val="11"/>
        <color theme="1"/>
        <rFont val="Calibri"/>
        <family val="2"/>
        <charset val="238"/>
        <scheme val="minor"/>
      </rPr>
      <t>(4))</t>
    </r>
  </si>
  <si>
    <r>
      <t>LB</t>
    </r>
    <r>
      <rPr>
        <vertAlign val="subscript"/>
        <sz val="11"/>
        <color theme="1"/>
        <rFont val="Calibri"/>
        <family val="2"/>
        <charset val="238"/>
        <scheme val="minor"/>
      </rPr>
      <t>CHF</t>
    </r>
    <r>
      <rPr>
        <sz val="11"/>
        <color theme="1"/>
        <rFont val="Calibri"/>
        <family val="2"/>
        <charset val="238"/>
        <scheme val="minor"/>
      </rPr>
      <t>(4)</t>
    </r>
  </si>
  <si>
    <r>
      <t>PV(LB</t>
    </r>
    <r>
      <rPr>
        <vertAlign val="subscript"/>
        <sz val="11"/>
        <color theme="1"/>
        <rFont val="Calibri"/>
        <family val="2"/>
        <charset val="238"/>
        <scheme val="minor"/>
      </rPr>
      <t>CHF</t>
    </r>
    <r>
      <rPr>
        <sz val="11"/>
        <color theme="1"/>
        <rFont val="Calibri"/>
        <family val="2"/>
        <charset val="238"/>
        <scheme val="minor"/>
      </rPr>
      <t>(4))</t>
    </r>
  </si>
  <si>
    <t xml:space="preserve">The fix rate is equal to the par yield - can be calculated from the yield curve </t>
  </si>
  <si>
    <t>When the floating bond is issued, and after every coupon payment, the market value is equal to the face value</t>
  </si>
  <si>
    <t>PV(long Floating)</t>
  </si>
  <si>
    <t>PV(short Fix)</t>
  </si>
  <si>
    <t>Short IRS(3) at Fix rate 13,49% with Notional of 100 million $</t>
  </si>
  <si>
    <t>Valuate the contract with bond replication!</t>
  </si>
  <si>
    <t>b) What will be the duration of the bank’s portfolio now, if the yield curve is flat?</t>
  </si>
  <si>
    <t>The principal amounts are also exchanged at the end of
 the life of the swap.</t>
  </si>
  <si>
    <t>This is the loss due to counterparty default, because the defaulted party will not pay out our positive position.</t>
  </si>
  <si>
    <t>On the other hand, if our position was negative, we would have to pay out to the defaulting party, so we do not gain anything from the default.</t>
  </si>
  <si>
    <t>c) How can you replicate the IRS with bonds if you are in a long position?</t>
  </si>
  <si>
    <t>d) What is the current value of the bonds to the party paying fix? What is the current total value of the bonds?</t>
  </si>
  <si>
    <t>e) During the day the whole yield curve increases by 1%. How could the bank close out the interest rate contract at the end of the day?</t>
  </si>
  <si>
    <t>f) How much profit/loss does the financial institution make during the day on this position?</t>
  </si>
  <si>
    <t>g) Half year later the yield curve is upward sloping, the minimum rate is 8% the maximum is 10%. i) Will the IRS(k=12,5%) position’s market value be positive or negative to the party paying fix?</t>
  </si>
  <si>
    <t xml:space="preserve">h) At the end of the first year after the first exchange the yield curve is flat at 8% (annual compounding). What will be the current value of the IRS to the party paying fix? </t>
  </si>
  <si>
    <t>a)</t>
  </si>
  <si>
    <t>b)</t>
  </si>
  <si>
    <t>Bond pricing method</t>
  </si>
  <si>
    <t>PV(short Floating)</t>
  </si>
  <si>
    <t>PV(long Fix)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</si>
</sst>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%"/>
    <numFmt numFmtId="166" formatCode="0.000"/>
  </numFmts>
  <fonts count="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7030A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vertAlign val="subscript"/>
      <sz val="11"/>
      <color rgb="FFFF0000"/>
      <name val="Calibri"/>
      <family val="2"/>
      <charset val="238"/>
      <scheme val="minor"/>
    </font>
    <font>
      <vertAlign val="subscript"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9" fontId="0" fillId="0" borderId="0" xfId="0" applyNumberFormat="1" applyAlignment="1">
      <alignment horizontal="center"/>
    </xf>
    <xf numFmtId="0" fontId="6" fillId="0" borderId="0" xfId="0" applyFont="1"/>
    <xf numFmtId="165" fontId="4" fillId="3" borderId="0" xfId="1" applyNumberFormat="1" applyFont="1" applyFill="1" applyAlignment="1">
      <alignment horizontal="center"/>
    </xf>
    <xf numFmtId="0" fontId="0" fillId="2" borderId="0" xfId="0" applyFill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0" fillId="3" borderId="0" xfId="0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10" fontId="0" fillId="0" borderId="0" xfId="1" applyNumberFormat="1" applyFont="1"/>
    <xf numFmtId="2" fontId="0" fillId="0" borderId="0" xfId="0" applyNumberFormat="1"/>
    <xf numFmtId="1" fontId="4" fillId="3" borderId="0" xfId="0" applyNumberFormat="1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10" fontId="6" fillId="0" borderId="0" xfId="1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2" fontId="4" fillId="0" borderId="0" xfId="0" applyNumberFormat="1" applyFont="1" applyAlignment="1">
      <alignment horizontal="center"/>
    </xf>
    <xf numFmtId="166" fontId="4" fillId="3" borderId="0" xfId="0" applyNumberFormat="1" applyFont="1" applyFill="1" applyAlignment="1">
      <alignment horizontal="center"/>
    </xf>
    <xf numFmtId="2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2" borderId="0" xfId="0" applyNumberFormat="1" applyFill="1" applyAlignment="1">
      <alignment horizontal="center"/>
    </xf>
    <xf numFmtId="2" fontId="6" fillId="0" borderId="0" xfId="0" applyNumberFormat="1" applyFont="1" applyAlignment="1">
      <alignment horizontal="center"/>
    </xf>
    <xf numFmtId="9" fontId="0" fillId="2" borderId="0" xfId="0" applyNumberFormat="1" applyFill="1"/>
    <xf numFmtId="2" fontId="4" fillId="0" borderId="0" xfId="0" applyNumberFormat="1" applyFont="1"/>
    <xf numFmtId="2" fontId="4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4">
    <cellStyle name="Normal" xfId="0" builtinId="0"/>
    <cellStyle name="Normál 2" xfId="2" xr:uid="{00000000-0005-0000-0000-000001000000}"/>
    <cellStyle name="Percent" xfId="1" builtinId="5"/>
    <cellStyle name="Százalék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111"/>
  <sheetViews>
    <sheetView topLeftCell="A18" workbookViewId="0">
      <selection activeCell="A33" sqref="A33:I41"/>
    </sheetView>
  </sheetViews>
  <sheetFormatPr defaultRowHeight="15" x14ac:dyDescent="0.25"/>
  <cols>
    <col min="2" max="2" width="11.5703125" customWidth="1"/>
    <col min="5" max="5" width="9.85546875" bestFit="1" customWidth="1"/>
    <col min="7" max="7" width="9.85546875" customWidth="1"/>
  </cols>
  <sheetData>
    <row r="3" spans="1:5" ht="18" x14ac:dyDescent="0.35">
      <c r="A3" t="s">
        <v>0</v>
      </c>
      <c r="B3" s="1">
        <v>0.9</v>
      </c>
    </row>
    <row r="4" spans="1:5" ht="18" x14ac:dyDescent="0.35">
      <c r="A4" t="s">
        <v>1</v>
      </c>
      <c r="B4" s="1">
        <v>0.8</v>
      </c>
    </row>
    <row r="5" spans="1:5" ht="18" x14ac:dyDescent="0.35">
      <c r="A5" t="s">
        <v>2</v>
      </c>
      <c r="B5" s="1">
        <v>0.7</v>
      </c>
    </row>
    <row r="6" spans="1:5" x14ac:dyDescent="0.25">
      <c r="A6" t="s">
        <v>3</v>
      </c>
      <c r="B6" s="1" t="s">
        <v>4</v>
      </c>
    </row>
    <row r="7" spans="1:5" x14ac:dyDescent="0.25">
      <c r="A7" t="s">
        <v>5</v>
      </c>
      <c r="B7" s="1">
        <v>100</v>
      </c>
      <c r="C7" t="s">
        <v>6</v>
      </c>
    </row>
    <row r="8" spans="1:5" x14ac:dyDescent="0.25">
      <c r="A8" t="s">
        <v>8</v>
      </c>
      <c r="B8" s="1" t="s">
        <v>7</v>
      </c>
      <c r="C8" t="s">
        <v>9</v>
      </c>
    </row>
    <row r="9" spans="1:5" x14ac:dyDescent="0.25">
      <c r="A9" t="s">
        <v>75</v>
      </c>
      <c r="B9" s="1" t="s">
        <v>76</v>
      </c>
    </row>
    <row r="10" spans="1:5" x14ac:dyDescent="0.25">
      <c r="A10" s="4" t="s">
        <v>51</v>
      </c>
      <c r="B10" s="1">
        <v>3</v>
      </c>
      <c r="C10" t="s">
        <v>66</v>
      </c>
    </row>
    <row r="11" spans="1:5" x14ac:dyDescent="0.25">
      <c r="A11" s="4" t="s">
        <v>65</v>
      </c>
      <c r="B11" s="1">
        <v>0</v>
      </c>
      <c r="C11" t="s">
        <v>52</v>
      </c>
    </row>
    <row r="12" spans="1:5" x14ac:dyDescent="0.25">
      <c r="A12" s="4"/>
      <c r="B12" s="4"/>
    </row>
    <row r="13" spans="1:5" x14ac:dyDescent="0.25">
      <c r="A13" s="12" t="s">
        <v>105</v>
      </c>
      <c r="B13" s="12"/>
      <c r="C13" s="12"/>
      <c r="D13" s="12"/>
      <c r="E13" s="12"/>
    </row>
    <row r="15" spans="1:5" x14ac:dyDescent="0.25">
      <c r="B15" s="2" t="s">
        <v>54</v>
      </c>
    </row>
    <row r="16" spans="1:5" x14ac:dyDescent="0.25">
      <c r="B16" s="11">
        <f>(1-B5)/(B3+B4+B5)</f>
        <v>0.125</v>
      </c>
      <c r="D16" s="15" t="s">
        <v>144</v>
      </c>
    </row>
    <row r="18" spans="1:10" x14ac:dyDescent="0.25">
      <c r="A18" s="12" t="s">
        <v>106</v>
      </c>
      <c r="B18" s="12"/>
      <c r="C18" s="12"/>
      <c r="D18" s="12"/>
      <c r="E18" s="12"/>
    </row>
    <row r="20" spans="1:10" x14ac:dyDescent="0.25">
      <c r="B20" t="s">
        <v>10</v>
      </c>
    </row>
    <row r="22" spans="1:10" x14ac:dyDescent="0.25">
      <c r="B22" s="2"/>
      <c r="C22" s="14" t="s">
        <v>15</v>
      </c>
      <c r="D22" s="14" t="s">
        <v>14</v>
      </c>
    </row>
    <row r="23" spans="1:10" ht="18" x14ac:dyDescent="0.35">
      <c r="B23" s="17">
        <v>1</v>
      </c>
      <c r="C23" s="17">
        <f>-B16*B7</f>
        <v>-12.5</v>
      </c>
      <c r="D23" s="18" t="s">
        <v>11</v>
      </c>
      <c r="E23" s="18"/>
      <c r="F23" s="18" t="s">
        <v>6</v>
      </c>
    </row>
    <row r="24" spans="1:10" ht="18" x14ac:dyDescent="0.35">
      <c r="B24" s="17">
        <v>2</v>
      </c>
      <c r="C24" s="17">
        <f>C23</f>
        <v>-12.5</v>
      </c>
      <c r="D24" s="18" t="s">
        <v>12</v>
      </c>
      <c r="E24" s="18"/>
      <c r="F24" s="18" t="s">
        <v>6</v>
      </c>
    </row>
    <row r="25" spans="1:10" ht="18" x14ac:dyDescent="0.35">
      <c r="B25" s="17">
        <v>3</v>
      </c>
      <c r="C25" s="17">
        <f>C24</f>
        <v>-12.5</v>
      </c>
      <c r="D25" s="18" t="s">
        <v>13</v>
      </c>
      <c r="E25" s="18"/>
      <c r="F25" s="18" t="s">
        <v>6</v>
      </c>
    </row>
    <row r="27" spans="1:10" x14ac:dyDescent="0.25">
      <c r="A27" s="12" t="s">
        <v>154</v>
      </c>
      <c r="B27" s="12"/>
      <c r="C27" s="12"/>
      <c r="D27" s="12"/>
      <c r="E27" s="12"/>
      <c r="F27" s="12"/>
      <c r="G27" s="12"/>
    </row>
    <row r="29" spans="1:10" ht="18" x14ac:dyDescent="0.35">
      <c r="B29" t="s">
        <v>19</v>
      </c>
    </row>
    <row r="31" spans="1:10" x14ac:dyDescent="0.25">
      <c r="A31" s="12" t="s">
        <v>155</v>
      </c>
      <c r="B31" s="12"/>
      <c r="C31" s="12"/>
      <c r="D31" s="12"/>
      <c r="E31" s="12"/>
      <c r="F31" s="12"/>
      <c r="G31" s="12"/>
      <c r="H31" s="12"/>
      <c r="I31" s="12"/>
      <c r="J31" s="12"/>
    </row>
    <row r="33" spans="1:13" x14ac:dyDescent="0.25">
      <c r="C33" s="6" t="s">
        <v>146</v>
      </c>
      <c r="E33" s="21">
        <f>B7</f>
        <v>100</v>
      </c>
      <c r="F33" t="s">
        <v>6</v>
      </c>
      <c r="G33" s="15" t="s">
        <v>145</v>
      </c>
    </row>
    <row r="35" spans="1:13" x14ac:dyDescent="0.25">
      <c r="B35" s="4"/>
      <c r="C35" t="s">
        <v>16</v>
      </c>
      <c r="D35" t="s">
        <v>17</v>
      </c>
    </row>
    <row r="36" spans="1:13" x14ac:dyDescent="0.25">
      <c r="B36" s="4">
        <v>1</v>
      </c>
      <c r="C36">
        <f>C23</f>
        <v>-12.5</v>
      </c>
      <c r="D36">
        <f>B3</f>
        <v>0.9</v>
      </c>
      <c r="E36">
        <f>C36*D36</f>
        <v>-11.25</v>
      </c>
    </row>
    <row r="37" spans="1:13" x14ac:dyDescent="0.25">
      <c r="B37" s="4">
        <v>2</v>
      </c>
      <c r="C37">
        <f>C24</f>
        <v>-12.5</v>
      </c>
      <c r="D37">
        <f>B4</f>
        <v>0.8</v>
      </c>
      <c r="E37">
        <f t="shared" ref="E37:E38" si="0">C37*D37</f>
        <v>-10</v>
      </c>
    </row>
    <row r="38" spans="1:13" x14ac:dyDescent="0.25">
      <c r="B38" s="4">
        <v>3</v>
      </c>
      <c r="C38">
        <f>C25-B7</f>
        <v>-112.5</v>
      </c>
      <c r="D38">
        <f>B5</f>
        <v>0.7</v>
      </c>
      <c r="E38">
        <f t="shared" si="0"/>
        <v>-78.75</v>
      </c>
    </row>
    <row r="40" spans="1:13" x14ac:dyDescent="0.25">
      <c r="C40" s="6" t="s">
        <v>147</v>
      </c>
      <c r="E40" s="21">
        <f>SUM(E36:E38)</f>
        <v>-100</v>
      </c>
      <c r="F40" t="s">
        <v>6</v>
      </c>
    </row>
    <row r="41" spans="1:13" x14ac:dyDescent="0.25">
      <c r="C41" s="2" t="s">
        <v>18</v>
      </c>
      <c r="E41" s="21">
        <f>E33+E40</f>
        <v>0</v>
      </c>
    </row>
    <row r="43" spans="1:13" x14ac:dyDescent="0.25">
      <c r="A43" s="12" t="s">
        <v>156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 x14ac:dyDescent="0.25">
      <c r="B44" s="4" t="s">
        <v>70</v>
      </c>
      <c r="C44" s="1">
        <v>0</v>
      </c>
    </row>
    <row r="45" spans="1:13" ht="18" x14ac:dyDescent="0.35">
      <c r="B45" s="4" t="s">
        <v>25</v>
      </c>
      <c r="C45" s="12" t="s">
        <v>67</v>
      </c>
    </row>
    <row r="46" spans="1:13" ht="18" x14ac:dyDescent="0.35">
      <c r="B46" s="4" t="s">
        <v>26</v>
      </c>
      <c r="C46" s="12" t="s">
        <v>68</v>
      </c>
    </row>
    <row r="47" spans="1:13" ht="18" x14ac:dyDescent="0.35">
      <c r="B47" s="4" t="s">
        <v>27</v>
      </c>
      <c r="C47" s="12" t="s">
        <v>69</v>
      </c>
    </row>
    <row r="49" spans="1:10" ht="18" x14ac:dyDescent="0.35">
      <c r="B49" t="s">
        <v>0</v>
      </c>
      <c r="C49" s="4">
        <v>0.9</v>
      </c>
      <c r="E49" t="s">
        <v>22</v>
      </c>
      <c r="F49" s="22">
        <f>1/C49-1</f>
        <v>0.11111111111111116</v>
      </c>
    </row>
    <row r="50" spans="1:10" ht="18" x14ac:dyDescent="0.35">
      <c r="B50" t="s">
        <v>1</v>
      </c>
      <c r="C50" s="4">
        <v>0.8</v>
      </c>
      <c r="E50" t="s">
        <v>23</v>
      </c>
      <c r="F50" s="22">
        <f>(1/C50)^(1/2)-1</f>
        <v>0.1180339887498949</v>
      </c>
    </row>
    <row r="51" spans="1:10" ht="18" x14ac:dyDescent="0.35">
      <c r="B51" t="s">
        <v>2</v>
      </c>
      <c r="C51" s="4">
        <v>0.7</v>
      </c>
      <c r="E51" t="s">
        <v>24</v>
      </c>
      <c r="F51" s="22">
        <f>(1/C51)^(1/3)-1</f>
        <v>0.12624788044360602</v>
      </c>
    </row>
    <row r="53" spans="1:10" ht="18" x14ac:dyDescent="0.35">
      <c r="B53" t="s">
        <v>25</v>
      </c>
      <c r="C53" s="22">
        <f>F49+1%</f>
        <v>0.12111111111111116</v>
      </c>
      <c r="E53" t="s">
        <v>28</v>
      </c>
      <c r="F53" s="7">
        <f>1/(1+C53)^1</f>
        <v>0.89197224975222988</v>
      </c>
    </row>
    <row r="54" spans="1:10" ht="18" x14ac:dyDescent="0.35">
      <c r="B54" t="s">
        <v>26</v>
      </c>
      <c r="C54" s="22">
        <f>F50+1%</f>
        <v>0.12803398874989491</v>
      </c>
      <c r="E54" t="s">
        <v>29</v>
      </c>
      <c r="F54" s="7">
        <f>1/(1+C54)^2</f>
        <v>0.78587890053846243</v>
      </c>
    </row>
    <row r="55" spans="1:10" ht="18" x14ac:dyDescent="0.35">
      <c r="B55" t="s">
        <v>27</v>
      </c>
      <c r="C55" s="22">
        <f>F51+1%</f>
        <v>0.13624788044360603</v>
      </c>
      <c r="E55" t="s">
        <v>30</v>
      </c>
      <c r="F55" s="7">
        <f>1/(1+C55)^3</f>
        <v>0.68168029729945945</v>
      </c>
    </row>
    <row r="57" spans="1:10" x14ac:dyDescent="0.25">
      <c r="E57" s="13" t="s">
        <v>55</v>
      </c>
    </row>
    <row r="58" spans="1:10" x14ac:dyDescent="0.25">
      <c r="E58" s="23">
        <f>(1-F55)/(F53+F54+F55)</f>
        <v>0.13490801448128542</v>
      </c>
    </row>
    <row r="60" spans="1:10" x14ac:dyDescent="0.25">
      <c r="B60" s="18" t="s">
        <v>148</v>
      </c>
      <c r="C60" s="16"/>
      <c r="D60" s="16"/>
      <c r="E60" s="16"/>
      <c r="F60" s="16"/>
    </row>
    <row r="62" spans="1:10" x14ac:dyDescent="0.25">
      <c r="A62" s="12" t="s">
        <v>157</v>
      </c>
      <c r="B62" s="12"/>
      <c r="C62" s="12"/>
      <c r="D62" s="12"/>
      <c r="E62" s="12"/>
      <c r="F62" s="12"/>
      <c r="G62" s="12"/>
      <c r="H62" s="12"/>
      <c r="I62" s="12"/>
    </row>
    <row r="64" spans="1:10" x14ac:dyDescent="0.25">
      <c r="B64" s="39" t="s">
        <v>31</v>
      </c>
      <c r="C64" s="39"/>
      <c r="E64" s="39" t="s">
        <v>32</v>
      </c>
      <c r="F64" s="39"/>
      <c r="H64" t="s">
        <v>39</v>
      </c>
      <c r="I64" s="4" t="s">
        <v>17</v>
      </c>
      <c r="J64" t="s">
        <v>40</v>
      </c>
    </row>
    <row r="65" spans="1:18" x14ac:dyDescent="0.25">
      <c r="A65" s="4"/>
      <c r="B65" t="s">
        <v>33</v>
      </c>
      <c r="C65" t="s">
        <v>34</v>
      </c>
      <c r="E65" t="s">
        <v>35</v>
      </c>
      <c r="F65" t="s">
        <v>34</v>
      </c>
    </row>
    <row r="66" spans="1:18" ht="18" x14ac:dyDescent="0.35">
      <c r="A66" s="4">
        <v>1</v>
      </c>
      <c r="B66">
        <f>-B7*B16</f>
        <v>-12.5</v>
      </c>
      <c r="C66" t="str">
        <f>D23</f>
        <v xml:space="preserve"> + Libor1(0)*100</v>
      </c>
      <c r="E66" s="20">
        <f>+E58*B7</f>
        <v>13.490801448128542</v>
      </c>
      <c r="F66" s="10" t="s">
        <v>36</v>
      </c>
      <c r="H66" s="20">
        <f>B66+E66</f>
        <v>0.99080144812854165</v>
      </c>
      <c r="I66" s="8">
        <f>F53</f>
        <v>0.89197224975222988</v>
      </c>
      <c r="J66" s="20">
        <f>H66*I66</f>
        <v>0.88376739674498261</v>
      </c>
    </row>
    <row r="67" spans="1:18" x14ac:dyDescent="0.25">
      <c r="A67" s="4">
        <v>2</v>
      </c>
      <c r="B67">
        <f>B66</f>
        <v>-12.5</v>
      </c>
      <c r="C67" t="str">
        <f>D24</f>
        <v xml:space="preserve"> + Libor1(1)*100</v>
      </c>
      <c r="E67" s="20">
        <f>E66</f>
        <v>13.490801448128542</v>
      </c>
      <c r="F67" s="10" t="s">
        <v>38</v>
      </c>
      <c r="H67" s="20">
        <f t="shared" ref="H67:H68" si="1">B67+E67</f>
        <v>0.99080144812854165</v>
      </c>
      <c r="I67" s="8">
        <f>F54</f>
        <v>0.78587890053846243</v>
      </c>
      <c r="J67" s="20">
        <f>H67*I67</f>
        <v>0.77864995270717474</v>
      </c>
    </row>
    <row r="68" spans="1:18" ht="18" x14ac:dyDescent="0.35">
      <c r="A68" s="4">
        <v>3</v>
      </c>
      <c r="B68">
        <f>B67</f>
        <v>-12.5</v>
      </c>
      <c r="C68" t="str">
        <f>D25</f>
        <v xml:space="preserve"> + Libor1(2)*100</v>
      </c>
      <c r="E68" s="20">
        <f>E67</f>
        <v>13.490801448128542</v>
      </c>
      <c r="F68" s="10" t="s">
        <v>37</v>
      </c>
      <c r="H68" s="20">
        <f t="shared" si="1"/>
        <v>0.99080144812854165</v>
      </c>
      <c r="I68" s="8">
        <f t="shared" ref="I67:I68" si="2">F55</f>
        <v>0.68168029729945945</v>
      </c>
      <c r="J68" s="20">
        <f>H68*I68</f>
        <v>0.67540982572499919</v>
      </c>
    </row>
    <row r="70" spans="1:18" x14ac:dyDescent="0.25">
      <c r="J70" s="6" t="s">
        <v>41</v>
      </c>
    </row>
    <row r="71" spans="1:18" x14ac:dyDescent="0.25">
      <c r="J71" s="24">
        <f>SUM(J66:J68)</f>
        <v>2.3378271751771567</v>
      </c>
      <c r="K71" t="s">
        <v>6</v>
      </c>
    </row>
    <row r="72" spans="1:18" x14ac:dyDescent="0.25">
      <c r="A72" s="12" t="s">
        <v>158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18" x14ac:dyDescent="0.25">
      <c r="B73" s="4" t="s">
        <v>65</v>
      </c>
      <c r="C73" s="1">
        <v>0.5</v>
      </c>
    </row>
    <row r="74" spans="1:18" ht="18" x14ac:dyDescent="0.35">
      <c r="B74" s="4" t="s">
        <v>71</v>
      </c>
      <c r="C74" s="3">
        <v>0.08</v>
      </c>
    </row>
    <row r="75" spans="1:18" ht="18" x14ac:dyDescent="0.35">
      <c r="B75" s="4" t="s">
        <v>72</v>
      </c>
      <c r="C75" s="3">
        <v>0.1</v>
      </c>
    </row>
    <row r="76" spans="1:18" x14ac:dyDescent="0.25">
      <c r="C76" s="4"/>
    </row>
    <row r="77" spans="1:18" x14ac:dyDescent="0.25">
      <c r="B77" t="s">
        <v>42</v>
      </c>
    </row>
    <row r="78" spans="1:18" x14ac:dyDescent="0.25">
      <c r="B78" t="s">
        <v>43</v>
      </c>
    </row>
    <row r="80" spans="1:18" x14ac:dyDescent="0.25">
      <c r="A80" s="12" t="s">
        <v>159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1:16" x14ac:dyDescent="0.25">
      <c r="A81" s="12"/>
      <c r="B81" s="12" t="s">
        <v>149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1:16" x14ac:dyDescent="0.25">
      <c r="B82" s="4" t="s">
        <v>65</v>
      </c>
      <c r="C82" s="1">
        <v>1</v>
      </c>
    </row>
    <row r="83" spans="1:16" x14ac:dyDescent="0.25">
      <c r="B83" s="4" t="s">
        <v>73</v>
      </c>
      <c r="C83" s="3">
        <v>0.08</v>
      </c>
    </row>
    <row r="85" spans="1:16" ht="18" x14ac:dyDescent="0.35">
      <c r="B85" t="s">
        <v>44</v>
      </c>
    </row>
    <row r="87" spans="1:16" x14ac:dyDescent="0.25">
      <c r="D87" s="10" t="s">
        <v>20</v>
      </c>
      <c r="E87" s="10"/>
      <c r="F87" s="10"/>
      <c r="G87" s="25">
        <f>B7</f>
        <v>100</v>
      </c>
      <c r="H87" t="s">
        <v>6</v>
      </c>
    </row>
    <row r="89" spans="1:16" x14ac:dyDescent="0.25">
      <c r="C89" s="4"/>
      <c r="D89" t="s">
        <v>16</v>
      </c>
      <c r="E89" s="4" t="s">
        <v>45</v>
      </c>
      <c r="F89" t="s">
        <v>17</v>
      </c>
      <c r="G89" s="4" t="s">
        <v>93</v>
      </c>
    </row>
    <row r="90" spans="1:16" x14ac:dyDescent="0.25">
      <c r="C90" s="4">
        <v>1</v>
      </c>
      <c r="D90">
        <f>C36</f>
        <v>-12.5</v>
      </c>
      <c r="E90" s="9">
        <v>0.08</v>
      </c>
      <c r="F90" s="7">
        <f>1/(1+E90)^C90</f>
        <v>0.92592592592592582</v>
      </c>
      <c r="G90" s="20">
        <f>D90*F90</f>
        <v>-11.574074074074073</v>
      </c>
      <c r="H90" t="s">
        <v>6</v>
      </c>
    </row>
    <row r="91" spans="1:16" x14ac:dyDescent="0.25">
      <c r="C91" s="4">
        <v>2</v>
      </c>
      <c r="D91">
        <f>C38</f>
        <v>-112.5</v>
      </c>
      <c r="E91" s="9">
        <v>0.08</v>
      </c>
      <c r="F91" s="7">
        <f>1/(1+E91)^C91</f>
        <v>0.85733882030178321</v>
      </c>
      <c r="G91" s="20">
        <f>D91*F91</f>
        <v>-96.450617283950606</v>
      </c>
      <c r="H91" t="s">
        <v>6</v>
      </c>
    </row>
    <row r="94" spans="1:16" x14ac:dyDescent="0.25">
      <c r="D94" s="10" t="s">
        <v>21</v>
      </c>
      <c r="E94" s="10"/>
      <c r="F94" s="10"/>
      <c r="G94" s="35">
        <f>SUM(G90:G91)</f>
        <v>-108.02469135802468</v>
      </c>
      <c r="H94" t="s">
        <v>6</v>
      </c>
    </row>
    <row r="96" spans="1:16" x14ac:dyDescent="0.25">
      <c r="D96" s="6" t="s">
        <v>46</v>
      </c>
      <c r="G96" s="38">
        <f>G94+G87</f>
        <v>-8.0246913580246826</v>
      </c>
      <c r="H96" t="s">
        <v>6</v>
      </c>
    </row>
    <row r="99" spans="3:11" x14ac:dyDescent="0.25">
      <c r="F99" s="20"/>
      <c r="G99" s="10"/>
      <c r="I99" s="20"/>
      <c r="J99" s="8"/>
      <c r="K99" s="20"/>
    </row>
    <row r="100" spans="3:11" x14ac:dyDescent="0.25">
      <c r="F100" s="20"/>
      <c r="G100" s="10"/>
      <c r="I100" s="20"/>
      <c r="J100" s="8"/>
      <c r="K100" s="20"/>
    </row>
    <row r="101" spans="3:11" x14ac:dyDescent="0.25">
      <c r="F101" s="20"/>
      <c r="G101" s="10"/>
      <c r="I101" s="20"/>
      <c r="J101" s="8"/>
      <c r="K101" s="20"/>
    </row>
    <row r="103" spans="3:11" x14ac:dyDescent="0.25">
      <c r="K103" s="6"/>
    </row>
    <row r="104" spans="3:11" x14ac:dyDescent="0.25">
      <c r="K104" s="28"/>
    </row>
    <row r="105" spans="3:11" x14ac:dyDescent="0.25">
      <c r="E105" s="9"/>
      <c r="F105" s="7"/>
    </row>
    <row r="106" spans="3:11" x14ac:dyDescent="0.25">
      <c r="C106" s="4"/>
      <c r="D106" s="27"/>
      <c r="F106" s="4"/>
      <c r="G106" s="2"/>
    </row>
    <row r="107" spans="3:11" x14ac:dyDescent="0.25">
      <c r="C107" s="4"/>
      <c r="D107" s="5"/>
      <c r="E107" s="20"/>
      <c r="F107" s="8"/>
      <c r="G107" s="28"/>
    </row>
    <row r="108" spans="3:11" x14ac:dyDescent="0.25">
      <c r="C108" s="4"/>
      <c r="D108" s="5"/>
      <c r="E108" s="20"/>
      <c r="F108" s="8"/>
      <c r="G108" s="28"/>
    </row>
    <row r="110" spans="3:11" x14ac:dyDescent="0.25">
      <c r="G110" s="2"/>
    </row>
    <row r="111" spans="3:11" x14ac:dyDescent="0.25">
      <c r="G111" s="26"/>
    </row>
  </sheetData>
  <mergeCells count="2">
    <mergeCell ref="B64:C64"/>
    <mergeCell ref="E64:F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41"/>
  <sheetViews>
    <sheetView tabSelected="1" topLeftCell="A13" workbookViewId="0">
      <selection activeCell="H36" sqref="H36"/>
    </sheetView>
  </sheetViews>
  <sheetFormatPr defaultRowHeight="15" x14ac:dyDescent="0.25"/>
  <cols>
    <col min="2" max="2" width="12.28515625" customWidth="1"/>
  </cols>
  <sheetData>
    <row r="3" spans="1:3" ht="18" x14ac:dyDescent="0.35">
      <c r="A3" t="s">
        <v>48</v>
      </c>
      <c r="B3" s="1">
        <v>0.92</v>
      </c>
    </row>
    <row r="4" spans="1:3" ht="18" x14ac:dyDescent="0.35">
      <c r="A4" t="s">
        <v>49</v>
      </c>
      <c r="B4" s="1">
        <v>0.81</v>
      </c>
    </row>
    <row r="5" spans="1:3" ht="18" x14ac:dyDescent="0.35">
      <c r="A5" t="s">
        <v>50</v>
      </c>
      <c r="B5" s="1">
        <v>0.7</v>
      </c>
    </row>
    <row r="6" spans="1:3" x14ac:dyDescent="0.25">
      <c r="A6" t="s">
        <v>3</v>
      </c>
      <c r="B6" s="1" t="s">
        <v>56</v>
      </c>
    </row>
    <row r="7" spans="1:3" x14ac:dyDescent="0.25">
      <c r="A7" t="s">
        <v>5</v>
      </c>
      <c r="B7" s="1">
        <v>100</v>
      </c>
      <c r="C7" t="s">
        <v>6</v>
      </c>
    </row>
    <row r="8" spans="1:3" x14ac:dyDescent="0.25">
      <c r="A8" t="s">
        <v>8</v>
      </c>
      <c r="B8" s="12" t="s">
        <v>7</v>
      </c>
      <c r="C8" t="s">
        <v>9</v>
      </c>
    </row>
    <row r="9" spans="1:3" x14ac:dyDescent="0.25">
      <c r="A9" t="s">
        <v>75</v>
      </c>
      <c r="B9" s="1" t="s">
        <v>76</v>
      </c>
    </row>
    <row r="10" spans="1:3" x14ac:dyDescent="0.25">
      <c r="A10" t="s">
        <v>51</v>
      </c>
      <c r="B10" s="1">
        <v>5</v>
      </c>
      <c r="C10" t="s">
        <v>66</v>
      </c>
    </row>
    <row r="11" spans="1:3" x14ac:dyDescent="0.25">
      <c r="A11" t="s">
        <v>53</v>
      </c>
      <c r="B11" s="3">
        <v>0.09</v>
      </c>
    </row>
    <row r="12" spans="1:3" x14ac:dyDescent="0.25">
      <c r="A12" t="s">
        <v>74</v>
      </c>
      <c r="B12" s="1">
        <v>2</v>
      </c>
    </row>
    <row r="13" spans="1:3" x14ac:dyDescent="0.25">
      <c r="A13" s="4"/>
      <c r="B13" s="4"/>
    </row>
    <row r="15" spans="1:3" x14ac:dyDescent="0.25">
      <c r="A15" t="s">
        <v>160</v>
      </c>
      <c r="B15" t="s">
        <v>58</v>
      </c>
    </row>
    <row r="17" spans="1:12" x14ac:dyDescent="0.25">
      <c r="C17" t="s">
        <v>47</v>
      </c>
    </row>
    <row r="18" spans="1:12" x14ac:dyDescent="0.25">
      <c r="C18" s="22">
        <f>(1-B5)/(B3+B4+B5)</f>
        <v>0.12345679012345682</v>
      </c>
    </row>
    <row r="20" spans="1:12" x14ac:dyDescent="0.25">
      <c r="B20" t="s">
        <v>57</v>
      </c>
    </row>
    <row r="22" spans="1:12" x14ac:dyDescent="0.25">
      <c r="C22" s="39" t="s">
        <v>32</v>
      </c>
      <c r="D22" s="39"/>
      <c r="F22" s="39" t="s">
        <v>31</v>
      </c>
      <c r="G22" s="39"/>
    </row>
    <row r="23" spans="1:12" x14ac:dyDescent="0.25">
      <c r="B23" s="4"/>
      <c r="C23" t="s">
        <v>33</v>
      </c>
      <c r="D23" t="s">
        <v>34</v>
      </c>
      <c r="F23" t="s">
        <v>35</v>
      </c>
      <c r="G23" t="s">
        <v>34</v>
      </c>
      <c r="I23" t="s">
        <v>39</v>
      </c>
      <c r="J23" s="4" t="s">
        <v>17</v>
      </c>
      <c r="K23" s="13" t="s">
        <v>40</v>
      </c>
    </row>
    <row r="24" spans="1:12" ht="18" x14ac:dyDescent="0.35">
      <c r="B24" s="4">
        <v>1</v>
      </c>
      <c r="C24" s="4">
        <f>+$B$11*$B$7</f>
        <v>9</v>
      </c>
      <c r="D24" t="s">
        <v>59</v>
      </c>
      <c r="F24" s="5">
        <f>-$C$18*$B$7</f>
        <v>-12.345679012345682</v>
      </c>
      <c r="G24" t="s">
        <v>62</v>
      </c>
      <c r="I24" s="20">
        <f>C24+F24</f>
        <v>-3.3456790123456823</v>
      </c>
      <c r="J24" s="8">
        <f>B3</f>
        <v>0.92</v>
      </c>
      <c r="K24" s="35">
        <f>I24*J24</f>
        <v>-3.0780246913580278</v>
      </c>
      <c r="L24" t="s">
        <v>6</v>
      </c>
    </row>
    <row r="25" spans="1:12" ht="18" x14ac:dyDescent="0.35">
      <c r="B25" s="4">
        <v>2</v>
      </c>
      <c r="C25" s="4">
        <f t="shared" ref="C25:C26" si="0">+$B$11*$B$7</f>
        <v>9</v>
      </c>
      <c r="D25" t="s">
        <v>60</v>
      </c>
      <c r="F25" s="5">
        <f>-$C$18*$B$7</f>
        <v>-12.345679012345682</v>
      </c>
      <c r="G25" t="s">
        <v>63</v>
      </c>
      <c r="I25" s="20">
        <f t="shared" ref="I25:I26" si="1">C25+F25</f>
        <v>-3.3456790123456823</v>
      </c>
      <c r="J25" s="8">
        <f t="shared" ref="J25:J26" si="2">B4</f>
        <v>0.81</v>
      </c>
      <c r="K25" s="35">
        <f t="shared" ref="K25:K26" si="3">I25*J25</f>
        <v>-2.7100000000000031</v>
      </c>
      <c r="L25" t="s">
        <v>6</v>
      </c>
    </row>
    <row r="26" spans="1:12" ht="18" x14ac:dyDescent="0.35">
      <c r="B26" s="4">
        <v>3</v>
      </c>
      <c r="C26" s="4">
        <f t="shared" si="0"/>
        <v>9</v>
      </c>
      <c r="D26" t="s">
        <v>61</v>
      </c>
      <c r="F26" s="5">
        <f>-$C$18*$B$7</f>
        <v>-12.345679012345682</v>
      </c>
      <c r="G26" t="s">
        <v>64</v>
      </c>
      <c r="I26" s="20">
        <f t="shared" si="1"/>
        <v>-3.3456790123456823</v>
      </c>
      <c r="J26" s="8">
        <f t="shared" si="2"/>
        <v>0.7</v>
      </c>
      <c r="K26" s="35">
        <f t="shared" si="3"/>
        <v>-2.3419753086419774</v>
      </c>
      <c r="L26" t="s">
        <v>6</v>
      </c>
    </row>
    <row r="28" spans="1:12" x14ac:dyDescent="0.25">
      <c r="K28" s="2" t="s">
        <v>18</v>
      </c>
    </row>
    <row r="29" spans="1:12" x14ac:dyDescent="0.25">
      <c r="K29" s="24">
        <f>SUM(K24:K26)</f>
        <v>-8.1300000000000079</v>
      </c>
      <c r="L29" t="s">
        <v>6</v>
      </c>
    </row>
    <row r="31" spans="1:12" x14ac:dyDescent="0.25">
      <c r="A31" t="s">
        <v>161</v>
      </c>
      <c r="B31" t="s">
        <v>162</v>
      </c>
    </row>
    <row r="33" spans="2:7" x14ac:dyDescent="0.25">
      <c r="C33" t="s">
        <v>163</v>
      </c>
      <c r="E33">
        <f>-B7</f>
        <v>-100</v>
      </c>
      <c r="F33" t="s">
        <v>6</v>
      </c>
      <c r="G33" t="s">
        <v>145</v>
      </c>
    </row>
    <row r="35" spans="2:7" x14ac:dyDescent="0.25">
      <c r="C35" t="s">
        <v>16</v>
      </c>
      <c r="D35" t="s">
        <v>17</v>
      </c>
      <c r="E35" t="s">
        <v>93</v>
      </c>
    </row>
    <row r="36" spans="2:7" x14ac:dyDescent="0.25">
      <c r="B36">
        <v>1</v>
      </c>
      <c r="C36">
        <f>$B$7*$B$11</f>
        <v>9</v>
      </c>
      <c r="D36">
        <f>B3</f>
        <v>0.92</v>
      </c>
      <c r="E36">
        <f>C36*D36</f>
        <v>8.2800000000000011</v>
      </c>
    </row>
    <row r="37" spans="2:7" x14ac:dyDescent="0.25">
      <c r="B37">
        <v>2</v>
      </c>
      <c r="C37">
        <f t="shared" ref="C37:C38" si="4">$B$7*$B$11</f>
        <v>9</v>
      </c>
      <c r="D37">
        <f t="shared" ref="D37:D38" si="5">B4</f>
        <v>0.81</v>
      </c>
      <c r="E37">
        <f t="shared" ref="E37:E38" si="6">C37*D37</f>
        <v>7.2900000000000009</v>
      </c>
    </row>
    <row r="38" spans="2:7" x14ac:dyDescent="0.25">
      <c r="B38">
        <v>3</v>
      </c>
      <c r="C38">
        <f>$B$7*$B$11+$B$7</f>
        <v>109</v>
      </c>
      <c r="D38">
        <f t="shared" si="5"/>
        <v>0.7</v>
      </c>
      <c r="E38">
        <f t="shared" si="6"/>
        <v>76.3</v>
      </c>
    </row>
    <row r="40" spans="2:7" x14ac:dyDescent="0.25">
      <c r="C40" t="s">
        <v>164</v>
      </c>
      <c r="E40">
        <f>SUM(E36:E38)</f>
        <v>91.87</v>
      </c>
      <c r="F40" t="s">
        <v>6</v>
      </c>
    </row>
    <row r="41" spans="2:7" x14ac:dyDescent="0.25">
      <c r="C41" t="s">
        <v>18</v>
      </c>
      <c r="E41" s="24">
        <f>E33+E40</f>
        <v>-8.1299999999999955</v>
      </c>
    </row>
  </sheetData>
  <mergeCells count="2">
    <mergeCell ref="C22:D22"/>
    <mergeCell ref="F22:G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M32"/>
  <sheetViews>
    <sheetView workbookViewId="0">
      <selection activeCell="C40" sqref="C40"/>
    </sheetView>
  </sheetViews>
  <sheetFormatPr defaultRowHeight="15" x14ac:dyDescent="0.25"/>
  <cols>
    <col min="1" max="1" width="13.7109375" customWidth="1"/>
  </cols>
  <sheetData>
    <row r="3" spans="1:5" x14ac:dyDescent="0.25">
      <c r="A3" t="s">
        <v>78</v>
      </c>
      <c r="B3" s="1">
        <v>3.5</v>
      </c>
      <c r="C3" t="s">
        <v>66</v>
      </c>
    </row>
    <row r="4" spans="1:5" x14ac:dyDescent="0.25">
      <c r="A4" t="s">
        <v>79</v>
      </c>
      <c r="B4" s="1">
        <v>2000</v>
      </c>
      <c r="C4" t="s">
        <v>6</v>
      </c>
    </row>
    <row r="5" spans="1:5" x14ac:dyDescent="0.25">
      <c r="A5" t="s">
        <v>80</v>
      </c>
      <c r="B5" s="1" t="s">
        <v>82</v>
      </c>
    </row>
    <row r="6" spans="1:5" x14ac:dyDescent="0.25">
      <c r="A6" t="s">
        <v>81</v>
      </c>
      <c r="B6" s="1" t="s">
        <v>83</v>
      </c>
    </row>
    <row r="7" spans="1:5" x14ac:dyDescent="0.25">
      <c r="A7" t="s">
        <v>5</v>
      </c>
      <c r="B7" s="1">
        <v>500</v>
      </c>
      <c r="C7" t="s">
        <v>6</v>
      </c>
    </row>
    <row r="8" spans="1:5" x14ac:dyDescent="0.25">
      <c r="A8" t="s">
        <v>8</v>
      </c>
      <c r="B8" s="1" t="s">
        <v>7</v>
      </c>
      <c r="C8" t="s">
        <v>9</v>
      </c>
    </row>
    <row r="9" spans="1:5" x14ac:dyDescent="0.25">
      <c r="A9" t="s">
        <v>75</v>
      </c>
      <c r="B9" s="1" t="s">
        <v>76</v>
      </c>
    </row>
    <row r="10" spans="1:5" x14ac:dyDescent="0.25">
      <c r="A10" t="s">
        <v>51</v>
      </c>
      <c r="B10" s="1">
        <v>3</v>
      </c>
      <c r="C10" t="s">
        <v>66</v>
      </c>
    </row>
    <row r="11" spans="1:5" x14ac:dyDescent="0.25">
      <c r="A11" t="s">
        <v>53</v>
      </c>
      <c r="B11" s="3">
        <v>0.1</v>
      </c>
    </row>
    <row r="12" spans="1:5" x14ac:dyDescent="0.25">
      <c r="A12" s="27" t="s">
        <v>74</v>
      </c>
      <c r="B12" s="34">
        <v>0</v>
      </c>
    </row>
    <row r="14" spans="1:5" x14ac:dyDescent="0.25">
      <c r="A14" s="12" t="s">
        <v>107</v>
      </c>
      <c r="B14" s="12"/>
      <c r="C14" s="12"/>
      <c r="D14" s="12"/>
    </row>
    <row r="16" spans="1:5" x14ac:dyDescent="0.25">
      <c r="B16" s="18" t="s">
        <v>10</v>
      </c>
      <c r="C16" s="16"/>
      <c r="D16" s="16"/>
      <c r="E16" s="16"/>
    </row>
    <row r="18" spans="1:13" x14ac:dyDescent="0.25">
      <c r="A18" s="12" t="s">
        <v>150</v>
      </c>
      <c r="B18" s="12"/>
      <c r="C18" s="12"/>
      <c r="D18" s="12"/>
      <c r="E18" s="12"/>
      <c r="F18" s="12"/>
      <c r="G18" s="12"/>
      <c r="H18" s="12"/>
    </row>
    <row r="20" spans="1:13" ht="18" x14ac:dyDescent="0.35">
      <c r="B20" t="s">
        <v>19</v>
      </c>
    </row>
    <row r="21" spans="1:13" ht="18" x14ac:dyDescent="0.35">
      <c r="H21" t="s">
        <v>90</v>
      </c>
    </row>
    <row r="22" spans="1:13" x14ac:dyDescent="0.25">
      <c r="C22" t="s">
        <v>84</v>
      </c>
      <c r="E22" t="s">
        <v>85</v>
      </c>
      <c r="I22" s="4" t="s">
        <v>16</v>
      </c>
      <c r="J22" s="4" t="s">
        <v>17</v>
      </c>
      <c r="K22" t="s">
        <v>93</v>
      </c>
      <c r="L22" s="4" t="s">
        <v>91</v>
      </c>
      <c r="M22" s="4" t="s">
        <v>92</v>
      </c>
    </row>
    <row r="23" spans="1:13" x14ac:dyDescent="0.25">
      <c r="B23" t="s">
        <v>86</v>
      </c>
      <c r="C23" s="4">
        <f>B4</f>
        <v>2000</v>
      </c>
      <c r="E23" s="4">
        <f>B3</f>
        <v>3.5</v>
      </c>
      <c r="H23">
        <v>1</v>
      </c>
      <c r="I23">
        <f>B11*B7</f>
        <v>50</v>
      </c>
      <c r="J23" s="8">
        <f>1/(1+$B$11)^H23</f>
        <v>0.90909090909090906</v>
      </c>
      <c r="K23" s="20">
        <f>I23*J23</f>
        <v>45.454545454545453</v>
      </c>
      <c r="L23" s="19">
        <f>K23/$K$26</f>
        <v>9.0909090909090925E-2</v>
      </c>
      <c r="M23">
        <f>H23*L23</f>
        <v>9.0909090909090925E-2</v>
      </c>
    </row>
    <row r="24" spans="1:13" ht="18" x14ac:dyDescent="0.35">
      <c r="B24" t="s">
        <v>89</v>
      </c>
      <c r="C24" s="4">
        <f>B7</f>
        <v>500</v>
      </c>
      <c r="E24" s="4">
        <v>1</v>
      </c>
      <c r="H24">
        <v>2</v>
      </c>
      <c r="I24">
        <f>B11*B7</f>
        <v>50</v>
      </c>
      <c r="J24" s="8">
        <f t="shared" ref="J24:J25" si="0">1/(1+$B$11)^H24</f>
        <v>0.82644628099173545</v>
      </c>
      <c r="K24" s="20">
        <f t="shared" ref="K24:K25" si="1">I24*J24</f>
        <v>41.322314049586772</v>
      </c>
      <c r="L24" s="19">
        <f t="shared" ref="L24:L25" si="2">K24/$K$26</f>
        <v>8.264462809917357E-2</v>
      </c>
      <c r="M24">
        <f t="shared" ref="M24:M25" si="3">H24*L24</f>
        <v>0.16528925619834714</v>
      </c>
    </row>
    <row r="25" spans="1:13" ht="18" x14ac:dyDescent="0.35">
      <c r="B25" s="31" t="s">
        <v>88</v>
      </c>
      <c r="C25" s="32">
        <f>-B7</f>
        <v>-500</v>
      </c>
      <c r="D25" s="31"/>
      <c r="E25" s="33">
        <f>M26</f>
        <v>2.7355371900826446</v>
      </c>
      <c r="H25">
        <v>3</v>
      </c>
      <c r="I25">
        <f>(B11+1)*B7</f>
        <v>550</v>
      </c>
      <c r="J25" s="8">
        <f t="shared" si="0"/>
        <v>0.75131480090157754</v>
      </c>
      <c r="K25" s="30">
        <f t="shared" si="1"/>
        <v>413.22314049586765</v>
      </c>
      <c r="L25" s="19">
        <f t="shared" si="2"/>
        <v>0.82644628099173545</v>
      </c>
      <c r="M25" s="31">
        <f t="shared" si="3"/>
        <v>2.4793388429752063</v>
      </c>
    </row>
    <row r="26" spans="1:13" x14ac:dyDescent="0.25">
      <c r="B26" t="s">
        <v>87</v>
      </c>
      <c r="C26" s="4">
        <f>SUM(C23:C25)</f>
        <v>2000</v>
      </c>
      <c r="E26" s="4"/>
      <c r="K26" s="20">
        <f>SUM(K23:K25)</f>
        <v>499.99999999999989</v>
      </c>
      <c r="M26" s="20">
        <f>SUM(M23:M25)</f>
        <v>2.7355371900826446</v>
      </c>
    </row>
    <row r="28" spans="1:13" x14ac:dyDescent="0.25">
      <c r="B28" t="s">
        <v>78</v>
      </c>
    </row>
    <row r="29" spans="1:13" x14ac:dyDescent="0.25">
      <c r="B29" t="s">
        <v>94</v>
      </c>
    </row>
    <row r="31" spans="1:13" x14ac:dyDescent="0.25">
      <c r="B31" s="6" t="s">
        <v>78</v>
      </c>
    </row>
    <row r="32" spans="1:13" x14ac:dyDescent="0.25">
      <c r="B32" s="24">
        <f>(C23*E23+C24*E24+C25*E25)/C26</f>
        <v>3.0661157024793386</v>
      </c>
      <c r="C3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M63"/>
  <sheetViews>
    <sheetView workbookViewId="0">
      <selection activeCell="F9" sqref="F9"/>
    </sheetView>
  </sheetViews>
  <sheetFormatPr defaultRowHeight="15" x14ac:dyDescent="0.25"/>
  <cols>
    <col min="1" max="1" width="14" customWidth="1"/>
  </cols>
  <sheetData>
    <row r="3" spans="1:5" x14ac:dyDescent="0.25">
      <c r="A3" t="s">
        <v>77</v>
      </c>
      <c r="B3" s="12">
        <v>1.25</v>
      </c>
      <c r="C3" t="s">
        <v>66</v>
      </c>
    </row>
    <row r="4" spans="1:5" ht="18" x14ac:dyDescent="0.35">
      <c r="A4" t="s">
        <v>100</v>
      </c>
      <c r="B4" s="36">
        <v>0.1</v>
      </c>
    </row>
    <row r="5" spans="1:5" ht="18" x14ac:dyDescent="0.35">
      <c r="A5" t="s">
        <v>101</v>
      </c>
      <c r="B5" s="36">
        <v>0.06</v>
      </c>
    </row>
    <row r="6" spans="1:5" x14ac:dyDescent="0.25">
      <c r="A6" t="s">
        <v>98</v>
      </c>
      <c r="B6" s="12">
        <v>20</v>
      </c>
      <c r="C6" t="s">
        <v>95</v>
      </c>
    </row>
    <row r="7" spans="1:5" x14ac:dyDescent="0.25">
      <c r="A7" t="s">
        <v>99</v>
      </c>
      <c r="B7" s="12">
        <v>30</v>
      </c>
      <c r="C7" t="s">
        <v>6</v>
      </c>
    </row>
    <row r="8" spans="1:5" ht="18" x14ac:dyDescent="0.35">
      <c r="A8" t="s">
        <v>97</v>
      </c>
      <c r="B8" s="36">
        <v>7.0000000000000007E-2</v>
      </c>
      <c r="C8" t="s">
        <v>102</v>
      </c>
    </row>
    <row r="9" spans="1:5" ht="18" x14ac:dyDescent="0.35">
      <c r="A9" t="s">
        <v>96</v>
      </c>
      <c r="B9" s="36">
        <v>0.04</v>
      </c>
      <c r="C9" t="s">
        <v>102</v>
      </c>
    </row>
    <row r="10" spans="1:5" x14ac:dyDescent="0.25">
      <c r="A10" t="s">
        <v>8</v>
      </c>
      <c r="B10" s="1" t="s">
        <v>7</v>
      </c>
      <c r="C10" t="s">
        <v>9</v>
      </c>
    </row>
    <row r="11" spans="1:5" ht="18" x14ac:dyDescent="0.35">
      <c r="A11" t="s">
        <v>103</v>
      </c>
      <c r="B11" s="12">
        <v>1.55</v>
      </c>
    </row>
    <row r="13" spans="1:5" x14ac:dyDescent="0.25">
      <c r="A13" s="12" t="s">
        <v>104</v>
      </c>
      <c r="B13" s="12"/>
      <c r="C13" s="12"/>
      <c r="D13" s="12"/>
      <c r="E13" s="12"/>
    </row>
    <row r="15" spans="1:5" x14ac:dyDescent="0.25">
      <c r="B15" t="s">
        <v>109</v>
      </c>
    </row>
    <row r="17" spans="1:12" x14ac:dyDescent="0.25">
      <c r="B17" s="39" t="s">
        <v>110</v>
      </c>
      <c r="C17" s="39"/>
      <c r="D17" s="39"/>
      <c r="E17" s="39"/>
      <c r="F17" s="39"/>
    </row>
    <row r="18" spans="1:12" x14ac:dyDescent="0.25">
      <c r="C18" t="s">
        <v>111</v>
      </c>
      <c r="E18" t="s">
        <v>108</v>
      </c>
    </row>
    <row r="19" spans="1:12" x14ac:dyDescent="0.25">
      <c r="B19" s="18">
        <v>0.25</v>
      </c>
      <c r="C19" s="17">
        <f>-B6*B4</f>
        <v>-2</v>
      </c>
      <c r="D19" s="18" t="s">
        <v>95</v>
      </c>
      <c r="E19" s="17">
        <f>B7*B5</f>
        <v>1.7999999999999998</v>
      </c>
      <c r="F19" s="18" t="s">
        <v>6</v>
      </c>
    </row>
    <row r="20" spans="1:12" x14ac:dyDescent="0.25">
      <c r="B20" s="18">
        <v>1.25</v>
      </c>
      <c r="C20" s="17">
        <f>-B6*(1+B4)</f>
        <v>-22</v>
      </c>
      <c r="D20" s="18" t="s">
        <v>95</v>
      </c>
      <c r="E20" s="17">
        <f>B7*(1+B5)</f>
        <v>31.8</v>
      </c>
      <c r="F20" s="18" t="s">
        <v>6</v>
      </c>
      <c r="H20" t="s">
        <v>151</v>
      </c>
    </row>
    <row r="22" spans="1:12" x14ac:dyDescent="0.25">
      <c r="A22" s="12" t="s">
        <v>116</v>
      </c>
      <c r="B22" s="12"/>
      <c r="C22" s="12"/>
      <c r="D22" s="12"/>
      <c r="E22" s="12"/>
      <c r="F22" s="12"/>
    </row>
    <row r="24" spans="1:12" ht="18" x14ac:dyDescent="0.35">
      <c r="B24" t="s">
        <v>112</v>
      </c>
    </row>
    <row r="26" spans="1:12" x14ac:dyDescent="0.25">
      <c r="A26" s="12" t="s">
        <v>117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8" spans="1:12" ht="18" x14ac:dyDescent="0.35">
      <c r="B28" t="s">
        <v>113</v>
      </c>
    </row>
    <row r="29" spans="1:12" x14ac:dyDescent="0.25">
      <c r="D29" s="4" t="s">
        <v>16</v>
      </c>
      <c r="E29" s="4" t="s">
        <v>17</v>
      </c>
      <c r="F29" t="s">
        <v>93</v>
      </c>
    </row>
    <row r="30" spans="1:12" x14ac:dyDescent="0.25">
      <c r="C30">
        <f>B19</f>
        <v>0.25</v>
      </c>
      <c r="D30">
        <f>C19</f>
        <v>-2</v>
      </c>
      <c r="E30" s="8">
        <f>1/(1+B8)^C30</f>
        <v>0.98322758761421225</v>
      </c>
      <c r="F30" s="20">
        <f>D30*E30</f>
        <v>-1.9664551752284245</v>
      </c>
      <c r="G30" t="s">
        <v>95</v>
      </c>
    </row>
    <row r="31" spans="1:12" x14ac:dyDescent="0.25">
      <c r="C31">
        <f>B20</f>
        <v>1.25</v>
      </c>
      <c r="D31">
        <f>C20</f>
        <v>-22</v>
      </c>
      <c r="E31" s="8">
        <f>1/(1+B8)^C31</f>
        <v>0.91890428748991804</v>
      </c>
      <c r="F31" s="20">
        <f>D31*E31</f>
        <v>-20.215894324778198</v>
      </c>
      <c r="G31" t="s">
        <v>95</v>
      </c>
    </row>
    <row r="33" spans="1:7" ht="18" x14ac:dyDescent="0.35">
      <c r="C33" t="s">
        <v>114</v>
      </c>
      <c r="F33" s="20">
        <f>F31+F30</f>
        <v>-22.182349500006623</v>
      </c>
      <c r="G33" t="s">
        <v>95</v>
      </c>
    </row>
    <row r="35" spans="1:7" ht="18" x14ac:dyDescent="0.35">
      <c r="C35" s="18" t="s">
        <v>118</v>
      </c>
      <c r="D35" s="16"/>
      <c r="F35" s="37">
        <f>F33*B11</f>
        <v>-34.382641725010266</v>
      </c>
      <c r="G35" t="s">
        <v>6</v>
      </c>
    </row>
    <row r="37" spans="1:7" ht="18" x14ac:dyDescent="0.35">
      <c r="B37" t="s">
        <v>115</v>
      </c>
    </row>
    <row r="38" spans="1:7" x14ac:dyDescent="0.25">
      <c r="D38" s="4" t="s">
        <v>16</v>
      </c>
      <c r="E38" s="4" t="s">
        <v>17</v>
      </c>
      <c r="F38" t="s">
        <v>93</v>
      </c>
    </row>
    <row r="39" spans="1:7" x14ac:dyDescent="0.25">
      <c r="C39">
        <f>B19</f>
        <v>0.25</v>
      </c>
      <c r="D39">
        <f>E19</f>
        <v>1.7999999999999998</v>
      </c>
      <c r="E39" s="8">
        <f>1/(1+$B$9)^C39</f>
        <v>0.99024273574256538</v>
      </c>
      <c r="F39" s="20">
        <f>D39*E39</f>
        <v>1.7824369243366176</v>
      </c>
      <c r="G39" t="s">
        <v>6</v>
      </c>
    </row>
    <row r="40" spans="1:7" x14ac:dyDescent="0.25">
      <c r="C40">
        <f>B20</f>
        <v>1.25</v>
      </c>
      <c r="D40">
        <f>E20</f>
        <v>31.8</v>
      </c>
      <c r="E40" s="8">
        <f>1/(1+$B$9)^C40</f>
        <v>0.95215647667554359</v>
      </c>
      <c r="F40" s="20">
        <f>D40*E40</f>
        <v>30.278575958282286</v>
      </c>
      <c r="G40" t="s">
        <v>6</v>
      </c>
    </row>
    <row r="42" spans="1:7" ht="18" x14ac:dyDescent="0.35">
      <c r="C42" s="18" t="s">
        <v>119</v>
      </c>
      <c r="D42" s="18"/>
      <c r="F42" s="37">
        <f>F40+F39</f>
        <v>32.061012882618904</v>
      </c>
      <c r="G42" t="s">
        <v>6</v>
      </c>
    </row>
    <row r="43" spans="1:7" x14ac:dyDescent="0.25">
      <c r="F43" s="20"/>
    </row>
    <row r="44" spans="1:7" x14ac:dyDescent="0.25">
      <c r="F44" s="2" t="s">
        <v>18</v>
      </c>
    </row>
    <row r="45" spans="1:7" ht="18" x14ac:dyDescent="0.35">
      <c r="B45" t="s">
        <v>112</v>
      </c>
      <c r="F45" s="24">
        <f>F35+F42</f>
        <v>-2.3216288423913625</v>
      </c>
      <c r="G45" t="s">
        <v>6</v>
      </c>
    </row>
    <row r="48" spans="1:7" x14ac:dyDescent="0.25">
      <c r="A48" s="12" t="s">
        <v>120</v>
      </c>
      <c r="B48" s="12"/>
      <c r="C48" s="12"/>
      <c r="D48" s="12"/>
      <c r="E48" s="12"/>
      <c r="F48" s="12"/>
      <c r="G48" s="12"/>
    </row>
    <row r="50" spans="1:13" ht="18" x14ac:dyDescent="0.35">
      <c r="B50" s="18" t="s">
        <v>121</v>
      </c>
      <c r="C50" s="18"/>
      <c r="D50" s="18"/>
      <c r="E50" s="18"/>
    </row>
    <row r="52" spans="1:13" x14ac:dyDescent="0.25">
      <c r="A52" s="12" t="s">
        <v>122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4" spans="1:13" ht="18" x14ac:dyDescent="0.35">
      <c r="B54" t="s">
        <v>123</v>
      </c>
    </row>
    <row r="55" spans="1:13" ht="18" x14ac:dyDescent="0.35">
      <c r="D55" s="4" t="s">
        <v>124</v>
      </c>
      <c r="E55" s="4" t="s">
        <v>125</v>
      </c>
      <c r="F55" t="s">
        <v>126</v>
      </c>
      <c r="G55" t="s">
        <v>127</v>
      </c>
      <c r="H55" s="6" t="s">
        <v>128</v>
      </c>
    </row>
    <row r="56" spans="1:13" x14ac:dyDescent="0.25">
      <c r="C56">
        <v>0.25</v>
      </c>
      <c r="D56" s="4">
        <f>C19</f>
        <v>-2</v>
      </c>
      <c r="E56" s="4">
        <f>E19</f>
        <v>1.7999999999999998</v>
      </c>
      <c r="F56" s="8">
        <f>B11*(1+B9)^(C56) /(1+B8)^(C56)</f>
        <v>1.5390193795859624</v>
      </c>
      <c r="G56" s="8">
        <f>E39</f>
        <v>0.99024273574256538</v>
      </c>
      <c r="H56" s="29">
        <f>(E56+D56*F56)*G56</f>
        <v>-1.2655685972674406</v>
      </c>
      <c r="I56" t="s">
        <v>6</v>
      </c>
    </row>
    <row r="58" spans="1:13" ht="18" x14ac:dyDescent="0.35">
      <c r="B58" t="s">
        <v>129</v>
      </c>
    </row>
    <row r="59" spans="1:13" ht="18" x14ac:dyDescent="0.35">
      <c r="D59" s="4" t="s">
        <v>124</v>
      </c>
      <c r="E59" s="4" t="s">
        <v>125</v>
      </c>
      <c r="F59" t="s">
        <v>126</v>
      </c>
      <c r="G59" t="s">
        <v>127</v>
      </c>
      <c r="H59" s="6" t="s">
        <v>128</v>
      </c>
    </row>
    <row r="60" spans="1:13" x14ac:dyDescent="0.25">
      <c r="C60">
        <v>1.25</v>
      </c>
      <c r="D60" s="4">
        <f>C20</f>
        <v>-22</v>
      </c>
      <c r="E60" s="4">
        <f>E20</f>
        <v>31.8</v>
      </c>
      <c r="F60" s="8">
        <f>B11*(1+B9)^(C60) /(1+B8)^(C60)</f>
        <v>1.4958693035228046</v>
      </c>
      <c r="G60" s="8">
        <f>E40</f>
        <v>0.95215647667554359</v>
      </c>
      <c r="H60" s="29">
        <f>(E60+D60*F60)*G60</f>
        <v>-1.0560602451239178</v>
      </c>
      <c r="I60" t="s">
        <v>6</v>
      </c>
    </row>
    <row r="62" spans="1:13" x14ac:dyDescent="0.25">
      <c r="H62" s="2" t="s">
        <v>18</v>
      </c>
    </row>
    <row r="63" spans="1:13" x14ac:dyDescent="0.25">
      <c r="H63" s="24">
        <f>H56+H60</f>
        <v>-2.3216288423913585</v>
      </c>
      <c r="I63" t="s">
        <v>6</v>
      </c>
    </row>
  </sheetData>
  <mergeCells count="1">
    <mergeCell ref="B17:F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G55"/>
  <sheetViews>
    <sheetView topLeftCell="A47" workbookViewId="0">
      <selection activeCell="E62" sqref="E62"/>
    </sheetView>
  </sheetViews>
  <sheetFormatPr defaultRowHeight="15" x14ac:dyDescent="0.25"/>
  <cols>
    <col min="1" max="1" width="16.140625" customWidth="1"/>
  </cols>
  <sheetData>
    <row r="3" spans="1:5" x14ac:dyDescent="0.25">
      <c r="A3" t="s">
        <v>51</v>
      </c>
      <c r="B3" s="12">
        <v>10</v>
      </c>
      <c r="C3" t="s">
        <v>66</v>
      </c>
    </row>
    <row r="4" spans="1:5" x14ac:dyDescent="0.25">
      <c r="A4" t="s">
        <v>74</v>
      </c>
      <c r="B4" s="12">
        <v>6</v>
      </c>
      <c r="C4" t="s">
        <v>66</v>
      </c>
    </row>
    <row r="5" spans="1:5" ht="18" x14ac:dyDescent="0.35">
      <c r="A5" t="s">
        <v>130</v>
      </c>
      <c r="B5" s="36">
        <v>0.03</v>
      </c>
    </row>
    <row r="6" spans="1:5" ht="18" x14ac:dyDescent="0.35">
      <c r="A6" t="s">
        <v>101</v>
      </c>
      <c r="B6" s="36">
        <v>0.08</v>
      </c>
    </row>
    <row r="7" spans="1:5" x14ac:dyDescent="0.25">
      <c r="A7" t="s">
        <v>131</v>
      </c>
      <c r="B7" s="12">
        <v>10</v>
      </c>
      <c r="C7" t="s">
        <v>132</v>
      </c>
    </row>
    <row r="8" spans="1:5" x14ac:dyDescent="0.25">
      <c r="A8" t="s">
        <v>99</v>
      </c>
      <c r="B8" s="12">
        <v>7</v>
      </c>
      <c r="C8" t="s">
        <v>6</v>
      </c>
    </row>
    <row r="9" spans="1:5" ht="18" x14ac:dyDescent="0.35">
      <c r="A9" t="s">
        <v>133</v>
      </c>
      <c r="B9" s="36">
        <v>0.03</v>
      </c>
      <c r="C9" t="s">
        <v>102</v>
      </c>
    </row>
    <row r="10" spans="1:5" ht="18" x14ac:dyDescent="0.35">
      <c r="A10" t="s">
        <v>96</v>
      </c>
      <c r="B10" s="36">
        <v>0.08</v>
      </c>
      <c r="C10" t="s">
        <v>102</v>
      </c>
    </row>
    <row r="11" spans="1:5" x14ac:dyDescent="0.25">
      <c r="A11" t="s">
        <v>8</v>
      </c>
      <c r="B11" s="1" t="s">
        <v>7</v>
      </c>
      <c r="C11" t="s">
        <v>9</v>
      </c>
    </row>
    <row r="12" spans="1:5" ht="18" x14ac:dyDescent="0.35">
      <c r="A12" t="s">
        <v>134</v>
      </c>
      <c r="B12" s="12">
        <v>0.8</v>
      </c>
    </row>
    <row r="14" spans="1:5" x14ac:dyDescent="0.25">
      <c r="A14" s="12" t="s">
        <v>135</v>
      </c>
      <c r="B14" s="12"/>
      <c r="C14" s="12"/>
      <c r="D14" s="12"/>
      <c r="E14" s="12"/>
    </row>
    <row r="16" spans="1:5" x14ac:dyDescent="0.25">
      <c r="B16" t="s">
        <v>136</v>
      </c>
    </row>
    <row r="18" spans="1:7" x14ac:dyDescent="0.25">
      <c r="B18" s="39" t="s">
        <v>110</v>
      </c>
      <c r="C18" s="39"/>
      <c r="D18" s="39"/>
      <c r="E18" s="39"/>
      <c r="F18" s="39"/>
    </row>
    <row r="19" spans="1:7" x14ac:dyDescent="0.25">
      <c r="C19" t="s">
        <v>108</v>
      </c>
      <c r="E19" t="s">
        <v>137</v>
      </c>
    </row>
    <row r="20" spans="1:7" x14ac:dyDescent="0.25">
      <c r="B20" s="17">
        <v>0</v>
      </c>
      <c r="C20" s="17">
        <f>-$B$8*$B$6</f>
        <v>-0.56000000000000005</v>
      </c>
      <c r="D20" s="18" t="s">
        <v>6</v>
      </c>
      <c r="E20" s="17">
        <f>$B$7*$B$5</f>
        <v>0.3</v>
      </c>
      <c r="F20" s="18" t="s">
        <v>132</v>
      </c>
    </row>
    <row r="21" spans="1:7" x14ac:dyDescent="0.25">
      <c r="B21" s="17">
        <v>1</v>
      </c>
      <c r="C21" s="17">
        <f t="shared" ref="C21:C23" si="0">-$B$8*$B$6</f>
        <v>-0.56000000000000005</v>
      </c>
      <c r="D21" s="18" t="s">
        <v>6</v>
      </c>
      <c r="E21" s="17">
        <f t="shared" ref="E21:E23" si="1">$B$7*$B$5</f>
        <v>0.3</v>
      </c>
      <c r="F21" s="18" t="s">
        <v>132</v>
      </c>
    </row>
    <row r="22" spans="1:7" x14ac:dyDescent="0.25">
      <c r="B22" s="17">
        <v>2</v>
      </c>
      <c r="C22" s="17">
        <f t="shared" si="0"/>
        <v>-0.56000000000000005</v>
      </c>
      <c r="D22" s="18" t="s">
        <v>6</v>
      </c>
      <c r="E22" s="17">
        <f t="shared" si="1"/>
        <v>0.3</v>
      </c>
      <c r="F22" s="18" t="s">
        <v>132</v>
      </c>
    </row>
    <row r="23" spans="1:7" x14ac:dyDescent="0.25">
      <c r="B23" s="17">
        <v>3</v>
      </c>
      <c r="C23" s="17">
        <f t="shared" si="0"/>
        <v>-0.56000000000000005</v>
      </c>
      <c r="D23" s="18" t="s">
        <v>6</v>
      </c>
      <c r="E23" s="17">
        <f t="shared" si="1"/>
        <v>0.3</v>
      </c>
      <c r="F23" s="18" t="s">
        <v>132</v>
      </c>
    </row>
    <row r="24" spans="1:7" x14ac:dyDescent="0.25">
      <c r="B24" s="17">
        <v>4</v>
      </c>
      <c r="C24" s="17">
        <f>-$B$8*$B$6-B8</f>
        <v>-7.5600000000000005</v>
      </c>
      <c r="D24" s="18" t="s">
        <v>6</v>
      </c>
      <c r="E24" s="17">
        <f>$B$7*$B$5+B7</f>
        <v>10.3</v>
      </c>
      <c r="F24" s="18" t="s">
        <v>132</v>
      </c>
    </row>
    <row r="26" spans="1:7" x14ac:dyDescent="0.25">
      <c r="A26" s="12" t="s">
        <v>138</v>
      </c>
      <c r="B26" s="12"/>
      <c r="C26" s="12"/>
      <c r="D26" s="12"/>
      <c r="E26" s="12"/>
    </row>
    <row r="28" spans="1:7" ht="18" x14ac:dyDescent="0.35">
      <c r="B28" t="s">
        <v>139</v>
      </c>
    </row>
    <row r="30" spans="1:7" ht="18" x14ac:dyDescent="0.35">
      <c r="B30" t="s">
        <v>140</v>
      </c>
      <c r="D30" t="s">
        <v>16</v>
      </c>
      <c r="E30" t="s">
        <v>17</v>
      </c>
      <c r="F30" t="s">
        <v>93</v>
      </c>
    </row>
    <row r="31" spans="1:7" x14ac:dyDescent="0.25">
      <c r="C31">
        <f>B20</f>
        <v>0</v>
      </c>
      <c r="D31">
        <f>C20</f>
        <v>-0.56000000000000005</v>
      </c>
      <c r="E31" s="8">
        <f>1/(1+$B$10)^C31</f>
        <v>1</v>
      </c>
      <c r="F31" s="20">
        <f>D31*E31</f>
        <v>-0.56000000000000005</v>
      </c>
      <c r="G31" t="s">
        <v>6</v>
      </c>
    </row>
    <row r="32" spans="1:7" x14ac:dyDescent="0.25">
      <c r="C32">
        <f t="shared" ref="C32:D32" si="2">B21</f>
        <v>1</v>
      </c>
      <c r="D32">
        <f t="shared" si="2"/>
        <v>-0.56000000000000005</v>
      </c>
      <c r="E32" s="8">
        <f t="shared" ref="E32:E35" si="3">1/(1+$B$10)^C32</f>
        <v>0.92592592592592582</v>
      </c>
      <c r="F32" s="20">
        <f t="shared" ref="F32:F35" si="4">D32*E32</f>
        <v>-0.51851851851851849</v>
      </c>
      <c r="G32" t="s">
        <v>6</v>
      </c>
    </row>
    <row r="33" spans="2:7" x14ac:dyDescent="0.25">
      <c r="C33">
        <f t="shared" ref="C33:D33" si="5">B22</f>
        <v>2</v>
      </c>
      <c r="D33">
        <f t="shared" si="5"/>
        <v>-0.56000000000000005</v>
      </c>
      <c r="E33" s="8">
        <f t="shared" si="3"/>
        <v>0.85733882030178321</v>
      </c>
      <c r="F33" s="20">
        <f t="shared" si="4"/>
        <v>-0.48010973936899864</v>
      </c>
      <c r="G33" t="s">
        <v>6</v>
      </c>
    </row>
    <row r="34" spans="2:7" x14ac:dyDescent="0.25">
      <c r="C34">
        <f t="shared" ref="C34:D34" si="6">B23</f>
        <v>3</v>
      </c>
      <c r="D34">
        <f t="shared" si="6"/>
        <v>-0.56000000000000005</v>
      </c>
      <c r="E34" s="8">
        <f t="shared" si="3"/>
        <v>0.79383224102016958</v>
      </c>
      <c r="F34" s="20">
        <f t="shared" si="4"/>
        <v>-0.44454605497129501</v>
      </c>
      <c r="G34" t="s">
        <v>6</v>
      </c>
    </row>
    <row r="35" spans="2:7" x14ac:dyDescent="0.25">
      <c r="C35">
        <f t="shared" ref="C35:D35" si="7">B24</f>
        <v>4</v>
      </c>
      <c r="D35">
        <f t="shared" si="7"/>
        <v>-7.5600000000000005</v>
      </c>
      <c r="E35" s="8">
        <f t="shared" si="3"/>
        <v>0.73502985279645328</v>
      </c>
      <c r="F35" s="20">
        <f t="shared" si="4"/>
        <v>-5.5568256871411874</v>
      </c>
      <c r="G35" t="s">
        <v>6</v>
      </c>
    </row>
    <row r="37" spans="2:7" ht="18" x14ac:dyDescent="0.35">
      <c r="C37" t="s">
        <v>141</v>
      </c>
      <c r="F37" s="20">
        <f>SUM(F31:F35)</f>
        <v>-7.56</v>
      </c>
      <c r="G37" t="s">
        <v>6</v>
      </c>
    </row>
    <row r="39" spans="2:7" ht="18" x14ac:dyDescent="0.35">
      <c r="B39" t="s">
        <v>142</v>
      </c>
    </row>
    <row r="40" spans="2:7" x14ac:dyDescent="0.25">
      <c r="D40" t="s">
        <v>16</v>
      </c>
      <c r="E40" t="s">
        <v>17</v>
      </c>
      <c r="F40" t="s">
        <v>93</v>
      </c>
    </row>
    <row r="41" spans="2:7" x14ac:dyDescent="0.25">
      <c r="C41">
        <f>C31</f>
        <v>0</v>
      </c>
      <c r="D41">
        <f>E20</f>
        <v>0.3</v>
      </c>
      <c r="E41" s="8">
        <f>1/(1+$B$9)^C41</f>
        <v>1</v>
      </c>
      <c r="F41" s="20">
        <f>D41*E41</f>
        <v>0.3</v>
      </c>
      <c r="G41" t="s">
        <v>132</v>
      </c>
    </row>
    <row r="42" spans="2:7" x14ac:dyDescent="0.25">
      <c r="C42">
        <f t="shared" ref="C42:C45" si="8">C32</f>
        <v>1</v>
      </c>
      <c r="D42">
        <f t="shared" ref="D42:D45" si="9">E21</f>
        <v>0.3</v>
      </c>
      <c r="E42" s="8">
        <f t="shared" ref="E42:E45" si="10">1/(1+$B$9)^C42</f>
        <v>0.970873786407767</v>
      </c>
      <c r="F42" s="20">
        <f t="shared" ref="F42:F45" si="11">D42*E42</f>
        <v>0.29126213592233008</v>
      </c>
      <c r="G42" t="s">
        <v>132</v>
      </c>
    </row>
    <row r="43" spans="2:7" x14ac:dyDescent="0.25">
      <c r="C43">
        <f t="shared" si="8"/>
        <v>2</v>
      </c>
      <c r="D43">
        <f t="shared" si="9"/>
        <v>0.3</v>
      </c>
      <c r="E43" s="8">
        <f t="shared" si="10"/>
        <v>0.94259590913375435</v>
      </c>
      <c r="F43" s="20">
        <f t="shared" si="11"/>
        <v>0.28277877274012631</v>
      </c>
      <c r="G43" t="s">
        <v>132</v>
      </c>
    </row>
    <row r="44" spans="2:7" x14ac:dyDescent="0.25">
      <c r="C44">
        <f t="shared" si="8"/>
        <v>3</v>
      </c>
      <c r="D44">
        <f t="shared" si="9"/>
        <v>0.3</v>
      </c>
      <c r="E44" s="8">
        <f t="shared" si="10"/>
        <v>0.91514165935315961</v>
      </c>
      <c r="F44" s="20">
        <f t="shared" si="11"/>
        <v>0.27454249780594786</v>
      </c>
      <c r="G44" t="s">
        <v>132</v>
      </c>
    </row>
    <row r="45" spans="2:7" x14ac:dyDescent="0.25">
      <c r="C45">
        <f t="shared" si="8"/>
        <v>4</v>
      </c>
      <c r="D45">
        <f t="shared" si="9"/>
        <v>10.3</v>
      </c>
      <c r="E45" s="8">
        <f t="shared" si="10"/>
        <v>0.888487047915689</v>
      </c>
      <c r="F45" s="20">
        <f t="shared" si="11"/>
        <v>9.1514165935315965</v>
      </c>
      <c r="G45" t="s">
        <v>132</v>
      </c>
    </row>
    <row r="47" spans="2:7" ht="18" x14ac:dyDescent="0.35">
      <c r="C47" t="s">
        <v>143</v>
      </c>
      <c r="F47" s="20">
        <f>SUM(F41:F45)</f>
        <v>10.3</v>
      </c>
      <c r="G47" t="s">
        <v>132</v>
      </c>
    </row>
    <row r="49" spans="2:7" ht="18" x14ac:dyDescent="0.35">
      <c r="C49" t="s">
        <v>143</v>
      </c>
      <c r="F49" s="20">
        <f>F47*B12</f>
        <v>8.24</v>
      </c>
      <c r="G49" t="s">
        <v>6</v>
      </c>
    </row>
    <row r="51" spans="2:7" x14ac:dyDescent="0.25">
      <c r="F51" s="2" t="s">
        <v>18</v>
      </c>
    </row>
    <row r="52" spans="2:7" ht="18" x14ac:dyDescent="0.35">
      <c r="B52" t="s">
        <v>139</v>
      </c>
      <c r="F52" s="24">
        <f>F37+F49</f>
        <v>0.6800000000000006</v>
      </c>
      <c r="G52" t="s">
        <v>6</v>
      </c>
    </row>
    <row r="54" spans="2:7" x14ac:dyDescent="0.25">
      <c r="B54" t="s">
        <v>152</v>
      </c>
    </row>
    <row r="55" spans="2:7" x14ac:dyDescent="0.25">
      <c r="B55" t="s">
        <v>153</v>
      </c>
    </row>
  </sheetData>
  <mergeCells count="1">
    <mergeCell ref="B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</vt:lpstr>
      <vt:lpstr>2.</vt:lpstr>
      <vt:lpstr>3.</vt:lpstr>
      <vt:lpstr>4.</vt:lpstr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Bihary  Zsolt</cp:lastModifiedBy>
  <dcterms:created xsi:type="dcterms:W3CDTF">2022-11-20T20:31:47Z</dcterms:created>
  <dcterms:modified xsi:type="dcterms:W3CDTF">2023-11-21T20:40:52Z</dcterms:modified>
</cp:coreProperties>
</file>