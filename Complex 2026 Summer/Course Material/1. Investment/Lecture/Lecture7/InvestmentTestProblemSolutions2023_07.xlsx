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rle\Downloads\"/>
    </mc:Choice>
  </mc:AlternateContent>
  <xr:revisionPtr revIDLastSave="0" documentId="13_ncr:1_{B52D4FF7-7385-46CC-95D4-FEF56E205268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Problem1." sheetId="23" r:id="rId1"/>
    <sheet name="Problem2." sheetId="28" r:id="rId2"/>
    <sheet name="Problem3." sheetId="29" r:id="rId3"/>
    <sheet name="Problem4." sheetId="3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30" l="1"/>
  <c r="B40" i="30"/>
  <c r="F40" i="30" s="1"/>
  <c r="B35" i="30"/>
  <c r="B24" i="30"/>
  <c r="B30" i="29"/>
  <c r="C31" i="29" s="1"/>
  <c r="D32" i="29" s="1"/>
  <c r="C14" i="29"/>
  <c r="C12" i="29"/>
  <c r="C13" i="29" s="1"/>
  <c r="G38" i="28"/>
  <c r="G31" i="28"/>
  <c r="I37" i="28" s="1"/>
  <c r="G39" i="28" s="1"/>
  <c r="G40" i="28" s="1"/>
  <c r="B12" i="28"/>
  <c r="E44" i="28" s="1"/>
  <c r="E45" i="28" s="1"/>
  <c r="B24" i="23"/>
  <c r="B27" i="23" s="1"/>
  <c r="G32" i="28" l="1"/>
  <c r="G33" i="28" s="1"/>
  <c r="D45" i="29"/>
  <c r="L32" i="29"/>
  <c r="H32" i="29"/>
  <c r="D65" i="29" s="1"/>
  <c r="C45" i="30"/>
  <c r="C46" i="30" s="1"/>
  <c r="E46" i="30" s="1"/>
  <c r="J40" i="30"/>
  <c r="C29" i="29"/>
  <c r="C15" i="29"/>
  <c r="F29" i="23"/>
  <c r="F14" i="23"/>
  <c r="B12" i="23"/>
  <c r="B54" i="30" l="1"/>
  <c r="F54" i="30" s="1"/>
  <c r="J54" i="30" s="1"/>
  <c r="E49" i="30"/>
  <c r="D55" i="29"/>
  <c r="H55" i="29" s="1"/>
  <c r="B32" i="23"/>
  <c r="D30" i="29"/>
  <c r="D28" i="29"/>
  <c r="B17" i="23"/>
  <c r="H28" i="29" l="1"/>
  <c r="D41" i="29"/>
  <c r="L28" i="29"/>
  <c r="K29" i="29" s="1"/>
  <c r="J30" i="29" s="1"/>
  <c r="L30" i="29"/>
  <c r="K31" i="29" s="1"/>
  <c r="H30" i="29"/>
  <c r="D43" i="29"/>
  <c r="C44" i="29" s="1"/>
  <c r="C64" i="29" l="1"/>
  <c r="D63" i="29"/>
  <c r="G31" i="29"/>
  <c r="C54" i="29" s="1"/>
  <c r="G54" i="29" s="1"/>
  <c r="D53" i="29"/>
  <c r="H53" i="29" s="1"/>
  <c r="C42" i="29"/>
  <c r="B43" i="29" s="1"/>
  <c r="D61" i="29"/>
  <c r="C62" i="29"/>
  <c r="G29" i="29"/>
  <c r="D51" i="29"/>
  <c r="H51" i="29" s="1"/>
  <c r="F30" i="29" l="1"/>
  <c r="B53" i="29" s="1"/>
  <c r="F53" i="29" s="1"/>
  <c r="B63" i="29"/>
  <c r="C52" i="29"/>
  <c r="G52" i="29" s="1"/>
</calcChain>
</file>

<file path=xl/sharedStrings.xml><?xml version="1.0" encoding="utf-8"?>
<sst xmlns="http://schemas.openxmlformats.org/spreadsheetml/2006/main" count="205" uniqueCount="126">
  <si>
    <t>Arbitrage-free forward price</t>
  </si>
  <si>
    <t>Arbitrage  strategy</t>
  </si>
  <si>
    <t>$</t>
  </si>
  <si>
    <t>sum</t>
  </si>
  <si>
    <t>S(0)</t>
  </si>
  <si>
    <t>CF(0)</t>
  </si>
  <si>
    <t>(in years)</t>
  </si>
  <si>
    <t>continous compounding</t>
  </si>
  <si>
    <t>dividend yield with continous compounding</t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</si>
  <si>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</t>
    </r>
  </si>
  <si>
    <t>Initial value of the forward contract</t>
  </si>
  <si>
    <t>T - t</t>
  </si>
  <si>
    <t>r(0)</t>
  </si>
  <si>
    <t>q(0)</t>
  </si>
  <si>
    <t>Value of the forward contract</t>
  </si>
  <si>
    <t>f(0) =</t>
  </si>
  <si>
    <t>The initial value of the forrward contract is zero if the delivery price is equal with the arbitrage free forward price</t>
  </si>
  <si>
    <r>
      <t>(F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 - 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(0))*DF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</t>
    </r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</si>
  <si>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</t>
    </r>
  </si>
  <si>
    <t>Position</t>
  </si>
  <si>
    <t xml:space="preserve">a) What are the forward price and the initial value of the forward contract? </t>
  </si>
  <si>
    <t>b) What are the forward price and the value of the forward contract now?</t>
  </si>
  <si>
    <t>t</t>
  </si>
  <si>
    <t xml:space="preserve">c) How can we lock in this value? Explain what new positions we need to take. </t>
  </si>
  <si>
    <t>Short</t>
  </si>
  <si>
    <t>Take a long forward position on the same underlying asset with three-month maturity LF(0,25)</t>
  </si>
  <si>
    <t>S(0,75)</t>
  </si>
  <si>
    <t>r(0,75)</t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</si>
  <si>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0,25</t>
    </r>
    <r>
      <rPr>
        <sz val="11"/>
        <color theme="1"/>
        <rFont val="Calibri"/>
        <family val="2"/>
        <charset val="238"/>
        <scheme val="minor"/>
      </rPr>
      <t>(0,75)</t>
    </r>
  </si>
  <si>
    <t>f(0,75) =</t>
  </si>
  <si>
    <r>
      <t>(F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 -F</t>
    </r>
    <r>
      <rPr>
        <vertAlign val="subscript"/>
        <sz val="11"/>
        <color theme="1"/>
        <rFont val="Calibri"/>
        <family val="2"/>
        <charset val="238"/>
        <scheme val="minor"/>
      </rPr>
      <t>0,25</t>
    </r>
    <r>
      <rPr>
        <sz val="11"/>
        <color theme="1"/>
        <rFont val="Calibri"/>
        <family val="2"/>
        <charset val="238"/>
        <scheme val="minor"/>
      </rPr>
      <t>(0,75))*DF</t>
    </r>
    <r>
      <rPr>
        <vertAlign val="subscript"/>
        <sz val="11"/>
        <color theme="1"/>
        <rFont val="Calibri"/>
        <family val="2"/>
        <charset val="238"/>
        <scheme val="minor"/>
      </rPr>
      <t>0,25</t>
    </r>
    <r>
      <rPr>
        <sz val="11"/>
        <color theme="1"/>
        <rFont val="Calibri"/>
        <family val="2"/>
        <charset val="238"/>
        <scheme val="minor"/>
      </rPr>
      <t>(0,75)</t>
    </r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</si>
  <si>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0,25</t>
    </r>
    <r>
      <rPr>
        <sz val="11"/>
        <color theme="1"/>
        <rFont val="Calibri"/>
        <family val="2"/>
        <charset val="238"/>
        <scheme val="minor"/>
      </rPr>
      <t>(0,75)</t>
    </r>
  </si>
  <si>
    <t>year</t>
  </si>
  <si>
    <t>T-t</t>
  </si>
  <si>
    <t>Difference</t>
  </si>
  <si>
    <t>S</t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</si>
  <si>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1</t>
    </r>
  </si>
  <si>
    <t xml:space="preserve">a) What is an upper bound for the price of a 1-year European put option on the stock with a strike price of $170,5? </t>
  </si>
  <si>
    <t>K</t>
  </si>
  <si>
    <t>upper bound of a put option</t>
  </si>
  <si>
    <t>b) What should you do if the put price is $180?</t>
  </si>
  <si>
    <r>
      <t>p</t>
    </r>
    <r>
      <rPr>
        <vertAlign val="superscript"/>
        <sz val="11"/>
        <color theme="1"/>
        <rFont val="Calibri"/>
        <family val="2"/>
        <charset val="238"/>
        <scheme val="minor"/>
      </rPr>
      <t>m</t>
    </r>
  </si>
  <si>
    <t>the market price is higher than the put upper bound: it is an arbitrage opportunity</t>
  </si>
  <si>
    <t>sell the put option on the market - because it's more expensive than the upper bound</t>
  </si>
  <si>
    <t>SP(1)</t>
  </si>
  <si>
    <r>
      <t>short put (SP(1))</t>
    </r>
    <r>
      <rPr>
        <sz val="11"/>
        <color theme="1"/>
        <rFont val="Calibri"/>
        <family val="2"/>
        <charset val="238"/>
        <scheme val="minor"/>
      </rPr>
      <t xml:space="preserve"> </t>
    </r>
  </si>
  <si>
    <t>take a position in a 1-year zero-coupon bond B(1)</t>
  </si>
  <si>
    <t xml:space="preserve">c) What will be your arbitrage portfolio payoff if the spot price a year later $100? </t>
  </si>
  <si>
    <t xml:space="preserve">short put position </t>
  </si>
  <si>
    <t>long position in a 1-year zero-coupon bond</t>
  </si>
  <si>
    <t>LB(1)</t>
  </si>
  <si>
    <t xml:space="preserve">Market price of the B(1) position is the opposit of the SP(1) market price </t>
  </si>
  <si>
    <t>If its negative - long bond position</t>
  </si>
  <si>
    <t>If its positive - short bond position</t>
  </si>
  <si>
    <t>The face value of the zero-coupon bond 180$/0,9091</t>
  </si>
  <si>
    <t>CF(1)</t>
  </si>
  <si>
    <t>if S(1) = 100</t>
  </si>
  <si>
    <t>the owner of the put option exercise the option</t>
  </si>
  <si>
    <t>d) How much is the minimum arbitrage profit PV in this case?</t>
  </si>
  <si>
    <t>PV(min arb profit)</t>
  </si>
  <si>
    <t>Price difference at t=0</t>
  </si>
  <si>
    <t>σ</t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</si>
  <si>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1</t>
    </r>
  </si>
  <si>
    <t>annual continuous compounding</t>
  </si>
  <si>
    <t>modell</t>
  </si>
  <si>
    <t>CRR</t>
  </si>
  <si>
    <t>Δt</t>
  </si>
  <si>
    <t>u</t>
  </si>
  <si>
    <t>d</t>
  </si>
  <si>
    <t>q</t>
  </si>
  <si>
    <t>Stock tree</t>
  </si>
  <si>
    <t>Call tree</t>
  </si>
  <si>
    <t>t = 0</t>
  </si>
  <si>
    <t>t = 1</t>
  </si>
  <si>
    <t>Call option price</t>
  </si>
  <si>
    <t>t = 2</t>
  </si>
  <si>
    <t xml:space="preserve">a) Calculate u, d, and q if the time period is one year. </t>
  </si>
  <si>
    <t>b) Price a European call option with strike $350 and with expiration of two years. Also price a European put option with strike $350 and with expiration of two years.</t>
  </si>
  <si>
    <t>Put tree</t>
  </si>
  <si>
    <t>Put option price</t>
  </si>
  <si>
    <t>Forward tree</t>
  </si>
  <si>
    <t xml:space="preserve">c) What is the value of a 2-year long forward contract if the delivery price is $350? Use risk-neutral valuation. </t>
  </si>
  <si>
    <t>position</t>
  </si>
  <si>
    <t>call</t>
  </si>
  <si>
    <t>put</t>
  </si>
  <si>
    <t xml:space="preserve">forward </t>
  </si>
  <si>
    <t>d) Verify that the European call and European put prices satisfy put–call parity at t=0.</t>
  </si>
  <si>
    <t>LC + SP tree</t>
  </si>
  <si>
    <t>e) Calculate the delta for a 2-year call option for every time period.</t>
  </si>
  <si>
    <t>Delta tree</t>
  </si>
  <si>
    <t xml:space="preserve">f) During the day the underlying asset implied volatility increased to 30%. Is the new value of a short straddle portfolio larger or smaller? </t>
  </si>
  <si>
    <t>Short straddle = short call and short put</t>
  </si>
  <si>
    <t>If the volatility increasing the option prices will be higer</t>
  </si>
  <si>
    <t>The short straddle value will be lower!</t>
  </si>
  <si>
    <t>r(1)</t>
  </si>
  <si>
    <t>continuous compounding</t>
  </si>
  <si>
    <t>delta</t>
  </si>
  <si>
    <t>gamma</t>
  </si>
  <si>
    <t>vega</t>
  </si>
  <si>
    <t>postion</t>
  </si>
  <si>
    <t>contract</t>
  </si>
  <si>
    <t>constract size</t>
  </si>
  <si>
    <t>short</t>
  </si>
  <si>
    <t xml:space="preserve">a) What will be the portfolio's delta  if the underlying asset increases by $1. </t>
  </si>
  <si>
    <t>S'-S</t>
  </si>
  <si>
    <t>Delta</t>
  </si>
  <si>
    <t>Gamma is negative --&gt; it will be higher</t>
  </si>
  <si>
    <t>b) If immediately after the trade the underlying asset increases by $10 will the loss be higher or lower if you consider the gamma sensitivity beside the delta?</t>
  </si>
  <si>
    <t xml:space="preserve">c) What will be the gain or loss if the underlying asset volatility increases by 1%? </t>
  </si>
  <si>
    <t>σ'-σ</t>
  </si>
  <si>
    <t>%</t>
  </si>
  <si>
    <t>Gain/Loss</t>
  </si>
  <si>
    <t>Portfolio vega</t>
  </si>
  <si>
    <t xml:space="preserve">We need the take a </t>
  </si>
  <si>
    <t xml:space="preserve">position in the other call option </t>
  </si>
  <si>
    <r>
      <t>LC</t>
    </r>
    <r>
      <rPr>
        <b/>
        <vertAlign val="subscript"/>
        <sz val="11"/>
        <color rgb="FFFF0000"/>
        <rFont val="Calibri"/>
        <family val="2"/>
        <charset val="238"/>
        <scheme val="minor"/>
      </rPr>
      <t>110</t>
    </r>
  </si>
  <si>
    <t xml:space="preserve">e) Calculate the delta of the vega-hedged portfolio. What will be the gain or loss if the underlying asset increases by 1%? </t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</si>
  <si>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>190</t>
    </r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</si>
  <si>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>210</t>
    </r>
  </si>
  <si>
    <t>Portfolio delta</t>
  </si>
  <si>
    <t xml:space="preserve">f) How can you hedge the delta with the underlying asset? </t>
  </si>
  <si>
    <t>position in the underlying asset</t>
  </si>
  <si>
    <t>SU</t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</si>
  <si>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0,75</t>
    </r>
    <r>
      <rPr>
        <sz val="11"/>
        <color theme="1"/>
        <rFont val="Calibri"/>
        <family val="2"/>
        <charset val="238"/>
        <scheme val="minor"/>
      </rPr>
      <t>(0)</t>
    </r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</si>
  <si>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2</t>
    </r>
  </si>
  <si>
    <t>d) What position in the other option (K=$210) is necessary to hedge the trader’s vega at the time of the trade?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</si>
</sst>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%"/>
    <numFmt numFmtId="167" formatCode="0.0"/>
  </numFmts>
  <fonts count="1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rgb="FF7030A0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b/>
      <sz val="12"/>
      <color rgb="FF00B05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0"/>
      <color theme="1"/>
      <name val="Times New Roman"/>
      <family val="1"/>
      <charset val="238"/>
    </font>
    <font>
      <b/>
      <vertAlign val="subscript"/>
      <sz val="11"/>
      <color rgb="FFFF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1" applyAlignment="1">
      <alignment horizontal="center"/>
    </xf>
    <xf numFmtId="0" fontId="1" fillId="2" borderId="0" xfId="1" applyFill="1" applyAlignment="1">
      <alignment horizontal="center"/>
    </xf>
    <xf numFmtId="9" fontId="1" fillId="2" borderId="0" xfId="1" applyNumberForma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/>
    <xf numFmtId="2" fontId="0" fillId="0" borderId="0" xfId="0" applyNumberFormat="1" applyAlignment="1">
      <alignment horizontal="center"/>
    </xf>
    <xf numFmtId="0" fontId="5" fillId="0" borderId="0" xfId="0" applyFont="1"/>
    <xf numFmtId="0" fontId="6" fillId="0" borderId="0" xfId="0" applyFont="1"/>
    <xf numFmtId="2" fontId="2" fillId="3" borderId="0" xfId="2" applyNumberFormat="1" applyFont="1" applyFill="1" applyAlignment="1">
      <alignment horizontal="center"/>
    </xf>
    <xf numFmtId="0" fontId="8" fillId="0" borderId="0" xfId="0" applyFont="1"/>
    <xf numFmtId="2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5" fontId="0" fillId="0" borderId="0" xfId="0" applyNumberFormat="1"/>
    <xf numFmtId="2" fontId="2" fillId="0" borderId="0" xfId="2" applyNumberFormat="1" applyFont="1" applyFill="1" applyAlignment="1">
      <alignment horizontal="center"/>
    </xf>
    <xf numFmtId="0" fontId="0" fillId="2" borderId="0" xfId="0" applyFill="1"/>
    <xf numFmtId="0" fontId="6" fillId="2" borderId="0" xfId="0" applyFont="1" applyFill="1"/>
    <xf numFmtId="167" fontId="1" fillId="0" borderId="0" xfId="1" applyNumberFormat="1" applyAlignment="1">
      <alignment horizontal="center"/>
    </xf>
    <xf numFmtId="0" fontId="2" fillId="3" borderId="0" xfId="0" applyFont="1" applyFill="1"/>
    <xf numFmtId="0" fontId="0" fillId="3" borderId="0" xfId="0" applyFill="1"/>
    <xf numFmtId="2" fontId="1" fillId="0" borderId="0" xfId="1" applyNumberFormat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9" fontId="0" fillId="2" borderId="0" xfId="0" applyNumberFormat="1" applyFill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0" fontId="2" fillId="0" borderId="0" xfId="0" applyFont="1" applyAlignment="1">
      <alignment horizontal="center"/>
    </xf>
    <xf numFmtId="2" fontId="2" fillId="3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10" fontId="0" fillId="2" borderId="0" xfId="0" applyNumberFormat="1" applyFill="1"/>
    <xf numFmtId="2" fontId="2" fillId="3" borderId="0" xfId="3" applyNumberFormat="1" applyFont="1" applyFill="1" applyAlignment="1">
      <alignment horizontal="center"/>
    </xf>
    <xf numFmtId="2" fontId="2" fillId="0" borderId="0" xfId="2" applyNumberFormat="1" applyFont="1" applyFill="1" applyAlignment="1">
      <alignment horizontal="left"/>
    </xf>
    <xf numFmtId="2" fontId="2" fillId="3" borderId="0" xfId="2" applyNumberFormat="1" applyFont="1" applyFill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2" fontId="2" fillId="3" borderId="1" xfId="0" applyNumberFormat="1" applyFont="1" applyFill="1" applyBorder="1" applyAlignment="1">
      <alignment horizontal="center"/>
    </xf>
    <xf numFmtId="1" fontId="2" fillId="3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2" fillId="3" borderId="0" xfId="0" applyFont="1" applyFill="1" applyAlignment="1">
      <alignment horizontal="center"/>
    </xf>
    <xf numFmtId="166" fontId="0" fillId="0" borderId="0" xfId="3" applyNumberFormat="1" applyFont="1" applyAlignment="1">
      <alignment horizontal="center"/>
    </xf>
    <xf numFmtId="1" fontId="0" fillId="0" borderId="0" xfId="0" applyNumberFormat="1"/>
    <xf numFmtId="0" fontId="11" fillId="0" borderId="0" xfId="0" applyFont="1"/>
    <xf numFmtId="0" fontId="10" fillId="0" borderId="0" xfId="0" applyFont="1"/>
    <xf numFmtId="2" fontId="2" fillId="3" borderId="0" xfId="0" applyNumberFormat="1" applyFont="1" applyFill="1"/>
    <xf numFmtId="2" fontId="1" fillId="2" borderId="0" xfId="1" applyNumberFormat="1" applyFill="1" applyAlignment="1">
      <alignment horizontal="center"/>
    </xf>
    <xf numFmtId="164" fontId="2" fillId="3" borderId="0" xfId="0" applyNumberFormat="1" applyFont="1" applyFill="1" applyAlignment="1">
      <alignment horizontal="center"/>
    </xf>
  </cellXfs>
  <cellStyles count="4">
    <cellStyle name="Normál" xfId="0" builtinId="0"/>
    <cellStyle name="Normál 2" xfId="1" xr:uid="{00000000-0005-0000-0000-000001000000}"/>
    <cellStyle name="Százalék" xfId="3" builtinId="5"/>
    <cellStyle name="Százalék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workbookViewId="0">
      <selection activeCell="A7" sqref="A7:B7"/>
    </sheetView>
  </sheetViews>
  <sheetFormatPr defaultRowHeight="14.5" x14ac:dyDescent="0.35"/>
  <cols>
    <col min="5" max="5" width="10.1796875" customWidth="1"/>
  </cols>
  <sheetData>
    <row r="1" spans="1:8" ht="15.5" x14ac:dyDescent="0.35">
      <c r="C1" s="8"/>
    </row>
    <row r="2" spans="1:8" ht="15.5" x14ac:dyDescent="0.35">
      <c r="A2" s="1" t="s">
        <v>4</v>
      </c>
      <c r="B2" s="2">
        <v>50</v>
      </c>
      <c r="C2" s="11" t="s">
        <v>2</v>
      </c>
    </row>
    <row r="3" spans="1:8" x14ac:dyDescent="0.35">
      <c r="A3" s="1" t="s">
        <v>12</v>
      </c>
      <c r="B3" s="3">
        <v>0.1</v>
      </c>
      <c r="C3" t="s">
        <v>7</v>
      </c>
    </row>
    <row r="4" spans="1:8" x14ac:dyDescent="0.35">
      <c r="A4" s="4" t="s">
        <v>13</v>
      </c>
      <c r="B4" s="3">
        <v>0</v>
      </c>
      <c r="C4" t="s">
        <v>8</v>
      </c>
    </row>
    <row r="5" spans="1:8" x14ac:dyDescent="0.35">
      <c r="A5" s="4" t="s">
        <v>11</v>
      </c>
      <c r="B5" s="12">
        <v>1</v>
      </c>
      <c r="C5" t="s">
        <v>6</v>
      </c>
    </row>
    <row r="6" spans="1:8" x14ac:dyDescent="0.35">
      <c r="A6" t="s">
        <v>19</v>
      </c>
      <c r="B6" s="12" t="s">
        <v>24</v>
      </c>
    </row>
    <row r="7" spans="1:8" ht="16.5" x14ac:dyDescent="0.45">
      <c r="A7" t="s">
        <v>123</v>
      </c>
      <c r="B7" s="12">
        <v>0.93</v>
      </c>
    </row>
    <row r="9" spans="1:8" x14ac:dyDescent="0.35">
      <c r="A9" s="16" t="s">
        <v>20</v>
      </c>
      <c r="B9" s="16"/>
      <c r="C9" s="17"/>
      <c r="D9" s="16"/>
      <c r="E9" s="16"/>
      <c r="F9" s="16"/>
      <c r="G9" s="16"/>
      <c r="H9" s="16"/>
    </row>
    <row r="10" spans="1:8" x14ac:dyDescent="0.35">
      <c r="C10" s="9"/>
    </row>
    <row r="11" spans="1:8" x14ac:dyDescent="0.35">
      <c r="B11" s="6" t="s">
        <v>0</v>
      </c>
      <c r="C11" s="9"/>
    </row>
    <row r="12" spans="1:8" ht="16.5" x14ac:dyDescent="0.45">
      <c r="A12" s="4" t="s">
        <v>9</v>
      </c>
      <c r="B12" s="10">
        <f>B2*EXP((B3-B4)*B5)</f>
        <v>55.258545903782384</v>
      </c>
      <c r="C12" s="11" t="s">
        <v>2</v>
      </c>
    </row>
    <row r="14" spans="1:8" ht="16.5" x14ac:dyDescent="0.45">
      <c r="A14" t="s">
        <v>15</v>
      </c>
      <c r="B14" t="s">
        <v>17</v>
      </c>
      <c r="E14" t="s">
        <v>18</v>
      </c>
      <c r="F14" s="14">
        <f>EXP(-B3*B5)</f>
        <v>0.90483741803595952</v>
      </c>
    </row>
    <row r="16" spans="1:8" x14ac:dyDescent="0.35">
      <c r="A16" s="4"/>
      <c r="B16" s="6" t="s">
        <v>10</v>
      </c>
    </row>
    <row r="17" spans="1:7" ht="15.5" x14ac:dyDescent="0.35">
      <c r="A17" s="4" t="s">
        <v>15</v>
      </c>
      <c r="B17" s="10">
        <f>(B12-B12)*F14</f>
        <v>0</v>
      </c>
      <c r="C17" s="11" t="s">
        <v>2</v>
      </c>
      <c r="E17" s="5" t="s">
        <v>16</v>
      </c>
    </row>
    <row r="18" spans="1:7" ht="15.5" x14ac:dyDescent="0.35">
      <c r="A18" s="4"/>
      <c r="B18" s="15"/>
      <c r="C18" s="11"/>
      <c r="E18" s="4"/>
      <c r="G18" s="5"/>
    </row>
    <row r="19" spans="1:7" x14ac:dyDescent="0.35">
      <c r="A19" s="4" t="s">
        <v>22</v>
      </c>
      <c r="B19" s="49">
        <v>0.75</v>
      </c>
      <c r="C19" t="s">
        <v>6</v>
      </c>
      <c r="E19" s="4"/>
      <c r="G19" s="5"/>
    </row>
    <row r="20" spans="1:7" ht="15.5" x14ac:dyDescent="0.35">
      <c r="A20" s="1" t="s">
        <v>26</v>
      </c>
      <c r="B20" s="2">
        <v>58</v>
      </c>
      <c r="C20" s="11" t="s">
        <v>2</v>
      </c>
    </row>
    <row r="21" spans="1:7" x14ac:dyDescent="0.35">
      <c r="A21" s="1" t="s">
        <v>27</v>
      </c>
      <c r="B21" s="3">
        <v>0.12</v>
      </c>
      <c r="C21" t="s">
        <v>7</v>
      </c>
    </row>
    <row r="22" spans="1:7" x14ac:dyDescent="0.35">
      <c r="A22" s="16" t="s">
        <v>21</v>
      </c>
      <c r="B22" s="13"/>
      <c r="C22" s="16"/>
      <c r="D22" s="16"/>
      <c r="E22" s="16"/>
      <c r="F22" s="16"/>
      <c r="G22" s="16"/>
    </row>
    <row r="23" spans="1:7" x14ac:dyDescent="0.35">
      <c r="B23" s="18"/>
    </row>
    <row r="24" spans="1:7" x14ac:dyDescent="0.35">
      <c r="A24" s="4" t="s">
        <v>11</v>
      </c>
      <c r="B24" s="21">
        <f>B5-B19</f>
        <v>0.25</v>
      </c>
    </row>
    <row r="25" spans="1:7" x14ac:dyDescent="0.35">
      <c r="A25" s="4"/>
      <c r="B25" s="18"/>
    </row>
    <row r="26" spans="1:7" x14ac:dyDescent="0.35">
      <c r="B26" s="6" t="s">
        <v>0</v>
      </c>
      <c r="C26" s="9"/>
    </row>
    <row r="27" spans="1:7" ht="16.5" x14ac:dyDescent="0.45">
      <c r="A27" s="4" t="s">
        <v>28</v>
      </c>
      <c r="B27" s="10">
        <f>B20*EXP((B21-B4)*B24)</f>
        <v>59.766362969303984</v>
      </c>
      <c r="C27" s="11" t="s">
        <v>2</v>
      </c>
    </row>
    <row r="29" spans="1:7" ht="16.5" x14ac:dyDescent="0.45">
      <c r="A29" t="s">
        <v>29</v>
      </c>
      <c r="B29" t="s">
        <v>30</v>
      </c>
      <c r="E29" t="s">
        <v>31</v>
      </c>
      <c r="F29" s="14">
        <f>EXP(-B21*B24)</f>
        <v>0.97044553354850815</v>
      </c>
    </row>
    <row r="31" spans="1:7" x14ac:dyDescent="0.35">
      <c r="A31" s="4"/>
      <c r="B31" s="6" t="s">
        <v>14</v>
      </c>
    </row>
    <row r="32" spans="1:7" ht="15.5" x14ac:dyDescent="0.35">
      <c r="A32" s="4" t="s">
        <v>29</v>
      </c>
      <c r="B32" s="10">
        <f>(B12-B27)*F29</f>
        <v>-4.3745909372891791</v>
      </c>
      <c r="C32" s="11" t="s">
        <v>2</v>
      </c>
      <c r="E32" s="7"/>
    </row>
    <row r="34" spans="1:10" x14ac:dyDescent="0.35">
      <c r="A34" s="16" t="s">
        <v>23</v>
      </c>
      <c r="B34" s="16"/>
      <c r="C34" s="16"/>
      <c r="D34" s="16"/>
      <c r="E34" s="16"/>
      <c r="F34" s="16"/>
      <c r="G34" s="16"/>
      <c r="H34" s="16"/>
    </row>
    <row r="36" spans="1:10" x14ac:dyDescent="0.35">
      <c r="B36" s="19" t="s">
        <v>25</v>
      </c>
      <c r="C36" s="19"/>
      <c r="D36" s="19"/>
      <c r="E36" s="19"/>
      <c r="F36" s="19"/>
      <c r="G36" s="19"/>
      <c r="H36" s="19"/>
      <c r="I36" s="19"/>
      <c r="J36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45"/>
  <sheetViews>
    <sheetView workbookViewId="0">
      <selection activeCell="G14" sqref="G14"/>
    </sheetView>
  </sheetViews>
  <sheetFormatPr defaultRowHeight="14.5" x14ac:dyDescent="0.35"/>
  <sheetData>
    <row r="2" spans="1:11" x14ac:dyDescent="0.35">
      <c r="A2" s="4" t="s">
        <v>35</v>
      </c>
      <c r="B2" s="23">
        <v>180</v>
      </c>
      <c r="C2" t="s">
        <v>2</v>
      </c>
    </row>
    <row r="3" spans="1:11" ht="16.5" x14ac:dyDescent="0.45">
      <c r="A3" s="4" t="s">
        <v>36</v>
      </c>
      <c r="B3" s="30">
        <v>0.90910000000000002</v>
      </c>
    </row>
    <row r="4" spans="1:11" ht="16.5" x14ac:dyDescent="0.45">
      <c r="A4" s="4" t="s">
        <v>124</v>
      </c>
      <c r="B4" s="30">
        <v>0.8</v>
      </c>
    </row>
    <row r="6" spans="1:11" x14ac:dyDescent="0.35">
      <c r="A6" s="16" t="s">
        <v>37</v>
      </c>
      <c r="B6" s="16"/>
      <c r="C6" s="16"/>
      <c r="D6" s="16"/>
      <c r="E6" s="16"/>
      <c r="F6" s="16"/>
      <c r="G6" s="16"/>
      <c r="H6" s="16"/>
      <c r="I6" s="16"/>
      <c r="J6" s="16"/>
      <c r="K6" s="16"/>
    </row>
    <row r="8" spans="1:11" x14ac:dyDescent="0.35">
      <c r="A8" s="4" t="s">
        <v>33</v>
      </c>
      <c r="B8" s="23">
        <v>1</v>
      </c>
    </row>
    <row r="9" spans="1:11" x14ac:dyDescent="0.35">
      <c r="A9" s="4" t="s">
        <v>38</v>
      </c>
      <c r="B9" s="23">
        <v>195</v>
      </c>
      <c r="C9" t="s">
        <v>2</v>
      </c>
    </row>
    <row r="11" spans="1:11" x14ac:dyDescent="0.35">
      <c r="B11" s="27" t="s">
        <v>39</v>
      </c>
    </row>
    <row r="12" spans="1:11" x14ac:dyDescent="0.35">
      <c r="B12" s="31">
        <f>B3*B9</f>
        <v>177.27450000000002</v>
      </c>
      <c r="C12" s="25" t="s">
        <v>2</v>
      </c>
    </row>
    <row r="14" spans="1:11" x14ac:dyDescent="0.35">
      <c r="A14" s="16" t="s">
        <v>40</v>
      </c>
      <c r="B14" s="16"/>
      <c r="C14" s="16"/>
      <c r="D14" s="16"/>
      <c r="E14" s="16"/>
    </row>
    <row r="16" spans="1:11" ht="16.5" x14ac:dyDescent="0.35">
      <c r="A16" s="4" t="s">
        <v>41</v>
      </c>
      <c r="B16" s="23">
        <v>180</v>
      </c>
      <c r="C16" t="s">
        <v>2</v>
      </c>
    </row>
    <row r="18" spans="1:9" x14ac:dyDescent="0.35">
      <c r="B18" t="s">
        <v>42</v>
      </c>
    </row>
    <row r="20" spans="1:9" x14ac:dyDescent="0.35">
      <c r="B20" t="s">
        <v>43</v>
      </c>
    </row>
    <row r="22" spans="1:9" x14ac:dyDescent="0.35">
      <c r="B22" t="s">
        <v>44</v>
      </c>
      <c r="E22" s="4"/>
    </row>
    <row r="24" spans="1:9" x14ac:dyDescent="0.35">
      <c r="B24" s="32" t="s">
        <v>1</v>
      </c>
    </row>
    <row r="25" spans="1:9" x14ac:dyDescent="0.35">
      <c r="B25" s="33" t="s">
        <v>45</v>
      </c>
      <c r="C25" s="20"/>
      <c r="D25" s="20"/>
      <c r="E25" s="20"/>
      <c r="F25" s="20"/>
    </row>
    <row r="26" spans="1:9" x14ac:dyDescent="0.35">
      <c r="B26" s="33" t="s">
        <v>46</v>
      </c>
      <c r="C26" s="20"/>
      <c r="D26" s="20"/>
      <c r="E26" s="20"/>
      <c r="F26" s="20"/>
    </row>
    <row r="28" spans="1:9" x14ac:dyDescent="0.35">
      <c r="A28" s="16" t="s">
        <v>47</v>
      </c>
      <c r="B28" s="16"/>
      <c r="C28" s="16"/>
      <c r="D28" s="16"/>
      <c r="E28" s="16"/>
      <c r="F28" s="16"/>
      <c r="G28" s="16"/>
      <c r="H28" s="16"/>
    </row>
    <row r="30" spans="1:9" x14ac:dyDescent="0.35">
      <c r="F30" t="s">
        <v>19</v>
      </c>
      <c r="G30" s="4" t="s">
        <v>5</v>
      </c>
    </row>
    <row r="31" spans="1:9" x14ac:dyDescent="0.35">
      <c r="B31" t="s">
        <v>48</v>
      </c>
      <c r="F31" t="s">
        <v>44</v>
      </c>
      <c r="G31" s="4">
        <f>B16</f>
        <v>180</v>
      </c>
      <c r="H31" t="s">
        <v>2</v>
      </c>
    </row>
    <row r="32" spans="1:9" x14ac:dyDescent="0.35">
      <c r="B32" t="s">
        <v>49</v>
      </c>
      <c r="F32" t="s">
        <v>50</v>
      </c>
      <c r="G32" s="4">
        <f>-G31</f>
        <v>-180</v>
      </c>
      <c r="H32" t="s">
        <v>2</v>
      </c>
      <c r="I32" t="s">
        <v>51</v>
      </c>
    </row>
    <row r="33" spans="1:10" x14ac:dyDescent="0.35">
      <c r="F33" s="35" t="s">
        <v>3</v>
      </c>
      <c r="G33" s="34">
        <f>SUM(G31:G32)</f>
        <v>0</v>
      </c>
      <c r="I33" t="s">
        <v>52</v>
      </c>
    </row>
    <row r="34" spans="1:10" x14ac:dyDescent="0.35">
      <c r="G34" s="4"/>
      <c r="I34" t="s">
        <v>53</v>
      </c>
    </row>
    <row r="35" spans="1:10" x14ac:dyDescent="0.35">
      <c r="G35" s="4"/>
    </row>
    <row r="36" spans="1:10" x14ac:dyDescent="0.35">
      <c r="G36" t="s">
        <v>56</v>
      </c>
      <c r="I36" t="s">
        <v>54</v>
      </c>
    </row>
    <row r="37" spans="1:10" x14ac:dyDescent="0.35">
      <c r="F37" t="s">
        <v>19</v>
      </c>
      <c r="G37" t="s">
        <v>55</v>
      </c>
      <c r="I37" s="26">
        <f>G31/B3</f>
        <v>197.99802001979981</v>
      </c>
      <c r="J37" t="s">
        <v>2</v>
      </c>
    </row>
    <row r="38" spans="1:10" x14ac:dyDescent="0.35">
      <c r="B38" t="s">
        <v>57</v>
      </c>
      <c r="F38" t="s">
        <v>44</v>
      </c>
      <c r="G38" s="7">
        <f>100-B9</f>
        <v>-95</v>
      </c>
      <c r="H38" t="s">
        <v>2</v>
      </c>
    </row>
    <row r="39" spans="1:10" x14ac:dyDescent="0.35">
      <c r="F39" s="36" t="s">
        <v>50</v>
      </c>
      <c r="G39" s="7">
        <f>I37</f>
        <v>197.99802001979981</v>
      </c>
      <c r="H39" t="s">
        <v>2</v>
      </c>
    </row>
    <row r="40" spans="1:10" x14ac:dyDescent="0.35">
      <c r="F40" t="s">
        <v>3</v>
      </c>
      <c r="G40" s="37">
        <f>G38+G39</f>
        <v>102.99802001979981</v>
      </c>
      <c r="H40" t="s">
        <v>2</v>
      </c>
    </row>
    <row r="42" spans="1:10" x14ac:dyDescent="0.35">
      <c r="A42" s="16" t="s">
        <v>58</v>
      </c>
      <c r="B42" s="16"/>
      <c r="C42" s="16"/>
      <c r="D42" s="16"/>
      <c r="E42" s="16"/>
      <c r="F42" s="16"/>
    </row>
    <row r="44" spans="1:10" x14ac:dyDescent="0.35">
      <c r="B44" t="s">
        <v>60</v>
      </c>
      <c r="E44" s="7">
        <f>B16-B12</f>
        <v>2.7254999999999825</v>
      </c>
      <c r="F44" t="s">
        <v>2</v>
      </c>
    </row>
    <row r="45" spans="1:10" x14ac:dyDescent="0.35">
      <c r="B45" s="6" t="s">
        <v>59</v>
      </c>
      <c r="E45" s="28">
        <f>E44</f>
        <v>2.7254999999999825</v>
      </c>
      <c r="F45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P72"/>
  <sheetViews>
    <sheetView topLeftCell="A61" workbookViewId="0">
      <selection activeCell="G79" sqref="G79"/>
    </sheetView>
  </sheetViews>
  <sheetFormatPr defaultRowHeight="14.5" x14ac:dyDescent="0.35"/>
  <sheetData>
    <row r="3" spans="1:5" x14ac:dyDescent="0.35">
      <c r="A3" s="4" t="s">
        <v>4</v>
      </c>
      <c r="B3" s="23">
        <v>300</v>
      </c>
      <c r="C3" t="s">
        <v>2</v>
      </c>
    </row>
    <row r="4" spans="1:5" x14ac:dyDescent="0.35">
      <c r="A4" s="41" t="s">
        <v>61</v>
      </c>
      <c r="B4" s="24">
        <v>0.25</v>
      </c>
    </row>
    <row r="5" spans="1:5" ht="16.5" x14ac:dyDescent="0.45">
      <c r="A5" s="4" t="s">
        <v>62</v>
      </c>
      <c r="B5" s="24">
        <v>0.1</v>
      </c>
      <c r="C5" t="s">
        <v>63</v>
      </c>
    </row>
    <row r="7" spans="1:5" x14ac:dyDescent="0.35">
      <c r="A7" s="22" t="s">
        <v>76</v>
      </c>
      <c r="B7" s="24"/>
      <c r="C7" s="16"/>
      <c r="D7" s="16"/>
      <c r="E7" s="16"/>
    </row>
    <row r="8" spans="1:5" x14ac:dyDescent="0.35">
      <c r="A8" s="25"/>
      <c r="B8" s="29"/>
    </row>
    <row r="9" spans="1:5" x14ac:dyDescent="0.35">
      <c r="A9" t="s">
        <v>64</v>
      </c>
      <c r="B9" s="23" t="s">
        <v>65</v>
      </c>
    </row>
    <row r="10" spans="1:5" x14ac:dyDescent="0.35">
      <c r="A10" s="41" t="s">
        <v>66</v>
      </c>
      <c r="B10" s="23">
        <v>1</v>
      </c>
      <c r="C10" t="s">
        <v>32</v>
      </c>
    </row>
    <row r="12" spans="1:5" x14ac:dyDescent="0.35">
      <c r="B12" s="4" t="s">
        <v>67</v>
      </c>
      <c r="C12" s="7">
        <f>EXP(B4*SQRT(B10))</f>
        <v>1.2840254166877414</v>
      </c>
    </row>
    <row r="13" spans="1:5" x14ac:dyDescent="0.35">
      <c r="B13" s="4" t="s">
        <v>68</v>
      </c>
      <c r="C13" s="7">
        <f>1/C12</f>
        <v>0.77880078307140488</v>
      </c>
    </row>
    <row r="14" spans="1:5" ht="16.5" x14ac:dyDescent="0.45">
      <c r="B14" s="4" t="s">
        <v>36</v>
      </c>
      <c r="C14" s="42">
        <f>EXP(-B10*B5)</f>
        <v>0.90483741803595952</v>
      </c>
    </row>
    <row r="15" spans="1:5" x14ac:dyDescent="0.35">
      <c r="B15" s="4" t="s">
        <v>69</v>
      </c>
      <c r="C15" s="44">
        <f>(1/C14-C13)/(C12-C13)</f>
        <v>0.64599014633970853</v>
      </c>
    </row>
    <row r="17" spans="1:16" x14ac:dyDescent="0.35">
      <c r="A17" s="16" t="s">
        <v>77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9" spans="1:16" x14ac:dyDescent="0.35">
      <c r="A19" t="s">
        <v>64</v>
      </c>
      <c r="B19" s="23" t="s">
        <v>65</v>
      </c>
    </row>
    <row r="20" spans="1:16" x14ac:dyDescent="0.35">
      <c r="A20" s="4" t="s">
        <v>38</v>
      </c>
      <c r="B20" s="23">
        <v>350</v>
      </c>
      <c r="C20" t="s">
        <v>2</v>
      </c>
    </row>
    <row r="21" spans="1:16" x14ac:dyDescent="0.35">
      <c r="A21" s="4" t="s">
        <v>33</v>
      </c>
      <c r="B21" s="23">
        <v>2</v>
      </c>
      <c r="C21" t="s">
        <v>32</v>
      </c>
    </row>
    <row r="22" spans="1:16" x14ac:dyDescent="0.35">
      <c r="A22" s="41" t="s">
        <v>66</v>
      </c>
      <c r="B22" s="23">
        <v>1</v>
      </c>
      <c r="C22" t="s">
        <v>32</v>
      </c>
    </row>
    <row r="23" spans="1:16" x14ac:dyDescent="0.35">
      <c r="A23" s="41" t="s">
        <v>82</v>
      </c>
      <c r="B23" s="23" t="s">
        <v>83</v>
      </c>
    </row>
    <row r="24" spans="1:16" x14ac:dyDescent="0.35">
      <c r="A24" s="41" t="s">
        <v>82</v>
      </c>
      <c r="B24" s="23" t="s">
        <v>84</v>
      </c>
    </row>
    <row r="25" spans="1:16" x14ac:dyDescent="0.35">
      <c r="A25" s="41"/>
    </row>
    <row r="26" spans="1:16" x14ac:dyDescent="0.35">
      <c r="B26" s="4" t="s">
        <v>70</v>
      </c>
      <c r="F26" t="s">
        <v>71</v>
      </c>
      <c r="J26" t="s">
        <v>78</v>
      </c>
    </row>
    <row r="27" spans="1:16" x14ac:dyDescent="0.35">
      <c r="B27" s="4" t="s">
        <v>72</v>
      </c>
      <c r="C27" s="4" t="s">
        <v>73</v>
      </c>
      <c r="D27" s="4" t="s">
        <v>75</v>
      </c>
      <c r="F27" s="4" t="s">
        <v>72</v>
      </c>
      <c r="G27" s="4" t="s">
        <v>73</v>
      </c>
      <c r="H27" s="4" t="s">
        <v>75</v>
      </c>
      <c r="J27" s="4" t="s">
        <v>72</v>
      </c>
      <c r="K27" s="4" t="s">
        <v>73</v>
      </c>
      <c r="L27" s="4" t="s">
        <v>75</v>
      </c>
    </row>
    <row r="28" spans="1:16" x14ac:dyDescent="0.35">
      <c r="B28" s="4"/>
      <c r="C28" s="39"/>
      <c r="D28" s="39">
        <f>C29*C12</f>
        <v>494.61638121003836</v>
      </c>
      <c r="G28" s="45"/>
      <c r="H28" s="39">
        <f>MAX(D28-$B$20,0)</f>
        <v>144.61638121003836</v>
      </c>
      <c r="L28" s="45">
        <f>MAX($B$20-D28,0)</f>
        <v>0</v>
      </c>
    </row>
    <row r="29" spans="1:16" x14ac:dyDescent="0.35">
      <c r="B29" s="4"/>
      <c r="C29" s="39">
        <f>B30*C12</f>
        <v>385.20762500632242</v>
      </c>
      <c r="D29" s="4"/>
      <c r="F29" s="40" t="s">
        <v>74</v>
      </c>
      <c r="G29" s="7">
        <f>(H28*$C$15+H30*(1-$C$15))*$C$14</f>
        <v>84.530596790999894</v>
      </c>
      <c r="H29" s="39"/>
      <c r="J29" s="40" t="s">
        <v>79</v>
      </c>
      <c r="K29" s="7">
        <f>(L28*$C$15+L30*(1-$C$15))*$C$14</f>
        <v>16.0160680972633</v>
      </c>
      <c r="L29" s="45"/>
    </row>
    <row r="30" spans="1:16" x14ac:dyDescent="0.35">
      <c r="B30" s="4">
        <f>B3</f>
        <v>300</v>
      </c>
      <c r="C30" s="39"/>
      <c r="D30" s="4">
        <f>C29*C13</f>
        <v>300</v>
      </c>
      <c r="F30" s="28">
        <f>(G29*$C$15+G31*(1-$C$15))*$C$14</f>
        <v>49.409491055267893</v>
      </c>
      <c r="G30" s="39"/>
      <c r="H30" s="39">
        <f t="shared" ref="H30:H32" si="0">MAX(D30-$B$20,0)</f>
        <v>0</v>
      </c>
      <c r="J30" s="28">
        <f>(K29*$C$15+K31*(1-$C$15))*$C$14</f>
        <v>35.965254632561482</v>
      </c>
      <c r="L30" s="45">
        <f t="shared" ref="L30:L32" si="1">MAX($B$20-D30,0)</f>
        <v>50</v>
      </c>
    </row>
    <row r="31" spans="1:16" x14ac:dyDescent="0.35">
      <c r="B31" s="4"/>
      <c r="C31" s="39">
        <f>B30*C13</f>
        <v>233.64023492142147</v>
      </c>
      <c r="D31" s="4"/>
      <c r="F31" s="4"/>
      <c r="G31" s="7">
        <f>(H30*$C$15+H32*(1-$C$15))*$C$14</f>
        <v>0</v>
      </c>
      <c r="H31" s="39"/>
      <c r="K31" s="7">
        <f>(L30*$C$15+L32*(1-$C$15))*$C$14</f>
        <v>83.052861391164342</v>
      </c>
      <c r="L31" s="45"/>
    </row>
    <row r="32" spans="1:16" x14ac:dyDescent="0.35">
      <c r="B32" s="4"/>
      <c r="C32" s="4"/>
      <c r="D32" s="39">
        <f>C31*C13</f>
        <v>181.95919791379004</v>
      </c>
      <c r="F32" s="4"/>
      <c r="G32" s="4"/>
      <c r="H32" s="39">
        <f t="shared" si="0"/>
        <v>0</v>
      </c>
      <c r="L32" s="45">
        <f t="shared" si="1"/>
        <v>168.04080208620996</v>
      </c>
    </row>
    <row r="34" spans="1:11" x14ac:dyDescent="0.35">
      <c r="A34" s="16" t="s">
        <v>81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6" spans="1:11" x14ac:dyDescent="0.35">
      <c r="A36" s="4" t="s">
        <v>38</v>
      </c>
      <c r="B36" s="23">
        <v>350</v>
      </c>
      <c r="C36" t="s">
        <v>2</v>
      </c>
    </row>
    <row r="37" spans="1:11" x14ac:dyDescent="0.35">
      <c r="A37" t="s">
        <v>82</v>
      </c>
      <c r="B37" t="s">
        <v>85</v>
      </c>
    </row>
    <row r="39" spans="1:11" x14ac:dyDescent="0.35">
      <c r="B39" t="s">
        <v>80</v>
      </c>
    </row>
    <row r="40" spans="1:11" x14ac:dyDescent="0.35">
      <c r="B40" s="4" t="s">
        <v>72</v>
      </c>
      <c r="C40" s="4" t="s">
        <v>73</v>
      </c>
      <c r="D40" s="4" t="s">
        <v>75</v>
      </c>
    </row>
    <row r="41" spans="1:11" x14ac:dyDescent="0.35">
      <c r="B41" s="4"/>
      <c r="C41" s="4"/>
      <c r="D41" s="39">
        <f>D28-$B$20</f>
        <v>144.61638121003836</v>
      </c>
      <c r="E41" s="4"/>
    </row>
    <row r="42" spans="1:11" x14ac:dyDescent="0.35">
      <c r="B42" s="4"/>
      <c r="C42" s="7">
        <f>(D41*$C$15+D43*(1-$C$15))*$C$14</f>
        <v>68.514528693736594</v>
      </c>
      <c r="D42" s="39"/>
      <c r="E42" s="4"/>
    </row>
    <row r="43" spans="1:11" x14ac:dyDescent="0.35">
      <c r="B43" s="28">
        <f>(C42*$C$15+C44*(1-$C$15))*$C$14</f>
        <v>13.444236422706403</v>
      </c>
      <c r="C43" s="4"/>
      <c r="D43" s="39">
        <f>D30-$B$20</f>
        <v>-50</v>
      </c>
      <c r="E43" s="4"/>
    </row>
    <row r="44" spans="1:11" x14ac:dyDescent="0.35">
      <c r="B44" s="4"/>
      <c r="C44" s="7">
        <f>(D43*$C$15+D45*(1-$C$15))*$C$14</f>
        <v>-83.052861391164342</v>
      </c>
      <c r="D44" s="39"/>
      <c r="E44" s="4"/>
    </row>
    <row r="45" spans="1:11" x14ac:dyDescent="0.35">
      <c r="B45" s="4"/>
      <c r="C45" s="4"/>
      <c r="D45" s="39">
        <f>D32-$B$20</f>
        <v>-168.04080208620996</v>
      </c>
      <c r="E45" s="4"/>
    </row>
    <row r="47" spans="1:11" x14ac:dyDescent="0.35">
      <c r="A47" s="16" t="s">
        <v>86</v>
      </c>
      <c r="B47" s="16"/>
      <c r="C47" s="16"/>
      <c r="D47" s="16"/>
      <c r="E47" s="16"/>
      <c r="F47" s="16"/>
      <c r="G47" s="16"/>
      <c r="H47" s="16"/>
      <c r="I47" s="16"/>
    </row>
    <row r="49" spans="1:8" x14ac:dyDescent="0.35">
      <c r="B49" t="s">
        <v>87</v>
      </c>
      <c r="F49" s="6" t="s">
        <v>34</v>
      </c>
    </row>
    <row r="50" spans="1:8" x14ac:dyDescent="0.35">
      <c r="B50" s="4" t="s">
        <v>72</v>
      </c>
      <c r="C50" s="4" t="s">
        <v>73</v>
      </c>
      <c r="D50" s="4" t="s">
        <v>75</v>
      </c>
      <c r="F50" s="43" t="s">
        <v>72</v>
      </c>
      <c r="G50" s="43" t="s">
        <v>73</v>
      </c>
      <c r="H50" s="43" t="s">
        <v>75</v>
      </c>
    </row>
    <row r="51" spans="1:8" x14ac:dyDescent="0.35">
      <c r="B51" s="39"/>
      <c r="C51" s="39"/>
      <c r="D51" s="39">
        <f>H28-L28</f>
        <v>144.61638121003836</v>
      </c>
      <c r="E51" s="4"/>
      <c r="F51" s="38"/>
      <c r="G51" s="38"/>
      <c r="H51" s="38">
        <f>D41-D51</f>
        <v>0</v>
      </c>
    </row>
    <row r="52" spans="1:8" x14ac:dyDescent="0.35">
      <c r="B52" s="39"/>
      <c r="C52" s="7">
        <f>G29-K29</f>
        <v>68.514528693736594</v>
      </c>
      <c r="D52" s="39"/>
      <c r="E52" s="4"/>
      <c r="F52" s="38"/>
      <c r="G52" s="38">
        <f>C42-C52</f>
        <v>0</v>
      </c>
      <c r="H52" s="38"/>
    </row>
    <row r="53" spans="1:8" x14ac:dyDescent="0.35">
      <c r="B53" s="7">
        <f>F30-J30</f>
        <v>13.44423642270641</v>
      </c>
      <c r="C53" s="39"/>
      <c r="D53" s="39">
        <f>H30-L30</f>
        <v>-50</v>
      </c>
      <c r="E53" s="4"/>
      <c r="F53" s="38">
        <f>B43-B53</f>
        <v>0</v>
      </c>
      <c r="G53" s="38"/>
      <c r="H53" s="38">
        <f>D43-D53</f>
        <v>0</v>
      </c>
    </row>
    <row r="54" spans="1:8" x14ac:dyDescent="0.35">
      <c r="B54" s="39"/>
      <c r="C54" s="7">
        <f>G31-K31</f>
        <v>-83.052861391164342</v>
      </c>
      <c r="D54" s="39"/>
      <c r="E54" s="4"/>
      <c r="F54" s="38"/>
      <c r="G54" s="38">
        <f>C44-C54</f>
        <v>0</v>
      </c>
      <c r="H54" s="38"/>
    </row>
    <row r="55" spans="1:8" x14ac:dyDescent="0.35">
      <c r="B55" s="39"/>
      <c r="C55" s="39"/>
      <c r="D55" s="39">
        <f>H32-L32</f>
        <v>-168.04080208620996</v>
      </c>
      <c r="E55" s="4"/>
      <c r="F55" s="38"/>
      <c r="G55" s="38"/>
      <c r="H55" s="38">
        <f>D45-D55</f>
        <v>0</v>
      </c>
    </row>
    <row r="57" spans="1:8" x14ac:dyDescent="0.35">
      <c r="A57" s="16" t="s">
        <v>88</v>
      </c>
      <c r="B57" s="16"/>
      <c r="C57" s="16"/>
      <c r="D57" s="16"/>
      <c r="E57" s="16"/>
      <c r="F57" s="16"/>
      <c r="G57" s="16"/>
    </row>
    <row r="59" spans="1:8" x14ac:dyDescent="0.35">
      <c r="B59" t="s">
        <v>89</v>
      </c>
    </row>
    <row r="60" spans="1:8" x14ac:dyDescent="0.35">
      <c r="B60" s="43" t="s">
        <v>72</v>
      </c>
      <c r="C60" s="43" t="s">
        <v>73</v>
      </c>
      <c r="D60" s="43" t="s">
        <v>75</v>
      </c>
    </row>
    <row r="61" spans="1:8" x14ac:dyDescent="0.35">
      <c r="B61" s="19"/>
      <c r="C61" s="19"/>
      <c r="D61" s="43">
        <f>IF(H28&gt;0,1,0)</f>
        <v>1</v>
      </c>
    </row>
    <row r="62" spans="1:8" x14ac:dyDescent="0.35">
      <c r="B62" s="19"/>
      <c r="C62" s="50">
        <f>(H28-H30)/(D28-D30)</f>
        <v>0.74308431957720011</v>
      </c>
      <c r="D62" s="43"/>
    </row>
    <row r="63" spans="1:8" x14ac:dyDescent="0.35">
      <c r="B63" s="50">
        <f>(G29-G31)/(C29-C31)</f>
        <v>0.55770965471959244</v>
      </c>
      <c r="C63" s="19"/>
      <c r="D63" s="43">
        <f t="shared" ref="D63:D65" si="2">IF(H30&gt;0,1,0)</f>
        <v>0</v>
      </c>
    </row>
    <row r="64" spans="1:8" x14ac:dyDescent="0.35">
      <c r="B64" s="19"/>
      <c r="C64" s="50">
        <f>(H30-H32)/(D30-D32)</f>
        <v>0</v>
      </c>
      <c r="D64" s="43"/>
    </row>
    <row r="65" spans="1:14" x14ac:dyDescent="0.35">
      <c r="B65" s="19"/>
      <c r="C65" s="19"/>
      <c r="D65" s="43">
        <f t="shared" si="2"/>
        <v>0</v>
      </c>
    </row>
    <row r="67" spans="1:14" x14ac:dyDescent="0.35">
      <c r="A67" s="16" t="s">
        <v>90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9" spans="1:14" x14ac:dyDescent="0.35">
      <c r="B69" t="s">
        <v>91</v>
      </c>
    </row>
    <row r="70" spans="1:14" x14ac:dyDescent="0.35">
      <c r="B70" t="s">
        <v>92</v>
      </c>
    </row>
    <row r="72" spans="1:14" x14ac:dyDescent="0.35">
      <c r="B72" s="19" t="s">
        <v>93</v>
      </c>
      <c r="C72" s="19"/>
      <c r="D72" s="19"/>
      <c r="E72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P54"/>
  <sheetViews>
    <sheetView tabSelected="1" topLeftCell="A28" workbookViewId="0">
      <selection activeCell="L32" sqref="L32"/>
    </sheetView>
  </sheetViews>
  <sheetFormatPr defaultRowHeight="14.5" x14ac:dyDescent="0.35"/>
  <sheetData>
    <row r="3" spans="1:5" x14ac:dyDescent="0.35">
      <c r="A3" t="s">
        <v>4</v>
      </c>
      <c r="B3" s="23">
        <v>200</v>
      </c>
      <c r="C3" s="46" t="s">
        <v>2</v>
      </c>
    </row>
    <row r="4" spans="1:5" x14ac:dyDescent="0.35">
      <c r="A4" s="47" t="s">
        <v>61</v>
      </c>
      <c r="B4" s="24">
        <v>0.3</v>
      </c>
    </row>
    <row r="5" spans="1:5" x14ac:dyDescent="0.35">
      <c r="A5" t="s">
        <v>94</v>
      </c>
      <c r="B5" s="24">
        <v>0.08</v>
      </c>
      <c r="C5" t="s">
        <v>95</v>
      </c>
    </row>
    <row r="7" spans="1:5" x14ac:dyDescent="0.35">
      <c r="A7" t="s">
        <v>38</v>
      </c>
      <c r="B7" s="23">
        <v>190</v>
      </c>
      <c r="C7" s="23">
        <v>210</v>
      </c>
      <c r="D7" s="23">
        <v>220</v>
      </c>
      <c r="E7" s="46" t="s">
        <v>2</v>
      </c>
    </row>
    <row r="8" spans="1:5" x14ac:dyDescent="0.35">
      <c r="A8" t="s">
        <v>96</v>
      </c>
      <c r="B8" s="23">
        <v>0.42599999999999999</v>
      </c>
      <c r="C8" s="23">
        <v>0.53900000000000003</v>
      </c>
      <c r="D8" s="23">
        <v>0.56999999999999995</v>
      </c>
    </row>
    <row r="9" spans="1:5" x14ac:dyDescent="0.35">
      <c r="A9" t="s">
        <v>97</v>
      </c>
      <c r="B9" s="23">
        <v>1.2999999999999999E-2</v>
      </c>
      <c r="C9" s="23">
        <v>2.1999999999999999E-2</v>
      </c>
      <c r="D9" s="23">
        <v>2.5000000000000001E-2</v>
      </c>
    </row>
    <row r="10" spans="1:5" x14ac:dyDescent="0.35">
      <c r="A10" t="s">
        <v>98</v>
      </c>
      <c r="B10" s="23">
        <v>0.313</v>
      </c>
      <c r="C10" s="23">
        <v>0.38600000000000001</v>
      </c>
      <c r="D10" s="23">
        <v>0.39500000000000002</v>
      </c>
    </row>
    <row r="12" spans="1:5" x14ac:dyDescent="0.35">
      <c r="A12" t="s">
        <v>33</v>
      </c>
      <c r="B12" s="23">
        <v>1</v>
      </c>
      <c r="C12" t="s">
        <v>32</v>
      </c>
    </row>
    <row r="13" spans="1:5" x14ac:dyDescent="0.35">
      <c r="C13" s="4"/>
    </row>
    <row r="14" spans="1:5" x14ac:dyDescent="0.35">
      <c r="A14" s="4" t="s">
        <v>99</v>
      </c>
      <c r="B14" s="23" t="s">
        <v>102</v>
      </c>
    </row>
    <row r="15" spans="1:5" x14ac:dyDescent="0.35">
      <c r="A15" s="4" t="s">
        <v>38</v>
      </c>
      <c r="B15" s="23">
        <v>190</v>
      </c>
    </row>
    <row r="16" spans="1:5" x14ac:dyDescent="0.35">
      <c r="A16" s="4" t="s">
        <v>100</v>
      </c>
      <c r="B16" s="23">
        <v>10</v>
      </c>
    </row>
    <row r="17" spans="1:16" x14ac:dyDescent="0.35">
      <c r="A17" s="4" t="s">
        <v>101</v>
      </c>
      <c r="B17" s="23">
        <v>100</v>
      </c>
    </row>
    <row r="19" spans="1:16" x14ac:dyDescent="0.35">
      <c r="A19" s="16" t="s">
        <v>103</v>
      </c>
      <c r="B19" s="16"/>
      <c r="C19" s="16"/>
      <c r="D19" s="16"/>
      <c r="E19" s="16"/>
      <c r="F19" s="16"/>
      <c r="G19" s="16"/>
      <c r="H19" s="16"/>
    </row>
    <row r="21" spans="1:16" x14ac:dyDescent="0.35">
      <c r="A21" s="4" t="s">
        <v>104</v>
      </c>
      <c r="B21" s="4">
        <v>1</v>
      </c>
      <c r="C21" s="46" t="s">
        <v>2</v>
      </c>
    </row>
    <row r="23" spans="1:16" x14ac:dyDescent="0.35">
      <c r="B23" s="27" t="s">
        <v>105</v>
      </c>
    </row>
    <row r="24" spans="1:16" x14ac:dyDescent="0.35">
      <c r="B24" s="38">
        <f>-B16*B17*(B8+B9)</f>
        <v>-439</v>
      </c>
    </row>
    <row r="26" spans="1:16" x14ac:dyDescent="0.35">
      <c r="A26" s="16" t="s">
        <v>107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</row>
    <row r="28" spans="1:16" x14ac:dyDescent="0.35">
      <c r="B28" s="19" t="s">
        <v>106</v>
      </c>
      <c r="C28" s="19"/>
      <c r="D28" s="19"/>
      <c r="E28" s="19"/>
    </row>
    <row r="30" spans="1:16" x14ac:dyDescent="0.35">
      <c r="A30" s="16" t="s">
        <v>108</v>
      </c>
      <c r="B30" s="16"/>
      <c r="C30" s="16"/>
      <c r="D30" s="16"/>
      <c r="E30" s="16"/>
      <c r="F30" s="16"/>
      <c r="G30" s="16"/>
      <c r="H30" s="16"/>
    </row>
    <row r="32" spans="1:16" x14ac:dyDescent="0.35">
      <c r="A32" s="47" t="s">
        <v>109</v>
      </c>
      <c r="B32" s="39">
        <v>1</v>
      </c>
      <c r="C32" t="s">
        <v>110</v>
      </c>
    </row>
    <row r="34" spans="1:12" x14ac:dyDescent="0.35">
      <c r="B34" s="6" t="s">
        <v>111</v>
      </c>
    </row>
    <row r="35" spans="1:12" x14ac:dyDescent="0.35">
      <c r="B35" s="43">
        <f>-B16*B17*B32*B10</f>
        <v>-313</v>
      </c>
      <c r="C35" s="46" t="s">
        <v>2</v>
      </c>
    </row>
    <row r="37" spans="1:12" x14ac:dyDescent="0.35">
      <c r="A37" s="16" t="s">
        <v>125</v>
      </c>
      <c r="B37" s="16"/>
      <c r="C37" s="16"/>
      <c r="D37" s="16"/>
      <c r="E37" s="16"/>
      <c r="F37" s="16"/>
      <c r="G37" s="16"/>
      <c r="H37" s="16"/>
      <c r="I37" s="16"/>
      <c r="J37" s="16"/>
    </row>
    <row r="39" spans="1:12" x14ac:dyDescent="0.35">
      <c r="B39" t="s">
        <v>112</v>
      </c>
    </row>
    <row r="40" spans="1:12" ht="16.5" x14ac:dyDescent="0.45">
      <c r="B40" s="4">
        <f>-B17*B16*B10</f>
        <v>-313</v>
      </c>
      <c r="D40" s="19" t="s">
        <v>113</v>
      </c>
      <c r="E40" s="19"/>
      <c r="F40" s="19">
        <f>-B40/C10</f>
        <v>810.88082901554401</v>
      </c>
      <c r="G40" s="19" t="s">
        <v>114</v>
      </c>
      <c r="H40" s="19"/>
      <c r="I40" s="19"/>
      <c r="J40" s="19">
        <f>F40</f>
        <v>810.88082901554401</v>
      </c>
      <c r="K40" s="19" t="s">
        <v>115</v>
      </c>
    </row>
    <row r="42" spans="1:12" x14ac:dyDescent="0.35">
      <c r="A42" s="16" t="s">
        <v>116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4" spans="1:12" ht="16.5" x14ac:dyDescent="0.45">
      <c r="B44" t="s">
        <v>117</v>
      </c>
      <c r="C44" t="s">
        <v>118</v>
      </c>
    </row>
    <row r="45" spans="1:12" x14ac:dyDescent="0.35">
      <c r="B45" s="4">
        <v>-1000</v>
      </c>
      <c r="C45" s="7">
        <f>F40</f>
        <v>810.88082901554401</v>
      </c>
      <c r="E45" t="s">
        <v>119</v>
      </c>
      <c r="G45" s="4" t="s">
        <v>104</v>
      </c>
      <c r="H45" s="4">
        <v>1</v>
      </c>
      <c r="I45" s="46" t="s">
        <v>2</v>
      </c>
    </row>
    <row r="46" spans="1:12" x14ac:dyDescent="0.35">
      <c r="A46" t="s">
        <v>96</v>
      </c>
      <c r="B46" s="4">
        <f>B45*B8</f>
        <v>-426</v>
      </c>
      <c r="C46" s="7">
        <f>C45*C8</f>
        <v>437.06476683937825</v>
      </c>
      <c r="E46" s="26">
        <f>B46+C46</f>
        <v>11.064766839378251</v>
      </c>
    </row>
    <row r="48" spans="1:12" x14ac:dyDescent="0.35">
      <c r="E48" s="6" t="s">
        <v>111</v>
      </c>
    </row>
    <row r="49" spans="1:11" x14ac:dyDescent="0.35">
      <c r="E49" s="28">
        <f>E46*H45</f>
        <v>11.064766839378251</v>
      </c>
      <c r="F49" s="46" t="s">
        <v>2</v>
      </c>
    </row>
    <row r="51" spans="1:11" x14ac:dyDescent="0.35">
      <c r="A51" s="16" t="s">
        <v>120</v>
      </c>
      <c r="B51" s="16"/>
      <c r="C51" s="16"/>
      <c r="D51" s="16"/>
      <c r="E51" s="16"/>
      <c r="F51" s="16"/>
    </row>
    <row r="53" spans="1:11" x14ac:dyDescent="0.35">
      <c r="B53" t="s">
        <v>119</v>
      </c>
    </row>
    <row r="54" spans="1:11" x14ac:dyDescent="0.35">
      <c r="B54" s="7">
        <f>E46</f>
        <v>11.064766839378251</v>
      </c>
      <c r="D54" s="19" t="s">
        <v>113</v>
      </c>
      <c r="E54" s="19"/>
      <c r="F54" s="48">
        <f>-B54</f>
        <v>-11.064766839378251</v>
      </c>
      <c r="G54" s="19" t="s">
        <v>121</v>
      </c>
      <c r="H54" s="19"/>
      <c r="I54" s="19"/>
      <c r="J54" s="48">
        <f>-F54</f>
        <v>11.064766839378251</v>
      </c>
      <c r="K54" s="19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Problem1.</vt:lpstr>
      <vt:lpstr>Problem2.</vt:lpstr>
      <vt:lpstr>Problem3.</vt:lpstr>
      <vt:lpstr>Problem4.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</dc:creator>
  <cp:lastModifiedBy>Badics Milán Csaba</cp:lastModifiedBy>
  <dcterms:created xsi:type="dcterms:W3CDTF">2021-02-16T07:20:52Z</dcterms:created>
  <dcterms:modified xsi:type="dcterms:W3CDTF">2023-12-17T12:35:21Z</dcterms:modified>
</cp:coreProperties>
</file>