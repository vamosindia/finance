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 activeTab="1"/>
  </bookViews>
  <sheets>
    <sheet name="Problem1." sheetId="1" r:id="rId1"/>
    <sheet name="Problem2." sheetId="2" r:id="rId2"/>
    <sheet name="Munka3" sheetId="3" r:id="rId3"/>
  </sheets>
  <calcPr calcId="125725"/>
</workbook>
</file>

<file path=xl/calcChain.xml><?xml version="1.0" encoding="utf-8"?>
<calcChain xmlns="http://schemas.openxmlformats.org/spreadsheetml/2006/main">
  <c r="B32" i="2"/>
  <c r="C89"/>
  <c r="C88"/>
  <c r="C87"/>
  <c r="C86"/>
  <c r="I79"/>
  <c r="M79" s="1"/>
  <c r="E79"/>
  <c r="C79"/>
  <c r="B79"/>
  <c r="C78"/>
  <c r="B78"/>
  <c r="F73"/>
  <c r="J73"/>
  <c r="B73"/>
  <c r="E68"/>
  <c r="E65"/>
  <c r="C65"/>
  <c r="B65"/>
  <c r="C64"/>
  <c r="B64"/>
  <c r="J59"/>
  <c r="F59"/>
  <c r="B59"/>
  <c r="B54"/>
  <c r="B39"/>
  <c r="B25"/>
  <c r="G13" i="1"/>
  <c r="B11"/>
  <c r="C13" s="1"/>
  <c r="H7"/>
  <c r="E7"/>
</calcChain>
</file>

<file path=xl/sharedStrings.xml><?xml version="1.0" encoding="utf-8"?>
<sst xmlns="http://schemas.openxmlformats.org/spreadsheetml/2006/main" count="106" uniqueCount="52">
  <si>
    <t>position</t>
  </si>
  <si>
    <t>long</t>
  </si>
  <si>
    <t>K</t>
  </si>
  <si>
    <t>$</t>
  </si>
  <si>
    <t>T-t</t>
  </si>
  <si>
    <t>years</t>
  </si>
  <si>
    <t>Δ</t>
  </si>
  <si>
    <t>short</t>
  </si>
  <si>
    <t>call</t>
  </si>
  <si>
    <t>put</t>
  </si>
  <si>
    <t>Portfolio delta</t>
  </si>
  <si>
    <t>We need</t>
  </si>
  <si>
    <t>position in the underlying asset</t>
  </si>
  <si>
    <t>LU</t>
  </si>
  <si>
    <t>S(0)</t>
  </si>
  <si>
    <t>σ</t>
  </si>
  <si>
    <t>r(1)</t>
  </si>
  <si>
    <t>continuous compounding</t>
  </si>
  <si>
    <t>price</t>
  </si>
  <si>
    <t>delta</t>
  </si>
  <si>
    <t>gamma</t>
  </si>
  <si>
    <t>vega</t>
  </si>
  <si>
    <t>year</t>
  </si>
  <si>
    <t>postion</t>
  </si>
  <si>
    <t>contract</t>
  </si>
  <si>
    <t>constract size</t>
  </si>
  <si>
    <t xml:space="preserve">a) What will be the gain or loss - based on the option delta - if the underlying asset increases by $1. </t>
  </si>
  <si>
    <t>Gain/Loss</t>
  </si>
  <si>
    <t xml:space="preserve">b) What will be the portfolio's delta  if the underlying asset increases by $1. </t>
  </si>
  <si>
    <t>Delta</t>
  </si>
  <si>
    <t>c) What will be the gain or loss -based on the option delta - if the underlying asset increases by $10.</t>
  </si>
  <si>
    <t>S'-S</t>
  </si>
  <si>
    <t>d) If immediately after the trade the underlying asset increases by $10 will the gain be higher or lower if you consider the gamma sensitivity beside the delta?</t>
  </si>
  <si>
    <t>Gamma is positive --&gt; it will be higher</t>
  </si>
  <si>
    <t>e) If immediately after the trade the underlying asset decreases by $10 will the loss be higher or lower if you consider the gamma sensitivity beside the delta?</t>
  </si>
  <si>
    <t>Gamma is positive --&gt; it will be lower</t>
  </si>
  <si>
    <t>f) What will be the gain or loss if the underlying asset volatility increases by 1% ?</t>
  </si>
  <si>
    <t>σ'-σ</t>
  </si>
  <si>
    <t>%</t>
  </si>
  <si>
    <t>g) What position in the other option is necessary to hedge the trader’s delta at the time of the trade?</t>
  </si>
  <si>
    <t xml:space="preserve">We need the take a </t>
  </si>
  <si>
    <t>h) Calculate the vega of the delta-hedged portfolio. What will be the gain or loss if the underlying asset volatility increases by 1% ?</t>
  </si>
  <si>
    <r>
      <t>C</t>
    </r>
    <r>
      <rPr>
        <vertAlign val="subscript"/>
        <sz val="11"/>
        <color theme="1"/>
        <rFont val="Calibri"/>
        <family val="2"/>
        <charset val="238"/>
        <scheme val="minor"/>
      </rPr>
      <t>110</t>
    </r>
  </si>
  <si>
    <r>
      <t>C</t>
    </r>
    <r>
      <rPr>
        <vertAlign val="subscript"/>
        <sz val="11"/>
        <color theme="1"/>
        <rFont val="Calibri"/>
        <family val="2"/>
        <charset val="238"/>
        <scheme val="minor"/>
      </rPr>
      <t>100</t>
    </r>
  </si>
  <si>
    <t>Portfolio vega</t>
  </si>
  <si>
    <t>i) What position in the other option is necessary to hedge the trader’s vega at the time of the ATM European call option trade?</t>
  </si>
  <si>
    <r>
      <t>SC</t>
    </r>
    <r>
      <rPr>
        <b/>
        <vertAlign val="subscript"/>
        <sz val="11"/>
        <color rgb="FFFF0000"/>
        <rFont val="Calibri"/>
        <family val="2"/>
        <charset val="238"/>
        <scheme val="minor"/>
      </rPr>
      <t>110</t>
    </r>
  </si>
  <si>
    <t>j) Calculate the delta of the vega-hedged portfolio. How can you hedge this with the underlying asset?</t>
  </si>
  <si>
    <t xml:space="preserve">position in the other call option </t>
  </si>
  <si>
    <t>SU</t>
  </si>
  <si>
    <t>k) Calculate the price and the Greeks in the table for a put option on the same underlying asset with a strike $100.</t>
  </si>
  <si>
    <t>option</t>
  </si>
</sst>
</file>

<file path=xl/styles.xml><?xml version="1.0" encoding="utf-8"?>
<styleSheet xmlns="http://schemas.openxmlformats.org/spreadsheetml/2006/main">
  <numFmts count="1">
    <numFmt numFmtId="170" formatCode="0.000"/>
  </numFmts>
  <fonts count="6">
    <font>
      <sz val="11"/>
      <color theme="1"/>
      <name val="Calibri"/>
      <family val="2"/>
      <charset val="238"/>
      <scheme val="minor"/>
    </font>
    <font>
      <sz val="10"/>
      <color theme="1"/>
      <name val="Times New Roman"/>
      <family val="1"/>
      <charset val="238"/>
    </font>
    <font>
      <sz val="11"/>
      <color theme="1"/>
      <name val="Calibri"/>
      <family val="2"/>
      <charset val="238"/>
    </font>
    <font>
      <b/>
      <sz val="11"/>
      <color rgb="FFFF0000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b/>
      <vertAlign val="subscript"/>
      <sz val="11"/>
      <color rgb="FFFF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/>
    <xf numFmtId="9" fontId="0" fillId="2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/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3" fillId="3" borderId="0" xfId="0" applyNumberFormat="1" applyFont="1" applyFill="1" applyAlignment="1">
      <alignment horizontal="center"/>
    </xf>
    <xf numFmtId="2" fontId="0" fillId="0" borderId="0" xfId="0" applyNumberFormat="1"/>
    <xf numFmtId="2" fontId="3" fillId="3" borderId="0" xfId="0" applyNumberFormat="1" applyFont="1" applyFill="1"/>
    <xf numFmtId="170" fontId="3" fillId="3" borderId="0" xfId="0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1" fontId="3" fillId="3" borderId="0" xfId="0" applyNumberFormat="1" applyFont="1" applyFill="1" applyAlignment="1">
      <alignment horizontal="center"/>
    </xf>
  </cellXfs>
  <cellStyles count="1">
    <cellStyle name="Normá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I13"/>
  <sheetViews>
    <sheetView workbookViewId="0">
      <selection activeCell="C6" sqref="C6"/>
    </sheetView>
  </sheetViews>
  <sheetFormatPr defaultRowHeight="15"/>
  <sheetData>
    <row r="3" spans="1:9">
      <c r="A3" t="s">
        <v>0</v>
      </c>
      <c r="B3" s="3" t="s">
        <v>1</v>
      </c>
      <c r="D3" t="s">
        <v>0</v>
      </c>
      <c r="E3" s="3" t="s">
        <v>7</v>
      </c>
      <c r="G3" t="s">
        <v>0</v>
      </c>
      <c r="H3" s="3" t="s">
        <v>7</v>
      </c>
    </row>
    <row r="4" spans="1:9">
      <c r="B4" s="3" t="s">
        <v>8</v>
      </c>
      <c r="E4" s="3" t="s">
        <v>8</v>
      </c>
      <c r="H4" s="3" t="s">
        <v>9</v>
      </c>
    </row>
    <row r="5" spans="1:9">
      <c r="B5" s="4">
        <v>100000</v>
      </c>
      <c r="E5" s="4">
        <v>200000</v>
      </c>
      <c r="H5" s="4">
        <v>50000</v>
      </c>
    </row>
    <row r="6" spans="1:9">
      <c r="A6" t="s">
        <v>2</v>
      </c>
      <c r="B6" s="4">
        <v>55</v>
      </c>
      <c r="C6" s="2" t="s">
        <v>3</v>
      </c>
      <c r="D6" t="s">
        <v>2</v>
      </c>
      <c r="E6" s="4">
        <v>56</v>
      </c>
      <c r="F6" s="2" t="s">
        <v>3</v>
      </c>
      <c r="G6" t="s">
        <v>2</v>
      </c>
      <c r="H6" s="4">
        <v>56</v>
      </c>
      <c r="I6" s="2" t="s">
        <v>3</v>
      </c>
    </row>
    <row r="7" spans="1:9">
      <c r="A7" t="s">
        <v>4</v>
      </c>
      <c r="B7" s="3">
        <v>0.25</v>
      </c>
      <c r="C7" t="s">
        <v>5</v>
      </c>
      <c r="D7" t="s">
        <v>4</v>
      </c>
      <c r="E7" s="3">
        <f>5/12</f>
        <v>0.41666666666666669</v>
      </c>
      <c r="F7" t="s">
        <v>5</v>
      </c>
      <c r="G7" t="s">
        <v>4</v>
      </c>
      <c r="H7" s="3">
        <f>2/12</f>
        <v>0.16666666666666666</v>
      </c>
      <c r="I7" t="s">
        <v>5</v>
      </c>
    </row>
    <row r="8" spans="1:9">
      <c r="A8" s="5" t="s">
        <v>6</v>
      </c>
      <c r="B8" s="3">
        <v>0.53300000000000003</v>
      </c>
      <c r="D8" s="5" t="s">
        <v>6</v>
      </c>
      <c r="E8" s="3">
        <v>0.46800000000000003</v>
      </c>
      <c r="G8" s="5" t="s">
        <v>6</v>
      </c>
      <c r="H8" s="3">
        <v>-0.50800000000000001</v>
      </c>
    </row>
    <row r="10" spans="1:9">
      <c r="B10" t="s">
        <v>10</v>
      </c>
    </row>
    <row r="11" spans="1:9">
      <c r="B11">
        <f>B5*B8-E5*E8-H5*H8</f>
        <v>-14900</v>
      </c>
    </row>
    <row r="13" spans="1:9">
      <c r="B13" s="7" t="s">
        <v>11</v>
      </c>
      <c r="C13" s="7">
        <f>-B11</f>
        <v>14900</v>
      </c>
      <c r="D13" s="7" t="s">
        <v>12</v>
      </c>
      <c r="E13" s="7"/>
      <c r="F13" s="7"/>
      <c r="G13" s="7">
        <f>C13</f>
        <v>14900</v>
      </c>
      <c r="H13" s="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P90"/>
  <sheetViews>
    <sheetView tabSelected="1" topLeftCell="A9" workbookViewId="0">
      <selection activeCell="B32" sqref="B32"/>
    </sheetView>
  </sheetViews>
  <sheetFormatPr defaultRowHeight="15"/>
  <sheetData>
    <row r="3" spans="1:4">
      <c r="A3" t="s">
        <v>14</v>
      </c>
      <c r="B3" s="3">
        <v>100</v>
      </c>
      <c r="C3" s="2" t="s">
        <v>3</v>
      </c>
    </row>
    <row r="4" spans="1:4">
      <c r="A4" s="5" t="s">
        <v>15</v>
      </c>
      <c r="B4" s="8">
        <v>0.2</v>
      </c>
    </row>
    <row r="5" spans="1:4">
      <c r="A5" t="s">
        <v>16</v>
      </c>
      <c r="B5" s="8">
        <v>0.1</v>
      </c>
      <c r="C5" t="s">
        <v>17</v>
      </c>
    </row>
    <row r="7" spans="1:4">
      <c r="A7" t="s">
        <v>2</v>
      </c>
      <c r="B7" s="3">
        <v>100</v>
      </c>
      <c r="C7" s="3">
        <v>110</v>
      </c>
      <c r="D7" s="2" t="s">
        <v>3</v>
      </c>
    </row>
    <row r="8" spans="1:4">
      <c r="A8" t="s">
        <v>18</v>
      </c>
      <c r="B8" s="3">
        <v>13.27</v>
      </c>
      <c r="C8" s="3">
        <v>8.1829999999999998</v>
      </c>
      <c r="D8" s="2" t="s">
        <v>3</v>
      </c>
    </row>
    <row r="9" spans="1:4">
      <c r="A9" t="s">
        <v>19</v>
      </c>
      <c r="B9" s="3">
        <v>0.72599999999999998</v>
      </c>
      <c r="C9" s="3">
        <v>0.54900000000000004</v>
      </c>
    </row>
    <row r="10" spans="1:4">
      <c r="A10" t="s">
        <v>20</v>
      </c>
      <c r="B10" s="3">
        <v>1.7000000000000001E-2</v>
      </c>
      <c r="C10" s="3">
        <v>0.02</v>
      </c>
    </row>
    <row r="11" spans="1:4">
      <c r="A11" t="s">
        <v>21</v>
      </c>
      <c r="B11" s="3">
        <v>0.33300000000000002</v>
      </c>
      <c r="C11" s="3">
        <v>0.39600000000000002</v>
      </c>
    </row>
    <row r="13" spans="1:4">
      <c r="A13" t="s">
        <v>4</v>
      </c>
      <c r="B13" s="3">
        <v>1</v>
      </c>
      <c r="C13" t="s">
        <v>22</v>
      </c>
    </row>
    <row r="14" spans="1:4">
      <c r="C14" s="9"/>
    </row>
    <row r="15" spans="1:4">
      <c r="A15" s="1" t="s">
        <v>23</v>
      </c>
      <c r="B15" s="3" t="s">
        <v>1</v>
      </c>
    </row>
    <row r="16" spans="1:4">
      <c r="A16" s="1" t="s">
        <v>2</v>
      </c>
      <c r="B16" s="3">
        <v>100</v>
      </c>
    </row>
    <row r="17" spans="1:10">
      <c r="A17" s="1" t="s">
        <v>24</v>
      </c>
      <c r="B17" s="3">
        <v>10</v>
      </c>
    </row>
    <row r="18" spans="1:10">
      <c r="A18" s="1" t="s">
        <v>25</v>
      </c>
      <c r="B18" s="3">
        <v>100</v>
      </c>
    </row>
    <row r="20" spans="1:10">
      <c r="A20" s="10" t="s">
        <v>26</v>
      </c>
      <c r="B20" s="11"/>
      <c r="C20" s="11"/>
      <c r="D20" s="11"/>
      <c r="E20" s="11"/>
      <c r="F20" s="11"/>
      <c r="G20" s="11"/>
      <c r="H20" s="11"/>
      <c r="I20" s="11"/>
      <c r="J20" s="11"/>
    </row>
    <row r="22" spans="1:10">
      <c r="A22" s="1" t="s">
        <v>31</v>
      </c>
      <c r="B22" s="1">
        <v>1</v>
      </c>
      <c r="C22" s="2" t="s">
        <v>3</v>
      </c>
    </row>
    <row r="24" spans="1:10">
      <c r="B24" s="6" t="s">
        <v>27</v>
      </c>
    </row>
    <row r="25" spans="1:10">
      <c r="B25" s="12">
        <f>B17*B18*B9*B22</f>
        <v>726</v>
      </c>
      <c r="C25" s="2" t="s">
        <v>3</v>
      </c>
    </row>
    <row r="27" spans="1:10">
      <c r="A27" s="11" t="s">
        <v>28</v>
      </c>
      <c r="B27" s="11"/>
      <c r="C27" s="11"/>
      <c r="D27" s="11"/>
      <c r="E27" s="11"/>
      <c r="F27" s="11"/>
      <c r="G27" s="11"/>
      <c r="H27" s="11"/>
    </row>
    <row r="29" spans="1:10">
      <c r="A29" s="1" t="s">
        <v>31</v>
      </c>
      <c r="B29" s="1">
        <v>1</v>
      </c>
      <c r="C29" s="2" t="s">
        <v>3</v>
      </c>
    </row>
    <row r="31" spans="1:10">
      <c r="B31" s="13" t="s">
        <v>29</v>
      </c>
    </row>
    <row r="32" spans="1:10">
      <c r="B32" s="21">
        <f>B17*B18*(B9+B10*B29)</f>
        <v>743</v>
      </c>
    </row>
    <row r="34" spans="1:16">
      <c r="A34" s="11" t="s">
        <v>30</v>
      </c>
      <c r="B34" s="11"/>
      <c r="C34" s="11"/>
      <c r="D34" s="11"/>
      <c r="E34" s="11"/>
      <c r="F34" s="11"/>
      <c r="G34" s="11"/>
      <c r="H34" s="11"/>
      <c r="I34" s="11"/>
      <c r="J34" s="11"/>
    </row>
    <row r="36" spans="1:16">
      <c r="A36" s="1" t="s">
        <v>31</v>
      </c>
      <c r="B36" s="1">
        <v>10</v>
      </c>
      <c r="C36" s="2" t="s">
        <v>3</v>
      </c>
    </row>
    <row r="38" spans="1:16">
      <c r="B38" s="6" t="s">
        <v>27</v>
      </c>
    </row>
    <row r="39" spans="1:16">
      <c r="B39" s="12">
        <f>B18*B17*B9*B36</f>
        <v>7260</v>
      </c>
      <c r="C39" s="2" t="s">
        <v>3</v>
      </c>
    </row>
    <row r="41" spans="1:16">
      <c r="A41" s="11" t="s">
        <v>32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3" spans="1:16">
      <c r="B43" s="7" t="s">
        <v>33</v>
      </c>
      <c r="C43" s="7"/>
      <c r="D43" s="7"/>
      <c r="E43" s="7"/>
    </row>
    <row r="45" spans="1:16">
      <c r="A45" s="11" t="s">
        <v>34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7" spans="1:16">
      <c r="B47" s="7" t="s">
        <v>35</v>
      </c>
      <c r="C47" s="7"/>
      <c r="D47" s="7"/>
      <c r="E47" s="7"/>
    </row>
    <row r="49" spans="1:13">
      <c r="A49" s="11" t="s">
        <v>36</v>
      </c>
      <c r="B49" s="11"/>
      <c r="C49" s="11"/>
      <c r="D49" s="11"/>
      <c r="E49" s="11"/>
      <c r="F49" s="11"/>
      <c r="G49" s="11"/>
      <c r="H49" s="11"/>
    </row>
    <row r="51" spans="1:13">
      <c r="A51" s="5" t="s">
        <v>37</v>
      </c>
      <c r="B51" s="14">
        <v>1</v>
      </c>
      <c r="C51" t="s">
        <v>38</v>
      </c>
    </row>
    <row r="53" spans="1:13">
      <c r="B53" s="6" t="s">
        <v>27</v>
      </c>
    </row>
    <row r="54" spans="1:13">
      <c r="B54" s="12">
        <f>B11*B18*B17*B51</f>
        <v>333.00000000000006</v>
      </c>
      <c r="C54" s="2" t="s">
        <v>3</v>
      </c>
    </row>
    <row r="56" spans="1:13">
      <c r="A56" s="11" t="s">
        <v>39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3">
      <c r="B58" t="s">
        <v>10</v>
      </c>
    </row>
    <row r="59" spans="1:13" ht="18">
      <c r="B59" s="1">
        <f>B18*B17*B9</f>
        <v>726</v>
      </c>
      <c r="D59" s="7" t="s">
        <v>40</v>
      </c>
      <c r="E59" s="7"/>
      <c r="F59" s="7">
        <f>-B59/C9</f>
        <v>-1322.4043715846994</v>
      </c>
      <c r="G59" s="7" t="s">
        <v>48</v>
      </c>
      <c r="H59" s="7"/>
      <c r="I59" s="7"/>
      <c r="J59" s="7">
        <f>-F59</f>
        <v>1322.4043715846994</v>
      </c>
      <c r="K59" s="7" t="s">
        <v>46</v>
      </c>
    </row>
    <row r="61" spans="1:13">
      <c r="A61" s="11" t="s">
        <v>41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3" spans="1:13" ht="18">
      <c r="B63" t="s">
        <v>43</v>
      </c>
      <c r="C63" t="s">
        <v>42</v>
      </c>
    </row>
    <row r="64" spans="1:13">
      <c r="B64" s="1">
        <f>B17*B18</f>
        <v>1000</v>
      </c>
      <c r="C64" s="15">
        <f>F59</f>
        <v>-1322.4043715846994</v>
      </c>
      <c r="E64" t="s">
        <v>44</v>
      </c>
      <c r="G64" s="5" t="s">
        <v>37</v>
      </c>
      <c r="H64" s="14">
        <v>1</v>
      </c>
      <c r="I64" t="s">
        <v>38</v>
      </c>
    </row>
    <row r="65" spans="1:14">
      <c r="A65" t="s">
        <v>21</v>
      </c>
      <c r="B65" s="1">
        <f>B64*B11</f>
        <v>333</v>
      </c>
      <c r="C65" s="15">
        <f>C64*C11</f>
        <v>-523.67213114754099</v>
      </c>
      <c r="E65" s="17">
        <f>B65+C65</f>
        <v>-190.67213114754099</v>
      </c>
    </row>
    <row r="67" spans="1:14">
      <c r="E67" s="6" t="s">
        <v>27</v>
      </c>
    </row>
    <row r="68" spans="1:14">
      <c r="E68" s="16">
        <f>E65*H64</f>
        <v>-190.67213114754099</v>
      </c>
      <c r="F68" s="2" t="s">
        <v>3</v>
      </c>
    </row>
    <row r="70" spans="1:14">
      <c r="A70" s="11" t="s">
        <v>45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2" spans="1:14">
      <c r="B72" t="s">
        <v>44</v>
      </c>
    </row>
    <row r="73" spans="1:14" ht="18">
      <c r="B73" s="1">
        <f>B11*B17*B18</f>
        <v>333</v>
      </c>
      <c r="D73" s="7" t="s">
        <v>40</v>
      </c>
      <c r="E73" s="7"/>
      <c r="F73" s="7">
        <f>-B73/C11</f>
        <v>-840.90909090909088</v>
      </c>
      <c r="G73" s="7" t="s">
        <v>48</v>
      </c>
      <c r="H73" s="7"/>
      <c r="I73" s="7"/>
      <c r="J73" s="7">
        <f>-F73</f>
        <v>840.90909090909088</v>
      </c>
      <c r="K73" s="7" t="s">
        <v>46</v>
      </c>
    </row>
    <row r="75" spans="1:14">
      <c r="A75" s="11" t="s">
        <v>47</v>
      </c>
      <c r="B75" s="11"/>
      <c r="C75" s="11"/>
      <c r="D75" s="11"/>
      <c r="E75" s="11"/>
      <c r="F75" s="11"/>
      <c r="G75" s="11"/>
      <c r="H75" s="11"/>
      <c r="I75" s="11"/>
      <c r="J75" s="11"/>
    </row>
    <row r="77" spans="1:14" ht="18">
      <c r="B77" t="s">
        <v>43</v>
      </c>
      <c r="C77" t="s">
        <v>42</v>
      </c>
    </row>
    <row r="78" spans="1:14">
      <c r="B78" s="1">
        <f>B64</f>
        <v>1000</v>
      </c>
      <c r="C78" s="15">
        <f>F73</f>
        <v>-840.90909090909088</v>
      </c>
      <c r="E78" t="s">
        <v>10</v>
      </c>
      <c r="G78" s="1"/>
      <c r="H78" s="1"/>
      <c r="I78" s="2"/>
    </row>
    <row r="79" spans="1:14">
      <c r="A79" t="s">
        <v>19</v>
      </c>
      <c r="B79" s="1">
        <f>B78*B9</f>
        <v>726</v>
      </c>
      <c r="C79" s="15">
        <f>C78*C9</f>
        <v>-461.65909090909093</v>
      </c>
      <c r="E79" s="17">
        <f>B79+C79</f>
        <v>264.34090909090907</v>
      </c>
      <c r="G79" s="7" t="s">
        <v>40</v>
      </c>
      <c r="H79" s="7"/>
      <c r="I79" s="18">
        <f>-E79</f>
        <v>-264.34090909090907</v>
      </c>
      <c r="J79" s="7" t="s">
        <v>12</v>
      </c>
      <c r="K79" s="7"/>
      <c r="L79" s="7"/>
      <c r="M79" s="7">
        <f>-I79</f>
        <v>264.34090909090907</v>
      </c>
      <c r="N79" s="7" t="s">
        <v>49</v>
      </c>
    </row>
    <row r="81" spans="1:11">
      <c r="A81" s="11" t="s">
        <v>50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3" spans="1:11">
      <c r="A83" t="s">
        <v>2</v>
      </c>
      <c r="B83" s="3">
        <v>100</v>
      </c>
    </row>
    <row r="84" spans="1:11">
      <c r="A84" t="s">
        <v>51</v>
      </c>
      <c r="B84" s="3" t="s">
        <v>9</v>
      </c>
    </row>
    <row r="86" spans="1:11">
      <c r="B86" s="6" t="s">
        <v>18</v>
      </c>
      <c r="C86" s="16">
        <f>B8+B7*EXP(-B5*B13)-B3</f>
        <v>3.7537418035959433</v>
      </c>
      <c r="D86" s="2" t="s">
        <v>3</v>
      </c>
    </row>
    <row r="87" spans="1:11">
      <c r="B87" s="6" t="s">
        <v>19</v>
      </c>
      <c r="C87" s="19">
        <f>B9-1</f>
        <v>-0.27400000000000002</v>
      </c>
    </row>
    <row r="88" spans="1:11">
      <c r="B88" s="6" t="s">
        <v>20</v>
      </c>
      <c r="C88" s="16">
        <f>B10</f>
        <v>1.7000000000000001E-2</v>
      </c>
    </row>
    <row r="89" spans="1:11">
      <c r="B89" s="6" t="s">
        <v>21</v>
      </c>
      <c r="C89" s="16">
        <f>B11</f>
        <v>0.33300000000000002</v>
      </c>
    </row>
    <row r="90" spans="1:11">
      <c r="C90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Problem1.</vt:lpstr>
      <vt:lpstr>Problem2.</vt:lpstr>
      <vt:lpstr>Munka3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</dc:creator>
  <cp:lastModifiedBy>Milan</cp:lastModifiedBy>
  <dcterms:created xsi:type="dcterms:W3CDTF">2022-12-20T22:28:21Z</dcterms:created>
  <dcterms:modified xsi:type="dcterms:W3CDTF">2022-12-20T23:02:51Z</dcterms:modified>
</cp:coreProperties>
</file>