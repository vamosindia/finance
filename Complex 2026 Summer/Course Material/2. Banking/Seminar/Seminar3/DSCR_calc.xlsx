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gnes\PhD\Oktatás\Szemeszter_18_2023.24_02\03_Banking\Seminars\Week-02_Nava Bharat\"/>
    </mc:Choice>
  </mc:AlternateContent>
  <xr:revisionPtr revIDLastSave="0" documentId="13_ncr:1_{8ABB4F4E-0644-4423-824B-71F62D150A6A}" xr6:coauthVersionLast="47" xr6:coauthVersionMax="47" xr10:uidLastSave="{00000000-0000-0000-0000-000000000000}"/>
  <bookViews>
    <workbookView xWindow="-108" yWindow="-108" windowWidth="23256" windowHeight="12576" xr2:uid="{B40C93B0-173E-4595-855F-3039C3EBFB8E}"/>
  </bookViews>
  <sheets>
    <sheet name="P&amp;L foreca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1" l="1"/>
  <c r="C29" i="1"/>
  <c r="D12" i="1"/>
  <c r="E11" i="1"/>
  <c r="F11" i="1" s="1"/>
  <c r="G11" i="1" s="1"/>
  <c r="H11" i="1" s="1"/>
  <c r="I11" i="1" s="1"/>
  <c r="J11" i="1" s="1"/>
  <c r="K11" i="1" s="1"/>
  <c r="L11" i="1" s="1"/>
  <c r="M11" i="1" s="1"/>
  <c r="N11" i="1" s="1"/>
  <c r="O11" i="1" s="1"/>
  <c r="P11" i="1" s="1"/>
  <c r="Q11" i="1" s="1"/>
  <c r="R11" i="1" s="1"/>
  <c r="E10" i="1"/>
  <c r="F10" i="1" s="1"/>
  <c r="E7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D8" i="1" s="1"/>
  <c r="E8" i="1" l="1"/>
  <c r="D13" i="1"/>
  <c r="F12" i="1"/>
  <c r="G10" i="1"/>
  <c r="F7" i="1"/>
  <c r="E12" i="1"/>
  <c r="E13" i="1" s="1"/>
  <c r="E17" i="1" l="1"/>
  <c r="E18" i="1" s="1"/>
  <c r="E20" i="1" s="1"/>
  <c r="D17" i="1"/>
  <c r="D18" i="1" s="1"/>
  <c r="H10" i="1"/>
  <c r="G12" i="1"/>
  <c r="G7" i="1"/>
  <c r="F8" i="1"/>
  <c r="F13" i="1" s="1"/>
  <c r="F17" i="1" l="1"/>
  <c r="F18" i="1" s="1"/>
  <c r="D20" i="1"/>
  <c r="I10" i="1"/>
  <c r="H12" i="1"/>
  <c r="H7" i="1"/>
  <c r="G8" i="1"/>
  <c r="G13" i="1" s="1"/>
  <c r="F20" i="1" l="1"/>
  <c r="G17" i="1"/>
  <c r="G18" i="1" s="1"/>
  <c r="J10" i="1"/>
  <c r="I12" i="1"/>
  <c r="I7" i="1"/>
  <c r="H8" i="1"/>
  <c r="H13" i="1" s="1"/>
  <c r="G20" i="1" l="1"/>
  <c r="H17" i="1"/>
  <c r="H18" i="1" s="1"/>
  <c r="K10" i="1"/>
  <c r="J12" i="1"/>
  <c r="J7" i="1"/>
  <c r="I8" i="1"/>
  <c r="I13" i="1" s="1"/>
  <c r="H20" i="1" l="1"/>
  <c r="I17" i="1"/>
  <c r="I18" i="1" s="1"/>
  <c r="L10" i="1"/>
  <c r="K12" i="1"/>
  <c r="K7" i="1"/>
  <c r="J8" i="1"/>
  <c r="J13" i="1" s="1"/>
  <c r="I20" i="1" l="1"/>
  <c r="J17" i="1"/>
  <c r="J18" i="1" s="1"/>
  <c r="J20" i="1" s="1"/>
  <c r="M10" i="1"/>
  <c r="L12" i="1"/>
  <c r="L7" i="1"/>
  <c r="K8" i="1"/>
  <c r="K13" i="1" s="1"/>
  <c r="K17" i="1" l="1"/>
  <c r="K18" i="1"/>
  <c r="N10" i="1"/>
  <c r="M12" i="1"/>
  <c r="M7" i="1"/>
  <c r="L8" i="1"/>
  <c r="L13" i="1" s="1"/>
  <c r="K20" i="1" l="1"/>
  <c r="L17" i="1"/>
  <c r="L18" i="1" s="1"/>
  <c r="O10" i="1"/>
  <c r="N12" i="1"/>
  <c r="N7" i="1"/>
  <c r="M8" i="1"/>
  <c r="M13" i="1" s="1"/>
  <c r="L20" i="1" l="1"/>
  <c r="M17" i="1"/>
  <c r="M18" i="1" s="1"/>
  <c r="M20" i="1" s="1"/>
  <c r="P10" i="1"/>
  <c r="O12" i="1"/>
  <c r="O7" i="1"/>
  <c r="N8" i="1"/>
  <c r="N13" i="1" s="1"/>
  <c r="N17" i="1" s="1"/>
  <c r="N18" i="1" l="1"/>
  <c r="N20" i="1" s="1"/>
  <c r="P7" i="1"/>
  <c r="O8" i="1"/>
  <c r="O13" i="1" s="1"/>
  <c r="O17" i="1" s="1"/>
  <c r="Q10" i="1"/>
  <c r="P12" i="1"/>
  <c r="O18" i="1" l="1"/>
  <c r="O20" i="1" s="1"/>
  <c r="Q7" i="1"/>
  <c r="P8" i="1"/>
  <c r="P13" i="1" s="1"/>
  <c r="P17" i="1" s="1"/>
  <c r="R10" i="1"/>
  <c r="R12" i="1" s="1"/>
  <c r="Q12" i="1"/>
  <c r="P18" i="1" l="1"/>
  <c r="P20" i="1" s="1"/>
  <c r="R7" i="1"/>
  <c r="R8" i="1" s="1"/>
  <c r="R13" i="1" s="1"/>
  <c r="R17" i="1" s="1"/>
  <c r="Q8" i="1"/>
  <c r="Q13" i="1" s="1"/>
  <c r="Q17" i="1" s="1"/>
  <c r="Q18" i="1" l="1"/>
  <c r="Q20" i="1"/>
  <c r="R18" i="1"/>
  <c r="R20" i="1" s="1"/>
</calcChain>
</file>

<file path=xl/sharedStrings.xml><?xml version="1.0" encoding="utf-8"?>
<sst xmlns="http://schemas.openxmlformats.org/spreadsheetml/2006/main" count="33" uniqueCount="31">
  <si>
    <t>Plant load factor</t>
  </si>
  <si>
    <t>Actual generation</t>
  </si>
  <si>
    <t>Capacity</t>
  </si>
  <si>
    <t>MW</t>
  </si>
  <si>
    <t>mln units</t>
  </si>
  <si>
    <t>Auxiliary consuption</t>
  </si>
  <si>
    <t>Units available for sale</t>
  </si>
  <si>
    <t>Average merchant tariff</t>
  </si>
  <si>
    <t>INR per unit</t>
  </si>
  <si>
    <t>Revenue</t>
  </si>
  <si>
    <t>Expenditure</t>
  </si>
  <si>
    <t>Cost of fuel</t>
  </si>
  <si>
    <t>Operation &amp; maintenance</t>
  </si>
  <si>
    <t>Total Expenditure</t>
  </si>
  <si>
    <t>Interest on term loan</t>
  </si>
  <si>
    <t>Interest on working capital</t>
  </si>
  <si>
    <t>Depreciation</t>
  </si>
  <si>
    <t>Profit Before Tax</t>
  </si>
  <si>
    <t>Profit Before Depreciation, Interest, and Tax</t>
  </si>
  <si>
    <t>Current tax</t>
  </si>
  <si>
    <t>Deferred tax</t>
  </si>
  <si>
    <t>Profit After Tax</t>
  </si>
  <si>
    <t>increase</t>
  </si>
  <si>
    <t>DSCR</t>
  </si>
  <si>
    <t>Capital repayment (term loan)</t>
  </si>
  <si>
    <t>Long term debt</t>
  </si>
  <si>
    <t>Cost of investment</t>
  </si>
  <si>
    <t>Data: in mln INR</t>
  </si>
  <si>
    <t>Equity</t>
  </si>
  <si>
    <t>Term loan</t>
  </si>
  <si>
    <t>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</si>
</sst>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9" fontId="0" fillId="0" borderId="0" xfId="0" applyNumberFormat="1"/>
    <xf numFmtId="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indent="1"/>
    </xf>
    <xf numFmtId="9" fontId="0" fillId="0" borderId="1" xfId="0" applyNumberFormat="1" applyBorder="1"/>
    <xf numFmtId="3" fontId="0" fillId="0" borderId="1" xfId="0" applyNumberFormat="1" applyBorder="1"/>
    <xf numFmtId="9" fontId="0" fillId="0" borderId="1" xfId="0" applyNumberFormat="1" applyBorder="1" applyAlignment="1">
      <alignment horizontal="center"/>
    </xf>
    <xf numFmtId="2" fontId="0" fillId="0" borderId="1" xfId="0" applyNumberFormat="1" applyBorder="1"/>
    <xf numFmtId="4" fontId="0" fillId="0" borderId="1" xfId="0" applyNumberForma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/>
    <xf numFmtId="10" fontId="0" fillId="0" borderId="1" xfId="1" applyNumberFormat="1" applyFont="1" applyBorder="1"/>
    <xf numFmtId="3" fontId="2" fillId="0" borderId="1" xfId="0" applyNumberFormat="1" applyFont="1" applyBorder="1" applyAlignment="1">
      <alignment horizontal="center"/>
    </xf>
    <xf numFmtId="0" fontId="0" fillId="2" borderId="0" xfId="0" applyFill="1"/>
    <xf numFmtId="3" fontId="0" fillId="0" borderId="1" xfId="0" applyNumberFormat="1" applyBorder="1" applyAlignment="1">
      <alignment horizontal="right"/>
    </xf>
    <xf numFmtId="0" fontId="0" fillId="0" borderId="0" xfId="0" applyBorder="1"/>
    <xf numFmtId="0" fontId="0" fillId="0" borderId="0" xfId="0" applyBorder="1" applyAlignment="1">
      <alignment horizontal="center"/>
    </xf>
    <xf numFmtId="3" fontId="0" fillId="0" borderId="0" xfId="0" applyNumberFormat="1" applyBorder="1"/>
  </cellXfs>
  <cellStyles count="2">
    <cellStyle name="Normál" xfId="0" builtinId="0"/>
    <cellStyle name="Százalék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37E8E-D43F-40E5-8977-24F927A1C342}">
  <dimension ref="A1:R30"/>
  <sheetViews>
    <sheetView tabSelected="1" workbookViewId="0">
      <selection activeCell="D26" sqref="D26"/>
    </sheetView>
  </sheetViews>
  <sheetFormatPr defaultRowHeight="14.4" x14ac:dyDescent="0.3"/>
  <cols>
    <col min="1" max="1" width="37.5546875" bestFit="1" customWidth="1"/>
    <col min="2" max="3" width="11.21875" style="1" customWidth="1"/>
  </cols>
  <sheetData>
    <row r="1" spans="1:18" s="2" customFormat="1" x14ac:dyDescent="0.3">
      <c r="A1" s="14" t="s">
        <v>27</v>
      </c>
      <c r="B1" s="15"/>
      <c r="C1" s="15" t="s">
        <v>22</v>
      </c>
      <c r="D1" s="14">
        <v>2013</v>
      </c>
      <c r="E1" s="14">
        <v>2014</v>
      </c>
      <c r="F1" s="14">
        <v>2015</v>
      </c>
      <c r="G1" s="14">
        <v>2016</v>
      </c>
      <c r="H1" s="14">
        <v>2017</v>
      </c>
      <c r="I1" s="14">
        <v>2018</v>
      </c>
      <c r="J1" s="14">
        <v>2019</v>
      </c>
      <c r="K1" s="14">
        <v>2020</v>
      </c>
      <c r="L1" s="14">
        <v>2021</v>
      </c>
      <c r="M1" s="14">
        <v>2022</v>
      </c>
      <c r="N1" s="14">
        <v>2023</v>
      </c>
      <c r="O1" s="14">
        <v>2024</v>
      </c>
      <c r="P1" s="14">
        <v>2025</v>
      </c>
      <c r="Q1" s="14">
        <v>2026</v>
      </c>
      <c r="R1" s="14">
        <v>2027</v>
      </c>
    </row>
    <row r="2" spans="1:18" x14ac:dyDescent="0.3">
      <c r="A2" s="8" t="s">
        <v>2</v>
      </c>
      <c r="B2" s="7" t="s">
        <v>3</v>
      </c>
      <c r="C2" s="7"/>
      <c r="D2" s="6">
        <v>300</v>
      </c>
      <c r="E2" s="6">
        <v>300</v>
      </c>
      <c r="F2" s="6">
        <v>300</v>
      </c>
      <c r="G2" s="6">
        <v>300</v>
      </c>
      <c r="H2" s="6">
        <v>300</v>
      </c>
      <c r="I2" s="6">
        <v>300</v>
      </c>
      <c r="J2" s="6">
        <v>300</v>
      </c>
      <c r="K2" s="6">
        <v>300</v>
      </c>
      <c r="L2" s="6">
        <v>300</v>
      </c>
      <c r="M2" s="6">
        <v>300</v>
      </c>
      <c r="N2" s="6">
        <v>300</v>
      </c>
      <c r="O2" s="6">
        <v>300</v>
      </c>
      <c r="P2" s="6">
        <v>300</v>
      </c>
      <c r="Q2" s="6">
        <v>300</v>
      </c>
      <c r="R2" s="6">
        <v>300</v>
      </c>
    </row>
    <row r="3" spans="1:18" x14ac:dyDescent="0.3">
      <c r="A3" s="8" t="s">
        <v>0</v>
      </c>
      <c r="B3" s="7"/>
      <c r="C3" s="7"/>
      <c r="D3" s="9">
        <v>0.85</v>
      </c>
      <c r="E3" s="9">
        <v>0.85</v>
      </c>
      <c r="F3" s="9">
        <v>0.85</v>
      </c>
      <c r="G3" s="9">
        <v>0.85</v>
      </c>
      <c r="H3" s="9">
        <v>0.85</v>
      </c>
      <c r="I3" s="9">
        <v>0.85</v>
      </c>
      <c r="J3" s="9">
        <v>0.85</v>
      </c>
      <c r="K3" s="9">
        <v>0.85</v>
      </c>
      <c r="L3" s="9">
        <v>0.85</v>
      </c>
      <c r="M3" s="9">
        <v>0.85</v>
      </c>
      <c r="N3" s="9">
        <v>0.85</v>
      </c>
      <c r="O3" s="9">
        <v>0.85</v>
      </c>
      <c r="P3" s="9">
        <v>0.85</v>
      </c>
      <c r="Q3" s="9">
        <v>0.85</v>
      </c>
      <c r="R3" s="9">
        <v>0.85</v>
      </c>
    </row>
    <row r="4" spans="1:18" x14ac:dyDescent="0.3">
      <c r="A4" s="8" t="s">
        <v>1</v>
      </c>
      <c r="B4" s="7" t="s">
        <v>4</v>
      </c>
      <c r="C4" s="7"/>
      <c r="D4" s="10">
        <v>2234</v>
      </c>
      <c r="E4" s="10">
        <v>2234</v>
      </c>
      <c r="F4" s="10">
        <v>2234</v>
      </c>
      <c r="G4" s="10">
        <v>2234</v>
      </c>
      <c r="H4" s="10">
        <v>2234</v>
      </c>
      <c r="I4" s="10">
        <v>2234</v>
      </c>
      <c r="J4" s="10">
        <v>2234</v>
      </c>
      <c r="K4" s="10">
        <v>2234</v>
      </c>
      <c r="L4" s="10">
        <v>2234</v>
      </c>
      <c r="M4" s="10">
        <v>2234</v>
      </c>
      <c r="N4" s="10">
        <v>2234</v>
      </c>
      <c r="O4" s="10">
        <v>2234</v>
      </c>
      <c r="P4" s="10">
        <v>2234</v>
      </c>
      <c r="Q4" s="10">
        <v>2234</v>
      </c>
      <c r="R4" s="10">
        <v>2234</v>
      </c>
    </row>
    <row r="5" spans="1:18" x14ac:dyDescent="0.3">
      <c r="A5" s="8" t="s">
        <v>5</v>
      </c>
      <c r="B5" s="7" t="s">
        <v>4</v>
      </c>
      <c r="C5" s="7"/>
      <c r="D5" s="6">
        <v>201</v>
      </c>
      <c r="E5" s="6">
        <v>201</v>
      </c>
      <c r="F5" s="6">
        <v>201</v>
      </c>
      <c r="G5" s="6">
        <v>201</v>
      </c>
      <c r="H5" s="6">
        <v>201</v>
      </c>
      <c r="I5" s="6">
        <v>201</v>
      </c>
      <c r="J5" s="6">
        <v>201</v>
      </c>
      <c r="K5" s="6">
        <v>201</v>
      </c>
      <c r="L5" s="6">
        <v>201</v>
      </c>
      <c r="M5" s="6">
        <v>201</v>
      </c>
      <c r="N5" s="6">
        <v>201</v>
      </c>
      <c r="O5" s="6">
        <v>201</v>
      </c>
      <c r="P5" s="6">
        <v>201</v>
      </c>
      <c r="Q5" s="6">
        <v>201</v>
      </c>
      <c r="R5" s="6">
        <v>201</v>
      </c>
    </row>
    <row r="6" spans="1:18" x14ac:dyDescent="0.3">
      <c r="A6" s="8" t="s">
        <v>6</v>
      </c>
      <c r="B6" s="7" t="s">
        <v>4</v>
      </c>
      <c r="C6" s="7"/>
      <c r="D6" s="10">
        <f>+D4-D5</f>
        <v>2033</v>
      </c>
      <c r="E6" s="10">
        <f t="shared" ref="E6:R6" si="0">+E4-E5</f>
        <v>2033</v>
      </c>
      <c r="F6" s="10">
        <f t="shared" si="0"/>
        <v>2033</v>
      </c>
      <c r="G6" s="10">
        <f t="shared" si="0"/>
        <v>2033</v>
      </c>
      <c r="H6" s="10">
        <f t="shared" si="0"/>
        <v>2033</v>
      </c>
      <c r="I6" s="10">
        <f t="shared" si="0"/>
        <v>2033</v>
      </c>
      <c r="J6" s="10">
        <f t="shared" si="0"/>
        <v>2033</v>
      </c>
      <c r="K6" s="10">
        <f t="shared" si="0"/>
        <v>2033</v>
      </c>
      <c r="L6" s="10">
        <f t="shared" si="0"/>
        <v>2033</v>
      </c>
      <c r="M6" s="10">
        <f t="shared" si="0"/>
        <v>2033</v>
      </c>
      <c r="N6" s="10">
        <f t="shared" si="0"/>
        <v>2033</v>
      </c>
      <c r="O6" s="10">
        <f t="shared" si="0"/>
        <v>2033</v>
      </c>
      <c r="P6" s="10">
        <f t="shared" si="0"/>
        <v>2033</v>
      </c>
      <c r="Q6" s="10">
        <f t="shared" si="0"/>
        <v>2033</v>
      </c>
      <c r="R6" s="10">
        <f t="shared" si="0"/>
        <v>2033</v>
      </c>
    </row>
    <row r="7" spans="1:18" x14ac:dyDescent="0.3">
      <c r="A7" s="8" t="s">
        <v>7</v>
      </c>
      <c r="B7" s="7" t="s">
        <v>8</v>
      </c>
      <c r="C7" s="11">
        <v>0.01</v>
      </c>
      <c r="D7" s="12">
        <v>3.3</v>
      </c>
      <c r="E7" s="13">
        <f>+D7*1.01</f>
        <v>3.3329999999999997</v>
      </c>
      <c r="F7" s="13">
        <f t="shared" ref="F7:R7" si="1">+E7*1.01</f>
        <v>3.3663299999999996</v>
      </c>
      <c r="G7" s="13">
        <f t="shared" si="1"/>
        <v>3.3999932999999998</v>
      </c>
      <c r="H7" s="13">
        <f t="shared" si="1"/>
        <v>3.4339932329999998</v>
      </c>
      <c r="I7" s="13">
        <f t="shared" si="1"/>
        <v>3.4683331653299998</v>
      </c>
      <c r="J7" s="13">
        <f t="shared" si="1"/>
        <v>3.5030164969833</v>
      </c>
      <c r="K7" s="13">
        <f t="shared" si="1"/>
        <v>3.5380466619531332</v>
      </c>
      <c r="L7" s="13">
        <f t="shared" si="1"/>
        <v>3.5734271285726646</v>
      </c>
      <c r="M7" s="13">
        <f t="shared" si="1"/>
        <v>3.6091613998583911</v>
      </c>
      <c r="N7" s="13">
        <f t="shared" si="1"/>
        <v>3.645253013856975</v>
      </c>
      <c r="O7" s="13">
        <f t="shared" si="1"/>
        <v>3.6817055439955446</v>
      </c>
      <c r="P7" s="13">
        <f t="shared" si="1"/>
        <v>3.7185225994355</v>
      </c>
      <c r="Q7" s="13">
        <f t="shared" si="1"/>
        <v>3.7557078254298553</v>
      </c>
      <c r="R7" s="13">
        <f t="shared" si="1"/>
        <v>3.7932649036841539</v>
      </c>
    </row>
    <row r="8" spans="1:18" s="2" customFormat="1" x14ac:dyDescent="0.3">
      <c r="A8" s="14" t="s">
        <v>9</v>
      </c>
      <c r="B8" s="15"/>
      <c r="C8" s="15"/>
      <c r="D8" s="16">
        <f>+D7*D6</f>
        <v>6708.9</v>
      </c>
      <c r="E8" s="16">
        <f t="shared" ref="E8:R8" si="2">+E7*E6</f>
        <v>6775.9889999999996</v>
      </c>
      <c r="F8" s="16">
        <f t="shared" si="2"/>
        <v>6843.7488899999989</v>
      </c>
      <c r="G8" s="16">
        <f t="shared" si="2"/>
        <v>6912.1863788999999</v>
      </c>
      <c r="H8" s="16">
        <f t="shared" si="2"/>
        <v>6981.3082426889996</v>
      </c>
      <c r="I8" s="16">
        <f t="shared" si="2"/>
        <v>7051.1213251158897</v>
      </c>
      <c r="J8" s="16">
        <f t="shared" si="2"/>
        <v>7121.6325383670492</v>
      </c>
      <c r="K8" s="16">
        <f t="shared" si="2"/>
        <v>7192.8488637507198</v>
      </c>
      <c r="L8" s="16">
        <f t="shared" si="2"/>
        <v>7264.777352388227</v>
      </c>
      <c r="M8" s="16">
        <f t="shared" si="2"/>
        <v>7337.4251259121093</v>
      </c>
      <c r="N8" s="16">
        <f t="shared" si="2"/>
        <v>7410.7993771712299</v>
      </c>
      <c r="O8" s="16">
        <f t="shared" si="2"/>
        <v>7484.9073709429422</v>
      </c>
      <c r="P8" s="16">
        <f t="shared" si="2"/>
        <v>7559.7564446523711</v>
      </c>
      <c r="Q8" s="16">
        <f t="shared" si="2"/>
        <v>7635.3540090988954</v>
      </c>
      <c r="R8" s="16">
        <f t="shared" si="2"/>
        <v>7711.707549189885</v>
      </c>
    </row>
    <row r="9" spans="1:18" s="2" customFormat="1" x14ac:dyDescent="0.3">
      <c r="A9" s="14" t="s">
        <v>10</v>
      </c>
      <c r="B9" s="15"/>
      <c r="C9" s="15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</row>
    <row r="10" spans="1:18" x14ac:dyDescent="0.3">
      <c r="A10" s="8" t="s">
        <v>11</v>
      </c>
      <c r="B10" s="7"/>
      <c r="C10" s="11">
        <v>0.03</v>
      </c>
      <c r="D10" s="10">
        <v>3036</v>
      </c>
      <c r="E10" s="10">
        <f>+D10*1.03</f>
        <v>3127.08</v>
      </c>
      <c r="F10" s="10">
        <f t="shared" ref="F10:R10" si="3">+E10*1.03</f>
        <v>3220.8924000000002</v>
      </c>
      <c r="G10" s="10">
        <f t="shared" si="3"/>
        <v>3317.5191720000003</v>
      </c>
      <c r="H10" s="10">
        <f t="shared" si="3"/>
        <v>3417.0447471600005</v>
      </c>
      <c r="I10" s="10">
        <f t="shared" si="3"/>
        <v>3519.5560895748008</v>
      </c>
      <c r="J10" s="10">
        <f t="shared" si="3"/>
        <v>3625.1427722620451</v>
      </c>
      <c r="K10" s="10">
        <f t="shared" si="3"/>
        <v>3733.8970554299067</v>
      </c>
      <c r="L10" s="10">
        <f t="shared" si="3"/>
        <v>3845.9139670928039</v>
      </c>
      <c r="M10" s="10">
        <f t="shared" si="3"/>
        <v>3961.2913861055881</v>
      </c>
      <c r="N10" s="10">
        <f t="shared" si="3"/>
        <v>4080.1301276887557</v>
      </c>
      <c r="O10" s="10">
        <f t="shared" si="3"/>
        <v>4202.534031519418</v>
      </c>
      <c r="P10" s="10">
        <f t="shared" si="3"/>
        <v>4328.610052465001</v>
      </c>
      <c r="Q10" s="10">
        <f t="shared" si="3"/>
        <v>4458.4683540389515</v>
      </c>
      <c r="R10" s="10">
        <f t="shared" si="3"/>
        <v>4592.2224046601204</v>
      </c>
    </row>
    <row r="11" spans="1:18" x14ac:dyDescent="0.3">
      <c r="A11" s="8" t="s">
        <v>12</v>
      </c>
      <c r="B11" s="7"/>
      <c r="C11" s="11">
        <v>0.04</v>
      </c>
      <c r="D11" s="6">
        <v>484</v>
      </c>
      <c r="E11" s="10">
        <f>+D11*1.04</f>
        <v>503.36</v>
      </c>
      <c r="F11" s="10">
        <f t="shared" ref="F11:R11" si="4">+E11*1.04</f>
        <v>523.49440000000004</v>
      </c>
      <c r="G11" s="10">
        <f t="shared" si="4"/>
        <v>544.43417600000009</v>
      </c>
      <c r="H11" s="10">
        <f t="shared" si="4"/>
        <v>566.21154304000015</v>
      </c>
      <c r="I11" s="10">
        <f t="shared" si="4"/>
        <v>588.86000476160018</v>
      </c>
      <c r="J11" s="10">
        <f t="shared" si="4"/>
        <v>612.41440495206416</v>
      </c>
      <c r="K11" s="10">
        <f t="shared" si="4"/>
        <v>636.91098115014677</v>
      </c>
      <c r="L11" s="10">
        <f t="shared" si="4"/>
        <v>662.38742039615261</v>
      </c>
      <c r="M11" s="10">
        <f t="shared" si="4"/>
        <v>688.88291721199869</v>
      </c>
      <c r="N11" s="10">
        <f t="shared" si="4"/>
        <v>716.43823390047862</v>
      </c>
      <c r="O11" s="10">
        <f t="shared" si="4"/>
        <v>745.09576325649778</v>
      </c>
      <c r="P11" s="10">
        <f t="shared" si="4"/>
        <v>774.89959378675769</v>
      </c>
      <c r="Q11" s="10">
        <f t="shared" si="4"/>
        <v>805.89557753822805</v>
      </c>
      <c r="R11" s="10">
        <f t="shared" si="4"/>
        <v>838.1314006397572</v>
      </c>
    </row>
    <row r="12" spans="1:18" s="2" customFormat="1" x14ac:dyDescent="0.3">
      <c r="A12" s="14" t="s">
        <v>13</v>
      </c>
      <c r="B12" s="15"/>
      <c r="C12" s="15"/>
      <c r="D12" s="16">
        <f>+D10+D11</f>
        <v>3520</v>
      </c>
      <c r="E12" s="16">
        <f t="shared" ref="E12:R12" si="5">+E10+E11</f>
        <v>3630.44</v>
      </c>
      <c r="F12" s="16">
        <f t="shared" si="5"/>
        <v>3744.3868000000002</v>
      </c>
      <c r="G12" s="16">
        <f t="shared" si="5"/>
        <v>3861.9533480000005</v>
      </c>
      <c r="H12" s="16">
        <f t="shared" si="5"/>
        <v>3983.2562902000009</v>
      </c>
      <c r="I12" s="16">
        <f t="shared" si="5"/>
        <v>4108.4160943364013</v>
      </c>
      <c r="J12" s="16">
        <f t="shared" si="5"/>
        <v>4237.5571772141093</v>
      </c>
      <c r="K12" s="16">
        <f t="shared" si="5"/>
        <v>4370.8080365800533</v>
      </c>
      <c r="L12" s="16">
        <f t="shared" si="5"/>
        <v>4508.3013874889566</v>
      </c>
      <c r="M12" s="16">
        <f t="shared" si="5"/>
        <v>4650.1743033175871</v>
      </c>
      <c r="N12" s="16">
        <f t="shared" si="5"/>
        <v>4796.568361589234</v>
      </c>
      <c r="O12" s="16">
        <f t="shared" si="5"/>
        <v>4947.6297947759158</v>
      </c>
      <c r="P12" s="16">
        <f t="shared" si="5"/>
        <v>5103.5096462517586</v>
      </c>
      <c r="Q12" s="16">
        <f t="shared" si="5"/>
        <v>5264.3639315771798</v>
      </c>
      <c r="R12" s="16">
        <f t="shared" si="5"/>
        <v>5430.3538052998774</v>
      </c>
    </row>
    <row r="13" spans="1:18" s="2" customFormat="1" x14ac:dyDescent="0.3">
      <c r="A13" s="14" t="s">
        <v>18</v>
      </c>
      <c r="B13" s="15"/>
      <c r="C13" s="15"/>
      <c r="D13" s="16">
        <f>+D8-D12</f>
        <v>3188.8999999999996</v>
      </c>
      <c r="E13" s="16">
        <f t="shared" ref="E13:R13" si="6">+E8-E12</f>
        <v>3145.5489999999995</v>
      </c>
      <c r="F13" s="16">
        <f t="shared" si="6"/>
        <v>3099.3620899999987</v>
      </c>
      <c r="G13" s="16">
        <f t="shared" si="6"/>
        <v>3050.2330308999994</v>
      </c>
      <c r="H13" s="16">
        <f t="shared" si="6"/>
        <v>2998.0519524889987</v>
      </c>
      <c r="I13" s="16">
        <f t="shared" si="6"/>
        <v>2942.7052307794884</v>
      </c>
      <c r="J13" s="16">
        <f t="shared" si="6"/>
        <v>2884.0753611529399</v>
      </c>
      <c r="K13" s="16">
        <f t="shared" si="6"/>
        <v>2822.0408271706665</v>
      </c>
      <c r="L13" s="16">
        <f t="shared" si="6"/>
        <v>2756.4759648992704</v>
      </c>
      <c r="M13" s="16">
        <f t="shared" si="6"/>
        <v>2687.2508225945221</v>
      </c>
      <c r="N13" s="16">
        <f t="shared" si="6"/>
        <v>2614.231015581996</v>
      </c>
      <c r="O13" s="16">
        <f t="shared" si="6"/>
        <v>2537.2775761670264</v>
      </c>
      <c r="P13" s="16">
        <f t="shared" si="6"/>
        <v>2456.2467984006125</v>
      </c>
      <c r="Q13" s="16">
        <f t="shared" si="6"/>
        <v>2370.9900775217156</v>
      </c>
      <c r="R13" s="16">
        <f t="shared" si="6"/>
        <v>2281.3537438900075</v>
      </c>
    </row>
    <row r="14" spans="1:18" x14ac:dyDescent="0.3">
      <c r="A14" s="8" t="s">
        <v>14</v>
      </c>
      <c r="B14" s="7"/>
      <c r="C14" s="7"/>
      <c r="D14" s="10">
        <v>1132</v>
      </c>
      <c r="E14" s="10">
        <v>1033</v>
      </c>
      <c r="F14" s="10">
        <v>903</v>
      </c>
      <c r="G14" s="10">
        <v>774</v>
      </c>
      <c r="H14" s="10">
        <v>645</v>
      </c>
      <c r="I14" s="10">
        <v>516</v>
      </c>
      <c r="J14" s="10">
        <v>387</v>
      </c>
      <c r="K14" s="10">
        <v>258</v>
      </c>
      <c r="L14" s="10">
        <v>129</v>
      </c>
      <c r="M14" s="10">
        <v>32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</row>
    <row r="15" spans="1:18" x14ac:dyDescent="0.3">
      <c r="A15" s="8" t="s">
        <v>15</v>
      </c>
      <c r="B15" s="7"/>
      <c r="C15" s="7"/>
      <c r="D15" s="6">
        <v>112</v>
      </c>
      <c r="E15" s="6">
        <v>112</v>
      </c>
      <c r="F15" s="6">
        <v>114</v>
      </c>
      <c r="G15" s="6">
        <v>116</v>
      </c>
      <c r="H15" s="6">
        <v>118</v>
      </c>
      <c r="I15" s="6">
        <v>120</v>
      </c>
      <c r="J15" s="6">
        <v>122</v>
      </c>
      <c r="K15" s="6">
        <v>125</v>
      </c>
      <c r="L15" s="6">
        <v>127</v>
      </c>
      <c r="M15" s="6">
        <v>130</v>
      </c>
      <c r="N15" s="6">
        <v>132</v>
      </c>
      <c r="O15" s="6">
        <v>134</v>
      </c>
      <c r="P15" s="6">
        <v>137</v>
      </c>
      <c r="Q15" s="6">
        <v>140</v>
      </c>
      <c r="R15" s="6">
        <v>143</v>
      </c>
    </row>
    <row r="16" spans="1:18" x14ac:dyDescent="0.3">
      <c r="A16" s="8" t="s">
        <v>16</v>
      </c>
      <c r="B16" s="7"/>
      <c r="C16" s="7"/>
      <c r="D16" s="6">
        <v>680</v>
      </c>
      <c r="E16" s="6">
        <v>680</v>
      </c>
      <c r="F16" s="6">
        <v>680</v>
      </c>
      <c r="G16" s="6">
        <v>680</v>
      </c>
      <c r="H16" s="6">
        <v>680</v>
      </c>
      <c r="I16" s="6">
        <v>680</v>
      </c>
      <c r="J16" s="6">
        <v>680</v>
      </c>
      <c r="K16" s="6">
        <v>680</v>
      </c>
      <c r="L16" s="6">
        <v>680</v>
      </c>
      <c r="M16" s="6">
        <v>680</v>
      </c>
      <c r="N16" s="6">
        <v>680</v>
      </c>
      <c r="O16" s="6">
        <v>680</v>
      </c>
      <c r="P16" s="6">
        <v>680</v>
      </c>
      <c r="Q16" s="6">
        <v>680</v>
      </c>
      <c r="R16" s="6">
        <v>680</v>
      </c>
    </row>
    <row r="17" spans="1:18" s="2" customFormat="1" x14ac:dyDescent="0.3">
      <c r="A17" s="14" t="s">
        <v>17</v>
      </c>
      <c r="B17" s="15"/>
      <c r="C17" s="15"/>
      <c r="D17" s="16">
        <f>+D13-SUM(D14:D16)</f>
        <v>1264.8999999999996</v>
      </c>
      <c r="E17" s="16">
        <f t="shared" ref="E17:R17" si="7">+E13-SUM(E14:E16)</f>
        <v>1320.5489999999995</v>
      </c>
      <c r="F17" s="16">
        <f t="shared" si="7"/>
        <v>1402.3620899999987</v>
      </c>
      <c r="G17" s="16">
        <f t="shared" si="7"/>
        <v>1480.2330308999994</v>
      </c>
      <c r="H17" s="16">
        <f t="shared" si="7"/>
        <v>1555.0519524889987</v>
      </c>
      <c r="I17" s="16">
        <f t="shared" si="7"/>
        <v>1626.7052307794884</v>
      </c>
      <c r="J17" s="16">
        <f t="shared" si="7"/>
        <v>1695.0753611529399</v>
      </c>
      <c r="K17" s="16">
        <f t="shared" si="7"/>
        <v>1759.0408271706665</v>
      </c>
      <c r="L17" s="16">
        <f t="shared" si="7"/>
        <v>1820.4759648992704</v>
      </c>
      <c r="M17" s="16">
        <f t="shared" si="7"/>
        <v>1845.2508225945221</v>
      </c>
      <c r="N17" s="16">
        <f t="shared" si="7"/>
        <v>1802.231015581996</v>
      </c>
      <c r="O17" s="16">
        <f t="shared" si="7"/>
        <v>1723.2775761670264</v>
      </c>
      <c r="P17" s="16">
        <f t="shared" si="7"/>
        <v>1639.2467984006125</v>
      </c>
      <c r="Q17" s="16">
        <f t="shared" si="7"/>
        <v>1550.9900775217156</v>
      </c>
      <c r="R17" s="16">
        <f t="shared" si="7"/>
        <v>1458.3537438900075</v>
      </c>
    </row>
    <row r="18" spans="1:18" x14ac:dyDescent="0.3">
      <c r="A18" s="8" t="s">
        <v>19</v>
      </c>
      <c r="B18" s="17">
        <v>0.15811526602893516</v>
      </c>
      <c r="C18" s="7"/>
      <c r="D18" s="10">
        <f>+D17*$B$18</f>
        <v>200.00000000000003</v>
      </c>
      <c r="E18" s="10">
        <f>+E17*$B$18</f>
        <v>208.79895643924422</v>
      </c>
      <c r="F18" s="10">
        <f>+F17*$B$18</f>
        <v>221.73485492924331</v>
      </c>
      <c r="G18" s="10">
        <f>+G17*$B$18</f>
        <v>234.04743946557042</v>
      </c>
      <c r="H18" s="10">
        <f>+H17*$B$18</f>
        <v>245.87745315661309</v>
      </c>
      <c r="I18" s="10">
        <f>+I17*$B$18</f>
        <v>257.20693031535916</v>
      </c>
      <c r="J18" s="10">
        <f>+J17*$B$18</f>
        <v>268.01729166779046</v>
      </c>
      <c r="K18" s="10">
        <f>+K17*$B$18</f>
        <v>278.13120834384807</v>
      </c>
      <c r="L18" s="10">
        <f>+L17*$B$18</f>
        <v>287.84504148933058</v>
      </c>
      <c r="M18" s="10">
        <f>+M17*$B$18</f>
        <v>291.7623247046443</v>
      </c>
      <c r="N18" s="10">
        <f>+N17*$B$18</f>
        <v>284.96023647434527</v>
      </c>
      <c r="O18" s="10">
        <f>+O17*$B$18</f>
        <v>272.47649239734795</v>
      </c>
      <c r="P18" s="10">
        <f>+P17*$B$18</f>
        <v>259.18994361619309</v>
      </c>
      <c r="Q18" s="10">
        <f>+Q17*$B$18</f>
        <v>245.23520871558483</v>
      </c>
      <c r="R18" s="10">
        <f>+R17*$B$18</f>
        <v>230.58799017946211</v>
      </c>
    </row>
    <row r="19" spans="1:18" x14ac:dyDescent="0.3">
      <c r="A19" s="8" t="s">
        <v>20</v>
      </c>
      <c r="B19" s="7"/>
      <c r="C19" s="7"/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-10</v>
      </c>
      <c r="L19" s="6">
        <v>-40</v>
      </c>
      <c r="M19" s="6">
        <v>-70</v>
      </c>
      <c r="N19" s="6">
        <v>-90</v>
      </c>
      <c r="O19" s="6">
        <v>-110</v>
      </c>
      <c r="P19" s="6">
        <v>-130</v>
      </c>
      <c r="Q19" s="6">
        <v>-140</v>
      </c>
      <c r="R19" s="6">
        <v>-150</v>
      </c>
    </row>
    <row r="20" spans="1:18" s="2" customFormat="1" x14ac:dyDescent="0.3">
      <c r="A20" s="14" t="s">
        <v>21</v>
      </c>
      <c r="B20" s="15"/>
      <c r="C20" s="18"/>
      <c r="D20" s="16">
        <f>+D17-D18-D19</f>
        <v>1064.8999999999996</v>
      </c>
      <c r="E20" s="16">
        <f t="shared" ref="E20:R20" si="8">+E17-E18-E19</f>
        <v>1111.7500435607553</v>
      </c>
      <c r="F20" s="16">
        <f t="shared" si="8"/>
        <v>1180.6272350707554</v>
      </c>
      <c r="G20" s="16">
        <f t="shared" si="8"/>
        <v>1246.1855914344289</v>
      </c>
      <c r="H20" s="16">
        <f t="shared" si="8"/>
        <v>1309.1744993323857</v>
      </c>
      <c r="I20" s="16">
        <f t="shared" si="8"/>
        <v>1369.4983004641292</v>
      </c>
      <c r="J20" s="16">
        <f t="shared" si="8"/>
        <v>1427.0580694851494</v>
      </c>
      <c r="K20" s="16">
        <f t="shared" si="8"/>
        <v>1490.9096188268184</v>
      </c>
      <c r="L20" s="16">
        <f t="shared" si="8"/>
        <v>1572.6309234099399</v>
      </c>
      <c r="M20" s="16">
        <f t="shared" si="8"/>
        <v>1623.4884978898779</v>
      </c>
      <c r="N20" s="16">
        <f t="shared" si="8"/>
        <v>1607.2707791076507</v>
      </c>
      <c r="O20" s="16">
        <f t="shared" si="8"/>
        <v>1560.8010837696784</v>
      </c>
      <c r="P20" s="16">
        <f t="shared" si="8"/>
        <v>1510.0568547844196</v>
      </c>
      <c r="Q20" s="16">
        <f t="shared" si="8"/>
        <v>1445.7548688061308</v>
      </c>
      <c r="R20" s="16">
        <f t="shared" si="8"/>
        <v>1377.7657537105454</v>
      </c>
    </row>
    <row r="21" spans="1:18" ht="6.6" customHeight="1" x14ac:dyDescent="0.3"/>
    <row r="22" spans="1:18" x14ac:dyDescent="0.3">
      <c r="A22" s="6" t="s">
        <v>25</v>
      </c>
      <c r="B22" s="7"/>
      <c r="C22" s="2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6"/>
      <c r="O22" s="6"/>
      <c r="P22" s="6"/>
      <c r="Q22" s="6"/>
      <c r="R22" s="6"/>
    </row>
    <row r="23" spans="1:18" x14ac:dyDescent="0.3">
      <c r="A23" s="6" t="s">
        <v>24</v>
      </c>
      <c r="B23" s="7"/>
      <c r="C23" s="7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6"/>
      <c r="O23" s="6"/>
      <c r="P23" s="6"/>
      <c r="Q23" s="6"/>
      <c r="R23" s="6"/>
    </row>
    <row r="24" spans="1:18" x14ac:dyDescent="0.3">
      <c r="A24" s="21"/>
      <c r="B24" s="22"/>
      <c r="C24" s="22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1"/>
      <c r="O24" s="21"/>
      <c r="P24" s="21"/>
      <c r="Q24" s="21"/>
      <c r="R24" s="21"/>
    </row>
    <row r="25" spans="1:18" x14ac:dyDescent="0.3">
      <c r="A25" t="s">
        <v>23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</row>
    <row r="26" spans="1:18" x14ac:dyDescent="0.3">
      <c r="A26" t="s">
        <v>30</v>
      </c>
      <c r="C26" s="4"/>
      <c r="D26" s="19"/>
    </row>
    <row r="28" spans="1:18" x14ac:dyDescent="0.3">
      <c r="A28" s="3" t="s">
        <v>26</v>
      </c>
      <c r="C28" s="5">
        <v>-13860</v>
      </c>
    </row>
    <row r="29" spans="1:18" x14ac:dyDescent="0.3">
      <c r="A29" t="s">
        <v>28</v>
      </c>
      <c r="B29" s="4">
        <v>0.3</v>
      </c>
      <c r="C29" s="5">
        <f>+$C$28*B29</f>
        <v>-4158</v>
      </c>
    </row>
    <row r="30" spans="1:18" x14ac:dyDescent="0.3">
      <c r="A30" t="s">
        <v>29</v>
      </c>
      <c r="B30" s="4">
        <v>0.7</v>
      </c>
      <c r="C30" s="5">
        <f>+$C$28*B30</f>
        <v>-9702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P&amp;L 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Vaskövi Ágnes</dc:creator>
  <cp:lastModifiedBy>Vaskövi Ágnes</cp:lastModifiedBy>
  <dcterms:created xsi:type="dcterms:W3CDTF">2024-02-22T12:01:39Z</dcterms:created>
  <dcterms:modified xsi:type="dcterms:W3CDTF">2024-02-22T12:29:49Z</dcterms:modified>
</cp:coreProperties>
</file>