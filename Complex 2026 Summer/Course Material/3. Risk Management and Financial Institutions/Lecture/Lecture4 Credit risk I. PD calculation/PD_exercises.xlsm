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/>
  <workbookPr codeName="ThisWorkbook"/>
  <mc:AlternateContent xmlns:mc="http://schemas.openxmlformats.org/markup-compatibility/2006">
    <mc:Choice Requires="x15">
      <x15ac:absPath xmlns:x15ac="http://schemas.microsoft.com/office/spreadsheetml/2010/11/ac" url="C:\Documents\dbarbar\Barbara_2020_11\phd\2024_tavasz\RMFI\4week\"/>
    </mc:Choice>
  </mc:AlternateContent>
  <xr:revisionPtr revIDLastSave="0" documentId="13_ncr:1_{34A36BE1-01A7-4E45-9129-BE6ECAA0B01D}" xr6:coauthVersionLast="47" xr6:coauthVersionMax="47" xr10:uidLastSave="{00000000-0000-0000-0000-000000000000}"/>
  <bookViews>
    <workbookView xWindow="-110" yWindow="-110" windowWidth="19420" windowHeight="10420" activeTab="3" xr2:uid="{00000000-000D-0000-FFFF-FFFF00000000}"/>
  </bookViews>
  <sheets>
    <sheet name="1" sheetId="10" r:id="rId1"/>
    <sheet name="2" sheetId="9" r:id="rId2"/>
    <sheet name="3" sheetId="14" r:id="rId3"/>
    <sheet name="hazard rates" sheetId="11" r:id="rId4"/>
  </sheets>
  <definedNames>
    <definedName name="solver_adj" localSheetId="0" hidden="1">'1'!$B$8</definedName>
    <definedName name="solver_adj" localSheetId="1" hidden="1">'2'!$E$13</definedName>
    <definedName name="solver_cvg" localSheetId="0" hidden="1">"0,0001"</definedName>
    <definedName name="solver_cvg" localSheetId="1" hidden="1">"0,0001"</definedName>
    <definedName name="solver_drv" localSheetId="0" hidden="1">2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"0,075"</definedName>
    <definedName name="solver_mrt" localSheetId="1" hidden="1">"0,075"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'1'!$B$13</definedName>
    <definedName name="solver_opt" localSheetId="1" hidden="1">'2'!$I$30</definedName>
    <definedName name="solver_pre" localSheetId="0" hidden="1">"0,000001"</definedName>
    <definedName name="solver_pre" localSheetId="1" hidden="1">"0,000001"</definedName>
    <definedName name="solver_rbv" localSheetId="0" hidden="1">2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2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3</definedName>
    <definedName name="solver_typ" localSheetId="1" hidden="1">3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11" l="1"/>
  <c r="F7" i="11"/>
  <c r="F8" i="11"/>
  <c r="F9" i="11"/>
  <c r="F10" i="11"/>
  <c r="F11" i="11"/>
  <c r="F12" i="11"/>
  <c r="F13" i="11"/>
  <c r="F14" i="11"/>
  <c r="F15" i="11"/>
  <c r="F16" i="11"/>
  <c r="F17" i="11"/>
  <c r="F18" i="11"/>
  <c r="E6" i="11"/>
  <c r="E7" i="11" s="1"/>
  <c r="E8" i="11" s="1"/>
  <c r="E9" i="11" s="1"/>
  <c r="E10" i="11" s="1"/>
  <c r="E11" i="11" s="1"/>
  <c r="E12" i="11" s="1"/>
  <c r="E13" i="11" s="1"/>
  <c r="E14" i="11" s="1"/>
  <c r="E15" i="11" s="1"/>
  <c r="E16" i="11" s="1"/>
  <c r="E17" i="11" s="1"/>
  <c r="E18" i="11" s="1"/>
  <c r="E5" i="11"/>
  <c r="F5" i="11"/>
  <c r="E4" i="11"/>
  <c r="F4" i="11"/>
  <c r="D9" i="11"/>
  <c r="D10" i="11"/>
  <c r="D11" i="11"/>
  <c r="D12" i="11"/>
  <c r="D13" i="11"/>
  <c r="D14" i="11"/>
  <c r="D15" i="11"/>
  <c r="D16" i="11"/>
  <c r="D17" i="11"/>
  <c r="D18" i="11"/>
  <c r="C9" i="11"/>
  <c r="C10" i="11"/>
  <c r="C11" i="11"/>
  <c r="C12" i="11"/>
  <c r="C13" i="11"/>
  <c r="C14" i="11"/>
  <c r="C15" i="11"/>
  <c r="C16" i="11"/>
  <c r="C17" i="11"/>
  <c r="C18" i="11"/>
  <c r="D6" i="11"/>
  <c r="D7" i="11"/>
  <c r="D8" i="11"/>
  <c r="D5" i="11"/>
  <c r="C5" i="11"/>
  <c r="C6" i="11"/>
  <c r="C7" i="11"/>
  <c r="C8" i="11"/>
  <c r="D4" i="11"/>
  <c r="C4" i="11"/>
  <c r="I8" i="9" l="1"/>
  <c r="J8" i="9"/>
  <c r="K8" i="9"/>
  <c r="L8" i="9"/>
  <c r="H8" i="9"/>
</calcChain>
</file>

<file path=xl/sharedStrings.xml><?xml version="1.0" encoding="utf-8"?>
<sst xmlns="http://schemas.openxmlformats.org/spreadsheetml/2006/main" count="63" uniqueCount="47">
  <si>
    <t>PD</t>
  </si>
  <si>
    <t>LGD</t>
  </si>
  <si>
    <t>r</t>
  </si>
  <si>
    <t>RR</t>
  </si>
  <si>
    <t>DF</t>
  </si>
  <si>
    <t>CDS spread</t>
  </si>
  <si>
    <t>Notional</t>
  </si>
  <si>
    <t>Risk free</t>
  </si>
  <si>
    <t>T=</t>
  </si>
  <si>
    <t>years</t>
  </si>
  <si>
    <t>corporate rate</t>
  </si>
  <si>
    <t>PV(EL)</t>
  </si>
  <si>
    <t>B(treasury)</t>
  </si>
  <si>
    <t>B(corporate)</t>
  </si>
  <si>
    <t>Year</t>
  </si>
  <si>
    <t>fee</t>
  </si>
  <si>
    <t xml:space="preserve">unconditional survival probabilities </t>
  </si>
  <si>
    <t>unconditional default prob.</t>
  </si>
  <si>
    <t>Recovery rate</t>
  </si>
  <si>
    <t>PV(Exp. payments)</t>
  </si>
  <si>
    <t>PV(Exp. Acc. Paym.)</t>
  </si>
  <si>
    <t>Accrual payment fee</t>
  </si>
  <si>
    <t>Sum</t>
  </si>
  <si>
    <t>Expected payment</t>
  </si>
  <si>
    <t>PV(exp. Payment)</t>
  </si>
  <si>
    <t>Regular (annual) fee payment</t>
  </si>
  <si>
    <t>conditional default</t>
  </si>
  <si>
    <t>conditional survival</t>
  </si>
  <si>
    <t>uncond. Default. Prob.</t>
  </si>
  <si>
    <t>uncond survival prob</t>
  </si>
  <si>
    <t>Sum:</t>
  </si>
  <si>
    <t>Protection buyer pays</t>
  </si>
  <si>
    <t>Protection seller pays:</t>
  </si>
  <si>
    <t>Expected accrual payment</t>
  </si>
  <si>
    <t>Protection seller's payments</t>
  </si>
  <si>
    <t>Protection buyer's payments</t>
  </si>
  <si>
    <t>conditional pd</t>
  </si>
  <si>
    <t>Mark-to-market</t>
  </si>
  <si>
    <t>lambda</t>
  </si>
  <si>
    <t>V(t)</t>
  </si>
  <si>
    <t>Q(t)</t>
  </si>
  <si>
    <t>Folytonos</t>
  </si>
  <si>
    <t>Diszkrét</t>
  </si>
  <si>
    <t>AA-Bond</t>
  </si>
  <si>
    <t>Uncond. PD</t>
  </si>
  <si>
    <t>BB-Bond</t>
  </si>
  <si>
    <t>cond. 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</si>
</sst>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000"/>
    <numFmt numFmtId="166" formatCode="0.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7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10"/>
      <name val="Arial CE"/>
      <charset val="238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/>
    </xf>
    <xf numFmtId="9" fontId="0" fillId="0" borderId="0" xfId="0" applyNumberFormat="1"/>
    <xf numFmtId="9" fontId="0" fillId="0" borderId="0" xfId="1" applyFont="1"/>
    <xf numFmtId="0" fontId="2" fillId="0" borderId="0" xfId="0" applyFont="1"/>
    <xf numFmtId="164" fontId="3" fillId="0" borderId="0" xfId="0" applyNumberFormat="1" applyFont="1"/>
    <xf numFmtId="0" fontId="2" fillId="0" borderId="0" xfId="0" applyFont="1" applyAlignment="1">
      <alignment horizontal="center"/>
    </xf>
    <xf numFmtId="10" fontId="2" fillId="0" borderId="0" xfId="0" applyNumberFormat="1" applyFont="1"/>
    <xf numFmtId="10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2" fillId="0" borderId="1" xfId="0" applyFont="1" applyBorder="1" applyAlignment="1">
      <alignment horizontal="center" wrapText="1"/>
    </xf>
    <xf numFmtId="0" fontId="4" fillId="0" borderId="0" xfId="0" applyFont="1"/>
    <xf numFmtId="0" fontId="0" fillId="0" borderId="0" xfId="0" applyAlignment="1">
      <alignment horizontal="center" wrapText="1"/>
    </xf>
    <xf numFmtId="165" fontId="0" fillId="0" borderId="0" xfId="0" applyNumberFormat="1"/>
    <xf numFmtId="166" fontId="6" fillId="0" borderId="0" xfId="0" applyNumberFormat="1" applyFont="1"/>
    <xf numFmtId="166" fontId="7" fillId="0" borderId="0" xfId="0" applyNumberFormat="1" applyFont="1"/>
    <xf numFmtId="166" fontId="0" fillId="0" borderId="0" xfId="0" applyNumberFormat="1"/>
    <xf numFmtId="166" fontId="5" fillId="0" borderId="0" xfId="0" applyNumberFormat="1" applyFont="1"/>
    <xf numFmtId="165" fontId="2" fillId="0" borderId="0" xfId="0" applyNumberFormat="1" applyFont="1"/>
    <xf numFmtId="165" fontId="4" fillId="0" borderId="0" xfId="0" applyNumberFormat="1" applyFont="1" applyAlignment="1">
      <alignment horizontal="center"/>
    </xf>
    <xf numFmtId="2" fontId="0" fillId="0" borderId="0" xfId="0" applyNumberFormat="1"/>
    <xf numFmtId="10" fontId="0" fillId="0" borderId="0" xfId="1" applyNumberFormat="1" applyFont="1"/>
    <xf numFmtId="0" fontId="2" fillId="3" borderId="1" xfId="0" applyFont="1" applyFill="1" applyBorder="1" applyAlignment="1">
      <alignment horizontal="center" wrapText="1"/>
    </xf>
    <xf numFmtId="0" fontId="0" fillId="3" borderId="0" xfId="0" applyFill="1" applyAlignment="1">
      <alignment horizontal="center"/>
    </xf>
    <xf numFmtId="165" fontId="0" fillId="3" borderId="0" xfId="0" applyNumberFormat="1" applyFill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0" fontId="0" fillId="3" borderId="0" xfId="0" applyFill="1"/>
    <xf numFmtId="0" fontId="2" fillId="4" borderId="1" xfId="0" applyFont="1" applyFill="1" applyBorder="1" applyAlignment="1">
      <alignment horizontal="center" wrapText="1"/>
    </xf>
    <xf numFmtId="0" fontId="0" fillId="4" borderId="0" xfId="0" applyFill="1" applyAlignment="1">
      <alignment horizontal="center"/>
    </xf>
    <xf numFmtId="165" fontId="0" fillId="4" borderId="0" xfId="0" applyNumberFormat="1" applyFill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0" fontId="0" fillId="4" borderId="0" xfId="0" applyFill="1"/>
    <xf numFmtId="0" fontId="0" fillId="3" borderId="0" xfId="0" applyFill="1" applyAlignment="1">
      <alignment horizontal="center" wrapText="1"/>
    </xf>
    <xf numFmtId="165" fontId="0" fillId="3" borderId="2" xfId="0" applyNumberForma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0" fontId="0" fillId="4" borderId="0" xfId="0" applyFill="1" applyAlignment="1">
      <alignment horizontal="center" wrapText="1"/>
    </xf>
    <xf numFmtId="165" fontId="0" fillId="4" borderId="2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0" fontId="0" fillId="5" borderId="4" xfId="0" applyFill="1" applyBorder="1"/>
    <xf numFmtId="10" fontId="0" fillId="5" borderId="5" xfId="0" applyNumberFormat="1" applyFill="1" applyBorder="1" applyAlignment="1">
      <alignment horizontal="center"/>
    </xf>
    <xf numFmtId="10" fontId="0" fillId="0" borderId="0" xfId="1" applyNumberFormat="1" applyFont="1" applyAlignment="1">
      <alignment horizontal="center" wrapText="1"/>
    </xf>
    <xf numFmtId="9" fontId="7" fillId="0" borderId="0" xfId="1" applyFont="1" applyAlignment="1">
      <alignment horizontal="center"/>
    </xf>
    <xf numFmtId="0" fontId="5" fillId="0" borderId="0" xfId="0" applyFont="1" applyAlignment="1">
      <alignment horizontal="center"/>
    </xf>
    <xf numFmtId="9" fontId="0" fillId="0" borderId="0" xfId="0" applyNumberFormat="1" applyAlignment="1">
      <alignment horizontal="center"/>
    </xf>
    <xf numFmtId="10" fontId="2" fillId="0" borderId="0" xfId="1" applyNumberFormat="1" applyFont="1" applyAlignment="1">
      <alignment horizontal="center"/>
    </xf>
    <xf numFmtId="10" fontId="0" fillId="2" borderId="0" xfId="1" applyNumberFormat="1" applyFont="1" applyFill="1" applyAlignment="1">
      <alignment horizontal="center" wrapText="1"/>
    </xf>
    <xf numFmtId="9" fontId="0" fillId="4" borderId="0" xfId="0" applyNumberFormat="1" applyFill="1"/>
    <xf numFmtId="10" fontId="0" fillId="0" borderId="0" xfId="1" applyNumberFormat="1" applyFont="1" applyAlignment="1">
      <alignment horizontal="center"/>
    </xf>
    <xf numFmtId="10" fontId="0" fillId="0" borderId="0" xfId="1" applyNumberFormat="1" applyFont="1" applyFill="1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4">
    <cellStyle name="Normal" xfId="0" builtinId="0"/>
    <cellStyle name="Normál 2" xfId="2" xr:uid="{92FE1326-7983-4E54-92F3-79E2CE5236E9}"/>
    <cellStyle name="Percent" xfId="1" builtinId="5"/>
    <cellStyle name="Százalék 2" xfId="3" xr:uid="{5FAD11D7-12D0-4025-8CEA-E2EC64070DF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'hazard rates'!$F$4:$F$18</c:f>
              <c:numCache>
                <c:formatCode>0.00%</c:formatCode>
                <c:ptCount val="15"/>
                <c:pt idx="0">
                  <c:v>0.02</c:v>
                </c:pt>
                <c:pt idx="1">
                  <c:v>1.9599999999999999E-2</c:v>
                </c:pt>
                <c:pt idx="2">
                  <c:v>1.9207999999999999E-2</c:v>
                </c:pt>
                <c:pt idx="3">
                  <c:v>1.8823839999999998E-2</c:v>
                </c:pt>
                <c:pt idx="4">
                  <c:v>1.8447363199999997E-2</c:v>
                </c:pt>
                <c:pt idx="5">
                  <c:v>1.8078415935999997E-2</c:v>
                </c:pt>
                <c:pt idx="6">
                  <c:v>1.7716847617279995E-2</c:v>
                </c:pt>
                <c:pt idx="7">
                  <c:v>1.7362510664934397E-2</c:v>
                </c:pt>
                <c:pt idx="8">
                  <c:v>1.7015260451635709E-2</c:v>
                </c:pt>
                <c:pt idx="9">
                  <c:v>1.6674955242602995E-2</c:v>
                </c:pt>
                <c:pt idx="10">
                  <c:v>1.6341456137750933E-2</c:v>
                </c:pt>
                <c:pt idx="11">
                  <c:v>1.6014627014995914E-2</c:v>
                </c:pt>
                <c:pt idx="12">
                  <c:v>1.5694334474695999E-2</c:v>
                </c:pt>
                <c:pt idx="13">
                  <c:v>1.5380447785202077E-2</c:v>
                </c:pt>
                <c:pt idx="14">
                  <c:v>1.5072838829498034E-2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FE-4F86-9589-0AC45DC9015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'hazard rates'!$D$4:$D$18</c:f>
              <c:numCache>
                <c:formatCode>0.00%</c:formatCode>
                <c:ptCount val="15"/>
                <c:pt idx="0">
                  <c:v>1.9801326693244747E-2</c:v>
                </c:pt>
                <c:pt idx="1">
                  <c:v>1.9409234154432076E-2</c:v>
                </c:pt>
                <c:pt idx="2">
                  <c:v>1.9024905568074457E-2</c:v>
                </c:pt>
                <c:pt idx="3">
                  <c:v>1.8648187197612964E-2</c:v>
                </c:pt>
                <c:pt idx="4">
                  <c:v>1.8278928350676238E-2</c:v>
                </c:pt>
                <c:pt idx="5">
                  <c:v>1.7916981318802039E-2</c:v>
                </c:pt>
                <c:pt idx="6">
                  <c:v>1.7562201318351622E-2</c:v>
                </c:pt>
                <c:pt idx="7">
                  <c:v>1.721444643259451E-2</c:v>
                </c:pt>
                <c:pt idx="8">
                  <c:v>1.6873577554939345E-2</c:v>
                </c:pt>
                <c:pt idx="9">
                  <c:v>1.653945833329018E-2</c:v>
                </c:pt>
                <c:pt idx="10">
                  <c:v>1.6211955115503329E-2</c:v>
                </c:pt>
                <c:pt idx="11">
                  <c:v>1.5890936895925023E-2</c:v>
                </c:pt>
                <c:pt idx="12">
                  <c:v>1.5576275262987216E-2</c:v>
                </c:pt>
                <c:pt idx="13">
                  <c:v>1.5267844347840787E-2</c:v>
                </c:pt>
                <c:pt idx="14">
                  <c:v>1.496552077400759E-2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FE-4F86-9589-0AC45DC90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327199"/>
        <c:axId val="468491871"/>
      </c:lineChart>
      <c:catAx>
        <c:axId val="4753271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68491871"/>
        <c:crosses val="autoZero"/>
        <c:auto val="1"/>
        <c:lblAlgn val="ctr"/>
        <c:lblOffset val="100"/>
        <c:noMultiLvlLbl val="0"/>
      </c:catAx>
      <c:valAx>
        <c:axId val="468491871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753271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488950</xdr:colOff>
      <xdr:row>0</xdr:row>
      <xdr:rowOff>177800</xdr:rowOff>
    </xdr:from>
    <xdr:to>
      <xdr:col>16</xdr:col>
      <xdr:colOff>146050</xdr:colOff>
      <xdr:row>10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19BF60-70B6-39D3-DD29-C3DAE08F2B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6550" y="177800"/>
          <a:ext cx="5753100" cy="166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517525</xdr:colOff>
      <xdr:row>0</xdr:row>
      <xdr:rowOff>168274</xdr:rowOff>
    </xdr:from>
    <xdr:to>
      <xdr:col>14</xdr:col>
      <xdr:colOff>212725</xdr:colOff>
      <xdr:row>23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741C28-3E15-1C87-138E-652D5C501D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G22"/>
  <sheetViews>
    <sheetView topLeftCell="A10" workbookViewId="0">
      <selection activeCell="B7" sqref="B7:B8"/>
    </sheetView>
  </sheetViews>
  <sheetFormatPr defaultRowHeight="14.5" x14ac:dyDescent="0.35"/>
  <cols>
    <col min="1" max="1" width="20.1796875" customWidth="1"/>
    <col min="4" max="4" width="12.81640625" customWidth="1"/>
  </cols>
  <sheetData>
    <row r="2" spans="1:7" x14ac:dyDescent="0.35">
      <c r="A2" t="s">
        <v>6</v>
      </c>
      <c r="B2">
        <v>100</v>
      </c>
    </row>
    <row r="3" spans="1:7" x14ac:dyDescent="0.35">
      <c r="A3" t="s">
        <v>8</v>
      </c>
      <c r="B3">
        <v>3</v>
      </c>
      <c r="C3" t="s">
        <v>9</v>
      </c>
    </row>
    <row r="4" spans="1:7" x14ac:dyDescent="0.35">
      <c r="A4" t="s">
        <v>7</v>
      </c>
      <c r="B4" s="2">
        <v>0.05</v>
      </c>
      <c r="D4" t="s">
        <v>12</v>
      </c>
      <c r="E4" s="21"/>
    </row>
    <row r="5" spans="1:7" x14ac:dyDescent="0.35">
      <c r="A5" t="s">
        <v>10</v>
      </c>
      <c r="B5" s="8">
        <v>5.5E-2</v>
      </c>
      <c r="D5" t="s">
        <v>13</v>
      </c>
      <c r="E5" s="21"/>
    </row>
    <row r="6" spans="1:7" x14ac:dyDescent="0.35">
      <c r="A6" t="s">
        <v>3</v>
      </c>
      <c r="B6">
        <v>0</v>
      </c>
    </row>
    <row r="7" spans="1:7" x14ac:dyDescent="0.35">
      <c r="A7" t="s">
        <v>1</v>
      </c>
      <c r="B7" s="3"/>
    </row>
    <row r="8" spans="1:7" x14ac:dyDescent="0.35">
      <c r="A8" t="s">
        <v>0</v>
      </c>
      <c r="B8" s="22"/>
    </row>
    <row r="11" spans="1:7" x14ac:dyDescent="0.35">
      <c r="A11" t="s">
        <v>11</v>
      </c>
      <c r="B11" s="21"/>
      <c r="F11" s="1" t="s">
        <v>3</v>
      </c>
      <c r="G11" s="1" t="s">
        <v>0</v>
      </c>
    </row>
    <row r="12" spans="1:7" x14ac:dyDescent="0.35">
      <c r="A12" t="s">
        <v>11</v>
      </c>
      <c r="B12" s="21"/>
      <c r="F12" s="1">
        <v>0</v>
      </c>
      <c r="G12" s="48"/>
    </row>
    <row r="13" spans="1:7" x14ac:dyDescent="0.35">
      <c r="B13" s="21"/>
      <c r="F13" s="1">
        <v>0.1</v>
      </c>
      <c r="G13" s="48"/>
    </row>
    <row r="14" spans="1:7" x14ac:dyDescent="0.35">
      <c r="F14" s="1">
        <v>0.2</v>
      </c>
      <c r="G14" s="48"/>
    </row>
    <row r="15" spans="1:7" x14ac:dyDescent="0.35">
      <c r="F15" s="1">
        <v>0.3</v>
      </c>
      <c r="G15" s="48"/>
    </row>
    <row r="16" spans="1:7" x14ac:dyDescent="0.35">
      <c r="F16" s="1">
        <v>0.4</v>
      </c>
      <c r="G16" s="48"/>
    </row>
    <row r="17" spans="6:7" x14ac:dyDescent="0.35">
      <c r="F17" s="1">
        <v>0.5</v>
      </c>
      <c r="G17" s="48"/>
    </row>
    <row r="18" spans="6:7" x14ac:dyDescent="0.35">
      <c r="F18" s="1">
        <v>0.6</v>
      </c>
      <c r="G18" s="48"/>
    </row>
    <row r="19" spans="6:7" x14ac:dyDescent="0.35">
      <c r="F19" s="1">
        <v>0.7</v>
      </c>
      <c r="G19" s="48"/>
    </row>
    <row r="20" spans="6:7" x14ac:dyDescent="0.35">
      <c r="F20" s="1">
        <v>0.8</v>
      </c>
      <c r="G20" s="48"/>
    </row>
    <row r="21" spans="6:7" x14ac:dyDescent="0.35">
      <c r="F21" s="1">
        <v>0.9</v>
      </c>
      <c r="G21" s="48"/>
    </row>
    <row r="22" spans="6:7" x14ac:dyDescent="0.35">
      <c r="F22" s="1">
        <v>1</v>
      </c>
      <c r="G22" s="4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3"/>
  <dimension ref="A1:L34"/>
  <sheetViews>
    <sheetView topLeftCell="A22" zoomScale="110" zoomScaleNormal="110" workbookViewId="0">
      <selection activeCell="F34" sqref="F34"/>
    </sheetView>
  </sheetViews>
  <sheetFormatPr defaultColWidth="10.1796875" defaultRowHeight="14.5" x14ac:dyDescent="0.35"/>
  <cols>
    <col min="2" max="2" width="16" customWidth="1"/>
    <col min="3" max="3" width="20.453125" customWidth="1"/>
    <col min="4" max="4" width="24.54296875" customWidth="1"/>
    <col min="5" max="5" width="13.26953125" customWidth="1"/>
    <col min="6" max="6" width="15.7265625" customWidth="1"/>
    <col min="7" max="7" width="23.1796875" customWidth="1"/>
    <col min="8" max="8" width="15.81640625" customWidth="1"/>
    <col min="9" max="9" width="13.81640625" customWidth="1"/>
    <col min="258" max="258" width="16" customWidth="1"/>
    <col min="259" max="259" width="16.1796875" customWidth="1"/>
    <col min="260" max="261" width="13.26953125" customWidth="1"/>
    <col min="262" max="262" width="15.7265625" customWidth="1"/>
    <col min="264" max="264" width="12.7265625" customWidth="1"/>
    <col min="265" max="265" width="13.81640625" customWidth="1"/>
    <col min="514" max="514" width="16" customWidth="1"/>
    <col min="515" max="515" width="16.1796875" customWidth="1"/>
    <col min="516" max="517" width="13.26953125" customWidth="1"/>
    <col min="518" max="518" width="15.7265625" customWidth="1"/>
    <col min="520" max="520" width="12.7265625" customWidth="1"/>
    <col min="521" max="521" width="13.81640625" customWidth="1"/>
    <col min="770" max="770" width="16" customWidth="1"/>
    <col min="771" max="771" width="16.1796875" customWidth="1"/>
    <col min="772" max="773" width="13.26953125" customWidth="1"/>
    <col min="774" max="774" width="15.7265625" customWidth="1"/>
    <col min="776" max="776" width="12.7265625" customWidth="1"/>
    <col min="777" max="777" width="13.81640625" customWidth="1"/>
    <col min="1026" max="1026" width="16" customWidth="1"/>
    <col min="1027" max="1027" width="16.1796875" customWidth="1"/>
    <col min="1028" max="1029" width="13.26953125" customWidth="1"/>
    <col min="1030" max="1030" width="15.7265625" customWidth="1"/>
    <col min="1032" max="1032" width="12.7265625" customWidth="1"/>
    <col min="1033" max="1033" width="13.81640625" customWidth="1"/>
    <col min="1282" max="1282" width="16" customWidth="1"/>
    <col min="1283" max="1283" width="16.1796875" customWidth="1"/>
    <col min="1284" max="1285" width="13.26953125" customWidth="1"/>
    <col min="1286" max="1286" width="15.7265625" customWidth="1"/>
    <col min="1288" max="1288" width="12.7265625" customWidth="1"/>
    <col min="1289" max="1289" width="13.81640625" customWidth="1"/>
    <col min="1538" max="1538" width="16" customWidth="1"/>
    <col min="1539" max="1539" width="16.1796875" customWidth="1"/>
    <col min="1540" max="1541" width="13.26953125" customWidth="1"/>
    <col min="1542" max="1542" width="15.7265625" customWidth="1"/>
    <col min="1544" max="1544" width="12.7265625" customWidth="1"/>
    <col min="1545" max="1545" width="13.81640625" customWidth="1"/>
    <col min="1794" max="1794" width="16" customWidth="1"/>
    <col min="1795" max="1795" width="16.1796875" customWidth="1"/>
    <col min="1796" max="1797" width="13.26953125" customWidth="1"/>
    <col min="1798" max="1798" width="15.7265625" customWidth="1"/>
    <col min="1800" max="1800" width="12.7265625" customWidth="1"/>
    <col min="1801" max="1801" width="13.81640625" customWidth="1"/>
    <col min="2050" max="2050" width="16" customWidth="1"/>
    <col min="2051" max="2051" width="16.1796875" customWidth="1"/>
    <col min="2052" max="2053" width="13.26953125" customWidth="1"/>
    <col min="2054" max="2054" width="15.7265625" customWidth="1"/>
    <col min="2056" max="2056" width="12.7265625" customWidth="1"/>
    <col min="2057" max="2057" width="13.81640625" customWidth="1"/>
    <col min="2306" max="2306" width="16" customWidth="1"/>
    <col min="2307" max="2307" width="16.1796875" customWidth="1"/>
    <col min="2308" max="2309" width="13.26953125" customWidth="1"/>
    <col min="2310" max="2310" width="15.7265625" customWidth="1"/>
    <col min="2312" max="2312" width="12.7265625" customWidth="1"/>
    <col min="2313" max="2313" width="13.81640625" customWidth="1"/>
    <col min="2562" max="2562" width="16" customWidth="1"/>
    <col min="2563" max="2563" width="16.1796875" customWidth="1"/>
    <col min="2564" max="2565" width="13.26953125" customWidth="1"/>
    <col min="2566" max="2566" width="15.7265625" customWidth="1"/>
    <col min="2568" max="2568" width="12.7265625" customWidth="1"/>
    <col min="2569" max="2569" width="13.81640625" customWidth="1"/>
    <col min="2818" max="2818" width="16" customWidth="1"/>
    <col min="2819" max="2819" width="16.1796875" customWidth="1"/>
    <col min="2820" max="2821" width="13.26953125" customWidth="1"/>
    <col min="2822" max="2822" width="15.7265625" customWidth="1"/>
    <col min="2824" max="2824" width="12.7265625" customWidth="1"/>
    <col min="2825" max="2825" width="13.81640625" customWidth="1"/>
    <col min="3074" max="3074" width="16" customWidth="1"/>
    <col min="3075" max="3075" width="16.1796875" customWidth="1"/>
    <col min="3076" max="3077" width="13.26953125" customWidth="1"/>
    <col min="3078" max="3078" width="15.7265625" customWidth="1"/>
    <col min="3080" max="3080" width="12.7265625" customWidth="1"/>
    <col min="3081" max="3081" width="13.81640625" customWidth="1"/>
    <col min="3330" max="3330" width="16" customWidth="1"/>
    <col min="3331" max="3331" width="16.1796875" customWidth="1"/>
    <col min="3332" max="3333" width="13.26953125" customWidth="1"/>
    <col min="3334" max="3334" width="15.7265625" customWidth="1"/>
    <col min="3336" max="3336" width="12.7265625" customWidth="1"/>
    <col min="3337" max="3337" width="13.81640625" customWidth="1"/>
    <col min="3586" max="3586" width="16" customWidth="1"/>
    <col min="3587" max="3587" width="16.1796875" customWidth="1"/>
    <col min="3588" max="3589" width="13.26953125" customWidth="1"/>
    <col min="3590" max="3590" width="15.7265625" customWidth="1"/>
    <col min="3592" max="3592" width="12.7265625" customWidth="1"/>
    <col min="3593" max="3593" width="13.81640625" customWidth="1"/>
    <col min="3842" max="3842" width="16" customWidth="1"/>
    <col min="3843" max="3843" width="16.1796875" customWidth="1"/>
    <col min="3844" max="3845" width="13.26953125" customWidth="1"/>
    <col min="3846" max="3846" width="15.7265625" customWidth="1"/>
    <col min="3848" max="3848" width="12.7265625" customWidth="1"/>
    <col min="3849" max="3849" width="13.81640625" customWidth="1"/>
    <col min="4098" max="4098" width="16" customWidth="1"/>
    <col min="4099" max="4099" width="16.1796875" customWidth="1"/>
    <col min="4100" max="4101" width="13.26953125" customWidth="1"/>
    <col min="4102" max="4102" width="15.7265625" customWidth="1"/>
    <col min="4104" max="4104" width="12.7265625" customWidth="1"/>
    <col min="4105" max="4105" width="13.81640625" customWidth="1"/>
    <col min="4354" max="4354" width="16" customWidth="1"/>
    <col min="4355" max="4355" width="16.1796875" customWidth="1"/>
    <col min="4356" max="4357" width="13.26953125" customWidth="1"/>
    <col min="4358" max="4358" width="15.7265625" customWidth="1"/>
    <col min="4360" max="4360" width="12.7265625" customWidth="1"/>
    <col min="4361" max="4361" width="13.81640625" customWidth="1"/>
    <col min="4610" max="4610" width="16" customWidth="1"/>
    <col min="4611" max="4611" width="16.1796875" customWidth="1"/>
    <col min="4612" max="4613" width="13.26953125" customWidth="1"/>
    <col min="4614" max="4614" width="15.7265625" customWidth="1"/>
    <col min="4616" max="4616" width="12.7265625" customWidth="1"/>
    <col min="4617" max="4617" width="13.81640625" customWidth="1"/>
    <col min="4866" max="4866" width="16" customWidth="1"/>
    <col min="4867" max="4867" width="16.1796875" customWidth="1"/>
    <col min="4868" max="4869" width="13.26953125" customWidth="1"/>
    <col min="4870" max="4870" width="15.7265625" customWidth="1"/>
    <col min="4872" max="4872" width="12.7265625" customWidth="1"/>
    <col min="4873" max="4873" width="13.81640625" customWidth="1"/>
    <col min="5122" max="5122" width="16" customWidth="1"/>
    <col min="5123" max="5123" width="16.1796875" customWidth="1"/>
    <col min="5124" max="5125" width="13.26953125" customWidth="1"/>
    <col min="5126" max="5126" width="15.7265625" customWidth="1"/>
    <col min="5128" max="5128" width="12.7265625" customWidth="1"/>
    <col min="5129" max="5129" width="13.81640625" customWidth="1"/>
    <col min="5378" max="5378" width="16" customWidth="1"/>
    <col min="5379" max="5379" width="16.1796875" customWidth="1"/>
    <col min="5380" max="5381" width="13.26953125" customWidth="1"/>
    <col min="5382" max="5382" width="15.7265625" customWidth="1"/>
    <col min="5384" max="5384" width="12.7265625" customWidth="1"/>
    <col min="5385" max="5385" width="13.81640625" customWidth="1"/>
    <col min="5634" max="5634" width="16" customWidth="1"/>
    <col min="5635" max="5635" width="16.1796875" customWidth="1"/>
    <col min="5636" max="5637" width="13.26953125" customWidth="1"/>
    <col min="5638" max="5638" width="15.7265625" customWidth="1"/>
    <col min="5640" max="5640" width="12.7265625" customWidth="1"/>
    <col min="5641" max="5641" width="13.81640625" customWidth="1"/>
    <col min="5890" max="5890" width="16" customWidth="1"/>
    <col min="5891" max="5891" width="16.1796875" customWidth="1"/>
    <col min="5892" max="5893" width="13.26953125" customWidth="1"/>
    <col min="5894" max="5894" width="15.7265625" customWidth="1"/>
    <col min="5896" max="5896" width="12.7265625" customWidth="1"/>
    <col min="5897" max="5897" width="13.81640625" customWidth="1"/>
    <col min="6146" max="6146" width="16" customWidth="1"/>
    <col min="6147" max="6147" width="16.1796875" customWidth="1"/>
    <col min="6148" max="6149" width="13.26953125" customWidth="1"/>
    <col min="6150" max="6150" width="15.7265625" customWidth="1"/>
    <col min="6152" max="6152" width="12.7265625" customWidth="1"/>
    <col min="6153" max="6153" width="13.81640625" customWidth="1"/>
    <col min="6402" max="6402" width="16" customWidth="1"/>
    <col min="6403" max="6403" width="16.1796875" customWidth="1"/>
    <col min="6404" max="6405" width="13.26953125" customWidth="1"/>
    <col min="6406" max="6406" width="15.7265625" customWidth="1"/>
    <col min="6408" max="6408" width="12.7265625" customWidth="1"/>
    <col min="6409" max="6409" width="13.81640625" customWidth="1"/>
    <col min="6658" max="6658" width="16" customWidth="1"/>
    <col min="6659" max="6659" width="16.1796875" customWidth="1"/>
    <col min="6660" max="6661" width="13.26953125" customWidth="1"/>
    <col min="6662" max="6662" width="15.7265625" customWidth="1"/>
    <col min="6664" max="6664" width="12.7265625" customWidth="1"/>
    <col min="6665" max="6665" width="13.81640625" customWidth="1"/>
    <col min="6914" max="6914" width="16" customWidth="1"/>
    <col min="6915" max="6915" width="16.1796875" customWidth="1"/>
    <col min="6916" max="6917" width="13.26953125" customWidth="1"/>
    <col min="6918" max="6918" width="15.7265625" customWidth="1"/>
    <col min="6920" max="6920" width="12.7265625" customWidth="1"/>
    <col min="6921" max="6921" width="13.81640625" customWidth="1"/>
    <col min="7170" max="7170" width="16" customWidth="1"/>
    <col min="7171" max="7171" width="16.1796875" customWidth="1"/>
    <col min="7172" max="7173" width="13.26953125" customWidth="1"/>
    <col min="7174" max="7174" width="15.7265625" customWidth="1"/>
    <col min="7176" max="7176" width="12.7265625" customWidth="1"/>
    <col min="7177" max="7177" width="13.81640625" customWidth="1"/>
    <col min="7426" max="7426" width="16" customWidth="1"/>
    <col min="7427" max="7427" width="16.1796875" customWidth="1"/>
    <col min="7428" max="7429" width="13.26953125" customWidth="1"/>
    <col min="7430" max="7430" width="15.7265625" customWidth="1"/>
    <col min="7432" max="7432" width="12.7265625" customWidth="1"/>
    <col min="7433" max="7433" width="13.81640625" customWidth="1"/>
    <col min="7682" max="7682" width="16" customWidth="1"/>
    <col min="7683" max="7683" width="16.1796875" customWidth="1"/>
    <col min="7684" max="7685" width="13.26953125" customWidth="1"/>
    <col min="7686" max="7686" width="15.7265625" customWidth="1"/>
    <col min="7688" max="7688" width="12.7265625" customWidth="1"/>
    <col min="7689" max="7689" width="13.81640625" customWidth="1"/>
    <col min="7938" max="7938" width="16" customWidth="1"/>
    <col min="7939" max="7939" width="16.1796875" customWidth="1"/>
    <col min="7940" max="7941" width="13.26953125" customWidth="1"/>
    <col min="7942" max="7942" width="15.7265625" customWidth="1"/>
    <col min="7944" max="7944" width="12.7265625" customWidth="1"/>
    <col min="7945" max="7945" width="13.81640625" customWidth="1"/>
    <col min="8194" max="8194" width="16" customWidth="1"/>
    <col min="8195" max="8195" width="16.1796875" customWidth="1"/>
    <col min="8196" max="8197" width="13.26953125" customWidth="1"/>
    <col min="8198" max="8198" width="15.7265625" customWidth="1"/>
    <col min="8200" max="8200" width="12.7265625" customWidth="1"/>
    <col min="8201" max="8201" width="13.81640625" customWidth="1"/>
    <col min="8450" max="8450" width="16" customWidth="1"/>
    <col min="8451" max="8451" width="16.1796875" customWidth="1"/>
    <col min="8452" max="8453" width="13.26953125" customWidth="1"/>
    <col min="8454" max="8454" width="15.7265625" customWidth="1"/>
    <col min="8456" max="8456" width="12.7265625" customWidth="1"/>
    <col min="8457" max="8457" width="13.81640625" customWidth="1"/>
    <col min="8706" max="8706" width="16" customWidth="1"/>
    <col min="8707" max="8707" width="16.1796875" customWidth="1"/>
    <col min="8708" max="8709" width="13.26953125" customWidth="1"/>
    <col min="8710" max="8710" width="15.7265625" customWidth="1"/>
    <col min="8712" max="8712" width="12.7265625" customWidth="1"/>
    <col min="8713" max="8713" width="13.81640625" customWidth="1"/>
    <col min="8962" max="8962" width="16" customWidth="1"/>
    <col min="8963" max="8963" width="16.1796875" customWidth="1"/>
    <col min="8964" max="8965" width="13.26953125" customWidth="1"/>
    <col min="8966" max="8966" width="15.7265625" customWidth="1"/>
    <col min="8968" max="8968" width="12.7265625" customWidth="1"/>
    <col min="8969" max="8969" width="13.81640625" customWidth="1"/>
    <col min="9218" max="9218" width="16" customWidth="1"/>
    <col min="9219" max="9219" width="16.1796875" customWidth="1"/>
    <col min="9220" max="9221" width="13.26953125" customWidth="1"/>
    <col min="9222" max="9222" width="15.7265625" customWidth="1"/>
    <col min="9224" max="9224" width="12.7265625" customWidth="1"/>
    <col min="9225" max="9225" width="13.81640625" customWidth="1"/>
    <col min="9474" max="9474" width="16" customWidth="1"/>
    <col min="9475" max="9475" width="16.1796875" customWidth="1"/>
    <col min="9476" max="9477" width="13.26953125" customWidth="1"/>
    <col min="9478" max="9478" width="15.7265625" customWidth="1"/>
    <col min="9480" max="9480" width="12.7265625" customWidth="1"/>
    <col min="9481" max="9481" width="13.81640625" customWidth="1"/>
    <col min="9730" max="9730" width="16" customWidth="1"/>
    <col min="9731" max="9731" width="16.1796875" customWidth="1"/>
    <col min="9732" max="9733" width="13.26953125" customWidth="1"/>
    <col min="9734" max="9734" width="15.7265625" customWidth="1"/>
    <col min="9736" max="9736" width="12.7265625" customWidth="1"/>
    <col min="9737" max="9737" width="13.81640625" customWidth="1"/>
    <col min="9986" max="9986" width="16" customWidth="1"/>
    <col min="9987" max="9987" width="16.1796875" customWidth="1"/>
    <col min="9988" max="9989" width="13.26953125" customWidth="1"/>
    <col min="9990" max="9990" width="15.7265625" customWidth="1"/>
    <col min="9992" max="9992" width="12.7265625" customWidth="1"/>
    <col min="9993" max="9993" width="13.81640625" customWidth="1"/>
    <col min="10242" max="10242" width="16" customWidth="1"/>
    <col min="10243" max="10243" width="16.1796875" customWidth="1"/>
    <col min="10244" max="10245" width="13.26953125" customWidth="1"/>
    <col min="10246" max="10246" width="15.7265625" customWidth="1"/>
    <col min="10248" max="10248" width="12.7265625" customWidth="1"/>
    <col min="10249" max="10249" width="13.81640625" customWidth="1"/>
    <col min="10498" max="10498" width="16" customWidth="1"/>
    <col min="10499" max="10499" width="16.1796875" customWidth="1"/>
    <col min="10500" max="10501" width="13.26953125" customWidth="1"/>
    <col min="10502" max="10502" width="15.7265625" customWidth="1"/>
    <col min="10504" max="10504" width="12.7265625" customWidth="1"/>
    <col min="10505" max="10505" width="13.81640625" customWidth="1"/>
    <col min="10754" max="10754" width="16" customWidth="1"/>
    <col min="10755" max="10755" width="16.1796875" customWidth="1"/>
    <col min="10756" max="10757" width="13.26953125" customWidth="1"/>
    <col min="10758" max="10758" width="15.7265625" customWidth="1"/>
    <col min="10760" max="10760" width="12.7265625" customWidth="1"/>
    <col min="10761" max="10761" width="13.81640625" customWidth="1"/>
    <col min="11010" max="11010" width="16" customWidth="1"/>
    <col min="11011" max="11011" width="16.1796875" customWidth="1"/>
    <col min="11012" max="11013" width="13.26953125" customWidth="1"/>
    <col min="11014" max="11014" width="15.7265625" customWidth="1"/>
    <col min="11016" max="11016" width="12.7265625" customWidth="1"/>
    <col min="11017" max="11017" width="13.81640625" customWidth="1"/>
    <col min="11266" max="11266" width="16" customWidth="1"/>
    <col min="11267" max="11267" width="16.1796875" customWidth="1"/>
    <col min="11268" max="11269" width="13.26953125" customWidth="1"/>
    <col min="11270" max="11270" width="15.7265625" customWidth="1"/>
    <col min="11272" max="11272" width="12.7265625" customWidth="1"/>
    <col min="11273" max="11273" width="13.81640625" customWidth="1"/>
    <col min="11522" max="11522" width="16" customWidth="1"/>
    <col min="11523" max="11523" width="16.1796875" customWidth="1"/>
    <col min="11524" max="11525" width="13.26953125" customWidth="1"/>
    <col min="11526" max="11526" width="15.7265625" customWidth="1"/>
    <col min="11528" max="11528" width="12.7265625" customWidth="1"/>
    <col min="11529" max="11529" width="13.81640625" customWidth="1"/>
    <col min="11778" max="11778" width="16" customWidth="1"/>
    <col min="11779" max="11779" width="16.1796875" customWidth="1"/>
    <col min="11780" max="11781" width="13.26953125" customWidth="1"/>
    <col min="11782" max="11782" width="15.7265625" customWidth="1"/>
    <col min="11784" max="11784" width="12.7265625" customWidth="1"/>
    <col min="11785" max="11785" width="13.81640625" customWidth="1"/>
    <col min="12034" max="12034" width="16" customWidth="1"/>
    <col min="12035" max="12035" width="16.1796875" customWidth="1"/>
    <col min="12036" max="12037" width="13.26953125" customWidth="1"/>
    <col min="12038" max="12038" width="15.7265625" customWidth="1"/>
    <col min="12040" max="12040" width="12.7265625" customWidth="1"/>
    <col min="12041" max="12041" width="13.81640625" customWidth="1"/>
    <col min="12290" max="12290" width="16" customWidth="1"/>
    <col min="12291" max="12291" width="16.1796875" customWidth="1"/>
    <col min="12292" max="12293" width="13.26953125" customWidth="1"/>
    <col min="12294" max="12294" width="15.7265625" customWidth="1"/>
    <col min="12296" max="12296" width="12.7265625" customWidth="1"/>
    <col min="12297" max="12297" width="13.81640625" customWidth="1"/>
    <col min="12546" max="12546" width="16" customWidth="1"/>
    <col min="12547" max="12547" width="16.1796875" customWidth="1"/>
    <col min="12548" max="12549" width="13.26953125" customWidth="1"/>
    <col min="12550" max="12550" width="15.7265625" customWidth="1"/>
    <col min="12552" max="12552" width="12.7265625" customWidth="1"/>
    <col min="12553" max="12553" width="13.81640625" customWidth="1"/>
    <col min="12802" max="12802" width="16" customWidth="1"/>
    <col min="12803" max="12803" width="16.1796875" customWidth="1"/>
    <col min="12804" max="12805" width="13.26953125" customWidth="1"/>
    <col min="12806" max="12806" width="15.7265625" customWidth="1"/>
    <col min="12808" max="12808" width="12.7265625" customWidth="1"/>
    <col min="12809" max="12809" width="13.81640625" customWidth="1"/>
    <col min="13058" max="13058" width="16" customWidth="1"/>
    <col min="13059" max="13059" width="16.1796875" customWidth="1"/>
    <col min="13060" max="13061" width="13.26953125" customWidth="1"/>
    <col min="13062" max="13062" width="15.7265625" customWidth="1"/>
    <col min="13064" max="13064" width="12.7265625" customWidth="1"/>
    <col min="13065" max="13065" width="13.81640625" customWidth="1"/>
    <col min="13314" max="13314" width="16" customWidth="1"/>
    <col min="13315" max="13315" width="16.1796875" customWidth="1"/>
    <col min="13316" max="13317" width="13.26953125" customWidth="1"/>
    <col min="13318" max="13318" width="15.7265625" customWidth="1"/>
    <col min="13320" max="13320" width="12.7265625" customWidth="1"/>
    <col min="13321" max="13321" width="13.81640625" customWidth="1"/>
    <col min="13570" max="13570" width="16" customWidth="1"/>
    <col min="13571" max="13571" width="16.1796875" customWidth="1"/>
    <col min="13572" max="13573" width="13.26953125" customWidth="1"/>
    <col min="13574" max="13574" width="15.7265625" customWidth="1"/>
    <col min="13576" max="13576" width="12.7265625" customWidth="1"/>
    <col min="13577" max="13577" width="13.81640625" customWidth="1"/>
    <col min="13826" max="13826" width="16" customWidth="1"/>
    <col min="13827" max="13827" width="16.1796875" customWidth="1"/>
    <col min="13828" max="13829" width="13.26953125" customWidth="1"/>
    <col min="13830" max="13830" width="15.7265625" customWidth="1"/>
    <col min="13832" max="13832" width="12.7265625" customWidth="1"/>
    <col min="13833" max="13833" width="13.81640625" customWidth="1"/>
    <col min="14082" max="14082" width="16" customWidth="1"/>
    <col min="14083" max="14083" width="16.1796875" customWidth="1"/>
    <col min="14084" max="14085" width="13.26953125" customWidth="1"/>
    <col min="14086" max="14086" width="15.7265625" customWidth="1"/>
    <col min="14088" max="14088" width="12.7265625" customWidth="1"/>
    <col min="14089" max="14089" width="13.81640625" customWidth="1"/>
    <col min="14338" max="14338" width="16" customWidth="1"/>
    <col min="14339" max="14339" width="16.1796875" customWidth="1"/>
    <col min="14340" max="14341" width="13.26953125" customWidth="1"/>
    <col min="14342" max="14342" width="15.7265625" customWidth="1"/>
    <col min="14344" max="14344" width="12.7265625" customWidth="1"/>
    <col min="14345" max="14345" width="13.81640625" customWidth="1"/>
    <col min="14594" max="14594" width="16" customWidth="1"/>
    <col min="14595" max="14595" width="16.1796875" customWidth="1"/>
    <col min="14596" max="14597" width="13.26953125" customWidth="1"/>
    <col min="14598" max="14598" width="15.7265625" customWidth="1"/>
    <col min="14600" max="14600" width="12.7265625" customWidth="1"/>
    <col min="14601" max="14601" width="13.81640625" customWidth="1"/>
    <col min="14850" max="14850" width="16" customWidth="1"/>
    <col min="14851" max="14851" width="16.1796875" customWidth="1"/>
    <col min="14852" max="14853" width="13.26953125" customWidth="1"/>
    <col min="14854" max="14854" width="15.7265625" customWidth="1"/>
    <col min="14856" max="14856" width="12.7265625" customWidth="1"/>
    <col min="14857" max="14857" width="13.81640625" customWidth="1"/>
    <col min="15106" max="15106" width="16" customWidth="1"/>
    <col min="15107" max="15107" width="16.1796875" customWidth="1"/>
    <col min="15108" max="15109" width="13.26953125" customWidth="1"/>
    <col min="15110" max="15110" width="15.7265625" customWidth="1"/>
    <col min="15112" max="15112" width="12.7265625" customWidth="1"/>
    <col min="15113" max="15113" width="13.81640625" customWidth="1"/>
    <col min="15362" max="15362" width="16" customWidth="1"/>
    <col min="15363" max="15363" width="16.1796875" customWidth="1"/>
    <col min="15364" max="15365" width="13.26953125" customWidth="1"/>
    <col min="15366" max="15366" width="15.7265625" customWidth="1"/>
    <col min="15368" max="15368" width="12.7265625" customWidth="1"/>
    <col min="15369" max="15369" width="13.81640625" customWidth="1"/>
    <col min="15618" max="15618" width="16" customWidth="1"/>
    <col min="15619" max="15619" width="16.1796875" customWidth="1"/>
    <col min="15620" max="15621" width="13.26953125" customWidth="1"/>
    <col min="15622" max="15622" width="15.7265625" customWidth="1"/>
    <col min="15624" max="15624" width="12.7265625" customWidth="1"/>
    <col min="15625" max="15625" width="13.81640625" customWidth="1"/>
    <col min="15874" max="15874" width="16" customWidth="1"/>
    <col min="15875" max="15875" width="16.1796875" customWidth="1"/>
    <col min="15876" max="15877" width="13.26953125" customWidth="1"/>
    <col min="15878" max="15878" width="15.7265625" customWidth="1"/>
    <col min="15880" max="15880" width="12.7265625" customWidth="1"/>
    <col min="15881" max="15881" width="13.81640625" customWidth="1"/>
    <col min="16130" max="16130" width="16" customWidth="1"/>
    <col min="16131" max="16131" width="16.1796875" customWidth="1"/>
    <col min="16132" max="16133" width="13.26953125" customWidth="1"/>
    <col min="16134" max="16134" width="15.7265625" customWidth="1"/>
    <col min="16136" max="16136" width="12.7265625" customWidth="1"/>
    <col min="16137" max="16137" width="13.81640625" customWidth="1"/>
  </cols>
  <sheetData>
    <row r="1" spans="1:12" x14ac:dyDescent="0.35">
      <c r="F1" s="4"/>
      <c r="G1" s="5"/>
    </row>
    <row r="2" spans="1:12" x14ac:dyDescent="0.35">
      <c r="B2" s="6" t="s">
        <v>2</v>
      </c>
      <c r="C2" s="7">
        <v>0.05</v>
      </c>
      <c r="G2" s="5"/>
      <c r="J2" s="8"/>
    </row>
    <row r="3" spans="1:12" x14ac:dyDescent="0.35">
      <c r="B3" s="6"/>
      <c r="C3" s="6"/>
      <c r="D3" s="6"/>
      <c r="E3" s="6"/>
      <c r="F3" s="9"/>
      <c r="G3" s="10"/>
      <c r="H3" s="9"/>
      <c r="I3" s="9"/>
    </row>
    <row r="4" spans="1:12" ht="27" thickBot="1" x14ac:dyDescent="0.4">
      <c r="A4" s="11" t="s">
        <v>14</v>
      </c>
      <c r="B4" s="11" t="s">
        <v>36</v>
      </c>
      <c r="C4" s="11" t="s">
        <v>17</v>
      </c>
      <c r="D4" s="11" t="s">
        <v>16</v>
      </c>
      <c r="E4" s="6"/>
      <c r="F4" s="12"/>
      <c r="G4" s="9">
        <v>0</v>
      </c>
      <c r="H4" s="9">
        <v>1</v>
      </c>
      <c r="I4" s="9">
        <v>2</v>
      </c>
      <c r="J4" s="9">
        <v>3</v>
      </c>
      <c r="K4" s="43">
        <v>4</v>
      </c>
      <c r="L4" s="9">
        <v>5</v>
      </c>
    </row>
    <row r="5" spans="1:12" ht="15" thickTop="1" x14ac:dyDescent="0.35">
      <c r="A5" s="13">
        <v>1</v>
      </c>
      <c r="B5" s="41">
        <v>0.02</v>
      </c>
      <c r="C5" s="46"/>
      <c r="D5" s="41"/>
      <c r="E5" s="14"/>
      <c r="F5" s="15"/>
      <c r="G5" s="14"/>
      <c r="H5" s="16"/>
      <c r="I5" s="17"/>
      <c r="J5" s="10"/>
      <c r="K5" s="18"/>
    </row>
    <row r="6" spans="1:12" x14ac:dyDescent="0.35">
      <c r="A6" s="13">
        <v>2</v>
      </c>
      <c r="B6" s="49">
        <v>0.02</v>
      </c>
      <c r="C6" s="46"/>
      <c r="D6" s="41"/>
      <c r="E6" s="14"/>
      <c r="F6" s="15"/>
      <c r="G6" s="14"/>
      <c r="H6" s="16"/>
      <c r="I6" s="17"/>
      <c r="J6" s="10"/>
      <c r="K6" s="18"/>
    </row>
    <row r="7" spans="1:12" x14ac:dyDescent="0.35">
      <c r="A7" s="13">
        <v>3</v>
      </c>
      <c r="B7" s="41">
        <v>0.02</v>
      </c>
      <c r="C7" s="46"/>
      <c r="D7" s="41"/>
      <c r="E7" s="14"/>
      <c r="F7" s="15"/>
      <c r="G7" s="14" t="s">
        <v>26</v>
      </c>
      <c r="H7" s="42">
        <v>0.02</v>
      </c>
      <c r="I7" s="42">
        <v>0.02</v>
      </c>
      <c r="J7" s="42">
        <v>0.02</v>
      </c>
      <c r="K7" s="42">
        <v>0.02</v>
      </c>
      <c r="L7" s="42">
        <v>0.02</v>
      </c>
    </row>
    <row r="8" spans="1:12" x14ac:dyDescent="0.35">
      <c r="A8" s="13">
        <v>4</v>
      </c>
      <c r="B8" s="41">
        <v>0.02</v>
      </c>
      <c r="C8" s="46"/>
      <c r="D8" s="41"/>
      <c r="E8" s="14"/>
      <c r="F8" s="15"/>
      <c r="G8" s="14" t="s">
        <v>27</v>
      </c>
      <c r="H8" s="42">
        <f>1-H7</f>
        <v>0.98</v>
      </c>
      <c r="I8" s="42">
        <f t="shared" ref="I8:L8" si="0">1-I7</f>
        <v>0.98</v>
      </c>
      <c r="J8" s="42">
        <f t="shared" si="0"/>
        <v>0.98</v>
      </c>
      <c r="K8" s="42">
        <f t="shared" si="0"/>
        <v>0.98</v>
      </c>
      <c r="L8" s="42">
        <f t="shared" si="0"/>
        <v>0.98</v>
      </c>
    </row>
    <row r="9" spans="1:12" x14ac:dyDescent="0.35">
      <c r="A9" s="13">
        <v>5</v>
      </c>
      <c r="B9" s="41">
        <v>0.02</v>
      </c>
      <c r="C9" s="46"/>
      <c r="D9" s="46"/>
      <c r="E9" s="14"/>
      <c r="F9" s="15"/>
      <c r="G9" s="14"/>
      <c r="H9" s="16"/>
      <c r="I9" s="17"/>
      <c r="J9" s="10"/>
      <c r="K9" s="18"/>
    </row>
    <row r="10" spans="1:12" x14ac:dyDescent="0.35">
      <c r="D10" s="48"/>
      <c r="F10" s="15"/>
      <c r="G10" t="s">
        <v>28</v>
      </c>
      <c r="H10" s="44"/>
      <c r="I10" s="45"/>
      <c r="J10" s="45"/>
      <c r="K10" s="45"/>
      <c r="L10" s="45"/>
    </row>
    <row r="11" spans="1:12" x14ac:dyDescent="0.35">
      <c r="G11" s="14" t="s">
        <v>29</v>
      </c>
      <c r="H11" s="44"/>
      <c r="I11" s="44"/>
      <c r="J11" s="44"/>
      <c r="K11" s="44"/>
      <c r="L11" s="44"/>
    </row>
    <row r="12" spans="1:12" ht="15" thickBot="1" x14ac:dyDescent="0.4">
      <c r="A12" t="s">
        <v>35</v>
      </c>
    </row>
    <row r="13" spans="1:12" ht="15" thickBot="1" x14ac:dyDescent="0.4">
      <c r="A13" t="s">
        <v>15</v>
      </c>
      <c r="D13" s="39" t="s">
        <v>5</v>
      </c>
      <c r="E13" s="40">
        <v>1.4999999999999999E-2</v>
      </c>
    </row>
    <row r="15" spans="1:12" x14ac:dyDescent="0.35">
      <c r="A15" t="s">
        <v>25</v>
      </c>
      <c r="B15" s="6"/>
      <c r="C15" s="6"/>
      <c r="D15" s="6"/>
      <c r="E15" s="6"/>
      <c r="G15" t="s">
        <v>21</v>
      </c>
      <c r="H15" s="6"/>
      <c r="I15" s="6"/>
      <c r="J15" s="6"/>
      <c r="K15" s="6"/>
    </row>
    <row r="16" spans="1:12" ht="40" thickBot="1" x14ac:dyDescent="0.4">
      <c r="A16" s="23" t="s">
        <v>14</v>
      </c>
      <c r="B16" s="23" t="s">
        <v>16</v>
      </c>
      <c r="C16" s="23" t="s">
        <v>23</v>
      </c>
      <c r="D16" s="23" t="s">
        <v>4</v>
      </c>
      <c r="E16" s="23" t="s">
        <v>19</v>
      </c>
      <c r="G16" s="23" t="s">
        <v>14</v>
      </c>
      <c r="H16" s="23" t="s">
        <v>17</v>
      </c>
      <c r="I16" s="23" t="s">
        <v>33</v>
      </c>
      <c r="J16" s="23" t="s">
        <v>4</v>
      </c>
      <c r="K16" s="23" t="s">
        <v>20</v>
      </c>
    </row>
    <row r="17" spans="1:11" ht="15" thickTop="1" x14ac:dyDescent="0.35">
      <c r="A17" s="24">
        <v>1</v>
      </c>
      <c r="B17" s="25"/>
      <c r="C17" s="25"/>
      <c r="D17" s="25"/>
      <c r="E17" s="25"/>
      <c r="G17" s="33">
        <v>0.5</v>
      </c>
      <c r="H17" s="25"/>
      <c r="I17" s="25"/>
      <c r="J17" s="25"/>
      <c r="K17" s="34"/>
    </row>
    <row r="18" spans="1:11" x14ac:dyDescent="0.35">
      <c r="A18" s="24">
        <v>2</v>
      </c>
      <c r="B18" s="25"/>
      <c r="C18" s="25"/>
      <c r="D18" s="25"/>
      <c r="E18" s="25"/>
      <c r="G18" s="33">
        <v>1.5</v>
      </c>
      <c r="H18" s="25"/>
      <c r="I18" s="25"/>
      <c r="J18" s="25"/>
      <c r="K18" s="35"/>
    </row>
    <row r="19" spans="1:11" x14ac:dyDescent="0.35">
      <c r="A19" s="24">
        <v>3</v>
      </c>
      <c r="B19" s="25"/>
      <c r="C19" s="25"/>
      <c r="D19" s="25"/>
      <c r="E19" s="25"/>
      <c r="G19" s="33">
        <v>2.5</v>
      </c>
      <c r="H19" s="25"/>
      <c r="I19" s="25"/>
      <c r="J19" s="25"/>
      <c r="K19" s="35"/>
    </row>
    <row r="20" spans="1:11" x14ac:dyDescent="0.35">
      <c r="A20" s="24">
        <v>4</v>
      </c>
      <c r="B20" s="25"/>
      <c r="C20" s="25"/>
      <c r="D20" s="25"/>
      <c r="E20" s="25"/>
      <c r="G20" s="33">
        <v>3.5</v>
      </c>
      <c r="H20" s="25"/>
      <c r="I20" s="25"/>
      <c r="J20" s="25"/>
      <c r="K20" s="35"/>
    </row>
    <row r="21" spans="1:11" ht="15" thickBot="1" x14ac:dyDescent="0.4">
      <c r="A21" s="24">
        <v>5</v>
      </c>
      <c r="B21" s="25"/>
      <c r="C21" s="25"/>
      <c r="D21" s="25"/>
      <c r="E21" s="26"/>
      <c r="G21" s="33">
        <v>4.5</v>
      </c>
      <c r="H21" s="25"/>
      <c r="I21" s="25"/>
      <c r="J21" s="25"/>
      <c r="K21" s="26"/>
    </row>
    <row r="22" spans="1:11" x14ac:dyDescent="0.35">
      <c r="A22" s="27"/>
      <c r="B22" s="27"/>
      <c r="C22" s="27"/>
      <c r="D22" s="24" t="s">
        <v>22</v>
      </c>
      <c r="E22" s="25"/>
      <c r="G22" s="27"/>
      <c r="H22" s="27"/>
      <c r="I22" s="27"/>
      <c r="J22" s="24" t="s">
        <v>22</v>
      </c>
      <c r="K22" s="25"/>
    </row>
    <row r="23" spans="1:11" x14ac:dyDescent="0.35">
      <c r="D23" s="1"/>
    </row>
    <row r="24" spans="1:11" x14ac:dyDescent="0.35">
      <c r="J24" s="14"/>
    </row>
    <row r="25" spans="1:11" x14ac:dyDescent="0.35">
      <c r="A25" t="s">
        <v>34</v>
      </c>
      <c r="J25" s="14"/>
    </row>
    <row r="26" spans="1:11" x14ac:dyDescent="0.35">
      <c r="F26" s="6"/>
      <c r="G26" s="6"/>
      <c r="H26" s="6"/>
      <c r="I26" s="6"/>
      <c r="J26" s="20"/>
    </row>
    <row r="27" spans="1:11" ht="27" thickBot="1" x14ac:dyDescent="0.4">
      <c r="A27" s="28" t="s">
        <v>14</v>
      </c>
      <c r="B27" s="28" t="s">
        <v>17</v>
      </c>
      <c r="C27" s="28" t="s">
        <v>18</v>
      </c>
      <c r="D27" s="28" t="s">
        <v>23</v>
      </c>
      <c r="E27" s="28" t="s">
        <v>4</v>
      </c>
      <c r="F27" s="28" t="s">
        <v>24</v>
      </c>
      <c r="G27" s="14"/>
      <c r="H27" s="14"/>
      <c r="I27" s="14"/>
      <c r="J27" s="14"/>
    </row>
    <row r="28" spans="1:11" ht="15" thickTop="1" x14ac:dyDescent="0.35">
      <c r="A28" s="36">
        <v>0.5</v>
      </c>
      <c r="B28" s="30"/>
      <c r="C28" s="30"/>
      <c r="D28" s="30"/>
      <c r="E28" s="30"/>
      <c r="F28" s="37"/>
      <c r="G28" s="14"/>
      <c r="H28" s="14" t="s">
        <v>31</v>
      </c>
      <c r="I28" s="14"/>
      <c r="J28" s="14"/>
    </row>
    <row r="29" spans="1:11" x14ac:dyDescent="0.35">
      <c r="A29" s="36">
        <v>1.5</v>
      </c>
      <c r="B29" s="30"/>
      <c r="C29" s="30"/>
      <c r="D29" s="30"/>
      <c r="E29" s="30"/>
      <c r="F29" s="38"/>
      <c r="G29" s="14"/>
      <c r="H29" s="14" t="s">
        <v>32</v>
      </c>
      <c r="I29" s="14"/>
      <c r="J29" s="14"/>
    </row>
    <row r="30" spans="1:11" x14ac:dyDescent="0.35">
      <c r="A30" s="36">
        <v>2.5</v>
      </c>
      <c r="B30" s="30"/>
      <c r="C30" s="30"/>
      <c r="D30" s="30"/>
      <c r="E30" s="30"/>
      <c r="F30" s="38"/>
      <c r="G30" s="14"/>
      <c r="H30" s="14" t="s">
        <v>37</v>
      </c>
      <c r="I30" s="14"/>
      <c r="J30" s="14"/>
    </row>
    <row r="31" spans="1:11" x14ac:dyDescent="0.35">
      <c r="A31" s="36">
        <v>3.5</v>
      </c>
      <c r="B31" s="30"/>
      <c r="C31" s="30"/>
      <c r="D31" s="30"/>
      <c r="E31" s="30"/>
      <c r="F31" s="38"/>
      <c r="G31" s="14"/>
      <c r="H31" s="14"/>
      <c r="I31" s="14"/>
      <c r="J31" s="14"/>
    </row>
    <row r="32" spans="1:11" ht="15" thickBot="1" x14ac:dyDescent="0.4">
      <c r="A32" s="36">
        <v>4.5</v>
      </c>
      <c r="B32" s="30"/>
      <c r="C32" s="30"/>
      <c r="D32" s="30"/>
      <c r="E32" s="30"/>
      <c r="F32" s="31"/>
      <c r="I32" s="19"/>
    </row>
    <row r="33" spans="1:9" ht="15" thickBot="1" x14ac:dyDescent="0.4">
      <c r="A33" s="32"/>
      <c r="B33" s="30"/>
      <c r="C33" s="47"/>
      <c r="D33" s="29"/>
      <c r="E33" s="30"/>
      <c r="F33" s="31"/>
    </row>
    <row r="34" spans="1:9" x14ac:dyDescent="0.35">
      <c r="E34" s="29" t="s">
        <v>30</v>
      </c>
      <c r="F34" s="30"/>
      <c r="H34" s="4"/>
      <c r="I34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3F8A1-EA3D-42C5-B615-F249A2CCB8FD}">
  <sheetPr codeName="Sheet2"/>
  <dimension ref="A1:B8"/>
  <sheetViews>
    <sheetView workbookViewId="0">
      <selection activeCell="B8" sqref="B8"/>
    </sheetView>
  </sheetViews>
  <sheetFormatPr defaultRowHeight="14.5" x14ac:dyDescent="0.35"/>
  <sheetData>
    <row r="1" spans="1:2" x14ac:dyDescent="0.35">
      <c r="A1" t="s">
        <v>43</v>
      </c>
    </row>
    <row r="2" spans="1:2" x14ac:dyDescent="0.35">
      <c r="A2" s="1" t="s">
        <v>14</v>
      </c>
      <c r="B2" t="s">
        <v>44</v>
      </c>
    </row>
    <row r="3" spans="1:2" x14ac:dyDescent="0.35">
      <c r="A3" s="1">
        <v>1</v>
      </c>
      <c r="B3" s="8"/>
    </row>
    <row r="4" spans="1:2" x14ac:dyDescent="0.35">
      <c r="A4" s="1">
        <v>2</v>
      </c>
      <c r="B4" s="8"/>
    </row>
    <row r="5" spans="1:2" x14ac:dyDescent="0.35">
      <c r="A5" s="1">
        <v>3</v>
      </c>
      <c r="B5" s="8"/>
    </row>
    <row r="7" spans="1:2" x14ac:dyDescent="0.35">
      <c r="A7" t="s">
        <v>45</v>
      </c>
      <c r="B7" t="s">
        <v>46</v>
      </c>
    </row>
    <row r="8" spans="1:2" x14ac:dyDescent="0.35">
      <c r="A8" s="1">
        <v>5</v>
      </c>
      <c r="B8" s="2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6AE98-A699-4A8B-9357-D8A9DD51E31C}">
  <sheetPr codeName="Sheet4"/>
  <dimension ref="A2:F18"/>
  <sheetViews>
    <sheetView tabSelected="1" workbookViewId="0">
      <selection activeCell="F18" sqref="F18"/>
    </sheetView>
  </sheetViews>
  <sheetFormatPr defaultRowHeight="14.5" x14ac:dyDescent="0.35"/>
  <cols>
    <col min="1" max="2" width="8.7265625" style="1"/>
    <col min="5" max="6" width="8.7265625" style="1"/>
  </cols>
  <sheetData>
    <row r="2" spans="1:6" x14ac:dyDescent="0.35">
      <c r="C2" s="51" t="s">
        <v>41</v>
      </c>
      <c r="D2" s="51"/>
      <c r="E2" s="52" t="s">
        <v>42</v>
      </c>
      <c r="F2" s="52"/>
    </row>
    <row r="3" spans="1:6" s="50" customFormat="1" x14ac:dyDescent="0.35">
      <c r="B3" s="50" t="s">
        <v>38</v>
      </c>
      <c r="C3" s="50" t="s">
        <v>39</v>
      </c>
      <c r="D3" s="50" t="s">
        <v>40</v>
      </c>
      <c r="E3" s="50" t="s">
        <v>39</v>
      </c>
      <c r="F3" s="50" t="s">
        <v>40</v>
      </c>
    </row>
    <row r="4" spans="1:6" x14ac:dyDescent="0.35">
      <c r="A4" s="1">
        <v>1</v>
      </c>
      <c r="B4" s="44">
        <v>0.02</v>
      </c>
      <c r="C4" s="48">
        <f>+EXP(-B4*A4)</f>
        <v>0.98019867330675525</v>
      </c>
      <c r="D4" s="22">
        <f>1-C4</f>
        <v>1.9801326693244747E-2</v>
      </c>
      <c r="E4" s="48">
        <f>1-F4</f>
        <v>0.98</v>
      </c>
      <c r="F4" s="48">
        <f>+B4</f>
        <v>0.02</v>
      </c>
    </row>
    <row r="5" spans="1:6" x14ac:dyDescent="0.35">
      <c r="A5" s="1">
        <v>2</v>
      </c>
      <c r="B5" s="44">
        <v>0.02</v>
      </c>
      <c r="C5" s="48">
        <f t="shared" ref="C5:C18" si="0">+EXP(-B5*A5)</f>
        <v>0.96078943915232318</v>
      </c>
      <c r="D5" s="22">
        <f>+C4-C5</f>
        <v>1.9409234154432076E-2</v>
      </c>
      <c r="E5" s="48">
        <f>+E4*(1-B5)</f>
        <v>0.96039999999999992</v>
      </c>
      <c r="F5" s="48">
        <f>+B5*E4</f>
        <v>1.9599999999999999E-2</v>
      </c>
    </row>
    <row r="6" spans="1:6" x14ac:dyDescent="0.35">
      <c r="A6" s="1">
        <v>3</v>
      </c>
      <c r="B6" s="44">
        <v>0.02</v>
      </c>
      <c r="C6" s="48">
        <f t="shared" si="0"/>
        <v>0.94176453358424872</v>
      </c>
      <c r="D6" s="22">
        <f t="shared" ref="D6:D18" si="1">+C5-C6</f>
        <v>1.9024905568074457E-2</v>
      </c>
      <c r="E6" s="48">
        <f t="shared" ref="E6:E18" si="2">+E5*(1-B6)</f>
        <v>0.94119199999999992</v>
      </c>
      <c r="F6" s="48">
        <f t="shared" ref="F6:F18" si="3">+B6*E5</f>
        <v>1.9207999999999999E-2</v>
      </c>
    </row>
    <row r="7" spans="1:6" x14ac:dyDescent="0.35">
      <c r="A7" s="1">
        <v>4</v>
      </c>
      <c r="B7" s="44">
        <v>0.02</v>
      </c>
      <c r="C7" s="48">
        <f t="shared" si="0"/>
        <v>0.92311634638663576</v>
      </c>
      <c r="D7" s="22">
        <f t="shared" si="1"/>
        <v>1.8648187197612964E-2</v>
      </c>
      <c r="E7" s="48">
        <f t="shared" si="2"/>
        <v>0.92236815999999988</v>
      </c>
      <c r="F7" s="48">
        <f t="shared" si="3"/>
        <v>1.8823839999999998E-2</v>
      </c>
    </row>
    <row r="8" spans="1:6" x14ac:dyDescent="0.35">
      <c r="A8" s="1">
        <v>5</v>
      </c>
      <c r="B8" s="44">
        <v>0.02</v>
      </c>
      <c r="C8" s="48">
        <f t="shared" si="0"/>
        <v>0.90483741803595952</v>
      </c>
      <c r="D8" s="22">
        <f t="shared" si="1"/>
        <v>1.8278928350676238E-2</v>
      </c>
      <c r="E8" s="48">
        <f t="shared" si="2"/>
        <v>0.90392079679999982</v>
      </c>
      <c r="F8" s="48">
        <f t="shared" si="3"/>
        <v>1.8447363199999997E-2</v>
      </c>
    </row>
    <row r="9" spans="1:6" x14ac:dyDescent="0.35">
      <c r="A9" s="1">
        <v>6</v>
      </c>
      <c r="B9" s="44">
        <v>0.02</v>
      </c>
      <c r="C9" s="48">
        <f t="shared" si="0"/>
        <v>0.88692043671715748</v>
      </c>
      <c r="D9" s="22">
        <f t="shared" si="1"/>
        <v>1.7916981318802039E-2</v>
      </c>
      <c r="E9" s="48">
        <f t="shared" si="2"/>
        <v>0.8858423808639998</v>
      </c>
      <c r="F9" s="48">
        <f t="shared" si="3"/>
        <v>1.8078415935999997E-2</v>
      </c>
    </row>
    <row r="10" spans="1:6" x14ac:dyDescent="0.35">
      <c r="A10" s="1">
        <v>7</v>
      </c>
      <c r="B10" s="44">
        <v>0.02</v>
      </c>
      <c r="C10" s="48">
        <f t="shared" si="0"/>
        <v>0.86935823539880586</v>
      </c>
      <c r="D10" s="22">
        <f t="shared" si="1"/>
        <v>1.7562201318351622E-2</v>
      </c>
      <c r="E10" s="48">
        <f t="shared" si="2"/>
        <v>0.86812553324671982</v>
      </c>
      <c r="F10" s="48">
        <f t="shared" si="3"/>
        <v>1.7716847617279995E-2</v>
      </c>
    </row>
    <row r="11" spans="1:6" x14ac:dyDescent="0.35">
      <c r="A11" s="1">
        <v>8</v>
      </c>
      <c r="B11" s="44">
        <v>0.02</v>
      </c>
      <c r="C11" s="48">
        <f t="shared" si="0"/>
        <v>0.85214378896621135</v>
      </c>
      <c r="D11" s="22">
        <f t="shared" si="1"/>
        <v>1.721444643259451E-2</v>
      </c>
      <c r="E11" s="48">
        <f t="shared" si="2"/>
        <v>0.85076302258178538</v>
      </c>
      <c r="F11" s="48">
        <f t="shared" si="3"/>
        <v>1.7362510664934397E-2</v>
      </c>
    </row>
    <row r="12" spans="1:6" x14ac:dyDescent="0.35">
      <c r="A12" s="1">
        <v>9</v>
      </c>
      <c r="B12" s="44">
        <v>0.02</v>
      </c>
      <c r="C12" s="48">
        <f t="shared" si="0"/>
        <v>0.835270211411272</v>
      </c>
      <c r="D12" s="22">
        <f t="shared" si="1"/>
        <v>1.6873577554939345E-2</v>
      </c>
      <c r="E12" s="48">
        <f t="shared" si="2"/>
        <v>0.83374776213014967</v>
      </c>
      <c r="F12" s="48">
        <f t="shared" si="3"/>
        <v>1.7015260451635709E-2</v>
      </c>
    </row>
    <row r="13" spans="1:6" x14ac:dyDescent="0.35">
      <c r="A13" s="1">
        <v>10</v>
      </c>
      <c r="B13" s="44">
        <v>0.02</v>
      </c>
      <c r="C13" s="48">
        <f t="shared" si="0"/>
        <v>0.81873075307798182</v>
      </c>
      <c r="D13" s="22">
        <f t="shared" si="1"/>
        <v>1.653945833329018E-2</v>
      </c>
      <c r="E13" s="48">
        <f t="shared" si="2"/>
        <v>0.81707280688754669</v>
      </c>
      <c r="F13" s="48">
        <f t="shared" si="3"/>
        <v>1.6674955242602995E-2</v>
      </c>
    </row>
    <row r="14" spans="1:6" x14ac:dyDescent="0.35">
      <c r="A14" s="1">
        <v>11</v>
      </c>
      <c r="B14" s="44">
        <v>0.02</v>
      </c>
      <c r="C14" s="48">
        <f t="shared" si="0"/>
        <v>0.80251879796247849</v>
      </c>
      <c r="D14" s="22">
        <f t="shared" si="1"/>
        <v>1.6211955115503329E-2</v>
      </c>
      <c r="E14" s="48">
        <f t="shared" si="2"/>
        <v>0.80073135074979573</v>
      </c>
      <c r="F14" s="48">
        <f t="shared" si="3"/>
        <v>1.6341456137750933E-2</v>
      </c>
    </row>
    <row r="15" spans="1:6" x14ac:dyDescent="0.35">
      <c r="A15" s="1">
        <v>12</v>
      </c>
      <c r="B15" s="44">
        <v>0.02</v>
      </c>
      <c r="C15" s="48">
        <f t="shared" si="0"/>
        <v>0.78662786106655347</v>
      </c>
      <c r="D15" s="22">
        <f t="shared" si="1"/>
        <v>1.5890936895925023E-2</v>
      </c>
      <c r="E15" s="48">
        <f t="shared" si="2"/>
        <v>0.78471672373479984</v>
      </c>
      <c r="F15" s="48">
        <f t="shared" si="3"/>
        <v>1.6014627014995914E-2</v>
      </c>
    </row>
    <row r="16" spans="1:6" x14ac:dyDescent="0.35">
      <c r="A16" s="1">
        <v>13</v>
      </c>
      <c r="B16" s="44">
        <v>0.02</v>
      </c>
      <c r="C16" s="48">
        <f t="shared" si="0"/>
        <v>0.77105158580356625</v>
      </c>
      <c r="D16" s="22">
        <f t="shared" si="1"/>
        <v>1.5576275262987216E-2</v>
      </c>
      <c r="E16" s="48">
        <f t="shared" si="2"/>
        <v>0.7690223892601038</v>
      </c>
      <c r="F16" s="48">
        <f t="shared" si="3"/>
        <v>1.5694334474695999E-2</v>
      </c>
    </row>
    <row r="17" spans="1:6" x14ac:dyDescent="0.35">
      <c r="A17" s="1">
        <v>14</v>
      </c>
      <c r="B17" s="44">
        <v>0.02</v>
      </c>
      <c r="C17" s="48">
        <f t="shared" si="0"/>
        <v>0.75578374145572547</v>
      </c>
      <c r="D17" s="22">
        <f t="shared" si="1"/>
        <v>1.5267844347840787E-2</v>
      </c>
      <c r="E17" s="48">
        <f t="shared" si="2"/>
        <v>0.75364194147490171</v>
      </c>
      <c r="F17" s="48">
        <f t="shared" si="3"/>
        <v>1.5380447785202077E-2</v>
      </c>
    </row>
    <row r="18" spans="1:6" x14ac:dyDescent="0.35">
      <c r="A18" s="1">
        <v>15</v>
      </c>
      <c r="B18" s="44">
        <v>0.02</v>
      </c>
      <c r="C18" s="48">
        <f t="shared" si="0"/>
        <v>0.74081822068171788</v>
      </c>
      <c r="D18" s="22">
        <f t="shared" si="1"/>
        <v>1.496552077400759E-2</v>
      </c>
      <c r="E18" s="48">
        <f t="shared" si="2"/>
        <v>0.73856910264540365</v>
      </c>
      <c r="F18" s="48">
        <f t="shared" si="3"/>
        <v>1.5072838829498034E-2</v>
      </c>
    </row>
  </sheetData>
  <mergeCells count="2">
    <mergeCell ref="C2:D2"/>
    <mergeCell ref="E2:F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2</vt:lpstr>
      <vt:lpstr>3</vt:lpstr>
      <vt:lpstr>hazard rates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 Erb</dc:creator>
  <cp:lastModifiedBy>Dömötör Barbara Mária</cp:lastModifiedBy>
  <dcterms:created xsi:type="dcterms:W3CDTF">2015-10-22T12:29:21Z</dcterms:created>
  <dcterms:modified xsi:type="dcterms:W3CDTF">2024-05-08T16:38:42Z</dcterms:modified>
</cp:coreProperties>
</file>