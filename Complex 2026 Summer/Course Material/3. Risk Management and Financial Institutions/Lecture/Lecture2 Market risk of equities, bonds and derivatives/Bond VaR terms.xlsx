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ela\Documents\Others\Egyetem\Kockázat 2024 tavasz\"/>
    </mc:Choice>
  </mc:AlternateContent>
  <xr:revisionPtr revIDLastSave="0" documentId="8_{FA169EAB-B46A-45B7-BE91-5D1C63ADA578}" xr6:coauthVersionLast="47" xr6:coauthVersionMax="47" xr10:uidLastSave="{00000000-0000-0000-0000-000000000000}"/>
  <bookViews>
    <workbookView xWindow="-108" yWindow="-108" windowWidth="23256" windowHeight="12576" xr2:uid="{D95F76C5-A807-40BB-868A-933A849AA563}"/>
  </bookViews>
  <sheets>
    <sheet name="daily-treasury-rates 2023_2020" sheetId="2" r:id="rId1"/>
  </sheets>
  <definedNames>
    <definedName name="ExternalData_1" localSheetId="0" hidden="1">'daily-treasury-rates 2023_2020'!$Q$1:$AC$841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 a="1"/>
  <c r="B33" i="2" s="1"/>
  <c r="AE18" i="2"/>
  <c r="AF18" i="2"/>
  <c r="AG18" i="2"/>
  <c r="AH18" i="2"/>
  <c r="AI18" i="2"/>
  <c r="AJ18" i="2"/>
  <c r="AK18" i="2"/>
  <c r="AL18" i="2"/>
  <c r="AM18" i="2"/>
  <c r="AN18" i="2"/>
  <c r="AO18" i="2"/>
  <c r="AP18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B34" i="2"/>
  <c r="E12" i="2"/>
  <c r="D12" i="2"/>
  <c r="C12" i="2"/>
  <c r="B12" i="2"/>
  <c r="B23" i="2"/>
  <c r="C22" i="2" s="1"/>
  <c r="AE2" i="2"/>
  <c r="C21" i="2" l="1"/>
  <c r="B13" i="2" l="1"/>
  <c r="C13" i="2"/>
  <c r="D13" i="2"/>
  <c r="E13" i="2"/>
  <c r="F13" i="2"/>
  <c r="G13" i="2"/>
  <c r="H13" i="2"/>
  <c r="I13" i="2"/>
  <c r="J13" i="2"/>
  <c r="K13" i="2"/>
  <c r="L13" i="2"/>
  <c r="M13" i="2"/>
  <c r="AE3" i="2"/>
  <c r="AF3" i="2"/>
  <c r="AG3" i="2"/>
  <c r="AH3" i="2"/>
  <c r="AI3" i="2"/>
  <c r="AJ3" i="2"/>
  <c r="AK3" i="2"/>
  <c r="AL3" i="2"/>
  <c r="AM3" i="2"/>
  <c r="AN3" i="2"/>
  <c r="AO3" i="2"/>
  <c r="AP3" i="2"/>
  <c r="AE5" i="2"/>
  <c r="AF5" i="2"/>
  <c r="AG5" i="2"/>
  <c r="AH5" i="2"/>
  <c r="AI5" i="2"/>
  <c r="AJ5" i="2"/>
  <c r="AK5" i="2"/>
  <c r="AL5" i="2"/>
  <c r="AM5" i="2"/>
  <c r="AN5" i="2"/>
  <c r="AO5" i="2"/>
  <c r="AP5" i="2"/>
  <c r="AE6" i="2"/>
  <c r="AF6" i="2"/>
  <c r="AG6" i="2"/>
  <c r="AH6" i="2"/>
  <c r="AI6" i="2"/>
  <c r="AJ6" i="2"/>
  <c r="AK6" i="2"/>
  <c r="AL6" i="2"/>
  <c r="AM6" i="2"/>
  <c r="AN6" i="2"/>
  <c r="AO6" i="2"/>
  <c r="AP6" i="2"/>
  <c r="AE7" i="2"/>
  <c r="AF7" i="2"/>
  <c r="AG7" i="2"/>
  <c r="AH7" i="2"/>
  <c r="AI7" i="2"/>
  <c r="AJ7" i="2"/>
  <c r="AK7" i="2"/>
  <c r="AL7" i="2"/>
  <c r="AM7" i="2"/>
  <c r="AN7" i="2"/>
  <c r="AO7" i="2"/>
  <c r="AP7" i="2"/>
  <c r="AE8" i="2"/>
  <c r="AF8" i="2"/>
  <c r="AG8" i="2"/>
  <c r="AH8" i="2"/>
  <c r="AI8" i="2"/>
  <c r="AJ8" i="2"/>
  <c r="AK8" i="2"/>
  <c r="AL8" i="2"/>
  <c r="AM8" i="2"/>
  <c r="AN8" i="2"/>
  <c r="AO8" i="2"/>
  <c r="AP8" i="2"/>
  <c r="AE9" i="2"/>
  <c r="AF9" i="2"/>
  <c r="AG9" i="2"/>
  <c r="AH9" i="2"/>
  <c r="AI9" i="2"/>
  <c r="AJ9" i="2"/>
  <c r="AK9" i="2"/>
  <c r="AL9" i="2"/>
  <c r="AM9" i="2"/>
  <c r="AN9" i="2"/>
  <c r="AO9" i="2"/>
  <c r="AP9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E372" i="2"/>
  <c r="AF372" i="2"/>
  <c r="AG372" i="2"/>
  <c r="AH372" i="2"/>
  <c r="AI372" i="2"/>
  <c r="AJ372" i="2"/>
  <c r="AK372" i="2"/>
  <c r="AL372" i="2"/>
  <c r="AM372" i="2"/>
  <c r="AN372" i="2"/>
  <c r="AO372" i="2"/>
  <c r="AP372" i="2"/>
  <c r="AE373" i="2"/>
  <c r="AF373" i="2"/>
  <c r="AG373" i="2"/>
  <c r="AH373" i="2"/>
  <c r="AI373" i="2"/>
  <c r="AJ373" i="2"/>
  <c r="AK373" i="2"/>
  <c r="AL373" i="2"/>
  <c r="AM373" i="2"/>
  <c r="AN373" i="2"/>
  <c r="AO373" i="2"/>
  <c r="AP373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E376" i="2"/>
  <c r="AF376" i="2"/>
  <c r="AG376" i="2"/>
  <c r="AH376" i="2"/>
  <c r="AI376" i="2"/>
  <c r="AJ376" i="2"/>
  <c r="AK376" i="2"/>
  <c r="AL376" i="2"/>
  <c r="AM376" i="2"/>
  <c r="AN376" i="2"/>
  <c r="AO376" i="2"/>
  <c r="AP376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E393" i="2"/>
  <c r="AF393" i="2"/>
  <c r="AG393" i="2"/>
  <c r="AH393" i="2"/>
  <c r="AI393" i="2"/>
  <c r="AJ393" i="2"/>
  <c r="AK393" i="2"/>
  <c r="AL393" i="2"/>
  <c r="AM393" i="2"/>
  <c r="AN393" i="2"/>
  <c r="AO393" i="2"/>
  <c r="AP393" i="2"/>
  <c r="AE394" i="2"/>
  <c r="AF394" i="2"/>
  <c r="AG394" i="2"/>
  <c r="AH394" i="2"/>
  <c r="AI394" i="2"/>
  <c r="AJ394" i="2"/>
  <c r="AK394" i="2"/>
  <c r="AL394" i="2"/>
  <c r="AM394" i="2"/>
  <c r="AN394" i="2"/>
  <c r="AO394" i="2"/>
  <c r="AP394" i="2"/>
  <c r="AE395" i="2"/>
  <c r="AF395" i="2"/>
  <c r="AG395" i="2"/>
  <c r="AH395" i="2"/>
  <c r="AI395" i="2"/>
  <c r="AJ395" i="2"/>
  <c r="AK395" i="2"/>
  <c r="AL395" i="2"/>
  <c r="AM395" i="2"/>
  <c r="AN395" i="2"/>
  <c r="AO395" i="2"/>
  <c r="AP395" i="2"/>
  <c r="AE396" i="2"/>
  <c r="AF396" i="2"/>
  <c r="AG396" i="2"/>
  <c r="AH396" i="2"/>
  <c r="AI396" i="2"/>
  <c r="AJ396" i="2"/>
  <c r="AK396" i="2"/>
  <c r="AL396" i="2"/>
  <c r="AM396" i="2"/>
  <c r="AN396" i="2"/>
  <c r="AO396" i="2"/>
  <c r="AP396" i="2"/>
  <c r="AE397" i="2"/>
  <c r="AF397" i="2"/>
  <c r="AG397" i="2"/>
  <c r="AH397" i="2"/>
  <c r="AI397" i="2"/>
  <c r="AJ397" i="2"/>
  <c r="AK397" i="2"/>
  <c r="AL397" i="2"/>
  <c r="AM397" i="2"/>
  <c r="AN397" i="2"/>
  <c r="AO397" i="2"/>
  <c r="AP397" i="2"/>
  <c r="AE398" i="2"/>
  <c r="AF398" i="2"/>
  <c r="AG398" i="2"/>
  <c r="AH398" i="2"/>
  <c r="AI398" i="2"/>
  <c r="AJ398" i="2"/>
  <c r="AK398" i="2"/>
  <c r="AL398" i="2"/>
  <c r="AM398" i="2"/>
  <c r="AN398" i="2"/>
  <c r="AO398" i="2"/>
  <c r="AP398" i="2"/>
  <c r="AE399" i="2"/>
  <c r="AF399" i="2"/>
  <c r="AG399" i="2"/>
  <c r="AH399" i="2"/>
  <c r="AI399" i="2"/>
  <c r="AJ399" i="2"/>
  <c r="AK399" i="2"/>
  <c r="AL399" i="2"/>
  <c r="AM399" i="2"/>
  <c r="AN399" i="2"/>
  <c r="AO399" i="2"/>
  <c r="AP399" i="2"/>
  <c r="AE400" i="2"/>
  <c r="AF400" i="2"/>
  <c r="AG400" i="2"/>
  <c r="AH400" i="2"/>
  <c r="AI400" i="2"/>
  <c r="AJ400" i="2"/>
  <c r="AK400" i="2"/>
  <c r="AL400" i="2"/>
  <c r="AM400" i="2"/>
  <c r="AN400" i="2"/>
  <c r="AO400" i="2"/>
  <c r="AP400" i="2"/>
  <c r="AE401" i="2"/>
  <c r="AF401" i="2"/>
  <c r="AG401" i="2"/>
  <c r="AH401" i="2"/>
  <c r="AI401" i="2"/>
  <c r="AJ401" i="2"/>
  <c r="AK401" i="2"/>
  <c r="AL401" i="2"/>
  <c r="AM401" i="2"/>
  <c r="AN401" i="2"/>
  <c r="AO401" i="2"/>
  <c r="AP401" i="2"/>
  <c r="AE402" i="2"/>
  <c r="AF402" i="2"/>
  <c r="AG402" i="2"/>
  <c r="AH402" i="2"/>
  <c r="AI402" i="2"/>
  <c r="AJ402" i="2"/>
  <c r="AK402" i="2"/>
  <c r="AL402" i="2"/>
  <c r="AM402" i="2"/>
  <c r="AN402" i="2"/>
  <c r="AO402" i="2"/>
  <c r="AP402" i="2"/>
  <c r="AE403" i="2"/>
  <c r="AF403" i="2"/>
  <c r="AG403" i="2"/>
  <c r="AH403" i="2"/>
  <c r="AI403" i="2"/>
  <c r="AJ403" i="2"/>
  <c r="AK403" i="2"/>
  <c r="AL403" i="2"/>
  <c r="AM403" i="2"/>
  <c r="AN403" i="2"/>
  <c r="AO403" i="2"/>
  <c r="AP403" i="2"/>
  <c r="AE404" i="2"/>
  <c r="AF404" i="2"/>
  <c r="AG404" i="2"/>
  <c r="AH404" i="2"/>
  <c r="AI404" i="2"/>
  <c r="AJ404" i="2"/>
  <c r="AK404" i="2"/>
  <c r="AL404" i="2"/>
  <c r="AM404" i="2"/>
  <c r="AN404" i="2"/>
  <c r="AO404" i="2"/>
  <c r="AP404" i="2"/>
  <c r="AE405" i="2"/>
  <c r="AF405" i="2"/>
  <c r="AG405" i="2"/>
  <c r="AH405" i="2"/>
  <c r="AI405" i="2"/>
  <c r="AJ405" i="2"/>
  <c r="AK405" i="2"/>
  <c r="AL405" i="2"/>
  <c r="AM405" i="2"/>
  <c r="AN405" i="2"/>
  <c r="AO405" i="2"/>
  <c r="AP405" i="2"/>
  <c r="AE406" i="2"/>
  <c r="AF406" i="2"/>
  <c r="AG406" i="2"/>
  <c r="AH406" i="2"/>
  <c r="AI406" i="2"/>
  <c r="AJ406" i="2"/>
  <c r="AK406" i="2"/>
  <c r="AL406" i="2"/>
  <c r="AM406" i="2"/>
  <c r="AN406" i="2"/>
  <c r="AO406" i="2"/>
  <c r="AP406" i="2"/>
  <c r="AE407" i="2"/>
  <c r="AF407" i="2"/>
  <c r="AG407" i="2"/>
  <c r="AH407" i="2"/>
  <c r="AI407" i="2"/>
  <c r="AJ407" i="2"/>
  <c r="AK407" i="2"/>
  <c r="AL407" i="2"/>
  <c r="AM407" i="2"/>
  <c r="AN407" i="2"/>
  <c r="AO407" i="2"/>
  <c r="AP407" i="2"/>
  <c r="AE408" i="2"/>
  <c r="AF408" i="2"/>
  <c r="AG408" i="2"/>
  <c r="AH408" i="2"/>
  <c r="AI408" i="2"/>
  <c r="AJ408" i="2"/>
  <c r="AK408" i="2"/>
  <c r="AL408" i="2"/>
  <c r="AM408" i="2"/>
  <c r="AN408" i="2"/>
  <c r="AO408" i="2"/>
  <c r="AP408" i="2"/>
  <c r="AE409" i="2"/>
  <c r="AF409" i="2"/>
  <c r="AG409" i="2"/>
  <c r="AH409" i="2"/>
  <c r="AI409" i="2"/>
  <c r="AJ409" i="2"/>
  <c r="AK409" i="2"/>
  <c r="AL409" i="2"/>
  <c r="AM409" i="2"/>
  <c r="AN409" i="2"/>
  <c r="AO409" i="2"/>
  <c r="AP409" i="2"/>
  <c r="AE410" i="2"/>
  <c r="AF410" i="2"/>
  <c r="AG410" i="2"/>
  <c r="AH410" i="2"/>
  <c r="AI410" i="2"/>
  <c r="AJ410" i="2"/>
  <c r="AK410" i="2"/>
  <c r="AL410" i="2"/>
  <c r="AM410" i="2"/>
  <c r="AN410" i="2"/>
  <c r="AO410" i="2"/>
  <c r="AP410" i="2"/>
  <c r="AE411" i="2"/>
  <c r="AF411" i="2"/>
  <c r="AG411" i="2"/>
  <c r="AH411" i="2"/>
  <c r="AI411" i="2"/>
  <c r="AJ411" i="2"/>
  <c r="AK411" i="2"/>
  <c r="AL411" i="2"/>
  <c r="AM411" i="2"/>
  <c r="AN411" i="2"/>
  <c r="AO411" i="2"/>
  <c r="AP411" i="2"/>
  <c r="AE412" i="2"/>
  <c r="AF412" i="2"/>
  <c r="AG412" i="2"/>
  <c r="AH412" i="2"/>
  <c r="AI412" i="2"/>
  <c r="AJ412" i="2"/>
  <c r="AK412" i="2"/>
  <c r="AL412" i="2"/>
  <c r="AM412" i="2"/>
  <c r="AN412" i="2"/>
  <c r="AO412" i="2"/>
  <c r="AP412" i="2"/>
  <c r="AE413" i="2"/>
  <c r="AF413" i="2"/>
  <c r="AG413" i="2"/>
  <c r="AH413" i="2"/>
  <c r="AI413" i="2"/>
  <c r="AJ413" i="2"/>
  <c r="AK413" i="2"/>
  <c r="AL413" i="2"/>
  <c r="AM413" i="2"/>
  <c r="AN413" i="2"/>
  <c r="AO413" i="2"/>
  <c r="AP413" i="2"/>
  <c r="AE414" i="2"/>
  <c r="AF414" i="2"/>
  <c r="AG414" i="2"/>
  <c r="AH414" i="2"/>
  <c r="AI414" i="2"/>
  <c r="AJ414" i="2"/>
  <c r="AK414" i="2"/>
  <c r="AL414" i="2"/>
  <c r="AM414" i="2"/>
  <c r="AN414" i="2"/>
  <c r="AO414" i="2"/>
  <c r="AP414" i="2"/>
  <c r="AE415" i="2"/>
  <c r="AF415" i="2"/>
  <c r="AG415" i="2"/>
  <c r="AH415" i="2"/>
  <c r="AI415" i="2"/>
  <c r="AJ415" i="2"/>
  <c r="AK415" i="2"/>
  <c r="AL415" i="2"/>
  <c r="AM415" i="2"/>
  <c r="AN415" i="2"/>
  <c r="AO415" i="2"/>
  <c r="AP415" i="2"/>
  <c r="AE416" i="2"/>
  <c r="AF416" i="2"/>
  <c r="AG416" i="2"/>
  <c r="AH416" i="2"/>
  <c r="AI416" i="2"/>
  <c r="AJ416" i="2"/>
  <c r="AK416" i="2"/>
  <c r="AL416" i="2"/>
  <c r="AM416" i="2"/>
  <c r="AN416" i="2"/>
  <c r="AO416" i="2"/>
  <c r="AP416" i="2"/>
  <c r="AE417" i="2"/>
  <c r="AF417" i="2"/>
  <c r="AG417" i="2"/>
  <c r="AH417" i="2"/>
  <c r="AI417" i="2"/>
  <c r="AJ417" i="2"/>
  <c r="AK417" i="2"/>
  <c r="AL417" i="2"/>
  <c r="AM417" i="2"/>
  <c r="AN417" i="2"/>
  <c r="AO417" i="2"/>
  <c r="AP417" i="2"/>
  <c r="AE418" i="2"/>
  <c r="AF418" i="2"/>
  <c r="AG418" i="2"/>
  <c r="AH418" i="2"/>
  <c r="AI418" i="2"/>
  <c r="AJ418" i="2"/>
  <c r="AK418" i="2"/>
  <c r="AL418" i="2"/>
  <c r="AM418" i="2"/>
  <c r="AN418" i="2"/>
  <c r="AO418" i="2"/>
  <c r="AP418" i="2"/>
  <c r="AE419" i="2"/>
  <c r="AF419" i="2"/>
  <c r="AG419" i="2"/>
  <c r="AH419" i="2"/>
  <c r="AI419" i="2"/>
  <c r="AJ419" i="2"/>
  <c r="AK419" i="2"/>
  <c r="AL419" i="2"/>
  <c r="AM419" i="2"/>
  <c r="AN419" i="2"/>
  <c r="AO419" i="2"/>
  <c r="AP419" i="2"/>
  <c r="AE420" i="2"/>
  <c r="AF420" i="2"/>
  <c r="AG420" i="2"/>
  <c r="AH420" i="2"/>
  <c r="AI420" i="2"/>
  <c r="AJ420" i="2"/>
  <c r="AK420" i="2"/>
  <c r="AL420" i="2"/>
  <c r="AM420" i="2"/>
  <c r="AN420" i="2"/>
  <c r="AO420" i="2"/>
  <c r="AP420" i="2"/>
  <c r="AE421" i="2"/>
  <c r="AF421" i="2"/>
  <c r="AG421" i="2"/>
  <c r="AH421" i="2"/>
  <c r="AI421" i="2"/>
  <c r="AJ421" i="2"/>
  <c r="AK421" i="2"/>
  <c r="AL421" i="2"/>
  <c r="AM421" i="2"/>
  <c r="AN421" i="2"/>
  <c r="AO421" i="2"/>
  <c r="AP421" i="2"/>
  <c r="AE422" i="2"/>
  <c r="AF422" i="2"/>
  <c r="AG422" i="2"/>
  <c r="AH422" i="2"/>
  <c r="AI422" i="2"/>
  <c r="AJ422" i="2"/>
  <c r="AK422" i="2"/>
  <c r="AL422" i="2"/>
  <c r="AM422" i="2"/>
  <c r="AN422" i="2"/>
  <c r="AO422" i="2"/>
  <c r="AP422" i="2"/>
  <c r="AE423" i="2"/>
  <c r="AF423" i="2"/>
  <c r="AG423" i="2"/>
  <c r="AH423" i="2"/>
  <c r="AI423" i="2"/>
  <c r="AJ423" i="2"/>
  <c r="AK423" i="2"/>
  <c r="AL423" i="2"/>
  <c r="AM423" i="2"/>
  <c r="AN423" i="2"/>
  <c r="AO423" i="2"/>
  <c r="AP423" i="2"/>
  <c r="AE424" i="2"/>
  <c r="AF424" i="2"/>
  <c r="AG424" i="2"/>
  <c r="AH424" i="2"/>
  <c r="AI424" i="2"/>
  <c r="AJ424" i="2"/>
  <c r="AK424" i="2"/>
  <c r="AL424" i="2"/>
  <c r="AM424" i="2"/>
  <c r="AN424" i="2"/>
  <c r="AO424" i="2"/>
  <c r="AP424" i="2"/>
  <c r="AE425" i="2"/>
  <c r="AF425" i="2"/>
  <c r="AG425" i="2"/>
  <c r="AH425" i="2"/>
  <c r="AI425" i="2"/>
  <c r="AJ425" i="2"/>
  <c r="AK425" i="2"/>
  <c r="AL425" i="2"/>
  <c r="AM425" i="2"/>
  <c r="AN425" i="2"/>
  <c r="AO425" i="2"/>
  <c r="AP425" i="2"/>
  <c r="AE426" i="2"/>
  <c r="AF426" i="2"/>
  <c r="AG426" i="2"/>
  <c r="AH426" i="2"/>
  <c r="AI426" i="2"/>
  <c r="AJ426" i="2"/>
  <c r="AK426" i="2"/>
  <c r="AL426" i="2"/>
  <c r="AM426" i="2"/>
  <c r="AN426" i="2"/>
  <c r="AO426" i="2"/>
  <c r="AP426" i="2"/>
  <c r="AE427" i="2"/>
  <c r="AF427" i="2"/>
  <c r="AG427" i="2"/>
  <c r="AH427" i="2"/>
  <c r="AI427" i="2"/>
  <c r="AJ427" i="2"/>
  <c r="AK427" i="2"/>
  <c r="AL427" i="2"/>
  <c r="AM427" i="2"/>
  <c r="AN427" i="2"/>
  <c r="AO427" i="2"/>
  <c r="AP427" i="2"/>
  <c r="AE428" i="2"/>
  <c r="AF428" i="2"/>
  <c r="AG428" i="2"/>
  <c r="AH428" i="2"/>
  <c r="AI428" i="2"/>
  <c r="AJ428" i="2"/>
  <c r="AK428" i="2"/>
  <c r="AL428" i="2"/>
  <c r="AM428" i="2"/>
  <c r="AN428" i="2"/>
  <c r="AO428" i="2"/>
  <c r="AP428" i="2"/>
  <c r="AE429" i="2"/>
  <c r="AF429" i="2"/>
  <c r="AG429" i="2"/>
  <c r="AH429" i="2"/>
  <c r="AI429" i="2"/>
  <c r="AJ429" i="2"/>
  <c r="AK429" i="2"/>
  <c r="AL429" i="2"/>
  <c r="AM429" i="2"/>
  <c r="AN429" i="2"/>
  <c r="AO429" i="2"/>
  <c r="AP429" i="2"/>
  <c r="AE430" i="2"/>
  <c r="AF430" i="2"/>
  <c r="AG430" i="2"/>
  <c r="AH430" i="2"/>
  <c r="AI430" i="2"/>
  <c r="AJ430" i="2"/>
  <c r="AK430" i="2"/>
  <c r="AL430" i="2"/>
  <c r="AM430" i="2"/>
  <c r="AN430" i="2"/>
  <c r="AO430" i="2"/>
  <c r="AP430" i="2"/>
  <c r="AE431" i="2"/>
  <c r="AF431" i="2"/>
  <c r="AG431" i="2"/>
  <c r="AH431" i="2"/>
  <c r="AI431" i="2"/>
  <c r="AJ431" i="2"/>
  <c r="AK431" i="2"/>
  <c r="AL431" i="2"/>
  <c r="AM431" i="2"/>
  <c r="AN431" i="2"/>
  <c r="AO431" i="2"/>
  <c r="AP431" i="2"/>
  <c r="AE432" i="2"/>
  <c r="AF432" i="2"/>
  <c r="AG432" i="2"/>
  <c r="AH432" i="2"/>
  <c r="AI432" i="2"/>
  <c r="AJ432" i="2"/>
  <c r="AK432" i="2"/>
  <c r="AL432" i="2"/>
  <c r="AM432" i="2"/>
  <c r="AN432" i="2"/>
  <c r="AO432" i="2"/>
  <c r="AP432" i="2"/>
  <c r="AE433" i="2"/>
  <c r="AF433" i="2"/>
  <c r="AG433" i="2"/>
  <c r="AH433" i="2"/>
  <c r="AI433" i="2"/>
  <c r="AJ433" i="2"/>
  <c r="AK433" i="2"/>
  <c r="AL433" i="2"/>
  <c r="AM433" i="2"/>
  <c r="AN433" i="2"/>
  <c r="AO433" i="2"/>
  <c r="AP433" i="2"/>
  <c r="AE434" i="2"/>
  <c r="AF434" i="2"/>
  <c r="AG434" i="2"/>
  <c r="AH434" i="2"/>
  <c r="AI434" i="2"/>
  <c r="AJ434" i="2"/>
  <c r="AK434" i="2"/>
  <c r="AL434" i="2"/>
  <c r="AM434" i="2"/>
  <c r="AN434" i="2"/>
  <c r="AO434" i="2"/>
  <c r="AP434" i="2"/>
  <c r="AE435" i="2"/>
  <c r="AF435" i="2"/>
  <c r="AG435" i="2"/>
  <c r="AH435" i="2"/>
  <c r="AI435" i="2"/>
  <c r="AJ435" i="2"/>
  <c r="AK435" i="2"/>
  <c r="AL435" i="2"/>
  <c r="AM435" i="2"/>
  <c r="AN435" i="2"/>
  <c r="AO435" i="2"/>
  <c r="AP435" i="2"/>
  <c r="AE436" i="2"/>
  <c r="AF436" i="2"/>
  <c r="AG436" i="2"/>
  <c r="AH436" i="2"/>
  <c r="AI436" i="2"/>
  <c r="AJ436" i="2"/>
  <c r="AK436" i="2"/>
  <c r="AL436" i="2"/>
  <c r="AM436" i="2"/>
  <c r="AN436" i="2"/>
  <c r="AO436" i="2"/>
  <c r="AP436" i="2"/>
  <c r="AE437" i="2"/>
  <c r="AF437" i="2"/>
  <c r="AG437" i="2"/>
  <c r="AH437" i="2"/>
  <c r="AI437" i="2"/>
  <c r="AJ437" i="2"/>
  <c r="AK437" i="2"/>
  <c r="AL437" i="2"/>
  <c r="AM437" i="2"/>
  <c r="AN437" i="2"/>
  <c r="AO437" i="2"/>
  <c r="AP437" i="2"/>
  <c r="AE438" i="2"/>
  <c r="AF438" i="2"/>
  <c r="AG438" i="2"/>
  <c r="AH438" i="2"/>
  <c r="AI438" i="2"/>
  <c r="AJ438" i="2"/>
  <c r="AK438" i="2"/>
  <c r="AL438" i="2"/>
  <c r="AM438" i="2"/>
  <c r="AN438" i="2"/>
  <c r="AO438" i="2"/>
  <c r="AP438" i="2"/>
  <c r="AE439" i="2"/>
  <c r="AF439" i="2"/>
  <c r="AG439" i="2"/>
  <c r="AH439" i="2"/>
  <c r="AI439" i="2"/>
  <c r="AJ439" i="2"/>
  <c r="AK439" i="2"/>
  <c r="AL439" i="2"/>
  <c r="AM439" i="2"/>
  <c r="AN439" i="2"/>
  <c r="AO439" i="2"/>
  <c r="AP439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AE441" i="2"/>
  <c r="AF441" i="2"/>
  <c r="AG441" i="2"/>
  <c r="AH441" i="2"/>
  <c r="AI441" i="2"/>
  <c r="AJ441" i="2"/>
  <c r="AK441" i="2"/>
  <c r="AL441" i="2"/>
  <c r="AM441" i="2"/>
  <c r="AN441" i="2"/>
  <c r="AO441" i="2"/>
  <c r="AP441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AE443" i="2"/>
  <c r="AF443" i="2"/>
  <c r="AG443" i="2"/>
  <c r="AH443" i="2"/>
  <c r="AI443" i="2"/>
  <c r="AJ443" i="2"/>
  <c r="AK443" i="2"/>
  <c r="AL443" i="2"/>
  <c r="AM443" i="2"/>
  <c r="AN443" i="2"/>
  <c r="AO443" i="2"/>
  <c r="AP443" i="2"/>
  <c r="AE444" i="2"/>
  <c r="AF444" i="2"/>
  <c r="AG444" i="2"/>
  <c r="AH444" i="2"/>
  <c r="AI444" i="2"/>
  <c r="AJ444" i="2"/>
  <c r="AK444" i="2"/>
  <c r="AL444" i="2"/>
  <c r="AM444" i="2"/>
  <c r="AN444" i="2"/>
  <c r="AO444" i="2"/>
  <c r="AP444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AE447" i="2"/>
  <c r="AF447" i="2"/>
  <c r="AG447" i="2"/>
  <c r="AH447" i="2"/>
  <c r="AI447" i="2"/>
  <c r="AJ447" i="2"/>
  <c r="AK447" i="2"/>
  <c r="AL447" i="2"/>
  <c r="AM447" i="2"/>
  <c r="AN447" i="2"/>
  <c r="AO447" i="2"/>
  <c r="AP447" i="2"/>
  <c r="AE448" i="2"/>
  <c r="AF448" i="2"/>
  <c r="AG448" i="2"/>
  <c r="AH448" i="2"/>
  <c r="AI448" i="2"/>
  <c r="AJ448" i="2"/>
  <c r="AK448" i="2"/>
  <c r="AL448" i="2"/>
  <c r="AM448" i="2"/>
  <c r="AN448" i="2"/>
  <c r="AO448" i="2"/>
  <c r="AP448" i="2"/>
  <c r="AE449" i="2"/>
  <c r="AF449" i="2"/>
  <c r="AG449" i="2"/>
  <c r="AH449" i="2"/>
  <c r="AI449" i="2"/>
  <c r="AJ449" i="2"/>
  <c r="AK449" i="2"/>
  <c r="AL449" i="2"/>
  <c r="AM449" i="2"/>
  <c r="AN449" i="2"/>
  <c r="AO449" i="2"/>
  <c r="AP449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AE452" i="2"/>
  <c r="AF452" i="2"/>
  <c r="AG452" i="2"/>
  <c r="AH452" i="2"/>
  <c r="AI452" i="2"/>
  <c r="AJ452" i="2"/>
  <c r="AK452" i="2"/>
  <c r="AL452" i="2"/>
  <c r="AM452" i="2"/>
  <c r="AN452" i="2"/>
  <c r="AO452" i="2"/>
  <c r="AP452" i="2"/>
  <c r="AE453" i="2"/>
  <c r="AF453" i="2"/>
  <c r="AG453" i="2"/>
  <c r="AH453" i="2"/>
  <c r="AI453" i="2"/>
  <c r="AJ453" i="2"/>
  <c r="AK453" i="2"/>
  <c r="AL453" i="2"/>
  <c r="AM453" i="2"/>
  <c r="AN453" i="2"/>
  <c r="AO453" i="2"/>
  <c r="AP453" i="2"/>
  <c r="AE454" i="2"/>
  <c r="AF454" i="2"/>
  <c r="AG454" i="2"/>
  <c r="AH454" i="2"/>
  <c r="AI454" i="2"/>
  <c r="AJ454" i="2"/>
  <c r="AK454" i="2"/>
  <c r="AL454" i="2"/>
  <c r="AM454" i="2"/>
  <c r="AN454" i="2"/>
  <c r="AO454" i="2"/>
  <c r="AP454" i="2"/>
  <c r="AE455" i="2"/>
  <c r="AF455" i="2"/>
  <c r="AG455" i="2"/>
  <c r="AH455" i="2"/>
  <c r="AI455" i="2"/>
  <c r="AJ455" i="2"/>
  <c r="AK455" i="2"/>
  <c r="AL455" i="2"/>
  <c r="AM455" i="2"/>
  <c r="AN455" i="2"/>
  <c r="AO455" i="2"/>
  <c r="AP455" i="2"/>
  <c r="AE456" i="2"/>
  <c r="AF456" i="2"/>
  <c r="AG456" i="2"/>
  <c r="AH456" i="2"/>
  <c r="AI456" i="2"/>
  <c r="AJ456" i="2"/>
  <c r="AK456" i="2"/>
  <c r="AL456" i="2"/>
  <c r="AM456" i="2"/>
  <c r="AN456" i="2"/>
  <c r="AO456" i="2"/>
  <c r="AP456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AE458" i="2"/>
  <c r="AF458" i="2"/>
  <c r="AG458" i="2"/>
  <c r="AH458" i="2"/>
  <c r="AI458" i="2"/>
  <c r="AJ458" i="2"/>
  <c r="AK458" i="2"/>
  <c r="AL458" i="2"/>
  <c r="AM458" i="2"/>
  <c r="AN458" i="2"/>
  <c r="AO458" i="2"/>
  <c r="AP458" i="2"/>
  <c r="AE459" i="2"/>
  <c r="AF459" i="2"/>
  <c r="AG459" i="2"/>
  <c r="AH459" i="2"/>
  <c r="AI459" i="2"/>
  <c r="AJ459" i="2"/>
  <c r="AK459" i="2"/>
  <c r="AL459" i="2"/>
  <c r="AM459" i="2"/>
  <c r="AN459" i="2"/>
  <c r="AO459" i="2"/>
  <c r="AP459" i="2"/>
  <c r="AE460" i="2"/>
  <c r="AF460" i="2"/>
  <c r="AG460" i="2"/>
  <c r="AH460" i="2"/>
  <c r="AI460" i="2"/>
  <c r="AJ460" i="2"/>
  <c r="AK460" i="2"/>
  <c r="AL460" i="2"/>
  <c r="AM460" i="2"/>
  <c r="AN460" i="2"/>
  <c r="AO460" i="2"/>
  <c r="AP460" i="2"/>
  <c r="AE461" i="2"/>
  <c r="AF461" i="2"/>
  <c r="AG461" i="2"/>
  <c r="AH461" i="2"/>
  <c r="AI461" i="2"/>
  <c r="AJ461" i="2"/>
  <c r="AK461" i="2"/>
  <c r="AL461" i="2"/>
  <c r="AM461" i="2"/>
  <c r="AN461" i="2"/>
  <c r="AO461" i="2"/>
  <c r="AP461" i="2"/>
  <c r="AE462" i="2"/>
  <c r="AF462" i="2"/>
  <c r="AG462" i="2"/>
  <c r="AH462" i="2"/>
  <c r="AI462" i="2"/>
  <c r="AJ462" i="2"/>
  <c r="AK462" i="2"/>
  <c r="AL462" i="2"/>
  <c r="AM462" i="2"/>
  <c r="AN462" i="2"/>
  <c r="AO462" i="2"/>
  <c r="AP462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AE464" i="2"/>
  <c r="AF464" i="2"/>
  <c r="AG464" i="2"/>
  <c r="AH464" i="2"/>
  <c r="AI464" i="2"/>
  <c r="AJ464" i="2"/>
  <c r="AK464" i="2"/>
  <c r="AL464" i="2"/>
  <c r="AM464" i="2"/>
  <c r="AN464" i="2"/>
  <c r="AO464" i="2"/>
  <c r="AP464" i="2"/>
  <c r="AE465" i="2"/>
  <c r="AF465" i="2"/>
  <c r="AG465" i="2"/>
  <c r="AH465" i="2"/>
  <c r="AI465" i="2"/>
  <c r="AJ465" i="2"/>
  <c r="AK465" i="2"/>
  <c r="AL465" i="2"/>
  <c r="AM465" i="2"/>
  <c r="AN465" i="2"/>
  <c r="AO465" i="2"/>
  <c r="AP465" i="2"/>
  <c r="AE466" i="2"/>
  <c r="AF466" i="2"/>
  <c r="AG466" i="2"/>
  <c r="AH466" i="2"/>
  <c r="AI466" i="2"/>
  <c r="AJ466" i="2"/>
  <c r="AK466" i="2"/>
  <c r="AL466" i="2"/>
  <c r="AM466" i="2"/>
  <c r="AN466" i="2"/>
  <c r="AO466" i="2"/>
  <c r="AP466" i="2"/>
  <c r="AE467" i="2"/>
  <c r="AF467" i="2"/>
  <c r="AG467" i="2"/>
  <c r="AH467" i="2"/>
  <c r="AI467" i="2"/>
  <c r="AJ467" i="2"/>
  <c r="AK467" i="2"/>
  <c r="AL467" i="2"/>
  <c r="AM467" i="2"/>
  <c r="AN467" i="2"/>
  <c r="AO467" i="2"/>
  <c r="AP467" i="2"/>
  <c r="AE468" i="2"/>
  <c r="AF468" i="2"/>
  <c r="AG468" i="2"/>
  <c r="AH468" i="2"/>
  <c r="AI468" i="2"/>
  <c r="AJ468" i="2"/>
  <c r="AK468" i="2"/>
  <c r="AL468" i="2"/>
  <c r="AM468" i="2"/>
  <c r="AN468" i="2"/>
  <c r="AO468" i="2"/>
  <c r="AP468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AE470" i="2"/>
  <c r="AF470" i="2"/>
  <c r="AG470" i="2"/>
  <c r="AH470" i="2"/>
  <c r="AI470" i="2"/>
  <c r="AJ470" i="2"/>
  <c r="AK470" i="2"/>
  <c r="AL470" i="2"/>
  <c r="AM470" i="2"/>
  <c r="AN470" i="2"/>
  <c r="AO470" i="2"/>
  <c r="AP470" i="2"/>
  <c r="AE471" i="2"/>
  <c r="AF471" i="2"/>
  <c r="AG471" i="2"/>
  <c r="AH471" i="2"/>
  <c r="AI471" i="2"/>
  <c r="AJ471" i="2"/>
  <c r="AK471" i="2"/>
  <c r="AL471" i="2"/>
  <c r="AM471" i="2"/>
  <c r="AN471" i="2"/>
  <c r="AO471" i="2"/>
  <c r="AP471" i="2"/>
  <c r="AE472" i="2"/>
  <c r="AF472" i="2"/>
  <c r="AG472" i="2"/>
  <c r="AH472" i="2"/>
  <c r="AI472" i="2"/>
  <c r="AJ472" i="2"/>
  <c r="AK472" i="2"/>
  <c r="AL472" i="2"/>
  <c r="AM472" i="2"/>
  <c r="AN472" i="2"/>
  <c r="AO472" i="2"/>
  <c r="AP472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AE475" i="2"/>
  <c r="AF475" i="2"/>
  <c r="AG475" i="2"/>
  <c r="AH475" i="2"/>
  <c r="AI475" i="2"/>
  <c r="AJ475" i="2"/>
  <c r="AK475" i="2"/>
  <c r="AL475" i="2"/>
  <c r="AM475" i="2"/>
  <c r="AN475" i="2"/>
  <c r="AO475" i="2"/>
  <c r="AP475" i="2"/>
  <c r="AE476" i="2"/>
  <c r="AF476" i="2"/>
  <c r="AG476" i="2"/>
  <c r="AH476" i="2"/>
  <c r="AI476" i="2"/>
  <c r="AJ476" i="2"/>
  <c r="AK476" i="2"/>
  <c r="AL476" i="2"/>
  <c r="AM476" i="2"/>
  <c r="AN476" i="2"/>
  <c r="AO476" i="2"/>
  <c r="AP476" i="2"/>
  <c r="AE477" i="2"/>
  <c r="AF477" i="2"/>
  <c r="AG477" i="2"/>
  <c r="AH477" i="2"/>
  <c r="AI477" i="2"/>
  <c r="AJ477" i="2"/>
  <c r="AK477" i="2"/>
  <c r="AL477" i="2"/>
  <c r="AM477" i="2"/>
  <c r="AN477" i="2"/>
  <c r="AO477" i="2"/>
  <c r="AP477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AE479" i="2"/>
  <c r="AF479" i="2"/>
  <c r="AG479" i="2"/>
  <c r="AH479" i="2"/>
  <c r="AI479" i="2"/>
  <c r="AJ479" i="2"/>
  <c r="AK479" i="2"/>
  <c r="AL479" i="2"/>
  <c r="AM479" i="2"/>
  <c r="AN479" i="2"/>
  <c r="AO479" i="2"/>
  <c r="AP479" i="2"/>
  <c r="AE480" i="2"/>
  <c r="AF480" i="2"/>
  <c r="AG480" i="2"/>
  <c r="AH480" i="2"/>
  <c r="AI480" i="2"/>
  <c r="AJ480" i="2"/>
  <c r="AK480" i="2"/>
  <c r="AL480" i="2"/>
  <c r="AM480" i="2"/>
  <c r="AN480" i="2"/>
  <c r="AO480" i="2"/>
  <c r="AP480" i="2"/>
  <c r="AE481" i="2"/>
  <c r="AF481" i="2"/>
  <c r="AG481" i="2"/>
  <c r="AH481" i="2"/>
  <c r="AI481" i="2"/>
  <c r="AJ481" i="2"/>
  <c r="AK481" i="2"/>
  <c r="AL481" i="2"/>
  <c r="AM481" i="2"/>
  <c r="AN481" i="2"/>
  <c r="AO481" i="2"/>
  <c r="AP481" i="2"/>
  <c r="AE482" i="2"/>
  <c r="AF482" i="2"/>
  <c r="AG482" i="2"/>
  <c r="AH482" i="2"/>
  <c r="AI482" i="2"/>
  <c r="AJ482" i="2"/>
  <c r="AK482" i="2"/>
  <c r="AL482" i="2"/>
  <c r="AM482" i="2"/>
  <c r="AN482" i="2"/>
  <c r="AO482" i="2"/>
  <c r="AP482" i="2"/>
  <c r="AE483" i="2"/>
  <c r="AF483" i="2"/>
  <c r="AG483" i="2"/>
  <c r="AH483" i="2"/>
  <c r="AI483" i="2"/>
  <c r="AJ483" i="2"/>
  <c r="AK483" i="2"/>
  <c r="AL483" i="2"/>
  <c r="AM483" i="2"/>
  <c r="AN483" i="2"/>
  <c r="AO483" i="2"/>
  <c r="AP483" i="2"/>
  <c r="AE484" i="2"/>
  <c r="AF484" i="2"/>
  <c r="AG484" i="2"/>
  <c r="AH484" i="2"/>
  <c r="AI484" i="2"/>
  <c r="AJ484" i="2"/>
  <c r="AK484" i="2"/>
  <c r="AL484" i="2"/>
  <c r="AM484" i="2"/>
  <c r="AN484" i="2"/>
  <c r="AO484" i="2"/>
  <c r="AP484" i="2"/>
  <c r="AE485" i="2"/>
  <c r="AF485" i="2"/>
  <c r="AG485" i="2"/>
  <c r="AH485" i="2"/>
  <c r="AI485" i="2"/>
  <c r="AJ485" i="2"/>
  <c r="AK485" i="2"/>
  <c r="AL485" i="2"/>
  <c r="AM485" i="2"/>
  <c r="AN485" i="2"/>
  <c r="AO485" i="2"/>
  <c r="AP485" i="2"/>
  <c r="AE486" i="2"/>
  <c r="AF486" i="2"/>
  <c r="AG486" i="2"/>
  <c r="AH486" i="2"/>
  <c r="AI486" i="2"/>
  <c r="AJ486" i="2"/>
  <c r="AK486" i="2"/>
  <c r="AL486" i="2"/>
  <c r="AM486" i="2"/>
  <c r="AN486" i="2"/>
  <c r="AO486" i="2"/>
  <c r="AP486" i="2"/>
  <c r="AE487" i="2"/>
  <c r="AF487" i="2"/>
  <c r="AG487" i="2"/>
  <c r="AH487" i="2"/>
  <c r="AI487" i="2"/>
  <c r="AJ487" i="2"/>
  <c r="AK487" i="2"/>
  <c r="AL487" i="2"/>
  <c r="AM487" i="2"/>
  <c r="AN487" i="2"/>
  <c r="AO487" i="2"/>
  <c r="AP487" i="2"/>
  <c r="AE488" i="2"/>
  <c r="AF488" i="2"/>
  <c r="AG488" i="2"/>
  <c r="AH488" i="2"/>
  <c r="AI488" i="2"/>
  <c r="AJ488" i="2"/>
  <c r="AK488" i="2"/>
  <c r="AL488" i="2"/>
  <c r="AM488" i="2"/>
  <c r="AN488" i="2"/>
  <c r="AO488" i="2"/>
  <c r="AP488" i="2"/>
  <c r="AE489" i="2"/>
  <c r="AF489" i="2"/>
  <c r="AG489" i="2"/>
  <c r="AH489" i="2"/>
  <c r="AI489" i="2"/>
  <c r="AJ489" i="2"/>
  <c r="AK489" i="2"/>
  <c r="AL489" i="2"/>
  <c r="AM489" i="2"/>
  <c r="AN489" i="2"/>
  <c r="AO489" i="2"/>
  <c r="AP489" i="2"/>
  <c r="AE490" i="2"/>
  <c r="AF490" i="2"/>
  <c r="AG490" i="2"/>
  <c r="AH490" i="2"/>
  <c r="AI490" i="2"/>
  <c r="AJ490" i="2"/>
  <c r="AK490" i="2"/>
  <c r="AL490" i="2"/>
  <c r="AM490" i="2"/>
  <c r="AN490" i="2"/>
  <c r="AO490" i="2"/>
  <c r="AP490" i="2"/>
  <c r="AE491" i="2"/>
  <c r="AF491" i="2"/>
  <c r="AG491" i="2"/>
  <c r="AH491" i="2"/>
  <c r="AI491" i="2"/>
  <c r="AJ491" i="2"/>
  <c r="AK491" i="2"/>
  <c r="AL491" i="2"/>
  <c r="AM491" i="2"/>
  <c r="AN491" i="2"/>
  <c r="AO491" i="2"/>
  <c r="AP491" i="2"/>
  <c r="AE492" i="2"/>
  <c r="AF492" i="2"/>
  <c r="AG492" i="2"/>
  <c r="AH492" i="2"/>
  <c r="AI492" i="2"/>
  <c r="AJ492" i="2"/>
  <c r="AK492" i="2"/>
  <c r="AL492" i="2"/>
  <c r="AM492" i="2"/>
  <c r="AN492" i="2"/>
  <c r="AO492" i="2"/>
  <c r="AP492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AE494" i="2"/>
  <c r="AF494" i="2"/>
  <c r="AG494" i="2"/>
  <c r="AH494" i="2"/>
  <c r="AI494" i="2"/>
  <c r="AJ494" i="2"/>
  <c r="AK494" i="2"/>
  <c r="AL494" i="2"/>
  <c r="AM494" i="2"/>
  <c r="AN494" i="2"/>
  <c r="AO494" i="2"/>
  <c r="AP494" i="2"/>
  <c r="AE495" i="2"/>
  <c r="AF495" i="2"/>
  <c r="AG495" i="2"/>
  <c r="AH495" i="2"/>
  <c r="AI495" i="2"/>
  <c r="AJ495" i="2"/>
  <c r="AK495" i="2"/>
  <c r="AL495" i="2"/>
  <c r="AM495" i="2"/>
  <c r="AN495" i="2"/>
  <c r="AO495" i="2"/>
  <c r="AP495" i="2"/>
  <c r="AE496" i="2"/>
  <c r="AF496" i="2"/>
  <c r="AG496" i="2"/>
  <c r="AH496" i="2"/>
  <c r="AI496" i="2"/>
  <c r="AJ496" i="2"/>
  <c r="AK496" i="2"/>
  <c r="AL496" i="2"/>
  <c r="AM496" i="2"/>
  <c r="AN496" i="2"/>
  <c r="AO496" i="2"/>
  <c r="AP496" i="2"/>
  <c r="AE497" i="2"/>
  <c r="AF497" i="2"/>
  <c r="AG497" i="2"/>
  <c r="AH497" i="2"/>
  <c r="AI497" i="2"/>
  <c r="AJ497" i="2"/>
  <c r="AK497" i="2"/>
  <c r="AL497" i="2"/>
  <c r="AM497" i="2"/>
  <c r="AN497" i="2"/>
  <c r="AO497" i="2"/>
  <c r="AP497" i="2"/>
  <c r="AE498" i="2"/>
  <c r="AF498" i="2"/>
  <c r="AG498" i="2"/>
  <c r="AH498" i="2"/>
  <c r="AI498" i="2"/>
  <c r="AJ498" i="2"/>
  <c r="AK498" i="2"/>
  <c r="AL498" i="2"/>
  <c r="AM498" i="2"/>
  <c r="AN498" i="2"/>
  <c r="AO498" i="2"/>
  <c r="AP498" i="2"/>
  <c r="AE499" i="2"/>
  <c r="AF499" i="2"/>
  <c r="AG499" i="2"/>
  <c r="AH499" i="2"/>
  <c r="AI499" i="2"/>
  <c r="AJ499" i="2"/>
  <c r="AK499" i="2"/>
  <c r="AL499" i="2"/>
  <c r="AM499" i="2"/>
  <c r="AN499" i="2"/>
  <c r="AO499" i="2"/>
  <c r="AP499" i="2"/>
  <c r="AE500" i="2"/>
  <c r="AF500" i="2"/>
  <c r="AG500" i="2"/>
  <c r="AH500" i="2"/>
  <c r="AI500" i="2"/>
  <c r="AJ500" i="2"/>
  <c r="AK500" i="2"/>
  <c r="AL500" i="2"/>
  <c r="AM500" i="2"/>
  <c r="AN500" i="2"/>
  <c r="AO500" i="2"/>
  <c r="AP500" i="2"/>
  <c r="AE501" i="2"/>
  <c r="AF501" i="2"/>
  <c r="AG501" i="2"/>
  <c r="AH501" i="2"/>
  <c r="AI501" i="2"/>
  <c r="AJ501" i="2"/>
  <c r="AK501" i="2"/>
  <c r="AL501" i="2"/>
  <c r="AM501" i="2"/>
  <c r="AN501" i="2"/>
  <c r="AO501" i="2"/>
  <c r="AP501" i="2"/>
  <c r="AE502" i="2"/>
  <c r="AF502" i="2"/>
  <c r="AG502" i="2"/>
  <c r="AH502" i="2"/>
  <c r="AI502" i="2"/>
  <c r="AJ502" i="2"/>
  <c r="AK502" i="2"/>
  <c r="AL502" i="2"/>
  <c r="AM502" i="2"/>
  <c r="AN502" i="2"/>
  <c r="AO502" i="2"/>
  <c r="AP502" i="2"/>
  <c r="AE503" i="2"/>
  <c r="AF503" i="2"/>
  <c r="AG503" i="2"/>
  <c r="AH503" i="2"/>
  <c r="AI503" i="2"/>
  <c r="AJ503" i="2"/>
  <c r="AK503" i="2"/>
  <c r="AL503" i="2"/>
  <c r="AM503" i="2"/>
  <c r="AN503" i="2"/>
  <c r="AO503" i="2"/>
  <c r="AP503" i="2"/>
  <c r="AE504" i="2"/>
  <c r="AF504" i="2"/>
  <c r="AG504" i="2"/>
  <c r="AH504" i="2"/>
  <c r="AI504" i="2"/>
  <c r="AJ504" i="2"/>
  <c r="AK504" i="2"/>
  <c r="AL504" i="2"/>
  <c r="AM504" i="2"/>
  <c r="AN504" i="2"/>
  <c r="AO504" i="2"/>
  <c r="AP504" i="2"/>
  <c r="AE505" i="2"/>
  <c r="AF505" i="2"/>
  <c r="AG505" i="2"/>
  <c r="AH505" i="2"/>
  <c r="AI505" i="2"/>
  <c r="AJ505" i="2"/>
  <c r="AK505" i="2"/>
  <c r="AL505" i="2"/>
  <c r="AM505" i="2"/>
  <c r="AN505" i="2"/>
  <c r="AO505" i="2"/>
  <c r="AP505" i="2"/>
  <c r="AE506" i="2"/>
  <c r="AF506" i="2"/>
  <c r="AG506" i="2"/>
  <c r="AH506" i="2"/>
  <c r="AI506" i="2"/>
  <c r="AJ506" i="2"/>
  <c r="AK506" i="2"/>
  <c r="AL506" i="2"/>
  <c r="AM506" i="2"/>
  <c r="AN506" i="2"/>
  <c r="AO506" i="2"/>
  <c r="AP506" i="2"/>
  <c r="AE507" i="2"/>
  <c r="AF507" i="2"/>
  <c r="AG507" i="2"/>
  <c r="AH507" i="2"/>
  <c r="AI507" i="2"/>
  <c r="AJ507" i="2"/>
  <c r="AK507" i="2"/>
  <c r="AL507" i="2"/>
  <c r="AM507" i="2"/>
  <c r="AN507" i="2"/>
  <c r="AO507" i="2"/>
  <c r="AP507" i="2"/>
  <c r="AE508" i="2"/>
  <c r="AF508" i="2"/>
  <c r="AG508" i="2"/>
  <c r="AH508" i="2"/>
  <c r="AI508" i="2"/>
  <c r="AJ508" i="2"/>
  <c r="AK508" i="2"/>
  <c r="AL508" i="2"/>
  <c r="AM508" i="2"/>
  <c r="AN508" i="2"/>
  <c r="AO508" i="2"/>
  <c r="AP508" i="2"/>
  <c r="AE509" i="2"/>
  <c r="AF509" i="2"/>
  <c r="AG509" i="2"/>
  <c r="AH509" i="2"/>
  <c r="AI509" i="2"/>
  <c r="AJ509" i="2"/>
  <c r="AK509" i="2"/>
  <c r="AL509" i="2"/>
  <c r="AM509" i="2"/>
  <c r="AN509" i="2"/>
  <c r="AO509" i="2"/>
  <c r="AP509" i="2"/>
  <c r="AE510" i="2"/>
  <c r="AF510" i="2"/>
  <c r="AG510" i="2"/>
  <c r="AH510" i="2"/>
  <c r="AI510" i="2"/>
  <c r="AJ510" i="2"/>
  <c r="AK510" i="2"/>
  <c r="AL510" i="2"/>
  <c r="AM510" i="2"/>
  <c r="AN510" i="2"/>
  <c r="AO510" i="2"/>
  <c r="AP510" i="2"/>
  <c r="AE511" i="2"/>
  <c r="AF511" i="2"/>
  <c r="AG511" i="2"/>
  <c r="AH511" i="2"/>
  <c r="AI511" i="2"/>
  <c r="AJ511" i="2"/>
  <c r="AK511" i="2"/>
  <c r="AL511" i="2"/>
  <c r="AM511" i="2"/>
  <c r="AN511" i="2"/>
  <c r="AO511" i="2"/>
  <c r="AP511" i="2"/>
  <c r="AE512" i="2"/>
  <c r="AF512" i="2"/>
  <c r="AG512" i="2"/>
  <c r="AH512" i="2"/>
  <c r="AI512" i="2"/>
  <c r="AJ512" i="2"/>
  <c r="AK512" i="2"/>
  <c r="AL512" i="2"/>
  <c r="AM512" i="2"/>
  <c r="AN512" i="2"/>
  <c r="AO512" i="2"/>
  <c r="AP512" i="2"/>
  <c r="AE513" i="2"/>
  <c r="AF513" i="2"/>
  <c r="AG513" i="2"/>
  <c r="AH513" i="2"/>
  <c r="AI513" i="2"/>
  <c r="AJ513" i="2"/>
  <c r="AK513" i="2"/>
  <c r="AL513" i="2"/>
  <c r="AM513" i="2"/>
  <c r="AN513" i="2"/>
  <c r="AO513" i="2"/>
  <c r="AP513" i="2"/>
  <c r="AE514" i="2"/>
  <c r="AF514" i="2"/>
  <c r="AG514" i="2"/>
  <c r="AH514" i="2"/>
  <c r="AI514" i="2"/>
  <c r="AJ514" i="2"/>
  <c r="AK514" i="2"/>
  <c r="AL514" i="2"/>
  <c r="AM514" i="2"/>
  <c r="AN514" i="2"/>
  <c r="AO514" i="2"/>
  <c r="AP514" i="2"/>
  <c r="AE515" i="2"/>
  <c r="AF515" i="2"/>
  <c r="AG515" i="2"/>
  <c r="AH515" i="2"/>
  <c r="AI515" i="2"/>
  <c r="AJ515" i="2"/>
  <c r="AK515" i="2"/>
  <c r="AL515" i="2"/>
  <c r="AM515" i="2"/>
  <c r="AN515" i="2"/>
  <c r="AO515" i="2"/>
  <c r="AP515" i="2"/>
  <c r="AE516" i="2"/>
  <c r="AF516" i="2"/>
  <c r="AG516" i="2"/>
  <c r="AH516" i="2"/>
  <c r="AI516" i="2"/>
  <c r="AJ516" i="2"/>
  <c r="AK516" i="2"/>
  <c r="AL516" i="2"/>
  <c r="AM516" i="2"/>
  <c r="AN516" i="2"/>
  <c r="AO516" i="2"/>
  <c r="AP516" i="2"/>
  <c r="AE517" i="2"/>
  <c r="AF517" i="2"/>
  <c r="AG517" i="2"/>
  <c r="AH517" i="2"/>
  <c r="AI517" i="2"/>
  <c r="AJ517" i="2"/>
  <c r="AK517" i="2"/>
  <c r="AL517" i="2"/>
  <c r="AM517" i="2"/>
  <c r="AN517" i="2"/>
  <c r="AO517" i="2"/>
  <c r="AP517" i="2"/>
  <c r="AE518" i="2"/>
  <c r="AF518" i="2"/>
  <c r="AG518" i="2"/>
  <c r="AH518" i="2"/>
  <c r="AI518" i="2"/>
  <c r="AJ518" i="2"/>
  <c r="AK518" i="2"/>
  <c r="AL518" i="2"/>
  <c r="AM518" i="2"/>
  <c r="AN518" i="2"/>
  <c r="AO518" i="2"/>
  <c r="AP518" i="2"/>
  <c r="AE519" i="2"/>
  <c r="AF519" i="2"/>
  <c r="AG519" i="2"/>
  <c r="AH519" i="2"/>
  <c r="AI519" i="2"/>
  <c r="AJ519" i="2"/>
  <c r="AK519" i="2"/>
  <c r="AL519" i="2"/>
  <c r="AM519" i="2"/>
  <c r="AN519" i="2"/>
  <c r="AO519" i="2"/>
  <c r="AP519" i="2"/>
  <c r="AE520" i="2"/>
  <c r="AF520" i="2"/>
  <c r="AG520" i="2"/>
  <c r="AH520" i="2"/>
  <c r="AI520" i="2"/>
  <c r="AJ520" i="2"/>
  <c r="AK520" i="2"/>
  <c r="AL520" i="2"/>
  <c r="AM520" i="2"/>
  <c r="AN520" i="2"/>
  <c r="AO520" i="2"/>
  <c r="AP520" i="2"/>
  <c r="AE521" i="2"/>
  <c r="AF521" i="2"/>
  <c r="AG521" i="2"/>
  <c r="AH521" i="2"/>
  <c r="AI521" i="2"/>
  <c r="AJ521" i="2"/>
  <c r="AK521" i="2"/>
  <c r="AL521" i="2"/>
  <c r="AM521" i="2"/>
  <c r="AN521" i="2"/>
  <c r="AO521" i="2"/>
  <c r="AP521" i="2"/>
  <c r="AE522" i="2"/>
  <c r="AF522" i="2"/>
  <c r="AG522" i="2"/>
  <c r="AH522" i="2"/>
  <c r="AI522" i="2"/>
  <c r="AJ522" i="2"/>
  <c r="AK522" i="2"/>
  <c r="AL522" i="2"/>
  <c r="AM522" i="2"/>
  <c r="AN522" i="2"/>
  <c r="AO522" i="2"/>
  <c r="AP522" i="2"/>
  <c r="AE523" i="2"/>
  <c r="AF523" i="2"/>
  <c r="AG523" i="2"/>
  <c r="AH523" i="2"/>
  <c r="AI523" i="2"/>
  <c r="AJ523" i="2"/>
  <c r="AK523" i="2"/>
  <c r="AL523" i="2"/>
  <c r="AM523" i="2"/>
  <c r="AN523" i="2"/>
  <c r="AO523" i="2"/>
  <c r="AP523" i="2"/>
  <c r="AE524" i="2"/>
  <c r="AF524" i="2"/>
  <c r="AG524" i="2"/>
  <c r="AH524" i="2"/>
  <c r="AI524" i="2"/>
  <c r="AJ524" i="2"/>
  <c r="AK524" i="2"/>
  <c r="AL524" i="2"/>
  <c r="AM524" i="2"/>
  <c r="AN524" i="2"/>
  <c r="AO524" i="2"/>
  <c r="AP524" i="2"/>
  <c r="AE525" i="2"/>
  <c r="AF525" i="2"/>
  <c r="AG525" i="2"/>
  <c r="AH525" i="2"/>
  <c r="AI525" i="2"/>
  <c r="AJ525" i="2"/>
  <c r="AK525" i="2"/>
  <c r="AL525" i="2"/>
  <c r="AM525" i="2"/>
  <c r="AN525" i="2"/>
  <c r="AO525" i="2"/>
  <c r="AP525" i="2"/>
  <c r="AE526" i="2"/>
  <c r="AF526" i="2"/>
  <c r="AG526" i="2"/>
  <c r="AH526" i="2"/>
  <c r="AI526" i="2"/>
  <c r="AJ526" i="2"/>
  <c r="AK526" i="2"/>
  <c r="AL526" i="2"/>
  <c r="AM526" i="2"/>
  <c r="AN526" i="2"/>
  <c r="AO526" i="2"/>
  <c r="AP526" i="2"/>
  <c r="AE527" i="2"/>
  <c r="AF527" i="2"/>
  <c r="AG527" i="2"/>
  <c r="AH527" i="2"/>
  <c r="AI527" i="2"/>
  <c r="AJ527" i="2"/>
  <c r="AK527" i="2"/>
  <c r="AL527" i="2"/>
  <c r="AM527" i="2"/>
  <c r="AN527" i="2"/>
  <c r="AO527" i="2"/>
  <c r="AP527" i="2"/>
  <c r="AE528" i="2"/>
  <c r="AF528" i="2"/>
  <c r="AG528" i="2"/>
  <c r="AH528" i="2"/>
  <c r="AI528" i="2"/>
  <c r="AJ528" i="2"/>
  <c r="AK528" i="2"/>
  <c r="AL528" i="2"/>
  <c r="AM528" i="2"/>
  <c r="AN528" i="2"/>
  <c r="AO528" i="2"/>
  <c r="AP528" i="2"/>
  <c r="AE529" i="2"/>
  <c r="AF529" i="2"/>
  <c r="AG529" i="2"/>
  <c r="AH529" i="2"/>
  <c r="AI529" i="2"/>
  <c r="AJ529" i="2"/>
  <c r="AK529" i="2"/>
  <c r="AL529" i="2"/>
  <c r="AM529" i="2"/>
  <c r="AN529" i="2"/>
  <c r="AO529" i="2"/>
  <c r="AP529" i="2"/>
  <c r="AE530" i="2"/>
  <c r="AF530" i="2"/>
  <c r="AG530" i="2"/>
  <c r="AH530" i="2"/>
  <c r="AI530" i="2"/>
  <c r="AJ530" i="2"/>
  <c r="AK530" i="2"/>
  <c r="AL530" i="2"/>
  <c r="AM530" i="2"/>
  <c r="AN530" i="2"/>
  <c r="AO530" i="2"/>
  <c r="AP530" i="2"/>
  <c r="AE531" i="2"/>
  <c r="AF531" i="2"/>
  <c r="AG531" i="2"/>
  <c r="AH531" i="2"/>
  <c r="AI531" i="2"/>
  <c r="AJ531" i="2"/>
  <c r="AK531" i="2"/>
  <c r="AL531" i="2"/>
  <c r="AM531" i="2"/>
  <c r="AN531" i="2"/>
  <c r="AO531" i="2"/>
  <c r="AP531" i="2"/>
  <c r="AE532" i="2"/>
  <c r="AF532" i="2"/>
  <c r="AG532" i="2"/>
  <c r="AH532" i="2"/>
  <c r="AI532" i="2"/>
  <c r="AJ532" i="2"/>
  <c r="AK532" i="2"/>
  <c r="AL532" i="2"/>
  <c r="AM532" i="2"/>
  <c r="AN532" i="2"/>
  <c r="AO532" i="2"/>
  <c r="AP532" i="2"/>
  <c r="AE533" i="2"/>
  <c r="AF533" i="2"/>
  <c r="AG533" i="2"/>
  <c r="AH533" i="2"/>
  <c r="AI533" i="2"/>
  <c r="AJ533" i="2"/>
  <c r="AK533" i="2"/>
  <c r="AL533" i="2"/>
  <c r="AM533" i="2"/>
  <c r="AN533" i="2"/>
  <c r="AO533" i="2"/>
  <c r="AP533" i="2"/>
  <c r="AE534" i="2"/>
  <c r="AF534" i="2"/>
  <c r="AG534" i="2"/>
  <c r="AH534" i="2"/>
  <c r="AI534" i="2"/>
  <c r="AJ534" i="2"/>
  <c r="AK534" i="2"/>
  <c r="AL534" i="2"/>
  <c r="AM534" i="2"/>
  <c r="AN534" i="2"/>
  <c r="AO534" i="2"/>
  <c r="AP534" i="2"/>
  <c r="AE535" i="2"/>
  <c r="AF535" i="2"/>
  <c r="AG535" i="2"/>
  <c r="AH535" i="2"/>
  <c r="AI535" i="2"/>
  <c r="AJ535" i="2"/>
  <c r="AK535" i="2"/>
  <c r="AL535" i="2"/>
  <c r="AM535" i="2"/>
  <c r="AN535" i="2"/>
  <c r="AO535" i="2"/>
  <c r="AP535" i="2"/>
  <c r="AE536" i="2"/>
  <c r="AF536" i="2"/>
  <c r="AG536" i="2"/>
  <c r="AH536" i="2"/>
  <c r="AI536" i="2"/>
  <c r="AJ536" i="2"/>
  <c r="AK536" i="2"/>
  <c r="AL536" i="2"/>
  <c r="AM536" i="2"/>
  <c r="AN536" i="2"/>
  <c r="AO536" i="2"/>
  <c r="AP536" i="2"/>
  <c r="AE537" i="2"/>
  <c r="AF537" i="2"/>
  <c r="AG537" i="2"/>
  <c r="AH537" i="2"/>
  <c r="AI537" i="2"/>
  <c r="AJ537" i="2"/>
  <c r="AK537" i="2"/>
  <c r="AL537" i="2"/>
  <c r="AM537" i="2"/>
  <c r="AN537" i="2"/>
  <c r="AO537" i="2"/>
  <c r="AP537" i="2"/>
  <c r="AE538" i="2"/>
  <c r="AF538" i="2"/>
  <c r="AG538" i="2"/>
  <c r="AH538" i="2"/>
  <c r="AI538" i="2"/>
  <c r="AJ538" i="2"/>
  <c r="AK538" i="2"/>
  <c r="AL538" i="2"/>
  <c r="AM538" i="2"/>
  <c r="AN538" i="2"/>
  <c r="AO538" i="2"/>
  <c r="AP538" i="2"/>
  <c r="AE539" i="2"/>
  <c r="AF539" i="2"/>
  <c r="AG539" i="2"/>
  <c r="AH539" i="2"/>
  <c r="AI539" i="2"/>
  <c r="AJ539" i="2"/>
  <c r="AK539" i="2"/>
  <c r="AL539" i="2"/>
  <c r="AM539" i="2"/>
  <c r="AN539" i="2"/>
  <c r="AO539" i="2"/>
  <c r="AP539" i="2"/>
  <c r="AE540" i="2"/>
  <c r="AF540" i="2"/>
  <c r="AG540" i="2"/>
  <c r="AH540" i="2"/>
  <c r="AI540" i="2"/>
  <c r="AJ540" i="2"/>
  <c r="AK540" i="2"/>
  <c r="AL540" i="2"/>
  <c r="AM540" i="2"/>
  <c r="AN540" i="2"/>
  <c r="AO540" i="2"/>
  <c r="AP540" i="2"/>
  <c r="AE541" i="2"/>
  <c r="AF541" i="2"/>
  <c r="AG541" i="2"/>
  <c r="AH541" i="2"/>
  <c r="AI541" i="2"/>
  <c r="AJ541" i="2"/>
  <c r="AK541" i="2"/>
  <c r="AL541" i="2"/>
  <c r="AM541" i="2"/>
  <c r="AN541" i="2"/>
  <c r="AO541" i="2"/>
  <c r="AP541" i="2"/>
  <c r="AE542" i="2"/>
  <c r="AF542" i="2"/>
  <c r="AG542" i="2"/>
  <c r="AH542" i="2"/>
  <c r="AI542" i="2"/>
  <c r="AJ542" i="2"/>
  <c r="AK542" i="2"/>
  <c r="AL542" i="2"/>
  <c r="AM542" i="2"/>
  <c r="AN542" i="2"/>
  <c r="AO542" i="2"/>
  <c r="AP542" i="2"/>
  <c r="AE543" i="2"/>
  <c r="AF543" i="2"/>
  <c r="AG543" i="2"/>
  <c r="AH543" i="2"/>
  <c r="AI543" i="2"/>
  <c r="AJ543" i="2"/>
  <c r="AK543" i="2"/>
  <c r="AL543" i="2"/>
  <c r="AM543" i="2"/>
  <c r="AN543" i="2"/>
  <c r="AO543" i="2"/>
  <c r="AP543" i="2"/>
  <c r="AE544" i="2"/>
  <c r="AF544" i="2"/>
  <c r="AG544" i="2"/>
  <c r="AH544" i="2"/>
  <c r="AI544" i="2"/>
  <c r="AJ544" i="2"/>
  <c r="AK544" i="2"/>
  <c r="AL544" i="2"/>
  <c r="AM544" i="2"/>
  <c r="AN544" i="2"/>
  <c r="AO544" i="2"/>
  <c r="AP544" i="2"/>
  <c r="AE545" i="2"/>
  <c r="AF545" i="2"/>
  <c r="AG545" i="2"/>
  <c r="AH545" i="2"/>
  <c r="AI545" i="2"/>
  <c r="AJ545" i="2"/>
  <c r="AK545" i="2"/>
  <c r="AL545" i="2"/>
  <c r="AM545" i="2"/>
  <c r="AN545" i="2"/>
  <c r="AO545" i="2"/>
  <c r="AP545" i="2"/>
  <c r="AE546" i="2"/>
  <c r="AF546" i="2"/>
  <c r="AG546" i="2"/>
  <c r="AH546" i="2"/>
  <c r="AI546" i="2"/>
  <c r="AJ546" i="2"/>
  <c r="AK546" i="2"/>
  <c r="AL546" i="2"/>
  <c r="AM546" i="2"/>
  <c r="AN546" i="2"/>
  <c r="AO546" i="2"/>
  <c r="AP546" i="2"/>
  <c r="AE547" i="2"/>
  <c r="AF547" i="2"/>
  <c r="AG547" i="2"/>
  <c r="AH547" i="2"/>
  <c r="AI547" i="2"/>
  <c r="AJ547" i="2"/>
  <c r="AK547" i="2"/>
  <c r="AL547" i="2"/>
  <c r="AM547" i="2"/>
  <c r="AN547" i="2"/>
  <c r="AO547" i="2"/>
  <c r="AP547" i="2"/>
  <c r="AE548" i="2"/>
  <c r="AF548" i="2"/>
  <c r="AG548" i="2"/>
  <c r="AH548" i="2"/>
  <c r="AI548" i="2"/>
  <c r="AJ548" i="2"/>
  <c r="AK548" i="2"/>
  <c r="AL548" i="2"/>
  <c r="AM548" i="2"/>
  <c r="AN548" i="2"/>
  <c r="AO548" i="2"/>
  <c r="AP548" i="2"/>
  <c r="AE549" i="2"/>
  <c r="AF549" i="2"/>
  <c r="AG549" i="2"/>
  <c r="AH549" i="2"/>
  <c r="AI549" i="2"/>
  <c r="AJ549" i="2"/>
  <c r="AK549" i="2"/>
  <c r="AL549" i="2"/>
  <c r="AM549" i="2"/>
  <c r="AN549" i="2"/>
  <c r="AO549" i="2"/>
  <c r="AP549" i="2"/>
  <c r="AE550" i="2"/>
  <c r="AF550" i="2"/>
  <c r="AG550" i="2"/>
  <c r="AH550" i="2"/>
  <c r="AI550" i="2"/>
  <c r="AJ550" i="2"/>
  <c r="AK550" i="2"/>
  <c r="AL550" i="2"/>
  <c r="AM550" i="2"/>
  <c r="AN550" i="2"/>
  <c r="AO550" i="2"/>
  <c r="AP550" i="2"/>
  <c r="AE551" i="2"/>
  <c r="AF551" i="2"/>
  <c r="AG551" i="2"/>
  <c r="AH551" i="2"/>
  <c r="AI551" i="2"/>
  <c r="AJ551" i="2"/>
  <c r="AK551" i="2"/>
  <c r="AL551" i="2"/>
  <c r="AM551" i="2"/>
  <c r="AN551" i="2"/>
  <c r="AO551" i="2"/>
  <c r="AP551" i="2"/>
  <c r="AE552" i="2"/>
  <c r="AF552" i="2"/>
  <c r="AG552" i="2"/>
  <c r="AH552" i="2"/>
  <c r="AI552" i="2"/>
  <c r="AJ552" i="2"/>
  <c r="AK552" i="2"/>
  <c r="AL552" i="2"/>
  <c r="AM552" i="2"/>
  <c r="AN552" i="2"/>
  <c r="AO552" i="2"/>
  <c r="AP552" i="2"/>
  <c r="AE553" i="2"/>
  <c r="AF553" i="2"/>
  <c r="AG553" i="2"/>
  <c r="AH553" i="2"/>
  <c r="AI553" i="2"/>
  <c r="AJ553" i="2"/>
  <c r="AK553" i="2"/>
  <c r="AL553" i="2"/>
  <c r="AM553" i="2"/>
  <c r="AN553" i="2"/>
  <c r="AO553" i="2"/>
  <c r="AP553" i="2"/>
  <c r="AE554" i="2"/>
  <c r="AF554" i="2"/>
  <c r="AG554" i="2"/>
  <c r="AH554" i="2"/>
  <c r="AI554" i="2"/>
  <c r="AJ554" i="2"/>
  <c r="AK554" i="2"/>
  <c r="AL554" i="2"/>
  <c r="AM554" i="2"/>
  <c r="AN554" i="2"/>
  <c r="AO554" i="2"/>
  <c r="AP554" i="2"/>
  <c r="AE555" i="2"/>
  <c r="AF555" i="2"/>
  <c r="AG555" i="2"/>
  <c r="AH555" i="2"/>
  <c r="AI555" i="2"/>
  <c r="AJ555" i="2"/>
  <c r="AK555" i="2"/>
  <c r="AL555" i="2"/>
  <c r="AM555" i="2"/>
  <c r="AN555" i="2"/>
  <c r="AO555" i="2"/>
  <c r="AP555" i="2"/>
  <c r="AE556" i="2"/>
  <c r="AF556" i="2"/>
  <c r="AG556" i="2"/>
  <c r="AH556" i="2"/>
  <c r="AI556" i="2"/>
  <c r="AJ556" i="2"/>
  <c r="AK556" i="2"/>
  <c r="AL556" i="2"/>
  <c r="AM556" i="2"/>
  <c r="AN556" i="2"/>
  <c r="AO556" i="2"/>
  <c r="AP556" i="2"/>
  <c r="AE557" i="2"/>
  <c r="AF557" i="2"/>
  <c r="AG557" i="2"/>
  <c r="AH557" i="2"/>
  <c r="AI557" i="2"/>
  <c r="AJ557" i="2"/>
  <c r="AK557" i="2"/>
  <c r="AL557" i="2"/>
  <c r="AM557" i="2"/>
  <c r="AN557" i="2"/>
  <c r="AO557" i="2"/>
  <c r="AP557" i="2"/>
  <c r="AE558" i="2"/>
  <c r="AF558" i="2"/>
  <c r="AG558" i="2"/>
  <c r="AH558" i="2"/>
  <c r="AI558" i="2"/>
  <c r="AJ558" i="2"/>
  <c r="AK558" i="2"/>
  <c r="AL558" i="2"/>
  <c r="AM558" i="2"/>
  <c r="AN558" i="2"/>
  <c r="AO558" i="2"/>
  <c r="AP558" i="2"/>
  <c r="AE559" i="2"/>
  <c r="AF559" i="2"/>
  <c r="AG559" i="2"/>
  <c r="AH559" i="2"/>
  <c r="AI559" i="2"/>
  <c r="AJ559" i="2"/>
  <c r="AK559" i="2"/>
  <c r="AL559" i="2"/>
  <c r="AM559" i="2"/>
  <c r="AN559" i="2"/>
  <c r="AO559" i="2"/>
  <c r="AP559" i="2"/>
  <c r="AE560" i="2"/>
  <c r="AF560" i="2"/>
  <c r="AG560" i="2"/>
  <c r="AH560" i="2"/>
  <c r="AI560" i="2"/>
  <c r="AJ560" i="2"/>
  <c r="AK560" i="2"/>
  <c r="AL560" i="2"/>
  <c r="AM560" i="2"/>
  <c r="AN560" i="2"/>
  <c r="AO560" i="2"/>
  <c r="AP560" i="2"/>
  <c r="AE561" i="2"/>
  <c r="AF561" i="2"/>
  <c r="AG561" i="2"/>
  <c r="AH561" i="2"/>
  <c r="AI561" i="2"/>
  <c r="AJ561" i="2"/>
  <c r="AK561" i="2"/>
  <c r="AL561" i="2"/>
  <c r="AM561" i="2"/>
  <c r="AN561" i="2"/>
  <c r="AO561" i="2"/>
  <c r="AP561" i="2"/>
  <c r="AE562" i="2"/>
  <c r="AF562" i="2"/>
  <c r="AG562" i="2"/>
  <c r="AH562" i="2"/>
  <c r="AI562" i="2"/>
  <c r="AJ562" i="2"/>
  <c r="AK562" i="2"/>
  <c r="AL562" i="2"/>
  <c r="AM562" i="2"/>
  <c r="AN562" i="2"/>
  <c r="AO562" i="2"/>
  <c r="AP562" i="2"/>
  <c r="AE563" i="2"/>
  <c r="AF563" i="2"/>
  <c r="AG563" i="2"/>
  <c r="AH563" i="2"/>
  <c r="AI563" i="2"/>
  <c r="AJ563" i="2"/>
  <c r="AK563" i="2"/>
  <c r="AL563" i="2"/>
  <c r="AM563" i="2"/>
  <c r="AN563" i="2"/>
  <c r="AO563" i="2"/>
  <c r="AP563" i="2"/>
  <c r="AE564" i="2"/>
  <c r="AF564" i="2"/>
  <c r="AG564" i="2"/>
  <c r="AH564" i="2"/>
  <c r="AI564" i="2"/>
  <c r="AJ564" i="2"/>
  <c r="AK564" i="2"/>
  <c r="AL564" i="2"/>
  <c r="AM564" i="2"/>
  <c r="AN564" i="2"/>
  <c r="AO564" i="2"/>
  <c r="AP564" i="2"/>
  <c r="AE565" i="2"/>
  <c r="AF565" i="2"/>
  <c r="AG565" i="2"/>
  <c r="AH565" i="2"/>
  <c r="AI565" i="2"/>
  <c r="AJ565" i="2"/>
  <c r="AK565" i="2"/>
  <c r="AL565" i="2"/>
  <c r="AM565" i="2"/>
  <c r="AN565" i="2"/>
  <c r="AO565" i="2"/>
  <c r="AP565" i="2"/>
  <c r="AE566" i="2"/>
  <c r="AF566" i="2"/>
  <c r="AG566" i="2"/>
  <c r="AH566" i="2"/>
  <c r="AI566" i="2"/>
  <c r="AJ566" i="2"/>
  <c r="AK566" i="2"/>
  <c r="AL566" i="2"/>
  <c r="AM566" i="2"/>
  <c r="AN566" i="2"/>
  <c r="AO566" i="2"/>
  <c r="AP566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E571" i="2"/>
  <c r="AF571" i="2"/>
  <c r="AG571" i="2"/>
  <c r="AH571" i="2"/>
  <c r="AI571" i="2"/>
  <c r="AJ571" i="2"/>
  <c r="AK571" i="2"/>
  <c r="AL571" i="2"/>
  <c r="AM571" i="2"/>
  <c r="AN571" i="2"/>
  <c r="AO571" i="2"/>
  <c r="AP571" i="2"/>
  <c r="AE572" i="2"/>
  <c r="AF572" i="2"/>
  <c r="AG572" i="2"/>
  <c r="AH572" i="2"/>
  <c r="AI572" i="2"/>
  <c r="AJ572" i="2"/>
  <c r="AK572" i="2"/>
  <c r="AL572" i="2"/>
  <c r="AM572" i="2"/>
  <c r="AN572" i="2"/>
  <c r="AO572" i="2"/>
  <c r="AP572" i="2"/>
  <c r="AE573" i="2"/>
  <c r="AF573" i="2"/>
  <c r="AG573" i="2"/>
  <c r="AH573" i="2"/>
  <c r="AI573" i="2"/>
  <c r="AJ573" i="2"/>
  <c r="AK573" i="2"/>
  <c r="AL573" i="2"/>
  <c r="AM573" i="2"/>
  <c r="AN573" i="2"/>
  <c r="AO573" i="2"/>
  <c r="AP573" i="2"/>
  <c r="AE574" i="2"/>
  <c r="AF574" i="2"/>
  <c r="AG574" i="2"/>
  <c r="AH574" i="2"/>
  <c r="AI574" i="2"/>
  <c r="AJ574" i="2"/>
  <c r="AK574" i="2"/>
  <c r="AL574" i="2"/>
  <c r="AM574" i="2"/>
  <c r="AN574" i="2"/>
  <c r="AO574" i="2"/>
  <c r="AP574" i="2"/>
  <c r="AE575" i="2"/>
  <c r="AF575" i="2"/>
  <c r="AG575" i="2"/>
  <c r="AH575" i="2"/>
  <c r="AI575" i="2"/>
  <c r="AJ575" i="2"/>
  <c r="AK575" i="2"/>
  <c r="AL575" i="2"/>
  <c r="AM575" i="2"/>
  <c r="AN575" i="2"/>
  <c r="AO575" i="2"/>
  <c r="AP575" i="2"/>
  <c r="AE576" i="2"/>
  <c r="AF576" i="2"/>
  <c r="AG576" i="2"/>
  <c r="AH576" i="2"/>
  <c r="AI576" i="2"/>
  <c r="AJ576" i="2"/>
  <c r="AK576" i="2"/>
  <c r="AL576" i="2"/>
  <c r="AM576" i="2"/>
  <c r="AN576" i="2"/>
  <c r="AO576" i="2"/>
  <c r="AP576" i="2"/>
  <c r="AE577" i="2"/>
  <c r="AF577" i="2"/>
  <c r="AG577" i="2"/>
  <c r="AH577" i="2"/>
  <c r="AI577" i="2"/>
  <c r="AJ577" i="2"/>
  <c r="AK577" i="2"/>
  <c r="AL577" i="2"/>
  <c r="AM577" i="2"/>
  <c r="AN577" i="2"/>
  <c r="AO577" i="2"/>
  <c r="AP577" i="2"/>
  <c r="AE578" i="2"/>
  <c r="AF578" i="2"/>
  <c r="AG578" i="2"/>
  <c r="AH578" i="2"/>
  <c r="AI578" i="2"/>
  <c r="AJ578" i="2"/>
  <c r="AK578" i="2"/>
  <c r="AL578" i="2"/>
  <c r="AM578" i="2"/>
  <c r="AN578" i="2"/>
  <c r="AO578" i="2"/>
  <c r="AP578" i="2"/>
  <c r="AE579" i="2"/>
  <c r="AF579" i="2"/>
  <c r="AG579" i="2"/>
  <c r="AH579" i="2"/>
  <c r="AI579" i="2"/>
  <c r="AJ579" i="2"/>
  <c r="AK579" i="2"/>
  <c r="AL579" i="2"/>
  <c r="AM579" i="2"/>
  <c r="AN579" i="2"/>
  <c r="AO579" i="2"/>
  <c r="AP579" i="2"/>
  <c r="AE580" i="2"/>
  <c r="AF580" i="2"/>
  <c r="AG580" i="2"/>
  <c r="AH580" i="2"/>
  <c r="AI580" i="2"/>
  <c r="AJ580" i="2"/>
  <c r="AK580" i="2"/>
  <c r="AL580" i="2"/>
  <c r="AM580" i="2"/>
  <c r="AN580" i="2"/>
  <c r="AO580" i="2"/>
  <c r="AP580" i="2"/>
  <c r="AE581" i="2"/>
  <c r="AF581" i="2"/>
  <c r="AG581" i="2"/>
  <c r="AH581" i="2"/>
  <c r="AI581" i="2"/>
  <c r="AJ581" i="2"/>
  <c r="AK581" i="2"/>
  <c r="AL581" i="2"/>
  <c r="AM581" i="2"/>
  <c r="AN581" i="2"/>
  <c r="AO581" i="2"/>
  <c r="AP581" i="2"/>
  <c r="AE582" i="2"/>
  <c r="AF582" i="2"/>
  <c r="AG582" i="2"/>
  <c r="AH582" i="2"/>
  <c r="AI582" i="2"/>
  <c r="AJ582" i="2"/>
  <c r="AK582" i="2"/>
  <c r="AL582" i="2"/>
  <c r="AM582" i="2"/>
  <c r="AN582" i="2"/>
  <c r="AO582" i="2"/>
  <c r="AP582" i="2"/>
  <c r="AE583" i="2"/>
  <c r="AF583" i="2"/>
  <c r="AG583" i="2"/>
  <c r="AH583" i="2"/>
  <c r="AI583" i="2"/>
  <c r="AJ583" i="2"/>
  <c r="AK583" i="2"/>
  <c r="AL583" i="2"/>
  <c r="AM583" i="2"/>
  <c r="AN583" i="2"/>
  <c r="AO583" i="2"/>
  <c r="AP583" i="2"/>
  <c r="AE584" i="2"/>
  <c r="AF584" i="2"/>
  <c r="AG584" i="2"/>
  <c r="AH584" i="2"/>
  <c r="AI584" i="2"/>
  <c r="AJ584" i="2"/>
  <c r="AK584" i="2"/>
  <c r="AL584" i="2"/>
  <c r="AM584" i="2"/>
  <c r="AN584" i="2"/>
  <c r="AO584" i="2"/>
  <c r="AP584" i="2"/>
  <c r="AE585" i="2"/>
  <c r="AF585" i="2"/>
  <c r="AG585" i="2"/>
  <c r="AH585" i="2"/>
  <c r="AI585" i="2"/>
  <c r="AJ585" i="2"/>
  <c r="AK585" i="2"/>
  <c r="AL585" i="2"/>
  <c r="AM585" i="2"/>
  <c r="AN585" i="2"/>
  <c r="AO585" i="2"/>
  <c r="AP585" i="2"/>
  <c r="AE586" i="2"/>
  <c r="AF586" i="2"/>
  <c r="AG586" i="2"/>
  <c r="AH586" i="2"/>
  <c r="AI586" i="2"/>
  <c r="AJ586" i="2"/>
  <c r="AK586" i="2"/>
  <c r="AL586" i="2"/>
  <c r="AM586" i="2"/>
  <c r="AN586" i="2"/>
  <c r="AO586" i="2"/>
  <c r="AP586" i="2"/>
  <c r="AE587" i="2"/>
  <c r="AF587" i="2"/>
  <c r="AG587" i="2"/>
  <c r="AH587" i="2"/>
  <c r="AI587" i="2"/>
  <c r="AJ587" i="2"/>
  <c r="AK587" i="2"/>
  <c r="AL587" i="2"/>
  <c r="AM587" i="2"/>
  <c r="AN587" i="2"/>
  <c r="AO587" i="2"/>
  <c r="AP587" i="2"/>
  <c r="AE588" i="2"/>
  <c r="AF588" i="2"/>
  <c r="AG588" i="2"/>
  <c r="AH588" i="2"/>
  <c r="AI588" i="2"/>
  <c r="AJ588" i="2"/>
  <c r="AK588" i="2"/>
  <c r="AL588" i="2"/>
  <c r="AM588" i="2"/>
  <c r="AN588" i="2"/>
  <c r="AO588" i="2"/>
  <c r="AP588" i="2"/>
  <c r="AE589" i="2"/>
  <c r="AF589" i="2"/>
  <c r="AG589" i="2"/>
  <c r="AH589" i="2"/>
  <c r="AI589" i="2"/>
  <c r="AJ589" i="2"/>
  <c r="AK589" i="2"/>
  <c r="AL589" i="2"/>
  <c r="AM589" i="2"/>
  <c r="AN589" i="2"/>
  <c r="AO589" i="2"/>
  <c r="AP589" i="2"/>
  <c r="AF2" i="2"/>
  <c r="AG2" i="2"/>
  <c r="AH2" i="2"/>
  <c r="AI2" i="2"/>
  <c r="AJ2" i="2"/>
  <c r="AK2" i="2"/>
  <c r="AL2" i="2"/>
  <c r="AM2" i="2"/>
  <c r="AN2" i="2"/>
  <c r="AO2" i="2"/>
  <c r="AP2" i="2"/>
  <c r="L14" i="2" l="1"/>
  <c r="L15" i="2" s="1"/>
  <c r="D31" i="2"/>
  <c r="E31" i="2"/>
  <c r="E30" i="2"/>
  <c r="D30" i="2"/>
  <c r="M14" i="2"/>
  <c r="M15" i="2" s="1"/>
  <c r="E14" i="2"/>
  <c r="E15" i="2" s="1"/>
  <c r="I14" i="2"/>
  <c r="F14" i="2"/>
  <c r="F15" i="2" s="1"/>
  <c r="J14" i="2"/>
  <c r="J15" i="2" s="1"/>
  <c r="K14" i="2"/>
  <c r="K15" i="2" s="1"/>
  <c r="C14" i="2"/>
  <c r="C15" i="2" s="1"/>
  <c r="B14" i="2"/>
  <c r="B15" i="2" s="1"/>
  <c r="H14" i="2"/>
  <c r="H15" i="2" s="1"/>
  <c r="D14" i="2"/>
  <c r="D15" i="2" s="1"/>
  <c r="G14" i="2"/>
  <c r="G15" i="2" s="1"/>
  <c r="I15" i="2" l="1"/>
  <c r="A29" i="2" s="1"/>
  <c r="A30" i="2"/>
  <c r="B35" i="2" l="1"/>
  <c r="B3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5FF1B3-1F00-49A6-91A7-46CCEBE51B3F}" keepAlive="1" name="Lekérdezés - daily-treasury-rates" description="A munkafüzetben levő „daily-treasury-rates” lekérdezés kapcsolata" type="5" refreshedVersion="8" background="1" saveData="1">
    <dbPr connection="Provider=Microsoft.Mashup.OleDb.1;Data Source=$Workbook$;Location=daily-treasury-rates;Extended Properties=&quot;&quot;" command="SELECT * FROM [daily-treasury-rates]"/>
  </connection>
  <connection id="2" xr16:uid="{A7B27BC1-176A-4485-BD10-B566C8631F43}" keepAlive="1" name="Lekérdezés - daily-treasury-rates (1)" description="A munkafüzetben levő „daily-treasury-rates (1)” lekérdezés kapcsolata" type="5" refreshedVersion="0" background="1">
    <dbPr connection="Provider=Microsoft.Mashup.OleDb.1;Data Source=$Workbook$;Location=&quot;daily-treasury-rates (1)&quot;;Extended Properties=&quot;&quot;" command="SELECT * FROM [daily-treasury-rates (1)]"/>
  </connection>
  <connection id="3" xr16:uid="{183CB1BB-3A62-4AB9-81AA-D16AFC1E2AB9}" keepAlive="1" name="Lekérdezés - daily-treasury-rates (2)" description="A munkafüzetben levő „daily-treasury-rates (2)” lekérdezés kapcsolata" type="5" refreshedVersion="0" background="1">
    <dbPr connection="Provider=Microsoft.Mashup.OleDb.1;Data Source=$Workbook$;Location=&quot;daily-treasury-rates (2)&quot;;Extended Properties=&quot;&quot;" command="SELECT * FROM [daily-treasury-rates (2)]"/>
  </connection>
  <connection id="4" xr16:uid="{21A57943-6C8E-460F-9508-3B4ED28B56B5}" keepAlive="1" name="Lekérdezés - daily-treasury-rates (3)" description="A munkafüzetben levő „daily-treasury-rates (3)” lekérdezés kapcsolata" type="5" refreshedVersion="8" background="1" saveData="1">
    <dbPr connection="Provider=Microsoft.Mashup.OleDb.1;Data Source=$Workbook$;Location=&quot;daily-treasury-rates (3)&quot;;Extended Properties=&quot;&quot;" command="SELECT * FROM [daily-treasury-rates (3)]"/>
  </connection>
  <connection id="5" xr16:uid="{0AAC51D8-5C21-4748-A14F-3BC8973961A1}" keepAlive="1" name="Lekérdezés - daily-treasury-rates (4)" description="A munkafüzetben levő „daily-treasury-rates (4)” lekérdezés kapcsolata" type="5" refreshedVersion="0" background="1">
    <dbPr connection="Provider=Microsoft.Mashup.OleDb.1;Data Source=$Workbook$;Location=&quot;daily-treasury-rates (4)&quot;;Extended Properties=&quot;&quot;" command="SELECT * FROM [daily-treasury-rates (4)]"/>
  </connection>
  <connection id="6" xr16:uid="{CB7349CA-4D6E-4A03-A61C-676F75CC2C4E}" keepAlive="1" name="Lekérdezés - daily-treasury-rates (5)" description="A munkafüzetben levő „daily-treasury-rates (5)” lekérdezés kapcsolata" type="5" refreshedVersion="8" background="1" saveData="1">
    <dbPr connection="Provider=Microsoft.Mashup.OleDb.1;Data Source=$Workbook$;Location=&quot;daily-treasury-rates (5)&quot;;Extended Properties=&quot;&quot;" command="SELECT * FROM [daily-treasury-rates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<sst xmlns="http://schemas.openxmlformats.org/spreadsheetml/2006/main" count="70" uniqueCount="42">
  <si>
    <t>Date</t>
  </si>
  <si>
    <t>1 Mo</t>
  </si>
  <si>
    <t>2 Mo</t>
  </si>
  <si>
    <t>3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</si>
  <si>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</si>
  <si>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</si>
  <si>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</si>
  <si>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</si>
  <si>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</si>
  <si>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</si>
  <si>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</si>
  <si>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</si>
  <si>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</si>
  <si>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"Bond price volatility"</t>
  </si>
  <si>
    <t>Volatility of daily yield change</t>
  </si>
  <si>
    <t>Daily yield changes</t>
  </si>
  <si>
    <t>w(i)</t>
  </si>
  <si>
    <t>w(i)*"Bond price volatility"</t>
  </si>
  <si>
    <t>"Correlation matrix" (just for these 2 yields)</t>
  </si>
  <si>
    <t>Volatility of yield (not used for vaR)</t>
  </si>
  <si>
    <t>Maturity in years (of zero-coupon bonds)</t>
  </si>
  <si>
    <t>Total</t>
  </si>
  <si>
    <t>PV</t>
  </si>
  <si>
    <t>5-yr</t>
  </si>
  <si>
    <t>7-yr</t>
  </si>
  <si>
    <t>Standard deviation of portfolio value change</t>
  </si>
  <si>
    <t>Multiplier ("z-score") for VaR (1 day, 99%)</t>
  </si>
  <si>
    <t>VaR (1 day, 99%)</t>
  </si>
  <si>
    <t>VaR in USD</t>
  </si>
  <si>
    <t>In the Hull book example, referred to in Lecture 3 slide 21, the used fictious values of 0,5% and 0,58% are indeed near to the most current estimates of 0,45% and 0,6%</t>
  </si>
  <si>
    <t>To calculate VaR, we need to apply the formula on s16 from Lecture 2; using the above "bond price volatilities" for "sigma" in the formula</t>
  </si>
  <si>
    <t xml:space="preserve">As the yields belong to "theoretical" 5 yr and 7 yr zero-coupon bonds, to calculate the effect of yield changes to bond prices correctly, we should following the logic of slide 13 of Lecture 3, </t>
  </si>
  <si>
    <t xml:space="preserve">and multiply the volatility of the yield change by their price sensitivity, which is their maturity (as for zero coupons, a bond's duration is the same as its maturity, this can cause mix of terms) </t>
  </si>
  <si>
    <t>To see an example, here is a calculation on US Treasury data</t>
  </si>
  <si>
    <t>Source: https://home.treasury.gov/resource-center/data-chart-center/interest-rates/TextView?type=daily_treasury_yield_curve&amp;field_tdr_date_value_month=202305</t>
  </si>
  <si>
    <t>US Treasury Par Yield Curve Rates</t>
  </si>
  <si>
    <t>Yield curve points</t>
  </si>
  <si>
    <t>So the term "bond price volatilities" refers to the daily yield changes for the yield curve points mentioned (5 yr and 7 yr), multiplied by the maturity of that yield curve point</t>
  </si>
  <si>
    <t>In the Hull book example referred to in Lecture 3 slide 19, "volatility for the bond price" values are used for CF mapping - and then later in the book also for vaR calculation. But what are these exactly?</t>
  </si>
  <si>
    <t>To perform a VaR calculation, let's take Hull book example as a very simple "mapped bond portfolio" (mapped to the standard yields (=zero-coupon bonds)), and use the numbers from L3 slide21:</t>
  </si>
  <si>
    <t>As you can see, there is no need to multiply by some "duration" again here at this stage/in case of portfolio CF mapping, as bond price sensitivity/"delta" has already been taken into account in the "bond price volatility"</t>
  </si>
  <si>
    <t>Terms used in bond VaR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</si>
</sst>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0" borderId="1" xfId="0" applyFont="1" applyBorder="1"/>
    <xf numFmtId="165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4" fillId="0" borderId="0" xfId="0" applyFont="1" applyAlignment="1">
      <alignment wrapText="1"/>
    </xf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10" fontId="0" fillId="0" borderId="0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10" xfId="1" applyNumberFormat="1" applyFont="1" applyBorder="1"/>
    <xf numFmtId="0" fontId="2" fillId="2" borderId="6" xfId="0" applyFont="1" applyFill="1" applyBorder="1"/>
    <xf numFmtId="0" fontId="0" fillId="0" borderId="7" xfId="0" applyBorder="1"/>
    <xf numFmtId="165" fontId="0" fillId="0" borderId="3" xfId="0" applyNumberFormat="1" applyBorder="1"/>
    <xf numFmtId="165" fontId="0" fillId="0" borderId="7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0" fontId="0" fillId="3" borderId="9" xfId="1" applyNumberFormat="1" applyFont="1" applyFill="1" applyBorder="1"/>
    <xf numFmtId="164" fontId="0" fillId="0" borderId="0" xfId="0" applyNumberForma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8" xfId="0" applyFont="1" applyFill="1" applyBorder="1"/>
    <xf numFmtId="165" fontId="0" fillId="0" borderId="14" xfId="0" applyNumberFormat="1" applyBorder="1"/>
    <xf numFmtId="165" fontId="0" fillId="0" borderId="15" xfId="0" applyNumberFormat="1" applyBorder="1"/>
    <xf numFmtId="0" fontId="3" fillId="0" borderId="8" xfId="0" applyFont="1" applyBorder="1"/>
    <xf numFmtId="165" fontId="0" fillId="0" borderId="4" xfId="0" applyNumberFormat="1" applyBorder="1"/>
    <xf numFmtId="165" fontId="0" fillId="0" borderId="5" xfId="0" applyNumberFormat="1" applyBorder="1"/>
    <xf numFmtId="1" fontId="0" fillId="0" borderId="0" xfId="0" applyNumberFormat="1"/>
    <xf numFmtId="1" fontId="0" fillId="0" borderId="9" xfId="0" applyNumberFormat="1" applyBorder="1"/>
  </cellXfs>
  <cellStyles count="2">
    <cellStyle name="Normál" xfId="0" builtinId="0"/>
    <cellStyle name="Százalék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B26FDE-587F-4C9E-A9BE-FC36E1B6807F}" autoFormatId="16" applyNumberFormats="0" applyBorderFormats="0" applyFontFormats="0" applyPatternFormats="0" applyAlignmentFormats="0" applyWidthHeightFormats="0">
  <queryTableRefresh nextId="15">
    <queryTableFields count="13">
      <queryTableField id="1" name="Date" tableColumnId="1"/>
      <queryTableField id="2" name="1 Mo" tableColumnId="2"/>
      <queryTableField id="3" name="2 Mo" tableColumnId="3"/>
      <queryTableField id="4" name="3 Mo" tableColumnId="4"/>
      <queryTableField id="6" name="6 Mo" tableColumnId="6"/>
      <queryTableField id="7" name="1 Yr" tableColumnId="7"/>
      <queryTableField id="8" name="2 Yr" tableColumnId="8"/>
      <queryTableField id="9" name="3 Yr" tableColumnId="9"/>
      <queryTableField id="10" name="5 Yr" tableColumnId="10"/>
      <queryTableField id="11" name="7 Yr" tableColumnId="11"/>
      <queryTableField id="12" name="10 Yr" tableColumnId="12"/>
      <queryTableField id="13" name="20 Yr" tableColumnId="13"/>
      <queryTableField id="14" name="30 Yr" tableColumnId="14"/>
    </queryTableFields>
    <queryTableDeletedFields count="1">
      <deletedField name="4 M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D7E29-966F-4A0D-8372-B353EE2AC727}" name="Táblázat_daily_treasury_rates" displayName="Táblázat_daily_treasury_rates" ref="Q1:AC841" tableType="queryTable" totalsRowShown="0">
  <autoFilter ref="Q1:AC841" xr:uid="{1D0D7E29-966F-4A0D-8372-B353EE2AC727}"/>
  <tableColumns count="13">
    <tableColumn id="1" xr3:uid="{02B726F5-A3CB-4776-8C03-582F0E7DE594}" uniqueName="1" name="Date" queryTableFieldId="1" dataDxfId="12"/>
    <tableColumn id="2" xr3:uid="{B8E69FE4-A025-437B-AA0F-1250A1BE83B2}" uniqueName="2" name="1 Mo" queryTableFieldId="2" dataDxfId="11"/>
    <tableColumn id="3" xr3:uid="{E3F86DB5-191C-499B-B160-1C5B90F59DAA}" uniqueName="3" name="2 Mo" queryTableFieldId="3" dataDxfId="10"/>
    <tableColumn id="4" xr3:uid="{DBC8FE35-F499-45D6-ABF6-6ADDB85B86B5}" uniqueName="4" name="3 Mo" queryTableFieldId="4" dataDxfId="9"/>
    <tableColumn id="6" xr3:uid="{5BB363F1-A41A-424A-85D3-9F44AF60DE7D}" uniqueName="6" name="6 Mo" queryTableFieldId="6" dataDxfId="8"/>
    <tableColumn id="7" xr3:uid="{D5263AD8-4E03-416D-96A0-FF23F971B141}" uniqueName="7" name="1 Yr" queryTableFieldId="7" dataDxfId="7"/>
    <tableColumn id="8" xr3:uid="{EBEAB47E-6AA0-4525-8215-040A7AFD2322}" uniqueName="8" name="2 Yr" queryTableFieldId="8" dataDxfId="6"/>
    <tableColumn id="9" xr3:uid="{F63BD3D0-8585-4EA1-83A6-1A47279EE26F}" uniqueName="9" name="3 Yr" queryTableFieldId="9" dataDxfId="5"/>
    <tableColumn id="10" xr3:uid="{356B23C1-668C-402F-9069-F86E3A915892}" uniqueName="10" name="5 Yr" queryTableFieldId="10" dataDxfId="4"/>
    <tableColumn id="11" xr3:uid="{857648A0-651D-46DA-8121-3AEBE1E3DB8F}" uniqueName="11" name="7 Yr" queryTableFieldId="11" dataDxfId="3"/>
    <tableColumn id="12" xr3:uid="{2F4B1DCF-CFC1-493A-9DED-C3A229030AC2}" uniqueName="12" name="10 Yr" queryTableFieldId="12" dataDxfId="2"/>
    <tableColumn id="13" xr3:uid="{254C6FAD-1F47-41CB-81DB-A6C121B4094A}" uniqueName="13" name="20 Yr" queryTableFieldId="13" dataDxfId="1"/>
    <tableColumn id="14" xr3:uid="{AE71D179-A4D8-4D0B-BDF1-CD46684CF573}" uniqueName="14" name="30 Yr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96D4-EEBE-4F8E-89E7-132B9A4AE7E2}">
  <dimension ref="A1:AQ841"/>
  <sheetViews>
    <sheetView tabSelected="1" workbookViewId="0">
      <selection activeCell="A2" sqref="A2"/>
    </sheetView>
  </sheetViews>
  <sheetFormatPr defaultRowHeight="15" x14ac:dyDescent="0.25"/>
  <cols>
    <col min="1" max="1" width="40.140625" customWidth="1"/>
    <col min="2" max="2" width="13.42578125" bestFit="1" customWidth="1"/>
    <col min="3" max="5" width="10.5703125" bestFit="1" customWidth="1"/>
    <col min="6" max="6" width="10.5703125" customWidth="1"/>
    <col min="7" max="10" width="10.5703125" bestFit="1" customWidth="1"/>
    <col min="11" max="13" width="11.5703125" bestFit="1" customWidth="1"/>
    <col min="16" max="16" width="11.5703125" customWidth="1"/>
    <col min="17" max="17" width="10.140625" bestFit="1" customWidth="1"/>
    <col min="18" max="21" width="7.7109375" bestFit="1" customWidth="1"/>
    <col min="22" max="26" width="6.5703125" bestFit="1" customWidth="1"/>
    <col min="27" max="29" width="7.5703125" bestFit="1" customWidth="1"/>
    <col min="30" max="30" width="9.28515625" customWidth="1"/>
  </cols>
  <sheetData>
    <row r="1" spans="1:43" ht="60" x14ac:dyDescent="0.25">
      <c r="A1" s="27" t="s">
        <v>41</v>
      </c>
      <c r="P1" s="11" t="s">
        <v>35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s="11" t="s">
        <v>15</v>
      </c>
      <c r="AE1" s="2" t="s">
        <v>1</v>
      </c>
      <c r="AF1" s="2" t="s">
        <v>2</v>
      </c>
      <c r="AG1" s="2" t="s">
        <v>3</v>
      </c>
      <c r="AH1" s="2" t="s">
        <v>4</v>
      </c>
      <c r="AI1" s="2" t="s">
        <v>5</v>
      </c>
      <c r="AJ1" s="2" t="s">
        <v>6</v>
      </c>
      <c r="AK1" s="2" t="s">
        <v>7</v>
      </c>
      <c r="AL1" s="2" t="s">
        <v>8</v>
      </c>
      <c r="AM1" s="2" t="s">
        <v>9</v>
      </c>
      <c r="AN1" s="2" t="s">
        <v>10</v>
      </c>
      <c r="AO1" s="2" t="s">
        <v>11</v>
      </c>
      <c r="AP1" s="3" t="s">
        <v>12</v>
      </c>
      <c r="AQ1" s="4"/>
    </row>
    <row r="2" spans="1:43" x14ac:dyDescent="0.25">
      <c r="Q2" s="1">
        <v>45054</v>
      </c>
      <c r="R2">
        <v>5.5099999999999996E-2</v>
      </c>
      <c r="S2">
        <v>5.1699999999999996E-2</v>
      </c>
      <c r="T2">
        <v>5.3099999999999994E-2</v>
      </c>
      <c r="U2">
        <v>5.1399999999999994E-2</v>
      </c>
      <c r="V2">
        <v>4.7899999999999998E-2</v>
      </c>
      <c r="W2">
        <v>0.04</v>
      </c>
      <c r="X2">
        <v>3.7000000000000005E-2</v>
      </c>
      <c r="Y2">
        <v>3.49E-2</v>
      </c>
      <c r="Z2">
        <v>3.5000000000000003E-2</v>
      </c>
      <c r="AA2">
        <v>3.5200000000000002E-2</v>
      </c>
      <c r="AB2">
        <v>3.9199999999999999E-2</v>
      </c>
      <c r="AC2">
        <v>3.8399999999999997E-2</v>
      </c>
      <c r="AE2">
        <f t="shared" ref="AE2:AP2" si="0">R2-R3</f>
        <v>-8.000000000000021E-4</v>
      </c>
      <c r="AF2">
        <f t="shared" si="0"/>
        <v>-6.0000000000001025E-4</v>
      </c>
      <c r="AG2">
        <f t="shared" si="0"/>
        <v>4.9999999999999351E-4</v>
      </c>
      <c r="AH2">
        <f t="shared" si="0"/>
        <v>9.9999999999995925E-5</v>
      </c>
      <c r="AI2">
        <f t="shared" si="0"/>
        <v>5.9999999999999637E-4</v>
      </c>
      <c r="AJ2">
        <f t="shared" si="0"/>
        <v>8.000000000000021E-4</v>
      </c>
      <c r="AK2">
        <f t="shared" si="0"/>
        <v>7.0000000000000617E-4</v>
      </c>
      <c r="AL2">
        <f t="shared" si="0"/>
        <v>8.000000000000021E-4</v>
      </c>
      <c r="AM2">
        <f t="shared" si="0"/>
        <v>9.0000000000000496E-4</v>
      </c>
      <c r="AN2">
        <f t="shared" si="0"/>
        <v>8.000000000000021E-4</v>
      </c>
      <c r="AO2">
        <f t="shared" si="0"/>
        <v>6.9999999999999923E-4</v>
      </c>
      <c r="AP2">
        <f t="shared" si="0"/>
        <v>8.000000000000021E-4</v>
      </c>
    </row>
    <row r="3" spans="1:43" x14ac:dyDescent="0.25">
      <c r="A3" t="s">
        <v>38</v>
      </c>
      <c r="Q3" s="1">
        <v>45051</v>
      </c>
      <c r="R3">
        <v>5.5899999999999998E-2</v>
      </c>
      <c r="S3">
        <v>5.2300000000000006E-2</v>
      </c>
      <c r="T3">
        <v>5.2600000000000001E-2</v>
      </c>
      <c r="U3">
        <v>5.1299999999999998E-2</v>
      </c>
      <c r="V3">
        <v>4.7300000000000002E-2</v>
      </c>
      <c r="W3">
        <v>3.9199999999999999E-2</v>
      </c>
      <c r="X3">
        <v>3.6299999999999999E-2</v>
      </c>
      <c r="Y3">
        <v>3.4099999999999998E-2</v>
      </c>
      <c r="Z3">
        <v>3.4099999999999998E-2</v>
      </c>
      <c r="AA3">
        <v>3.44E-2</v>
      </c>
      <c r="AB3">
        <v>3.85E-2</v>
      </c>
      <c r="AC3">
        <v>3.7599999999999995E-2</v>
      </c>
      <c r="AE3">
        <f t="shared" ref="AE3:AP3" si="1">R3-R5</f>
        <v>-1.7000000000000001E-3</v>
      </c>
      <c r="AF3">
        <f t="shared" si="1"/>
        <v>-9.9999999999995925E-5</v>
      </c>
      <c r="AG3">
        <f t="shared" si="1"/>
        <v>0</v>
      </c>
      <c r="AH3">
        <f t="shared" si="1"/>
        <v>8.9999999999999802E-4</v>
      </c>
      <c r="AI3">
        <f t="shared" si="1"/>
        <v>1.4000000000000054E-3</v>
      </c>
      <c r="AJ3">
        <f t="shared" si="1"/>
        <v>1.7000000000000001E-3</v>
      </c>
      <c r="AK3">
        <f t="shared" si="1"/>
        <v>1.5999999999999973E-3</v>
      </c>
      <c r="AL3">
        <f t="shared" si="1"/>
        <v>1.1999999999999997E-3</v>
      </c>
      <c r="AM3">
        <f t="shared" si="1"/>
        <v>8.9999999999999802E-4</v>
      </c>
      <c r="AN3">
        <f t="shared" si="1"/>
        <v>6.9999999999999923E-4</v>
      </c>
      <c r="AO3">
        <f t="shared" si="1"/>
        <v>5.0000000000000044E-4</v>
      </c>
      <c r="AP3">
        <f t="shared" si="1"/>
        <v>2.9999999999999472E-4</v>
      </c>
    </row>
    <row r="4" spans="1:43" x14ac:dyDescent="0.25">
      <c r="A4" t="s">
        <v>31</v>
      </c>
      <c r="Q4" s="1"/>
    </row>
    <row r="5" spans="1:43" x14ac:dyDescent="0.25">
      <c r="A5" t="s">
        <v>32</v>
      </c>
      <c r="Q5" s="1">
        <v>45050</v>
      </c>
      <c r="R5">
        <v>5.7599999999999998E-2</v>
      </c>
      <c r="S5">
        <v>5.2400000000000002E-2</v>
      </c>
      <c r="T5">
        <v>5.2600000000000001E-2</v>
      </c>
      <c r="U5">
        <v>5.04E-2</v>
      </c>
      <c r="V5">
        <v>4.5899999999999996E-2</v>
      </c>
      <c r="W5">
        <v>3.7499999999999999E-2</v>
      </c>
      <c r="X5">
        <v>3.4700000000000002E-2</v>
      </c>
      <c r="Y5">
        <v>3.2899999999999999E-2</v>
      </c>
      <c r="Z5">
        <v>3.32E-2</v>
      </c>
      <c r="AA5">
        <v>3.3700000000000001E-2</v>
      </c>
      <c r="AB5">
        <v>3.7999999999999999E-2</v>
      </c>
      <c r="AC5">
        <v>3.73E-2</v>
      </c>
      <c r="AE5">
        <f t="shared" ref="AE5:AE68" si="2">R5-R6</f>
        <v>1.0599999999999998E-2</v>
      </c>
      <c r="AF5">
        <f t="shared" ref="AF5:AF68" si="3">S5-S6</f>
        <v>-8.9999999999999802E-4</v>
      </c>
      <c r="AG5">
        <f t="shared" ref="AG5:AG68" si="4">T5-T6</f>
        <v>0</v>
      </c>
      <c r="AH5">
        <f t="shared" ref="AH5:AH68" si="5">U5-U6</f>
        <v>-3.9999999999999758E-4</v>
      </c>
      <c r="AI5">
        <f t="shared" ref="AI5:AI68" si="6">V5-V6</f>
        <v>-1.1000000000000038E-3</v>
      </c>
      <c r="AJ5">
        <f t="shared" ref="AJ5:AJ68" si="7">W5-W6</f>
        <v>-1.4000000000000054E-3</v>
      </c>
      <c r="AK5">
        <f t="shared" ref="AK5:AK68" si="8">X5-X6</f>
        <v>-1.0999999999999968E-3</v>
      </c>
      <c r="AL5">
        <f t="shared" ref="AL5:AL68" si="9">Y5-Y6</f>
        <v>-8.000000000000021E-4</v>
      </c>
      <c r="AM5">
        <f t="shared" ref="AM5:AM68" si="10">Z5-Z6</f>
        <v>-5.0000000000000044E-4</v>
      </c>
      <c r="AN5">
        <f t="shared" ref="AN5:AN68" si="11">AA5-AA6</f>
        <v>-9.9999999999995925E-5</v>
      </c>
      <c r="AO5">
        <f t="shared" ref="AO5:AO68" si="12">AB5-AB6</f>
        <v>9.9999999999995925E-5</v>
      </c>
      <c r="AP5">
        <f t="shared" ref="AP5:AP68" si="13">AC5-AC6</f>
        <v>2.9999999999999472E-4</v>
      </c>
    </row>
    <row r="6" spans="1:43" x14ac:dyDescent="0.25">
      <c r="A6" s="28" t="s">
        <v>37</v>
      </c>
      <c r="Q6" s="1">
        <v>45049</v>
      </c>
      <c r="R6">
        <v>4.7E-2</v>
      </c>
      <c r="S6">
        <v>5.33E-2</v>
      </c>
      <c r="T6">
        <v>5.2600000000000001E-2</v>
      </c>
      <c r="U6">
        <v>5.0799999999999998E-2</v>
      </c>
      <c r="V6">
        <v>4.7E-2</v>
      </c>
      <c r="W6">
        <v>3.8900000000000004E-2</v>
      </c>
      <c r="X6">
        <v>3.5799999999999998E-2</v>
      </c>
      <c r="Y6">
        <v>3.3700000000000001E-2</v>
      </c>
      <c r="Z6">
        <v>3.3700000000000001E-2</v>
      </c>
      <c r="AA6">
        <v>3.3799999999999997E-2</v>
      </c>
      <c r="AB6">
        <v>3.7900000000000003E-2</v>
      </c>
      <c r="AC6">
        <v>3.7000000000000005E-2</v>
      </c>
      <c r="AE6">
        <f t="shared" si="2"/>
        <v>1.4000000000000054E-3</v>
      </c>
      <c r="AF6">
        <f t="shared" si="3"/>
        <v>0</v>
      </c>
      <c r="AG6">
        <f t="shared" si="4"/>
        <v>1.9999999999999879E-4</v>
      </c>
      <c r="AH6">
        <f t="shared" si="5"/>
        <v>1.9999999999999879E-4</v>
      </c>
      <c r="AI6">
        <f t="shared" si="6"/>
        <v>-4.0000000000000452E-4</v>
      </c>
      <c r="AJ6">
        <f t="shared" si="7"/>
        <v>-7.9999999999999516E-4</v>
      </c>
      <c r="AK6">
        <f t="shared" si="8"/>
        <v>-8.9999999999999802E-4</v>
      </c>
      <c r="AL6">
        <f t="shared" si="9"/>
        <v>-8.9999999999999802E-4</v>
      </c>
      <c r="AM6">
        <f t="shared" si="10"/>
        <v>-6.9999999999999923E-4</v>
      </c>
      <c r="AN6">
        <f t="shared" si="11"/>
        <v>-6.0000000000000331E-4</v>
      </c>
      <c r="AO6">
        <f t="shared" si="12"/>
        <v>-2.9999999999999472E-4</v>
      </c>
      <c r="AP6">
        <f t="shared" si="13"/>
        <v>-1.9999999999999879E-4</v>
      </c>
    </row>
    <row r="7" spans="1:43" x14ac:dyDescent="0.25">
      <c r="Q7" s="1">
        <v>45048</v>
      </c>
      <c r="R7">
        <v>4.5599999999999995E-2</v>
      </c>
      <c r="S7">
        <v>5.33E-2</v>
      </c>
      <c r="T7">
        <v>5.2400000000000002E-2</v>
      </c>
      <c r="U7">
        <v>5.0599999999999999E-2</v>
      </c>
      <c r="V7">
        <v>4.7400000000000005E-2</v>
      </c>
      <c r="W7">
        <v>3.9699999999999999E-2</v>
      </c>
      <c r="X7">
        <v>3.6699999999999997E-2</v>
      </c>
      <c r="Y7">
        <v>3.4599999999999999E-2</v>
      </c>
      <c r="Z7">
        <v>3.44E-2</v>
      </c>
      <c r="AA7">
        <v>3.44E-2</v>
      </c>
      <c r="AB7">
        <v>3.8199999999999998E-2</v>
      </c>
      <c r="AC7">
        <v>3.7200000000000004E-2</v>
      </c>
      <c r="AE7">
        <f t="shared" si="2"/>
        <v>6.999999999999923E-4</v>
      </c>
      <c r="AF7">
        <f t="shared" si="3"/>
        <v>1.6000000000000042E-3</v>
      </c>
      <c r="AG7">
        <f t="shared" si="4"/>
        <v>-2.9999999999999472E-4</v>
      </c>
      <c r="AH7">
        <f t="shared" si="5"/>
        <v>-7.9999999999999516E-4</v>
      </c>
      <c r="AI7">
        <f t="shared" si="6"/>
        <v>-1.1999999999999997E-3</v>
      </c>
      <c r="AJ7">
        <f t="shared" si="7"/>
        <v>-1.7000000000000001E-3</v>
      </c>
      <c r="AK7">
        <f t="shared" si="8"/>
        <v>-1.800000000000003E-3</v>
      </c>
      <c r="AL7">
        <f t="shared" si="9"/>
        <v>-1.800000000000003E-3</v>
      </c>
      <c r="AM7">
        <f t="shared" si="10"/>
        <v>-1.800000000000003E-3</v>
      </c>
      <c r="AN7">
        <f t="shared" si="11"/>
        <v>-1.5000000000000013E-3</v>
      </c>
      <c r="AO7">
        <f t="shared" si="12"/>
        <v>-1.3000000000000025E-3</v>
      </c>
      <c r="AP7">
        <f t="shared" si="13"/>
        <v>-1.1999999999999927E-3</v>
      </c>
    </row>
    <row r="8" spans="1:43" x14ac:dyDescent="0.25">
      <c r="A8" t="s">
        <v>33</v>
      </c>
      <c r="Q8" s="1">
        <v>45047</v>
      </c>
      <c r="R8">
        <v>4.4900000000000002E-2</v>
      </c>
      <c r="S8">
        <v>5.1699999999999996E-2</v>
      </c>
      <c r="T8">
        <v>5.2699999999999997E-2</v>
      </c>
      <c r="U8">
        <v>5.1399999999999994E-2</v>
      </c>
      <c r="V8">
        <v>4.8600000000000004E-2</v>
      </c>
      <c r="W8">
        <v>4.1399999999999999E-2</v>
      </c>
      <c r="X8">
        <v>3.85E-2</v>
      </c>
      <c r="Y8">
        <v>3.6400000000000002E-2</v>
      </c>
      <c r="Z8">
        <v>3.6200000000000003E-2</v>
      </c>
      <c r="AA8">
        <v>3.5900000000000001E-2</v>
      </c>
      <c r="AB8">
        <v>3.95E-2</v>
      </c>
      <c r="AC8">
        <v>3.8399999999999997E-2</v>
      </c>
      <c r="AE8">
        <f t="shared" si="2"/>
        <v>1.4000000000000054E-3</v>
      </c>
      <c r="AF8">
        <f t="shared" si="3"/>
        <v>3.0000000000000165E-4</v>
      </c>
      <c r="AG8">
        <f t="shared" si="4"/>
        <v>1.7000000000000001E-3</v>
      </c>
      <c r="AH8">
        <f t="shared" si="5"/>
        <v>7.9999999999999516E-4</v>
      </c>
      <c r="AI8">
        <f t="shared" si="6"/>
        <v>6.0000000000000331E-4</v>
      </c>
      <c r="AJ8">
        <f t="shared" si="7"/>
        <v>1.0000000000000009E-3</v>
      </c>
      <c r="AK8">
        <f t="shared" si="8"/>
        <v>1.0000000000000009E-3</v>
      </c>
      <c r="AL8">
        <f t="shared" si="9"/>
        <v>1.3000000000000025E-3</v>
      </c>
      <c r="AM8">
        <f t="shared" si="10"/>
        <v>1.3000000000000025E-3</v>
      </c>
      <c r="AN8">
        <f t="shared" si="11"/>
        <v>1.5000000000000013E-3</v>
      </c>
      <c r="AO8">
        <f t="shared" si="12"/>
        <v>1.5000000000000013E-3</v>
      </c>
      <c r="AP8">
        <f t="shared" si="13"/>
        <v>1.7000000000000001E-3</v>
      </c>
    </row>
    <row r="9" spans="1:43" x14ac:dyDescent="0.25">
      <c r="A9" t="s">
        <v>34</v>
      </c>
      <c r="Q9" s="1">
        <v>45044</v>
      </c>
      <c r="R9">
        <v>4.3499999999999997E-2</v>
      </c>
      <c r="S9">
        <v>5.1399999999999994E-2</v>
      </c>
      <c r="T9">
        <v>5.0999999999999997E-2</v>
      </c>
      <c r="U9">
        <v>5.0599999999999999E-2</v>
      </c>
      <c r="V9">
        <v>4.8000000000000001E-2</v>
      </c>
      <c r="W9">
        <v>4.0399999999999998E-2</v>
      </c>
      <c r="X9">
        <v>3.7499999999999999E-2</v>
      </c>
      <c r="Y9">
        <v>3.5099999999999999E-2</v>
      </c>
      <c r="Z9">
        <v>3.49E-2</v>
      </c>
      <c r="AA9">
        <v>3.44E-2</v>
      </c>
      <c r="AB9">
        <v>3.7999999999999999E-2</v>
      </c>
      <c r="AC9">
        <v>3.6699999999999997E-2</v>
      </c>
      <c r="AE9">
        <f t="shared" si="2"/>
        <v>8.000000000000021E-4</v>
      </c>
      <c r="AF9">
        <f t="shared" si="3"/>
        <v>9.9999999999995925E-5</v>
      </c>
      <c r="AG9">
        <f t="shared" si="4"/>
        <v>-8.000000000000021E-4</v>
      </c>
      <c r="AH9">
        <f t="shared" si="5"/>
        <v>1.0000000000000286E-4</v>
      </c>
      <c r="AI9">
        <f t="shared" si="6"/>
        <v>1.9999999999999879E-4</v>
      </c>
      <c r="AJ9">
        <f t="shared" si="7"/>
        <v>-3.0000000000000165E-4</v>
      </c>
      <c r="AK9">
        <f t="shared" si="8"/>
        <v>-6.9999999999999923E-4</v>
      </c>
      <c r="AL9">
        <f t="shared" si="9"/>
        <v>-9.0000000000000496E-4</v>
      </c>
      <c r="AM9">
        <f t="shared" si="10"/>
        <v>-7.9999999999999516E-4</v>
      </c>
      <c r="AN9">
        <f t="shared" si="11"/>
        <v>-8.9999999999999802E-4</v>
      </c>
      <c r="AO9">
        <f t="shared" si="12"/>
        <v>-8.000000000000021E-4</v>
      </c>
      <c r="AP9">
        <f t="shared" si="13"/>
        <v>-8.9999999999999802E-4</v>
      </c>
    </row>
    <row r="10" spans="1:43" ht="15.75" thickBot="1" x14ac:dyDescent="0.3">
      <c r="Q10" s="1">
        <v>45043</v>
      </c>
      <c r="R10">
        <v>4.2699999999999995E-2</v>
      </c>
      <c r="S10">
        <v>5.1299999999999998E-2</v>
      </c>
      <c r="T10">
        <v>5.1799999999999999E-2</v>
      </c>
      <c r="U10">
        <v>5.0499999999999996E-2</v>
      </c>
      <c r="V10">
        <v>4.7800000000000002E-2</v>
      </c>
      <c r="W10">
        <v>4.07E-2</v>
      </c>
      <c r="X10">
        <v>3.8199999999999998E-2</v>
      </c>
      <c r="Y10">
        <v>3.6000000000000004E-2</v>
      </c>
      <c r="Z10">
        <v>3.5699999999999996E-2</v>
      </c>
      <c r="AA10">
        <v>3.5299999999999998E-2</v>
      </c>
      <c r="AB10">
        <v>3.8800000000000001E-2</v>
      </c>
      <c r="AC10">
        <v>3.7599999999999995E-2</v>
      </c>
      <c r="AE10">
        <f t="shared" si="2"/>
        <v>3.5999999999999921E-3</v>
      </c>
      <c r="AF10">
        <f t="shared" si="3"/>
        <v>5.9999999999999637E-4</v>
      </c>
      <c r="AG10">
        <f t="shared" si="4"/>
        <v>1.9999999999999879E-4</v>
      </c>
      <c r="AH10">
        <f t="shared" si="5"/>
        <v>4.9999999999999351E-4</v>
      </c>
      <c r="AI10">
        <f t="shared" si="6"/>
        <v>1.4000000000000054E-3</v>
      </c>
      <c r="AJ10">
        <f t="shared" si="7"/>
        <v>1.7000000000000001E-3</v>
      </c>
      <c r="AK10">
        <f t="shared" si="8"/>
        <v>1.7000000000000001E-3</v>
      </c>
      <c r="AL10">
        <f t="shared" si="9"/>
        <v>1.4000000000000054E-3</v>
      </c>
      <c r="AM10">
        <f t="shared" si="10"/>
        <v>1.1999999999999927E-3</v>
      </c>
      <c r="AN10">
        <f t="shared" si="11"/>
        <v>9.9999999999999395E-4</v>
      </c>
      <c r="AO10">
        <f t="shared" si="12"/>
        <v>6.9999999999999923E-4</v>
      </c>
      <c r="AP10">
        <f t="shared" si="13"/>
        <v>5.9999999999998943E-4</v>
      </c>
    </row>
    <row r="11" spans="1:43" x14ac:dyDescent="0.25">
      <c r="A11" s="12" t="s">
        <v>36</v>
      </c>
      <c r="B11" s="13" t="s">
        <v>1</v>
      </c>
      <c r="C11" s="13" t="s">
        <v>2</v>
      </c>
      <c r="D11" s="13" t="s">
        <v>3</v>
      </c>
      <c r="E11" s="13" t="s">
        <v>4</v>
      </c>
      <c r="F11" s="13" t="s">
        <v>5</v>
      </c>
      <c r="G11" s="13" t="s">
        <v>6</v>
      </c>
      <c r="H11" s="13" t="s">
        <v>7</v>
      </c>
      <c r="I11" s="13" t="s">
        <v>8</v>
      </c>
      <c r="J11" s="13" t="s">
        <v>9</v>
      </c>
      <c r="K11" s="13" t="s">
        <v>10</v>
      </c>
      <c r="L11" s="13" t="s">
        <v>11</v>
      </c>
      <c r="M11" s="14" t="s">
        <v>12</v>
      </c>
      <c r="Q11" s="1">
        <v>45042</v>
      </c>
      <c r="R11">
        <v>3.9100000000000003E-2</v>
      </c>
      <c r="S11">
        <v>5.0700000000000002E-2</v>
      </c>
      <c r="T11">
        <v>5.16E-2</v>
      </c>
      <c r="U11">
        <v>0.05</v>
      </c>
      <c r="V11">
        <v>4.6399999999999997E-2</v>
      </c>
      <c r="W11">
        <v>3.9E-2</v>
      </c>
      <c r="X11">
        <v>3.6499999999999998E-2</v>
      </c>
      <c r="Y11">
        <v>3.4599999999999999E-2</v>
      </c>
      <c r="Z11">
        <v>3.4500000000000003E-2</v>
      </c>
      <c r="AA11">
        <v>3.4300000000000004E-2</v>
      </c>
      <c r="AB11">
        <v>3.8100000000000002E-2</v>
      </c>
      <c r="AC11">
        <v>3.7000000000000005E-2</v>
      </c>
      <c r="AE11">
        <f t="shared" si="2"/>
        <v>-2.0000000000000018E-3</v>
      </c>
      <c r="AF11">
        <f t="shared" si="3"/>
        <v>2.0000000000000573E-4</v>
      </c>
      <c r="AG11">
        <f t="shared" si="4"/>
        <v>3.9999999999999758E-4</v>
      </c>
      <c r="AH11">
        <f t="shared" si="5"/>
        <v>1.9999999999999879E-4</v>
      </c>
      <c r="AI11">
        <f t="shared" si="6"/>
        <v>3.9999999999999758E-4</v>
      </c>
      <c r="AJ11">
        <f t="shared" si="7"/>
        <v>4.0000000000000452E-4</v>
      </c>
      <c r="AK11">
        <f t="shared" si="8"/>
        <v>2.9999999999999472E-4</v>
      </c>
      <c r="AL11">
        <f t="shared" si="9"/>
        <v>2.9999999999999472E-4</v>
      </c>
      <c r="AM11">
        <f t="shared" si="10"/>
        <v>3.0000000000000165E-4</v>
      </c>
      <c r="AN11">
        <f t="shared" si="11"/>
        <v>3.0000000000000165E-4</v>
      </c>
      <c r="AO11">
        <f t="shared" si="12"/>
        <v>4.0000000000000452E-4</v>
      </c>
      <c r="AP11">
        <f t="shared" si="13"/>
        <v>5.0000000000000738E-4</v>
      </c>
    </row>
    <row r="12" spans="1:43" x14ac:dyDescent="0.25">
      <c r="A12" s="9" t="s">
        <v>20</v>
      </c>
      <c r="B12" s="26">
        <f>1/12</f>
        <v>8.3333333333333329E-2</v>
      </c>
      <c r="C12" s="26">
        <f>2/12</f>
        <v>0.16666666666666666</v>
      </c>
      <c r="D12">
        <f>3/12</f>
        <v>0.25</v>
      </c>
      <c r="E12">
        <f>6/12</f>
        <v>0.5</v>
      </c>
      <c r="F12">
        <v>1</v>
      </c>
      <c r="G12">
        <v>2</v>
      </c>
      <c r="H12">
        <v>3</v>
      </c>
      <c r="I12">
        <v>5</v>
      </c>
      <c r="J12">
        <v>7</v>
      </c>
      <c r="K12">
        <v>10</v>
      </c>
      <c r="L12">
        <v>20</v>
      </c>
      <c r="M12" s="20">
        <v>30</v>
      </c>
      <c r="Q12" s="1">
        <v>45041</v>
      </c>
      <c r="R12">
        <v>4.1100000000000005E-2</v>
      </c>
      <c r="S12">
        <v>5.0499999999999996E-2</v>
      </c>
      <c r="T12">
        <v>5.1200000000000002E-2</v>
      </c>
      <c r="U12">
        <v>4.9800000000000004E-2</v>
      </c>
      <c r="V12">
        <v>4.5999999999999999E-2</v>
      </c>
      <c r="W12">
        <v>3.8599999999999995E-2</v>
      </c>
      <c r="X12">
        <v>3.6200000000000003E-2</v>
      </c>
      <c r="Y12">
        <v>3.4300000000000004E-2</v>
      </c>
      <c r="Z12">
        <v>3.4200000000000001E-2</v>
      </c>
      <c r="AA12">
        <v>3.4000000000000002E-2</v>
      </c>
      <c r="AB12">
        <v>3.7699999999999997E-2</v>
      </c>
      <c r="AC12">
        <v>3.6499999999999998E-2</v>
      </c>
      <c r="AE12">
        <f t="shared" si="2"/>
        <v>5.7000000000000037E-3</v>
      </c>
      <c r="AF12">
        <f t="shared" si="3"/>
        <v>-4.0000000000000452E-4</v>
      </c>
      <c r="AG12">
        <f t="shared" si="4"/>
        <v>-8.000000000000021E-4</v>
      </c>
      <c r="AH12">
        <f t="shared" si="5"/>
        <v>-7.9999999999999516E-4</v>
      </c>
      <c r="AI12">
        <f t="shared" si="6"/>
        <v>-1.5999999999999973E-3</v>
      </c>
      <c r="AJ12">
        <f t="shared" si="7"/>
        <v>-2.6000000000000051E-3</v>
      </c>
      <c r="AK12">
        <f t="shared" si="8"/>
        <v>-2.1999999999999936E-3</v>
      </c>
      <c r="AL12">
        <f t="shared" si="9"/>
        <v>-1.7000000000000001E-3</v>
      </c>
      <c r="AM12">
        <f t="shared" si="10"/>
        <v>-1.3999999999999985E-3</v>
      </c>
      <c r="AN12">
        <f t="shared" si="11"/>
        <v>-1.1999999999999997E-3</v>
      </c>
      <c r="AO12">
        <f t="shared" si="12"/>
        <v>-8.000000000000021E-4</v>
      </c>
      <c r="AP12">
        <f t="shared" si="13"/>
        <v>-8.000000000000021E-4</v>
      </c>
    </row>
    <row r="13" spans="1:43" x14ac:dyDescent="0.25">
      <c r="A13" s="9" t="s">
        <v>19</v>
      </c>
      <c r="B13" s="15">
        <f t="shared" ref="B13:M13" si="14">STDEV(R2:R339)</f>
        <v>1.7631565792646069E-2</v>
      </c>
      <c r="C13" s="15">
        <f t="shared" si="14"/>
        <v>1.81209410485869E-2</v>
      </c>
      <c r="D13" s="15">
        <f t="shared" si="14"/>
        <v>1.8010538933688931E-2</v>
      </c>
      <c r="E13" s="15">
        <f t="shared" si="14"/>
        <v>1.7007911750199809E-2</v>
      </c>
      <c r="F13" s="15">
        <f t="shared" si="14"/>
        <v>1.4738753499037246E-2</v>
      </c>
      <c r="G13" s="15">
        <f t="shared" si="14"/>
        <v>1.113771545992452E-2</v>
      </c>
      <c r="H13" s="15">
        <f t="shared" si="14"/>
        <v>9.5133411915042741E-3</v>
      </c>
      <c r="I13" s="15">
        <f t="shared" si="14"/>
        <v>7.9070029779289962E-3</v>
      </c>
      <c r="J13" s="15">
        <f t="shared" si="14"/>
        <v>7.2711245211184734E-3</v>
      </c>
      <c r="K13" s="15">
        <f t="shared" si="14"/>
        <v>6.8230477557203201E-3</v>
      </c>
      <c r="L13" s="15">
        <f t="shared" si="14"/>
        <v>6.41107132416461E-3</v>
      </c>
      <c r="M13" s="16">
        <f t="shared" si="14"/>
        <v>6.0381431769455218E-3</v>
      </c>
      <c r="Q13" s="1">
        <v>45040</v>
      </c>
      <c r="R13">
        <v>3.5400000000000001E-2</v>
      </c>
      <c r="S13">
        <v>5.0900000000000001E-2</v>
      </c>
      <c r="T13">
        <v>5.2000000000000005E-2</v>
      </c>
      <c r="U13">
        <v>5.0599999999999999E-2</v>
      </c>
      <c r="V13">
        <v>4.7599999999999996E-2</v>
      </c>
      <c r="W13">
        <v>4.1200000000000001E-2</v>
      </c>
      <c r="X13">
        <v>3.8399999999999997E-2</v>
      </c>
      <c r="Y13">
        <v>3.6000000000000004E-2</v>
      </c>
      <c r="Z13">
        <v>3.56E-2</v>
      </c>
      <c r="AA13">
        <v>3.5200000000000002E-2</v>
      </c>
      <c r="AB13">
        <v>3.85E-2</v>
      </c>
      <c r="AC13">
        <v>3.73E-2</v>
      </c>
      <c r="AE13">
        <f t="shared" si="2"/>
        <v>1.800000000000003E-3</v>
      </c>
      <c r="AF13">
        <f t="shared" si="3"/>
        <v>1.0999999999999968E-3</v>
      </c>
      <c r="AG13">
        <f t="shared" si="4"/>
        <v>6.0000000000001025E-4</v>
      </c>
      <c r="AH13">
        <f t="shared" si="5"/>
        <v>-1.0000000000000286E-4</v>
      </c>
      <c r="AI13">
        <f t="shared" si="6"/>
        <v>-2.0000000000000573E-4</v>
      </c>
      <c r="AJ13">
        <f t="shared" si="7"/>
        <v>-5.0000000000000044E-4</v>
      </c>
      <c r="AK13">
        <f t="shared" si="8"/>
        <v>-5.0000000000000738E-4</v>
      </c>
      <c r="AL13">
        <f t="shared" si="9"/>
        <v>-5.9999999999999637E-4</v>
      </c>
      <c r="AM13">
        <f t="shared" si="10"/>
        <v>-6.0000000000000331E-4</v>
      </c>
      <c r="AN13">
        <f t="shared" si="11"/>
        <v>-4.9999999999999351E-4</v>
      </c>
      <c r="AO13">
        <f t="shared" si="12"/>
        <v>-5.0000000000000044E-4</v>
      </c>
      <c r="AP13">
        <f t="shared" si="13"/>
        <v>-5.0000000000000044E-4</v>
      </c>
    </row>
    <row r="14" spans="1:43" x14ac:dyDescent="0.25">
      <c r="A14" s="9" t="s">
        <v>14</v>
      </c>
      <c r="B14" s="15">
        <f t="shared" ref="B14:M14" si="15">STDEV(AE2:AE339)</f>
        <v>1.0568318019816604E-3</v>
      </c>
      <c r="C14" s="15">
        <f t="shared" si="15"/>
        <v>4.9976555899813434E-4</v>
      </c>
      <c r="D14" s="15">
        <f t="shared" si="15"/>
        <v>5.8946913318662668E-4</v>
      </c>
      <c r="E14" s="15">
        <f t="shared" si="15"/>
        <v>5.9210889363743222E-4</v>
      </c>
      <c r="F14" s="15">
        <f t="shared" si="15"/>
        <v>8.2211833104070249E-4</v>
      </c>
      <c r="G14" s="15">
        <f t="shared" si="15"/>
        <v>9.5349768496883131E-4</v>
      </c>
      <c r="H14" s="15">
        <f t="shared" si="15"/>
        <v>9.4770785032275296E-4</v>
      </c>
      <c r="I14" s="15">
        <f t="shared" si="15"/>
        <v>9.0286310796247257E-4</v>
      </c>
      <c r="J14" s="15">
        <f t="shared" si="15"/>
        <v>8.6320411478962595E-4</v>
      </c>
      <c r="K14" s="15">
        <f t="shared" si="15"/>
        <v>7.875010513595063E-4</v>
      </c>
      <c r="L14" s="15">
        <f t="shared" si="15"/>
        <v>6.8360188514558231E-4</v>
      </c>
      <c r="M14" s="16">
        <f t="shared" si="15"/>
        <v>6.6252404436999601E-4</v>
      </c>
      <c r="Q14" s="1">
        <v>45037</v>
      </c>
      <c r="R14">
        <v>3.3599999999999998E-2</v>
      </c>
      <c r="S14">
        <v>4.9800000000000004E-2</v>
      </c>
      <c r="T14">
        <v>5.1399999999999994E-2</v>
      </c>
      <c r="U14">
        <v>5.0700000000000002E-2</v>
      </c>
      <c r="V14">
        <v>4.7800000000000002E-2</v>
      </c>
      <c r="W14">
        <v>4.1700000000000001E-2</v>
      </c>
      <c r="X14">
        <v>3.8900000000000004E-2</v>
      </c>
      <c r="Y14">
        <v>3.6600000000000001E-2</v>
      </c>
      <c r="Z14">
        <v>3.6200000000000003E-2</v>
      </c>
      <c r="AA14">
        <v>3.5699999999999996E-2</v>
      </c>
      <c r="AB14">
        <v>3.9E-2</v>
      </c>
      <c r="AC14">
        <v>3.78E-2</v>
      </c>
      <c r="AE14">
        <f t="shared" si="2"/>
        <v>-4.0000000000000452E-4</v>
      </c>
      <c r="AF14">
        <f t="shared" si="3"/>
        <v>-5.9999999999999637E-4</v>
      </c>
      <c r="AG14">
        <f t="shared" si="4"/>
        <v>1.9999999999999185E-4</v>
      </c>
      <c r="AH14">
        <f t="shared" si="5"/>
        <v>1.0000000000000286E-4</v>
      </c>
      <c r="AI14">
        <f t="shared" si="6"/>
        <v>1.000000000000098E-4</v>
      </c>
      <c r="AJ14">
        <f t="shared" si="7"/>
        <v>3.0000000000000165E-4</v>
      </c>
      <c r="AK14">
        <f t="shared" si="8"/>
        <v>2.0000000000000573E-4</v>
      </c>
      <c r="AL14">
        <f t="shared" si="9"/>
        <v>3.0000000000000165E-4</v>
      </c>
      <c r="AM14">
        <f t="shared" si="10"/>
        <v>3.0000000000000165E-4</v>
      </c>
      <c r="AN14">
        <f t="shared" si="11"/>
        <v>2.9999999999999472E-4</v>
      </c>
      <c r="AO14">
        <f t="shared" si="12"/>
        <v>3.0000000000000165E-4</v>
      </c>
      <c r="AP14">
        <f t="shared" si="13"/>
        <v>3.0000000000000165E-4</v>
      </c>
    </row>
    <row r="15" spans="1:43" ht="15.75" thickBot="1" x14ac:dyDescent="0.3">
      <c r="A15" s="35" t="s">
        <v>13</v>
      </c>
      <c r="B15" s="17">
        <f>B14*B12</f>
        <v>8.8069316831805027E-5</v>
      </c>
      <c r="C15" s="17">
        <f t="shared" ref="C15:M15" si="16">C14*C12</f>
        <v>8.3294259833022386E-5</v>
      </c>
      <c r="D15" s="17">
        <f t="shared" si="16"/>
        <v>1.4736728329665667E-4</v>
      </c>
      <c r="E15" s="17">
        <f t="shared" si="16"/>
        <v>2.9605444681871611E-4</v>
      </c>
      <c r="F15" s="17">
        <f t="shared" si="16"/>
        <v>8.2211833104070249E-4</v>
      </c>
      <c r="G15" s="17">
        <f t="shared" si="16"/>
        <v>1.9069953699376626E-3</v>
      </c>
      <c r="H15" s="17">
        <f t="shared" si="16"/>
        <v>2.8431235509682588E-3</v>
      </c>
      <c r="I15" s="25">
        <f t="shared" si="16"/>
        <v>4.5143155398123629E-3</v>
      </c>
      <c r="J15" s="25">
        <f t="shared" si="16"/>
        <v>6.0424288035273816E-3</v>
      </c>
      <c r="K15" s="17">
        <f t="shared" si="16"/>
        <v>7.8750105135950623E-3</v>
      </c>
      <c r="L15" s="17">
        <f t="shared" si="16"/>
        <v>1.3672037702911647E-2</v>
      </c>
      <c r="M15" s="18">
        <f t="shared" si="16"/>
        <v>1.9875721331099879E-2</v>
      </c>
      <c r="Q15" s="1">
        <v>45036</v>
      </c>
      <c r="R15">
        <v>3.4000000000000002E-2</v>
      </c>
      <c r="S15">
        <v>5.04E-2</v>
      </c>
      <c r="T15">
        <v>5.1200000000000002E-2</v>
      </c>
      <c r="U15">
        <v>5.0599999999999999E-2</v>
      </c>
      <c r="V15">
        <v>4.7699999999999992E-2</v>
      </c>
      <c r="W15">
        <v>4.1399999999999999E-2</v>
      </c>
      <c r="X15">
        <v>3.8699999999999998E-2</v>
      </c>
      <c r="Y15">
        <v>3.6299999999999999E-2</v>
      </c>
      <c r="Z15">
        <v>3.5900000000000001E-2</v>
      </c>
      <c r="AA15">
        <v>3.5400000000000001E-2</v>
      </c>
      <c r="AB15">
        <v>3.8699999999999998E-2</v>
      </c>
      <c r="AC15">
        <v>3.7499999999999999E-2</v>
      </c>
      <c r="AE15">
        <f t="shared" si="2"/>
        <v>-5.4999999999999979E-3</v>
      </c>
      <c r="AF15">
        <f t="shared" si="3"/>
        <v>9.9999999999995925E-5</v>
      </c>
      <c r="AG15">
        <f t="shared" si="4"/>
        <v>-3.9999999999999758E-4</v>
      </c>
      <c r="AH15">
        <f t="shared" si="5"/>
        <v>-3.9999999999999758E-4</v>
      </c>
      <c r="AI15">
        <f t="shared" si="6"/>
        <v>-7.0000000000000617E-4</v>
      </c>
      <c r="AJ15">
        <f t="shared" si="7"/>
        <v>-1.0000000000000009E-3</v>
      </c>
      <c r="AK15">
        <f t="shared" si="8"/>
        <v>-1.0000000000000009E-3</v>
      </c>
      <c r="AL15">
        <f t="shared" si="9"/>
        <v>-8.000000000000021E-4</v>
      </c>
      <c r="AM15">
        <f t="shared" si="10"/>
        <v>-6.9999999999999923E-4</v>
      </c>
      <c r="AN15">
        <f t="shared" si="11"/>
        <v>-6.0000000000000331E-4</v>
      </c>
      <c r="AO15">
        <f t="shared" si="12"/>
        <v>-3.0000000000000165E-4</v>
      </c>
      <c r="AP15">
        <f t="shared" si="13"/>
        <v>-4.0000000000000452E-4</v>
      </c>
    </row>
    <row r="16" spans="1:43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Q16" s="1">
        <v>45035</v>
      </c>
      <c r="R16">
        <v>3.95E-2</v>
      </c>
      <c r="S16">
        <v>5.0300000000000004E-2</v>
      </c>
      <c r="T16">
        <v>5.16E-2</v>
      </c>
      <c r="U16">
        <v>5.0999999999999997E-2</v>
      </c>
      <c r="V16">
        <v>4.8399999999999999E-2</v>
      </c>
      <c r="W16">
        <v>4.24E-2</v>
      </c>
      <c r="X16">
        <v>3.9699999999999999E-2</v>
      </c>
      <c r="Y16">
        <v>3.7100000000000001E-2</v>
      </c>
      <c r="Z16">
        <v>3.6600000000000001E-2</v>
      </c>
      <c r="AA16">
        <v>3.6000000000000004E-2</v>
      </c>
      <c r="AB16">
        <v>3.9E-2</v>
      </c>
      <c r="AC16">
        <v>3.7900000000000003E-2</v>
      </c>
      <c r="AE16">
        <f t="shared" si="2"/>
        <v>5.9999999999999637E-4</v>
      </c>
      <c r="AF16">
        <f t="shared" si="3"/>
        <v>-9.9999999999995925E-5</v>
      </c>
      <c r="AG16">
        <f t="shared" si="4"/>
        <v>-4.0000000000000452E-4</v>
      </c>
      <c r="AH16">
        <f t="shared" si="5"/>
        <v>9.9999999999995925E-5</v>
      </c>
      <c r="AI16">
        <f t="shared" si="6"/>
        <v>3.0000000000000165E-4</v>
      </c>
      <c r="AJ16">
        <f t="shared" si="7"/>
        <v>4.9999999999999351E-4</v>
      </c>
      <c r="AK16">
        <f t="shared" si="8"/>
        <v>5.0000000000000044E-4</v>
      </c>
      <c r="AL16">
        <f t="shared" si="9"/>
        <v>1.9999999999999879E-4</v>
      </c>
      <c r="AM16">
        <f t="shared" si="10"/>
        <v>3.0000000000000165E-4</v>
      </c>
      <c r="AN16">
        <f t="shared" si="11"/>
        <v>2.0000000000000573E-4</v>
      </c>
      <c r="AO16">
        <f t="shared" si="12"/>
        <v>-1.0000000000000286E-4</v>
      </c>
      <c r="AP16">
        <f t="shared" si="13"/>
        <v>0</v>
      </c>
    </row>
    <row r="17" spans="1:42" x14ac:dyDescent="0.25">
      <c r="A17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Q17" s="1">
        <v>45034</v>
      </c>
      <c r="R17">
        <v>3.8900000000000004E-2</v>
      </c>
      <c r="S17">
        <v>5.04E-2</v>
      </c>
      <c r="T17">
        <v>5.2000000000000005E-2</v>
      </c>
      <c r="U17">
        <v>5.0900000000000001E-2</v>
      </c>
      <c r="V17">
        <v>4.8099999999999997E-2</v>
      </c>
      <c r="W17">
        <v>4.1900000000000007E-2</v>
      </c>
      <c r="X17">
        <v>3.9199999999999999E-2</v>
      </c>
      <c r="Y17">
        <v>3.6900000000000002E-2</v>
      </c>
      <c r="Z17">
        <v>3.6299999999999999E-2</v>
      </c>
      <c r="AA17">
        <v>3.5799999999999998E-2</v>
      </c>
      <c r="AB17">
        <v>3.9100000000000003E-2</v>
      </c>
      <c r="AC17">
        <v>3.7900000000000003E-2</v>
      </c>
      <c r="AE17">
        <f t="shared" si="2"/>
        <v>-1.9999999999999948E-3</v>
      </c>
      <c r="AF17">
        <f t="shared" si="3"/>
        <v>0</v>
      </c>
      <c r="AG17">
        <f t="shared" si="4"/>
        <v>-9.9999999999995925E-5</v>
      </c>
      <c r="AH17">
        <f t="shared" si="5"/>
        <v>1.9999999999999879E-4</v>
      </c>
      <c r="AI17">
        <f t="shared" si="6"/>
        <v>9.9999999999995925E-5</v>
      </c>
      <c r="AJ17">
        <f t="shared" si="7"/>
        <v>1.000000000000098E-4</v>
      </c>
      <c r="AK17">
        <f t="shared" si="8"/>
        <v>0</v>
      </c>
      <c r="AL17">
        <f t="shared" si="9"/>
        <v>0</v>
      </c>
      <c r="AM17">
        <f t="shared" si="10"/>
        <v>-1.0000000000000286E-4</v>
      </c>
      <c r="AN17">
        <f t="shared" si="11"/>
        <v>-2.0000000000000573E-4</v>
      </c>
      <c r="AO17">
        <f t="shared" si="12"/>
        <v>-9.9999999999995925E-5</v>
      </c>
      <c r="AP17">
        <f t="shared" si="13"/>
        <v>-1.9999999999999879E-4</v>
      </c>
    </row>
    <row r="18" spans="1:4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Q18" s="1">
        <v>45033</v>
      </c>
      <c r="R18">
        <v>4.0899999999999999E-2</v>
      </c>
      <c r="S18">
        <v>5.04E-2</v>
      </c>
      <c r="T18">
        <v>5.21E-2</v>
      </c>
      <c r="U18">
        <v>5.0700000000000002E-2</v>
      </c>
      <c r="V18">
        <v>4.8000000000000001E-2</v>
      </c>
      <c r="W18">
        <v>4.1799999999999997E-2</v>
      </c>
      <c r="X18">
        <v>3.9199999999999999E-2</v>
      </c>
      <c r="Y18">
        <v>3.6900000000000002E-2</v>
      </c>
      <c r="Z18">
        <v>3.6400000000000002E-2</v>
      </c>
      <c r="AA18">
        <v>3.6000000000000004E-2</v>
      </c>
      <c r="AB18">
        <v>3.9199999999999999E-2</v>
      </c>
      <c r="AC18">
        <v>3.8100000000000002E-2</v>
      </c>
      <c r="AE18">
        <f t="shared" si="2"/>
        <v>-2.0000000000000018E-3</v>
      </c>
      <c r="AF18">
        <f t="shared" si="3"/>
        <v>5.9999999999999637E-4</v>
      </c>
      <c r="AG18">
        <f t="shared" si="4"/>
        <v>7.0000000000000617E-4</v>
      </c>
      <c r="AH18">
        <f t="shared" si="5"/>
        <v>3.9999999999999758E-4</v>
      </c>
      <c r="AI18">
        <f t="shared" si="6"/>
        <v>3.0000000000000859E-4</v>
      </c>
      <c r="AJ18">
        <f t="shared" si="7"/>
        <v>9.9999999999999395E-4</v>
      </c>
      <c r="AK18">
        <f t="shared" si="8"/>
        <v>8.9999999999999802E-4</v>
      </c>
      <c r="AL18">
        <f t="shared" si="9"/>
        <v>8.9999999999999802E-4</v>
      </c>
      <c r="AM18">
        <f t="shared" si="10"/>
        <v>8.000000000000021E-4</v>
      </c>
      <c r="AN18">
        <f t="shared" si="11"/>
        <v>8.000000000000021E-4</v>
      </c>
      <c r="AO18">
        <f t="shared" si="12"/>
        <v>6.9999999999999923E-4</v>
      </c>
      <c r="AP18">
        <f t="shared" si="13"/>
        <v>6.9999999999999923E-4</v>
      </c>
    </row>
    <row r="19" spans="1:42" ht="15.75" thickBot="1" x14ac:dyDescent="0.3">
      <c r="A19" t="s">
        <v>39</v>
      </c>
      <c r="B19" s="5"/>
      <c r="C19" s="5"/>
      <c r="D19" s="5"/>
      <c r="E19" s="5"/>
      <c r="F19" s="5"/>
      <c r="K19" s="5"/>
      <c r="L19" s="5"/>
      <c r="M19" s="5"/>
      <c r="Q19" s="1">
        <v>45030</v>
      </c>
      <c r="R19">
        <v>4.2900000000000001E-2</v>
      </c>
      <c r="S19">
        <v>4.9800000000000004E-2</v>
      </c>
      <c r="T19">
        <v>5.1399999999999994E-2</v>
      </c>
      <c r="U19">
        <v>5.0300000000000004E-2</v>
      </c>
      <c r="V19">
        <v>4.7699999999999992E-2</v>
      </c>
      <c r="W19">
        <v>4.0800000000000003E-2</v>
      </c>
      <c r="X19">
        <v>3.8300000000000001E-2</v>
      </c>
      <c r="Y19">
        <v>3.6000000000000004E-2</v>
      </c>
      <c r="Z19">
        <v>3.56E-2</v>
      </c>
      <c r="AA19">
        <v>3.5200000000000002E-2</v>
      </c>
      <c r="AB19">
        <v>3.85E-2</v>
      </c>
      <c r="AC19">
        <v>3.7400000000000003E-2</v>
      </c>
      <c r="AE19">
        <f t="shared" si="2"/>
        <v>2.0999999999999977E-3</v>
      </c>
      <c r="AF19">
        <f t="shared" si="3"/>
        <v>2.0000000000000573E-4</v>
      </c>
      <c r="AG19">
        <f t="shared" si="4"/>
        <v>3.9999999999999758E-4</v>
      </c>
      <c r="AH19">
        <f t="shared" si="5"/>
        <v>8.000000000000021E-4</v>
      </c>
      <c r="AI19">
        <f t="shared" si="6"/>
        <v>1.0999999999999899E-3</v>
      </c>
      <c r="AJ19">
        <f t="shared" si="7"/>
        <v>1.2000000000000066E-3</v>
      </c>
      <c r="AK19">
        <f t="shared" si="8"/>
        <v>1.2999999999999956E-3</v>
      </c>
      <c r="AL19">
        <f t="shared" si="9"/>
        <v>9.0000000000000496E-4</v>
      </c>
      <c r="AM19">
        <f t="shared" si="10"/>
        <v>8.000000000000021E-4</v>
      </c>
      <c r="AN19">
        <f t="shared" si="11"/>
        <v>6.9999999999999923E-4</v>
      </c>
      <c r="AO19">
        <f t="shared" si="12"/>
        <v>5.0000000000000044E-4</v>
      </c>
      <c r="AP19">
        <f t="shared" si="13"/>
        <v>5.0000000000000044E-4</v>
      </c>
    </row>
    <row r="20" spans="1:42" x14ac:dyDescent="0.25">
      <c r="A20" s="8"/>
      <c r="B20" s="36" t="s">
        <v>22</v>
      </c>
      <c r="C20" s="37" t="s">
        <v>16</v>
      </c>
      <c r="E20" s="5"/>
      <c r="K20" s="5"/>
      <c r="L20" s="5"/>
      <c r="M20" s="5"/>
      <c r="Q20" s="1">
        <v>45029</v>
      </c>
      <c r="R20">
        <v>4.0800000000000003E-2</v>
      </c>
      <c r="S20">
        <v>4.9599999999999998E-2</v>
      </c>
      <c r="T20">
        <v>5.0999999999999997E-2</v>
      </c>
      <c r="U20">
        <v>4.9500000000000002E-2</v>
      </c>
      <c r="V20">
        <v>4.6600000000000003E-2</v>
      </c>
      <c r="W20">
        <v>3.9599999999999996E-2</v>
      </c>
      <c r="X20">
        <v>3.7000000000000005E-2</v>
      </c>
      <c r="Y20">
        <v>3.5099999999999999E-2</v>
      </c>
      <c r="Z20">
        <v>3.4799999999999998E-2</v>
      </c>
      <c r="AA20">
        <v>3.4500000000000003E-2</v>
      </c>
      <c r="AB20">
        <v>3.7999999999999999E-2</v>
      </c>
      <c r="AC20">
        <v>3.6900000000000002E-2</v>
      </c>
      <c r="AE20">
        <f t="shared" si="2"/>
        <v>-1.899999999999992E-3</v>
      </c>
      <c r="AF20">
        <f t="shared" si="3"/>
        <v>6.9999999999999923E-4</v>
      </c>
      <c r="AG20">
        <f t="shared" si="4"/>
        <v>8.000000000000021E-4</v>
      </c>
      <c r="AH20">
        <f t="shared" si="5"/>
        <v>-3.0000000000000165E-4</v>
      </c>
      <c r="AI20">
        <f t="shared" si="6"/>
        <v>2.0000000000000573E-4</v>
      </c>
      <c r="AJ20">
        <f t="shared" si="7"/>
        <v>9.9999999999995925E-5</v>
      </c>
      <c r="AK20">
        <f t="shared" si="8"/>
        <v>2.0000000000000573E-4</v>
      </c>
      <c r="AL20">
        <f t="shared" si="9"/>
        <v>5.0000000000000044E-4</v>
      </c>
      <c r="AM20">
        <f t="shared" si="10"/>
        <v>4.9999999999999351E-4</v>
      </c>
      <c r="AN20">
        <f t="shared" si="11"/>
        <v>4.0000000000000452E-4</v>
      </c>
      <c r="AO20">
        <f t="shared" si="12"/>
        <v>5.0000000000000044E-4</v>
      </c>
      <c r="AP20">
        <f t="shared" si="13"/>
        <v>5.0000000000000044E-4</v>
      </c>
    </row>
    <row r="21" spans="1:42" x14ac:dyDescent="0.25">
      <c r="A21" s="9" t="s">
        <v>23</v>
      </c>
      <c r="B21" s="38">
        <v>484</v>
      </c>
      <c r="C21" s="22">
        <f>B21/$B$23</f>
        <v>7.400611620795107E-2</v>
      </c>
      <c r="E21" s="5"/>
      <c r="K21" s="5"/>
      <c r="L21" s="5"/>
      <c r="M21" s="5"/>
      <c r="Q21" s="1">
        <v>45028</v>
      </c>
      <c r="R21">
        <v>4.2699999999999995E-2</v>
      </c>
      <c r="S21">
        <v>4.8899999999999999E-2</v>
      </c>
      <c r="T21">
        <v>5.0199999999999995E-2</v>
      </c>
      <c r="U21">
        <v>4.9800000000000004E-2</v>
      </c>
      <c r="V21">
        <v>4.6399999999999997E-2</v>
      </c>
      <c r="W21">
        <v>3.95E-2</v>
      </c>
      <c r="X21">
        <v>3.6799999999999999E-2</v>
      </c>
      <c r="Y21">
        <v>3.4599999999999999E-2</v>
      </c>
      <c r="Z21">
        <v>3.4300000000000004E-2</v>
      </c>
      <c r="AA21">
        <v>3.4099999999999998E-2</v>
      </c>
      <c r="AB21">
        <v>3.7499999999999999E-2</v>
      </c>
      <c r="AC21">
        <v>3.6400000000000002E-2</v>
      </c>
      <c r="AE21">
        <f t="shared" si="2"/>
        <v>0</v>
      </c>
      <c r="AF21">
        <f t="shared" si="3"/>
        <v>0</v>
      </c>
      <c r="AG21">
        <f t="shared" si="4"/>
        <v>-2.0000000000000573E-4</v>
      </c>
      <c r="AH21">
        <f t="shared" si="5"/>
        <v>-9.9999999999995925E-5</v>
      </c>
      <c r="AI21">
        <f t="shared" si="6"/>
        <v>-3.0000000000000165E-4</v>
      </c>
      <c r="AJ21">
        <f t="shared" si="7"/>
        <v>-8.000000000000021E-4</v>
      </c>
      <c r="AK21">
        <f t="shared" si="8"/>
        <v>-7.9999999999999516E-4</v>
      </c>
      <c r="AL21">
        <f t="shared" si="9"/>
        <v>-8.000000000000021E-4</v>
      </c>
      <c r="AM21">
        <f t="shared" si="10"/>
        <v>-4.9999999999999351E-4</v>
      </c>
      <c r="AN21">
        <f t="shared" si="11"/>
        <v>-2.0000000000000573E-4</v>
      </c>
      <c r="AO21">
        <f t="shared" si="12"/>
        <v>0</v>
      </c>
      <c r="AP21">
        <f t="shared" si="13"/>
        <v>1.9999999999999879E-4</v>
      </c>
    </row>
    <row r="22" spans="1:42" x14ac:dyDescent="0.25">
      <c r="A22" s="9" t="s">
        <v>24</v>
      </c>
      <c r="B22" s="38">
        <v>6056</v>
      </c>
      <c r="C22" s="22">
        <f>B22/$B$23</f>
        <v>0.92599388379204894</v>
      </c>
      <c r="E22" s="5"/>
      <c r="K22" s="5"/>
      <c r="L22" s="5"/>
      <c r="M22" s="5"/>
      <c r="Q22" s="1">
        <v>45027</v>
      </c>
      <c r="R22">
        <v>4.2699999999999995E-2</v>
      </c>
      <c r="S22">
        <v>4.8899999999999999E-2</v>
      </c>
      <c r="T22">
        <v>5.04E-2</v>
      </c>
      <c r="U22">
        <v>4.99E-2</v>
      </c>
      <c r="V22">
        <v>4.6699999999999998E-2</v>
      </c>
      <c r="W22">
        <v>4.0300000000000002E-2</v>
      </c>
      <c r="X22">
        <v>3.7599999999999995E-2</v>
      </c>
      <c r="Y22">
        <v>3.5400000000000001E-2</v>
      </c>
      <c r="Z22">
        <v>3.4799999999999998E-2</v>
      </c>
      <c r="AA22">
        <v>3.4300000000000004E-2</v>
      </c>
      <c r="AB22">
        <v>3.7499999999999999E-2</v>
      </c>
      <c r="AC22">
        <v>3.6200000000000003E-2</v>
      </c>
      <c r="AE22">
        <f t="shared" si="2"/>
        <v>-2.6000000000000051E-3</v>
      </c>
      <c r="AF22">
        <f t="shared" si="3"/>
        <v>0</v>
      </c>
      <c r="AG22">
        <f t="shared" si="4"/>
        <v>-3.9999999999999758E-4</v>
      </c>
      <c r="AH22">
        <f t="shared" si="5"/>
        <v>9.9999999999995925E-5</v>
      </c>
      <c r="AI22">
        <f t="shared" si="6"/>
        <v>1.9999999999999185E-4</v>
      </c>
      <c r="AJ22">
        <f t="shared" si="7"/>
        <v>3.0000000000000165E-4</v>
      </c>
      <c r="AK22">
        <f t="shared" si="8"/>
        <v>9.9999999999995925E-5</v>
      </c>
      <c r="AL22">
        <f t="shared" si="9"/>
        <v>1.9999999999999879E-4</v>
      </c>
      <c r="AM22">
        <f t="shared" si="10"/>
        <v>9.9999999999995925E-5</v>
      </c>
      <c r="AN22">
        <f t="shared" si="11"/>
        <v>2.0000000000000573E-4</v>
      </c>
      <c r="AO22">
        <f t="shared" si="12"/>
        <v>9.9999999999995925E-5</v>
      </c>
      <c r="AP22">
        <f t="shared" si="13"/>
        <v>0</v>
      </c>
    </row>
    <row r="23" spans="1:42" ht="15.75" thickBot="1" x14ac:dyDescent="0.3">
      <c r="A23" s="10" t="s">
        <v>21</v>
      </c>
      <c r="B23" s="39">
        <f>SUM(B21:B22)</f>
        <v>6540</v>
      </c>
      <c r="C23" s="24"/>
      <c r="D23" s="5"/>
      <c r="E23" s="5"/>
      <c r="G23" s="5"/>
      <c r="H23" s="5"/>
      <c r="I23" s="5"/>
      <c r="J23" s="5"/>
      <c r="K23" s="5"/>
      <c r="L23" s="5"/>
      <c r="M23" s="5"/>
      <c r="Q23" s="1">
        <v>45026</v>
      </c>
      <c r="R23">
        <v>4.53E-2</v>
      </c>
      <c r="S23">
        <v>4.8899999999999999E-2</v>
      </c>
      <c r="T23">
        <v>5.0799999999999998E-2</v>
      </c>
      <c r="U23">
        <v>4.9800000000000004E-2</v>
      </c>
      <c r="V23">
        <v>4.6500000000000007E-2</v>
      </c>
      <c r="W23">
        <v>0.04</v>
      </c>
      <c r="X23">
        <v>3.7499999999999999E-2</v>
      </c>
      <c r="Y23">
        <v>3.5200000000000002E-2</v>
      </c>
      <c r="Z23">
        <v>3.4700000000000002E-2</v>
      </c>
      <c r="AA23">
        <v>3.4099999999999998E-2</v>
      </c>
      <c r="AB23">
        <v>3.7400000000000003E-2</v>
      </c>
      <c r="AC23">
        <v>3.6200000000000003E-2</v>
      </c>
      <c r="AE23">
        <f t="shared" si="2"/>
        <v>-2.9999999999999472E-4</v>
      </c>
      <c r="AF23">
        <f t="shared" si="3"/>
        <v>-1.0000000000000286E-4</v>
      </c>
      <c r="AG23">
        <f t="shared" si="4"/>
        <v>1.2999999999999956E-3</v>
      </c>
      <c r="AH23">
        <f t="shared" si="5"/>
        <v>3.0000000000000165E-4</v>
      </c>
      <c r="AI23">
        <f t="shared" si="6"/>
        <v>4.0000000000000452E-4</v>
      </c>
      <c r="AJ23">
        <f t="shared" si="7"/>
        <v>3.0000000000000165E-4</v>
      </c>
      <c r="AK23">
        <f t="shared" si="8"/>
        <v>2.9999999999999472E-4</v>
      </c>
      <c r="AL23">
        <f t="shared" si="9"/>
        <v>3.0000000000000165E-4</v>
      </c>
      <c r="AM23">
        <f t="shared" si="10"/>
        <v>1.9999999999999879E-4</v>
      </c>
      <c r="AN23">
        <f t="shared" si="11"/>
        <v>1.9999999999999879E-4</v>
      </c>
      <c r="AO23">
        <f t="shared" si="12"/>
        <v>1.0000000000000286E-4</v>
      </c>
      <c r="AP23">
        <f t="shared" si="13"/>
        <v>1.0000000000000286E-4</v>
      </c>
    </row>
    <row r="24" spans="1:42" x14ac:dyDescent="0.25">
      <c r="B24" s="5"/>
      <c r="C24" s="5"/>
      <c r="D24" s="5"/>
      <c r="E24" s="5"/>
      <c r="F24" s="5"/>
      <c r="Q24" s="1">
        <v>45023</v>
      </c>
      <c r="R24">
        <v>4.5599999999999995E-2</v>
      </c>
      <c r="S24">
        <v>4.9000000000000002E-2</v>
      </c>
      <c r="T24">
        <v>4.9500000000000002E-2</v>
      </c>
      <c r="U24">
        <v>4.9500000000000002E-2</v>
      </c>
      <c r="V24">
        <v>4.6100000000000002E-2</v>
      </c>
      <c r="W24">
        <v>3.9699999999999999E-2</v>
      </c>
      <c r="X24">
        <v>3.7200000000000004E-2</v>
      </c>
      <c r="Y24">
        <v>3.49E-2</v>
      </c>
      <c r="Z24">
        <v>3.4500000000000003E-2</v>
      </c>
      <c r="AA24">
        <v>3.39E-2</v>
      </c>
      <c r="AB24">
        <v>3.73E-2</v>
      </c>
      <c r="AC24">
        <v>3.61E-2</v>
      </c>
      <c r="AE24">
        <f t="shared" si="2"/>
        <v>-1.000000000000098E-4</v>
      </c>
      <c r="AF24">
        <f t="shared" si="3"/>
        <v>5.0000000000000738E-4</v>
      </c>
      <c r="AG24">
        <f t="shared" si="4"/>
        <v>3.9999999999999758E-4</v>
      </c>
      <c r="AH24">
        <f t="shared" si="5"/>
        <v>2.0000000000000573E-4</v>
      </c>
      <c r="AI24">
        <f t="shared" si="6"/>
        <v>1.0000000000000009E-3</v>
      </c>
      <c r="AJ24">
        <f t="shared" si="7"/>
        <v>1.5000000000000013E-3</v>
      </c>
      <c r="AK24">
        <f t="shared" si="8"/>
        <v>1.3000000000000025E-3</v>
      </c>
      <c r="AL24">
        <f t="shared" si="9"/>
        <v>1.1999999999999997E-3</v>
      </c>
      <c r="AM24">
        <f t="shared" si="10"/>
        <v>1.1000000000000038E-3</v>
      </c>
      <c r="AN24">
        <f t="shared" si="11"/>
        <v>8.9999999999999802E-4</v>
      </c>
      <c r="AO24">
        <f t="shared" si="12"/>
        <v>6.9999999999999923E-4</v>
      </c>
      <c r="AP24">
        <f t="shared" si="13"/>
        <v>6.9999999999999923E-4</v>
      </c>
    </row>
    <row r="25" spans="1:42" x14ac:dyDescent="0.25">
      <c r="A25" s="28" t="s">
        <v>30</v>
      </c>
      <c r="Q25" s="1">
        <v>45022</v>
      </c>
      <c r="R25">
        <v>4.5700000000000005E-2</v>
      </c>
      <c r="S25">
        <v>4.8499999999999995E-2</v>
      </c>
      <c r="T25">
        <v>4.9100000000000005E-2</v>
      </c>
      <c r="U25">
        <v>4.9299999999999997E-2</v>
      </c>
      <c r="V25">
        <v>4.5100000000000001E-2</v>
      </c>
      <c r="W25">
        <v>3.8199999999999998E-2</v>
      </c>
      <c r="X25">
        <v>3.5900000000000001E-2</v>
      </c>
      <c r="Y25">
        <v>3.3700000000000001E-2</v>
      </c>
      <c r="Z25">
        <v>3.3399999999999999E-2</v>
      </c>
      <c r="AA25">
        <v>3.3000000000000002E-2</v>
      </c>
      <c r="AB25">
        <v>3.6600000000000001E-2</v>
      </c>
      <c r="AC25">
        <v>3.5400000000000001E-2</v>
      </c>
      <c r="AE25">
        <f t="shared" si="2"/>
        <v>-4.9999999999999351E-4</v>
      </c>
      <c r="AF25">
        <f t="shared" si="3"/>
        <v>8.000000000000021E-4</v>
      </c>
      <c r="AG25">
        <f t="shared" si="4"/>
        <v>5.0000000000000044E-4</v>
      </c>
      <c r="AH25">
        <f t="shared" si="5"/>
        <v>1.0999999999999968E-3</v>
      </c>
      <c r="AI25">
        <f t="shared" si="6"/>
        <v>8.000000000000021E-4</v>
      </c>
      <c r="AJ25">
        <f t="shared" si="7"/>
        <v>2.9999999999999472E-4</v>
      </c>
      <c r="AK25">
        <f t="shared" si="8"/>
        <v>4.0000000000000452E-4</v>
      </c>
      <c r="AL25">
        <f t="shared" si="9"/>
        <v>1.0000000000000286E-4</v>
      </c>
      <c r="AM25">
        <f t="shared" si="10"/>
        <v>0</v>
      </c>
      <c r="AN25">
        <f t="shared" si="11"/>
        <v>0</v>
      </c>
      <c r="AO25">
        <f t="shared" si="12"/>
        <v>-9.9999999999995925E-5</v>
      </c>
      <c r="AP25">
        <f t="shared" si="13"/>
        <v>-1.9999999999999879E-4</v>
      </c>
    </row>
    <row r="26" spans="1:42" x14ac:dyDescent="0.25">
      <c r="Q26" s="1">
        <v>45021</v>
      </c>
      <c r="R26">
        <v>4.6199999999999998E-2</v>
      </c>
      <c r="S26">
        <v>4.7699999999999992E-2</v>
      </c>
      <c r="T26">
        <v>4.8600000000000004E-2</v>
      </c>
      <c r="U26">
        <v>4.82E-2</v>
      </c>
      <c r="V26">
        <v>4.4299999999999999E-2</v>
      </c>
      <c r="W26">
        <v>3.7900000000000003E-2</v>
      </c>
      <c r="X26">
        <v>3.5499999999999997E-2</v>
      </c>
      <c r="Y26">
        <v>3.3599999999999998E-2</v>
      </c>
      <c r="Z26">
        <v>3.3399999999999999E-2</v>
      </c>
      <c r="AA26">
        <v>3.3000000000000002E-2</v>
      </c>
      <c r="AB26">
        <v>3.6699999999999997E-2</v>
      </c>
      <c r="AC26">
        <v>3.56E-2</v>
      </c>
      <c r="AE26">
        <f t="shared" si="2"/>
        <v>-4.0000000000000452E-4</v>
      </c>
      <c r="AF26">
        <f t="shared" si="3"/>
        <v>-3.0000000000000859E-4</v>
      </c>
      <c r="AG26">
        <f t="shared" si="4"/>
        <v>-1.9999999999999185E-4</v>
      </c>
      <c r="AH26">
        <f t="shared" si="5"/>
        <v>1.9999999999999879E-4</v>
      </c>
      <c r="AI26">
        <f t="shared" si="6"/>
        <v>-6.9999999999999923E-4</v>
      </c>
      <c r="AJ26">
        <f t="shared" si="7"/>
        <v>-4.9999999999999351E-4</v>
      </c>
      <c r="AK26">
        <f t="shared" si="8"/>
        <v>-5.0000000000000738E-4</v>
      </c>
      <c r="AL26">
        <f t="shared" si="9"/>
        <v>-3.0000000000000165E-4</v>
      </c>
      <c r="AM26">
        <f t="shared" si="10"/>
        <v>-3.9999999999999758E-4</v>
      </c>
      <c r="AN26">
        <f t="shared" si="11"/>
        <v>-5.0000000000000044E-4</v>
      </c>
      <c r="AO26">
        <f t="shared" si="12"/>
        <v>-5.0000000000000738E-4</v>
      </c>
      <c r="AP26">
        <f t="shared" si="13"/>
        <v>-4.0000000000000452E-4</v>
      </c>
    </row>
    <row r="27" spans="1:42" x14ac:dyDescent="0.25">
      <c r="Q27" s="1">
        <v>45020</v>
      </c>
      <c r="R27">
        <v>4.6600000000000003E-2</v>
      </c>
      <c r="S27">
        <v>4.8000000000000001E-2</v>
      </c>
      <c r="T27">
        <v>4.8799999999999996E-2</v>
      </c>
      <c r="U27">
        <v>4.8000000000000001E-2</v>
      </c>
      <c r="V27">
        <v>4.4999999999999998E-2</v>
      </c>
      <c r="W27">
        <v>3.8399999999999997E-2</v>
      </c>
      <c r="X27">
        <v>3.6000000000000004E-2</v>
      </c>
      <c r="Y27">
        <v>3.39E-2</v>
      </c>
      <c r="Z27">
        <v>3.3799999999999997E-2</v>
      </c>
      <c r="AA27">
        <v>3.3500000000000002E-2</v>
      </c>
      <c r="AB27">
        <v>3.7200000000000004E-2</v>
      </c>
      <c r="AC27">
        <v>3.6000000000000004E-2</v>
      </c>
      <c r="AE27">
        <f t="shared" si="2"/>
        <v>-3.9999999999999758E-4</v>
      </c>
      <c r="AF27">
        <f t="shared" si="3"/>
        <v>1.0000000000000286E-4</v>
      </c>
      <c r="AG27">
        <f t="shared" si="4"/>
        <v>-2.0000000000000573E-4</v>
      </c>
      <c r="AH27">
        <f t="shared" si="5"/>
        <v>-7.9999999999999516E-4</v>
      </c>
      <c r="AI27">
        <f t="shared" si="6"/>
        <v>-1.0000000000000009E-3</v>
      </c>
      <c r="AJ27">
        <f t="shared" si="7"/>
        <v>-1.3000000000000025E-3</v>
      </c>
      <c r="AK27">
        <f t="shared" si="8"/>
        <v>-1.2999999999999956E-3</v>
      </c>
      <c r="AL27">
        <f t="shared" si="9"/>
        <v>-1.3000000000000025E-3</v>
      </c>
      <c r="AM27">
        <f t="shared" si="10"/>
        <v>-1.0000000000000009E-3</v>
      </c>
      <c r="AN27">
        <f t="shared" si="11"/>
        <v>-8.000000000000021E-4</v>
      </c>
      <c r="AO27">
        <f t="shared" si="12"/>
        <v>-5.9999999999999637E-4</v>
      </c>
      <c r="AP27">
        <f t="shared" si="13"/>
        <v>-3.9999999999999758E-4</v>
      </c>
    </row>
    <row r="28" spans="1:42" ht="15.75" thickBot="1" x14ac:dyDescent="0.3">
      <c r="A28" s="5" t="s">
        <v>17</v>
      </c>
      <c r="C28" s="5" t="s">
        <v>18</v>
      </c>
      <c r="D28" s="5"/>
      <c r="E28" s="5"/>
      <c r="Q28" s="1">
        <v>45019</v>
      </c>
      <c r="R28">
        <v>4.7E-2</v>
      </c>
      <c r="S28">
        <v>4.7899999999999998E-2</v>
      </c>
      <c r="T28">
        <v>4.9000000000000002E-2</v>
      </c>
      <c r="U28">
        <v>4.8799999999999996E-2</v>
      </c>
      <c r="V28">
        <v>4.5999999999999999E-2</v>
      </c>
      <c r="W28">
        <v>3.9699999999999999E-2</v>
      </c>
      <c r="X28">
        <v>3.73E-2</v>
      </c>
      <c r="Y28">
        <v>3.5200000000000002E-2</v>
      </c>
      <c r="Z28">
        <v>3.4799999999999998E-2</v>
      </c>
      <c r="AA28">
        <v>3.4300000000000004E-2</v>
      </c>
      <c r="AB28">
        <v>3.78E-2</v>
      </c>
      <c r="AC28">
        <v>3.6400000000000002E-2</v>
      </c>
      <c r="AE28">
        <f t="shared" si="2"/>
        <v>-4.0000000000000452E-4</v>
      </c>
      <c r="AF28">
        <f t="shared" si="3"/>
        <v>0</v>
      </c>
      <c r="AG28">
        <f t="shared" si="4"/>
        <v>5.0000000000000738E-4</v>
      </c>
      <c r="AH28">
        <f t="shared" si="5"/>
        <v>-6.0000000000001025E-4</v>
      </c>
      <c r="AI28">
        <f t="shared" si="6"/>
        <v>-3.9999999999999758E-4</v>
      </c>
      <c r="AJ28">
        <f t="shared" si="7"/>
        <v>-8.9999999999999802E-4</v>
      </c>
      <c r="AK28">
        <f t="shared" si="8"/>
        <v>-8.000000000000021E-4</v>
      </c>
      <c r="AL28">
        <f t="shared" si="9"/>
        <v>-8.000000000000021E-4</v>
      </c>
      <c r="AM28">
        <f t="shared" si="10"/>
        <v>-6.9999999999999923E-4</v>
      </c>
      <c r="AN28">
        <f t="shared" si="11"/>
        <v>-4.9999999999999351E-4</v>
      </c>
      <c r="AO28">
        <f t="shared" si="12"/>
        <v>-3.0000000000000165E-4</v>
      </c>
      <c r="AP28">
        <f t="shared" si="13"/>
        <v>-2.9999999999999472E-4</v>
      </c>
    </row>
    <row r="29" spans="1:42" x14ac:dyDescent="0.25">
      <c r="A29" s="33">
        <f>C21*I15</f>
        <v>3.3408696043871308E-4</v>
      </c>
      <c r="B29" s="5"/>
      <c r="C29" s="21"/>
      <c r="D29" s="30" t="s">
        <v>8</v>
      </c>
      <c r="E29" s="31" t="s">
        <v>9</v>
      </c>
      <c r="Q29" s="1">
        <v>45016</v>
      </c>
      <c r="R29">
        <v>4.7400000000000005E-2</v>
      </c>
      <c r="S29">
        <v>4.7899999999999998E-2</v>
      </c>
      <c r="T29">
        <v>4.8499999999999995E-2</v>
      </c>
      <c r="U29">
        <v>4.9400000000000006E-2</v>
      </c>
      <c r="V29">
        <v>4.6399999999999997E-2</v>
      </c>
      <c r="W29">
        <v>4.0599999999999997E-2</v>
      </c>
      <c r="X29">
        <v>3.8100000000000002E-2</v>
      </c>
      <c r="Y29">
        <v>3.6000000000000004E-2</v>
      </c>
      <c r="Z29">
        <v>3.5499999999999997E-2</v>
      </c>
      <c r="AA29">
        <v>3.4799999999999998E-2</v>
      </c>
      <c r="AB29">
        <v>3.8100000000000002E-2</v>
      </c>
      <c r="AC29">
        <v>3.6699999999999997E-2</v>
      </c>
      <c r="AE29">
        <f t="shared" si="2"/>
        <v>0</v>
      </c>
      <c r="AF29">
        <f t="shared" si="3"/>
        <v>2.0000000000000573E-4</v>
      </c>
      <c r="AG29">
        <f t="shared" si="4"/>
        <v>-1.1999999999999997E-3</v>
      </c>
      <c r="AH29">
        <f t="shared" si="5"/>
        <v>2.0000000000000573E-4</v>
      </c>
      <c r="AI29">
        <f t="shared" si="6"/>
        <v>9.9999999999995925E-5</v>
      </c>
      <c r="AJ29">
        <f t="shared" si="7"/>
        <v>-3.9999999999999758E-4</v>
      </c>
      <c r="AK29">
        <f t="shared" si="8"/>
        <v>-5.9999999999999637E-4</v>
      </c>
      <c r="AL29">
        <f t="shared" si="9"/>
        <v>-5.9999999999999637E-4</v>
      </c>
      <c r="AM29">
        <f t="shared" si="10"/>
        <v>-6.0000000000000331E-4</v>
      </c>
      <c r="AN29">
        <f t="shared" si="11"/>
        <v>-6.9999999999999923E-4</v>
      </c>
      <c r="AO29">
        <f t="shared" si="12"/>
        <v>-6.9999999999999923E-4</v>
      </c>
      <c r="AP29">
        <f t="shared" si="13"/>
        <v>-7.0000000000000617E-4</v>
      </c>
    </row>
    <row r="30" spans="1:42" ht="15.75" thickBot="1" x14ac:dyDescent="0.3">
      <c r="A30" s="34">
        <f>C22*J15</f>
        <v>5.5952521153152636E-3</v>
      </c>
      <c r="B30" s="5"/>
      <c r="C30" s="19" t="s">
        <v>8</v>
      </c>
      <c r="D30" s="5">
        <f>CORREL(_xlfn.XLOOKUP($C30,$AE$1:$AP$1,$AE$2:$AP$589),_xlfn.XLOOKUP(D$29,$AE$1:$AP$1,$AE$2:$AP$589))</f>
        <v>1.0000000000000002</v>
      </c>
      <c r="E30" s="22">
        <f>CORREL(_xlfn.XLOOKUP($C30,$AE$1:$AP$1,$AE$2:$AP$589),_xlfn.XLOOKUP(E$29,$AE$1:$AP$1,$AE$2:$AP$589))</f>
        <v>0.97843294002448777</v>
      </c>
      <c r="Q30" s="1">
        <v>45015</v>
      </c>
      <c r="R30">
        <v>4.7400000000000005E-2</v>
      </c>
      <c r="S30">
        <v>4.7699999999999992E-2</v>
      </c>
      <c r="T30">
        <v>4.9699999999999994E-2</v>
      </c>
      <c r="U30">
        <v>4.9200000000000001E-2</v>
      </c>
      <c r="V30">
        <v>4.6300000000000001E-2</v>
      </c>
      <c r="W30">
        <v>4.0999999999999995E-2</v>
      </c>
      <c r="X30">
        <v>3.8699999999999998E-2</v>
      </c>
      <c r="Y30">
        <v>3.6600000000000001E-2</v>
      </c>
      <c r="Z30">
        <v>3.61E-2</v>
      </c>
      <c r="AA30">
        <v>3.5499999999999997E-2</v>
      </c>
      <c r="AB30">
        <v>3.8800000000000001E-2</v>
      </c>
      <c r="AC30">
        <v>3.7400000000000003E-2</v>
      </c>
      <c r="AE30">
        <f t="shared" si="2"/>
        <v>4.0000000000000036E-3</v>
      </c>
      <c r="AF30">
        <f t="shared" si="3"/>
        <v>2.6999999999999941E-3</v>
      </c>
      <c r="AG30">
        <f t="shared" si="4"/>
        <v>1.6999999999999932E-3</v>
      </c>
      <c r="AH30">
        <f t="shared" si="5"/>
        <v>0</v>
      </c>
      <c r="AI30">
        <f t="shared" si="6"/>
        <v>4.0000000000000452E-4</v>
      </c>
      <c r="AJ30">
        <f t="shared" si="7"/>
        <v>1.9999999999999185E-4</v>
      </c>
      <c r="AK30">
        <f t="shared" si="8"/>
        <v>0</v>
      </c>
      <c r="AL30">
        <f t="shared" si="9"/>
        <v>-9.9999999999995925E-5</v>
      </c>
      <c r="AM30">
        <f t="shared" si="10"/>
        <v>-1.0000000000000286E-4</v>
      </c>
      <c r="AN30">
        <f t="shared" si="11"/>
        <v>-1.9999999999999879E-4</v>
      </c>
      <c r="AO30">
        <f t="shared" si="12"/>
        <v>-3.0000000000000165E-4</v>
      </c>
      <c r="AP30">
        <f t="shared" si="13"/>
        <v>-3.9999999999999758E-4</v>
      </c>
    </row>
    <row r="31" spans="1:42" ht="15.75" thickBot="1" x14ac:dyDescent="0.3">
      <c r="A31" s="5"/>
      <c r="B31" s="5"/>
      <c r="C31" s="32" t="s">
        <v>9</v>
      </c>
      <c r="D31" s="23">
        <f>CORREL(_xlfn.XLOOKUP($C31,$AE$1:$AP$1,$AE$2:$AP$589),_xlfn.XLOOKUP(D$29,$AE$1:$AP$1,$AE$2:$AP$589))</f>
        <v>0.97843294002448777</v>
      </c>
      <c r="E31" s="24">
        <f>CORREL(_xlfn.XLOOKUP($C31,$AE$1:$AP$1,$AE$2:$AP$589),_xlfn.XLOOKUP(E$29,$AE$1:$AP$1,$AE$2:$AP$589))</f>
        <v>1</v>
      </c>
      <c r="Q31" s="1">
        <v>45014</v>
      </c>
      <c r="R31">
        <v>4.3400000000000001E-2</v>
      </c>
      <c r="S31">
        <v>4.4999999999999998E-2</v>
      </c>
      <c r="T31">
        <v>4.8000000000000001E-2</v>
      </c>
      <c r="U31">
        <v>4.9200000000000001E-2</v>
      </c>
      <c r="V31">
        <v>4.5899999999999996E-2</v>
      </c>
      <c r="W31">
        <v>4.0800000000000003E-2</v>
      </c>
      <c r="X31">
        <v>3.8699999999999998E-2</v>
      </c>
      <c r="Y31">
        <v>3.6699999999999997E-2</v>
      </c>
      <c r="Z31">
        <v>3.6200000000000003E-2</v>
      </c>
      <c r="AA31">
        <v>3.5699999999999996E-2</v>
      </c>
      <c r="AB31">
        <v>3.9100000000000003E-2</v>
      </c>
      <c r="AC31">
        <v>3.78E-2</v>
      </c>
      <c r="AE31">
        <f t="shared" si="2"/>
        <v>1.0000000000000009E-3</v>
      </c>
      <c r="AF31">
        <f t="shared" si="3"/>
        <v>1.1000000000000038E-3</v>
      </c>
      <c r="AG31">
        <f t="shared" si="4"/>
        <v>0</v>
      </c>
      <c r="AH31">
        <f t="shared" si="5"/>
        <v>1.9999999999999879E-4</v>
      </c>
      <c r="AI31">
        <f t="shared" si="6"/>
        <v>3.9999999999999758E-4</v>
      </c>
      <c r="AJ31">
        <f t="shared" si="7"/>
        <v>6.0000000000001025E-4</v>
      </c>
      <c r="AK31">
        <f t="shared" si="8"/>
        <v>3.0000000000000165E-4</v>
      </c>
      <c r="AL31">
        <f t="shared" si="9"/>
        <v>3.9999999999999758E-4</v>
      </c>
      <c r="AM31">
        <f t="shared" si="10"/>
        <v>1.9999999999999879E-4</v>
      </c>
      <c r="AN31">
        <f t="shared" si="11"/>
        <v>1.9999999999999879E-4</v>
      </c>
      <c r="AO31">
        <f t="shared" si="12"/>
        <v>1.0000000000000286E-4</v>
      </c>
      <c r="AP31">
        <f t="shared" si="13"/>
        <v>1.0000000000000286E-4</v>
      </c>
    </row>
    <row r="32" spans="1:42" x14ac:dyDescent="0.25">
      <c r="Q32" s="1">
        <v>45013</v>
      </c>
      <c r="R32">
        <v>4.24E-2</v>
      </c>
      <c r="S32">
        <v>4.3899999999999995E-2</v>
      </c>
      <c r="T32">
        <v>4.8000000000000001E-2</v>
      </c>
      <c r="U32">
        <v>4.9000000000000002E-2</v>
      </c>
      <c r="V32">
        <v>4.5499999999999999E-2</v>
      </c>
      <c r="W32">
        <v>4.0199999999999993E-2</v>
      </c>
      <c r="X32">
        <v>3.8399999999999997E-2</v>
      </c>
      <c r="Y32">
        <v>3.6299999999999999E-2</v>
      </c>
      <c r="Z32">
        <v>3.6000000000000004E-2</v>
      </c>
      <c r="AA32">
        <v>3.5499999999999997E-2</v>
      </c>
      <c r="AB32">
        <v>3.9E-2</v>
      </c>
      <c r="AC32">
        <v>3.7699999999999997E-2</v>
      </c>
      <c r="AE32">
        <f t="shared" si="2"/>
        <v>2.0000000000000573E-4</v>
      </c>
      <c r="AF32">
        <f t="shared" si="3"/>
        <v>-8.000000000000021E-4</v>
      </c>
      <c r="AG32">
        <f t="shared" si="4"/>
        <v>-1.1000000000000038E-3</v>
      </c>
      <c r="AH32">
        <f t="shared" si="5"/>
        <v>3.9999999999999758E-4</v>
      </c>
      <c r="AI32">
        <f t="shared" si="6"/>
        <v>3.9999999999999758E-4</v>
      </c>
      <c r="AJ32">
        <f t="shared" si="7"/>
        <v>7.9999999999999516E-4</v>
      </c>
      <c r="AK32">
        <f t="shared" si="8"/>
        <v>4.9999999999999351E-4</v>
      </c>
      <c r="AL32">
        <f t="shared" si="9"/>
        <v>3.9999999999999758E-4</v>
      </c>
      <c r="AM32">
        <f t="shared" si="10"/>
        <v>3.0000000000000859E-4</v>
      </c>
      <c r="AN32">
        <f t="shared" si="11"/>
        <v>1.9999999999999879E-4</v>
      </c>
      <c r="AO32">
        <f t="shared" si="12"/>
        <v>0</v>
      </c>
      <c r="AP32">
        <f t="shared" si="13"/>
        <v>0</v>
      </c>
    </row>
    <row r="33" spans="1:42" x14ac:dyDescent="0.25">
      <c r="A33" t="s">
        <v>25</v>
      </c>
      <c r="B33" s="7" cm="1">
        <f t="array" ref="B33">SQRT(MMULT(TRANSPOSE(A29:A30),MMULT(D30:E31,A29:A30)))</f>
        <v>5.9225358784506304E-3</v>
      </c>
      <c r="Q33" s="1">
        <v>45012</v>
      </c>
      <c r="R33">
        <v>4.2199999999999994E-2</v>
      </c>
      <c r="S33">
        <v>4.4699999999999997E-2</v>
      </c>
      <c r="T33">
        <v>4.9100000000000005E-2</v>
      </c>
      <c r="U33">
        <v>4.8600000000000004E-2</v>
      </c>
      <c r="V33">
        <v>4.5100000000000001E-2</v>
      </c>
      <c r="W33">
        <v>3.9399999999999998E-2</v>
      </c>
      <c r="X33">
        <v>3.7900000000000003E-2</v>
      </c>
      <c r="Y33">
        <v>3.5900000000000001E-2</v>
      </c>
      <c r="Z33">
        <v>3.5699999999999996E-2</v>
      </c>
      <c r="AA33">
        <v>3.5299999999999998E-2</v>
      </c>
      <c r="AB33">
        <v>3.9E-2</v>
      </c>
      <c r="AC33">
        <v>3.7699999999999997E-2</v>
      </c>
      <c r="AE33">
        <f t="shared" si="2"/>
        <v>-6.0000000000001025E-4</v>
      </c>
      <c r="AF33">
        <f t="shared" si="3"/>
        <v>-1.000000000000098E-4</v>
      </c>
      <c r="AG33">
        <f t="shared" si="4"/>
        <v>1.7000000000000001E-3</v>
      </c>
      <c r="AH33">
        <f t="shared" si="5"/>
        <v>1.0000000000000078E-3</v>
      </c>
      <c r="AI33">
        <f t="shared" si="6"/>
        <v>1.8999999999999989E-3</v>
      </c>
      <c r="AJ33">
        <f t="shared" si="7"/>
        <v>1.800000000000003E-3</v>
      </c>
      <c r="AK33">
        <f t="shared" si="8"/>
        <v>2.1000000000000046E-3</v>
      </c>
      <c r="AL33">
        <f t="shared" si="9"/>
        <v>1.800000000000003E-3</v>
      </c>
      <c r="AM33">
        <f t="shared" si="10"/>
        <v>1.6999999999999932E-3</v>
      </c>
      <c r="AN33">
        <f t="shared" si="11"/>
        <v>1.5000000000000013E-3</v>
      </c>
      <c r="AO33">
        <f t="shared" si="12"/>
        <v>1.3000000000000025E-3</v>
      </c>
      <c r="AP33">
        <f t="shared" si="13"/>
        <v>1.2999999999999956E-3</v>
      </c>
    </row>
    <row r="34" spans="1:42" x14ac:dyDescent="0.25">
      <c r="A34" t="s">
        <v>26</v>
      </c>
      <c r="B34">
        <f>ABS(NORMSINV((1-0.99)))</f>
        <v>2.3263478740408408</v>
      </c>
      <c r="Q34" s="1">
        <v>45009</v>
      </c>
      <c r="R34">
        <v>4.2800000000000005E-2</v>
      </c>
      <c r="S34">
        <v>4.4800000000000006E-2</v>
      </c>
      <c r="T34">
        <v>4.7400000000000005E-2</v>
      </c>
      <c r="U34">
        <v>4.7599999999999996E-2</v>
      </c>
      <c r="V34">
        <v>4.3200000000000002E-2</v>
      </c>
      <c r="W34">
        <v>3.7599999999999995E-2</v>
      </c>
      <c r="X34">
        <v>3.5799999999999998E-2</v>
      </c>
      <c r="Y34">
        <v>3.4099999999999998E-2</v>
      </c>
      <c r="Z34">
        <v>3.4000000000000002E-2</v>
      </c>
      <c r="AA34">
        <v>3.3799999999999997E-2</v>
      </c>
      <c r="AB34">
        <v>3.7699999999999997E-2</v>
      </c>
      <c r="AC34">
        <v>3.6400000000000002E-2</v>
      </c>
      <c r="AE34">
        <f t="shared" si="2"/>
        <v>2.0000000000000573E-4</v>
      </c>
      <c r="AF34">
        <f t="shared" si="3"/>
        <v>0</v>
      </c>
      <c r="AG34">
        <f t="shared" si="4"/>
        <v>1.0000000000000286E-4</v>
      </c>
      <c r="AH34">
        <f t="shared" si="5"/>
        <v>-4.0000000000000452E-4</v>
      </c>
      <c r="AI34">
        <f t="shared" si="6"/>
        <v>-5.9999999999999637E-4</v>
      </c>
      <c r="AJ34">
        <f t="shared" si="7"/>
        <v>0</v>
      </c>
      <c r="AK34">
        <f t="shared" si="8"/>
        <v>1.0000000000000286E-4</v>
      </c>
      <c r="AL34">
        <f t="shared" si="9"/>
        <v>1.9999999999999879E-4</v>
      </c>
      <c r="AM34">
        <f t="shared" si="10"/>
        <v>1.0000000000000286E-4</v>
      </c>
      <c r="AN34">
        <f t="shared" si="11"/>
        <v>0</v>
      </c>
      <c r="AO34">
        <f t="shared" si="12"/>
        <v>-1.0000000000000286E-4</v>
      </c>
      <c r="AP34">
        <f t="shared" si="13"/>
        <v>-1.9999999999999879E-4</v>
      </c>
    </row>
    <row r="35" spans="1:42" x14ac:dyDescent="0.25">
      <c r="A35" t="s">
        <v>27</v>
      </c>
      <c r="B35" s="7">
        <f>B33*B34</f>
        <v>1.3777878749764227E-2</v>
      </c>
      <c r="Q35" s="1">
        <v>45008</v>
      </c>
      <c r="R35">
        <v>4.2599999999999999E-2</v>
      </c>
      <c r="S35">
        <v>4.4800000000000006E-2</v>
      </c>
      <c r="T35">
        <v>4.7300000000000002E-2</v>
      </c>
      <c r="U35">
        <v>4.8000000000000001E-2</v>
      </c>
      <c r="V35">
        <v>4.3799999999999999E-2</v>
      </c>
      <c r="W35">
        <v>3.7599999999999995E-2</v>
      </c>
      <c r="X35">
        <v>3.5699999999999996E-2</v>
      </c>
      <c r="Y35">
        <v>3.39E-2</v>
      </c>
      <c r="Z35">
        <v>3.39E-2</v>
      </c>
      <c r="AA35">
        <v>3.3799999999999997E-2</v>
      </c>
      <c r="AB35">
        <v>3.78E-2</v>
      </c>
      <c r="AC35">
        <v>3.6600000000000001E-2</v>
      </c>
      <c r="AE35">
        <f t="shared" si="2"/>
        <v>1.0000000000000009E-3</v>
      </c>
      <c r="AF35">
        <f t="shared" si="3"/>
        <v>-7.9999999999998822E-4</v>
      </c>
      <c r="AG35">
        <f t="shared" si="4"/>
        <v>-5.9999999999999637E-4</v>
      </c>
      <c r="AH35">
        <f t="shared" si="5"/>
        <v>-1.5000000000000013E-3</v>
      </c>
      <c r="AI35">
        <f t="shared" si="6"/>
        <v>-1.799999999999996E-3</v>
      </c>
      <c r="AJ35">
        <f t="shared" si="7"/>
        <v>-2.0000000000000018E-3</v>
      </c>
      <c r="AK35">
        <f t="shared" si="8"/>
        <v>-1.8999999999999989E-3</v>
      </c>
      <c r="AL35">
        <f t="shared" si="9"/>
        <v>-1.5000000000000013E-3</v>
      </c>
      <c r="AM35">
        <f t="shared" si="10"/>
        <v>-1.3999999999999985E-3</v>
      </c>
      <c r="AN35">
        <f t="shared" si="11"/>
        <v>-1.0000000000000009E-3</v>
      </c>
      <c r="AO35">
        <f t="shared" si="12"/>
        <v>-5.0000000000000044E-4</v>
      </c>
      <c r="AP35">
        <f t="shared" si="13"/>
        <v>-1.9999999999999879E-4</v>
      </c>
    </row>
    <row r="36" spans="1:42" x14ac:dyDescent="0.25">
      <c r="A36" t="s">
        <v>28</v>
      </c>
      <c r="B36" s="6">
        <f>B23*B35</f>
        <v>90.107327023458041</v>
      </c>
      <c r="Q36" s="1">
        <v>45007</v>
      </c>
      <c r="R36">
        <v>4.1599999999999998E-2</v>
      </c>
      <c r="S36">
        <v>4.5599999999999995E-2</v>
      </c>
      <c r="T36">
        <v>4.7899999999999998E-2</v>
      </c>
      <c r="U36">
        <v>4.9500000000000002E-2</v>
      </c>
      <c r="V36">
        <v>4.5599999999999995E-2</v>
      </c>
      <c r="W36">
        <v>3.9599999999999996E-2</v>
      </c>
      <c r="X36">
        <v>3.7599999999999995E-2</v>
      </c>
      <c r="Y36">
        <v>3.5400000000000001E-2</v>
      </c>
      <c r="Z36">
        <v>3.5299999999999998E-2</v>
      </c>
      <c r="AA36">
        <v>3.4799999999999998E-2</v>
      </c>
      <c r="AB36">
        <v>3.8300000000000001E-2</v>
      </c>
      <c r="AC36">
        <v>3.6799999999999999E-2</v>
      </c>
      <c r="AE36">
        <f t="shared" si="2"/>
        <v>8.9999999999999802E-4</v>
      </c>
      <c r="AF36">
        <f t="shared" si="3"/>
        <v>5.9999999999999637E-4</v>
      </c>
      <c r="AG36">
        <f t="shared" si="4"/>
        <v>9.9999999999995925E-5</v>
      </c>
      <c r="AH36">
        <f t="shared" si="5"/>
        <v>-9.9999999999995925E-5</v>
      </c>
      <c r="AI36">
        <f t="shared" si="6"/>
        <v>-1.1999999999999997E-3</v>
      </c>
      <c r="AJ36">
        <f t="shared" si="7"/>
        <v>-2.1000000000000046E-3</v>
      </c>
      <c r="AK36">
        <f t="shared" si="8"/>
        <v>-2.2000000000000075E-3</v>
      </c>
      <c r="AL36">
        <f t="shared" si="9"/>
        <v>-1.8999999999999989E-3</v>
      </c>
      <c r="AM36">
        <f t="shared" si="10"/>
        <v>-1.5000000000000013E-3</v>
      </c>
      <c r="AN36">
        <f t="shared" si="11"/>
        <v>-1.1000000000000038E-3</v>
      </c>
      <c r="AO36">
        <f t="shared" si="12"/>
        <v>-6.9999999999999923E-4</v>
      </c>
      <c r="AP36">
        <f t="shared" si="13"/>
        <v>-5.0000000000000044E-4</v>
      </c>
    </row>
    <row r="37" spans="1:42" x14ac:dyDescent="0.25">
      <c r="Q37" s="1">
        <v>45006</v>
      </c>
      <c r="R37">
        <v>4.07E-2</v>
      </c>
      <c r="S37">
        <v>4.4999999999999998E-2</v>
      </c>
      <c r="T37">
        <v>4.7800000000000002E-2</v>
      </c>
      <c r="U37">
        <v>4.9599999999999998E-2</v>
      </c>
      <c r="V37">
        <v>4.6799999999999994E-2</v>
      </c>
      <c r="W37">
        <v>4.1700000000000001E-2</v>
      </c>
      <c r="X37">
        <v>3.9800000000000002E-2</v>
      </c>
      <c r="Y37">
        <v>3.73E-2</v>
      </c>
      <c r="Z37">
        <v>3.6799999999999999E-2</v>
      </c>
      <c r="AA37">
        <v>3.5900000000000001E-2</v>
      </c>
      <c r="AB37">
        <v>3.9E-2</v>
      </c>
      <c r="AC37">
        <v>3.73E-2</v>
      </c>
      <c r="AE37">
        <f t="shared" si="2"/>
        <v>-2.700000000000001E-3</v>
      </c>
      <c r="AF37">
        <f t="shared" si="3"/>
        <v>-5.9999999999999637E-4</v>
      </c>
      <c r="AG37">
        <f t="shared" si="4"/>
        <v>-2.9999999999999472E-4</v>
      </c>
      <c r="AH37">
        <f t="shared" si="5"/>
        <v>1.5999999999999973E-3</v>
      </c>
      <c r="AI37">
        <f t="shared" si="6"/>
        <v>3.3999999999999933E-3</v>
      </c>
      <c r="AJ37">
        <f t="shared" si="7"/>
        <v>2.5000000000000022E-3</v>
      </c>
      <c r="AK37">
        <f t="shared" si="8"/>
        <v>2.1000000000000046E-3</v>
      </c>
      <c r="AL37">
        <f t="shared" si="9"/>
        <v>1.7000000000000001E-3</v>
      </c>
      <c r="AM37">
        <f t="shared" si="10"/>
        <v>1.3000000000000025E-3</v>
      </c>
      <c r="AN37">
        <f t="shared" si="11"/>
        <v>1.1999999999999997E-3</v>
      </c>
      <c r="AO37">
        <f t="shared" si="12"/>
        <v>6.9999999999999923E-4</v>
      </c>
      <c r="AP37">
        <f t="shared" si="13"/>
        <v>8.000000000000021E-4</v>
      </c>
    </row>
    <row r="38" spans="1:42" x14ac:dyDescent="0.25">
      <c r="A38" s="29" t="s">
        <v>40</v>
      </c>
      <c r="Q38" s="1">
        <v>45005</v>
      </c>
      <c r="R38">
        <v>4.3400000000000001E-2</v>
      </c>
      <c r="S38">
        <v>4.5599999999999995E-2</v>
      </c>
      <c r="T38">
        <v>4.8099999999999997E-2</v>
      </c>
      <c r="U38">
        <v>4.8000000000000001E-2</v>
      </c>
      <c r="V38">
        <v>4.3400000000000001E-2</v>
      </c>
      <c r="W38">
        <v>3.9199999999999999E-2</v>
      </c>
      <c r="X38">
        <v>3.7699999999999997E-2</v>
      </c>
      <c r="Y38">
        <v>3.56E-2</v>
      </c>
      <c r="Z38">
        <v>3.5499999999999997E-2</v>
      </c>
      <c r="AA38">
        <v>3.4700000000000002E-2</v>
      </c>
      <c r="AB38">
        <v>3.8300000000000001E-2</v>
      </c>
      <c r="AC38">
        <v>3.6499999999999998E-2</v>
      </c>
      <c r="AE38">
        <f t="shared" si="2"/>
        <v>3.0000000000000165E-4</v>
      </c>
      <c r="AF38">
        <f t="shared" si="3"/>
        <v>4.9999999999999351E-4</v>
      </c>
      <c r="AG38">
        <f t="shared" si="4"/>
        <v>2.8999999999999998E-3</v>
      </c>
      <c r="AH38">
        <f t="shared" si="5"/>
        <v>8.9999999999999802E-4</v>
      </c>
      <c r="AI38">
        <f t="shared" si="6"/>
        <v>8.000000000000021E-4</v>
      </c>
      <c r="AJ38">
        <f t="shared" si="7"/>
        <v>1.0999999999999968E-3</v>
      </c>
      <c r="AK38">
        <f t="shared" si="8"/>
        <v>8.9999999999999802E-4</v>
      </c>
      <c r="AL38">
        <f t="shared" si="9"/>
        <v>1.1999999999999997E-3</v>
      </c>
      <c r="AM38">
        <f t="shared" si="10"/>
        <v>9.9999999999999395E-4</v>
      </c>
      <c r="AN38">
        <f t="shared" si="11"/>
        <v>8.000000000000021E-4</v>
      </c>
      <c r="AO38">
        <f t="shared" si="12"/>
        <v>7.0000000000000617E-4</v>
      </c>
      <c r="AP38">
        <f t="shared" si="13"/>
        <v>4.9999999999999351E-4</v>
      </c>
    </row>
    <row r="39" spans="1:42" x14ac:dyDescent="0.25">
      <c r="Q39" s="1">
        <v>45002</v>
      </c>
      <c r="R39">
        <v>4.3099999999999999E-2</v>
      </c>
      <c r="S39">
        <v>4.5100000000000001E-2</v>
      </c>
      <c r="T39">
        <v>4.5199999999999997E-2</v>
      </c>
      <c r="U39">
        <v>4.7100000000000003E-2</v>
      </c>
      <c r="V39">
        <v>4.2599999999999999E-2</v>
      </c>
      <c r="W39">
        <v>3.8100000000000002E-2</v>
      </c>
      <c r="X39">
        <v>3.6799999999999999E-2</v>
      </c>
      <c r="Y39">
        <v>3.44E-2</v>
      </c>
      <c r="Z39">
        <v>3.4500000000000003E-2</v>
      </c>
      <c r="AA39">
        <v>3.39E-2</v>
      </c>
      <c r="AB39">
        <v>3.7599999999999995E-2</v>
      </c>
      <c r="AC39">
        <v>3.6000000000000004E-2</v>
      </c>
      <c r="AE39">
        <f t="shared" si="2"/>
        <v>9.0000000000000496E-4</v>
      </c>
      <c r="AF39">
        <f t="shared" si="3"/>
        <v>-1.5000000000000013E-3</v>
      </c>
      <c r="AG39">
        <f t="shared" si="4"/>
        <v>-2.2000000000000075E-3</v>
      </c>
      <c r="AH39">
        <f t="shared" si="5"/>
        <v>-2.3000000000000034E-3</v>
      </c>
      <c r="AI39">
        <f t="shared" si="6"/>
        <v>-2.3000000000000034E-3</v>
      </c>
      <c r="AJ39">
        <f t="shared" si="7"/>
        <v>-3.2999999999999974E-3</v>
      </c>
      <c r="AK39">
        <f t="shared" si="8"/>
        <v>-3.1000000000000055E-3</v>
      </c>
      <c r="AL39">
        <f t="shared" si="9"/>
        <v>-2.8000000000000039E-3</v>
      </c>
      <c r="AM39">
        <f t="shared" si="10"/>
        <v>-2.1999999999999936E-3</v>
      </c>
      <c r="AN39">
        <f t="shared" si="11"/>
        <v>-1.7000000000000001E-3</v>
      </c>
      <c r="AO39">
        <f t="shared" si="12"/>
        <v>-1.1000000000000038E-3</v>
      </c>
      <c r="AP39">
        <f t="shared" si="13"/>
        <v>-1.0999999999999968E-3</v>
      </c>
    </row>
    <row r="40" spans="1:42" x14ac:dyDescent="0.25">
      <c r="Q40" s="1">
        <v>45001</v>
      </c>
      <c r="R40">
        <v>4.2199999999999994E-2</v>
      </c>
      <c r="S40">
        <v>4.6600000000000003E-2</v>
      </c>
      <c r="T40">
        <v>4.7400000000000005E-2</v>
      </c>
      <c r="U40">
        <v>4.9400000000000006E-2</v>
      </c>
      <c r="V40">
        <v>4.4900000000000002E-2</v>
      </c>
      <c r="W40">
        <v>4.1399999999999999E-2</v>
      </c>
      <c r="X40">
        <v>3.9900000000000005E-2</v>
      </c>
      <c r="Y40">
        <v>3.7200000000000004E-2</v>
      </c>
      <c r="Z40">
        <v>3.6699999999999997E-2</v>
      </c>
      <c r="AA40">
        <v>3.56E-2</v>
      </c>
      <c r="AB40">
        <v>3.8699999999999998E-2</v>
      </c>
      <c r="AC40">
        <v>3.7100000000000001E-2</v>
      </c>
      <c r="AE40">
        <f t="shared" si="2"/>
        <v>-1.000000000000098E-4</v>
      </c>
      <c r="AF40">
        <f t="shared" si="3"/>
        <v>1.0000000000000078E-3</v>
      </c>
      <c r="AG40">
        <f t="shared" si="4"/>
        <v>-9.9999999999995925E-5</v>
      </c>
      <c r="AH40">
        <f t="shared" si="5"/>
        <v>2.1000000000000046E-3</v>
      </c>
      <c r="AI40">
        <f t="shared" si="6"/>
        <v>2.9999999999999957E-3</v>
      </c>
      <c r="AJ40">
        <f t="shared" si="7"/>
        <v>2.0999999999999977E-3</v>
      </c>
      <c r="AK40">
        <f t="shared" si="8"/>
        <v>1.6000000000000042E-3</v>
      </c>
      <c r="AL40">
        <f t="shared" si="9"/>
        <v>1.3000000000000025E-3</v>
      </c>
      <c r="AM40">
        <f t="shared" si="10"/>
        <v>1.0000000000000009E-3</v>
      </c>
      <c r="AN40">
        <f t="shared" si="11"/>
        <v>5.0000000000000044E-4</v>
      </c>
      <c r="AO40">
        <f t="shared" si="12"/>
        <v>5.0000000000000044E-4</v>
      </c>
      <c r="AP40">
        <f t="shared" si="13"/>
        <v>9.9999999999995925E-5</v>
      </c>
    </row>
    <row r="41" spans="1:42" x14ac:dyDescent="0.25">
      <c r="Q41" s="1">
        <v>45000</v>
      </c>
      <c r="R41">
        <v>4.2300000000000004E-2</v>
      </c>
      <c r="S41">
        <v>4.5599999999999995E-2</v>
      </c>
      <c r="T41">
        <v>4.7500000000000001E-2</v>
      </c>
      <c r="U41">
        <v>4.7300000000000002E-2</v>
      </c>
      <c r="V41">
        <v>4.1900000000000007E-2</v>
      </c>
      <c r="W41">
        <v>3.9300000000000002E-2</v>
      </c>
      <c r="X41">
        <v>3.8300000000000001E-2</v>
      </c>
      <c r="Y41">
        <v>3.5900000000000001E-2</v>
      </c>
      <c r="Z41">
        <v>3.5699999999999996E-2</v>
      </c>
      <c r="AA41">
        <v>3.5099999999999999E-2</v>
      </c>
      <c r="AB41">
        <v>3.8199999999999998E-2</v>
      </c>
      <c r="AC41">
        <v>3.7000000000000005E-2</v>
      </c>
      <c r="AE41">
        <f t="shared" si="2"/>
        <v>-2.3999999999999924E-3</v>
      </c>
      <c r="AF41">
        <f t="shared" si="3"/>
        <v>-2.0999999999999977E-3</v>
      </c>
      <c r="AG41">
        <f t="shared" si="4"/>
        <v>-1.2999999999999956E-3</v>
      </c>
      <c r="AH41">
        <f t="shared" si="5"/>
        <v>-1.9999999999999948E-3</v>
      </c>
      <c r="AI41">
        <f t="shared" si="6"/>
        <v>-2.5999999999999981E-3</v>
      </c>
      <c r="AJ41">
        <f t="shared" si="7"/>
        <v>-2.700000000000001E-3</v>
      </c>
      <c r="AK41">
        <f t="shared" si="8"/>
        <v>-2.2000000000000006E-3</v>
      </c>
      <c r="AL41">
        <f t="shared" si="9"/>
        <v>-1.8999999999999989E-3</v>
      </c>
      <c r="AM41">
        <f t="shared" si="10"/>
        <v>-1.7000000000000071E-3</v>
      </c>
      <c r="AN41">
        <f t="shared" si="11"/>
        <v>-1.3000000000000025E-3</v>
      </c>
      <c r="AO41">
        <f t="shared" si="12"/>
        <v>-9.0000000000000496E-4</v>
      </c>
      <c r="AP41">
        <f t="shared" si="13"/>
        <v>-6.999999999999923E-4</v>
      </c>
    </row>
    <row r="42" spans="1:42" x14ac:dyDescent="0.25">
      <c r="Q42" s="1">
        <v>44999</v>
      </c>
      <c r="R42">
        <v>4.4699999999999997E-2</v>
      </c>
      <c r="S42">
        <v>4.7699999999999992E-2</v>
      </c>
      <c r="T42">
        <v>4.8799999999999996E-2</v>
      </c>
      <c r="U42">
        <v>4.9299999999999997E-2</v>
      </c>
      <c r="V42">
        <v>4.4500000000000005E-2</v>
      </c>
      <c r="W42">
        <v>4.2000000000000003E-2</v>
      </c>
      <c r="X42">
        <v>4.0500000000000001E-2</v>
      </c>
      <c r="Y42">
        <v>3.78E-2</v>
      </c>
      <c r="Z42">
        <v>3.7400000000000003E-2</v>
      </c>
      <c r="AA42">
        <v>3.6400000000000002E-2</v>
      </c>
      <c r="AB42">
        <v>3.9100000000000003E-2</v>
      </c>
      <c r="AC42">
        <v>3.7699999999999997E-2</v>
      </c>
      <c r="AE42">
        <f t="shared" si="2"/>
        <v>-1.5000000000000013E-3</v>
      </c>
      <c r="AF42">
        <f t="shared" si="3"/>
        <v>-4.0000000000000452E-4</v>
      </c>
      <c r="AG42">
        <f t="shared" si="4"/>
        <v>9.9999999999995925E-5</v>
      </c>
      <c r="AH42">
        <f t="shared" si="5"/>
        <v>1.1999999999999997E-3</v>
      </c>
      <c r="AI42">
        <f t="shared" si="6"/>
        <v>1.5000000000000083E-3</v>
      </c>
      <c r="AJ42">
        <f t="shared" si="7"/>
        <v>1.7000000000000001E-3</v>
      </c>
      <c r="AK42">
        <f t="shared" si="8"/>
        <v>1.7000000000000001E-3</v>
      </c>
      <c r="AL42">
        <f t="shared" si="9"/>
        <v>1.0000000000000009E-3</v>
      </c>
      <c r="AM42">
        <f t="shared" si="10"/>
        <v>9.0000000000000496E-4</v>
      </c>
      <c r="AN42">
        <f t="shared" si="11"/>
        <v>9.0000000000000496E-4</v>
      </c>
      <c r="AO42">
        <f t="shared" si="12"/>
        <v>6.0000000000000331E-4</v>
      </c>
      <c r="AP42">
        <f t="shared" si="13"/>
        <v>6.999999999999923E-4</v>
      </c>
    </row>
    <row r="43" spans="1:42" x14ac:dyDescent="0.25">
      <c r="Q43" s="1">
        <v>44998</v>
      </c>
      <c r="R43">
        <v>4.6199999999999998E-2</v>
      </c>
      <c r="S43">
        <v>4.8099999999999997E-2</v>
      </c>
      <c r="T43">
        <v>4.87E-2</v>
      </c>
      <c r="U43">
        <v>4.8099999999999997E-2</v>
      </c>
      <c r="V43">
        <v>4.2999999999999997E-2</v>
      </c>
      <c r="W43">
        <v>4.0300000000000002E-2</v>
      </c>
      <c r="X43">
        <v>3.8800000000000001E-2</v>
      </c>
      <c r="Y43">
        <v>3.6799999999999999E-2</v>
      </c>
      <c r="Z43">
        <v>3.6499999999999998E-2</v>
      </c>
      <c r="AA43">
        <v>3.5499999999999997E-2</v>
      </c>
      <c r="AB43">
        <v>3.85E-2</v>
      </c>
      <c r="AC43">
        <v>3.7000000000000005E-2</v>
      </c>
      <c r="AE43">
        <f t="shared" si="2"/>
        <v>-1.8999999999999989E-3</v>
      </c>
      <c r="AF43">
        <f t="shared" si="3"/>
        <v>-1.0000000000000078E-3</v>
      </c>
      <c r="AG43">
        <f t="shared" si="4"/>
        <v>-1.3999999999999985E-3</v>
      </c>
      <c r="AH43">
        <f t="shared" si="5"/>
        <v>-3.599999999999999E-3</v>
      </c>
      <c r="AI43">
        <f t="shared" si="6"/>
        <v>-6.0000000000000053E-3</v>
      </c>
      <c r="AJ43">
        <f t="shared" si="7"/>
        <v>-5.6999999999999967E-3</v>
      </c>
      <c r="AK43">
        <f t="shared" si="8"/>
        <v>-4.2999999999999983E-3</v>
      </c>
      <c r="AL43">
        <f t="shared" si="9"/>
        <v>-2.7999999999999969E-3</v>
      </c>
      <c r="AM43">
        <f t="shared" si="10"/>
        <v>-2.0999999999999977E-3</v>
      </c>
      <c r="AN43">
        <f t="shared" si="11"/>
        <v>-1.5000000000000083E-3</v>
      </c>
      <c r="AO43">
        <f t="shared" si="12"/>
        <v>-5.0000000000000044E-4</v>
      </c>
      <c r="AP43">
        <f t="shared" si="13"/>
        <v>0</v>
      </c>
    </row>
    <row r="44" spans="1:42" x14ac:dyDescent="0.25">
      <c r="Q44" s="1">
        <v>44995</v>
      </c>
      <c r="R44">
        <v>4.8099999999999997E-2</v>
      </c>
      <c r="S44">
        <v>4.9100000000000005E-2</v>
      </c>
      <c r="T44">
        <v>5.0099999999999999E-2</v>
      </c>
      <c r="U44">
        <v>5.1699999999999996E-2</v>
      </c>
      <c r="V44">
        <v>4.9000000000000002E-2</v>
      </c>
      <c r="W44">
        <v>4.5999999999999999E-2</v>
      </c>
      <c r="X44">
        <v>4.3099999999999999E-2</v>
      </c>
      <c r="Y44">
        <v>3.9599999999999996E-2</v>
      </c>
      <c r="Z44">
        <v>3.8599999999999995E-2</v>
      </c>
      <c r="AA44">
        <v>3.7000000000000005E-2</v>
      </c>
      <c r="AB44">
        <v>3.9E-2</v>
      </c>
      <c r="AC44">
        <v>3.7000000000000005E-2</v>
      </c>
      <c r="AE44">
        <f t="shared" si="2"/>
        <v>-2.0000000000000573E-4</v>
      </c>
      <c r="AF44">
        <f t="shared" si="3"/>
        <v>-4.9999999999999351E-4</v>
      </c>
      <c r="AG44">
        <f t="shared" si="4"/>
        <v>-3.9999999999999758E-4</v>
      </c>
      <c r="AH44">
        <f t="shared" si="5"/>
        <v>-1.5000000000000083E-3</v>
      </c>
      <c r="AI44">
        <f t="shared" si="6"/>
        <v>-2.7999999999999969E-3</v>
      </c>
      <c r="AJ44">
        <f t="shared" si="7"/>
        <v>-3.0000000000000027E-3</v>
      </c>
      <c r="AK44">
        <f t="shared" si="8"/>
        <v>-2.4999999999999953E-3</v>
      </c>
      <c r="AL44">
        <f t="shared" si="9"/>
        <v>-2.5999999999999981E-3</v>
      </c>
      <c r="AM44">
        <f t="shared" si="10"/>
        <v>-2.3999999999999994E-3</v>
      </c>
      <c r="AN44">
        <f t="shared" si="11"/>
        <v>-2.2999999999999965E-3</v>
      </c>
      <c r="AO44">
        <f t="shared" si="12"/>
        <v>-1.8999999999999989E-3</v>
      </c>
      <c r="AP44">
        <f t="shared" si="13"/>
        <v>-1.799999999999996E-3</v>
      </c>
    </row>
    <row r="45" spans="1:42" x14ac:dyDescent="0.25">
      <c r="Q45" s="1">
        <v>44994</v>
      </c>
      <c r="R45">
        <v>4.8300000000000003E-2</v>
      </c>
      <c r="S45">
        <v>4.9599999999999998E-2</v>
      </c>
      <c r="T45">
        <v>5.0499999999999996E-2</v>
      </c>
      <c r="U45">
        <v>5.3200000000000004E-2</v>
      </c>
      <c r="V45">
        <v>5.1799999999999999E-2</v>
      </c>
      <c r="W45">
        <v>4.9000000000000002E-2</v>
      </c>
      <c r="X45">
        <v>4.5599999999999995E-2</v>
      </c>
      <c r="Y45">
        <v>4.2199999999999994E-2</v>
      </c>
      <c r="Z45">
        <v>4.0999999999999995E-2</v>
      </c>
      <c r="AA45">
        <v>3.9300000000000002E-2</v>
      </c>
      <c r="AB45">
        <v>4.0899999999999999E-2</v>
      </c>
      <c r="AC45">
        <v>3.8800000000000001E-2</v>
      </c>
      <c r="AE45">
        <f t="shared" si="2"/>
        <v>6.0000000000001025E-4</v>
      </c>
      <c r="AF45">
        <f t="shared" si="3"/>
        <v>8.000000000000021E-4</v>
      </c>
      <c r="AG45">
        <f t="shared" si="4"/>
        <v>-1.0000000000000286E-4</v>
      </c>
      <c r="AH45">
        <f t="shared" si="5"/>
        <v>-1.9999999999999185E-4</v>
      </c>
      <c r="AI45">
        <f t="shared" si="6"/>
        <v>-6.9999999999999923E-4</v>
      </c>
      <c r="AJ45">
        <f t="shared" si="7"/>
        <v>-1.4999999999999944E-3</v>
      </c>
      <c r="AK45">
        <f t="shared" si="8"/>
        <v>-1.5000000000000083E-3</v>
      </c>
      <c r="AL45">
        <f t="shared" si="9"/>
        <v>-1.2000000000000066E-3</v>
      </c>
      <c r="AM45">
        <f t="shared" si="10"/>
        <v>-9.000000000000119E-4</v>
      </c>
      <c r="AN45">
        <f t="shared" si="11"/>
        <v>-5.0000000000000044E-4</v>
      </c>
      <c r="AO45">
        <f t="shared" si="12"/>
        <v>-2.0000000000000573E-4</v>
      </c>
      <c r="AP45">
        <f t="shared" si="13"/>
        <v>0</v>
      </c>
    </row>
    <row r="46" spans="1:42" x14ac:dyDescent="0.25">
      <c r="Q46" s="1">
        <v>44993</v>
      </c>
      <c r="R46">
        <v>4.7699999999999992E-2</v>
      </c>
      <c r="S46">
        <v>4.8799999999999996E-2</v>
      </c>
      <c r="T46">
        <v>5.0599999999999999E-2</v>
      </c>
      <c r="U46">
        <v>5.3399999999999996E-2</v>
      </c>
      <c r="V46">
        <v>5.2499999999999998E-2</v>
      </c>
      <c r="W46">
        <v>5.0499999999999996E-2</v>
      </c>
      <c r="X46">
        <v>4.7100000000000003E-2</v>
      </c>
      <c r="Y46">
        <v>4.3400000000000001E-2</v>
      </c>
      <c r="Z46">
        <v>4.1900000000000007E-2</v>
      </c>
      <c r="AA46">
        <v>3.9800000000000002E-2</v>
      </c>
      <c r="AB46">
        <v>4.1100000000000005E-2</v>
      </c>
      <c r="AC46">
        <v>3.8800000000000001E-2</v>
      </c>
      <c r="AE46">
        <f t="shared" si="2"/>
        <v>-3.0000000000000859E-4</v>
      </c>
      <c r="AF46">
        <f t="shared" si="3"/>
        <v>0</v>
      </c>
      <c r="AG46">
        <f t="shared" si="4"/>
        <v>1.9999999999999879E-4</v>
      </c>
      <c r="AH46">
        <f t="shared" si="5"/>
        <v>1.9999999999999185E-4</v>
      </c>
      <c r="AI46">
        <f t="shared" si="6"/>
        <v>3.0000000000000165E-4</v>
      </c>
      <c r="AJ46">
        <f t="shared" si="7"/>
        <v>4.9999999999999351E-4</v>
      </c>
      <c r="AK46">
        <f t="shared" si="8"/>
        <v>5.0000000000000044E-4</v>
      </c>
      <c r="AL46">
        <f t="shared" si="9"/>
        <v>3.0000000000000165E-4</v>
      </c>
      <c r="AM46">
        <f t="shared" si="10"/>
        <v>2.0000000000000573E-4</v>
      </c>
      <c r="AN46">
        <f t="shared" si="11"/>
        <v>1.0000000000000286E-4</v>
      </c>
      <c r="AO46">
        <f t="shared" si="12"/>
        <v>0</v>
      </c>
      <c r="AP46">
        <f t="shared" si="13"/>
        <v>0</v>
      </c>
    </row>
    <row r="47" spans="1:42" x14ac:dyDescent="0.25">
      <c r="Q47" s="1">
        <v>44992</v>
      </c>
      <c r="R47">
        <v>4.8000000000000001E-2</v>
      </c>
      <c r="S47">
        <v>4.8799999999999996E-2</v>
      </c>
      <c r="T47">
        <v>5.04E-2</v>
      </c>
      <c r="U47">
        <v>5.3200000000000004E-2</v>
      </c>
      <c r="V47">
        <v>5.2199999999999996E-2</v>
      </c>
      <c r="W47">
        <v>0.05</v>
      </c>
      <c r="X47">
        <v>4.6600000000000003E-2</v>
      </c>
      <c r="Y47">
        <v>4.3099999999999999E-2</v>
      </c>
      <c r="Z47">
        <v>4.1700000000000001E-2</v>
      </c>
      <c r="AA47">
        <v>3.9699999999999999E-2</v>
      </c>
      <c r="AB47">
        <v>4.1100000000000005E-2</v>
      </c>
      <c r="AC47">
        <v>3.8800000000000001E-2</v>
      </c>
      <c r="AE47">
        <f t="shared" si="2"/>
        <v>5.0000000000000044E-4</v>
      </c>
      <c r="AF47">
        <f t="shared" si="3"/>
        <v>8.9999999999999802E-4</v>
      </c>
      <c r="AG47">
        <f t="shared" si="4"/>
        <v>1.1000000000000038E-3</v>
      </c>
      <c r="AH47">
        <f t="shared" si="5"/>
        <v>1.0000000000000078E-3</v>
      </c>
      <c r="AI47">
        <f t="shared" si="6"/>
        <v>1.7000000000000001E-3</v>
      </c>
      <c r="AJ47">
        <f t="shared" si="7"/>
        <v>1.1000000000000038E-3</v>
      </c>
      <c r="AK47">
        <f t="shared" si="8"/>
        <v>5.0000000000000044E-4</v>
      </c>
      <c r="AL47">
        <f t="shared" si="9"/>
        <v>4.0000000000000452E-4</v>
      </c>
      <c r="AM47">
        <f t="shared" si="10"/>
        <v>1.0000000000000286E-4</v>
      </c>
      <c r="AN47">
        <f t="shared" si="11"/>
        <v>-1.0000000000000286E-4</v>
      </c>
      <c r="AO47">
        <f t="shared" si="12"/>
        <v>-2.9999999999999472E-4</v>
      </c>
      <c r="AP47">
        <f t="shared" si="13"/>
        <v>-3.9999999999999758E-4</v>
      </c>
    </row>
    <row r="48" spans="1:42" x14ac:dyDescent="0.25">
      <c r="Q48" s="1">
        <v>44991</v>
      </c>
      <c r="R48">
        <v>4.7500000000000001E-2</v>
      </c>
      <c r="S48">
        <v>4.7899999999999998E-2</v>
      </c>
      <c r="T48">
        <v>4.9299999999999997E-2</v>
      </c>
      <c r="U48">
        <v>5.2199999999999996E-2</v>
      </c>
      <c r="V48">
        <v>5.0499999999999996E-2</v>
      </c>
      <c r="W48">
        <v>4.8899999999999999E-2</v>
      </c>
      <c r="X48">
        <v>4.6100000000000002E-2</v>
      </c>
      <c r="Y48">
        <v>4.2699999999999995E-2</v>
      </c>
      <c r="Z48">
        <v>4.1599999999999998E-2</v>
      </c>
      <c r="AA48">
        <v>3.9800000000000002E-2</v>
      </c>
      <c r="AB48">
        <v>4.1399999999999999E-2</v>
      </c>
      <c r="AC48">
        <v>3.9199999999999999E-2</v>
      </c>
      <c r="AE48">
        <f t="shared" si="2"/>
        <v>0</v>
      </c>
      <c r="AF48">
        <f t="shared" si="3"/>
        <v>0</v>
      </c>
      <c r="AG48">
        <f t="shared" si="4"/>
        <v>1.9999999999999185E-4</v>
      </c>
      <c r="AH48">
        <f t="shared" si="5"/>
        <v>3.9999999999999758E-4</v>
      </c>
      <c r="AI48">
        <f t="shared" si="6"/>
        <v>1.9999999999999185E-4</v>
      </c>
      <c r="AJ48">
        <f t="shared" si="7"/>
        <v>2.9999999999999472E-4</v>
      </c>
      <c r="AK48">
        <f t="shared" si="8"/>
        <v>1.0000000000000286E-4</v>
      </c>
      <c r="AL48">
        <f t="shared" si="9"/>
        <v>9.9999999999995925E-5</v>
      </c>
      <c r="AM48">
        <f t="shared" si="10"/>
        <v>9.9999999999995925E-5</v>
      </c>
      <c r="AN48">
        <f t="shared" si="11"/>
        <v>1.0000000000000286E-4</v>
      </c>
      <c r="AO48">
        <f t="shared" si="12"/>
        <v>1.9999999999999879E-4</v>
      </c>
      <c r="AP48">
        <f t="shared" si="13"/>
        <v>1.9999999999999879E-4</v>
      </c>
    </row>
    <row r="49" spans="17:42" x14ac:dyDescent="0.25">
      <c r="Q49" s="1">
        <v>44988</v>
      </c>
      <c r="R49">
        <v>4.7500000000000001E-2</v>
      </c>
      <c r="S49">
        <v>4.7899999999999998E-2</v>
      </c>
      <c r="T49">
        <v>4.9100000000000005E-2</v>
      </c>
      <c r="U49">
        <v>5.1799999999999999E-2</v>
      </c>
      <c r="V49">
        <v>5.0300000000000004E-2</v>
      </c>
      <c r="W49">
        <v>4.8600000000000004E-2</v>
      </c>
      <c r="X49">
        <v>4.5999999999999999E-2</v>
      </c>
      <c r="Y49">
        <v>4.2599999999999999E-2</v>
      </c>
      <c r="Z49">
        <v>4.1500000000000002E-2</v>
      </c>
      <c r="AA49">
        <v>3.9699999999999999E-2</v>
      </c>
      <c r="AB49">
        <v>4.1200000000000001E-2</v>
      </c>
      <c r="AC49">
        <v>3.9E-2</v>
      </c>
      <c r="AE49">
        <f t="shared" si="2"/>
        <v>0</v>
      </c>
      <c r="AF49">
        <f t="shared" si="3"/>
        <v>-1.0000000000000286E-4</v>
      </c>
      <c r="AG49">
        <f t="shared" si="4"/>
        <v>0</v>
      </c>
      <c r="AH49">
        <f t="shared" si="5"/>
        <v>0</v>
      </c>
      <c r="AI49">
        <f t="shared" si="6"/>
        <v>-9.9999999999995925E-5</v>
      </c>
      <c r="AJ49">
        <f t="shared" si="7"/>
        <v>-2.9999999999999472E-4</v>
      </c>
      <c r="AK49">
        <f t="shared" si="8"/>
        <v>-3.0000000000000165E-4</v>
      </c>
      <c r="AL49">
        <f t="shared" si="9"/>
        <v>-6.0000000000000331E-4</v>
      </c>
      <c r="AM49">
        <f t="shared" si="10"/>
        <v>-8.9999999999999802E-4</v>
      </c>
      <c r="AN49">
        <f t="shared" si="11"/>
        <v>-1.1000000000000038E-3</v>
      </c>
      <c r="AO49">
        <f t="shared" si="12"/>
        <v>-1.1999999999999997E-3</v>
      </c>
      <c r="AP49">
        <f t="shared" si="13"/>
        <v>-1.3000000000000025E-3</v>
      </c>
    </row>
    <row r="50" spans="17:42" x14ac:dyDescent="0.25">
      <c r="Q50" s="1">
        <v>44987</v>
      </c>
      <c r="R50">
        <v>4.7500000000000001E-2</v>
      </c>
      <c r="S50">
        <v>4.8000000000000001E-2</v>
      </c>
      <c r="T50">
        <v>4.9100000000000005E-2</v>
      </c>
      <c r="U50">
        <v>5.1799999999999999E-2</v>
      </c>
      <c r="V50">
        <v>5.04E-2</v>
      </c>
      <c r="W50">
        <v>4.8899999999999999E-2</v>
      </c>
      <c r="X50">
        <v>4.6300000000000001E-2</v>
      </c>
      <c r="Y50">
        <v>4.3200000000000002E-2</v>
      </c>
      <c r="Z50">
        <v>4.24E-2</v>
      </c>
      <c r="AA50">
        <v>4.0800000000000003E-2</v>
      </c>
      <c r="AB50">
        <v>4.24E-2</v>
      </c>
      <c r="AC50">
        <v>4.0300000000000002E-2</v>
      </c>
      <c r="AE50">
        <f t="shared" si="2"/>
        <v>8.000000000000021E-4</v>
      </c>
      <c r="AF50">
        <f t="shared" si="3"/>
        <v>-1.9999999999999879E-4</v>
      </c>
      <c r="AG50">
        <f t="shared" si="4"/>
        <v>1.0000000000000286E-4</v>
      </c>
      <c r="AH50">
        <f t="shared" si="5"/>
        <v>-2.0000000000000573E-4</v>
      </c>
      <c r="AI50">
        <f t="shared" si="6"/>
        <v>-1.9999999999999879E-4</v>
      </c>
      <c r="AJ50">
        <f t="shared" si="7"/>
        <v>0</v>
      </c>
      <c r="AK50">
        <f t="shared" si="8"/>
        <v>1.9999999999999879E-4</v>
      </c>
      <c r="AL50">
        <f t="shared" si="9"/>
        <v>5.0000000000000738E-4</v>
      </c>
      <c r="AM50">
        <f t="shared" si="10"/>
        <v>6.9999999999999923E-4</v>
      </c>
      <c r="AN50">
        <f t="shared" si="11"/>
        <v>7.0000000000000617E-4</v>
      </c>
      <c r="AO50">
        <f t="shared" si="12"/>
        <v>6.9999999999999923E-4</v>
      </c>
      <c r="AP50">
        <f t="shared" si="13"/>
        <v>6.0000000000000331E-4</v>
      </c>
    </row>
    <row r="51" spans="17:42" x14ac:dyDescent="0.25">
      <c r="Q51" s="1">
        <v>44986</v>
      </c>
      <c r="R51">
        <v>4.6699999999999998E-2</v>
      </c>
      <c r="S51">
        <v>4.82E-2</v>
      </c>
      <c r="T51">
        <v>4.9000000000000002E-2</v>
      </c>
      <c r="U51">
        <v>5.2000000000000005E-2</v>
      </c>
      <c r="V51">
        <v>5.0599999999999999E-2</v>
      </c>
      <c r="W51">
        <v>4.8899999999999999E-2</v>
      </c>
      <c r="X51">
        <v>4.6100000000000002E-2</v>
      </c>
      <c r="Y51">
        <v>4.2699999999999995E-2</v>
      </c>
      <c r="Z51">
        <v>4.1700000000000001E-2</v>
      </c>
      <c r="AA51">
        <v>4.0099999999999997E-2</v>
      </c>
      <c r="AB51">
        <v>4.1700000000000001E-2</v>
      </c>
      <c r="AC51">
        <v>3.9699999999999999E-2</v>
      </c>
      <c r="AE51">
        <f t="shared" si="2"/>
        <v>1.9999999999999185E-4</v>
      </c>
      <c r="AF51">
        <f t="shared" si="3"/>
        <v>1.0000000000000286E-4</v>
      </c>
      <c r="AG51">
        <f t="shared" si="4"/>
        <v>2.0000000000000573E-4</v>
      </c>
      <c r="AH51">
        <f t="shared" si="5"/>
        <v>3.0000000000000859E-4</v>
      </c>
      <c r="AI51">
        <f t="shared" si="6"/>
        <v>4.0000000000000452E-4</v>
      </c>
      <c r="AJ51">
        <f t="shared" si="7"/>
        <v>8.000000000000021E-4</v>
      </c>
      <c r="AK51">
        <f t="shared" si="8"/>
        <v>1.0000000000000009E-3</v>
      </c>
      <c r="AL51">
        <f t="shared" si="9"/>
        <v>8.9999999999999802E-4</v>
      </c>
      <c r="AM51">
        <f t="shared" si="10"/>
        <v>1.0000000000000009E-3</v>
      </c>
      <c r="AN51">
        <f t="shared" si="11"/>
        <v>8.9999999999999802E-4</v>
      </c>
      <c r="AO51">
        <f t="shared" si="12"/>
        <v>7.0000000000000617E-4</v>
      </c>
      <c r="AP51">
        <f t="shared" si="13"/>
        <v>3.9999999999999758E-4</v>
      </c>
    </row>
    <row r="52" spans="17:42" x14ac:dyDescent="0.25">
      <c r="Q52" s="1">
        <v>44985</v>
      </c>
      <c r="R52">
        <v>4.6500000000000007E-2</v>
      </c>
      <c r="S52">
        <v>4.8099999999999997E-2</v>
      </c>
      <c r="T52">
        <v>4.8799999999999996E-2</v>
      </c>
      <c r="U52">
        <v>5.1699999999999996E-2</v>
      </c>
      <c r="V52">
        <v>5.0199999999999995E-2</v>
      </c>
      <c r="W52">
        <v>4.8099999999999997E-2</v>
      </c>
      <c r="X52">
        <v>4.5100000000000001E-2</v>
      </c>
      <c r="Y52">
        <v>4.1799999999999997E-2</v>
      </c>
      <c r="Z52">
        <v>4.07E-2</v>
      </c>
      <c r="AA52">
        <v>3.9199999999999999E-2</v>
      </c>
      <c r="AB52">
        <v>4.0999999999999995E-2</v>
      </c>
      <c r="AC52">
        <v>3.9300000000000002E-2</v>
      </c>
      <c r="AE52">
        <f t="shared" si="2"/>
        <v>-1.9999999999999185E-4</v>
      </c>
      <c r="AF52">
        <f t="shared" si="3"/>
        <v>-2.0000000000000573E-4</v>
      </c>
      <c r="AG52">
        <f t="shared" si="4"/>
        <v>-1.0000000000000286E-4</v>
      </c>
      <c r="AH52">
        <f t="shared" si="5"/>
        <v>-1.0000000000000286E-4</v>
      </c>
      <c r="AI52">
        <f t="shared" si="6"/>
        <v>-1.000000000000098E-4</v>
      </c>
      <c r="AJ52">
        <f t="shared" si="7"/>
        <v>2.9999999999999472E-4</v>
      </c>
      <c r="AK52">
        <f t="shared" si="8"/>
        <v>1.9999999999999879E-4</v>
      </c>
      <c r="AL52">
        <f t="shared" si="9"/>
        <v>9.9999999999995925E-5</v>
      </c>
      <c r="AM52">
        <f t="shared" si="10"/>
        <v>-1.0000000000000286E-4</v>
      </c>
      <c r="AN52">
        <f t="shared" si="11"/>
        <v>0</v>
      </c>
      <c r="AO52">
        <f t="shared" si="12"/>
        <v>-1.000000000000098E-4</v>
      </c>
      <c r="AP52">
        <f t="shared" si="13"/>
        <v>0</v>
      </c>
    </row>
    <row r="53" spans="17:42" x14ac:dyDescent="0.25">
      <c r="Q53" s="1">
        <v>44984</v>
      </c>
      <c r="R53">
        <v>4.6699999999999998E-2</v>
      </c>
      <c r="S53">
        <v>4.8300000000000003E-2</v>
      </c>
      <c r="T53">
        <v>4.8899999999999999E-2</v>
      </c>
      <c r="U53">
        <v>5.1799999999999999E-2</v>
      </c>
      <c r="V53">
        <v>5.0300000000000004E-2</v>
      </c>
      <c r="W53">
        <v>4.7800000000000002E-2</v>
      </c>
      <c r="X53">
        <v>4.4900000000000002E-2</v>
      </c>
      <c r="Y53">
        <v>4.1700000000000001E-2</v>
      </c>
      <c r="Z53">
        <v>4.0800000000000003E-2</v>
      </c>
      <c r="AA53">
        <v>3.9199999999999999E-2</v>
      </c>
      <c r="AB53">
        <v>4.1100000000000005E-2</v>
      </c>
      <c r="AC53">
        <v>3.9300000000000002E-2</v>
      </c>
      <c r="AE53">
        <f t="shared" si="2"/>
        <v>-9.9999999999995925E-5</v>
      </c>
      <c r="AF53">
        <f t="shared" si="3"/>
        <v>0</v>
      </c>
      <c r="AG53">
        <f t="shared" si="4"/>
        <v>2.9999999999999472E-4</v>
      </c>
      <c r="AH53">
        <f t="shared" si="5"/>
        <v>1.1999999999999997E-3</v>
      </c>
      <c r="AI53">
        <f t="shared" si="6"/>
        <v>-1.9999999999999185E-4</v>
      </c>
      <c r="AJ53">
        <f t="shared" si="7"/>
        <v>0</v>
      </c>
      <c r="AK53">
        <f t="shared" si="8"/>
        <v>-2.9999999999999472E-4</v>
      </c>
      <c r="AL53">
        <f t="shared" si="9"/>
        <v>-2.0000000000000573E-4</v>
      </c>
      <c r="AM53">
        <f t="shared" si="10"/>
        <v>-1.9999999999999185E-4</v>
      </c>
      <c r="AN53">
        <f t="shared" si="11"/>
        <v>-3.0000000000000165E-4</v>
      </c>
      <c r="AO53">
        <f t="shared" si="12"/>
        <v>0</v>
      </c>
      <c r="AP53">
        <f t="shared" si="13"/>
        <v>0</v>
      </c>
    </row>
    <row r="54" spans="17:42" x14ac:dyDescent="0.25">
      <c r="Q54" s="1">
        <v>44981</v>
      </c>
      <c r="R54">
        <v>4.6799999999999994E-2</v>
      </c>
      <c r="S54">
        <v>4.8300000000000003E-2</v>
      </c>
      <c r="T54">
        <v>4.8600000000000004E-2</v>
      </c>
      <c r="U54">
        <v>5.0599999999999999E-2</v>
      </c>
      <c r="V54">
        <v>5.0499999999999996E-2</v>
      </c>
      <c r="W54">
        <v>4.7800000000000002E-2</v>
      </c>
      <c r="X54">
        <v>4.5199999999999997E-2</v>
      </c>
      <c r="Y54">
        <v>4.1900000000000007E-2</v>
      </c>
      <c r="Z54">
        <v>4.0999999999999995E-2</v>
      </c>
      <c r="AA54">
        <v>3.95E-2</v>
      </c>
      <c r="AB54">
        <v>4.1100000000000005E-2</v>
      </c>
      <c r="AC54">
        <v>3.9300000000000002E-2</v>
      </c>
      <c r="AE54">
        <f t="shared" si="2"/>
        <v>1.9999999999999185E-4</v>
      </c>
      <c r="AF54">
        <f t="shared" si="3"/>
        <v>0</v>
      </c>
      <c r="AG54">
        <f t="shared" si="4"/>
        <v>2.0000000000000573E-4</v>
      </c>
      <c r="AH54">
        <f t="shared" si="5"/>
        <v>1.0000000000000286E-4</v>
      </c>
      <c r="AI54">
        <f t="shared" si="6"/>
        <v>1.9999999999999185E-4</v>
      </c>
      <c r="AJ54">
        <f t="shared" si="7"/>
        <v>1.1999999999999997E-3</v>
      </c>
      <c r="AK54">
        <f t="shared" si="8"/>
        <v>1.1999999999999927E-3</v>
      </c>
      <c r="AL54">
        <f t="shared" si="9"/>
        <v>1.0000000000000078E-3</v>
      </c>
      <c r="AM54">
        <f t="shared" si="10"/>
        <v>8.000000000000021E-4</v>
      </c>
      <c r="AN54">
        <f t="shared" si="11"/>
        <v>6.9999999999999923E-4</v>
      </c>
      <c r="AO54">
        <f t="shared" si="12"/>
        <v>7.0000000000000617E-4</v>
      </c>
      <c r="AP54">
        <f t="shared" si="13"/>
        <v>5.0000000000000044E-4</v>
      </c>
    </row>
    <row r="55" spans="17:42" x14ac:dyDescent="0.25">
      <c r="Q55" s="1">
        <v>44980</v>
      </c>
      <c r="R55">
        <v>4.6600000000000003E-2</v>
      </c>
      <c r="S55">
        <v>4.8300000000000003E-2</v>
      </c>
      <c r="T55">
        <v>4.8399999999999999E-2</v>
      </c>
      <c r="U55">
        <v>5.0499999999999996E-2</v>
      </c>
      <c r="V55">
        <v>5.0300000000000004E-2</v>
      </c>
      <c r="W55">
        <v>4.6600000000000003E-2</v>
      </c>
      <c r="X55">
        <v>4.4000000000000004E-2</v>
      </c>
      <c r="Y55">
        <v>4.0899999999999999E-2</v>
      </c>
      <c r="Z55">
        <v>4.0199999999999993E-2</v>
      </c>
      <c r="AA55">
        <v>3.8800000000000001E-2</v>
      </c>
      <c r="AB55">
        <v>4.0399999999999998E-2</v>
      </c>
      <c r="AC55">
        <v>3.8800000000000001E-2</v>
      </c>
      <c r="AE55">
        <f t="shared" si="2"/>
        <v>4.0000000000000452E-4</v>
      </c>
      <c r="AF55">
        <f t="shared" si="3"/>
        <v>2.0000000000000573E-4</v>
      </c>
      <c r="AG55">
        <f t="shared" si="4"/>
        <v>0</v>
      </c>
      <c r="AH55">
        <f t="shared" si="5"/>
        <v>-3.0000000000000165E-4</v>
      </c>
      <c r="AI55">
        <f t="shared" si="6"/>
        <v>-3.9999999999999758E-4</v>
      </c>
      <c r="AJ55">
        <f t="shared" si="7"/>
        <v>0</v>
      </c>
      <c r="AK55">
        <f t="shared" si="8"/>
        <v>-2.9999999999999472E-4</v>
      </c>
      <c r="AL55">
        <f t="shared" si="9"/>
        <v>-3.9999999999999758E-4</v>
      </c>
      <c r="AM55">
        <f t="shared" si="10"/>
        <v>-5.0000000000000738E-4</v>
      </c>
      <c r="AN55">
        <f t="shared" si="11"/>
        <v>-5.0000000000000044E-4</v>
      </c>
      <c r="AO55">
        <f t="shared" si="12"/>
        <v>-5.0000000000000044E-4</v>
      </c>
      <c r="AP55">
        <f t="shared" si="13"/>
        <v>-5.9999999999999637E-4</v>
      </c>
    </row>
    <row r="56" spans="17:42" x14ac:dyDescent="0.25">
      <c r="Q56" s="1">
        <v>44979</v>
      </c>
      <c r="R56">
        <v>4.6199999999999998E-2</v>
      </c>
      <c r="S56">
        <v>4.8099999999999997E-2</v>
      </c>
      <c r="T56">
        <v>4.8399999999999999E-2</v>
      </c>
      <c r="U56">
        <v>5.0799999999999998E-2</v>
      </c>
      <c r="V56">
        <v>5.0700000000000002E-2</v>
      </c>
      <c r="W56">
        <v>4.6600000000000003E-2</v>
      </c>
      <c r="X56">
        <v>4.4299999999999999E-2</v>
      </c>
      <c r="Y56">
        <v>4.1299999999999996E-2</v>
      </c>
      <c r="Z56">
        <v>4.07E-2</v>
      </c>
      <c r="AA56">
        <v>3.9300000000000002E-2</v>
      </c>
      <c r="AB56">
        <v>4.0899999999999999E-2</v>
      </c>
      <c r="AC56">
        <v>3.9399999999999998E-2</v>
      </c>
      <c r="AE56">
        <f t="shared" si="2"/>
        <v>-1.0000000000000286E-4</v>
      </c>
      <c r="AF56">
        <f t="shared" si="3"/>
        <v>-2.0000000000000573E-4</v>
      </c>
      <c r="AG56">
        <f t="shared" si="4"/>
        <v>-2.0000000000000573E-4</v>
      </c>
      <c r="AH56">
        <f t="shared" si="5"/>
        <v>9.9999999999995925E-5</v>
      </c>
      <c r="AI56">
        <f t="shared" si="6"/>
        <v>0</v>
      </c>
      <c r="AJ56">
        <f t="shared" si="7"/>
        <v>-9.9999999999995925E-5</v>
      </c>
      <c r="AK56">
        <f t="shared" si="8"/>
        <v>-1.0000000000000286E-4</v>
      </c>
      <c r="AL56">
        <f t="shared" si="9"/>
        <v>-3.0000000000000165E-4</v>
      </c>
      <c r="AM56">
        <f t="shared" si="10"/>
        <v>-1.0000000000000286E-4</v>
      </c>
      <c r="AN56">
        <f t="shared" si="11"/>
        <v>-1.9999999999999879E-4</v>
      </c>
      <c r="AO56">
        <f t="shared" si="12"/>
        <v>-3.0000000000000165E-4</v>
      </c>
      <c r="AP56">
        <f t="shared" si="13"/>
        <v>-4.0000000000000452E-4</v>
      </c>
    </row>
    <row r="57" spans="17:42" x14ac:dyDescent="0.25">
      <c r="Q57" s="1">
        <v>44978</v>
      </c>
      <c r="R57">
        <v>4.6300000000000001E-2</v>
      </c>
      <c r="S57">
        <v>4.8300000000000003E-2</v>
      </c>
      <c r="T57">
        <v>4.8600000000000004E-2</v>
      </c>
      <c r="U57">
        <v>5.0700000000000002E-2</v>
      </c>
      <c r="V57">
        <v>5.0700000000000002E-2</v>
      </c>
      <c r="W57">
        <v>4.6699999999999998E-2</v>
      </c>
      <c r="X57">
        <v>4.4400000000000002E-2</v>
      </c>
      <c r="Y57">
        <v>4.1599999999999998E-2</v>
      </c>
      <c r="Z57">
        <v>4.0800000000000003E-2</v>
      </c>
      <c r="AA57">
        <v>3.95E-2</v>
      </c>
      <c r="AB57">
        <v>4.1200000000000001E-2</v>
      </c>
      <c r="AC57">
        <v>3.9800000000000002E-2</v>
      </c>
      <c r="AE57">
        <f t="shared" si="2"/>
        <v>-9.9999999999995925E-5</v>
      </c>
      <c r="AF57">
        <f t="shared" si="3"/>
        <v>2.0000000000000573E-4</v>
      </c>
      <c r="AG57">
        <f t="shared" si="4"/>
        <v>2.0000000000000573E-4</v>
      </c>
      <c r="AH57">
        <f t="shared" si="5"/>
        <v>8.000000000000021E-4</v>
      </c>
      <c r="AI57">
        <f t="shared" si="6"/>
        <v>6.9999999999999923E-4</v>
      </c>
      <c r="AJ57">
        <f t="shared" si="7"/>
        <v>6.9999999999999923E-4</v>
      </c>
      <c r="AK57">
        <f t="shared" si="8"/>
        <v>1.1000000000000038E-3</v>
      </c>
      <c r="AL57">
        <f t="shared" si="9"/>
        <v>1.2999999999999956E-3</v>
      </c>
      <c r="AM57">
        <f t="shared" si="10"/>
        <v>1.3000000000000025E-3</v>
      </c>
      <c r="AN57">
        <f t="shared" si="11"/>
        <v>1.3000000000000025E-3</v>
      </c>
      <c r="AO57">
        <f t="shared" si="12"/>
        <v>1.1000000000000038E-3</v>
      </c>
      <c r="AP57">
        <f t="shared" si="13"/>
        <v>1.0000000000000009E-3</v>
      </c>
    </row>
    <row r="58" spans="17:42" x14ac:dyDescent="0.25">
      <c r="Q58" s="1">
        <v>44974</v>
      </c>
      <c r="R58">
        <v>4.6399999999999997E-2</v>
      </c>
      <c r="S58">
        <v>4.8099999999999997E-2</v>
      </c>
      <c r="T58">
        <v>4.8399999999999999E-2</v>
      </c>
      <c r="U58">
        <v>4.99E-2</v>
      </c>
      <c r="V58">
        <v>0.05</v>
      </c>
      <c r="W58">
        <v>4.5999999999999999E-2</v>
      </c>
      <c r="X58">
        <v>4.3299999999999998E-2</v>
      </c>
      <c r="Y58">
        <v>4.0300000000000002E-2</v>
      </c>
      <c r="Z58">
        <v>3.95E-2</v>
      </c>
      <c r="AA58">
        <v>3.8199999999999998E-2</v>
      </c>
      <c r="AB58">
        <v>4.0099999999999997E-2</v>
      </c>
      <c r="AC58">
        <v>3.8800000000000001E-2</v>
      </c>
      <c r="AE58">
        <f t="shared" si="2"/>
        <v>-2.0000000000000573E-4</v>
      </c>
      <c r="AF58">
        <f t="shared" si="3"/>
        <v>9.9999999999995925E-5</v>
      </c>
      <c r="AG58">
        <f t="shared" si="4"/>
        <v>0</v>
      </c>
      <c r="AH58">
        <f t="shared" si="5"/>
        <v>9.9999999999995925E-5</v>
      </c>
      <c r="AI58">
        <f t="shared" si="6"/>
        <v>1.0000000000000286E-4</v>
      </c>
      <c r="AJ58">
        <f t="shared" si="7"/>
        <v>-1.9999999999999879E-4</v>
      </c>
      <c r="AK58">
        <f t="shared" si="8"/>
        <v>-1.9999999999999879E-4</v>
      </c>
      <c r="AL58">
        <f t="shared" si="9"/>
        <v>-2.9999999999999472E-4</v>
      </c>
      <c r="AM58">
        <f t="shared" si="10"/>
        <v>-3.0000000000000165E-4</v>
      </c>
      <c r="AN58">
        <f t="shared" si="11"/>
        <v>-3.9999999999999758E-4</v>
      </c>
      <c r="AO58">
        <f t="shared" si="12"/>
        <v>-4.0000000000000452E-4</v>
      </c>
      <c r="AP58">
        <f t="shared" si="13"/>
        <v>-3.9999999999999758E-4</v>
      </c>
    </row>
    <row r="59" spans="17:42" x14ac:dyDescent="0.25">
      <c r="Q59" s="1">
        <v>44973</v>
      </c>
      <c r="R59">
        <v>4.6600000000000003E-2</v>
      </c>
      <c r="S59">
        <v>4.8000000000000001E-2</v>
      </c>
      <c r="T59">
        <v>4.8399999999999999E-2</v>
      </c>
      <c r="U59">
        <v>4.9800000000000004E-2</v>
      </c>
      <c r="V59">
        <v>4.99E-2</v>
      </c>
      <c r="W59">
        <v>4.6199999999999998E-2</v>
      </c>
      <c r="X59">
        <v>4.3499999999999997E-2</v>
      </c>
      <c r="Y59">
        <v>4.0599999999999997E-2</v>
      </c>
      <c r="Z59">
        <v>3.9800000000000002E-2</v>
      </c>
      <c r="AA59">
        <v>3.8599999999999995E-2</v>
      </c>
      <c r="AB59">
        <v>4.0500000000000001E-2</v>
      </c>
      <c r="AC59">
        <v>3.9199999999999999E-2</v>
      </c>
      <c r="AE59">
        <f t="shared" si="2"/>
        <v>2.0000000000000573E-4</v>
      </c>
      <c r="AF59">
        <f t="shared" si="3"/>
        <v>1.0000000000000286E-4</v>
      </c>
      <c r="AG59">
        <f t="shared" si="4"/>
        <v>5.0000000000000044E-4</v>
      </c>
      <c r="AH59">
        <f t="shared" si="5"/>
        <v>1.000000000000098E-4</v>
      </c>
      <c r="AI59">
        <f t="shared" si="6"/>
        <v>3.0000000000000165E-4</v>
      </c>
      <c r="AJ59">
        <f t="shared" si="7"/>
        <v>0</v>
      </c>
      <c r="AK59">
        <f t="shared" si="8"/>
        <v>0</v>
      </c>
      <c r="AL59">
        <f t="shared" si="9"/>
        <v>1.9999999999999879E-4</v>
      </c>
      <c r="AM59">
        <f t="shared" si="10"/>
        <v>4.0000000000000452E-4</v>
      </c>
      <c r="AN59">
        <f t="shared" si="11"/>
        <v>4.9999999999999351E-4</v>
      </c>
      <c r="AO59">
        <f t="shared" si="12"/>
        <v>8.000000000000021E-4</v>
      </c>
      <c r="AP59">
        <f t="shared" si="13"/>
        <v>6.9999999999999923E-4</v>
      </c>
    </row>
    <row r="60" spans="17:42" x14ac:dyDescent="0.25">
      <c r="Q60" s="1">
        <v>44972</v>
      </c>
      <c r="R60">
        <v>4.6399999999999997E-2</v>
      </c>
      <c r="S60">
        <v>4.7899999999999998E-2</v>
      </c>
      <c r="T60">
        <v>4.7899999999999998E-2</v>
      </c>
      <c r="U60">
        <v>4.9699999999999994E-2</v>
      </c>
      <c r="V60">
        <v>4.9599999999999998E-2</v>
      </c>
      <c r="W60">
        <v>4.6199999999999998E-2</v>
      </c>
      <c r="X60">
        <v>4.3499999999999997E-2</v>
      </c>
      <c r="Y60">
        <v>4.0399999999999998E-2</v>
      </c>
      <c r="Z60">
        <v>3.9399999999999998E-2</v>
      </c>
      <c r="AA60">
        <v>3.8100000000000002E-2</v>
      </c>
      <c r="AB60">
        <v>3.9699999999999999E-2</v>
      </c>
      <c r="AC60">
        <v>3.85E-2</v>
      </c>
      <c r="AE60">
        <f t="shared" si="2"/>
        <v>9.9999999999995925E-5</v>
      </c>
      <c r="AF60">
        <f t="shared" si="3"/>
        <v>9.9999999999995925E-5</v>
      </c>
      <c r="AG60">
        <f t="shared" si="4"/>
        <v>-1.0000000000000286E-4</v>
      </c>
      <c r="AH60">
        <f t="shared" si="5"/>
        <v>-1.000000000000098E-4</v>
      </c>
      <c r="AI60">
        <f t="shared" si="6"/>
        <v>-3.0000000000000165E-4</v>
      </c>
      <c r="AJ60">
        <f t="shared" si="7"/>
        <v>1.9999999999999879E-4</v>
      </c>
      <c r="AK60">
        <f t="shared" si="8"/>
        <v>2.9999999999999472E-4</v>
      </c>
      <c r="AL60">
        <f t="shared" si="9"/>
        <v>3.9999999999999758E-4</v>
      </c>
      <c r="AM60">
        <f t="shared" si="10"/>
        <v>3.9999999999999758E-4</v>
      </c>
      <c r="AN60">
        <f t="shared" si="11"/>
        <v>4.0000000000000452E-4</v>
      </c>
      <c r="AO60">
        <f t="shared" si="12"/>
        <v>3.0000000000000165E-4</v>
      </c>
      <c r="AP60">
        <f t="shared" si="13"/>
        <v>3.9999999999999758E-4</v>
      </c>
    </row>
    <row r="61" spans="17:42" x14ac:dyDescent="0.25">
      <c r="Q61" s="1">
        <v>44971</v>
      </c>
      <c r="R61">
        <v>4.6300000000000001E-2</v>
      </c>
      <c r="S61">
        <v>4.7800000000000002E-2</v>
      </c>
      <c r="T61">
        <v>4.8000000000000001E-2</v>
      </c>
      <c r="U61">
        <v>4.9800000000000004E-2</v>
      </c>
      <c r="V61">
        <v>4.99E-2</v>
      </c>
      <c r="W61">
        <v>4.5999999999999999E-2</v>
      </c>
      <c r="X61">
        <v>4.3200000000000002E-2</v>
      </c>
      <c r="Y61">
        <v>0.04</v>
      </c>
      <c r="Z61">
        <v>3.9E-2</v>
      </c>
      <c r="AA61">
        <v>3.7699999999999997E-2</v>
      </c>
      <c r="AB61">
        <v>3.9399999999999998E-2</v>
      </c>
      <c r="AC61">
        <v>3.8100000000000002E-2</v>
      </c>
      <c r="AE61">
        <f t="shared" si="2"/>
        <v>-3.0000000000000165E-4</v>
      </c>
      <c r="AF61">
        <f t="shared" si="3"/>
        <v>0</v>
      </c>
      <c r="AG61">
        <f t="shared" si="4"/>
        <v>-9.9999999999995925E-5</v>
      </c>
      <c r="AH61">
        <f t="shared" si="5"/>
        <v>-9.9999999999995925E-5</v>
      </c>
      <c r="AI61">
        <f t="shared" si="6"/>
        <v>7.9999999999999516E-4</v>
      </c>
      <c r="AJ61">
        <f t="shared" si="7"/>
        <v>8.000000000000021E-4</v>
      </c>
      <c r="AK61">
        <f t="shared" si="8"/>
        <v>1.0000000000000078E-3</v>
      </c>
      <c r="AL61">
        <f t="shared" si="9"/>
        <v>6.9999999999999923E-4</v>
      </c>
      <c r="AM61">
        <f t="shared" si="10"/>
        <v>6.0000000000000331E-4</v>
      </c>
      <c r="AN61">
        <f t="shared" si="11"/>
        <v>4.9999999999999351E-4</v>
      </c>
      <c r="AO61">
        <f t="shared" si="12"/>
        <v>1.9999999999999879E-4</v>
      </c>
      <c r="AP61">
        <f t="shared" si="13"/>
        <v>1.9999999999999879E-4</v>
      </c>
    </row>
    <row r="62" spans="17:42" x14ac:dyDescent="0.25">
      <c r="Q62" s="1">
        <v>44970</v>
      </c>
      <c r="R62">
        <v>4.6600000000000003E-2</v>
      </c>
      <c r="S62">
        <v>4.7800000000000002E-2</v>
      </c>
      <c r="T62">
        <v>4.8099999999999997E-2</v>
      </c>
      <c r="U62">
        <v>4.99E-2</v>
      </c>
      <c r="V62">
        <v>4.9100000000000005E-2</v>
      </c>
      <c r="W62">
        <v>4.5199999999999997E-2</v>
      </c>
      <c r="X62">
        <v>4.2199999999999994E-2</v>
      </c>
      <c r="Y62">
        <v>3.9300000000000002E-2</v>
      </c>
      <c r="Z62">
        <v>3.8399999999999997E-2</v>
      </c>
      <c r="AA62">
        <v>3.7200000000000004E-2</v>
      </c>
      <c r="AB62">
        <v>3.9199999999999999E-2</v>
      </c>
      <c r="AC62">
        <v>3.7900000000000003E-2</v>
      </c>
      <c r="AE62">
        <f t="shared" si="2"/>
        <v>0</v>
      </c>
      <c r="AF62">
        <f t="shared" si="3"/>
        <v>1.000000000000098E-4</v>
      </c>
      <c r="AG62">
        <f t="shared" si="4"/>
        <v>1.9999999999999879E-4</v>
      </c>
      <c r="AH62">
        <f t="shared" si="5"/>
        <v>1.0000000000000009E-3</v>
      </c>
      <c r="AI62">
        <f t="shared" si="6"/>
        <v>2.0000000000000573E-4</v>
      </c>
      <c r="AJ62">
        <f t="shared" si="7"/>
        <v>1.9999999999999879E-4</v>
      </c>
      <c r="AK62">
        <f t="shared" si="8"/>
        <v>2.9999999999998778E-4</v>
      </c>
      <c r="AL62">
        <f t="shared" si="9"/>
        <v>0</v>
      </c>
      <c r="AM62">
        <f t="shared" si="10"/>
        <v>-1.9999999999999879E-4</v>
      </c>
      <c r="AN62">
        <f t="shared" si="11"/>
        <v>-1.9999999999999879E-4</v>
      </c>
      <c r="AO62">
        <f t="shared" si="12"/>
        <v>-3.9999999999999758E-4</v>
      </c>
      <c r="AP62">
        <f t="shared" si="13"/>
        <v>-3.9999999999999758E-4</v>
      </c>
    </row>
    <row r="63" spans="17:42" x14ac:dyDescent="0.25">
      <c r="Q63" s="1">
        <v>44967</v>
      </c>
      <c r="R63">
        <v>4.6600000000000003E-2</v>
      </c>
      <c r="S63">
        <v>4.7699999999999992E-2</v>
      </c>
      <c r="T63">
        <v>4.7899999999999998E-2</v>
      </c>
      <c r="U63">
        <v>4.8899999999999999E-2</v>
      </c>
      <c r="V63">
        <v>4.8899999999999999E-2</v>
      </c>
      <c r="W63">
        <v>4.4999999999999998E-2</v>
      </c>
      <c r="X63">
        <v>4.1900000000000007E-2</v>
      </c>
      <c r="Y63">
        <v>3.9300000000000002E-2</v>
      </c>
      <c r="Z63">
        <v>3.8599999999999995E-2</v>
      </c>
      <c r="AA63">
        <v>3.7400000000000003E-2</v>
      </c>
      <c r="AB63">
        <v>3.9599999999999996E-2</v>
      </c>
      <c r="AC63">
        <v>3.8300000000000001E-2</v>
      </c>
      <c r="AE63">
        <f t="shared" si="2"/>
        <v>0</v>
      </c>
      <c r="AF63">
        <f t="shared" si="3"/>
        <v>0</v>
      </c>
      <c r="AG63">
        <f t="shared" si="4"/>
        <v>2.0000000000000573E-4</v>
      </c>
      <c r="AH63">
        <f t="shared" si="5"/>
        <v>-1.0000000000000286E-4</v>
      </c>
      <c r="AI63">
        <f t="shared" si="6"/>
        <v>1.0000000000000286E-4</v>
      </c>
      <c r="AJ63">
        <f t="shared" si="7"/>
        <v>1.9999999999999185E-4</v>
      </c>
      <c r="AK63">
        <f t="shared" si="8"/>
        <v>4.0000000000000452E-4</v>
      </c>
      <c r="AL63">
        <f t="shared" si="9"/>
        <v>6.0000000000000331E-4</v>
      </c>
      <c r="AM63">
        <f t="shared" si="10"/>
        <v>6.999999999999923E-4</v>
      </c>
      <c r="AN63">
        <f t="shared" si="11"/>
        <v>7.0000000000000617E-4</v>
      </c>
      <c r="AO63">
        <f t="shared" si="12"/>
        <v>5.9999999999999637E-4</v>
      </c>
      <c r="AP63">
        <f t="shared" si="13"/>
        <v>8.000000000000021E-4</v>
      </c>
    </row>
    <row r="64" spans="17:42" x14ac:dyDescent="0.25">
      <c r="Q64" s="1">
        <v>44966</v>
      </c>
      <c r="R64">
        <v>4.6600000000000003E-2</v>
      </c>
      <c r="S64">
        <v>4.7699999999999992E-2</v>
      </c>
      <c r="T64">
        <v>4.7699999999999992E-2</v>
      </c>
      <c r="U64">
        <v>4.9000000000000002E-2</v>
      </c>
      <c r="V64">
        <v>4.8799999999999996E-2</v>
      </c>
      <c r="W64">
        <v>4.4800000000000006E-2</v>
      </c>
      <c r="X64">
        <v>4.1500000000000002E-2</v>
      </c>
      <c r="Y64">
        <v>3.8699999999999998E-2</v>
      </c>
      <c r="Z64">
        <v>3.7900000000000003E-2</v>
      </c>
      <c r="AA64">
        <v>3.6699999999999997E-2</v>
      </c>
      <c r="AB64">
        <v>3.9E-2</v>
      </c>
      <c r="AC64">
        <v>3.7499999999999999E-2</v>
      </c>
      <c r="AE64">
        <f t="shared" si="2"/>
        <v>2.0000000000000573E-4</v>
      </c>
      <c r="AF64">
        <f t="shared" si="3"/>
        <v>7.9999999999998822E-4</v>
      </c>
      <c r="AG64">
        <f t="shared" si="4"/>
        <v>4.9999999999999351E-4</v>
      </c>
      <c r="AH64">
        <f t="shared" si="5"/>
        <v>2.0000000000000573E-4</v>
      </c>
      <c r="AI64">
        <f t="shared" si="6"/>
        <v>9.9999999999995925E-5</v>
      </c>
      <c r="AJ64">
        <f t="shared" si="7"/>
        <v>3.0000000000000165E-4</v>
      </c>
      <c r="AK64">
        <f t="shared" si="8"/>
        <v>6.9999999999999923E-4</v>
      </c>
      <c r="AL64">
        <f t="shared" si="9"/>
        <v>5.0000000000000044E-4</v>
      </c>
      <c r="AM64">
        <f t="shared" si="10"/>
        <v>4.0000000000000452E-4</v>
      </c>
      <c r="AN64">
        <f t="shared" si="11"/>
        <v>3.9999999999999758E-4</v>
      </c>
      <c r="AO64">
        <f t="shared" si="12"/>
        <v>4.0000000000000452E-4</v>
      </c>
      <c r="AP64">
        <f t="shared" si="13"/>
        <v>4.9999999999999351E-4</v>
      </c>
    </row>
    <row r="65" spans="17:42" x14ac:dyDescent="0.25">
      <c r="Q65" s="1">
        <v>44965</v>
      </c>
      <c r="R65">
        <v>4.6399999999999997E-2</v>
      </c>
      <c r="S65">
        <v>4.6900000000000004E-2</v>
      </c>
      <c r="T65">
        <v>4.7199999999999999E-2</v>
      </c>
      <c r="U65">
        <v>4.8799999999999996E-2</v>
      </c>
      <c r="V65">
        <v>4.87E-2</v>
      </c>
      <c r="W65">
        <v>4.4500000000000005E-2</v>
      </c>
      <c r="X65">
        <v>4.0800000000000003E-2</v>
      </c>
      <c r="Y65">
        <v>3.8199999999999998E-2</v>
      </c>
      <c r="Z65">
        <v>3.7499999999999999E-2</v>
      </c>
      <c r="AA65">
        <v>3.6299999999999999E-2</v>
      </c>
      <c r="AB65">
        <v>3.8599999999999995E-2</v>
      </c>
      <c r="AC65">
        <v>3.7000000000000005E-2</v>
      </c>
      <c r="AE65">
        <f t="shared" si="2"/>
        <v>1.9999999999999879E-4</v>
      </c>
      <c r="AF65">
        <f t="shared" si="3"/>
        <v>1.000000000000098E-4</v>
      </c>
      <c r="AG65">
        <f t="shared" si="4"/>
        <v>9.9999999999995925E-5</v>
      </c>
      <c r="AH65">
        <f t="shared" si="5"/>
        <v>-1.0000000000000286E-4</v>
      </c>
      <c r="AI65">
        <f t="shared" si="6"/>
        <v>-9.9999999999995925E-5</v>
      </c>
      <c r="AJ65">
        <f t="shared" si="7"/>
        <v>-1.9999999999999185E-4</v>
      </c>
      <c r="AK65">
        <f t="shared" si="8"/>
        <v>-3.0000000000000165E-4</v>
      </c>
      <c r="AL65">
        <f t="shared" si="9"/>
        <v>-3.0000000000000165E-4</v>
      </c>
      <c r="AM65">
        <f t="shared" si="10"/>
        <v>-3.0000000000000165E-4</v>
      </c>
      <c r="AN65">
        <f t="shared" si="11"/>
        <v>-3.9999999999999758E-4</v>
      </c>
      <c r="AO65">
        <f t="shared" si="12"/>
        <v>-1.0000000000000286E-4</v>
      </c>
      <c r="AP65">
        <f t="shared" si="13"/>
        <v>-1.9999999999999879E-4</v>
      </c>
    </row>
    <row r="66" spans="17:42" x14ac:dyDescent="0.25">
      <c r="Q66" s="1">
        <v>44964</v>
      </c>
      <c r="R66">
        <v>4.6199999999999998E-2</v>
      </c>
      <c r="S66">
        <v>4.6799999999999994E-2</v>
      </c>
      <c r="T66">
        <v>4.7100000000000003E-2</v>
      </c>
      <c r="U66">
        <v>4.8899999999999999E-2</v>
      </c>
      <c r="V66">
        <v>4.8799999999999996E-2</v>
      </c>
      <c r="W66">
        <v>4.4699999999999997E-2</v>
      </c>
      <c r="X66">
        <v>4.1100000000000005E-2</v>
      </c>
      <c r="Y66">
        <v>3.85E-2</v>
      </c>
      <c r="Z66">
        <v>3.78E-2</v>
      </c>
      <c r="AA66">
        <v>3.6699999999999997E-2</v>
      </c>
      <c r="AB66">
        <v>3.8699999999999998E-2</v>
      </c>
      <c r="AC66">
        <v>3.7200000000000004E-2</v>
      </c>
      <c r="AE66">
        <f t="shared" si="2"/>
        <v>9.9999999999995925E-5</v>
      </c>
      <c r="AF66">
        <f t="shared" si="3"/>
        <v>9.9999999999995925E-5</v>
      </c>
      <c r="AG66">
        <f t="shared" si="4"/>
        <v>0</v>
      </c>
      <c r="AH66">
        <f t="shared" si="5"/>
        <v>0</v>
      </c>
      <c r="AI66">
        <f t="shared" si="6"/>
        <v>3.0000000000000165E-4</v>
      </c>
      <c r="AJ66">
        <f t="shared" si="7"/>
        <v>2.9999999999999472E-4</v>
      </c>
      <c r="AK66">
        <f t="shared" si="8"/>
        <v>1.000000000000098E-4</v>
      </c>
      <c r="AL66">
        <f t="shared" si="9"/>
        <v>3.9999999999999758E-4</v>
      </c>
      <c r="AM66">
        <f t="shared" si="10"/>
        <v>5.0000000000000044E-4</v>
      </c>
      <c r="AN66">
        <f t="shared" si="11"/>
        <v>3.9999999999999758E-4</v>
      </c>
      <c r="AO66">
        <f t="shared" si="12"/>
        <v>5.0000000000000044E-4</v>
      </c>
      <c r="AP66">
        <f t="shared" si="13"/>
        <v>5.0000000000000738E-4</v>
      </c>
    </row>
    <row r="67" spans="17:42" x14ac:dyDescent="0.25">
      <c r="Q67" s="1">
        <v>44963</v>
      </c>
      <c r="R67">
        <v>4.6100000000000002E-2</v>
      </c>
      <c r="S67">
        <v>4.6699999999999998E-2</v>
      </c>
      <c r="T67">
        <v>4.7100000000000003E-2</v>
      </c>
      <c r="U67">
        <v>4.8899999999999999E-2</v>
      </c>
      <c r="V67">
        <v>4.8499999999999995E-2</v>
      </c>
      <c r="W67">
        <v>4.4400000000000002E-2</v>
      </c>
      <c r="X67">
        <v>4.0999999999999995E-2</v>
      </c>
      <c r="Y67">
        <v>3.8100000000000002E-2</v>
      </c>
      <c r="Z67">
        <v>3.73E-2</v>
      </c>
      <c r="AA67">
        <v>3.6299999999999999E-2</v>
      </c>
      <c r="AB67">
        <v>3.8199999999999998E-2</v>
      </c>
      <c r="AC67">
        <v>3.6699999999999997E-2</v>
      </c>
      <c r="AE67">
        <f t="shared" si="2"/>
        <v>0</v>
      </c>
      <c r="AF67">
        <f t="shared" si="3"/>
        <v>0</v>
      </c>
      <c r="AG67">
        <f t="shared" si="4"/>
        <v>1.0000000000000286E-4</v>
      </c>
      <c r="AH67">
        <f t="shared" si="5"/>
        <v>6.9999999999999923E-4</v>
      </c>
      <c r="AI67">
        <f t="shared" si="6"/>
        <v>5.9999999999999637E-4</v>
      </c>
      <c r="AJ67">
        <f t="shared" si="7"/>
        <v>1.4000000000000054E-3</v>
      </c>
      <c r="AK67">
        <f t="shared" si="8"/>
        <v>1.3999999999999985E-3</v>
      </c>
      <c r="AL67">
        <f t="shared" si="9"/>
        <v>1.4000000000000054E-3</v>
      </c>
      <c r="AM67">
        <f t="shared" si="10"/>
        <v>1.1999999999999997E-3</v>
      </c>
      <c r="AN67">
        <f t="shared" si="11"/>
        <v>1.0000000000000009E-3</v>
      </c>
      <c r="AO67">
        <f t="shared" si="12"/>
        <v>5.0000000000000044E-4</v>
      </c>
      <c r="AP67">
        <f t="shared" si="13"/>
        <v>3.9999999999999758E-4</v>
      </c>
    </row>
    <row r="68" spans="17:42" x14ac:dyDescent="0.25">
      <c r="Q68" s="1">
        <v>44960</v>
      </c>
      <c r="R68">
        <v>4.6100000000000002E-2</v>
      </c>
      <c r="S68">
        <v>4.6699999999999998E-2</v>
      </c>
      <c r="T68">
        <v>4.7E-2</v>
      </c>
      <c r="U68">
        <v>4.82E-2</v>
      </c>
      <c r="V68">
        <v>4.7899999999999998E-2</v>
      </c>
      <c r="W68">
        <v>4.2999999999999997E-2</v>
      </c>
      <c r="X68">
        <v>3.9599999999999996E-2</v>
      </c>
      <c r="Y68">
        <v>3.6699999999999997E-2</v>
      </c>
      <c r="Z68">
        <v>3.61E-2</v>
      </c>
      <c r="AA68">
        <v>3.5299999999999998E-2</v>
      </c>
      <c r="AB68">
        <v>3.7699999999999997E-2</v>
      </c>
      <c r="AC68">
        <v>3.6299999999999999E-2</v>
      </c>
      <c r="AE68">
        <f t="shared" si="2"/>
        <v>-9.9999999999995925E-5</v>
      </c>
      <c r="AF68">
        <f t="shared" si="3"/>
        <v>1.9999999999999185E-4</v>
      </c>
      <c r="AG68">
        <f t="shared" si="4"/>
        <v>3.9999999999999758E-4</v>
      </c>
      <c r="AH68">
        <f t="shared" si="5"/>
        <v>6.0000000000000331E-4</v>
      </c>
      <c r="AI68">
        <f t="shared" si="6"/>
        <v>1.5000000000000013E-3</v>
      </c>
      <c r="AJ68">
        <f t="shared" si="7"/>
        <v>2.0999999999999977E-3</v>
      </c>
      <c r="AK68">
        <f t="shared" si="8"/>
        <v>2.0999999999999977E-3</v>
      </c>
      <c r="AL68">
        <f t="shared" si="9"/>
        <v>1.799999999999996E-3</v>
      </c>
      <c r="AM68">
        <f t="shared" si="10"/>
        <v>1.7000000000000001E-3</v>
      </c>
      <c r="AN68">
        <f t="shared" si="11"/>
        <v>1.2999999999999956E-3</v>
      </c>
      <c r="AO68">
        <f t="shared" si="12"/>
        <v>1.0000000000000009E-3</v>
      </c>
      <c r="AP68">
        <f t="shared" si="13"/>
        <v>8.000000000000021E-4</v>
      </c>
    </row>
    <row r="69" spans="17:42" x14ac:dyDescent="0.25">
      <c r="Q69" s="1">
        <v>44959</v>
      </c>
      <c r="R69">
        <v>4.6199999999999998E-2</v>
      </c>
      <c r="S69">
        <v>4.6500000000000007E-2</v>
      </c>
      <c r="T69">
        <v>4.6600000000000003E-2</v>
      </c>
      <c r="U69">
        <v>4.7599999999999996E-2</v>
      </c>
      <c r="V69">
        <v>4.6399999999999997E-2</v>
      </c>
      <c r="W69">
        <v>4.0899999999999999E-2</v>
      </c>
      <c r="X69">
        <v>3.7499999999999999E-2</v>
      </c>
      <c r="Y69">
        <v>3.49E-2</v>
      </c>
      <c r="Z69">
        <v>3.44E-2</v>
      </c>
      <c r="AA69">
        <v>3.4000000000000002E-2</v>
      </c>
      <c r="AB69">
        <v>3.6699999999999997E-2</v>
      </c>
      <c r="AC69">
        <v>3.5499999999999997E-2</v>
      </c>
      <c r="AE69">
        <f t="shared" ref="AE69:AE132" si="17">R69-R70</f>
        <v>3.0000000000000165E-4</v>
      </c>
      <c r="AF69">
        <f t="shared" ref="AF69:AF132" si="18">S69-S70</f>
        <v>2.0000000000000573E-4</v>
      </c>
      <c r="AG69">
        <f t="shared" ref="AG69:AG132" si="19">T69-T70</f>
        <v>0</v>
      </c>
      <c r="AH69">
        <f t="shared" ref="AH69:AH132" si="20">U69-U70</f>
        <v>-3.0000000000000165E-4</v>
      </c>
      <c r="AI69">
        <f t="shared" ref="AI69:AI132" si="21">V69-V70</f>
        <v>-2.0000000000000573E-4</v>
      </c>
      <c r="AJ69">
        <f t="shared" ref="AJ69:AJ132" si="22">W69-W70</f>
        <v>0</v>
      </c>
      <c r="AK69">
        <f t="shared" ref="AK69:AK132" si="23">X69-X70</f>
        <v>0</v>
      </c>
      <c r="AL69">
        <f t="shared" ref="AL69:AL132" si="24">Y69-Y70</f>
        <v>1.0000000000000286E-4</v>
      </c>
      <c r="AM69">
        <f t="shared" ref="AM69:AM132" si="25">Z69-Z70</f>
        <v>9.9999999999995925E-5</v>
      </c>
      <c r="AN69">
        <f t="shared" ref="AN69:AN132" si="26">AA69-AA70</f>
        <v>1.0000000000000286E-4</v>
      </c>
      <c r="AO69">
        <f t="shared" ref="AO69:AO132" si="27">AB69-AB70</f>
        <v>0</v>
      </c>
      <c r="AP69">
        <f t="shared" ref="AP69:AP132" si="28">AC69-AC70</f>
        <v>0</v>
      </c>
    </row>
    <row r="70" spans="17:42" x14ac:dyDescent="0.25">
      <c r="Q70" s="1">
        <v>44958</v>
      </c>
      <c r="R70">
        <v>4.5899999999999996E-2</v>
      </c>
      <c r="S70">
        <v>4.6300000000000001E-2</v>
      </c>
      <c r="T70">
        <v>4.6600000000000003E-2</v>
      </c>
      <c r="U70">
        <v>4.7899999999999998E-2</v>
      </c>
      <c r="V70">
        <v>4.6600000000000003E-2</v>
      </c>
      <c r="W70">
        <v>4.0899999999999999E-2</v>
      </c>
      <c r="X70">
        <v>3.7499999999999999E-2</v>
      </c>
      <c r="Y70">
        <v>3.4799999999999998E-2</v>
      </c>
      <c r="Z70">
        <v>3.4300000000000004E-2</v>
      </c>
      <c r="AA70">
        <v>3.39E-2</v>
      </c>
      <c r="AB70">
        <v>3.6699999999999997E-2</v>
      </c>
      <c r="AC70">
        <v>3.5499999999999997E-2</v>
      </c>
      <c r="AE70">
        <f t="shared" si="17"/>
        <v>9.9999999999995925E-5</v>
      </c>
      <c r="AF70">
        <f t="shared" si="18"/>
        <v>-9.9999999999995925E-5</v>
      </c>
      <c r="AG70">
        <f t="shared" si="19"/>
        <v>-3.9999999999999758E-4</v>
      </c>
      <c r="AH70">
        <f t="shared" si="20"/>
        <v>-1.0000000000000286E-4</v>
      </c>
      <c r="AI70">
        <f t="shared" si="21"/>
        <v>-1.9999999999999185E-4</v>
      </c>
      <c r="AJ70">
        <f t="shared" si="22"/>
        <v>-1.1999999999999997E-3</v>
      </c>
      <c r="AK70">
        <f t="shared" si="23"/>
        <v>-1.5000000000000013E-3</v>
      </c>
      <c r="AL70">
        <f t="shared" si="24"/>
        <v>-1.5000000000000013E-3</v>
      </c>
      <c r="AM70">
        <f t="shared" si="25"/>
        <v>-1.5999999999999973E-3</v>
      </c>
      <c r="AN70">
        <f t="shared" si="26"/>
        <v>-1.3000000000000025E-3</v>
      </c>
      <c r="AO70">
        <f t="shared" si="27"/>
        <v>-1.1000000000000038E-3</v>
      </c>
      <c r="AP70">
        <f t="shared" si="28"/>
        <v>-1.0000000000000009E-3</v>
      </c>
    </row>
    <row r="71" spans="17:42" x14ac:dyDescent="0.25">
      <c r="Q71" s="1">
        <v>44957</v>
      </c>
      <c r="R71">
        <v>4.58E-2</v>
      </c>
      <c r="S71">
        <v>4.6399999999999997E-2</v>
      </c>
      <c r="T71">
        <v>4.7E-2</v>
      </c>
      <c r="U71">
        <v>4.8000000000000001E-2</v>
      </c>
      <c r="V71">
        <v>4.6799999999999994E-2</v>
      </c>
      <c r="W71">
        <v>4.2099999999999999E-2</v>
      </c>
      <c r="X71">
        <v>3.9E-2</v>
      </c>
      <c r="Y71">
        <v>3.6299999999999999E-2</v>
      </c>
      <c r="Z71">
        <v>3.5900000000000001E-2</v>
      </c>
      <c r="AA71">
        <v>3.5200000000000002E-2</v>
      </c>
      <c r="AB71">
        <v>3.78E-2</v>
      </c>
      <c r="AC71">
        <v>3.6499999999999998E-2</v>
      </c>
      <c r="AE71">
        <f t="shared" si="17"/>
        <v>-1.9999999999999879E-4</v>
      </c>
      <c r="AF71">
        <f t="shared" si="18"/>
        <v>0</v>
      </c>
      <c r="AG71">
        <f t="shared" si="19"/>
        <v>-1.9999999999999879E-4</v>
      </c>
      <c r="AH71">
        <f t="shared" si="20"/>
        <v>-1.9999999999999879E-4</v>
      </c>
      <c r="AI71">
        <f t="shared" si="21"/>
        <v>-3.0000000000000859E-4</v>
      </c>
      <c r="AJ71">
        <f t="shared" si="22"/>
        <v>-4.0000000000000452E-4</v>
      </c>
      <c r="AK71">
        <f t="shared" si="23"/>
        <v>-5.9999999999999637E-4</v>
      </c>
      <c r="AL71">
        <f t="shared" si="24"/>
        <v>-5.0000000000000044E-4</v>
      </c>
      <c r="AM71">
        <f t="shared" si="25"/>
        <v>-3.0000000000000165E-4</v>
      </c>
      <c r="AN71">
        <f t="shared" si="26"/>
        <v>-2.9999999999999472E-4</v>
      </c>
      <c r="AO71">
        <f t="shared" si="27"/>
        <v>-1.0000000000000286E-4</v>
      </c>
      <c r="AP71">
        <f t="shared" si="28"/>
        <v>-1.0000000000000286E-4</v>
      </c>
    </row>
    <row r="72" spans="17:42" x14ac:dyDescent="0.25">
      <c r="Q72" s="1">
        <v>44956</v>
      </c>
      <c r="R72">
        <v>4.5999999999999999E-2</v>
      </c>
      <c r="S72">
        <v>4.6399999999999997E-2</v>
      </c>
      <c r="T72">
        <v>4.7199999999999999E-2</v>
      </c>
      <c r="U72">
        <v>4.82E-2</v>
      </c>
      <c r="V72">
        <v>4.7100000000000003E-2</v>
      </c>
      <c r="W72">
        <v>4.2500000000000003E-2</v>
      </c>
      <c r="X72">
        <v>3.9599999999999996E-2</v>
      </c>
      <c r="Y72">
        <v>3.6799999999999999E-2</v>
      </c>
      <c r="Z72">
        <v>3.6200000000000003E-2</v>
      </c>
      <c r="AA72">
        <v>3.5499999999999997E-2</v>
      </c>
      <c r="AB72">
        <v>3.7900000000000003E-2</v>
      </c>
      <c r="AC72">
        <v>3.6600000000000001E-2</v>
      </c>
      <c r="AE72">
        <f t="shared" si="17"/>
        <v>-1.0000000000000286E-4</v>
      </c>
      <c r="AF72">
        <f t="shared" si="18"/>
        <v>0</v>
      </c>
      <c r="AG72">
        <f t="shared" si="19"/>
        <v>-1.0000000000000286E-4</v>
      </c>
      <c r="AH72">
        <f t="shared" si="20"/>
        <v>1.0000000000000286E-4</v>
      </c>
      <c r="AI72">
        <f t="shared" si="21"/>
        <v>3.0000000000000859E-4</v>
      </c>
      <c r="AJ72">
        <f t="shared" si="22"/>
        <v>5.9999999999999637E-4</v>
      </c>
      <c r="AK72">
        <f t="shared" si="23"/>
        <v>5.9999999999999637E-4</v>
      </c>
      <c r="AL72">
        <f t="shared" si="24"/>
        <v>5.9999999999999637E-4</v>
      </c>
      <c r="AM72">
        <f t="shared" si="25"/>
        <v>4.0000000000000452E-4</v>
      </c>
      <c r="AN72">
        <f t="shared" si="26"/>
        <v>2.9999999999999472E-4</v>
      </c>
      <c r="AO72">
        <f t="shared" si="27"/>
        <v>2.0000000000000573E-4</v>
      </c>
      <c r="AP72">
        <f t="shared" si="28"/>
        <v>1.9999999999999879E-4</v>
      </c>
    </row>
    <row r="73" spans="17:42" x14ac:dyDescent="0.25">
      <c r="Q73" s="1">
        <v>44953</v>
      </c>
      <c r="R73">
        <v>4.6100000000000002E-2</v>
      </c>
      <c r="S73">
        <v>4.6399999999999997E-2</v>
      </c>
      <c r="T73">
        <v>4.7300000000000002E-2</v>
      </c>
      <c r="U73">
        <v>4.8099999999999997E-2</v>
      </c>
      <c r="V73">
        <v>4.6799999999999994E-2</v>
      </c>
      <c r="W73">
        <v>4.1900000000000007E-2</v>
      </c>
      <c r="X73">
        <v>3.9E-2</v>
      </c>
      <c r="Y73">
        <v>3.6200000000000003E-2</v>
      </c>
      <c r="Z73">
        <v>3.5799999999999998E-2</v>
      </c>
      <c r="AA73">
        <v>3.5200000000000002E-2</v>
      </c>
      <c r="AB73">
        <v>3.7699999999999997E-2</v>
      </c>
      <c r="AC73">
        <v>3.6400000000000002E-2</v>
      </c>
      <c r="AE73">
        <f t="shared" si="17"/>
        <v>0</v>
      </c>
      <c r="AF73">
        <f t="shared" si="18"/>
        <v>-1.000000000000098E-4</v>
      </c>
      <c r="AG73">
        <f t="shared" si="19"/>
        <v>1.9999999999999879E-4</v>
      </c>
      <c r="AH73">
        <f t="shared" si="20"/>
        <v>1.9999999999999879E-4</v>
      </c>
      <c r="AI73">
        <f t="shared" si="21"/>
        <v>0</v>
      </c>
      <c r="AJ73">
        <f t="shared" si="22"/>
        <v>2.0000000000000573E-4</v>
      </c>
      <c r="AK73">
        <f t="shared" si="23"/>
        <v>1.9999999999999879E-4</v>
      </c>
      <c r="AL73">
        <f t="shared" si="24"/>
        <v>4.0000000000000452E-4</v>
      </c>
      <c r="AM73">
        <f t="shared" si="25"/>
        <v>3.9999999999999758E-4</v>
      </c>
      <c r="AN73">
        <f t="shared" si="26"/>
        <v>3.0000000000000165E-4</v>
      </c>
      <c r="AO73">
        <f t="shared" si="27"/>
        <v>1.9999999999999879E-4</v>
      </c>
      <c r="AP73">
        <f t="shared" si="28"/>
        <v>1.9999999999999879E-4</v>
      </c>
    </row>
    <row r="74" spans="17:42" x14ac:dyDescent="0.25">
      <c r="Q74" s="1">
        <v>44952</v>
      </c>
      <c r="R74">
        <v>4.6100000000000002E-2</v>
      </c>
      <c r="S74">
        <v>4.6500000000000007E-2</v>
      </c>
      <c r="T74">
        <v>4.7100000000000003E-2</v>
      </c>
      <c r="U74">
        <v>4.7899999999999998E-2</v>
      </c>
      <c r="V74">
        <v>4.6799999999999994E-2</v>
      </c>
      <c r="W74">
        <v>4.1700000000000001E-2</v>
      </c>
      <c r="X74">
        <v>3.8800000000000001E-2</v>
      </c>
      <c r="Y74">
        <v>3.5799999999999998E-2</v>
      </c>
      <c r="Z74">
        <v>3.5400000000000001E-2</v>
      </c>
      <c r="AA74">
        <v>3.49E-2</v>
      </c>
      <c r="AB74">
        <v>3.7499999999999999E-2</v>
      </c>
      <c r="AC74">
        <v>3.6200000000000003E-2</v>
      </c>
      <c r="AE74">
        <f t="shared" si="17"/>
        <v>-5.9999999999999637E-4</v>
      </c>
      <c r="AF74">
        <f t="shared" si="18"/>
        <v>0</v>
      </c>
      <c r="AG74">
        <f t="shared" si="19"/>
        <v>-9.9999999999995925E-5</v>
      </c>
      <c r="AH74">
        <f t="shared" si="20"/>
        <v>0</v>
      </c>
      <c r="AI74">
        <f t="shared" si="21"/>
        <v>9.9999999999995925E-5</v>
      </c>
      <c r="AJ74">
        <f t="shared" si="22"/>
        <v>5.9999999999999637E-4</v>
      </c>
      <c r="AK74">
        <f t="shared" si="23"/>
        <v>4.0000000000000452E-4</v>
      </c>
      <c r="AL74">
        <f t="shared" si="24"/>
        <v>3.9999999999999758E-4</v>
      </c>
      <c r="AM74">
        <f t="shared" si="25"/>
        <v>3.0000000000000165E-4</v>
      </c>
      <c r="AN74">
        <f t="shared" si="26"/>
        <v>3.0000000000000165E-4</v>
      </c>
      <c r="AO74">
        <f t="shared" si="27"/>
        <v>9.9999999999995925E-5</v>
      </c>
      <c r="AP74">
        <f t="shared" si="28"/>
        <v>0</v>
      </c>
    </row>
    <row r="75" spans="17:42" x14ac:dyDescent="0.25">
      <c r="Q75" s="1">
        <v>44951</v>
      </c>
      <c r="R75">
        <v>4.6699999999999998E-2</v>
      </c>
      <c r="S75">
        <v>4.6500000000000007E-2</v>
      </c>
      <c r="T75">
        <v>4.7199999999999999E-2</v>
      </c>
      <c r="U75">
        <v>4.7899999999999998E-2</v>
      </c>
      <c r="V75">
        <v>4.6699999999999998E-2</v>
      </c>
      <c r="W75">
        <v>4.1100000000000005E-2</v>
      </c>
      <c r="X75">
        <v>3.8399999999999997E-2</v>
      </c>
      <c r="Y75">
        <v>3.5400000000000001E-2</v>
      </c>
      <c r="Z75">
        <v>3.5099999999999999E-2</v>
      </c>
      <c r="AA75">
        <v>3.4599999999999999E-2</v>
      </c>
      <c r="AB75">
        <v>3.7400000000000003E-2</v>
      </c>
      <c r="AC75">
        <v>3.6200000000000003E-2</v>
      </c>
      <c r="AE75">
        <f t="shared" si="17"/>
        <v>-3.0000000000000165E-4</v>
      </c>
      <c r="AF75">
        <f t="shared" si="18"/>
        <v>-1.9999999999999185E-4</v>
      </c>
      <c r="AG75">
        <f t="shared" si="19"/>
        <v>0</v>
      </c>
      <c r="AH75">
        <f t="shared" si="20"/>
        <v>-5.0000000000000044E-4</v>
      </c>
      <c r="AI75">
        <f t="shared" si="21"/>
        <v>-3.0000000000000165E-4</v>
      </c>
      <c r="AJ75">
        <f t="shared" si="22"/>
        <v>-9.9999999999995925E-5</v>
      </c>
      <c r="AK75">
        <f t="shared" si="23"/>
        <v>-1.9999999999999879E-4</v>
      </c>
      <c r="AL75">
        <f t="shared" si="24"/>
        <v>-3.9999999999999758E-4</v>
      </c>
      <c r="AM75">
        <f t="shared" si="25"/>
        <v>-1.0000000000000286E-4</v>
      </c>
      <c r="AN75">
        <f t="shared" si="26"/>
        <v>0</v>
      </c>
      <c r="AO75">
        <f t="shared" si="27"/>
        <v>1.0000000000000286E-4</v>
      </c>
      <c r="AP75">
        <f t="shared" si="28"/>
        <v>0</v>
      </c>
    </row>
    <row r="76" spans="17:42" x14ac:dyDescent="0.25">
      <c r="Q76" s="1">
        <v>44950</v>
      </c>
      <c r="R76">
        <v>4.7E-2</v>
      </c>
      <c r="S76">
        <v>4.6699999999999998E-2</v>
      </c>
      <c r="T76">
        <v>4.7199999999999999E-2</v>
      </c>
      <c r="U76">
        <v>4.8399999999999999E-2</v>
      </c>
      <c r="V76">
        <v>4.7E-2</v>
      </c>
      <c r="W76">
        <v>4.1200000000000001E-2</v>
      </c>
      <c r="X76">
        <v>3.8599999999999995E-2</v>
      </c>
      <c r="Y76">
        <v>3.5799999999999998E-2</v>
      </c>
      <c r="Z76">
        <v>3.5200000000000002E-2</v>
      </c>
      <c r="AA76">
        <v>3.4599999999999999E-2</v>
      </c>
      <c r="AB76">
        <v>3.73E-2</v>
      </c>
      <c r="AC76">
        <v>3.6200000000000003E-2</v>
      </c>
      <c r="AE76">
        <f t="shared" si="17"/>
        <v>9.9999999999995925E-5</v>
      </c>
      <c r="AF76">
        <f t="shared" si="18"/>
        <v>1.9999999999999185E-4</v>
      </c>
      <c r="AG76">
        <f t="shared" si="19"/>
        <v>-1.0000000000000286E-4</v>
      </c>
      <c r="AH76">
        <f t="shared" si="20"/>
        <v>1.9999999999999879E-4</v>
      </c>
      <c r="AI76">
        <f t="shared" si="21"/>
        <v>0</v>
      </c>
      <c r="AJ76">
        <f t="shared" si="22"/>
        <v>-8.9999999999999802E-4</v>
      </c>
      <c r="AK76">
        <f t="shared" si="23"/>
        <v>-2.0000000000000573E-4</v>
      </c>
      <c r="AL76">
        <f t="shared" si="24"/>
        <v>-3.0000000000000165E-4</v>
      </c>
      <c r="AM76">
        <f t="shared" si="25"/>
        <v>-3.9999999999999758E-4</v>
      </c>
      <c r="AN76">
        <f t="shared" si="26"/>
        <v>-6.0000000000000331E-4</v>
      </c>
      <c r="AO76">
        <f t="shared" si="27"/>
        <v>-6.9999999999999923E-4</v>
      </c>
      <c r="AP76">
        <f t="shared" si="28"/>
        <v>-6.9999999999999923E-4</v>
      </c>
    </row>
    <row r="77" spans="17:42" x14ac:dyDescent="0.25">
      <c r="Q77" s="1">
        <v>44949</v>
      </c>
      <c r="R77">
        <v>4.6900000000000004E-2</v>
      </c>
      <c r="S77">
        <v>4.6500000000000007E-2</v>
      </c>
      <c r="T77">
        <v>4.7300000000000002E-2</v>
      </c>
      <c r="U77">
        <v>4.82E-2</v>
      </c>
      <c r="V77">
        <v>4.7E-2</v>
      </c>
      <c r="W77">
        <v>4.2099999999999999E-2</v>
      </c>
      <c r="X77">
        <v>3.8800000000000001E-2</v>
      </c>
      <c r="Y77">
        <v>3.61E-2</v>
      </c>
      <c r="Z77">
        <v>3.56E-2</v>
      </c>
      <c r="AA77">
        <v>3.5200000000000002E-2</v>
      </c>
      <c r="AB77">
        <v>3.7999999999999999E-2</v>
      </c>
      <c r="AC77">
        <v>3.6900000000000002E-2</v>
      </c>
      <c r="AE77">
        <f t="shared" si="17"/>
        <v>0</v>
      </c>
      <c r="AF77">
        <f t="shared" si="18"/>
        <v>1.000000000000098E-4</v>
      </c>
      <c r="AG77">
        <f t="shared" si="19"/>
        <v>1.0000000000000286E-4</v>
      </c>
      <c r="AH77">
        <f t="shared" si="20"/>
        <v>1.9999999999999879E-4</v>
      </c>
      <c r="AI77">
        <f t="shared" si="21"/>
        <v>2.0000000000000573E-4</v>
      </c>
      <c r="AJ77">
        <f t="shared" si="22"/>
        <v>6.9999999999999923E-4</v>
      </c>
      <c r="AK77">
        <f t="shared" si="23"/>
        <v>5.0000000000000044E-4</v>
      </c>
      <c r="AL77">
        <f t="shared" si="24"/>
        <v>5.0000000000000044E-4</v>
      </c>
      <c r="AM77">
        <f t="shared" si="25"/>
        <v>5.0000000000000044E-4</v>
      </c>
      <c r="AN77">
        <f t="shared" si="26"/>
        <v>4.0000000000000452E-4</v>
      </c>
      <c r="AO77">
        <f t="shared" si="27"/>
        <v>3.0000000000000165E-4</v>
      </c>
      <c r="AP77">
        <f t="shared" si="28"/>
        <v>3.0000000000000165E-4</v>
      </c>
    </row>
    <row r="78" spans="17:42" x14ac:dyDescent="0.25">
      <c r="Q78" s="1">
        <v>44946</v>
      </c>
      <c r="R78">
        <v>4.6900000000000004E-2</v>
      </c>
      <c r="S78">
        <v>4.6399999999999997E-2</v>
      </c>
      <c r="T78">
        <v>4.7199999999999999E-2</v>
      </c>
      <c r="U78">
        <v>4.8000000000000001E-2</v>
      </c>
      <c r="V78">
        <v>4.6799999999999994E-2</v>
      </c>
      <c r="W78">
        <v>4.1399999999999999E-2</v>
      </c>
      <c r="X78">
        <v>3.8300000000000001E-2</v>
      </c>
      <c r="Y78">
        <v>3.56E-2</v>
      </c>
      <c r="Z78">
        <v>3.5099999999999999E-2</v>
      </c>
      <c r="AA78">
        <v>3.4799999999999998E-2</v>
      </c>
      <c r="AB78">
        <v>3.7699999999999997E-2</v>
      </c>
      <c r="AC78">
        <v>3.6600000000000001E-2</v>
      </c>
      <c r="AE78">
        <f t="shared" si="17"/>
        <v>0</v>
      </c>
      <c r="AF78">
        <f t="shared" si="18"/>
        <v>-2.0000000000000573E-4</v>
      </c>
      <c r="AG78">
        <f t="shared" si="19"/>
        <v>9.9999999999995925E-5</v>
      </c>
      <c r="AH78">
        <f t="shared" si="20"/>
        <v>1.0000000000000286E-4</v>
      </c>
      <c r="AI78">
        <f t="shared" si="21"/>
        <v>2.9999999999998778E-4</v>
      </c>
      <c r="AJ78">
        <f t="shared" si="22"/>
        <v>5.0000000000000044E-4</v>
      </c>
      <c r="AK78">
        <f t="shared" si="23"/>
        <v>7.0000000000000617E-4</v>
      </c>
      <c r="AL78">
        <f t="shared" si="24"/>
        <v>8.000000000000021E-4</v>
      </c>
      <c r="AM78">
        <f t="shared" si="25"/>
        <v>7.9999999999999516E-4</v>
      </c>
      <c r="AN78">
        <f t="shared" si="26"/>
        <v>8.9999999999999802E-4</v>
      </c>
      <c r="AO78">
        <f t="shared" si="27"/>
        <v>7.9999999999999516E-4</v>
      </c>
      <c r="AP78">
        <f t="shared" si="28"/>
        <v>9.0000000000000496E-4</v>
      </c>
    </row>
    <row r="79" spans="17:42" x14ac:dyDescent="0.25">
      <c r="Q79" s="1">
        <v>44945</v>
      </c>
      <c r="R79">
        <v>4.6900000000000004E-2</v>
      </c>
      <c r="S79">
        <v>4.6600000000000003E-2</v>
      </c>
      <c r="T79">
        <v>4.7100000000000003E-2</v>
      </c>
      <c r="U79">
        <v>4.7899999999999998E-2</v>
      </c>
      <c r="V79">
        <v>4.6500000000000007E-2</v>
      </c>
      <c r="W79">
        <v>4.0899999999999999E-2</v>
      </c>
      <c r="X79">
        <v>3.7599999999999995E-2</v>
      </c>
      <c r="Y79">
        <v>3.4799999999999998E-2</v>
      </c>
      <c r="Z79">
        <v>3.4300000000000004E-2</v>
      </c>
      <c r="AA79">
        <v>3.39E-2</v>
      </c>
      <c r="AB79">
        <v>3.6900000000000002E-2</v>
      </c>
      <c r="AC79">
        <v>3.5699999999999996E-2</v>
      </c>
      <c r="AE79">
        <f t="shared" si="17"/>
        <v>1.0000000000000078E-3</v>
      </c>
      <c r="AF79">
        <f t="shared" si="18"/>
        <v>4.0000000000000452E-4</v>
      </c>
      <c r="AG79">
        <f t="shared" si="19"/>
        <v>1.9999999999999879E-4</v>
      </c>
      <c r="AH79">
        <f t="shared" si="20"/>
        <v>0</v>
      </c>
      <c r="AI79">
        <f t="shared" si="21"/>
        <v>2.0000000000000573E-4</v>
      </c>
      <c r="AJ79">
        <f t="shared" si="22"/>
        <v>3.0000000000000165E-4</v>
      </c>
      <c r="AK79">
        <f t="shared" si="23"/>
        <v>3.9999999999999064E-4</v>
      </c>
      <c r="AL79">
        <f t="shared" si="24"/>
        <v>4.9999999999999351E-4</v>
      </c>
      <c r="AM79">
        <f t="shared" si="25"/>
        <v>3.0000000000000165E-4</v>
      </c>
      <c r="AN79">
        <f t="shared" si="26"/>
        <v>1.9999999999999879E-4</v>
      </c>
      <c r="AO79">
        <f t="shared" si="27"/>
        <v>4.0000000000000452E-4</v>
      </c>
      <c r="AP79">
        <f t="shared" si="28"/>
        <v>2.9999999999999472E-4</v>
      </c>
    </row>
    <row r="80" spans="17:42" x14ac:dyDescent="0.25">
      <c r="Q80" s="1">
        <v>44944</v>
      </c>
      <c r="R80">
        <v>4.5899999999999996E-2</v>
      </c>
      <c r="S80">
        <v>4.6199999999999998E-2</v>
      </c>
      <c r="T80">
        <v>4.6900000000000004E-2</v>
      </c>
      <c r="U80">
        <v>4.7899999999999998E-2</v>
      </c>
      <c r="V80">
        <v>4.6300000000000001E-2</v>
      </c>
      <c r="W80">
        <v>4.0599999999999997E-2</v>
      </c>
      <c r="X80">
        <v>3.7200000000000004E-2</v>
      </c>
      <c r="Y80">
        <v>3.4300000000000004E-2</v>
      </c>
      <c r="Z80">
        <v>3.4000000000000002E-2</v>
      </c>
      <c r="AA80">
        <v>3.3700000000000001E-2</v>
      </c>
      <c r="AB80">
        <v>3.6499999999999998E-2</v>
      </c>
      <c r="AC80">
        <v>3.5400000000000001E-2</v>
      </c>
      <c r="AE80">
        <f t="shared" si="17"/>
        <v>-1.0000000000000286E-4</v>
      </c>
      <c r="AF80">
        <f t="shared" si="18"/>
        <v>-1.0000000000000286E-4</v>
      </c>
      <c r="AG80">
        <f t="shared" si="19"/>
        <v>-1.9999999999999879E-4</v>
      </c>
      <c r="AH80">
        <f t="shared" si="20"/>
        <v>-3.0000000000000165E-4</v>
      </c>
      <c r="AI80">
        <f t="shared" si="21"/>
        <v>-3.9999999999999758E-4</v>
      </c>
      <c r="AJ80">
        <f t="shared" si="22"/>
        <v>-1.1999999999999997E-3</v>
      </c>
      <c r="AK80">
        <f t="shared" si="23"/>
        <v>-1.3999999999999915E-3</v>
      </c>
      <c r="AL80">
        <f t="shared" si="24"/>
        <v>-1.7000000000000001E-3</v>
      </c>
      <c r="AM80">
        <f t="shared" si="25"/>
        <v>-1.6999999999999932E-3</v>
      </c>
      <c r="AN80">
        <f t="shared" si="26"/>
        <v>-1.5999999999999973E-3</v>
      </c>
      <c r="AO80">
        <f t="shared" si="27"/>
        <v>-1.6000000000000042E-3</v>
      </c>
      <c r="AP80">
        <f t="shared" si="28"/>
        <v>-1.0000000000000009E-3</v>
      </c>
    </row>
    <row r="81" spans="17:42" x14ac:dyDescent="0.25">
      <c r="Q81" s="1">
        <v>44943</v>
      </c>
      <c r="R81">
        <v>4.5999999999999999E-2</v>
      </c>
      <c r="S81">
        <v>4.6300000000000001E-2</v>
      </c>
      <c r="T81">
        <v>4.7100000000000003E-2</v>
      </c>
      <c r="U81">
        <v>4.82E-2</v>
      </c>
      <c r="V81">
        <v>4.6699999999999998E-2</v>
      </c>
      <c r="W81">
        <v>4.1799999999999997E-2</v>
      </c>
      <c r="X81">
        <v>3.8599999999999995E-2</v>
      </c>
      <c r="Y81">
        <v>3.6000000000000004E-2</v>
      </c>
      <c r="Z81">
        <v>3.5699999999999996E-2</v>
      </c>
      <c r="AA81">
        <v>3.5299999999999998E-2</v>
      </c>
      <c r="AB81">
        <v>3.8100000000000002E-2</v>
      </c>
      <c r="AC81">
        <v>3.6400000000000002E-2</v>
      </c>
      <c r="AE81">
        <f t="shared" si="17"/>
        <v>1.9999999999999879E-4</v>
      </c>
      <c r="AF81">
        <f t="shared" si="18"/>
        <v>4.0000000000000452E-4</v>
      </c>
      <c r="AG81">
        <f t="shared" si="19"/>
        <v>4.0000000000000452E-4</v>
      </c>
      <c r="AH81">
        <f t="shared" si="20"/>
        <v>5.0000000000000738E-4</v>
      </c>
      <c r="AI81">
        <f t="shared" si="21"/>
        <v>-2.0000000000000573E-4</v>
      </c>
      <c r="AJ81">
        <f t="shared" si="22"/>
        <v>-3.9999999999999758E-4</v>
      </c>
      <c r="AK81">
        <f t="shared" si="23"/>
        <v>-2.0000000000000573E-4</v>
      </c>
      <c r="AL81">
        <f t="shared" si="24"/>
        <v>0</v>
      </c>
      <c r="AM81">
        <f t="shared" si="25"/>
        <v>1.9999999999999879E-4</v>
      </c>
      <c r="AN81">
        <f t="shared" si="26"/>
        <v>3.9999999999999758E-4</v>
      </c>
      <c r="AO81">
        <f t="shared" si="27"/>
        <v>1.9999999999999879E-4</v>
      </c>
      <c r="AP81">
        <f t="shared" si="28"/>
        <v>3.0000000000000165E-4</v>
      </c>
    </row>
    <row r="82" spans="17:42" x14ac:dyDescent="0.25">
      <c r="Q82" s="1">
        <v>44939</v>
      </c>
      <c r="R82">
        <v>4.58E-2</v>
      </c>
      <c r="S82">
        <v>4.5899999999999996E-2</v>
      </c>
      <c r="T82">
        <v>4.6699999999999998E-2</v>
      </c>
      <c r="U82">
        <v>4.7699999999999992E-2</v>
      </c>
      <c r="V82">
        <v>4.6900000000000004E-2</v>
      </c>
      <c r="W82">
        <v>4.2199999999999994E-2</v>
      </c>
      <c r="X82">
        <v>3.8800000000000001E-2</v>
      </c>
      <c r="Y82">
        <v>3.6000000000000004E-2</v>
      </c>
      <c r="Z82">
        <v>3.5499999999999997E-2</v>
      </c>
      <c r="AA82">
        <v>3.49E-2</v>
      </c>
      <c r="AB82">
        <v>3.7900000000000003E-2</v>
      </c>
      <c r="AC82">
        <v>3.61E-2</v>
      </c>
      <c r="AE82">
        <f t="shared" si="17"/>
        <v>9.9999999999995925E-5</v>
      </c>
      <c r="AF82">
        <f t="shared" si="18"/>
        <v>0</v>
      </c>
      <c r="AG82">
        <f t="shared" si="19"/>
        <v>9.9999999999995925E-5</v>
      </c>
      <c r="AH82">
        <f t="shared" si="20"/>
        <v>9.9999999999995925E-5</v>
      </c>
      <c r="AI82">
        <f t="shared" si="21"/>
        <v>3.0000000000000165E-4</v>
      </c>
      <c r="AJ82">
        <f t="shared" si="22"/>
        <v>9.9999999999999395E-4</v>
      </c>
      <c r="AK82">
        <f t="shared" si="23"/>
        <v>8.9999999999999802E-4</v>
      </c>
      <c r="AL82">
        <f t="shared" si="24"/>
        <v>7.0000000000000617E-4</v>
      </c>
      <c r="AM82">
        <f t="shared" si="25"/>
        <v>6.9999999999999923E-4</v>
      </c>
      <c r="AN82">
        <f t="shared" si="26"/>
        <v>5.9999999999999637E-4</v>
      </c>
      <c r="AO82">
        <f t="shared" si="27"/>
        <v>6.0000000000000331E-4</v>
      </c>
      <c r="AP82">
        <f t="shared" si="28"/>
        <v>5.0000000000000044E-4</v>
      </c>
    </row>
    <row r="83" spans="17:42" x14ac:dyDescent="0.25">
      <c r="Q83" s="1">
        <v>44938</v>
      </c>
      <c r="R83">
        <v>4.5700000000000005E-2</v>
      </c>
      <c r="S83">
        <v>4.5899999999999996E-2</v>
      </c>
      <c r="T83">
        <v>4.6600000000000003E-2</v>
      </c>
      <c r="U83">
        <v>4.7599999999999996E-2</v>
      </c>
      <c r="V83">
        <v>4.6600000000000003E-2</v>
      </c>
      <c r="W83">
        <v>4.1200000000000001E-2</v>
      </c>
      <c r="X83">
        <v>3.7900000000000003E-2</v>
      </c>
      <c r="Y83">
        <v>3.5299999999999998E-2</v>
      </c>
      <c r="Z83">
        <v>3.4799999999999998E-2</v>
      </c>
      <c r="AA83">
        <v>3.4300000000000004E-2</v>
      </c>
      <c r="AB83">
        <v>3.73E-2</v>
      </c>
      <c r="AC83">
        <v>3.56E-2</v>
      </c>
      <c r="AE83">
        <f t="shared" si="17"/>
        <v>1.5000000000000083E-3</v>
      </c>
      <c r="AF83">
        <f t="shared" si="18"/>
        <v>-3.0000000000000165E-4</v>
      </c>
      <c r="AG83">
        <f t="shared" si="19"/>
        <v>-5.9999999999999637E-4</v>
      </c>
      <c r="AH83">
        <f t="shared" si="20"/>
        <v>-8.000000000000021E-4</v>
      </c>
      <c r="AI83">
        <f t="shared" si="21"/>
        <v>-6.9999999999999923E-4</v>
      </c>
      <c r="AJ83">
        <f t="shared" si="22"/>
        <v>-8.000000000000021E-4</v>
      </c>
      <c r="AK83">
        <f t="shared" si="23"/>
        <v>-1.0999999999999968E-3</v>
      </c>
      <c r="AL83">
        <f t="shared" si="24"/>
        <v>-1.3000000000000025E-3</v>
      </c>
      <c r="AM83">
        <f t="shared" si="25"/>
        <v>-1.3000000000000025E-3</v>
      </c>
      <c r="AN83">
        <f t="shared" si="26"/>
        <v>-1.0999999999999968E-3</v>
      </c>
      <c r="AO83">
        <f t="shared" si="27"/>
        <v>-1.0999999999999968E-3</v>
      </c>
      <c r="AP83">
        <f t="shared" si="28"/>
        <v>-1.0999999999999968E-3</v>
      </c>
    </row>
    <row r="84" spans="17:42" x14ac:dyDescent="0.25">
      <c r="Q84" s="1">
        <v>44937</v>
      </c>
      <c r="R84">
        <v>4.4199999999999996E-2</v>
      </c>
      <c r="S84">
        <v>4.6199999999999998E-2</v>
      </c>
      <c r="T84">
        <v>4.7199999999999999E-2</v>
      </c>
      <c r="U84">
        <v>4.8399999999999999E-2</v>
      </c>
      <c r="V84">
        <v>4.7300000000000002E-2</v>
      </c>
      <c r="W84">
        <v>4.2000000000000003E-2</v>
      </c>
      <c r="X84">
        <v>3.9E-2</v>
      </c>
      <c r="Y84">
        <v>3.6600000000000001E-2</v>
      </c>
      <c r="Z84">
        <v>3.61E-2</v>
      </c>
      <c r="AA84">
        <v>3.5400000000000001E-2</v>
      </c>
      <c r="AB84">
        <v>3.8399999999999997E-2</v>
      </c>
      <c r="AC84">
        <v>3.6699999999999997E-2</v>
      </c>
      <c r="AE84">
        <f t="shared" si="17"/>
        <v>9.9999999999995925E-5</v>
      </c>
      <c r="AF84">
        <f t="shared" si="18"/>
        <v>0</v>
      </c>
      <c r="AG84">
        <f t="shared" si="19"/>
        <v>-1.0000000000000286E-4</v>
      </c>
      <c r="AH84">
        <f t="shared" si="20"/>
        <v>-9.9999999999995925E-5</v>
      </c>
      <c r="AI84">
        <f t="shared" si="21"/>
        <v>-1.0000000000000286E-4</v>
      </c>
      <c r="AJ84">
        <f t="shared" si="22"/>
        <v>-3.9999999999999758E-4</v>
      </c>
      <c r="AK84">
        <f t="shared" si="23"/>
        <v>-3.9999999999999758E-4</v>
      </c>
      <c r="AL84">
        <f t="shared" si="24"/>
        <v>-6.0000000000000331E-4</v>
      </c>
      <c r="AM84">
        <f t="shared" si="25"/>
        <v>-5.9999999999999637E-4</v>
      </c>
      <c r="AN84">
        <f t="shared" si="26"/>
        <v>-6.9999999999999923E-4</v>
      </c>
      <c r="AO84">
        <f t="shared" si="27"/>
        <v>-7.0000000000000617E-4</v>
      </c>
      <c r="AP84">
        <f t="shared" si="28"/>
        <v>-7.0000000000000617E-4</v>
      </c>
    </row>
    <row r="85" spans="17:42" x14ac:dyDescent="0.25">
      <c r="Q85" s="1">
        <v>44936</v>
      </c>
      <c r="R85">
        <v>4.41E-2</v>
      </c>
      <c r="S85">
        <v>4.6199999999999998E-2</v>
      </c>
      <c r="T85">
        <v>4.7300000000000002E-2</v>
      </c>
      <c r="U85">
        <v>4.8499999999999995E-2</v>
      </c>
      <c r="V85">
        <v>4.7400000000000005E-2</v>
      </c>
      <c r="W85">
        <v>4.24E-2</v>
      </c>
      <c r="X85">
        <v>3.9399999999999998E-2</v>
      </c>
      <c r="Y85">
        <v>3.7200000000000004E-2</v>
      </c>
      <c r="Z85">
        <v>3.6699999999999997E-2</v>
      </c>
      <c r="AA85">
        <v>3.61E-2</v>
      </c>
      <c r="AB85">
        <v>3.9100000000000003E-2</v>
      </c>
      <c r="AC85">
        <v>3.7400000000000003E-2</v>
      </c>
      <c r="AE85">
        <f t="shared" si="17"/>
        <v>3.9999999999999758E-4</v>
      </c>
      <c r="AF85">
        <f t="shared" si="18"/>
        <v>3.9999999999999758E-4</v>
      </c>
      <c r="AG85">
        <f t="shared" si="19"/>
        <v>3.0000000000000165E-4</v>
      </c>
      <c r="AH85">
        <f t="shared" si="20"/>
        <v>1.9999999999999185E-4</v>
      </c>
      <c r="AI85">
        <f t="shared" si="21"/>
        <v>5.0000000000000044E-4</v>
      </c>
      <c r="AJ85">
        <f t="shared" si="22"/>
        <v>4.9999999999999351E-4</v>
      </c>
      <c r="AK85">
        <f t="shared" si="23"/>
        <v>9.9999999999995925E-5</v>
      </c>
      <c r="AL85">
        <f t="shared" si="24"/>
        <v>6.0000000000000331E-4</v>
      </c>
      <c r="AM85">
        <f t="shared" si="25"/>
        <v>6.999999999999923E-4</v>
      </c>
      <c r="AN85">
        <f t="shared" si="26"/>
        <v>8.000000000000021E-4</v>
      </c>
      <c r="AO85">
        <f t="shared" si="27"/>
        <v>8.000000000000021E-4</v>
      </c>
      <c r="AP85">
        <f t="shared" si="28"/>
        <v>8.000000000000021E-4</v>
      </c>
    </row>
    <row r="86" spans="17:42" x14ac:dyDescent="0.25">
      <c r="Q86" s="1">
        <v>44935</v>
      </c>
      <c r="R86">
        <v>4.3700000000000003E-2</v>
      </c>
      <c r="S86">
        <v>4.58E-2</v>
      </c>
      <c r="T86">
        <v>4.7E-2</v>
      </c>
      <c r="U86">
        <v>4.8300000000000003E-2</v>
      </c>
      <c r="V86">
        <v>4.6900000000000004E-2</v>
      </c>
      <c r="W86">
        <v>4.1900000000000007E-2</v>
      </c>
      <c r="X86">
        <v>3.9300000000000002E-2</v>
      </c>
      <c r="Y86">
        <v>3.6600000000000001E-2</v>
      </c>
      <c r="Z86">
        <v>3.6000000000000004E-2</v>
      </c>
      <c r="AA86">
        <v>3.5299999999999998E-2</v>
      </c>
      <c r="AB86">
        <v>3.8300000000000001E-2</v>
      </c>
      <c r="AC86">
        <v>3.6600000000000001E-2</v>
      </c>
      <c r="AE86">
        <f t="shared" si="17"/>
        <v>5.0000000000000044E-4</v>
      </c>
      <c r="AF86">
        <f t="shared" si="18"/>
        <v>3.0000000000000165E-4</v>
      </c>
      <c r="AG86">
        <f t="shared" si="19"/>
        <v>3.0000000000000165E-4</v>
      </c>
      <c r="AH86">
        <f t="shared" si="20"/>
        <v>4.0000000000000452E-4</v>
      </c>
      <c r="AI86">
        <f t="shared" si="21"/>
        <v>-1.9999999999999879E-4</v>
      </c>
      <c r="AJ86">
        <f t="shared" si="22"/>
        <v>-4.9999999999999351E-4</v>
      </c>
      <c r="AK86">
        <f t="shared" si="23"/>
        <v>-2.9999999999999472E-4</v>
      </c>
      <c r="AL86">
        <f t="shared" si="24"/>
        <v>-3.0000000000000165E-4</v>
      </c>
      <c r="AM86">
        <f t="shared" si="25"/>
        <v>-2.9999999999999472E-4</v>
      </c>
      <c r="AN86">
        <f t="shared" si="26"/>
        <v>-1.9999999999999879E-4</v>
      </c>
      <c r="AO86">
        <f t="shared" si="27"/>
        <v>-9.9999999999995925E-5</v>
      </c>
      <c r="AP86">
        <f t="shared" si="28"/>
        <v>-9.9999999999995925E-5</v>
      </c>
    </row>
    <row r="87" spans="17:42" x14ac:dyDescent="0.25">
      <c r="Q87" s="1">
        <v>44932</v>
      </c>
      <c r="R87">
        <v>4.3200000000000002E-2</v>
      </c>
      <c r="S87">
        <v>4.5499999999999999E-2</v>
      </c>
      <c r="T87">
        <v>4.6699999999999998E-2</v>
      </c>
      <c r="U87">
        <v>4.7899999999999998E-2</v>
      </c>
      <c r="V87">
        <v>4.7100000000000003E-2</v>
      </c>
      <c r="W87">
        <v>4.24E-2</v>
      </c>
      <c r="X87">
        <v>3.9599999999999996E-2</v>
      </c>
      <c r="Y87">
        <v>3.6900000000000002E-2</v>
      </c>
      <c r="Z87">
        <v>3.6299999999999999E-2</v>
      </c>
      <c r="AA87">
        <v>3.5499999999999997E-2</v>
      </c>
      <c r="AB87">
        <v>3.8399999999999997E-2</v>
      </c>
      <c r="AC87">
        <v>3.6699999999999997E-2</v>
      </c>
      <c r="AE87">
        <f t="shared" si="17"/>
        <v>2.0000000000000573E-4</v>
      </c>
      <c r="AF87">
        <f t="shared" si="18"/>
        <v>0</v>
      </c>
      <c r="AG87">
        <f t="shared" si="19"/>
        <v>9.9999999999995925E-5</v>
      </c>
      <c r="AH87">
        <f t="shared" si="20"/>
        <v>-1.9999999999999879E-4</v>
      </c>
      <c r="AI87">
        <f t="shared" si="21"/>
        <v>-6.9999999999999923E-4</v>
      </c>
      <c r="AJ87">
        <f t="shared" si="22"/>
        <v>-2.1000000000000046E-3</v>
      </c>
      <c r="AK87">
        <f t="shared" si="23"/>
        <v>-2.2000000000000006E-3</v>
      </c>
      <c r="AL87">
        <f t="shared" si="24"/>
        <v>-2.0999999999999977E-3</v>
      </c>
      <c r="AM87">
        <f t="shared" si="25"/>
        <v>-1.8999999999999989E-3</v>
      </c>
      <c r="AN87">
        <f t="shared" si="26"/>
        <v>-1.6000000000000042E-3</v>
      </c>
      <c r="AO87">
        <f t="shared" si="27"/>
        <v>-1.1999999999999997E-3</v>
      </c>
      <c r="AP87">
        <f t="shared" si="28"/>
        <v>-1.1000000000000038E-3</v>
      </c>
    </row>
    <row r="88" spans="17:42" x14ac:dyDescent="0.25">
      <c r="Q88" s="1">
        <v>44931</v>
      </c>
      <c r="R88">
        <v>4.2999999999999997E-2</v>
      </c>
      <c r="S88">
        <v>4.5499999999999999E-2</v>
      </c>
      <c r="T88">
        <v>4.6600000000000003E-2</v>
      </c>
      <c r="U88">
        <v>4.8099999999999997E-2</v>
      </c>
      <c r="V88">
        <v>4.7800000000000002E-2</v>
      </c>
      <c r="W88">
        <v>4.4500000000000005E-2</v>
      </c>
      <c r="X88">
        <v>4.1799999999999997E-2</v>
      </c>
      <c r="Y88">
        <v>3.9E-2</v>
      </c>
      <c r="Z88">
        <v>3.8199999999999998E-2</v>
      </c>
      <c r="AA88">
        <v>3.7100000000000001E-2</v>
      </c>
      <c r="AB88">
        <v>3.9599999999999996E-2</v>
      </c>
      <c r="AC88">
        <v>3.78E-2</v>
      </c>
      <c r="AE88">
        <f t="shared" si="17"/>
        <v>9.9999999999999395E-4</v>
      </c>
      <c r="AF88">
        <f t="shared" si="18"/>
        <v>1.3000000000000025E-3</v>
      </c>
      <c r="AG88">
        <f t="shared" si="19"/>
        <v>1.1000000000000038E-3</v>
      </c>
      <c r="AH88">
        <f t="shared" si="20"/>
        <v>4.0000000000000452E-4</v>
      </c>
      <c r="AI88">
        <f t="shared" si="21"/>
        <v>6.9999999999999923E-4</v>
      </c>
      <c r="AJ88">
        <f t="shared" si="22"/>
        <v>9.0000000000000496E-4</v>
      </c>
      <c r="AK88">
        <f t="shared" si="23"/>
        <v>6.999999999999923E-4</v>
      </c>
      <c r="AL88">
        <f t="shared" si="24"/>
        <v>5.0000000000000044E-4</v>
      </c>
      <c r="AM88">
        <f t="shared" si="25"/>
        <v>2.9999999999999472E-4</v>
      </c>
      <c r="AN88">
        <f t="shared" si="26"/>
        <v>1.9999999999999879E-4</v>
      </c>
      <c r="AO88">
        <f t="shared" si="27"/>
        <v>-1.0000000000000286E-4</v>
      </c>
      <c r="AP88">
        <f t="shared" si="28"/>
        <v>-3.0000000000000165E-4</v>
      </c>
    </row>
    <row r="89" spans="17:42" x14ac:dyDescent="0.25">
      <c r="Q89" s="1">
        <v>44930</v>
      </c>
      <c r="R89">
        <v>4.2000000000000003E-2</v>
      </c>
      <c r="S89">
        <v>4.4199999999999996E-2</v>
      </c>
      <c r="T89">
        <v>4.5499999999999999E-2</v>
      </c>
      <c r="U89">
        <v>4.7699999999999992E-2</v>
      </c>
      <c r="V89">
        <v>4.7100000000000003E-2</v>
      </c>
      <c r="W89">
        <v>4.36E-2</v>
      </c>
      <c r="X89">
        <v>4.1100000000000005E-2</v>
      </c>
      <c r="Y89">
        <v>3.85E-2</v>
      </c>
      <c r="Z89">
        <v>3.7900000000000003E-2</v>
      </c>
      <c r="AA89">
        <v>3.6900000000000002E-2</v>
      </c>
      <c r="AB89">
        <v>3.9699999999999999E-2</v>
      </c>
      <c r="AC89">
        <v>3.8100000000000002E-2</v>
      </c>
      <c r="AE89">
        <f t="shared" si="17"/>
        <v>3.0000000000000165E-4</v>
      </c>
      <c r="AF89">
        <f t="shared" si="18"/>
        <v>0</v>
      </c>
      <c r="AG89">
        <f t="shared" si="19"/>
        <v>1.9999999999999879E-4</v>
      </c>
      <c r="AH89">
        <f t="shared" si="20"/>
        <v>0</v>
      </c>
      <c r="AI89">
        <f t="shared" si="21"/>
        <v>-9.9999999999995925E-5</v>
      </c>
      <c r="AJ89">
        <f t="shared" si="22"/>
        <v>-4.0000000000000452E-4</v>
      </c>
      <c r="AK89">
        <f t="shared" si="23"/>
        <v>-6.999999999999923E-4</v>
      </c>
      <c r="AL89">
        <f t="shared" si="24"/>
        <v>-8.9999999999999802E-4</v>
      </c>
      <c r="AM89">
        <f t="shared" si="25"/>
        <v>-1.0000000000000009E-3</v>
      </c>
      <c r="AN89">
        <f t="shared" si="26"/>
        <v>-1.0000000000000009E-3</v>
      </c>
      <c r="AO89">
        <f t="shared" si="27"/>
        <v>-8.9999999999999802E-4</v>
      </c>
      <c r="AP89">
        <f t="shared" si="28"/>
        <v>-6.9999999999999923E-4</v>
      </c>
    </row>
    <row r="90" spans="17:42" x14ac:dyDescent="0.25">
      <c r="Q90" s="1">
        <v>44929</v>
      </c>
      <c r="R90">
        <v>4.1700000000000001E-2</v>
      </c>
      <c r="S90">
        <v>4.4199999999999996E-2</v>
      </c>
      <c r="T90">
        <v>4.53E-2</v>
      </c>
      <c r="U90">
        <v>4.7699999999999992E-2</v>
      </c>
      <c r="V90">
        <v>4.7199999999999999E-2</v>
      </c>
      <c r="W90">
        <v>4.4000000000000004E-2</v>
      </c>
      <c r="X90">
        <v>4.1799999999999997E-2</v>
      </c>
      <c r="Y90">
        <v>3.9399999999999998E-2</v>
      </c>
      <c r="Z90">
        <v>3.8900000000000004E-2</v>
      </c>
      <c r="AA90">
        <v>3.7900000000000003E-2</v>
      </c>
      <c r="AB90">
        <v>4.0599999999999997E-2</v>
      </c>
      <c r="AC90">
        <v>3.8800000000000001E-2</v>
      </c>
      <c r="AE90">
        <f t="shared" si="17"/>
        <v>5.0000000000000044E-4</v>
      </c>
      <c r="AF90">
        <f t="shared" si="18"/>
        <v>9.9999999999995925E-5</v>
      </c>
      <c r="AG90">
        <f t="shared" si="19"/>
        <v>1.1000000000000038E-3</v>
      </c>
      <c r="AH90">
        <f t="shared" si="20"/>
        <v>9.9999999999995925E-5</v>
      </c>
      <c r="AI90">
        <f t="shared" si="21"/>
        <v>-1.0000000000000286E-4</v>
      </c>
      <c r="AJ90">
        <f t="shared" si="22"/>
        <v>-9.9999999999995925E-5</v>
      </c>
      <c r="AK90">
        <f t="shared" si="23"/>
        <v>-3.9999999999999758E-4</v>
      </c>
      <c r="AL90">
        <f t="shared" si="24"/>
        <v>-5.0000000000000738E-4</v>
      </c>
      <c r="AM90">
        <f t="shared" si="25"/>
        <v>-6.999999999999923E-4</v>
      </c>
      <c r="AN90">
        <f t="shared" si="26"/>
        <v>-8.9999999999999802E-4</v>
      </c>
      <c r="AO90">
        <f t="shared" si="27"/>
        <v>-8.000000000000021E-4</v>
      </c>
      <c r="AP90">
        <f t="shared" si="28"/>
        <v>-8.9999999999999802E-4</v>
      </c>
    </row>
    <row r="91" spans="17:42" x14ac:dyDescent="0.25">
      <c r="Q91" s="1">
        <v>44925</v>
      </c>
      <c r="R91">
        <v>4.1200000000000001E-2</v>
      </c>
      <c r="S91">
        <v>4.41E-2</v>
      </c>
      <c r="T91">
        <v>4.4199999999999996E-2</v>
      </c>
      <c r="U91">
        <v>4.7599999999999996E-2</v>
      </c>
      <c r="V91">
        <v>4.7300000000000002E-2</v>
      </c>
      <c r="W91">
        <v>4.41E-2</v>
      </c>
      <c r="X91">
        <v>4.2199999999999994E-2</v>
      </c>
      <c r="Y91">
        <v>3.9900000000000005E-2</v>
      </c>
      <c r="Z91">
        <v>3.9599999999999996E-2</v>
      </c>
      <c r="AA91">
        <v>3.8800000000000001E-2</v>
      </c>
      <c r="AB91">
        <v>4.1399999999999999E-2</v>
      </c>
      <c r="AC91">
        <v>3.9699999999999999E-2</v>
      </c>
      <c r="AE91">
        <f t="shared" si="17"/>
        <v>8.000000000000021E-4</v>
      </c>
      <c r="AF91">
        <f t="shared" si="18"/>
        <v>2.0000000000000573E-4</v>
      </c>
      <c r="AG91">
        <f t="shared" si="19"/>
        <v>-3.0000000000000859E-4</v>
      </c>
      <c r="AH91">
        <f t="shared" si="20"/>
        <v>2.9999999999999472E-4</v>
      </c>
      <c r="AI91">
        <f t="shared" si="21"/>
        <v>1.9999999999999879E-4</v>
      </c>
      <c r="AJ91">
        <f t="shared" si="22"/>
        <v>6.9999999999999923E-4</v>
      </c>
      <c r="AK91">
        <f t="shared" si="23"/>
        <v>5.9999999999999637E-4</v>
      </c>
      <c r="AL91">
        <f t="shared" si="24"/>
        <v>5.0000000000000738E-4</v>
      </c>
      <c r="AM91">
        <f t="shared" si="25"/>
        <v>4.9999999999999351E-4</v>
      </c>
      <c r="AN91">
        <f t="shared" si="26"/>
        <v>5.0000000000000044E-4</v>
      </c>
      <c r="AO91">
        <f t="shared" si="27"/>
        <v>5.0000000000000044E-4</v>
      </c>
      <c r="AP91">
        <f t="shared" si="28"/>
        <v>5.0000000000000044E-4</v>
      </c>
    </row>
    <row r="92" spans="17:42" x14ac:dyDescent="0.25">
      <c r="Q92" s="1">
        <v>44924</v>
      </c>
      <c r="R92">
        <v>4.0399999999999998E-2</v>
      </c>
      <c r="S92">
        <v>4.3899999999999995E-2</v>
      </c>
      <c r="T92">
        <v>4.4500000000000005E-2</v>
      </c>
      <c r="U92">
        <v>4.7300000000000002E-2</v>
      </c>
      <c r="V92">
        <v>4.7100000000000003E-2</v>
      </c>
      <c r="W92">
        <v>4.3400000000000001E-2</v>
      </c>
      <c r="X92">
        <v>4.1599999999999998E-2</v>
      </c>
      <c r="Y92">
        <v>3.9399999999999998E-2</v>
      </c>
      <c r="Z92">
        <v>3.9100000000000003E-2</v>
      </c>
      <c r="AA92">
        <v>3.8300000000000001E-2</v>
      </c>
      <c r="AB92">
        <v>4.0899999999999999E-2</v>
      </c>
      <c r="AC92">
        <v>3.9199999999999999E-2</v>
      </c>
      <c r="AE92">
        <f t="shared" si="17"/>
        <v>1.800000000000003E-3</v>
      </c>
      <c r="AF92">
        <f t="shared" si="18"/>
        <v>5.9999999999999637E-4</v>
      </c>
      <c r="AG92">
        <f t="shared" si="19"/>
        <v>-9.9999999999995925E-5</v>
      </c>
      <c r="AH92">
        <f t="shared" si="20"/>
        <v>-1.9999999999999879E-4</v>
      </c>
      <c r="AI92">
        <f t="shared" si="21"/>
        <v>0</v>
      </c>
      <c r="AJ92">
        <f t="shared" si="22"/>
        <v>3.0000000000000165E-4</v>
      </c>
      <c r="AK92">
        <f t="shared" si="23"/>
        <v>-1.9999999999999879E-4</v>
      </c>
      <c r="AL92">
        <f t="shared" si="24"/>
        <v>-3.0000000000000165E-4</v>
      </c>
      <c r="AM92">
        <f t="shared" si="25"/>
        <v>-5.9999999999999637E-4</v>
      </c>
      <c r="AN92">
        <f t="shared" si="26"/>
        <v>-5.0000000000000044E-4</v>
      </c>
      <c r="AO92">
        <f t="shared" si="27"/>
        <v>-3.9999999999999758E-4</v>
      </c>
      <c r="AP92">
        <f t="shared" si="28"/>
        <v>-6.0000000000000331E-4</v>
      </c>
    </row>
    <row r="93" spans="17:42" x14ac:dyDescent="0.25">
      <c r="Q93" s="1">
        <v>44923</v>
      </c>
      <c r="R93">
        <v>3.8599999999999995E-2</v>
      </c>
      <c r="S93">
        <v>4.3299999999999998E-2</v>
      </c>
      <c r="T93">
        <v>4.4600000000000001E-2</v>
      </c>
      <c r="U93">
        <v>4.7500000000000001E-2</v>
      </c>
      <c r="V93">
        <v>4.7100000000000003E-2</v>
      </c>
      <c r="W93">
        <v>4.3099999999999999E-2</v>
      </c>
      <c r="X93">
        <v>4.1799999999999997E-2</v>
      </c>
      <c r="Y93">
        <v>3.9699999999999999E-2</v>
      </c>
      <c r="Z93">
        <v>3.9699999999999999E-2</v>
      </c>
      <c r="AA93">
        <v>3.8800000000000001E-2</v>
      </c>
      <c r="AB93">
        <v>4.1299999999999996E-2</v>
      </c>
      <c r="AC93">
        <v>3.9800000000000002E-2</v>
      </c>
      <c r="AE93">
        <f t="shared" si="17"/>
        <v>-1.0000000000000286E-4</v>
      </c>
      <c r="AF93">
        <f t="shared" si="18"/>
        <v>9.9999999999995925E-5</v>
      </c>
      <c r="AG93">
        <f t="shared" si="19"/>
        <v>0</v>
      </c>
      <c r="AH93">
        <f t="shared" si="20"/>
        <v>-9.9999999999995925E-5</v>
      </c>
      <c r="AI93">
        <f t="shared" si="21"/>
        <v>-3.9999999999999758E-4</v>
      </c>
      <c r="AJ93">
        <f t="shared" si="22"/>
        <v>-1.0000000000000286E-4</v>
      </c>
      <c r="AK93">
        <f t="shared" si="23"/>
        <v>9.9999999999995925E-5</v>
      </c>
      <c r="AL93">
        <f t="shared" si="24"/>
        <v>3.0000000000000165E-4</v>
      </c>
      <c r="AM93">
        <f t="shared" si="25"/>
        <v>3.9999999999999758E-4</v>
      </c>
      <c r="AN93">
        <f t="shared" si="26"/>
        <v>4.0000000000000452E-4</v>
      </c>
      <c r="AO93">
        <f t="shared" si="27"/>
        <v>3.0000000000000165E-4</v>
      </c>
      <c r="AP93">
        <f t="shared" si="28"/>
        <v>5.0000000000000044E-4</v>
      </c>
    </row>
    <row r="94" spans="17:42" x14ac:dyDescent="0.25">
      <c r="Q94" s="1">
        <v>44922</v>
      </c>
      <c r="R94">
        <v>3.8699999999999998E-2</v>
      </c>
      <c r="S94">
        <v>4.3200000000000002E-2</v>
      </c>
      <c r="T94">
        <v>4.4600000000000001E-2</v>
      </c>
      <c r="U94">
        <v>4.7599999999999996E-2</v>
      </c>
      <c r="V94">
        <v>4.7500000000000001E-2</v>
      </c>
      <c r="W94">
        <v>4.3200000000000002E-2</v>
      </c>
      <c r="X94">
        <v>4.1700000000000001E-2</v>
      </c>
      <c r="Y94">
        <v>3.9399999999999998E-2</v>
      </c>
      <c r="Z94">
        <v>3.9300000000000002E-2</v>
      </c>
      <c r="AA94">
        <v>3.8399999999999997E-2</v>
      </c>
      <c r="AB94">
        <v>4.0999999999999995E-2</v>
      </c>
      <c r="AC94">
        <v>3.9300000000000002E-2</v>
      </c>
      <c r="AE94">
        <f t="shared" si="17"/>
        <v>6.9999999999999923E-4</v>
      </c>
      <c r="AF94">
        <f t="shared" si="18"/>
        <v>1.1999999999999997E-3</v>
      </c>
      <c r="AG94">
        <f t="shared" si="19"/>
        <v>1.1999999999999997E-3</v>
      </c>
      <c r="AH94">
        <f t="shared" si="20"/>
        <v>8.9999999999999802E-4</v>
      </c>
      <c r="AI94">
        <f t="shared" si="21"/>
        <v>8.9999999999999802E-4</v>
      </c>
      <c r="AJ94">
        <f t="shared" si="22"/>
        <v>1.0000000000000286E-4</v>
      </c>
      <c r="AK94">
        <f t="shared" si="23"/>
        <v>8.000000000000021E-4</v>
      </c>
      <c r="AL94">
        <f t="shared" si="24"/>
        <v>8.000000000000021E-4</v>
      </c>
      <c r="AM94">
        <f t="shared" si="25"/>
        <v>1.0000000000000009E-3</v>
      </c>
      <c r="AN94">
        <f t="shared" si="26"/>
        <v>8.9999999999999802E-4</v>
      </c>
      <c r="AO94">
        <f t="shared" si="27"/>
        <v>1.0999999999999899E-3</v>
      </c>
      <c r="AP94">
        <f t="shared" si="28"/>
        <v>1.1000000000000038E-3</v>
      </c>
    </row>
    <row r="95" spans="17:42" x14ac:dyDescent="0.25">
      <c r="Q95" s="1">
        <v>44918</v>
      </c>
      <c r="R95">
        <v>3.7999999999999999E-2</v>
      </c>
      <c r="S95">
        <v>4.2000000000000003E-2</v>
      </c>
      <c r="T95">
        <v>4.3400000000000001E-2</v>
      </c>
      <c r="U95">
        <v>4.6699999999999998E-2</v>
      </c>
      <c r="V95">
        <v>4.6600000000000003E-2</v>
      </c>
      <c r="W95">
        <v>4.3099999999999999E-2</v>
      </c>
      <c r="X95">
        <v>4.0899999999999999E-2</v>
      </c>
      <c r="Y95">
        <v>3.8599999999999995E-2</v>
      </c>
      <c r="Z95">
        <v>3.8300000000000001E-2</v>
      </c>
      <c r="AA95">
        <v>3.7499999999999999E-2</v>
      </c>
      <c r="AB95">
        <v>3.9900000000000005E-2</v>
      </c>
      <c r="AC95">
        <v>3.8199999999999998E-2</v>
      </c>
      <c r="AE95">
        <f t="shared" si="17"/>
        <v>0</v>
      </c>
      <c r="AF95">
        <f t="shared" si="18"/>
        <v>0</v>
      </c>
      <c r="AG95">
        <f t="shared" si="19"/>
        <v>-9.9999999999995925E-5</v>
      </c>
      <c r="AH95">
        <f t="shared" si="20"/>
        <v>9.9999999999995925E-5</v>
      </c>
      <c r="AI95">
        <f t="shared" si="21"/>
        <v>2.0000000000000573E-4</v>
      </c>
      <c r="AJ95">
        <f t="shared" si="22"/>
        <v>6.9999999999999923E-4</v>
      </c>
      <c r="AK95">
        <f t="shared" si="23"/>
        <v>7.0000000000000617E-4</v>
      </c>
      <c r="AL95">
        <f t="shared" si="24"/>
        <v>6.999999999999923E-4</v>
      </c>
      <c r="AM95">
        <f t="shared" si="25"/>
        <v>6.0000000000000331E-4</v>
      </c>
      <c r="AN95">
        <f t="shared" si="26"/>
        <v>8.000000000000021E-4</v>
      </c>
      <c r="AO95">
        <f t="shared" si="27"/>
        <v>8.000000000000021E-4</v>
      </c>
      <c r="AP95">
        <f t="shared" si="28"/>
        <v>8.9999999999999802E-4</v>
      </c>
    </row>
    <row r="96" spans="17:42" x14ac:dyDescent="0.25">
      <c r="Q96" s="1">
        <v>44917</v>
      </c>
      <c r="R96">
        <v>3.7999999999999999E-2</v>
      </c>
      <c r="S96">
        <v>4.2000000000000003E-2</v>
      </c>
      <c r="T96">
        <v>4.3499999999999997E-2</v>
      </c>
      <c r="U96">
        <v>4.6600000000000003E-2</v>
      </c>
      <c r="V96">
        <v>4.6399999999999997E-2</v>
      </c>
      <c r="W96">
        <v>4.24E-2</v>
      </c>
      <c r="X96">
        <v>4.0199999999999993E-2</v>
      </c>
      <c r="Y96">
        <v>3.7900000000000003E-2</v>
      </c>
      <c r="Z96">
        <v>3.7699999999999997E-2</v>
      </c>
      <c r="AA96">
        <v>3.6699999999999997E-2</v>
      </c>
      <c r="AB96">
        <v>3.9100000000000003E-2</v>
      </c>
      <c r="AC96">
        <v>3.73E-2</v>
      </c>
      <c r="AE96">
        <f t="shared" si="17"/>
        <v>-1.0000000000000009E-3</v>
      </c>
      <c r="AF96">
        <f t="shared" si="18"/>
        <v>-3.0000000000000165E-4</v>
      </c>
      <c r="AG96">
        <f t="shared" si="19"/>
        <v>1.9999999999999879E-4</v>
      </c>
      <c r="AH96">
        <f t="shared" si="20"/>
        <v>-9.9999999999995925E-5</v>
      </c>
      <c r="AI96">
        <f t="shared" si="21"/>
        <v>3.9999999999999758E-4</v>
      </c>
      <c r="AJ96">
        <f t="shared" si="22"/>
        <v>3.0000000000000165E-4</v>
      </c>
      <c r="AK96">
        <f t="shared" si="23"/>
        <v>1.9999999999999185E-4</v>
      </c>
      <c r="AL96">
        <f t="shared" si="24"/>
        <v>1.0000000000000286E-4</v>
      </c>
      <c r="AM96">
        <f t="shared" si="25"/>
        <v>0</v>
      </c>
      <c r="AN96">
        <f t="shared" si="26"/>
        <v>-1.0000000000000286E-4</v>
      </c>
      <c r="AO96">
        <f t="shared" si="27"/>
        <v>-1.9999999999999879E-4</v>
      </c>
      <c r="AP96">
        <f t="shared" si="28"/>
        <v>-1.0000000000000286E-4</v>
      </c>
    </row>
    <row r="97" spans="17:42" x14ac:dyDescent="0.25">
      <c r="Q97" s="1">
        <v>44916</v>
      </c>
      <c r="R97">
        <v>3.9E-2</v>
      </c>
      <c r="S97">
        <v>4.2300000000000004E-2</v>
      </c>
      <c r="T97">
        <v>4.3299999999999998E-2</v>
      </c>
      <c r="U97">
        <v>4.6699999999999998E-2</v>
      </c>
      <c r="V97">
        <v>4.5999999999999999E-2</v>
      </c>
      <c r="W97">
        <v>4.2099999999999999E-2</v>
      </c>
      <c r="X97">
        <v>0.04</v>
      </c>
      <c r="Y97">
        <v>3.78E-2</v>
      </c>
      <c r="Z97">
        <v>3.7699999999999997E-2</v>
      </c>
      <c r="AA97">
        <v>3.6799999999999999E-2</v>
      </c>
      <c r="AB97">
        <v>3.9300000000000002E-2</v>
      </c>
      <c r="AC97">
        <v>3.7400000000000003E-2</v>
      </c>
      <c r="AE97">
        <f t="shared" si="17"/>
        <v>9.9999999999995925E-5</v>
      </c>
      <c r="AF97">
        <f t="shared" si="18"/>
        <v>0</v>
      </c>
      <c r="AG97">
        <f t="shared" si="19"/>
        <v>-1.9999999999999879E-4</v>
      </c>
      <c r="AH97">
        <f t="shared" si="20"/>
        <v>-3.0000000000000165E-4</v>
      </c>
      <c r="AI97">
        <f t="shared" si="21"/>
        <v>-3.9999999999999758E-4</v>
      </c>
      <c r="AJ97">
        <f t="shared" si="22"/>
        <v>-4.0000000000000452E-4</v>
      </c>
      <c r="AK97">
        <f t="shared" si="23"/>
        <v>-3.0000000000000165E-4</v>
      </c>
      <c r="AL97">
        <f t="shared" si="24"/>
        <v>-1.0000000000000286E-4</v>
      </c>
      <c r="AM97">
        <f t="shared" si="25"/>
        <v>-1.0000000000000286E-4</v>
      </c>
      <c r="AN97">
        <f t="shared" si="26"/>
        <v>-1.0000000000000286E-4</v>
      </c>
      <c r="AO97">
        <f t="shared" si="27"/>
        <v>-9.9999999999995925E-5</v>
      </c>
      <c r="AP97">
        <f t="shared" si="28"/>
        <v>0</v>
      </c>
    </row>
    <row r="98" spans="17:42" x14ac:dyDescent="0.25">
      <c r="Q98" s="1">
        <v>44915</v>
      </c>
      <c r="R98">
        <v>3.8900000000000004E-2</v>
      </c>
      <c r="S98">
        <v>4.2300000000000004E-2</v>
      </c>
      <c r="T98">
        <v>4.3499999999999997E-2</v>
      </c>
      <c r="U98">
        <v>4.7E-2</v>
      </c>
      <c r="V98">
        <v>4.6399999999999997E-2</v>
      </c>
      <c r="W98">
        <v>4.2500000000000003E-2</v>
      </c>
      <c r="X98">
        <v>4.0300000000000002E-2</v>
      </c>
      <c r="Y98">
        <v>3.7900000000000003E-2</v>
      </c>
      <c r="Z98">
        <v>3.78E-2</v>
      </c>
      <c r="AA98">
        <v>3.6900000000000002E-2</v>
      </c>
      <c r="AB98">
        <v>3.9399999999999998E-2</v>
      </c>
      <c r="AC98">
        <v>3.7400000000000003E-2</v>
      </c>
      <c r="AE98">
        <f t="shared" si="17"/>
        <v>-5.9999999999999637E-4</v>
      </c>
      <c r="AF98">
        <f t="shared" si="18"/>
        <v>-9.9999999999995925E-5</v>
      </c>
      <c r="AG98">
        <f t="shared" si="19"/>
        <v>-2.0000000000000573E-4</v>
      </c>
      <c r="AH98">
        <f t="shared" si="20"/>
        <v>-1.0000000000000286E-4</v>
      </c>
      <c r="AI98">
        <f t="shared" si="21"/>
        <v>0</v>
      </c>
      <c r="AJ98">
        <f t="shared" si="22"/>
        <v>0</v>
      </c>
      <c r="AK98">
        <f t="shared" si="23"/>
        <v>3.9999999999999758E-4</v>
      </c>
      <c r="AL98">
        <f t="shared" si="24"/>
        <v>8.9999999999999802E-4</v>
      </c>
      <c r="AM98">
        <f t="shared" si="25"/>
        <v>1.1000000000000038E-3</v>
      </c>
      <c r="AN98">
        <f t="shared" si="26"/>
        <v>1.2000000000000066E-3</v>
      </c>
      <c r="AO98">
        <f t="shared" si="27"/>
        <v>1.1999999999999997E-3</v>
      </c>
      <c r="AP98">
        <f t="shared" si="28"/>
        <v>1.1999999999999997E-3</v>
      </c>
    </row>
    <row r="99" spans="17:42" x14ac:dyDescent="0.25">
      <c r="Q99" s="1">
        <v>44914</v>
      </c>
      <c r="R99">
        <v>3.95E-2</v>
      </c>
      <c r="S99">
        <v>4.24E-2</v>
      </c>
      <c r="T99">
        <v>4.3700000000000003E-2</v>
      </c>
      <c r="U99">
        <v>4.7100000000000003E-2</v>
      </c>
      <c r="V99">
        <v>4.6399999999999997E-2</v>
      </c>
      <c r="W99">
        <v>4.2500000000000003E-2</v>
      </c>
      <c r="X99">
        <v>3.9900000000000005E-2</v>
      </c>
      <c r="Y99">
        <v>3.7000000000000005E-2</v>
      </c>
      <c r="Z99">
        <v>3.6699999999999997E-2</v>
      </c>
      <c r="AA99">
        <v>3.5699999999999996E-2</v>
      </c>
      <c r="AB99">
        <v>3.8199999999999998E-2</v>
      </c>
      <c r="AC99">
        <v>3.6200000000000003E-2</v>
      </c>
      <c r="AE99">
        <f t="shared" si="17"/>
        <v>1.0000000000000286E-4</v>
      </c>
      <c r="AF99">
        <f t="shared" si="18"/>
        <v>2.0000000000000573E-4</v>
      </c>
      <c r="AG99">
        <f t="shared" si="19"/>
        <v>6.0000000000000331E-4</v>
      </c>
      <c r="AH99">
        <f t="shared" si="20"/>
        <v>3.0000000000000859E-4</v>
      </c>
      <c r="AI99">
        <f t="shared" si="21"/>
        <v>2.9999999999999472E-4</v>
      </c>
      <c r="AJ99">
        <f t="shared" si="22"/>
        <v>8.000000000000021E-4</v>
      </c>
      <c r="AK99">
        <f t="shared" si="23"/>
        <v>8.000000000000021E-4</v>
      </c>
      <c r="AL99">
        <f t="shared" si="24"/>
        <v>9.0000000000000496E-4</v>
      </c>
      <c r="AM99">
        <f t="shared" si="25"/>
        <v>8.9999999999999802E-4</v>
      </c>
      <c r="AN99">
        <f t="shared" si="26"/>
        <v>8.9999999999999802E-4</v>
      </c>
      <c r="AO99">
        <f t="shared" si="27"/>
        <v>8.9999999999999802E-4</v>
      </c>
      <c r="AP99">
        <f t="shared" si="28"/>
        <v>9.0000000000000496E-4</v>
      </c>
    </row>
    <row r="100" spans="17:42" x14ac:dyDescent="0.25">
      <c r="Q100" s="1">
        <v>44911</v>
      </c>
      <c r="R100">
        <v>3.9399999999999998E-2</v>
      </c>
      <c r="S100">
        <v>4.2199999999999994E-2</v>
      </c>
      <c r="T100">
        <v>4.3099999999999999E-2</v>
      </c>
      <c r="U100">
        <v>4.6799999999999994E-2</v>
      </c>
      <c r="V100">
        <v>4.6100000000000002E-2</v>
      </c>
      <c r="W100">
        <v>4.1700000000000001E-2</v>
      </c>
      <c r="X100">
        <v>3.9100000000000003E-2</v>
      </c>
      <c r="Y100">
        <v>3.61E-2</v>
      </c>
      <c r="Z100">
        <v>3.5799999999999998E-2</v>
      </c>
      <c r="AA100">
        <v>3.4799999999999998E-2</v>
      </c>
      <c r="AB100">
        <v>3.73E-2</v>
      </c>
      <c r="AC100">
        <v>3.5299999999999998E-2</v>
      </c>
      <c r="AE100">
        <f t="shared" si="17"/>
        <v>-1.0000000000000286E-4</v>
      </c>
      <c r="AF100">
        <f t="shared" si="18"/>
        <v>-2.0000000000000573E-4</v>
      </c>
      <c r="AG100">
        <f t="shared" si="19"/>
        <v>-3.0000000000000165E-4</v>
      </c>
      <c r="AH100">
        <f t="shared" si="20"/>
        <v>-2.0000000000000573E-4</v>
      </c>
      <c r="AI100">
        <f t="shared" si="21"/>
        <v>-4.0000000000000452E-4</v>
      </c>
      <c r="AJ100">
        <f t="shared" si="22"/>
        <v>-6.0000000000000331E-4</v>
      </c>
      <c r="AK100">
        <f t="shared" si="23"/>
        <v>-4.9999999999999351E-4</v>
      </c>
      <c r="AL100">
        <f t="shared" si="24"/>
        <v>-1.0000000000000286E-4</v>
      </c>
      <c r="AM100">
        <f t="shared" si="25"/>
        <v>1.9999999999999879E-4</v>
      </c>
      <c r="AN100">
        <f t="shared" si="26"/>
        <v>3.9999999999999758E-4</v>
      </c>
      <c r="AO100">
        <f t="shared" si="27"/>
        <v>3.9999999999999758E-4</v>
      </c>
      <c r="AP100">
        <f t="shared" si="28"/>
        <v>5.0000000000000044E-4</v>
      </c>
    </row>
    <row r="101" spans="17:42" x14ac:dyDescent="0.25">
      <c r="Q101" s="1">
        <v>44910</v>
      </c>
      <c r="R101">
        <v>3.95E-2</v>
      </c>
      <c r="S101">
        <v>4.24E-2</v>
      </c>
      <c r="T101">
        <v>4.3400000000000001E-2</v>
      </c>
      <c r="U101">
        <v>4.7E-2</v>
      </c>
      <c r="V101">
        <v>4.6500000000000007E-2</v>
      </c>
      <c r="W101">
        <v>4.2300000000000004E-2</v>
      </c>
      <c r="X101">
        <v>3.9599999999999996E-2</v>
      </c>
      <c r="Y101">
        <v>3.6200000000000003E-2</v>
      </c>
      <c r="Z101">
        <v>3.56E-2</v>
      </c>
      <c r="AA101">
        <v>3.44E-2</v>
      </c>
      <c r="AB101">
        <v>3.6900000000000002E-2</v>
      </c>
      <c r="AC101">
        <v>3.4799999999999998E-2</v>
      </c>
      <c r="AE101">
        <f t="shared" si="17"/>
        <v>3.9999999999999758E-4</v>
      </c>
      <c r="AF101">
        <f t="shared" si="18"/>
        <v>1.0000000000000009E-3</v>
      </c>
      <c r="AG101">
        <f t="shared" si="19"/>
        <v>1.0000000000000286E-4</v>
      </c>
      <c r="AH101">
        <f t="shared" si="20"/>
        <v>2.0000000000000573E-4</v>
      </c>
      <c r="AI101">
        <f t="shared" si="21"/>
        <v>1.000000000000098E-4</v>
      </c>
      <c r="AJ101">
        <f t="shared" si="22"/>
        <v>0</v>
      </c>
      <c r="AK101">
        <f t="shared" si="23"/>
        <v>1.9999999999999879E-4</v>
      </c>
      <c r="AL101">
        <f t="shared" si="24"/>
        <v>-1.9999999999999879E-4</v>
      </c>
      <c r="AM101">
        <f t="shared" si="25"/>
        <v>-3.0000000000000165E-4</v>
      </c>
      <c r="AN101">
        <f t="shared" si="26"/>
        <v>-5.0000000000000044E-4</v>
      </c>
      <c r="AO101">
        <f t="shared" si="27"/>
        <v>-5.0000000000000044E-4</v>
      </c>
      <c r="AP101">
        <f t="shared" si="28"/>
        <v>-4.0000000000000452E-4</v>
      </c>
    </row>
    <row r="102" spans="17:42" x14ac:dyDescent="0.25">
      <c r="Q102" s="1">
        <v>44909</v>
      </c>
      <c r="R102">
        <v>3.9100000000000003E-2</v>
      </c>
      <c r="S102">
        <v>4.1399999999999999E-2</v>
      </c>
      <c r="T102">
        <v>4.3299999999999998E-2</v>
      </c>
      <c r="U102">
        <v>4.6799999999999994E-2</v>
      </c>
      <c r="V102">
        <v>4.6399999999999997E-2</v>
      </c>
      <c r="W102">
        <v>4.2300000000000004E-2</v>
      </c>
      <c r="X102">
        <v>3.9399999999999998E-2</v>
      </c>
      <c r="Y102">
        <v>3.6400000000000002E-2</v>
      </c>
      <c r="Z102">
        <v>3.5900000000000001E-2</v>
      </c>
      <c r="AA102">
        <v>3.49E-2</v>
      </c>
      <c r="AB102">
        <v>3.7400000000000003E-2</v>
      </c>
      <c r="AC102">
        <v>3.5200000000000002E-2</v>
      </c>
      <c r="AE102">
        <f t="shared" si="17"/>
        <v>1.9999999999999879E-4</v>
      </c>
      <c r="AF102">
        <f t="shared" si="18"/>
        <v>-1.9999999999999879E-4</v>
      </c>
      <c r="AG102">
        <f t="shared" si="19"/>
        <v>-1.9999999999999879E-4</v>
      </c>
      <c r="AH102">
        <f t="shared" si="20"/>
        <v>-2.0000000000000573E-4</v>
      </c>
      <c r="AI102">
        <f t="shared" si="21"/>
        <v>0</v>
      </c>
      <c r="AJ102">
        <f t="shared" si="22"/>
        <v>1.000000000000098E-4</v>
      </c>
      <c r="AK102">
        <f t="shared" si="23"/>
        <v>-1.9999999999999879E-4</v>
      </c>
      <c r="AL102">
        <f t="shared" si="24"/>
        <v>-1.9999999999999879E-4</v>
      </c>
      <c r="AM102">
        <f t="shared" si="25"/>
        <v>-1.0000000000000286E-4</v>
      </c>
      <c r="AN102">
        <f t="shared" si="26"/>
        <v>-1.9999999999999879E-4</v>
      </c>
      <c r="AO102">
        <f t="shared" si="27"/>
        <v>0</v>
      </c>
      <c r="AP102">
        <f t="shared" si="28"/>
        <v>-9.9999999999995925E-5</v>
      </c>
    </row>
    <row r="103" spans="17:42" x14ac:dyDescent="0.25">
      <c r="Q103" s="1">
        <v>44908</v>
      </c>
      <c r="R103">
        <v>3.8900000000000004E-2</v>
      </c>
      <c r="S103">
        <v>4.1599999999999998E-2</v>
      </c>
      <c r="T103">
        <v>4.3499999999999997E-2</v>
      </c>
      <c r="U103">
        <v>4.7E-2</v>
      </c>
      <c r="V103">
        <v>4.6399999999999997E-2</v>
      </c>
      <c r="W103">
        <v>4.2199999999999994E-2</v>
      </c>
      <c r="X103">
        <v>3.9599999999999996E-2</v>
      </c>
      <c r="Y103">
        <v>3.6600000000000001E-2</v>
      </c>
      <c r="Z103">
        <v>3.6000000000000004E-2</v>
      </c>
      <c r="AA103">
        <v>3.5099999999999999E-2</v>
      </c>
      <c r="AB103">
        <v>3.7400000000000003E-2</v>
      </c>
      <c r="AC103">
        <v>3.5299999999999998E-2</v>
      </c>
      <c r="AE103">
        <f t="shared" si="17"/>
        <v>3.0000000000000859E-4</v>
      </c>
      <c r="AF103">
        <f t="shared" si="18"/>
        <v>-1.9999999999999879E-4</v>
      </c>
      <c r="AG103">
        <f t="shared" si="19"/>
        <v>-3.0000000000000165E-4</v>
      </c>
      <c r="AH103">
        <f t="shared" si="20"/>
        <v>-8.000000000000021E-4</v>
      </c>
      <c r="AI103">
        <f t="shared" si="21"/>
        <v>-1.1000000000000038E-3</v>
      </c>
      <c r="AJ103">
        <f t="shared" si="22"/>
        <v>-1.7000000000000001E-3</v>
      </c>
      <c r="AK103">
        <f t="shared" si="23"/>
        <v>-1.3999999999999985E-3</v>
      </c>
      <c r="AL103">
        <f t="shared" si="24"/>
        <v>-1.3999999999999985E-3</v>
      </c>
      <c r="AM103">
        <f t="shared" si="25"/>
        <v>-1.2999999999999956E-3</v>
      </c>
      <c r="AN103">
        <f t="shared" si="26"/>
        <v>-1.0000000000000009E-3</v>
      </c>
      <c r="AO103">
        <f t="shared" si="27"/>
        <v>-9.9999999999999395E-4</v>
      </c>
      <c r="AP103">
        <f t="shared" si="28"/>
        <v>-3.9999999999999758E-4</v>
      </c>
    </row>
    <row r="104" spans="17:42" x14ac:dyDescent="0.25">
      <c r="Q104" s="1">
        <v>44907</v>
      </c>
      <c r="R104">
        <v>3.8599999999999995E-2</v>
      </c>
      <c r="S104">
        <v>4.1799999999999997E-2</v>
      </c>
      <c r="T104">
        <v>4.3799999999999999E-2</v>
      </c>
      <c r="U104">
        <v>4.7800000000000002E-2</v>
      </c>
      <c r="V104">
        <v>4.7500000000000001E-2</v>
      </c>
      <c r="W104">
        <v>4.3899999999999995E-2</v>
      </c>
      <c r="X104">
        <v>4.0999999999999995E-2</v>
      </c>
      <c r="Y104">
        <v>3.7999999999999999E-2</v>
      </c>
      <c r="Z104">
        <v>3.73E-2</v>
      </c>
      <c r="AA104">
        <v>3.61E-2</v>
      </c>
      <c r="AB104">
        <v>3.8399999999999997E-2</v>
      </c>
      <c r="AC104">
        <v>3.5699999999999996E-2</v>
      </c>
      <c r="AE104">
        <f t="shared" si="17"/>
        <v>4.9999999999999351E-4</v>
      </c>
      <c r="AF104">
        <f t="shared" si="18"/>
        <v>5.0000000000000044E-4</v>
      </c>
      <c r="AG104">
        <f t="shared" si="19"/>
        <v>6.9999999999999923E-4</v>
      </c>
      <c r="AH104">
        <f t="shared" si="20"/>
        <v>6.0000000000000331E-4</v>
      </c>
      <c r="AI104">
        <f t="shared" si="21"/>
        <v>3.0000000000000165E-4</v>
      </c>
      <c r="AJ104">
        <f t="shared" si="22"/>
        <v>5.9999999999999637E-4</v>
      </c>
      <c r="AK104">
        <f t="shared" si="23"/>
        <v>2.9999999999999472E-4</v>
      </c>
      <c r="AL104">
        <f t="shared" si="24"/>
        <v>5.0000000000000044E-4</v>
      </c>
      <c r="AM104">
        <f t="shared" si="25"/>
        <v>3.9999999999999758E-4</v>
      </c>
      <c r="AN104">
        <f t="shared" si="26"/>
        <v>4.0000000000000452E-4</v>
      </c>
      <c r="AO104">
        <f t="shared" si="27"/>
        <v>1.9999999999999879E-4</v>
      </c>
      <c r="AP104">
        <f t="shared" si="28"/>
        <v>9.9999999999995925E-5</v>
      </c>
    </row>
    <row r="105" spans="17:42" x14ac:dyDescent="0.25">
      <c r="Q105" s="1">
        <v>44904</v>
      </c>
      <c r="R105">
        <v>3.8100000000000002E-2</v>
      </c>
      <c r="S105">
        <v>4.1299999999999996E-2</v>
      </c>
      <c r="T105">
        <v>4.3099999999999999E-2</v>
      </c>
      <c r="U105">
        <v>4.7199999999999999E-2</v>
      </c>
      <c r="V105">
        <v>4.7199999999999999E-2</v>
      </c>
      <c r="W105">
        <v>4.3299999999999998E-2</v>
      </c>
      <c r="X105">
        <v>4.07E-2</v>
      </c>
      <c r="Y105">
        <v>3.7499999999999999E-2</v>
      </c>
      <c r="Z105">
        <v>3.6900000000000002E-2</v>
      </c>
      <c r="AA105">
        <v>3.5699999999999996E-2</v>
      </c>
      <c r="AB105">
        <v>3.8199999999999998E-2</v>
      </c>
      <c r="AC105">
        <v>3.56E-2</v>
      </c>
      <c r="AE105">
        <f t="shared" si="17"/>
        <v>6.0000000000000331E-4</v>
      </c>
      <c r="AF105">
        <f t="shared" si="18"/>
        <v>1.9999999999999185E-4</v>
      </c>
      <c r="AG105">
        <f t="shared" si="19"/>
        <v>2.9999999999999472E-4</v>
      </c>
      <c r="AH105">
        <f t="shared" si="20"/>
        <v>9.9999999999995925E-5</v>
      </c>
      <c r="AI105">
        <f t="shared" si="21"/>
        <v>9.9999999999995925E-5</v>
      </c>
      <c r="AJ105">
        <f t="shared" si="22"/>
        <v>1.9999999999999879E-4</v>
      </c>
      <c r="AK105">
        <f t="shared" si="23"/>
        <v>3.0000000000000165E-4</v>
      </c>
      <c r="AL105">
        <f t="shared" si="24"/>
        <v>3.9999999999999758E-4</v>
      </c>
      <c r="AM105">
        <f t="shared" si="25"/>
        <v>6.0000000000000331E-4</v>
      </c>
      <c r="AN105">
        <f t="shared" si="26"/>
        <v>8.9999999999999802E-4</v>
      </c>
      <c r="AO105">
        <f t="shared" si="27"/>
        <v>1.0999999999999968E-3</v>
      </c>
      <c r="AP105">
        <f t="shared" si="28"/>
        <v>1.1999999999999997E-3</v>
      </c>
    </row>
    <row r="106" spans="17:42" x14ac:dyDescent="0.25">
      <c r="Q106" s="1">
        <v>44903</v>
      </c>
      <c r="R106">
        <v>3.7499999999999999E-2</v>
      </c>
      <c r="S106">
        <v>4.1100000000000005E-2</v>
      </c>
      <c r="T106">
        <v>4.2800000000000005E-2</v>
      </c>
      <c r="U106">
        <v>4.7100000000000003E-2</v>
      </c>
      <c r="V106">
        <v>4.7100000000000003E-2</v>
      </c>
      <c r="W106">
        <v>4.3099999999999999E-2</v>
      </c>
      <c r="X106">
        <v>4.0399999999999998E-2</v>
      </c>
      <c r="Y106">
        <v>3.7100000000000001E-2</v>
      </c>
      <c r="Z106">
        <v>3.6299999999999999E-2</v>
      </c>
      <c r="AA106">
        <v>3.4799999999999998E-2</v>
      </c>
      <c r="AB106">
        <v>3.7100000000000001E-2</v>
      </c>
      <c r="AC106">
        <v>3.44E-2</v>
      </c>
      <c r="AE106">
        <f t="shared" si="17"/>
        <v>-4.0000000000000452E-4</v>
      </c>
      <c r="AF106">
        <f t="shared" si="18"/>
        <v>1.000000000000098E-4</v>
      </c>
      <c r="AG106">
        <f t="shared" si="19"/>
        <v>-9.9999999999995925E-5</v>
      </c>
      <c r="AH106">
        <f t="shared" si="20"/>
        <v>-9.9999999999995925E-5</v>
      </c>
      <c r="AI106">
        <f t="shared" si="21"/>
        <v>4.0000000000000452E-4</v>
      </c>
      <c r="AJ106">
        <f t="shared" si="22"/>
        <v>5.0000000000000044E-4</v>
      </c>
      <c r="AK106">
        <f t="shared" si="23"/>
        <v>6.9999999999999923E-4</v>
      </c>
      <c r="AL106">
        <f t="shared" si="24"/>
        <v>8.9999999999999802E-4</v>
      </c>
      <c r="AM106">
        <f t="shared" si="25"/>
        <v>8.9999999999999802E-4</v>
      </c>
      <c r="AN106">
        <f t="shared" si="26"/>
        <v>5.9999999999999637E-4</v>
      </c>
      <c r="AO106">
        <f t="shared" si="27"/>
        <v>5.0000000000000044E-4</v>
      </c>
      <c r="AP106">
        <f t="shared" si="28"/>
        <v>1.9999999999999879E-4</v>
      </c>
    </row>
    <row r="107" spans="17:42" x14ac:dyDescent="0.25">
      <c r="Q107" s="1">
        <v>44902</v>
      </c>
      <c r="R107">
        <v>3.7900000000000003E-2</v>
      </c>
      <c r="S107">
        <v>4.0999999999999995E-2</v>
      </c>
      <c r="T107">
        <v>4.2900000000000001E-2</v>
      </c>
      <c r="U107">
        <v>4.7199999999999999E-2</v>
      </c>
      <c r="V107">
        <v>4.6699999999999998E-2</v>
      </c>
      <c r="W107">
        <v>4.2599999999999999E-2</v>
      </c>
      <c r="X107">
        <v>3.9699999999999999E-2</v>
      </c>
      <c r="Y107">
        <v>3.6200000000000003E-2</v>
      </c>
      <c r="Z107">
        <v>3.5400000000000001E-2</v>
      </c>
      <c r="AA107">
        <v>3.4200000000000001E-2</v>
      </c>
      <c r="AB107">
        <v>3.6600000000000001E-2</v>
      </c>
      <c r="AC107">
        <v>3.4200000000000001E-2</v>
      </c>
      <c r="AE107">
        <f t="shared" si="17"/>
        <v>-7.9999999999999516E-4</v>
      </c>
      <c r="AF107">
        <f t="shared" si="18"/>
        <v>-9.000000000000119E-4</v>
      </c>
      <c r="AG107">
        <f t="shared" si="19"/>
        <v>-8.000000000000021E-4</v>
      </c>
      <c r="AH107">
        <f t="shared" si="20"/>
        <v>-2.0000000000000573E-4</v>
      </c>
      <c r="AI107">
        <f t="shared" si="21"/>
        <v>-6.0000000000000331E-4</v>
      </c>
      <c r="AJ107">
        <f t="shared" si="22"/>
        <v>-8.000000000000021E-4</v>
      </c>
      <c r="AK107">
        <f t="shared" si="23"/>
        <v>-1.0000000000000009E-3</v>
      </c>
      <c r="AL107">
        <f t="shared" si="24"/>
        <v>-1.0999999999999968E-3</v>
      </c>
      <c r="AM107">
        <f t="shared" si="25"/>
        <v>-1.0000000000000009E-3</v>
      </c>
      <c r="AN107">
        <f t="shared" si="26"/>
        <v>-8.9999999999999802E-4</v>
      </c>
      <c r="AO107">
        <f t="shared" si="27"/>
        <v>-1.0999999999999968E-3</v>
      </c>
      <c r="AP107">
        <f t="shared" si="28"/>
        <v>-1.0000000000000009E-3</v>
      </c>
    </row>
    <row r="108" spans="17:42" x14ac:dyDescent="0.25">
      <c r="Q108" s="1">
        <v>44901</v>
      </c>
      <c r="R108">
        <v>3.8699999999999998E-2</v>
      </c>
      <c r="S108">
        <v>4.1900000000000007E-2</v>
      </c>
      <c r="T108">
        <v>4.3700000000000003E-2</v>
      </c>
      <c r="U108">
        <v>4.7400000000000005E-2</v>
      </c>
      <c r="V108">
        <v>4.7300000000000002E-2</v>
      </c>
      <c r="W108">
        <v>4.3400000000000001E-2</v>
      </c>
      <c r="X108">
        <v>4.07E-2</v>
      </c>
      <c r="Y108">
        <v>3.73E-2</v>
      </c>
      <c r="Z108">
        <v>3.6400000000000002E-2</v>
      </c>
      <c r="AA108">
        <v>3.5099999999999999E-2</v>
      </c>
      <c r="AB108">
        <v>3.7699999999999997E-2</v>
      </c>
      <c r="AC108">
        <v>3.5200000000000002E-2</v>
      </c>
      <c r="AE108">
        <f t="shared" si="17"/>
        <v>-6.0000000000000331E-4</v>
      </c>
      <c r="AF108">
        <f t="shared" si="18"/>
        <v>-5.9999999999999637E-4</v>
      </c>
      <c r="AG108">
        <f t="shared" si="19"/>
        <v>1.0000000000000286E-4</v>
      </c>
      <c r="AH108">
        <f t="shared" si="20"/>
        <v>1.0000000000000286E-4</v>
      </c>
      <c r="AI108">
        <f t="shared" si="21"/>
        <v>-3.9999999999999064E-4</v>
      </c>
      <c r="AJ108">
        <f t="shared" si="22"/>
        <v>-6.9999999999999923E-4</v>
      </c>
      <c r="AK108">
        <f t="shared" si="23"/>
        <v>-5.9999999999999637E-4</v>
      </c>
      <c r="AL108">
        <f t="shared" si="24"/>
        <v>-6.9999999999999923E-4</v>
      </c>
      <c r="AM108">
        <f t="shared" si="25"/>
        <v>-8.000000000000021E-4</v>
      </c>
      <c r="AN108">
        <f t="shared" si="26"/>
        <v>-9.0000000000000496E-4</v>
      </c>
      <c r="AO108">
        <f t="shared" si="27"/>
        <v>-6.9999999999999923E-4</v>
      </c>
      <c r="AP108">
        <f t="shared" si="28"/>
        <v>-1.0000000000000009E-3</v>
      </c>
    </row>
    <row r="109" spans="17:42" x14ac:dyDescent="0.25">
      <c r="Q109" s="1">
        <v>44900</v>
      </c>
      <c r="R109">
        <v>3.9300000000000002E-2</v>
      </c>
      <c r="S109">
        <v>4.2500000000000003E-2</v>
      </c>
      <c r="T109">
        <v>4.36E-2</v>
      </c>
      <c r="U109">
        <v>4.7300000000000002E-2</v>
      </c>
      <c r="V109">
        <v>4.7699999999999992E-2</v>
      </c>
      <c r="W109">
        <v>4.41E-2</v>
      </c>
      <c r="X109">
        <v>4.1299999999999996E-2</v>
      </c>
      <c r="Y109">
        <v>3.7999999999999999E-2</v>
      </c>
      <c r="Z109">
        <v>3.7200000000000004E-2</v>
      </c>
      <c r="AA109">
        <v>3.6000000000000004E-2</v>
      </c>
      <c r="AB109">
        <v>3.8399999999999997E-2</v>
      </c>
      <c r="AC109">
        <v>3.6200000000000003E-2</v>
      </c>
      <c r="AE109">
        <f t="shared" si="17"/>
        <v>1.9999999999999879E-4</v>
      </c>
      <c r="AF109">
        <f t="shared" si="18"/>
        <v>0</v>
      </c>
      <c r="AG109">
        <f t="shared" si="19"/>
        <v>1.9999999999999879E-4</v>
      </c>
      <c r="AH109">
        <f t="shared" si="20"/>
        <v>7.9999999999999516E-4</v>
      </c>
      <c r="AI109">
        <f t="shared" si="21"/>
        <v>7.9999999999998822E-4</v>
      </c>
      <c r="AJ109">
        <f t="shared" si="22"/>
        <v>1.2999999999999956E-3</v>
      </c>
      <c r="AK109">
        <f t="shared" si="23"/>
        <v>1.3999999999999915E-3</v>
      </c>
      <c r="AL109">
        <f t="shared" si="24"/>
        <v>1.3000000000000025E-3</v>
      </c>
      <c r="AM109">
        <f t="shared" si="25"/>
        <v>1.1000000000000038E-3</v>
      </c>
      <c r="AN109">
        <f t="shared" si="26"/>
        <v>9.0000000000000496E-4</v>
      </c>
      <c r="AO109">
        <f t="shared" si="27"/>
        <v>4.9999999999999351E-4</v>
      </c>
      <c r="AP109">
        <f t="shared" si="28"/>
        <v>6.0000000000000331E-4</v>
      </c>
    </row>
    <row r="110" spans="17:42" x14ac:dyDescent="0.25">
      <c r="Q110" s="1">
        <v>44897</v>
      </c>
      <c r="R110">
        <v>3.9100000000000003E-2</v>
      </c>
      <c r="S110">
        <v>4.2500000000000003E-2</v>
      </c>
      <c r="T110">
        <v>4.3400000000000001E-2</v>
      </c>
      <c r="U110">
        <v>4.6500000000000007E-2</v>
      </c>
      <c r="V110">
        <v>4.6900000000000004E-2</v>
      </c>
      <c r="W110">
        <v>4.2800000000000005E-2</v>
      </c>
      <c r="X110">
        <v>3.9900000000000005E-2</v>
      </c>
      <c r="Y110">
        <v>3.6699999999999997E-2</v>
      </c>
      <c r="Z110">
        <v>3.61E-2</v>
      </c>
      <c r="AA110">
        <v>3.5099999999999999E-2</v>
      </c>
      <c r="AB110">
        <v>3.7900000000000003E-2</v>
      </c>
      <c r="AC110">
        <v>3.56E-2</v>
      </c>
      <c r="AE110">
        <f t="shared" si="17"/>
        <v>-1.2999999999999956E-3</v>
      </c>
      <c r="AF110">
        <f t="shared" si="18"/>
        <v>1.0000000000000286E-4</v>
      </c>
      <c r="AG110">
        <f t="shared" si="19"/>
        <v>1.0000000000000286E-4</v>
      </c>
      <c r="AH110">
        <f t="shared" si="20"/>
        <v>0</v>
      </c>
      <c r="AI110">
        <f t="shared" si="21"/>
        <v>3.0000000000000165E-4</v>
      </c>
      <c r="AJ110">
        <f t="shared" si="22"/>
        <v>3.0000000000000165E-4</v>
      </c>
      <c r="AK110">
        <f t="shared" si="23"/>
        <v>1.0000000000000286E-4</v>
      </c>
      <c r="AL110">
        <f t="shared" si="24"/>
        <v>-1.0000000000000286E-4</v>
      </c>
      <c r="AM110">
        <f t="shared" si="25"/>
        <v>-1.0000000000000286E-4</v>
      </c>
      <c r="AN110">
        <f t="shared" si="26"/>
        <v>-1.9999999999999879E-4</v>
      </c>
      <c r="AO110">
        <f t="shared" si="27"/>
        <v>-5.9999999999999637E-4</v>
      </c>
      <c r="AP110">
        <f t="shared" si="28"/>
        <v>-8.000000000000021E-4</v>
      </c>
    </row>
    <row r="111" spans="17:42" x14ac:dyDescent="0.25">
      <c r="Q111" s="1">
        <v>44896</v>
      </c>
      <c r="R111">
        <v>4.0399999999999998E-2</v>
      </c>
      <c r="S111">
        <v>4.24E-2</v>
      </c>
      <c r="T111">
        <v>4.3299999999999998E-2</v>
      </c>
      <c r="U111">
        <v>4.6500000000000007E-2</v>
      </c>
      <c r="V111">
        <v>4.6600000000000003E-2</v>
      </c>
      <c r="W111">
        <v>4.2500000000000003E-2</v>
      </c>
      <c r="X111">
        <v>3.9800000000000002E-2</v>
      </c>
      <c r="Y111">
        <v>3.6799999999999999E-2</v>
      </c>
      <c r="Z111">
        <v>3.6200000000000003E-2</v>
      </c>
      <c r="AA111">
        <v>3.5299999999999998E-2</v>
      </c>
      <c r="AB111">
        <v>3.85E-2</v>
      </c>
      <c r="AC111">
        <v>3.6400000000000002E-2</v>
      </c>
      <c r="AE111">
        <f t="shared" si="17"/>
        <v>-3.0000000000000165E-4</v>
      </c>
      <c r="AF111">
        <f t="shared" si="18"/>
        <v>-1.0000000000000286E-4</v>
      </c>
      <c r="AG111">
        <f t="shared" si="19"/>
        <v>-4.0000000000000452E-4</v>
      </c>
      <c r="AH111">
        <f t="shared" si="20"/>
        <v>-4.9999999999999351E-4</v>
      </c>
      <c r="AI111">
        <f t="shared" si="21"/>
        <v>-8.000000000000021E-4</v>
      </c>
      <c r="AJ111">
        <f t="shared" si="22"/>
        <v>-1.2999999999999956E-3</v>
      </c>
      <c r="AK111">
        <f t="shared" si="23"/>
        <v>-1.4999999999999944E-3</v>
      </c>
      <c r="AL111">
        <f t="shared" si="24"/>
        <v>-1.3999999999999985E-3</v>
      </c>
      <c r="AM111">
        <f t="shared" si="25"/>
        <v>-1.3999999999999915E-3</v>
      </c>
      <c r="AN111">
        <f t="shared" si="26"/>
        <v>-1.5000000000000013E-3</v>
      </c>
      <c r="AO111">
        <f t="shared" si="27"/>
        <v>-1.5000000000000013E-3</v>
      </c>
      <c r="AP111">
        <f t="shared" si="28"/>
        <v>-1.5999999999999973E-3</v>
      </c>
    </row>
    <row r="112" spans="17:42" x14ac:dyDescent="0.25">
      <c r="Q112" s="1">
        <v>44895</v>
      </c>
      <c r="R112">
        <v>4.07E-2</v>
      </c>
      <c r="S112">
        <v>4.2500000000000003E-2</v>
      </c>
      <c r="T112">
        <v>4.3700000000000003E-2</v>
      </c>
      <c r="U112">
        <v>4.7E-2</v>
      </c>
      <c r="V112">
        <v>4.7400000000000005E-2</v>
      </c>
      <c r="W112">
        <v>4.3799999999999999E-2</v>
      </c>
      <c r="X112">
        <v>4.1299999999999996E-2</v>
      </c>
      <c r="Y112">
        <v>3.8199999999999998E-2</v>
      </c>
      <c r="Z112">
        <v>3.7599999999999995E-2</v>
      </c>
      <c r="AA112">
        <v>3.6799999999999999E-2</v>
      </c>
      <c r="AB112">
        <v>0.04</v>
      </c>
      <c r="AC112">
        <v>3.7999999999999999E-2</v>
      </c>
      <c r="AE112">
        <f t="shared" si="17"/>
        <v>-1.0000000000000286E-4</v>
      </c>
      <c r="AF112">
        <f t="shared" si="18"/>
        <v>-9.9999999999995925E-5</v>
      </c>
      <c r="AG112">
        <f t="shared" si="19"/>
        <v>-9.9999999999995925E-5</v>
      </c>
      <c r="AH112">
        <f t="shared" si="20"/>
        <v>-1.9999999999999879E-4</v>
      </c>
      <c r="AI112">
        <f t="shared" si="21"/>
        <v>-3.9999999999999758E-4</v>
      </c>
      <c r="AJ112">
        <f t="shared" si="22"/>
        <v>-1.0000000000000078E-3</v>
      </c>
      <c r="AK112">
        <f t="shared" si="23"/>
        <v>-1.1000000000000038E-3</v>
      </c>
      <c r="AL112">
        <f t="shared" si="24"/>
        <v>-1.0000000000000009E-3</v>
      </c>
      <c r="AM112">
        <f t="shared" si="25"/>
        <v>-9.0000000000000496E-4</v>
      </c>
      <c r="AN112">
        <f t="shared" si="26"/>
        <v>-6.9999999999999923E-4</v>
      </c>
      <c r="AO112">
        <f t="shared" si="27"/>
        <v>-1.9999999999999185E-4</v>
      </c>
      <c r="AP112">
        <f t="shared" si="28"/>
        <v>-1.0000000000000286E-4</v>
      </c>
    </row>
    <row r="113" spans="17:42" x14ac:dyDescent="0.25">
      <c r="Q113" s="1">
        <v>44894</v>
      </c>
      <c r="R113">
        <v>4.0800000000000003E-2</v>
      </c>
      <c r="S113">
        <v>4.2599999999999999E-2</v>
      </c>
      <c r="T113">
        <v>4.3799999999999999E-2</v>
      </c>
      <c r="U113">
        <v>4.7199999999999999E-2</v>
      </c>
      <c r="V113">
        <v>4.7800000000000002E-2</v>
      </c>
      <c r="W113">
        <v>4.4800000000000006E-2</v>
      </c>
      <c r="X113">
        <v>4.24E-2</v>
      </c>
      <c r="Y113">
        <v>3.9199999999999999E-2</v>
      </c>
      <c r="Z113">
        <v>3.85E-2</v>
      </c>
      <c r="AA113">
        <v>3.7499999999999999E-2</v>
      </c>
      <c r="AB113">
        <v>4.0199999999999993E-2</v>
      </c>
      <c r="AC113">
        <v>3.8100000000000002E-2</v>
      </c>
      <c r="AE113">
        <f t="shared" si="17"/>
        <v>-3.0000000000000165E-4</v>
      </c>
      <c r="AF113">
        <f t="shared" si="18"/>
        <v>-3.0000000000000165E-4</v>
      </c>
      <c r="AG113">
        <f t="shared" si="19"/>
        <v>-3.0000000000000165E-4</v>
      </c>
      <c r="AH113">
        <f t="shared" si="20"/>
        <v>0</v>
      </c>
      <c r="AI113">
        <f t="shared" si="21"/>
        <v>2.0000000000000573E-4</v>
      </c>
      <c r="AJ113">
        <f t="shared" si="22"/>
        <v>2.0000000000000573E-4</v>
      </c>
      <c r="AK113">
        <f t="shared" si="23"/>
        <v>2.0000000000000573E-4</v>
      </c>
      <c r="AL113">
        <f t="shared" si="24"/>
        <v>3.9999999999999758E-4</v>
      </c>
      <c r="AM113">
        <f t="shared" si="25"/>
        <v>5.0000000000000044E-4</v>
      </c>
      <c r="AN113">
        <f t="shared" si="26"/>
        <v>5.9999999999999637E-4</v>
      </c>
      <c r="AO113">
        <f t="shared" si="27"/>
        <v>4.9999999999999351E-4</v>
      </c>
      <c r="AP113">
        <f t="shared" si="28"/>
        <v>6.9999999999999923E-4</v>
      </c>
    </row>
    <row r="114" spans="17:42" x14ac:dyDescent="0.25">
      <c r="Q114" s="1">
        <v>44893</v>
      </c>
      <c r="R114">
        <v>4.1100000000000005E-2</v>
      </c>
      <c r="S114">
        <v>4.2900000000000001E-2</v>
      </c>
      <c r="T114">
        <v>4.41E-2</v>
      </c>
      <c r="U114">
        <v>4.7199999999999999E-2</v>
      </c>
      <c r="V114">
        <v>4.7599999999999996E-2</v>
      </c>
      <c r="W114">
        <v>4.4600000000000001E-2</v>
      </c>
      <c r="X114">
        <v>4.2199999999999994E-2</v>
      </c>
      <c r="Y114">
        <v>3.8800000000000001E-2</v>
      </c>
      <c r="Z114">
        <v>3.7999999999999999E-2</v>
      </c>
      <c r="AA114">
        <v>3.6900000000000002E-2</v>
      </c>
      <c r="AB114">
        <v>3.9699999999999999E-2</v>
      </c>
      <c r="AC114">
        <v>3.7400000000000003E-2</v>
      </c>
      <c r="AE114">
        <f t="shared" si="17"/>
        <v>-4.9999999999999351E-4</v>
      </c>
      <c r="AF114">
        <f t="shared" si="18"/>
        <v>-3.9999999999999758E-4</v>
      </c>
      <c r="AG114">
        <f t="shared" si="19"/>
        <v>0</v>
      </c>
      <c r="AH114">
        <f t="shared" si="20"/>
        <v>5.0000000000000044E-4</v>
      </c>
      <c r="AI114">
        <f t="shared" si="21"/>
        <v>0</v>
      </c>
      <c r="AJ114">
        <f t="shared" si="22"/>
        <v>4.0000000000000452E-4</v>
      </c>
      <c r="AK114">
        <f t="shared" si="23"/>
        <v>1.9999999999999185E-4</v>
      </c>
      <c r="AL114">
        <f t="shared" si="24"/>
        <v>3.0000000000000165E-4</v>
      </c>
      <c r="AM114">
        <f t="shared" si="25"/>
        <v>1.9999999999999879E-4</v>
      </c>
      <c r="AN114">
        <f t="shared" si="26"/>
        <v>1.0000000000000286E-4</v>
      </c>
      <c r="AO114">
        <f t="shared" si="27"/>
        <v>0</v>
      </c>
      <c r="AP114">
        <f t="shared" si="28"/>
        <v>0</v>
      </c>
    </row>
    <row r="115" spans="17:42" x14ac:dyDescent="0.25">
      <c r="Q115" s="1">
        <v>44890</v>
      </c>
      <c r="R115">
        <v>4.1599999999999998E-2</v>
      </c>
      <c r="S115">
        <v>4.3299999999999998E-2</v>
      </c>
      <c r="T115">
        <v>4.41E-2</v>
      </c>
      <c r="U115">
        <v>4.6699999999999998E-2</v>
      </c>
      <c r="V115">
        <v>4.7599999999999996E-2</v>
      </c>
      <c r="W115">
        <v>4.4199999999999996E-2</v>
      </c>
      <c r="X115">
        <v>4.2000000000000003E-2</v>
      </c>
      <c r="Y115">
        <v>3.85E-2</v>
      </c>
      <c r="Z115">
        <v>3.78E-2</v>
      </c>
      <c r="AA115">
        <v>3.6799999999999999E-2</v>
      </c>
      <c r="AB115">
        <v>3.9699999999999999E-2</v>
      </c>
      <c r="AC115">
        <v>3.7400000000000003E-2</v>
      </c>
      <c r="AE115">
        <f t="shared" si="17"/>
        <v>3.9999999999999758E-4</v>
      </c>
      <c r="AF115">
        <f t="shared" si="18"/>
        <v>3.9999999999999758E-4</v>
      </c>
      <c r="AG115">
        <f t="shared" si="19"/>
        <v>9.9999999999995925E-5</v>
      </c>
      <c r="AH115">
        <f t="shared" si="20"/>
        <v>0</v>
      </c>
      <c r="AI115">
        <f t="shared" si="21"/>
        <v>9.9999999999995925E-5</v>
      </c>
      <c r="AJ115">
        <f t="shared" si="22"/>
        <v>-4.0000000000000452E-4</v>
      </c>
      <c r="AK115">
        <f t="shared" si="23"/>
        <v>-3.0000000000000165E-4</v>
      </c>
      <c r="AL115">
        <f t="shared" si="24"/>
        <v>-3.0000000000000165E-4</v>
      </c>
      <c r="AM115">
        <f t="shared" si="25"/>
        <v>-3.0000000000000165E-4</v>
      </c>
      <c r="AN115">
        <f t="shared" si="26"/>
        <v>-3.0000000000000165E-4</v>
      </c>
      <c r="AO115">
        <f t="shared" si="27"/>
        <v>0</v>
      </c>
      <c r="AP115">
        <f t="shared" si="28"/>
        <v>0</v>
      </c>
    </row>
    <row r="116" spans="17:42" x14ac:dyDescent="0.25">
      <c r="Q116" s="1">
        <v>44888</v>
      </c>
      <c r="R116">
        <v>4.1200000000000001E-2</v>
      </c>
      <c r="S116">
        <v>4.2900000000000001E-2</v>
      </c>
      <c r="T116">
        <v>4.4000000000000004E-2</v>
      </c>
      <c r="U116">
        <v>4.6699999999999998E-2</v>
      </c>
      <c r="V116">
        <v>4.7500000000000001E-2</v>
      </c>
      <c r="W116">
        <v>4.4600000000000001E-2</v>
      </c>
      <c r="X116">
        <v>4.2300000000000004E-2</v>
      </c>
      <c r="Y116">
        <v>3.8800000000000001E-2</v>
      </c>
      <c r="Z116">
        <v>3.8100000000000002E-2</v>
      </c>
      <c r="AA116">
        <v>3.7100000000000001E-2</v>
      </c>
      <c r="AB116">
        <v>3.9699999999999999E-2</v>
      </c>
      <c r="AC116">
        <v>3.7400000000000003E-2</v>
      </c>
      <c r="AE116">
        <f t="shared" si="17"/>
        <v>1.5000000000000013E-3</v>
      </c>
      <c r="AF116">
        <f t="shared" si="18"/>
        <v>3.0000000000000165E-4</v>
      </c>
      <c r="AG116">
        <f t="shared" si="19"/>
        <v>0</v>
      </c>
      <c r="AH116">
        <f t="shared" si="20"/>
        <v>-9.9999999999995925E-5</v>
      </c>
      <c r="AI116">
        <f t="shared" si="21"/>
        <v>-3.9999999999999758E-4</v>
      </c>
      <c r="AJ116">
        <f t="shared" si="22"/>
        <v>-9.9999999999995925E-5</v>
      </c>
      <c r="AK116">
        <f t="shared" si="23"/>
        <v>-3.9999999999999064E-4</v>
      </c>
      <c r="AL116">
        <f t="shared" si="24"/>
        <v>-5.0000000000000044E-4</v>
      </c>
      <c r="AM116">
        <f t="shared" si="25"/>
        <v>-4.9999999999999351E-4</v>
      </c>
      <c r="AN116">
        <f t="shared" si="26"/>
        <v>-4.9999999999999351E-4</v>
      </c>
      <c r="AO116">
        <f t="shared" si="27"/>
        <v>-8.000000000000021E-4</v>
      </c>
      <c r="AP116">
        <f t="shared" si="28"/>
        <v>-8.9999999999999802E-4</v>
      </c>
    </row>
    <row r="117" spans="17:42" x14ac:dyDescent="0.25">
      <c r="Q117" s="1">
        <v>44887</v>
      </c>
      <c r="R117">
        <v>3.9699999999999999E-2</v>
      </c>
      <c r="S117">
        <v>4.2599999999999999E-2</v>
      </c>
      <c r="T117">
        <v>4.4000000000000004E-2</v>
      </c>
      <c r="U117">
        <v>4.6799999999999994E-2</v>
      </c>
      <c r="V117">
        <v>4.7899999999999998E-2</v>
      </c>
      <c r="W117">
        <v>4.4699999999999997E-2</v>
      </c>
      <c r="X117">
        <v>4.2699999999999995E-2</v>
      </c>
      <c r="Y117">
        <v>3.9300000000000002E-2</v>
      </c>
      <c r="Z117">
        <v>3.8599999999999995E-2</v>
      </c>
      <c r="AA117">
        <v>3.7599999999999995E-2</v>
      </c>
      <c r="AB117">
        <v>4.0500000000000001E-2</v>
      </c>
      <c r="AC117">
        <v>3.8300000000000001E-2</v>
      </c>
      <c r="AE117">
        <f t="shared" si="17"/>
        <v>0</v>
      </c>
      <c r="AF117">
        <f t="shared" si="18"/>
        <v>1.9999999999999879E-4</v>
      </c>
      <c r="AG117">
        <f t="shared" si="19"/>
        <v>-9.9999999999995925E-5</v>
      </c>
      <c r="AH117">
        <f t="shared" si="20"/>
        <v>2.9999999999998778E-4</v>
      </c>
      <c r="AI117">
        <f t="shared" si="21"/>
        <v>3.9999999999999758E-4</v>
      </c>
      <c r="AJ117">
        <f t="shared" si="22"/>
        <v>-1.000000000000098E-4</v>
      </c>
      <c r="AK117">
        <f t="shared" si="23"/>
        <v>-5.0000000000000738E-4</v>
      </c>
      <c r="AL117">
        <f t="shared" si="24"/>
        <v>-3.9999999999999758E-4</v>
      </c>
      <c r="AM117">
        <f t="shared" si="25"/>
        <v>-8.000000000000021E-4</v>
      </c>
      <c r="AN117">
        <f t="shared" si="26"/>
        <v>-7.0000000000000617E-4</v>
      </c>
      <c r="AO117">
        <f t="shared" si="27"/>
        <v>-8.9999999999999802E-4</v>
      </c>
      <c r="AP117">
        <f t="shared" si="28"/>
        <v>-8.000000000000021E-4</v>
      </c>
    </row>
    <row r="118" spans="17:42" x14ac:dyDescent="0.25">
      <c r="Q118" s="1">
        <v>44886</v>
      </c>
      <c r="R118">
        <v>3.9699999999999999E-2</v>
      </c>
      <c r="S118">
        <v>4.24E-2</v>
      </c>
      <c r="T118">
        <v>4.41E-2</v>
      </c>
      <c r="U118">
        <v>4.6500000000000007E-2</v>
      </c>
      <c r="V118">
        <v>4.7500000000000001E-2</v>
      </c>
      <c r="W118">
        <v>4.4800000000000006E-2</v>
      </c>
      <c r="X118">
        <v>4.3200000000000002E-2</v>
      </c>
      <c r="Y118">
        <v>3.9699999999999999E-2</v>
      </c>
      <c r="Z118">
        <v>3.9399999999999998E-2</v>
      </c>
      <c r="AA118">
        <v>3.8300000000000001E-2</v>
      </c>
      <c r="AB118">
        <v>4.1399999999999999E-2</v>
      </c>
      <c r="AC118">
        <v>3.9100000000000003E-2</v>
      </c>
      <c r="AE118">
        <f t="shared" si="17"/>
        <v>3.9999999999999758E-4</v>
      </c>
      <c r="AF118">
        <f t="shared" si="18"/>
        <v>9.9999999999995925E-5</v>
      </c>
      <c r="AG118">
        <f t="shared" si="19"/>
        <v>6.9999999999999923E-4</v>
      </c>
      <c r="AH118">
        <f t="shared" si="20"/>
        <v>4.0000000000000452E-4</v>
      </c>
      <c r="AI118">
        <f t="shared" si="21"/>
        <v>9.9999999999995925E-5</v>
      </c>
      <c r="AJ118">
        <f t="shared" si="22"/>
        <v>-2.9999999999999472E-4</v>
      </c>
      <c r="AK118">
        <f t="shared" si="23"/>
        <v>3.9999999999999758E-4</v>
      </c>
      <c r="AL118">
        <f t="shared" si="24"/>
        <v>-2.0000000000000573E-4</v>
      </c>
      <c r="AM118">
        <f t="shared" si="25"/>
        <v>1.9999999999999879E-4</v>
      </c>
      <c r="AN118">
        <f t="shared" si="26"/>
        <v>1.0000000000000286E-4</v>
      </c>
      <c r="AO118">
        <f t="shared" si="27"/>
        <v>1.0000000000000286E-4</v>
      </c>
      <c r="AP118">
        <f t="shared" si="28"/>
        <v>-9.9999999999995925E-5</v>
      </c>
    </row>
    <row r="119" spans="17:42" x14ac:dyDescent="0.25">
      <c r="Q119" s="1">
        <v>44883</v>
      </c>
      <c r="R119">
        <v>3.9300000000000002E-2</v>
      </c>
      <c r="S119">
        <v>4.2300000000000004E-2</v>
      </c>
      <c r="T119">
        <v>4.3400000000000001E-2</v>
      </c>
      <c r="U119">
        <v>4.6100000000000002E-2</v>
      </c>
      <c r="V119">
        <v>4.7400000000000005E-2</v>
      </c>
      <c r="W119">
        <v>4.5100000000000001E-2</v>
      </c>
      <c r="X119">
        <v>4.2800000000000005E-2</v>
      </c>
      <c r="Y119">
        <v>3.9900000000000005E-2</v>
      </c>
      <c r="Z119">
        <v>3.9199999999999999E-2</v>
      </c>
      <c r="AA119">
        <v>3.8199999999999998E-2</v>
      </c>
      <c r="AB119">
        <v>4.1299999999999996E-2</v>
      </c>
      <c r="AC119">
        <v>3.9199999999999999E-2</v>
      </c>
      <c r="AE119">
        <f t="shared" si="17"/>
        <v>0</v>
      </c>
      <c r="AF119">
        <f t="shared" si="18"/>
        <v>3.0000000000000165E-4</v>
      </c>
      <c r="AG119">
        <f t="shared" si="19"/>
        <v>1.9999999999999879E-4</v>
      </c>
      <c r="AH119">
        <f t="shared" si="20"/>
        <v>3.9999999999999758E-4</v>
      </c>
      <c r="AI119">
        <f t="shared" si="21"/>
        <v>6.0000000000001025E-4</v>
      </c>
      <c r="AJ119">
        <f t="shared" si="22"/>
        <v>8.000000000000021E-4</v>
      </c>
      <c r="AK119">
        <f t="shared" si="23"/>
        <v>6.0000000000001025E-4</v>
      </c>
      <c r="AL119">
        <f t="shared" si="24"/>
        <v>6.0000000000000331E-4</v>
      </c>
      <c r="AM119">
        <f t="shared" si="25"/>
        <v>5.0000000000000044E-4</v>
      </c>
      <c r="AN119">
        <f t="shared" si="26"/>
        <v>5.0000000000000044E-4</v>
      </c>
      <c r="AO119">
        <f t="shared" si="27"/>
        <v>3.0000000000000165E-4</v>
      </c>
      <c r="AP119">
        <f t="shared" si="28"/>
        <v>2.9999999999999472E-4</v>
      </c>
    </row>
    <row r="120" spans="17:42" x14ac:dyDescent="0.25">
      <c r="Q120" s="1">
        <v>44882</v>
      </c>
      <c r="R120">
        <v>3.9300000000000002E-2</v>
      </c>
      <c r="S120">
        <v>4.2000000000000003E-2</v>
      </c>
      <c r="T120">
        <v>4.3200000000000002E-2</v>
      </c>
      <c r="U120">
        <v>4.5700000000000005E-2</v>
      </c>
      <c r="V120">
        <v>4.6799999999999994E-2</v>
      </c>
      <c r="W120">
        <v>4.4299999999999999E-2</v>
      </c>
      <c r="X120">
        <v>4.2199999999999994E-2</v>
      </c>
      <c r="Y120">
        <v>3.9300000000000002E-2</v>
      </c>
      <c r="Z120">
        <v>3.8699999999999998E-2</v>
      </c>
      <c r="AA120">
        <v>3.7699999999999997E-2</v>
      </c>
      <c r="AB120">
        <v>4.0999999999999995E-2</v>
      </c>
      <c r="AC120">
        <v>3.8900000000000004E-2</v>
      </c>
      <c r="AE120">
        <f t="shared" si="17"/>
        <v>1.1999999999999997E-3</v>
      </c>
      <c r="AF120">
        <f t="shared" si="18"/>
        <v>5.0000000000000044E-4</v>
      </c>
      <c r="AG120">
        <f t="shared" si="19"/>
        <v>0</v>
      </c>
      <c r="AH120">
        <f t="shared" si="20"/>
        <v>3.0000000000000165E-4</v>
      </c>
      <c r="AI120">
        <f t="shared" si="21"/>
        <v>5.9999999999999637E-4</v>
      </c>
      <c r="AJ120">
        <f t="shared" si="22"/>
        <v>8.000000000000021E-4</v>
      </c>
      <c r="AK120">
        <f t="shared" si="23"/>
        <v>8.9999999999999802E-4</v>
      </c>
      <c r="AL120">
        <f t="shared" si="24"/>
        <v>1.0000000000000009E-3</v>
      </c>
      <c r="AM120">
        <f t="shared" si="25"/>
        <v>1.0000000000000009E-3</v>
      </c>
      <c r="AN120">
        <f t="shared" si="26"/>
        <v>1.0000000000000009E-3</v>
      </c>
      <c r="AO120">
        <f t="shared" si="27"/>
        <v>6.999999999999923E-4</v>
      </c>
      <c r="AP120">
        <f t="shared" si="28"/>
        <v>4.0000000000000452E-4</v>
      </c>
    </row>
    <row r="121" spans="17:42" x14ac:dyDescent="0.25">
      <c r="Q121" s="1">
        <v>44881</v>
      </c>
      <c r="R121">
        <v>3.8100000000000002E-2</v>
      </c>
      <c r="S121">
        <v>4.1500000000000002E-2</v>
      </c>
      <c r="T121">
        <v>4.3200000000000002E-2</v>
      </c>
      <c r="U121">
        <v>4.5400000000000003E-2</v>
      </c>
      <c r="V121">
        <v>4.6199999999999998E-2</v>
      </c>
      <c r="W121">
        <v>4.3499999999999997E-2</v>
      </c>
      <c r="X121">
        <v>4.1299999999999996E-2</v>
      </c>
      <c r="Y121">
        <v>3.8300000000000001E-2</v>
      </c>
      <c r="Z121">
        <v>3.7699999999999997E-2</v>
      </c>
      <c r="AA121">
        <v>3.6699999999999997E-2</v>
      </c>
      <c r="AB121">
        <v>4.0300000000000002E-2</v>
      </c>
      <c r="AC121">
        <v>3.85E-2</v>
      </c>
      <c r="AE121">
        <f t="shared" si="17"/>
        <v>4.0000000000000452E-4</v>
      </c>
      <c r="AF121">
        <f t="shared" si="18"/>
        <v>5.0000000000000738E-4</v>
      </c>
      <c r="AG121">
        <f t="shared" si="19"/>
        <v>1.0000000000000286E-4</v>
      </c>
      <c r="AH121">
        <f t="shared" si="20"/>
        <v>0</v>
      </c>
      <c r="AI121">
        <f t="shared" si="21"/>
        <v>1.9999999999999879E-4</v>
      </c>
      <c r="AJ121">
        <f t="shared" si="22"/>
        <v>-2.0000000000000573E-4</v>
      </c>
      <c r="AK121">
        <f t="shared" si="23"/>
        <v>-4.0000000000000452E-4</v>
      </c>
      <c r="AL121">
        <f t="shared" si="24"/>
        <v>-1.0000000000000009E-3</v>
      </c>
      <c r="AM121">
        <f t="shared" si="25"/>
        <v>-1.1000000000000038E-3</v>
      </c>
      <c r="AN121">
        <f t="shared" si="26"/>
        <v>-1.3000000000000025E-3</v>
      </c>
      <c r="AO121">
        <f t="shared" si="27"/>
        <v>-1.7000000000000001E-3</v>
      </c>
      <c r="AP121">
        <f t="shared" si="28"/>
        <v>-1.3000000000000025E-3</v>
      </c>
    </row>
    <row r="122" spans="17:42" x14ac:dyDescent="0.25">
      <c r="Q122" s="1">
        <v>44880</v>
      </c>
      <c r="R122">
        <v>3.7699999999999997E-2</v>
      </c>
      <c r="S122">
        <v>4.0999999999999995E-2</v>
      </c>
      <c r="T122">
        <v>4.3099999999999999E-2</v>
      </c>
      <c r="U122">
        <v>4.5400000000000003E-2</v>
      </c>
      <c r="V122">
        <v>4.5999999999999999E-2</v>
      </c>
      <c r="W122">
        <v>4.3700000000000003E-2</v>
      </c>
      <c r="X122">
        <v>4.1700000000000001E-2</v>
      </c>
      <c r="Y122">
        <v>3.9300000000000002E-2</v>
      </c>
      <c r="Z122">
        <v>3.8800000000000001E-2</v>
      </c>
      <c r="AA122">
        <v>3.7999999999999999E-2</v>
      </c>
      <c r="AB122">
        <v>4.2000000000000003E-2</v>
      </c>
      <c r="AC122">
        <v>3.9800000000000002E-2</v>
      </c>
      <c r="AE122">
        <f t="shared" si="17"/>
        <v>4.9999999999999351E-4</v>
      </c>
      <c r="AF122">
        <f t="shared" si="18"/>
        <v>4.9999999999999351E-4</v>
      </c>
      <c r="AG122">
        <f t="shared" si="19"/>
        <v>-3.0000000000000165E-4</v>
      </c>
      <c r="AH122">
        <f t="shared" si="20"/>
        <v>-9.9999999999995925E-5</v>
      </c>
      <c r="AI122">
        <f t="shared" si="21"/>
        <v>-3.0000000000000165E-4</v>
      </c>
      <c r="AJ122">
        <f t="shared" si="22"/>
        <v>-3.0000000000000165E-4</v>
      </c>
      <c r="AK122">
        <f t="shared" si="23"/>
        <v>-6.9999999999999923E-4</v>
      </c>
      <c r="AL122">
        <f t="shared" si="24"/>
        <v>-6.9999999999999923E-4</v>
      </c>
      <c r="AM122">
        <f t="shared" si="25"/>
        <v>-6.9999999999999923E-4</v>
      </c>
      <c r="AN122">
        <f t="shared" si="26"/>
        <v>-8.000000000000021E-4</v>
      </c>
      <c r="AO122">
        <f t="shared" si="27"/>
        <v>-8.000000000000021E-4</v>
      </c>
      <c r="AP122">
        <f t="shared" si="28"/>
        <v>-8.9999999999999802E-4</v>
      </c>
    </row>
    <row r="123" spans="17:42" x14ac:dyDescent="0.25">
      <c r="Q123" s="1">
        <v>44879</v>
      </c>
      <c r="R123">
        <v>3.7200000000000004E-2</v>
      </c>
      <c r="S123">
        <v>4.0500000000000001E-2</v>
      </c>
      <c r="T123">
        <v>4.3400000000000001E-2</v>
      </c>
      <c r="U123">
        <v>4.5499999999999999E-2</v>
      </c>
      <c r="V123">
        <v>4.6300000000000001E-2</v>
      </c>
      <c r="W123">
        <v>4.4000000000000004E-2</v>
      </c>
      <c r="X123">
        <v>4.24E-2</v>
      </c>
      <c r="Y123">
        <v>0.04</v>
      </c>
      <c r="Z123">
        <v>3.95E-2</v>
      </c>
      <c r="AA123">
        <v>3.8800000000000001E-2</v>
      </c>
      <c r="AB123">
        <v>4.2800000000000005E-2</v>
      </c>
      <c r="AC123">
        <v>4.07E-2</v>
      </c>
      <c r="AE123">
        <f t="shared" si="17"/>
        <v>1.0000000000000286E-4</v>
      </c>
      <c r="AF123">
        <f t="shared" si="18"/>
        <v>5.0000000000000044E-4</v>
      </c>
      <c r="AG123">
        <f t="shared" si="19"/>
        <v>5.9999999999999637E-4</v>
      </c>
      <c r="AH123">
        <f t="shared" si="20"/>
        <v>3.0000000000000165E-4</v>
      </c>
      <c r="AI123">
        <f t="shared" si="21"/>
        <v>4.0000000000000452E-4</v>
      </c>
      <c r="AJ123">
        <f t="shared" si="22"/>
        <v>6.0000000000000331E-4</v>
      </c>
      <c r="AK123">
        <f t="shared" si="23"/>
        <v>6.9999999999999923E-4</v>
      </c>
      <c r="AL123">
        <f t="shared" si="24"/>
        <v>5.0000000000000044E-4</v>
      </c>
      <c r="AM123">
        <f t="shared" si="25"/>
        <v>5.9999999999999637E-4</v>
      </c>
      <c r="AN123">
        <f t="shared" si="26"/>
        <v>6.0000000000000331E-4</v>
      </c>
      <c r="AO123">
        <f t="shared" si="27"/>
        <v>4.0000000000000452E-4</v>
      </c>
      <c r="AP123">
        <f t="shared" si="28"/>
        <v>3.9999999999999758E-4</v>
      </c>
    </row>
    <row r="124" spans="17:42" x14ac:dyDescent="0.25">
      <c r="Q124" s="1">
        <v>44875</v>
      </c>
      <c r="R124">
        <v>3.7100000000000001E-2</v>
      </c>
      <c r="S124">
        <v>0.04</v>
      </c>
      <c r="T124">
        <v>4.2800000000000005E-2</v>
      </c>
      <c r="U124">
        <v>4.5199999999999997E-2</v>
      </c>
      <c r="V124">
        <v>4.5899999999999996E-2</v>
      </c>
      <c r="W124">
        <v>4.3400000000000001E-2</v>
      </c>
      <c r="X124">
        <v>4.1700000000000001E-2</v>
      </c>
      <c r="Y124">
        <v>3.95E-2</v>
      </c>
      <c r="Z124">
        <v>3.8900000000000004E-2</v>
      </c>
      <c r="AA124">
        <v>3.8199999999999998E-2</v>
      </c>
      <c r="AB124">
        <v>4.24E-2</v>
      </c>
      <c r="AC124">
        <v>4.0300000000000002E-2</v>
      </c>
      <c r="AE124">
        <f t="shared" si="17"/>
        <v>6.0000000000000331E-4</v>
      </c>
      <c r="AF124">
        <f t="shared" si="18"/>
        <v>-5.0000000000000044E-4</v>
      </c>
      <c r="AG124">
        <f t="shared" si="19"/>
        <v>-9.9999999999995925E-5</v>
      </c>
      <c r="AH124">
        <f t="shared" si="20"/>
        <v>-6.9999999999999923E-4</v>
      </c>
      <c r="AI124">
        <f t="shared" si="21"/>
        <v>-1.6000000000000042E-3</v>
      </c>
      <c r="AJ124">
        <f t="shared" si="22"/>
        <v>-2.700000000000001E-3</v>
      </c>
      <c r="AK124">
        <f t="shared" si="23"/>
        <v>-3.2000000000000015E-3</v>
      </c>
      <c r="AL124">
        <f t="shared" si="24"/>
        <v>-3.1999999999999945E-3</v>
      </c>
      <c r="AM124">
        <f t="shared" si="25"/>
        <v>-3.0999999999999986E-3</v>
      </c>
      <c r="AN124">
        <f t="shared" si="26"/>
        <v>-3.0000000000000027E-3</v>
      </c>
      <c r="AO124">
        <f t="shared" si="27"/>
        <v>-2.5999999999999981E-3</v>
      </c>
      <c r="AP124">
        <f t="shared" si="28"/>
        <v>-2.7999999999999969E-3</v>
      </c>
    </row>
    <row r="125" spans="17:42" x14ac:dyDescent="0.25">
      <c r="Q125" s="1">
        <v>44874</v>
      </c>
      <c r="R125">
        <v>3.6499999999999998E-2</v>
      </c>
      <c r="S125">
        <v>4.0500000000000001E-2</v>
      </c>
      <c r="T125">
        <v>4.2900000000000001E-2</v>
      </c>
      <c r="U125">
        <v>4.5899999999999996E-2</v>
      </c>
      <c r="V125">
        <v>4.7500000000000001E-2</v>
      </c>
      <c r="W125">
        <v>4.6100000000000002E-2</v>
      </c>
      <c r="X125">
        <v>4.4900000000000002E-2</v>
      </c>
      <c r="Y125">
        <v>4.2699999999999995E-2</v>
      </c>
      <c r="Z125">
        <v>4.2000000000000003E-2</v>
      </c>
      <c r="AA125">
        <v>4.1200000000000001E-2</v>
      </c>
      <c r="AB125">
        <v>4.4999999999999998E-2</v>
      </c>
      <c r="AC125">
        <v>4.3099999999999999E-2</v>
      </c>
      <c r="AE125">
        <f t="shared" si="17"/>
        <v>-1.0000000000000286E-4</v>
      </c>
      <c r="AF125">
        <f t="shared" si="18"/>
        <v>1.0000000000000286E-4</v>
      </c>
      <c r="AG125">
        <f t="shared" si="19"/>
        <v>9.9999999999995925E-5</v>
      </c>
      <c r="AH125">
        <f t="shared" si="20"/>
        <v>-1.0000000000000286E-4</v>
      </c>
      <c r="AI125">
        <f t="shared" si="21"/>
        <v>-1.9999999999999185E-4</v>
      </c>
      <c r="AJ125">
        <f t="shared" si="22"/>
        <v>-5.9999999999999637E-4</v>
      </c>
      <c r="AK125">
        <f t="shared" si="23"/>
        <v>-5.9999999999999637E-4</v>
      </c>
      <c r="AL125">
        <f t="shared" si="24"/>
        <v>-4.0000000000000452E-4</v>
      </c>
      <c r="AM125">
        <f t="shared" si="25"/>
        <v>-1.9999999999999185E-4</v>
      </c>
      <c r="AN125">
        <f t="shared" si="26"/>
        <v>-1.9999999999999879E-4</v>
      </c>
      <c r="AO125">
        <f t="shared" si="27"/>
        <v>3.0000000000000165E-4</v>
      </c>
      <c r="AP125">
        <f t="shared" si="28"/>
        <v>2.9999999999999472E-4</v>
      </c>
    </row>
    <row r="126" spans="17:42" x14ac:dyDescent="0.25">
      <c r="Q126" s="1">
        <v>44873</v>
      </c>
      <c r="R126">
        <v>3.6600000000000001E-2</v>
      </c>
      <c r="S126">
        <v>4.0399999999999998E-2</v>
      </c>
      <c r="T126">
        <v>4.2800000000000005E-2</v>
      </c>
      <c r="U126">
        <v>4.5999999999999999E-2</v>
      </c>
      <c r="V126">
        <v>4.7699999999999992E-2</v>
      </c>
      <c r="W126">
        <v>4.6699999999999998E-2</v>
      </c>
      <c r="X126">
        <v>4.5499999999999999E-2</v>
      </c>
      <c r="Y126">
        <v>4.3099999999999999E-2</v>
      </c>
      <c r="Z126">
        <v>4.2199999999999994E-2</v>
      </c>
      <c r="AA126">
        <v>4.1399999999999999E-2</v>
      </c>
      <c r="AB126">
        <v>4.4699999999999997E-2</v>
      </c>
      <c r="AC126">
        <v>4.2800000000000005E-2</v>
      </c>
      <c r="AE126">
        <f t="shared" si="17"/>
        <v>-1.1999999999999997E-3</v>
      </c>
      <c r="AF126">
        <f t="shared" si="18"/>
        <v>0</v>
      </c>
      <c r="AG126">
        <f t="shared" si="19"/>
        <v>-9.9999999999995925E-5</v>
      </c>
      <c r="AH126">
        <f t="shared" si="20"/>
        <v>-1.9999999999999879E-4</v>
      </c>
      <c r="AI126">
        <f t="shared" si="21"/>
        <v>-3.0000000000000859E-4</v>
      </c>
      <c r="AJ126">
        <f t="shared" si="22"/>
        <v>-5.0000000000000044E-4</v>
      </c>
      <c r="AK126">
        <f t="shared" si="23"/>
        <v>-8.000000000000021E-4</v>
      </c>
      <c r="AL126">
        <f t="shared" si="24"/>
        <v>-7.9999999999999516E-4</v>
      </c>
      <c r="AM126">
        <f t="shared" si="25"/>
        <v>-9.0000000000000496E-4</v>
      </c>
      <c r="AN126">
        <f t="shared" si="26"/>
        <v>-7.9999999999999516E-4</v>
      </c>
      <c r="AO126">
        <f t="shared" si="27"/>
        <v>-8.000000000000021E-4</v>
      </c>
      <c r="AP126">
        <f t="shared" si="28"/>
        <v>-5.9999999999999637E-4</v>
      </c>
    </row>
    <row r="127" spans="17:42" x14ac:dyDescent="0.25">
      <c r="Q127" s="1">
        <v>44872</v>
      </c>
      <c r="R127">
        <v>3.78E-2</v>
      </c>
      <c r="S127">
        <v>4.0399999999999998E-2</v>
      </c>
      <c r="T127">
        <v>4.2900000000000001E-2</v>
      </c>
      <c r="U127">
        <v>4.6199999999999998E-2</v>
      </c>
      <c r="V127">
        <v>4.8000000000000001E-2</v>
      </c>
      <c r="W127">
        <v>4.7199999999999999E-2</v>
      </c>
      <c r="X127">
        <v>4.6300000000000001E-2</v>
      </c>
      <c r="Y127">
        <v>4.3899999999999995E-2</v>
      </c>
      <c r="Z127">
        <v>4.3099999999999999E-2</v>
      </c>
      <c r="AA127">
        <v>4.2199999999999994E-2</v>
      </c>
      <c r="AB127">
        <v>4.5499999999999999E-2</v>
      </c>
      <c r="AC127">
        <v>4.3400000000000001E-2</v>
      </c>
      <c r="AE127">
        <f t="shared" si="17"/>
        <v>5.0000000000000044E-4</v>
      </c>
      <c r="AF127">
        <f t="shared" si="18"/>
        <v>3.9999999999999758E-4</v>
      </c>
      <c r="AG127">
        <f t="shared" si="19"/>
        <v>8.000000000000021E-4</v>
      </c>
      <c r="AH127">
        <f t="shared" si="20"/>
        <v>6.9999999999999923E-4</v>
      </c>
      <c r="AI127">
        <f t="shared" si="21"/>
        <v>4.0000000000000452E-4</v>
      </c>
      <c r="AJ127">
        <f t="shared" si="22"/>
        <v>5.9999999999999637E-4</v>
      </c>
      <c r="AK127">
        <f t="shared" si="23"/>
        <v>5.0000000000000044E-4</v>
      </c>
      <c r="AL127">
        <f t="shared" si="24"/>
        <v>5.9999999999999637E-4</v>
      </c>
      <c r="AM127">
        <f t="shared" si="25"/>
        <v>5.0000000000000044E-4</v>
      </c>
      <c r="AN127">
        <f t="shared" si="26"/>
        <v>4.9999999999999351E-4</v>
      </c>
      <c r="AO127">
        <f t="shared" si="27"/>
        <v>5.9999999999999637E-4</v>
      </c>
      <c r="AP127">
        <f t="shared" si="28"/>
        <v>7.0000000000000617E-4</v>
      </c>
    </row>
    <row r="128" spans="17:42" x14ac:dyDescent="0.25">
      <c r="Q128" s="1">
        <v>44869</v>
      </c>
      <c r="R128">
        <v>3.73E-2</v>
      </c>
      <c r="S128">
        <v>0.04</v>
      </c>
      <c r="T128">
        <v>4.2099999999999999E-2</v>
      </c>
      <c r="U128">
        <v>4.5499999999999999E-2</v>
      </c>
      <c r="V128">
        <v>4.7599999999999996E-2</v>
      </c>
      <c r="W128">
        <v>4.6600000000000003E-2</v>
      </c>
      <c r="X128">
        <v>4.58E-2</v>
      </c>
      <c r="Y128">
        <v>4.3299999999999998E-2</v>
      </c>
      <c r="Z128">
        <v>4.2599999999999999E-2</v>
      </c>
      <c r="AA128">
        <v>4.1700000000000001E-2</v>
      </c>
      <c r="AB128">
        <v>4.4900000000000002E-2</v>
      </c>
      <c r="AC128">
        <v>4.2699999999999995E-2</v>
      </c>
      <c r="AE128">
        <f t="shared" si="17"/>
        <v>-1.9999999999999879E-4</v>
      </c>
      <c r="AF128">
        <f t="shared" si="18"/>
        <v>-3.9999999999999758E-4</v>
      </c>
      <c r="AG128">
        <f t="shared" si="19"/>
        <v>-4.0000000000000452E-4</v>
      </c>
      <c r="AH128">
        <f t="shared" si="20"/>
        <v>-2.0000000000000573E-4</v>
      </c>
      <c r="AI128">
        <f t="shared" si="21"/>
        <v>-2.0000000000000573E-4</v>
      </c>
      <c r="AJ128">
        <f t="shared" si="22"/>
        <v>-5.0000000000000044E-4</v>
      </c>
      <c r="AK128">
        <f t="shared" si="23"/>
        <v>-5.0000000000000044E-4</v>
      </c>
      <c r="AL128">
        <f t="shared" si="24"/>
        <v>-3.0000000000000165E-4</v>
      </c>
      <c r="AM128">
        <f t="shared" si="25"/>
        <v>0</v>
      </c>
      <c r="AN128">
        <f t="shared" si="26"/>
        <v>3.0000000000000165E-4</v>
      </c>
      <c r="AO128">
        <f t="shared" si="27"/>
        <v>7.0000000000000617E-4</v>
      </c>
      <c r="AP128">
        <f t="shared" si="28"/>
        <v>8.9999999999999802E-4</v>
      </c>
    </row>
    <row r="129" spans="17:42" x14ac:dyDescent="0.25">
      <c r="Q129" s="1">
        <v>44868</v>
      </c>
      <c r="R129">
        <v>3.7499999999999999E-2</v>
      </c>
      <c r="S129">
        <v>4.0399999999999998E-2</v>
      </c>
      <c r="T129">
        <v>4.2500000000000003E-2</v>
      </c>
      <c r="U129">
        <v>4.5700000000000005E-2</v>
      </c>
      <c r="V129">
        <v>4.7800000000000002E-2</v>
      </c>
      <c r="W129">
        <v>4.7100000000000003E-2</v>
      </c>
      <c r="X129">
        <v>4.6300000000000001E-2</v>
      </c>
      <c r="Y129">
        <v>4.36E-2</v>
      </c>
      <c r="Z129">
        <v>4.2599999999999999E-2</v>
      </c>
      <c r="AA129">
        <v>4.1399999999999999E-2</v>
      </c>
      <c r="AB129">
        <v>4.4199999999999996E-2</v>
      </c>
      <c r="AC129">
        <v>4.1799999999999997E-2</v>
      </c>
      <c r="AE129">
        <f t="shared" si="17"/>
        <v>4.9999999999999351E-4</v>
      </c>
      <c r="AF129">
        <f t="shared" si="18"/>
        <v>3.0000000000000165E-4</v>
      </c>
      <c r="AG129">
        <f t="shared" si="19"/>
        <v>3.0000000000000859E-4</v>
      </c>
      <c r="AH129">
        <f t="shared" si="20"/>
        <v>0</v>
      </c>
      <c r="AI129">
        <f t="shared" si="21"/>
        <v>2.0000000000000573E-4</v>
      </c>
      <c r="AJ129">
        <f t="shared" si="22"/>
        <v>1.0000000000000009E-3</v>
      </c>
      <c r="AK129">
        <f t="shared" si="23"/>
        <v>8.9999999999999802E-4</v>
      </c>
      <c r="AL129">
        <f t="shared" si="24"/>
        <v>6.0000000000000331E-4</v>
      </c>
      <c r="AM129">
        <f t="shared" si="25"/>
        <v>5.9999999999999637E-4</v>
      </c>
      <c r="AN129">
        <f t="shared" si="26"/>
        <v>4.0000000000000452E-4</v>
      </c>
      <c r="AO129">
        <f t="shared" si="27"/>
        <v>9.9999999999995925E-5</v>
      </c>
      <c r="AP129">
        <f t="shared" si="28"/>
        <v>2.9999999999999472E-4</v>
      </c>
    </row>
    <row r="130" spans="17:42" x14ac:dyDescent="0.25">
      <c r="Q130" s="1">
        <v>44867</v>
      </c>
      <c r="R130">
        <v>3.7000000000000005E-2</v>
      </c>
      <c r="S130">
        <v>4.0099999999999997E-2</v>
      </c>
      <c r="T130">
        <v>4.2199999999999994E-2</v>
      </c>
      <c r="U130">
        <v>4.5700000000000005E-2</v>
      </c>
      <c r="V130">
        <v>4.7599999999999996E-2</v>
      </c>
      <c r="W130">
        <v>4.6100000000000002E-2</v>
      </c>
      <c r="X130">
        <v>4.5400000000000003E-2</v>
      </c>
      <c r="Y130">
        <v>4.2999999999999997E-2</v>
      </c>
      <c r="Z130">
        <v>4.2000000000000003E-2</v>
      </c>
      <c r="AA130">
        <v>4.0999999999999995E-2</v>
      </c>
      <c r="AB130">
        <v>4.41E-2</v>
      </c>
      <c r="AC130">
        <v>4.1500000000000002E-2</v>
      </c>
      <c r="AE130">
        <f t="shared" si="17"/>
        <v>-1.9999999999999879E-4</v>
      </c>
      <c r="AF130">
        <f t="shared" si="18"/>
        <v>9.9999999999995925E-5</v>
      </c>
      <c r="AG130">
        <f t="shared" si="19"/>
        <v>-1.000000000000098E-4</v>
      </c>
      <c r="AH130">
        <f t="shared" si="20"/>
        <v>-9.9999999999995925E-5</v>
      </c>
      <c r="AI130">
        <f t="shared" si="21"/>
        <v>9.9999999999995925E-5</v>
      </c>
      <c r="AJ130">
        <f t="shared" si="22"/>
        <v>6.9999999999999923E-4</v>
      </c>
      <c r="AK130">
        <f t="shared" si="23"/>
        <v>5.9999999999999637E-4</v>
      </c>
      <c r="AL130">
        <f t="shared" si="24"/>
        <v>3.0000000000000165E-4</v>
      </c>
      <c r="AM130">
        <f t="shared" si="25"/>
        <v>2.0000000000000573E-4</v>
      </c>
      <c r="AN130">
        <f t="shared" si="26"/>
        <v>2.9999999999999472E-4</v>
      </c>
      <c r="AO130">
        <f t="shared" si="27"/>
        <v>3.9999999999999758E-4</v>
      </c>
      <c r="AP130">
        <f t="shared" si="28"/>
        <v>1.0000000000000286E-4</v>
      </c>
    </row>
    <row r="131" spans="17:42" x14ac:dyDescent="0.25">
      <c r="Q131" s="1">
        <v>44866</v>
      </c>
      <c r="R131">
        <v>3.7200000000000004E-2</v>
      </c>
      <c r="S131">
        <v>0.04</v>
      </c>
      <c r="T131">
        <v>4.2300000000000004E-2</v>
      </c>
      <c r="U131">
        <v>4.58E-2</v>
      </c>
      <c r="V131">
        <v>4.7500000000000001E-2</v>
      </c>
      <c r="W131">
        <v>4.5400000000000003E-2</v>
      </c>
      <c r="X131">
        <v>4.4800000000000006E-2</v>
      </c>
      <c r="Y131">
        <v>4.2699999999999995E-2</v>
      </c>
      <c r="Z131">
        <v>4.1799999999999997E-2</v>
      </c>
      <c r="AA131">
        <v>4.07E-2</v>
      </c>
      <c r="AB131">
        <v>4.3700000000000003E-2</v>
      </c>
      <c r="AC131">
        <v>4.1399999999999999E-2</v>
      </c>
      <c r="AE131">
        <f t="shared" si="17"/>
        <v>-9.9999999999995925E-5</v>
      </c>
      <c r="AF131">
        <f t="shared" si="18"/>
        <v>0</v>
      </c>
      <c r="AG131">
        <f t="shared" si="19"/>
        <v>1.000000000000098E-4</v>
      </c>
      <c r="AH131">
        <f t="shared" si="20"/>
        <v>9.9999999999995925E-5</v>
      </c>
      <c r="AI131">
        <f t="shared" si="21"/>
        <v>8.9999999999999802E-4</v>
      </c>
      <c r="AJ131">
        <f t="shared" si="22"/>
        <v>3.0000000000000165E-4</v>
      </c>
      <c r="AK131">
        <f t="shared" si="23"/>
        <v>3.0000000000000165E-4</v>
      </c>
      <c r="AL131">
        <f t="shared" si="24"/>
        <v>0</v>
      </c>
      <c r="AM131">
        <f t="shared" si="25"/>
        <v>0</v>
      </c>
      <c r="AN131">
        <f t="shared" si="26"/>
        <v>-2.9999999999999472E-4</v>
      </c>
      <c r="AO131">
        <f t="shared" si="27"/>
        <v>-6.9999999999999923E-4</v>
      </c>
      <c r="AP131">
        <f t="shared" si="28"/>
        <v>-7.9999999999999516E-4</v>
      </c>
    </row>
    <row r="132" spans="17:42" x14ac:dyDescent="0.25">
      <c r="Q132" s="1">
        <v>44865</v>
      </c>
      <c r="R132">
        <v>3.73E-2</v>
      </c>
      <c r="S132">
        <v>0.04</v>
      </c>
      <c r="T132">
        <v>4.2199999999999994E-2</v>
      </c>
      <c r="U132">
        <v>4.5700000000000005E-2</v>
      </c>
      <c r="V132">
        <v>4.6600000000000003E-2</v>
      </c>
      <c r="W132">
        <v>4.5100000000000001E-2</v>
      </c>
      <c r="X132">
        <v>4.4500000000000005E-2</v>
      </c>
      <c r="Y132">
        <v>4.2699999999999995E-2</v>
      </c>
      <c r="Z132">
        <v>4.1799999999999997E-2</v>
      </c>
      <c r="AA132">
        <v>4.0999999999999995E-2</v>
      </c>
      <c r="AB132">
        <v>4.4400000000000002E-2</v>
      </c>
      <c r="AC132">
        <v>4.2199999999999994E-2</v>
      </c>
      <c r="AE132">
        <f t="shared" si="17"/>
        <v>-1.9999999999999879E-4</v>
      </c>
      <c r="AF132">
        <f t="shared" si="18"/>
        <v>5.0000000000000044E-4</v>
      </c>
      <c r="AG132">
        <f t="shared" si="19"/>
        <v>3.9999999999999758E-4</v>
      </c>
      <c r="AH132">
        <f t="shared" si="20"/>
        <v>6.0000000000000331E-4</v>
      </c>
      <c r="AI132">
        <f t="shared" si="21"/>
        <v>1.1000000000000038E-3</v>
      </c>
      <c r="AJ132">
        <f t="shared" si="22"/>
        <v>1.0000000000000009E-3</v>
      </c>
      <c r="AK132">
        <f t="shared" si="23"/>
        <v>7.0000000000000617E-4</v>
      </c>
      <c r="AL132">
        <f t="shared" si="24"/>
        <v>7.9999999999998822E-4</v>
      </c>
      <c r="AM132">
        <f t="shared" si="25"/>
        <v>8.000000000000021E-4</v>
      </c>
      <c r="AN132">
        <f t="shared" si="26"/>
        <v>8.000000000000021E-4</v>
      </c>
      <c r="AO132">
        <f t="shared" si="27"/>
        <v>6.0000000000000331E-4</v>
      </c>
      <c r="AP132">
        <f t="shared" si="28"/>
        <v>6.999999999999923E-4</v>
      </c>
    </row>
    <row r="133" spans="17:42" x14ac:dyDescent="0.25">
      <c r="Q133" s="1">
        <v>44862</v>
      </c>
      <c r="R133">
        <v>3.7499999999999999E-2</v>
      </c>
      <c r="S133">
        <v>3.95E-2</v>
      </c>
      <c r="T133">
        <v>4.1799999999999997E-2</v>
      </c>
      <c r="U133">
        <v>4.5100000000000001E-2</v>
      </c>
      <c r="V133">
        <v>4.5499999999999999E-2</v>
      </c>
      <c r="W133">
        <v>4.41E-2</v>
      </c>
      <c r="X133">
        <v>4.3799999999999999E-2</v>
      </c>
      <c r="Y133">
        <v>4.1900000000000007E-2</v>
      </c>
      <c r="Z133">
        <v>4.0999999999999995E-2</v>
      </c>
      <c r="AA133">
        <v>4.0199999999999993E-2</v>
      </c>
      <c r="AB133">
        <v>4.3799999999999999E-2</v>
      </c>
      <c r="AC133">
        <v>4.1500000000000002E-2</v>
      </c>
      <c r="AE133">
        <f t="shared" ref="AE133:AE196" si="29">R133-R134</f>
        <v>-9.9999999999995925E-5</v>
      </c>
      <c r="AF133">
        <f t="shared" ref="AF133:AF196" si="30">S133-S134</f>
        <v>0</v>
      </c>
      <c r="AG133">
        <f t="shared" ref="AG133:AG196" si="31">T133-T134</f>
        <v>5.0000000000000044E-4</v>
      </c>
      <c r="AH133">
        <f t="shared" ref="AH133:AH196" si="32">U133-U134</f>
        <v>6.9999999999999923E-4</v>
      </c>
      <c r="AI133">
        <f t="shared" ref="AI133:AI196" si="33">V133-V134</f>
        <v>5.0000000000000044E-4</v>
      </c>
      <c r="AJ133">
        <f t="shared" ref="AJ133:AJ196" si="34">W133-W134</f>
        <v>1.1000000000000038E-3</v>
      </c>
      <c r="AK133">
        <f t="shared" ref="AK133:AK196" si="35">X133-X134</f>
        <v>8.9999999999999802E-4</v>
      </c>
      <c r="AL133">
        <f t="shared" ref="AL133:AL196" si="36">Y133-Y134</f>
        <v>1.0000000000000078E-3</v>
      </c>
      <c r="AM133">
        <f t="shared" ref="AM133:AM196" si="37">Z133-Z134</f>
        <v>8.9999999999999802E-4</v>
      </c>
      <c r="AN133">
        <f t="shared" ref="AN133:AN196" si="38">AA133-AA134</f>
        <v>5.9999999999999637E-4</v>
      </c>
      <c r="AO133">
        <f t="shared" ref="AO133:AO196" si="39">AB133-AB134</f>
        <v>5.9999999999999637E-4</v>
      </c>
      <c r="AP133">
        <f t="shared" ref="AP133:AP196" si="40">AC133-AC134</f>
        <v>3.0000000000000165E-4</v>
      </c>
    </row>
    <row r="134" spans="17:42" x14ac:dyDescent="0.25">
      <c r="Q134" s="1">
        <v>44861</v>
      </c>
      <c r="R134">
        <v>3.7599999999999995E-2</v>
      </c>
      <c r="S134">
        <v>3.95E-2</v>
      </c>
      <c r="T134">
        <v>4.1299999999999996E-2</v>
      </c>
      <c r="U134">
        <v>4.4400000000000002E-2</v>
      </c>
      <c r="V134">
        <v>4.4999999999999998E-2</v>
      </c>
      <c r="W134">
        <v>4.2999999999999997E-2</v>
      </c>
      <c r="X134">
        <v>4.2900000000000001E-2</v>
      </c>
      <c r="Y134">
        <v>4.0899999999999999E-2</v>
      </c>
      <c r="Z134">
        <v>4.0099999999999997E-2</v>
      </c>
      <c r="AA134">
        <v>3.9599999999999996E-2</v>
      </c>
      <c r="AB134">
        <v>4.3200000000000002E-2</v>
      </c>
      <c r="AC134">
        <v>4.1200000000000001E-2</v>
      </c>
      <c r="AE134">
        <f t="shared" si="29"/>
        <v>2.1999999999999936E-3</v>
      </c>
      <c r="AF134">
        <f t="shared" si="30"/>
        <v>1.0000000000000009E-3</v>
      </c>
      <c r="AG134">
        <f t="shared" si="31"/>
        <v>1.9999999999999185E-4</v>
      </c>
      <c r="AH134">
        <f t="shared" si="32"/>
        <v>-2.9999999999999472E-4</v>
      </c>
      <c r="AI134">
        <f t="shared" si="33"/>
        <v>-4.0000000000000452E-4</v>
      </c>
      <c r="AJ134">
        <f t="shared" si="34"/>
        <v>-8.9999999999999802E-4</v>
      </c>
      <c r="AK134">
        <f t="shared" si="35"/>
        <v>-1.1999999999999997E-3</v>
      </c>
      <c r="AL134">
        <f t="shared" si="36"/>
        <v>-1.1000000000000038E-3</v>
      </c>
      <c r="AM134">
        <f t="shared" si="37"/>
        <v>-1.1000000000000038E-3</v>
      </c>
      <c r="AN134">
        <f t="shared" si="38"/>
        <v>-8.000000000000021E-4</v>
      </c>
      <c r="AO134">
        <f t="shared" si="39"/>
        <v>-5.9999999999999637E-4</v>
      </c>
      <c r="AP134">
        <f t="shared" si="40"/>
        <v>-7.0000000000000617E-4</v>
      </c>
    </row>
    <row r="135" spans="17:42" x14ac:dyDescent="0.25">
      <c r="Q135" s="1">
        <v>44860</v>
      </c>
      <c r="R135">
        <v>3.5400000000000001E-2</v>
      </c>
      <c r="S135">
        <v>3.85E-2</v>
      </c>
      <c r="T135">
        <v>4.1100000000000005E-2</v>
      </c>
      <c r="U135">
        <v>4.4699999999999997E-2</v>
      </c>
      <c r="V135">
        <v>4.5400000000000003E-2</v>
      </c>
      <c r="W135">
        <v>4.3899999999999995E-2</v>
      </c>
      <c r="X135">
        <v>4.41E-2</v>
      </c>
      <c r="Y135">
        <v>4.2000000000000003E-2</v>
      </c>
      <c r="Z135">
        <v>4.1200000000000001E-2</v>
      </c>
      <c r="AA135">
        <v>4.0399999999999998E-2</v>
      </c>
      <c r="AB135">
        <v>4.3799999999999999E-2</v>
      </c>
      <c r="AC135">
        <v>4.1900000000000007E-2</v>
      </c>
      <c r="AE135">
        <f t="shared" si="29"/>
        <v>-1.9999999999999879E-4</v>
      </c>
      <c r="AF135">
        <f t="shared" si="30"/>
        <v>3.9999999999999758E-4</v>
      </c>
      <c r="AG135">
        <f t="shared" si="31"/>
        <v>-2.9999999999999472E-4</v>
      </c>
      <c r="AH135">
        <f t="shared" si="32"/>
        <v>-3.0000000000000165E-4</v>
      </c>
      <c r="AI135">
        <f t="shared" si="33"/>
        <v>-5.9999999999999637E-4</v>
      </c>
      <c r="AJ135">
        <f t="shared" si="34"/>
        <v>-3.0000000000000165E-4</v>
      </c>
      <c r="AK135">
        <f t="shared" si="35"/>
        <v>-4.0000000000000452E-4</v>
      </c>
      <c r="AL135">
        <f t="shared" si="36"/>
        <v>-5.0000000000000044E-4</v>
      </c>
      <c r="AM135">
        <f t="shared" si="37"/>
        <v>-5.0000000000000044E-4</v>
      </c>
      <c r="AN135">
        <f t="shared" si="38"/>
        <v>-5.9999999999999637E-4</v>
      </c>
      <c r="AO135">
        <f t="shared" si="39"/>
        <v>-7.0000000000000617E-4</v>
      </c>
      <c r="AP135">
        <f t="shared" si="40"/>
        <v>-6.999999999999923E-4</v>
      </c>
    </row>
    <row r="136" spans="17:42" x14ac:dyDescent="0.25">
      <c r="Q136" s="1">
        <v>44859</v>
      </c>
      <c r="R136">
        <v>3.56E-2</v>
      </c>
      <c r="S136">
        <v>3.8100000000000002E-2</v>
      </c>
      <c r="T136">
        <v>4.1399999999999999E-2</v>
      </c>
      <c r="U136">
        <v>4.4999999999999998E-2</v>
      </c>
      <c r="V136">
        <v>4.5999999999999999E-2</v>
      </c>
      <c r="W136">
        <v>4.4199999999999996E-2</v>
      </c>
      <c r="X136">
        <v>4.4500000000000005E-2</v>
      </c>
      <c r="Y136">
        <v>4.2500000000000003E-2</v>
      </c>
      <c r="Z136">
        <v>4.1700000000000001E-2</v>
      </c>
      <c r="AA136">
        <v>4.0999999999999995E-2</v>
      </c>
      <c r="AB136">
        <v>4.4500000000000005E-2</v>
      </c>
      <c r="AC136">
        <v>4.2599999999999999E-2</v>
      </c>
      <c r="AE136">
        <f t="shared" si="29"/>
        <v>-9.9999999999995925E-5</v>
      </c>
      <c r="AF136">
        <f t="shared" si="30"/>
        <v>-1.9999999999999879E-4</v>
      </c>
      <c r="AG136">
        <f t="shared" si="31"/>
        <v>-1.9999999999999879E-4</v>
      </c>
      <c r="AH136">
        <f t="shared" si="32"/>
        <v>-1.9999999999999879E-4</v>
      </c>
      <c r="AI136">
        <f t="shared" si="33"/>
        <v>-1.0000000000000286E-4</v>
      </c>
      <c r="AJ136">
        <f t="shared" si="34"/>
        <v>-8.000000000000021E-4</v>
      </c>
      <c r="AK136">
        <f t="shared" si="35"/>
        <v>-6.999999999999923E-4</v>
      </c>
      <c r="AL136">
        <f t="shared" si="36"/>
        <v>-1.0999999999999968E-3</v>
      </c>
      <c r="AM136">
        <f t="shared" si="37"/>
        <v>-1.3999999999999985E-3</v>
      </c>
      <c r="AN136">
        <f t="shared" si="38"/>
        <v>-1.5000000000000083E-3</v>
      </c>
      <c r="AO136">
        <f t="shared" si="39"/>
        <v>-1.3999999999999915E-3</v>
      </c>
      <c r="AP136">
        <f t="shared" si="40"/>
        <v>-1.4000000000000054E-3</v>
      </c>
    </row>
    <row r="137" spans="17:42" x14ac:dyDescent="0.25">
      <c r="Q137" s="1">
        <v>44858</v>
      </c>
      <c r="R137">
        <v>3.5699999999999996E-2</v>
      </c>
      <c r="S137">
        <v>3.8300000000000001E-2</v>
      </c>
      <c r="T137">
        <v>4.1599999999999998E-2</v>
      </c>
      <c r="U137">
        <v>4.5199999999999997E-2</v>
      </c>
      <c r="V137">
        <v>4.6100000000000002E-2</v>
      </c>
      <c r="W137">
        <v>4.4999999999999998E-2</v>
      </c>
      <c r="X137">
        <v>4.5199999999999997E-2</v>
      </c>
      <c r="Y137">
        <v>4.36E-2</v>
      </c>
      <c r="Z137">
        <v>4.3099999999999999E-2</v>
      </c>
      <c r="AA137">
        <v>4.2500000000000003E-2</v>
      </c>
      <c r="AB137">
        <v>4.5899999999999996E-2</v>
      </c>
      <c r="AC137">
        <v>4.4000000000000004E-2</v>
      </c>
      <c r="AE137">
        <f t="shared" si="29"/>
        <v>1.9999999999999879E-4</v>
      </c>
      <c r="AF137">
        <f t="shared" si="30"/>
        <v>5.0000000000000044E-4</v>
      </c>
      <c r="AG137">
        <f t="shared" si="31"/>
        <v>6.9999999999999923E-4</v>
      </c>
      <c r="AH137">
        <f t="shared" si="32"/>
        <v>8.9999999999999802E-4</v>
      </c>
      <c r="AI137">
        <f t="shared" si="33"/>
        <v>3.0000000000000165E-4</v>
      </c>
      <c r="AJ137">
        <f t="shared" si="34"/>
        <v>9.9999999999995925E-5</v>
      </c>
      <c r="AK137">
        <f t="shared" si="35"/>
        <v>0</v>
      </c>
      <c r="AL137">
        <f t="shared" si="36"/>
        <v>1.9999999999999879E-4</v>
      </c>
      <c r="AM137">
        <f t="shared" si="37"/>
        <v>2.9999999999999472E-4</v>
      </c>
      <c r="AN137">
        <f t="shared" si="38"/>
        <v>4.0000000000000452E-4</v>
      </c>
      <c r="AO137">
        <f t="shared" si="39"/>
        <v>4.9999999999999351E-4</v>
      </c>
      <c r="AP137">
        <f t="shared" si="40"/>
        <v>7.0000000000000617E-4</v>
      </c>
    </row>
    <row r="138" spans="17:42" x14ac:dyDescent="0.25">
      <c r="Q138" s="1">
        <v>44855</v>
      </c>
      <c r="R138">
        <v>3.5499999999999997E-2</v>
      </c>
      <c r="S138">
        <v>3.78E-2</v>
      </c>
      <c r="T138">
        <v>4.0899999999999999E-2</v>
      </c>
      <c r="U138">
        <v>4.4299999999999999E-2</v>
      </c>
      <c r="V138">
        <v>4.58E-2</v>
      </c>
      <c r="W138">
        <v>4.4900000000000002E-2</v>
      </c>
      <c r="X138">
        <v>4.5199999999999997E-2</v>
      </c>
      <c r="Y138">
        <v>4.3400000000000001E-2</v>
      </c>
      <c r="Z138">
        <v>4.2800000000000005E-2</v>
      </c>
      <c r="AA138">
        <v>4.2099999999999999E-2</v>
      </c>
      <c r="AB138">
        <v>4.5400000000000003E-2</v>
      </c>
      <c r="AC138">
        <v>4.3299999999999998E-2</v>
      </c>
      <c r="AE138">
        <f t="shared" si="29"/>
        <v>-3.0000000000000165E-4</v>
      </c>
      <c r="AF138">
        <f t="shared" si="30"/>
        <v>-5.0000000000000044E-4</v>
      </c>
      <c r="AG138">
        <f t="shared" si="31"/>
        <v>0</v>
      </c>
      <c r="AH138">
        <f t="shared" si="32"/>
        <v>-5.0000000000000738E-4</v>
      </c>
      <c r="AI138">
        <f t="shared" si="33"/>
        <v>-8.000000000000021E-4</v>
      </c>
      <c r="AJ138">
        <f t="shared" si="34"/>
        <v>-1.2999999999999956E-3</v>
      </c>
      <c r="AK138">
        <f t="shared" si="35"/>
        <v>-1.4000000000000054E-3</v>
      </c>
      <c r="AL138">
        <f t="shared" si="36"/>
        <v>-1.1000000000000038E-3</v>
      </c>
      <c r="AM138">
        <f t="shared" si="37"/>
        <v>-7.9999999999999516E-4</v>
      </c>
      <c r="AN138">
        <f t="shared" si="38"/>
        <v>-3.0000000000000165E-4</v>
      </c>
      <c r="AO138">
        <f t="shared" si="39"/>
        <v>7.0000000000000617E-4</v>
      </c>
      <c r="AP138">
        <f t="shared" si="40"/>
        <v>8.9999999999999802E-4</v>
      </c>
    </row>
    <row r="139" spans="17:42" x14ac:dyDescent="0.25">
      <c r="Q139" s="1">
        <v>44854</v>
      </c>
      <c r="R139">
        <v>3.5799999999999998E-2</v>
      </c>
      <c r="S139">
        <v>3.8300000000000001E-2</v>
      </c>
      <c r="T139">
        <v>4.0899999999999999E-2</v>
      </c>
      <c r="U139">
        <v>4.4800000000000006E-2</v>
      </c>
      <c r="V139">
        <v>4.6600000000000003E-2</v>
      </c>
      <c r="W139">
        <v>4.6199999999999998E-2</v>
      </c>
      <c r="X139">
        <v>4.6600000000000003E-2</v>
      </c>
      <c r="Y139">
        <v>4.4500000000000005E-2</v>
      </c>
      <c r="Z139">
        <v>4.36E-2</v>
      </c>
      <c r="AA139">
        <v>4.24E-2</v>
      </c>
      <c r="AB139">
        <v>4.4699999999999997E-2</v>
      </c>
      <c r="AC139">
        <v>4.24E-2</v>
      </c>
      <c r="AE139">
        <f t="shared" si="29"/>
        <v>2.700000000000001E-3</v>
      </c>
      <c r="AF139">
        <f t="shared" si="30"/>
        <v>1.0999999999999968E-3</v>
      </c>
      <c r="AG139">
        <f t="shared" si="31"/>
        <v>1.9999999999999879E-4</v>
      </c>
      <c r="AH139">
        <f t="shared" si="32"/>
        <v>3.0000000000000165E-4</v>
      </c>
      <c r="AI139">
        <f t="shared" si="33"/>
        <v>6.0000000000000331E-4</v>
      </c>
      <c r="AJ139">
        <f t="shared" si="34"/>
        <v>6.9999999999999923E-4</v>
      </c>
      <c r="AK139">
        <f t="shared" si="35"/>
        <v>1.0000000000000078E-3</v>
      </c>
      <c r="AL139">
        <f t="shared" si="36"/>
        <v>1.0000000000000078E-3</v>
      </c>
      <c r="AM139">
        <f t="shared" si="37"/>
        <v>1.0000000000000009E-3</v>
      </c>
      <c r="AN139">
        <f t="shared" si="38"/>
        <v>1.0000000000000009E-3</v>
      </c>
      <c r="AO139">
        <f t="shared" si="39"/>
        <v>8.9999999999999802E-4</v>
      </c>
      <c r="AP139">
        <f t="shared" si="40"/>
        <v>8.9999999999999802E-4</v>
      </c>
    </row>
    <row r="140" spans="17:42" x14ac:dyDescent="0.25">
      <c r="Q140" s="1">
        <v>44853</v>
      </c>
      <c r="R140">
        <v>3.3099999999999997E-2</v>
      </c>
      <c r="S140">
        <v>3.7200000000000004E-2</v>
      </c>
      <c r="T140">
        <v>4.07E-2</v>
      </c>
      <c r="U140">
        <v>4.4500000000000005E-2</v>
      </c>
      <c r="V140">
        <v>4.5999999999999999E-2</v>
      </c>
      <c r="W140">
        <v>4.5499999999999999E-2</v>
      </c>
      <c r="X140">
        <v>4.5599999999999995E-2</v>
      </c>
      <c r="Y140">
        <v>4.3499999999999997E-2</v>
      </c>
      <c r="Z140">
        <v>4.2599999999999999E-2</v>
      </c>
      <c r="AA140">
        <v>4.1399999999999999E-2</v>
      </c>
      <c r="AB140">
        <v>4.3799999999999999E-2</v>
      </c>
      <c r="AC140">
        <v>4.1500000000000002E-2</v>
      </c>
      <c r="AE140">
        <f t="shared" si="29"/>
        <v>5.9999999999999637E-4</v>
      </c>
      <c r="AF140">
        <f t="shared" si="30"/>
        <v>1.9999999999999879E-4</v>
      </c>
      <c r="AG140">
        <f t="shared" si="31"/>
        <v>3.0000000000000165E-4</v>
      </c>
      <c r="AH140">
        <f t="shared" si="32"/>
        <v>6.0000000000001025E-4</v>
      </c>
      <c r="AI140">
        <f t="shared" si="33"/>
        <v>1.0000000000000009E-3</v>
      </c>
      <c r="AJ140">
        <f t="shared" si="34"/>
        <v>1.1999999999999997E-3</v>
      </c>
      <c r="AK140">
        <f t="shared" si="35"/>
        <v>1.2999999999999956E-3</v>
      </c>
      <c r="AL140">
        <f t="shared" si="36"/>
        <v>1.3999999999999985E-3</v>
      </c>
      <c r="AM140">
        <f t="shared" si="37"/>
        <v>1.3999999999999985E-3</v>
      </c>
      <c r="AN140">
        <f t="shared" si="38"/>
        <v>1.3000000000000025E-3</v>
      </c>
      <c r="AO140">
        <f t="shared" si="39"/>
        <v>1.1000000000000038E-3</v>
      </c>
      <c r="AP140">
        <f t="shared" si="40"/>
        <v>1.1000000000000038E-3</v>
      </c>
    </row>
    <row r="141" spans="17:42" x14ac:dyDescent="0.25">
      <c r="Q141" s="1">
        <v>44852</v>
      </c>
      <c r="R141">
        <v>3.2500000000000001E-2</v>
      </c>
      <c r="S141">
        <v>3.7000000000000005E-2</v>
      </c>
      <c r="T141">
        <v>4.0399999999999998E-2</v>
      </c>
      <c r="U141">
        <v>4.3899999999999995E-2</v>
      </c>
      <c r="V141">
        <v>4.4999999999999998E-2</v>
      </c>
      <c r="W141">
        <v>4.4299999999999999E-2</v>
      </c>
      <c r="X141">
        <v>4.4299999999999999E-2</v>
      </c>
      <c r="Y141">
        <v>4.2099999999999999E-2</v>
      </c>
      <c r="Z141">
        <v>4.1200000000000001E-2</v>
      </c>
      <c r="AA141">
        <v>4.0099999999999997E-2</v>
      </c>
      <c r="AB141">
        <v>4.2699999999999995E-2</v>
      </c>
      <c r="AC141">
        <v>4.0399999999999998E-2</v>
      </c>
      <c r="AE141">
        <f t="shared" si="29"/>
        <v>-5.0000000000000044E-4</v>
      </c>
      <c r="AF141">
        <f t="shared" si="30"/>
        <v>4.0000000000000452E-4</v>
      </c>
      <c r="AG141">
        <f t="shared" si="31"/>
        <v>6.9999999999999923E-4</v>
      </c>
      <c r="AH141">
        <f t="shared" si="32"/>
        <v>9.9999999999995925E-5</v>
      </c>
      <c r="AI141">
        <f t="shared" si="33"/>
        <v>0</v>
      </c>
      <c r="AJ141">
        <f t="shared" si="34"/>
        <v>-2.0000000000000573E-4</v>
      </c>
      <c r="AK141">
        <f t="shared" si="35"/>
        <v>-2.0000000000000573E-4</v>
      </c>
      <c r="AL141">
        <f t="shared" si="36"/>
        <v>-3.0000000000000165E-4</v>
      </c>
      <c r="AM141">
        <f t="shared" si="37"/>
        <v>-3.0000000000000165E-4</v>
      </c>
      <c r="AN141">
        <f t="shared" si="38"/>
        <v>-9.9999999999995925E-5</v>
      </c>
      <c r="AO141">
        <f t="shared" si="39"/>
        <v>-2.0000000000000573E-4</v>
      </c>
      <c r="AP141">
        <f t="shared" si="40"/>
        <v>0</v>
      </c>
    </row>
    <row r="142" spans="17:42" x14ac:dyDescent="0.25">
      <c r="Q142" s="1">
        <v>44851</v>
      </c>
      <c r="R142">
        <v>3.3000000000000002E-2</v>
      </c>
      <c r="S142">
        <v>3.6600000000000001E-2</v>
      </c>
      <c r="T142">
        <v>3.9699999999999999E-2</v>
      </c>
      <c r="U142">
        <v>4.3799999999999999E-2</v>
      </c>
      <c r="V142">
        <v>4.4999999999999998E-2</v>
      </c>
      <c r="W142">
        <v>4.4500000000000005E-2</v>
      </c>
      <c r="X142">
        <v>4.4500000000000005E-2</v>
      </c>
      <c r="Y142">
        <v>4.24E-2</v>
      </c>
      <c r="Z142">
        <v>4.1500000000000002E-2</v>
      </c>
      <c r="AA142">
        <v>4.0199999999999993E-2</v>
      </c>
      <c r="AB142">
        <v>4.2900000000000001E-2</v>
      </c>
      <c r="AC142">
        <v>4.0399999999999998E-2</v>
      </c>
      <c r="AE142">
        <f t="shared" si="29"/>
        <v>0</v>
      </c>
      <c r="AF142">
        <f t="shared" si="30"/>
        <v>5.0000000000000044E-4</v>
      </c>
      <c r="AG142">
        <f t="shared" si="31"/>
        <v>1.5999999999999973E-3</v>
      </c>
      <c r="AH142">
        <f t="shared" si="32"/>
        <v>6.9999999999999923E-4</v>
      </c>
      <c r="AI142">
        <f t="shared" si="33"/>
        <v>0</v>
      </c>
      <c r="AJ142">
        <f t="shared" si="34"/>
        <v>-3.0000000000000165E-4</v>
      </c>
      <c r="AK142">
        <f t="shared" si="35"/>
        <v>-1.9999999999999185E-4</v>
      </c>
      <c r="AL142">
        <f t="shared" si="36"/>
        <v>-1.0000000000000286E-4</v>
      </c>
      <c r="AM142">
        <f t="shared" si="37"/>
        <v>0</v>
      </c>
      <c r="AN142">
        <f t="shared" si="38"/>
        <v>1.9999999999999185E-4</v>
      </c>
      <c r="AO142">
        <f t="shared" si="39"/>
        <v>3.0000000000000165E-4</v>
      </c>
      <c r="AP142">
        <f t="shared" si="40"/>
        <v>4.9999999999999351E-4</v>
      </c>
    </row>
    <row r="143" spans="17:42" x14ac:dyDescent="0.25">
      <c r="Q143" s="1">
        <v>44848</v>
      </c>
      <c r="R143">
        <v>3.3000000000000002E-2</v>
      </c>
      <c r="S143">
        <v>3.61E-2</v>
      </c>
      <c r="T143">
        <v>3.8100000000000002E-2</v>
      </c>
      <c r="U143">
        <v>4.3099999999999999E-2</v>
      </c>
      <c r="V143">
        <v>4.4999999999999998E-2</v>
      </c>
      <c r="W143">
        <v>4.4800000000000006E-2</v>
      </c>
      <c r="X143">
        <v>4.4699999999999997E-2</v>
      </c>
      <c r="Y143">
        <v>4.2500000000000003E-2</v>
      </c>
      <c r="Z143">
        <v>4.1500000000000002E-2</v>
      </c>
      <c r="AA143">
        <v>0.04</v>
      </c>
      <c r="AB143">
        <v>4.2599999999999999E-2</v>
      </c>
      <c r="AC143">
        <v>3.9900000000000005E-2</v>
      </c>
      <c r="AE143">
        <f t="shared" si="29"/>
        <v>-5.0000000000000044E-4</v>
      </c>
      <c r="AF143">
        <f t="shared" si="30"/>
        <v>9.9999999999995925E-5</v>
      </c>
      <c r="AG143">
        <f t="shared" si="31"/>
        <v>1.9999999999999879E-4</v>
      </c>
      <c r="AH143">
        <f t="shared" si="32"/>
        <v>1.0000000000000286E-4</v>
      </c>
      <c r="AI143">
        <f t="shared" si="33"/>
        <v>3.9999999999999758E-4</v>
      </c>
      <c r="AJ143">
        <f t="shared" si="34"/>
        <v>1.000000000000098E-4</v>
      </c>
      <c r="AK143">
        <f t="shared" si="35"/>
        <v>2.9999999999999472E-4</v>
      </c>
      <c r="AL143">
        <f t="shared" si="36"/>
        <v>4.0000000000000452E-4</v>
      </c>
      <c r="AM143">
        <f t="shared" si="37"/>
        <v>3.9999999999999758E-4</v>
      </c>
      <c r="AN143">
        <f t="shared" si="38"/>
        <v>3.0000000000000165E-4</v>
      </c>
      <c r="AO143">
        <f t="shared" si="39"/>
        <v>9.9999999999995925E-5</v>
      </c>
      <c r="AP143">
        <f t="shared" si="40"/>
        <v>2.0000000000000573E-4</v>
      </c>
    </row>
    <row r="144" spans="17:42" x14ac:dyDescent="0.25">
      <c r="Q144" s="1">
        <v>44847</v>
      </c>
      <c r="R144">
        <v>3.3500000000000002E-2</v>
      </c>
      <c r="S144">
        <v>3.6000000000000004E-2</v>
      </c>
      <c r="T144">
        <v>3.7900000000000003E-2</v>
      </c>
      <c r="U144">
        <v>4.2999999999999997E-2</v>
      </c>
      <c r="V144">
        <v>4.4600000000000001E-2</v>
      </c>
      <c r="W144">
        <v>4.4699999999999997E-2</v>
      </c>
      <c r="X144">
        <v>4.4400000000000002E-2</v>
      </c>
      <c r="Y144">
        <v>4.2099999999999999E-2</v>
      </c>
      <c r="Z144">
        <v>4.1100000000000005E-2</v>
      </c>
      <c r="AA144">
        <v>3.9699999999999999E-2</v>
      </c>
      <c r="AB144">
        <v>4.2500000000000003E-2</v>
      </c>
      <c r="AC144">
        <v>3.9699999999999999E-2</v>
      </c>
      <c r="AE144">
        <f t="shared" si="29"/>
        <v>2.8000000000000039E-3</v>
      </c>
      <c r="AF144">
        <f t="shared" si="30"/>
        <v>1.5000000000000013E-3</v>
      </c>
      <c r="AG144">
        <f t="shared" si="31"/>
        <v>8.9999999999999802E-4</v>
      </c>
      <c r="AH144">
        <f t="shared" si="32"/>
        <v>1.3999999999999985E-3</v>
      </c>
      <c r="AI144">
        <f t="shared" si="33"/>
        <v>1.799999999999996E-3</v>
      </c>
      <c r="AJ144">
        <f t="shared" si="34"/>
        <v>1.899999999999992E-3</v>
      </c>
      <c r="AK144">
        <f t="shared" si="35"/>
        <v>1.5000000000000013E-3</v>
      </c>
      <c r="AL144">
        <f t="shared" si="36"/>
        <v>8.9999999999999802E-4</v>
      </c>
      <c r="AM144">
        <f t="shared" si="37"/>
        <v>8.000000000000021E-4</v>
      </c>
      <c r="AN144">
        <f t="shared" si="38"/>
        <v>5.9999999999999637E-4</v>
      </c>
      <c r="AO144">
        <f t="shared" si="39"/>
        <v>7.0000000000000617E-4</v>
      </c>
      <c r="AP144">
        <f t="shared" si="40"/>
        <v>6.9999999999999923E-4</v>
      </c>
    </row>
    <row r="145" spans="17:42" x14ac:dyDescent="0.25">
      <c r="Q145" s="1">
        <v>44846</v>
      </c>
      <c r="R145">
        <v>3.0699999999999998E-2</v>
      </c>
      <c r="S145">
        <v>3.4500000000000003E-2</v>
      </c>
      <c r="T145">
        <v>3.7000000000000005E-2</v>
      </c>
      <c r="U145">
        <v>4.1599999999999998E-2</v>
      </c>
      <c r="V145">
        <v>4.2800000000000005E-2</v>
      </c>
      <c r="W145">
        <v>4.2800000000000005E-2</v>
      </c>
      <c r="X145">
        <v>4.2900000000000001E-2</v>
      </c>
      <c r="Y145">
        <v>4.1200000000000001E-2</v>
      </c>
      <c r="Z145">
        <v>4.0300000000000002E-2</v>
      </c>
      <c r="AA145">
        <v>3.9100000000000003E-2</v>
      </c>
      <c r="AB145">
        <v>4.1799999999999997E-2</v>
      </c>
      <c r="AC145">
        <v>3.9E-2</v>
      </c>
      <c r="AE145">
        <f t="shared" si="29"/>
        <v>0</v>
      </c>
      <c r="AF145">
        <f t="shared" si="30"/>
        <v>1.9999999999999879E-4</v>
      </c>
      <c r="AG145">
        <f t="shared" si="31"/>
        <v>3.0000000000000859E-4</v>
      </c>
      <c r="AH145">
        <f t="shared" si="32"/>
        <v>-1.0000000000000286E-4</v>
      </c>
      <c r="AI145">
        <f t="shared" si="33"/>
        <v>0</v>
      </c>
      <c r="AJ145">
        <f t="shared" si="34"/>
        <v>-1.9999999999999185E-4</v>
      </c>
      <c r="AK145">
        <f t="shared" si="35"/>
        <v>-1.9999999999999879E-4</v>
      </c>
      <c r="AL145">
        <f t="shared" si="36"/>
        <v>-1.9999999999999879E-4</v>
      </c>
      <c r="AM145">
        <f t="shared" si="37"/>
        <v>-2.9999999999999472E-4</v>
      </c>
      <c r="AN145">
        <f t="shared" si="38"/>
        <v>-1.9999999999999879E-4</v>
      </c>
      <c r="AO145">
        <f t="shared" si="39"/>
        <v>-1.000000000000098E-4</v>
      </c>
      <c r="AP145">
        <f t="shared" si="40"/>
        <v>-1.9999999999999879E-4</v>
      </c>
    </row>
    <row r="146" spans="17:42" x14ac:dyDescent="0.25">
      <c r="Q146" s="1">
        <v>44845</v>
      </c>
      <c r="R146">
        <v>3.0699999999999998E-2</v>
      </c>
      <c r="S146">
        <v>3.4300000000000004E-2</v>
      </c>
      <c r="T146">
        <v>3.6699999999999997E-2</v>
      </c>
      <c r="U146">
        <v>4.1700000000000001E-2</v>
      </c>
      <c r="V146">
        <v>4.2800000000000005E-2</v>
      </c>
      <c r="W146">
        <v>4.2999999999999997E-2</v>
      </c>
      <c r="X146">
        <v>4.3099999999999999E-2</v>
      </c>
      <c r="Y146">
        <v>4.1399999999999999E-2</v>
      </c>
      <c r="Z146">
        <v>4.0599999999999997E-2</v>
      </c>
      <c r="AA146">
        <v>3.9300000000000002E-2</v>
      </c>
      <c r="AB146">
        <v>4.1900000000000007E-2</v>
      </c>
      <c r="AC146">
        <v>3.9199999999999999E-2</v>
      </c>
      <c r="AE146">
        <f t="shared" si="29"/>
        <v>4.0000000000000105E-4</v>
      </c>
      <c r="AF146">
        <f t="shared" si="30"/>
        <v>9.0000000000000496E-4</v>
      </c>
      <c r="AG146">
        <f t="shared" si="31"/>
        <v>2.1999999999999936E-3</v>
      </c>
      <c r="AH146">
        <f t="shared" si="32"/>
        <v>8.000000000000021E-4</v>
      </c>
      <c r="AI146">
        <f t="shared" si="33"/>
        <v>4.0000000000000452E-4</v>
      </c>
      <c r="AJ146">
        <f t="shared" si="34"/>
        <v>0</v>
      </c>
      <c r="AK146">
        <f t="shared" si="35"/>
        <v>-1.9999999999999879E-4</v>
      </c>
      <c r="AL146">
        <f t="shared" si="36"/>
        <v>0</v>
      </c>
      <c r="AM146">
        <f t="shared" si="37"/>
        <v>2.9999999999999472E-4</v>
      </c>
      <c r="AN146">
        <f t="shared" si="38"/>
        <v>3.9999999999999758E-4</v>
      </c>
      <c r="AO146">
        <f t="shared" si="39"/>
        <v>6.0000000000001025E-4</v>
      </c>
      <c r="AP146">
        <f t="shared" si="40"/>
        <v>6.0000000000000331E-4</v>
      </c>
    </row>
    <row r="147" spans="17:42" x14ac:dyDescent="0.25">
      <c r="Q147" s="1">
        <v>44841</v>
      </c>
      <c r="R147">
        <v>3.0299999999999997E-2</v>
      </c>
      <c r="S147">
        <v>3.3399999999999999E-2</v>
      </c>
      <c r="T147">
        <v>3.4500000000000003E-2</v>
      </c>
      <c r="U147">
        <v>4.0899999999999999E-2</v>
      </c>
      <c r="V147">
        <v>4.24E-2</v>
      </c>
      <c r="W147">
        <v>4.2999999999999997E-2</v>
      </c>
      <c r="X147">
        <v>4.3299999999999998E-2</v>
      </c>
      <c r="Y147">
        <v>4.1399999999999999E-2</v>
      </c>
      <c r="Z147">
        <v>4.0300000000000002E-2</v>
      </c>
      <c r="AA147">
        <v>3.8900000000000004E-2</v>
      </c>
      <c r="AB147">
        <v>4.1299999999999996E-2</v>
      </c>
      <c r="AC147">
        <v>3.8599999999999995E-2</v>
      </c>
      <c r="AE147">
        <f t="shared" si="29"/>
        <v>-2.0000000000000226E-4</v>
      </c>
      <c r="AF147">
        <f t="shared" si="30"/>
        <v>0</v>
      </c>
      <c r="AG147">
        <f t="shared" si="31"/>
        <v>-9.9999999999995925E-5</v>
      </c>
      <c r="AH147">
        <f t="shared" si="32"/>
        <v>5.0000000000000044E-4</v>
      </c>
      <c r="AI147">
        <f t="shared" si="33"/>
        <v>4.9999999999999351E-4</v>
      </c>
      <c r="AJ147">
        <f t="shared" si="34"/>
        <v>6.999999999999923E-4</v>
      </c>
      <c r="AK147">
        <f t="shared" si="35"/>
        <v>8.9999999999999802E-4</v>
      </c>
      <c r="AL147">
        <f t="shared" si="36"/>
        <v>8.9999999999999802E-4</v>
      </c>
      <c r="AM147">
        <f t="shared" si="37"/>
        <v>8.000000000000021E-4</v>
      </c>
      <c r="AN147">
        <f t="shared" si="38"/>
        <v>6.0000000000000331E-4</v>
      </c>
      <c r="AO147">
        <f t="shared" si="39"/>
        <v>4.9999999999999351E-4</v>
      </c>
      <c r="AP147">
        <f t="shared" si="40"/>
        <v>4.9999999999999351E-4</v>
      </c>
    </row>
    <row r="148" spans="17:42" x14ac:dyDescent="0.25">
      <c r="Q148" s="1">
        <v>44840</v>
      </c>
      <c r="R148">
        <v>3.0499999999999999E-2</v>
      </c>
      <c r="S148">
        <v>3.3399999999999999E-2</v>
      </c>
      <c r="T148">
        <v>3.4599999999999999E-2</v>
      </c>
      <c r="U148">
        <v>4.0399999999999998E-2</v>
      </c>
      <c r="V148">
        <v>4.1900000000000007E-2</v>
      </c>
      <c r="W148">
        <v>4.2300000000000004E-2</v>
      </c>
      <c r="X148">
        <v>4.24E-2</v>
      </c>
      <c r="Y148">
        <v>4.0500000000000001E-2</v>
      </c>
      <c r="Z148">
        <v>3.95E-2</v>
      </c>
      <c r="AA148">
        <v>3.8300000000000001E-2</v>
      </c>
      <c r="AB148">
        <v>4.0800000000000003E-2</v>
      </c>
      <c r="AC148">
        <v>3.8100000000000002E-2</v>
      </c>
      <c r="AE148">
        <f t="shared" si="29"/>
        <v>1.5999999999999973E-3</v>
      </c>
      <c r="AF148">
        <f t="shared" si="30"/>
        <v>1.1999999999999997E-3</v>
      </c>
      <c r="AG148">
        <f t="shared" si="31"/>
        <v>0</v>
      </c>
      <c r="AH148">
        <f t="shared" si="32"/>
        <v>3.9999999999999758E-4</v>
      </c>
      <c r="AI148">
        <f t="shared" si="33"/>
        <v>5.0000000000000738E-4</v>
      </c>
      <c r="AJ148">
        <f t="shared" si="34"/>
        <v>8.000000000000021E-4</v>
      </c>
      <c r="AK148">
        <f t="shared" si="35"/>
        <v>6.9999999999999923E-4</v>
      </c>
      <c r="AL148">
        <f t="shared" si="36"/>
        <v>9.0000000000000496E-4</v>
      </c>
      <c r="AM148">
        <f t="shared" si="37"/>
        <v>8.000000000000021E-4</v>
      </c>
      <c r="AN148">
        <f t="shared" si="38"/>
        <v>7.0000000000000617E-4</v>
      </c>
      <c r="AO148">
        <f t="shared" si="39"/>
        <v>3.0000000000000165E-4</v>
      </c>
      <c r="AP148">
        <f t="shared" si="40"/>
        <v>3.0000000000000165E-4</v>
      </c>
    </row>
    <row r="149" spans="17:42" x14ac:dyDescent="0.25">
      <c r="Q149" s="1">
        <v>44839</v>
      </c>
      <c r="R149">
        <v>2.8900000000000002E-2</v>
      </c>
      <c r="S149">
        <v>3.2199999999999999E-2</v>
      </c>
      <c r="T149">
        <v>3.4599999999999999E-2</v>
      </c>
      <c r="U149">
        <v>0.04</v>
      </c>
      <c r="V149">
        <v>4.1399999999999999E-2</v>
      </c>
      <c r="W149">
        <v>4.1500000000000002E-2</v>
      </c>
      <c r="X149">
        <v>4.1700000000000001E-2</v>
      </c>
      <c r="Y149">
        <v>3.9599999999999996E-2</v>
      </c>
      <c r="Z149">
        <v>3.8699999999999998E-2</v>
      </c>
      <c r="AA149">
        <v>3.7599999999999995E-2</v>
      </c>
      <c r="AB149">
        <v>4.0500000000000001E-2</v>
      </c>
      <c r="AC149">
        <v>3.78E-2</v>
      </c>
      <c r="AE149">
        <f t="shared" si="29"/>
        <v>-1.9999999999999879E-4</v>
      </c>
      <c r="AF149">
        <f t="shared" si="30"/>
        <v>-1.0000000000000286E-4</v>
      </c>
      <c r="AG149">
        <f t="shared" si="31"/>
        <v>9.9999999999995925E-5</v>
      </c>
      <c r="AH149">
        <f t="shared" si="32"/>
        <v>1.9999999999999879E-4</v>
      </c>
      <c r="AI149">
        <f t="shared" si="33"/>
        <v>-1.0000000000000286E-4</v>
      </c>
      <c r="AJ149">
        <f t="shared" si="34"/>
        <v>5.0000000000000738E-4</v>
      </c>
      <c r="AK149">
        <f t="shared" si="35"/>
        <v>8.9999999999999802E-4</v>
      </c>
      <c r="AL149">
        <f t="shared" si="36"/>
        <v>1.1999999999999997E-3</v>
      </c>
      <c r="AM149">
        <f t="shared" si="37"/>
        <v>1.3999999999999985E-3</v>
      </c>
      <c r="AN149">
        <f t="shared" si="38"/>
        <v>1.3999999999999915E-3</v>
      </c>
      <c r="AO149">
        <f t="shared" si="39"/>
        <v>1.0000000000000009E-3</v>
      </c>
      <c r="AP149">
        <f t="shared" si="40"/>
        <v>7.9999999999999516E-4</v>
      </c>
    </row>
    <row r="150" spans="17:42" x14ac:dyDescent="0.25">
      <c r="Q150" s="1">
        <v>44838</v>
      </c>
      <c r="R150">
        <v>2.9100000000000001E-2</v>
      </c>
      <c r="S150">
        <v>3.2300000000000002E-2</v>
      </c>
      <c r="T150">
        <v>3.4500000000000003E-2</v>
      </c>
      <c r="U150">
        <v>3.9800000000000002E-2</v>
      </c>
      <c r="V150">
        <v>4.1500000000000002E-2</v>
      </c>
      <c r="W150">
        <v>4.0999999999999995E-2</v>
      </c>
      <c r="X150">
        <v>4.0800000000000003E-2</v>
      </c>
      <c r="Y150">
        <v>3.8399999999999997E-2</v>
      </c>
      <c r="Z150">
        <v>3.73E-2</v>
      </c>
      <c r="AA150">
        <v>3.6200000000000003E-2</v>
      </c>
      <c r="AB150">
        <v>3.95E-2</v>
      </c>
      <c r="AC150">
        <v>3.7000000000000005E-2</v>
      </c>
      <c r="AE150">
        <f t="shared" si="29"/>
        <v>4.0000000000000105E-4</v>
      </c>
      <c r="AF150">
        <f t="shared" si="30"/>
        <v>-2.9999999999999472E-4</v>
      </c>
      <c r="AG150">
        <f t="shared" si="31"/>
        <v>-9.9999999999995925E-5</v>
      </c>
      <c r="AH150">
        <f t="shared" si="32"/>
        <v>1.0000000000000286E-4</v>
      </c>
      <c r="AI150">
        <f t="shared" si="33"/>
        <v>1.4000000000000054E-3</v>
      </c>
      <c r="AJ150">
        <f t="shared" si="34"/>
        <v>-2.0000000000000573E-4</v>
      </c>
      <c r="AK150">
        <f t="shared" si="35"/>
        <v>-3.9999999999999758E-4</v>
      </c>
      <c r="AL150">
        <f t="shared" si="36"/>
        <v>-6.0000000000000331E-4</v>
      </c>
      <c r="AM150">
        <f t="shared" si="37"/>
        <v>-6.0000000000000331E-4</v>
      </c>
      <c r="AN150">
        <f t="shared" si="38"/>
        <v>-4.9999999999999351E-4</v>
      </c>
      <c r="AO150">
        <f t="shared" si="39"/>
        <v>-5.0000000000000044E-4</v>
      </c>
      <c r="AP150">
        <f t="shared" si="40"/>
        <v>-2.9999999999999472E-4</v>
      </c>
    </row>
    <row r="151" spans="17:42" x14ac:dyDescent="0.25">
      <c r="Q151" s="1">
        <v>44837</v>
      </c>
      <c r="R151">
        <v>2.87E-2</v>
      </c>
      <c r="S151">
        <v>3.2599999999999997E-2</v>
      </c>
      <c r="T151">
        <v>3.4599999999999999E-2</v>
      </c>
      <c r="U151">
        <v>3.9699999999999999E-2</v>
      </c>
      <c r="V151">
        <v>4.0099999999999997E-2</v>
      </c>
      <c r="W151">
        <v>4.1200000000000001E-2</v>
      </c>
      <c r="X151">
        <v>4.1200000000000001E-2</v>
      </c>
      <c r="Y151">
        <v>3.9E-2</v>
      </c>
      <c r="Z151">
        <v>3.7900000000000003E-2</v>
      </c>
      <c r="AA151">
        <v>3.6699999999999997E-2</v>
      </c>
      <c r="AB151">
        <v>0.04</v>
      </c>
      <c r="AC151">
        <v>3.73E-2</v>
      </c>
      <c r="AE151">
        <f t="shared" si="29"/>
        <v>7.9999999999999863E-4</v>
      </c>
      <c r="AF151">
        <f t="shared" si="30"/>
        <v>5.9999999999999637E-4</v>
      </c>
      <c r="AG151">
        <f t="shared" si="31"/>
        <v>1.2999999999999956E-3</v>
      </c>
      <c r="AH151">
        <f t="shared" si="32"/>
        <v>5.0000000000000044E-4</v>
      </c>
      <c r="AI151">
        <f t="shared" si="33"/>
        <v>-4.0000000000000452E-4</v>
      </c>
      <c r="AJ151">
        <f t="shared" si="34"/>
        <v>-9.9999999999999395E-4</v>
      </c>
      <c r="AK151">
        <f t="shared" si="35"/>
        <v>-1.3000000000000025E-3</v>
      </c>
      <c r="AL151">
        <f t="shared" si="36"/>
        <v>-1.5999999999999973E-3</v>
      </c>
      <c r="AM151">
        <f t="shared" si="37"/>
        <v>-1.799999999999996E-3</v>
      </c>
      <c r="AN151">
        <f t="shared" si="38"/>
        <v>-1.6000000000000042E-3</v>
      </c>
      <c r="AO151">
        <f t="shared" si="39"/>
        <v>-8.000000000000021E-4</v>
      </c>
      <c r="AP151">
        <f t="shared" si="40"/>
        <v>-6.0000000000000331E-4</v>
      </c>
    </row>
    <row r="152" spans="17:42" x14ac:dyDescent="0.25">
      <c r="Q152" s="1">
        <v>44834</v>
      </c>
      <c r="R152">
        <v>2.7900000000000001E-2</v>
      </c>
      <c r="S152">
        <v>3.2000000000000001E-2</v>
      </c>
      <c r="T152">
        <v>3.3300000000000003E-2</v>
      </c>
      <c r="U152">
        <v>3.9199999999999999E-2</v>
      </c>
      <c r="V152">
        <v>4.0500000000000001E-2</v>
      </c>
      <c r="W152">
        <v>4.2199999999999994E-2</v>
      </c>
      <c r="X152">
        <v>4.2500000000000003E-2</v>
      </c>
      <c r="Y152">
        <v>4.0599999999999997E-2</v>
      </c>
      <c r="Z152">
        <v>3.9699999999999999E-2</v>
      </c>
      <c r="AA152">
        <v>3.8300000000000001E-2</v>
      </c>
      <c r="AB152">
        <v>4.0800000000000003E-2</v>
      </c>
      <c r="AC152">
        <v>3.7900000000000003E-2</v>
      </c>
      <c r="AE152">
        <f t="shared" si="29"/>
        <v>1.0000000000000286E-4</v>
      </c>
      <c r="AF152">
        <f t="shared" si="30"/>
        <v>0</v>
      </c>
      <c r="AG152">
        <f t="shared" si="31"/>
        <v>-2.9999999999999472E-4</v>
      </c>
      <c r="AH152">
        <f t="shared" si="32"/>
        <v>5.0000000000000044E-4</v>
      </c>
      <c r="AI152">
        <f t="shared" si="33"/>
        <v>6.9999999999999923E-4</v>
      </c>
      <c r="AJ152">
        <f t="shared" si="34"/>
        <v>5.9999999999999637E-4</v>
      </c>
      <c r="AK152">
        <f t="shared" si="35"/>
        <v>5.9999999999999637E-4</v>
      </c>
      <c r="AL152">
        <f t="shared" si="36"/>
        <v>7.9999999999999516E-4</v>
      </c>
      <c r="AM152">
        <f t="shared" si="37"/>
        <v>7.9999999999999516E-4</v>
      </c>
      <c r="AN152">
        <f t="shared" si="38"/>
        <v>7.0000000000000617E-4</v>
      </c>
      <c r="AO152">
        <f t="shared" si="39"/>
        <v>8.000000000000021E-4</v>
      </c>
      <c r="AP152">
        <f t="shared" si="40"/>
        <v>8.000000000000021E-4</v>
      </c>
    </row>
    <row r="153" spans="17:42" x14ac:dyDescent="0.25">
      <c r="Q153" s="1">
        <v>44833</v>
      </c>
      <c r="R153">
        <v>2.7799999999999998E-2</v>
      </c>
      <c r="S153">
        <v>3.2000000000000001E-2</v>
      </c>
      <c r="T153">
        <v>3.3599999999999998E-2</v>
      </c>
      <c r="U153">
        <v>3.8699999999999998E-2</v>
      </c>
      <c r="V153">
        <v>3.9800000000000002E-2</v>
      </c>
      <c r="W153">
        <v>4.1599999999999998E-2</v>
      </c>
      <c r="X153">
        <v>4.1900000000000007E-2</v>
      </c>
      <c r="Y153">
        <v>3.9800000000000002E-2</v>
      </c>
      <c r="Z153">
        <v>3.8900000000000004E-2</v>
      </c>
      <c r="AA153">
        <v>3.7599999999999995E-2</v>
      </c>
      <c r="AB153">
        <v>0.04</v>
      </c>
      <c r="AC153">
        <v>3.7100000000000001E-2</v>
      </c>
      <c r="AE153">
        <f t="shared" si="29"/>
        <v>1.4999999999999979E-3</v>
      </c>
      <c r="AF153">
        <f t="shared" si="30"/>
        <v>5.9999999999999637E-4</v>
      </c>
      <c r="AG153">
        <f t="shared" si="31"/>
        <v>-4.0000000000000452E-4</v>
      </c>
      <c r="AH153">
        <f t="shared" si="32"/>
        <v>0</v>
      </c>
      <c r="AI153">
        <f t="shared" si="33"/>
        <v>-1.0000000000000286E-4</v>
      </c>
      <c r="AJ153">
        <f t="shared" si="34"/>
        <v>8.9999999999999802E-4</v>
      </c>
      <c r="AK153">
        <f t="shared" si="35"/>
        <v>7.0000000000000617E-4</v>
      </c>
      <c r="AL153">
        <f t="shared" si="36"/>
        <v>6.0000000000000331E-4</v>
      </c>
      <c r="AM153">
        <f t="shared" si="37"/>
        <v>6.0000000000000331E-4</v>
      </c>
      <c r="AN153">
        <f t="shared" si="38"/>
        <v>3.9999999999999064E-4</v>
      </c>
      <c r="AO153">
        <f t="shared" si="39"/>
        <v>1.9999999999999879E-4</v>
      </c>
      <c r="AP153">
        <f t="shared" si="40"/>
        <v>9.9999999999995925E-5</v>
      </c>
    </row>
    <row r="154" spans="17:42" x14ac:dyDescent="0.25">
      <c r="Q154" s="1">
        <v>44832</v>
      </c>
      <c r="R154">
        <v>2.63E-2</v>
      </c>
      <c r="S154">
        <v>3.1400000000000004E-2</v>
      </c>
      <c r="T154">
        <v>3.4000000000000002E-2</v>
      </c>
      <c r="U154">
        <v>3.8699999999999998E-2</v>
      </c>
      <c r="V154">
        <v>3.9900000000000005E-2</v>
      </c>
      <c r="W154">
        <v>4.07E-2</v>
      </c>
      <c r="X154">
        <v>4.1200000000000001E-2</v>
      </c>
      <c r="Y154">
        <v>3.9199999999999999E-2</v>
      </c>
      <c r="Z154">
        <v>3.8300000000000001E-2</v>
      </c>
      <c r="AA154">
        <v>3.7200000000000004E-2</v>
      </c>
      <c r="AB154">
        <v>3.9800000000000002E-2</v>
      </c>
      <c r="AC154">
        <v>3.7000000000000005E-2</v>
      </c>
      <c r="AE154">
        <f t="shared" si="29"/>
        <v>-7.9999999999999863E-4</v>
      </c>
      <c r="AF154">
        <f t="shared" si="30"/>
        <v>0</v>
      </c>
      <c r="AG154">
        <f t="shared" si="31"/>
        <v>5.0000000000000044E-4</v>
      </c>
      <c r="AH154">
        <f t="shared" si="32"/>
        <v>-4.0000000000000452E-4</v>
      </c>
      <c r="AI154">
        <f t="shared" si="33"/>
        <v>-1.6999999999999932E-3</v>
      </c>
      <c r="AJ154">
        <f t="shared" si="34"/>
        <v>-2.2999999999999965E-3</v>
      </c>
      <c r="AK154">
        <f t="shared" si="35"/>
        <v>-2.6999999999999941E-3</v>
      </c>
      <c r="AL154">
        <f t="shared" si="36"/>
        <v>-2.8999999999999998E-3</v>
      </c>
      <c r="AM154">
        <f t="shared" si="37"/>
        <v>-3.0999999999999986E-3</v>
      </c>
      <c r="AN154">
        <f t="shared" si="38"/>
        <v>-2.4999999999999953E-3</v>
      </c>
      <c r="AO154">
        <f t="shared" si="39"/>
        <v>-1.7000000000000001E-3</v>
      </c>
      <c r="AP154">
        <f t="shared" si="40"/>
        <v>-1.6999999999999932E-3</v>
      </c>
    </row>
    <row r="155" spans="17:42" x14ac:dyDescent="0.25">
      <c r="Q155" s="1">
        <v>44831</v>
      </c>
      <c r="R155">
        <v>2.7099999999999999E-2</v>
      </c>
      <c r="S155">
        <v>3.1400000000000004E-2</v>
      </c>
      <c r="T155">
        <v>3.3500000000000002E-2</v>
      </c>
      <c r="U155">
        <v>3.9100000000000003E-2</v>
      </c>
      <c r="V155">
        <v>4.1599999999999998E-2</v>
      </c>
      <c r="W155">
        <v>4.2999999999999997E-2</v>
      </c>
      <c r="X155">
        <v>4.3899999999999995E-2</v>
      </c>
      <c r="Y155">
        <v>4.2099999999999999E-2</v>
      </c>
      <c r="Z155">
        <v>4.1399999999999999E-2</v>
      </c>
      <c r="AA155">
        <v>3.9699999999999999E-2</v>
      </c>
      <c r="AB155">
        <v>4.1500000000000002E-2</v>
      </c>
      <c r="AC155">
        <v>3.8699999999999998E-2</v>
      </c>
      <c r="AE155">
        <f t="shared" si="29"/>
        <v>-2.0000000000000226E-4</v>
      </c>
      <c r="AF155">
        <f t="shared" si="30"/>
        <v>0</v>
      </c>
      <c r="AG155">
        <f t="shared" si="31"/>
        <v>-3.9999999999999758E-4</v>
      </c>
      <c r="AH155">
        <f t="shared" si="32"/>
        <v>-3.9999999999999758E-4</v>
      </c>
      <c r="AI155">
        <f t="shared" si="33"/>
        <v>-1.0000000000000286E-4</v>
      </c>
      <c r="AJ155">
        <f t="shared" si="34"/>
        <v>3.0000000000000165E-4</v>
      </c>
      <c r="AK155">
        <f t="shared" si="35"/>
        <v>1.9999999999999185E-4</v>
      </c>
      <c r="AL155">
        <f t="shared" si="36"/>
        <v>5.9999999999999637E-4</v>
      </c>
      <c r="AM155">
        <f t="shared" si="37"/>
        <v>8.000000000000021E-4</v>
      </c>
      <c r="AN155">
        <f t="shared" si="38"/>
        <v>8.9999999999999802E-4</v>
      </c>
      <c r="AO155">
        <f t="shared" si="39"/>
        <v>1.4000000000000054E-3</v>
      </c>
      <c r="AP155">
        <f t="shared" si="40"/>
        <v>1.4999999999999944E-3</v>
      </c>
    </row>
    <row r="156" spans="17:42" x14ac:dyDescent="0.25">
      <c r="Q156" s="1">
        <v>44830</v>
      </c>
      <c r="R156">
        <v>2.7300000000000001E-2</v>
      </c>
      <c r="S156">
        <v>3.1400000000000004E-2</v>
      </c>
      <c r="T156">
        <v>3.39E-2</v>
      </c>
      <c r="U156">
        <v>3.95E-2</v>
      </c>
      <c r="V156">
        <v>4.1700000000000001E-2</v>
      </c>
      <c r="W156">
        <v>4.2699999999999995E-2</v>
      </c>
      <c r="X156">
        <v>4.3700000000000003E-2</v>
      </c>
      <c r="Y156">
        <v>4.1500000000000002E-2</v>
      </c>
      <c r="Z156">
        <v>4.0599999999999997E-2</v>
      </c>
      <c r="AA156">
        <v>3.8800000000000001E-2</v>
      </c>
      <c r="AB156">
        <v>4.0099999999999997E-2</v>
      </c>
      <c r="AC156">
        <v>3.7200000000000004E-2</v>
      </c>
      <c r="AE156">
        <f t="shared" si="29"/>
        <v>6.0000000000000331E-4</v>
      </c>
      <c r="AF156">
        <f t="shared" si="30"/>
        <v>7.0000000000000617E-4</v>
      </c>
      <c r="AG156">
        <f t="shared" si="31"/>
        <v>1.4999999999999944E-3</v>
      </c>
      <c r="AH156">
        <f t="shared" si="32"/>
        <v>1.0000000000000009E-3</v>
      </c>
      <c r="AI156">
        <f t="shared" si="33"/>
        <v>1.9999999999999879E-4</v>
      </c>
      <c r="AJ156">
        <f t="shared" si="34"/>
        <v>6.999999999999923E-4</v>
      </c>
      <c r="AK156">
        <f t="shared" si="35"/>
        <v>1.6000000000000042E-3</v>
      </c>
      <c r="AL156">
        <f t="shared" si="36"/>
        <v>1.9000000000000059E-3</v>
      </c>
      <c r="AM156">
        <f t="shared" si="37"/>
        <v>2.0999999999999977E-3</v>
      </c>
      <c r="AN156">
        <f t="shared" si="38"/>
        <v>1.8999999999999989E-3</v>
      </c>
      <c r="AO156">
        <f t="shared" si="39"/>
        <v>1.3999999999999985E-3</v>
      </c>
      <c r="AP156">
        <f t="shared" si="40"/>
        <v>1.1000000000000038E-3</v>
      </c>
    </row>
    <row r="157" spans="17:42" x14ac:dyDescent="0.25">
      <c r="Q157" s="1">
        <v>44827</v>
      </c>
      <c r="R157">
        <v>2.6699999999999998E-2</v>
      </c>
      <c r="S157">
        <v>3.0699999999999998E-2</v>
      </c>
      <c r="T157">
        <v>3.2400000000000005E-2</v>
      </c>
      <c r="U157">
        <v>3.85E-2</v>
      </c>
      <c r="V157">
        <v>4.1500000000000002E-2</v>
      </c>
      <c r="W157">
        <v>4.2000000000000003E-2</v>
      </c>
      <c r="X157">
        <v>4.2099999999999999E-2</v>
      </c>
      <c r="Y157">
        <v>3.9599999999999996E-2</v>
      </c>
      <c r="Z157">
        <v>3.85E-2</v>
      </c>
      <c r="AA157">
        <v>3.6900000000000002E-2</v>
      </c>
      <c r="AB157">
        <v>3.8699999999999998E-2</v>
      </c>
      <c r="AC157">
        <v>3.61E-2</v>
      </c>
      <c r="AE157">
        <f t="shared" si="29"/>
        <v>-6.0000000000000331E-4</v>
      </c>
      <c r="AF157">
        <f t="shared" si="30"/>
        <v>-1.9999999999999879E-4</v>
      </c>
      <c r="AG157">
        <f t="shared" si="31"/>
        <v>-4.9999999999999351E-4</v>
      </c>
      <c r="AH157">
        <f t="shared" si="32"/>
        <v>-1.9999999999999879E-4</v>
      </c>
      <c r="AI157">
        <f t="shared" si="33"/>
        <v>6.9999999999999923E-4</v>
      </c>
      <c r="AJ157">
        <f t="shared" si="34"/>
        <v>8.9999999999999802E-4</v>
      </c>
      <c r="AK157">
        <f t="shared" si="35"/>
        <v>8.9999999999999802E-4</v>
      </c>
      <c r="AL157">
        <f t="shared" si="36"/>
        <v>4.9999999999999351E-4</v>
      </c>
      <c r="AM157">
        <f t="shared" si="37"/>
        <v>1.0000000000000286E-4</v>
      </c>
      <c r="AN157">
        <f t="shared" si="38"/>
        <v>-1.0000000000000286E-4</v>
      </c>
      <c r="AO157">
        <f t="shared" si="39"/>
        <v>-3.0000000000000165E-4</v>
      </c>
      <c r="AP157">
        <f t="shared" si="40"/>
        <v>-3.9999999999999758E-4</v>
      </c>
    </row>
    <row r="158" spans="17:42" x14ac:dyDescent="0.25">
      <c r="Q158" s="1">
        <v>44826</v>
      </c>
      <c r="R158">
        <v>2.7300000000000001E-2</v>
      </c>
      <c r="S158">
        <v>3.0899999999999997E-2</v>
      </c>
      <c r="T158">
        <v>3.2899999999999999E-2</v>
      </c>
      <c r="U158">
        <v>3.8699999999999998E-2</v>
      </c>
      <c r="V158">
        <v>4.0800000000000003E-2</v>
      </c>
      <c r="W158">
        <v>4.1100000000000005E-2</v>
      </c>
      <c r="X158">
        <v>4.1200000000000001E-2</v>
      </c>
      <c r="Y158">
        <v>3.9100000000000003E-2</v>
      </c>
      <c r="Z158">
        <v>3.8399999999999997E-2</v>
      </c>
      <c r="AA158">
        <v>3.7000000000000005E-2</v>
      </c>
      <c r="AB158">
        <v>3.9E-2</v>
      </c>
      <c r="AC158">
        <v>3.6499999999999998E-2</v>
      </c>
      <c r="AE158">
        <f t="shared" si="29"/>
        <v>1.4000000000000019E-3</v>
      </c>
      <c r="AF158">
        <f t="shared" si="30"/>
        <v>2.9999999999999472E-4</v>
      </c>
      <c r="AG158">
        <f t="shared" si="31"/>
        <v>-1.9999999999999879E-4</v>
      </c>
      <c r="AH158">
        <f t="shared" si="32"/>
        <v>1.0000000000000286E-4</v>
      </c>
      <c r="AI158">
        <f t="shared" si="33"/>
        <v>0</v>
      </c>
      <c r="AJ158">
        <f t="shared" si="34"/>
        <v>9.000000000000119E-4</v>
      </c>
      <c r="AK158">
        <f t="shared" si="35"/>
        <v>1.3999999999999985E-3</v>
      </c>
      <c r="AL158">
        <f t="shared" si="36"/>
        <v>1.7000000000000001E-3</v>
      </c>
      <c r="AM158">
        <f t="shared" si="37"/>
        <v>1.8999999999999989E-3</v>
      </c>
      <c r="AN158">
        <f t="shared" si="38"/>
        <v>1.9000000000000059E-3</v>
      </c>
      <c r="AO158">
        <f t="shared" si="39"/>
        <v>1.7000000000000001E-3</v>
      </c>
      <c r="AP158">
        <f t="shared" si="40"/>
        <v>1.4999999999999944E-3</v>
      </c>
    </row>
    <row r="159" spans="17:42" x14ac:dyDescent="0.25">
      <c r="Q159" s="1">
        <v>44825</v>
      </c>
      <c r="R159">
        <v>2.5899999999999999E-2</v>
      </c>
      <c r="S159">
        <v>3.0600000000000002E-2</v>
      </c>
      <c r="T159">
        <v>3.3099999999999997E-2</v>
      </c>
      <c r="U159">
        <v>3.8599999999999995E-2</v>
      </c>
      <c r="V159">
        <v>4.0800000000000003E-2</v>
      </c>
      <c r="W159">
        <v>4.0199999999999993E-2</v>
      </c>
      <c r="X159">
        <v>3.9800000000000002E-2</v>
      </c>
      <c r="Y159">
        <v>3.7400000000000003E-2</v>
      </c>
      <c r="Z159">
        <v>3.6499999999999998E-2</v>
      </c>
      <c r="AA159">
        <v>3.5099999999999999E-2</v>
      </c>
      <c r="AB159">
        <v>3.73E-2</v>
      </c>
      <c r="AC159">
        <v>3.5000000000000003E-2</v>
      </c>
      <c r="AE159">
        <f t="shared" si="29"/>
        <v>2.0000000000000226E-4</v>
      </c>
      <c r="AF159">
        <f t="shared" si="30"/>
        <v>1.0000000000000286E-4</v>
      </c>
      <c r="AG159">
        <f t="shared" si="31"/>
        <v>-4.0000000000000452E-4</v>
      </c>
      <c r="AH159">
        <f t="shared" si="32"/>
        <v>0</v>
      </c>
      <c r="AI159">
        <f t="shared" si="33"/>
        <v>5.0000000000000044E-4</v>
      </c>
      <c r="AJ159">
        <f t="shared" si="34"/>
        <v>5.9999999999999637E-4</v>
      </c>
      <c r="AK159">
        <f t="shared" si="35"/>
        <v>4.0000000000000452E-4</v>
      </c>
      <c r="AL159">
        <f t="shared" si="36"/>
        <v>-9.9999999999995925E-5</v>
      </c>
      <c r="AM159">
        <f t="shared" si="37"/>
        <v>-4.0000000000000452E-4</v>
      </c>
      <c r="AN159">
        <f t="shared" si="38"/>
        <v>-5.9999999999999637E-4</v>
      </c>
      <c r="AO159">
        <f t="shared" si="39"/>
        <v>-1.0000000000000009E-3</v>
      </c>
      <c r="AP159">
        <f t="shared" si="40"/>
        <v>-8.9999999999999802E-4</v>
      </c>
    </row>
    <row r="160" spans="17:42" x14ac:dyDescent="0.25">
      <c r="Q160" s="1">
        <v>44824</v>
      </c>
      <c r="R160">
        <v>2.5699999999999997E-2</v>
      </c>
      <c r="S160">
        <v>3.0499999999999999E-2</v>
      </c>
      <c r="T160">
        <v>3.3500000000000002E-2</v>
      </c>
      <c r="U160">
        <v>3.8599999999999995E-2</v>
      </c>
      <c r="V160">
        <v>4.0300000000000002E-2</v>
      </c>
      <c r="W160">
        <v>3.9599999999999996E-2</v>
      </c>
      <c r="X160">
        <v>3.9399999999999998E-2</v>
      </c>
      <c r="Y160">
        <v>3.7499999999999999E-2</v>
      </c>
      <c r="Z160">
        <v>3.6900000000000002E-2</v>
      </c>
      <c r="AA160">
        <v>3.5699999999999996E-2</v>
      </c>
      <c r="AB160">
        <v>3.8300000000000001E-2</v>
      </c>
      <c r="AC160">
        <v>3.5900000000000001E-2</v>
      </c>
      <c r="AE160">
        <f t="shared" si="29"/>
        <v>-5.0000000000000391E-4</v>
      </c>
      <c r="AF160">
        <f t="shared" si="30"/>
        <v>2.9999999999999818E-4</v>
      </c>
      <c r="AG160">
        <f t="shared" si="31"/>
        <v>-1.9999999999999879E-4</v>
      </c>
      <c r="AH160">
        <f t="shared" si="32"/>
        <v>-1.0000000000000286E-4</v>
      </c>
      <c r="AI160">
        <f t="shared" si="33"/>
        <v>-1.9999999999999879E-4</v>
      </c>
      <c r="AJ160">
        <f t="shared" si="34"/>
        <v>9.9999999999995925E-5</v>
      </c>
      <c r="AK160">
        <f t="shared" si="35"/>
        <v>3.9999999999999758E-4</v>
      </c>
      <c r="AL160">
        <f t="shared" si="36"/>
        <v>5.9999999999999637E-4</v>
      </c>
      <c r="AM160">
        <f t="shared" si="37"/>
        <v>6.9999999999999923E-4</v>
      </c>
      <c r="AN160">
        <f t="shared" si="38"/>
        <v>7.9999999999999516E-4</v>
      </c>
      <c r="AO160">
        <f t="shared" si="39"/>
        <v>6.0000000000000331E-4</v>
      </c>
      <c r="AP160">
        <f t="shared" si="40"/>
        <v>6.9999999999999923E-4</v>
      </c>
    </row>
    <row r="161" spans="17:42" x14ac:dyDescent="0.25">
      <c r="Q161" s="1">
        <v>44823</v>
      </c>
      <c r="R161">
        <v>2.6200000000000001E-2</v>
      </c>
      <c r="S161">
        <v>3.0200000000000001E-2</v>
      </c>
      <c r="T161">
        <v>3.3700000000000001E-2</v>
      </c>
      <c r="U161">
        <v>3.8699999999999998E-2</v>
      </c>
      <c r="V161">
        <v>4.0500000000000001E-2</v>
      </c>
      <c r="W161">
        <v>3.95E-2</v>
      </c>
      <c r="X161">
        <v>3.9E-2</v>
      </c>
      <c r="Y161">
        <v>3.6900000000000002E-2</v>
      </c>
      <c r="Z161">
        <v>3.6200000000000003E-2</v>
      </c>
      <c r="AA161">
        <v>3.49E-2</v>
      </c>
      <c r="AB161">
        <v>3.7699999999999997E-2</v>
      </c>
      <c r="AC161">
        <v>3.5200000000000002E-2</v>
      </c>
      <c r="AE161">
        <f t="shared" si="29"/>
        <v>-5.9999999999999984E-4</v>
      </c>
      <c r="AF161">
        <f t="shared" si="30"/>
        <v>1.0000000000000286E-4</v>
      </c>
      <c r="AG161">
        <f t="shared" si="31"/>
        <v>1.7000000000000001E-3</v>
      </c>
      <c r="AH161">
        <f t="shared" si="32"/>
        <v>1.0000000000000009E-3</v>
      </c>
      <c r="AI161">
        <f t="shared" si="33"/>
        <v>9.0000000000000496E-4</v>
      </c>
      <c r="AJ161">
        <f t="shared" si="34"/>
        <v>1.0000000000000009E-3</v>
      </c>
      <c r="AK161">
        <f t="shared" si="35"/>
        <v>8.9999999999999802E-4</v>
      </c>
      <c r="AL161">
        <f t="shared" si="36"/>
        <v>6.9999999999999923E-4</v>
      </c>
      <c r="AM161">
        <f t="shared" si="37"/>
        <v>6.0000000000000331E-4</v>
      </c>
      <c r="AN161">
        <f t="shared" si="38"/>
        <v>3.9999999999999758E-4</v>
      </c>
      <c r="AO161">
        <f t="shared" si="39"/>
        <v>-2.0000000000000573E-4</v>
      </c>
      <c r="AP161">
        <f t="shared" si="40"/>
        <v>0</v>
      </c>
    </row>
    <row r="162" spans="17:42" x14ac:dyDescent="0.25">
      <c r="Q162" s="1">
        <v>44820</v>
      </c>
      <c r="R162">
        <v>2.6800000000000001E-2</v>
      </c>
      <c r="S162">
        <v>3.0099999999999998E-2</v>
      </c>
      <c r="T162">
        <v>3.2000000000000001E-2</v>
      </c>
      <c r="U162">
        <v>3.7699999999999997E-2</v>
      </c>
      <c r="V162">
        <v>3.9599999999999996E-2</v>
      </c>
      <c r="W162">
        <v>3.85E-2</v>
      </c>
      <c r="X162">
        <v>3.8100000000000002E-2</v>
      </c>
      <c r="Y162">
        <v>3.6200000000000003E-2</v>
      </c>
      <c r="Z162">
        <v>3.56E-2</v>
      </c>
      <c r="AA162">
        <v>3.4500000000000003E-2</v>
      </c>
      <c r="AB162">
        <v>3.7900000000000003E-2</v>
      </c>
      <c r="AC162">
        <v>3.5200000000000002E-2</v>
      </c>
      <c r="AE162">
        <f t="shared" si="29"/>
        <v>-7.9999999999999863E-4</v>
      </c>
      <c r="AF162">
        <f t="shared" si="30"/>
        <v>-1.9999999999999879E-4</v>
      </c>
      <c r="AG162">
        <f t="shared" si="31"/>
        <v>-1.9999999999999879E-4</v>
      </c>
      <c r="AH162">
        <f t="shared" si="32"/>
        <v>-1.0000000000000286E-4</v>
      </c>
      <c r="AI162">
        <f t="shared" si="33"/>
        <v>-4.0000000000000452E-4</v>
      </c>
      <c r="AJ162">
        <f t="shared" si="34"/>
        <v>-1.9999999999999879E-4</v>
      </c>
      <c r="AK162">
        <f t="shared" si="35"/>
        <v>-3.9999999999999758E-4</v>
      </c>
      <c r="AL162">
        <f t="shared" si="36"/>
        <v>-3.9999999999999758E-4</v>
      </c>
      <c r="AM162">
        <f t="shared" si="37"/>
        <v>-3.0000000000000165E-4</v>
      </c>
      <c r="AN162">
        <f t="shared" si="38"/>
        <v>0</v>
      </c>
      <c r="AO162">
        <f t="shared" si="39"/>
        <v>4.0000000000000452E-4</v>
      </c>
      <c r="AP162">
        <f t="shared" si="40"/>
        <v>4.0000000000000452E-4</v>
      </c>
    </row>
    <row r="163" spans="17:42" x14ac:dyDescent="0.25">
      <c r="Q163" s="1">
        <v>44819</v>
      </c>
      <c r="R163">
        <v>2.76E-2</v>
      </c>
      <c r="S163">
        <v>3.0299999999999997E-2</v>
      </c>
      <c r="T163">
        <v>3.2199999999999999E-2</v>
      </c>
      <c r="U163">
        <v>3.78E-2</v>
      </c>
      <c r="V163">
        <v>0.04</v>
      </c>
      <c r="W163">
        <v>3.8699999999999998E-2</v>
      </c>
      <c r="X163">
        <v>3.85E-2</v>
      </c>
      <c r="Y163">
        <v>3.6600000000000001E-2</v>
      </c>
      <c r="Z163">
        <v>3.5900000000000001E-2</v>
      </c>
      <c r="AA163">
        <v>3.4500000000000003E-2</v>
      </c>
      <c r="AB163">
        <v>3.7499999999999999E-2</v>
      </c>
      <c r="AC163">
        <v>3.4799999999999998E-2</v>
      </c>
      <c r="AE163">
        <f t="shared" si="29"/>
        <v>2.2000000000000006E-3</v>
      </c>
      <c r="AF163">
        <f t="shared" si="30"/>
        <v>7.9999999999999516E-4</v>
      </c>
      <c r="AG163">
        <f t="shared" si="31"/>
        <v>-2.0000000000000573E-4</v>
      </c>
      <c r="AH163">
        <f t="shared" si="32"/>
        <v>2.0000000000000573E-4</v>
      </c>
      <c r="AI163">
        <f t="shared" si="33"/>
        <v>5.0000000000000044E-4</v>
      </c>
      <c r="AJ163">
        <f t="shared" si="34"/>
        <v>8.9999999999999802E-4</v>
      </c>
      <c r="AK163">
        <f t="shared" si="35"/>
        <v>5.9999999999999637E-4</v>
      </c>
      <c r="AL163">
        <f t="shared" si="36"/>
        <v>5.9999999999999637E-4</v>
      </c>
      <c r="AM163">
        <f t="shared" si="37"/>
        <v>6.9999999999999923E-4</v>
      </c>
      <c r="AN163">
        <f t="shared" si="38"/>
        <v>4.0000000000000452E-4</v>
      </c>
      <c r="AO163">
        <f t="shared" si="39"/>
        <v>1.9999999999999879E-4</v>
      </c>
      <c r="AP163">
        <f t="shared" si="40"/>
        <v>9.9999999999995925E-5</v>
      </c>
    </row>
    <row r="164" spans="17:42" x14ac:dyDescent="0.25">
      <c r="Q164" s="1">
        <v>44818</v>
      </c>
      <c r="R164">
        <v>2.5399999999999999E-2</v>
      </c>
      <c r="S164">
        <v>2.9500000000000002E-2</v>
      </c>
      <c r="T164">
        <v>3.2400000000000005E-2</v>
      </c>
      <c r="U164">
        <v>3.7599999999999995E-2</v>
      </c>
      <c r="V164">
        <v>3.95E-2</v>
      </c>
      <c r="W164">
        <v>3.78E-2</v>
      </c>
      <c r="X164">
        <v>3.7900000000000003E-2</v>
      </c>
      <c r="Y164">
        <v>3.6000000000000004E-2</v>
      </c>
      <c r="Z164">
        <v>3.5200000000000002E-2</v>
      </c>
      <c r="AA164">
        <v>3.4099999999999998E-2</v>
      </c>
      <c r="AB164">
        <v>3.73E-2</v>
      </c>
      <c r="AC164">
        <v>3.4700000000000002E-2</v>
      </c>
      <c r="AE164">
        <f t="shared" si="29"/>
        <v>-9.9999999999999395E-5</v>
      </c>
      <c r="AF164">
        <f t="shared" si="30"/>
        <v>0</v>
      </c>
      <c r="AG164">
        <f t="shared" si="31"/>
        <v>-3.9999999999999064E-4</v>
      </c>
      <c r="AH164">
        <f t="shared" si="32"/>
        <v>9.9999999999995925E-5</v>
      </c>
      <c r="AI164">
        <f t="shared" si="33"/>
        <v>3.0000000000000165E-4</v>
      </c>
      <c r="AJ164">
        <f t="shared" si="34"/>
        <v>3.0000000000000165E-4</v>
      </c>
      <c r="AK164">
        <f t="shared" si="35"/>
        <v>4.0000000000000452E-4</v>
      </c>
      <c r="AL164">
        <f t="shared" si="36"/>
        <v>2.0000000000000573E-4</v>
      </c>
      <c r="AM164">
        <f t="shared" si="37"/>
        <v>-9.9999999999995925E-5</v>
      </c>
      <c r="AN164">
        <f t="shared" si="38"/>
        <v>-1.0000000000000286E-4</v>
      </c>
      <c r="AO164">
        <f t="shared" si="39"/>
        <v>-1.9999999999999879E-4</v>
      </c>
      <c r="AP164">
        <f t="shared" si="40"/>
        <v>-3.9999999999999758E-4</v>
      </c>
    </row>
    <row r="165" spans="17:42" x14ac:dyDescent="0.25">
      <c r="Q165" s="1">
        <v>44817</v>
      </c>
      <c r="R165">
        <v>2.5499999999999998E-2</v>
      </c>
      <c r="S165">
        <v>2.9500000000000002E-2</v>
      </c>
      <c r="T165">
        <v>3.2799999999999996E-2</v>
      </c>
      <c r="U165">
        <v>3.7499999999999999E-2</v>
      </c>
      <c r="V165">
        <v>3.9199999999999999E-2</v>
      </c>
      <c r="W165">
        <v>3.7499999999999999E-2</v>
      </c>
      <c r="X165">
        <v>3.7499999999999999E-2</v>
      </c>
      <c r="Y165">
        <v>3.5799999999999998E-2</v>
      </c>
      <c r="Z165">
        <v>3.5299999999999998E-2</v>
      </c>
      <c r="AA165">
        <v>3.4200000000000001E-2</v>
      </c>
      <c r="AB165">
        <v>3.7499999999999999E-2</v>
      </c>
      <c r="AC165">
        <v>3.5099999999999999E-2</v>
      </c>
      <c r="AE165">
        <f t="shared" si="29"/>
        <v>-7.000000000000027E-4</v>
      </c>
      <c r="AF165">
        <f t="shared" si="30"/>
        <v>1.9999999999999879E-4</v>
      </c>
      <c r="AG165">
        <f t="shared" si="31"/>
        <v>1.0999999999999968E-3</v>
      </c>
      <c r="AH165">
        <f t="shared" si="32"/>
        <v>1.8999999999999989E-3</v>
      </c>
      <c r="AI165">
        <f t="shared" si="33"/>
        <v>2.1999999999999936E-3</v>
      </c>
      <c r="AJ165">
        <f t="shared" si="34"/>
        <v>1.7000000000000001E-3</v>
      </c>
      <c r="AK165">
        <f t="shared" si="35"/>
        <v>1.4999999999999944E-3</v>
      </c>
      <c r="AL165">
        <f t="shared" si="36"/>
        <v>1.0999999999999968E-3</v>
      </c>
      <c r="AM165">
        <f t="shared" si="37"/>
        <v>7.9999999999999516E-4</v>
      </c>
      <c r="AN165">
        <f t="shared" si="38"/>
        <v>5.0000000000000044E-4</v>
      </c>
      <c r="AO165">
        <f t="shared" si="39"/>
        <v>-9.9999999999995925E-5</v>
      </c>
      <c r="AP165">
        <f t="shared" si="40"/>
        <v>-1.9999999999999879E-4</v>
      </c>
    </row>
    <row r="166" spans="17:42" x14ac:dyDescent="0.25">
      <c r="Q166" s="1">
        <v>44816</v>
      </c>
      <c r="R166">
        <v>2.6200000000000001E-2</v>
      </c>
      <c r="S166">
        <v>2.9300000000000003E-2</v>
      </c>
      <c r="T166">
        <v>3.1699999999999999E-2</v>
      </c>
      <c r="U166">
        <v>3.56E-2</v>
      </c>
      <c r="V166">
        <v>3.7000000000000005E-2</v>
      </c>
      <c r="W166">
        <v>3.5799999999999998E-2</v>
      </c>
      <c r="X166">
        <v>3.6000000000000004E-2</v>
      </c>
      <c r="Y166">
        <v>3.4700000000000002E-2</v>
      </c>
      <c r="Z166">
        <v>3.4500000000000003E-2</v>
      </c>
      <c r="AA166">
        <v>3.3700000000000001E-2</v>
      </c>
      <c r="AB166">
        <v>3.7599999999999995E-2</v>
      </c>
      <c r="AC166">
        <v>3.5299999999999998E-2</v>
      </c>
      <c r="AE166">
        <f t="shared" si="29"/>
        <v>5.0000000000000391E-4</v>
      </c>
      <c r="AF166">
        <f t="shared" si="30"/>
        <v>5.0000000000000391E-4</v>
      </c>
      <c r="AG166">
        <f t="shared" si="31"/>
        <v>8.9999999999999802E-4</v>
      </c>
      <c r="AH166">
        <f t="shared" si="32"/>
        <v>3.9999999999999758E-4</v>
      </c>
      <c r="AI166">
        <f t="shared" si="33"/>
        <v>3.0000000000000859E-4</v>
      </c>
      <c r="AJ166">
        <f t="shared" si="34"/>
        <v>1.9999999999999879E-4</v>
      </c>
      <c r="AK166">
        <f t="shared" si="35"/>
        <v>-9.9999999999995925E-5</v>
      </c>
      <c r="AL166">
        <f t="shared" si="36"/>
        <v>1.9999999999999879E-4</v>
      </c>
      <c r="AM166">
        <f t="shared" si="37"/>
        <v>3.0000000000000165E-4</v>
      </c>
      <c r="AN166">
        <f t="shared" si="38"/>
        <v>3.9999999999999758E-4</v>
      </c>
      <c r="AO166">
        <f t="shared" si="39"/>
        <v>4.9999999999999351E-4</v>
      </c>
      <c r="AP166">
        <f t="shared" si="40"/>
        <v>5.9999999999999637E-4</v>
      </c>
    </row>
    <row r="167" spans="17:42" x14ac:dyDescent="0.25">
      <c r="Q167" s="1">
        <v>44813</v>
      </c>
      <c r="R167">
        <v>2.5699999999999997E-2</v>
      </c>
      <c r="S167">
        <v>2.8799999999999999E-2</v>
      </c>
      <c r="T167">
        <v>3.0800000000000001E-2</v>
      </c>
      <c r="U167">
        <v>3.5200000000000002E-2</v>
      </c>
      <c r="V167">
        <v>3.6699999999999997E-2</v>
      </c>
      <c r="W167">
        <v>3.56E-2</v>
      </c>
      <c r="X167">
        <v>3.61E-2</v>
      </c>
      <c r="Y167">
        <v>3.4500000000000003E-2</v>
      </c>
      <c r="Z167">
        <v>3.4200000000000001E-2</v>
      </c>
      <c r="AA167">
        <v>3.3300000000000003E-2</v>
      </c>
      <c r="AB167">
        <v>3.7100000000000001E-2</v>
      </c>
      <c r="AC167">
        <v>3.4700000000000002E-2</v>
      </c>
      <c r="AE167">
        <f t="shared" si="29"/>
        <v>0</v>
      </c>
      <c r="AF167">
        <f t="shared" si="30"/>
        <v>1.9999999999999879E-4</v>
      </c>
      <c r="AG167">
        <f t="shared" si="31"/>
        <v>1.9999999999999879E-4</v>
      </c>
      <c r="AH167">
        <f t="shared" si="32"/>
        <v>8.000000000000021E-4</v>
      </c>
      <c r="AI167">
        <f t="shared" si="33"/>
        <v>6.999999999999923E-4</v>
      </c>
      <c r="AJ167">
        <f t="shared" si="34"/>
        <v>8.000000000000021E-4</v>
      </c>
      <c r="AK167">
        <f t="shared" si="35"/>
        <v>6.9999999999999923E-4</v>
      </c>
      <c r="AL167">
        <f t="shared" si="36"/>
        <v>6.0000000000000331E-4</v>
      </c>
      <c r="AM167">
        <f t="shared" si="37"/>
        <v>5.0000000000000044E-4</v>
      </c>
      <c r="AN167">
        <f t="shared" si="38"/>
        <v>4.0000000000000452E-4</v>
      </c>
      <c r="AO167">
        <f t="shared" si="39"/>
        <v>1.9999999999999879E-4</v>
      </c>
      <c r="AP167">
        <f t="shared" si="40"/>
        <v>1.9999999999999879E-4</v>
      </c>
    </row>
    <row r="168" spans="17:42" x14ac:dyDescent="0.25">
      <c r="Q168" s="1">
        <v>44812</v>
      </c>
      <c r="R168">
        <v>2.5699999999999997E-2</v>
      </c>
      <c r="S168">
        <v>2.86E-2</v>
      </c>
      <c r="T168">
        <v>3.0600000000000002E-2</v>
      </c>
      <c r="U168">
        <v>3.44E-2</v>
      </c>
      <c r="V168">
        <v>3.6000000000000004E-2</v>
      </c>
      <c r="W168">
        <v>3.4799999999999998E-2</v>
      </c>
      <c r="X168">
        <v>3.5400000000000001E-2</v>
      </c>
      <c r="Y168">
        <v>3.39E-2</v>
      </c>
      <c r="Z168">
        <v>3.3700000000000001E-2</v>
      </c>
      <c r="AA168">
        <v>3.2899999999999999E-2</v>
      </c>
      <c r="AB168">
        <v>3.6900000000000002E-2</v>
      </c>
      <c r="AC168">
        <v>3.4500000000000003E-2</v>
      </c>
      <c r="AE168">
        <f t="shared" si="29"/>
        <v>2.6999999999999975E-3</v>
      </c>
      <c r="AF168">
        <f t="shared" si="30"/>
        <v>6.0000000000000331E-4</v>
      </c>
      <c r="AG168">
        <f t="shared" si="31"/>
        <v>-9.9999999999995925E-5</v>
      </c>
      <c r="AH168">
        <f t="shared" si="32"/>
        <v>1.9999999999999879E-4</v>
      </c>
      <c r="AI168">
        <f t="shared" si="33"/>
        <v>0</v>
      </c>
      <c r="AJ168">
        <f t="shared" si="34"/>
        <v>2.9999999999999472E-4</v>
      </c>
      <c r="AK168">
        <f t="shared" si="35"/>
        <v>3.9999999999999758E-4</v>
      </c>
      <c r="AL168">
        <f t="shared" si="36"/>
        <v>1.9999999999999879E-4</v>
      </c>
      <c r="AM168">
        <f t="shared" si="37"/>
        <v>1.9999999999999879E-4</v>
      </c>
      <c r="AN168">
        <f t="shared" si="38"/>
        <v>1.9999999999999879E-4</v>
      </c>
      <c r="AO168">
        <f t="shared" si="39"/>
        <v>2.0000000000000573E-4</v>
      </c>
      <c r="AP168">
        <f t="shared" si="40"/>
        <v>3.0000000000000165E-4</v>
      </c>
    </row>
    <row r="169" spans="17:42" x14ac:dyDescent="0.25">
      <c r="Q169" s="1">
        <v>44811</v>
      </c>
      <c r="R169">
        <v>2.3E-2</v>
      </c>
      <c r="S169">
        <v>2.7999999999999997E-2</v>
      </c>
      <c r="T169">
        <v>3.0699999999999998E-2</v>
      </c>
      <c r="U169">
        <v>3.4200000000000001E-2</v>
      </c>
      <c r="V169">
        <v>3.6000000000000004E-2</v>
      </c>
      <c r="W169">
        <v>3.4500000000000003E-2</v>
      </c>
      <c r="X169">
        <v>3.5000000000000003E-2</v>
      </c>
      <c r="Y169">
        <v>3.3700000000000001E-2</v>
      </c>
      <c r="Z169">
        <v>3.3500000000000002E-2</v>
      </c>
      <c r="AA169">
        <v>3.27E-2</v>
      </c>
      <c r="AB169">
        <v>3.6699999999999997E-2</v>
      </c>
      <c r="AC169">
        <v>3.4200000000000001E-2</v>
      </c>
      <c r="AE169">
        <f t="shared" si="29"/>
        <v>-1.3999999999999985E-3</v>
      </c>
      <c r="AF169">
        <f t="shared" si="30"/>
        <v>-2.0000000000000226E-4</v>
      </c>
      <c r="AG169">
        <f t="shared" si="31"/>
        <v>2.9999999999999818E-4</v>
      </c>
      <c r="AH169">
        <f t="shared" si="32"/>
        <v>1.9999999999999879E-4</v>
      </c>
      <c r="AI169">
        <f t="shared" si="33"/>
        <v>-9.9999999999995925E-5</v>
      </c>
      <c r="AJ169">
        <f t="shared" si="34"/>
        <v>-5.0000000000000044E-4</v>
      </c>
      <c r="AK169">
        <f t="shared" si="35"/>
        <v>-4.9999999999999351E-4</v>
      </c>
      <c r="AL169">
        <f t="shared" si="36"/>
        <v>-6.0000000000000331E-4</v>
      </c>
      <c r="AM169">
        <f t="shared" si="37"/>
        <v>-5.9999999999999637E-4</v>
      </c>
      <c r="AN169">
        <f t="shared" si="38"/>
        <v>-6.0000000000000331E-4</v>
      </c>
      <c r="AO169">
        <f t="shared" si="39"/>
        <v>-7.0000000000000617E-4</v>
      </c>
      <c r="AP169">
        <f t="shared" si="40"/>
        <v>-6.9999999999999923E-4</v>
      </c>
    </row>
    <row r="170" spans="17:42" x14ac:dyDescent="0.25">
      <c r="Q170" s="1">
        <v>44810</v>
      </c>
      <c r="R170">
        <v>2.4399999999999998E-2</v>
      </c>
      <c r="S170">
        <v>2.8199999999999999E-2</v>
      </c>
      <c r="T170">
        <v>3.04E-2</v>
      </c>
      <c r="U170">
        <v>3.4000000000000002E-2</v>
      </c>
      <c r="V170">
        <v>3.61E-2</v>
      </c>
      <c r="W170">
        <v>3.5000000000000003E-2</v>
      </c>
      <c r="X170">
        <v>3.5499999999999997E-2</v>
      </c>
      <c r="Y170">
        <v>3.4300000000000004E-2</v>
      </c>
      <c r="Z170">
        <v>3.4099999999999998E-2</v>
      </c>
      <c r="AA170">
        <v>3.3300000000000003E-2</v>
      </c>
      <c r="AB170">
        <v>3.7400000000000003E-2</v>
      </c>
      <c r="AC170">
        <v>3.49E-2</v>
      </c>
      <c r="AE170">
        <f t="shared" si="29"/>
        <v>-5.0000000000000391E-4</v>
      </c>
      <c r="AF170">
        <f t="shared" si="30"/>
        <v>2.9999999999999818E-4</v>
      </c>
      <c r="AG170">
        <f t="shared" si="31"/>
        <v>1.0000000000000009E-3</v>
      </c>
      <c r="AH170">
        <f t="shared" si="32"/>
        <v>6.9999999999999923E-4</v>
      </c>
      <c r="AI170">
        <f t="shared" si="33"/>
        <v>1.3999999999999985E-3</v>
      </c>
      <c r="AJ170">
        <f t="shared" si="34"/>
        <v>1.0000000000000009E-3</v>
      </c>
      <c r="AK170">
        <f t="shared" si="35"/>
        <v>1.0999999999999968E-3</v>
      </c>
      <c r="AL170">
        <f t="shared" si="36"/>
        <v>1.3000000000000025E-3</v>
      </c>
      <c r="AM170">
        <f t="shared" si="37"/>
        <v>1.1999999999999997E-3</v>
      </c>
      <c r="AN170">
        <f t="shared" si="38"/>
        <v>1.3000000000000025E-3</v>
      </c>
      <c r="AO170">
        <f t="shared" si="39"/>
        <v>1.3000000000000025E-3</v>
      </c>
      <c r="AP170">
        <f t="shared" si="40"/>
        <v>1.3999999999999985E-3</v>
      </c>
    </row>
    <row r="171" spans="17:42" x14ac:dyDescent="0.25">
      <c r="Q171" s="1">
        <v>44806</v>
      </c>
      <c r="R171">
        <v>2.4900000000000002E-2</v>
      </c>
      <c r="S171">
        <v>2.7900000000000001E-2</v>
      </c>
      <c r="T171">
        <v>2.9399999999999999E-2</v>
      </c>
      <c r="U171">
        <v>3.3300000000000003E-2</v>
      </c>
      <c r="V171">
        <v>3.4700000000000002E-2</v>
      </c>
      <c r="W171">
        <v>3.4000000000000002E-2</v>
      </c>
      <c r="X171">
        <v>3.44E-2</v>
      </c>
      <c r="Y171">
        <v>3.3000000000000002E-2</v>
      </c>
      <c r="Z171">
        <v>3.2899999999999999E-2</v>
      </c>
      <c r="AA171">
        <v>3.2000000000000001E-2</v>
      </c>
      <c r="AB171">
        <v>3.61E-2</v>
      </c>
      <c r="AC171">
        <v>3.3500000000000002E-2</v>
      </c>
      <c r="AE171">
        <f t="shared" si="29"/>
        <v>-3.9999999999999758E-4</v>
      </c>
      <c r="AF171">
        <f t="shared" si="30"/>
        <v>-9.9999999999995925E-5</v>
      </c>
      <c r="AG171">
        <f t="shared" si="31"/>
        <v>-3.0000000000000165E-4</v>
      </c>
      <c r="AH171">
        <f t="shared" si="32"/>
        <v>-9.9999999999995925E-5</v>
      </c>
      <c r="AI171">
        <f t="shared" si="33"/>
        <v>-3.9999999999999758E-4</v>
      </c>
      <c r="AJ171">
        <f t="shared" si="34"/>
        <v>-1.0999999999999968E-3</v>
      </c>
      <c r="AK171">
        <f t="shared" si="35"/>
        <v>-1.0000000000000009E-3</v>
      </c>
      <c r="AL171">
        <f t="shared" si="36"/>
        <v>-8.9999999999999802E-4</v>
      </c>
      <c r="AM171">
        <f t="shared" si="37"/>
        <v>-6.9999999999999923E-4</v>
      </c>
      <c r="AN171">
        <f t="shared" si="38"/>
        <v>-5.9999999999999637E-4</v>
      </c>
      <c r="AO171">
        <f t="shared" si="39"/>
        <v>-3.0000000000000165E-4</v>
      </c>
      <c r="AP171">
        <f t="shared" si="40"/>
        <v>-1.9999999999999879E-4</v>
      </c>
    </row>
    <row r="172" spans="17:42" x14ac:dyDescent="0.25">
      <c r="Q172" s="1">
        <v>44805</v>
      </c>
      <c r="R172">
        <v>2.53E-2</v>
      </c>
      <c r="S172">
        <v>2.7999999999999997E-2</v>
      </c>
      <c r="T172">
        <v>2.9700000000000001E-2</v>
      </c>
      <c r="U172">
        <v>3.3399999999999999E-2</v>
      </c>
      <c r="V172">
        <v>3.5099999999999999E-2</v>
      </c>
      <c r="W172">
        <v>3.5099999999999999E-2</v>
      </c>
      <c r="X172">
        <v>3.5400000000000001E-2</v>
      </c>
      <c r="Y172">
        <v>3.39E-2</v>
      </c>
      <c r="Z172">
        <v>3.3599999999999998E-2</v>
      </c>
      <c r="AA172">
        <v>3.2599999999999997E-2</v>
      </c>
      <c r="AB172">
        <v>3.6400000000000002E-2</v>
      </c>
      <c r="AC172">
        <v>3.3700000000000001E-2</v>
      </c>
      <c r="AE172">
        <f t="shared" si="29"/>
        <v>1.2999999999999991E-3</v>
      </c>
      <c r="AF172">
        <f t="shared" si="30"/>
        <v>7.9999999999999516E-4</v>
      </c>
      <c r="AG172">
        <f t="shared" si="31"/>
        <v>9.9999999999999395E-5</v>
      </c>
      <c r="AH172">
        <f t="shared" si="32"/>
        <v>1.9999999999999879E-4</v>
      </c>
      <c r="AI172">
        <f t="shared" si="33"/>
        <v>9.9999999999995925E-5</v>
      </c>
      <c r="AJ172">
        <f t="shared" si="34"/>
        <v>5.9999999999999637E-4</v>
      </c>
      <c r="AK172">
        <f t="shared" si="35"/>
        <v>8.000000000000021E-4</v>
      </c>
      <c r="AL172">
        <f t="shared" si="36"/>
        <v>8.9999999999999802E-4</v>
      </c>
      <c r="AM172">
        <f t="shared" si="37"/>
        <v>1.0999999999999968E-3</v>
      </c>
      <c r="AN172">
        <f t="shared" si="38"/>
        <v>1.0999999999999968E-3</v>
      </c>
      <c r="AO172">
        <f t="shared" si="39"/>
        <v>1.1000000000000038E-3</v>
      </c>
      <c r="AP172">
        <f t="shared" si="40"/>
        <v>1.0000000000000009E-3</v>
      </c>
    </row>
    <row r="173" spans="17:42" x14ac:dyDescent="0.25">
      <c r="Q173" s="1">
        <v>44804</v>
      </c>
      <c r="R173">
        <v>2.4E-2</v>
      </c>
      <c r="S173">
        <v>2.7200000000000002E-2</v>
      </c>
      <c r="T173">
        <v>2.9600000000000001E-2</v>
      </c>
      <c r="U173">
        <v>3.32E-2</v>
      </c>
      <c r="V173">
        <v>3.5000000000000003E-2</v>
      </c>
      <c r="W173">
        <v>3.4500000000000003E-2</v>
      </c>
      <c r="X173">
        <v>3.4599999999999999E-2</v>
      </c>
      <c r="Y173">
        <v>3.3000000000000002E-2</v>
      </c>
      <c r="Z173">
        <v>3.2500000000000001E-2</v>
      </c>
      <c r="AA173">
        <v>3.15E-2</v>
      </c>
      <c r="AB173">
        <v>3.5299999999999998E-2</v>
      </c>
      <c r="AC173">
        <v>3.27E-2</v>
      </c>
      <c r="AE173">
        <f t="shared" si="29"/>
        <v>-3.0000000000000165E-4</v>
      </c>
      <c r="AF173">
        <f t="shared" si="30"/>
        <v>-9.9999999999999395E-5</v>
      </c>
      <c r="AG173">
        <f t="shared" si="31"/>
        <v>-9.9999999999999395E-5</v>
      </c>
      <c r="AH173">
        <f t="shared" si="32"/>
        <v>1.0000000000000286E-4</v>
      </c>
      <c r="AI173">
        <f t="shared" si="33"/>
        <v>2.0000000000000573E-4</v>
      </c>
      <c r="AJ173">
        <f t="shared" si="34"/>
        <v>-9.9999999999995925E-5</v>
      </c>
      <c r="AK173">
        <f t="shared" si="35"/>
        <v>-1.0000000000000286E-4</v>
      </c>
      <c r="AL173">
        <f t="shared" si="36"/>
        <v>3.0000000000000165E-4</v>
      </c>
      <c r="AM173">
        <f t="shared" si="37"/>
        <v>3.0000000000000165E-4</v>
      </c>
      <c r="AN173">
        <f t="shared" si="38"/>
        <v>4.0000000000000105E-4</v>
      </c>
      <c r="AO173">
        <f t="shared" si="39"/>
        <v>3.9999999999999758E-4</v>
      </c>
      <c r="AP173">
        <f t="shared" si="40"/>
        <v>3.9999999999999758E-4</v>
      </c>
    </row>
    <row r="174" spans="17:42" x14ac:dyDescent="0.25">
      <c r="Q174" s="1">
        <v>44803</v>
      </c>
      <c r="R174">
        <v>2.4300000000000002E-2</v>
      </c>
      <c r="S174">
        <v>2.7300000000000001E-2</v>
      </c>
      <c r="T174">
        <v>2.9700000000000001E-2</v>
      </c>
      <c r="U174">
        <v>3.3099999999999997E-2</v>
      </c>
      <c r="V174">
        <v>3.4799999999999998E-2</v>
      </c>
      <c r="W174">
        <v>3.4599999999999999E-2</v>
      </c>
      <c r="X174">
        <v>3.4700000000000002E-2</v>
      </c>
      <c r="Y174">
        <v>3.27E-2</v>
      </c>
      <c r="Z174">
        <v>3.2199999999999999E-2</v>
      </c>
      <c r="AA174">
        <v>3.1099999999999999E-2</v>
      </c>
      <c r="AB174">
        <v>3.49E-2</v>
      </c>
      <c r="AC174">
        <v>3.2300000000000002E-2</v>
      </c>
      <c r="AE174">
        <f t="shared" si="29"/>
        <v>-1.9999999999999879E-4</v>
      </c>
      <c r="AF174">
        <f t="shared" si="30"/>
        <v>-1.9999999999999879E-4</v>
      </c>
      <c r="AG174">
        <f t="shared" si="31"/>
        <v>0</v>
      </c>
      <c r="AH174">
        <f t="shared" si="32"/>
        <v>-1.0000000000000286E-4</v>
      </c>
      <c r="AI174">
        <f t="shared" si="33"/>
        <v>4.9999999999999351E-4</v>
      </c>
      <c r="AJ174">
        <f t="shared" si="34"/>
        <v>3.9999999999999758E-4</v>
      </c>
      <c r="AK174">
        <f t="shared" si="35"/>
        <v>1.9999999999999879E-4</v>
      </c>
      <c r="AL174">
        <f t="shared" si="36"/>
        <v>0</v>
      </c>
      <c r="AM174">
        <f t="shared" si="37"/>
        <v>1.0000000000000286E-4</v>
      </c>
      <c r="AN174">
        <f t="shared" si="38"/>
        <v>-1.0000000000000286E-4</v>
      </c>
      <c r="AO174">
        <f t="shared" si="39"/>
        <v>-1.0000000000000286E-4</v>
      </c>
      <c r="AP174">
        <f t="shared" si="40"/>
        <v>-1.9999999999999879E-4</v>
      </c>
    </row>
    <row r="175" spans="17:42" x14ac:dyDescent="0.25">
      <c r="Q175" s="1">
        <v>44802</v>
      </c>
      <c r="R175">
        <v>2.4500000000000001E-2</v>
      </c>
      <c r="S175">
        <v>2.75E-2</v>
      </c>
      <c r="T175">
        <v>2.9700000000000001E-2</v>
      </c>
      <c r="U175">
        <v>3.32E-2</v>
      </c>
      <c r="V175">
        <v>3.4300000000000004E-2</v>
      </c>
      <c r="W175">
        <v>3.4200000000000001E-2</v>
      </c>
      <c r="X175">
        <v>3.4500000000000003E-2</v>
      </c>
      <c r="Y175">
        <v>3.27E-2</v>
      </c>
      <c r="Z175">
        <v>3.2099999999999997E-2</v>
      </c>
      <c r="AA175">
        <v>3.1200000000000002E-2</v>
      </c>
      <c r="AB175">
        <v>3.5000000000000003E-2</v>
      </c>
      <c r="AC175">
        <v>3.2500000000000001E-2</v>
      </c>
      <c r="AE175">
        <f t="shared" si="29"/>
        <v>5.9999999999999984E-4</v>
      </c>
      <c r="AF175">
        <f t="shared" si="30"/>
        <v>5.9999999999999984E-4</v>
      </c>
      <c r="AG175">
        <f t="shared" si="31"/>
        <v>7.9999999999999863E-4</v>
      </c>
      <c r="AH175">
        <f t="shared" si="32"/>
        <v>6.0000000000000331E-4</v>
      </c>
      <c r="AI175">
        <f t="shared" si="33"/>
        <v>7.0000000000000617E-4</v>
      </c>
      <c r="AJ175">
        <f t="shared" si="34"/>
        <v>5.0000000000000044E-4</v>
      </c>
      <c r="AK175">
        <f t="shared" si="35"/>
        <v>5.0000000000000044E-4</v>
      </c>
      <c r="AL175">
        <f t="shared" si="36"/>
        <v>6.9999999999999923E-4</v>
      </c>
      <c r="AM175">
        <f t="shared" si="37"/>
        <v>6.999999999999923E-4</v>
      </c>
      <c r="AN175">
        <f t="shared" si="38"/>
        <v>8.000000000000021E-4</v>
      </c>
      <c r="AO175">
        <f t="shared" si="39"/>
        <v>6.0000000000000331E-4</v>
      </c>
      <c r="AP175">
        <f t="shared" si="40"/>
        <v>4.0000000000000452E-4</v>
      </c>
    </row>
    <row r="176" spans="17:42" x14ac:dyDescent="0.25">
      <c r="Q176" s="1">
        <v>44799</v>
      </c>
      <c r="R176">
        <v>2.3900000000000001E-2</v>
      </c>
      <c r="S176">
        <v>2.69E-2</v>
      </c>
      <c r="T176">
        <v>2.8900000000000002E-2</v>
      </c>
      <c r="U176">
        <v>3.2599999999999997E-2</v>
      </c>
      <c r="V176">
        <v>3.3599999999999998E-2</v>
      </c>
      <c r="W176">
        <v>3.3700000000000001E-2</v>
      </c>
      <c r="X176">
        <v>3.4000000000000002E-2</v>
      </c>
      <c r="Y176">
        <v>3.2000000000000001E-2</v>
      </c>
      <c r="Z176">
        <v>3.1400000000000004E-2</v>
      </c>
      <c r="AA176">
        <v>3.04E-2</v>
      </c>
      <c r="AB176">
        <v>3.44E-2</v>
      </c>
      <c r="AC176">
        <v>3.2099999999999997E-2</v>
      </c>
      <c r="AE176">
        <f t="shared" si="29"/>
        <v>-2.9999999999999818E-4</v>
      </c>
      <c r="AF176">
        <f t="shared" si="30"/>
        <v>-1.0000000000000286E-4</v>
      </c>
      <c r="AG176">
        <f t="shared" si="31"/>
        <v>1.0000000000000286E-4</v>
      </c>
      <c r="AH176">
        <f t="shared" si="32"/>
        <v>9.9999999999995925E-5</v>
      </c>
      <c r="AI176">
        <f t="shared" si="33"/>
        <v>2.9999999999999472E-4</v>
      </c>
      <c r="AJ176">
        <f t="shared" si="34"/>
        <v>1.9999999999999879E-4</v>
      </c>
      <c r="AK176">
        <f t="shared" si="35"/>
        <v>3.0000000000000165E-4</v>
      </c>
      <c r="AL176">
        <f t="shared" si="36"/>
        <v>5.0000000000000044E-4</v>
      </c>
      <c r="AM176">
        <f t="shared" si="37"/>
        <v>3.0000000000000512E-4</v>
      </c>
      <c r="AN176">
        <f t="shared" si="38"/>
        <v>1.0000000000000286E-4</v>
      </c>
      <c r="AO176">
        <f t="shared" si="39"/>
        <v>-3.0000000000000165E-4</v>
      </c>
      <c r="AP176">
        <f t="shared" si="40"/>
        <v>-4.0000000000000452E-4</v>
      </c>
    </row>
    <row r="177" spans="17:42" x14ac:dyDescent="0.25">
      <c r="Q177" s="1">
        <v>44798</v>
      </c>
      <c r="R177">
        <v>2.4199999999999999E-2</v>
      </c>
      <c r="S177">
        <v>2.7000000000000003E-2</v>
      </c>
      <c r="T177">
        <v>2.8799999999999999E-2</v>
      </c>
      <c r="U177">
        <v>3.2500000000000001E-2</v>
      </c>
      <c r="V177">
        <v>3.3300000000000003E-2</v>
      </c>
      <c r="W177">
        <v>3.3500000000000002E-2</v>
      </c>
      <c r="X177">
        <v>3.3700000000000001E-2</v>
      </c>
      <c r="Y177">
        <v>3.15E-2</v>
      </c>
      <c r="Z177">
        <v>3.1099999999999999E-2</v>
      </c>
      <c r="AA177">
        <v>3.0299999999999997E-2</v>
      </c>
      <c r="AB177">
        <v>3.4700000000000002E-2</v>
      </c>
      <c r="AC177">
        <v>3.2500000000000001E-2</v>
      </c>
      <c r="AE177">
        <f t="shared" si="29"/>
        <v>1.2999999999999991E-3</v>
      </c>
      <c r="AF177">
        <f t="shared" si="30"/>
        <v>8.000000000000021E-4</v>
      </c>
      <c r="AG177">
        <f t="shared" si="31"/>
        <v>5.9999999999999984E-4</v>
      </c>
      <c r="AH177">
        <f t="shared" si="32"/>
        <v>-2.9999999999999472E-4</v>
      </c>
      <c r="AI177">
        <f t="shared" si="33"/>
        <v>-1.9999999999999879E-4</v>
      </c>
      <c r="AJ177">
        <f t="shared" si="34"/>
        <v>-9.9999999999995925E-5</v>
      </c>
      <c r="AK177">
        <f t="shared" si="35"/>
        <v>-3.0000000000000165E-4</v>
      </c>
      <c r="AL177">
        <f t="shared" si="36"/>
        <v>-5.0000000000000044E-4</v>
      </c>
      <c r="AM177">
        <f t="shared" si="37"/>
        <v>-9.0000000000000149E-4</v>
      </c>
      <c r="AN177">
        <f t="shared" si="38"/>
        <v>-8.000000000000021E-4</v>
      </c>
      <c r="AO177">
        <f t="shared" si="39"/>
        <v>-7.9999999999999516E-4</v>
      </c>
      <c r="AP177">
        <f t="shared" si="40"/>
        <v>-6.9999999999999923E-4</v>
      </c>
    </row>
    <row r="178" spans="17:42" x14ac:dyDescent="0.25">
      <c r="Q178" s="1">
        <v>44797</v>
      </c>
      <c r="R178">
        <v>2.29E-2</v>
      </c>
      <c r="S178">
        <v>2.6200000000000001E-2</v>
      </c>
      <c r="T178">
        <v>2.8199999999999999E-2</v>
      </c>
      <c r="U178">
        <v>3.2799999999999996E-2</v>
      </c>
      <c r="V178">
        <v>3.3500000000000002E-2</v>
      </c>
      <c r="W178">
        <v>3.3599999999999998E-2</v>
      </c>
      <c r="X178">
        <v>3.4000000000000002E-2</v>
      </c>
      <c r="Y178">
        <v>3.2000000000000001E-2</v>
      </c>
      <c r="Z178">
        <v>3.2000000000000001E-2</v>
      </c>
      <c r="AA178">
        <v>3.1099999999999999E-2</v>
      </c>
      <c r="AB178">
        <v>3.5499999999999997E-2</v>
      </c>
      <c r="AC178">
        <v>3.32E-2</v>
      </c>
      <c r="AE178">
        <f t="shared" si="29"/>
        <v>1.0000000000000286E-4</v>
      </c>
      <c r="AF178">
        <f t="shared" si="30"/>
        <v>1.9999999999999879E-4</v>
      </c>
      <c r="AG178">
        <f t="shared" si="31"/>
        <v>2.0000000000000226E-4</v>
      </c>
      <c r="AH178">
        <f t="shared" si="32"/>
        <v>6.9999999999999923E-4</v>
      </c>
      <c r="AI178">
        <f t="shared" si="33"/>
        <v>6.0000000000000331E-4</v>
      </c>
      <c r="AJ178">
        <f t="shared" si="34"/>
        <v>6.9999999999999923E-4</v>
      </c>
      <c r="AK178">
        <f t="shared" si="35"/>
        <v>5.0000000000000044E-4</v>
      </c>
      <c r="AL178">
        <f t="shared" si="36"/>
        <v>1.9999999999999879E-4</v>
      </c>
      <c r="AM178">
        <f t="shared" si="37"/>
        <v>5.9999999999999637E-4</v>
      </c>
      <c r="AN178">
        <f t="shared" si="38"/>
        <v>5.9999999999999984E-4</v>
      </c>
      <c r="AO178">
        <f t="shared" si="39"/>
        <v>5.9999999999999637E-4</v>
      </c>
      <c r="AP178">
        <f t="shared" si="40"/>
        <v>6.0000000000000331E-4</v>
      </c>
    </row>
    <row r="179" spans="17:42" x14ac:dyDescent="0.25">
      <c r="Q179" s="1">
        <v>44796</v>
      </c>
      <c r="R179">
        <v>2.2799999999999997E-2</v>
      </c>
      <c r="S179">
        <v>2.6000000000000002E-2</v>
      </c>
      <c r="T179">
        <v>2.7999999999999997E-2</v>
      </c>
      <c r="U179">
        <v>3.2099999999999997E-2</v>
      </c>
      <c r="V179">
        <v>3.2899999999999999E-2</v>
      </c>
      <c r="W179">
        <v>3.2899999999999999E-2</v>
      </c>
      <c r="X179">
        <v>3.3500000000000002E-2</v>
      </c>
      <c r="Y179">
        <v>3.1800000000000002E-2</v>
      </c>
      <c r="Z179">
        <v>3.1400000000000004E-2</v>
      </c>
      <c r="AA179">
        <v>3.0499999999999999E-2</v>
      </c>
      <c r="AB179">
        <v>3.49E-2</v>
      </c>
      <c r="AC179">
        <v>3.2599999999999997E-2</v>
      </c>
      <c r="AE179">
        <f t="shared" si="29"/>
        <v>9.9999999999995925E-5</v>
      </c>
      <c r="AF179">
        <f t="shared" si="30"/>
        <v>0</v>
      </c>
      <c r="AG179">
        <f t="shared" si="31"/>
        <v>-2.0000000000000226E-4</v>
      </c>
      <c r="AH179">
        <f t="shared" si="32"/>
        <v>-2.0000000000000573E-4</v>
      </c>
      <c r="AI179">
        <f t="shared" si="33"/>
        <v>-3.0000000000000165E-4</v>
      </c>
      <c r="AJ179">
        <f t="shared" si="34"/>
        <v>-3.0000000000000165E-4</v>
      </c>
      <c r="AK179">
        <f t="shared" si="35"/>
        <v>-9.9999999999995925E-5</v>
      </c>
      <c r="AL179">
        <f t="shared" si="36"/>
        <v>1.0000000000000286E-4</v>
      </c>
      <c r="AM179">
        <f t="shared" si="37"/>
        <v>2.0000000000000226E-4</v>
      </c>
      <c r="AN179">
        <f t="shared" si="38"/>
        <v>2.0000000000000226E-4</v>
      </c>
      <c r="AO179">
        <f t="shared" si="39"/>
        <v>1.0000000000000286E-4</v>
      </c>
      <c r="AP179">
        <f t="shared" si="40"/>
        <v>1.9999999999999185E-4</v>
      </c>
    </row>
    <row r="180" spans="17:42" x14ac:dyDescent="0.25">
      <c r="Q180" s="1">
        <v>44795</v>
      </c>
      <c r="R180">
        <v>2.2700000000000001E-2</v>
      </c>
      <c r="S180">
        <v>2.6000000000000002E-2</v>
      </c>
      <c r="T180">
        <v>2.8199999999999999E-2</v>
      </c>
      <c r="U180">
        <v>3.2300000000000002E-2</v>
      </c>
      <c r="V180">
        <v>3.32E-2</v>
      </c>
      <c r="W180">
        <v>3.32E-2</v>
      </c>
      <c r="X180">
        <v>3.3599999999999998E-2</v>
      </c>
      <c r="Y180">
        <v>3.1699999999999999E-2</v>
      </c>
      <c r="Z180">
        <v>3.1200000000000002E-2</v>
      </c>
      <c r="AA180">
        <v>3.0299999999999997E-2</v>
      </c>
      <c r="AB180">
        <v>3.4799999999999998E-2</v>
      </c>
      <c r="AC180">
        <v>3.2400000000000005E-2</v>
      </c>
      <c r="AE180">
        <f t="shared" si="29"/>
        <v>4.0000000000000105E-4</v>
      </c>
      <c r="AF180">
        <f t="shared" si="30"/>
        <v>0</v>
      </c>
      <c r="AG180">
        <f t="shared" si="31"/>
        <v>7.9999999999999863E-4</v>
      </c>
      <c r="AH180">
        <f t="shared" si="32"/>
        <v>6.9999999999999923E-4</v>
      </c>
      <c r="AI180">
        <f t="shared" si="33"/>
        <v>6.0000000000000331E-4</v>
      </c>
      <c r="AJ180">
        <f t="shared" si="34"/>
        <v>6.9999999999999923E-4</v>
      </c>
      <c r="AK180">
        <f t="shared" si="35"/>
        <v>8.000000000000021E-4</v>
      </c>
      <c r="AL180">
        <f t="shared" si="36"/>
        <v>5.9999999999999984E-4</v>
      </c>
      <c r="AM180">
        <f t="shared" si="37"/>
        <v>5.9999999999999984E-4</v>
      </c>
      <c r="AN180">
        <f t="shared" si="38"/>
        <v>4.9999999999999697E-4</v>
      </c>
      <c r="AO180">
        <f t="shared" si="39"/>
        <v>3.9999999999999758E-4</v>
      </c>
      <c r="AP180">
        <f t="shared" si="40"/>
        <v>2.0000000000000573E-4</v>
      </c>
    </row>
    <row r="181" spans="17:42" x14ac:dyDescent="0.25">
      <c r="Q181" s="1">
        <v>44792</v>
      </c>
      <c r="R181">
        <v>2.23E-2</v>
      </c>
      <c r="S181">
        <v>2.6000000000000002E-2</v>
      </c>
      <c r="T181">
        <v>2.7400000000000001E-2</v>
      </c>
      <c r="U181">
        <v>3.1600000000000003E-2</v>
      </c>
      <c r="V181">
        <v>3.2599999999999997E-2</v>
      </c>
      <c r="W181">
        <v>3.2500000000000001E-2</v>
      </c>
      <c r="X181">
        <v>3.2799999999999996E-2</v>
      </c>
      <c r="Y181">
        <v>3.1099999999999999E-2</v>
      </c>
      <c r="Z181">
        <v>3.0600000000000002E-2</v>
      </c>
      <c r="AA181">
        <v>2.98E-2</v>
      </c>
      <c r="AB181">
        <v>3.44E-2</v>
      </c>
      <c r="AC181">
        <v>3.2199999999999999E-2</v>
      </c>
      <c r="AE181">
        <f t="shared" si="29"/>
        <v>0</v>
      </c>
      <c r="AF181">
        <f t="shared" si="30"/>
        <v>4.0000000000000105E-4</v>
      </c>
      <c r="AG181">
        <f t="shared" si="31"/>
        <v>3.0000000000000165E-4</v>
      </c>
      <c r="AH181">
        <f t="shared" si="32"/>
        <v>4.0000000000000105E-4</v>
      </c>
      <c r="AI181">
        <f t="shared" si="33"/>
        <v>1.9999999999999185E-4</v>
      </c>
      <c r="AJ181">
        <f t="shared" si="34"/>
        <v>3.0000000000000165E-4</v>
      </c>
      <c r="AK181">
        <f t="shared" si="35"/>
        <v>4.9999999999999351E-4</v>
      </c>
      <c r="AL181">
        <f t="shared" si="36"/>
        <v>8.9999999999999802E-4</v>
      </c>
      <c r="AM181">
        <f t="shared" si="37"/>
        <v>9.0000000000000149E-4</v>
      </c>
      <c r="AN181">
        <f t="shared" si="38"/>
        <v>1.0000000000000009E-3</v>
      </c>
      <c r="AO181">
        <f t="shared" si="39"/>
        <v>8.9999999999999802E-4</v>
      </c>
      <c r="AP181">
        <f t="shared" si="40"/>
        <v>7.9999999999999516E-4</v>
      </c>
    </row>
    <row r="182" spans="17:42" x14ac:dyDescent="0.25">
      <c r="Q182" s="1">
        <v>44791</v>
      </c>
      <c r="R182">
        <v>2.23E-2</v>
      </c>
      <c r="S182">
        <v>2.5600000000000001E-2</v>
      </c>
      <c r="T182">
        <v>2.7099999999999999E-2</v>
      </c>
      <c r="U182">
        <v>3.1200000000000002E-2</v>
      </c>
      <c r="V182">
        <v>3.2400000000000005E-2</v>
      </c>
      <c r="W182">
        <v>3.2199999999999999E-2</v>
      </c>
      <c r="X182">
        <v>3.2300000000000002E-2</v>
      </c>
      <c r="Y182">
        <v>3.0200000000000001E-2</v>
      </c>
      <c r="Z182">
        <v>2.9700000000000001E-2</v>
      </c>
      <c r="AA182">
        <v>2.8799999999999999E-2</v>
      </c>
      <c r="AB182">
        <v>3.3500000000000002E-2</v>
      </c>
      <c r="AC182">
        <v>3.1400000000000004E-2</v>
      </c>
      <c r="AE182">
        <f t="shared" si="29"/>
        <v>9.9999999999999395E-5</v>
      </c>
      <c r="AF182">
        <f t="shared" si="30"/>
        <v>5.0000000000000391E-4</v>
      </c>
      <c r="AG182">
        <f t="shared" si="31"/>
        <v>2.9999999999999818E-4</v>
      </c>
      <c r="AH182">
        <f t="shared" si="32"/>
        <v>-2.9999999999999818E-4</v>
      </c>
      <c r="AI182">
        <f t="shared" si="33"/>
        <v>-2.9999999999999472E-4</v>
      </c>
      <c r="AJ182">
        <f t="shared" si="34"/>
        <v>-5.9999999999999637E-4</v>
      </c>
      <c r="AK182">
        <f t="shared" si="35"/>
        <v>-3.9999999999999758E-4</v>
      </c>
      <c r="AL182">
        <f t="shared" si="36"/>
        <v>-1.9999999999999879E-4</v>
      </c>
      <c r="AM182">
        <f t="shared" si="37"/>
        <v>-2.0000000000000226E-4</v>
      </c>
      <c r="AN182">
        <f t="shared" si="38"/>
        <v>-1.0000000000000286E-4</v>
      </c>
      <c r="AO182">
        <f t="shared" si="39"/>
        <v>-1.9999999999999879E-4</v>
      </c>
      <c r="AP182">
        <f t="shared" si="40"/>
        <v>-9.9999999999995925E-5</v>
      </c>
    </row>
    <row r="183" spans="17:42" x14ac:dyDescent="0.25">
      <c r="Q183" s="1">
        <v>44790</v>
      </c>
      <c r="R183">
        <v>2.2200000000000001E-2</v>
      </c>
      <c r="S183">
        <v>2.5099999999999997E-2</v>
      </c>
      <c r="T183">
        <v>2.6800000000000001E-2</v>
      </c>
      <c r="U183">
        <v>3.15E-2</v>
      </c>
      <c r="V183">
        <v>3.27E-2</v>
      </c>
      <c r="W183">
        <v>3.2799999999999996E-2</v>
      </c>
      <c r="X183">
        <v>3.27E-2</v>
      </c>
      <c r="Y183">
        <v>3.04E-2</v>
      </c>
      <c r="Z183">
        <v>2.9900000000000003E-2</v>
      </c>
      <c r="AA183">
        <v>2.8900000000000002E-2</v>
      </c>
      <c r="AB183">
        <v>3.3700000000000001E-2</v>
      </c>
      <c r="AC183">
        <v>3.15E-2</v>
      </c>
      <c r="AE183">
        <f t="shared" si="29"/>
        <v>-3.9999999999999758E-4</v>
      </c>
      <c r="AF183">
        <f t="shared" si="30"/>
        <v>0</v>
      </c>
      <c r="AG183">
        <f t="shared" si="31"/>
        <v>-2.0000000000000226E-4</v>
      </c>
      <c r="AH183">
        <f t="shared" si="32"/>
        <v>2.9999999999999818E-4</v>
      </c>
      <c r="AI183">
        <f t="shared" si="33"/>
        <v>1.0000000000000286E-4</v>
      </c>
      <c r="AJ183">
        <f t="shared" si="34"/>
        <v>2.9999999999999472E-4</v>
      </c>
      <c r="AK183">
        <f t="shared" si="35"/>
        <v>8.000000000000021E-4</v>
      </c>
      <c r="AL183">
        <f t="shared" si="36"/>
        <v>8.9999999999999802E-4</v>
      </c>
      <c r="AM183">
        <f t="shared" si="37"/>
        <v>9.0000000000000496E-4</v>
      </c>
      <c r="AN183">
        <f t="shared" si="38"/>
        <v>7.000000000000027E-4</v>
      </c>
      <c r="AO183">
        <f t="shared" si="39"/>
        <v>6.0000000000000331E-4</v>
      </c>
      <c r="AP183">
        <f t="shared" si="40"/>
        <v>4.0000000000000105E-4</v>
      </c>
    </row>
    <row r="184" spans="17:42" x14ac:dyDescent="0.25">
      <c r="Q184" s="1">
        <v>44789</v>
      </c>
      <c r="R184">
        <v>2.2599999999999999E-2</v>
      </c>
      <c r="S184">
        <v>2.5099999999999997E-2</v>
      </c>
      <c r="T184">
        <v>2.7000000000000003E-2</v>
      </c>
      <c r="U184">
        <v>3.1200000000000002E-2</v>
      </c>
      <c r="V184">
        <v>3.2599999999999997E-2</v>
      </c>
      <c r="W184">
        <v>3.2500000000000001E-2</v>
      </c>
      <c r="X184">
        <v>3.1899999999999998E-2</v>
      </c>
      <c r="Y184">
        <v>2.9500000000000002E-2</v>
      </c>
      <c r="Z184">
        <v>2.8999999999999998E-2</v>
      </c>
      <c r="AA184">
        <v>2.8199999999999999E-2</v>
      </c>
      <c r="AB184">
        <v>3.3099999999999997E-2</v>
      </c>
      <c r="AC184">
        <v>3.1099999999999999E-2</v>
      </c>
      <c r="AE184">
        <f t="shared" si="29"/>
        <v>-1.0000000000000286E-4</v>
      </c>
      <c r="AF184">
        <f t="shared" si="30"/>
        <v>-2.0000000000000226E-4</v>
      </c>
      <c r="AG184">
        <f t="shared" si="31"/>
        <v>-1.9999999999999879E-4</v>
      </c>
      <c r="AH184">
        <f t="shared" si="32"/>
        <v>-9.9999999999999395E-5</v>
      </c>
      <c r="AI184">
        <f t="shared" si="33"/>
        <v>2.9999999999999472E-4</v>
      </c>
      <c r="AJ184">
        <f t="shared" si="34"/>
        <v>5.0000000000000044E-4</v>
      </c>
      <c r="AK184">
        <f t="shared" si="35"/>
        <v>4.9999999999999351E-4</v>
      </c>
      <c r="AL184">
        <f t="shared" si="36"/>
        <v>4.0000000000000105E-4</v>
      </c>
      <c r="AM184">
        <f t="shared" si="37"/>
        <v>3.9999999999999758E-4</v>
      </c>
      <c r="AN184">
        <f t="shared" si="38"/>
        <v>2.9999999999999818E-4</v>
      </c>
      <c r="AO184">
        <f t="shared" si="39"/>
        <v>0</v>
      </c>
      <c r="AP184">
        <f t="shared" si="40"/>
        <v>9.9999999999999395E-5</v>
      </c>
    </row>
    <row r="185" spans="17:42" x14ac:dyDescent="0.25">
      <c r="Q185" s="1">
        <v>44788</v>
      </c>
      <c r="R185">
        <v>2.2700000000000001E-2</v>
      </c>
      <c r="S185">
        <v>2.53E-2</v>
      </c>
      <c r="T185">
        <v>2.7200000000000002E-2</v>
      </c>
      <c r="U185">
        <v>3.1300000000000001E-2</v>
      </c>
      <c r="V185">
        <v>3.2300000000000002E-2</v>
      </c>
      <c r="W185">
        <v>3.2000000000000001E-2</v>
      </c>
      <c r="X185">
        <v>3.1400000000000004E-2</v>
      </c>
      <c r="Y185">
        <v>2.9100000000000001E-2</v>
      </c>
      <c r="Z185">
        <v>2.86E-2</v>
      </c>
      <c r="AA185">
        <v>2.7900000000000001E-2</v>
      </c>
      <c r="AB185">
        <v>3.3099999999999997E-2</v>
      </c>
      <c r="AC185">
        <v>3.1E-2</v>
      </c>
      <c r="AE185">
        <f t="shared" si="29"/>
        <v>4.0000000000000105E-4</v>
      </c>
      <c r="AF185">
        <f t="shared" si="30"/>
        <v>2.9999999999999818E-4</v>
      </c>
      <c r="AG185">
        <f t="shared" si="31"/>
        <v>9.0000000000000149E-4</v>
      </c>
      <c r="AH185">
        <f t="shared" si="32"/>
        <v>0</v>
      </c>
      <c r="AI185">
        <f t="shared" si="33"/>
        <v>-2.9999999999999472E-4</v>
      </c>
      <c r="AJ185">
        <f t="shared" si="34"/>
        <v>-5.0000000000000044E-4</v>
      </c>
      <c r="AK185">
        <f t="shared" si="35"/>
        <v>-3.9999999999999758E-4</v>
      </c>
      <c r="AL185">
        <f t="shared" si="36"/>
        <v>-5.9999999999999984E-4</v>
      </c>
      <c r="AM185">
        <f t="shared" si="37"/>
        <v>-5.9999999999999984E-4</v>
      </c>
      <c r="AN185">
        <f t="shared" si="38"/>
        <v>-4.9999999999999697E-4</v>
      </c>
      <c r="AO185">
        <f t="shared" si="39"/>
        <v>-3.0000000000000165E-4</v>
      </c>
      <c r="AP185">
        <f t="shared" si="40"/>
        <v>-2.0000000000000226E-4</v>
      </c>
    </row>
    <row r="186" spans="17:42" x14ac:dyDescent="0.25">
      <c r="Q186" s="1">
        <v>44785</v>
      </c>
      <c r="R186">
        <v>2.23E-2</v>
      </c>
      <c r="S186">
        <v>2.5000000000000001E-2</v>
      </c>
      <c r="T186">
        <v>2.63E-2</v>
      </c>
      <c r="U186">
        <v>3.1300000000000001E-2</v>
      </c>
      <c r="V186">
        <v>3.2599999999999997E-2</v>
      </c>
      <c r="W186">
        <v>3.2500000000000001E-2</v>
      </c>
      <c r="X186">
        <v>3.1800000000000002E-2</v>
      </c>
      <c r="Y186">
        <v>2.9700000000000001E-2</v>
      </c>
      <c r="Z186">
        <v>2.92E-2</v>
      </c>
      <c r="AA186">
        <v>2.8399999999999998E-2</v>
      </c>
      <c r="AB186">
        <v>3.3399999999999999E-2</v>
      </c>
      <c r="AC186">
        <v>3.1200000000000002E-2</v>
      </c>
      <c r="AE186">
        <f t="shared" si="29"/>
        <v>-1.0000000000000286E-4</v>
      </c>
      <c r="AF186">
        <f t="shared" si="30"/>
        <v>-9.9999999999995925E-5</v>
      </c>
      <c r="AG186">
        <f t="shared" si="31"/>
        <v>9.9999999999999395E-5</v>
      </c>
      <c r="AH186">
        <f t="shared" si="32"/>
        <v>5.0000000000000044E-4</v>
      </c>
      <c r="AI186">
        <f t="shared" si="33"/>
        <v>9.9999999999995925E-5</v>
      </c>
      <c r="AJ186">
        <f t="shared" si="34"/>
        <v>1.9999999999999879E-4</v>
      </c>
      <c r="AK186">
        <f t="shared" si="35"/>
        <v>1.9999999999999879E-4</v>
      </c>
      <c r="AL186">
        <f t="shared" si="36"/>
        <v>-9.9999999999999395E-5</v>
      </c>
      <c r="AM186">
        <f t="shared" si="37"/>
        <v>-1.9999999999999879E-4</v>
      </c>
      <c r="AN186">
        <f t="shared" si="38"/>
        <v>-3.0000000000000165E-4</v>
      </c>
      <c r="AO186">
        <f t="shared" si="39"/>
        <v>-3.9999999999999758E-4</v>
      </c>
      <c r="AP186">
        <f t="shared" si="40"/>
        <v>-2.9999999999999818E-4</v>
      </c>
    </row>
    <row r="187" spans="17:42" x14ac:dyDescent="0.25">
      <c r="Q187" s="1">
        <v>44784</v>
      </c>
      <c r="R187">
        <v>2.2400000000000003E-2</v>
      </c>
      <c r="S187">
        <v>2.5099999999999997E-2</v>
      </c>
      <c r="T187">
        <v>2.6200000000000001E-2</v>
      </c>
      <c r="U187">
        <v>3.0800000000000001E-2</v>
      </c>
      <c r="V187">
        <v>3.2500000000000001E-2</v>
      </c>
      <c r="W187">
        <v>3.2300000000000002E-2</v>
      </c>
      <c r="X187">
        <v>3.1600000000000003E-2</v>
      </c>
      <c r="Y187">
        <v>2.98E-2</v>
      </c>
      <c r="Z187">
        <v>2.9399999999999999E-2</v>
      </c>
      <c r="AA187">
        <v>2.87E-2</v>
      </c>
      <c r="AB187">
        <v>3.3799999999999997E-2</v>
      </c>
      <c r="AC187">
        <v>3.15E-2</v>
      </c>
      <c r="AE187">
        <f t="shared" si="29"/>
        <v>0</v>
      </c>
      <c r="AF187">
        <f t="shared" si="30"/>
        <v>7.9999999999999516E-4</v>
      </c>
      <c r="AG187">
        <f t="shared" si="31"/>
        <v>-2.9999999999999818E-4</v>
      </c>
      <c r="AH187">
        <f t="shared" si="32"/>
        <v>-5.0000000000000044E-4</v>
      </c>
      <c r="AI187">
        <f t="shared" si="33"/>
        <v>-9.9999999999995925E-5</v>
      </c>
      <c r="AJ187">
        <f t="shared" si="34"/>
        <v>0</v>
      </c>
      <c r="AK187">
        <f t="shared" si="35"/>
        <v>3.0000000000000165E-4</v>
      </c>
      <c r="AL187">
        <f t="shared" si="36"/>
        <v>4.9999999999999697E-4</v>
      </c>
      <c r="AM187">
        <f t="shared" si="37"/>
        <v>7.9999999999999863E-4</v>
      </c>
      <c r="AN187">
        <f t="shared" si="38"/>
        <v>9.0000000000000149E-4</v>
      </c>
      <c r="AO187">
        <f t="shared" si="39"/>
        <v>1.0999999999999968E-3</v>
      </c>
      <c r="AP187">
        <f t="shared" si="40"/>
        <v>1.1000000000000003E-3</v>
      </c>
    </row>
    <row r="188" spans="17:42" x14ac:dyDescent="0.25">
      <c r="Q188" s="1">
        <v>44783</v>
      </c>
      <c r="R188">
        <v>2.2400000000000003E-2</v>
      </c>
      <c r="S188">
        <v>2.4300000000000002E-2</v>
      </c>
      <c r="T188">
        <v>2.6499999999999999E-2</v>
      </c>
      <c r="U188">
        <v>3.1300000000000001E-2</v>
      </c>
      <c r="V188">
        <v>3.2599999999999997E-2</v>
      </c>
      <c r="W188">
        <v>3.2300000000000002E-2</v>
      </c>
      <c r="X188">
        <v>3.1300000000000001E-2</v>
      </c>
      <c r="Y188">
        <v>2.9300000000000003E-2</v>
      </c>
      <c r="Z188">
        <v>2.86E-2</v>
      </c>
      <c r="AA188">
        <v>2.7799999999999998E-2</v>
      </c>
      <c r="AB188">
        <v>3.27E-2</v>
      </c>
      <c r="AC188">
        <v>3.04E-2</v>
      </c>
      <c r="AE188">
        <f t="shared" si="29"/>
        <v>1.0000000000000286E-4</v>
      </c>
      <c r="AF188">
        <f t="shared" si="30"/>
        <v>0</v>
      </c>
      <c r="AG188">
        <f t="shared" si="31"/>
        <v>-1.9999999999999879E-4</v>
      </c>
      <c r="AH188">
        <f t="shared" si="32"/>
        <v>-3.0000000000000165E-4</v>
      </c>
      <c r="AI188">
        <f t="shared" si="33"/>
        <v>-7.0000000000000617E-4</v>
      </c>
      <c r="AJ188">
        <f t="shared" si="34"/>
        <v>-4.9999999999999351E-4</v>
      </c>
      <c r="AK188">
        <f t="shared" si="35"/>
        <v>-6.9999999999999923E-4</v>
      </c>
      <c r="AL188">
        <f t="shared" si="36"/>
        <v>-3.9999999999999758E-4</v>
      </c>
      <c r="AM188">
        <f t="shared" si="37"/>
        <v>-3.0000000000000165E-4</v>
      </c>
      <c r="AN188">
        <f t="shared" si="38"/>
        <v>-1.9999999999999879E-4</v>
      </c>
      <c r="AO188">
        <f t="shared" si="39"/>
        <v>2.9999999999999472E-4</v>
      </c>
      <c r="AP188">
        <f t="shared" si="40"/>
        <v>3.0000000000000165E-4</v>
      </c>
    </row>
    <row r="189" spans="17:42" x14ac:dyDescent="0.25">
      <c r="Q189" s="1">
        <v>44782</v>
      </c>
      <c r="R189">
        <v>2.23E-2</v>
      </c>
      <c r="S189">
        <v>2.4300000000000002E-2</v>
      </c>
      <c r="T189">
        <v>2.6699999999999998E-2</v>
      </c>
      <c r="U189">
        <v>3.1600000000000003E-2</v>
      </c>
      <c r="V189">
        <v>3.3300000000000003E-2</v>
      </c>
      <c r="W189">
        <v>3.2799999999999996E-2</v>
      </c>
      <c r="X189">
        <v>3.2000000000000001E-2</v>
      </c>
      <c r="Y189">
        <v>2.9700000000000001E-2</v>
      </c>
      <c r="Z189">
        <v>2.8900000000000002E-2</v>
      </c>
      <c r="AA189">
        <v>2.7999999999999997E-2</v>
      </c>
      <c r="AB189">
        <v>3.2400000000000005E-2</v>
      </c>
      <c r="AC189">
        <v>3.0099999999999998E-2</v>
      </c>
      <c r="AE189">
        <f t="shared" si="29"/>
        <v>0</v>
      </c>
      <c r="AF189">
        <f t="shared" si="30"/>
        <v>0</v>
      </c>
      <c r="AG189">
        <f t="shared" si="31"/>
        <v>1.9999999999999879E-4</v>
      </c>
      <c r="AH189">
        <f t="shared" si="32"/>
        <v>1.0000000000000286E-4</v>
      </c>
      <c r="AI189">
        <f t="shared" si="33"/>
        <v>3.0000000000000165E-4</v>
      </c>
      <c r="AJ189">
        <f t="shared" si="34"/>
        <v>6.9999999999999923E-4</v>
      </c>
      <c r="AK189">
        <f t="shared" si="35"/>
        <v>5.9999999999999637E-4</v>
      </c>
      <c r="AL189">
        <f t="shared" si="36"/>
        <v>5.9999999999999984E-4</v>
      </c>
      <c r="AM189">
        <f t="shared" si="37"/>
        <v>4.0000000000000105E-4</v>
      </c>
      <c r="AN189">
        <f t="shared" si="38"/>
        <v>2.9999999999999818E-4</v>
      </c>
      <c r="AO189">
        <f t="shared" si="39"/>
        <v>2.0000000000000573E-4</v>
      </c>
      <c r="AP189">
        <f t="shared" si="40"/>
        <v>9.9999999999999395E-5</v>
      </c>
    </row>
    <row r="190" spans="17:42" x14ac:dyDescent="0.25">
      <c r="Q190" s="1">
        <v>44781</v>
      </c>
      <c r="R190">
        <v>2.23E-2</v>
      </c>
      <c r="S190">
        <v>2.4300000000000002E-2</v>
      </c>
      <c r="T190">
        <v>2.6499999999999999E-2</v>
      </c>
      <c r="U190">
        <v>3.15E-2</v>
      </c>
      <c r="V190">
        <v>3.3000000000000002E-2</v>
      </c>
      <c r="W190">
        <v>3.2099999999999997E-2</v>
      </c>
      <c r="X190">
        <v>3.1400000000000004E-2</v>
      </c>
      <c r="Y190">
        <v>2.9100000000000001E-2</v>
      </c>
      <c r="Z190">
        <v>2.8500000000000001E-2</v>
      </c>
      <c r="AA190">
        <v>2.7699999999999999E-2</v>
      </c>
      <c r="AB190">
        <v>3.2199999999999999E-2</v>
      </c>
      <c r="AC190">
        <v>0.03</v>
      </c>
      <c r="AE190">
        <f t="shared" si="29"/>
        <v>2.0000000000000226E-4</v>
      </c>
      <c r="AF190">
        <f t="shared" si="30"/>
        <v>4.0000000000000105E-4</v>
      </c>
      <c r="AG190">
        <f t="shared" si="31"/>
        <v>6.9999999999999923E-4</v>
      </c>
      <c r="AH190">
        <f t="shared" si="32"/>
        <v>5.0000000000000044E-4</v>
      </c>
      <c r="AI190">
        <f t="shared" si="33"/>
        <v>1.0000000000000286E-4</v>
      </c>
      <c r="AJ190">
        <f t="shared" si="34"/>
        <v>-3.0000000000000859E-4</v>
      </c>
      <c r="AK190">
        <f t="shared" si="35"/>
        <v>-3.9999999999999758E-4</v>
      </c>
      <c r="AL190">
        <f t="shared" si="36"/>
        <v>-5.9999999999999984E-4</v>
      </c>
      <c r="AM190">
        <f t="shared" si="37"/>
        <v>-5.9999999999999984E-4</v>
      </c>
      <c r="AN190">
        <f t="shared" si="38"/>
        <v>-6.0000000000000331E-4</v>
      </c>
      <c r="AO190">
        <f t="shared" si="39"/>
        <v>-5.0000000000000044E-4</v>
      </c>
      <c r="AP190">
        <f t="shared" si="40"/>
        <v>-6.0000000000000331E-4</v>
      </c>
    </row>
    <row r="191" spans="17:42" x14ac:dyDescent="0.25">
      <c r="Q191" s="1">
        <v>44778</v>
      </c>
      <c r="R191">
        <v>2.2099999999999998E-2</v>
      </c>
      <c r="S191">
        <v>2.3900000000000001E-2</v>
      </c>
      <c r="T191">
        <v>2.58E-2</v>
      </c>
      <c r="U191">
        <v>3.1E-2</v>
      </c>
      <c r="V191">
        <v>3.2899999999999999E-2</v>
      </c>
      <c r="W191">
        <v>3.2400000000000005E-2</v>
      </c>
      <c r="X191">
        <v>3.1800000000000002E-2</v>
      </c>
      <c r="Y191">
        <v>2.9700000000000001E-2</v>
      </c>
      <c r="Z191">
        <v>2.9100000000000001E-2</v>
      </c>
      <c r="AA191">
        <v>2.8300000000000002E-2</v>
      </c>
      <c r="AB191">
        <v>3.27E-2</v>
      </c>
      <c r="AC191">
        <v>3.0600000000000002E-2</v>
      </c>
      <c r="AE191">
        <f t="shared" si="29"/>
        <v>1.9999999999999879E-4</v>
      </c>
      <c r="AF191">
        <f t="shared" si="30"/>
        <v>3.0000000000000165E-4</v>
      </c>
      <c r="AG191">
        <f t="shared" si="31"/>
        <v>7.9999999999999863E-4</v>
      </c>
      <c r="AH191">
        <f t="shared" si="32"/>
        <v>1.1999999999999997E-3</v>
      </c>
      <c r="AI191">
        <f t="shared" si="33"/>
        <v>1.7999999999999995E-3</v>
      </c>
      <c r="AJ191">
        <f t="shared" si="34"/>
        <v>2.1000000000000081E-3</v>
      </c>
      <c r="AK191">
        <f t="shared" si="35"/>
        <v>2.3E-3</v>
      </c>
      <c r="AL191">
        <f t="shared" si="36"/>
        <v>2.1000000000000012E-3</v>
      </c>
      <c r="AM191">
        <f t="shared" si="37"/>
        <v>1.7999999999999995E-3</v>
      </c>
      <c r="AN191">
        <f t="shared" si="38"/>
        <v>1.5000000000000013E-3</v>
      </c>
      <c r="AO191">
        <f t="shared" si="39"/>
        <v>1.1999999999999997E-3</v>
      </c>
      <c r="AP191">
        <f t="shared" si="40"/>
        <v>9.0000000000000149E-4</v>
      </c>
    </row>
    <row r="192" spans="17:42" x14ac:dyDescent="0.25">
      <c r="Q192" s="1">
        <v>44777</v>
      </c>
      <c r="R192">
        <v>2.1899999999999999E-2</v>
      </c>
      <c r="S192">
        <v>2.3599999999999999E-2</v>
      </c>
      <c r="T192">
        <v>2.5000000000000001E-2</v>
      </c>
      <c r="U192">
        <v>2.98E-2</v>
      </c>
      <c r="V192">
        <v>3.1099999999999999E-2</v>
      </c>
      <c r="W192">
        <v>3.0299999999999997E-2</v>
      </c>
      <c r="X192">
        <v>2.9500000000000002E-2</v>
      </c>
      <c r="Y192">
        <v>2.76E-2</v>
      </c>
      <c r="Z192">
        <v>2.7300000000000001E-2</v>
      </c>
      <c r="AA192">
        <v>2.6800000000000001E-2</v>
      </c>
      <c r="AB192">
        <v>3.15E-2</v>
      </c>
      <c r="AC192">
        <v>2.9700000000000001E-2</v>
      </c>
      <c r="AE192">
        <f t="shared" si="29"/>
        <v>-1.0000000000000286E-4</v>
      </c>
      <c r="AF192">
        <f t="shared" si="30"/>
        <v>6.9999999999999923E-4</v>
      </c>
      <c r="AG192">
        <f t="shared" si="31"/>
        <v>-1.9999999999999879E-4</v>
      </c>
      <c r="AH192">
        <f t="shared" si="32"/>
        <v>-1.9999999999999879E-4</v>
      </c>
      <c r="AI192">
        <f t="shared" si="33"/>
        <v>-3.0000000000000512E-4</v>
      </c>
      <c r="AJ192">
        <f t="shared" si="34"/>
        <v>-7.000000000000027E-4</v>
      </c>
      <c r="AK192">
        <f t="shared" si="35"/>
        <v>-8.9999999999999802E-4</v>
      </c>
      <c r="AL192">
        <f t="shared" si="36"/>
        <v>-1.0000000000000009E-3</v>
      </c>
      <c r="AM192">
        <f t="shared" si="37"/>
        <v>-7.9999999999999863E-4</v>
      </c>
      <c r="AN192">
        <f t="shared" si="38"/>
        <v>-5.0000000000000044E-4</v>
      </c>
      <c r="AO192">
        <f t="shared" si="39"/>
        <v>-1.9999999999999879E-4</v>
      </c>
      <c r="AP192">
        <f t="shared" si="40"/>
        <v>9.9999999999999395E-5</v>
      </c>
    </row>
    <row r="193" spans="17:42" x14ac:dyDescent="0.25">
      <c r="Q193" s="1">
        <v>44776</v>
      </c>
      <c r="R193">
        <v>2.2000000000000002E-2</v>
      </c>
      <c r="S193">
        <v>2.29E-2</v>
      </c>
      <c r="T193">
        <v>2.52E-2</v>
      </c>
      <c r="U193">
        <v>0.03</v>
      </c>
      <c r="V193">
        <v>3.1400000000000004E-2</v>
      </c>
      <c r="W193">
        <v>3.1E-2</v>
      </c>
      <c r="X193">
        <v>3.04E-2</v>
      </c>
      <c r="Y193">
        <v>2.86E-2</v>
      </c>
      <c r="Z193">
        <v>2.81E-2</v>
      </c>
      <c r="AA193">
        <v>2.7300000000000001E-2</v>
      </c>
      <c r="AB193">
        <v>3.1699999999999999E-2</v>
      </c>
      <c r="AC193">
        <v>2.9600000000000001E-2</v>
      </c>
      <c r="AE193">
        <f t="shared" si="29"/>
        <v>-1.9999999999999879E-4</v>
      </c>
      <c r="AF193">
        <f t="shared" si="30"/>
        <v>-4.0000000000000105E-4</v>
      </c>
      <c r="AG193">
        <f t="shared" si="31"/>
        <v>-4.0000000000000105E-4</v>
      </c>
      <c r="AH193">
        <f t="shared" si="32"/>
        <v>0</v>
      </c>
      <c r="AI193">
        <f t="shared" si="33"/>
        <v>5.0000000000000738E-4</v>
      </c>
      <c r="AJ193">
        <f t="shared" si="34"/>
        <v>3.9999999999999758E-4</v>
      </c>
      <c r="AK193">
        <f t="shared" si="35"/>
        <v>1.9999999999999879E-4</v>
      </c>
      <c r="AL193">
        <f t="shared" si="36"/>
        <v>9.9999999999999395E-5</v>
      </c>
      <c r="AM193">
        <f t="shared" si="37"/>
        <v>-9.9999999999999395E-5</v>
      </c>
      <c r="AN193">
        <f t="shared" si="38"/>
        <v>-1.9999999999999879E-4</v>
      </c>
      <c r="AO193">
        <f t="shared" si="39"/>
        <v>-5.0000000000000044E-4</v>
      </c>
      <c r="AP193">
        <f t="shared" si="40"/>
        <v>-3.9999999999999758E-4</v>
      </c>
    </row>
    <row r="194" spans="17:42" x14ac:dyDescent="0.25">
      <c r="Q194" s="1">
        <v>44775</v>
      </c>
      <c r="R194">
        <v>2.2200000000000001E-2</v>
      </c>
      <c r="S194">
        <v>2.3300000000000001E-2</v>
      </c>
      <c r="T194">
        <v>2.5600000000000001E-2</v>
      </c>
      <c r="U194">
        <v>0.03</v>
      </c>
      <c r="V194">
        <v>3.0899999999999997E-2</v>
      </c>
      <c r="W194">
        <v>3.0600000000000002E-2</v>
      </c>
      <c r="X194">
        <v>3.0200000000000001E-2</v>
      </c>
      <c r="Y194">
        <v>2.8500000000000001E-2</v>
      </c>
      <c r="Z194">
        <v>2.8199999999999999E-2</v>
      </c>
      <c r="AA194">
        <v>2.75E-2</v>
      </c>
      <c r="AB194">
        <v>3.2199999999999999E-2</v>
      </c>
      <c r="AC194">
        <v>0.03</v>
      </c>
      <c r="AE194">
        <f t="shared" si="29"/>
        <v>0</v>
      </c>
      <c r="AF194">
        <f t="shared" si="30"/>
        <v>0</v>
      </c>
      <c r="AG194">
        <f t="shared" si="31"/>
        <v>0</v>
      </c>
      <c r="AH194">
        <f t="shared" si="32"/>
        <v>3.9999999999999758E-4</v>
      </c>
      <c r="AI194">
        <f t="shared" si="33"/>
        <v>1.0999999999999968E-3</v>
      </c>
      <c r="AJ194">
        <f t="shared" si="34"/>
        <v>1.6000000000000042E-3</v>
      </c>
      <c r="AK194">
        <f t="shared" si="35"/>
        <v>2.0000000000000018E-3</v>
      </c>
      <c r="AL194">
        <f t="shared" si="36"/>
        <v>1.8999999999999989E-3</v>
      </c>
      <c r="AM194">
        <f t="shared" si="37"/>
        <v>1.7999999999999995E-3</v>
      </c>
      <c r="AN194">
        <f t="shared" si="38"/>
        <v>1.4999999999999979E-3</v>
      </c>
      <c r="AO194">
        <f t="shared" si="39"/>
        <v>9.9999999999999742E-4</v>
      </c>
      <c r="AP194">
        <f t="shared" si="40"/>
        <v>7.9999999999999863E-4</v>
      </c>
    </row>
    <row r="195" spans="17:42" x14ac:dyDescent="0.25">
      <c r="Q195" s="1">
        <v>44774</v>
      </c>
      <c r="R195">
        <v>2.2200000000000001E-2</v>
      </c>
      <c r="S195">
        <v>2.3300000000000001E-2</v>
      </c>
      <c r="T195">
        <v>2.5600000000000001E-2</v>
      </c>
      <c r="U195">
        <v>2.9600000000000001E-2</v>
      </c>
      <c r="V195">
        <v>2.98E-2</v>
      </c>
      <c r="W195">
        <v>2.8999999999999998E-2</v>
      </c>
      <c r="X195">
        <v>2.8199999999999999E-2</v>
      </c>
      <c r="Y195">
        <v>2.6600000000000002E-2</v>
      </c>
      <c r="Z195">
        <v>2.64E-2</v>
      </c>
      <c r="AA195">
        <v>2.6000000000000002E-2</v>
      </c>
      <c r="AB195">
        <v>3.1200000000000002E-2</v>
      </c>
      <c r="AC195">
        <v>2.92E-2</v>
      </c>
      <c r="AE195">
        <f t="shared" si="29"/>
        <v>0</v>
      </c>
      <c r="AF195">
        <f t="shared" si="30"/>
        <v>5.0000000000000391E-4</v>
      </c>
      <c r="AG195">
        <f t="shared" si="31"/>
        <v>1.5000000000000013E-3</v>
      </c>
      <c r="AH195">
        <f t="shared" si="32"/>
        <v>5.0000000000000044E-4</v>
      </c>
      <c r="AI195">
        <f t="shared" si="33"/>
        <v>0</v>
      </c>
      <c r="AJ195">
        <f t="shared" si="34"/>
        <v>9.9999999999995925E-5</v>
      </c>
      <c r="AK195">
        <f t="shared" si="35"/>
        <v>-1.0000000000000286E-4</v>
      </c>
      <c r="AL195">
        <f t="shared" si="36"/>
        <v>-4.0000000000000105E-4</v>
      </c>
      <c r="AM195">
        <f t="shared" si="37"/>
        <v>-6.0000000000000331E-4</v>
      </c>
      <c r="AN195">
        <f t="shared" si="38"/>
        <v>-6.9999999999999576E-4</v>
      </c>
      <c r="AO195">
        <f t="shared" si="39"/>
        <v>-7.9999999999999863E-4</v>
      </c>
      <c r="AP195">
        <f t="shared" si="40"/>
        <v>-7.9999999999999863E-4</v>
      </c>
    </row>
    <row r="196" spans="17:42" x14ac:dyDescent="0.25">
      <c r="Q196" s="1">
        <v>44771</v>
      </c>
      <c r="R196">
        <v>2.2200000000000001E-2</v>
      </c>
      <c r="S196">
        <v>2.2799999999999997E-2</v>
      </c>
      <c r="T196">
        <v>2.41E-2</v>
      </c>
      <c r="U196">
        <v>2.9100000000000001E-2</v>
      </c>
      <c r="V196">
        <v>2.98E-2</v>
      </c>
      <c r="W196">
        <v>2.8900000000000002E-2</v>
      </c>
      <c r="X196">
        <v>2.8300000000000002E-2</v>
      </c>
      <c r="Y196">
        <v>2.7000000000000003E-2</v>
      </c>
      <c r="Z196">
        <v>2.7000000000000003E-2</v>
      </c>
      <c r="AA196">
        <v>2.6699999999999998E-2</v>
      </c>
      <c r="AB196">
        <v>3.2000000000000001E-2</v>
      </c>
      <c r="AC196">
        <v>0.03</v>
      </c>
      <c r="AE196">
        <f t="shared" si="29"/>
        <v>1.9999999999999879E-4</v>
      </c>
      <c r="AF196">
        <f t="shared" si="30"/>
        <v>-2.0000000000000226E-4</v>
      </c>
      <c r="AG196">
        <f t="shared" si="31"/>
        <v>-9.9999999999999395E-5</v>
      </c>
      <c r="AH196">
        <f t="shared" si="32"/>
        <v>1.0000000000000286E-4</v>
      </c>
      <c r="AI196">
        <f t="shared" si="33"/>
        <v>4.9999999999999697E-4</v>
      </c>
      <c r="AJ196">
        <f t="shared" si="34"/>
        <v>4.0000000000000105E-4</v>
      </c>
      <c r="AK196">
        <f t="shared" si="35"/>
        <v>2.0000000000000226E-4</v>
      </c>
      <c r="AL196">
        <f t="shared" si="36"/>
        <v>1.0000000000000286E-4</v>
      </c>
      <c r="AM196">
        <f t="shared" si="37"/>
        <v>1.0000000000000286E-4</v>
      </c>
      <c r="AN196">
        <f t="shared" si="38"/>
        <v>-1.0000000000000286E-4</v>
      </c>
      <c r="AO196">
        <f t="shared" si="39"/>
        <v>-3.0000000000000165E-4</v>
      </c>
      <c r="AP196">
        <f t="shared" si="40"/>
        <v>-2.0000000000000226E-4</v>
      </c>
    </row>
    <row r="197" spans="17:42" x14ac:dyDescent="0.25">
      <c r="Q197" s="1">
        <v>44770</v>
      </c>
      <c r="R197">
        <v>2.2000000000000002E-2</v>
      </c>
      <c r="S197">
        <v>2.3E-2</v>
      </c>
      <c r="T197">
        <v>2.4199999999999999E-2</v>
      </c>
      <c r="U197">
        <v>2.8999999999999998E-2</v>
      </c>
      <c r="V197">
        <v>2.9300000000000003E-2</v>
      </c>
      <c r="W197">
        <v>2.8500000000000001E-2</v>
      </c>
      <c r="X197">
        <v>2.81E-2</v>
      </c>
      <c r="Y197">
        <v>2.69E-2</v>
      </c>
      <c r="Z197">
        <v>2.69E-2</v>
      </c>
      <c r="AA197">
        <v>2.6800000000000001E-2</v>
      </c>
      <c r="AB197">
        <v>3.2300000000000002E-2</v>
      </c>
      <c r="AC197">
        <v>3.0200000000000001E-2</v>
      </c>
      <c r="AE197">
        <f t="shared" ref="AE197:AE260" si="41">R197-R198</f>
        <v>5.9999999999999984E-4</v>
      </c>
      <c r="AF197">
        <f t="shared" ref="AF197:AF260" si="42">S197-S198</f>
        <v>0</v>
      </c>
      <c r="AG197">
        <f t="shared" ref="AG197:AG260" si="43">T197-T198</f>
        <v>-1.9999999999999879E-4</v>
      </c>
      <c r="AH197">
        <f t="shared" ref="AH197:AH260" si="44">U197-U198</f>
        <v>-3.0000000000000512E-4</v>
      </c>
      <c r="AI197">
        <f t="shared" ref="AI197:AI260" si="45">V197-V198</f>
        <v>-6.9999999999999576E-4</v>
      </c>
      <c r="AJ197">
        <f t="shared" ref="AJ197:AJ260" si="46">W197-W198</f>
        <v>-1.1000000000000003E-3</v>
      </c>
      <c r="AK197">
        <f t="shared" ref="AK197:AK260" si="47">X197-X198</f>
        <v>-1.2000000000000031E-3</v>
      </c>
      <c r="AL197">
        <f t="shared" ref="AL197:AL260" si="48">Y197-Y198</f>
        <v>-1.2999999999999991E-3</v>
      </c>
      <c r="AM197">
        <f t="shared" ref="AM197:AM260" si="49">Z197-Z198</f>
        <v>-1.4000000000000019E-3</v>
      </c>
      <c r="AN197">
        <f t="shared" ref="AN197:AN260" si="50">AA197-AA198</f>
        <v>-9.9999999999999742E-4</v>
      </c>
      <c r="AO197">
        <f t="shared" ref="AO197:AO260" si="51">AB197-AB198</f>
        <v>-2.9999999999999472E-4</v>
      </c>
      <c r="AP197">
        <f t="shared" ref="AP197:AP260" si="52">AC197-AC198</f>
        <v>-9.9999999999995925E-5</v>
      </c>
    </row>
    <row r="198" spans="17:42" x14ac:dyDescent="0.25">
      <c r="Q198" s="1">
        <v>44769</v>
      </c>
      <c r="R198">
        <v>2.1400000000000002E-2</v>
      </c>
      <c r="S198">
        <v>2.3E-2</v>
      </c>
      <c r="T198">
        <v>2.4399999999999998E-2</v>
      </c>
      <c r="U198">
        <v>2.9300000000000003E-2</v>
      </c>
      <c r="V198">
        <v>0.03</v>
      </c>
      <c r="W198">
        <v>2.9600000000000001E-2</v>
      </c>
      <c r="X198">
        <v>2.9300000000000003E-2</v>
      </c>
      <c r="Y198">
        <v>2.8199999999999999E-2</v>
      </c>
      <c r="Z198">
        <v>2.8300000000000002E-2</v>
      </c>
      <c r="AA198">
        <v>2.7799999999999998E-2</v>
      </c>
      <c r="AB198">
        <v>3.2599999999999997E-2</v>
      </c>
      <c r="AC198">
        <v>3.0299999999999997E-2</v>
      </c>
      <c r="AE198">
        <f t="shared" si="41"/>
        <v>-2.9999999999999818E-4</v>
      </c>
      <c r="AF198">
        <f t="shared" si="42"/>
        <v>-5.0000000000000044E-4</v>
      </c>
      <c r="AG198">
        <f t="shared" si="43"/>
        <v>-1.1000000000000003E-3</v>
      </c>
      <c r="AH198">
        <f t="shared" si="44"/>
        <v>-7.9999999999999516E-4</v>
      </c>
      <c r="AI198">
        <f t="shared" si="45"/>
        <v>-6.0000000000000331E-4</v>
      </c>
      <c r="AJ198">
        <f t="shared" si="46"/>
        <v>-5.9999999999999984E-4</v>
      </c>
      <c r="AK198">
        <f t="shared" si="47"/>
        <v>-7.9999999999999516E-4</v>
      </c>
      <c r="AL198">
        <f t="shared" si="48"/>
        <v>-7.000000000000027E-4</v>
      </c>
      <c r="AM198">
        <f t="shared" si="49"/>
        <v>-4.9999999999999697E-4</v>
      </c>
      <c r="AN198">
        <f t="shared" si="50"/>
        <v>-3.0000000000000165E-4</v>
      </c>
      <c r="AO198">
        <f t="shared" si="51"/>
        <v>-1.0000000000000286E-4</v>
      </c>
      <c r="AP198">
        <f t="shared" si="52"/>
        <v>0</v>
      </c>
    </row>
    <row r="199" spans="17:42" x14ac:dyDescent="0.25">
      <c r="Q199" s="1">
        <v>44768</v>
      </c>
      <c r="R199">
        <v>2.1700000000000001E-2</v>
      </c>
      <c r="S199">
        <v>2.35E-2</v>
      </c>
      <c r="T199">
        <v>2.5499999999999998E-2</v>
      </c>
      <c r="U199">
        <v>3.0099999999999998E-2</v>
      </c>
      <c r="V199">
        <v>3.0600000000000002E-2</v>
      </c>
      <c r="W199">
        <v>3.0200000000000001E-2</v>
      </c>
      <c r="X199">
        <v>3.0099999999999998E-2</v>
      </c>
      <c r="Y199">
        <v>2.8900000000000002E-2</v>
      </c>
      <c r="Z199">
        <v>2.8799999999999999E-2</v>
      </c>
      <c r="AA199">
        <v>2.81E-2</v>
      </c>
      <c r="AB199">
        <v>3.27E-2</v>
      </c>
      <c r="AC199">
        <v>3.0299999999999997E-2</v>
      </c>
      <c r="AE199">
        <f t="shared" si="41"/>
        <v>2.9999999999999818E-4</v>
      </c>
      <c r="AF199">
        <f t="shared" si="42"/>
        <v>4.0000000000000105E-4</v>
      </c>
      <c r="AG199">
        <f t="shared" si="43"/>
        <v>-7.000000000000027E-4</v>
      </c>
      <c r="AH199">
        <f t="shared" si="44"/>
        <v>-5.0000000000000391E-4</v>
      </c>
      <c r="AI199">
        <f t="shared" si="45"/>
        <v>-9.9999999999995925E-5</v>
      </c>
      <c r="AJ199">
        <f t="shared" si="46"/>
        <v>2.0000000000000226E-4</v>
      </c>
      <c r="AK199">
        <f t="shared" si="47"/>
        <v>2.9999999999999818E-4</v>
      </c>
      <c r="AL199">
        <f t="shared" si="48"/>
        <v>0</v>
      </c>
      <c r="AM199">
        <f t="shared" si="49"/>
        <v>-1.0000000000000286E-4</v>
      </c>
      <c r="AN199">
        <f t="shared" si="50"/>
        <v>0</v>
      </c>
      <c r="AO199">
        <f t="shared" si="51"/>
        <v>-9.9999999999995925E-5</v>
      </c>
      <c r="AP199">
        <f t="shared" si="52"/>
        <v>-1.0000000000000286E-4</v>
      </c>
    </row>
    <row r="200" spans="17:42" x14ac:dyDescent="0.25">
      <c r="Q200" s="1">
        <v>44767</v>
      </c>
      <c r="R200">
        <v>2.1400000000000002E-2</v>
      </c>
      <c r="S200">
        <v>2.3099999999999999E-2</v>
      </c>
      <c r="T200">
        <v>2.6200000000000001E-2</v>
      </c>
      <c r="U200">
        <v>3.0600000000000002E-2</v>
      </c>
      <c r="V200">
        <v>3.0699999999999998E-2</v>
      </c>
      <c r="W200">
        <v>0.03</v>
      </c>
      <c r="X200">
        <v>2.98E-2</v>
      </c>
      <c r="Y200">
        <v>2.8900000000000002E-2</v>
      </c>
      <c r="Z200">
        <v>2.8900000000000002E-2</v>
      </c>
      <c r="AA200">
        <v>2.81E-2</v>
      </c>
      <c r="AB200">
        <v>3.2799999999999996E-2</v>
      </c>
      <c r="AC200">
        <v>3.04E-2</v>
      </c>
      <c r="AE200">
        <f t="shared" si="41"/>
        <v>-9.9999999999995925E-5</v>
      </c>
      <c r="AF200">
        <f t="shared" si="42"/>
        <v>1.9999999999999879E-4</v>
      </c>
      <c r="AG200">
        <f t="shared" si="43"/>
        <v>1.2999999999999991E-3</v>
      </c>
      <c r="AH200">
        <f t="shared" si="44"/>
        <v>9.0000000000000149E-4</v>
      </c>
      <c r="AI200">
        <f t="shared" si="45"/>
        <v>5.9999999999999984E-4</v>
      </c>
      <c r="AJ200">
        <f t="shared" si="46"/>
        <v>1.9999999999999879E-4</v>
      </c>
      <c r="AK200">
        <f t="shared" si="47"/>
        <v>4.9999999999999697E-4</v>
      </c>
      <c r="AL200">
        <f t="shared" si="48"/>
        <v>2.0000000000000226E-4</v>
      </c>
      <c r="AM200">
        <f t="shared" si="49"/>
        <v>4.0000000000000105E-4</v>
      </c>
      <c r="AN200">
        <f t="shared" si="50"/>
        <v>4.0000000000000105E-4</v>
      </c>
      <c r="AO200">
        <f t="shared" si="51"/>
        <v>4.9999999999999351E-4</v>
      </c>
      <c r="AP200">
        <f t="shared" si="52"/>
        <v>4.0000000000000105E-4</v>
      </c>
    </row>
    <row r="201" spans="17:42" x14ac:dyDescent="0.25">
      <c r="Q201" s="1">
        <v>44764</v>
      </c>
      <c r="R201">
        <v>2.1499999999999998E-2</v>
      </c>
      <c r="S201">
        <v>2.29E-2</v>
      </c>
      <c r="T201">
        <v>2.4900000000000002E-2</v>
      </c>
      <c r="U201">
        <v>2.9700000000000001E-2</v>
      </c>
      <c r="V201">
        <v>3.0099999999999998E-2</v>
      </c>
      <c r="W201">
        <v>2.98E-2</v>
      </c>
      <c r="X201">
        <v>2.9300000000000003E-2</v>
      </c>
      <c r="Y201">
        <v>2.87E-2</v>
      </c>
      <c r="Z201">
        <v>2.8500000000000001E-2</v>
      </c>
      <c r="AA201">
        <v>2.7699999999999999E-2</v>
      </c>
      <c r="AB201">
        <v>3.2300000000000002E-2</v>
      </c>
      <c r="AC201">
        <v>0.03</v>
      </c>
      <c r="AE201">
        <f t="shared" si="41"/>
        <v>0</v>
      </c>
      <c r="AF201">
        <f t="shared" si="42"/>
        <v>-9.9999999999999395E-5</v>
      </c>
      <c r="AG201">
        <f t="shared" si="43"/>
        <v>1.0000000000000286E-4</v>
      </c>
      <c r="AH201">
        <f t="shared" si="44"/>
        <v>-2.9999999999999818E-4</v>
      </c>
      <c r="AI201">
        <f t="shared" si="45"/>
        <v>-1.0000000000000009E-3</v>
      </c>
      <c r="AJ201">
        <f t="shared" si="46"/>
        <v>-1.1999999999999997E-3</v>
      </c>
      <c r="AK201">
        <f t="shared" si="47"/>
        <v>-1.399999999999995E-3</v>
      </c>
      <c r="AL201">
        <f t="shared" si="48"/>
        <v>-1.2999999999999991E-3</v>
      </c>
      <c r="AM201">
        <f t="shared" si="49"/>
        <v>-1.4000000000000019E-3</v>
      </c>
      <c r="AN201">
        <f t="shared" si="50"/>
        <v>-1.4000000000000019E-3</v>
      </c>
      <c r="AO201">
        <f t="shared" si="51"/>
        <v>-1.0000000000000009E-3</v>
      </c>
      <c r="AP201">
        <f t="shared" si="52"/>
        <v>-8.000000000000021E-4</v>
      </c>
    </row>
    <row r="202" spans="17:42" x14ac:dyDescent="0.25">
      <c r="Q202" s="1">
        <v>44763</v>
      </c>
      <c r="R202">
        <v>2.1499999999999998E-2</v>
      </c>
      <c r="S202">
        <v>2.3E-2</v>
      </c>
      <c r="T202">
        <v>2.4799999999999999E-2</v>
      </c>
      <c r="U202">
        <v>0.03</v>
      </c>
      <c r="V202">
        <v>3.1099999999999999E-2</v>
      </c>
      <c r="W202">
        <v>3.1E-2</v>
      </c>
      <c r="X202">
        <v>3.0699999999999998E-2</v>
      </c>
      <c r="Y202">
        <v>0.03</v>
      </c>
      <c r="Z202">
        <v>2.9900000000000003E-2</v>
      </c>
      <c r="AA202">
        <v>2.9100000000000001E-2</v>
      </c>
      <c r="AB202">
        <v>3.3300000000000003E-2</v>
      </c>
      <c r="AC202">
        <v>3.0800000000000001E-2</v>
      </c>
      <c r="AE202">
        <f t="shared" si="41"/>
        <v>2.3E-3</v>
      </c>
      <c r="AF202">
        <f t="shared" si="42"/>
        <v>9.9999999999999395E-5</v>
      </c>
      <c r="AG202">
        <f t="shared" si="43"/>
        <v>-2.9999999999999818E-4</v>
      </c>
      <c r="AH202">
        <f t="shared" si="44"/>
        <v>-4.0000000000000105E-4</v>
      </c>
      <c r="AI202">
        <f t="shared" si="45"/>
        <v>-7.000000000000027E-4</v>
      </c>
      <c r="AJ202">
        <f t="shared" si="46"/>
        <v>-1.5000000000000013E-3</v>
      </c>
      <c r="AK202">
        <f t="shared" si="47"/>
        <v>-1.800000000000003E-3</v>
      </c>
      <c r="AL202">
        <f t="shared" si="48"/>
        <v>-1.800000000000003E-3</v>
      </c>
      <c r="AM202">
        <f t="shared" si="49"/>
        <v>-1.5999999999999973E-3</v>
      </c>
      <c r="AN202">
        <f t="shared" si="50"/>
        <v>-1.2999999999999991E-3</v>
      </c>
      <c r="AO202">
        <f t="shared" si="51"/>
        <v>-1.0000000000000009E-3</v>
      </c>
      <c r="AP202">
        <f t="shared" si="52"/>
        <v>-8.9999999999999802E-4</v>
      </c>
    </row>
    <row r="203" spans="17:42" x14ac:dyDescent="0.25">
      <c r="Q203" s="1">
        <v>44762</v>
      </c>
      <c r="R203">
        <v>1.9199999999999998E-2</v>
      </c>
      <c r="S203">
        <v>2.29E-2</v>
      </c>
      <c r="T203">
        <v>2.5099999999999997E-2</v>
      </c>
      <c r="U203">
        <v>3.04E-2</v>
      </c>
      <c r="V203">
        <v>3.1800000000000002E-2</v>
      </c>
      <c r="W203">
        <v>3.2500000000000001E-2</v>
      </c>
      <c r="X203">
        <v>3.2500000000000001E-2</v>
      </c>
      <c r="Y203">
        <v>3.1800000000000002E-2</v>
      </c>
      <c r="Z203">
        <v>3.15E-2</v>
      </c>
      <c r="AA203">
        <v>3.04E-2</v>
      </c>
      <c r="AB203">
        <v>3.4300000000000004E-2</v>
      </c>
      <c r="AC203">
        <v>3.1699999999999999E-2</v>
      </c>
      <c r="AE203">
        <f t="shared" si="41"/>
        <v>-9.9999999999999395E-5</v>
      </c>
      <c r="AF203">
        <f t="shared" si="42"/>
        <v>0</v>
      </c>
      <c r="AG203">
        <f t="shared" si="43"/>
        <v>-1.0000000000000286E-4</v>
      </c>
      <c r="AH203">
        <f t="shared" si="44"/>
        <v>-2.0000000000000226E-4</v>
      </c>
      <c r="AI203">
        <f t="shared" si="45"/>
        <v>0</v>
      </c>
      <c r="AJ203">
        <f t="shared" si="46"/>
        <v>1.9999999999999879E-4</v>
      </c>
      <c r="AK203">
        <f t="shared" si="47"/>
        <v>3.0000000000000165E-4</v>
      </c>
      <c r="AL203">
        <f t="shared" si="48"/>
        <v>3.9999999999999758E-4</v>
      </c>
      <c r="AM203">
        <f t="shared" si="49"/>
        <v>4.0000000000000105E-4</v>
      </c>
      <c r="AN203">
        <f t="shared" si="50"/>
        <v>3.0000000000000165E-4</v>
      </c>
      <c r="AO203">
        <f t="shared" si="51"/>
        <v>1.0000000000000286E-4</v>
      </c>
      <c r="AP203">
        <f t="shared" si="52"/>
        <v>0</v>
      </c>
    </row>
    <row r="204" spans="17:42" x14ac:dyDescent="0.25">
      <c r="Q204" s="1">
        <v>44761</v>
      </c>
      <c r="R204">
        <v>1.9299999999999998E-2</v>
      </c>
      <c r="S204">
        <v>2.29E-2</v>
      </c>
      <c r="T204">
        <v>2.52E-2</v>
      </c>
      <c r="U204">
        <v>3.0600000000000002E-2</v>
      </c>
      <c r="V204">
        <v>3.1800000000000002E-2</v>
      </c>
      <c r="W204">
        <v>3.2300000000000002E-2</v>
      </c>
      <c r="X204">
        <v>3.2199999999999999E-2</v>
      </c>
      <c r="Y204">
        <v>3.1400000000000004E-2</v>
      </c>
      <c r="Z204">
        <v>3.1099999999999999E-2</v>
      </c>
      <c r="AA204">
        <v>3.0099999999999998E-2</v>
      </c>
      <c r="AB204">
        <v>3.4200000000000001E-2</v>
      </c>
      <c r="AC204">
        <v>3.1699999999999999E-2</v>
      </c>
      <c r="AE204">
        <f t="shared" si="41"/>
        <v>-3.0000000000000165E-4</v>
      </c>
      <c r="AF204">
        <f t="shared" si="42"/>
        <v>1.0000000000000286E-4</v>
      </c>
      <c r="AG204">
        <f t="shared" si="43"/>
        <v>1.9999999999999879E-4</v>
      </c>
      <c r="AH204">
        <f t="shared" si="44"/>
        <v>4.0000000000000105E-4</v>
      </c>
      <c r="AI204">
        <f t="shared" si="45"/>
        <v>5.0000000000000044E-4</v>
      </c>
      <c r="AJ204">
        <f t="shared" si="46"/>
        <v>8.000000000000021E-4</v>
      </c>
      <c r="AK204">
        <f t="shared" si="47"/>
        <v>6.9999999999999923E-4</v>
      </c>
      <c r="AL204">
        <f t="shared" si="48"/>
        <v>8.000000000000021E-4</v>
      </c>
      <c r="AM204">
        <f t="shared" si="49"/>
        <v>5.9999999999999984E-4</v>
      </c>
      <c r="AN204">
        <f t="shared" si="50"/>
        <v>4.9999999999999697E-4</v>
      </c>
      <c r="AO204">
        <f t="shared" si="51"/>
        <v>3.0000000000000165E-4</v>
      </c>
      <c r="AP204">
        <f t="shared" si="52"/>
        <v>2.9999999999999472E-4</v>
      </c>
    </row>
    <row r="205" spans="17:42" x14ac:dyDescent="0.25">
      <c r="Q205" s="1">
        <v>44760</v>
      </c>
      <c r="R205">
        <v>1.9599999999999999E-2</v>
      </c>
      <c r="S205">
        <v>2.2799999999999997E-2</v>
      </c>
      <c r="T205">
        <v>2.5000000000000001E-2</v>
      </c>
      <c r="U205">
        <v>3.0200000000000001E-2</v>
      </c>
      <c r="V205">
        <v>3.1300000000000001E-2</v>
      </c>
      <c r="W205">
        <v>3.15E-2</v>
      </c>
      <c r="X205">
        <v>3.15E-2</v>
      </c>
      <c r="Y205">
        <v>3.0600000000000002E-2</v>
      </c>
      <c r="Z205">
        <v>3.0499999999999999E-2</v>
      </c>
      <c r="AA205">
        <v>2.9600000000000001E-2</v>
      </c>
      <c r="AB205">
        <v>3.39E-2</v>
      </c>
      <c r="AC205">
        <v>3.1400000000000004E-2</v>
      </c>
      <c r="AE205">
        <f t="shared" si="41"/>
        <v>-1.9999999999999879E-4</v>
      </c>
      <c r="AF205">
        <f t="shared" si="42"/>
        <v>1.9999999999999879E-4</v>
      </c>
      <c r="AG205">
        <f t="shared" si="43"/>
        <v>1.2999999999999991E-3</v>
      </c>
      <c r="AH205">
        <f t="shared" si="44"/>
        <v>8.000000000000021E-4</v>
      </c>
      <c r="AI205">
        <f t="shared" si="45"/>
        <v>9.9999999999999395E-5</v>
      </c>
      <c r="AJ205">
        <f t="shared" si="46"/>
        <v>1.9999999999999879E-4</v>
      </c>
      <c r="AK205">
        <f t="shared" si="47"/>
        <v>9.9999999999995925E-5</v>
      </c>
      <c r="AL205">
        <f t="shared" si="48"/>
        <v>1.0000000000000286E-4</v>
      </c>
      <c r="AM205">
        <f t="shared" si="49"/>
        <v>2.0000000000000226E-4</v>
      </c>
      <c r="AN205">
        <f t="shared" si="50"/>
        <v>2.9999999999999818E-4</v>
      </c>
      <c r="AO205">
        <f t="shared" si="51"/>
        <v>5.0000000000000044E-4</v>
      </c>
      <c r="AP205">
        <f t="shared" si="52"/>
        <v>4.0000000000000452E-4</v>
      </c>
    </row>
    <row r="206" spans="17:42" x14ac:dyDescent="0.25">
      <c r="Q206" s="1">
        <v>44757</v>
      </c>
      <c r="R206">
        <v>1.9799999999999998E-2</v>
      </c>
      <c r="S206">
        <v>2.2599999999999999E-2</v>
      </c>
      <c r="T206">
        <v>2.3700000000000002E-2</v>
      </c>
      <c r="U206">
        <v>2.9399999999999999E-2</v>
      </c>
      <c r="V206">
        <v>3.1200000000000002E-2</v>
      </c>
      <c r="W206">
        <v>3.1300000000000001E-2</v>
      </c>
      <c r="X206">
        <v>3.1400000000000004E-2</v>
      </c>
      <c r="Y206">
        <v>3.0499999999999999E-2</v>
      </c>
      <c r="Z206">
        <v>3.0299999999999997E-2</v>
      </c>
      <c r="AA206">
        <v>2.9300000000000003E-2</v>
      </c>
      <c r="AB206">
        <v>3.3399999999999999E-2</v>
      </c>
      <c r="AC206">
        <v>3.1E-2</v>
      </c>
      <c r="AE206">
        <f t="shared" si="41"/>
        <v>-1.0000000000000286E-4</v>
      </c>
      <c r="AF206">
        <f t="shared" si="42"/>
        <v>-5.9999999999999984E-4</v>
      </c>
      <c r="AG206">
        <f t="shared" si="43"/>
        <v>-2.9999999999999818E-4</v>
      </c>
      <c r="AH206">
        <f t="shared" si="44"/>
        <v>9.9999999999995925E-5</v>
      </c>
      <c r="AI206">
        <f t="shared" si="45"/>
        <v>-4.0000000000000105E-4</v>
      </c>
      <c r="AJ206">
        <f t="shared" si="46"/>
        <v>-1.9999999999999879E-4</v>
      </c>
      <c r="AK206">
        <f t="shared" si="47"/>
        <v>-1.9999999999999879E-4</v>
      </c>
      <c r="AL206">
        <f t="shared" si="48"/>
        <v>-1.0000000000000286E-4</v>
      </c>
      <c r="AM206">
        <f t="shared" si="49"/>
        <v>-2.0000000000000226E-4</v>
      </c>
      <c r="AN206">
        <f t="shared" si="50"/>
        <v>-2.9999999999999818E-4</v>
      </c>
      <c r="AO206">
        <f t="shared" si="51"/>
        <v>-1.9999999999999879E-4</v>
      </c>
      <c r="AP206">
        <f t="shared" si="52"/>
        <v>-9.9999999999999395E-5</v>
      </c>
    </row>
    <row r="207" spans="17:42" x14ac:dyDescent="0.25">
      <c r="Q207" s="1">
        <v>44756</v>
      </c>
      <c r="R207">
        <v>1.9900000000000001E-2</v>
      </c>
      <c r="S207">
        <v>2.3199999999999998E-2</v>
      </c>
      <c r="T207">
        <v>2.4E-2</v>
      </c>
      <c r="U207">
        <v>2.9300000000000003E-2</v>
      </c>
      <c r="V207">
        <v>3.1600000000000003E-2</v>
      </c>
      <c r="W207">
        <v>3.15E-2</v>
      </c>
      <c r="X207">
        <v>3.1600000000000003E-2</v>
      </c>
      <c r="Y207">
        <v>3.0600000000000002E-2</v>
      </c>
      <c r="Z207">
        <v>3.0499999999999999E-2</v>
      </c>
      <c r="AA207">
        <v>2.9600000000000001E-2</v>
      </c>
      <c r="AB207">
        <v>3.3599999999999998E-2</v>
      </c>
      <c r="AC207">
        <v>3.1099999999999999E-2</v>
      </c>
      <c r="AE207">
        <f t="shared" si="41"/>
        <v>2.1000000000000012E-3</v>
      </c>
      <c r="AF207">
        <f t="shared" si="42"/>
        <v>1.1999999999999962E-3</v>
      </c>
      <c r="AG207">
        <f t="shared" si="43"/>
        <v>9.9999999999999395E-5</v>
      </c>
      <c r="AH207">
        <f t="shared" si="44"/>
        <v>-2.9999999999999818E-4</v>
      </c>
      <c r="AI207">
        <f t="shared" si="45"/>
        <v>-4.9999999999999351E-4</v>
      </c>
      <c r="AJ207">
        <f t="shared" si="46"/>
        <v>1.9999999999999879E-4</v>
      </c>
      <c r="AK207">
        <f t="shared" si="47"/>
        <v>1.9999999999999879E-4</v>
      </c>
      <c r="AL207">
        <f t="shared" si="48"/>
        <v>4.0000000000000105E-4</v>
      </c>
      <c r="AM207">
        <f t="shared" si="49"/>
        <v>5.0000000000000044E-4</v>
      </c>
      <c r="AN207">
        <f t="shared" si="50"/>
        <v>5.0000000000000044E-4</v>
      </c>
      <c r="AO207">
        <f t="shared" si="51"/>
        <v>9.9999999999995925E-5</v>
      </c>
      <c r="AP207">
        <f t="shared" si="52"/>
        <v>2.9999999999999818E-4</v>
      </c>
    </row>
    <row r="208" spans="17:42" x14ac:dyDescent="0.25">
      <c r="Q208" s="1">
        <v>44755</v>
      </c>
      <c r="R208">
        <v>1.78E-2</v>
      </c>
      <c r="S208">
        <v>2.2000000000000002E-2</v>
      </c>
      <c r="T208">
        <v>2.3900000000000001E-2</v>
      </c>
      <c r="U208">
        <v>2.9600000000000001E-2</v>
      </c>
      <c r="V208">
        <v>3.2099999999999997E-2</v>
      </c>
      <c r="W208">
        <v>3.1300000000000001E-2</v>
      </c>
      <c r="X208">
        <v>3.1400000000000004E-2</v>
      </c>
      <c r="Y208">
        <v>3.0200000000000001E-2</v>
      </c>
      <c r="Z208">
        <v>0.03</v>
      </c>
      <c r="AA208">
        <v>2.9100000000000001E-2</v>
      </c>
      <c r="AB208">
        <v>3.3500000000000002E-2</v>
      </c>
      <c r="AC208">
        <v>3.0800000000000001E-2</v>
      </c>
      <c r="AE208">
        <f t="shared" si="41"/>
        <v>1.5000000000000013E-3</v>
      </c>
      <c r="AF208">
        <f t="shared" si="42"/>
        <v>1.9000000000000059E-3</v>
      </c>
      <c r="AG208">
        <f t="shared" si="43"/>
        <v>1.7000000000000001E-3</v>
      </c>
      <c r="AH208">
        <f t="shared" si="44"/>
        <v>1.800000000000003E-3</v>
      </c>
      <c r="AI208">
        <f t="shared" si="45"/>
        <v>1.3999999999999985E-3</v>
      </c>
      <c r="AJ208">
        <f t="shared" si="46"/>
        <v>1.0000000000000044E-3</v>
      </c>
      <c r="AK208">
        <f t="shared" si="47"/>
        <v>7.0000000000000617E-4</v>
      </c>
      <c r="AL208">
        <f t="shared" si="48"/>
        <v>1.0000000000000286E-4</v>
      </c>
      <c r="AM208">
        <f t="shared" si="49"/>
        <v>-9.9999999999999395E-5</v>
      </c>
      <c r="AN208">
        <f t="shared" si="50"/>
        <v>-5.0000000000000044E-4</v>
      </c>
      <c r="AO208">
        <f t="shared" si="51"/>
        <v>-1.9999999999999879E-4</v>
      </c>
      <c r="AP208">
        <f t="shared" si="52"/>
        <v>-5.0000000000000044E-4</v>
      </c>
    </row>
    <row r="209" spans="17:42" x14ac:dyDescent="0.25">
      <c r="Q209" s="1">
        <v>44754</v>
      </c>
      <c r="R209">
        <v>1.6299999999999999E-2</v>
      </c>
      <c r="S209">
        <v>2.0099999999999996E-2</v>
      </c>
      <c r="T209">
        <v>2.2200000000000001E-2</v>
      </c>
      <c r="U209">
        <v>2.7799999999999998E-2</v>
      </c>
      <c r="V209">
        <v>3.0699999999999998E-2</v>
      </c>
      <c r="W209">
        <v>3.0299999999999997E-2</v>
      </c>
      <c r="X209">
        <v>3.0699999999999998E-2</v>
      </c>
      <c r="Y209">
        <v>3.0099999999999998E-2</v>
      </c>
      <c r="Z209">
        <v>3.0099999999999998E-2</v>
      </c>
      <c r="AA209">
        <v>2.9600000000000001E-2</v>
      </c>
      <c r="AB209">
        <v>3.3700000000000001E-2</v>
      </c>
      <c r="AC209">
        <v>3.1300000000000001E-2</v>
      </c>
      <c r="AE209">
        <f t="shared" si="41"/>
        <v>4.9999999999999697E-4</v>
      </c>
      <c r="AF209">
        <f t="shared" si="42"/>
        <v>5.9999999999999637E-4</v>
      </c>
      <c r="AG209">
        <f t="shared" si="43"/>
        <v>4.0000000000000105E-4</v>
      </c>
      <c r="AH209">
        <f t="shared" si="44"/>
        <v>-1.0000000000000286E-4</v>
      </c>
      <c r="AI209">
        <f t="shared" si="45"/>
        <v>9.9999999999999742E-4</v>
      </c>
      <c r="AJ209">
        <f t="shared" si="46"/>
        <v>-4.0000000000000105E-4</v>
      </c>
      <c r="AK209">
        <f t="shared" si="47"/>
        <v>-1.9999999999999879E-4</v>
      </c>
      <c r="AL209">
        <f t="shared" si="48"/>
        <v>-4.0000000000000105E-4</v>
      </c>
      <c r="AM209">
        <f t="shared" si="49"/>
        <v>-5.0000000000000391E-4</v>
      </c>
      <c r="AN209">
        <f t="shared" si="50"/>
        <v>-3.0000000000000165E-4</v>
      </c>
      <c r="AO209">
        <f t="shared" si="51"/>
        <v>-6.0000000000000331E-4</v>
      </c>
      <c r="AP209">
        <f t="shared" si="52"/>
        <v>-5.0000000000000044E-4</v>
      </c>
    </row>
    <row r="210" spans="17:42" x14ac:dyDescent="0.25">
      <c r="Q210" s="1">
        <v>44753</v>
      </c>
      <c r="R210">
        <v>1.5800000000000002E-2</v>
      </c>
      <c r="S210">
        <v>1.95E-2</v>
      </c>
      <c r="T210">
        <v>2.18E-2</v>
      </c>
      <c r="U210">
        <v>2.7900000000000001E-2</v>
      </c>
      <c r="V210">
        <v>2.9700000000000001E-2</v>
      </c>
      <c r="W210">
        <v>3.0699999999999998E-2</v>
      </c>
      <c r="X210">
        <v>3.0899999999999997E-2</v>
      </c>
      <c r="Y210">
        <v>3.0499999999999999E-2</v>
      </c>
      <c r="Z210">
        <v>3.0600000000000002E-2</v>
      </c>
      <c r="AA210">
        <v>2.9900000000000003E-2</v>
      </c>
      <c r="AB210">
        <v>3.4300000000000004E-2</v>
      </c>
      <c r="AC210">
        <v>3.1800000000000002E-2</v>
      </c>
      <c r="AE210">
        <f t="shared" si="41"/>
        <v>9.9999999999999395E-5</v>
      </c>
      <c r="AF210">
        <f t="shared" si="42"/>
        <v>3.0000000000000165E-4</v>
      </c>
      <c r="AG210">
        <f t="shared" si="43"/>
        <v>2.0000000000000018E-3</v>
      </c>
      <c r="AH210">
        <f t="shared" si="44"/>
        <v>1.1000000000000003E-3</v>
      </c>
      <c r="AI210">
        <f t="shared" si="45"/>
        <v>9.9999999999999395E-5</v>
      </c>
      <c r="AJ210">
        <f t="shared" si="46"/>
        <v>-5.0000000000000391E-4</v>
      </c>
      <c r="AK210">
        <f t="shared" si="47"/>
        <v>-5.0000000000000738E-4</v>
      </c>
      <c r="AL210">
        <f t="shared" si="48"/>
        <v>-8.000000000000021E-4</v>
      </c>
      <c r="AM210">
        <f t="shared" si="49"/>
        <v>-1.0000000000000009E-3</v>
      </c>
      <c r="AN210">
        <f t="shared" si="50"/>
        <v>-9.9999999999999395E-4</v>
      </c>
      <c r="AO210">
        <f t="shared" si="51"/>
        <v>-9.9999999999999395E-4</v>
      </c>
      <c r="AP210">
        <f t="shared" si="52"/>
        <v>-8.9999999999999802E-4</v>
      </c>
    </row>
    <row r="211" spans="17:42" x14ac:dyDescent="0.25">
      <c r="Q211" s="1">
        <v>44750</v>
      </c>
      <c r="R211">
        <v>1.5700000000000002E-2</v>
      </c>
      <c r="S211">
        <v>1.9199999999999998E-2</v>
      </c>
      <c r="T211">
        <v>1.9799999999999998E-2</v>
      </c>
      <c r="U211">
        <v>2.6800000000000001E-2</v>
      </c>
      <c r="V211">
        <v>2.9600000000000001E-2</v>
      </c>
      <c r="W211">
        <v>3.1200000000000002E-2</v>
      </c>
      <c r="X211">
        <v>3.1400000000000004E-2</v>
      </c>
      <c r="Y211">
        <v>3.1300000000000001E-2</v>
      </c>
      <c r="Z211">
        <v>3.1600000000000003E-2</v>
      </c>
      <c r="AA211">
        <v>3.0899999999999997E-2</v>
      </c>
      <c r="AB211">
        <v>3.5299999999999998E-2</v>
      </c>
      <c r="AC211">
        <v>3.27E-2</v>
      </c>
      <c r="AE211">
        <f t="shared" si="41"/>
        <v>2.0000000000000226E-4</v>
      </c>
      <c r="AF211">
        <f t="shared" si="42"/>
        <v>1.9999999999999879E-4</v>
      </c>
      <c r="AG211">
        <f t="shared" si="43"/>
        <v>2.9999999999999818E-4</v>
      </c>
      <c r="AH211">
        <f t="shared" si="44"/>
        <v>4.0000000000000105E-4</v>
      </c>
      <c r="AI211">
        <f t="shared" si="45"/>
        <v>9.0000000000000149E-4</v>
      </c>
      <c r="AJ211">
        <f t="shared" si="46"/>
        <v>9.0000000000000496E-4</v>
      </c>
      <c r="AK211">
        <f t="shared" si="47"/>
        <v>9.0000000000000496E-4</v>
      </c>
      <c r="AL211">
        <f t="shared" si="48"/>
        <v>8.000000000000021E-4</v>
      </c>
      <c r="AM211">
        <f t="shared" si="49"/>
        <v>9.0000000000000496E-4</v>
      </c>
      <c r="AN211">
        <f t="shared" si="50"/>
        <v>7.9999999999999863E-4</v>
      </c>
      <c r="AO211">
        <f t="shared" si="51"/>
        <v>7.9999999999999516E-4</v>
      </c>
      <c r="AP211">
        <f t="shared" si="52"/>
        <v>6.9999999999999923E-4</v>
      </c>
    </row>
    <row r="212" spans="17:42" x14ac:dyDescent="0.25">
      <c r="Q212" s="1">
        <v>44749</v>
      </c>
      <c r="R212">
        <v>1.55E-2</v>
      </c>
      <c r="S212">
        <v>1.9E-2</v>
      </c>
      <c r="T212">
        <v>1.95E-2</v>
      </c>
      <c r="U212">
        <v>2.64E-2</v>
      </c>
      <c r="V212">
        <v>2.87E-2</v>
      </c>
      <c r="W212">
        <v>3.0299999999999997E-2</v>
      </c>
      <c r="X212">
        <v>3.0499999999999999E-2</v>
      </c>
      <c r="Y212">
        <v>3.0499999999999999E-2</v>
      </c>
      <c r="Z212">
        <v>3.0699999999999998E-2</v>
      </c>
      <c r="AA212">
        <v>3.0099999999999998E-2</v>
      </c>
      <c r="AB212">
        <v>3.4500000000000003E-2</v>
      </c>
      <c r="AC212">
        <v>3.2000000000000001E-2</v>
      </c>
      <c r="AE212">
        <f t="shared" si="41"/>
        <v>1.8999999999999989E-3</v>
      </c>
      <c r="AF212">
        <f t="shared" si="42"/>
        <v>1.9999999999999983E-3</v>
      </c>
      <c r="AG212">
        <f t="shared" si="43"/>
        <v>5.0000000000000044E-4</v>
      </c>
      <c r="AH212">
        <f t="shared" si="44"/>
        <v>1.9999999999999879E-4</v>
      </c>
      <c r="AI212">
        <f t="shared" si="45"/>
        <v>5.0000000000000044E-4</v>
      </c>
      <c r="AJ212">
        <f t="shared" si="46"/>
        <v>5.9999999999999637E-4</v>
      </c>
      <c r="AK212">
        <f t="shared" si="47"/>
        <v>5.9999999999999637E-4</v>
      </c>
      <c r="AL212">
        <f t="shared" si="48"/>
        <v>8.9999999999999802E-4</v>
      </c>
      <c r="AM212">
        <f t="shared" si="49"/>
        <v>7.9999999999999516E-4</v>
      </c>
      <c r="AN212">
        <f t="shared" si="50"/>
        <v>7.9999999999999516E-4</v>
      </c>
      <c r="AO212">
        <f t="shared" si="51"/>
        <v>3.0000000000000165E-4</v>
      </c>
      <c r="AP212">
        <f t="shared" si="52"/>
        <v>5.9999999999999637E-4</v>
      </c>
    </row>
    <row r="213" spans="17:42" x14ac:dyDescent="0.25">
      <c r="Q213" s="1">
        <v>44748</v>
      </c>
      <c r="R213">
        <v>1.3600000000000001E-2</v>
      </c>
      <c r="S213">
        <v>1.7000000000000001E-2</v>
      </c>
      <c r="T213">
        <v>1.9E-2</v>
      </c>
      <c r="U213">
        <v>2.6200000000000001E-2</v>
      </c>
      <c r="V213">
        <v>2.8199999999999999E-2</v>
      </c>
      <c r="W213">
        <v>2.9700000000000001E-2</v>
      </c>
      <c r="X213">
        <v>2.9900000000000003E-2</v>
      </c>
      <c r="Y213">
        <v>2.9600000000000001E-2</v>
      </c>
      <c r="Z213">
        <v>2.9900000000000003E-2</v>
      </c>
      <c r="AA213">
        <v>2.9300000000000003E-2</v>
      </c>
      <c r="AB213">
        <v>3.4200000000000001E-2</v>
      </c>
      <c r="AC213">
        <v>3.1400000000000004E-2</v>
      </c>
      <c r="AE213">
        <f t="shared" si="41"/>
        <v>2.9999999999999992E-4</v>
      </c>
      <c r="AF213">
        <f t="shared" si="42"/>
        <v>-9.9999999999999395E-5</v>
      </c>
      <c r="AG213">
        <f t="shared" si="43"/>
        <v>0</v>
      </c>
      <c r="AH213">
        <f t="shared" si="44"/>
        <v>3.0000000000000165E-4</v>
      </c>
      <c r="AI213">
        <f t="shared" si="45"/>
        <v>5.0000000000000044E-4</v>
      </c>
      <c r="AJ213">
        <f t="shared" si="46"/>
        <v>1.5000000000000013E-3</v>
      </c>
      <c r="AK213">
        <f t="shared" si="47"/>
        <v>1.7000000000000036E-3</v>
      </c>
      <c r="AL213">
        <f t="shared" si="48"/>
        <v>1.4000000000000019E-3</v>
      </c>
      <c r="AM213">
        <f t="shared" si="49"/>
        <v>1.2000000000000031E-3</v>
      </c>
      <c r="AN213">
        <f t="shared" si="50"/>
        <v>1.1000000000000038E-3</v>
      </c>
      <c r="AO213">
        <f t="shared" si="51"/>
        <v>1.1000000000000038E-3</v>
      </c>
      <c r="AP213">
        <f t="shared" si="52"/>
        <v>9.0000000000000496E-4</v>
      </c>
    </row>
    <row r="214" spans="17:42" x14ac:dyDescent="0.25">
      <c r="Q214" s="1">
        <v>44747</v>
      </c>
      <c r="R214">
        <v>1.3300000000000001E-2</v>
      </c>
      <c r="S214">
        <v>1.7100000000000001E-2</v>
      </c>
      <c r="T214">
        <v>1.9E-2</v>
      </c>
      <c r="U214">
        <v>2.5899999999999999E-2</v>
      </c>
      <c r="V214">
        <v>2.7699999999999999E-2</v>
      </c>
      <c r="W214">
        <v>2.8199999999999999E-2</v>
      </c>
      <c r="X214">
        <v>2.8199999999999999E-2</v>
      </c>
      <c r="Y214">
        <v>2.8199999999999999E-2</v>
      </c>
      <c r="Z214">
        <v>2.87E-2</v>
      </c>
      <c r="AA214">
        <v>2.8199999999999999E-2</v>
      </c>
      <c r="AB214">
        <v>3.3099999999999997E-2</v>
      </c>
      <c r="AC214">
        <v>3.0499999999999999E-2</v>
      </c>
      <c r="AE214">
        <f t="shared" si="41"/>
        <v>6.0000000000000157E-4</v>
      </c>
      <c r="AF214">
        <f t="shared" si="42"/>
        <v>3.0000000000000165E-4</v>
      </c>
      <c r="AG214">
        <f t="shared" si="43"/>
        <v>1.7000000000000001E-3</v>
      </c>
      <c r="AH214">
        <f t="shared" si="44"/>
        <v>6.9999999999999923E-4</v>
      </c>
      <c r="AI214">
        <f t="shared" si="45"/>
        <v>-2.0000000000000226E-4</v>
      </c>
      <c r="AJ214">
        <f t="shared" si="46"/>
        <v>-1.9999999999999879E-4</v>
      </c>
      <c r="AK214">
        <f t="shared" si="47"/>
        <v>-3.0000000000000165E-4</v>
      </c>
      <c r="AL214">
        <f t="shared" si="48"/>
        <v>-5.9999999999999984E-4</v>
      </c>
      <c r="AM214">
        <f t="shared" si="49"/>
        <v>-5.0000000000000044E-4</v>
      </c>
      <c r="AN214">
        <f t="shared" si="50"/>
        <v>-5.9999999999999984E-4</v>
      </c>
      <c r="AO214">
        <f t="shared" si="51"/>
        <v>-4.0000000000000452E-4</v>
      </c>
      <c r="AP214">
        <f t="shared" si="52"/>
        <v>-5.9999999999999984E-4</v>
      </c>
    </row>
    <row r="215" spans="17:42" x14ac:dyDescent="0.25">
      <c r="Q215" s="1">
        <v>44743</v>
      </c>
      <c r="R215">
        <v>1.2699999999999999E-2</v>
      </c>
      <c r="S215">
        <v>1.6799999999999999E-2</v>
      </c>
      <c r="T215">
        <v>1.7299999999999999E-2</v>
      </c>
      <c r="U215">
        <v>2.52E-2</v>
      </c>
      <c r="V215">
        <v>2.7900000000000001E-2</v>
      </c>
      <c r="W215">
        <v>2.8399999999999998E-2</v>
      </c>
      <c r="X215">
        <v>2.8500000000000001E-2</v>
      </c>
      <c r="Y215">
        <v>2.8799999999999999E-2</v>
      </c>
      <c r="Z215">
        <v>2.92E-2</v>
      </c>
      <c r="AA215">
        <v>2.8799999999999999E-2</v>
      </c>
      <c r="AB215">
        <v>3.3500000000000002E-2</v>
      </c>
      <c r="AC215">
        <v>3.1099999999999999E-2</v>
      </c>
      <c r="AE215">
        <f t="shared" si="41"/>
        <v>-1.0000000000000113E-4</v>
      </c>
      <c r="AF215">
        <f t="shared" si="42"/>
        <v>0</v>
      </c>
      <c r="AG215">
        <f t="shared" si="43"/>
        <v>9.9999999999999395E-5</v>
      </c>
      <c r="AH215">
        <f t="shared" si="44"/>
        <v>1.0000000000000286E-4</v>
      </c>
      <c r="AI215">
        <f t="shared" si="45"/>
        <v>-9.9999999999995925E-5</v>
      </c>
      <c r="AJ215">
        <f t="shared" si="46"/>
        <v>-8.000000000000021E-4</v>
      </c>
      <c r="AK215">
        <f t="shared" si="47"/>
        <v>-1.4000000000000019E-3</v>
      </c>
      <c r="AL215">
        <f t="shared" si="48"/>
        <v>-1.2999999999999991E-3</v>
      </c>
      <c r="AM215">
        <f t="shared" si="49"/>
        <v>-1.1999999999999997E-3</v>
      </c>
      <c r="AN215">
        <f t="shared" si="50"/>
        <v>-1.0000000000000009E-3</v>
      </c>
      <c r="AO215">
        <f t="shared" si="51"/>
        <v>-2.9999999999999472E-4</v>
      </c>
      <c r="AP215">
        <f t="shared" si="52"/>
        <v>-3.0000000000000512E-4</v>
      </c>
    </row>
    <row r="216" spans="17:42" x14ac:dyDescent="0.25">
      <c r="Q216" s="1">
        <v>44742</v>
      </c>
      <c r="R216">
        <v>1.2800000000000001E-2</v>
      </c>
      <c r="S216">
        <v>1.6799999999999999E-2</v>
      </c>
      <c r="T216">
        <v>1.72E-2</v>
      </c>
      <c r="U216">
        <v>2.5099999999999997E-2</v>
      </c>
      <c r="V216">
        <v>2.7999999999999997E-2</v>
      </c>
      <c r="W216">
        <v>2.92E-2</v>
      </c>
      <c r="X216">
        <v>2.9900000000000003E-2</v>
      </c>
      <c r="Y216">
        <v>3.0099999999999998E-2</v>
      </c>
      <c r="Z216">
        <v>3.04E-2</v>
      </c>
      <c r="AA216">
        <v>2.98E-2</v>
      </c>
      <c r="AB216">
        <v>3.3799999999999997E-2</v>
      </c>
      <c r="AC216">
        <v>3.1400000000000004E-2</v>
      </c>
      <c r="AE216">
        <f t="shared" si="41"/>
        <v>1.599999999999999E-3</v>
      </c>
      <c r="AF216">
        <f t="shared" si="42"/>
        <v>1.4999999999999979E-3</v>
      </c>
      <c r="AG216">
        <f t="shared" si="43"/>
        <v>-5.9999999999999984E-4</v>
      </c>
      <c r="AH216">
        <f t="shared" si="44"/>
        <v>-4.0000000000000105E-4</v>
      </c>
      <c r="AI216">
        <f t="shared" si="45"/>
        <v>-8.000000000000021E-4</v>
      </c>
      <c r="AJ216">
        <f t="shared" si="46"/>
        <v>-1.4000000000000019E-3</v>
      </c>
      <c r="AK216">
        <f t="shared" si="47"/>
        <v>-1.3999999999999985E-3</v>
      </c>
      <c r="AL216">
        <f t="shared" si="48"/>
        <v>-1.4000000000000019E-3</v>
      </c>
      <c r="AM216">
        <f t="shared" si="49"/>
        <v>-1.2999999999999991E-3</v>
      </c>
      <c r="AN216">
        <f t="shared" si="50"/>
        <v>-1.1999999999999997E-3</v>
      </c>
      <c r="AO216">
        <f t="shared" si="51"/>
        <v>-8.000000000000021E-4</v>
      </c>
      <c r="AP216">
        <f t="shared" si="52"/>
        <v>-7.9999999999999516E-4</v>
      </c>
    </row>
    <row r="217" spans="17:42" x14ac:dyDescent="0.25">
      <c r="Q217" s="1">
        <v>44741</v>
      </c>
      <c r="R217">
        <v>1.1200000000000002E-2</v>
      </c>
      <c r="S217">
        <v>1.5300000000000001E-2</v>
      </c>
      <c r="T217">
        <v>1.78E-2</v>
      </c>
      <c r="U217">
        <v>2.5499999999999998E-2</v>
      </c>
      <c r="V217">
        <v>2.8799999999999999E-2</v>
      </c>
      <c r="W217">
        <v>3.0600000000000002E-2</v>
      </c>
      <c r="X217">
        <v>3.1300000000000001E-2</v>
      </c>
      <c r="Y217">
        <v>3.15E-2</v>
      </c>
      <c r="Z217">
        <v>3.1699999999999999E-2</v>
      </c>
      <c r="AA217">
        <v>3.1E-2</v>
      </c>
      <c r="AB217">
        <v>3.4599999999999999E-2</v>
      </c>
      <c r="AC217">
        <v>3.2199999999999999E-2</v>
      </c>
      <c r="AE217">
        <f t="shared" si="41"/>
        <v>0</v>
      </c>
      <c r="AF217">
        <f t="shared" si="42"/>
        <v>-5.9999999999999984E-4</v>
      </c>
      <c r="AG217">
        <f t="shared" si="43"/>
        <v>-9.9999999999999395E-5</v>
      </c>
      <c r="AH217">
        <f t="shared" si="44"/>
        <v>0</v>
      </c>
      <c r="AI217">
        <f t="shared" si="45"/>
        <v>0</v>
      </c>
      <c r="AJ217">
        <f t="shared" si="46"/>
        <v>-3.9999999999999758E-4</v>
      </c>
      <c r="AK217">
        <f t="shared" si="47"/>
        <v>-7.9999999999999516E-4</v>
      </c>
      <c r="AL217">
        <f t="shared" si="48"/>
        <v>-1.0000000000000009E-3</v>
      </c>
      <c r="AM217">
        <f t="shared" si="49"/>
        <v>-1.0000000000000009E-3</v>
      </c>
      <c r="AN217">
        <f t="shared" si="50"/>
        <v>-1.0000000000000009E-3</v>
      </c>
      <c r="AO217">
        <f t="shared" si="51"/>
        <v>-8.9999999999999802E-4</v>
      </c>
      <c r="AP217">
        <f t="shared" si="52"/>
        <v>-8.000000000000021E-4</v>
      </c>
    </row>
    <row r="218" spans="17:42" x14ac:dyDescent="0.25">
      <c r="Q218" s="1">
        <v>44740</v>
      </c>
      <c r="R218">
        <v>1.1200000000000002E-2</v>
      </c>
      <c r="S218">
        <v>1.5900000000000001E-2</v>
      </c>
      <c r="T218">
        <v>1.7899999999999999E-2</v>
      </c>
      <c r="U218">
        <v>2.5499999999999998E-2</v>
      </c>
      <c r="V218">
        <v>2.8799999999999999E-2</v>
      </c>
      <c r="W218">
        <v>3.1E-2</v>
      </c>
      <c r="X218">
        <v>3.2099999999999997E-2</v>
      </c>
      <c r="Y218">
        <v>3.2500000000000001E-2</v>
      </c>
      <c r="Z218">
        <v>3.27E-2</v>
      </c>
      <c r="AA218">
        <v>3.2000000000000001E-2</v>
      </c>
      <c r="AB218">
        <v>3.5499999999999997E-2</v>
      </c>
      <c r="AC218">
        <v>3.3000000000000002E-2</v>
      </c>
      <c r="AE218">
        <f t="shared" si="41"/>
        <v>-3.9999999999999758E-4</v>
      </c>
      <c r="AF218">
        <f t="shared" si="42"/>
        <v>1.9999999999999879E-4</v>
      </c>
      <c r="AG218">
        <f t="shared" si="43"/>
        <v>0</v>
      </c>
      <c r="AH218">
        <f t="shared" si="44"/>
        <v>-1.0000000000000286E-4</v>
      </c>
      <c r="AI218">
        <f t="shared" si="45"/>
        <v>-1.0000000000000286E-4</v>
      </c>
      <c r="AJ218">
        <f t="shared" si="46"/>
        <v>1.9999999999999879E-4</v>
      </c>
      <c r="AK218">
        <f t="shared" si="47"/>
        <v>0</v>
      </c>
      <c r="AL218">
        <f t="shared" si="48"/>
        <v>9.9999999999995925E-5</v>
      </c>
      <c r="AM218">
        <f t="shared" si="49"/>
        <v>0</v>
      </c>
      <c r="AN218">
        <f t="shared" si="50"/>
        <v>0</v>
      </c>
      <c r="AO218">
        <f t="shared" si="51"/>
        <v>-1.0000000000000286E-4</v>
      </c>
      <c r="AP218">
        <f t="shared" si="52"/>
        <v>-9.9999999999995925E-5</v>
      </c>
    </row>
    <row r="219" spans="17:42" x14ac:dyDescent="0.25">
      <c r="Q219" s="1">
        <v>44739</v>
      </c>
      <c r="R219">
        <v>1.1599999999999999E-2</v>
      </c>
      <c r="S219">
        <v>1.5700000000000002E-2</v>
      </c>
      <c r="T219">
        <v>1.7899999999999999E-2</v>
      </c>
      <c r="U219">
        <v>2.5600000000000001E-2</v>
      </c>
      <c r="V219">
        <v>2.8900000000000002E-2</v>
      </c>
      <c r="W219">
        <v>3.0800000000000001E-2</v>
      </c>
      <c r="X219">
        <v>3.2099999999999997E-2</v>
      </c>
      <c r="Y219">
        <v>3.2400000000000005E-2</v>
      </c>
      <c r="Z219">
        <v>3.27E-2</v>
      </c>
      <c r="AA219">
        <v>3.2000000000000001E-2</v>
      </c>
      <c r="AB219">
        <v>3.56E-2</v>
      </c>
      <c r="AC219">
        <v>3.3099999999999997E-2</v>
      </c>
      <c r="AE219">
        <f t="shared" si="41"/>
        <v>-2.9999999999999992E-4</v>
      </c>
      <c r="AF219">
        <f t="shared" si="42"/>
        <v>-2.9999999999999818E-4</v>
      </c>
      <c r="AG219">
        <f t="shared" si="43"/>
        <v>5.9999999999999984E-4</v>
      </c>
      <c r="AH219">
        <f t="shared" si="44"/>
        <v>5.0000000000000391E-4</v>
      </c>
      <c r="AI219">
        <f t="shared" si="45"/>
        <v>5.9999999999999984E-4</v>
      </c>
      <c r="AJ219">
        <f t="shared" si="46"/>
        <v>4.0000000000000105E-4</v>
      </c>
      <c r="AK219">
        <f t="shared" si="47"/>
        <v>7.9999999999999516E-4</v>
      </c>
      <c r="AL219">
        <f t="shared" si="48"/>
        <v>6.0000000000000331E-4</v>
      </c>
      <c r="AM219">
        <f t="shared" si="49"/>
        <v>8.000000000000021E-4</v>
      </c>
      <c r="AN219">
        <f t="shared" si="50"/>
        <v>6.9999999999999923E-4</v>
      </c>
      <c r="AO219">
        <f t="shared" si="51"/>
        <v>5.0000000000000044E-4</v>
      </c>
      <c r="AP219">
        <f t="shared" si="52"/>
        <v>5.0000000000000044E-4</v>
      </c>
    </row>
    <row r="220" spans="17:42" x14ac:dyDescent="0.25">
      <c r="Q220" s="1">
        <v>44736</v>
      </c>
      <c r="R220">
        <v>1.1899999999999999E-2</v>
      </c>
      <c r="S220">
        <v>1.6E-2</v>
      </c>
      <c r="T220">
        <v>1.7299999999999999E-2</v>
      </c>
      <c r="U220">
        <v>2.5099999999999997E-2</v>
      </c>
      <c r="V220">
        <v>2.8300000000000002E-2</v>
      </c>
      <c r="W220">
        <v>3.04E-2</v>
      </c>
      <c r="X220">
        <v>3.1300000000000001E-2</v>
      </c>
      <c r="Y220">
        <v>3.1800000000000002E-2</v>
      </c>
      <c r="Z220">
        <v>3.1899999999999998E-2</v>
      </c>
      <c r="AA220">
        <v>3.1300000000000001E-2</v>
      </c>
      <c r="AB220">
        <v>3.5099999999999999E-2</v>
      </c>
      <c r="AC220">
        <v>3.2599999999999997E-2</v>
      </c>
      <c r="AE220">
        <f t="shared" si="41"/>
        <v>6.999999999999975E-4</v>
      </c>
      <c r="AF220">
        <f t="shared" si="42"/>
        <v>5.9999999999999984E-4</v>
      </c>
      <c r="AG220">
        <f t="shared" si="43"/>
        <v>7.9999999999999863E-4</v>
      </c>
      <c r="AH220">
        <f t="shared" si="44"/>
        <v>6.9999999999999923E-4</v>
      </c>
      <c r="AI220">
        <f t="shared" si="45"/>
        <v>5.0000000000000391E-4</v>
      </c>
      <c r="AJ220">
        <f t="shared" si="46"/>
        <v>3.0000000000000165E-4</v>
      </c>
      <c r="AK220">
        <f t="shared" si="47"/>
        <v>9.9999999999999395E-5</v>
      </c>
      <c r="AL220">
        <f t="shared" si="48"/>
        <v>3.9999999999999758E-4</v>
      </c>
      <c r="AM220">
        <f t="shared" si="49"/>
        <v>2.9999999999999472E-4</v>
      </c>
      <c r="AN220">
        <f t="shared" si="50"/>
        <v>4.0000000000000452E-4</v>
      </c>
      <c r="AO220">
        <f t="shared" si="51"/>
        <v>5.9999999999999637E-4</v>
      </c>
      <c r="AP220">
        <f t="shared" si="52"/>
        <v>5.0000000000000044E-4</v>
      </c>
    </row>
    <row r="221" spans="17:42" x14ac:dyDescent="0.25">
      <c r="Q221" s="1">
        <v>44735</v>
      </c>
      <c r="R221">
        <v>1.1200000000000002E-2</v>
      </c>
      <c r="S221">
        <v>1.54E-2</v>
      </c>
      <c r="T221">
        <v>1.6500000000000001E-2</v>
      </c>
      <c r="U221">
        <v>2.4399999999999998E-2</v>
      </c>
      <c r="V221">
        <v>2.7799999999999998E-2</v>
      </c>
      <c r="W221">
        <v>3.0099999999999998E-2</v>
      </c>
      <c r="X221">
        <v>3.1200000000000002E-2</v>
      </c>
      <c r="Y221">
        <v>3.1400000000000004E-2</v>
      </c>
      <c r="Z221">
        <v>3.1600000000000003E-2</v>
      </c>
      <c r="AA221">
        <v>3.0899999999999997E-2</v>
      </c>
      <c r="AB221">
        <v>3.4500000000000003E-2</v>
      </c>
      <c r="AC221">
        <v>3.2099999999999997E-2</v>
      </c>
      <c r="AE221">
        <f t="shared" si="41"/>
        <v>1.4000000000000019E-3</v>
      </c>
      <c r="AF221">
        <f t="shared" si="42"/>
        <v>1.2000000000000014E-3</v>
      </c>
      <c r="AG221">
        <f t="shared" si="43"/>
        <v>4.0000000000000105E-4</v>
      </c>
      <c r="AH221">
        <f t="shared" si="44"/>
        <v>3.9999999999999758E-4</v>
      </c>
      <c r="AI221">
        <f t="shared" si="45"/>
        <v>-1.0000000000000286E-4</v>
      </c>
      <c r="AJ221">
        <f t="shared" si="46"/>
        <v>-5.0000000000000391E-4</v>
      </c>
      <c r="AK221">
        <f t="shared" si="47"/>
        <v>-7.9999999999999863E-4</v>
      </c>
      <c r="AL221">
        <f t="shared" si="48"/>
        <v>-7.9999999999999516E-4</v>
      </c>
      <c r="AM221">
        <f t="shared" si="49"/>
        <v>-8.000000000000021E-4</v>
      </c>
      <c r="AN221">
        <f t="shared" si="50"/>
        <v>-7.0000000000000617E-4</v>
      </c>
      <c r="AO221">
        <f t="shared" si="51"/>
        <v>-3.9999999999999758E-4</v>
      </c>
      <c r="AP221">
        <f t="shared" si="52"/>
        <v>-4.0000000000000452E-4</v>
      </c>
    </row>
    <row r="222" spans="17:42" x14ac:dyDescent="0.25">
      <c r="Q222" s="1">
        <v>44734</v>
      </c>
      <c r="R222">
        <v>9.7999999999999997E-3</v>
      </c>
      <c r="S222">
        <v>1.4199999999999999E-2</v>
      </c>
      <c r="T222">
        <v>1.61E-2</v>
      </c>
      <c r="U222">
        <v>2.4E-2</v>
      </c>
      <c r="V222">
        <v>2.7900000000000001E-2</v>
      </c>
      <c r="W222">
        <v>3.0600000000000002E-2</v>
      </c>
      <c r="X222">
        <v>3.2000000000000001E-2</v>
      </c>
      <c r="Y222">
        <v>3.2199999999999999E-2</v>
      </c>
      <c r="Z222">
        <v>3.2400000000000005E-2</v>
      </c>
      <c r="AA222">
        <v>3.1600000000000003E-2</v>
      </c>
      <c r="AB222">
        <v>3.49E-2</v>
      </c>
      <c r="AC222">
        <v>3.2500000000000001E-2</v>
      </c>
      <c r="AE222">
        <f t="shared" si="41"/>
        <v>-1.0000000000000009E-3</v>
      </c>
      <c r="AF222">
        <f t="shared" si="42"/>
        <v>-6.0000000000000157E-4</v>
      </c>
      <c r="AG222">
        <f t="shared" si="43"/>
        <v>-9.0000000000000149E-4</v>
      </c>
      <c r="AH222">
        <f t="shared" si="44"/>
        <v>-5.9999999999999984E-4</v>
      </c>
      <c r="AI222">
        <f t="shared" si="45"/>
        <v>-1.2999999999999991E-3</v>
      </c>
      <c r="AJ222">
        <f t="shared" si="46"/>
        <v>-1.4999999999999944E-3</v>
      </c>
      <c r="AK222">
        <f t="shared" si="47"/>
        <v>-1.5000000000000013E-3</v>
      </c>
      <c r="AL222">
        <f t="shared" si="48"/>
        <v>-1.5999999999999973E-3</v>
      </c>
      <c r="AM222">
        <f t="shared" si="49"/>
        <v>-1.4999999999999944E-3</v>
      </c>
      <c r="AN222">
        <f t="shared" si="50"/>
        <v>-1.4999999999999944E-3</v>
      </c>
      <c r="AO222">
        <f t="shared" si="51"/>
        <v>-1.3999999999999985E-3</v>
      </c>
      <c r="AP222">
        <f t="shared" si="52"/>
        <v>-1.3999999999999985E-3</v>
      </c>
    </row>
    <row r="223" spans="17:42" x14ac:dyDescent="0.25">
      <c r="Q223" s="1">
        <v>44733</v>
      </c>
      <c r="R223">
        <v>1.0800000000000001E-2</v>
      </c>
      <c r="S223">
        <v>1.4800000000000001E-2</v>
      </c>
      <c r="T223">
        <v>1.7000000000000001E-2</v>
      </c>
      <c r="U223">
        <v>2.46E-2</v>
      </c>
      <c r="V223">
        <v>2.92E-2</v>
      </c>
      <c r="W223">
        <v>3.2099999999999997E-2</v>
      </c>
      <c r="X223">
        <v>3.3500000000000002E-2</v>
      </c>
      <c r="Y223">
        <v>3.3799999999999997E-2</v>
      </c>
      <c r="Z223">
        <v>3.39E-2</v>
      </c>
      <c r="AA223">
        <v>3.3099999999999997E-2</v>
      </c>
      <c r="AB223">
        <v>3.6299999999999999E-2</v>
      </c>
      <c r="AC223">
        <v>3.39E-2</v>
      </c>
      <c r="AE223">
        <f t="shared" si="41"/>
        <v>-6.9999999999999923E-4</v>
      </c>
      <c r="AF223">
        <f t="shared" si="42"/>
        <v>-1.9999999999999879E-4</v>
      </c>
      <c r="AG223">
        <f t="shared" si="43"/>
        <v>7.000000000000027E-4</v>
      </c>
      <c r="AH223">
        <f t="shared" si="44"/>
        <v>2.1000000000000012E-3</v>
      </c>
      <c r="AI223">
        <f t="shared" si="45"/>
        <v>5.9999999999999984E-4</v>
      </c>
      <c r="AJ223">
        <f t="shared" si="46"/>
        <v>3.9999999999999758E-4</v>
      </c>
      <c r="AK223">
        <f t="shared" si="47"/>
        <v>0</v>
      </c>
      <c r="AL223">
        <f t="shared" si="48"/>
        <v>3.9999999999999758E-4</v>
      </c>
      <c r="AM223">
        <f t="shared" si="49"/>
        <v>5.0000000000000044E-4</v>
      </c>
      <c r="AN223">
        <f t="shared" si="50"/>
        <v>5.9999999999999637E-4</v>
      </c>
      <c r="AO223">
        <f t="shared" si="51"/>
        <v>8.000000000000021E-4</v>
      </c>
      <c r="AP223">
        <f t="shared" si="52"/>
        <v>8.9999999999999802E-4</v>
      </c>
    </row>
    <row r="224" spans="17:42" x14ac:dyDescent="0.25">
      <c r="Q224" s="1">
        <v>44729</v>
      </c>
      <c r="R224">
        <v>1.15E-2</v>
      </c>
      <c r="S224">
        <v>1.4999999999999999E-2</v>
      </c>
      <c r="T224">
        <v>1.6299999999999999E-2</v>
      </c>
      <c r="U224">
        <v>2.2499999999999999E-2</v>
      </c>
      <c r="V224">
        <v>2.86E-2</v>
      </c>
      <c r="W224">
        <v>3.1699999999999999E-2</v>
      </c>
      <c r="X224">
        <v>3.3500000000000002E-2</v>
      </c>
      <c r="Y224">
        <v>3.3399999999999999E-2</v>
      </c>
      <c r="Z224">
        <v>3.3399999999999999E-2</v>
      </c>
      <c r="AA224">
        <v>3.2500000000000001E-2</v>
      </c>
      <c r="AB224">
        <v>3.5499999999999997E-2</v>
      </c>
      <c r="AC224">
        <v>3.3000000000000002E-2</v>
      </c>
      <c r="AE224">
        <f t="shared" si="41"/>
        <v>-3.9999999999999931E-4</v>
      </c>
      <c r="AF224">
        <f t="shared" si="42"/>
        <v>2.9999999999999992E-4</v>
      </c>
      <c r="AG224">
        <f t="shared" si="43"/>
        <v>3.9999999999999758E-4</v>
      </c>
      <c r="AH224">
        <f t="shared" si="44"/>
        <v>9.9999999999995925E-5</v>
      </c>
      <c r="AI224">
        <f t="shared" si="45"/>
        <v>-1.9999999999999879E-4</v>
      </c>
      <c r="AJ224">
        <f t="shared" si="46"/>
        <v>2.9999999999999472E-4</v>
      </c>
      <c r="AK224">
        <f t="shared" si="47"/>
        <v>1.9999999999999879E-4</v>
      </c>
      <c r="AL224">
        <f t="shared" si="48"/>
        <v>-1.0000000000000286E-4</v>
      </c>
      <c r="AM224">
        <f t="shared" si="49"/>
        <v>-1.9999999999999879E-4</v>
      </c>
      <c r="AN224">
        <f t="shared" si="50"/>
        <v>-2.9999999999999472E-4</v>
      </c>
      <c r="AO224">
        <f t="shared" si="51"/>
        <v>-4.0000000000000452E-4</v>
      </c>
      <c r="AP224">
        <f t="shared" si="52"/>
        <v>-5.0000000000000044E-4</v>
      </c>
    </row>
    <row r="225" spans="17:42" x14ac:dyDescent="0.25">
      <c r="Q225" s="1">
        <v>44728</v>
      </c>
      <c r="R225">
        <v>1.1899999999999999E-2</v>
      </c>
      <c r="S225">
        <v>1.47E-2</v>
      </c>
      <c r="T225">
        <v>1.5900000000000001E-2</v>
      </c>
      <c r="U225">
        <v>2.2400000000000003E-2</v>
      </c>
      <c r="V225">
        <v>2.8799999999999999E-2</v>
      </c>
      <c r="W225">
        <v>3.1400000000000004E-2</v>
      </c>
      <c r="X225">
        <v>3.3300000000000003E-2</v>
      </c>
      <c r="Y225">
        <v>3.3500000000000002E-2</v>
      </c>
      <c r="Z225">
        <v>3.3599999999999998E-2</v>
      </c>
      <c r="AA225">
        <v>3.2799999999999996E-2</v>
      </c>
      <c r="AB225">
        <v>3.5900000000000001E-2</v>
      </c>
      <c r="AC225">
        <v>3.3500000000000002E-2</v>
      </c>
      <c r="AE225">
        <f t="shared" si="41"/>
        <v>-2.0000000000000052E-4</v>
      </c>
      <c r="AF225">
        <f t="shared" si="42"/>
        <v>-9.0000000000000149E-4</v>
      </c>
      <c r="AG225">
        <f t="shared" si="43"/>
        <v>-1.4999999999999979E-3</v>
      </c>
      <c r="AH225">
        <f t="shared" si="44"/>
        <v>-7.9999999999999516E-4</v>
      </c>
      <c r="AI225">
        <f t="shared" si="45"/>
        <v>-5.0000000000000391E-4</v>
      </c>
      <c r="AJ225">
        <f t="shared" si="46"/>
        <v>-5.9999999999999637E-4</v>
      </c>
      <c r="AK225">
        <f t="shared" si="47"/>
        <v>-1.9999999999999879E-4</v>
      </c>
      <c r="AL225">
        <f t="shared" si="48"/>
        <v>-2.9999999999999472E-4</v>
      </c>
      <c r="AM225">
        <f t="shared" si="49"/>
        <v>-3.0000000000000165E-4</v>
      </c>
      <c r="AN225">
        <f t="shared" si="50"/>
        <v>-5.0000000000000738E-4</v>
      </c>
      <c r="AO225">
        <f t="shared" si="51"/>
        <v>-5.0000000000000044E-4</v>
      </c>
      <c r="AP225">
        <f t="shared" si="52"/>
        <v>-3.9999999999999758E-4</v>
      </c>
    </row>
    <row r="226" spans="17:42" x14ac:dyDescent="0.25">
      <c r="Q226" s="1">
        <v>44727</v>
      </c>
      <c r="R226">
        <v>1.21E-2</v>
      </c>
      <c r="S226">
        <v>1.5600000000000001E-2</v>
      </c>
      <c r="T226">
        <v>1.7399999999999999E-2</v>
      </c>
      <c r="U226">
        <v>2.3199999999999998E-2</v>
      </c>
      <c r="V226">
        <v>2.9300000000000003E-2</v>
      </c>
      <c r="W226">
        <v>3.2000000000000001E-2</v>
      </c>
      <c r="X226">
        <v>3.3500000000000002E-2</v>
      </c>
      <c r="Y226">
        <v>3.3799999999999997E-2</v>
      </c>
      <c r="Z226">
        <v>3.39E-2</v>
      </c>
      <c r="AA226">
        <v>3.3300000000000003E-2</v>
      </c>
      <c r="AB226">
        <v>3.6400000000000002E-2</v>
      </c>
      <c r="AC226">
        <v>3.39E-2</v>
      </c>
      <c r="AE226">
        <f t="shared" si="41"/>
        <v>2.0000000000000052E-4</v>
      </c>
      <c r="AF226">
        <f t="shared" si="42"/>
        <v>1.0000000000000113E-4</v>
      </c>
      <c r="AG226">
        <f t="shared" si="43"/>
        <v>-9.0000000000000149E-4</v>
      </c>
      <c r="AH226">
        <f t="shared" si="44"/>
        <v>-1.1000000000000038E-3</v>
      </c>
      <c r="AI226">
        <f t="shared" si="45"/>
        <v>-2.1999999999999971E-3</v>
      </c>
      <c r="AJ226">
        <f t="shared" si="46"/>
        <v>-2.5000000000000022E-3</v>
      </c>
      <c r="AK226">
        <f t="shared" si="47"/>
        <v>-2.5000000000000022E-3</v>
      </c>
      <c r="AL226">
        <f t="shared" si="48"/>
        <v>-2.3000000000000034E-3</v>
      </c>
      <c r="AM226">
        <f t="shared" si="49"/>
        <v>-2.1000000000000046E-3</v>
      </c>
      <c r="AN226">
        <f t="shared" si="50"/>
        <v>-1.5999999999999973E-3</v>
      </c>
      <c r="AO226">
        <f t="shared" si="51"/>
        <v>-8.000000000000021E-4</v>
      </c>
      <c r="AP226">
        <f t="shared" si="52"/>
        <v>-6.0000000000000331E-4</v>
      </c>
    </row>
    <row r="227" spans="17:42" x14ac:dyDescent="0.25">
      <c r="Q227" s="1">
        <v>44726</v>
      </c>
      <c r="R227">
        <v>1.1899999999999999E-2</v>
      </c>
      <c r="S227">
        <v>1.55E-2</v>
      </c>
      <c r="T227">
        <v>1.83E-2</v>
      </c>
      <c r="U227">
        <v>2.4300000000000002E-2</v>
      </c>
      <c r="V227">
        <v>3.15E-2</v>
      </c>
      <c r="W227">
        <v>3.4500000000000003E-2</v>
      </c>
      <c r="X227">
        <v>3.6000000000000004E-2</v>
      </c>
      <c r="Y227">
        <v>3.61E-2</v>
      </c>
      <c r="Z227">
        <v>3.6000000000000004E-2</v>
      </c>
      <c r="AA227">
        <v>3.49E-2</v>
      </c>
      <c r="AB227">
        <v>3.7200000000000004E-2</v>
      </c>
      <c r="AC227">
        <v>3.4500000000000003E-2</v>
      </c>
      <c r="AE227">
        <f t="shared" si="41"/>
        <v>5.9999999999999984E-4</v>
      </c>
      <c r="AF227">
        <f t="shared" si="42"/>
        <v>1.0000000000000009E-3</v>
      </c>
      <c r="AG227">
        <f t="shared" si="43"/>
        <v>1.0000000000000009E-3</v>
      </c>
      <c r="AH227">
        <f t="shared" si="44"/>
        <v>1.800000000000003E-3</v>
      </c>
      <c r="AI227">
        <f t="shared" si="45"/>
        <v>2.5999999999999981E-3</v>
      </c>
      <c r="AJ227">
        <f t="shared" si="46"/>
        <v>5.0000000000000044E-4</v>
      </c>
      <c r="AK227">
        <f t="shared" si="47"/>
        <v>4.0000000000000452E-4</v>
      </c>
      <c r="AL227">
        <f t="shared" si="48"/>
        <v>5.0000000000000044E-4</v>
      </c>
      <c r="AM227">
        <f t="shared" si="49"/>
        <v>7.0000000000000617E-4</v>
      </c>
      <c r="AN227">
        <f t="shared" si="50"/>
        <v>5.9999999999999637E-4</v>
      </c>
      <c r="AO227">
        <f t="shared" si="51"/>
        <v>4.0000000000000452E-4</v>
      </c>
      <c r="AP227">
        <f t="shared" si="52"/>
        <v>3.0000000000000165E-4</v>
      </c>
    </row>
    <row r="228" spans="17:42" x14ac:dyDescent="0.25">
      <c r="Q228" s="1">
        <v>44725</v>
      </c>
      <c r="R228">
        <v>1.1299999999999999E-2</v>
      </c>
      <c r="S228">
        <v>1.4499999999999999E-2</v>
      </c>
      <c r="T228">
        <v>1.7299999999999999E-2</v>
      </c>
      <c r="U228">
        <v>2.2499999999999999E-2</v>
      </c>
      <c r="V228">
        <v>2.8900000000000002E-2</v>
      </c>
      <c r="W228">
        <v>3.4000000000000002E-2</v>
      </c>
      <c r="X228">
        <v>3.56E-2</v>
      </c>
      <c r="Y228">
        <v>3.56E-2</v>
      </c>
      <c r="Z228">
        <v>3.5299999999999998E-2</v>
      </c>
      <c r="AA228">
        <v>3.4300000000000004E-2</v>
      </c>
      <c r="AB228">
        <v>3.6799999999999999E-2</v>
      </c>
      <c r="AC228">
        <v>3.4200000000000001E-2</v>
      </c>
      <c r="AE228">
        <f t="shared" si="41"/>
        <v>2.9999999999999818E-4</v>
      </c>
      <c r="AF228">
        <f t="shared" si="42"/>
        <v>1.9999999999999983E-3</v>
      </c>
      <c r="AG228">
        <f t="shared" si="43"/>
        <v>3.4000000000000002E-3</v>
      </c>
      <c r="AH228">
        <f t="shared" si="44"/>
        <v>2.700000000000001E-3</v>
      </c>
      <c r="AI228">
        <f t="shared" si="45"/>
        <v>3.1000000000000021E-3</v>
      </c>
      <c r="AJ228">
        <f t="shared" si="46"/>
        <v>3.4000000000000002E-3</v>
      </c>
      <c r="AK228">
        <f t="shared" si="47"/>
        <v>3.5000000000000031E-3</v>
      </c>
      <c r="AL228">
        <f t="shared" si="48"/>
        <v>3.0999999999999986E-3</v>
      </c>
      <c r="AM228">
        <f t="shared" si="49"/>
        <v>2.8999999999999929E-3</v>
      </c>
      <c r="AN228">
        <f t="shared" si="50"/>
        <v>2.8000000000000039E-3</v>
      </c>
      <c r="AO228">
        <f t="shared" si="51"/>
        <v>2.2999999999999965E-3</v>
      </c>
      <c r="AP228">
        <f t="shared" si="52"/>
        <v>2.2000000000000006E-3</v>
      </c>
    </row>
    <row r="229" spans="17:42" x14ac:dyDescent="0.25">
      <c r="Q229" s="1">
        <v>44722</v>
      </c>
      <c r="R229">
        <v>1.1000000000000001E-2</v>
      </c>
      <c r="S229">
        <v>1.2500000000000001E-2</v>
      </c>
      <c r="T229">
        <v>1.3899999999999999E-2</v>
      </c>
      <c r="U229">
        <v>1.9799999999999998E-2</v>
      </c>
      <c r="V229">
        <v>2.58E-2</v>
      </c>
      <c r="W229">
        <v>3.0600000000000002E-2</v>
      </c>
      <c r="X229">
        <v>3.2099999999999997E-2</v>
      </c>
      <c r="Y229">
        <v>3.2500000000000001E-2</v>
      </c>
      <c r="Z229">
        <v>3.2400000000000005E-2</v>
      </c>
      <c r="AA229">
        <v>3.15E-2</v>
      </c>
      <c r="AB229">
        <v>3.4500000000000003E-2</v>
      </c>
      <c r="AC229">
        <v>3.2000000000000001E-2</v>
      </c>
      <c r="AE229">
        <f t="shared" si="41"/>
        <v>5.0000000000000044E-4</v>
      </c>
      <c r="AF229">
        <f t="shared" si="42"/>
        <v>8.000000000000021E-4</v>
      </c>
      <c r="AG229">
        <f t="shared" si="43"/>
        <v>8.9999999999999802E-4</v>
      </c>
      <c r="AH229">
        <f t="shared" si="44"/>
        <v>1.6999999999999967E-3</v>
      </c>
      <c r="AI229">
        <f t="shared" si="45"/>
        <v>2.3E-3</v>
      </c>
      <c r="AJ229">
        <f t="shared" si="46"/>
        <v>2.3E-3</v>
      </c>
      <c r="AK229">
        <f t="shared" si="47"/>
        <v>2.1999999999999936E-3</v>
      </c>
      <c r="AL229">
        <f t="shared" si="48"/>
        <v>1.800000000000003E-3</v>
      </c>
      <c r="AM229">
        <f t="shared" si="49"/>
        <v>1.6000000000000042E-3</v>
      </c>
      <c r="AN229">
        <f t="shared" si="50"/>
        <v>1.1000000000000003E-3</v>
      </c>
      <c r="AO229">
        <f t="shared" si="51"/>
        <v>5.0000000000000044E-4</v>
      </c>
      <c r="AP229">
        <f t="shared" si="52"/>
        <v>1.9999999999999879E-4</v>
      </c>
    </row>
    <row r="230" spans="17:42" x14ac:dyDescent="0.25">
      <c r="Q230" s="1">
        <v>44721</v>
      </c>
      <c r="R230">
        <v>1.0500000000000001E-2</v>
      </c>
      <c r="S230">
        <v>1.1699999999999999E-2</v>
      </c>
      <c r="T230">
        <v>1.3000000000000001E-2</v>
      </c>
      <c r="U230">
        <v>1.8100000000000002E-2</v>
      </c>
      <c r="V230">
        <v>2.35E-2</v>
      </c>
      <c r="W230">
        <v>2.8300000000000002E-2</v>
      </c>
      <c r="X230">
        <v>2.9900000000000003E-2</v>
      </c>
      <c r="Y230">
        <v>3.0699999999999998E-2</v>
      </c>
      <c r="Z230">
        <v>3.0800000000000001E-2</v>
      </c>
      <c r="AA230">
        <v>3.04E-2</v>
      </c>
      <c r="AB230">
        <v>3.4000000000000002E-2</v>
      </c>
      <c r="AC230">
        <v>3.1800000000000002E-2</v>
      </c>
      <c r="AE230">
        <f t="shared" si="41"/>
        <v>1.6000000000000007E-3</v>
      </c>
      <c r="AF230">
        <f t="shared" si="42"/>
        <v>6.999999999999975E-4</v>
      </c>
      <c r="AG230">
        <f t="shared" si="43"/>
        <v>2.0000000000000052E-4</v>
      </c>
      <c r="AH230">
        <f t="shared" si="44"/>
        <v>4.0000000000000105E-4</v>
      </c>
      <c r="AI230">
        <f t="shared" si="45"/>
        <v>5.9999999999999984E-4</v>
      </c>
      <c r="AJ230">
        <f t="shared" si="46"/>
        <v>5.0000000000000391E-4</v>
      </c>
      <c r="AK230">
        <f t="shared" si="47"/>
        <v>5.0000000000000391E-4</v>
      </c>
      <c r="AL230">
        <f t="shared" si="48"/>
        <v>4.0000000000000105E-4</v>
      </c>
      <c r="AM230">
        <f t="shared" si="49"/>
        <v>1.9999999999999879E-4</v>
      </c>
      <c r="AN230">
        <f t="shared" si="50"/>
        <v>1.0000000000000286E-4</v>
      </c>
      <c r="AO230">
        <f t="shared" si="51"/>
        <v>0</v>
      </c>
      <c r="AP230">
        <f t="shared" si="52"/>
        <v>0</v>
      </c>
    </row>
    <row r="231" spans="17:42" x14ac:dyDescent="0.25">
      <c r="Q231" s="1">
        <v>44720</v>
      </c>
      <c r="R231">
        <v>8.8999999999999999E-3</v>
      </c>
      <c r="S231">
        <v>1.1000000000000001E-2</v>
      </c>
      <c r="T231">
        <v>1.2800000000000001E-2</v>
      </c>
      <c r="U231">
        <v>1.77E-2</v>
      </c>
      <c r="V231">
        <v>2.29E-2</v>
      </c>
      <c r="W231">
        <v>2.7799999999999998E-2</v>
      </c>
      <c r="X231">
        <v>2.9399999999999999E-2</v>
      </c>
      <c r="Y231">
        <v>3.0299999999999997E-2</v>
      </c>
      <c r="Z231">
        <v>3.0600000000000002E-2</v>
      </c>
      <c r="AA231">
        <v>3.0299999999999997E-2</v>
      </c>
      <c r="AB231">
        <v>3.4000000000000002E-2</v>
      </c>
      <c r="AC231">
        <v>3.1800000000000002E-2</v>
      </c>
      <c r="AE231">
        <f t="shared" si="41"/>
        <v>2.0000000000000052E-4</v>
      </c>
      <c r="AF231">
        <f t="shared" si="42"/>
        <v>2.0000000000000052E-4</v>
      </c>
      <c r="AG231">
        <f t="shared" si="43"/>
        <v>2.0000000000000052E-4</v>
      </c>
      <c r="AH231">
        <f t="shared" si="44"/>
        <v>1.9999999999999879E-4</v>
      </c>
      <c r="AI231">
        <f t="shared" si="45"/>
        <v>3.0000000000000165E-4</v>
      </c>
      <c r="AJ231">
        <f t="shared" si="46"/>
        <v>2.9999999999999818E-4</v>
      </c>
      <c r="AK231">
        <f t="shared" si="47"/>
        <v>2.9999999999999818E-4</v>
      </c>
      <c r="AL231">
        <f t="shared" si="48"/>
        <v>3.9999999999999411E-4</v>
      </c>
      <c r="AM231">
        <f t="shared" si="49"/>
        <v>4.0000000000000105E-4</v>
      </c>
      <c r="AN231">
        <f t="shared" si="50"/>
        <v>4.9999999999999697E-4</v>
      </c>
      <c r="AO231">
        <f t="shared" si="51"/>
        <v>5.0000000000000044E-4</v>
      </c>
      <c r="AP231">
        <f t="shared" si="52"/>
        <v>5.0000000000000044E-4</v>
      </c>
    </row>
    <row r="232" spans="17:42" x14ac:dyDescent="0.25">
      <c r="Q232" s="1">
        <v>44719</v>
      </c>
      <c r="R232">
        <v>8.6999999999999994E-3</v>
      </c>
      <c r="S232">
        <v>1.0800000000000001E-2</v>
      </c>
      <c r="T232">
        <v>1.26E-2</v>
      </c>
      <c r="U232">
        <v>1.7500000000000002E-2</v>
      </c>
      <c r="V232">
        <v>2.2599999999999999E-2</v>
      </c>
      <c r="W232">
        <v>2.75E-2</v>
      </c>
      <c r="X232">
        <v>2.9100000000000001E-2</v>
      </c>
      <c r="Y232">
        <v>2.9900000000000003E-2</v>
      </c>
      <c r="Z232">
        <v>3.0200000000000001E-2</v>
      </c>
      <c r="AA232">
        <v>2.98E-2</v>
      </c>
      <c r="AB232">
        <v>3.3500000000000002E-2</v>
      </c>
      <c r="AC232">
        <v>3.1300000000000001E-2</v>
      </c>
      <c r="AE232">
        <f t="shared" si="41"/>
        <v>-1.0000000000000113E-4</v>
      </c>
      <c r="AF232">
        <f t="shared" si="42"/>
        <v>9.9999999999999395E-5</v>
      </c>
      <c r="AG232">
        <f t="shared" si="43"/>
        <v>0</v>
      </c>
      <c r="AH232">
        <f t="shared" si="44"/>
        <v>1.0000000000000286E-4</v>
      </c>
      <c r="AI232">
        <f t="shared" si="45"/>
        <v>2.9999999999999818E-4</v>
      </c>
      <c r="AJ232">
        <f t="shared" si="46"/>
        <v>1.9999999999999879E-4</v>
      </c>
      <c r="AK232">
        <f t="shared" si="47"/>
        <v>-2.9999999999999818E-4</v>
      </c>
      <c r="AL232">
        <f t="shared" si="48"/>
        <v>-3.9999999999999411E-4</v>
      </c>
      <c r="AM232">
        <f t="shared" si="49"/>
        <v>-4.9999999999999697E-4</v>
      </c>
      <c r="AN232">
        <f t="shared" si="50"/>
        <v>-5.9999999999999984E-4</v>
      </c>
      <c r="AO232">
        <f t="shared" si="51"/>
        <v>-5.9999999999999637E-4</v>
      </c>
      <c r="AP232">
        <f t="shared" si="52"/>
        <v>-5.9999999999999637E-4</v>
      </c>
    </row>
    <row r="233" spans="17:42" x14ac:dyDescent="0.25">
      <c r="Q233" s="1">
        <v>44718</v>
      </c>
      <c r="R233">
        <v>8.8000000000000005E-3</v>
      </c>
      <c r="S233">
        <v>1.0700000000000001E-2</v>
      </c>
      <c r="T233">
        <v>1.26E-2</v>
      </c>
      <c r="U233">
        <v>1.7399999999999999E-2</v>
      </c>
      <c r="V233">
        <v>2.23E-2</v>
      </c>
      <c r="W233">
        <v>2.7300000000000001E-2</v>
      </c>
      <c r="X233">
        <v>2.9399999999999999E-2</v>
      </c>
      <c r="Y233">
        <v>3.0299999999999997E-2</v>
      </c>
      <c r="Z233">
        <v>3.0699999999999998E-2</v>
      </c>
      <c r="AA233">
        <v>3.04E-2</v>
      </c>
      <c r="AB233">
        <v>3.4099999999999998E-2</v>
      </c>
      <c r="AC233">
        <v>3.1899999999999998E-2</v>
      </c>
      <c r="AE233">
        <f t="shared" si="41"/>
        <v>1.0000000000000113E-4</v>
      </c>
      <c r="AF233">
        <f t="shared" si="42"/>
        <v>2.0000000000000052E-4</v>
      </c>
      <c r="AG233">
        <f t="shared" si="43"/>
        <v>5.0000000000000044E-4</v>
      </c>
      <c r="AH233">
        <f t="shared" si="44"/>
        <v>5.9999999999999984E-4</v>
      </c>
      <c r="AI233">
        <f t="shared" si="45"/>
        <v>5.0000000000000044E-4</v>
      </c>
      <c r="AJ233">
        <f t="shared" si="46"/>
        <v>6.9999999999999923E-4</v>
      </c>
      <c r="AK233">
        <f t="shared" si="47"/>
        <v>6.9999999999999923E-4</v>
      </c>
      <c r="AL233">
        <f t="shared" si="48"/>
        <v>7.9999999999999516E-4</v>
      </c>
      <c r="AM233">
        <f t="shared" si="49"/>
        <v>7.9999999999999516E-4</v>
      </c>
      <c r="AN233">
        <f t="shared" si="50"/>
        <v>7.9999999999999863E-4</v>
      </c>
      <c r="AO233">
        <f t="shared" si="51"/>
        <v>7.9999999999999516E-4</v>
      </c>
      <c r="AP233">
        <f t="shared" si="52"/>
        <v>7.9999999999999863E-4</v>
      </c>
    </row>
    <row r="234" spans="17:42" x14ac:dyDescent="0.25">
      <c r="Q234" s="1">
        <v>44715</v>
      </c>
      <c r="R234">
        <v>8.6999999999999994E-3</v>
      </c>
      <c r="S234">
        <v>1.0500000000000001E-2</v>
      </c>
      <c r="T234">
        <v>1.21E-2</v>
      </c>
      <c r="U234">
        <v>1.6799999999999999E-2</v>
      </c>
      <c r="V234">
        <v>2.18E-2</v>
      </c>
      <c r="W234">
        <v>2.6600000000000002E-2</v>
      </c>
      <c r="X234">
        <v>2.87E-2</v>
      </c>
      <c r="Y234">
        <v>2.9500000000000002E-2</v>
      </c>
      <c r="Z234">
        <v>2.9900000000000003E-2</v>
      </c>
      <c r="AA234">
        <v>2.9600000000000001E-2</v>
      </c>
      <c r="AB234">
        <v>3.3300000000000003E-2</v>
      </c>
      <c r="AC234">
        <v>3.1099999999999999E-2</v>
      </c>
      <c r="AE234">
        <f t="shared" si="41"/>
        <v>1.9999999999999879E-4</v>
      </c>
      <c r="AF234">
        <f t="shared" si="42"/>
        <v>0</v>
      </c>
      <c r="AG234">
        <f t="shared" si="43"/>
        <v>4.0000000000000105E-4</v>
      </c>
      <c r="AH234">
        <f t="shared" si="44"/>
        <v>4.0000000000000105E-4</v>
      </c>
      <c r="AI234">
        <f t="shared" si="45"/>
        <v>3.0000000000000165E-4</v>
      </c>
      <c r="AJ234">
        <f t="shared" si="46"/>
        <v>1.0000000000000286E-4</v>
      </c>
      <c r="AK234">
        <f t="shared" si="47"/>
        <v>3.9999999999999758E-4</v>
      </c>
      <c r="AL234">
        <f t="shared" si="48"/>
        <v>3.0000000000000165E-4</v>
      </c>
      <c r="AM234">
        <f t="shared" si="49"/>
        <v>4.0000000000000105E-4</v>
      </c>
      <c r="AN234">
        <f t="shared" si="50"/>
        <v>4.0000000000000105E-4</v>
      </c>
      <c r="AO234">
        <f t="shared" si="51"/>
        <v>3.0000000000000165E-4</v>
      </c>
      <c r="AP234">
        <f t="shared" si="52"/>
        <v>2.0000000000000226E-4</v>
      </c>
    </row>
    <row r="235" spans="17:42" x14ac:dyDescent="0.25">
      <c r="Q235" s="1">
        <v>44714</v>
      </c>
      <c r="R235">
        <v>8.5000000000000006E-3</v>
      </c>
      <c r="S235">
        <v>1.0500000000000001E-2</v>
      </c>
      <c r="T235">
        <v>1.1699999999999999E-2</v>
      </c>
      <c r="U235">
        <v>1.6399999999999998E-2</v>
      </c>
      <c r="V235">
        <v>2.1499999999999998E-2</v>
      </c>
      <c r="W235">
        <v>2.6499999999999999E-2</v>
      </c>
      <c r="X235">
        <v>2.8300000000000002E-2</v>
      </c>
      <c r="Y235">
        <v>2.92E-2</v>
      </c>
      <c r="Z235">
        <v>2.9500000000000002E-2</v>
      </c>
      <c r="AA235">
        <v>2.92E-2</v>
      </c>
      <c r="AB235">
        <v>3.3000000000000002E-2</v>
      </c>
      <c r="AC235">
        <v>3.0899999999999997E-2</v>
      </c>
      <c r="AE235">
        <f t="shared" si="41"/>
        <v>8.0000000000000036E-4</v>
      </c>
      <c r="AF235">
        <f t="shared" si="42"/>
        <v>1.4999999999999996E-3</v>
      </c>
      <c r="AG235">
        <f t="shared" si="43"/>
        <v>1.9999999999999879E-4</v>
      </c>
      <c r="AH235">
        <f t="shared" si="44"/>
        <v>9.9999999999999395E-5</v>
      </c>
      <c r="AI235">
        <f t="shared" si="45"/>
        <v>-1.0000000000000286E-4</v>
      </c>
      <c r="AJ235">
        <f t="shared" si="46"/>
        <v>-1.0000000000000286E-4</v>
      </c>
      <c r="AK235">
        <f t="shared" si="47"/>
        <v>-9.9999999999995925E-5</v>
      </c>
      <c r="AL235">
        <f t="shared" si="48"/>
        <v>-1.9999999999999879E-4</v>
      </c>
      <c r="AM235">
        <f t="shared" si="49"/>
        <v>-2.9999999999999818E-4</v>
      </c>
      <c r="AN235">
        <f t="shared" si="50"/>
        <v>-1.9999999999999879E-4</v>
      </c>
      <c r="AO235">
        <f t="shared" si="51"/>
        <v>-9.9999999999995925E-5</v>
      </c>
      <c r="AP235">
        <f t="shared" si="52"/>
        <v>0</v>
      </c>
    </row>
    <row r="236" spans="17:42" x14ac:dyDescent="0.25">
      <c r="Q236" s="1">
        <v>44713</v>
      </c>
      <c r="R236">
        <v>7.7000000000000002E-3</v>
      </c>
      <c r="S236">
        <v>9.0000000000000011E-3</v>
      </c>
      <c r="T236">
        <v>1.15E-2</v>
      </c>
      <c r="U236">
        <v>1.6299999999999999E-2</v>
      </c>
      <c r="V236">
        <v>2.1600000000000001E-2</v>
      </c>
      <c r="W236">
        <v>2.6600000000000002E-2</v>
      </c>
      <c r="X236">
        <v>2.8399999999999998E-2</v>
      </c>
      <c r="Y236">
        <v>2.9399999999999999E-2</v>
      </c>
      <c r="Z236">
        <v>2.98E-2</v>
      </c>
      <c r="AA236">
        <v>2.9399999999999999E-2</v>
      </c>
      <c r="AB236">
        <v>3.3099999999999997E-2</v>
      </c>
      <c r="AC236">
        <v>3.0899999999999997E-2</v>
      </c>
      <c r="AE236">
        <f t="shared" si="41"/>
        <v>4.0000000000000018E-4</v>
      </c>
      <c r="AF236">
        <f t="shared" si="42"/>
        <v>1.0000000000000113E-4</v>
      </c>
      <c r="AG236">
        <f t="shared" si="43"/>
        <v>-9.9999999999999395E-5</v>
      </c>
      <c r="AH236">
        <f t="shared" si="44"/>
        <v>-9.9999999999999395E-5</v>
      </c>
      <c r="AI236">
        <f t="shared" si="45"/>
        <v>8.000000000000021E-4</v>
      </c>
      <c r="AJ236">
        <f t="shared" si="46"/>
        <v>1.3000000000000025E-3</v>
      </c>
      <c r="AK236">
        <f t="shared" si="47"/>
        <v>1.2999999999999991E-3</v>
      </c>
      <c r="AL236">
        <f t="shared" si="48"/>
        <v>1.2999999999999991E-3</v>
      </c>
      <c r="AM236">
        <f t="shared" si="49"/>
        <v>1.1000000000000003E-3</v>
      </c>
      <c r="AN236">
        <f t="shared" si="50"/>
        <v>8.9999999999999802E-4</v>
      </c>
      <c r="AO236">
        <f t="shared" si="51"/>
        <v>3.0000000000000165E-4</v>
      </c>
      <c r="AP236">
        <f t="shared" si="52"/>
        <v>1.9999999999999879E-4</v>
      </c>
    </row>
    <row r="237" spans="17:42" x14ac:dyDescent="0.25">
      <c r="Q237" s="1">
        <v>44712</v>
      </c>
      <c r="R237">
        <v>7.3000000000000001E-3</v>
      </c>
      <c r="S237">
        <v>8.8999999999999999E-3</v>
      </c>
      <c r="T237">
        <v>1.1599999999999999E-2</v>
      </c>
      <c r="U237">
        <v>1.6399999999999998E-2</v>
      </c>
      <c r="V237">
        <v>2.0799999999999999E-2</v>
      </c>
      <c r="W237">
        <v>2.53E-2</v>
      </c>
      <c r="X237">
        <v>2.7099999999999999E-2</v>
      </c>
      <c r="Y237">
        <v>2.81E-2</v>
      </c>
      <c r="Z237">
        <v>2.87E-2</v>
      </c>
      <c r="AA237">
        <v>2.8500000000000001E-2</v>
      </c>
      <c r="AB237">
        <v>3.2799999999999996E-2</v>
      </c>
      <c r="AC237">
        <v>3.0699999999999998E-2</v>
      </c>
      <c r="AE237">
        <f t="shared" si="41"/>
        <v>4.0000000000000018E-4</v>
      </c>
      <c r="AF237">
        <f t="shared" si="42"/>
        <v>-2.0000000000000052E-4</v>
      </c>
      <c r="AG237">
        <f t="shared" si="43"/>
        <v>7.9999999999999863E-4</v>
      </c>
      <c r="AH237">
        <f t="shared" si="44"/>
        <v>9.9999999999999742E-4</v>
      </c>
      <c r="AI237">
        <f t="shared" si="45"/>
        <v>7.000000000000027E-4</v>
      </c>
      <c r="AJ237">
        <f t="shared" si="46"/>
        <v>5.9999999999999637E-4</v>
      </c>
      <c r="AK237">
        <f t="shared" si="47"/>
        <v>6.9999999999999923E-4</v>
      </c>
      <c r="AL237">
        <f t="shared" si="48"/>
        <v>1.0000000000000009E-3</v>
      </c>
      <c r="AM237">
        <f t="shared" si="49"/>
        <v>1.1000000000000003E-3</v>
      </c>
      <c r="AN237">
        <f t="shared" si="50"/>
        <v>1.1000000000000003E-3</v>
      </c>
      <c r="AO237">
        <f t="shared" si="51"/>
        <v>1.1999999999999927E-3</v>
      </c>
      <c r="AP237">
        <f t="shared" si="52"/>
        <v>9.9999999999999742E-4</v>
      </c>
    </row>
    <row r="238" spans="17:42" x14ac:dyDescent="0.25">
      <c r="Q238" s="1">
        <v>44708</v>
      </c>
      <c r="R238">
        <v>6.8999999999999999E-3</v>
      </c>
      <c r="S238">
        <v>9.1000000000000004E-3</v>
      </c>
      <c r="T238">
        <v>1.0800000000000001E-2</v>
      </c>
      <c r="U238">
        <v>1.54E-2</v>
      </c>
      <c r="V238">
        <v>2.0099999999999996E-2</v>
      </c>
      <c r="W238">
        <v>2.4700000000000003E-2</v>
      </c>
      <c r="X238">
        <v>2.64E-2</v>
      </c>
      <c r="Y238">
        <v>2.7099999999999999E-2</v>
      </c>
      <c r="Z238">
        <v>2.76E-2</v>
      </c>
      <c r="AA238">
        <v>2.7400000000000001E-2</v>
      </c>
      <c r="AB238">
        <v>3.1600000000000003E-2</v>
      </c>
      <c r="AC238">
        <v>2.9700000000000001E-2</v>
      </c>
      <c r="AE238">
        <f t="shared" si="41"/>
        <v>-1.9999999999999966E-4</v>
      </c>
      <c r="AF238">
        <f t="shared" si="42"/>
        <v>9.9999999999999395E-5</v>
      </c>
      <c r="AG238">
        <f t="shared" si="43"/>
        <v>9.9999999999999395E-5</v>
      </c>
      <c r="AH238">
        <f t="shared" si="44"/>
        <v>2.0000000000000052E-4</v>
      </c>
      <c r="AI238">
        <f t="shared" si="45"/>
        <v>1.9999999999999532E-4</v>
      </c>
      <c r="AJ238">
        <f t="shared" si="46"/>
        <v>1.0000000000000286E-4</v>
      </c>
      <c r="AK238">
        <f t="shared" si="47"/>
        <v>9.9999999999999395E-5</v>
      </c>
      <c r="AL238">
        <f t="shared" si="48"/>
        <v>9.9999999999995925E-5</v>
      </c>
      <c r="AM238">
        <f t="shared" si="49"/>
        <v>9.9999999999999395E-5</v>
      </c>
      <c r="AN238">
        <f t="shared" si="50"/>
        <v>-9.9999999999999395E-5</v>
      </c>
      <c r="AO238">
        <f t="shared" si="51"/>
        <v>-1.9999999999999879E-4</v>
      </c>
      <c r="AP238">
        <f t="shared" si="52"/>
        <v>-2.0000000000000226E-4</v>
      </c>
    </row>
    <row r="239" spans="17:42" x14ac:dyDescent="0.25">
      <c r="Q239" s="1">
        <v>44707</v>
      </c>
      <c r="R239">
        <v>7.0999999999999995E-3</v>
      </c>
      <c r="S239">
        <v>9.0000000000000011E-3</v>
      </c>
      <c r="T239">
        <v>1.0700000000000001E-2</v>
      </c>
      <c r="U239">
        <v>1.52E-2</v>
      </c>
      <c r="V239">
        <v>1.9900000000000001E-2</v>
      </c>
      <c r="W239">
        <v>2.46E-2</v>
      </c>
      <c r="X239">
        <v>2.63E-2</v>
      </c>
      <c r="Y239">
        <v>2.7000000000000003E-2</v>
      </c>
      <c r="Z239">
        <v>2.75E-2</v>
      </c>
      <c r="AA239">
        <v>2.75E-2</v>
      </c>
      <c r="AB239">
        <v>3.1800000000000002E-2</v>
      </c>
      <c r="AC239">
        <v>2.9900000000000003E-2</v>
      </c>
      <c r="AE239">
        <f t="shared" si="41"/>
        <v>1.2999999999999999E-3</v>
      </c>
      <c r="AF239">
        <f t="shared" si="42"/>
        <v>2.0000000000000052E-4</v>
      </c>
      <c r="AG239">
        <f t="shared" si="43"/>
        <v>1.0000000000000113E-4</v>
      </c>
      <c r="AH239">
        <f t="shared" si="44"/>
        <v>0</v>
      </c>
      <c r="AI239">
        <f t="shared" si="45"/>
        <v>-1.9999999999999532E-4</v>
      </c>
      <c r="AJ239">
        <f t="shared" si="46"/>
        <v>-1.9999999999999879E-4</v>
      </c>
      <c r="AK239">
        <f t="shared" si="47"/>
        <v>0</v>
      </c>
      <c r="AL239">
        <f t="shared" si="48"/>
        <v>-9.9999999999995925E-5</v>
      </c>
      <c r="AM239">
        <f t="shared" si="49"/>
        <v>-9.9999999999999395E-5</v>
      </c>
      <c r="AN239">
        <f t="shared" si="50"/>
        <v>0</v>
      </c>
      <c r="AO239">
        <f t="shared" si="51"/>
        <v>3.9999999999999758E-4</v>
      </c>
      <c r="AP239">
        <f t="shared" si="52"/>
        <v>2.0000000000000226E-4</v>
      </c>
    </row>
    <row r="240" spans="17:42" x14ac:dyDescent="0.25">
      <c r="Q240" s="1">
        <v>44706</v>
      </c>
      <c r="R240">
        <v>5.7999999999999996E-3</v>
      </c>
      <c r="S240">
        <v>8.8000000000000005E-3</v>
      </c>
      <c r="T240">
        <v>1.06E-2</v>
      </c>
      <c r="U240">
        <v>1.52E-2</v>
      </c>
      <c r="V240">
        <v>2.0099999999999996E-2</v>
      </c>
      <c r="W240">
        <v>2.4799999999999999E-2</v>
      </c>
      <c r="X240">
        <v>2.63E-2</v>
      </c>
      <c r="Y240">
        <v>2.7099999999999999E-2</v>
      </c>
      <c r="Z240">
        <v>2.76E-2</v>
      </c>
      <c r="AA240">
        <v>2.75E-2</v>
      </c>
      <c r="AB240">
        <v>3.1400000000000004E-2</v>
      </c>
      <c r="AC240">
        <v>2.9700000000000001E-2</v>
      </c>
      <c r="AE240">
        <f t="shared" si="41"/>
        <v>2.9999999999999905E-4</v>
      </c>
      <c r="AF240">
        <f t="shared" si="42"/>
        <v>0</v>
      </c>
      <c r="AG240">
        <f t="shared" si="43"/>
        <v>0</v>
      </c>
      <c r="AH240">
        <f t="shared" si="44"/>
        <v>-1.0000000000000113E-4</v>
      </c>
      <c r="AI240">
        <f t="shared" si="45"/>
        <v>-1.0000000000000286E-4</v>
      </c>
      <c r="AJ240">
        <f t="shared" si="46"/>
        <v>-2.0000000000000226E-4</v>
      </c>
      <c r="AK240">
        <f t="shared" si="47"/>
        <v>-3.0000000000000165E-4</v>
      </c>
      <c r="AL240">
        <f t="shared" si="48"/>
        <v>-5.0000000000000044E-4</v>
      </c>
      <c r="AM240">
        <f t="shared" si="49"/>
        <v>-3.9999999999999758E-4</v>
      </c>
      <c r="AN240">
        <f t="shared" si="50"/>
        <v>-9.9999999999999395E-5</v>
      </c>
      <c r="AO240">
        <f t="shared" si="51"/>
        <v>-1.9999999999999879E-4</v>
      </c>
      <c r="AP240">
        <f t="shared" si="52"/>
        <v>-9.9999999999999395E-5</v>
      </c>
    </row>
    <row r="241" spans="17:42" x14ac:dyDescent="0.25">
      <c r="Q241" s="1">
        <v>44705</v>
      </c>
      <c r="R241">
        <v>5.5000000000000005E-3</v>
      </c>
      <c r="S241">
        <v>8.8000000000000005E-3</v>
      </c>
      <c r="T241">
        <v>1.06E-2</v>
      </c>
      <c r="U241">
        <v>1.5300000000000001E-2</v>
      </c>
      <c r="V241">
        <v>2.0199999999999999E-2</v>
      </c>
      <c r="W241">
        <v>2.5000000000000001E-2</v>
      </c>
      <c r="X241">
        <v>2.6600000000000002E-2</v>
      </c>
      <c r="Y241">
        <v>2.76E-2</v>
      </c>
      <c r="Z241">
        <v>2.7999999999999997E-2</v>
      </c>
      <c r="AA241">
        <v>2.76E-2</v>
      </c>
      <c r="AB241">
        <v>3.1600000000000003E-2</v>
      </c>
      <c r="AC241">
        <v>2.98E-2</v>
      </c>
      <c r="AE241">
        <f t="shared" si="41"/>
        <v>0</v>
      </c>
      <c r="AF241">
        <f t="shared" si="42"/>
        <v>-2.0000000000000052E-4</v>
      </c>
      <c r="AG241">
        <f t="shared" si="43"/>
        <v>-1.0000000000000113E-4</v>
      </c>
      <c r="AH241">
        <f t="shared" si="44"/>
        <v>-4.0000000000000105E-4</v>
      </c>
      <c r="AI241">
        <f t="shared" si="45"/>
        <v>-6.9999999999999923E-4</v>
      </c>
      <c r="AJ241">
        <f t="shared" si="46"/>
        <v>-1.4999999999999979E-3</v>
      </c>
      <c r="AK241">
        <f t="shared" si="47"/>
        <v>-1.399999999999995E-3</v>
      </c>
      <c r="AL241">
        <f t="shared" si="48"/>
        <v>-1.1999999999999997E-3</v>
      </c>
      <c r="AM241">
        <f t="shared" si="49"/>
        <v>-1.0000000000000009E-3</v>
      </c>
      <c r="AN241">
        <f t="shared" si="50"/>
        <v>-1.0000000000000009E-3</v>
      </c>
      <c r="AO241">
        <f t="shared" si="51"/>
        <v>-9.9999999999999395E-4</v>
      </c>
      <c r="AP241">
        <f t="shared" si="52"/>
        <v>-1.0000000000000009E-3</v>
      </c>
    </row>
    <row r="242" spans="17:42" x14ac:dyDescent="0.25">
      <c r="Q242" s="1">
        <v>44704</v>
      </c>
      <c r="R242">
        <v>5.5000000000000005E-3</v>
      </c>
      <c r="S242">
        <v>9.0000000000000011E-3</v>
      </c>
      <c r="T242">
        <v>1.0700000000000001E-2</v>
      </c>
      <c r="U242">
        <v>1.5700000000000002E-2</v>
      </c>
      <c r="V242">
        <v>2.0899999999999998E-2</v>
      </c>
      <c r="W242">
        <v>2.6499999999999999E-2</v>
      </c>
      <c r="X242">
        <v>2.7999999999999997E-2</v>
      </c>
      <c r="Y242">
        <v>2.8799999999999999E-2</v>
      </c>
      <c r="Z242">
        <v>2.8999999999999998E-2</v>
      </c>
      <c r="AA242">
        <v>2.86E-2</v>
      </c>
      <c r="AB242">
        <v>3.2599999999999997E-2</v>
      </c>
      <c r="AC242">
        <v>3.0800000000000001E-2</v>
      </c>
      <c r="AE242">
        <f t="shared" si="41"/>
        <v>-7.999999999999995E-4</v>
      </c>
      <c r="AF242">
        <f t="shared" si="42"/>
        <v>3.0000000000000165E-4</v>
      </c>
      <c r="AG242">
        <f t="shared" si="43"/>
        <v>4.0000000000000105E-4</v>
      </c>
      <c r="AH242">
        <f t="shared" si="44"/>
        <v>6.0000000000000157E-4</v>
      </c>
      <c r="AI242">
        <f t="shared" si="45"/>
        <v>1.9999999999999879E-4</v>
      </c>
      <c r="AJ242">
        <f t="shared" si="46"/>
        <v>4.9999999999999697E-4</v>
      </c>
      <c r="AK242">
        <f t="shared" si="47"/>
        <v>6.9999999999999576E-4</v>
      </c>
      <c r="AL242">
        <f t="shared" si="48"/>
        <v>8.000000000000021E-4</v>
      </c>
      <c r="AM242">
        <f t="shared" si="49"/>
        <v>7.9999999999999863E-4</v>
      </c>
      <c r="AN242">
        <f t="shared" si="50"/>
        <v>8.000000000000021E-4</v>
      </c>
      <c r="AO242">
        <f t="shared" si="51"/>
        <v>8.9999999999999802E-4</v>
      </c>
      <c r="AP242">
        <f t="shared" si="52"/>
        <v>8.9999999999999802E-4</v>
      </c>
    </row>
    <row r="243" spans="17:42" x14ac:dyDescent="0.25">
      <c r="Q243" s="1">
        <v>44701</v>
      </c>
      <c r="R243">
        <v>6.3E-3</v>
      </c>
      <c r="S243">
        <v>8.6999999999999994E-3</v>
      </c>
      <c r="T243">
        <v>1.03E-2</v>
      </c>
      <c r="U243">
        <v>1.5100000000000001E-2</v>
      </c>
      <c r="V243">
        <v>2.07E-2</v>
      </c>
      <c r="W243">
        <v>2.6000000000000002E-2</v>
      </c>
      <c r="X243">
        <v>2.7300000000000001E-2</v>
      </c>
      <c r="Y243">
        <v>2.7999999999999997E-2</v>
      </c>
      <c r="Z243">
        <v>2.8199999999999999E-2</v>
      </c>
      <c r="AA243">
        <v>2.7799999999999998E-2</v>
      </c>
      <c r="AB243">
        <v>3.1699999999999999E-2</v>
      </c>
      <c r="AC243">
        <v>2.9900000000000003E-2</v>
      </c>
      <c r="AE243">
        <f t="shared" si="41"/>
        <v>-2.0000000000000052E-4</v>
      </c>
      <c r="AF243">
        <f t="shared" si="42"/>
        <v>-4.0000000000000105E-4</v>
      </c>
      <c r="AG243">
        <f t="shared" si="43"/>
        <v>-2.0000000000000052E-4</v>
      </c>
      <c r="AH243">
        <f t="shared" si="44"/>
        <v>-9.9999999999999395E-5</v>
      </c>
      <c r="AI243">
        <f t="shared" si="45"/>
        <v>-3.9999999999999758E-4</v>
      </c>
      <c r="AJ243">
        <f t="shared" si="46"/>
        <v>-2.9999999999999818E-4</v>
      </c>
      <c r="AK243">
        <f t="shared" si="47"/>
        <v>-4.9999999999999697E-4</v>
      </c>
      <c r="AL243">
        <f t="shared" si="48"/>
        <v>-4.0000000000000105E-4</v>
      </c>
      <c r="AM243">
        <f t="shared" si="49"/>
        <v>-5.0000000000000044E-4</v>
      </c>
      <c r="AN243">
        <f t="shared" si="50"/>
        <v>-5.9999999999999984E-4</v>
      </c>
      <c r="AO243">
        <f t="shared" si="51"/>
        <v>-7.0000000000000617E-4</v>
      </c>
      <c r="AP243">
        <f t="shared" si="52"/>
        <v>-5.9999999999999637E-4</v>
      </c>
    </row>
    <row r="244" spans="17:42" x14ac:dyDescent="0.25">
      <c r="Q244" s="1">
        <v>44700</v>
      </c>
      <c r="R244">
        <v>6.5000000000000006E-3</v>
      </c>
      <c r="S244">
        <v>9.1000000000000004E-3</v>
      </c>
      <c r="T244">
        <v>1.0500000000000001E-2</v>
      </c>
      <c r="U244">
        <v>1.52E-2</v>
      </c>
      <c r="V244">
        <v>2.1099999999999997E-2</v>
      </c>
      <c r="W244">
        <v>2.63E-2</v>
      </c>
      <c r="X244">
        <v>2.7799999999999998E-2</v>
      </c>
      <c r="Y244">
        <v>2.8399999999999998E-2</v>
      </c>
      <c r="Z244">
        <v>2.87E-2</v>
      </c>
      <c r="AA244">
        <v>2.8399999999999998E-2</v>
      </c>
      <c r="AB244">
        <v>3.2400000000000005E-2</v>
      </c>
      <c r="AC244">
        <v>3.0499999999999999E-2</v>
      </c>
      <c r="AE244">
        <f t="shared" si="41"/>
        <v>8.9999999999999976E-4</v>
      </c>
      <c r="AF244">
        <f t="shared" si="42"/>
        <v>5.9999999999999984E-4</v>
      </c>
      <c r="AG244">
        <f t="shared" si="43"/>
        <v>2.0000000000000052E-4</v>
      </c>
      <c r="AH244">
        <f t="shared" si="44"/>
        <v>-4.0000000000000105E-4</v>
      </c>
      <c r="AI244">
        <f t="shared" si="45"/>
        <v>-5.0000000000000391E-4</v>
      </c>
      <c r="AJ244">
        <f t="shared" si="46"/>
        <v>-5.0000000000000044E-4</v>
      </c>
      <c r="AK244">
        <f t="shared" si="47"/>
        <v>-5.9999999999999984E-4</v>
      </c>
      <c r="AL244">
        <f t="shared" si="48"/>
        <v>-5.0000000000000391E-4</v>
      </c>
      <c r="AM244">
        <f t="shared" si="49"/>
        <v>-4.0000000000000105E-4</v>
      </c>
      <c r="AN244">
        <f t="shared" si="50"/>
        <v>-5.0000000000000391E-4</v>
      </c>
      <c r="AO244">
        <f t="shared" si="51"/>
        <v>0</v>
      </c>
      <c r="AP244">
        <f t="shared" si="52"/>
        <v>-1.9999999999999879E-4</v>
      </c>
    </row>
    <row r="245" spans="17:42" x14ac:dyDescent="0.25">
      <c r="Q245" s="1">
        <v>44699</v>
      </c>
      <c r="R245">
        <v>5.6000000000000008E-3</v>
      </c>
      <c r="S245">
        <v>8.5000000000000006E-3</v>
      </c>
      <c r="T245">
        <v>1.03E-2</v>
      </c>
      <c r="U245">
        <v>1.5600000000000001E-2</v>
      </c>
      <c r="V245">
        <v>2.1600000000000001E-2</v>
      </c>
      <c r="W245">
        <v>2.6800000000000001E-2</v>
      </c>
      <c r="X245">
        <v>2.8399999999999998E-2</v>
      </c>
      <c r="Y245">
        <v>2.8900000000000002E-2</v>
      </c>
      <c r="Z245">
        <v>2.9100000000000001E-2</v>
      </c>
      <c r="AA245">
        <v>2.8900000000000002E-2</v>
      </c>
      <c r="AB245">
        <v>3.2400000000000005E-2</v>
      </c>
      <c r="AC245">
        <v>3.0699999999999998E-2</v>
      </c>
      <c r="AE245">
        <f t="shared" si="41"/>
        <v>-4.9999999999999871E-4</v>
      </c>
      <c r="AF245">
        <f t="shared" si="42"/>
        <v>0</v>
      </c>
      <c r="AG245">
        <f t="shared" si="43"/>
        <v>-2.9999999999999992E-4</v>
      </c>
      <c r="AH245">
        <f t="shared" si="44"/>
        <v>-1.0000000000000113E-4</v>
      </c>
      <c r="AI245">
        <f t="shared" si="45"/>
        <v>0</v>
      </c>
      <c r="AJ245">
        <f t="shared" si="46"/>
        <v>-2.9999999999999818E-4</v>
      </c>
      <c r="AK245">
        <f t="shared" si="47"/>
        <v>-5.0000000000000391E-4</v>
      </c>
      <c r="AL245">
        <f t="shared" si="48"/>
        <v>-6.9999999999999923E-4</v>
      </c>
      <c r="AM245">
        <f t="shared" si="49"/>
        <v>-8.9999999999999802E-4</v>
      </c>
      <c r="AN245">
        <f t="shared" si="50"/>
        <v>-8.9999999999999802E-4</v>
      </c>
      <c r="AO245">
        <f t="shared" si="51"/>
        <v>-1.1999999999999927E-3</v>
      </c>
      <c r="AP245">
        <f t="shared" si="52"/>
        <v>-1.0000000000000009E-3</v>
      </c>
    </row>
    <row r="246" spans="17:42" x14ac:dyDescent="0.25">
      <c r="Q246" s="1">
        <v>44698</v>
      </c>
      <c r="R246">
        <v>6.0999999999999995E-3</v>
      </c>
      <c r="S246">
        <v>8.5000000000000006E-3</v>
      </c>
      <c r="T246">
        <v>1.06E-2</v>
      </c>
      <c r="U246">
        <v>1.5700000000000002E-2</v>
      </c>
      <c r="V246">
        <v>2.1600000000000001E-2</v>
      </c>
      <c r="W246">
        <v>2.7099999999999999E-2</v>
      </c>
      <c r="X246">
        <v>2.8900000000000002E-2</v>
      </c>
      <c r="Y246">
        <v>2.9600000000000001E-2</v>
      </c>
      <c r="Z246">
        <v>0.03</v>
      </c>
      <c r="AA246">
        <v>2.98E-2</v>
      </c>
      <c r="AB246">
        <v>3.3599999999999998E-2</v>
      </c>
      <c r="AC246">
        <v>3.1699999999999999E-2</v>
      </c>
      <c r="AE246">
        <f t="shared" si="41"/>
        <v>-3.0000000000000079E-4</v>
      </c>
      <c r="AF246">
        <f t="shared" si="42"/>
        <v>0</v>
      </c>
      <c r="AG246">
        <f t="shared" si="43"/>
        <v>-1.0000000000000113E-4</v>
      </c>
      <c r="AH246">
        <f t="shared" si="44"/>
        <v>3.0000000000000165E-4</v>
      </c>
      <c r="AI246">
        <f t="shared" si="45"/>
        <v>9.0000000000000149E-4</v>
      </c>
      <c r="AJ246">
        <f t="shared" si="46"/>
        <v>1.2999999999999991E-3</v>
      </c>
      <c r="AK246">
        <f t="shared" si="47"/>
        <v>1.4000000000000019E-3</v>
      </c>
      <c r="AL246">
        <f t="shared" si="48"/>
        <v>1.2999999999999991E-3</v>
      </c>
      <c r="AM246">
        <f t="shared" si="49"/>
        <v>1.0999999999999968E-3</v>
      </c>
      <c r="AN246">
        <f t="shared" si="50"/>
        <v>1.0000000000000009E-3</v>
      </c>
      <c r="AO246">
        <f t="shared" si="51"/>
        <v>5.9999999999999637E-4</v>
      </c>
      <c r="AP246">
        <f t="shared" si="52"/>
        <v>8.000000000000021E-4</v>
      </c>
    </row>
    <row r="247" spans="17:42" x14ac:dyDescent="0.25">
      <c r="Q247" s="1">
        <v>44697</v>
      </c>
      <c r="R247">
        <v>6.4000000000000003E-3</v>
      </c>
      <c r="S247">
        <v>8.5000000000000006E-3</v>
      </c>
      <c r="T247">
        <v>1.0700000000000001E-2</v>
      </c>
      <c r="U247">
        <v>1.54E-2</v>
      </c>
      <c r="V247">
        <v>2.07E-2</v>
      </c>
      <c r="W247">
        <v>2.58E-2</v>
      </c>
      <c r="X247">
        <v>2.75E-2</v>
      </c>
      <c r="Y247">
        <v>2.8300000000000002E-2</v>
      </c>
      <c r="Z247">
        <v>2.8900000000000002E-2</v>
      </c>
      <c r="AA247">
        <v>2.8799999999999999E-2</v>
      </c>
      <c r="AB247">
        <v>3.3000000000000002E-2</v>
      </c>
      <c r="AC247">
        <v>3.0899999999999997E-2</v>
      </c>
      <c r="AE247">
        <f t="shared" si="41"/>
        <v>-2.9999999999999992E-4</v>
      </c>
      <c r="AF247">
        <f t="shared" si="42"/>
        <v>5.9999999999999984E-4</v>
      </c>
      <c r="AG247">
        <f t="shared" si="43"/>
        <v>4.0000000000000105E-4</v>
      </c>
      <c r="AH247">
        <f t="shared" si="44"/>
        <v>7.0000000000000097E-4</v>
      </c>
      <c r="AI247">
        <f t="shared" si="45"/>
        <v>2.9999999999999818E-4</v>
      </c>
      <c r="AJ247">
        <f t="shared" si="46"/>
        <v>-2.9999999999999818E-4</v>
      </c>
      <c r="AK247">
        <f t="shared" si="47"/>
        <v>-4.0000000000000105E-4</v>
      </c>
      <c r="AL247">
        <f t="shared" si="48"/>
        <v>-5.9999999999999984E-4</v>
      </c>
      <c r="AM247">
        <f t="shared" si="49"/>
        <v>-5.9999999999999984E-4</v>
      </c>
      <c r="AN247">
        <f t="shared" si="50"/>
        <v>-5.0000000000000391E-4</v>
      </c>
      <c r="AO247">
        <f t="shared" si="51"/>
        <v>-1.9999999999999879E-4</v>
      </c>
      <c r="AP247">
        <f t="shared" si="52"/>
        <v>-1.0000000000000286E-4</v>
      </c>
    </row>
    <row r="248" spans="17:42" x14ac:dyDescent="0.25">
      <c r="Q248" s="1">
        <v>44694</v>
      </c>
      <c r="R248">
        <v>6.7000000000000002E-3</v>
      </c>
      <c r="S248">
        <v>7.9000000000000008E-3</v>
      </c>
      <c r="T248">
        <v>1.03E-2</v>
      </c>
      <c r="U248">
        <v>1.47E-2</v>
      </c>
      <c r="V248">
        <v>2.0400000000000001E-2</v>
      </c>
      <c r="W248">
        <v>2.6099999999999998E-2</v>
      </c>
      <c r="X248">
        <v>2.7900000000000001E-2</v>
      </c>
      <c r="Y248">
        <v>2.8900000000000002E-2</v>
      </c>
      <c r="Z248">
        <v>2.9500000000000002E-2</v>
      </c>
      <c r="AA248">
        <v>2.9300000000000003E-2</v>
      </c>
      <c r="AB248">
        <v>3.32E-2</v>
      </c>
      <c r="AC248">
        <v>3.1E-2</v>
      </c>
      <c r="AE248">
        <f t="shared" si="41"/>
        <v>6.0000000000000071E-4</v>
      </c>
      <c r="AF248">
        <f t="shared" si="42"/>
        <v>2.0000000000000052E-4</v>
      </c>
      <c r="AG248">
        <f t="shared" si="43"/>
        <v>7.0000000000000097E-4</v>
      </c>
      <c r="AH248">
        <f t="shared" si="44"/>
        <v>2.9999999999999992E-4</v>
      </c>
      <c r="AI248">
        <f t="shared" si="45"/>
        <v>8.000000000000021E-4</v>
      </c>
      <c r="AJ248">
        <f t="shared" si="46"/>
        <v>4.9999999999999697E-4</v>
      </c>
      <c r="AK248">
        <f t="shared" si="47"/>
        <v>5.9999999999999984E-4</v>
      </c>
      <c r="AL248">
        <f t="shared" si="48"/>
        <v>8.000000000000021E-4</v>
      </c>
      <c r="AM248">
        <f t="shared" si="49"/>
        <v>9.0000000000000149E-4</v>
      </c>
      <c r="AN248">
        <f t="shared" si="50"/>
        <v>9.0000000000000496E-4</v>
      </c>
      <c r="AO248">
        <f t="shared" si="51"/>
        <v>1.0000000000000009E-3</v>
      </c>
      <c r="AP248">
        <f t="shared" si="52"/>
        <v>1.0000000000000009E-3</v>
      </c>
    </row>
    <row r="249" spans="17:42" x14ac:dyDescent="0.25">
      <c r="Q249" s="1">
        <v>44693</v>
      </c>
      <c r="R249">
        <v>6.0999999999999995E-3</v>
      </c>
      <c r="S249">
        <v>7.7000000000000002E-3</v>
      </c>
      <c r="T249">
        <v>9.5999999999999992E-3</v>
      </c>
      <c r="U249">
        <v>1.44E-2</v>
      </c>
      <c r="V249">
        <v>1.9599999999999999E-2</v>
      </c>
      <c r="W249">
        <v>2.5600000000000001E-2</v>
      </c>
      <c r="X249">
        <v>2.7300000000000001E-2</v>
      </c>
      <c r="Y249">
        <v>2.81E-2</v>
      </c>
      <c r="Z249">
        <v>2.86E-2</v>
      </c>
      <c r="AA249">
        <v>2.8399999999999998E-2</v>
      </c>
      <c r="AB249">
        <v>3.2199999999999999E-2</v>
      </c>
      <c r="AC249">
        <v>0.03</v>
      </c>
      <c r="AE249">
        <f t="shared" si="41"/>
        <v>1.9999999999999966E-4</v>
      </c>
      <c r="AF249">
        <f t="shared" si="42"/>
        <v>0</v>
      </c>
      <c r="AG249">
        <f t="shared" si="43"/>
        <v>4.9999999999999871E-4</v>
      </c>
      <c r="AH249">
        <f t="shared" si="44"/>
        <v>9.9999999999999395E-5</v>
      </c>
      <c r="AI249">
        <f t="shared" si="45"/>
        <v>-3.0000000000000165E-4</v>
      </c>
      <c r="AJ249">
        <f t="shared" si="46"/>
        <v>-1.0000000000000009E-3</v>
      </c>
      <c r="AK249">
        <f t="shared" si="47"/>
        <v>-7.9999999999999863E-4</v>
      </c>
      <c r="AL249">
        <f t="shared" si="48"/>
        <v>-8.000000000000021E-4</v>
      </c>
      <c r="AM249">
        <f t="shared" si="49"/>
        <v>-7.9999999999999863E-4</v>
      </c>
      <c r="AN249">
        <f t="shared" si="50"/>
        <v>-7.000000000000027E-4</v>
      </c>
      <c r="AO249">
        <f t="shared" si="51"/>
        <v>-3.0000000000000165E-4</v>
      </c>
      <c r="AP249">
        <f t="shared" si="52"/>
        <v>-5.0000000000000044E-4</v>
      </c>
    </row>
    <row r="250" spans="17:42" x14ac:dyDescent="0.25">
      <c r="Q250" s="1">
        <v>44692</v>
      </c>
      <c r="R250">
        <v>5.8999999999999999E-3</v>
      </c>
      <c r="S250">
        <v>7.7000000000000002E-3</v>
      </c>
      <c r="T250">
        <v>9.1000000000000004E-3</v>
      </c>
      <c r="U250">
        <v>1.43E-2</v>
      </c>
      <c r="V250">
        <v>1.9900000000000001E-2</v>
      </c>
      <c r="W250">
        <v>2.6600000000000002E-2</v>
      </c>
      <c r="X250">
        <v>2.81E-2</v>
      </c>
      <c r="Y250">
        <v>2.8900000000000002E-2</v>
      </c>
      <c r="Z250">
        <v>2.9399999999999999E-2</v>
      </c>
      <c r="AA250">
        <v>2.9100000000000001E-2</v>
      </c>
      <c r="AB250">
        <v>3.2500000000000001E-2</v>
      </c>
      <c r="AC250">
        <v>3.0499999999999999E-2</v>
      </c>
      <c r="AE250">
        <f t="shared" si="41"/>
        <v>2.0000000000000052E-4</v>
      </c>
      <c r="AF250">
        <f t="shared" si="42"/>
        <v>2.0000000000000052E-4</v>
      </c>
      <c r="AG250">
        <f t="shared" si="43"/>
        <v>2.0000000000000052E-4</v>
      </c>
      <c r="AH250">
        <f t="shared" si="44"/>
        <v>-9.9999999999999395E-5</v>
      </c>
      <c r="AI250">
        <f t="shared" si="45"/>
        <v>-1.9999999999999532E-4</v>
      </c>
      <c r="AJ250">
        <f t="shared" si="46"/>
        <v>4.0000000000000105E-4</v>
      </c>
      <c r="AK250">
        <f t="shared" si="47"/>
        <v>0</v>
      </c>
      <c r="AL250">
        <f t="shared" si="48"/>
        <v>-1.9999999999999879E-4</v>
      </c>
      <c r="AM250">
        <f t="shared" si="49"/>
        <v>-5.0000000000000391E-4</v>
      </c>
      <c r="AN250">
        <f t="shared" si="50"/>
        <v>-8.000000000000021E-4</v>
      </c>
      <c r="AO250">
        <f t="shared" si="51"/>
        <v>-5.9999999999999637E-4</v>
      </c>
      <c r="AP250">
        <f t="shared" si="52"/>
        <v>-7.000000000000027E-4</v>
      </c>
    </row>
    <row r="251" spans="17:42" x14ac:dyDescent="0.25">
      <c r="Q251" s="1">
        <v>44691</v>
      </c>
      <c r="R251">
        <v>5.6999999999999993E-3</v>
      </c>
      <c r="S251">
        <v>7.4999999999999997E-3</v>
      </c>
      <c r="T251">
        <v>8.8999999999999999E-3</v>
      </c>
      <c r="U251">
        <v>1.44E-2</v>
      </c>
      <c r="V251">
        <v>2.0099999999999996E-2</v>
      </c>
      <c r="W251">
        <v>2.6200000000000001E-2</v>
      </c>
      <c r="X251">
        <v>2.81E-2</v>
      </c>
      <c r="Y251">
        <v>2.9100000000000001E-2</v>
      </c>
      <c r="Z251">
        <v>2.9900000000000003E-2</v>
      </c>
      <c r="AA251">
        <v>2.9900000000000003E-2</v>
      </c>
      <c r="AB251">
        <v>3.3099999999999997E-2</v>
      </c>
      <c r="AC251">
        <v>3.1200000000000002E-2</v>
      </c>
      <c r="AE251">
        <f t="shared" si="41"/>
        <v>5.9999999999999897E-4</v>
      </c>
      <c r="AF251">
        <f t="shared" si="42"/>
        <v>1.9999999999999966E-4</v>
      </c>
      <c r="AG251">
        <f t="shared" si="43"/>
        <v>-2.9999999999999992E-4</v>
      </c>
      <c r="AH251">
        <f t="shared" si="44"/>
        <v>9.9999999999999395E-5</v>
      </c>
      <c r="AI251">
        <f t="shared" si="45"/>
        <v>1.9999999999999532E-4</v>
      </c>
      <c r="AJ251">
        <f t="shared" si="46"/>
        <v>1.0000000000000286E-4</v>
      </c>
      <c r="AK251">
        <f t="shared" si="47"/>
        <v>0</v>
      </c>
      <c r="AL251">
        <f t="shared" si="48"/>
        <v>-4.0000000000000105E-4</v>
      </c>
      <c r="AM251">
        <f t="shared" si="49"/>
        <v>-4.9999999999999697E-4</v>
      </c>
      <c r="AN251">
        <f t="shared" si="50"/>
        <v>-5.9999999999999637E-4</v>
      </c>
      <c r="AO251">
        <f t="shared" si="51"/>
        <v>-6.9999999999999923E-4</v>
      </c>
      <c r="AP251">
        <f t="shared" si="52"/>
        <v>-6.9999999999999576E-4</v>
      </c>
    </row>
    <row r="252" spans="17:42" x14ac:dyDescent="0.25">
      <c r="Q252" s="1">
        <v>44690</v>
      </c>
      <c r="R252">
        <v>5.1000000000000004E-3</v>
      </c>
      <c r="S252">
        <v>7.3000000000000001E-3</v>
      </c>
      <c r="T252">
        <v>9.1999999999999998E-3</v>
      </c>
      <c r="U252">
        <v>1.43E-2</v>
      </c>
      <c r="V252">
        <v>1.9900000000000001E-2</v>
      </c>
      <c r="W252">
        <v>2.6099999999999998E-2</v>
      </c>
      <c r="X252">
        <v>2.81E-2</v>
      </c>
      <c r="Y252">
        <v>2.9500000000000002E-2</v>
      </c>
      <c r="Z252">
        <v>3.04E-2</v>
      </c>
      <c r="AA252">
        <v>3.0499999999999999E-2</v>
      </c>
      <c r="AB252">
        <v>3.3799999999999997E-2</v>
      </c>
      <c r="AC252">
        <v>3.1899999999999998E-2</v>
      </c>
      <c r="AE252">
        <f t="shared" si="41"/>
        <v>3.0000000000000079E-4</v>
      </c>
      <c r="AF252">
        <f t="shared" si="42"/>
        <v>1.0000000000000026E-4</v>
      </c>
      <c r="AG252">
        <f t="shared" si="43"/>
        <v>6.9999999999999923E-4</v>
      </c>
      <c r="AH252">
        <f t="shared" si="44"/>
        <v>2.0000000000000052E-4</v>
      </c>
      <c r="AI252">
        <f t="shared" si="45"/>
        <v>-8.9999999999999802E-4</v>
      </c>
      <c r="AJ252">
        <f t="shared" si="46"/>
        <v>-1.1000000000000038E-3</v>
      </c>
      <c r="AK252">
        <f t="shared" si="47"/>
        <v>-1.2999999999999991E-3</v>
      </c>
      <c r="AL252">
        <f t="shared" si="48"/>
        <v>-1.1000000000000003E-3</v>
      </c>
      <c r="AM252">
        <f t="shared" si="49"/>
        <v>-9.0000000000000149E-4</v>
      </c>
      <c r="AN252">
        <f t="shared" si="50"/>
        <v>-7.000000000000027E-4</v>
      </c>
      <c r="AO252">
        <f t="shared" si="51"/>
        <v>-5.0000000000000738E-4</v>
      </c>
      <c r="AP252">
        <f t="shared" si="52"/>
        <v>-4.0000000000000452E-4</v>
      </c>
    </row>
    <row r="253" spans="17:42" x14ac:dyDescent="0.25">
      <c r="Q253" s="1">
        <v>44687</v>
      </c>
      <c r="R253">
        <v>4.7999999999999996E-3</v>
      </c>
      <c r="S253">
        <v>7.1999999999999998E-3</v>
      </c>
      <c r="T253">
        <v>8.5000000000000006E-3</v>
      </c>
      <c r="U253">
        <v>1.41E-2</v>
      </c>
      <c r="V253">
        <v>2.0799999999999999E-2</v>
      </c>
      <c r="W253">
        <v>2.7200000000000002E-2</v>
      </c>
      <c r="X253">
        <v>2.9399999999999999E-2</v>
      </c>
      <c r="Y253">
        <v>3.0600000000000002E-2</v>
      </c>
      <c r="Z253">
        <v>3.1300000000000001E-2</v>
      </c>
      <c r="AA253">
        <v>3.1200000000000002E-2</v>
      </c>
      <c r="AB253">
        <v>3.4300000000000004E-2</v>
      </c>
      <c r="AC253">
        <v>3.2300000000000002E-2</v>
      </c>
      <c r="AE253">
        <f t="shared" si="41"/>
        <v>-1.0000000000000026E-4</v>
      </c>
      <c r="AF253">
        <f t="shared" si="42"/>
        <v>1.0000000000000026E-4</v>
      </c>
      <c r="AG253">
        <f t="shared" si="43"/>
        <v>0</v>
      </c>
      <c r="AH253">
        <f t="shared" si="44"/>
        <v>3.9999999999999931E-4</v>
      </c>
      <c r="AI253">
        <f t="shared" si="45"/>
        <v>0</v>
      </c>
      <c r="AJ253">
        <f t="shared" si="46"/>
        <v>1.0000000000000286E-4</v>
      </c>
      <c r="AK253">
        <f t="shared" si="47"/>
        <v>2.9999999999999818E-4</v>
      </c>
      <c r="AL253">
        <f t="shared" si="48"/>
        <v>5.0000000000000391E-4</v>
      </c>
      <c r="AM253">
        <f t="shared" si="49"/>
        <v>6.0000000000000331E-4</v>
      </c>
      <c r="AN253">
        <f t="shared" si="50"/>
        <v>7.000000000000027E-4</v>
      </c>
      <c r="AO253">
        <f t="shared" si="51"/>
        <v>8.000000000000021E-4</v>
      </c>
      <c r="AP253">
        <f t="shared" si="52"/>
        <v>8.000000000000021E-4</v>
      </c>
    </row>
    <row r="254" spans="17:42" x14ac:dyDescent="0.25">
      <c r="Q254" s="1">
        <v>44686</v>
      </c>
      <c r="R254">
        <v>4.8999999999999998E-3</v>
      </c>
      <c r="S254">
        <v>7.0999999999999995E-3</v>
      </c>
      <c r="T254">
        <v>8.5000000000000006E-3</v>
      </c>
      <c r="U254">
        <v>1.37E-2</v>
      </c>
      <c r="V254">
        <v>2.0799999999999999E-2</v>
      </c>
      <c r="W254">
        <v>2.7099999999999999E-2</v>
      </c>
      <c r="X254">
        <v>2.9100000000000001E-2</v>
      </c>
      <c r="Y254">
        <v>3.0099999999999998E-2</v>
      </c>
      <c r="Z254">
        <v>3.0699999999999998E-2</v>
      </c>
      <c r="AA254">
        <v>3.0499999999999999E-2</v>
      </c>
      <c r="AB254">
        <v>3.3500000000000002E-2</v>
      </c>
      <c r="AC254">
        <v>3.15E-2</v>
      </c>
      <c r="AE254">
        <f t="shared" si="41"/>
        <v>0</v>
      </c>
      <c r="AF254">
        <f t="shared" si="42"/>
        <v>-3.0000000000000079E-4</v>
      </c>
      <c r="AG254">
        <f t="shared" si="43"/>
        <v>-3.9999999999999931E-4</v>
      </c>
      <c r="AH254">
        <f t="shared" si="44"/>
        <v>-6.9999999999999923E-4</v>
      </c>
      <c r="AI254">
        <f t="shared" si="45"/>
        <v>9.9999999999999395E-5</v>
      </c>
      <c r="AJ254">
        <f t="shared" si="46"/>
        <v>4.9999999999999697E-4</v>
      </c>
      <c r="AK254">
        <f t="shared" si="47"/>
        <v>5.9999999999999984E-4</v>
      </c>
      <c r="AL254">
        <f t="shared" si="48"/>
        <v>7.9999999999999516E-4</v>
      </c>
      <c r="AM254">
        <f t="shared" si="49"/>
        <v>9.9999999999999742E-4</v>
      </c>
      <c r="AN254">
        <f t="shared" si="50"/>
        <v>1.1999999999999962E-3</v>
      </c>
      <c r="AO254">
        <f t="shared" si="51"/>
        <v>1.4000000000000054E-3</v>
      </c>
      <c r="AP254">
        <f t="shared" si="52"/>
        <v>1.4000000000000019E-3</v>
      </c>
    </row>
    <row r="255" spans="17:42" x14ac:dyDescent="0.25">
      <c r="Q255" s="1">
        <v>44685</v>
      </c>
      <c r="R255">
        <v>4.8999999999999998E-3</v>
      </c>
      <c r="S255">
        <v>7.4000000000000003E-3</v>
      </c>
      <c r="T255">
        <v>8.8999999999999999E-3</v>
      </c>
      <c r="U255">
        <v>1.44E-2</v>
      </c>
      <c r="V255">
        <v>2.07E-2</v>
      </c>
      <c r="W255">
        <v>2.6600000000000002E-2</v>
      </c>
      <c r="X255">
        <v>2.8500000000000001E-2</v>
      </c>
      <c r="Y255">
        <v>2.9300000000000003E-2</v>
      </c>
      <c r="Z255">
        <v>2.9700000000000001E-2</v>
      </c>
      <c r="AA255">
        <v>2.9300000000000003E-2</v>
      </c>
      <c r="AB255">
        <v>3.2099999999999997E-2</v>
      </c>
      <c r="AC255">
        <v>3.0099999999999998E-2</v>
      </c>
      <c r="AE255">
        <f t="shared" si="41"/>
        <v>1.0000000000000026E-4</v>
      </c>
      <c r="AF255">
        <f t="shared" si="42"/>
        <v>-2.9999999999999992E-4</v>
      </c>
      <c r="AG255">
        <f t="shared" si="43"/>
        <v>-2.0000000000000052E-4</v>
      </c>
      <c r="AH255">
        <f t="shared" si="44"/>
        <v>-9.9999999999999395E-5</v>
      </c>
      <c r="AI255">
        <f t="shared" si="45"/>
        <v>-9.0000000000000149E-4</v>
      </c>
      <c r="AJ255">
        <f t="shared" si="46"/>
        <v>-1.1999999999999962E-3</v>
      </c>
      <c r="AK255">
        <f t="shared" si="47"/>
        <v>-1.0000000000000009E-3</v>
      </c>
      <c r="AL255">
        <f t="shared" si="48"/>
        <v>-7.9999999999999516E-4</v>
      </c>
      <c r="AM255">
        <f t="shared" si="49"/>
        <v>-5.9999999999999637E-4</v>
      </c>
      <c r="AN255">
        <f t="shared" si="50"/>
        <v>-3.9999999999999758E-4</v>
      </c>
      <c r="AO255">
        <f t="shared" si="51"/>
        <v>0</v>
      </c>
      <c r="AP255">
        <f t="shared" si="52"/>
        <v>-1.9999999999999879E-4</v>
      </c>
    </row>
    <row r="256" spans="17:42" x14ac:dyDescent="0.25">
      <c r="Q256" s="1">
        <v>44684</v>
      </c>
      <c r="R256">
        <v>4.7999999999999996E-3</v>
      </c>
      <c r="S256">
        <v>7.7000000000000002E-3</v>
      </c>
      <c r="T256">
        <v>9.1000000000000004E-3</v>
      </c>
      <c r="U256">
        <v>1.4499999999999999E-2</v>
      </c>
      <c r="V256">
        <v>2.1600000000000001E-2</v>
      </c>
      <c r="W256">
        <v>2.7799999999999998E-2</v>
      </c>
      <c r="X256">
        <v>2.9500000000000002E-2</v>
      </c>
      <c r="Y256">
        <v>3.0099999999999998E-2</v>
      </c>
      <c r="Z256">
        <v>3.0299999999999997E-2</v>
      </c>
      <c r="AA256">
        <v>2.9700000000000001E-2</v>
      </c>
      <c r="AB256">
        <v>3.2099999999999997E-2</v>
      </c>
      <c r="AC256">
        <v>3.0299999999999997E-2</v>
      </c>
      <c r="AE256">
        <f t="shared" si="41"/>
        <v>7.000000000000001E-4</v>
      </c>
      <c r="AF256">
        <f t="shared" si="42"/>
        <v>6.0000000000000071E-4</v>
      </c>
      <c r="AG256">
        <f t="shared" si="43"/>
        <v>9.9999999999999395E-5</v>
      </c>
      <c r="AH256">
        <f t="shared" si="44"/>
        <v>-4.0000000000000105E-4</v>
      </c>
      <c r="AI256">
        <f t="shared" si="45"/>
        <v>5.9999999999999984E-4</v>
      </c>
      <c r="AJ256">
        <f t="shared" si="46"/>
        <v>4.9999999999999697E-4</v>
      </c>
      <c r="AK256">
        <f t="shared" si="47"/>
        <v>1.9999999999999879E-4</v>
      </c>
      <c r="AL256">
        <f t="shared" si="48"/>
        <v>0</v>
      </c>
      <c r="AM256">
        <f t="shared" si="49"/>
        <v>-1.0000000000000286E-4</v>
      </c>
      <c r="AN256">
        <f t="shared" si="50"/>
        <v>-2.0000000000000226E-4</v>
      </c>
      <c r="AO256">
        <f t="shared" si="51"/>
        <v>-5.0000000000000044E-4</v>
      </c>
      <c r="AP256">
        <f t="shared" si="52"/>
        <v>-4.0000000000000105E-4</v>
      </c>
    </row>
    <row r="257" spans="17:42" x14ac:dyDescent="0.25">
      <c r="Q257" s="1">
        <v>44683</v>
      </c>
      <c r="R257">
        <v>4.0999999999999995E-3</v>
      </c>
      <c r="S257">
        <v>7.0999999999999995E-3</v>
      </c>
      <c r="T257">
        <v>9.0000000000000011E-3</v>
      </c>
      <c r="U257">
        <v>1.49E-2</v>
      </c>
      <c r="V257">
        <v>2.1000000000000001E-2</v>
      </c>
      <c r="W257">
        <v>2.7300000000000001E-2</v>
      </c>
      <c r="X257">
        <v>2.9300000000000003E-2</v>
      </c>
      <c r="Y257">
        <v>3.0099999999999998E-2</v>
      </c>
      <c r="Z257">
        <v>3.04E-2</v>
      </c>
      <c r="AA257">
        <v>2.9900000000000003E-2</v>
      </c>
      <c r="AB257">
        <v>3.2599999999999997E-2</v>
      </c>
      <c r="AC257">
        <v>3.0699999999999998E-2</v>
      </c>
      <c r="AE257">
        <f t="shared" si="41"/>
        <v>3.9999999999999931E-4</v>
      </c>
      <c r="AF257">
        <f t="shared" si="42"/>
        <v>-2.0000000000000052E-4</v>
      </c>
      <c r="AG257">
        <f t="shared" si="43"/>
        <v>5.0000000000000044E-4</v>
      </c>
      <c r="AH257">
        <f t="shared" si="44"/>
        <v>8.0000000000000036E-4</v>
      </c>
      <c r="AI257">
        <f t="shared" si="45"/>
        <v>0</v>
      </c>
      <c r="AJ257">
        <f t="shared" si="46"/>
        <v>2.9999999999999818E-4</v>
      </c>
      <c r="AK257">
        <f t="shared" si="47"/>
        <v>6.0000000000000331E-4</v>
      </c>
      <c r="AL257">
        <f t="shared" si="48"/>
        <v>8.9999999999999802E-4</v>
      </c>
      <c r="AM257">
        <f t="shared" si="49"/>
        <v>1.0000000000000009E-3</v>
      </c>
      <c r="AN257">
        <f t="shared" si="50"/>
        <v>1.0000000000000009E-3</v>
      </c>
      <c r="AO257">
        <f t="shared" si="51"/>
        <v>1.1999999999999927E-3</v>
      </c>
      <c r="AP257">
        <f t="shared" si="52"/>
        <v>1.0999999999999968E-3</v>
      </c>
    </row>
    <row r="258" spans="17:42" x14ac:dyDescent="0.25">
      <c r="Q258" s="1">
        <v>44680</v>
      </c>
      <c r="R258">
        <v>3.7000000000000002E-3</v>
      </c>
      <c r="S258">
        <v>7.3000000000000001E-3</v>
      </c>
      <c r="T258">
        <v>8.5000000000000006E-3</v>
      </c>
      <c r="U258">
        <v>1.41E-2</v>
      </c>
      <c r="V258">
        <v>2.1000000000000001E-2</v>
      </c>
      <c r="W258">
        <v>2.7000000000000003E-2</v>
      </c>
      <c r="X258">
        <v>2.87E-2</v>
      </c>
      <c r="Y258">
        <v>2.92E-2</v>
      </c>
      <c r="Z258">
        <v>2.9399999999999999E-2</v>
      </c>
      <c r="AA258">
        <v>2.8900000000000002E-2</v>
      </c>
      <c r="AB258">
        <v>3.1400000000000004E-2</v>
      </c>
      <c r="AC258">
        <v>2.9600000000000001E-2</v>
      </c>
      <c r="AE258">
        <f t="shared" si="41"/>
        <v>0</v>
      </c>
      <c r="AF258">
        <f t="shared" si="42"/>
        <v>2.0000000000000052E-4</v>
      </c>
      <c r="AG258">
        <f t="shared" si="43"/>
        <v>3.0000000000000165E-4</v>
      </c>
      <c r="AH258">
        <f t="shared" si="44"/>
        <v>2.9999999999999992E-4</v>
      </c>
      <c r="AI258">
        <f t="shared" si="45"/>
        <v>5.9999999999999984E-4</v>
      </c>
      <c r="AJ258">
        <f t="shared" si="46"/>
        <v>7.000000000000027E-4</v>
      </c>
      <c r="AK258">
        <f t="shared" si="47"/>
        <v>7.000000000000027E-4</v>
      </c>
      <c r="AL258">
        <f t="shared" si="48"/>
        <v>5.9999999999999984E-4</v>
      </c>
      <c r="AM258">
        <f t="shared" si="49"/>
        <v>5.9999999999999984E-4</v>
      </c>
      <c r="AN258">
        <f t="shared" si="50"/>
        <v>4.0000000000000105E-4</v>
      </c>
      <c r="AO258">
        <f t="shared" si="51"/>
        <v>4.0000000000000452E-4</v>
      </c>
      <c r="AP258">
        <f t="shared" si="52"/>
        <v>4.0000000000000105E-4</v>
      </c>
    </row>
    <row r="259" spans="17:42" x14ac:dyDescent="0.25">
      <c r="Q259" s="1">
        <v>44679</v>
      </c>
      <c r="R259">
        <v>3.7000000000000002E-3</v>
      </c>
      <c r="S259">
        <v>7.0999999999999995E-3</v>
      </c>
      <c r="T259">
        <v>8.199999999999999E-3</v>
      </c>
      <c r="U259">
        <v>1.38E-2</v>
      </c>
      <c r="V259">
        <v>2.0400000000000001E-2</v>
      </c>
      <c r="W259">
        <v>2.63E-2</v>
      </c>
      <c r="X259">
        <v>2.7999999999999997E-2</v>
      </c>
      <c r="Y259">
        <v>2.86E-2</v>
      </c>
      <c r="Z259">
        <v>2.8799999999999999E-2</v>
      </c>
      <c r="AA259">
        <v>2.8500000000000001E-2</v>
      </c>
      <c r="AB259">
        <v>3.1E-2</v>
      </c>
      <c r="AC259">
        <v>2.92E-2</v>
      </c>
      <c r="AE259">
        <f t="shared" si="41"/>
        <v>0</v>
      </c>
      <c r="AF259">
        <f t="shared" si="42"/>
        <v>7.999999999999995E-4</v>
      </c>
      <c r="AG259">
        <f t="shared" si="43"/>
        <v>0</v>
      </c>
      <c r="AH259">
        <f t="shared" si="44"/>
        <v>-9.9999999999999395E-5</v>
      </c>
      <c r="AI259">
        <f t="shared" si="45"/>
        <v>7.000000000000027E-4</v>
      </c>
      <c r="AJ259">
        <f t="shared" si="46"/>
        <v>5.0000000000000044E-4</v>
      </c>
      <c r="AK259">
        <f t="shared" si="47"/>
        <v>4.9999999999999697E-4</v>
      </c>
      <c r="AL259">
        <f t="shared" si="48"/>
        <v>5.0000000000000044E-4</v>
      </c>
      <c r="AM259">
        <f t="shared" si="49"/>
        <v>4.0000000000000105E-4</v>
      </c>
      <c r="AN259">
        <f t="shared" si="50"/>
        <v>3.0000000000000165E-4</v>
      </c>
      <c r="AO259">
        <f t="shared" si="51"/>
        <v>1.9999999999999879E-4</v>
      </c>
      <c r="AP259">
        <f t="shared" si="52"/>
        <v>9.9999999999999395E-5</v>
      </c>
    </row>
    <row r="260" spans="17:42" x14ac:dyDescent="0.25">
      <c r="Q260" s="1">
        <v>44678</v>
      </c>
      <c r="R260">
        <v>3.7000000000000002E-3</v>
      </c>
      <c r="S260">
        <v>6.3E-3</v>
      </c>
      <c r="T260">
        <v>8.199999999999999E-3</v>
      </c>
      <c r="U260">
        <v>1.3899999999999999E-2</v>
      </c>
      <c r="V260">
        <v>1.9699999999999999E-2</v>
      </c>
      <c r="W260">
        <v>2.58E-2</v>
      </c>
      <c r="X260">
        <v>2.75E-2</v>
      </c>
      <c r="Y260">
        <v>2.81E-2</v>
      </c>
      <c r="Z260">
        <v>2.8399999999999998E-2</v>
      </c>
      <c r="AA260">
        <v>2.8199999999999999E-2</v>
      </c>
      <c r="AB260">
        <v>3.0800000000000001E-2</v>
      </c>
      <c r="AC260">
        <v>2.9100000000000001E-2</v>
      </c>
      <c r="AE260">
        <f t="shared" si="41"/>
        <v>-9.9999999999999829E-5</v>
      </c>
      <c r="AF260">
        <f t="shared" si="42"/>
        <v>2.0000000000000052E-4</v>
      </c>
      <c r="AG260">
        <f t="shared" si="43"/>
        <v>-1.0000000000000113E-4</v>
      </c>
      <c r="AH260">
        <f t="shared" si="44"/>
        <v>-9.9999999999999395E-5</v>
      </c>
      <c r="AI260">
        <f t="shared" si="45"/>
        <v>-2.0000000000000226E-4</v>
      </c>
      <c r="AJ260">
        <f t="shared" si="46"/>
        <v>4.0000000000000105E-4</v>
      </c>
      <c r="AK260">
        <f t="shared" si="47"/>
        <v>2.9999999999999818E-4</v>
      </c>
      <c r="AL260">
        <f t="shared" si="48"/>
        <v>1.9999999999999879E-4</v>
      </c>
      <c r="AM260">
        <f t="shared" si="49"/>
        <v>4.0000000000000105E-4</v>
      </c>
      <c r="AN260">
        <f t="shared" si="50"/>
        <v>5.0000000000000044E-4</v>
      </c>
      <c r="AO260">
        <f t="shared" si="51"/>
        <v>5.0000000000000391E-4</v>
      </c>
      <c r="AP260">
        <f t="shared" si="52"/>
        <v>5.0000000000000044E-4</v>
      </c>
    </row>
    <row r="261" spans="17:42" x14ac:dyDescent="0.25">
      <c r="Q261" s="1">
        <v>44677</v>
      </c>
      <c r="R261">
        <v>3.8E-3</v>
      </c>
      <c r="S261">
        <v>6.0999999999999995E-3</v>
      </c>
      <c r="T261">
        <v>8.3000000000000001E-3</v>
      </c>
      <c r="U261">
        <v>1.3999999999999999E-2</v>
      </c>
      <c r="V261">
        <v>1.9900000000000001E-2</v>
      </c>
      <c r="W261">
        <v>2.5399999999999999E-2</v>
      </c>
      <c r="X261">
        <v>2.7200000000000002E-2</v>
      </c>
      <c r="Y261">
        <v>2.7900000000000001E-2</v>
      </c>
      <c r="Z261">
        <v>2.7999999999999997E-2</v>
      </c>
      <c r="AA261">
        <v>2.7699999999999999E-2</v>
      </c>
      <c r="AB261">
        <v>3.0299999999999997E-2</v>
      </c>
      <c r="AC261">
        <v>2.86E-2</v>
      </c>
      <c r="AE261">
        <f t="shared" ref="AE261:AE324" si="53">R261-R262</f>
        <v>-2.0000000000000009E-4</v>
      </c>
      <c r="AF261">
        <f t="shared" ref="AF261:AF324" si="54">S261-S262</f>
        <v>0</v>
      </c>
      <c r="AG261">
        <f t="shared" ref="AG261:AG324" si="55">T261-T262</f>
        <v>-8.0000000000000036E-4</v>
      </c>
      <c r="AH261">
        <f t="shared" ref="AH261:AH324" si="56">U261-U262</f>
        <v>-2.0000000000000052E-4</v>
      </c>
      <c r="AI261">
        <f t="shared" ref="AI261:AI324" si="57">V261-V262</f>
        <v>-3.9999999999999758E-4</v>
      </c>
      <c r="AJ261">
        <f t="shared" ref="AJ261:AJ324" si="58">W261-W262</f>
        <v>-9.0000000000000149E-4</v>
      </c>
      <c r="AK261">
        <f t="shared" ref="AK261:AK324" si="59">X261-X262</f>
        <v>-6.9999999999999923E-4</v>
      </c>
      <c r="AL261">
        <f t="shared" ref="AL261:AL324" si="60">Y261-Y262</f>
        <v>-4.9999999999999697E-4</v>
      </c>
      <c r="AM261">
        <f t="shared" ref="AM261:AM324" si="61">Z261-Z262</f>
        <v>-5.0000000000000391E-4</v>
      </c>
      <c r="AN261">
        <f t="shared" ref="AN261:AN324" si="62">AA261-AA262</f>
        <v>-4.0000000000000105E-4</v>
      </c>
      <c r="AO261">
        <f t="shared" ref="AO261:AO324" si="63">AB261-AB262</f>
        <v>-3.0000000000000512E-4</v>
      </c>
      <c r="AP261">
        <f t="shared" ref="AP261:AP324" si="64">AC261-AC262</f>
        <v>-1.9999999999999879E-4</v>
      </c>
    </row>
    <row r="262" spans="17:42" x14ac:dyDescent="0.25">
      <c r="Q262" s="1">
        <v>44676</v>
      </c>
      <c r="R262">
        <v>4.0000000000000001E-3</v>
      </c>
      <c r="S262">
        <v>6.0999999999999995E-3</v>
      </c>
      <c r="T262">
        <v>9.1000000000000004E-3</v>
      </c>
      <c r="U262">
        <v>1.4199999999999999E-2</v>
      </c>
      <c r="V262">
        <v>2.0299999999999999E-2</v>
      </c>
      <c r="W262">
        <v>2.63E-2</v>
      </c>
      <c r="X262">
        <v>2.7900000000000001E-2</v>
      </c>
      <c r="Y262">
        <v>2.8399999999999998E-2</v>
      </c>
      <c r="Z262">
        <v>2.8500000000000001E-2</v>
      </c>
      <c r="AA262">
        <v>2.81E-2</v>
      </c>
      <c r="AB262">
        <v>3.0600000000000002E-2</v>
      </c>
      <c r="AC262">
        <v>2.8799999999999999E-2</v>
      </c>
      <c r="AE262">
        <f t="shared" si="53"/>
        <v>-5.9999999999999984E-4</v>
      </c>
      <c r="AF262">
        <f t="shared" si="54"/>
        <v>-3.0000000000000079E-4</v>
      </c>
      <c r="AG262">
        <f t="shared" si="55"/>
        <v>8.0000000000000036E-4</v>
      </c>
      <c r="AH262">
        <f t="shared" si="56"/>
        <v>7.9999999999999863E-4</v>
      </c>
      <c r="AI262">
        <f t="shared" si="57"/>
        <v>-3.0000000000000165E-4</v>
      </c>
      <c r="AJ262">
        <f t="shared" si="58"/>
        <v>-9.0000000000000149E-4</v>
      </c>
      <c r="AK262">
        <f t="shared" si="59"/>
        <v>-8.9999999999999802E-4</v>
      </c>
      <c r="AL262">
        <f t="shared" si="60"/>
        <v>-1.0000000000000009E-3</v>
      </c>
      <c r="AM262">
        <f t="shared" si="61"/>
        <v>-1.0000000000000009E-3</v>
      </c>
      <c r="AN262">
        <f t="shared" si="62"/>
        <v>-8.9999999999999802E-4</v>
      </c>
      <c r="AO262">
        <f t="shared" si="63"/>
        <v>-8.000000000000021E-4</v>
      </c>
      <c r="AP262">
        <f t="shared" si="64"/>
        <v>-7.000000000000027E-4</v>
      </c>
    </row>
    <row r="263" spans="17:42" x14ac:dyDescent="0.25">
      <c r="Q263" s="1">
        <v>44673</v>
      </c>
      <c r="R263">
        <v>4.5999999999999999E-3</v>
      </c>
      <c r="S263">
        <v>6.4000000000000003E-3</v>
      </c>
      <c r="T263">
        <v>8.3000000000000001E-3</v>
      </c>
      <c r="U263">
        <v>1.34E-2</v>
      </c>
      <c r="V263">
        <v>2.06E-2</v>
      </c>
      <c r="W263">
        <v>2.7200000000000002E-2</v>
      </c>
      <c r="X263">
        <v>2.8799999999999999E-2</v>
      </c>
      <c r="Y263">
        <v>2.9399999999999999E-2</v>
      </c>
      <c r="Z263">
        <v>2.9500000000000002E-2</v>
      </c>
      <c r="AA263">
        <v>2.8999999999999998E-2</v>
      </c>
      <c r="AB263">
        <v>3.1400000000000004E-2</v>
      </c>
      <c r="AC263">
        <v>2.9500000000000002E-2</v>
      </c>
      <c r="AE263">
        <f t="shared" si="53"/>
        <v>-4.0000000000000018E-4</v>
      </c>
      <c r="AF263">
        <f t="shared" si="54"/>
        <v>-1.0000000000000026E-4</v>
      </c>
      <c r="AG263">
        <f t="shared" si="55"/>
        <v>0</v>
      </c>
      <c r="AH263">
        <f t="shared" si="56"/>
        <v>2.0000000000000052E-4</v>
      </c>
      <c r="AI263">
        <f t="shared" si="57"/>
        <v>5.0000000000000391E-4</v>
      </c>
      <c r="AJ263">
        <f t="shared" si="58"/>
        <v>4.0000000000000105E-4</v>
      </c>
      <c r="AK263">
        <f t="shared" si="59"/>
        <v>9.9999999999999395E-5</v>
      </c>
      <c r="AL263">
        <f t="shared" si="60"/>
        <v>-2.0000000000000226E-4</v>
      </c>
      <c r="AM263">
        <f t="shared" si="61"/>
        <v>-9.9999999999999395E-5</v>
      </c>
      <c r="AN263">
        <f t="shared" si="62"/>
        <v>0</v>
      </c>
      <c r="AO263">
        <f t="shared" si="63"/>
        <v>2.0000000000000226E-4</v>
      </c>
      <c r="AP263">
        <f t="shared" si="64"/>
        <v>1.0000000000000286E-4</v>
      </c>
    </row>
    <row r="264" spans="17:42" x14ac:dyDescent="0.25">
      <c r="Q264" s="1">
        <v>44672</v>
      </c>
      <c r="R264">
        <v>5.0000000000000001E-3</v>
      </c>
      <c r="S264">
        <v>6.5000000000000006E-3</v>
      </c>
      <c r="T264">
        <v>8.3000000000000001E-3</v>
      </c>
      <c r="U264">
        <v>1.32E-2</v>
      </c>
      <c r="V264">
        <v>2.0099999999999996E-2</v>
      </c>
      <c r="W264">
        <v>2.6800000000000001E-2</v>
      </c>
      <c r="X264">
        <v>2.87E-2</v>
      </c>
      <c r="Y264">
        <v>2.9600000000000001E-2</v>
      </c>
      <c r="Z264">
        <v>2.9600000000000001E-2</v>
      </c>
      <c r="AA264">
        <v>2.8999999999999998E-2</v>
      </c>
      <c r="AB264">
        <v>3.1200000000000002E-2</v>
      </c>
      <c r="AC264">
        <v>2.9399999999999999E-2</v>
      </c>
      <c r="AE264">
        <f t="shared" si="53"/>
        <v>1.5000000000000005E-3</v>
      </c>
      <c r="AF264">
        <f t="shared" si="54"/>
        <v>8.9999999999999976E-4</v>
      </c>
      <c r="AG264">
        <f t="shared" si="55"/>
        <v>1.0000000000000113E-4</v>
      </c>
      <c r="AH264">
        <f t="shared" si="56"/>
        <v>2.9999999999999992E-4</v>
      </c>
      <c r="AI264">
        <f t="shared" si="57"/>
        <v>7.9999999999999863E-4</v>
      </c>
      <c r="AJ264">
        <f t="shared" si="58"/>
        <v>7.9999999999999863E-4</v>
      </c>
      <c r="AK264">
        <f t="shared" si="59"/>
        <v>7.9999999999999863E-4</v>
      </c>
      <c r="AL264">
        <f t="shared" si="60"/>
        <v>9.0000000000000149E-4</v>
      </c>
      <c r="AM264">
        <f t="shared" si="61"/>
        <v>8.000000000000021E-4</v>
      </c>
      <c r="AN264">
        <f t="shared" si="62"/>
        <v>4.9999999999999697E-4</v>
      </c>
      <c r="AO264">
        <f t="shared" si="63"/>
        <v>4.0000000000000105E-4</v>
      </c>
      <c r="AP264">
        <f t="shared" si="64"/>
        <v>4.0000000000000105E-4</v>
      </c>
    </row>
    <row r="265" spans="17:42" x14ac:dyDescent="0.25">
      <c r="Q265" s="1">
        <v>44671</v>
      </c>
      <c r="R265">
        <v>3.4999999999999996E-3</v>
      </c>
      <c r="S265">
        <v>5.6000000000000008E-3</v>
      </c>
      <c r="T265">
        <v>8.199999999999999E-3</v>
      </c>
      <c r="U265">
        <v>1.29E-2</v>
      </c>
      <c r="V265">
        <v>1.9299999999999998E-2</v>
      </c>
      <c r="W265">
        <v>2.6000000000000002E-2</v>
      </c>
      <c r="X265">
        <v>2.7900000000000001E-2</v>
      </c>
      <c r="Y265">
        <v>2.87E-2</v>
      </c>
      <c r="Z265">
        <v>2.8799999999999999E-2</v>
      </c>
      <c r="AA265">
        <v>2.8500000000000001E-2</v>
      </c>
      <c r="AB265">
        <v>3.0800000000000001E-2</v>
      </c>
      <c r="AC265">
        <v>2.8999999999999998E-2</v>
      </c>
      <c r="AE265">
        <f t="shared" si="53"/>
        <v>-2.0000000000000052E-4</v>
      </c>
      <c r="AF265">
        <f t="shared" si="54"/>
        <v>-1.9999999999999879E-4</v>
      </c>
      <c r="AG265">
        <f t="shared" si="55"/>
        <v>9.999999999999766E-5</v>
      </c>
      <c r="AH265">
        <f t="shared" si="56"/>
        <v>9.9999999999999395E-5</v>
      </c>
      <c r="AI265">
        <f t="shared" si="57"/>
        <v>-1.0000000000000286E-4</v>
      </c>
      <c r="AJ265">
        <f t="shared" si="58"/>
        <v>-9.9999999999995925E-5</v>
      </c>
      <c r="AK265">
        <f t="shared" si="59"/>
        <v>-1.9999999999999879E-4</v>
      </c>
      <c r="AL265">
        <f t="shared" si="60"/>
        <v>-4.0000000000000105E-4</v>
      </c>
      <c r="AM265">
        <f t="shared" si="61"/>
        <v>-7.000000000000027E-4</v>
      </c>
      <c r="AN265">
        <f t="shared" si="62"/>
        <v>-8.000000000000021E-4</v>
      </c>
      <c r="AO265">
        <f t="shared" si="63"/>
        <v>-1.0999999999999968E-3</v>
      </c>
      <c r="AP265">
        <f t="shared" si="64"/>
        <v>-1.1000000000000003E-3</v>
      </c>
    </row>
    <row r="266" spans="17:42" x14ac:dyDescent="0.25">
      <c r="Q266" s="1">
        <v>44670</v>
      </c>
      <c r="R266">
        <v>3.7000000000000002E-3</v>
      </c>
      <c r="S266">
        <v>5.7999999999999996E-3</v>
      </c>
      <c r="T266">
        <v>8.1000000000000013E-3</v>
      </c>
      <c r="U266">
        <v>1.2800000000000001E-2</v>
      </c>
      <c r="V266">
        <v>1.9400000000000001E-2</v>
      </c>
      <c r="W266">
        <v>2.6099999999999998E-2</v>
      </c>
      <c r="X266">
        <v>2.81E-2</v>
      </c>
      <c r="Y266">
        <v>2.9100000000000001E-2</v>
      </c>
      <c r="Z266">
        <v>2.9500000000000002E-2</v>
      </c>
      <c r="AA266">
        <v>2.9300000000000003E-2</v>
      </c>
      <c r="AB266">
        <v>3.1899999999999998E-2</v>
      </c>
      <c r="AC266">
        <v>3.0099999999999998E-2</v>
      </c>
      <c r="AE266">
        <f t="shared" si="53"/>
        <v>-9.9999999999999829E-5</v>
      </c>
      <c r="AF266">
        <f t="shared" si="54"/>
        <v>-2.0000000000000052E-4</v>
      </c>
      <c r="AG266">
        <f t="shared" si="55"/>
        <v>0</v>
      </c>
      <c r="AH266">
        <f t="shared" si="56"/>
        <v>1.0000000000000113E-4</v>
      </c>
      <c r="AI266">
        <f t="shared" si="57"/>
        <v>1.0000000000000009E-3</v>
      </c>
      <c r="AJ266">
        <f t="shared" si="58"/>
        <v>1.4999999999999979E-3</v>
      </c>
      <c r="AK266">
        <f t="shared" si="59"/>
        <v>1.2999999999999991E-3</v>
      </c>
      <c r="AL266">
        <f t="shared" si="60"/>
        <v>1.1999999999999997E-3</v>
      </c>
      <c r="AM266">
        <f t="shared" si="61"/>
        <v>1.0000000000000009E-3</v>
      </c>
      <c r="AN266">
        <f t="shared" si="62"/>
        <v>8.000000000000021E-4</v>
      </c>
      <c r="AO266">
        <f t="shared" si="63"/>
        <v>6.9999999999999576E-4</v>
      </c>
      <c r="AP266">
        <f t="shared" si="64"/>
        <v>5.9999999999999637E-4</v>
      </c>
    </row>
    <row r="267" spans="17:42" x14ac:dyDescent="0.25">
      <c r="Q267" s="1">
        <v>44669</v>
      </c>
      <c r="R267">
        <v>3.8E-3</v>
      </c>
      <c r="S267">
        <v>6.0000000000000001E-3</v>
      </c>
      <c r="T267">
        <v>8.1000000000000013E-3</v>
      </c>
      <c r="U267">
        <v>1.2699999999999999E-2</v>
      </c>
      <c r="V267">
        <v>1.84E-2</v>
      </c>
      <c r="W267">
        <v>2.46E-2</v>
      </c>
      <c r="X267">
        <v>2.6800000000000001E-2</v>
      </c>
      <c r="Y267">
        <v>2.7900000000000001E-2</v>
      </c>
      <c r="Z267">
        <v>2.8500000000000001E-2</v>
      </c>
      <c r="AA267">
        <v>2.8500000000000001E-2</v>
      </c>
      <c r="AB267">
        <v>3.1200000000000002E-2</v>
      </c>
      <c r="AC267">
        <v>2.9500000000000002E-2</v>
      </c>
      <c r="AE267">
        <f t="shared" si="53"/>
        <v>9.9999999999999829E-5</v>
      </c>
      <c r="AF267">
        <f t="shared" si="54"/>
        <v>3.0000000000000079E-4</v>
      </c>
      <c r="AG267">
        <f t="shared" si="55"/>
        <v>2.0000000000000052E-4</v>
      </c>
      <c r="AH267">
        <f t="shared" si="56"/>
        <v>1.9999999999999879E-4</v>
      </c>
      <c r="AI267">
        <f t="shared" si="57"/>
        <v>0</v>
      </c>
      <c r="AJ267">
        <f t="shared" si="58"/>
        <v>-1.0000000000000286E-4</v>
      </c>
      <c r="AK267">
        <f t="shared" si="59"/>
        <v>1.0000000000000286E-4</v>
      </c>
      <c r="AL267">
        <f t="shared" si="60"/>
        <v>0</v>
      </c>
      <c r="AM267">
        <f t="shared" si="61"/>
        <v>1.0000000000000286E-4</v>
      </c>
      <c r="AN267">
        <f t="shared" si="62"/>
        <v>1.9999999999999879E-4</v>
      </c>
      <c r="AO267">
        <f t="shared" si="63"/>
        <v>3.0000000000000512E-4</v>
      </c>
      <c r="AP267">
        <f t="shared" si="64"/>
        <v>3.0000000000000165E-4</v>
      </c>
    </row>
    <row r="268" spans="17:42" x14ac:dyDescent="0.25">
      <c r="Q268" s="1">
        <v>44665</v>
      </c>
      <c r="R268">
        <v>3.7000000000000002E-3</v>
      </c>
      <c r="S268">
        <v>5.6999999999999993E-3</v>
      </c>
      <c r="T268">
        <v>7.9000000000000008E-3</v>
      </c>
      <c r="U268">
        <v>1.2500000000000001E-2</v>
      </c>
      <c r="V268">
        <v>1.84E-2</v>
      </c>
      <c r="W268">
        <v>2.4700000000000003E-2</v>
      </c>
      <c r="X268">
        <v>2.6699999999999998E-2</v>
      </c>
      <c r="Y268">
        <v>2.7900000000000001E-2</v>
      </c>
      <c r="Z268">
        <v>2.8399999999999998E-2</v>
      </c>
      <c r="AA268">
        <v>2.8300000000000002E-2</v>
      </c>
      <c r="AB268">
        <v>3.0899999999999997E-2</v>
      </c>
      <c r="AC268">
        <v>2.92E-2</v>
      </c>
      <c r="AE268">
        <f t="shared" si="53"/>
        <v>1.1000000000000003E-3</v>
      </c>
      <c r="AF268">
        <f t="shared" si="54"/>
        <v>4.9999999999999958E-4</v>
      </c>
      <c r="AG268">
        <f t="shared" si="55"/>
        <v>4.0000000000000105E-4</v>
      </c>
      <c r="AH268">
        <f t="shared" si="56"/>
        <v>5.0000000000000044E-4</v>
      </c>
      <c r="AI268">
        <f t="shared" si="57"/>
        <v>5.9999999999999984E-4</v>
      </c>
      <c r="AJ268">
        <f t="shared" si="58"/>
        <v>1.0000000000000009E-3</v>
      </c>
      <c r="AK268">
        <f t="shared" si="59"/>
        <v>1.0000000000000009E-3</v>
      </c>
      <c r="AL268">
        <f t="shared" si="60"/>
        <v>1.2999999999999991E-3</v>
      </c>
      <c r="AM268">
        <f t="shared" si="61"/>
        <v>1.2999999999999991E-3</v>
      </c>
      <c r="AN268">
        <f t="shared" si="62"/>
        <v>1.2999999999999991E-3</v>
      </c>
      <c r="AO268">
        <f t="shared" si="63"/>
        <v>1.1999999999999962E-3</v>
      </c>
      <c r="AP268">
        <f t="shared" si="64"/>
        <v>1.1000000000000003E-3</v>
      </c>
    </row>
    <row r="269" spans="17:42" x14ac:dyDescent="0.25">
      <c r="Q269" s="1">
        <v>44664</v>
      </c>
      <c r="R269">
        <v>2.5999999999999999E-3</v>
      </c>
      <c r="S269">
        <v>5.1999999999999998E-3</v>
      </c>
      <c r="T269">
        <v>7.4999999999999997E-3</v>
      </c>
      <c r="U269">
        <v>1.2E-2</v>
      </c>
      <c r="V269">
        <v>1.78E-2</v>
      </c>
      <c r="W269">
        <v>2.3700000000000002E-2</v>
      </c>
      <c r="X269">
        <v>2.5699999999999997E-2</v>
      </c>
      <c r="Y269">
        <v>2.6600000000000002E-2</v>
      </c>
      <c r="Z269">
        <v>2.7099999999999999E-2</v>
      </c>
      <c r="AA269">
        <v>2.7000000000000003E-2</v>
      </c>
      <c r="AB269">
        <v>2.9700000000000001E-2</v>
      </c>
      <c r="AC269">
        <v>2.81E-2</v>
      </c>
      <c r="AE269">
        <f t="shared" si="53"/>
        <v>5.0000000000000001E-4</v>
      </c>
      <c r="AF269">
        <f t="shared" si="54"/>
        <v>0</v>
      </c>
      <c r="AG269">
        <f t="shared" si="55"/>
        <v>9.9999999999999395E-5</v>
      </c>
      <c r="AH269">
        <f t="shared" si="56"/>
        <v>0</v>
      </c>
      <c r="AI269">
        <f t="shared" si="57"/>
        <v>9.9999999999999395E-5</v>
      </c>
      <c r="AJ269">
        <f t="shared" si="58"/>
        <v>-1.9999999999999879E-4</v>
      </c>
      <c r="AK269">
        <f t="shared" si="59"/>
        <v>-1.0000000000000286E-4</v>
      </c>
      <c r="AL269">
        <f t="shared" si="60"/>
        <v>0</v>
      </c>
      <c r="AM269">
        <f t="shared" si="61"/>
        <v>-2.0000000000000226E-4</v>
      </c>
      <c r="AN269">
        <f t="shared" si="62"/>
        <v>-1.9999999999999879E-4</v>
      </c>
      <c r="AO269">
        <f t="shared" si="63"/>
        <v>-2.0000000000000226E-4</v>
      </c>
      <c r="AP269">
        <f t="shared" si="64"/>
        <v>-9.9999999999999395E-5</v>
      </c>
    </row>
    <row r="270" spans="17:42" x14ac:dyDescent="0.25">
      <c r="Q270" s="1">
        <v>44663</v>
      </c>
      <c r="R270">
        <v>2.0999999999999999E-3</v>
      </c>
      <c r="S270">
        <v>5.1999999999999998E-3</v>
      </c>
      <c r="T270">
        <v>7.4000000000000003E-3</v>
      </c>
      <c r="U270">
        <v>1.2E-2</v>
      </c>
      <c r="V270">
        <v>1.77E-2</v>
      </c>
      <c r="W270">
        <v>2.3900000000000001E-2</v>
      </c>
      <c r="X270">
        <v>2.58E-2</v>
      </c>
      <c r="Y270">
        <v>2.6600000000000002E-2</v>
      </c>
      <c r="Z270">
        <v>2.7300000000000001E-2</v>
      </c>
      <c r="AA270">
        <v>2.7200000000000002E-2</v>
      </c>
      <c r="AB270">
        <v>2.9900000000000003E-2</v>
      </c>
      <c r="AC270">
        <v>2.8199999999999999E-2</v>
      </c>
      <c r="AE270">
        <f t="shared" si="53"/>
        <v>-1.0000000000000026E-4</v>
      </c>
      <c r="AF270">
        <f t="shared" si="54"/>
        <v>-2.0000000000000052E-4</v>
      </c>
      <c r="AG270">
        <f t="shared" si="55"/>
        <v>-2.9999999999999992E-4</v>
      </c>
      <c r="AH270">
        <f t="shared" si="56"/>
        <v>-2.9999999999999992E-4</v>
      </c>
      <c r="AI270">
        <f t="shared" si="57"/>
        <v>-8.000000000000021E-4</v>
      </c>
      <c r="AJ270">
        <f t="shared" si="58"/>
        <v>-1.1000000000000003E-3</v>
      </c>
      <c r="AK270">
        <f t="shared" si="59"/>
        <v>-1.5000000000000013E-3</v>
      </c>
      <c r="AL270">
        <f t="shared" si="60"/>
        <v>-1.2999999999999991E-3</v>
      </c>
      <c r="AM270">
        <f t="shared" si="61"/>
        <v>-1.0999999999999968E-3</v>
      </c>
      <c r="AN270">
        <f t="shared" si="62"/>
        <v>-6.9999999999999923E-4</v>
      </c>
      <c r="AO270">
        <f t="shared" si="63"/>
        <v>-2.9999999999999818E-4</v>
      </c>
      <c r="AP270">
        <f t="shared" si="64"/>
        <v>-1.9999999999999879E-4</v>
      </c>
    </row>
    <row r="271" spans="17:42" x14ac:dyDescent="0.25">
      <c r="Q271" s="1">
        <v>44662</v>
      </c>
      <c r="R271">
        <v>2.2000000000000001E-3</v>
      </c>
      <c r="S271">
        <v>5.4000000000000003E-3</v>
      </c>
      <c r="T271">
        <v>7.7000000000000002E-3</v>
      </c>
      <c r="U271">
        <v>1.23E-2</v>
      </c>
      <c r="V271">
        <v>1.8500000000000003E-2</v>
      </c>
      <c r="W271">
        <v>2.5000000000000001E-2</v>
      </c>
      <c r="X271">
        <v>2.7300000000000001E-2</v>
      </c>
      <c r="Y271">
        <v>2.7900000000000001E-2</v>
      </c>
      <c r="Z271">
        <v>2.8399999999999998E-2</v>
      </c>
      <c r="AA271">
        <v>2.7900000000000001E-2</v>
      </c>
      <c r="AB271">
        <v>3.0200000000000001E-2</v>
      </c>
      <c r="AC271">
        <v>2.8399999999999998E-2</v>
      </c>
      <c r="AE271">
        <f t="shared" si="53"/>
        <v>2.0000000000000009E-4</v>
      </c>
      <c r="AF271">
        <f t="shared" si="54"/>
        <v>5.0000000000000044E-4</v>
      </c>
      <c r="AG271">
        <f t="shared" si="55"/>
        <v>7.0000000000000097E-4</v>
      </c>
      <c r="AH271">
        <f t="shared" si="56"/>
        <v>4.0000000000000105E-4</v>
      </c>
      <c r="AI271">
        <f t="shared" si="57"/>
        <v>4.0000000000000105E-4</v>
      </c>
      <c r="AJ271">
        <f t="shared" si="58"/>
        <v>-2.9999999999999818E-4</v>
      </c>
      <c r="AK271">
        <f t="shared" si="59"/>
        <v>0</v>
      </c>
      <c r="AL271">
        <f t="shared" si="60"/>
        <v>3.0000000000000165E-4</v>
      </c>
      <c r="AM271">
        <f t="shared" si="61"/>
        <v>4.9999999999999697E-4</v>
      </c>
      <c r="AN271">
        <f t="shared" si="62"/>
        <v>6.9999999999999923E-4</v>
      </c>
      <c r="AO271">
        <f t="shared" si="63"/>
        <v>8.000000000000021E-4</v>
      </c>
      <c r="AP271">
        <f t="shared" si="64"/>
        <v>7.9999999999999863E-4</v>
      </c>
    </row>
    <row r="272" spans="17:42" x14ac:dyDescent="0.25">
      <c r="Q272" s="1">
        <v>44659</v>
      </c>
      <c r="R272">
        <v>2E-3</v>
      </c>
      <c r="S272">
        <v>4.8999999999999998E-3</v>
      </c>
      <c r="T272">
        <v>6.9999999999999993E-3</v>
      </c>
      <c r="U272">
        <v>1.1899999999999999E-2</v>
      </c>
      <c r="V272">
        <v>1.8100000000000002E-2</v>
      </c>
      <c r="W272">
        <v>2.53E-2</v>
      </c>
      <c r="X272">
        <v>2.7300000000000001E-2</v>
      </c>
      <c r="Y272">
        <v>2.76E-2</v>
      </c>
      <c r="Z272">
        <v>2.7900000000000001E-2</v>
      </c>
      <c r="AA272">
        <v>2.7200000000000002E-2</v>
      </c>
      <c r="AB272">
        <v>2.9399999999999999E-2</v>
      </c>
      <c r="AC272">
        <v>2.76E-2</v>
      </c>
      <c r="AE272">
        <f t="shared" si="53"/>
        <v>-9.9999999999999829E-5</v>
      </c>
      <c r="AF272">
        <f t="shared" si="54"/>
        <v>-1.0000000000000026E-4</v>
      </c>
      <c r="AG272">
        <f t="shared" si="55"/>
        <v>1.9999999999999879E-4</v>
      </c>
      <c r="AH272">
        <f t="shared" si="56"/>
        <v>3.9999999999999931E-4</v>
      </c>
      <c r="AI272">
        <f t="shared" si="57"/>
        <v>3.0000000000000165E-4</v>
      </c>
      <c r="AJ272">
        <f t="shared" si="58"/>
        <v>5.9999999999999637E-4</v>
      </c>
      <c r="AK272">
        <f t="shared" si="59"/>
        <v>6.9999999999999923E-4</v>
      </c>
      <c r="AL272">
        <f t="shared" si="60"/>
        <v>5.9999999999999637E-4</v>
      </c>
      <c r="AM272">
        <f t="shared" si="61"/>
        <v>5.9999999999999984E-4</v>
      </c>
      <c r="AN272">
        <f t="shared" si="62"/>
        <v>5.9999999999999984E-4</v>
      </c>
      <c r="AO272">
        <f t="shared" si="63"/>
        <v>6.9999999999999923E-4</v>
      </c>
      <c r="AP272">
        <f t="shared" si="64"/>
        <v>6.9999999999999923E-4</v>
      </c>
    </row>
    <row r="273" spans="17:42" x14ac:dyDescent="0.25">
      <c r="Q273" s="1">
        <v>44658</v>
      </c>
      <c r="R273">
        <v>2.0999999999999999E-3</v>
      </c>
      <c r="S273">
        <v>5.0000000000000001E-3</v>
      </c>
      <c r="T273">
        <v>6.8000000000000005E-3</v>
      </c>
      <c r="U273">
        <v>1.15E-2</v>
      </c>
      <c r="V273">
        <v>1.78E-2</v>
      </c>
      <c r="W273">
        <v>2.4700000000000003E-2</v>
      </c>
      <c r="X273">
        <v>2.6600000000000002E-2</v>
      </c>
      <c r="Y273">
        <v>2.7000000000000003E-2</v>
      </c>
      <c r="Z273">
        <v>2.7300000000000001E-2</v>
      </c>
      <c r="AA273">
        <v>2.6600000000000002E-2</v>
      </c>
      <c r="AB273">
        <v>2.87E-2</v>
      </c>
      <c r="AC273">
        <v>2.69E-2</v>
      </c>
      <c r="AE273">
        <f t="shared" si="53"/>
        <v>0</v>
      </c>
      <c r="AF273">
        <f t="shared" si="54"/>
        <v>5.9999999999999984E-4</v>
      </c>
      <c r="AG273">
        <f t="shared" si="55"/>
        <v>1.0000000000000026E-4</v>
      </c>
      <c r="AH273">
        <f t="shared" si="56"/>
        <v>0</v>
      </c>
      <c r="AI273">
        <f t="shared" si="57"/>
        <v>-9.9999999999999395E-5</v>
      </c>
      <c r="AJ273">
        <f t="shared" si="58"/>
        <v>-2.9999999999999818E-4</v>
      </c>
      <c r="AK273">
        <f t="shared" si="59"/>
        <v>-9.9999999999995925E-5</v>
      </c>
      <c r="AL273">
        <f t="shared" si="60"/>
        <v>0</v>
      </c>
      <c r="AM273">
        <f t="shared" si="61"/>
        <v>4.0000000000000105E-4</v>
      </c>
      <c r="AN273">
        <f t="shared" si="62"/>
        <v>5.0000000000000391E-4</v>
      </c>
      <c r="AO273">
        <f t="shared" si="63"/>
        <v>5.9999999999999984E-4</v>
      </c>
      <c r="AP273">
        <f t="shared" si="64"/>
        <v>5.9999999999999984E-4</v>
      </c>
    </row>
    <row r="274" spans="17:42" x14ac:dyDescent="0.25">
      <c r="Q274" s="1">
        <v>44657</v>
      </c>
      <c r="R274">
        <v>2.0999999999999999E-3</v>
      </c>
      <c r="S274">
        <v>4.4000000000000003E-3</v>
      </c>
      <c r="T274">
        <v>6.7000000000000002E-3</v>
      </c>
      <c r="U274">
        <v>1.15E-2</v>
      </c>
      <c r="V274">
        <v>1.7899999999999999E-2</v>
      </c>
      <c r="W274">
        <v>2.5000000000000001E-2</v>
      </c>
      <c r="X274">
        <v>2.6699999999999998E-2</v>
      </c>
      <c r="Y274">
        <v>2.7000000000000003E-2</v>
      </c>
      <c r="Z274">
        <v>2.69E-2</v>
      </c>
      <c r="AA274">
        <v>2.6099999999999998E-2</v>
      </c>
      <c r="AB274">
        <v>2.81E-2</v>
      </c>
      <c r="AC274">
        <v>2.63E-2</v>
      </c>
      <c r="AE274">
        <f t="shared" si="53"/>
        <v>2.9999999999999992E-4</v>
      </c>
      <c r="AF274">
        <f t="shared" si="54"/>
        <v>2.0000000000000052E-4</v>
      </c>
      <c r="AG274">
        <f t="shared" si="55"/>
        <v>1.9999999999999966E-4</v>
      </c>
      <c r="AH274">
        <f t="shared" si="56"/>
        <v>2.0000000000000052E-4</v>
      </c>
      <c r="AI274">
        <f t="shared" si="57"/>
        <v>1.9999999999999879E-4</v>
      </c>
      <c r="AJ274">
        <f t="shared" si="58"/>
        <v>-9.9999999999995925E-5</v>
      </c>
      <c r="AK274">
        <f t="shared" si="59"/>
        <v>-2.0000000000000226E-4</v>
      </c>
      <c r="AL274">
        <f t="shared" si="60"/>
        <v>1.0000000000000286E-4</v>
      </c>
      <c r="AM274">
        <f t="shared" si="61"/>
        <v>4.0000000000000105E-4</v>
      </c>
      <c r="AN274">
        <f t="shared" si="62"/>
        <v>6.9999999999999923E-4</v>
      </c>
      <c r="AO274">
        <f t="shared" si="63"/>
        <v>6.9999999999999923E-4</v>
      </c>
      <c r="AP274">
        <f t="shared" si="64"/>
        <v>6.0000000000000331E-4</v>
      </c>
    </row>
    <row r="275" spans="17:42" x14ac:dyDescent="0.25">
      <c r="Q275" s="1">
        <v>44656</v>
      </c>
      <c r="R275">
        <v>1.8E-3</v>
      </c>
      <c r="S275">
        <v>4.1999999999999997E-3</v>
      </c>
      <c r="T275">
        <v>6.5000000000000006E-3</v>
      </c>
      <c r="U275">
        <v>1.1299999999999999E-2</v>
      </c>
      <c r="V275">
        <v>1.77E-2</v>
      </c>
      <c r="W275">
        <v>2.5099999999999997E-2</v>
      </c>
      <c r="X275">
        <v>2.69E-2</v>
      </c>
      <c r="Y275">
        <v>2.69E-2</v>
      </c>
      <c r="Z275">
        <v>2.6499999999999999E-2</v>
      </c>
      <c r="AA275">
        <v>2.5399999999999999E-2</v>
      </c>
      <c r="AB275">
        <v>2.7400000000000001E-2</v>
      </c>
      <c r="AC275">
        <v>2.5699999999999997E-2</v>
      </c>
      <c r="AE275">
        <f t="shared" si="53"/>
        <v>0</v>
      </c>
      <c r="AF275">
        <f t="shared" si="54"/>
        <v>0</v>
      </c>
      <c r="AG275">
        <f t="shared" si="55"/>
        <v>-9.9999999999999395E-5</v>
      </c>
      <c r="AH275">
        <f t="shared" si="56"/>
        <v>-9.9999999999999395E-5</v>
      </c>
      <c r="AI275">
        <f t="shared" si="57"/>
        <v>5.0000000000000044E-4</v>
      </c>
      <c r="AJ275">
        <f t="shared" si="58"/>
        <v>7.9999999999999516E-4</v>
      </c>
      <c r="AK275">
        <f t="shared" si="59"/>
        <v>8.000000000000021E-4</v>
      </c>
      <c r="AL275">
        <f t="shared" si="60"/>
        <v>1.2999999999999991E-3</v>
      </c>
      <c r="AM275">
        <f t="shared" si="61"/>
        <v>1.2999999999999991E-3</v>
      </c>
      <c r="AN275">
        <f t="shared" si="62"/>
        <v>1.1999999999999997E-3</v>
      </c>
      <c r="AO275">
        <f t="shared" si="63"/>
        <v>1.0000000000000009E-3</v>
      </c>
      <c r="AP275">
        <f t="shared" si="64"/>
        <v>8.9999999999999802E-4</v>
      </c>
    </row>
    <row r="276" spans="17:42" x14ac:dyDescent="0.25">
      <c r="Q276" s="1">
        <v>44655</v>
      </c>
      <c r="R276">
        <v>1.8E-3</v>
      </c>
      <c r="S276">
        <v>4.1999999999999997E-3</v>
      </c>
      <c r="T276">
        <v>6.6E-3</v>
      </c>
      <c r="U276">
        <v>1.1399999999999999E-2</v>
      </c>
      <c r="V276">
        <v>1.72E-2</v>
      </c>
      <c r="W276">
        <v>2.4300000000000002E-2</v>
      </c>
      <c r="X276">
        <v>2.6099999999999998E-2</v>
      </c>
      <c r="Y276">
        <v>2.5600000000000001E-2</v>
      </c>
      <c r="Z276">
        <v>2.52E-2</v>
      </c>
      <c r="AA276">
        <v>2.4199999999999999E-2</v>
      </c>
      <c r="AB276">
        <v>2.64E-2</v>
      </c>
      <c r="AC276">
        <v>2.4799999999999999E-2</v>
      </c>
      <c r="AE276">
        <f t="shared" si="53"/>
        <v>2.9999999999999992E-4</v>
      </c>
      <c r="AF276">
        <f t="shared" si="54"/>
        <v>4.9999999999999958E-4</v>
      </c>
      <c r="AG276">
        <f t="shared" si="55"/>
        <v>1.2999999999999999E-3</v>
      </c>
      <c r="AH276">
        <f t="shared" si="56"/>
        <v>4.9999999999999871E-4</v>
      </c>
      <c r="AI276">
        <f t="shared" si="57"/>
        <v>0</v>
      </c>
      <c r="AJ276">
        <f t="shared" si="58"/>
        <v>-9.9999999999995925E-5</v>
      </c>
      <c r="AK276">
        <f t="shared" si="59"/>
        <v>0</v>
      </c>
      <c r="AL276">
        <f t="shared" si="60"/>
        <v>1.0000000000000286E-4</v>
      </c>
      <c r="AM276">
        <f t="shared" si="61"/>
        <v>1.9999999999999879E-4</v>
      </c>
      <c r="AN276">
        <f t="shared" si="62"/>
        <v>2.9999999999999818E-4</v>
      </c>
      <c r="AO276">
        <f t="shared" si="63"/>
        <v>3.9999999999999758E-4</v>
      </c>
      <c r="AP276">
        <f t="shared" si="64"/>
        <v>4.0000000000000105E-4</v>
      </c>
    </row>
    <row r="277" spans="17:42" x14ac:dyDescent="0.25">
      <c r="Q277" s="1">
        <v>44652</v>
      </c>
      <c r="R277">
        <v>1.5E-3</v>
      </c>
      <c r="S277">
        <v>3.7000000000000002E-3</v>
      </c>
      <c r="T277">
        <v>5.3E-3</v>
      </c>
      <c r="U277">
        <v>1.09E-2</v>
      </c>
      <c r="V277">
        <v>1.72E-2</v>
      </c>
      <c r="W277">
        <v>2.4399999999999998E-2</v>
      </c>
      <c r="X277">
        <v>2.6099999999999998E-2</v>
      </c>
      <c r="Y277">
        <v>2.5499999999999998E-2</v>
      </c>
      <c r="Z277">
        <v>2.5000000000000001E-2</v>
      </c>
      <c r="AA277">
        <v>2.3900000000000001E-2</v>
      </c>
      <c r="AB277">
        <v>2.6000000000000002E-2</v>
      </c>
      <c r="AC277">
        <v>2.4399999999999998E-2</v>
      </c>
      <c r="AE277">
        <f t="shared" si="53"/>
        <v>-2.0000000000000009E-4</v>
      </c>
      <c r="AF277">
        <f t="shared" si="54"/>
        <v>2.0000000000000052E-4</v>
      </c>
      <c r="AG277">
        <f t="shared" si="55"/>
        <v>1.0000000000000026E-4</v>
      </c>
      <c r="AH277">
        <f t="shared" si="56"/>
        <v>2.9999999999999992E-4</v>
      </c>
      <c r="AI277">
        <f t="shared" si="57"/>
        <v>9.0000000000000149E-4</v>
      </c>
      <c r="AJ277">
        <f t="shared" si="58"/>
        <v>1.6000000000000007E-3</v>
      </c>
      <c r="AK277">
        <f t="shared" si="59"/>
        <v>1.5999999999999973E-3</v>
      </c>
      <c r="AL277">
        <f t="shared" si="60"/>
        <v>1.2999999999999991E-3</v>
      </c>
      <c r="AM277">
        <f t="shared" si="61"/>
        <v>1.0000000000000009E-3</v>
      </c>
      <c r="AN277">
        <f t="shared" si="62"/>
        <v>7.000000000000027E-4</v>
      </c>
      <c r="AO277">
        <f t="shared" si="63"/>
        <v>1.0000000000000286E-4</v>
      </c>
      <c r="AP277">
        <f t="shared" si="64"/>
        <v>0</v>
      </c>
    </row>
    <row r="278" spans="17:42" x14ac:dyDescent="0.25">
      <c r="Q278" s="1">
        <v>44651</v>
      </c>
      <c r="R278">
        <v>1.7000000000000001E-3</v>
      </c>
      <c r="S278">
        <v>3.4999999999999996E-3</v>
      </c>
      <c r="T278">
        <v>5.1999999999999998E-3</v>
      </c>
      <c r="U278">
        <v>1.06E-2</v>
      </c>
      <c r="V278">
        <v>1.6299999999999999E-2</v>
      </c>
      <c r="W278">
        <v>2.2799999999999997E-2</v>
      </c>
      <c r="X278">
        <v>2.4500000000000001E-2</v>
      </c>
      <c r="Y278">
        <v>2.4199999999999999E-2</v>
      </c>
      <c r="Z278">
        <v>2.4E-2</v>
      </c>
      <c r="AA278">
        <v>2.3199999999999998E-2</v>
      </c>
      <c r="AB278">
        <v>2.5899999999999999E-2</v>
      </c>
      <c r="AC278">
        <v>2.4399999999999998E-2</v>
      </c>
      <c r="AE278">
        <f t="shared" si="53"/>
        <v>1.0000000000000005E-4</v>
      </c>
      <c r="AF278">
        <f t="shared" si="54"/>
        <v>1.9999999999999966E-4</v>
      </c>
      <c r="AG278">
        <f t="shared" si="55"/>
        <v>-3.0000000000000079E-4</v>
      </c>
      <c r="AH278">
        <f t="shared" si="56"/>
        <v>2.0000000000000052E-4</v>
      </c>
      <c r="AI278">
        <f t="shared" si="57"/>
        <v>-9.9999999999999395E-5</v>
      </c>
      <c r="AJ278">
        <f t="shared" si="58"/>
        <v>-3.0000000000000165E-4</v>
      </c>
      <c r="AK278">
        <f t="shared" si="59"/>
        <v>-4.0000000000000105E-4</v>
      </c>
      <c r="AL278">
        <f t="shared" si="60"/>
        <v>-1.9999999999999879E-4</v>
      </c>
      <c r="AM278">
        <f t="shared" si="61"/>
        <v>-3.0000000000000165E-4</v>
      </c>
      <c r="AN278">
        <f t="shared" si="62"/>
        <v>-3.0000000000000165E-4</v>
      </c>
      <c r="AO278">
        <f t="shared" si="63"/>
        <v>-4.0000000000000105E-4</v>
      </c>
      <c r="AP278">
        <f t="shared" si="64"/>
        <v>-4.0000000000000105E-4</v>
      </c>
    </row>
    <row r="279" spans="17:42" x14ac:dyDescent="0.25">
      <c r="Q279" s="1">
        <v>44650</v>
      </c>
      <c r="R279">
        <v>1.6000000000000001E-3</v>
      </c>
      <c r="S279">
        <v>3.3E-3</v>
      </c>
      <c r="T279">
        <v>5.5000000000000005E-3</v>
      </c>
      <c r="U279">
        <v>1.04E-2</v>
      </c>
      <c r="V279">
        <v>1.6399999999999998E-2</v>
      </c>
      <c r="W279">
        <v>2.3099999999999999E-2</v>
      </c>
      <c r="X279">
        <v>2.4900000000000002E-2</v>
      </c>
      <c r="Y279">
        <v>2.4399999999999998E-2</v>
      </c>
      <c r="Z279">
        <v>2.4300000000000002E-2</v>
      </c>
      <c r="AA279">
        <v>2.35E-2</v>
      </c>
      <c r="AB279">
        <v>2.63E-2</v>
      </c>
      <c r="AC279">
        <v>2.4799999999999999E-2</v>
      </c>
      <c r="AE279">
        <f t="shared" si="53"/>
        <v>-1.9999999999999987E-4</v>
      </c>
      <c r="AF279">
        <f t="shared" si="54"/>
        <v>-1.0000000000000026E-4</v>
      </c>
      <c r="AG279">
        <f t="shared" si="55"/>
        <v>0</v>
      </c>
      <c r="AH279">
        <f t="shared" si="56"/>
        <v>-2.0000000000000052E-4</v>
      </c>
      <c r="AI279">
        <f t="shared" si="57"/>
        <v>-3.0000000000000165E-4</v>
      </c>
      <c r="AJ279">
        <f t="shared" si="58"/>
        <v>-4.0000000000000105E-4</v>
      </c>
      <c r="AK279">
        <f t="shared" si="59"/>
        <v>-4.9999999999999697E-4</v>
      </c>
      <c r="AL279">
        <f t="shared" si="60"/>
        <v>-5.0000000000000391E-4</v>
      </c>
      <c r="AM279">
        <f t="shared" si="61"/>
        <v>-6.9999999999999923E-4</v>
      </c>
      <c r="AN279">
        <f t="shared" si="62"/>
        <v>-5.9999999999999984E-4</v>
      </c>
      <c r="AO279">
        <f t="shared" si="63"/>
        <v>-5.0000000000000044E-4</v>
      </c>
      <c r="AP279">
        <f t="shared" si="64"/>
        <v>-5.0000000000000044E-4</v>
      </c>
    </row>
    <row r="280" spans="17:42" x14ac:dyDescent="0.25">
      <c r="Q280" s="1">
        <v>44649</v>
      </c>
      <c r="R280">
        <v>1.8E-3</v>
      </c>
      <c r="S280">
        <v>3.4000000000000002E-3</v>
      </c>
      <c r="T280">
        <v>5.5000000000000005E-3</v>
      </c>
      <c r="U280">
        <v>1.06E-2</v>
      </c>
      <c r="V280">
        <v>1.67E-2</v>
      </c>
      <c r="W280">
        <v>2.35E-2</v>
      </c>
      <c r="X280">
        <v>2.5399999999999999E-2</v>
      </c>
      <c r="Y280">
        <v>2.4900000000000002E-2</v>
      </c>
      <c r="Z280">
        <v>2.5000000000000001E-2</v>
      </c>
      <c r="AA280">
        <v>2.41E-2</v>
      </c>
      <c r="AB280">
        <v>2.6800000000000001E-2</v>
      </c>
      <c r="AC280">
        <v>2.53E-2</v>
      </c>
      <c r="AE280">
        <f t="shared" si="53"/>
        <v>-1.0000000000000005E-4</v>
      </c>
      <c r="AF280">
        <f t="shared" si="54"/>
        <v>-1.9999999999999966E-4</v>
      </c>
      <c r="AG280">
        <f t="shared" si="55"/>
        <v>-3.9999999999999931E-4</v>
      </c>
      <c r="AH280">
        <f t="shared" si="56"/>
        <v>-2.0000000000000052E-4</v>
      </c>
      <c r="AI280">
        <f t="shared" si="57"/>
        <v>-1.9999999999999879E-4</v>
      </c>
      <c r="AJ280">
        <f t="shared" si="58"/>
        <v>0</v>
      </c>
      <c r="AK280">
        <f t="shared" si="59"/>
        <v>-9.9999999999999395E-5</v>
      </c>
      <c r="AL280">
        <f t="shared" si="60"/>
        <v>-4.9999999999999697E-4</v>
      </c>
      <c r="AM280">
        <f t="shared" si="61"/>
        <v>-4.9999999999999697E-4</v>
      </c>
      <c r="AN280">
        <f t="shared" si="62"/>
        <v>-5.0000000000000044E-4</v>
      </c>
      <c r="AO280">
        <f t="shared" si="63"/>
        <v>-4.0000000000000105E-4</v>
      </c>
      <c r="AP280">
        <f t="shared" si="64"/>
        <v>-3.9999999999999758E-4</v>
      </c>
    </row>
    <row r="281" spans="17:42" x14ac:dyDescent="0.25">
      <c r="Q281" s="1">
        <v>44648</v>
      </c>
      <c r="R281">
        <v>1.9E-3</v>
      </c>
      <c r="S281">
        <v>3.5999999999999999E-3</v>
      </c>
      <c r="T281">
        <v>5.8999999999999999E-3</v>
      </c>
      <c r="U281">
        <v>1.0800000000000001E-2</v>
      </c>
      <c r="V281">
        <v>1.6899999999999998E-2</v>
      </c>
      <c r="W281">
        <v>2.35E-2</v>
      </c>
      <c r="X281">
        <v>2.5499999999999998E-2</v>
      </c>
      <c r="Y281">
        <v>2.5399999999999999E-2</v>
      </c>
      <c r="Z281">
        <v>2.5499999999999998E-2</v>
      </c>
      <c r="AA281">
        <v>2.46E-2</v>
      </c>
      <c r="AB281">
        <v>2.7200000000000002E-2</v>
      </c>
      <c r="AC281">
        <v>2.5699999999999997E-2</v>
      </c>
      <c r="AE281">
        <f t="shared" si="53"/>
        <v>1.9999999999999987E-4</v>
      </c>
      <c r="AF281">
        <f t="shared" si="54"/>
        <v>3.9999999999999975E-4</v>
      </c>
      <c r="AG281">
        <f t="shared" si="55"/>
        <v>3.9999999999999931E-4</v>
      </c>
      <c r="AH281">
        <f t="shared" si="56"/>
        <v>7.0000000000000097E-4</v>
      </c>
      <c r="AI281">
        <f t="shared" si="57"/>
        <v>1.9999999999999879E-4</v>
      </c>
      <c r="AJ281">
        <f t="shared" si="58"/>
        <v>5.0000000000000044E-4</v>
      </c>
      <c r="AK281">
        <f t="shared" si="59"/>
        <v>4.0000000000000105E-4</v>
      </c>
      <c r="AL281">
        <f t="shared" si="60"/>
        <v>-9.9999999999999395E-5</v>
      </c>
      <c r="AM281">
        <f t="shared" si="61"/>
        <v>-1.0000000000000286E-4</v>
      </c>
      <c r="AN281">
        <f t="shared" si="62"/>
        <v>-1.9999999999999879E-4</v>
      </c>
      <c r="AO281">
        <f t="shared" si="63"/>
        <v>-1.9999999999999879E-4</v>
      </c>
      <c r="AP281">
        <f t="shared" si="64"/>
        <v>-3.0000000000000512E-4</v>
      </c>
    </row>
    <row r="282" spans="17:42" x14ac:dyDescent="0.25">
      <c r="Q282" s="1">
        <v>44645</v>
      </c>
      <c r="R282">
        <v>1.7000000000000001E-3</v>
      </c>
      <c r="S282">
        <v>3.2000000000000002E-3</v>
      </c>
      <c r="T282">
        <v>5.5000000000000005E-3</v>
      </c>
      <c r="U282">
        <v>1.01E-2</v>
      </c>
      <c r="V282">
        <v>1.67E-2</v>
      </c>
      <c r="W282">
        <v>2.3E-2</v>
      </c>
      <c r="X282">
        <v>2.5099999999999997E-2</v>
      </c>
      <c r="Y282">
        <v>2.5499999999999998E-2</v>
      </c>
      <c r="Z282">
        <v>2.5600000000000001E-2</v>
      </c>
      <c r="AA282">
        <v>2.4799999999999999E-2</v>
      </c>
      <c r="AB282">
        <v>2.7400000000000001E-2</v>
      </c>
      <c r="AC282">
        <v>2.6000000000000002E-2</v>
      </c>
      <c r="AE282">
        <f t="shared" si="53"/>
        <v>1.0000000000000005E-4</v>
      </c>
      <c r="AF282">
        <f t="shared" si="54"/>
        <v>1.0000000000000026E-4</v>
      </c>
      <c r="AG282">
        <f t="shared" si="55"/>
        <v>3.0000000000000079E-4</v>
      </c>
      <c r="AH282">
        <f t="shared" si="56"/>
        <v>5.0000000000000044E-4</v>
      </c>
      <c r="AI282">
        <f t="shared" si="57"/>
        <v>1.1999999999999997E-3</v>
      </c>
      <c r="AJ282">
        <f t="shared" si="58"/>
        <v>1.7000000000000001E-3</v>
      </c>
      <c r="AK282">
        <f t="shared" si="59"/>
        <v>1.5999999999999973E-3</v>
      </c>
      <c r="AL282">
        <f t="shared" si="60"/>
        <v>1.799999999999996E-3</v>
      </c>
      <c r="AM282">
        <f t="shared" si="61"/>
        <v>1.7000000000000001E-3</v>
      </c>
      <c r="AN282">
        <f t="shared" si="62"/>
        <v>1.4000000000000019E-3</v>
      </c>
      <c r="AO282">
        <f t="shared" si="63"/>
        <v>1.1000000000000003E-3</v>
      </c>
      <c r="AP282">
        <f t="shared" si="64"/>
        <v>9.0000000000000496E-4</v>
      </c>
    </row>
    <row r="283" spans="17:42" x14ac:dyDescent="0.25">
      <c r="Q283" s="1">
        <v>44644</v>
      </c>
      <c r="R283">
        <v>1.6000000000000001E-3</v>
      </c>
      <c r="S283">
        <v>3.0999999999999999E-3</v>
      </c>
      <c r="T283">
        <v>5.1999999999999998E-3</v>
      </c>
      <c r="U283">
        <v>9.5999999999999992E-3</v>
      </c>
      <c r="V283">
        <v>1.55E-2</v>
      </c>
      <c r="W283">
        <v>2.1299999999999999E-2</v>
      </c>
      <c r="X283">
        <v>2.35E-2</v>
      </c>
      <c r="Y283">
        <v>2.3700000000000002E-2</v>
      </c>
      <c r="Z283">
        <v>2.3900000000000001E-2</v>
      </c>
      <c r="AA283">
        <v>2.3399999999999997E-2</v>
      </c>
      <c r="AB283">
        <v>2.63E-2</v>
      </c>
      <c r="AC283">
        <v>2.5099999999999997E-2</v>
      </c>
      <c r="AE283">
        <f t="shared" si="53"/>
        <v>1.0000000000000005E-4</v>
      </c>
      <c r="AF283">
        <f t="shared" si="54"/>
        <v>3.9999999999999975E-4</v>
      </c>
      <c r="AG283">
        <f t="shared" si="55"/>
        <v>1.9999999999999966E-4</v>
      </c>
      <c r="AH283">
        <f t="shared" si="56"/>
        <v>2.9999999999999818E-4</v>
      </c>
      <c r="AI283">
        <f t="shared" si="57"/>
        <v>2.9999999999999992E-4</v>
      </c>
      <c r="AJ283">
        <f t="shared" si="58"/>
        <v>0</v>
      </c>
      <c r="AK283">
        <f t="shared" si="59"/>
        <v>3.0000000000000165E-4</v>
      </c>
      <c r="AL283">
        <f t="shared" si="60"/>
        <v>3.0000000000000512E-4</v>
      </c>
      <c r="AM283">
        <f t="shared" si="61"/>
        <v>1.9999999999999879E-4</v>
      </c>
      <c r="AN283">
        <f t="shared" si="62"/>
        <v>1.9999999999999879E-4</v>
      </c>
      <c r="AO283">
        <f t="shared" si="63"/>
        <v>-1.9999999999999879E-4</v>
      </c>
      <c r="AP283">
        <f t="shared" si="64"/>
        <v>-1.0000000000000286E-4</v>
      </c>
    </row>
    <row r="284" spans="17:42" x14ac:dyDescent="0.25">
      <c r="Q284" s="1">
        <v>44643</v>
      </c>
      <c r="R284">
        <v>1.5E-3</v>
      </c>
      <c r="S284">
        <v>2.7000000000000001E-3</v>
      </c>
      <c r="T284">
        <v>5.0000000000000001E-3</v>
      </c>
      <c r="U284">
        <v>9.300000000000001E-3</v>
      </c>
      <c r="V284">
        <v>1.52E-2</v>
      </c>
      <c r="W284">
        <v>2.1299999999999999E-2</v>
      </c>
      <c r="X284">
        <v>2.3199999999999998E-2</v>
      </c>
      <c r="Y284">
        <v>2.3399999999999997E-2</v>
      </c>
      <c r="Z284">
        <v>2.3700000000000002E-2</v>
      </c>
      <c r="AA284">
        <v>2.3199999999999998E-2</v>
      </c>
      <c r="AB284">
        <v>2.6499999999999999E-2</v>
      </c>
      <c r="AC284">
        <v>2.52E-2</v>
      </c>
      <c r="AE284">
        <f t="shared" si="53"/>
        <v>-5.0000000000000001E-4</v>
      </c>
      <c r="AF284">
        <f t="shared" si="54"/>
        <v>-2.9999999999999992E-4</v>
      </c>
      <c r="AG284">
        <f t="shared" si="55"/>
        <v>-1.0000000000000026E-4</v>
      </c>
      <c r="AH284">
        <f t="shared" si="56"/>
        <v>-2.9999999999999818E-4</v>
      </c>
      <c r="AI284">
        <f t="shared" si="57"/>
        <v>-7.0000000000000097E-4</v>
      </c>
      <c r="AJ284">
        <f t="shared" si="58"/>
        <v>-5.0000000000000044E-4</v>
      </c>
      <c r="AK284">
        <f t="shared" si="59"/>
        <v>-5.9999999999999984E-4</v>
      </c>
      <c r="AL284">
        <f t="shared" si="60"/>
        <v>-5.0000000000000391E-4</v>
      </c>
      <c r="AM284">
        <f t="shared" si="61"/>
        <v>-4.9999999999999697E-4</v>
      </c>
      <c r="AN284">
        <f t="shared" si="62"/>
        <v>-5.9999999999999984E-4</v>
      </c>
      <c r="AO284">
        <f t="shared" si="63"/>
        <v>-5.9999999999999984E-4</v>
      </c>
      <c r="AP284">
        <f t="shared" si="64"/>
        <v>-8.000000000000021E-4</v>
      </c>
    </row>
    <row r="285" spans="17:42" x14ac:dyDescent="0.25">
      <c r="Q285" s="1">
        <v>44642</v>
      </c>
      <c r="R285">
        <v>2E-3</v>
      </c>
      <c r="S285">
        <v>3.0000000000000001E-3</v>
      </c>
      <c r="T285">
        <v>5.1000000000000004E-3</v>
      </c>
      <c r="U285">
        <v>9.5999999999999992E-3</v>
      </c>
      <c r="V285">
        <v>1.5900000000000001E-2</v>
      </c>
      <c r="W285">
        <v>2.18E-2</v>
      </c>
      <c r="X285">
        <v>2.3799999999999998E-2</v>
      </c>
      <c r="Y285">
        <v>2.3900000000000001E-2</v>
      </c>
      <c r="Z285">
        <v>2.4199999999999999E-2</v>
      </c>
      <c r="AA285">
        <v>2.3799999999999998E-2</v>
      </c>
      <c r="AB285">
        <v>2.7099999999999999E-2</v>
      </c>
      <c r="AC285">
        <v>2.6000000000000002E-2</v>
      </c>
      <c r="AE285">
        <f t="shared" si="53"/>
        <v>-2.0000000000000009E-4</v>
      </c>
      <c r="AF285">
        <f t="shared" si="54"/>
        <v>-2.9999999999999992E-4</v>
      </c>
      <c r="AG285">
        <f t="shared" si="55"/>
        <v>-2.9999999999999992E-4</v>
      </c>
      <c r="AH285">
        <f t="shared" si="56"/>
        <v>9.9999999999999395E-5</v>
      </c>
      <c r="AI285">
        <f t="shared" si="57"/>
        <v>1.9000000000000024E-3</v>
      </c>
      <c r="AJ285">
        <f t="shared" si="58"/>
        <v>3.9999999999999758E-4</v>
      </c>
      <c r="AK285">
        <f t="shared" si="59"/>
        <v>4.0000000000000105E-4</v>
      </c>
      <c r="AL285">
        <f t="shared" si="60"/>
        <v>5.9999999999999984E-4</v>
      </c>
      <c r="AM285">
        <f t="shared" si="61"/>
        <v>5.9999999999999984E-4</v>
      </c>
      <c r="AN285">
        <f t="shared" si="62"/>
        <v>5.9999999999999984E-4</v>
      </c>
      <c r="AO285">
        <f t="shared" si="63"/>
        <v>4.0000000000000105E-4</v>
      </c>
      <c r="AP285">
        <f t="shared" si="64"/>
        <v>5.0000000000000391E-4</v>
      </c>
    </row>
    <row r="286" spans="17:42" x14ac:dyDescent="0.25">
      <c r="Q286" s="1">
        <v>44641</v>
      </c>
      <c r="R286">
        <v>2.2000000000000001E-3</v>
      </c>
      <c r="S286">
        <v>3.3E-3</v>
      </c>
      <c r="T286">
        <v>5.4000000000000003E-3</v>
      </c>
      <c r="U286">
        <v>9.4999999999999998E-3</v>
      </c>
      <c r="V286">
        <v>1.3999999999999999E-2</v>
      </c>
      <c r="W286">
        <v>2.1400000000000002E-2</v>
      </c>
      <c r="X286">
        <v>2.3399999999999997E-2</v>
      </c>
      <c r="Y286">
        <v>2.3300000000000001E-2</v>
      </c>
      <c r="Z286">
        <v>2.3599999999999999E-2</v>
      </c>
      <c r="AA286">
        <v>2.3199999999999998E-2</v>
      </c>
      <c r="AB286">
        <v>2.6699999999999998E-2</v>
      </c>
      <c r="AC286">
        <v>2.5499999999999998E-2</v>
      </c>
      <c r="AE286">
        <f t="shared" si="53"/>
        <v>3.0000000000000014E-4</v>
      </c>
      <c r="AF286">
        <f t="shared" si="54"/>
        <v>4.9999999999999958E-4</v>
      </c>
      <c r="AG286">
        <f t="shared" si="55"/>
        <v>1.2000000000000005E-3</v>
      </c>
      <c r="AH286">
        <f t="shared" si="56"/>
        <v>1.1999999999999997E-3</v>
      </c>
      <c r="AI286">
        <f t="shared" si="57"/>
        <v>1.0999999999999985E-3</v>
      </c>
      <c r="AJ286">
        <f t="shared" si="58"/>
        <v>1.7000000000000036E-3</v>
      </c>
      <c r="AK286">
        <f t="shared" si="59"/>
        <v>1.8999999999999989E-3</v>
      </c>
      <c r="AL286">
        <f t="shared" si="60"/>
        <v>1.8999999999999989E-3</v>
      </c>
      <c r="AM286">
        <f t="shared" si="61"/>
        <v>1.8999999999999989E-3</v>
      </c>
      <c r="AN286">
        <f t="shared" si="62"/>
        <v>1.799999999999996E-3</v>
      </c>
      <c r="AO286">
        <f t="shared" si="63"/>
        <v>1.3999999999999985E-3</v>
      </c>
      <c r="AP286">
        <f t="shared" si="64"/>
        <v>1.2999999999999991E-3</v>
      </c>
    </row>
    <row r="287" spans="17:42" x14ac:dyDescent="0.25">
      <c r="Q287" s="1">
        <v>44638</v>
      </c>
      <c r="R287">
        <v>1.9E-3</v>
      </c>
      <c r="S287">
        <v>2.8000000000000004E-3</v>
      </c>
      <c r="T287">
        <v>4.1999999999999997E-3</v>
      </c>
      <c r="U287">
        <v>8.3000000000000001E-3</v>
      </c>
      <c r="V287">
        <v>1.29E-2</v>
      </c>
      <c r="W287">
        <v>1.9699999999999999E-2</v>
      </c>
      <c r="X287">
        <v>2.1499999999999998E-2</v>
      </c>
      <c r="Y287">
        <v>2.1400000000000002E-2</v>
      </c>
      <c r="Z287">
        <v>2.1700000000000001E-2</v>
      </c>
      <c r="AA287">
        <v>2.1400000000000002E-2</v>
      </c>
      <c r="AB287">
        <v>2.53E-2</v>
      </c>
      <c r="AC287">
        <v>2.4199999999999999E-2</v>
      </c>
      <c r="AE287">
        <f t="shared" si="53"/>
        <v>-1.0000000000000005E-4</v>
      </c>
      <c r="AF287">
        <f t="shared" si="54"/>
        <v>-1.9999999999999966E-4</v>
      </c>
      <c r="AG287">
        <f t="shared" si="55"/>
        <v>1.9999999999999966E-4</v>
      </c>
      <c r="AH287">
        <f t="shared" si="56"/>
        <v>1.9999999999999879E-4</v>
      </c>
      <c r="AI287">
        <f t="shared" si="57"/>
        <v>-1.0000000000000113E-4</v>
      </c>
      <c r="AJ287">
        <f t="shared" si="58"/>
        <v>2.9999999999999818E-4</v>
      </c>
      <c r="AK287">
        <f t="shared" si="59"/>
        <v>9.9999999999995925E-5</v>
      </c>
      <c r="AL287">
        <f t="shared" si="60"/>
        <v>-2.9999999999999818E-4</v>
      </c>
      <c r="AM287">
        <f t="shared" si="61"/>
        <v>-5.0000000000000044E-4</v>
      </c>
      <c r="AN287">
        <f t="shared" si="62"/>
        <v>-5.9999999999999984E-4</v>
      </c>
      <c r="AO287">
        <f t="shared" si="63"/>
        <v>-7.000000000000027E-4</v>
      </c>
      <c r="AP287">
        <f t="shared" si="64"/>
        <v>-8.000000000000021E-4</v>
      </c>
    </row>
    <row r="288" spans="17:42" x14ac:dyDescent="0.25">
      <c r="Q288" s="1">
        <v>44637</v>
      </c>
      <c r="R288">
        <v>2E-3</v>
      </c>
      <c r="S288">
        <v>3.0000000000000001E-3</v>
      </c>
      <c r="T288">
        <v>4.0000000000000001E-3</v>
      </c>
      <c r="U288">
        <v>8.1000000000000013E-3</v>
      </c>
      <c r="V288">
        <v>1.3000000000000001E-2</v>
      </c>
      <c r="W288">
        <v>1.9400000000000001E-2</v>
      </c>
      <c r="X288">
        <v>2.1400000000000002E-2</v>
      </c>
      <c r="Y288">
        <v>2.1700000000000001E-2</v>
      </c>
      <c r="Z288">
        <v>2.2200000000000001E-2</v>
      </c>
      <c r="AA288">
        <v>2.2000000000000002E-2</v>
      </c>
      <c r="AB288">
        <v>2.6000000000000002E-2</v>
      </c>
      <c r="AC288">
        <v>2.5000000000000001E-2</v>
      </c>
      <c r="AE288">
        <f t="shared" si="53"/>
        <v>-3.9999999999999975E-4</v>
      </c>
      <c r="AF288">
        <f t="shared" si="54"/>
        <v>0</v>
      </c>
      <c r="AG288">
        <f t="shared" si="55"/>
        <v>-4.0000000000000018E-4</v>
      </c>
      <c r="AH288">
        <f t="shared" si="56"/>
        <v>-4.9999999999999871E-4</v>
      </c>
      <c r="AI288">
        <f t="shared" si="57"/>
        <v>-5.0000000000000044E-4</v>
      </c>
      <c r="AJ288">
        <f t="shared" si="58"/>
        <v>-9.9999999999999395E-5</v>
      </c>
      <c r="AK288">
        <f t="shared" si="59"/>
        <v>0</v>
      </c>
      <c r="AL288">
        <f t="shared" si="60"/>
        <v>-9.9999999999999395E-5</v>
      </c>
      <c r="AM288">
        <f t="shared" si="61"/>
        <v>0</v>
      </c>
      <c r="AN288">
        <f t="shared" si="62"/>
        <v>1.0000000000000286E-4</v>
      </c>
      <c r="AO288">
        <f t="shared" si="63"/>
        <v>4.0000000000000105E-4</v>
      </c>
      <c r="AP288">
        <f t="shared" si="64"/>
        <v>4.0000000000000105E-4</v>
      </c>
    </row>
    <row r="289" spans="17:42" x14ac:dyDescent="0.25">
      <c r="Q289" s="1">
        <v>44636</v>
      </c>
      <c r="R289">
        <v>2.3999999999999998E-3</v>
      </c>
      <c r="S289">
        <v>3.0000000000000001E-3</v>
      </c>
      <c r="T289">
        <v>4.4000000000000003E-3</v>
      </c>
      <c r="U289">
        <v>8.6E-3</v>
      </c>
      <c r="V289">
        <v>1.3500000000000002E-2</v>
      </c>
      <c r="W289">
        <v>1.95E-2</v>
      </c>
      <c r="X289">
        <v>2.1400000000000002E-2</v>
      </c>
      <c r="Y289">
        <v>2.18E-2</v>
      </c>
      <c r="Z289">
        <v>2.2200000000000001E-2</v>
      </c>
      <c r="AA289">
        <v>2.1899999999999999E-2</v>
      </c>
      <c r="AB289">
        <v>2.5600000000000001E-2</v>
      </c>
      <c r="AC289">
        <v>2.46E-2</v>
      </c>
      <c r="AE289">
        <f t="shared" si="53"/>
        <v>1.9999999999999966E-4</v>
      </c>
      <c r="AF289">
        <f t="shared" si="54"/>
        <v>-9.9999999999999829E-5</v>
      </c>
      <c r="AG289">
        <f t="shared" si="55"/>
        <v>-1.9999999999999966E-4</v>
      </c>
      <c r="AH289">
        <f t="shared" si="56"/>
        <v>0</v>
      </c>
      <c r="AI289">
        <f t="shared" si="57"/>
        <v>7.0000000000000097E-4</v>
      </c>
      <c r="AJ289">
        <f t="shared" si="58"/>
        <v>9.9999999999999742E-4</v>
      </c>
      <c r="AK289">
        <f t="shared" si="59"/>
        <v>1.0000000000000009E-3</v>
      </c>
      <c r="AL289">
        <f t="shared" si="60"/>
        <v>7.9999999999999863E-4</v>
      </c>
      <c r="AM289">
        <f t="shared" si="61"/>
        <v>5.9999999999999984E-4</v>
      </c>
      <c r="AN289">
        <f t="shared" si="62"/>
        <v>4.0000000000000105E-4</v>
      </c>
      <c r="AO289">
        <f t="shared" si="63"/>
        <v>-9.9999999999995925E-5</v>
      </c>
      <c r="AP289">
        <f t="shared" si="64"/>
        <v>-3.0000000000000165E-4</v>
      </c>
    </row>
    <row r="290" spans="17:42" x14ac:dyDescent="0.25">
      <c r="Q290" s="1">
        <v>44635</v>
      </c>
      <c r="R290">
        <v>2.2000000000000001E-3</v>
      </c>
      <c r="S290">
        <v>3.0999999999999999E-3</v>
      </c>
      <c r="T290">
        <v>4.5999999999999999E-3</v>
      </c>
      <c r="U290">
        <v>8.6E-3</v>
      </c>
      <c r="V290">
        <v>1.2800000000000001E-2</v>
      </c>
      <c r="W290">
        <v>1.8500000000000003E-2</v>
      </c>
      <c r="X290">
        <v>2.0400000000000001E-2</v>
      </c>
      <c r="Y290">
        <v>2.1000000000000001E-2</v>
      </c>
      <c r="Z290">
        <v>2.1600000000000001E-2</v>
      </c>
      <c r="AA290">
        <v>2.1499999999999998E-2</v>
      </c>
      <c r="AB290">
        <v>2.5699999999999997E-2</v>
      </c>
      <c r="AC290">
        <v>2.4900000000000002E-2</v>
      </c>
      <c r="AE290">
        <f t="shared" si="53"/>
        <v>-9.9999999999999829E-5</v>
      </c>
      <c r="AF290">
        <f t="shared" si="54"/>
        <v>-1.0000000000000026E-4</v>
      </c>
      <c r="AG290">
        <f t="shared" si="55"/>
        <v>9.9999999999999395E-5</v>
      </c>
      <c r="AH290">
        <f t="shared" si="56"/>
        <v>0</v>
      </c>
      <c r="AI290">
        <f t="shared" si="57"/>
        <v>0</v>
      </c>
      <c r="AJ290">
        <f t="shared" si="58"/>
        <v>-1.9999999999999879E-4</v>
      </c>
      <c r="AK290">
        <f t="shared" si="59"/>
        <v>0</v>
      </c>
      <c r="AL290">
        <f t="shared" si="60"/>
        <v>0</v>
      </c>
      <c r="AM290">
        <f t="shared" si="61"/>
        <v>0</v>
      </c>
      <c r="AN290">
        <f t="shared" si="62"/>
        <v>9.9999999999995925E-5</v>
      </c>
      <c r="AO290">
        <f t="shared" si="63"/>
        <v>9.9999999999995925E-5</v>
      </c>
      <c r="AP290">
        <f t="shared" si="64"/>
        <v>1.9999999999999879E-4</v>
      </c>
    </row>
    <row r="291" spans="17:42" x14ac:dyDescent="0.25">
      <c r="Q291" s="1">
        <v>44634</v>
      </c>
      <c r="R291">
        <v>2.3E-3</v>
      </c>
      <c r="S291">
        <v>3.2000000000000002E-3</v>
      </c>
      <c r="T291">
        <v>4.5000000000000005E-3</v>
      </c>
      <c r="U291">
        <v>8.6E-3</v>
      </c>
      <c r="V291">
        <v>1.2800000000000001E-2</v>
      </c>
      <c r="W291">
        <v>1.8700000000000001E-2</v>
      </c>
      <c r="X291">
        <v>2.0400000000000001E-2</v>
      </c>
      <c r="Y291">
        <v>2.1000000000000001E-2</v>
      </c>
      <c r="Z291">
        <v>2.1600000000000001E-2</v>
      </c>
      <c r="AA291">
        <v>2.1400000000000002E-2</v>
      </c>
      <c r="AB291">
        <v>2.5600000000000001E-2</v>
      </c>
      <c r="AC291">
        <v>2.4700000000000003E-2</v>
      </c>
      <c r="AE291">
        <f t="shared" si="53"/>
        <v>5.9999999999999984E-4</v>
      </c>
      <c r="AF291">
        <f t="shared" si="54"/>
        <v>3.9999999999999975E-4</v>
      </c>
      <c r="AG291">
        <f t="shared" si="55"/>
        <v>5.0000000000000044E-4</v>
      </c>
      <c r="AH291">
        <f t="shared" si="56"/>
        <v>7.999999999999995E-4</v>
      </c>
      <c r="AI291">
        <f t="shared" si="57"/>
        <v>6.0000000000000157E-4</v>
      </c>
      <c r="AJ291">
        <f t="shared" si="58"/>
        <v>1.1999999999999997E-3</v>
      </c>
      <c r="AK291">
        <f t="shared" si="59"/>
        <v>1.3000000000000025E-3</v>
      </c>
      <c r="AL291">
        <f t="shared" si="60"/>
        <v>1.4000000000000019E-3</v>
      </c>
      <c r="AM291">
        <f t="shared" si="61"/>
        <v>1.5000000000000048E-3</v>
      </c>
      <c r="AN291">
        <f t="shared" si="62"/>
        <v>1.4000000000000019E-3</v>
      </c>
      <c r="AO291">
        <f t="shared" si="63"/>
        <v>1.1000000000000003E-3</v>
      </c>
      <c r="AP291">
        <f t="shared" si="64"/>
        <v>1.1000000000000038E-3</v>
      </c>
    </row>
    <row r="292" spans="17:42" x14ac:dyDescent="0.25">
      <c r="Q292" s="1">
        <v>44631</v>
      </c>
      <c r="R292">
        <v>1.7000000000000001E-3</v>
      </c>
      <c r="S292">
        <v>2.8000000000000004E-3</v>
      </c>
      <c r="T292">
        <v>4.0000000000000001E-3</v>
      </c>
      <c r="U292">
        <v>7.8000000000000005E-3</v>
      </c>
      <c r="V292">
        <v>1.2199999999999999E-2</v>
      </c>
      <c r="W292">
        <v>1.7500000000000002E-2</v>
      </c>
      <c r="X292">
        <v>1.9099999999999999E-2</v>
      </c>
      <c r="Y292">
        <v>1.9599999999999999E-2</v>
      </c>
      <c r="Z292">
        <v>2.0099999999999996E-2</v>
      </c>
      <c r="AA292">
        <v>0.02</v>
      </c>
      <c r="AB292">
        <v>2.4500000000000001E-2</v>
      </c>
      <c r="AC292">
        <v>2.3599999999999999E-2</v>
      </c>
      <c r="AE292">
        <f t="shared" si="53"/>
        <v>-1.9999999999999987E-4</v>
      </c>
      <c r="AF292">
        <f t="shared" si="54"/>
        <v>0</v>
      </c>
      <c r="AG292">
        <f t="shared" si="55"/>
        <v>9.9999999999999829E-5</v>
      </c>
      <c r="AH292">
        <f t="shared" si="56"/>
        <v>3.0000000000000079E-4</v>
      </c>
      <c r="AI292">
        <f t="shared" si="57"/>
        <v>2.9999999999999992E-4</v>
      </c>
      <c r="AJ292">
        <f t="shared" si="58"/>
        <v>3.0000000000000165E-4</v>
      </c>
      <c r="AK292">
        <f t="shared" si="59"/>
        <v>3.0000000000000165E-4</v>
      </c>
      <c r="AL292">
        <f t="shared" si="60"/>
        <v>4.0000000000000105E-4</v>
      </c>
      <c r="AM292">
        <f t="shared" si="61"/>
        <v>2.9999999999999818E-4</v>
      </c>
      <c r="AN292">
        <f t="shared" si="62"/>
        <v>2.0000000000000226E-4</v>
      </c>
      <c r="AO292">
        <f t="shared" si="63"/>
        <v>0</v>
      </c>
      <c r="AP292">
        <f t="shared" si="64"/>
        <v>-1.9999999999999879E-4</v>
      </c>
    </row>
    <row r="293" spans="17:42" x14ac:dyDescent="0.25">
      <c r="Q293" s="1">
        <v>44630</v>
      </c>
      <c r="R293">
        <v>1.9E-3</v>
      </c>
      <c r="S293">
        <v>2.8000000000000004E-3</v>
      </c>
      <c r="T293">
        <v>3.9000000000000003E-3</v>
      </c>
      <c r="U293">
        <v>7.4999999999999997E-3</v>
      </c>
      <c r="V293">
        <v>1.1899999999999999E-2</v>
      </c>
      <c r="W293">
        <v>1.72E-2</v>
      </c>
      <c r="X293">
        <v>1.8799999999999997E-2</v>
      </c>
      <c r="Y293">
        <v>1.9199999999999998E-2</v>
      </c>
      <c r="Z293">
        <v>1.9799999999999998E-2</v>
      </c>
      <c r="AA293">
        <v>1.9799999999999998E-2</v>
      </c>
      <c r="AB293">
        <v>2.4500000000000001E-2</v>
      </c>
      <c r="AC293">
        <v>2.3799999999999998E-2</v>
      </c>
      <c r="AE293">
        <f t="shared" si="53"/>
        <v>1.0000000000000005E-4</v>
      </c>
      <c r="AF293">
        <f t="shared" si="54"/>
        <v>2.0000000000000052E-4</v>
      </c>
      <c r="AG293">
        <f t="shared" si="55"/>
        <v>1.0000000000000026E-4</v>
      </c>
      <c r="AH293">
        <f t="shared" si="56"/>
        <v>0</v>
      </c>
      <c r="AI293">
        <f t="shared" si="57"/>
        <v>3.9999999999999931E-4</v>
      </c>
      <c r="AJ293">
        <f t="shared" si="58"/>
        <v>4.0000000000000105E-4</v>
      </c>
      <c r="AK293">
        <f t="shared" si="59"/>
        <v>4.9999999999999697E-4</v>
      </c>
      <c r="AL293">
        <f t="shared" si="60"/>
        <v>4.9999999999999697E-4</v>
      </c>
      <c r="AM293">
        <f t="shared" si="61"/>
        <v>5.9999999999999984E-4</v>
      </c>
      <c r="AN293">
        <f t="shared" si="62"/>
        <v>3.9999999999999758E-4</v>
      </c>
      <c r="AO293">
        <f t="shared" si="63"/>
        <v>7.000000000000027E-4</v>
      </c>
      <c r="AP293">
        <f t="shared" si="64"/>
        <v>8.9999999999999802E-4</v>
      </c>
    </row>
    <row r="294" spans="17:42" x14ac:dyDescent="0.25">
      <c r="Q294" s="1">
        <v>44629</v>
      </c>
      <c r="R294">
        <v>1.8E-3</v>
      </c>
      <c r="S294">
        <v>2.5999999999999999E-3</v>
      </c>
      <c r="T294">
        <v>3.8E-3</v>
      </c>
      <c r="U294">
        <v>7.4999999999999997E-3</v>
      </c>
      <c r="V294">
        <v>1.15E-2</v>
      </c>
      <c r="W294">
        <v>1.6799999999999999E-2</v>
      </c>
      <c r="X294">
        <v>1.83E-2</v>
      </c>
      <c r="Y294">
        <v>1.8700000000000001E-2</v>
      </c>
      <c r="Z294">
        <v>1.9199999999999998E-2</v>
      </c>
      <c r="AA294">
        <v>1.9400000000000001E-2</v>
      </c>
      <c r="AB294">
        <v>2.3799999999999998E-2</v>
      </c>
      <c r="AC294">
        <v>2.29E-2</v>
      </c>
      <c r="AE294">
        <f t="shared" si="53"/>
        <v>1.9999999999999987E-4</v>
      </c>
      <c r="AF294">
        <f t="shared" si="54"/>
        <v>2.0000000000000009E-4</v>
      </c>
      <c r="AG294">
        <f t="shared" si="55"/>
        <v>2.0000000000000009E-4</v>
      </c>
      <c r="AH294">
        <f t="shared" si="56"/>
        <v>2.9999999999999992E-4</v>
      </c>
      <c r="AI294">
        <f t="shared" si="57"/>
        <v>2.9999999999999818E-4</v>
      </c>
      <c r="AJ294">
        <f t="shared" si="58"/>
        <v>5.0000000000000044E-4</v>
      </c>
      <c r="AK294">
        <f t="shared" si="59"/>
        <v>5.0000000000000044E-4</v>
      </c>
      <c r="AL294">
        <f t="shared" si="60"/>
        <v>6.9999999999999923E-4</v>
      </c>
      <c r="AM294">
        <f t="shared" si="61"/>
        <v>6.9999999999999576E-4</v>
      </c>
      <c r="AN294">
        <f t="shared" si="62"/>
        <v>7.9999999999999863E-4</v>
      </c>
      <c r="AO294">
        <f t="shared" si="63"/>
        <v>4.0000000000000105E-4</v>
      </c>
      <c r="AP294">
        <f t="shared" si="64"/>
        <v>4.9999999999999697E-4</v>
      </c>
    </row>
    <row r="295" spans="17:42" x14ac:dyDescent="0.25">
      <c r="Q295" s="1">
        <v>44628</v>
      </c>
      <c r="R295">
        <v>1.6000000000000001E-3</v>
      </c>
      <c r="S295">
        <v>2.3999999999999998E-3</v>
      </c>
      <c r="T295">
        <v>3.5999999999999999E-3</v>
      </c>
      <c r="U295">
        <v>7.1999999999999998E-3</v>
      </c>
      <c r="V295">
        <v>1.1200000000000002E-2</v>
      </c>
      <c r="W295">
        <v>1.6299999999999999E-2</v>
      </c>
      <c r="X295">
        <v>1.78E-2</v>
      </c>
      <c r="Y295">
        <v>1.8000000000000002E-2</v>
      </c>
      <c r="Z295">
        <v>1.8500000000000003E-2</v>
      </c>
      <c r="AA295">
        <v>1.8600000000000002E-2</v>
      </c>
      <c r="AB295">
        <v>2.3399999999999997E-2</v>
      </c>
      <c r="AC295">
        <v>2.2400000000000003E-2</v>
      </c>
      <c r="AE295">
        <f t="shared" si="53"/>
        <v>-1.0000000000000005E-4</v>
      </c>
      <c r="AF295">
        <f t="shared" si="54"/>
        <v>9.9999999999999829E-5</v>
      </c>
      <c r="AG295">
        <f t="shared" si="55"/>
        <v>-2.0000000000000009E-4</v>
      </c>
      <c r="AH295">
        <f t="shared" si="56"/>
        <v>-2.9999999999999992E-4</v>
      </c>
      <c r="AI295">
        <f t="shared" si="57"/>
        <v>5.0000000000000044E-4</v>
      </c>
      <c r="AJ295">
        <f t="shared" si="58"/>
        <v>7.9999999999999863E-4</v>
      </c>
      <c r="AK295">
        <f t="shared" si="59"/>
        <v>1.0000000000000009E-3</v>
      </c>
      <c r="AL295">
        <f t="shared" si="60"/>
        <v>9.0000000000000149E-4</v>
      </c>
      <c r="AM295">
        <f t="shared" si="61"/>
        <v>8.000000000000021E-4</v>
      </c>
      <c r="AN295">
        <f t="shared" si="62"/>
        <v>8.000000000000021E-4</v>
      </c>
      <c r="AO295">
        <f t="shared" si="63"/>
        <v>4.9999999999999697E-4</v>
      </c>
      <c r="AP295">
        <f t="shared" si="64"/>
        <v>5.0000000000000391E-4</v>
      </c>
    </row>
    <row r="296" spans="17:42" x14ac:dyDescent="0.25">
      <c r="Q296" s="1">
        <v>44627</v>
      </c>
      <c r="R296">
        <v>1.7000000000000001E-3</v>
      </c>
      <c r="S296">
        <v>2.3E-3</v>
      </c>
      <c r="T296">
        <v>3.8E-3</v>
      </c>
      <c r="U296">
        <v>7.4999999999999997E-3</v>
      </c>
      <c r="V296">
        <v>1.0700000000000001E-2</v>
      </c>
      <c r="W296">
        <v>1.55E-2</v>
      </c>
      <c r="X296">
        <v>1.6799999999999999E-2</v>
      </c>
      <c r="Y296">
        <v>1.7100000000000001E-2</v>
      </c>
      <c r="Z296">
        <v>1.77E-2</v>
      </c>
      <c r="AA296">
        <v>1.78E-2</v>
      </c>
      <c r="AB296">
        <v>2.29E-2</v>
      </c>
      <c r="AC296">
        <v>2.1899999999999999E-2</v>
      </c>
      <c r="AE296">
        <f t="shared" si="53"/>
        <v>2.0000000000000009E-4</v>
      </c>
      <c r="AF296">
        <f t="shared" si="54"/>
        <v>2.0000000000000009E-4</v>
      </c>
      <c r="AG296">
        <f t="shared" si="55"/>
        <v>3.9999999999999975E-4</v>
      </c>
      <c r="AH296">
        <f t="shared" si="56"/>
        <v>5.9999999999999984E-4</v>
      </c>
      <c r="AI296">
        <f t="shared" si="57"/>
        <v>2.0000000000000052E-4</v>
      </c>
      <c r="AJ296">
        <f t="shared" si="58"/>
        <v>5.0000000000000044E-4</v>
      </c>
      <c r="AK296">
        <f t="shared" si="59"/>
        <v>5.9999999999999637E-4</v>
      </c>
      <c r="AL296">
        <f t="shared" si="60"/>
        <v>5.9999999999999984E-4</v>
      </c>
      <c r="AM296">
        <f t="shared" si="61"/>
        <v>6.9999999999999923E-4</v>
      </c>
      <c r="AN296">
        <f t="shared" si="62"/>
        <v>4.0000000000000105E-4</v>
      </c>
      <c r="AO296">
        <f t="shared" si="63"/>
        <v>5.9999999999999984E-4</v>
      </c>
      <c r="AP296">
        <f t="shared" si="64"/>
        <v>2.9999999999999818E-4</v>
      </c>
    </row>
    <row r="297" spans="17:42" x14ac:dyDescent="0.25">
      <c r="Q297" s="1">
        <v>44624</v>
      </c>
      <c r="R297">
        <v>1.5E-3</v>
      </c>
      <c r="S297">
        <v>2.0999999999999999E-3</v>
      </c>
      <c r="T297">
        <v>3.4000000000000002E-3</v>
      </c>
      <c r="U297">
        <v>6.8999999999999999E-3</v>
      </c>
      <c r="V297">
        <v>1.0500000000000001E-2</v>
      </c>
      <c r="W297">
        <v>1.4999999999999999E-2</v>
      </c>
      <c r="X297">
        <v>1.6200000000000003E-2</v>
      </c>
      <c r="Y297">
        <v>1.6500000000000001E-2</v>
      </c>
      <c r="Z297">
        <v>1.7000000000000001E-2</v>
      </c>
      <c r="AA297">
        <v>1.7399999999999999E-2</v>
      </c>
      <c r="AB297">
        <v>2.23E-2</v>
      </c>
      <c r="AC297">
        <v>2.1600000000000001E-2</v>
      </c>
      <c r="AE297">
        <f t="shared" si="53"/>
        <v>-3.9999999999999996E-4</v>
      </c>
      <c r="AF297">
        <f t="shared" si="54"/>
        <v>-4.0000000000000018E-4</v>
      </c>
      <c r="AG297">
        <f t="shared" si="55"/>
        <v>-3.9999999999999975E-4</v>
      </c>
      <c r="AH297">
        <f t="shared" si="56"/>
        <v>0</v>
      </c>
      <c r="AI297">
        <f t="shared" si="57"/>
        <v>-2.9999999999999992E-4</v>
      </c>
      <c r="AJ297">
        <f t="shared" si="58"/>
        <v>-3.0000000000000165E-4</v>
      </c>
      <c r="AK297">
        <f t="shared" si="59"/>
        <v>-6.9999999999999576E-4</v>
      </c>
      <c r="AL297">
        <f t="shared" si="60"/>
        <v>-8.9999999999999802E-4</v>
      </c>
      <c r="AM297">
        <f t="shared" si="61"/>
        <v>-1.1999999999999997E-3</v>
      </c>
      <c r="AN297">
        <f t="shared" si="62"/>
        <v>-1.2000000000000031E-3</v>
      </c>
      <c r="AO297">
        <f t="shared" si="63"/>
        <v>-8.9999999999999802E-4</v>
      </c>
      <c r="AP297">
        <f t="shared" si="64"/>
        <v>-8.000000000000021E-4</v>
      </c>
    </row>
    <row r="298" spans="17:42" x14ac:dyDescent="0.25">
      <c r="Q298" s="1">
        <v>44623</v>
      </c>
      <c r="R298">
        <v>1.9E-3</v>
      </c>
      <c r="S298">
        <v>2.5000000000000001E-3</v>
      </c>
      <c r="T298">
        <v>3.8E-3</v>
      </c>
      <c r="U298">
        <v>6.8999999999999999E-3</v>
      </c>
      <c r="V298">
        <v>1.0800000000000001E-2</v>
      </c>
      <c r="W298">
        <v>1.5300000000000001E-2</v>
      </c>
      <c r="X298">
        <v>1.6899999999999998E-2</v>
      </c>
      <c r="Y298">
        <v>1.7399999999999999E-2</v>
      </c>
      <c r="Z298">
        <v>1.8200000000000001E-2</v>
      </c>
      <c r="AA298">
        <v>1.8600000000000002E-2</v>
      </c>
      <c r="AB298">
        <v>2.3199999999999998E-2</v>
      </c>
      <c r="AC298">
        <v>2.2400000000000003E-2</v>
      </c>
      <c r="AE298">
        <f t="shared" si="53"/>
        <v>6.0000000000000006E-4</v>
      </c>
      <c r="AF298">
        <f t="shared" si="54"/>
        <v>1.0000000000000026E-4</v>
      </c>
      <c r="AG298">
        <f t="shared" si="55"/>
        <v>3.9999999999999975E-4</v>
      </c>
      <c r="AH298">
        <f t="shared" si="56"/>
        <v>9.9999999999999395E-5</v>
      </c>
      <c r="AI298">
        <f t="shared" si="57"/>
        <v>2.0000000000000052E-4</v>
      </c>
      <c r="AJ298">
        <f t="shared" si="58"/>
        <v>3.0000000000000165E-4</v>
      </c>
      <c r="AK298">
        <f t="shared" si="59"/>
        <v>1.9999999999999879E-4</v>
      </c>
      <c r="AL298">
        <f t="shared" si="60"/>
        <v>0</v>
      </c>
      <c r="AM298">
        <f t="shared" si="61"/>
        <v>-9.9999999999999395E-5</v>
      </c>
      <c r="AN298">
        <f t="shared" si="62"/>
        <v>0</v>
      </c>
      <c r="AO298">
        <f t="shared" si="63"/>
        <v>0</v>
      </c>
      <c r="AP298">
        <f t="shared" si="64"/>
        <v>0</v>
      </c>
    </row>
    <row r="299" spans="17:42" x14ac:dyDescent="0.25">
      <c r="Q299" s="1">
        <v>44622</v>
      </c>
      <c r="R299">
        <v>1.2999999999999999E-3</v>
      </c>
      <c r="S299">
        <v>2.3999999999999998E-3</v>
      </c>
      <c r="T299">
        <v>3.4000000000000002E-3</v>
      </c>
      <c r="U299">
        <v>6.8000000000000005E-3</v>
      </c>
      <c r="V299">
        <v>1.06E-2</v>
      </c>
      <c r="W299">
        <v>1.4999999999999999E-2</v>
      </c>
      <c r="X299">
        <v>1.67E-2</v>
      </c>
      <c r="Y299">
        <v>1.7399999999999999E-2</v>
      </c>
      <c r="Z299">
        <v>1.83E-2</v>
      </c>
      <c r="AA299">
        <v>1.8600000000000002E-2</v>
      </c>
      <c r="AB299">
        <v>2.3199999999999998E-2</v>
      </c>
      <c r="AC299">
        <v>2.2400000000000003E-2</v>
      </c>
      <c r="AE299">
        <f t="shared" si="53"/>
        <v>1.9999999999999987E-4</v>
      </c>
      <c r="AF299">
        <f t="shared" si="54"/>
        <v>2.9999999999999992E-4</v>
      </c>
      <c r="AG299">
        <f t="shared" si="55"/>
        <v>2.0000000000000009E-4</v>
      </c>
      <c r="AH299">
        <f t="shared" si="56"/>
        <v>8.0000000000000036E-4</v>
      </c>
      <c r="AI299">
        <f t="shared" si="57"/>
        <v>1.4999999999999996E-3</v>
      </c>
      <c r="AJ299">
        <f t="shared" si="58"/>
        <v>1.8999999999999989E-3</v>
      </c>
      <c r="AK299">
        <f t="shared" si="59"/>
        <v>2E-3</v>
      </c>
      <c r="AL299">
        <f t="shared" si="60"/>
        <v>1.7999999999999978E-3</v>
      </c>
      <c r="AM299">
        <f t="shared" si="61"/>
        <v>1.6000000000000007E-3</v>
      </c>
      <c r="AN299">
        <f t="shared" si="62"/>
        <v>1.4000000000000019E-3</v>
      </c>
      <c r="AO299">
        <f t="shared" si="63"/>
        <v>1.2999999999999991E-3</v>
      </c>
      <c r="AP299">
        <f t="shared" si="64"/>
        <v>1.300000000000006E-3</v>
      </c>
    </row>
    <row r="300" spans="17:42" x14ac:dyDescent="0.25">
      <c r="Q300" s="1">
        <v>44621</v>
      </c>
      <c r="R300">
        <v>1.1000000000000001E-3</v>
      </c>
      <c r="S300">
        <v>2.0999999999999999E-3</v>
      </c>
      <c r="T300">
        <v>3.2000000000000002E-3</v>
      </c>
      <c r="U300">
        <v>6.0000000000000001E-3</v>
      </c>
      <c r="V300">
        <v>9.1000000000000004E-3</v>
      </c>
      <c r="W300">
        <v>1.3100000000000001E-2</v>
      </c>
      <c r="X300">
        <v>1.47E-2</v>
      </c>
      <c r="Y300">
        <v>1.5600000000000001E-2</v>
      </c>
      <c r="Z300">
        <v>1.67E-2</v>
      </c>
      <c r="AA300">
        <v>1.72E-2</v>
      </c>
      <c r="AB300">
        <v>2.1899999999999999E-2</v>
      </c>
      <c r="AC300">
        <v>2.1099999999999997E-2</v>
      </c>
      <c r="AE300">
        <f t="shared" si="53"/>
        <v>5.0000000000000012E-4</v>
      </c>
      <c r="AF300">
        <f t="shared" si="54"/>
        <v>9.9999999999999829E-5</v>
      </c>
      <c r="AG300">
        <f t="shared" si="55"/>
        <v>-2.9999999999999949E-4</v>
      </c>
      <c r="AH300">
        <f t="shared" si="56"/>
        <v>-8.9999999999999976E-4</v>
      </c>
      <c r="AI300">
        <f t="shared" si="57"/>
        <v>-9.9999999999999915E-4</v>
      </c>
      <c r="AJ300">
        <f t="shared" si="58"/>
        <v>-1.2999999999999991E-3</v>
      </c>
      <c r="AK300">
        <f t="shared" si="59"/>
        <v>-1.5000000000000031E-3</v>
      </c>
      <c r="AL300">
        <f t="shared" si="60"/>
        <v>-1.4999999999999996E-3</v>
      </c>
      <c r="AM300">
        <f t="shared" si="61"/>
        <v>-1.4000000000000019E-3</v>
      </c>
      <c r="AN300">
        <f t="shared" si="62"/>
        <v>-1.1000000000000003E-3</v>
      </c>
      <c r="AO300">
        <f t="shared" si="63"/>
        <v>-5.9999999999999984E-4</v>
      </c>
      <c r="AP300">
        <f t="shared" si="64"/>
        <v>-6.0000000000000331E-4</v>
      </c>
    </row>
    <row r="301" spans="17:42" x14ac:dyDescent="0.25">
      <c r="Q301" s="1">
        <v>44620</v>
      </c>
      <c r="R301">
        <v>5.9999999999999995E-4</v>
      </c>
      <c r="S301">
        <v>2E-3</v>
      </c>
      <c r="T301">
        <v>3.4999999999999996E-3</v>
      </c>
      <c r="U301">
        <v>6.8999999999999999E-3</v>
      </c>
      <c r="V301">
        <v>1.01E-2</v>
      </c>
      <c r="W301">
        <v>1.44E-2</v>
      </c>
      <c r="X301">
        <v>1.6200000000000003E-2</v>
      </c>
      <c r="Y301">
        <v>1.7100000000000001E-2</v>
      </c>
      <c r="Z301">
        <v>1.8100000000000002E-2</v>
      </c>
      <c r="AA301">
        <v>1.83E-2</v>
      </c>
      <c r="AB301">
        <v>2.2499999999999999E-2</v>
      </c>
      <c r="AC301">
        <v>2.1700000000000001E-2</v>
      </c>
      <c r="AE301">
        <f t="shared" si="53"/>
        <v>2.9999999999999997E-4</v>
      </c>
      <c r="AF301">
        <f t="shared" si="54"/>
        <v>0</v>
      </c>
      <c r="AG301">
        <f t="shared" si="55"/>
        <v>1.9999999999999966E-4</v>
      </c>
      <c r="AH301">
        <f t="shared" si="56"/>
        <v>-1.9999999999999966E-4</v>
      </c>
      <c r="AI301">
        <f t="shared" si="57"/>
        <v>-1.1999999999999997E-3</v>
      </c>
      <c r="AJ301">
        <f t="shared" si="58"/>
        <v>-1.1000000000000003E-3</v>
      </c>
      <c r="AK301">
        <f t="shared" si="59"/>
        <v>-1.3999999999999985E-3</v>
      </c>
      <c r="AL301">
        <f t="shared" si="60"/>
        <v>-1.5000000000000013E-3</v>
      </c>
      <c r="AM301">
        <f t="shared" si="61"/>
        <v>-1.4999999999999979E-3</v>
      </c>
      <c r="AN301">
        <f t="shared" si="62"/>
        <v>-1.3999999999999985E-3</v>
      </c>
      <c r="AO301">
        <f t="shared" si="63"/>
        <v>-1.2000000000000031E-3</v>
      </c>
      <c r="AP301">
        <f t="shared" si="64"/>
        <v>-1.1999999999999997E-3</v>
      </c>
    </row>
    <row r="302" spans="17:42" x14ac:dyDescent="0.25">
      <c r="Q302" s="1">
        <v>44617</v>
      </c>
      <c r="R302">
        <v>2.9999999999999997E-4</v>
      </c>
      <c r="S302">
        <v>2E-3</v>
      </c>
      <c r="T302">
        <v>3.3E-3</v>
      </c>
      <c r="U302">
        <v>7.0999999999999995E-3</v>
      </c>
      <c r="V302">
        <v>1.1299999999999999E-2</v>
      </c>
      <c r="W302">
        <v>1.55E-2</v>
      </c>
      <c r="X302">
        <v>1.7600000000000001E-2</v>
      </c>
      <c r="Y302">
        <v>1.8600000000000002E-2</v>
      </c>
      <c r="Z302">
        <v>1.9599999999999999E-2</v>
      </c>
      <c r="AA302">
        <v>1.9699999999999999E-2</v>
      </c>
      <c r="AB302">
        <v>2.3700000000000002E-2</v>
      </c>
      <c r="AC302">
        <v>2.29E-2</v>
      </c>
      <c r="AE302">
        <f t="shared" si="53"/>
        <v>-2.0000000000000004E-4</v>
      </c>
      <c r="AF302">
        <f t="shared" si="54"/>
        <v>2.0000000000000009E-4</v>
      </c>
      <c r="AG302">
        <f t="shared" si="55"/>
        <v>9.9999999999999829E-5</v>
      </c>
      <c r="AH302">
        <f t="shared" si="56"/>
        <v>5.9999999999999897E-4</v>
      </c>
      <c r="AI302">
        <f t="shared" si="57"/>
        <v>4.9999999999999871E-4</v>
      </c>
      <c r="AJ302">
        <f t="shared" si="58"/>
        <v>9.9999999999999395E-5</v>
      </c>
      <c r="AK302">
        <f t="shared" si="59"/>
        <v>3.0000000000000165E-4</v>
      </c>
      <c r="AL302">
        <f t="shared" si="60"/>
        <v>2.0000000000000226E-4</v>
      </c>
      <c r="AM302">
        <f t="shared" si="61"/>
        <v>1.9999999999999879E-4</v>
      </c>
      <c r="AN302">
        <f t="shared" si="62"/>
        <v>9.9999999999999395E-5</v>
      </c>
      <c r="AO302">
        <f t="shared" si="63"/>
        <v>1.0000000000000286E-4</v>
      </c>
      <c r="AP302">
        <f t="shared" si="64"/>
        <v>1.0000000000000286E-4</v>
      </c>
    </row>
    <row r="303" spans="17:42" x14ac:dyDescent="0.25">
      <c r="Q303" s="1">
        <v>44616</v>
      </c>
      <c r="R303">
        <v>5.0000000000000001E-4</v>
      </c>
      <c r="S303">
        <v>1.8E-3</v>
      </c>
      <c r="T303">
        <v>3.2000000000000002E-3</v>
      </c>
      <c r="U303">
        <v>6.5000000000000006E-3</v>
      </c>
      <c r="V303">
        <v>1.0800000000000001E-2</v>
      </c>
      <c r="W303">
        <v>1.54E-2</v>
      </c>
      <c r="X303">
        <v>1.7299999999999999E-2</v>
      </c>
      <c r="Y303">
        <v>1.84E-2</v>
      </c>
      <c r="Z303">
        <v>1.9400000000000001E-2</v>
      </c>
      <c r="AA303">
        <v>1.9599999999999999E-2</v>
      </c>
      <c r="AB303">
        <v>2.3599999999999999E-2</v>
      </c>
      <c r="AC303">
        <v>2.2799999999999997E-2</v>
      </c>
      <c r="AE303">
        <f t="shared" si="53"/>
        <v>3.0000000000000003E-4</v>
      </c>
      <c r="AF303">
        <f t="shared" si="54"/>
        <v>-2.0000000000000009E-4</v>
      </c>
      <c r="AG303">
        <f t="shared" si="55"/>
        <v>-2.0000000000000009E-4</v>
      </c>
      <c r="AH303">
        <f t="shared" si="56"/>
        <v>-8.9999999999999976E-4</v>
      </c>
      <c r="AI303">
        <f t="shared" si="57"/>
        <v>-7.9999999999999863E-4</v>
      </c>
      <c r="AJ303">
        <f t="shared" si="58"/>
        <v>-4.0000000000000105E-4</v>
      </c>
      <c r="AK303">
        <f t="shared" si="59"/>
        <v>-5.0000000000000044E-4</v>
      </c>
      <c r="AL303">
        <f t="shared" si="60"/>
        <v>-5.0000000000000044E-4</v>
      </c>
      <c r="AM303">
        <f t="shared" si="61"/>
        <v>-3.9999999999999758E-4</v>
      </c>
      <c r="AN303">
        <f t="shared" si="62"/>
        <v>-3.0000000000000165E-4</v>
      </c>
      <c r="AO303">
        <f t="shared" si="63"/>
        <v>0</v>
      </c>
      <c r="AP303">
        <f t="shared" si="64"/>
        <v>-1.0000000000000286E-4</v>
      </c>
    </row>
    <row r="304" spans="17:42" x14ac:dyDescent="0.25">
      <c r="Q304" s="1">
        <v>44615</v>
      </c>
      <c r="R304">
        <v>2.0000000000000001E-4</v>
      </c>
      <c r="S304">
        <v>2E-3</v>
      </c>
      <c r="T304">
        <v>3.4000000000000002E-3</v>
      </c>
      <c r="U304">
        <v>7.4000000000000003E-3</v>
      </c>
      <c r="V304">
        <v>1.1599999999999999E-2</v>
      </c>
      <c r="W304">
        <v>1.5800000000000002E-2</v>
      </c>
      <c r="X304">
        <v>1.78E-2</v>
      </c>
      <c r="Y304">
        <v>1.89E-2</v>
      </c>
      <c r="Z304">
        <v>1.9799999999999998E-2</v>
      </c>
      <c r="AA304">
        <v>1.9900000000000001E-2</v>
      </c>
      <c r="AB304">
        <v>2.3599999999999999E-2</v>
      </c>
      <c r="AC304">
        <v>2.29E-2</v>
      </c>
      <c r="AE304">
        <f t="shared" si="53"/>
        <v>-9.9999999999999964E-5</v>
      </c>
      <c r="AF304">
        <f t="shared" si="54"/>
        <v>0</v>
      </c>
      <c r="AG304">
        <f t="shared" si="55"/>
        <v>-2.9999999999999992E-4</v>
      </c>
      <c r="AH304">
        <f t="shared" si="56"/>
        <v>1.0000000000000026E-4</v>
      </c>
      <c r="AI304">
        <f t="shared" si="57"/>
        <v>-9.9999999999999395E-5</v>
      </c>
      <c r="AJ304">
        <f t="shared" si="58"/>
        <v>2.0000000000000052E-4</v>
      </c>
      <c r="AK304">
        <f t="shared" si="59"/>
        <v>4.0000000000000105E-4</v>
      </c>
      <c r="AL304">
        <f t="shared" si="60"/>
        <v>3.9999999999999758E-4</v>
      </c>
      <c r="AM304">
        <f t="shared" si="61"/>
        <v>5.0000000000000044E-4</v>
      </c>
      <c r="AN304">
        <f t="shared" si="62"/>
        <v>5.0000000000000044E-4</v>
      </c>
      <c r="AO304">
        <f t="shared" si="63"/>
        <v>5.0000000000000044E-4</v>
      </c>
      <c r="AP304">
        <f t="shared" si="64"/>
        <v>4.9999999999999697E-4</v>
      </c>
    </row>
    <row r="305" spans="17:42" x14ac:dyDescent="0.25">
      <c r="Q305" s="1">
        <v>44614</v>
      </c>
      <c r="R305">
        <v>2.9999999999999997E-4</v>
      </c>
      <c r="S305">
        <v>2E-3</v>
      </c>
      <c r="T305">
        <v>3.7000000000000002E-3</v>
      </c>
      <c r="U305">
        <v>7.3000000000000001E-3</v>
      </c>
      <c r="V305">
        <v>1.1699999999999999E-2</v>
      </c>
      <c r="W305">
        <v>1.5600000000000001E-2</v>
      </c>
      <c r="X305">
        <v>1.7399999999999999E-2</v>
      </c>
      <c r="Y305">
        <v>1.8500000000000003E-2</v>
      </c>
      <c r="Z305">
        <v>1.9299999999999998E-2</v>
      </c>
      <c r="AA305">
        <v>1.9400000000000001E-2</v>
      </c>
      <c r="AB305">
        <v>2.3099999999999999E-2</v>
      </c>
      <c r="AC305">
        <v>2.2400000000000003E-2</v>
      </c>
      <c r="AE305">
        <f t="shared" si="53"/>
        <v>0</v>
      </c>
      <c r="AF305">
        <f t="shared" si="54"/>
        <v>1.0000000000000005E-4</v>
      </c>
      <c r="AG305">
        <f t="shared" si="55"/>
        <v>2.0000000000000052E-4</v>
      </c>
      <c r="AH305">
        <f t="shared" si="56"/>
        <v>7.999999999999995E-4</v>
      </c>
      <c r="AI305">
        <f t="shared" si="57"/>
        <v>1.3999999999999985E-3</v>
      </c>
      <c r="AJ305">
        <f t="shared" si="58"/>
        <v>9.0000000000000149E-4</v>
      </c>
      <c r="AK305">
        <f t="shared" si="59"/>
        <v>5.9999999999999984E-4</v>
      </c>
      <c r="AL305">
        <f t="shared" si="60"/>
        <v>3.0000000000000165E-4</v>
      </c>
      <c r="AM305">
        <f t="shared" si="61"/>
        <v>2.9999999999999818E-4</v>
      </c>
      <c r="AN305">
        <f t="shared" si="62"/>
        <v>2.0000000000000226E-4</v>
      </c>
      <c r="AO305">
        <f t="shared" si="63"/>
        <v>9.9999999999999395E-5</v>
      </c>
      <c r="AP305">
        <f t="shared" si="64"/>
        <v>0</v>
      </c>
    </row>
    <row r="306" spans="17:42" x14ac:dyDescent="0.25">
      <c r="Q306" s="1">
        <v>44610</v>
      </c>
      <c r="R306">
        <v>2.9999999999999997E-4</v>
      </c>
      <c r="S306">
        <v>1.9E-3</v>
      </c>
      <c r="T306">
        <v>3.4999999999999996E-3</v>
      </c>
      <c r="U306">
        <v>6.5000000000000006E-3</v>
      </c>
      <c r="V306">
        <v>1.03E-2</v>
      </c>
      <c r="W306">
        <v>1.47E-2</v>
      </c>
      <c r="X306">
        <v>1.6799999999999999E-2</v>
      </c>
      <c r="Y306">
        <v>1.8200000000000001E-2</v>
      </c>
      <c r="Z306">
        <v>1.9E-2</v>
      </c>
      <c r="AA306">
        <v>1.9199999999999998E-2</v>
      </c>
      <c r="AB306">
        <v>2.3E-2</v>
      </c>
      <c r="AC306">
        <v>2.2400000000000003E-2</v>
      </c>
      <c r="AE306">
        <f t="shared" si="53"/>
        <v>-2.9999999999999997E-4</v>
      </c>
      <c r="AF306">
        <f t="shared" si="54"/>
        <v>-3.9999999999999996E-4</v>
      </c>
      <c r="AG306">
        <f t="shared" si="55"/>
        <v>-1.0000000000000026E-4</v>
      </c>
      <c r="AH306">
        <f t="shared" si="56"/>
        <v>0</v>
      </c>
      <c r="AI306">
        <f t="shared" si="57"/>
        <v>-2.0000000000000052E-4</v>
      </c>
      <c r="AJ306">
        <f t="shared" si="58"/>
        <v>-2.0000000000000052E-4</v>
      </c>
      <c r="AK306">
        <f t="shared" si="59"/>
        <v>-2.0000000000000226E-4</v>
      </c>
      <c r="AL306">
        <f t="shared" si="60"/>
        <v>-3.0000000000000165E-4</v>
      </c>
      <c r="AM306">
        <f t="shared" si="61"/>
        <v>-4.0000000000000105E-4</v>
      </c>
      <c r="AN306">
        <f t="shared" si="62"/>
        <v>-5.0000000000000044E-4</v>
      </c>
      <c r="AO306">
        <f t="shared" si="63"/>
        <v>-5.0000000000000044E-4</v>
      </c>
      <c r="AP306">
        <f t="shared" si="64"/>
        <v>-6.9999999999999576E-4</v>
      </c>
    </row>
    <row r="307" spans="17:42" x14ac:dyDescent="0.25">
      <c r="Q307" s="1">
        <v>44609</v>
      </c>
      <c r="R307">
        <v>5.9999999999999995E-4</v>
      </c>
      <c r="S307">
        <v>2.3E-3</v>
      </c>
      <c r="T307">
        <v>3.5999999999999999E-3</v>
      </c>
      <c r="U307">
        <v>6.5000000000000006E-3</v>
      </c>
      <c r="V307">
        <v>1.0500000000000001E-2</v>
      </c>
      <c r="W307">
        <v>1.49E-2</v>
      </c>
      <c r="X307">
        <v>1.7000000000000001E-2</v>
      </c>
      <c r="Y307">
        <v>1.8500000000000003E-2</v>
      </c>
      <c r="Z307">
        <v>1.9400000000000001E-2</v>
      </c>
      <c r="AA307">
        <v>1.9699999999999999E-2</v>
      </c>
      <c r="AB307">
        <v>2.35E-2</v>
      </c>
      <c r="AC307">
        <v>2.3099999999999999E-2</v>
      </c>
      <c r="AE307">
        <f t="shared" si="53"/>
        <v>2.9999999999999997E-4</v>
      </c>
      <c r="AF307">
        <f t="shared" si="54"/>
        <v>5.9999999999999984E-4</v>
      </c>
      <c r="AG307">
        <f t="shared" si="55"/>
        <v>-2.0000000000000009E-4</v>
      </c>
      <c r="AH307">
        <f t="shared" si="56"/>
        <v>-1.9999999999999966E-4</v>
      </c>
      <c r="AI307">
        <f t="shared" si="57"/>
        <v>-3.9999999999999931E-4</v>
      </c>
      <c r="AJ307">
        <f t="shared" si="58"/>
        <v>-2.9999999999999992E-4</v>
      </c>
      <c r="AK307">
        <f t="shared" si="59"/>
        <v>-5.0000000000000044E-4</v>
      </c>
      <c r="AL307">
        <f t="shared" si="60"/>
        <v>-4.9999999999999697E-4</v>
      </c>
      <c r="AM307">
        <f t="shared" si="61"/>
        <v>-5.9999999999999984E-4</v>
      </c>
      <c r="AN307">
        <f t="shared" si="62"/>
        <v>-5.9999999999999984E-4</v>
      </c>
      <c r="AO307">
        <f t="shared" si="63"/>
        <v>-4.0000000000000105E-4</v>
      </c>
      <c r="AP307">
        <f t="shared" si="64"/>
        <v>-2.9999999999999818E-4</v>
      </c>
    </row>
    <row r="308" spans="17:42" x14ac:dyDescent="0.25">
      <c r="Q308" s="1">
        <v>44608</v>
      </c>
      <c r="R308">
        <v>2.9999999999999997E-4</v>
      </c>
      <c r="S308">
        <v>1.7000000000000001E-3</v>
      </c>
      <c r="T308">
        <v>3.8E-3</v>
      </c>
      <c r="U308">
        <v>6.7000000000000002E-3</v>
      </c>
      <c r="V308">
        <v>1.09E-2</v>
      </c>
      <c r="W308">
        <v>1.52E-2</v>
      </c>
      <c r="X308">
        <v>1.7500000000000002E-2</v>
      </c>
      <c r="Y308">
        <v>1.9E-2</v>
      </c>
      <c r="Z308">
        <v>0.02</v>
      </c>
      <c r="AA308">
        <v>2.0299999999999999E-2</v>
      </c>
      <c r="AB308">
        <v>2.3900000000000001E-2</v>
      </c>
      <c r="AC308">
        <v>2.3399999999999997E-2</v>
      </c>
      <c r="AE308">
        <f t="shared" si="53"/>
        <v>9.9999999999999964E-5</v>
      </c>
      <c r="AF308">
        <f t="shared" si="54"/>
        <v>-1.9999999999999987E-4</v>
      </c>
      <c r="AG308">
        <f t="shared" si="55"/>
        <v>-2.0000000000000009E-4</v>
      </c>
      <c r="AH308">
        <f t="shared" si="56"/>
        <v>-4.9999999999999958E-4</v>
      </c>
      <c r="AI308">
        <f t="shared" si="57"/>
        <v>-2.0000000000000052E-4</v>
      </c>
      <c r="AJ308">
        <f t="shared" si="58"/>
        <v>-6.0000000000000157E-4</v>
      </c>
      <c r="AK308">
        <f t="shared" si="59"/>
        <v>-5.0000000000000044E-4</v>
      </c>
      <c r="AL308">
        <f t="shared" si="60"/>
        <v>-4.0000000000000105E-4</v>
      </c>
      <c r="AM308">
        <f t="shared" si="61"/>
        <v>-2.9999999999999818E-4</v>
      </c>
      <c r="AN308">
        <f t="shared" si="62"/>
        <v>-1.9999999999999879E-4</v>
      </c>
      <c r="AO308">
        <f t="shared" si="63"/>
        <v>-2.9999999999999818E-4</v>
      </c>
      <c r="AP308">
        <f t="shared" si="64"/>
        <v>-3.0000000000000512E-4</v>
      </c>
    </row>
    <row r="309" spans="17:42" x14ac:dyDescent="0.25">
      <c r="Q309" s="1">
        <v>44607</v>
      </c>
      <c r="R309">
        <v>2.0000000000000001E-4</v>
      </c>
      <c r="S309">
        <v>1.9E-3</v>
      </c>
      <c r="T309">
        <v>4.0000000000000001E-3</v>
      </c>
      <c r="U309">
        <v>7.1999999999999998E-3</v>
      </c>
      <c r="V309">
        <v>1.11E-2</v>
      </c>
      <c r="W309">
        <v>1.5800000000000002E-2</v>
      </c>
      <c r="X309">
        <v>1.8000000000000002E-2</v>
      </c>
      <c r="Y309">
        <v>1.9400000000000001E-2</v>
      </c>
      <c r="Z309">
        <v>2.0299999999999999E-2</v>
      </c>
      <c r="AA309">
        <v>2.0499999999999997E-2</v>
      </c>
      <c r="AB309">
        <v>2.4199999999999999E-2</v>
      </c>
      <c r="AC309">
        <v>2.3700000000000002E-2</v>
      </c>
      <c r="AE309">
        <f t="shared" si="53"/>
        <v>-9.9999999999999964E-5</v>
      </c>
      <c r="AF309">
        <f t="shared" si="54"/>
        <v>-6.0000000000000006E-4</v>
      </c>
      <c r="AG309">
        <f t="shared" si="55"/>
        <v>-2.9999999999999992E-4</v>
      </c>
      <c r="AH309">
        <f t="shared" si="56"/>
        <v>-4.0000000000000018E-4</v>
      </c>
      <c r="AI309">
        <f t="shared" si="57"/>
        <v>-1.9999999999999879E-4</v>
      </c>
      <c r="AJ309">
        <f t="shared" si="58"/>
        <v>0</v>
      </c>
      <c r="AK309">
        <f t="shared" si="59"/>
        <v>0</v>
      </c>
      <c r="AL309">
        <f t="shared" si="60"/>
        <v>4.0000000000000105E-4</v>
      </c>
      <c r="AM309">
        <f t="shared" si="61"/>
        <v>5.0000000000000044E-4</v>
      </c>
      <c r="AN309">
        <f t="shared" si="62"/>
        <v>6.9999999999999923E-4</v>
      </c>
      <c r="AO309">
        <f t="shared" si="63"/>
        <v>6.9999999999999923E-4</v>
      </c>
      <c r="AP309">
        <f t="shared" si="64"/>
        <v>8.000000000000021E-4</v>
      </c>
    </row>
    <row r="310" spans="17:42" x14ac:dyDescent="0.25">
      <c r="Q310" s="1">
        <v>44606</v>
      </c>
      <c r="R310">
        <v>2.9999999999999997E-4</v>
      </c>
      <c r="S310">
        <v>2.5000000000000001E-3</v>
      </c>
      <c r="T310">
        <v>4.3E-3</v>
      </c>
      <c r="U310">
        <v>7.6E-3</v>
      </c>
      <c r="V310">
        <v>1.1299999999999999E-2</v>
      </c>
      <c r="W310">
        <v>1.5800000000000002E-2</v>
      </c>
      <c r="X310">
        <v>1.8000000000000002E-2</v>
      </c>
      <c r="Y310">
        <v>1.9E-2</v>
      </c>
      <c r="Z310">
        <v>1.9799999999999998E-2</v>
      </c>
      <c r="AA310">
        <v>1.9799999999999998E-2</v>
      </c>
      <c r="AB310">
        <v>2.35E-2</v>
      </c>
      <c r="AC310">
        <v>2.29E-2</v>
      </c>
      <c r="AE310">
        <f t="shared" si="53"/>
        <v>0</v>
      </c>
      <c r="AF310">
        <f t="shared" si="54"/>
        <v>2.9999999999999992E-4</v>
      </c>
      <c r="AG310">
        <f t="shared" si="55"/>
        <v>7.000000000000001E-4</v>
      </c>
      <c r="AH310">
        <f t="shared" si="56"/>
        <v>5.0000000000000044E-4</v>
      </c>
      <c r="AI310">
        <f t="shared" si="57"/>
        <v>5.999999999999981E-4</v>
      </c>
      <c r="AJ310">
        <f t="shared" si="58"/>
        <v>8.000000000000021E-4</v>
      </c>
      <c r="AK310">
        <f t="shared" si="59"/>
        <v>9.0000000000000149E-4</v>
      </c>
      <c r="AL310">
        <f t="shared" si="60"/>
        <v>5.9999999999999984E-4</v>
      </c>
      <c r="AM310">
        <f t="shared" si="61"/>
        <v>5.9999999999999984E-4</v>
      </c>
      <c r="AN310">
        <f t="shared" si="62"/>
        <v>5.9999999999999984E-4</v>
      </c>
      <c r="AO310">
        <f t="shared" si="63"/>
        <v>5.0000000000000044E-4</v>
      </c>
      <c r="AP310">
        <f t="shared" si="64"/>
        <v>4.9999999999999697E-4</v>
      </c>
    </row>
    <row r="311" spans="17:42" x14ac:dyDescent="0.25">
      <c r="Q311" s="1">
        <v>44603</v>
      </c>
      <c r="R311">
        <v>2.9999999999999997E-4</v>
      </c>
      <c r="S311">
        <v>2.2000000000000001E-3</v>
      </c>
      <c r="T311">
        <v>3.5999999999999999E-3</v>
      </c>
      <c r="U311">
        <v>7.0999999999999995E-3</v>
      </c>
      <c r="V311">
        <v>1.0700000000000001E-2</v>
      </c>
      <c r="W311">
        <v>1.4999999999999999E-2</v>
      </c>
      <c r="X311">
        <v>1.7100000000000001E-2</v>
      </c>
      <c r="Y311">
        <v>1.84E-2</v>
      </c>
      <c r="Z311">
        <v>1.9199999999999998E-2</v>
      </c>
      <c r="AA311">
        <v>1.9199999999999998E-2</v>
      </c>
      <c r="AB311">
        <v>2.3E-2</v>
      </c>
      <c r="AC311">
        <v>2.2400000000000003E-2</v>
      </c>
      <c r="AE311">
        <f t="shared" si="53"/>
        <v>-2.0000000000000004E-4</v>
      </c>
      <c r="AF311">
        <f t="shared" si="54"/>
        <v>-8.9999999999999976E-4</v>
      </c>
      <c r="AG311">
        <f t="shared" si="55"/>
        <v>-4.0000000000000018E-4</v>
      </c>
      <c r="AH311">
        <f t="shared" si="56"/>
        <v>-3.0000000000000079E-4</v>
      </c>
      <c r="AI311">
        <f t="shared" si="57"/>
        <v>-6.999999999999975E-4</v>
      </c>
      <c r="AJ311">
        <f t="shared" si="58"/>
        <v>-1.1000000000000003E-3</v>
      </c>
      <c r="AK311">
        <f t="shared" si="59"/>
        <v>-1.1000000000000003E-3</v>
      </c>
      <c r="AL311">
        <f t="shared" si="60"/>
        <v>-1.1999999999999997E-3</v>
      </c>
      <c r="AM311">
        <f t="shared" si="61"/>
        <v>-1.1000000000000003E-3</v>
      </c>
      <c r="AN311">
        <f t="shared" si="62"/>
        <v>-1.1000000000000003E-3</v>
      </c>
      <c r="AO311">
        <f t="shared" si="63"/>
        <v>-7.000000000000027E-4</v>
      </c>
      <c r="AP311">
        <f t="shared" si="64"/>
        <v>-5.9999999999999637E-4</v>
      </c>
    </row>
    <row r="312" spans="17:42" x14ac:dyDescent="0.25">
      <c r="Q312" s="1">
        <v>44602</v>
      </c>
      <c r="R312">
        <v>5.0000000000000001E-4</v>
      </c>
      <c r="S312">
        <v>3.0999999999999999E-3</v>
      </c>
      <c r="T312">
        <v>4.0000000000000001E-3</v>
      </c>
      <c r="U312">
        <v>7.4000000000000003E-3</v>
      </c>
      <c r="V312">
        <v>1.1399999999999999E-2</v>
      </c>
      <c r="W312">
        <v>1.61E-2</v>
      </c>
      <c r="X312">
        <v>1.8200000000000001E-2</v>
      </c>
      <c r="Y312">
        <v>1.9599999999999999E-2</v>
      </c>
      <c r="Z312">
        <v>2.0299999999999999E-2</v>
      </c>
      <c r="AA312">
        <v>2.0299999999999999E-2</v>
      </c>
      <c r="AB312">
        <v>2.3700000000000002E-2</v>
      </c>
      <c r="AC312">
        <v>2.3E-2</v>
      </c>
      <c r="AE312">
        <f t="shared" si="53"/>
        <v>9.9999999999999991E-5</v>
      </c>
      <c r="AF312">
        <f t="shared" si="54"/>
        <v>1.5999999999999999E-3</v>
      </c>
      <c r="AG312">
        <f t="shared" si="55"/>
        <v>1.4000000000000002E-3</v>
      </c>
      <c r="AH312">
        <f t="shared" si="56"/>
        <v>1.700000000000001E-3</v>
      </c>
      <c r="AI312">
        <f t="shared" si="57"/>
        <v>2.2999999999999982E-3</v>
      </c>
      <c r="AJ312">
        <f t="shared" si="58"/>
        <v>2.4999999999999988E-3</v>
      </c>
      <c r="AK312">
        <f t="shared" si="59"/>
        <v>2.1000000000000012E-3</v>
      </c>
      <c r="AL312">
        <f t="shared" si="60"/>
        <v>1.3999999999999985E-3</v>
      </c>
      <c r="AM312">
        <f t="shared" si="61"/>
        <v>1.1000000000000003E-3</v>
      </c>
      <c r="AN312">
        <f t="shared" si="62"/>
        <v>8.9999999999999802E-4</v>
      </c>
      <c r="AO312">
        <f t="shared" si="63"/>
        <v>6.0000000000000331E-4</v>
      </c>
      <c r="AP312">
        <f t="shared" si="64"/>
        <v>5.0000000000000044E-4</v>
      </c>
    </row>
    <row r="313" spans="17:42" x14ac:dyDescent="0.25">
      <c r="Q313" s="1">
        <v>44601</v>
      </c>
      <c r="R313">
        <v>4.0000000000000002E-4</v>
      </c>
      <c r="S313">
        <v>1.5E-3</v>
      </c>
      <c r="T313">
        <v>2.5999999999999999E-3</v>
      </c>
      <c r="U313">
        <v>5.6999999999999993E-3</v>
      </c>
      <c r="V313">
        <v>9.1000000000000004E-3</v>
      </c>
      <c r="W313">
        <v>1.3600000000000001E-2</v>
      </c>
      <c r="X313">
        <v>1.61E-2</v>
      </c>
      <c r="Y313">
        <v>1.8200000000000001E-2</v>
      </c>
      <c r="Z313">
        <v>1.9199999999999998E-2</v>
      </c>
      <c r="AA313">
        <v>1.9400000000000001E-2</v>
      </c>
      <c r="AB313">
        <v>2.3099999999999999E-2</v>
      </c>
      <c r="AC313">
        <v>2.2499999999999999E-2</v>
      </c>
      <c r="AE313">
        <f t="shared" si="53"/>
        <v>1.0000000000000005E-4</v>
      </c>
      <c r="AF313">
        <f t="shared" si="54"/>
        <v>9.9999999999999829E-5</v>
      </c>
      <c r="AG313">
        <f t="shared" si="55"/>
        <v>9.9999999999999829E-5</v>
      </c>
      <c r="AH313">
        <f t="shared" si="56"/>
        <v>-2.0000000000000052E-4</v>
      </c>
      <c r="AI313">
        <f t="shared" si="57"/>
        <v>0</v>
      </c>
      <c r="AJ313">
        <f t="shared" si="58"/>
        <v>9.9999999999999395E-5</v>
      </c>
      <c r="AK313">
        <f t="shared" si="59"/>
        <v>1.9999999999999879E-4</v>
      </c>
      <c r="AL313">
        <f t="shared" si="60"/>
        <v>9.9999999999999395E-5</v>
      </c>
      <c r="AM313">
        <f t="shared" si="61"/>
        <v>-9.9999999999999395E-5</v>
      </c>
      <c r="AN313">
        <f t="shared" si="62"/>
        <v>-1.9999999999999879E-4</v>
      </c>
      <c r="AO313">
        <f t="shared" si="63"/>
        <v>0</v>
      </c>
      <c r="AP313">
        <f t="shared" si="64"/>
        <v>0</v>
      </c>
    </row>
    <row r="314" spans="17:42" x14ac:dyDescent="0.25">
      <c r="Q314" s="1">
        <v>44600</v>
      </c>
      <c r="R314">
        <v>2.9999999999999997E-4</v>
      </c>
      <c r="S314">
        <v>1.4000000000000002E-3</v>
      </c>
      <c r="T314">
        <v>2.5000000000000001E-3</v>
      </c>
      <c r="U314">
        <v>5.8999999999999999E-3</v>
      </c>
      <c r="V314">
        <v>9.1000000000000004E-3</v>
      </c>
      <c r="W314">
        <v>1.3500000000000002E-2</v>
      </c>
      <c r="X314">
        <v>1.5900000000000001E-2</v>
      </c>
      <c r="Y314">
        <v>1.8100000000000002E-2</v>
      </c>
      <c r="Z314">
        <v>1.9299999999999998E-2</v>
      </c>
      <c r="AA314">
        <v>1.9599999999999999E-2</v>
      </c>
      <c r="AB314">
        <v>2.3099999999999999E-2</v>
      </c>
      <c r="AC314">
        <v>2.2499999999999999E-2</v>
      </c>
      <c r="AE314">
        <f t="shared" si="53"/>
        <v>0</v>
      </c>
      <c r="AF314">
        <f t="shared" si="54"/>
        <v>0</v>
      </c>
      <c r="AG314">
        <f t="shared" si="55"/>
        <v>-2.0000000000000009E-4</v>
      </c>
      <c r="AH314">
        <f t="shared" si="56"/>
        <v>1.0000000000000026E-4</v>
      </c>
      <c r="AI314">
        <f t="shared" si="57"/>
        <v>2.9999999999999992E-4</v>
      </c>
      <c r="AJ314">
        <f t="shared" si="58"/>
        <v>5.0000000000000044E-4</v>
      </c>
      <c r="AK314">
        <f t="shared" si="59"/>
        <v>5.0000000000000044E-4</v>
      </c>
      <c r="AL314">
        <f t="shared" si="60"/>
        <v>5.0000000000000044E-4</v>
      </c>
      <c r="AM314">
        <f t="shared" si="61"/>
        <v>5.0000000000000044E-4</v>
      </c>
      <c r="AN314">
        <f t="shared" si="62"/>
        <v>4.0000000000000105E-4</v>
      </c>
      <c r="AO314">
        <f t="shared" si="63"/>
        <v>3.0000000000000165E-4</v>
      </c>
      <c r="AP314">
        <f t="shared" si="64"/>
        <v>2.9999999999999818E-4</v>
      </c>
    </row>
    <row r="315" spans="17:42" x14ac:dyDescent="0.25">
      <c r="Q315" s="1">
        <v>44599</v>
      </c>
      <c r="R315">
        <v>2.9999999999999997E-4</v>
      </c>
      <c r="S315">
        <v>1.4000000000000002E-3</v>
      </c>
      <c r="T315">
        <v>2.7000000000000001E-3</v>
      </c>
      <c r="U315">
        <v>5.7999999999999996E-3</v>
      </c>
      <c r="V315">
        <v>8.8000000000000005E-3</v>
      </c>
      <c r="W315">
        <v>1.3000000000000001E-2</v>
      </c>
      <c r="X315">
        <v>1.54E-2</v>
      </c>
      <c r="Y315">
        <v>1.7600000000000001E-2</v>
      </c>
      <c r="Z315">
        <v>1.8799999999999997E-2</v>
      </c>
      <c r="AA315">
        <v>1.9199999999999998E-2</v>
      </c>
      <c r="AB315">
        <v>2.2799999999999997E-2</v>
      </c>
      <c r="AC315">
        <v>2.2200000000000001E-2</v>
      </c>
      <c r="AE315">
        <f t="shared" si="53"/>
        <v>-2.0000000000000004E-4</v>
      </c>
      <c r="AF315">
        <f t="shared" si="54"/>
        <v>2.0000000000000031E-4</v>
      </c>
      <c r="AG315">
        <f t="shared" si="55"/>
        <v>4.0000000000000018E-4</v>
      </c>
      <c r="AH315">
        <f t="shared" si="56"/>
        <v>1.9999999999999879E-4</v>
      </c>
      <c r="AI315">
        <f t="shared" si="57"/>
        <v>-9.9999999999999395E-5</v>
      </c>
      <c r="AJ315">
        <f t="shared" si="58"/>
        <v>-9.9999999999999395E-5</v>
      </c>
      <c r="AK315">
        <f t="shared" si="59"/>
        <v>-9.9999999999999395E-5</v>
      </c>
      <c r="AL315">
        <f t="shared" si="60"/>
        <v>-1.9999999999999879E-4</v>
      </c>
      <c r="AM315">
        <f t="shared" si="61"/>
        <v>-2.0000000000000226E-4</v>
      </c>
      <c r="AN315">
        <f t="shared" si="62"/>
        <v>-9.9999999999999395E-5</v>
      </c>
      <c r="AO315">
        <f t="shared" si="63"/>
        <v>-1.0000000000000286E-4</v>
      </c>
      <c r="AP315">
        <f t="shared" si="64"/>
        <v>-9.9999999999999395E-5</v>
      </c>
    </row>
    <row r="316" spans="17:42" x14ac:dyDescent="0.25">
      <c r="Q316" s="1">
        <v>44596</v>
      </c>
      <c r="R316">
        <v>5.0000000000000001E-4</v>
      </c>
      <c r="S316">
        <v>1.1999999999999999E-3</v>
      </c>
      <c r="T316">
        <v>2.3E-3</v>
      </c>
      <c r="U316">
        <v>5.6000000000000008E-3</v>
      </c>
      <c r="V316">
        <v>8.8999999999999999E-3</v>
      </c>
      <c r="W316">
        <v>1.3100000000000001E-2</v>
      </c>
      <c r="X316">
        <v>1.55E-2</v>
      </c>
      <c r="Y316">
        <v>1.78E-2</v>
      </c>
      <c r="Z316">
        <v>1.9E-2</v>
      </c>
      <c r="AA316">
        <v>1.9299999999999998E-2</v>
      </c>
      <c r="AB316">
        <v>2.29E-2</v>
      </c>
      <c r="AC316">
        <v>2.23E-2</v>
      </c>
      <c r="AE316">
        <f t="shared" si="53"/>
        <v>2.0000000000000004E-4</v>
      </c>
      <c r="AF316">
        <f t="shared" si="54"/>
        <v>-3.0000000000000014E-4</v>
      </c>
      <c r="AG316">
        <f t="shared" si="55"/>
        <v>2.9999999999999992E-4</v>
      </c>
      <c r="AH316">
        <f t="shared" si="56"/>
        <v>8.0000000000000123E-4</v>
      </c>
      <c r="AI316">
        <f t="shared" si="57"/>
        <v>1.0999999999999994E-3</v>
      </c>
      <c r="AJ316">
        <f t="shared" si="58"/>
        <v>1.2000000000000014E-3</v>
      </c>
      <c r="AK316">
        <f t="shared" si="59"/>
        <v>1.3000000000000008E-3</v>
      </c>
      <c r="AL316">
        <f t="shared" si="60"/>
        <v>1.1999999999999997E-3</v>
      </c>
      <c r="AM316">
        <f t="shared" si="61"/>
        <v>1.1999999999999997E-3</v>
      </c>
      <c r="AN316">
        <f t="shared" si="62"/>
        <v>1.0999999999999968E-3</v>
      </c>
      <c r="AO316">
        <f t="shared" si="63"/>
        <v>8.9999999999999802E-4</v>
      </c>
      <c r="AP316">
        <f t="shared" si="64"/>
        <v>8.9999999999999802E-4</v>
      </c>
    </row>
    <row r="317" spans="17:42" x14ac:dyDescent="0.25">
      <c r="Q317" s="1">
        <v>44595</v>
      </c>
      <c r="R317">
        <v>2.9999999999999997E-4</v>
      </c>
      <c r="S317">
        <v>1.5E-3</v>
      </c>
      <c r="T317">
        <v>2E-3</v>
      </c>
      <c r="U317">
        <v>4.7999999999999996E-3</v>
      </c>
      <c r="V317">
        <v>7.8000000000000005E-3</v>
      </c>
      <c r="W317">
        <v>1.1899999999999999E-2</v>
      </c>
      <c r="X317">
        <v>1.4199999999999999E-2</v>
      </c>
      <c r="Y317">
        <v>1.66E-2</v>
      </c>
      <c r="Z317">
        <v>1.78E-2</v>
      </c>
      <c r="AA317">
        <v>1.8200000000000001E-2</v>
      </c>
      <c r="AB317">
        <v>2.2000000000000002E-2</v>
      </c>
      <c r="AC317">
        <v>2.1400000000000002E-2</v>
      </c>
      <c r="AE317">
        <f t="shared" si="53"/>
        <v>-1.0000000000000005E-4</v>
      </c>
      <c r="AF317">
        <f t="shared" si="54"/>
        <v>5.0000000000000001E-4</v>
      </c>
      <c r="AG317">
        <f t="shared" si="55"/>
        <v>1.0000000000000005E-4</v>
      </c>
      <c r="AH317">
        <f t="shared" si="56"/>
        <v>2.9999999999999905E-4</v>
      </c>
      <c r="AI317">
        <f t="shared" si="57"/>
        <v>2.0000000000000052E-4</v>
      </c>
      <c r="AJ317">
        <f t="shared" si="58"/>
        <v>2.9999999999999992E-4</v>
      </c>
      <c r="AK317">
        <f t="shared" si="59"/>
        <v>3.9999999999999931E-4</v>
      </c>
      <c r="AL317">
        <f t="shared" si="60"/>
        <v>5.9999999999999984E-4</v>
      </c>
      <c r="AM317">
        <f t="shared" si="61"/>
        <v>4.0000000000000105E-4</v>
      </c>
      <c r="AN317">
        <f t="shared" si="62"/>
        <v>4.0000000000000105E-4</v>
      </c>
      <c r="AO317">
        <f t="shared" si="63"/>
        <v>3.0000000000000165E-4</v>
      </c>
      <c r="AP317">
        <f t="shared" si="64"/>
        <v>3.0000000000000512E-4</v>
      </c>
    </row>
    <row r="318" spans="17:42" x14ac:dyDescent="0.25">
      <c r="Q318" s="1">
        <v>44594</v>
      </c>
      <c r="R318">
        <v>4.0000000000000002E-4</v>
      </c>
      <c r="S318">
        <v>1E-3</v>
      </c>
      <c r="T318">
        <v>1.9E-3</v>
      </c>
      <c r="U318">
        <v>4.5000000000000005E-3</v>
      </c>
      <c r="V318">
        <v>7.6E-3</v>
      </c>
      <c r="W318">
        <v>1.1599999999999999E-2</v>
      </c>
      <c r="X318">
        <v>1.38E-2</v>
      </c>
      <c r="Y318">
        <v>1.6E-2</v>
      </c>
      <c r="Z318">
        <v>1.7399999999999999E-2</v>
      </c>
      <c r="AA318">
        <v>1.78E-2</v>
      </c>
      <c r="AB318">
        <v>2.1700000000000001E-2</v>
      </c>
      <c r="AC318">
        <v>2.1099999999999997E-2</v>
      </c>
      <c r="AE318">
        <f t="shared" si="53"/>
        <v>0</v>
      </c>
      <c r="AF318">
        <f t="shared" si="54"/>
        <v>0</v>
      </c>
      <c r="AG318">
        <f t="shared" si="55"/>
        <v>0</v>
      </c>
      <c r="AH318">
        <f t="shared" si="56"/>
        <v>-2.9999999999999905E-4</v>
      </c>
      <c r="AI318">
        <f t="shared" si="57"/>
        <v>-2.0000000000000052E-4</v>
      </c>
      <c r="AJ318">
        <f t="shared" si="58"/>
        <v>-2.0000000000000052E-4</v>
      </c>
      <c r="AK318">
        <f t="shared" si="59"/>
        <v>-9.9999999999999395E-5</v>
      </c>
      <c r="AL318">
        <f t="shared" si="60"/>
        <v>-2.9999999999999818E-4</v>
      </c>
      <c r="AM318">
        <f t="shared" si="61"/>
        <v>-2.0000000000000226E-4</v>
      </c>
      <c r="AN318">
        <f t="shared" si="62"/>
        <v>-3.0000000000000165E-4</v>
      </c>
      <c r="AO318">
        <f t="shared" si="63"/>
        <v>-1.9999999999999879E-4</v>
      </c>
      <c r="AP318">
        <f t="shared" si="64"/>
        <v>-1.0000000000000286E-4</v>
      </c>
    </row>
    <row r="319" spans="17:42" x14ac:dyDescent="0.25">
      <c r="Q319" s="1">
        <v>44593</v>
      </c>
      <c r="R319">
        <v>4.0000000000000002E-4</v>
      </c>
      <c r="S319">
        <v>1E-3</v>
      </c>
      <c r="T319">
        <v>1.9E-3</v>
      </c>
      <c r="U319">
        <v>4.7999999999999996E-3</v>
      </c>
      <c r="V319">
        <v>7.8000000000000005E-3</v>
      </c>
      <c r="W319">
        <v>1.18E-2</v>
      </c>
      <c r="X319">
        <v>1.3899999999999999E-2</v>
      </c>
      <c r="Y319">
        <v>1.6299999999999999E-2</v>
      </c>
      <c r="Z319">
        <v>1.7600000000000001E-2</v>
      </c>
      <c r="AA319">
        <v>1.8100000000000002E-2</v>
      </c>
      <c r="AB319">
        <v>2.1899999999999999E-2</v>
      </c>
      <c r="AC319">
        <v>2.12E-2</v>
      </c>
      <c r="AE319">
        <f t="shared" si="53"/>
        <v>1.0000000000000005E-4</v>
      </c>
      <c r="AF319">
        <f t="shared" si="54"/>
        <v>-2.9999999999999992E-4</v>
      </c>
      <c r="AG319">
        <f t="shared" si="55"/>
        <v>-3.0000000000000014E-4</v>
      </c>
      <c r="AH319">
        <f t="shared" si="56"/>
        <v>-1.0000000000000026E-4</v>
      </c>
      <c r="AI319">
        <f t="shared" si="57"/>
        <v>0</v>
      </c>
      <c r="AJ319">
        <f t="shared" si="58"/>
        <v>0</v>
      </c>
      <c r="AK319">
        <f t="shared" si="59"/>
        <v>0</v>
      </c>
      <c r="AL319">
        <f t="shared" si="60"/>
        <v>9.9999999999995925E-5</v>
      </c>
      <c r="AM319">
        <f t="shared" si="61"/>
        <v>9.9999999999999395E-5</v>
      </c>
      <c r="AN319">
        <f t="shared" si="62"/>
        <v>2.0000000000000226E-4</v>
      </c>
      <c r="AO319">
        <f t="shared" si="63"/>
        <v>1.9999999999999879E-4</v>
      </c>
      <c r="AP319">
        <f t="shared" si="64"/>
        <v>1.0000000000000286E-4</v>
      </c>
    </row>
    <row r="320" spans="17:42" x14ac:dyDescent="0.25">
      <c r="Q320" s="1">
        <v>44592</v>
      </c>
      <c r="R320">
        <v>2.9999999999999997E-4</v>
      </c>
      <c r="S320">
        <v>1.2999999999999999E-3</v>
      </c>
      <c r="T320">
        <v>2.2000000000000001E-3</v>
      </c>
      <c r="U320">
        <v>4.8999999999999998E-3</v>
      </c>
      <c r="V320">
        <v>7.8000000000000005E-3</v>
      </c>
      <c r="W320">
        <v>1.18E-2</v>
      </c>
      <c r="X320">
        <v>1.3899999999999999E-2</v>
      </c>
      <c r="Y320">
        <v>1.6200000000000003E-2</v>
      </c>
      <c r="Z320">
        <v>1.7500000000000002E-2</v>
      </c>
      <c r="AA320">
        <v>1.7899999999999999E-2</v>
      </c>
      <c r="AB320">
        <v>2.1700000000000001E-2</v>
      </c>
      <c r="AC320">
        <v>2.1099999999999997E-2</v>
      </c>
      <c r="AE320">
        <f t="shared" si="53"/>
        <v>-1.0000000000000005E-4</v>
      </c>
      <c r="AF320">
        <f t="shared" si="54"/>
        <v>2.9999999999999992E-4</v>
      </c>
      <c r="AG320">
        <f t="shared" si="55"/>
        <v>3.0000000000000014E-4</v>
      </c>
      <c r="AH320">
        <f t="shared" si="56"/>
        <v>5.9999999999999984E-4</v>
      </c>
      <c r="AI320">
        <f t="shared" si="57"/>
        <v>3.0000000000000079E-4</v>
      </c>
      <c r="AJ320">
        <f t="shared" si="58"/>
        <v>2.9999999999999992E-4</v>
      </c>
      <c r="AK320">
        <f t="shared" si="59"/>
        <v>9.9999999999999395E-5</v>
      </c>
      <c r="AL320">
        <f t="shared" si="60"/>
        <v>1.0000000000000286E-4</v>
      </c>
      <c r="AM320">
        <f t="shared" si="61"/>
        <v>1.0000000000000286E-4</v>
      </c>
      <c r="AN320">
        <f t="shared" si="62"/>
        <v>9.9999999999999395E-5</v>
      </c>
      <c r="AO320">
        <f t="shared" si="63"/>
        <v>2.9999999999999818E-4</v>
      </c>
      <c r="AP320">
        <f t="shared" si="64"/>
        <v>3.9999999999999758E-4</v>
      </c>
    </row>
    <row r="321" spans="17:42" x14ac:dyDescent="0.25">
      <c r="Q321" s="1">
        <v>44589</v>
      </c>
      <c r="R321">
        <v>4.0000000000000002E-4</v>
      </c>
      <c r="S321">
        <v>1E-3</v>
      </c>
      <c r="T321">
        <v>1.9E-3</v>
      </c>
      <c r="U321">
        <v>4.3E-3</v>
      </c>
      <c r="V321">
        <v>7.4999999999999997E-3</v>
      </c>
      <c r="W321">
        <v>1.15E-2</v>
      </c>
      <c r="X321">
        <v>1.38E-2</v>
      </c>
      <c r="Y321">
        <v>1.61E-2</v>
      </c>
      <c r="Z321">
        <v>1.7399999999999999E-2</v>
      </c>
      <c r="AA321">
        <v>1.78E-2</v>
      </c>
      <c r="AB321">
        <v>2.1400000000000002E-2</v>
      </c>
      <c r="AC321">
        <v>2.07E-2</v>
      </c>
      <c r="AE321">
        <f t="shared" si="53"/>
        <v>0</v>
      </c>
      <c r="AF321">
        <f t="shared" si="54"/>
        <v>-4.0000000000000018E-4</v>
      </c>
      <c r="AG321">
        <f t="shared" si="55"/>
        <v>-1.0000000000000005E-4</v>
      </c>
      <c r="AH321">
        <f t="shared" si="56"/>
        <v>0</v>
      </c>
      <c r="AI321">
        <f t="shared" si="57"/>
        <v>0</v>
      </c>
      <c r="AJ321">
        <f t="shared" si="58"/>
        <v>-2.9999999999999992E-4</v>
      </c>
      <c r="AK321">
        <f t="shared" si="59"/>
        <v>-5.0000000000000044E-4</v>
      </c>
      <c r="AL321">
        <f t="shared" si="60"/>
        <v>-5.0000000000000044E-4</v>
      </c>
      <c r="AM321">
        <f t="shared" si="61"/>
        <v>-4.0000000000000105E-4</v>
      </c>
      <c r="AN321">
        <f t="shared" si="62"/>
        <v>-3.0000000000000165E-4</v>
      </c>
      <c r="AO321">
        <f t="shared" si="63"/>
        <v>-2.9999999999999818E-4</v>
      </c>
      <c r="AP321">
        <f t="shared" si="64"/>
        <v>-1.9999999999999879E-4</v>
      </c>
    </row>
    <row r="322" spans="17:42" x14ac:dyDescent="0.25">
      <c r="Q322" s="1">
        <v>44588</v>
      </c>
      <c r="R322">
        <v>4.0000000000000002E-4</v>
      </c>
      <c r="S322">
        <v>1.4000000000000002E-3</v>
      </c>
      <c r="T322">
        <v>2E-3</v>
      </c>
      <c r="U322">
        <v>4.3E-3</v>
      </c>
      <c r="V322">
        <v>7.4999999999999997E-3</v>
      </c>
      <c r="W322">
        <v>1.18E-2</v>
      </c>
      <c r="X322">
        <v>1.43E-2</v>
      </c>
      <c r="Y322">
        <v>1.66E-2</v>
      </c>
      <c r="Z322">
        <v>1.78E-2</v>
      </c>
      <c r="AA322">
        <v>1.8100000000000002E-2</v>
      </c>
      <c r="AB322">
        <v>2.1700000000000001E-2</v>
      </c>
      <c r="AC322">
        <v>2.0899999999999998E-2</v>
      </c>
      <c r="AE322">
        <f t="shared" si="53"/>
        <v>-1.9999999999999993E-4</v>
      </c>
      <c r="AF322">
        <f t="shared" si="54"/>
        <v>3.0000000000000014E-4</v>
      </c>
      <c r="AG322">
        <f t="shared" si="55"/>
        <v>1.0000000000000005E-4</v>
      </c>
      <c r="AH322">
        <f t="shared" si="56"/>
        <v>2.9999999999999992E-4</v>
      </c>
      <c r="AI322">
        <f t="shared" si="57"/>
        <v>5.0000000000000044E-4</v>
      </c>
      <c r="AJ322">
        <f t="shared" si="58"/>
        <v>5.0000000000000044E-4</v>
      </c>
      <c r="AK322">
        <f t="shared" si="59"/>
        <v>4.0000000000000105E-4</v>
      </c>
      <c r="AL322">
        <f t="shared" si="60"/>
        <v>0</v>
      </c>
      <c r="AM322">
        <f t="shared" si="61"/>
        <v>-3.0000000000000165E-4</v>
      </c>
      <c r="AN322">
        <f t="shared" si="62"/>
        <v>-4.0000000000000105E-4</v>
      </c>
      <c r="AO322">
        <f t="shared" si="63"/>
        <v>-5.0000000000000044E-4</v>
      </c>
      <c r="AP322">
        <f t="shared" si="64"/>
        <v>-7.000000000000027E-4</v>
      </c>
    </row>
    <row r="323" spans="17:42" x14ac:dyDescent="0.25">
      <c r="Q323" s="1">
        <v>44587</v>
      </c>
      <c r="R323">
        <v>5.9999999999999995E-4</v>
      </c>
      <c r="S323">
        <v>1.1000000000000001E-3</v>
      </c>
      <c r="T323">
        <v>1.9E-3</v>
      </c>
      <c r="U323">
        <v>4.0000000000000001E-3</v>
      </c>
      <c r="V323">
        <v>6.9999999999999993E-3</v>
      </c>
      <c r="W323">
        <v>1.1299999999999999E-2</v>
      </c>
      <c r="X323">
        <v>1.3899999999999999E-2</v>
      </c>
      <c r="Y323">
        <v>1.66E-2</v>
      </c>
      <c r="Z323">
        <v>1.8100000000000002E-2</v>
      </c>
      <c r="AA323">
        <v>1.8500000000000003E-2</v>
      </c>
      <c r="AB323">
        <v>2.2200000000000001E-2</v>
      </c>
      <c r="AC323">
        <v>2.1600000000000001E-2</v>
      </c>
      <c r="AE323">
        <f t="shared" si="53"/>
        <v>9.9999999999999937E-5</v>
      </c>
      <c r="AF323">
        <f t="shared" si="54"/>
        <v>2.0000000000000009E-4</v>
      </c>
      <c r="AG323">
        <f t="shared" si="55"/>
        <v>0</v>
      </c>
      <c r="AH323">
        <f t="shared" si="56"/>
        <v>9.9999999999999829E-5</v>
      </c>
      <c r="AI323">
        <f t="shared" si="57"/>
        <v>4.9999999999999871E-4</v>
      </c>
      <c r="AJ323">
        <f t="shared" si="58"/>
        <v>1.0999999999999985E-3</v>
      </c>
      <c r="AK323">
        <f t="shared" si="59"/>
        <v>1.0999999999999985E-3</v>
      </c>
      <c r="AL323">
        <f t="shared" si="60"/>
        <v>9.9999999999999915E-4</v>
      </c>
      <c r="AM323">
        <f t="shared" si="61"/>
        <v>8.000000000000021E-4</v>
      </c>
      <c r="AN323">
        <f t="shared" si="62"/>
        <v>7.000000000000027E-4</v>
      </c>
      <c r="AO323">
        <f t="shared" si="63"/>
        <v>4.0000000000000105E-4</v>
      </c>
      <c r="AP323">
        <f t="shared" si="64"/>
        <v>4.0000000000000105E-4</v>
      </c>
    </row>
    <row r="324" spans="17:42" x14ac:dyDescent="0.25">
      <c r="Q324" s="1">
        <v>44586</v>
      </c>
      <c r="R324">
        <v>5.0000000000000001E-4</v>
      </c>
      <c r="S324">
        <v>8.9999999999999998E-4</v>
      </c>
      <c r="T324">
        <v>1.9E-3</v>
      </c>
      <c r="U324">
        <v>3.9000000000000003E-3</v>
      </c>
      <c r="V324">
        <v>6.5000000000000006E-3</v>
      </c>
      <c r="W324">
        <v>1.0200000000000001E-2</v>
      </c>
      <c r="X324">
        <v>1.2800000000000001E-2</v>
      </c>
      <c r="Y324">
        <v>1.5600000000000001E-2</v>
      </c>
      <c r="Z324">
        <v>1.7299999999999999E-2</v>
      </c>
      <c r="AA324">
        <v>1.78E-2</v>
      </c>
      <c r="AB324">
        <v>2.18E-2</v>
      </c>
      <c r="AC324">
        <v>2.12E-2</v>
      </c>
      <c r="AE324">
        <f t="shared" si="53"/>
        <v>0</v>
      </c>
      <c r="AF324">
        <f t="shared" si="54"/>
        <v>0</v>
      </c>
      <c r="AG324">
        <f t="shared" si="55"/>
        <v>0</v>
      </c>
      <c r="AH324">
        <f t="shared" si="56"/>
        <v>0</v>
      </c>
      <c r="AI324">
        <f t="shared" si="57"/>
        <v>7.0000000000000097E-4</v>
      </c>
      <c r="AJ324">
        <f t="shared" si="58"/>
        <v>3.0000000000000165E-4</v>
      </c>
      <c r="AK324">
        <f t="shared" si="59"/>
        <v>2.9999999999999992E-4</v>
      </c>
      <c r="AL324">
        <f t="shared" si="60"/>
        <v>2.9999999999999992E-4</v>
      </c>
      <c r="AM324">
        <f t="shared" si="61"/>
        <v>4.0000000000000105E-4</v>
      </c>
      <c r="AN324">
        <f t="shared" si="62"/>
        <v>2.9999999999999818E-4</v>
      </c>
      <c r="AO324">
        <f t="shared" si="63"/>
        <v>3.0000000000000165E-4</v>
      </c>
      <c r="AP324">
        <f t="shared" si="64"/>
        <v>1.9999999999999879E-4</v>
      </c>
    </row>
    <row r="325" spans="17:42" x14ac:dyDescent="0.25">
      <c r="Q325" s="1">
        <v>44585</v>
      </c>
      <c r="R325">
        <v>5.0000000000000001E-4</v>
      </c>
      <c r="S325">
        <v>8.9999999999999998E-4</v>
      </c>
      <c r="T325">
        <v>1.9E-3</v>
      </c>
      <c r="U325">
        <v>3.9000000000000003E-3</v>
      </c>
      <c r="V325">
        <v>5.7999999999999996E-3</v>
      </c>
      <c r="W325">
        <v>9.8999999999999991E-3</v>
      </c>
      <c r="X325">
        <v>1.2500000000000001E-2</v>
      </c>
      <c r="Y325">
        <v>1.5300000000000001E-2</v>
      </c>
      <c r="Z325">
        <v>1.6899999999999998E-2</v>
      </c>
      <c r="AA325">
        <v>1.7500000000000002E-2</v>
      </c>
      <c r="AB325">
        <v>2.1499999999999998E-2</v>
      </c>
      <c r="AC325">
        <v>2.1000000000000001E-2</v>
      </c>
      <c r="AE325">
        <f t="shared" ref="AE325:AE388" si="65">R325-R326</f>
        <v>0</v>
      </c>
      <c r="AF325">
        <f t="shared" ref="AF325:AF388" si="66">S325-S326</f>
        <v>9.9999999999999937E-5</v>
      </c>
      <c r="AG325">
        <f t="shared" ref="AG325:AG388" si="67">T325-T326</f>
        <v>1.9999999999999987E-4</v>
      </c>
      <c r="AH325">
        <f t="shared" ref="AH325:AH388" si="68">U325-U326</f>
        <v>4.0000000000000062E-4</v>
      </c>
      <c r="AI325">
        <f t="shared" ref="AI325:AI388" si="69">V325-V326</f>
        <v>0</v>
      </c>
      <c r="AJ325">
        <f t="shared" ref="AJ325:AJ388" si="70">W325-W326</f>
        <v>-2.0000000000000052E-4</v>
      </c>
      <c r="AK325">
        <f t="shared" ref="AK325:AK388" si="71">X325-X326</f>
        <v>-2.9999999999999992E-4</v>
      </c>
      <c r="AL325">
        <f t="shared" ref="AL325:AL388" si="72">Y325-Y326</f>
        <v>-9.9999999999999395E-5</v>
      </c>
      <c r="AM325">
        <f t="shared" ref="AM325:AM388" si="73">Z325-Z326</f>
        <v>-1.0000000000000286E-4</v>
      </c>
      <c r="AN325">
        <f t="shared" ref="AN325:AN388" si="74">AA325-AA326</f>
        <v>0</v>
      </c>
      <c r="AO325">
        <f t="shared" ref="AO325:AO388" si="75">AB325-AB326</f>
        <v>1.9999999999999879E-4</v>
      </c>
      <c r="AP325">
        <f t="shared" ref="AP325:AP388" si="76">AC325-AC326</f>
        <v>3.0000000000000165E-4</v>
      </c>
    </row>
    <row r="326" spans="17:42" x14ac:dyDescent="0.25">
      <c r="Q326" s="1">
        <v>44582</v>
      </c>
      <c r="R326">
        <v>5.0000000000000001E-4</v>
      </c>
      <c r="S326">
        <v>8.0000000000000004E-4</v>
      </c>
      <c r="T326">
        <v>1.7000000000000001E-3</v>
      </c>
      <c r="U326">
        <v>3.4999999999999996E-3</v>
      </c>
      <c r="V326">
        <v>5.7999999999999996E-3</v>
      </c>
      <c r="W326">
        <v>1.01E-2</v>
      </c>
      <c r="X326">
        <v>1.2800000000000001E-2</v>
      </c>
      <c r="Y326">
        <v>1.54E-2</v>
      </c>
      <c r="Z326">
        <v>1.7000000000000001E-2</v>
      </c>
      <c r="AA326">
        <v>1.7500000000000002E-2</v>
      </c>
      <c r="AB326">
        <v>2.1299999999999999E-2</v>
      </c>
      <c r="AC326">
        <v>2.07E-2</v>
      </c>
      <c r="AE326">
        <f t="shared" si="65"/>
        <v>0</v>
      </c>
      <c r="AF326">
        <f t="shared" si="66"/>
        <v>-9.9999999999999937E-5</v>
      </c>
      <c r="AG326">
        <f t="shared" si="67"/>
        <v>0</v>
      </c>
      <c r="AH326">
        <f t="shared" si="68"/>
        <v>-1.0000000000000026E-4</v>
      </c>
      <c r="AI326">
        <f t="shared" si="69"/>
        <v>-2.0000000000000052E-4</v>
      </c>
      <c r="AJ326">
        <f t="shared" si="70"/>
        <v>-7.0000000000000097E-4</v>
      </c>
      <c r="AK326">
        <f t="shared" si="71"/>
        <v>-5.9999999999999984E-4</v>
      </c>
      <c r="AL326">
        <f t="shared" si="72"/>
        <v>-8.000000000000021E-4</v>
      </c>
      <c r="AM326">
        <f t="shared" si="73"/>
        <v>-6.9999999999999923E-4</v>
      </c>
      <c r="AN326">
        <f t="shared" si="74"/>
        <v>-7.9999999999999863E-4</v>
      </c>
      <c r="AO326">
        <f t="shared" si="75"/>
        <v>-5.9999999999999984E-4</v>
      </c>
      <c r="AP326">
        <f t="shared" si="76"/>
        <v>-7.000000000000027E-4</v>
      </c>
    </row>
    <row r="327" spans="17:42" x14ac:dyDescent="0.25">
      <c r="Q327" s="1">
        <v>44581</v>
      </c>
      <c r="R327">
        <v>5.0000000000000001E-4</v>
      </c>
      <c r="S327">
        <v>8.9999999999999998E-4</v>
      </c>
      <c r="T327">
        <v>1.7000000000000001E-3</v>
      </c>
      <c r="U327">
        <v>3.5999999999999999E-3</v>
      </c>
      <c r="V327">
        <v>6.0000000000000001E-3</v>
      </c>
      <c r="W327">
        <v>1.0800000000000001E-2</v>
      </c>
      <c r="X327">
        <v>1.34E-2</v>
      </c>
      <c r="Y327">
        <v>1.6200000000000003E-2</v>
      </c>
      <c r="Z327">
        <v>1.77E-2</v>
      </c>
      <c r="AA327">
        <v>1.83E-2</v>
      </c>
      <c r="AB327">
        <v>2.1899999999999999E-2</v>
      </c>
      <c r="AC327">
        <v>2.1400000000000002E-2</v>
      </c>
      <c r="AE327">
        <f t="shared" si="65"/>
        <v>0</v>
      </c>
      <c r="AF327">
        <f t="shared" si="66"/>
        <v>3.0000000000000003E-4</v>
      </c>
      <c r="AG327">
        <f t="shared" si="67"/>
        <v>0</v>
      </c>
      <c r="AH327">
        <f t="shared" si="68"/>
        <v>0</v>
      </c>
      <c r="AI327">
        <f t="shared" si="69"/>
        <v>3.0000000000000079E-4</v>
      </c>
      <c r="AJ327">
        <f t="shared" si="70"/>
        <v>4.0000000000000105E-4</v>
      </c>
      <c r="AK327">
        <f t="shared" si="71"/>
        <v>9.9999999999999395E-5</v>
      </c>
      <c r="AL327">
        <f t="shared" si="72"/>
        <v>0</v>
      </c>
      <c r="AM327">
        <f t="shared" si="73"/>
        <v>-9.9999999999999395E-5</v>
      </c>
      <c r="AN327">
        <f t="shared" si="74"/>
        <v>0</v>
      </c>
      <c r="AO327">
        <f t="shared" si="75"/>
        <v>-1.0000000000000286E-4</v>
      </c>
      <c r="AP327">
        <f t="shared" si="76"/>
        <v>0</v>
      </c>
    </row>
    <row r="328" spans="17:42" x14ac:dyDescent="0.25">
      <c r="Q328" s="1">
        <v>44580</v>
      </c>
      <c r="R328">
        <v>5.0000000000000001E-4</v>
      </c>
      <c r="S328">
        <v>5.9999999999999995E-4</v>
      </c>
      <c r="T328">
        <v>1.7000000000000001E-3</v>
      </c>
      <c r="U328">
        <v>3.5999999999999999E-3</v>
      </c>
      <c r="V328">
        <v>5.6999999999999993E-3</v>
      </c>
      <c r="W328">
        <v>1.04E-2</v>
      </c>
      <c r="X328">
        <v>1.3300000000000001E-2</v>
      </c>
      <c r="Y328">
        <v>1.6200000000000003E-2</v>
      </c>
      <c r="Z328">
        <v>1.78E-2</v>
      </c>
      <c r="AA328">
        <v>1.83E-2</v>
      </c>
      <c r="AB328">
        <v>2.2000000000000002E-2</v>
      </c>
      <c r="AC328">
        <v>2.1400000000000002E-2</v>
      </c>
      <c r="AE328">
        <f t="shared" si="65"/>
        <v>0</v>
      </c>
      <c r="AF328">
        <f t="shared" si="66"/>
        <v>0</v>
      </c>
      <c r="AG328">
        <f t="shared" si="67"/>
        <v>1.0000000000000005E-4</v>
      </c>
      <c r="AH328">
        <f t="shared" si="68"/>
        <v>-1.0000000000000026E-4</v>
      </c>
      <c r="AI328">
        <f t="shared" si="69"/>
        <v>-1.0000000000000026E-4</v>
      </c>
      <c r="AJ328">
        <f t="shared" si="70"/>
        <v>-2.0000000000000052E-4</v>
      </c>
      <c r="AK328">
        <f t="shared" si="71"/>
        <v>-2.0000000000000052E-4</v>
      </c>
      <c r="AL328">
        <f t="shared" si="72"/>
        <v>-2.9999999999999818E-4</v>
      </c>
      <c r="AM328">
        <f t="shared" si="73"/>
        <v>-4.0000000000000105E-4</v>
      </c>
      <c r="AN328">
        <f t="shared" si="74"/>
        <v>-4.0000000000000105E-4</v>
      </c>
      <c r="AO328">
        <f t="shared" si="75"/>
        <v>-4.0000000000000105E-4</v>
      </c>
      <c r="AP328">
        <f t="shared" si="76"/>
        <v>-3.9999999999999758E-4</v>
      </c>
    </row>
    <row r="329" spans="17:42" x14ac:dyDescent="0.25">
      <c r="Q329" s="1">
        <v>44579</v>
      </c>
      <c r="R329">
        <v>5.0000000000000001E-4</v>
      </c>
      <c r="S329">
        <v>5.9999999999999995E-4</v>
      </c>
      <c r="T329">
        <v>1.6000000000000001E-3</v>
      </c>
      <c r="U329">
        <v>3.7000000000000002E-3</v>
      </c>
      <c r="V329">
        <v>5.7999999999999996E-3</v>
      </c>
      <c r="W329">
        <v>1.06E-2</v>
      </c>
      <c r="X329">
        <v>1.3500000000000002E-2</v>
      </c>
      <c r="Y329">
        <v>1.6500000000000001E-2</v>
      </c>
      <c r="Z329">
        <v>1.8200000000000001E-2</v>
      </c>
      <c r="AA329">
        <v>1.8700000000000001E-2</v>
      </c>
      <c r="AB329">
        <v>2.2400000000000003E-2</v>
      </c>
      <c r="AC329">
        <v>2.18E-2</v>
      </c>
      <c r="AE329">
        <f t="shared" si="65"/>
        <v>0</v>
      </c>
      <c r="AF329">
        <f t="shared" si="66"/>
        <v>9.9999999999999937E-5</v>
      </c>
      <c r="AG329">
        <f t="shared" si="67"/>
        <v>3.0000000000000014E-4</v>
      </c>
      <c r="AH329">
        <f t="shared" si="68"/>
        <v>7.000000000000001E-4</v>
      </c>
      <c r="AI329">
        <f t="shared" si="69"/>
        <v>6.9999999999999923E-4</v>
      </c>
      <c r="AJ329">
        <f t="shared" si="70"/>
        <v>7.0000000000000097E-4</v>
      </c>
      <c r="AK329">
        <f t="shared" si="71"/>
        <v>9.0000000000000149E-4</v>
      </c>
      <c r="AL329">
        <f t="shared" si="72"/>
        <v>1.0000000000000009E-3</v>
      </c>
      <c r="AM329">
        <f t="shared" si="73"/>
        <v>1.0000000000000009E-3</v>
      </c>
      <c r="AN329">
        <f t="shared" si="74"/>
        <v>9.0000000000000149E-4</v>
      </c>
      <c r="AO329">
        <f t="shared" si="75"/>
        <v>6.0000000000000331E-4</v>
      </c>
      <c r="AP329">
        <f t="shared" si="76"/>
        <v>5.9999999999999984E-4</v>
      </c>
    </row>
    <row r="330" spans="17:42" x14ac:dyDescent="0.25">
      <c r="Q330" s="1">
        <v>44575</v>
      </c>
      <c r="R330">
        <v>5.0000000000000001E-4</v>
      </c>
      <c r="S330">
        <v>5.0000000000000001E-4</v>
      </c>
      <c r="T330">
        <v>1.2999999999999999E-3</v>
      </c>
      <c r="U330">
        <v>3.0000000000000001E-3</v>
      </c>
      <c r="V330">
        <v>5.1000000000000004E-3</v>
      </c>
      <c r="W330">
        <v>9.8999999999999991E-3</v>
      </c>
      <c r="X330">
        <v>1.26E-2</v>
      </c>
      <c r="Y330">
        <v>1.55E-2</v>
      </c>
      <c r="Z330">
        <v>1.72E-2</v>
      </c>
      <c r="AA330">
        <v>1.78E-2</v>
      </c>
      <c r="AB330">
        <v>2.18E-2</v>
      </c>
      <c r="AC330">
        <v>2.12E-2</v>
      </c>
      <c r="AE330">
        <f t="shared" si="65"/>
        <v>0</v>
      </c>
      <c r="AF330">
        <f t="shared" si="66"/>
        <v>0</v>
      </c>
      <c r="AG330">
        <f t="shared" si="67"/>
        <v>1.0000000000000005E-4</v>
      </c>
      <c r="AH330">
        <f t="shared" si="68"/>
        <v>1.9999999999999966E-4</v>
      </c>
      <c r="AI330">
        <f t="shared" si="69"/>
        <v>4.0000000000000105E-4</v>
      </c>
      <c r="AJ330">
        <f t="shared" si="70"/>
        <v>7.9999999999999863E-4</v>
      </c>
      <c r="AK330">
        <f t="shared" si="71"/>
        <v>8.0000000000000036E-4</v>
      </c>
      <c r="AL330">
        <f t="shared" si="72"/>
        <v>8.0000000000000036E-4</v>
      </c>
      <c r="AM330">
        <f t="shared" si="73"/>
        <v>8.000000000000021E-4</v>
      </c>
      <c r="AN330">
        <f t="shared" si="74"/>
        <v>7.9999999999999863E-4</v>
      </c>
      <c r="AO330">
        <f t="shared" si="75"/>
        <v>7.9999999999999863E-4</v>
      </c>
      <c r="AP330">
        <f t="shared" si="76"/>
        <v>7.000000000000027E-4</v>
      </c>
    </row>
    <row r="331" spans="17:42" x14ac:dyDescent="0.25">
      <c r="Q331" s="1">
        <v>44574</v>
      </c>
      <c r="R331">
        <v>5.0000000000000001E-4</v>
      </c>
      <c r="S331">
        <v>5.0000000000000001E-4</v>
      </c>
      <c r="T331">
        <v>1.1999999999999999E-3</v>
      </c>
      <c r="U331">
        <v>2.8000000000000004E-3</v>
      </c>
      <c r="V331">
        <v>4.6999999999999993E-3</v>
      </c>
      <c r="W331">
        <v>9.1000000000000004E-3</v>
      </c>
      <c r="X331">
        <v>1.18E-2</v>
      </c>
      <c r="Y331">
        <v>1.47E-2</v>
      </c>
      <c r="Z331">
        <v>1.6399999999999998E-2</v>
      </c>
      <c r="AA331">
        <v>1.7000000000000001E-2</v>
      </c>
      <c r="AB331">
        <v>2.1000000000000001E-2</v>
      </c>
      <c r="AC331">
        <v>2.0499999999999997E-2</v>
      </c>
      <c r="AE331">
        <f t="shared" si="65"/>
        <v>9.9999999999999991E-5</v>
      </c>
      <c r="AF331">
        <f t="shared" si="66"/>
        <v>-9.9999999999999937E-5</v>
      </c>
      <c r="AG331">
        <f t="shared" si="67"/>
        <v>0</v>
      </c>
      <c r="AH331">
        <f t="shared" si="68"/>
        <v>1.0000000000000026E-4</v>
      </c>
      <c r="AI331">
        <f t="shared" si="69"/>
        <v>-1.0000000000000026E-4</v>
      </c>
      <c r="AJ331">
        <f t="shared" si="70"/>
        <v>-9.9999999999999395E-5</v>
      </c>
      <c r="AK331">
        <f t="shared" si="71"/>
        <v>-2.9999999999999992E-4</v>
      </c>
      <c r="AL331">
        <f t="shared" si="72"/>
        <v>-2.9999999999999992E-4</v>
      </c>
      <c r="AM331">
        <f t="shared" si="73"/>
        <v>-3.0000000000000165E-4</v>
      </c>
      <c r="AN331">
        <f t="shared" si="74"/>
        <v>-3.9999999999999758E-4</v>
      </c>
      <c r="AO331">
        <f t="shared" si="75"/>
        <v>-2.9999999999999818E-4</v>
      </c>
      <c r="AP331">
        <f t="shared" si="76"/>
        <v>-3.0000000000000165E-4</v>
      </c>
    </row>
    <row r="332" spans="17:42" x14ac:dyDescent="0.25">
      <c r="Q332" s="1">
        <v>44573</v>
      </c>
      <c r="R332">
        <v>4.0000000000000002E-4</v>
      </c>
      <c r="S332">
        <v>5.9999999999999995E-4</v>
      </c>
      <c r="T332">
        <v>1.1999999999999999E-3</v>
      </c>
      <c r="U332">
        <v>2.7000000000000001E-3</v>
      </c>
      <c r="V332">
        <v>4.7999999999999996E-3</v>
      </c>
      <c r="W332">
        <v>9.1999999999999998E-3</v>
      </c>
      <c r="X332">
        <v>1.21E-2</v>
      </c>
      <c r="Y332">
        <v>1.4999999999999999E-2</v>
      </c>
      <c r="Z332">
        <v>1.67E-2</v>
      </c>
      <c r="AA332">
        <v>1.7399999999999999E-2</v>
      </c>
      <c r="AB332">
        <v>2.1299999999999999E-2</v>
      </c>
      <c r="AC332">
        <v>2.0799999999999999E-2</v>
      </c>
      <c r="AE332">
        <f t="shared" si="65"/>
        <v>0</v>
      </c>
      <c r="AF332">
        <f t="shared" si="66"/>
        <v>9.9999999999999937E-5</v>
      </c>
      <c r="AG332">
        <f t="shared" si="67"/>
        <v>9.9999999999999829E-5</v>
      </c>
      <c r="AH332">
        <f t="shared" si="68"/>
        <v>-1.0000000000000026E-4</v>
      </c>
      <c r="AI332">
        <f t="shared" si="69"/>
        <v>1.9999999999999966E-4</v>
      </c>
      <c r="AJ332">
        <f t="shared" si="70"/>
        <v>1.9999999999999879E-4</v>
      </c>
      <c r="AK332">
        <f t="shared" si="71"/>
        <v>-9.9999999999999395E-5</v>
      </c>
      <c r="AL332">
        <f t="shared" si="72"/>
        <v>-1.0000000000000113E-4</v>
      </c>
      <c r="AM332">
        <f t="shared" si="73"/>
        <v>-1.9999999999999879E-4</v>
      </c>
      <c r="AN332">
        <f t="shared" si="74"/>
        <v>-1.0000000000000286E-4</v>
      </c>
      <c r="AO332">
        <f t="shared" si="75"/>
        <v>0</v>
      </c>
      <c r="AP332">
        <f t="shared" si="76"/>
        <v>0</v>
      </c>
    </row>
    <row r="333" spans="17:42" x14ac:dyDescent="0.25">
      <c r="Q333" s="1">
        <v>44572</v>
      </c>
      <c r="R333">
        <v>4.0000000000000002E-4</v>
      </c>
      <c r="S333">
        <v>5.0000000000000001E-4</v>
      </c>
      <c r="T333">
        <v>1.1000000000000001E-3</v>
      </c>
      <c r="U333">
        <v>2.8000000000000004E-3</v>
      </c>
      <c r="V333">
        <v>4.5999999999999999E-3</v>
      </c>
      <c r="W333">
        <v>9.0000000000000011E-3</v>
      </c>
      <c r="X333">
        <v>1.2199999999999999E-2</v>
      </c>
      <c r="Y333">
        <v>1.5100000000000001E-2</v>
      </c>
      <c r="Z333">
        <v>1.6899999999999998E-2</v>
      </c>
      <c r="AA333">
        <v>1.7500000000000002E-2</v>
      </c>
      <c r="AB333">
        <v>2.1299999999999999E-2</v>
      </c>
      <c r="AC333">
        <v>2.0799999999999999E-2</v>
      </c>
      <c r="AE333">
        <f t="shared" si="65"/>
        <v>-9.9999999999999991E-5</v>
      </c>
      <c r="AF333">
        <f t="shared" si="66"/>
        <v>-9.9999999999999937E-5</v>
      </c>
      <c r="AG333">
        <f t="shared" si="67"/>
        <v>-1.9999999999999987E-4</v>
      </c>
      <c r="AH333">
        <f t="shared" si="68"/>
        <v>0</v>
      </c>
      <c r="AI333">
        <f t="shared" si="69"/>
        <v>0</v>
      </c>
      <c r="AJ333">
        <f t="shared" si="70"/>
        <v>-1.9999999999999879E-4</v>
      </c>
      <c r="AK333">
        <f t="shared" si="71"/>
        <v>9.9999999999999395E-5</v>
      </c>
      <c r="AL333">
        <f t="shared" si="72"/>
        <v>-2.0000000000000052E-4</v>
      </c>
      <c r="AM333">
        <f t="shared" si="73"/>
        <v>-2.0000000000000226E-4</v>
      </c>
      <c r="AN333">
        <f t="shared" si="74"/>
        <v>-2.9999999999999818E-4</v>
      </c>
      <c r="AO333">
        <f t="shared" si="75"/>
        <v>-1.9999999999999879E-4</v>
      </c>
      <c r="AP333">
        <f t="shared" si="76"/>
        <v>-2.9999999999999818E-4</v>
      </c>
    </row>
    <row r="334" spans="17:42" x14ac:dyDescent="0.25">
      <c r="Q334" s="1">
        <v>44571</v>
      </c>
      <c r="R334">
        <v>5.0000000000000001E-4</v>
      </c>
      <c r="S334">
        <v>5.9999999999999995E-4</v>
      </c>
      <c r="T334">
        <v>1.2999999999999999E-3</v>
      </c>
      <c r="U334">
        <v>2.8000000000000004E-3</v>
      </c>
      <c r="V334">
        <v>4.5999999999999999E-3</v>
      </c>
      <c r="W334">
        <v>9.1999999999999998E-3</v>
      </c>
      <c r="X334">
        <v>1.21E-2</v>
      </c>
      <c r="Y334">
        <v>1.5300000000000001E-2</v>
      </c>
      <c r="Z334">
        <v>1.7100000000000001E-2</v>
      </c>
      <c r="AA334">
        <v>1.78E-2</v>
      </c>
      <c r="AB334">
        <v>2.1499999999999998E-2</v>
      </c>
      <c r="AC334">
        <v>2.1099999999999997E-2</v>
      </c>
      <c r="AE334">
        <f t="shared" si="65"/>
        <v>0</v>
      </c>
      <c r="AF334">
        <f t="shared" si="66"/>
        <v>9.9999999999999937E-5</v>
      </c>
      <c r="AG334">
        <f t="shared" si="67"/>
        <v>2.9999999999999992E-4</v>
      </c>
      <c r="AH334">
        <f t="shared" si="68"/>
        <v>4.0000000000000062E-4</v>
      </c>
      <c r="AI334">
        <f t="shared" si="69"/>
        <v>2.9999999999999992E-4</v>
      </c>
      <c r="AJ334">
        <f t="shared" si="70"/>
        <v>5.0000000000000044E-4</v>
      </c>
      <c r="AK334">
        <f t="shared" si="71"/>
        <v>4.0000000000000105E-4</v>
      </c>
      <c r="AL334">
        <f t="shared" si="72"/>
        <v>3.0000000000000165E-4</v>
      </c>
      <c r="AM334">
        <f t="shared" si="73"/>
        <v>2.0000000000000226E-4</v>
      </c>
      <c r="AN334">
        <f t="shared" si="74"/>
        <v>1.9999999999999879E-4</v>
      </c>
      <c r="AO334">
        <f t="shared" si="75"/>
        <v>0</v>
      </c>
      <c r="AP334">
        <f t="shared" si="76"/>
        <v>0</v>
      </c>
    </row>
    <row r="335" spans="17:42" x14ac:dyDescent="0.25">
      <c r="Q335" s="1">
        <v>44568</v>
      </c>
      <c r="R335">
        <v>5.0000000000000001E-4</v>
      </c>
      <c r="S335">
        <v>5.0000000000000001E-4</v>
      </c>
      <c r="T335">
        <v>1E-3</v>
      </c>
      <c r="U335">
        <v>2.3999999999999998E-3</v>
      </c>
      <c r="V335">
        <v>4.3E-3</v>
      </c>
      <c r="W335">
        <v>8.6999999999999994E-3</v>
      </c>
      <c r="X335">
        <v>1.1699999999999999E-2</v>
      </c>
      <c r="Y335">
        <v>1.4999999999999999E-2</v>
      </c>
      <c r="Z335">
        <v>1.6899999999999998E-2</v>
      </c>
      <c r="AA335">
        <v>1.7600000000000001E-2</v>
      </c>
      <c r="AB335">
        <v>2.1499999999999998E-2</v>
      </c>
      <c r="AC335">
        <v>2.1099999999999997E-2</v>
      </c>
      <c r="AE335">
        <f t="shared" si="65"/>
        <v>9.9999999999999991E-5</v>
      </c>
      <c r="AF335">
        <f t="shared" si="66"/>
        <v>0</v>
      </c>
      <c r="AG335">
        <f t="shared" si="67"/>
        <v>0</v>
      </c>
      <c r="AH335">
        <f t="shared" si="68"/>
        <v>9.9999999999999829E-5</v>
      </c>
      <c r="AI335">
        <f t="shared" si="69"/>
        <v>-2.0000000000000052E-4</v>
      </c>
      <c r="AJ335">
        <f t="shared" si="70"/>
        <v>-1.0000000000000113E-4</v>
      </c>
      <c r="AK335">
        <f t="shared" si="71"/>
        <v>1.9999999999999879E-4</v>
      </c>
      <c r="AL335">
        <f t="shared" si="72"/>
        <v>2.9999999999999992E-4</v>
      </c>
      <c r="AM335">
        <f t="shared" si="73"/>
        <v>2.9999999999999818E-4</v>
      </c>
      <c r="AN335">
        <f t="shared" si="74"/>
        <v>3.0000000000000165E-4</v>
      </c>
      <c r="AO335">
        <f t="shared" si="75"/>
        <v>2.9999999999999818E-4</v>
      </c>
      <c r="AP335">
        <f t="shared" si="76"/>
        <v>1.9999999999999879E-4</v>
      </c>
    </row>
    <row r="336" spans="17:42" x14ac:dyDescent="0.25">
      <c r="Q336" s="1">
        <v>44567</v>
      </c>
      <c r="R336">
        <v>4.0000000000000002E-4</v>
      </c>
      <c r="S336">
        <v>5.0000000000000001E-4</v>
      </c>
      <c r="T336">
        <v>1E-3</v>
      </c>
      <c r="U336">
        <v>2.3E-3</v>
      </c>
      <c r="V336">
        <v>4.5000000000000005E-3</v>
      </c>
      <c r="W336">
        <v>8.8000000000000005E-3</v>
      </c>
      <c r="X336">
        <v>1.15E-2</v>
      </c>
      <c r="Y336">
        <v>1.47E-2</v>
      </c>
      <c r="Z336">
        <v>1.66E-2</v>
      </c>
      <c r="AA336">
        <v>1.7299999999999999E-2</v>
      </c>
      <c r="AB336">
        <v>2.12E-2</v>
      </c>
      <c r="AC336">
        <v>2.0899999999999998E-2</v>
      </c>
      <c r="AE336">
        <f t="shared" si="65"/>
        <v>-9.9999999999999991E-5</v>
      </c>
      <c r="AF336">
        <f t="shared" si="66"/>
        <v>-9.9999999999999937E-5</v>
      </c>
      <c r="AG336">
        <f t="shared" si="67"/>
        <v>1.0000000000000005E-4</v>
      </c>
      <c r="AH336">
        <f t="shared" si="68"/>
        <v>9.9999999999999829E-5</v>
      </c>
      <c r="AI336">
        <f t="shared" si="69"/>
        <v>4.0000000000000105E-4</v>
      </c>
      <c r="AJ336">
        <f t="shared" si="70"/>
        <v>5.0000000000000044E-4</v>
      </c>
      <c r="AK336">
        <f t="shared" si="71"/>
        <v>4.9999999999999871E-4</v>
      </c>
      <c r="AL336">
        <f t="shared" si="72"/>
        <v>3.9999999999999931E-4</v>
      </c>
      <c r="AM336">
        <f t="shared" si="73"/>
        <v>3.9999999999999758E-4</v>
      </c>
      <c r="AN336">
        <f t="shared" si="74"/>
        <v>1.9999999999999879E-4</v>
      </c>
      <c r="AO336">
        <f t="shared" si="75"/>
        <v>0</v>
      </c>
      <c r="AP336">
        <f t="shared" si="76"/>
        <v>0</v>
      </c>
    </row>
    <row r="337" spans="17:42" x14ac:dyDescent="0.25">
      <c r="Q337" s="1">
        <v>44566</v>
      </c>
      <c r="R337">
        <v>5.0000000000000001E-4</v>
      </c>
      <c r="S337">
        <v>5.9999999999999995E-4</v>
      </c>
      <c r="T337">
        <v>8.9999999999999998E-4</v>
      </c>
      <c r="U337">
        <v>2.2000000000000001E-3</v>
      </c>
      <c r="V337">
        <v>4.0999999999999995E-3</v>
      </c>
      <c r="W337">
        <v>8.3000000000000001E-3</v>
      </c>
      <c r="X337">
        <v>1.1000000000000001E-2</v>
      </c>
      <c r="Y337">
        <v>1.43E-2</v>
      </c>
      <c r="Z337">
        <v>1.6200000000000003E-2</v>
      </c>
      <c r="AA337">
        <v>1.7100000000000001E-2</v>
      </c>
      <c r="AB337">
        <v>2.12E-2</v>
      </c>
      <c r="AC337">
        <v>2.0899999999999998E-2</v>
      </c>
      <c r="AE337">
        <f t="shared" si="65"/>
        <v>-9.9999999999999937E-5</v>
      </c>
      <c r="AF337">
        <f t="shared" si="66"/>
        <v>9.9999999999999937E-5</v>
      </c>
      <c r="AG337">
        <f t="shared" si="67"/>
        <v>9.9999999999999937E-5</v>
      </c>
      <c r="AH337">
        <f t="shared" si="68"/>
        <v>0</v>
      </c>
      <c r="AI337">
        <f t="shared" si="69"/>
        <v>2.9999999999999949E-4</v>
      </c>
      <c r="AJ337">
        <f t="shared" si="70"/>
        <v>5.9999999999999984E-4</v>
      </c>
      <c r="AK337">
        <f t="shared" si="71"/>
        <v>8.0000000000000036E-4</v>
      </c>
      <c r="AL337">
        <f t="shared" si="72"/>
        <v>5.9999999999999984E-4</v>
      </c>
      <c r="AM337">
        <f t="shared" si="73"/>
        <v>5.0000000000000044E-4</v>
      </c>
      <c r="AN337">
        <f t="shared" si="74"/>
        <v>5.0000000000000044E-4</v>
      </c>
      <c r="AO337">
        <f t="shared" si="75"/>
        <v>1.9999999999999879E-4</v>
      </c>
      <c r="AP337">
        <f t="shared" si="76"/>
        <v>1.9999999999999879E-4</v>
      </c>
    </row>
    <row r="338" spans="17:42" x14ac:dyDescent="0.25">
      <c r="Q338" s="1">
        <v>44565</v>
      </c>
      <c r="R338">
        <v>5.9999999999999995E-4</v>
      </c>
      <c r="S338">
        <v>5.0000000000000001E-4</v>
      </c>
      <c r="T338">
        <v>8.0000000000000004E-4</v>
      </c>
      <c r="U338">
        <v>2.2000000000000001E-3</v>
      </c>
      <c r="V338">
        <v>3.8E-3</v>
      </c>
      <c r="W338">
        <v>7.7000000000000002E-3</v>
      </c>
      <c r="X338">
        <v>1.0200000000000001E-2</v>
      </c>
      <c r="Y338">
        <v>1.37E-2</v>
      </c>
      <c r="Z338">
        <v>1.5700000000000002E-2</v>
      </c>
      <c r="AA338">
        <v>1.66E-2</v>
      </c>
      <c r="AB338">
        <v>2.1000000000000001E-2</v>
      </c>
      <c r="AC338">
        <v>2.07E-2</v>
      </c>
      <c r="AE338">
        <f t="shared" si="65"/>
        <v>9.9999999999999937E-5</v>
      </c>
      <c r="AF338">
        <f t="shared" si="66"/>
        <v>-9.9999999999999937E-5</v>
      </c>
      <c r="AG338">
        <f t="shared" si="67"/>
        <v>0</v>
      </c>
      <c r="AH338">
        <f t="shared" si="68"/>
        <v>0</v>
      </c>
      <c r="AI338">
        <f t="shared" si="69"/>
        <v>-2.0000000000000009E-4</v>
      </c>
      <c r="AJ338">
        <f t="shared" si="70"/>
        <v>-1.0000000000000026E-4</v>
      </c>
      <c r="AK338">
        <f t="shared" si="71"/>
        <v>-1.9999999999999879E-4</v>
      </c>
      <c r="AL338">
        <f t="shared" si="72"/>
        <v>0</v>
      </c>
      <c r="AM338">
        <f t="shared" si="73"/>
        <v>2.0000000000000226E-4</v>
      </c>
      <c r="AN338">
        <f t="shared" si="74"/>
        <v>3.0000000000000165E-4</v>
      </c>
      <c r="AO338">
        <f t="shared" si="75"/>
        <v>5.0000000000000391E-4</v>
      </c>
      <c r="AP338">
        <f t="shared" si="76"/>
        <v>6.0000000000000331E-4</v>
      </c>
    </row>
    <row r="339" spans="17:42" x14ac:dyDescent="0.25">
      <c r="Q339" s="1">
        <v>44564</v>
      </c>
      <c r="R339">
        <v>5.0000000000000001E-4</v>
      </c>
      <c r="S339">
        <v>5.9999999999999995E-4</v>
      </c>
      <c r="T339">
        <v>8.0000000000000004E-4</v>
      </c>
      <c r="U339">
        <v>2.2000000000000001E-3</v>
      </c>
      <c r="V339">
        <v>4.0000000000000001E-3</v>
      </c>
      <c r="W339">
        <v>7.8000000000000005E-3</v>
      </c>
      <c r="X339">
        <v>1.04E-2</v>
      </c>
      <c r="Y339">
        <v>1.37E-2</v>
      </c>
      <c r="Z339">
        <v>1.55E-2</v>
      </c>
      <c r="AA339">
        <v>1.6299999999999999E-2</v>
      </c>
      <c r="AB339">
        <v>2.0499999999999997E-2</v>
      </c>
      <c r="AC339">
        <v>2.0099999999999996E-2</v>
      </c>
      <c r="AE339">
        <f t="shared" si="65"/>
        <v>-9.9999999999999937E-5</v>
      </c>
      <c r="AF339">
        <f t="shared" si="66"/>
        <v>9.9999999999999937E-5</v>
      </c>
      <c r="AG339">
        <f t="shared" si="67"/>
        <v>2.0000000000000009E-4</v>
      </c>
      <c r="AH339">
        <f t="shared" si="68"/>
        <v>3.0000000000000014E-4</v>
      </c>
      <c r="AI339">
        <f t="shared" si="69"/>
        <v>9.9999999999999829E-5</v>
      </c>
      <c r="AJ339">
        <f t="shared" si="70"/>
        <v>5.0000000000000044E-4</v>
      </c>
      <c r="AK339">
        <f t="shared" si="71"/>
        <v>6.9999999999999923E-4</v>
      </c>
      <c r="AL339">
        <f t="shared" si="72"/>
        <v>1.1000000000000003E-3</v>
      </c>
      <c r="AM339">
        <f t="shared" si="73"/>
        <v>1.1000000000000003E-3</v>
      </c>
      <c r="AN339">
        <f t="shared" si="74"/>
        <v>1.0999999999999985E-3</v>
      </c>
      <c r="AO339">
        <f t="shared" si="75"/>
        <v>1.0999999999999968E-3</v>
      </c>
      <c r="AP339">
        <f t="shared" si="76"/>
        <v>1.0999999999999968E-3</v>
      </c>
    </row>
    <row r="340" spans="17:42" x14ac:dyDescent="0.25">
      <c r="Q340" s="1">
        <v>44561</v>
      </c>
      <c r="R340">
        <v>5.9999999999999995E-4</v>
      </c>
      <c r="S340">
        <v>5.0000000000000001E-4</v>
      </c>
      <c r="T340">
        <v>5.9999999999999995E-4</v>
      </c>
      <c r="U340">
        <v>1.9E-3</v>
      </c>
      <c r="V340">
        <v>3.9000000000000003E-3</v>
      </c>
      <c r="W340">
        <v>7.3000000000000001E-3</v>
      </c>
      <c r="X340">
        <v>9.7000000000000003E-3</v>
      </c>
      <c r="Y340">
        <v>1.26E-2</v>
      </c>
      <c r="Z340">
        <v>1.44E-2</v>
      </c>
      <c r="AA340">
        <v>1.52E-2</v>
      </c>
      <c r="AB340">
        <v>1.9400000000000001E-2</v>
      </c>
      <c r="AC340">
        <v>1.9E-2</v>
      </c>
      <c r="AE340">
        <f t="shared" si="65"/>
        <v>0</v>
      </c>
      <c r="AF340">
        <f t="shared" si="66"/>
        <v>-9.9999999999999937E-5</v>
      </c>
      <c r="AG340">
        <f t="shared" si="67"/>
        <v>9.9999999999999937E-5</v>
      </c>
      <c r="AH340">
        <f t="shared" si="68"/>
        <v>0</v>
      </c>
      <c r="AI340">
        <f t="shared" si="69"/>
        <v>1.0000000000000026E-4</v>
      </c>
      <c r="AJ340">
        <f t="shared" si="70"/>
        <v>0</v>
      </c>
      <c r="AK340">
        <f t="shared" si="71"/>
        <v>-9.9999999999999395E-5</v>
      </c>
      <c r="AL340">
        <f t="shared" si="72"/>
        <v>-9.9999999999999395E-5</v>
      </c>
      <c r="AM340">
        <f t="shared" si="73"/>
        <v>0</v>
      </c>
      <c r="AN340">
        <f t="shared" si="74"/>
        <v>0</v>
      </c>
      <c r="AO340">
        <f t="shared" si="75"/>
        <v>-2.9999999999999818E-4</v>
      </c>
      <c r="AP340">
        <f t="shared" si="76"/>
        <v>-2.9999999999999818E-4</v>
      </c>
    </row>
    <row r="341" spans="17:42" x14ac:dyDescent="0.25">
      <c r="Q341" s="1">
        <v>44560</v>
      </c>
      <c r="R341">
        <v>5.9999999999999995E-4</v>
      </c>
      <c r="S341">
        <v>5.9999999999999995E-4</v>
      </c>
      <c r="T341">
        <v>5.0000000000000001E-4</v>
      </c>
      <c r="U341">
        <v>1.9E-3</v>
      </c>
      <c r="V341">
        <v>3.8E-3</v>
      </c>
      <c r="W341">
        <v>7.3000000000000001E-3</v>
      </c>
      <c r="X341">
        <v>9.7999999999999997E-3</v>
      </c>
      <c r="Y341">
        <v>1.2699999999999999E-2</v>
      </c>
      <c r="Z341">
        <v>1.44E-2</v>
      </c>
      <c r="AA341">
        <v>1.52E-2</v>
      </c>
      <c r="AB341">
        <v>1.9699999999999999E-2</v>
      </c>
      <c r="AC341">
        <v>1.9299999999999998E-2</v>
      </c>
      <c r="AE341">
        <f t="shared" si="65"/>
        <v>4.999999999999999E-4</v>
      </c>
      <c r="AF341">
        <f t="shared" si="66"/>
        <v>3.9999999999999996E-4</v>
      </c>
      <c r="AG341">
        <f t="shared" si="67"/>
        <v>0</v>
      </c>
      <c r="AH341">
        <f t="shared" si="68"/>
        <v>0</v>
      </c>
      <c r="AI341">
        <f t="shared" si="69"/>
        <v>0</v>
      </c>
      <c r="AJ341">
        <f t="shared" si="70"/>
        <v>-1.9999999999999966E-4</v>
      </c>
      <c r="AK341">
        <f t="shared" si="71"/>
        <v>-9.9999999999999395E-5</v>
      </c>
      <c r="AL341">
        <f t="shared" si="72"/>
        <v>-2.0000000000000052E-4</v>
      </c>
      <c r="AM341">
        <f t="shared" si="73"/>
        <v>-2.9999999999999992E-4</v>
      </c>
      <c r="AN341">
        <f t="shared" si="74"/>
        <v>-2.9999999999999992E-4</v>
      </c>
      <c r="AO341">
        <f t="shared" si="75"/>
        <v>-3.0000000000000165E-4</v>
      </c>
      <c r="AP341">
        <f t="shared" si="76"/>
        <v>-3.0000000000000165E-4</v>
      </c>
    </row>
    <row r="342" spans="17:42" x14ac:dyDescent="0.25">
      <c r="Q342" s="1">
        <v>44559</v>
      </c>
      <c r="R342">
        <v>1E-4</v>
      </c>
      <c r="S342">
        <v>2.0000000000000001E-4</v>
      </c>
      <c r="T342">
        <v>5.0000000000000001E-4</v>
      </c>
      <c r="U342">
        <v>1.9E-3</v>
      </c>
      <c r="V342">
        <v>3.8E-3</v>
      </c>
      <c r="W342">
        <v>7.4999999999999997E-3</v>
      </c>
      <c r="X342">
        <v>9.8999999999999991E-3</v>
      </c>
      <c r="Y342">
        <v>1.29E-2</v>
      </c>
      <c r="Z342">
        <v>1.47E-2</v>
      </c>
      <c r="AA342">
        <v>1.55E-2</v>
      </c>
      <c r="AB342">
        <v>0.02</v>
      </c>
      <c r="AC342">
        <v>1.9599999999999999E-2</v>
      </c>
      <c r="AE342">
        <f t="shared" si="65"/>
        <v>-1.9999999999999998E-4</v>
      </c>
      <c r="AF342">
        <f t="shared" si="66"/>
        <v>-2.0000000000000001E-4</v>
      </c>
      <c r="AG342">
        <f t="shared" si="67"/>
        <v>-9.9999999999999937E-5</v>
      </c>
      <c r="AH342">
        <f t="shared" si="68"/>
        <v>-1.0000000000000005E-4</v>
      </c>
      <c r="AI342">
        <f t="shared" si="69"/>
        <v>-1.0000000000000026E-4</v>
      </c>
      <c r="AJ342">
        <f t="shared" si="70"/>
        <v>9.9999999999999395E-5</v>
      </c>
      <c r="AK342">
        <f t="shared" si="71"/>
        <v>0</v>
      </c>
      <c r="AL342">
        <f t="shared" si="72"/>
        <v>2.0000000000000052E-4</v>
      </c>
      <c r="AM342">
        <f t="shared" si="73"/>
        <v>5.9999999999999984E-4</v>
      </c>
      <c r="AN342">
        <f t="shared" si="74"/>
        <v>5.9999999999999984E-4</v>
      </c>
      <c r="AO342">
        <f t="shared" si="75"/>
        <v>5.9999999999999984E-4</v>
      </c>
      <c r="AP342">
        <f t="shared" si="76"/>
        <v>5.9999999999999984E-4</v>
      </c>
    </row>
    <row r="343" spans="17:42" x14ac:dyDescent="0.25">
      <c r="Q343" s="1">
        <v>44558</v>
      </c>
      <c r="R343">
        <v>2.9999999999999997E-4</v>
      </c>
      <c r="S343">
        <v>4.0000000000000002E-4</v>
      </c>
      <c r="T343">
        <v>5.9999999999999995E-4</v>
      </c>
      <c r="U343">
        <v>2E-3</v>
      </c>
      <c r="V343">
        <v>3.9000000000000003E-3</v>
      </c>
      <c r="W343">
        <v>7.4000000000000003E-3</v>
      </c>
      <c r="X343">
        <v>9.8999999999999991E-3</v>
      </c>
      <c r="Y343">
        <v>1.2699999999999999E-2</v>
      </c>
      <c r="Z343">
        <v>1.41E-2</v>
      </c>
      <c r="AA343">
        <v>1.49E-2</v>
      </c>
      <c r="AB343">
        <v>1.9400000000000001E-2</v>
      </c>
      <c r="AC343">
        <v>1.9E-2</v>
      </c>
      <c r="AE343">
        <f t="shared" si="65"/>
        <v>-1.0000000000000005E-4</v>
      </c>
      <c r="AF343">
        <f t="shared" si="66"/>
        <v>-9.9999999999999991E-5</v>
      </c>
      <c r="AG343">
        <f t="shared" si="67"/>
        <v>0</v>
      </c>
      <c r="AH343">
        <f t="shared" si="68"/>
        <v>-9.9999999999999829E-5</v>
      </c>
      <c r="AI343">
        <f t="shared" si="69"/>
        <v>6.0000000000000027E-4</v>
      </c>
      <c r="AJ343">
        <f t="shared" si="70"/>
        <v>-1.9999999999999966E-4</v>
      </c>
      <c r="AK343">
        <f t="shared" si="71"/>
        <v>9.9999999999999395E-5</v>
      </c>
      <c r="AL343">
        <f t="shared" si="72"/>
        <v>9.9999999999999395E-5</v>
      </c>
      <c r="AM343">
        <f t="shared" si="73"/>
        <v>0</v>
      </c>
      <c r="AN343">
        <f t="shared" si="74"/>
        <v>9.9999999999999395E-5</v>
      </c>
      <c r="AO343">
        <f t="shared" si="75"/>
        <v>2.0000000000000226E-4</v>
      </c>
      <c r="AP343">
        <f t="shared" si="76"/>
        <v>2.0000000000000226E-4</v>
      </c>
    </row>
    <row r="344" spans="17:42" x14ac:dyDescent="0.25">
      <c r="Q344" s="1">
        <v>44557</v>
      </c>
      <c r="R344">
        <v>4.0000000000000002E-4</v>
      </c>
      <c r="S344">
        <v>5.0000000000000001E-4</v>
      </c>
      <c r="T344">
        <v>5.9999999999999995E-4</v>
      </c>
      <c r="U344">
        <v>2.0999999999999999E-3</v>
      </c>
      <c r="V344">
        <v>3.3E-3</v>
      </c>
      <c r="W344">
        <v>7.6E-3</v>
      </c>
      <c r="X344">
        <v>9.7999999999999997E-3</v>
      </c>
      <c r="Y344">
        <v>1.26E-2</v>
      </c>
      <c r="Z344">
        <v>1.41E-2</v>
      </c>
      <c r="AA344">
        <v>1.4800000000000001E-2</v>
      </c>
      <c r="AB344">
        <v>1.9199999999999998E-2</v>
      </c>
      <c r="AC344">
        <v>1.8799999999999997E-2</v>
      </c>
      <c r="AE344">
        <f t="shared" si="65"/>
        <v>0</v>
      </c>
      <c r="AF344">
        <f t="shared" si="66"/>
        <v>0</v>
      </c>
      <c r="AG344">
        <f t="shared" si="67"/>
        <v>-1.0000000000000015E-4</v>
      </c>
      <c r="AH344">
        <f t="shared" si="68"/>
        <v>2.9999999999999992E-4</v>
      </c>
      <c r="AI344">
        <f t="shared" si="69"/>
        <v>2.0000000000000009E-4</v>
      </c>
      <c r="AJ344">
        <f t="shared" si="70"/>
        <v>5.0000000000000044E-4</v>
      </c>
      <c r="AK344">
        <f t="shared" si="71"/>
        <v>9.9999999999999395E-5</v>
      </c>
      <c r="AL344">
        <f t="shared" si="72"/>
        <v>9.9999999999999395E-5</v>
      </c>
      <c r="AM344">
        <f t="shared" si="73"/>
        <v>-9.9999999999999395E-5</v>
      </c>
      <c r="AN344">
        <f t="shared" si="74"/>
        <v>-1.9999999999999879E-4</v>
      </c>
      <c r="AO344">
        <f t="shared" si="75"/>
        <v>-2.0000000000000226E-4</v>
      </c>
      <c r="AP344">
        <f t="shared" si="76"/>
        <v>-3.0000000000000165E-4</v>
      </c>
    </row>
    <row r="345" spans="17:42" x14ac:dyDescent="0.25">
      <c r="Q345" s="1">
        <v>44553</v>
      </c>
      <c r="R345">
        <v>4.0000000000000002E-4</v>
      </c>
      <c r="S345">
        <v>5.0000000000000001E-4</v>
      </c>
      <c r="T345">
        <v>7.000000000000001E-4</v>
      </c>
      <c r="U345">
        <v>1.8E-3</v>
      </c>
      <c r="V345">
        <v>3.0999999999999999E-3</v>
      </c>
      <c r="W345">
        <v>7.0999999999999995E-3</v>
      </c>
      <c r="X345">
        <v>9.7000000000000003E-3</v>
      </c>
      <c r="Y345">
        <v>1.2500000000000001E-2</v>
      </c>
      <c r="Z345">
        <v>1.4199999999999999E-2</v>
      </c>
      <c r="AA345">
        <v>1.4999999999999999E-2</v>
      </c>
      <c r="AB345">
        <v>1.9400000000000001E-2</v>
      </c>
      <c r="AC345">
        <v>1.9099999999999999E-2</v>
      </c>
      <c r="AE345">
        <f t="shared" si="65"/>
        <v>1.0000000000000005E-4</v>
      </c>
      <c r="AF345">
        <f t="shared" si="66"/>
        <v>9.9999999999999991E-5</v>
      </c>
      <c r="AG345">
        <f t="shared" si="67"/>
        <v>-9.9999999999999937E-5</v>
      </c>
      <c r="AH345">
        <f t="shared" si="68"/>
        <v>1.9999999999999987E-4</v>
      </c>
      <c r="AI345">
        <f t="shared" si="69"/>
        <v>2.9999999999999949E-4</v>
      </c>
      <c r="AJ345">
        <f t="shared" si="70"/>
        <v>2.9999999999999905E-4</v>
      </c>
      <c r="AK345">
        <f t="shared" si="71"/>
        <v>1.0000000000000113E-4</v>
      </c>
      <c r="AL345">
        <f t="shared" si="72"/>
        <v>2.0000000000000052E-4</v>
      </c>
      <c r="AM345">
        <f t="shared" si="73"/>
        <v>2.9999999999999992E-4</v>
      </c>
      <c r="AN345">
        <f t="shared" si="74"/>
        <v>3.9999999999999931E-4</v>
      </c>
      <c r="AO345">
        <f t="shared" si="75"/>
        <v>5.0000000000000044E-4</v>
      </c>
      <c r="AP345">
        <f t="shared" si="76"/>
        <v>4.9999999999999697E-4</v>
      </c>
    </row>
    <row r="346" spans="17:42" x14ac:dyDescent="0.25">
      <c r="Q346" s="1">
        <v>44552</v>
      </c>
      <c r="R346">
        <v>2.9999999999999997E-4</v>
      </c>
      <c r="S346">
        <v>4.0000000000000002E-4</v>
      </c>
      <c r="T346">
        <v>8.0000000000000004E-4</v>
      </c>
      <c r="U346">
        <v>1.6000000000000001E-3</v>
      </c>
      <c r="V346">
        <v>2.8000000000000004E-3</v>
      </c>
      <c r="W346">
        <v>6.8000000000000005E-3</v>
      </c>
      <c r="X346">
        <v>9.5999999999999992E-3</v>
      </c>
      <c r="Y346">
        <v>1.23E-2</v>
      </c>
      <c r="Z346">
        <v>1.3899999999999999E-2</v>
      </c>
      <c r="AA346">
        <v>1.46E-2</v>
      </c>
      <c r="AB346">
        <v>1.89E-2</v>
      </c>
      <c r="AC346">
        <v>1.8600000000000002E-2</v>
      </c>
      <c r="AE346">
        <f t="shared" si="65"/>
        <v>0</v>
      </c>
      <c r="AF346">
        <f t="shared" si="66"/>
        <v>0</v>
      </c>
      <c r="AG346">
        <f t="shared" si="67"/>
        <v>9.9999999999999937E-5</v>
      </c>
      <c r="AH346">
        <f t="shared" si="68"/>
        <v>0</v>
      </c>
      <c r="AI346">
        <f t="shared" si="69"/>
        <v>-9.9999999999999395E-5</v>
      </c>
      <c r="AJ346">
        <f t="shared" si="70"/>
        <v>-1.9999999999999879E-4</v>
      </c>
      <c r="AK346">
        <f t="shared" si="71"/>
        <v>0</v>
      </c>
      <c r="AL346">
        <f t="shared" si="72"/>
        <v>-9.9999999999999395E-5</v>
      </c>
      <c r="AM346">
        <f t="shared" si="73"/>
        <v>-9.9999999999999395E-5</v>
      </c>
      <c r="AN346">
        <f t="shared" si="74"/>
        <v>-2.0000000000000052E-4</v>
      </c>
      <c r="AO346">
        <f t="shared" si="75"/>
        <v>-2.9999999999999818E-4</v>
      </c>
      <c r="AP346">
        <f t="shared" si="76"/>
        <v>-2.9999999999999818E-4</v>
      </c>
    </row>
    <row r="347" spans="17:42" x14ac:dyDescent="0.25">
      <c r="Q347" s="1">
        <v>44551</v>
      </c>
      <c r="R347">
        <v>2.9999999999999997E-4</v>
      </c>
      <c r="S347">
        <v>4.0000000000000002E-4</v>
      </c>
      <c r="T347">
        <v>7.000000000000001E-4</v>
      </c>
      <c r="U347">
        <v>1.6000000000000001E-3</v>
      </c>
      <c r="V347">
        <v>2.8999999999999998E-3</v>
      </c>
      <c r="W347">
        <v>6.9999999999999993E-3</v>
      </c>
      <c r="X347">
        <v>9.5999999999999992E-3</v>
      </c>
      <c r="Y347">
        <v>1.24E-2</v>
      </c>
      <c r="Z347">
        <v>1.3999999999999999E-2</v>
      </c>
      <c r="AA347">
        <v>1.4800000000000001E-2</v>
      </c>
      <c r="AB347">
        <v>1.9199999999999998E-2</v>
      </c>
      <c r="AC347">
        <v>1.89E-2</v>
      </c>
      <c r="AE347">
        <f t="shared" si="65"/>
        <v>0</v>
      </c>
      <c r="AF347">
        <f t="shared" si="66"/>
        <v>-9.9999999999999991E-5</v>
      </c>
      <c r="AG347">
        <f t="shared" si="67"/>
        <v>0</v>
      </c>
      <c r="AH347">
        <f t="shared" si="68"/>
        <v>0</v>
      </c>
      <c r="AI347">
        <f t="shared" si="69"/>
        <v>1.9999999999999966E-4</v>
      </c>
      <c r="AJ347">
        <f t="shared" si="70"/>
        <v>4.9999999999999871E-4</v>
      </c>
      <c r="AK347">
        <f t="shared" si="71"/>
        <v>4.9999999999999871E-4</v>
      </c>
      <c r="AL347">
        <f t="shared" si="72"/>
        <v>7.0000000000000097E-4</v>
      </c>
      <c r="AM347">
        <f t="shared" si="73"/>
        <v>5.999999999999981E-4</v>
      </c>
      <c r="AN347">
        <f t="shared" si="74"/>
        <v>5.0000000000000044E-4</v>
      </c>
      <c r="AO347">
        <f t="shared" si="75"/>
        <v>1.9999999999999879E-4</v>
      </c>
      <c r="AP347">
        <f t="shared" si="76"/>
        <v>3.9999999999999758E-4</v>
      </c>
    </row>
    <row r="348" spans="17:42" x14ac:dyDescent="0.25">
      <c r="Q348" s="1">
        <v>44550</v>
      </c>
      <c r="R348">
        <v>2.9999999999999997E-4</v>
      </c>
      <c r="S348">
        <v>5.0000000000000001E-4</v>
      </c>
      <c r="T348">
        <v>7.000000000000001E-4</v>
      </c>
      <c r="U348">
        <v>1.6000000000000001E-3</v>
      </c>
      <c r="V348">
        <v>2.7000000000000001E-3</v>
      </c>
      <c r="W348">
        <v>6.5000000000000006E-3</v>
      </c>
      <c r="X348">
        <v>9.1000000000000004E-3</v>
      </c>
      <c r="Y348">
        <v>1.1699999999999999E-2</v>
      </c>
      <c r="Z348">
        <v>1.34E-2</v>
      </c>
      <c r="AA348">
        <v>1.43E-2</v>
      </c>
      <c r="AB348">
        <v>1.9E-2</v>
      </c>
      <c r="AC348">
        <v>1.8500000000000003E-2</v>
      </c>
      <c r="AE348">
        <f t="shared" si="65"/>
        <v>0</v>
      </c>
      <c r="AF348">
        <f t="shared" si="66"/>
        <v>9.9999999999999991E-5</v>
      </c>
      <c r="AG348">
        <f t="shared" si="67"/>
        <v>2.0000000000000009E-4</v>
      </c>
      <c r="AH348">
        <f t="shared" si="68"/>
        <v>3.0000000000000014E-4</v>
      </c>
      <c r="AI348">
        <f t="shared" si="69"/>
        <v>0</v>
      </c>
      <c r="AJ348">
        <f t="shared" si="70"/>
        <v>-9.9999999999999395E-5</v>
      </c>
      <c r="AK348">
        <f t="shared" si="71"/>
        <v>-2.0000000000000052E-4</v>
      </c>
      <c r="AL348">
        <f t="shared" si="72"/>
        <v>-1.0000000000000113E-4</v>
      </c>
      <c r="AM348">
        <f t="shared" si="73"/>
        <v>0</v>
      </c>
      <c r="AN348">
        <f t="shared" si="74"/>
        <v>2.0000000000000052E-4</v>
      </c>
      <c r="AO348">
        <f t="shared" si="75"/>
        <v>2.9999999999999818E-4</v>
      </c>
      <c r="AP348">
        <f t="shared" si="76"/>
        <v>3.0000000000000165E-4</v>
      </c>
    </row>
    <row r="349" spans="17:42" x14ac:dyDescent="0.25">
      <c r="Q349" s="1">
        <v>44547</v>
      </c>
      <c r="R349">
        <v>2.9999999999999997E-4</v>
      </c>
      <c r="S349">
        <v>4.0000000000000002E-4</v>
      </c>
      <c r="T349">
        <v>5.0000000000000001E-4</v>
      </c>
      <c r="U349">
        <v>1.2999999999999999E-3</v>
      </c>
      <c r="V349">
        <v>2.7000000000000001E-3</v>
      </c>
      <c r="W349">
        <v>6.6E-3</v>
      </c>
      <c r="X349">
        <v>9.300000000000001E-3</v>
      </c>
      <c r="Y349">
        <v>1.18E-2</v>
      </c>
      <c r="Z349">
        <v>1.34E-2</v>
      </c>
      <c r="AA349">
        <v>1.41E-2</v>
      </c>
      <c r="AB349">
        <v>1.8700000000000001E-2</v>
      </c>
      <c r="AC349">
        <v>1.8200000000000001E-2</v>
      </c>
      <c r="AE349">
        <f t="shared" si="65"/>
        <v>-1.0000000000000005E-4</v>
      </c>
      <c r="AF349">
        <f t="shared" si="66"/>
        <v>-1.9999999999999993E-4</v>
      </c>
      <c r="AG349">
        <f t="shared" si="67"/>
        <v>0</v>
      </c>
      <c r="AH349">
        <f t="shared" si="68"/>
        <v>0</v>
      </c>
      <c r="AI349">
        <f t="shared" si="69"/>
        <v>1.0000000000000026E-4</v>
      </c>
      <c r="AJ349">
        <f t="shared" si="70"/>
        <v>1.9999999999999966E-4</v>
      </c>
      <c r="AK349">
        <f t="shared" si="71"/>
        <v>1.0000000000000113E-4</v>
      </c>
      <c r="AL349">
        <f t="shared" si="72"/>
        <v>-9.9999999999999395E-5</v>
      </c>
      <c r="AM349">
        <f t="shared" si="73"/>
        <v>-2.0000000000000052E-4</v>
      </c>
      <c r="AN349">
        <f t="shared" si="74"/>
        <v>-2.9999999999999992E-4</v>
      </c>
      <c r="AO349">
        <f t="shared" si="75"/>
        <v>-3.9999999999999758E-4</v>
      </c>
      <c r="AP349">
        <f t="shared" si="76"/>
        <v>-5.0000000000000044E-4</v>
      </c>
    </row>
    <row r="350" spans="17:42" x14ac:dyDescent="0.25">
      <c r="Q350" s="1">
        <v>44546</v>
      </c>
      <c r="R350">
        <v>4.0000000000000002E-4</v>
      </c>
      <c r="S350">
        <v>5.9999999999999995E-4</v>
      </c>
      <c r="T350">
        <v>5.0000000000000001E-4</v>
      </c>
      <c r="U350">
        <v>1.2999999999999999E-3</v>
      </c>
      <c r="V350">
        <v>2.5999999999999999E-3</v>
      </c>
      <c r="W350">
        <v>6.4000000000000003E-3</v>
      </c>
      <c r="X350">
        <v>9.1999999999999998E-3</v>
      </c>
      <c r="Y350">
        <v>1.1899999999999999E-2</v>
      </c>
      <c r="Z350">
        <v>1.3600000000000001E-2</v>
      </c>
      <c r="AA350">
        <v>1.44E-2</v>
      </c>
      <c r="AB350">
        <v>1.9099999999999999E-2</v>
      </c>
      <c r="AC350">
        <v>1.8700000000000001E-2</v>
      </c>
      <c r="AE350">
        <f t="shared" si="65"/>
        <v>1.0000000000000005E-4</v>
      </c>
      <c r="AF350">
        <f t="shared" si="66"/>
        <v>9.9999999999999937E-5</v>
      </c>
      <c r="AG350">
        <f t="shared" si="67"/>
        <v>0</v>
      </c>
      <c r="AH350">
        <f t="shared" si="68"/>
        <v>0</v>
      </c>
      <c r="AI350">
        <f t="shared" si="69"/>
        <v>-2.9999999999999992E-4</v>
      </c>
      <c r="AJ350">
        <f t="shared" si="70"/>
        <v>-4.9999999999999958E-4</v>
      </c>
      <c r="AK350">
        <f t="shared" si="71"/>
        <v>-8.0000000000000036E-4</v>
      </c>
      <c r="AL350">
        <f t="shared" si="72"/>
        <v>-7.0000000000000097E-4</v>
      </c>
      <c r="AM350">
        <f t="shared" si="73"/>
        <v>-5.999999999999981E-4</v>
      </c>
      <c r="AN350">
        <f t="shared" si="74"/>
        <v>-2.9999999999999992E-4</v>
      </c>
      <c r="AO350">
        <f t="shared" si="75"/>
        <v>0</v>
      </c>
      <c r="AP350">
        <f t="shared" si="76"/>
        <v>9.9999999999999395E-5</v>
      </c>
    </row>
    <row r="351" spans="17:42" x14ac:dyDescent="0.25">
      <c r="Q351" s="1">
        <v>44545</v>
      </c>
      <c r="R351">
        <v>2.9999999999999997E-4</v>
      </c>
      <c r="S351">
        <v>5.0000000000000001E-4</v>
      </c>
      <c r="T351">
        <v>5.0000000000000001E-4</v>
      </c>
      <c r="U351">
        <v>1.2999999999999999E-3</v>
      </c>
      <c r="V351">
        <v>2.8999999999999998E-3</v>
      </c>
      <c r="W351">
        <v>6.8999999999999999E-3</v>
      </c>
      <c r="X351">
        <v>0.01</v>
      </c>
      <c r="Y351">
        <v>1.26E-2</v>
      </c>
      <c r="Z351">
        <v>1.4199999999999999E-2</v>
      </c>
      <c r="AA351">
        <v>1.47E-2</v>
      </c>
      <c r="AB351">
        <v>1.9099999999999999E-2</v>
      </c>
      <c r="AC351">
        <v>1.8600000000000002E-2</v>
      </c>
      <c r="AE351">
        <f t="shared" si="65"/>
        <v>9.9999999999999964E-5</v>
      </c>
      <c r="AF351">
        <f t="shared" si="66"/>
        <v>0</v>
      </c>
      <c r="AG351">
        <f t="shared" si="67"/>
        <v>0</v>
      </c>
      <c r="AH351">
        <f t="shared" si="68"/>
        <v>0</v>
      </c>
      <c r="AI351">
        <f t="shared" si="69"/>
        <v>2.9999999999999992E-4</v>
      </c>
      <c r="AJ351">
        <f t="shared" si="70"/>
        <v>1.9999999999999966E-4</v>
      </c>
      <c r="AK351">
        <f t="shared" si="71"/>
        <v>2.0000000000000052E-4</v>
      </c>
      <c r="AL351">
        <f t="shared" si="72"/>
        <v>2.9999999999999992E-4</v>
      </c>
      <c r="AM351">
        <f t="shared" si="73"/>
        <v>2.9999999999999992E-4</v>
      </c>
      <c r="AN351">
        <f t="shared" si="74"/>
        <v>2.9999999999999992E-4</v>
      </c>
      <c r="AO351">
        <f t="shared" si="75"/>
        <v>3.9999999999999758E-4</v>
      </c>
      <c r="AP351">
        <f t="shared" si="76"/>
        <v>4.0000000000000105E-4</v>
      </c>
    </row>
    <row r="352" spans="17:42" x14ac:dyDescent="0.25">
      <c r="Q352" s="1">
        <v>44544</v>
      </c>
      <c r="R352">
        <v>2.0000000000000001E-4</v>
      </c>
      <c r="S352">
        <v>5.0000000000000001E-4</v>
      </c>
      <c r="T352">
        <v>5.0000000000000001E-4</v>
      </c>
      <c r="U352">
        <v>1.2999999999999999E-3</v>
      </c>
      <c r="V352">
        <v>2.5999999999999999E-3</v>
      </c>
      <c r="W352">
        <v>6.7000000000000002E-3</v>
      </c>
      <c r="X352">
        <v>9.7999999999999997E-3</v>
      </c>
      <c r="Y352">
        <v>1.23E-2</v>
      </c>
      <c r="Z352">
        <v>1.3899999999999999E-2</v>
      </c>
      <c r="AA352">
        <v>1.44E-2</v>
      </c>
      <c r="AB352">
        <v>1.8700000000000001E-2</v>
      </c>
      <c r="AC352">
        <v>1.8200000000000001E-2</v>
      </c>
      <c r="AE352">
        <f t="shared" si="65"/>
        <v>1E-4</v>
      </c>
      <c r="AF352">
        <f t="shared" si="66"/>
        <v>0</v>
      </c>
      <c r="AG352">
        <f t="shared" si="67"/>
        <v>0</v>
      </c>
      <c r="AH352">
        <f t="shared" si="68"/>
        <v>1.9999999999999987E-4</v>
      </c>
      <c r="AI352">
        <f t="shared" si="69"/>
        <v>-1.0000000000000026E-4</v>
      </c>
      <c r="AJ352">
        <f t="shared" si="70"/>
        <v>1.0000000000000026E-4</v>
      </c>
      <c r="AK352">
        <f t="shared" si="71"/>
        <v>2.9999999999999992E-4</v>
      </c>
      <c r="AL352">
        <f t="shared" si="72"/>
        <v>2.0000000000000052E-4</v>
      </c>
      <c r="AM352">
        <f t="shared" si="73"/>
        <v>1.9999999999999879E-4</v>
      </c>
      <c r="AN352">
        <f t="shared" si="74"/>
        <v>2.0000000000000052E-4</v>
      </c>
      <c r="AO352">
        <f t="shared" si="75"/>
        <v>9.9999999999999395E-5</v>
      </c>
      <c r="AP352">
        <f t="shared" si="76"/>
        <v>9.9999999999999395E-5</v>
      </c>
    </row>
    <row r="353" spans="17:42" x14ac:dyDescent="0.25">
      <c r="Q353" s="1">
        <v>44543</v>
      </c>
      <c r="R353">
        <v>1E-4</v>
      </c>
      <c r="S353">
        <v>5.0000000000000001E-4</v>
      </c>
      <c r="T353">
        <v>5.0000000000000001E-4</v>
      </c>
      <c r="U353">
        <v>1.1000000000000001E-3</v>
      </c>
      <c r="V353">
        <v>2.7000000000000001E-3</v>
      </c>
      <c r="W353">
        <v>6.6E-3</v>
      </c>
      <c r="X353">
        <v>9.4999999999999998E-3</v>
      </c>
      <c r="Y353">
        <v>1.21E-2</v>
      </c>
      <c r="Z353">
        <v>1.37E-2</v>
      </c>
      <c r="AA353">
        <v>1.4199999999999999E-2</v>
      </c>
      <c r="AB353">
        <v>1.8600000000000002E-2</v>
      </c>
      <c r="AC353">
        <v>1.8100000000000002E-2</v>
      </c>
      <c r="AE353">
        <f t="shared" si="65"/>
        <v>-1.9999999999999998E-4</v>
      </c>
      <c r="AF353">
        <f t="shared" si="66"/>
        <v>-9.9999999999999937E-5</v>
      </c>
      <c r="AG353">
        <f t="shared" si="67"/>
        <v>-9.9999999999999937E-5</v>
      </c>
      <c r="AH353">
        <f t="shared" si="68"/>
        <v>-1.9999999999999987E-4</v>
      </c>
      <c r="AI353">
        <f t="shared" si="69"/>
        <v>0</v>
      </c>
      <c r="AJ353">
        <f t="shared" si="70"/>
        <v>-1.0000000000000026E-4</v>
      </c>
      <c r="AK353">
        <f t="shared" si="71"/>
        <v>-2.9999999999999992E-4</v>
      </c>
      <c r="AL353">
        <f t="shared" si="72"/>
        <v>-4.0000000000000105E-4</v>
      </c>
      <c r="AM353">
        <f t="shared" si="73"/>
        <v>-4.9999999999999871E-4</v>
      </c>
      <c r="AN353">
        <f t="shared" si="74"/>
        <v>-6.0000000000000157E-4</v>
      </c>
      <c r="AO353">
        <f t="shared" si="75"/>
        <v>-4.9999999999999697E-4</v>
      </c>
      <c r="AP353">
        <f t="shared" si="76"/>
        <v>-6.9999999999999576E-4</v>
      </c>
    </row>
    <row r="354" spans="17:42" x14ac:dyDescent="0.25">
      <c r="Q354" s="1">
        <v>44540</v>
      </c>
      <c r="R354">
        <v>2.9999999999999997E-4</v>
      </c>
      <c r="S354">
        <v>5.9999999999999995E-4</v>
      </c>
      <c r="T354">
        <v>5.9999999999999995E-4</v>
      </c>
      <c r="U354">
        <v>1.2999999999999999E-3</v>
      </c>
      <c r="V354">
        <v>2.7000000000000001E-3</v>
      </c>
      <c r="W354">
        <v>6.7000000000000002E-3</v>
      </c>
      <c r="X354">
        <v>9.7999999999999997E-3</v>
      </c>
      <c r="Y354">
        <v>1.2500000000000001E-2</v>
      </c>
      <c r="Z354">
        <v>1.4199999999999999E-2</v>
      </c>
      <c r="AA354">
        <v>1.4800000000000001E-2</v>
      </c>
      <c r="AB354">
        <v>1.9099999999999999E-2</v>
      </c>
      <c r="AC354">
        <v>1.8799999999999997E-2</v>
      </c>
      <c r="AE354">
        <f t="shared" si="65"/>
        <v>0</v>
      </c>
      <c r="AF354">
        <f t="shared" si="66"/>
        <v>0</v>
      </c>
      <c r="AG354">
        <f t="shared" si="67"/>
        <v>0</v>
      </c>
      <c r="AH354">
        <f t="shared" si="68"/>
        <v>1.0000000000000005E-4</v>
      </c>
      <c r="AI354">
        <f t="shared" si="69"/>
        <v>-1.0000000000000026E-4</v>
      </c>
      <c r="AJ354">
        <f t="shared" si="70"/>
        <v>-2.9999999999999905E-4</v>
      </c>
      <c r="AK354">
        <f t="shared" si="71"/>
        <v>-9.9999999999999395E-5</v>
      </c>
      <c r="AL354">
        <f t="shared" si="72"/>
        <v>-9.9999999999999395E-5</v>
      </c>
      <c r="AM354">
        <f t="shared" si="73"/>
        <v>0</v>
      </c>
      <c r="AN354">
        <f t="shared" si="74"/>
        <v>-9.9999999999999395E-5</v>
      </c>
      <c r="AO354">
        <f t="shared" si="75"/>
        <v>0</v>
      </c>
      <c r="AP354">
        <f t="shared" si="76"/>
        <v>9.9999999999995925E-5</v>
      </c>
    </row>
    <row r="355" spans="17:42" x14ac:dyDescent="0.25">
      <c r="Q355" s="1">
        <v>44539</v>
      </c>
      <c r="R355">
        <v>2.9999999999999997E-4</v>
      </c>
      <c r="S355">
        <v>5.9999999999999995E-4</v>
      </c>
      <c r="T355">
        <v>5.9999999999999995E-4</v>
      </c>
      <c r="U355">
        <v>1.1999999999999999E-3</v>
      </c>
      <c r="V355">
        <v>2.8000000000000004E-3</v>
      </c>
      <c r="W355">
        <v>6.9999999999999993E-3</v>
      </c>
      <c r="X355">
        <v>9.8999999999999991E-3</v>
      </c>
      <c r="Y355">
        <v>1.26E-2</v>
      </c>
      <c r="Z355">
        <v>1.4199999999999999E-2</v>
      </c>
      <c r="AA355">
        <v>1.49E-2</v>
      </c>
      <c r="AB355">
        <v>1.9099999999999999E-2</v>
      </c>
      <c r="AC355">
        <v>1.8700000000000001E-2</v>
      </c>
      <c r="AE355">
        <f t="shared" si="65"/>
        <v>-1.0000000000000005E-4</v>
      </c>
      <c r="AF355">
        <f t="shared" si="66"/>
        <v>9.9999999999999937E-5</v>
      </c>
      <c r="AG355">
        <f t="shared" si="67"/>
        <v>-1.0000000000000015E-4</v>
      </c>
      <c r="AH355">
        <f t="shared" si="68"/>
        <v>-1.0000000000000005E-4</v>
      </c>
      <c r="AI355">
        <f t="shared" si="69"/>
        <v>-9.9999999999999395E-5</v>
      </c>
      <c r="AJ355">
        <f t="shared" si="70"/>
        <v>1.9999999999999879E-4</v>
      </c>
      <c r="AK355">
        <f t="shared" si="71"/>
        <v>0</v>
      </c>
      <c r="AL355">
        <f t="shared" si="72"/>
        <v>-9.9999999999999395E-5</v>
      </c>
      <c r="AM355">
        <f t="shared" si="73"/>
        <v>-2.0000000000000052E-4</v>
      </c>
      <c r="AN355">
        <f t="shared" si="74"/>
        <v>-2.9999999999999992E-4</v>
      </c>
      <c r="AO355">
        <f t="shared" si="75"/>
        <v>-1.9999999999999879E-4</v>
      </c>
      <c r="AP355">
        <f t="shared" si="76"/>
        <v>0</v>
      </c>
    </row>
    <row r="356" spans="17:42" x14ac:dyDescent="0.25">
      <c r="Q356" s="1">
        <v>44538</v>
      </c>
      <c r="R356">
        <v>4.0000000000000002E-4</v>
      </c>
      <c r="S356">
        <v>5.0000000000000001E-4</v>
      </c>
      <c r="T356">
        <v>7.000000000000001E-4</v>
      </c>
      <c r="U356">
        <v>1.2999999999999999E-3</v>
      </c>
      <c r="V356">
        <v>2.8999999999999998E-3</v>
      </c>
      <c r="W356">
        <v>6.8000000000000005E-3</v>
      </c>
      <c r="X356">
        <v>9.8999999999999991E-3</v>
      </c>
      <c r="Y356">
        <v>1.2699999999999999E-2</v>
      </c>
      <c r="Z356">
        <v>1.44E-2</v>
      </c>
      <c r="AA356">
        <v>1.52E-2</v>
      </c>
      <c r="AB356">
        <v>1.9299999999999998E-2</v>
      </c>
      <c r="AC356">
        <v>1.8700000000000001E-2</v>
      </c>
      <c r="AE356">
        <f t="shared" si="65"/>
        <v>-9.9999999999999991E-5</v>
      </c>
      <c r="AF356">
        <f t="shared" si="66"/>
        <v>-9.9999999999999937E-5</v>
      </c>
      <c r="AG356">
        <f t="shared" si="67"/>
        <v>1.0000000000000015E-4</v>
      </c>
      <c r="AH356">
        <f t="shared" si="68"/>
        <v>-2.0000000000000009E-4</v>
      </c>
      <c r="AI356">
        <f t="shared" si="69"/>
        <v>-2.0000000000000009E-4</v>
      </c>
      <c r="AJ356">
        <f t="shared" si="70"/>
        <v>-1.9999999999999879E-4</v>
      </c>
      <c r="AK356">
        <f t="shared" si="71"/>
        <v>0</v>
      </c>
      <c r="AL356">
        <f t="shared" si="72"/>
        <v>9.9999999999999395E-5</v>
      </c>
      <c r="AM356">
        <f t="shared" si="73"/>
        <v>9.9999999999999395E-5</v>
      </c>
      <c r="AN356">
        <f t="shared" si="74"/>
        <v>3.9999999999999931E-4</v>
      </c>
      <c r="AO356">
        <f t="shared" si="75"/>
        <v>5.0000000000000044E-4</v>
      </c>
      <c r="AP356">
        <f t="shared" si="76"/>
        <v>6.9999999999999923E-4</v>
      </c>
    </row>
    <row r="357" spans="17:42" x14ac:dyDescent="0.25">
      <c r="Q357" s="1">
        <v>44537</v>
      </c>
      <c r="R357">
        <v>5.0000000000000001E-4</v>
      </c>
      <c r="S357">
        <v>5.9999999999999995E-4</v>
      </c>
      <c r="T357">
        <v>5.9999999999999995E-4</v>
      </c>
      <c r="U357">
        <v>1.5E-3</v>
      </c>
      <c r="V357">
        <v>3.0999999999999999E-3</v>
      </c>
      <c r="W357">
        <v>6.9999999999999993E-3</v>
      </c>
      <c r="X357">
        <v>9.8999999999999991E-3</v>
      </c>
      <c r="Y357">
        <v>1.26E-2</v>
      </c>
      <c r="Z357">
        <v>1.43E-2</v>
      </c>
      <c r="AA357">
        <v>1.4800000000000001E-2</v>
      </c>
      <c r="AB357">
        <v>1.8799999999999997E-2</v>
      </c>
      <c r="AC357">
        <v>1.8000000000000002E-2</v>
      </c>
      <c r="AE357">
        <f t="shared" si="65"/>
        <v>0</v>
      </c>
      <c r="AF357">
        <f t="shared" si="66"/>
        <v>9.9999999999999937E-5</v>
      </c>
      <c r="AG357">
        <f t="shared" si="67"/>
        <v>9.9999999999999937E-5</v>
      </c>
      <c r="AH357">
        <f t="shared" si="68"/>
        <v>3.0000000000000014E-4</v>
      </c>
      <c r="AI357">
        <f t="shared" si="69"/>
        <v>2.9999999999999949E-4</v>
      </c>
      <c r="AJ357">
        <f t="shared" si="70"/>
        <v>4.9999999999999871E-4</v>
      </c>
      <c r="AK357">
        <f t="shared" si="71"/>
        <v>7.9999999999999863E-4</v>
      </c>
      <c r="AL357">
        <f t="shared" si="72"/>
        <v>5.0000000000000044E-4</v>
      </c>
      <c r="AM357">
        <f t="shared" si="73"/>
        <v>5.0000000000000044E-4</v>
      </c>
      <c r="AN357">
        <f t="shared" si="74"/>
        <v>5.0000000000000044E-4</v>
      </c>
      <c r="AO357">
        <f t="shared" si="75"/>
        <v>3.9999999999999758E-4</v>
      </c>
      <c r="AP357">
        <f t="shared" si="76"/>
        <v>5.0000000000000044E-4</v>
      </c>
    </row>
    <row r="358" spans="17:42" x14ac:dyDescent="0.25">
      <c r="Q358" s="1">
        <v>44536</v>
      </c>
      <c r="R358">
        <v>5.0000000000000001E-4</v>
      </c>
      <c r="S358">
        <v>5.0000000000000001E-4</v>
      </c>
      <c r="T358">
        <v>5.0000000000000001E-4</v>
      </c>
      <c r="U358">
        <v>1.1999999999999999E-3</v>
      </c>
      <c r="V358">
        <v>2.8000000000000004E-3</v>
      </c>
      <c r="W358">
        <v>6.5000000000000006E-3</v>
      </c>
      <c r="X358">
        <v>9.1000000000000004E-3</v>
      </c>
      <c r="Y358">
        <v>1.21E-2</v>
      </c>
      <c r="Z358">
        <v>1.38E-2</v>
      </c>
      <c r="AA358">
        <v>1.43E-2</v>
      </c>
      <c r="AB358">
        <v>1.84E-2</v>
      </c>
      <c r="AC358">
        <v>1.7500000000000002E-2</v>
      </c>
      <c r="AE358">
        <f t="shared" si="65"/>
        <v>9.9999999999999991E-5</v>
      </c>
      <c r="AF358">
        <f t="shared" si="66"/>
        <v>0</v>
      </c>
      <c r="AG358">
        <f t="shared" si="67"/>
        <v>-9.9999999999999937E-5</v>
      </c>
      <c r="AH358">
        <f t="shared" si="68"/>
        <v>2.9999999999999992E-4</v>
      </c>
      <c r="AI358">
        <f t="shared" si="69"/>
        <v>2.0000000000000052E-4</v>
      </c>
      <c r="AJ358">
        <f t="shared" si="70"/>
        <v>5.0000000000000044E-4</v>
      </c>
      <c r="AK358">
        <f t="shared" si="71"/>
        <v>5.0000000000000044E-4</v>
      </c>
      <c r="AL358">
        <f t="shared" si="72"/>
        <v>8.0000000000000036E-4</v>
      </c>
      <c r="AM358">
        <f t="shared" si="73"/>
        <v>8.9999999999999976E-4</v>
      </c>
      <c r="AN358">
        <f t="shared" si="74"/>
        <v>7.9999999999999863E-4</v>
      </c>
      <c r="AO358">
        <f t="shared" si="75"/>
        <v>6.9999999999999923E-4</v>
      </c>
      <c r="AP358">
        <f t="shared" si="76"/>
        <v>6.0000000000000331E-4</v>
      </c>
    </row>
    <row r="359" spans="17:42" x14ac:dyDescent="0.25">
      <c r="Q359" s="1">
        <v>44533</v>
      </c>
      <c r="R359">
        <v>4.0000000000000002E-4</v>
      </c>
      <c r="S359">
        <v>5.0000000000000001E-4</v>
      </c>
      <c r="T359">
        <v>5.9999999999999995E-4</v>
      </c>
      <c r="U359">
        <v>8.9999999999999998E-4</v>
      </c>
      <c r="V359">
        <v>2.5999999999999999E-3</v>
      </c>
      <c r="W359">
        <v>6.0000000000000001E-3</v>
      </c>
      <c r="X359">
        <v>8.6E-3</v>
      </c>
      <c r="Y359">
        <v>1.1299999999999999E-2</v>
      </c>
      <c r="Z359">
        <v>1.29E-2</v>
      </c>
      <c r="AA359">
        <v>1.3500000000000002E-2</v>
      </c>
      <c r="AB359">
        <v>1.77E-2</v>
      </c>
      <c r="AC359">
        <v>1.6899999999999998E-2</v>
      </c>
      <c r="AE359">
        <f t="shared" si="65"/>
        <v>-9.9999999999999991E-5</v>
      </c>
      <c r="AF359">
        <f t="shared" si="66"/>
        <v>0</v>
      </c>
      <c r="AG359">
        <f t="shared" si="67"/>
        <v>9.9999999999999937E-5</v>
      </c>
      <c r="AH359">
        <f t="shared" si="68"/>
        <v>0</v>
      </c>
      <c r="AI359">
        <f t="shared" si="69"/>
        <v>-1.0000000000000026E-4</v>
      </c>
      <c r="AJ359">
        <f t="shared" si="70"/>
        <v>-2.9999999999999992E-4</v>
      </c>
      <c r="AK359">
        <f t="shared" si="71"/>
        <v>-4.0000000000000105E-4</v>
      </c>
      <c r="AL359">
        <f t="shared" si="72"/>
        <v>-8.0000000000000036E-4</v>
      </c>
      <c r="AM359">
        <f t="shared" si="73"/>
        <v>-8.9999999999999976E-4</v>
      </c>
      <c r="AN359">
        <f t="shared" si="74"/>
        <v>-8.9999999999999802E-4</v>
      </c>
      <c r="AO359">
        <f t="shared" si="75"/>
        <v>-1.0000000000000009E-3</v>
      </c>
      <c r="AP359">
        <f t="shared" si="76"/>
        <v>-7.000000000000027E-4</v>
      </c>
    </row>
    <row r="360" spans="17:42" x14ac:dyDescent="0.25">
      <c r="Q360" s="1">
        <v>44532</v>
      </c>
      <c r="R360">
        <v>5.0000000000000001E-4</v>
      </c>
      <c r="S360">
        <v>5.0000000000000001E-4</v>
      </c>
      <c r="T360">
        <v>5.0000000000000001E-4</v>
      </c>
      <c r="U360">
        <v>8.9999999999999998E-4</v>
      </c>
      <c r="V360">
        <v>2.7000000000000001E-3</v>
      </c>
      <c r="W360">
        <v>6.3E-3</v>
      </c>
      <c r="X360">
        <v>9.0000000000000011E-3</v>
      </c>
      <c r="Y360">
        <v>1.21E-2</v>
      </c>
      <c r="Z360">
        <v>1.38E-2</v>
      </c>
      <c r="AA360">
        <v>1.44E-2</v>
      </c>
      <c r="AB360">
        <v>1.8700000000000001E-2</v>
      </c>
      <c r="AC360">
        <v>1.7600000000000001E-2</v>
      </c>
      <c r="AE360">
        <f t="shared" si="65"/>
        <v>-3.9999999999999996E-4</v>
      </c>
      <c r="AF360">
        <f t="shared" si="66"/>
        <v>9.9999999999999991E-5</v>
      </c>
      <c r="AG360">
        <f t="shared" si="67"/>
        <v>-9.9999999999999937E-5</v>
      </c>
      <c r="AH360">
        <f t="shared" si="68"/>
        <v>-1.0000000000000005E-4</v>
      </c>
      <c r="AI360">
        <f t="shared" si="69"/>
        <v>2.0000000000000009E-4</v>
      </c>
      <c r="AJ360">
        <f t="shared" si="70"/>
        <v>6.9999999999999923E-4</v>
      </c>
      <c r="AK360">
        <f t="shared" si="71"/>
        <v>5.0000000000000044E-4</v>
      </c>
      <c r="AL360">
        <f t="shared" si="72"/>
        <v>5.9999999999999984E-4</v>
      </c>
      <c r="AM360">
        <f t="shared" si="73"/>
        <v>2.9999999999999818E-4</v>
      </c>
      <c r="AN360">
        <f t="shared" si="74"/>
        <v>9.9999999999999395E-5</v>
      </c>
      <c r="AO360">
        <f t="shared" si="75"/>
        <v>3.0000000000000165E-4</v>
      </c>
      <c r="AP360">
        <f t="shared" si="76"/>
        <v>-9.9999999999999395E-5</v>
      </c>
    </row>
    <row r="361" spans="17:42" x14ac:dyDescent="0.25">
      <c r="Q361" s="1">
        <v>44531</v>
      </c>
      <c r="R361">
        <v>8.9999999999999998E-4</v>
      </c>
      <c r="S361">
        <v>4.0000000000000002E-4</v>
      </c>
      <c r="T361">
        <v>5.9999999999999995E-4</v>
      </c>
      <c r="U361">
        <v>1E-3</v>
      </c>
      <c r="V361">
        <v>2.5000000000000001E-3</v>
      </c>
      <c r="W361">
        <v>5.6000000000000008E-3</v>
      </c>
      <c r="X361">
        <v>8.5000000000000006E-3</v>
      </c>
      <c r="Y361">
        <v>1.15E-2</v>
      </c>
      <c r="Z361">
        <v>1.3500000000000002E-2</v>
      </c>
      <c r="AA361">
        <v>1.43E-2</v>
      </c>
      <c r="AB361">
        <v>1.84E-2</v>
      </c>
      <c r="AC361">
        <v>1.77E-2</v>
      </c>
      <c r="AE361">
        <f t="shared" si="65"/>
        <v>-2.0000000000000009E-4</v>
      </c>
      <c r="AF361">
        <f t="shared" si="66"/>
        <v>-9.9999999999999991E-5</v>
      </c>
      <c r="AG361">
        <f t="shared" si="67"/>
        <v>9.9999999999999937E-5</v>
      </c>
      <c r="AH361">
        <f t="shared" si="68"/>
        <v>0</v>
      </c>
      <c r="AI361">
        <f t="shared" si="69"/>
        <v>1.0000000000000026E-4</v>
      </c>
      <c r="AJ361">
        <f t="shared" si="70"/>
        <v>4.0000000000000105E-4</v>
      </c>
      <c r="AK361">
        <f t="shared" si="71"/>
        <v>3.9999999999999931E-4</v>
      </c>
      <c r="AL361">
        <f t="shared" si="72"/>
        <v>1.0000000000000113E-4</v>
      </c>
      <c r="AM361">
        <f t="shared" si="73"/>
        <v>-9.9999999999999395E-5</v>
      </c>
      <c r="AN361">
        <f t="shared" si="74"/>
        <v>0</v>
      </c>
      <c r="AO361">
        <f t="shared" si="75"/>
        <v>-1.0000000000000286E-4</v>
      </c>
      <c r="AP361">
        <f t="shared" si="76"/>
        <v>-9.9999999999999395E-5</v>
      </c>
    </row>
    <row r="362" spans="17:42" x14ac:dyDescent="0.25">
      <c r="Q362" s="1">
        <v>44530</v>
      </c>
      <c r="R362">
        <v>1.1000000000000001E-3</v>
      </c>
      <c r="S362">
        <v>5.0000000000000001E-4</v>
      </c>
      <c r="T362">
        <v>5.0000000000000001E-4</v>
      </c>
      <c r="U362">
        <v>1E-3</v>
      </c>
      <c r="V362">
        <v>2.3999999999999998E-3</v>
      </c>
      <c r="W362">
        <v>5.1999999999999998E-3</v>
      </c>
      <c r="X362">
        <v>8.1000000000000013E-3</v>
      </c>
      <c r="Y362">
        <v>1.1399999999999999E-2</v>
      </c>
      <c r="Z362">
        <v>1.3600000000000001E-2</v>
      </c>
      <c r="AA362">
        <v>1.43E-2</v>
      </c>
      <c r="AB362">
        <v>1.8500000000000003E-2</v>
      </c>
      <c r="AC362">
        <v>1.78E-2</v>
      </c>
      <c r="AE362">
        <f t="shared" si="65"/>
        <v>3.9999999999999996E-4</v>
      </c>
      <c r="AF362">
        <f t="shared" si="66"/>
        <v>9.9999999999999991E-5</v>
      </c>
      <c r="AG362">
        <f t="shared" si="67"/>
        <v>-9.9999999999999937E-5</v>
      </c>
      <c r="AH362">
        <f t="shared" si="68"/>
        <v>0</v>
      </c>
      <c r="AI362">
        <f t="shared" si="69"/>
        <v>2.9999999999999992E-4</v>
      </c>
      <c r="AJ362">
        <f t="shared" si="70"/>
        <v>9.9999999999999395E-5</v>
      </c>
      <c r="AK362">
        <f t="shared" si="71"/>
        <v>-1.9999999999999879E-4</v>
      </c>
      <c r="AL362">
        <f t="shared" si="72"/>
        <v>-4.0000000000000105E-4</v>
      </c>
      <c r="AM362">
        <f t="shared" si="73"/>
        <v>-5.999999999999981E-4</v>
      </c>
      <c r="AN362">
        <f t="shared" si="74"/>
        <v>-8.9999999999999976E-4</v>
      </c>
      <c r="AO362">
        <f t="shared" si="75"/>
        <v>-7.9999999999999516E-4</v>
      </c>
      <c r="AP362">
        <f t="shared" si="76"/>
        <v>-9.0000000000000149E-4</v>
      </c>
    </row>
    <row r="363" spans="17:42" x14ac:dyDescent="0.25">
      <c r="Q363" s="1">
        <v>44529</v>
      </c>
      <c r="R363">
        <v>7.000000000000001E-4</v>
      </c>
      <c r="S363">
        <v>4.0000000000000002E-4</v>
      </c>
      <c r="T363">
        <v>5.9999999999999995E-4</v>
      </c>
      <c r="U363">
        <v>1E-3</v>
      </c>
      <c r="V363">
        <v>2.0999999999999999E-3</v>
      </c>
      <c r="W363">
        <v>5.1000000000000004E-3</v>
      </c>
      <c r="X363">
        <v>8.3000000000000001E-3</v>
      </c>
      <c r="Y363">
        <v>1.18E-2</v>
      </c>
      <c r="Z363">
        <v>1.4199999999999999E-2</v>
      </c>
      <c r="AA363">
        <v>1.52E-2</v>
      </c>
      <c r="AB363">
        <v>1.9299999999999998E-2</v>
      </c>
      <c r="AC363">
        <v>1.8700000000000001E-2</v>
      </c>
      <c r="AE363">
        <f t="shared" si="65"/>
        <v>-3.9999999999999996E-4</v>
      </c>
      <c r="AF363">
        <f t="shared" si="66"/>
        <v>0</v>
      </c>
      <c r="AG363">
        <f t="shared" si="67"/>
        <v>0</v>
      </c>
      <c r="AH363">
        <f t="shared" si="68"/>
        <v>0</v>
      </c>
      <c r="AI363">
        <f t="shared" si="69"/>
        <v>9.9999999999999829E-5</v>
      </c>
      <c r="AJ363">
        <f t="shared" si="70"/>
        <v>1.0000000000000026E-4</v>
      </c>
      <c r="AK363">
        <f t="shared" si="71"/>
        <v>1.9999999999999879E-4</v>
      </c>
      <c r="AL363">
        <f t="shared" si="72"/>
        <v>2.0000000000000052E-4</v>
      </c>
      <c r="AM363">
        <f t="shared" si="73"/>
        <v>2.0000000000000052E-4</v>
      </c>
      <c r="AN363">
        <f t="shared" si="74"/>
        <v>3.9999999999999931E-4</v>
      </c>
      <c r="AO363">
        <f t="shared" si="75"/>
        <v>3.9999999999999758E-4</v>
      </c>
      <c r="AP363">
        <f t="shared" si="76"/>
        <v>4.0000000000000105E-4</v>
      </c>
    </row>
    <row r="364" spans="17:42" x14ac:dyDescent="0.25">
      <c r="Q364" s="1">
        <v>44526</v>
      </c>
      <c r="R364">
        <v>1.1000000000000001E-3</v>
      </c>
      <c r="S364">
        <v>4.0000000000000002E-4</v>
      </c>
      <c r="T364">
        <v>5.9999999999999995E-4</v>
      </c>
      <c r="U364">
        <v>1E-3</v>
      </c>
      <c r="V364">
        <v>2E-3</v>
      </c>
      <c r="W364">
        <v>5.0000000000000001E-3</v>
      </c>
      <c r="X364">
        <v>8.1000000000000013E-3</v>
      </c>
      <c r="Y364">
        <v>1.1599999999999999E-2</v>
      </c>
      <c r="Z364">
        <v>1.3999999999999999E-2</v>
      </c>
      <c r="AA364">
        <v>1.4800000000000001E-2</v>
      </c>
      <c r="AB364">
        <v>1.89E-2</v>
      </c>
      <c r="AC364">
        <v>1.83E-2</v>
      </c>
      <c r="AE364">
        <f t="shared" si="65"/>
        <v>-3.0000000000000014E-4</v>
      </c>
      <c r="AF364">
        <f t="shared" si="66"/>
        <v>-9.9999999999999991E-5</v>
      </c>
      <c r="AG364">
        <f t="shared" si="67"/>
        <v>0</v>
      </c>
      <c r="AH364">
        <f t="shared" si="68"/>
        <v>0</v>
      </c>
      <c r="AI364">
        <f t="shared" si="69"/>
        <v>-3.9999999999999975E-4</v>
      </c>
      <c r="AJ364">
        <f t="shared" si="70"/>
        <v>-1.4000000000000002E-3</v>
      </c>
      <c r="AK364">
        <f t="shared" si="71"/>
        <v>-1.599999999999999E-3</v>
      </c>
      <c r="AL364">
        <f t="shared" si="72"/>
        <v>-1.8000000000000013E-3</v>
      </c>
      <c r="AM364">
        <f t="shared" si="73"/>
        <v>-1.800000000000003E-3</v>
      </c>
      <c r="AN364">
        <f t="shared" si="74"/>
        <v>-1.5999999999999973E-3</v>
      </c>
      <c r="AO364">
        <f t="shared" si="75"/>
        <v>-1.3999999999999985E-3</v>
      </c>
      <c r="AP364">
        <f t="shared" si="76"/>
        <v>-1.2999999999999991E-3</v>
      </c>
    </row>
    <row r="365" spans="17:42" x14ac:dyDescent="0.25">
      <c r="Q365" s="1">
        <v>44524</v>
      </c>
      <c r="R365">
        <v>1.4000000000000002E-3</v>
      </c>
      <c r="S365">
        <v>5.0000000000000001E-4</v>
      </c>
      <c r="T365">
        <v>5.9999999999999995E-4</v>
      </c>
      <c r="U365">
        <v>1E-3</v>
      </c>
      <c r="V365">
        <v>2.3999999999999998E-3</v>
      </c>
      <c r="W365">
        <v>6.4000000000000003E-3</v>
      </c>
      <c r="X365">
        <v>9.7000000000000003E-3</v>
      </c>
      <c r="Y365">
        <v>1.34E-2</v>
      </c>
      <c r="Z365">
        <v>1.5800000000000002E-2</v>
      </c>
      <c r="AA365">
        <v>1.6399999999999998E-2</v>
      </c>
      <c r="AB365">
        <v>2.0299999999999999E-2</v>
      </c>
      <c r="AC365">
        <v>1.9599999999999999E-2</v>
      </c>
      <c r="AE365">
        <f t="shared" si="65"/>
        <v>8.0000000000000026E-4</v>
      </c>
      <c r="AF365">
        <f t="shared" si="66"/>
        <v>9.9999999999999991E-5</v>
      </c>
      <c r="AG365">
        <f t="shared" si="67"/>
        <v>0</v>
      </c>
      <c r="AH365">
        <f t="shared" si="68"/>
        <v>2.9999999999999992E-4</v>
      </c>
      <c r="AI365">
        <f t="shared" si="69"/>
        <v>2.9999999999999992E-4</v>
      </c>
      <c r="AJ365">
        <f t="shared" si="70"/>
        <v>4.0000000000000018E-4</v>
      </c>
      <c r="AK365">
        <f t="shared" si="71"/>
        <v>2.0000000000000052E-4</v>
      </c>
      <c r="AL365">
        <f t="shared" si="72"/>
        <v>9.9999999999999395E-5</v>
      </c>
      <c r="AM365">
        <f t="shared" si="73"/>
        <v>0</v>
      </c>
      <c r="AN365">
        <f t="shared" si="74"/>
        <v>-3.0000000000000165E-4</v>
      </c>
      <c r="AO365">
        <f t="shared" si="75"/>
        <v>-5.0000000000000044E-4</v>
      </c>
      <c r="AP365">
        <f t="shared" si="76"/>
        <v>-5.9999999999999984E-4</v>
      </c>
    </row>
    <row r="366" spans="17:42" x14ac:dyDescent="0.25">
      <c r="Q366" s="1">
        <v>44523</v>
      </c>
      <c r="R366">
        <v>5.9999999999999995E-4</v>
      </c>
      <c r="S366">
        <v>4.0000000000000002E-4</v>
      </c>
      <c r="T366">
        <v>5.9999999999999995E-4</v>
      </c>
      <c r="U366">
        <v>7.000000000000001E-4</v>
      </c>
      <c r="V366">
        <v>2.0999999999999999E-3</v>
      </c>
      <c r="W366">
        <v>6.0000000000000001E-3</v>
      </c>
      <c r="X366">
        <v>9.4999999999999998E-3</v>
      </c>
      <c r="Y366">
        <v>1.3300000000000001E-2</v>
      </c>
      <c r="Z366">
        <v>1.5800000000000002E-2</v>
      </c>
      <c r="AA366">
        <v>1.67E-2</v>
      </c>
      <c r="AB366">
        <v>2.0799999999999999E-2</v>
      </c>
      <c r="AC366">
        <v>2.0199999999999999E-2</v>
      </c>
      <c r="AE366">
        <f t="shared" si="65"/>
        <v>-1.0000000000000015E-4</v>
      </c>
      <c r="AF366">
        <f t="shared" si="66"/>
        <v>1.0000000000000005E-4</v>
      </c>
      <c r="AG366">
        <f t="shared" si="67"/>
        <v>9.9999999999999937E-5</v>
      </c>
      <c r="AH366">
        <f t="shared" si="68"/>
        <v>0</v>
      </c>
      <c r="AI366">
        <f t="shared" si="69"/>
        <v>9.9999999999999829E-5</v>
      </c>
      <c r="AJ366">
        <f t="shared" si="70"/>
        <v>-2.9999999999999992E-4</v>
      </c>
      <c r="AK366">
        <f t="shared" si="71"/>
        <v>0</v>
      </c>
      <c r="AL366">
        <f t="shared" si="72"/>
        <v>0</v>
      </c>
      <c r="AM366">
        <f t="shared" si="73"/>
        <v>3.0000000000000165E-4</v>
      </c>
      <c r="AN366">
        <f t="shared" si="74"/>
        <v>4.0000000000000105E-4</v>
      </c>
      <c r="AO366">
        <f t="shared" si="75"/>
        <v>5.0000000000000044E-4</v>
      </c>
      <c r="AP366">
        <f t="shared" si="76"/>
        <v>4.0000000000000105E-4</v>
      </c>
    </row>
    <row r="367" spans="17:42" x14ac:dyDescent="0.25">
      <c r="Q367" s="1">
        <v>44522</v>
      </c>
      <c r="R367">
        <v>7.000000000000001E-4</v>
      </c>
      <c r="S367">
        <v>2.9999999999999997E-4</v>
      </c>
      <c r="T367">
        <v>5.0000000000000001E-4</v>
      </c>
      <c r="U367">
        <v>7.000000000000001E-4</v>
      </c>
      <c r="V367">
        <v>2E-3</v>
      </c>
      <c r="W367">
        <v>6.3E-3</v>
      </c>
      <c r="X367">
        <v>9.4999999999999998E-3</v>
      </c>
      <c r="Y367">
        <v>1.3300000000000001E-2</v>
      </c>
      <c r="Z367">
        <v>1.55E-2</v>
      </c>
      <c r="AA367">
        <v>1.6299999999999999E-2</v>
      </c>
      <c r="AB367">
        <v>2.0299999999999999E-2</v>
      </c>
      <c r="AC367">
        <v>1.9799999999999998E-2</v>
      </c>
      <c r="AE367">
        <f t="shared" si="65"/>
        <v>-3.9999999999999996E-4</v>
      </c>
      <c r="AF367">
        <f t="shared" si="66"/>
        <v>-1.0000000000000005E-4</v>
      </c>
      <c r="AG367">
        <f t="shared" si="67"/>
        <v>0</v>
      </c>
      <c r="AH367">
        <f t="shared" si="68"/>
        <v>1.0000000000000015E-4</v>
      </c>
      <c r="AI367">
        <f t="shared" si="69"/>
        <v>2.0000000000000009E-4</v>
      </c>
      <c r="AJ367">
        <f t="shared" si="70"/>
        <v>1.1000000000000003E-3</v>
      </c>
      <c r="AK367">
        <f t="shared" si="71"/>
        <v>8.9999999999999976E-4</v>
      </c>
      <c r="AL367">
        <f t="shared" si="72"/>
        <v>1.100000000000002E-3</v>
      </c>
      <c r="AM367">
        <f t="shared" si="73"/>
        <v>1.0000000000000009E-3</v>
      </c>
      <c r="AN367">
        <f t="shared" si="74"/>
        <v>8.9999999999999802E-4</v>
      </c>
      <c r="AO367">
        <f t="shared" si="75"/>
        <v>7.9999999999999863E-4</v>
      </c>
      <c r="AP367">
        <f t="shared" si="76"/>
        <v>6.9999999999999923E-4</v>
      </c>
    </row>
    <row r="368" spans="17:42" x14ac:dyDescent="0.25">
      <c r="Q368" s="1">
        <v>44519</v>
      </c>
      <c r="R368">
        <v>1.1000000000000001E-3</v>
      </c>
      <c r="S368">
        <v>4.0000000000000002E-4</v>
      </c>
      <c r="T368">
        <v>5.0000000000000001E-4</v>
      </c>
      <c r="U368">
        <v>5.9999999999999995E-4</v>
      </c>
      <c r="V368">
        <v>1.8E-3</v>
      </c>
      <c r="W368">
        <v>5.1999999999999998E-3</v>
      </c>
      <c r="X368">
        <v>8.6E-3</v>
      </c>
      <c r="Y368">
        <v>1.2199999999999999E-2</v>
      </c>
      <c r="Z368">
        <v>1.4499999999999999E-2</v>
      </c>
      <c r="AA368">
        <v>1.54E-2</v>
      </c>
      <c r="AB368">
        <v>1.95E-2</v>
      </c>
      <c r="AC368">
        <v>1.9099999999999999E-2</v>
      </c>
      <c r="AE368">
        <f t="shared" si="65"/>
        <v>-9.9999999999999829E-5</v>
      </c>
      <c r="AF368">
        <f t="shared" si="66"/>
        <v>-9.9999999999999991E-5</v>
      </c>
      <c r="AG368">
        <f t="shared" si="67"/>
        <v>0</v>
      </c>
      <c r="AH368">
        <f t="shared" si="68"/>
        <v>0</v>
      </c>
      <c r="AI368">
        <f t="shared" si="69"/>
        <v>0</v>
      </c>
      <c r="AJ368">
        <f t="shared" si="70"/>
        <v>0</v>
      </c>
      <c r="AK368">
        <f t="shared" si="71"/>
        <v>2.0000000000000052E-4</v>
      </c>
      <c r="AL368">
        <f t="shared" si="72"/>
        <v>0</v>
      </c>
      <c r="AM368">
        <f t="shared" si="73"/>
        <v>-2.0000000000000052E-4</v>
      </c>
      <c r="AN368">
        <f t="shared" si="74"/>
        <v>-5.0000000000000044E-4</v>
      </c>
      <c r="AO368">
        <f t="shared" si="75"/>
        <v>-5.9999999999999637E-4</v>
      </c>
      <c r="AP368">
        <f t="shared" si="76"/>
        <v>-5.9999999999999984E-4</v>
      </c>
    </row>
    <row r="369" spans="17:42" x14ac:dyDescent="0.25">
      <c r="Q369" s="1">
        <v>44518</v>
      </c>
      <c r="R369">
        <v>1.1999999999999999E-3</v>
      </c>
      <c r="S369">
        <v>5.0000000000000001E-4</v>
      </c>
      <c r="T369">
        <v>5.0000000000000001E-4</v>
      </c>
      <c r="U369">
        <v>5.9999999999999995E-4</v>
      </c>
      <c r="V369">
        <v>1.8E-3</v>
      </c>
      <c r="W369">
        <v>5.1999999999999998E-3</v>
      </c>
      <c r="X369">
        <v>8.3999999999999995E-3</v>
      </c>
      <c r="Y369">
        <v>1.2199999999999999E-2</v>
      </c>
      <c r="Z369">
        <v>1.47E-2</v>
      </c>
      <c r="AA369">
        <v>1.5900000000000001E-2</v>
      </c>
      <c r="AB369">
        <v>2.0099999999999996E-2</v>
      </c>
      <c r="AC369">
        <v>1.9699999999999999E-2</v>
      </c>
      <c r="AE369">
        <f t="shared" si="65"/>
        <v>5.9999999999999995E-4</v>
      </c>
      <c r="AF369">
        <f t="shared" si="66"/>
        <v>0</v>
      </c>
      <c r="AG369">
        <f t="shared" si="67"/>
        <v>0</v>
      </c>
      <c r="AH369">
        <f t="shared" si="68"/>
        <v>0</v>
      </c>
      <c r="AI369">
        <f t="shared" si="69"/>
        <v>0</v>
      </c>
      <c r="AJ369">
        <f t="shared" si="70"/>
        <v>0</v>
      </c>
      <c r="AK369">
        <f t="shared" si="71"/>
        <v>-1.0000000000000113E-4</v>
      </c>
      <c r="AL369">
        <f t="shared" si="72"/>
        <v>-2.0000000000000052E-4</v>
      </c>
      <c r="AM369">
        <f t="shared" si="73"/>
        <v>-2.0000000000000052E-4</v>
      </c>
      <c r="AN369">
        <f t="shared" si="74"/>
        <v>-9.9999999999999395E-5</v>
      </c>
      <c r="AO369">
        <f t="shared" si="75"/>
        <v>-3.0000000000000512E-4</v>
      </c>
      <c r="AP369">
        <f t="shared" si="76"/>
        <v>-3.0000000000000165E-4</v>
      </c>
    </row>
    <row r="370" spans="17:42" x14ac:dyDescent="0.25">
      <c r="Q370" s="1">
        <v>44517</v>
      </c>
      <c r="R370">
        <v>5.9999999999999995E-4</v>
      </c>
      <c r="S370">
        <v>5.0000000000000001E-4</v>
      </c>
      <c r="T370">
        <v>5.0000000000000001E-4</v>
      </c>
      <c r="U370">
        <v>5.9999999999999995E-4</v>
      </c>
      <c r="V370">
        <v>1.8E-3</v>
      </c>
      <c r="W370">
        <v>5.1999999999999998E-3</v>
      </c>
      <c r="X370">
        <v>8.5000000000000006E-3</v>
      </c>
      <c r="Y370">
        <v>1.24E-2</v>
      </c>
      <c r="Z370">
        <v>1.49E-2</v>
      </c>
      <c r="AA370">
        <v>1.6E-2</v>
      </c>
      <c r="AB370">
        <v>2.0400000000000001E-2</v>
      </c>
      <c r="AC370">
        <v>0.02</v>
      </c>
      <c r="AE370">
        <f t="shared" si="65"/>
        <v>0</v>
      </c>
      <c r="AF370">
        <f t="shared" si="66"/>
        <v>-9.9999999999999937E-5</v>
      </c>
      <c r="AG370">
        <f t="shared" si="67"/>
        <v>0</v>
      </c>
      <c r="AH370">
        <f t="shared" si="68"/>
        <v>-1.0000000000000015E-4</v>
      </c>
      <c r="AI370">
        <f t="shared" si="69"/>
        <v>9.9999999999999829E-5</v>
      </c>
      <c r="AJ370">
        <f t="shared" si="70"/>
        <v>-2.0000000000000052E-4</v>
      </c>
      <c r="AK370">
        <f t="shared" si="71"/>
        <v>-1.9999999999999879E-4</v>
      </c>
      <c r="AL370">
        <f t="shared" si="72"/>
        <v>-2.9999999999999992E-4</v>
      </c>
      <c r="AM370">
        <f t="shared" si="73"/>
        <v>-2.9999999999999992E-4</v>
      </c>
      <c r="AN370">
        <f t="shared" si="74"/>
        <v>-2.9999999999999818E-4</v>
      </c>
      <c r="AO370">
        <f t="shared" si="75"/>
        <v>-1.9999999999999879E-4</v>
      </c>
      <c r="AP370">
        <f t="shared" si="76"/>
        <v>-1.9999999999999879E-4</v>
      </c>
    </row>
    <row r="371" spans="17:42" x14ac:dyDescent="0.25">
      <c r="Q371" s="1">
        <v>44516</v>
      </c>
      <c r="R371">
        <v>5.9999999999999995E-4</v>
      </c>
      <c r="S371">
        <v>5.9999999999999995E-4</v>
      </c>
      <c r="T371">
        <v>5.0000000000000001E-4</v>
      </c>
      <c r="U371">
        <v>7.000000000000001E-4</v>
      </c>
      <c r="V371">
        <v>1.7000000000000001E-3</v>
      </c>
      <c r="W371">
        <v>5.4000000000000003E-3</v>
      </c>
      <c r="X371">
        <v>8.6999999999999994E-3</v>
      </c>
      <c r="Y371">
        <v>1.2699999999999999E-2</v>
      </c>
      <c r="Z371">
        <v>1.52E-2</v>
      </c>
      <c r="AA371">
        <v>1.6299999999999999E-2</v>
      </c>
      <c r="AB371">
        <v>2.06E-2</v>
      </c>
      <c r="AC371">
        <v>2.0199999999999999E-2</v>
      </c>
      <c r="AE371">
        <f t="shared" si="65"/>
        <v>0</v>
      </c>
      <c r="AF371">
        <f t="shared" si="66"/>
        <v>0</v>
      </c>
      <c r="AG371">
        <f t="shared" si="67"/>
        <v>0</v>
      </c>
      <c r="AH371">
        <f t="shared" si="68"/>
        <v>1.0000000000000015E-4</v>
      </c>
      <c r="AI371">
        <f t="shared" si="69"/>
        <v>-9.9999999999999829E-5</v>
      </c>
      <c r="AJ371">
        <f t="shared" si="70"/>
        <v>1.0000000000000026E-4</v>
      </c>
      <c r="AK371">
        <f t="shared" si="71"/>
        <v>0</v>
      </c>
      <c r="AL371">
        <f t="shared" si="72"/>
        <v>9.9999999999999395E-5</v>
      </c>
      <c r="AM371">
        <f t="shared" si="73"/>
        <v>9.9999999999999395E-5</v>
      </c>
      <c r="AN371">
        <f t="shared" si="74"/>
        <v>0</v>
      </c>
      <c r="AO371">
        <f t="shared" si="75"/>
        <v>1.0000000000000286E-4</v>
      </c>
      <c r="AP371">
        <f t="shared" si="76"/>
        <v>1.0000000000000286E-4</v>
      </c>
    </row>
    <row r="372" spans="17:42" x14ac:dyDescent="0.25">
      <c r="Q372" s="1">
        <v>44515</v>
      </c>
      <c r="R372">
        <v>5.9999999999999995E-4</v>
      </c>
      <c r="S372">
        <v>5.9999999999999995E-4</v>
      </c>
      <c r="T372">
        <v>5.0000000000000001E-4</v>
      </c>
      <c r="U372">
        <v>5.9999999999999995E-4</v>
      </c>
      <c r="V372">
        <v>1.8E-3</v>
      </c>
      <c r="W372">
        <v>5.3E-3</v>
      </c>
      <c r="X372">
        <v>8.6999999999999994E-3</v>
      </c>
      <c r="Y372">
        <v>1.26E-2</v>
      </c>
      <c r="Z372">
        <v>1.5100000000000001E-2</v>
      </c>
      <c r="AA372">
        <v>1.6299999999999999E-2</v>
      </c>
      <c r="AB372">
        <v>2.0499999999999997E-2</v>
      </c>
      <c r="AC372">
        <v>2.0099999999999996E-2</v>
      </c>
      <c r="AE372">
        <f t="shared" si="65"/>
        <v>9.9999999999999937E-5</v>
      </c>
      <c r="AF372">
        <f t="shared" si="66"/>
        <v>9.9999999999999937E-5</v>
      </c>
      <c r="AG372">
        <f t="shared" si="67"/>
        <v>0</v>
      </c>
      <c r="AH372">
        <f t="shared" si="68"/>
        <v>-1.0000000000000015E-4</v>
      </c>
      <c r="AI372">
        <f t="shared" si="69"/>
        <v>9.9999999999999829E-5</v>
      </c>
      <c r="AJ372">
        <f t="shared" si="70"/>
        <v>0</v>
      </c>
      <c r="AK372">
        <f t="shared" si="71"/>
        <v>1.9999999999999879E-4</v>
      </c>
      <c r="AL372">
        <f t="shared" si="72"/>
        <v>2.0000000000000052E-4</v>
      </c>
      <c r="AM372">
        <f t="shared" si="73"/>
        <v>4.0000000000000105E-4</v>
      </c>
      <c r="AN372">
        <f t="shared" si="74"/>
        <v>4.9999999999999697E-4</v>
      </c>
      <c r="AO372">
        <f t="shared" si="75"/>
        <v>5.9999999999999637E-4</v>
      </c>
      <c r="AP372">
        <f t="shared" si="76"/>
        <v>5.9999999999999637E-4</v>
      </c>
    </row>
    <row r="373" spans="17:42" x14ac:dyDescent="0.25">
      <c r="Q373" s="1">
        <v>44512</v>
      </c>
      <c r="R373">
        <v>5.0000000000000001E-4</v>
      </c>
      <c r="S373">
        <v>5.0000000000000001E-4</v>
      </c>
      <c r="T373">
        <v>5.0000000000000001E-4</v>
      </c>
      <c r="U373">
        <v>7.000000000000001E-4</v>
      </c>
      <c r="V373">
        <v>1.7000000000000001E-3</v>
      </c>
      <c r="W373">
        <v>5.3E-3</v>
      </c>
      <c r="X373">
        <v>8.5000000000000006E-3</v>
      </c>
      <c r="Y373">
        <v>1.24E-2</v>
      </c>
      <c r="Z373">
        <v>1.47E-2</v>
      </c>
      <c r="AA373">
        <v>1.5800000000000002E-2</v>
      </c>
      <c r="AB373">
        <v>1.9900000000000001E-2</v>
      </c>
      <c r="AC373">
        <v>1.95E-2</v>
      </c>
      <c r="AE373">
        <f t="shared" si="65"/>
        <v>-9.9999999999999937E-5</v>
      </c>
      <c r="AF373">
        <f t="shared" si="66"/>
        <v>-9.9999999999999937E-5</v>
      </c>
      <c r="AG373">
        <f t="shared" si="67"/>
        <v>0</v>
      </c>
      <c r="AH373">
        <f t="shared" si="68"/>
        <v>0</v>
      </c>
      <c r="AI373">
        <f t="shared" si="69"/>
        <v>0</v>
      </c>
      <c r="AJ373">
        <f t="shared" si="70"/>
        <v>1.9999999999999966E-4</v>
      </c>
      <c r="AK373">
        <f t="shared" si="71"/>
        <v>2.0000000000000052E-4</v>
      </c>
      <c r="AL373">
        <f t="shared" si="72"/>
        <v>9.9999999999999395E-5</v>
      </c>
      <c r="AM373">
        <f t="shared" si="73"/>
        <v>2.0000000000000052E-4</v>
      </c>
      <c r="AN373">
        <f t="shared" si="74"/>
        <v>2.0000000000000052E-4</v>
      </c>
      <c r="AO373">
        <f t="shared" si="75"/>
        <v>3.0000000000000165E-4</v>
      </c>
      <c r="AP373">
        <f t="shared" si="76"/>
        <v>3.0000000000000165E-4</v>
      </c>
    </row>
    <row r="374" spans="17:42" x14ac:dyDescent="0.25">
      <c r="Q374" s="1">
        <v>44510</v>
      </c>
      <c r="R374">
        <v>5.9999999999999995E-4</v>
      </c>
      <c r="S374">
        <v>5.9999999999999995E-4</v>
      </c>
      <c r="T374">
        <v>5.0000000000000001E-4</v>
      </c>
      <c r="U374">
        <v>7.000000000000001E-4</v>
      </c>
      <c r="V374">
        <v>1.7000000000000001E-3</v>
      </c>
      <c r="W374">
        <v>5.1000000000000004E-3</v>
      </c>
      <c r="X374">
        <v>8.3000000000000001E-3</v>
      </c>
      <c r="Y374">
        <v>1.23E-2</v>
      </c>
      <c r="Z374">
        <v>1.4499999999999999E-2</v>
      </c>
      <c r="AA374">
        <v>1.5600000000000001E-2</v>
      </c>
      <c r="AB374">
        <v>1.9599999999999999E-2</v>
      </c>
      <c r="AC374">
        <v>1.9199999999999998E-2</v>
      </c>
      <c r="AE374">
        <f t="shared" si="65"/>
        <v>1.9999999999999993E-4</v>
      </c>
      <c r="AF374">
        <f t="shared" si="66"/>
        <v>9.9999999999999937E-5</v>
      </c>
      <c r="AG374">
        <f t="shared" si="67"/>
        <v>9.9999999999999991E-5</v>
      </c>
      <c r="AH374">
        <f t="shared" si="68"/>
        <v>1.0000000000000015E-4</v>
      </c>
      <c r="AI374">
        <f t="shared" si="69"/>
        <v>2.9999999999999992E-4</v>
      </c>
      <c r="AJ374">
        <f t="shared" si="70"/>
        <v>1.0000000000000009E-3</v>
      </c>
      <c r="AK374">
        <f t="shared" si="71"/>
        <v>1.2000000000000005E-3</v>
      </c>
      <c r="AL374">
        <f t="shared" si="72"/>
        <v>1.4999999999999996E-3</v>
      </c>
      <c r="AM374">
        <f t="shared" si="73"/>
        <v>1.2999999999999991E-3</v>
      </c>
      <c r="AN374">
        <f t="shared" si="74"/>
        <v>1.0000000000000009E-3</v>
      </c>
      <c r="AO374">
        <f t="shared" si="75"/>
        <v>9.9999999999999742E-4</v>
      </c>
      <c r="AP374">
        <f t="shared" si="76"/>
        <v>8.9999999999999802E-4</v>
      </c>
    </row>
    <row r="375" spans="17:42" x14ac:dyDescent="0.25">
      <c r="Q375" s="1">
        <v>44509</v>
      </c>
      <c r="R375">
        <v>4.0000000000000002E-4</v>
      </c>
      <c r="S375">
        <v>5.0000000000000001E-4</v>
      </c>
      <c r="T375">
        <v>4.0000000000000002E-4</v>
      </c>
      <c r="U375">
        <v>5.9999999999999995E-4</v>
      </c>
      <c r="V375">
        <v>1.4000000000000002E-3</v>
      </c>
      <c r="W375">
        <v>4.0999999999999995E-3</v>
      </c>
      <c r="X375">
        <v>7.0999999999999995E-3</v>
      </c>
      <c r="Y375">
        <v>1.0800000000000001E-2</v>
      </c>
      <c r="Z375">
        <v>1.32E-2</v>
      </c>
      <c r="AA375">
        <v>1.46E-2</v>
      </c>
      <c r="AB375">
        <v>1.8600000000000002E-2</v>
      </c>
      <c r="AC375">
        <v>1.83E-2</v>
      </c>
      <c r="AE375">
        <f t="shared" si="65"/>
        <v>0</v>
      </c>
      <c r="AF375">
        <f t="shared" si="66"/>
        <v>-9.9999999999999937E-5</v>
      </c>
      <c r="AG375">
        <f t="shared" si="67"/>
        <v>-1.9999999999999993E-4</v>
      </c>
      <c r="AH375">
        <f t="shared" si="68"/>
        <v>-1.0000000000000015E-4</v>
      </c>
      <c r="AI375">
        <f t="shared" si="69"/>
        <v>-1.9999999999999987E-4</v>
      </c>
      <c r="AJ375">
        <f t="shared" si="70"/>
        <v>-4.0000000000000105E-4</v>
      </c>
      <c r="AK375">
        <f t="shared" si="71"/>
        <v>-4.0000000000000018E-4</v>
      </c>
      <c r="AL375">
        <f t="shared" si="72"/>
        <v>-4.9999999999999871E-4</v>
      </c>
      <c r="AM375">
        <f t="shared" si="73"/>
        <v>-5.9999999999999984E-4</v>
      </c>
      <c r="AN375">
        <f t="shared" si="74"/>
        <v>-5.0000000000000044E-4</v>
      </c>
      <c r="AO375">
        <f t="shared" si="75"/>
        <v>-4.9999999999999697E-4</v>
      </c>
      <c r="AP375">
        <f t="shared" si="76"/>
        <v>-5.9999999999999984E-4</v>
      </c>
    </row>
    <row r="376" spans="17:42" x14ac:dyDescent="0.25">
      <c r="Q376" s="1">
        <v>44508</v>
      </c>
      <c r="R376">
        <v>4.0000000000000002E-4</v>
      </c>
      <c r="S376">
        <v>5.9999999999999995E-4</v>
      </c>
      <c r="T376">
        <v>5.9999999999999995E-4</v>
      </c>
      <c r="U376">
        <v>7.000000000000001E-4</v>
      </c>
      <c r="V376">
        <v>1.6000000000000001E-3</v>
      </c>
      <c r="W376">
        <v>4.5000000000000005E-3</v>
      </c>
      <c r="X376">
        <v>7.4999999999999997E-3</v>
      </c>
      <c r="Y376">
        <v>1.1299999999999999E-2</v>
      </c>
      <c r="Z376">
        <v>1.38E-2</v>
      </c>
      <c r="AA376">
        <v>1.5100000000000001E-2</v>
      </c>
      <c r="AB376">
        <v>1.9099999999999999E-2</v>
      </c>
      <c r="AC376">
        <v>1.89E-2</v>
      </c>
      <c r="AE376">
        <f t="shared" si="65"/>
        <v>-9.9999999999999991E-5</v>
      </c>
      <c r="AF376">
        <f t="shared" si="66"/>
        <v>0</v>
      </c>
      <c r="AG376">
        <f t="shared" si="67"/>
        <v>9.9999999999999937E-5</v>
      </c>
      <c r="AH376">
        <f t="shared" si="68"/>
        <v>0</v>
      </c>
      <c r="AI376">
        <f t="shared" si="69"/>
        <v>1.9999999999999987E-4</v>
      </c>
      <c r="AJ376">
        <f t="shared" si="70"/>
        <v>6.0000000000000027E-4</v>
      </c>
      <c r="AK376">
        <f t="shared" si="71"/>
        <v>8.9999999999999976E-4</v>
      </c>
      <c r="AL376">
        <f t="shared" si="72"/>
        <v>8.9999999999999976E-4</v>
      </c>
      <c r="AM376">
        <f t="shared" si="73"/>
        <v>7.9999999999999863E-4</v>
      </c>
      <c r="AN376">
        <f t="shared" si="74"/>
        <v>6.0000000000000157E-4</v>
      </c>
      <c r="AO376">
        <f t="shared" si="75"/>
        <v>3.0000000000000165E-4</v>
      </c>
      <c r="AP376">
        <f t="shared" si="76"/>
        <v>1.9999999999999879E-4</v>
      </c>
    </row>
    <row r="377" spans="17:42" x14ac:dyDescent="0.25">
      <c r="Q377" s="1">
        <v>44505</v>
      </c>
      <c r="R377">
        <v>5.0000000000000001E-4</v>
      </c>
      <c r="S377">
        <v>5.9999999999999995E-4</v>
      </c>
      <c r="T377">
        <v>5.0000000000000001E-4</v>
      </c>
      <c r="U377">
        <v>7.000000000000001E-4</v>
      </c>
      <c r="V377">
        <v>1.4000000000000002E-3</v>
      </c>
      <c r="W377">
        <v>3.9000000000000003E-3</v>
      </c>
      <c r="X377">
        <v>6.6E-3</v>
      </c>
      <c r="Y377">
        <v>1.04E-2</v>
      </c>
      <c r="Z377">
        <v>1.3000000000000001E-2</v>
      </c>
      <c r="AA377">
        <v>1.4499999999999999E-2</v>
      </c>
      <c r="AB377">
        <v>1.8799999999999997E-2</v>
      </c>
      <c r="AC377">
        <v>1.8700000000000001E-2</v>
      </c>
      <c r="AE377">
        <f t="shared" si="65"/>
        <v>0</v>
      </c>
      <c r="AF377">
        <f t="shared" si="66"/>
        <v>9.9999999999999937E-5</v>
      </c>
      <c r="AG377">
        <f t="shared" si="67"/>
        <v>9.9999999999999991E-5</v>
      </c>
      <c r="AH377">
        <f t="shared" si="68"/>
        <v>0</v>
      </c>
      <c r="AI377">
        <f t="shared" si="69"/>
        <v>0</v>
      </c>
      <c r="AJ377">
        <f t="shared" si="70"/>
        <v>-1.9999999999999922E-4</v>
      </c>
      <c r="AK377">
        <f t="shared" si="71"/>
        <v>-2.9999999999999992E-4</v>
      </c>
      <c r="AL377">
        <f t="shared" si="72"/>
        <v>-6.0000000000000157E-4</v>
      </c>
      <c r="AM377">
        <f t="shared" si="73"/>
        <v>-6.9999999999999923E-4</v>
      </c>
      <c r="AN377">
        <f t="shared" si="74"/>
        <v>-8.000000000000021E-4</v>
      </c>
      <c r="AO377">
        <f t="shared" si="75"/>
        <v>-8.000000000000021E-4</v>
      </c>
      <c r="AP377">
        <f t="shared" si="76"/>
        <v>-8.9999999999999802E-4</v>
      </c>
    </row>
    <row r="378" spans="17:42" x14ac:dyDescent="0.25">
      <c r="Q378" s="1">
        <v>44504</v>
      </c>
      <c r="R378">
        <v>5.0000000000000001E-4</v>
      </c>
      <c r="S378">
        <v>5.0000000000000001E-4</v>
      </c>
      <c r="T378">
        <v>4.0000000000000002E-4</v>
      </c>
      <c r="U378">
        <v>7.000000000000001E-4</v>
      </c>
      <c r="V378">
        <v>1.4000000000000002E-3</v>
      </c>
      <c r="W378">
        <v>4.0999999999999995E-3</v>
      </c>
      <c r="X378">
        <v>6.8999999999999999E-3</v>
      </c>
      <c r="Y378">
        <v>1.1000000000000001E-2</v>
      </c>
      <c r="Z378">
        <v>1.37E-2</v>
      </c>
      <c r="AA378">
        <v>1.5300000000000001E-2</v>
      </c>
      <c r="AB378">
        <v>1.9599999999999999E-2</v>
      </c>
      <c r="AC378">
        <v>1.9599999999999999E-2</v>
      </c>
      <c r="AE378">
        <f t="shared" si="65"/>
        <v>0</v>
      </c>
      <c r="AF378">
        <f t="shared" si="66"/>
        <v>-2.0000000000000009E-4</v>
      </c>
      <c r="AG378">
        <f t="shared" si="67"/>
        <v>-9.9999999999999991E-5</v>
      </c>
      <c r="AH378">
        <f t="shared" si="68"/>
        <v>0</v>
      </c>
      <c r="AI378">
        <f t="shared" si="69"/>
        <v>-2.9999999999999992E-4</v>
      </c>
      <c r="AJ378">
        <f t="shared" si="70"/>
        <v>-5.9999999999999984E-4</v>
      </c>
      <c r="AK378">
        <f t="shared" si="71"/>
        <v>-8.0000000000000036E-4</v>
      </c>
      <c r="AL378">
        <f t="shared" si="72"/>
        <v>-8.9999999999999802E-4</v>
      </c>
      <c r="AM378">
        <f t="shared" si="73"/>
        <v>-8.9999999999999976E-4</v>
      </c>
      <c r="AN378">
        <f t="shared" si="74"/>
        <v>-6.9999999999999923E-4</v>
      </c>
      <c r="AO378">
        <f t="shared" si="75"/>
        <v>-4.9999999999999697E-4</v>
      </c>
      <c r="AP378">
        <f t="shared" si="76"/>
        <v>-4.0000000000000105E-4</v>
      </c>
    </row>
    <row r="379" spans="17:42" x14ac:dyDescent="0.25">
      <c r="Q379" s="1">
        <v>44503</v>
      </c>
      <c r="R379">
        <v>5.0000000000000001E-4</v>
      </c>
      <c r="S379">
        <v>7.000000000000001E-4</v>
      </c>
      <c r="T379">
        <v>5.0000000000000001E-4</v>
      </c>
      <c r="U379">
        <v>7.000000000000001E-4</v>
      </c>
      <c r="V379">
        <v>1.7000000000000001E-3</v>
      </c>
      <c r="W379">
        <v>4.6999999999999993E-3</v>
      </c>
      <c r="X379">
        <v>7.7000000000000002E-3</v>
      </c>
      <c r="Y379">
        <v>1.1899999999999999E-2</v>
      </c>
      <c r="Z379">
        <v>1.46E-2</v>
      </c>
      <c r="AA379">
        <v>1.6E-2</v>
      </c>
      <c r="AB379">
        <v>2.0099999999999996E-2</v>
      </c>
      <c r="AC379">
        <v>0.02</v>
      </c>
      <c r="AE379">
        <f t="shared" si="65"/>
        <v>0</v>
      </c>
      <c r="AF379">
        <f t="shared" si="66"/>
        <v>1.0000000000000015E-4</v>
      </c>
      <c r="AG379">
        <f t="shared" si="67"/>
        <v>0</v>
      </c>
      <c r="AH379">
        <f t="shared" si="68"/>
        <v>0</v>
      </c>
      <c r="AI379">
        <f t="shared" si="69"/>
        <v>2.0000000000000009E-4</v>
      </c>
      <c r="AJ379">
        <f t="shared" si="70"/>
        <v>9.9999999999999395E-5</v>
      </c>
      <c r="AK379">
        <f t="shared" si="71"/>
        <v>4.0000000000000018E-4</v>
      </c>
      <c r="AL379">
        <f t="shared" si="72"/>
        <v>3.9999999999999931E-4</v>
      </c>
      <c r="AM379">
        <f t="shared" si="73"/>
        <v>4.0000000000000105E-4</v>
      </c>
      <c r="AN379">
        <f t="shared" si="74"/>
        <v>3.9999999999999931E-4</v>
      </c>
      <c r="AO379">
        <f t="shared" si="75"/>
        <v>3.9999999999999758E-4</v>
      </c>
      <c r="AP379">
        <f t="shared" si="76"/>
        <v>4.0000000000000105E-4</v>
      </c>
    </row>
    <row r="380" spans="17:42" x14ac:dyDescent="0.25">
      <c r="Q380" s="1">
        <v>44502</v>
      </c>
      <c r="R380">
        <v>5.0000000000000001E-4</v>
      </c>
      <c r="S380">
        <v>5.9999999999999995E-4</v>
      </c>
      <c r="T380">
        <v>5.0000000000000001E-4</v>
      </c>
      <c r="U380">
        <v>7.000000000000001E-4</v>
      </c>
      <c r="V380">
        <v>1.5E-3</v>
      </c>
      <c r="W380">
        <v>4.5999999999999999E-3</v>
      </c>
      <c r="X380">
        <v>7.3000000000000001E-3</v>
      </c>
      <c r="Y380">
        <v>1.15E-2</v>
      </c>
      <c r="Z380">
        <v>1.4199999999999999E-2</v>
      </c>
      <c r="AA380">
        <v>1.5600000000000001E-2</v>
      </c>
      <c r="AB380">
        <v>1.9699999999999999E-2</v>
      </c>
      <c r="AC380">
        <v>1.9599999999999999E-2</v>
      </c>
      <c r="AE380">
        <f t="shared" si="65"/>
        <v>0</v>
      </c>
      <c r="AF380">
        <f t="shared" si="66"/>
        <v>-3.0000000000000003E-4</v>
      </c>
      <c r="AG380">
        <f t="shared" si="67"/>
        <v>0</v>
      </c>
      <c r="AH380">
        <f t="shared" si="68"/>
        <v>1.0000000000000015E-4</v>
      </c>
      <c r="AI380">
        <f t="shared" si="69"/>
        <v>0</v>
      </c>
      <c r="AJ380">
        <f t="shared" si="70"/>
        <v>-4.0000000000000018E-4</v>
      </c>
      <c r="AK380">
        <f t="shared" si="71"/>
        <v>-6.0000000000000071E-4</v>
      </c>
      <c r="AL380">
        <f t="shared" si="72"/>
        <v>-5.0000000000000044E-4</v>
      </c>
      <c r="AM380">
        <f t="shared" si="73"/>
        <v>-4.0000000000000105E-4</v>
      </c>
      <c r="AN380">
        <f t="shared" si="74"/>
        <v>-2.0000000000000052E-4</v>
      </c>
      <c r="AO380">
        <f t="shared" si="75"/>
        <v>-3.9999999999999758E-4</v>
      </c>
      <c r="AP380">
        <f t="shared" si="76"/>
        <v>-1.9999999999999879E-4</v>
      </c>
    </row>
    <row r="381" spans="17:42" x14ac:dyDescent="0.25">
      <c r="Q381" s="1">
        <v>44501</v>
      </c>
      <c r="R381">
        <v>5.0000000000000001E-4</v>
      </c>
      <c r="S381">
        <v>8.9999999999999998E-4</v>
      </c>
      <c r="T381">
        <v>5.0000000000000001E-4</v>
      </c>
      <c r="U381">
        <v>5.9999999999999995E-4</v>
      </c>
      <c r="V381">
        <v>1.5E-3</v>
      </c>
      <c r="W381">
        <v>5.0000000000000001E-3</v>
      </c>
      <c r="X381">
        <v>7.9000000000000008E-3</v>
      </c>
      <c r="Y381">
        <v>1.2E-2</v>
      </c>
      <c r="Z381">
        <v>1.46E-2</v>
      </c>
      <c r="AA381">
        <v>1.5800000000000002E-2</v>
      </c>
      <c r="AB381">
        <v>2.0099999999999996E-2</v>
      </c>
      <c r="AC381">
        <v>1.9799999999999998E-2</v>
      </c>
      <c r="AE381">
        <f t="shared" si="65"/>
        <v>-9.9999999999999937E-5</v>
      </c>
      <c r="AF381">
        <f t="shared" si="66"/>
        <v>9.9999999999999937E-5</v>
      </c>
      <c r="AG381">
        <f t="shared" si="67"/>
        <v>0</v>
      </c>
      <c r="AH381">
        <f t="shared" si="68"/>
        <v>-1.0000000000000015E-4</v>
      </c>
      <c r="AI381">
        <f t="shared" si="69"/>
        <v>0</v>
      </c>
      <c r="AJ381">
        <f t="shared" si="70"/>
        <v>2.0000000000000052E-4</v>
      </c>
      <c r="AK381">
        <f t="shared" si="71"/>
        <v>4.0000000000000105E-4</v>
      </c>
      <c r="AL381">
        <f t="shared" si="72"/>
        <v>2.0000000000000052E-4</v>
      </c>
      <c r="AM381">
        <f t="shared" si="73"/>
        <v>2.0000000000000052E-4</v>
      </c>
      <c r="AN381">
        <f t="shared" si="74"/>
        <v>3.0000000000000165E-4</v>
      </c>
      <c r="AO381">
        <f t="shared" si="75"/>
        <v>2.9999999999999818E-4</v>
      </c>
      <c r="AP381">
        <f t="shared" si="76"/>
        <v>5.0000000000000044E-4</v>
      </c>
    </row>
    <row r="382" spans="17:42" x14ac:dyDescent="0.25">
      <c r="Q382" s="1">
        <v>44498</v>
      </c>
      <c r="R382">
        <v>5.9999999999999995E-4</v>
      </c>
      <c r="S382">
        <v>8.0000000000000004E-4</v>
      </c>
      <c r="T382">
        <v>5.0000000000000001E-4</v>
      </c>
      <c r="U382">
        <v>7.000000000000001E-4</v>
      </c>
      <c r="V382">
        <v>1.5E-3</v>
      </c>
      <c r="W382">
        <v>4.7999999999999996E-3</v>
      </c>
      <c r="X382">
        <v>7.4999999999999997E-3</v>
      </c>
      <c r="Y382">
        <v>1.18E-2</v>
      </c>
      <c r="Z382">
        <v>1.44E-2</v>
      </c>
      <c r="AA382">
        <v>1.55E-2</v>
      </c>
      <c r="AB382">
        <v>1.9799999999999998E-2</v>
      </c>
      <c r="AC382">
        <v>1.9299999999999998E-2</v>
      </c>
      <c r="AE382">
        <f t="shared" si="65"/>
        <v>0</v>
      </c>
      <c r="AF382">
        <f t="shared" si="66"/>
        <v>-1.9999999999999998E-4</v>
      </c>
      <c r="AG382">
        <f t="shared" si="67"/>
        <v>-9.9999999999999937E-5</v>
      </c>
      <c r="AH382">
        <f t="shared" si="68"/>
        <v>1.0000000000000015E-4</v>
      </c>
      <c r="AI382">
        <f t="shared" si="69"/>
        <v>0</v>
      </c>
      <c r="AJ382">
        <f t="shared" si="70"/>
        <v>-2.0000000000000052E-4</v>
      </c>
      <c r="AK382">
        <f t="shared" si="71"/>
        <v>-2.0000000000000052E-4</v>
      </c>
      <c r="AL382">
        <f t="shared" si="72"/>
        <v>0</v>
      </c>
      <c r="AM382">
        <f t="shared" si="73"/>
        <v>0</v>
      </c>
      <c r="AN382">
        <f t="shared" si="74"/>
        <v>-2.0000000000000226E-4</v>
      </c>
      <c r="AO382">
        <f t="shared" si="75"/>
        <v>0</v>
      </c>
      <c r="AP382">
        <f t="shared" si="76"/>
        <v>-3.0000000000000165E-4</v>
      </c>
    </row>
    <row r="383" spans="17:42" x14ac:dyDescent="0.25">
      <c r="Q383" s="1">
        <v>44497</v>
      </c>
      <c r="R383">
        <v>5.9999999999999995E-4</v>
      </c>
      <c r="S383">
        <v>1E-3</v>
      </c>
      <c r="T383">
        <v>5.9999999999999995E-4</v>
      </c>
      <c r="U383">
        <v>5.9999999999999995E-4</v>
      </c>
      <c r="V383">
        <v>1.5E-3</v>
      </c>
      <c r="W383">
        <v>5.0000000000000001E-3</v>
      </c>
      <c r="X383">
        <v>7.7000000000000002E-3</v>
      </c>
      <c r="Y383">
        <v>1.18E-2</v>
      </c>
      <c r="Z383">
        <v>1.44E-2</v>
      </c>
      <c r="AA383">
        <v>1.5700000000000002E-2</v>
      </c>
      <c r="AB383">
        <v>1.9799999999999998E-2</v>
      </c>
      <c r="AC383">
        <v>1.9599999999999999E-2</v>
      </c>
      <c r="AE383">
        <f t="shared" si="65"/>
        <v>0</v>
      </c>
      <c r="AF383">
        <f t="shared" si="66"/>
        <v>2.9999999999999992E-4</v>
      </c>
      <c r="AG383">
        <f t="shared" si="67"/>
        <v>0</v>
      </c>
      <c r="AH383">
        <f t="shared" si="68"/>
        <v>-1.0000000000000015E-4</v>
      </c>
      <c r="AI383">
        <f t="shared" si="69"/>
        <v>3.0000000000000014E-4</v>
      </c>
      <c r="AJ383">
        <f t="shared" si="70"/>
        <v>0</v>
      </c>
      <c r="AK383">
        <f t="shared" si="71"/>
        <v>0</v>
      </c>
      <c r="AL383">
        <f t="shared" si="72"/>
        <v>2.0000000000000052E-4</v>
      </c>
      <c r="AM383">
        <f t="shared" si="73"/>
        <v>2.9999999999999992E-4</v>
      </c>
      <c r="AN383">
        <f t="shared" si="74"/>
        <v>3.0000000000000165E-4</v>
      </c>
      <c r="AO383">
        <f t="shared" si="75"/>
        <v>5.0000000000000044E-4</v>
      </c>
      <c r="AP383">
        <f t="shared" si="76"/>
        <v>9.9999999999999395E-5</v>
      </c>
    </row>
    <row r="384" spans="17:42" x14ac:dyDescent="0.25">
      <c r="Q384" s="1">
        <v>44496</v>
      </c>
      <c r="R384">
        <v>5.9999999999999995E-4</v>
      </c>
      <c r="S384">
        <v>7.000000000000001E-4</v>
      </c>
      <c r="T384">
        <v>5.9999999999999995E-4</v>
      </c>
      <c r="U384">
        <v>7.000000000000001E-4</v>
      </c>
      <c r="V384">
        <v>1.1999999999999999E-3</v>
      </c>
      <c r="W384">
        <v>5.0000000000000001E-3</v>
      </c>
      <c r="X384">
        <v>7.7000000000000002E-3</v>
      </c>
      <c r="Y384">
        <v>1.1599999999999999E-2</v>
      </c>
      <c r="Z384">
        <v>1.41E-2</v>
      </c>
      <c r="AA384">
        <v>1.54E-2</v>
      </c>
      <c r="AB384">
        <v>1.9299999999999998E-2</v>
      </c>
      <c r="AC384">
        <v>1.95E-2</v>
      </c>
      <c r="AE384">
        <f t="shared" si="65"/>
        <v>0</v>
      </c>
      <c r="AF384">
        <f t="shared" si="66"/>
        <v>-9.9999999999999937E-5</v>
      </c>
      <c r="AG384">
        <f t="shared" si="67"/>
        <v>0</v>
      </c>
      <c r="AH384">
        <f t="shared" si="68"/>
        <v>1.0000000000000015E-4</v>
      </c>
      <c r="AI384">
        <f t="shared" si="69"/>
        <v>-2.0000000000000031E-4</v>
      </c>
      <c r="AJ384">
        <f t="shared" si="70"/>
        <v>3.0000000000000079E-4</v>
      </c>
      <c r="AK384">
        <f t="shared" si="71"/>
        <v>0</v>
      </c>
      <c r="AL384">
        <f t="shared" si="72"/>
        <v>-4.0000000000000105E-4</v>
      </c>
      <c r="AM384">
        <f t="shared" si="73"/>
        <v>-5.0000000000000044E-4</v>
      </c>
      <c r="AN384">
        <f t="shared" si="74"/>
        <v>-8.9999999999999802E-4</v>
      </c>
      <c r="AO384">
        <f t="shared" si="75"/>
        <v>-1.0000000000000009E-3</v>
      </c>
      <c r="AP384">
        <f t="shared" si="76"/>
        <v>-9.9999999999999742E-4</v>
      </c>
    </row>
    <row r="385" spans="17:42" x14ac:dyDescent="0.25">
      <c r="Q385" s="1">
        <v>44495</v>
      </c>
      <c r="R385">
        <v>5.9999999999999995E-4</v>
      </c>
      <c r="S385">
        <v>8.0000000000000004E-4</v>
      </c>
      <c r="T385">
        <v>5.9999999999999995E-4</v>
      </c>
      <c r="U385">
        <v>5.9999999999999995E-4</v>
      </c>
      <c r="V385">
        <v>1.4000000000000002E-3</v>
      </c>
      <c r="W385">
        <v>4.6999999999999993E-3</v>
      </c>
      <c r="X385">
        <v>7.7000000000000002E-3</v>
      </c>
      <c r="Y385">
        <v>1.2E-2</v>
      </c>
      <c r="Z385">
        <v>1.46E-2</v>
      </c>
      <c r="AA385">
        <v>1.6299999999999999E-2</v>
      </c>
      <c r="AB385">
        <v>2.0299999999999999E-2</v>
      </c>
      <c r="AC385">
        <v>2.0499999999999997E-2</v>
      </c>
      <c r="AE385">
        <f t="shared" si="65"/>
        <v>-1.0000000000000015E-4</v>
      </c>
      <c r="AF385">
        <f t="shared" si="66"/>
        <v>-1.9999999999999998E-4</v>
      </c>
      <c r="AG385">
        <f t="shared" si="67"/>
        <v>0</v>
      </c>
      <c r="AH385">
        <f t="shared" si="68"/>
        <v>0</v>
      </c>
      <c r="AI385">
        <f t="shared" si="69"/>
        <v>0</v>
      </c>
      <c r="AJ385">
        <f t="shared" si="70"/>
        <v>0</v>
      </c>
      <c r="AK385">
        <f t="shared" si="71"/>
        <v>1.0000000000000026E-4</v>
      </c>
      <c r="AL385">
        <f t="shared" si="72"/>
        <v>1.0000000000000113E-4</v>
      </c>
      <c r="AM385">
        <f t="shared" si="73"/>
        <v>-9.9999999999999395E-5</v>
      </c>
      <c r="AN385">
        <f t="shared" si="74"/>
        <v>-9.9999999999999395E-5</v>
      </c>
      <c r="AO385">
        <f t="shared" si="75"/>
        <v>-4.0000000000000105E-4</v>
      </c>
      <c r="AP385">
        <f t="shared" si="76"/>
        <v>-4.0000000000000105E-4</v>
      </c>
    </row>
    <row r="386" spans="17:42" x14ac:dyDescent="0.25">
      <c r="Q386" s="1">
        <v>44494</v>
      </c>
      <c r="R386">
        <v>7.000000000000001E-4</v>
      </c>
      <c r="S386">
        <v>1E-3</v>
      </c>
      <c r="T386">
        <v>5.9999999999999995E-4</v>
      </c>
      <c r="U386">
        <v>5.9999999999999995E-4</v>
      </c>
      <c r="V386">
        <v>1.4000000000000002E-3</v>
      </c>
      <c r="W386">
        <v>4.6999999999999993E-3</v>
      </c>
      <c r="X386">
        <v>7.6E-3</v>
      </c>
      <c r="Y386">
        <v>1.1899999999999999E-2</v>
      </c>
      <c r="Z386">
        <v>1.47E-2</v>
      </c>
      <c r="AA386">
        <v>1.6399999999999998E-2</v>
      </c>
      <c r="AB386">
        <v>2.07E-2</v>
      </c>
      <c r="AC386">
        <v>2.0899999999999998E-2</v>
      </c>
      <c r="AE386">
        <f t="shared" si="65"/>
        <v>2.0000000000000009E-4</v>
      </c>
      <c r="AF386">
        <f t="shared" si="66"/>
        <v>1.0000000000000005E-4</v>
      </c>
      <c r="AG386">
        <f t="shared" si="67"/>
        <v>0</v>
      </c>
      <c r="AH386">
        <f t="shared" si="68"/>
        <v>-1.0000000000000015E-4</v>
      </c>
      <c r="AI386">
        <f t="shared" si="69"/>
        <v>1.0000000000000026E-4</v>
      </c>
      <c r="AJ386">
        <f t="shared" si="70"/>
        <v>-1.0000000000000026E-4</v>
      </c>
      <c r="AK386">
        <f t="shared" si="71"/>
        <v>-3.0000000000000079E-4</v>
      </c>
      <c r="AL386">
        <f t="shared" si="72"/>
        <v>-2.9999999999999992E-4</v>
      </c>
      <c r="AM386">
        <f t="shared" si="73"/>
        <v>-2.0000000000000052E-4</v>
      </c>
      <c r="AN386">
        <f t="shared" si="74"/>
        <v>-2.0000000000000226E-4</v>
      </c>
      <c r="AO386">
        <f t="shared" si="75"/>
        <v>9.9999999999999395E-5</v>
      </c>
      <c r="AP386">
        <f t="shared" si="76"/>
        <v>9.9999999999999395E-5</v>
      </c>
    </row>
    <row r="387" spans="17:42" x14ac:dyDescent="0.25">
      <c r="Q387" s="1">
        <v>44491</v>
      </c>
      <c r="R387">
        <v>5.0000000000000001E-4</v>
      </c>
      <c r="S387">
        <v>8.9999999999999998E-4</v>
      </c>
      <c r="T387">
        <v>5.9999999999999995E-4</v>
      </c>
      <c r="U387">
        <v>7.000000000000001E-4</v>
      </c>
      <c r="V387">
        <v>1.2999999999999999E-3</v>
      </c>
      <c r="W387">
        <v>4.7999999999999996E-3</v>
      </c>
      <c r="X387">
        <v>7.9000000000000008E-3</v>
      </c>
      <c r="Y387">
        <v>1.2199999999999999E-2</v>
      </c>
      <c r="Z387">
        <v>1.49E-2</v>
      </c>
      <c r="AA387">
        <v>1.66E-2</v>
      </c>
      <c r="AB387">
        <v>2.06E-2</v>
      </c>
      <c r="AC387">
        <v>2.0799999999999999E-2</v>
      </c>
      <c r="AE387">
        <f t="shared" si="65"/>
        <v>-9.9999999999999937E-5</v>
      </c>
      <c r="AF387">
        <f t="shared" si="66"/>
        <v>9.9999999999999937E-5</v>
      </c>
      <c r="AG387">
        <f t="shared" si="67"/>
        <v>0</v>
      </c>
      <c r="AH387">
        <f t="shared" si="68"/>
        <v>1.0000000000000015E-4</v>
      </c>
      <c r="AI387">
        <f t="shared" si="69"/>
        <v>1.0000000000000005E-4</v>
      </c>
      <c r="AJ387">
        <f t="shared" si="70"/>
        <v>2.9999999999999905E-4</v>
      </c>
      <c r="AK387">
        <f t="shared" si="71"/>
        <v>1.0000000000000026E-4</v>
      </c>
      <c r="AL387">
        <f t="shared" si="72"/>
        <v>-1.0000000000000113E-4</v>
      </c>
      <c r="AM387">
        <f t="shared" si="73"/>
        <v>-2.9999999999999992E-4</v>
      </c>
      <c r="AN387">
        <f t="shared" si="74"/>
        <v>-1.9999999999999879E-4</v>
      </c>
      <c r="AO387">
        <f t="shared" si="75"/>
        <v>-4.0000000000000105E-4</v>
      </c>
      <c r="AP387">
        <f t="shared" si="76"/>
        <v>-5.0000000000000044E-4</v>
      </c>
    </row>
    <row r="388" spans="17:42" x14ac:dyDescent="0.25">
      <c r="Q388" s="1">
        <v>44490</v>
      </c>
      <c r="R388">
        <v>5.9999999999999995E-4</v>
      </c>
      <c r="S388">
        <v>8.0000000000000004E-4</v>
      </c>
      <c r="T388">
        <v>5.9999999999999995E-4</v>
      </c>
      <c r="U388">
        <v>5.9999999999999995E-4</v>
      </c>
      <c r="V388">
        <v>1.1999999999999999E-3</v>
      </c>
      <c r="W388">
        <v>4.5000000000000005E-3</v>
      </c>
      <c r="X388">
        <v>7.8000000000000005E-3</v>
      </c>
      <c r="Y388">
        <v>1.23E-2</v>
      </c>
      <c r="Z388">
        <v>1.52E-2</v>
      </c>
      <c r="AA388">
        <v>1.6799999999999999E-2</v>
      </c>
      <c r="AB388">
        <v>2.1000000000000001E-2</v>
      </c>
      <c r="AC388">
        <v>2.1299999999999999E-2</v>
      </c>
      <c r="AE388">
        <f t="shared" si="65"/>
        <v>0</v>
      </c>
      <c r="AF388">
        <f t="shared" si="66"/>
        <v>9.9999999999999937E-5</v>
      </c>
      <c r="AG388">
        <f t="shared" si="67"/>
        <v>9.9999999999999937E-5</v>
      </c>
      <c r="AH388">
        <f t="shared" si="68"/>
        <v>0</v>
      </c>
      <c r="AI388">
        <f t="shared" si="69"/>
        <v>1.9999999999999987E-4</v>
      </c>
      <c r="AJ388">
        <f t="shared" si="70"/>
        <v>5.0000000000000044E-4</v>
      </c>
      <c r="AK388">
        <f t="shared" si="71"/>
        <v>8.0000000000000123E-4</v>
      </c>
      <c r="AL388">
        <f t="shared" si="72"/>
        <v>7.0000000000000097E-4</v>
      </c>
      <c r="AM388">
        <f t="shared" si="73"/>
        <v>5.9999999999999984E-4</v>
      </c>
      <c r="AN388">
        <f t="shared" si="74"/>
        <v>2.9999999999999818E-4</v>
      </c>
      <c r="AO388">
        <f t="shared" si="75"/>
        <v>1.0000000000000286E-4</v>
      </c>
      <c r="AP388">
        <f t="shared" si="76"/>
        <v>9.9999999999999395E-5</v>
      </c>
    </row>
    <row r="389" spans="17:42" x14ac:dyDescent="0.25">
      <c r="Q389" s="1">
        <v>44489</v>
      </c>
      <c r="R389">
        <v>5.9999999999999995E-4</v>
      </c>
      <c r="S389">
        <v>7.000000000000001E-4</v>
      </c>
      <c r="T389">
        <v>5.0000000000000001E-4</v>
      </c>
      <c r="U389">
        <v>5.9999999999999995E-4</v>
      </c>
      <c r="V389">
        <v>1E-3</v>
      </c>
      <c r="W389">
        <v>4.0000000000000001E-3</v>
      </c>
      <c r="X389">
        <v>6.9999999999999993E-3</v>
      </c>
      <c r="Y389">
        <v>1.1599999999999999E-2</v>
      </c>
      <c r="Z389">
        <v>1.46E-2</v>
      </c>
      <c r="AA389">
        <v>1.6500000000000001E-2</v>
      </c>
      <c r="AB389">
        <v>2.0899999999999998E-2</v>
      </c>
      <c r="AC389">
        <v>2.12E-2</v>
      </c>
      <c r="AE389">
        <f t="shared" ref="AE389:AE452" si="77">R389-R390</f>
        <v>0</v>
      </c>
      <c r="AF389">
        <f t="shared" ref="AF389:AF452" si="78">S389-S390</f>
        <v>-1.9999999999999987E-4</v>
      </c>
      <c r="AG389">
        <f t="shared" ref="AG389:AG452" si="79">T389-T390</f>
        <v>0</v>
      </c>
      <c r="AH389">
        <f t="shared" ref="AH389:AH452" si="80">U389-U390</f>
        <v>0</v>
      </c>
      <c r="AI389">
        <f t="shared" ref="AI389:AI452" si="81">V389-V390</f>
        <v>-1.0000000000000005E-4</v>
      </c>
      <c r="AJ389">
        <f t="shared" ref="AJ389:AJ452" si="82">W389-W390</f>
        <v>-9.9999999999999395E-5</v>
      </c>
      <c r="AK389">
        <f t="shared" ref="AK389:AK452" si="83">X389-X390</f>
        <v>-1.0000000000000026E-4</v>
      </c>
      <c r="AL389">
        <f t="shared" ref="AL389:AL452" si="84">Y389-Y390</f>
        <v>-9.9999999999999395E-5</v>
      </c>
      <c r="AM389">
        <f t="shared" ref="AM389:AM452" si="85">Z389-Z390</f>
        <v>-9.9999999999999395E-5</v>
      </c>
      <c r="AN389">
        <f t="shared" ref="AN389:AN452" si="86">AA389-AA390</f>
        <v>0</v>
      </c>
      <c r="AO389">
        <f t="shared" ref="AO389:AO452" si="87">AB389-AB390</f>
        <v>1.9999999999999879E-4</v>
      </c>
      <c r="AP389">
        <f t="shared" ref="AP389:AP452" si="88">AC389-AC390</f>
        <v>3.0000000000000165E-4</v>
      </c>
    </row>
    <row r="390" spans="17:42" x14ac:dyDescent="0.25">
      <c r="Q390" s="1">
        <v>44488</v>
      </c>
      <c r="R390">
        <v>5.9999999999999995E-4</v>
      </c>
      <c r="S390">
        <v>8.9999999999999998E-4</v>
      </c>
      <c r="T390">
        <v>5.0000000000000001E-4</v>
      </c>
      <c r="U390">
        <v>5.9999999999999995E-4</v>
      </c>
      <c r="V390">
        <v>1.1000000000000001E-3</v>
      </c>
      <c r="W390">
        <v>4.0999999999999995E-3</v>
      </c>
      <c r="X390">
        <v>7.0999999999999995E-3</v>
      </c>
      <c r="Y390">
        <v>1.1699999999999999E-2</v>
      </c>
      <c r="Z390">
        <v>1.47E-2</v>
      </c>
      <c r="AA390">
        <v>1.6500000000000001E-2</v>
      </c>
      <c r="AB390">
        <v>2.07E-2</v>
      </c>
      <c r="AC390">
        <v>2.0899999999999998E-2</v>
      </c>
      <c r="AE390">
        <f t="shared" si="77"/>
        <v>9.9999999999999937E-5</v>
      </c>
      <c r="AF390">
        <f t="shared" si="78"/>
        <v>0</v>
      </c>
      <c r="AG390">
        <f t="shared" si="79"/>
        <v>-9.9999999999999937E-5</v>
      </c>
      <c r="AH390">
        <f t="shared" si="80"/>
        <v>0</v>
      </c>
      <c r="AI390">
        <f t="shared" si="81"/>
        <v>0</v>
      </c>
      <c r="AJ390">
        <f t="shared" si="82"/>
        <v>-3.0000000000000079E-4</v>
      </c>
      <c r="AK390">
        <f t="shared" si="83"/>
        <v>-1.0000000000000026E-4</v>
      </c>
      <c r="AL390">
        <f t="shared" si="84"/>
        <v>9.9999999999999395E-5</v>
      </c>
      <c r="AM390">
        <f t="shared" si="85"/>
        <v>3.9999999999999931E-4</v>
      </c>
      <c r="AN390">
        <f t="shared" si="86"/>
        <v>5.9999999999999984E-4</v>
      </c>
      <c r="AO390">
        <f t="shared" si="87"/>
        <v>7.9999999999999863E-4</v>
      </c>
      <c r="AP390">
        <f t="shared" si="88"/>
        <v>8.000000000000021E-4</v>
      </c>
    </row>
    <row r="391" spans="17:42" x14ac:dyDescent="0.25">
      <c r="Q391" s="1">
        <v>44487</v>
      </c>
      <c r="R391">
        <v>5.0000000000000001E-4</v>
      </c>
      <c r="S391">
        <v>8.9999999999999998E-4</v>
      </c>
      <c r="T391">
        <v>5.9999999999999995E-4</v>
      </c>
      <c r="U391">
        <v>5.9999999999999995E-4</v>
      </c>
      <c r="V391">
        <v>1.1000000000000001E-3</v>
      </c>
      <c r="W391">
        <v>4.4000000000000003E-3</v>
      </c>
      <c r="X391">
        <v>7.1999999999999998E-3</v>
      </c>
      <c r="Y391">
        <v>1.1599999999999999E-2</v>
      </c>
      <c r="Z391">
        <v>1.43E-2</v>
      </c>
      <c r="AA391">
        <v>1.5900000000000001E-2</v>
      </c>
      <c r="AB391">
        <v>1.9900000000000001E-2</v>
      </c>
      <c r="AC391">
        <v>2.0099999999999996E-2</v>
      </c>
      <c r="AE391">
        <f t="shared" si="77"/>
        <v>9.9999999999999991E-5</v>
      </c>
      <c r="AF391">
        <f t="shared" si="78"/>
        <v>9.9999999999999937E-5</v>
      </c>
      <c r="AG391">
        <f t="shared" si="79"/>
        <v>9.9999999999999937E-5</v>
      </c>
      <c r="AH391">
        <f t="shared" si="80"/>
        <v>0</v>
      </c>
      <c r="AI391">
        <f t="shared" si="81"/>
        <v>-9.9999999999999829E-5</v>
      </c>
      <c r="AJ391">
        <f t="shared" si="82"/>
        <v>3.0000000000000079E-4</v>
      </c>
      <c r="AK391">
        <f t="shared" si="83"/>
        <v>2.0000000000000052E-4</v>
      </c>
      <c r="AL391">
        <f t="shared" si="84"/>
        <v>2.9999999999999992E-4</v>
      </c>
      <c r="AM391">
        <f t="shared" si="85"/>
        <v>1.0000000000000113E-4</v>
      </c>
      <c r="AN391">
        <f t="shared" si="86"/>
        <v>0</v>
      </c>
      <c r="AO391">
        <f t="shared" si="87"/>
        <v>-2.9999999999999818E-4</v>
      </c>
      <c r="AP391">
        <f t="shared" si="88"/>
        <v>-4.0000000000000105E-4</v>
      </c>
    </row>
    <row r="392" spans="17:42" x14ac:dyDescent="0.25">
      <c r="Q392" s="1">
        <v>44484</v>
      </c>
      <c r="R392">
        <v>4.0000000000000002E-4</v>
      </c>
      <c r="S392">
        <v>8.0000000000000004E-4</v>
      </c>
      <c r="T392">
        <v>5.0000000000000001E-4</v>
      </c>
      <c r="U392">
        <v>5.9999999999999995E-4</v>
      </c>
      <c r="V392">
        <v>1.1999999999999999E-3</v>
      </c>
      <c r="W392">
        <v>4.0999999999999995E-3</v>
      </c>
      <c r="X392">
        <v>6.9999999999999993E-3</v>
      </c>
      <c r="Y392">
        <v>1.1299999999999999E-2</v>
      </c>
      <c r="Z392">
        <v>1.4199999999999999E-2</v>
      </c>
      <c r="AA392">
        <v>1.5900000000000001E-2</v>
      </c>
      <c r="AB392">
        <v>2.0199999999999999E-2</v>
      </c>
      <c r="AC392">
        <v>2.0499999999999997E-2</v>
      </c>
      <c r="AE392">
        <f t="shared" si="77"/>
        <v>-9.9999999999999991E-5</v>
      </c>
      <c r="AF392">
        <f t="shared" si="78"/>
        <v>0</v>
      </c>
      <c r="AG392">
        <f t="shared" si="79"/>
        <v>0</v>
      </c>
      <c r="AH392">
        <f t="shared" si="80"/>
        <v>0</v>
      </c>
      <c r="AI392">
        <f t="shared" si="81"/>
        <v>1.9999999999999987E-4</v>
      </c>
      <c r="AJ392">
        <f t="shared" si="82"/>
        <v>4.9999999999999958E-4</v>
      </c>
      <c r="AK392">
        <f t="shared" si="83"/>
        <v>7.999999999999995E-4</v>
      </c>
      <c r="AL392">
        <f t="shared" si="84"/>
        <v>7.9999999999999863E-4</v>
      </c>
      <c r="AM392">
        <f t="shared" si="85"/>
        <v>7.9999999999999863E-4</v>
      </c>
      <c r="AN392">
        <f t="shared" si="86"/>
        <v>7.0000000000000097E-4</v>
      </c>
      <c r="AO392">
        <f t="shared" si="87"/>
        <v>5.0000000000000044E-4</v>
      </c>
      <c r="AP392">
        <f t="shared" si="88"/>
        <v>2.9999999999999818E-4</v>
      </c>
    </row>
    <row r="393" spans="17:42" x14ac:dyDescent="0.25">
      <c r="Q393" s="1">
        <v>44483</v>
      </c>
      <c r="R393">
        <v>5.0000000000000001E-4</v>
      </c>
      <c r="S393">
        <v>8.0000000000000004E-4</v>
      </c>
      <c r="T393">
        <v>5.0000000000000001E-4</v>
      </c>
      <c r="U393">
        <v>5.9999999999999995E-4</v>
      </c>
      <c r="V393">
        <v>1E-3</v>
      </c>
      <c r="W393">
        <v>3.5999999999999999E-3</v>
      </c>
      <c r="X393">
        <v>6.1999999999999998E-3</v>
      </c>
      <c r="Y393">
        <v>1.0500000000000001E-2</v>
      </c>
      <c r="Z393">
        <v>1.34E-2</v>
      </c>
      <c r="AA393">
        <v>1.52E-2</v>
      </c>
      <c r="AB393">
        <v>1.9699999999999999E-2</v>
      </c>
      <c r="AC393">
        <v>2.0199999999999999E-2</v>
      </c>
      <c r="AE393">
        <f t="shared" si="77"/>
        <v>2.0000000000000004E-4</v>
      </c>
      <c r="AF393">
        <f t="shared" si="78"/>
        <v>2.0000000000000009E-4</v>
      </c>
      <c r="AG393">
        <f t="shared" si="79"/>
        <v>0</v>
      </c>
      <c r="AH393">
        <f t="shared" si="80"/>
        <v>0</v>
      </c>
      <c r="AI393">
        <f t="shared" si="81"/>
        <v>-1.0000000000000005E-4</v>
      </c>
      <c r="AJ393">
        <f t="shared" si="82"/>
        <v>-1.0000000000000026E-4</v>
      </c>
      <c r="AK393">
        <f t="shared" si="83"/>
        <v>-4.0000000000000018E-4</v>
      </c>
      <c r="AL393">
        <f t="shared" si="84"/>
        <v>-3.9999999999999931E-4</v>
      </c>
      <c r="AM393">
        <f t="shared" si="85"/>
        <v>-3.9999999999999931E-4</v>
      </c>
      <c r="AN393">
        <f t="shared" si="86"/>
        <v>-4.0000000000000105E-4</v>
      </c>
      <c r="AO393">
        <f t="shared" si="87"/>
        <v>-3.0000000000000165E-4</v>
      </c>
      <c r="AP393">
        <f t="shared" si="88"/>
        <v>-2.9999999999999818E-4</v>
      </c>
    </row>
    <row r="394" spans="17:42" x14ac:dyDescent="0.25">
      <c r="Q394" s="1">
        <v>44482</v>
      </c>
      <c r="R394">
        <v>2.9999999999999997E-4</v>
      </c>
      <c r="S394">
        <v>5.9999999999999995E-4</v>
      </c>
      <c r="T394">
        <v>5.0000000000000001E-4</v>
      </c>
      <c r="U394">
        <v>5.9999999999999995E-4</v>
      </c>
      <c r="V394">
        <v>1.1000000000000001E-3</v>
      </c>
      <c r="W394">
        <v>3.7000000000000002E-3</v>
      </c>
      <c r="X394">
        <v>6.6E-3</v>
      </c>
      <c r="Y394">
        <v>1.09E-2</v>
      </c>
      <c r="Z394">
        <v>1.38E-2</v>
      </c>
      <c r="AA394">
        <v>1.5600000000000001E-2</v>
      </c>
      <c r="AB394">
        <v>0.02</v>
      </c>
      <c r="AC394">
        <v>2.0499999999999997E-2</v>
      </c>
      <c r="AE394">
        <f t="shared" si="77"/>
        <v>0</v>
      </c>
      <c r="AF394">
        <f t="shared" si="78"/>
        <v>-1.0000000000000015E-4</v>
      </c>
      <c r="AG394">
        <f t="shared" si="79"/>
        <v>-9.9999999999999937E-5</v>
      </c>
      <c r="AH394">
        <f t="shared" si="80"/>
        <v>0</v>
      </c>
      <c r="AI394">
        <f t="shared" si="81"/>
        <v>1.0000000000000005E-4</v>
      </c>
      <c r="AJ394">
        <f t="shared" si="82"/>
        <v>2.0000000000000052E-4</v>
      </c>
      <c r="AK394">
        <f t="shared" si="83"/>
        <v>1.9999999999999966E-4</v>
      </c>
      <c r="AL394">
        <f t="shared" si="84"/>
        <v>9.9999999999999395E-5</v>
      </c>
      <c r="AM394">
        <f t="shared" si="85"/>
        <v>-9.9999999999999395E-5</v>
      </c>
      <c r="AN394">
        <f t="shared" si="86"/>
        <v>-2.9999999999999992E-4</v>
      </c>
      <c r="AO394">
        <f t="shared" si="87"/>
        <v>-4.9999999999999697E-4</v>
      </c>
      <c r="AP394">
        <f t="shared" si="88"/>
        <v>-5.0000000000000391E-4</v>
      </c>
    </row>
    <row r="395" spans="17:42" x14ac:dyDescent="0.25">
      <c r="Q395" s="1">
        <v>44481</v>
      </c>
      <c r="R395">
        <v>2.9999999999999997E-4</v>
      </c>
      <c r="S395">
        <v>7.000000000000001E-4</v>
      </c>
      <c r="T395">
        <v>5.9999999999999995E-4</v>
      </c>
      <c r="U395">
        <v>5.9999999999999995E-4</v>
      </c>
      <c r="V395">
        <v>1E-3</v>
      </c>
      <c r="W395">
        <v>3.4999999999999996E-3</v>
      </c>
      <c r="X395">
        <v>6.4000000000000003E-3</v>
      </c>
      <c r="Y395">
        <v>1.0800000000000001E-2</v>
      </c>
      <c r="Z395">
        <v>1.3899999999999999E-2</v>
      </c>
      <c r="AA395">
        <v>1.5900000000000001E-2</v>
      </c>
      <c r="AB395">
        <v>2.0499999999999997E-2</v>
      </c>
      <c r="AC395">
        <v>2.1000000000000001E-2</v>
      </c>
      <c r="AE395">
        <f t="shared" si="77"/>
        <v>9.9999999999999964E-5</v>
      </c>
      <c r="AF395">
        <f t="shared" si="78"/>
        <v>0</v>
      </c>
      <c r="AG395">
        <f t="shared" si="79"/>
        <v>9.9999999999999937E-5</v>
      </c>
      <c r="AH395">
        <f t="shared" si="80"/>
        <v>-1.0000000000000015E-4</v>
      </c>
      <c r="AI395">
        <f t="shared" si="81"/>
        <v>1.0000000000000005E-4</v>
      </c>
      <c r="AJ395">
        <f t="shared" si="82"/>
        <v>2.9999999999999949E-4</v>
      </c>
      <c r="AK395">
        <f t="shared" si="83"/>
        <v>5.0000000000000044E-4</v>
      </c>
      <c r="AL395">
        <f t="shared" si="84"/>
        <v>2.9999999999999992E-4</v>
      </c>
      <c r="AM395">
        <f t="shared" si="85"/>
        <v>0</v>
      </c>
      <c r="AN395">
        <f t="shared" si="86"/>
        <v>-1.9999999999999879E-4</v>
      </c>
      <c r="AO395">
        <f t="shared" si="87"/>
        <v>-5.9999999999999984E-4</v>
      </c>
      <c r="AP395">
        <f t="shared" si="88"/>
        <v>-5.9999999999999984E-4</v>
      </c>
    </row>
    <row r="396" spans="17:42" x14ac:dyDescent="0.25">
      <c r="Q396" s="1">
        <v>44477</v>
      </c>
      <c r="R396">
        <v>2.0000000000000001E-4</v>
      </c>
      <c r="S396">
        <v>7.000000000000001E-4</v>
      </c>
      <c r="T396">
        <v>5.0000000000000001E-4</v>
      </c>
      <c r="U396">
        <v>7.000000000000001E-4</v>
      </c>
      <c r="V396">
        <v>8.9999999999999998E-4</v>
      </c>
      <c r="W396">
        <v>3.2000000000000002E-3</v>
      </c>
      <c r="X396">
        <v>5.8999999999999999E-3</v>
      </c>
      <c r="Y396">
        <v>1.0500000000000001E-2</v>
      </c>
      <c r="Z396">
        <v>1.3899999999999999E-2</v>
      </c>
      <c r="AA396">
        <v>1.61E-2</v>
      </c>
      <c r="AB396">
        <v>2.1099999999999997E-2</v>
      </c>
      <c r="AC396">
        <v>2.1600000000000001E-2</v>
      </c>
      <c r="AE396">
        <f t="shared" si="77"/>
        <v>-9.9999999999999964E-5</v>
      </c>
      <c r="AF396">
        <f t="shared" si="78"/>
        <v>-1.9999999999999987E-4</v>
      </c>
      <c r="AG396">
        <f t="shared" si="79"/>
        <v>0</v>
      </c>
      <c r="AH396">
        <f t="shared" si="80"/>
        <v>1.0000000000000015E-4</v>
      </c>
      <c r="AI396">
        <f t="shared" si="81"/>
        <v>-1.0000000000000005E-4</v>
      </c>
      <c r="AJ396">
        <f t="shared" si="82"/>
        <v>0</v>
      </c>
      <c r="AK396">
        <f t="shared" si="83"/>
        <v>2.0000000000000052E-4</v>
      </c>
      <c r="AL396">
        <f t="shared" si="84"/>
        <v>2.9999999999999992E-4</v>
      </c>
      <c r="AM396">
        <f t="shared" si="85"/>
        <v>2.9999999999999818E-4</v>
      </c>
      <c r="AN396">
        <f t="shared" si="86"/>
        <v>2.9999999999999818E-4</v>
      </c>
      <c r="AO396">
        <f t="shared" si="87"/>
        <v>2.9999999999999818E-4</v>
      </c>
      <c r="AP396">
        <f t="shared" si="88"/>
        <v>3.0000000000000165E-4</v>
      </c>
    </row>
    <row r="397" spans="17:42" x14ac:dyDescent="0.25">
      <c r="Q397" s="1">
        <v>44476</v>
      </c>
      <c r="R397">
        <v>2.9999999999999997E-4</v>
      </c>
      <c r="S397">
        <v>8.9999999999999998E-4</v>
      </c>
      <c r="T397">
        <v>5.0000000000000001E-4</v>
      </c>
      <c r="U397">
        <v>5.9999999999999995E-4</v>
      </c>
      <c r="V397">
        <v>1E-3</v>
      </c>
      <c r="W397">
        <v>3.2000000000000002E-3</v>
      </c>
      <c r="X397">
        <v>5.6999999999999993E-3</v>
      </c>
      <c r="Y397">
        <v>1.0200000000000001E-2</v>
      </c>
      <c r="Z397">
        <v>1.3600000000000001E-2</v>
      </c>
      <c r="AA397">
        <v>1.5800000000000002E-2</v>
      </c>
      <c r="AB397">
        <v>2.0799999999999999E-2</v>
      </c>
      <c r="AC397">
        <v>2.1299999999999999E-2</v>
      </c>
      <c r="AE397">
        <f t="shared" si="77"/>
        <v>-2.9999999999999997E-4</v>
      </c>
      <c r="AF397">
        <f t="shared" si="78"/>
        <v>5.0000000000000001E-4</v>
      </c>
      <c r="AG397">
        <f t="shared" si="79"/>
        <v>9.9999999999999991E-5</v>
      </c>
      <c r="AH397">
        <f t="shared" si="80"/>
        <v>0</v>
      </c>
      <c r="AI397">
        <f t="shared" si="81"/>
        <v>0</v>
      </c>
      <c r="AJ397">
        <f t="shared" si="82"/>
        <v>2.0000000000000009E-4</v>
      </c>
      <c r="AK397">
        <f t="shared" si="83"/>
        <v>1.9999999999999879E-4</v>
      </c>
      <c r="AL397">
        <f t="shared" si="84"/>
        <v>3.0000000000000165E-4</v>
      </c>
      <c r="AM397">
        <f t="shared" si="85"/>
        <v>4.0000000000000105E-4</v>
      </c>
      <c r="AN397">
        <f t="shared" si="86"/>
        <v>5.0000000000000044E-4</v>
      </c>
      <c r="AO397">
        <f t="shared" si="87"/>
        <v>5.9999999999999984E-4</v>
      </c>
      <c r="AP397">
        <f t="shared" si="88"/>
        <v>5.0000000000000044E-4</v>
      </c>
    </row>
    <row r="398" spans="17:42" x14ac:dyDescent="0.25">
      <c r="Q398" s="1">
        <v>44475</v>
      </c>
      <c r="R398">
        <v>5.9999999999999995E-4</v>
      </c>
      <c r="S398">
        <v>4.0000000000000002E-4</v>
      </c>
      <c r="T398">
        <v>4.0000000000000002E-4</v>
      </c>
      <c r="U398">
        <v>5.9999999999999995E-4</v>
      </c>
      <c r="V398">
        <v>1E-3</v>
      </c>
      <c r="W398">
        <v>3.0000000000000001E-3</v>
      </c>
      <c r="X398">
        <v>5.5000000000000005E-3</v>
      </c>
      <c r="Y398">
        <v>9.8999999999999991E-3</v>
      </c>
      <c r="Z398">
        <v>1.32E-2</v>
      </c>
      <c r="AA398">
        <v>1.5300000000000001E-2</v>
      </c>
      <c r="AB398">
        <v>2.0199999999999999E-2</v>
      </c>
      <c r="AC398">
        <v>2.0799999999999999E-2</v>
      </c>
      <c r="AE398">
        <f t="shared" si="77"/>
        <v>-4.0000000000000007E-4</v>
      </c>
      <c r="AF398">
        <f t="shared" si="78"/>
        <v>0</v>
      </c>
      <c r="AG398">
        <f t="shared" si="79"/>
        <v>0</v>
      </c>
      <c r="AH398">
        <f t="shared" si="80"/>
        <v>0</v>
      </c>
      <c r="AI398">
        <f t="shared" si="81"/>
        <v>1.0000000000000005E-4</v>
      </c>
      <c r="AJ398">
        <f t="shared" si="82"/>
        <v>1.9999999999999966E-4</v>
      </c>
      <c r="AK398">
        <f t="shared" si="83"/>
        <v>1.0000000000000026E-4</v>
      </c>
      <c r="AL398">
        <f t="shared" si="84"/>
        <v>9.9999999999999395E-5</v>
      </c>
      <c r="AM398">
        <f t="shared" si="85"/>
        <v>0</v>
      </c>
      <c r="AN398">
        <f t="shared" si="86"/>
        <v>-9.9999999999999395E-5</v>
      </c>
      <c r="AO398">
        <f t="shared" si="87"/>
        <v>-2.0000000000000226E-4</v>
      </c>
      <c r="AP398">
        <f t="shared" si="88"/>
        <v>-2.0000000000000226E-4</v>
      </c>
    </row>
    <row r="399" spans="17:42" x14ac:dyDescent="0.25">
      <c r="Q399" s="1">
        <v>44474</v>
      </c>
      <c r="R399">
        <v>1E-3</v>
      </c>
      <c r="S399">
        <v>4.0000000000000002E-4</v>
      </c>
      <c r="T399">
        <v>4.0000000000000002E-4</v>
      </c>
      <c r="U399">
        <v>5.9999999999999995E-4</v>
      </c>
      <c r="V399">
        <v>8.9999999999999998E-4</v>
      </c>
      <c r="W399">
        <v>2.8000000000000004E-3</v>
      </c>
      <c r="X399">
        <v>5.4000000000000003E-3</v>
      </c>
      <c r="Y399">
        <v>9.7999999999999997E-3</v>
      </c>
      <c r="Z399">
        <v>1.32E-2</v>
      </c>
      <c r="AA399">
        <v>1.54E-2</v>
      </c>
      <c r="AB399">
        <v>2.0400000000000001E-2</v>
      </c>
      <c r="AC399">
        <v>2.1000000000000001E-2</v>
      </c>
      <c r="AE399">
        <f t="shared" si="77"/>
        <v>1.0000000000000005E-4</v>
      </c>
      <c r="AF399">
        <f t="shared" si="78"/>
        <v>0</v>
      </c>
      <c r="AG399">
        <f t="shared" si="79"/>
        <v>0</v>
      </c>
      <c r="AH399">
        <f t="shared" si="80"/>
        <v>0</v>
      </c>
      <c r="AI399">
        <f t="shared" si="81"/>
        <v>0</v>
      </c>
      <c r="AJ399">
        <f t="shared" si="82"/>
        <v>1.0000000000000026E-4</v>
      </c>
      <c r="AK399">
        <f t="shared" si="83"/>
        <v>2.0000000000000052E-4</v>
      </c>
      <c r="AL399">
        <f t="shared" si="84"/>
        <v>2.9999999999999992E-4</v>
      </c>
      <c r="AM399">
        <f t="shared" si="85"/>
        <v>5.0000000000000044E-4</v>
      </c>
      <c r="AN399">
        <f t="shared" si="86"/>
        <v>5.0000000000000044E-4</v>
      </c>
      <c r="AO399">
        <f t="shared" si="87"/>
        <v>5.0000000000000044E-4</v>
      </c>
      <c r="AP399">
        <f t="shared" si="88"/>
        <v>5.0000000000000391E-4</v>
      </c>
    </row>
    <row r="400" spans="17:42" x14ac:dyDescent="0.25">
      <c r="Q400" s="1">
        <v>44473</v>
      </c>
      <c r="R400">
        <v>8.9999999999999998E-4</v>
      </c>
      <c r="S400">
        <v>4.0000000000000002E-4</v>
      </c>
      <c r="T400">
        <v>4.0000000000000002E-4</v>
      </c>
      <c r="U400">
        <v>5.9999999999999995E-4</v>
      </c>
      <c r="V400">
        <v>8.9999999999999998E-4</v>
      </c>
      <c r="W400">
        <v>2.7000000000000001E-3</v>
      </c>
      <c r="X400">
        <v>5.1999999999999998E-3</v>
      </c>
      <c r="Y400">
        <v>9.4999999999999998E-3</v>
      </c>
      <c r="Z400">
        <v>1.2699999999999999E-2</v>
      </c>
      <c r="AA400">
        <v>1.49E-2</v>
      </c>
      <c r="AB400">
        <v>1.9900000000000001E-2</v>
      </c>
      <c r="AC400">
        <v>2.0499999999999997E-2</v>
      </c>
      <c r="AE400">
        <f t="shared" si="77"/>
        <v>9.9999999999999937E-5</v>
      </c>
      <c r="AF400">
        <f t="shared" si="78"/>
        <v>0</v>
      </c>
      <c r="AG400">
        <f t="shared" si="79"/>
        <v>0</v>
      </c>
      <c r="AH400">
        <f t="shared" si="80"/>
        <v>9.9999999999999937E-5</v>
      </c>
      <c r="AI400">
        <f t="shared" si="81"/>
        <v>0</v>
      </c>
      <c r="AJ400">
        <f t="shared" si="82"/>
        <v>0</v>
      </c>
      <c r="AK400">
        <f t="shared" si="83"/>
        <v>2.9999999999999992E-4</v>
      </c>
      <c r="AL400">
        <f t="shared" si="84"/>
        <v>1.9999999999999879E-4</v>
      </c>
      <c r="AM400">
        <f t="shared" si="85"/>
        <v>9.9999999999999395E-5</v>
      </c>
      <c r="AN400">
        <f t="shared" si="86"/>
        <v>9.9999999999999395E-5</v>
      </c>
      <c r="AO400">
        <f t="shared" si="87"/>
        <v>0</v>
      </c>
      <c r="AP400">
        <f t="shared" si="88"/>
        <v>9.9999999999995925E-5</v>
      </c>
    </row>
    <row r="401" spans="17:42" x14ac:dyDescent="0.25">
      <c r="Q401" s="1">
        <v>44470</v>
      </c>
      <c r="R401">
        <v>8.0000000000000004E-4</v>
      </c>
      <c r="S401">
        <v>4.0000000000000002E-4</v>
      </c>
      <c r="T401">
        <v>4.0000000000000002E-4</v>
      </c>
      <c r="U401">
        <v>5.0000000000000001E-4</v>
      </c>
      <c r="V401">
        <v>8.9999999999999998E-4</v>
      </c>
      <c r="W401">
        <v>2.7000000000000001E-3</v>
      </c>
      <c r="X401">
        <v>4.8999999999999998E-3</v>
      </c>
      <c r="Y401">
        <v>9.300000000000001E-3</v>
      </c>
      <c r="Z401">
        <v>1.26E-2</v>
      </c>
      <c r="AA401">
        <v>1.4800000000000001E-2</v>
      </c>
      <c r="AB401">
        <v>1.9900000000000001E-2</v>
      </c>
      <c r="AC401">
        <v>2.0400000000000001E-2</v>
      </c>
      <c r="AE401">
        <f t="shared" si="77"/>
        <v>9.9999999999999937E-5</v>
      </c>
      <c r="AF401">
        <f t="shared" si="78"/>
        <v>-9.9999999999999991E-5</v>
      </c>
      <c r="AG401">
        <f t="shared" si="79"/>
        <v>0</v>
      </c>
      <c r="AH401">
        <f t="shared" si="80"/>
        <v>0</v>
      </c>
      <c r="AI401">
        <f t="shared" si="81"/>
        <v>0</v>
      </c>
      <c r="AJ401">
        <f t="shared" si="82"/>
        <v>-1.0000000000000026E-4</v>
      </c>
      <c r="AK401">
        <f t="shared" si="83"/>
        <v>-4.0000000000000018E-4</v>
      </c>
      <c r="AL401">
        <f t="shared" si="84"/>
        <v>-4.9999999999999871E-4</v>
      </c>
      <c r="AM401">
        <f t="shared" si="85"/>
        <v>-5.9999999999999984E-4</v>
      </c>
      <c r="AN401">
        <f t="shared" si="86"/>
        <v>-3.9999999999999931E-4</v>
      </c>
      <c r="AO401">
        <f t="shared" si="87"/>
        <v>-2.9999999999999818E-4</v>
      </c>
      <c r="AP401">
        <f t="shared" si="88"/>
        <v>-3.9999999999999758E-4</v>
      </c>
    </row>
    <row r="402" spans="17:42" x14ac:dyDescent="0.25">
      <c r="Q402" s="1">
        <v>44469</v>
      </c>
      <c r="R402">
        <v>7.000000000000001E-4</v>
      </c>
      <c r="S402">
        <v>5.0000000000000001E-4</v>
      </c>
      <c r="T402">
        <v>4.0000000000000002E-4</v>
      </c>
      <c r="U402">
        <v>5.0000000000000001E-4</v>
      </c>
      <c r="V402">
        <v>8.9999999999999998E-4</v>
      </c>
      <c r="W402">
        <v>2.8000000000000004E-3</v>
      </c>
      <c r="X402">
        <v>5.3E-3</v>
      </c>
      <c r="Y402">
        <v>9.7999999999999997E-3</v>
      </c>
      <c r="Z402">
        <v>1.32E-2</v>
      </c>
      <c r="AA402">
        <v>1.52E-2</v>
      </c>
      <c r="AB402">
        <v>2.0199999999999999E-2</v>
      </c>
      <c r="AC402">
        <v>2.0799999999999999E-2</v>
      </c>
      <c r="AE402">
        <f t="shared" si="77"/>
        <v>2.0000000000000009E-4</v>
      </c>
      <c r="AF402">
        <f t="shared" si="78"/>
        <v>9.9999999999999991E-5</v>
      </c>
      <c r="AG402">
        <f t="shared" si="79"/>
        <v>0</v>
      </c>
      <c r="AH402">
        <f t="shared" si="80"/>
        <v>0</v>
      </c>
      <c r="AI402">
        <f t="shared" si="81"/>
        <v>0</v>
      </c>
      <c r="AJ402">
        <f t="shared" si="82"/>
        <v>-1.9999999999999966E-4</v>
      </c>
      <c r="AK402">
        <f t="shared" si="83"/>
        <v>-2.0000000000000052E-4</v>
      </c>
      <c r="AL402">
        <f t="shared" si="84"/>
        <v>-2.9999999999999992E-4</v>
      </c>
      <c r="AM402">
        <f t="shared" si="85"/>
        <v>-2.0000000000000052E-4</v>
      </c>
      <c r="AN402">
        <f t="shared" si="86"/>
        <v>-2.9999999999999992E-4</v>
      </c>
      <c r="AO402">
        <f t="shared" si="87"/>
        <v>-2.0000000000000226E-4</v>
      </c>
      <c r="AP402">
        <f t="shared" si="88"/>
        <v>-9.9999999999999395E-5</v>
      </c>
    </row>
    <row r="403" spans="17:42" x14ac:dyDescent="0.25">
      <c r="Q403" s="1">
        <v>44468</v>
      </c>
      <c r="R403">
        <v>5.0000000000000001E-4</v>
      </c>
      <c r="S403">
        <v>4.0000000000000002E-4</v>
      </c>
      <c r="T403">
        <v>4.0000000000000002E-4</v>
      </c>
      <c r="U403">
        <v>5.0000000000000001E-4</v>
      </c>
      <c r="V403">
        <v>8.9999999999999998E-4</v>
      </c>
      <c r="W403">
        <v>3.0000000000000001E-3</v>
      </c>
      <c r="X403">
        <v>5.5000000000000005E-3</v>
      </c>
      <c r="Y403">
        <v>1.01E-2</v>
      </c>
      <c r="Z403">
        <v>1.34E-2</v>
      </c>
      <c r="AA403">
        <v>1.55E-2</v>
      </c>
      <c r="AB403">
        <v>2.0400000000000001E-2</v>
      </c>
      <c r="AC403">
        <v>2.0899999999999998E-2</v>
      </c>
      <c r="AE403">
        <f t="shared" si="77"/>
        <v>-2.0000000000000009E-4</v>
      </c>
      <c r="AF403">
        <f t="shared" si="78"/>
        <v>0</v>
      </c>
      <c r="AG403">
        <f t="shared" si="79"/>
        <v>0</v>
      </c>
      <c r="AH403">
        <f t="shared" si="80"/>
        <v>-9.9999999999999937E-5</v>
      </c>
      <c r="AI403">
        <f t="shared" si="81"/>
        <v>0</v>
      </c>
      <c r="AJ403">
        <f t="shared" si="82"/>
        <v>-9.9999999999999829E-5</v>
      </c>
      <c r="AK403">
        <f t="shared" si="83"/>
        <v>0</v>
      </c>
      <c r="AL403">
        <f t="shared" si="84"/>
        <v>-1.0000000000000113E-4</v>
      </c>
      <c r="AM403">
        <f t="shared" si="85"/>
        <v>0</v>
      </c>
      <c r="AN403">
        <f t="shared" si="86"/>
        <v>9.9999999999999395E-5</v>
      </c>
      <c r="AO403">
        <f t="shared" si="87"/>
        <v>2.0000000000000226E-4</v>
      </c>
      <c r="AP403">
        <f t="shared" si="88"/>
        <v>1.9999999999999879E-4</v>
      </c>
    </row>
    <row r="404" spans="17:42" x14ac:dyDescent="0.25">
      <c r="Q404" s="1">
        <v>44467</v>
      </c>
      <c r="R404">
        <v>7.000000000000001E-4</v>
      </c>
      <c r="S404">
        <v>4.0000000000000002E-4</v>
      </c>
      <c r="T404">
        <v>4.0000000000000002E-4</v>
      </c>
      <c r="U404">
        <v>5.9999999999999995E-4</v>
      </c>
      <c r="V404">
        <v>8.9999999999999998E-4</v>
      </c>
      <c r="W404">
        <v>3.0999999999999999E-3</v>
      </c>
      <c r="X404">
        <v>5.5000000000000005E-3</v>
      </c>
      <c r="Y404">
        <v>1.0200000000000001E-2</v>
      </c>
      <c r="Z404">
        <v>1.34E-2</v>
      </c>
      <c r="AA404">
        <v>1.54E-2</v>
      </c>
      <c r="AB404">
        <v>2.0199999999999999E-2</v>
      </c>
      <c r="AC404">
        <v>2.07E-2</v>
      </c>
      <c r="AE404">
        <f t="shared" si="77"/>
        <v>1.0000000000000015E-4</v>
      </c>
      <c r="AF404">
        <f t="shared" si="78"/>
        <v>1.0000000000000005E-4</v>
      </c>
      <c r="AG404">
        <f t="shared" si="79"/>
        <v>0</v>
      </c>
      <c r="AH404">
        <f t="shared" si="80"/>
        <v>9.9999999999999937E-5</v>
      </c>
      <c r="AI404">
        <f t="shared" si="81"/>
        <v>0</v>
      </c>
      <c r="AJ404">
        <f t="shared" si="82"/>
        <v>0</v>
      </c>
      <c r="AK404">
        <f t="shared" si="83"/>
        <v>-1.0000000000000026E-4</v>
      </c>
      <c r="AL404">
        <f t="shared" si="84"/>
        <v>4.0000000000000105E-4</v>
      </c>
      <c r="AM404">
        <f t="shared" si="85"/>
        <v>3.9999999999999931E-4</v>
      </c>
      <c r="AN404">
        <f t="shared" si="86"/>
        <v>5.9999999999999984E-4</v>
      </c>
      <c r="AO404">
        <f t="shared" si="87"/>
        <v>6.9999999999999923E-4</v>
      </c>
      <c r="AP404">
        <f t="shared" si="88"/>
        <v>7.9999999999999863E-4</v>
      </c>
    </row>
    <row r="405" spans="17:42" x14ac:dyDescent="0.25">
      <c r="Q405" s="1">
        <v>44466</v>
      </c>
      <c r="R405">
        <v>5.9999999999999995E-4</v>
      </c>
      <c r="S405">
        <v>2.9999999999999997E-4</v>
      </c>
      <c r="T405">
        <v>4.0000000000000002E-4</v>
      </c>
      <c r="U405">
        <v>5.0000000000000001E-4</v>
      </c>
      <c r="V405">
        <v>8.9999999999999998E-4</v>
      </c>
      <c r="W405">
        <v>3.0999999999999999E-3</v>
      </c>
      <c r="X405">
        <v>5.6000000000000008E-3</v>
      </c>
      <c r="Y405">
        <v>9.7999999999999997E-3</v>
      </c>
      <c r="Z405">
        <v>1.3000000000000001E-2</v>
      </c>
      <c r="AA405">
        <v>1.4800000000000001E-2</v>
      </c>
      <c r="AB405">
        <v>1.95E-2</v>
      </c>
      <c r="AC405">
        <v>1.9900000000000001E-2</v>
      </c>
      <c r="AE405">
        <f t="shared" si="77"/>
        <v>0</v>
      </c>
      <c r="AF405">
        <f t="shared" si="78"/>
        <v>-1.0000000000000005E-4</v>
      </c>
      <c r="AG405">
        <f t="shared" si="79"/>
        <v>1.0000000000000005E-4</v>
      </c>
      <c r="AH405">
        <f t="shared" si="80"/>
        <v>0</v>
      </c>
      <c r="AI405">
        <f t="shared" si="81"/>
        <v>9.9999999999999937E-5</v>
      </c>
      <c r="AJ405">
        <f t="shared" si="82"/>
        <v>2.0000000000000009E-4</v>
      </c>
      <c r="AK405">
        <f t="shared" si="83"/>
        <v>1.0000000000000026E-4</v>
      </c>
      <c r="AL405">
        <f t="shared" si="84"/>
        <v>9.9999999999999395E-5</v>
      </c>
      <c r="AM405">
        <f t="shared" si="85"/>
        <v>3.0000000000000165E-4</v>
      </c>
      <c r="AN405">
        <f t="shared" si="86"/>
        <v>1.0000000000000113E-4</v>
      </c>
      <c r="AO405">
        <f t="shared" si="87"/>
        <v>9.9999999999999395E-5</v>
      </c>
      <c r="AP405">
        <f t="shared" si="88"/>
        <v>0</v>
      </c>
    </row>
    <row r="406" spans="17:42" x14ac:dyDescent="0.25">
      <c r="Q406" s="1">
        <v>44463</v>
      </c>
      <c r="R406">
        <v>5.9999999999999995E-4</v>
      </c>
      <c r="S406">
        <v>4.0000000000000002E-4</v>
      </c>
      <c r="T406">
        <v>2.9999999999999997E-4</v>
      </c>
      <c r="U406">
        <v>5.0000000000000001E-4</v>
      </c>
      <c r="V406">
        <v>8.0000000000000004E-4</v>
      </c>
      <c r="W406">
        <v>2.8999999999999998E-3</v>
      </c>
      <c r="X406">
        <v>5.5000000000000005E-3</v>
      </c>
      <c r="Y406">
        <v>9.7000000000000003E-3</v>
      </c>
      <c r="Z406">
        <v>1.2699999999999999E-2</v>
      </c>
      <c r="AA406">
        <v>1.47E-2</v>
      </c>
      <c r="AB406">
        <v>1.9400000000000001E-2</v>
      </c>
      <c r="AC406">
        <v>1.9900000000000001E-2</v>
      </c>
      <c r="AE406">
        <f t="shared" si="77"/>
        <v>9.9999999999999937E-5</v>
      </c>
      <c r="AF406">
        <f t="shared" si="78"/>
        <v>0</v>
      </c>
      <c r="AG406">
        <f t="shared" si="79"/>
        <v>0</v>
      </c>
      <c r="AH406">
        <f t="shared" si="80"/>
        <v>9.9999999999999991E-5</v>
      </c>
      <c r="AI406">
        <f t="shared" si="81"/>
        <v>0</v>
      </c>
      <c r="AJ406">
        <f t="shared" si="82"/>
        <v>1.9999999999999966E-4</v>
      </c>
      <c r="AK406">
        <f t="shared" si="83"/>
        <v>2.0000000000000052E-4</v>
      </c>
      <c r="AL406">
        <f t="shared" si="84"/>
        <v>3.0000000000000165E-4</v>
      </c>
      <c r="AM406">
        <f t="shared" si="85"/>
        <v>5.0000000000000044E-4</v>
      </c>
      <c r="AN406">
        <f t="shared" si="86"/>
        <v>5.9999999999999984E-4</v>
      </c>
      <c r="AO406">
        <f t="shared" si="87"/>
        <v>6.9999999999999923E-4</v>
      </c>
      <c r="AP406">
        <f t="shared" si="88"/>
        <v>7.000000000000027E-4</v>
      </c>
    </row>
    <row r="407" spans="17:42" x14ac:dyDescent="0.25">
      <c r="Q407" s="1">
        <v>44462</v>
      </c>
      <c r="R407">
        <v>5.0000000000000001E-4</v>
      </c>
      <c r="S407">
        <v>4.0000000000000002E-4</v>
      </c>
      <c r="T407">
        <v>2.9999999999999997E-4</v>
      </c>
      <c r="U407">
        <v>4.0000000000000002E-4</v>
      </c>
      <c r="V407">
        <v>8.0000000000000004E-4</v>
      </c>
      <c r="W407">
        <v>2.7000000000000001E-3</v>
      </c>
      <c r="X407">
        <v>5.3E-3</v>
      </c>
      <c r="Y407">
        <v>9.3999999999999986E-3</v>
      </c>
      <c r="Z407">
        <v>1.2199999999999999E-2</v>
      </c>
      <c r="AA407">
        <v>1.41E-2</v>
      </c>
      <c r="AB407">
        <v>1.8700000000000001E-2</v>
      </c>
      <c r="AC407">
        <v>1.9199999999999998E-2</v>
      </c>
      <c r="AE407">
        <f t="shared" si="77"/>
        <v>9.9999999999999991E-5</v>
      </c>
      <c r="AF407">
        <f t="shared" si="78"/>
        <v>0</v>
      </c>
      <c r="AG407">
        <f t="shared" si="79"/>
        <v>0</v>
      </c>
      <c r="AH407">
        <f t="shared" si="80"/>
        <v>-9.9999999999999991E-5</v>
      </c>
      <c r="AI407">
        <f t="shared" si="81"/>
        <v>0</v>
      </c>
      <c r="AJ407">
        <f t="shared" si="82"/>
        <v>2.0000000000000009E-4</v>
      </c>
      <c r="AK407">
        <f t="shared" si="83"/>
        <v>5.0000000000000044E-4</v>
      </c>
      <c r="AL407">
        <f t="shared" si="84"/>
        <v>7.9999999999999863E-4</v>
      </c>
      <c r="AM407">
        <f t="shared" si="85"/>
        <v>8.9999999999999976E-4</v>
      </c>
      <c r="AN407">
        <f t="shared" si="86"/>
        <v>8.9999999999999976E-4</v>
      </c>
      <c r="AO407">
        <f t="shared" si="87"/>
        <v>9.0000000000000149E-4</v>
      </c>
      <c r="AP407">
        <f t="shared" si="88"/>
        <v>7.9999999999999863E-4</v>
      </c>
    </row>
    <row r="408" spans="17:42" x14ac:dyDescent="0.25">
      <c r="Q408" s="1">
        <v>44461</v>
      </c>
      <c r="R408">
        <v>4.0000000000000002E-4</v>
      </c>
      <c r="S408">
        <v>4.0000000000000002E-4</v>
      </c>
      <c r="T408">
        <v>2.9999999999999997E-4</v>
      </c>
      <c r="U408">
        <v>5.0000000000000001E-4</v>
      </c>
      <c r="V408">
        <v>8.0000000000000004E-4</v>
      </c>
      <c r="W408">
        <v>2.5000000000000001E-3</v>
      </c>
      <c r="X408">
        <v>4.7999999999999996E-3</v>
      </c>
      <c r="Y408">
        <v>8.6E-3</v>
      </c>
      <c r="Z408">
        <v>1.1299999999999999E-2</v>
      </c>
      <c r="AA408">
        <v>1.32E-2</v>
      </c>
      <c r="AB408">
        <v>1.78E-2</v>
      </c>
      <c r="AC408">
        <v>1.84E-2</v>
      </c>
      <c r="AE408">
        <f t="shared" si="77"/>
        <v>-9.9999999999999991E-5</v>
      </c>
      <c r="AF408">
        <f t="shared" si="78"/>
        <v>0</v>
      </c>
      <c r="AG408">
        <f t="shared" si="79"/>
        <v>0</v>
      </c>
      <c r="AH408">
        <f t="shared" si="80"/>
        <v>9.9999999999999991E-5</v>
      </c>
      <c r="AI408">
        <f t="shared" si="81"/>
        <v>9.9999999999999937E-5</v>
      </c>
      <c r="AJ408">
        <f t="shared" si="82"/>
        <v>2.9999999999999992E-4</v>
      </c>
      <c r="AK408">
        <f t="shared" si="83"/>
        <v>1.9999999999999966E-4</v>
      </c>
      <c r="AL408">
        <f t="shared" si="84"/>
        <v>2.0000000000000052E-4</v>
      </c>
      <c r="AM408">
        <f t="shared" si="85"/>
        <v>0</v>
      </c>
      <c r="AN408">
        <f t="shared" si="86"/>
        <v>-1.0000000000000113E-4</v>
      </c>
      <c r="AO408">
        <f t="shared" si="87"/>
        <v>-3.0000000000000165E-4</v>
      </c>
      <c r="AP408">
        <f t="shared" si="88"/>
        <v>-2.0000000000000226E-4</v>
      </c>
    </row>
    <row r="409" spans="17:42" x14ac:dyDescent="0.25">
      <c r="Q409" s="1">
        <v>44460</v>
      </c>
      <c r="R409">
        <v>5.0000000000000001E-4</v>
      </c>
      <c r="S409">
        <v>4.0000000000000002E-4</v>
      </c>
      <c r="T409">
        <v>2.9999999999999997E-4</v>
      </c>
      <c r="U409">
        <v>4.0000000000000002E-4</v>
      </c>
      <c r="V409">
        <v>7.000000000000001E-4</v>
      </c>
      <c r="W409">
        <v>2.2000000000000001E-3</v>
      </c>
      <c r="X409">
        <v>4.5999999999999999E-3</v>
      </c>
      <c r="Y409">
        <v>8.3999999999999995E-3</v>
      </c>
      <c r="Z409">
        <v>1.1299999999999999E-2</v>
      </c>
      <c r="AA409">
        <v>1.3300000000000001E-2</v>
      </c>
      <c r="AB409">
        <v>1.8100000000000002E-2</v>
      </c>
      <c r="AC409">
        <v>1.8600000000000002E-2</v>
      </c>
      <c r="AE409">
        <f t="shared" si="77"/>
        <v>-9.9999999999999937E-5</v>
      </c>
      <c r="AF409">
        <f t="shared" si="78"/>
        <v>-9.9999999999999991E-5</v>
      </c>
      <c r="AG409">
        <f t="shared" si="79"/>
        <v>-1.0000000000000005E-4</v>
      </c>
      <c r="AH409">
        <f t="shared" si="80"/>
        <v>-9.9999999999999991E-5</v>
      </c>
      <c r="AI409">
        <f t="shared" si="81"/>
        <v>0</v>
      </c>
      <c r="AJ409">
        <f t="shared" si="82"/>
        <v>-9.9999999999999829E-5</v>
      </c>
      <c r="AK409">
        <f t="shared" si="83"/>
        <v>9.9999999999999395E-5</v>
      </c>
      <c r="AL409">
        <f t="shared" si="84"/>
        <v>9.9999999999999395E-5</v>
      </c>
      <c r="AM409">
        <f t="shared" si="85"/>
        <v>9.999999999999766E-5</v>
      </c>
      <c r="AN409">
        <f t="shared" si="86"/>
        <v>2.0000000000000052E-4</v>
      </c>
      <c r="AO409">
        <f t="shared" si="87"/>
        <v>2.0000000000000226E-4</v>
      </c>
      <c r="AP409">
        <f t="shared" si="88"/>
        <v>9.9999999999999395E-5</v>
      </c>
    </row>
    <row r="410" spans="17:42" x14ac:dyDescent="0.25">
      <c r="Q410" s="1">
        <v>44459</v>
      </c>
      <c r="R410">
        <v>5.9999999999999995E-4</v>
      </c>
      <c r="S410">
        <v>5.0000000000000001E-4</v>
      </c>
      <c r="T410">
        <v>4.0000000000000002E-4</v>
      </c>
      <c r="U410">
        <v>5.0000000000000001E-4</v>
      </c>
      <c r="V410">
        <v>7.000000000000001E-4</v>
      </c>
      <c r="W410">
        <v>2.3E-3</v>
      </c>
      <c r="X410">
        <v>4.5000000000000005E-3</v>
      </c>
      <c r="Y410">
        <v>8.3000000000000001E-3</v>
      </c>
      <c r="Z410">
        <v>1.1200000000000002E-2</v>
      </c>
      <c r="AA410">
        <v>1.3100000000000001E-2</v>
      </c>
      <c r="AB410">
        <v>1.7899999999999999E-2</v>
      </c>
      <c r="AC410">
        <v>1.8500000000000003E-2</v>
      </c>
      <c r="AE410">
        <f t="shared" si="77"/>
        <v>0</v>
      </c>
      <c r="AF410">
        <f t="shared" si="78"/>
        <v>-9.9999999999999937E-5</v>
      </c>
      <c r="AG410">
        <f t="shared" si="79"/>
        <v>0</v>
      </c>
      <c r="AH410">
        <f t="shared" si="80"/>
        <v>0</v>
      </c>
      <c r="AI410">
        <f t="shared" si="81"/>
        <v>0</v>
      </c>
      <c r="AJ410">
        <f t="shared" si="82"/>
        <v>0</v>
      </c>
      <c r="AK410">
        <f t="shared" si="83"/>
        <v>-1.9999999999999879E-4</v>
      </c>
      <c r="AL410">
        <f t="shared" si="84"/>
        <v>-5.0000000000000044E-4</v>
      </c>
      <c r="AM410">
        <f t="shared" si="85"/>
        <v>-4.9999999999999697E-4</v>
      </c>
      <c r="AN410">
        <f t="shared" si="86"/>
        <v>-5.9999999999999984E-4</v>
      </c>
      <c r="AO410">
        <f t="shared" si="87"/>
        <v>-6.0000000000000331E-4</v>
      </c>
      <c r="AP410">
        <f t="shared" si="88"/>
        <v>-5.9999999999999637E-4</v>
      </c>
    </row>
    <row r="411" spans="17:42" x14ac:dyDescent="0.25">
      <c r="Q411" s="1">
        <v>44456</v>
      </c>
      <c r="R411">
        <v>5.9999999999999995E-4</v>
      </c>
      <c r="S411">
        <v>5.9999999999999995E-4</v>
      </c>
      <c r="T411">
        <v>4.0000000000000002E-4</v>
      </c>
      <c r="U411">
        <v>5.0000000000000001E-4</v>
      </c>
      <c r="V411">
        <v>7.000000000000001E-4</v>
      </c>
      <c r="W411">
        <v>2.3E-3</v>
      </c>
      <c r="X411">
        <v>4.6999999999999993E-3</v>
      </c>
      <c r="Y411">
        <v>8.8000000000000005E-3</v>
      </c>
      <c r="Z411">
        <v>1.1699999999999999E-2</v>
      </c>
      <c r="AA411">
        <v>1.37E-2</v>
      </c>
      <c r="AB411">
        <v>1.8500000000000003E-2</v>
      </c>
      <c r="AC411">
        <v>1.9099999999999999E-2</v>
      </c>
      <c r="AE411">
        <f t="shared" si="77"/>
        <v>0</v>
      </c>
      <c r="AF411">
        <f t="shared" si="78"/>
        <v>0</v>
      </c>
      <c r="AG411">
        <f t="shared" si="79"/>
        <v>0</v>
      </c>
      <c r="AH411">
        <f t="shared" si="80"/>
        <v>0</v>
      </c>
      <c r="AI411">
        <f t="shared" si="81"/>
        <v>0</v>
      </c>
      <c r="AJ411">
        <f t="shared" si="82"/>
        <v>0</v>
      </c>
      <c r="AK411">
        <f t="shared" si="83"/>
        <v>9.9999999999999395E-5</v>
      </c>
      <c r="AL411">
        <f t="shared" si="84"/>
        <v>4.0000000000000105E-4</v>
      </c>
      <c r="AM411">
        <f t="shared" si="85"/>
        <v>3.9999999999999931E-4</v>
      </c>
      <c r="AN411">
        <f t="shared" si="86"/>
        <v>2.9999999999999992E-4</v>
      </c>
      <c r="AO411">
        <f t="shared" si="87"/>
        <v>2.0000000000000226E-4</v>
      </c>
      <c r="AP411">
        <f t="shared" si="88"/>
        <v>3.0000000000000165E-4</v>
      </c>
    </row>
    <row r="412" spans="17:42" x14ac:dyDescent="0.25">
      <c r="Q412" s="1">
        <v>44455</v>
      </c>
      <c r="R412">
        <v>5.9999999999999995E-4</v>
      </c>
      <c r="S412">
        <v>5.9999999999999995E-4</v>
      </c>
      <c r="T412">
        <v>4.0000000000000002E-4</v>
      </c>
      <c r="U412">
        <v>5.0000000000000001E-4</v>
      </c>
      <c r="V412">
        <v>7.000000000000001E-4</v>
      </c>
      <c r="W412">
        <v>2.3E-3</v>
      </c>
      <c r="X412">
        <v>4.5999999999999999E-3</v>
      </c>
      <c r="Y412">
        <v>8.3999999999999995E-3</v>
      </c>
      <c r="Z412">
        <v>1.1299999999999999E-2</v>
      </c>
      <c r="AA412">
        <v>1.34E-2</v>
      </c>
      <c r="AB412">
        <v>1.83E-2</v>
      </c>
      <c r="AC412">
        <v>1.8799999999999997E-2</v>
      </c>
      <c r="AE412">
        <f t="shared" si="77"/>
        <v>1.9999999999999993E-4</v>
      </c>
      <c r="AF412">
        <f t="shared" si="78"/>
        <v>0</v>
      </c>
      <c r="AG412">
        <f t="shared" si="79"/>
        <v>0</v>
      </c>
      <c r="AH412">
        <f t="shared" si="80"/>
        <v>0</v>
      </c>
      <c r="AI412">
        <f t="shared" si="81"/>
        <v>0</v>
      </c>
      <c r="AJ412">
        <f t="shared" si="82"/>
        <v>2.0000000000000009E-4</v>
      </c>
      <c r="AK412">
        <f t="shared" si="83"/>
        <v>2.9999999999999992E-4</v>
      </c>
      <c r="AL412">
        <f t="shared" si="84"/>
        <v>2.9999999999999818E-4</v>
      </c>
      <c r="AM412">
        <f t="shared" si="85"/>
        <v>2.9999999999999818E-4</v>
      </c>
      <c r="AN412">
        <f t="shared" si="86"/>
        <v>2.9999999999999992E-4</v>
      </c>
      <c r="AO412">
        <f t="shared" si="87"/>
        <v>2.9999999999999818E-4</v>
      </c>
      <c r="AP412">
        <f t="shared" si="88"/>
        <v>9.9999999999995925E-5</v>
      </c>
    </row>
    <row r="413" spans="17:42" x14ac:dyDescent="0.25">
      <c r="Q413" s="1">
        <v>44454</v>
      </c>
      <c r="R413">
        <v>4.0000000000000002E-4</v>
      </c>
      <c r="S413">
        <v>5.9999999999999995E-4</v>
      </c>
      <c r="T413">
        <v>4.0000000000000002E-4</v>
      </c>
      <c r="U413">
        <v>5.0000000000000001E-4</v>
      </c>
      <c r="V413">
        <v>7.000000000000001E-4</v>
      </c>
      <c r="W413">
        <v>2.0999999999999999E-3</v>
      </c>
      <c r="X413">
        <v>4.3E-3</v>
      </c>
      <c r="Y413">
        <v>8.1000000000000013E-3</v>
      </c>
      <c r="Z413">
        <v>1.1000000000000001E-2</v>
      </c>
      <c r="AA413">
        <v>1.3100000000000001E-2</v>
      </c>
      <c r="AB413">
        <v>1.8000000000000002E-2</v>
      </c>
      <c r="AC413">
        <v>1.8700000000000001E-2</v>
      </c>
      <c r="AE413">
        <f t="shared" si="77"/>
        <v>-9.9999999999999991E-5</v>
      </c>
      <c r="AF413">
        <f t="shared" si="78"/>
        <v>0</v>
      </c>
      <c r="AG413">
        <f t="shared" si="79"/>
        <v>0</v>
      </c>
      <c r="AH413">
        <f t="shared" si="80"/>
        <v>0</v>
      </c>
      <c r="AI413">
        <f t="shared" si="81"/>
        <v>0</v>
      </c>
      <c r="AJ413">
        <f t="shared" si="82"/>
        <v>0</v>
      </c>
      <c r="AK413">
        <f t="shared" si="83"/>
        <v>0</v>
      </c>
      <c r="AL413">
        <f t="shared" si="84"/>
        <v>2.0000000000000052E-4</v>
      </c>
      <c r="AM413">
        <f t="shared" si="85"/>
        <v>2.9999999999999992E-4</v>
      </c>
      <c r="AN413">
        <f t="shared" si="86"/>
        <v>2.9999999999999992E-4</v>
      </c>
      <c r="AO413">
        <f t="shared" si="87"/>
        <v>2.0000000000000226E-4</v>
      </c>
      <c r="AP413">
        <f t="shared" si="88"/>
        <v>1.9999999999999879E-4</v>
      </c>
    </row>
    <row r="414" spans="17:42" x14ac:dyDescent="0.25">
      <c r="Q414" s="1">
        <v>44453</v>
      </c>
      <c r="R414">
        <v>5.0000000000000001E-4</v>
      </c>
      <c r="S414">
        <v>5.9999999999999995E-4</v>
      </c>
      <c r="T414">
        <v>4.0000000000000002E-4</v>
      </c>
      <c r="U414">
        <v>5.0000000000000001E-4</v>
      </c>
      <c r="V414">
        <v>7.000000000000001E-4</v>
      </c>
      <c r="W414">
        <v>2.0999999999999999E-3</v>
      </c>
      <c r="X414">
        <v>4.3E-3</v>
      </c>
      <c r="Y414">
        <v>7.9000000000000008E-3</v>
      </c>
      <c r="Z414">
        <v>1.0700000000000001E-2</v>
      </c>
      <c r="AA414">
        <v>1.2800000000000001E-2</v>
      </c>
      <c r="AB414">
        <v>1.78E-2</v>
      </c>
      <c r="AC414">
        <v>1.8500000000000003E-2</v>
      </c>
      <c r="AE414">
        <f t="shared" si="77"/>
        <v>-9.9999999999999937E-5</v>
      </c>
      <c r="AF414">
        <f t="shared" si="78"/>
        <v>-2.0000000000000009E-4</v>
      </c>
      <c r="AG414">
        <f t="shared" si="79"/>
        <v>-1.9999999999999993E-4</v>
      </c>
      <c r="AH414">
        <f t="shared" si="80"/>
        <v>-9.9999999999999937E-5</v>
      </c>
      <c r="AI414">
        <f t="shared" si="81"/>
        <v>0</v>
      </c>
      <c r="AJ414">
        <f t="shared" si="82"/>
        <v>0</v>
      </c>
      <c r="AK414">
        <f t="shared" si="83"/>
        <v>-1.0000000000000026E-4</v>
      </c>
      <c r="AL414">
        <f t="shared" si="84"/>
        <v>-2.0000000000000052E-4</v>
      </c>
      <c r="AM414">
        <f t="shared" si="85"/>
        <v>-3.9999999999999931E-4</v>
      </c>
      <c r="AN414">
        <f t="shared" si="86"/>
        <v>-5.0000000000000044E-4</v>
      </c>
      <c r="AO414">
        <f t="shared" si="87"/>
        <v>-5.0000000000000044E-4</v>
      </c>
      <c r="AP414">
        <f t="shared" si="88"/>
        <v>-5.9999999999999637E-4</v>
      </c>
    </row>
    <row r="415" spans="17:42" x14ac:dyDescent="0.25">
      <c r="Q415" s="1">
        <v>44452</v>
      </c>
      <c r="R415">
        <v>5.9999999999999995E-4</v>
      </c>
      <c r="S415">
        <v>8.0000000000000004E-4</v>
      </c>
      <c r="T415">
        <v>5.9999999999999995E-4</v>
      </c>
      <c r="U415">
        <v>5.9999999999999995E-4</v>
      </c>
      <c r="V415">
        <v>7.000000000000001E-4</v>
      </c>
      <c r="W415">
        <v>2.0999999999999999E-3</v>
      </c>
      <c r="X415">
        <v>4.4000000000000003E-3</v>
      </c>
      <c r="Y415">
        <v>8.1000000000000013E-3</v>
      </c>
      <c r="Z415">
        <v>1.11E-2</v>
      </c>
      <c r="AA415">
        <v>1.3300000000000001E-2</v>
      </c>
      <c r="AB415">
        <v>1.83E-2</v>
      </c>
      <c r="AC415">
        <v>1.9099999999999999E-2</v>
      </c>
      <c r="AE415">
        <f t="shared" si="77"/>
        <v>0</v>
      </c>
      <c r="AF415">
        <f t="shared" si="78"/>
        <v>2.0000000000000009E-4</v>
      </c>
      <c r="AG415">
        <f t="shared" si="79"/>
        <v>9.9999999999999937E-5</v>
      </c>
      <c r="AH415">
        <f t="shared" si="80"/>
        <v>0</v>
      </c>
      <c r="AI415">
        <f t="shared" si="81"/>
        <v>-9.9999999999999937E-5</v>
      </c>
      <c r="AJ415">
        <f t="shared" si="82"/>
        <v>-2.0000000000000009E-4</v>
      </c>
      <c r="AK415">
        <f t="shared" si="83"/>
        <v>-1.0000000000000026E-4</v>
      </c>
      <c r="AL415">
        <f t="shared" si="84"/>
        <v>-9.999999999999766E-5</v>
      </c>
      <c r="AM415">
        <f t="shared" si="85"/>
        <v>-1.0000000000000113E-4</v>
      </c>
      <c r="AN415">
        <f t="shared" si="86"/>
        <v>-2.0000000000000052E-4</v>
      </c>
      <c r="AO415">
        <f t="shared" si="87"/>
        <v>-3.0000000000000165E-4</v>
      </c>
      <c r="AP415">
        <f t="shared" si="88"/>
        <v>-3.0000000000000165E-4</v>
      </c>
    </row>
    <row r="416" spans="17:42" x14ac:dyDescent="0.25">
      <c r="Q416" s="1">
        <v>44449</v>
      </c>
      <c r="R416">
        <v>5.9999999999999995E-4</v>
      </c>
      <c r="S416">
        <v>5.9999999999999995E-4</v>
      </c>
      <c r="T416">
        <v>5.0000000000000001E-4</v>
      </c>
      <c r="U416">
        <v>5.9999999999999995E-4</v>
      </c>
      <c r="V416">
        <v>8.0000000000000004E-4</v>
      </c>
      <c r="W416">
        <v>2.3E-3</v>
      </c>
      <c r="X416">
        <v>4.5000000000000005E-3</v>
      </c>
      <c r="Y416">
        <v>8.199999999999999E-3</v>
      </c>
      <c r="Z416">
        <v>1.1200000000000002E-2</v>
      </c>
      <c r="AA416">
        <v>1.3500000000000002E-2</v>
      </c>
      <c r="AB416">
        <v>1.8600000000000002E-2</v>
      </c>
      <c r="AC416">
        <v>1.9400000000000001E-2</v>
      </c>
      <c r="AE416">
        <f t="shared" si="77"/>
        <v>-1.0000000000000015E-4</v>
      </c>
      <c r="AF416">
        <f t="shared" si="78"/>
        <v>0</v>
      </c>
      <c r="AG416">
        <f t="shared" si="79"/>
        <v>9.9999999999999991E-5</v>
      </c>
      <c r="AH416">
        <f t="shared" si="80"/>
        <v>9.9999999999999937E-5</v>
      </c>
      <c r="AI416">
        <f t="shared" si="81"/>
        <v>9.9999999999999937E-5</v>
      </c>
      <c r="AJ416">
        <f t="shared" si="82"/>
        <v>0</v>
      </c>
      <c r="AK416">
        <f t="shared" si="83"/>
        <v>2.0000000000000052E-4</v>
      </c>
      <c r="AL416">
        <f t="shared" si="84"/>
        <v>2.9999999999999818E-4</v>
      </c>
      <c r="AM416">
        <f t="shared" si="85"/>
        <v>4.0000000000000105E-4</v>
      </c>
      <c r="AN416">
        <f t="shared" si="86"/>
        <v>5.0000000000000044E-4</v>
      </c>
      <c r="AO416">
        <f t="shared" si="87"/>
        <v>3.0000000000000165E-4</v>
      </c>
      <c r="AP416">
        <f t="shared" si="88"/>
        <v>4.0000000000000105E-4</v>
      </c>
    </row>
    <row r="417" spans="17:42" x14ac:dyDescent="0.25">
      <c r="Q417" s="1">
        <v>44448</v>
      </c>
      <c r="R417">
        <v>7.000000000000001E-4</v>
      </c>
      <c r="S417">
        <v>5.9999999999999995E-4</v>
      </c>
      <c r="T417">
        <v>4.0000000000000002E-4</v>
      </c>
      <c r="U417">
        <v>5.0000000000000001E-4</v>
      </c>
      <c r="V417">
        <v>7.000000000000001E-4</v>
      </c>
      <c r="W417">
        <v>2.3E-3</v>
      </c>
      <c r="X417">
        <v>4.3E-3</v>
      </c>
      <c r="Y417">
        <v>7.9000000000000008E-3</v>
      </c>
      <c r="Z417">
        <v>1.0800000000000001E-2</v>
      </c>
      <c r="AA417">
        <v>1.3000000000000001E-2</v>
      </c>
      <c r="AB417">
        <v>1.83E-2</v>
      </c>
      <c r="AC417">
        <v>1.9E-2</v>
      </c>
      <c r="AE417">
        <f t="shared" si="77"/>
        <v>2.0000000000000009E-4</v>
      </c>
      <c r="AF417">
        <f t="shared" si="78"/>
        <v>0</v>
      </c>
      <c r="AG417">
        <f t="shared" si="79"/>
        <v>-9.9999999999999991E-5</v>
      </c>
      <c r="AH417">
        <f t="shared" si="80"/>
        <v>-9.9999999999999937E-5</v>
      </c>
      <c r="AI417">
        <f t="shared" si="81"/>
        <v>-9.9999999999999937E-5</v>
      </c>
      <c r="AJ417">
        <f t="shared" si="82"/>
        <v>9.9999999999999829E-5</v>
      </c>
      <c r="AK417">
        <f t="shared" si="83"/>
        <v>0</v>
      </c>
      <c r="AL417">
        <f t="shared" si="84"/>
        <v>-2.0000000000000052E-4</v>
      </c>
      <c r="AM417">
        <f t="shared" si="85"/>
        <v>-2.9999999999999992E-4</v>
      </c>
      <c r="AN417">
        <f t="shared" si="86"/>
        <v>-5.0000000000000044E-4</v>
      </c>
      <c r="AO417">
        <f t="shared" si="87"/>
        <v>-4.9999999999999697E-4</v>
      </c>
      <c r="AP417">
        <f t="shared" si="88"/>
        <v>-5.0000000000000044E-4</v>
      </c>
    </row>
    <row r="418" spans="17:42" x14ac:dyDescent="0.25">
      <c r="Q418" s="1">
        <v>44447</v>
      </c>
      <c r="R418">
        <v>5.0000000000000001E-4</v>
      </c>
      <c r="S418">
        <v>5.9999999999999995E-4</v>
      </c>
      <c r="T418">
        <v>5.0000000000000001E-4</v>
      </c>
      <c r="U418">
        <v>5.9999999999999995E-4</v>
      </c>
      <c r="V418">
        <v>8.0000000000000004E-4</v>
      </c>
      <c r="W418">
        <v>2.2000000000000001E-3</v>
      </c>
      <c r="X418">
        <v>4.3E-3</v>
      </c>
      <c r="Y418">
        <v>8.1000000000000013E-3</v>
      </c>
      <c r="Z418">
        <v>1.11E-2</v>
      </c>
      <c r="AA418">
        <v>1.3500000000000002E-2</v>
      </c>
      <c r="AB418">
        <v>1.8799999999999997E-2</v>
      </c>
      <c r="AC418">
        <v>1.95E-2</v>
      </c>
      <c r="AE418">
        <f t="shared" si="77"/>
        <v>9.9999999999999991E-5</v>
      </c>
      <c r="AF418">
        <f t="shared" si="78"/>
        <v>-1.0000000000000015E-4</v>
      </c>
      <c r="AG418">
        <f t="shared" si="79"/>
        <v>0</v>
      </c>
      <c r="AH418">
        <f t="shared" si="80"/>
        <v>0</v>
      </c>
      <c r="AI418">
        <f t="shared" si="81"/>
        <v>0</v>
      </c>
      <c r="AJ418">
        <f t="shared" si="82"/>
        <v>0</v>
      </c>
      <c r="AK418">
        <f t="shared" si="83"/>
        <v>-2.0000000000000052E-4</v>
      </c>
      <c r="AL418">
        <f t="shared" si="84"/>
        <v>-9.999999999999766E-5</v>
      </c>
      <c r="AM418">
        <f t="shared" si="85"/>
        <v>-2.9999999999999818E-4</v>
      </c>
      <c r="AN418">
        <f t="shared" si="86"/>
        <v>-2.9999999999999818E-4</v>
      </c>
      <c r="AO418">
        <f t="shared" si="87"/>
        <v>-3.0000000000000165E-4</v>
      </c>
      <c r="AP418">
        <f t="shared" si="88"/>
        <v>-4.0000000000000105E-4</v>
      </c>
    </row>
    <row r="419" spans="17:42" x14ac:dyDescent="0.25">
      <c r="Q419" s="1">
        <v>44446</v>
      </c>
      <c r="R419">
        <v>4.0000000000000002E-4</v>
      </c>
      <c r="S419">
        <v>7.000000000000001E-4</v>
      </c>
      <c r="T419">
        <v>5.0000000000000001E-4</v>
      </c>
      <c r="U419">
        <v>5.9999999999999995E-4</v>
      </c>
      <c r="V419">
        <v>8.0000000000000004E-4</v>
      </c>
      <c r="W419">
        <v>2.2000000000000001E-3</v>
      </c>
      <c r="X419">
        <v>4.5000000000000005E-3</v>
      </c>
      <c r="Y419">
        <v>8.199999999999999E-3</v>
      </c>
      <c r="Z419">
        <v>1.1399999999999999E-2</v>
      </c>
      <c r="AA419">
        <v>1.38E-2</v>
      </c>
      <c r="AB419">
        <v>1.9099999999999999E-2</v>
      </c>
      <c r="AC419">
        <v>1.9900000000000001E-2</v>
      </c>
      <c r="AE419">
        <f t="shared" si="77"/>
        <v>0</v>
      </c>
      <c r="AF419">
        <f t="shared" si="78"/>
        <v>0</v>
      </c>
      <c r="AG419">
        <f t="shared" si="79"/>
        <v>0</v>
      </c>
      <c r="AH419">
        <f t="shared" si="80"/>
        <v>9.9999999999999937E-5</v>
      </c>
      <c r="AI419">
        <f t="shared" si="81"/>
        <v>0</v>
      </c>
      <c r="AJ419">
        <f t="shared" si="82"/>
        <v>1.0000000000000026E-4</v>
      </c>
      <c r="AK419">
        <f t="shared" si="83"/>
        <v>3.0000000000000079E-4</v>
      </c>
      <c r="AL419">
        <f t="shared" si="84"/>
        <v>3.9999999999999845E-4</v>
      </c>
      <c r="AM419">
        <f t="shared" si="85"/>
        <v>4.9999999999999871E-4</v>
      </c>
      <c r="AN419">
        <f t="shared" si="86"/>
        <v>4.9999999999999871E-4</v>
      </c>
      <c r="AO419">
        <f t="shared" si="87"/>
        <v>3.9999999999999758E-4</v>
      </c>
      <c r="AP419">
        <f t="shared" si="88"/>
        <v>5.0000000000000044E-4</v>
      </c>
    </row>
    <row r="420" spans="17:42" x14ac:dyDescent="0.25">
      <c r="Q420" s="1">
        <v>44442</v>
      </c>
      <c r="R420">
        <v>4.0000000000000002E-4</v>
      </c>
      <c r="S420">
        <v>7.000000000000001E-4</v>
      </c>
      <c r="T420">
        <v>5.0000000000000001E-4</v>
      </c>
      <c r="U420">
        <v>5.0000000000000001E-4</v>
      </c>
      <c r="V420">
        <v>8.0000000000000004E-4</v>
      </c>
      <c r="W420">
        <v>2.0999999999999999E-3</v>
      </c>
      <c r="X420">
        <v>4.1999999999999997E-3</v>
      </c>
      <c r="Y420">
        <v>7.8000000000000005E-3</v>
      </c>
      <c r="Z420">
        <v>1.09E-2</v>
      </c>
      <c r="AA420">
        <v>1.3300000000000001E-2</v>
      </c>
      <c r="AB420">
        <v>1.8700000000000001E-2</v>
      </c>
      <c r="AC420">
        <v>1.9400000000000001E-2</v>
      </c>
      <c r="AE420">
        <f t="shared" si="77"/>
        <v>-9.9999999999999991E-5</v>
      </c>
      <c r="AF420">
        <f t="shared" si="78"/>
        <v>0</v>
      </c>
      <c r="AG420">
        <f t="shared" si="79"/>
        <v>0</v>
      </c>
      <c r="AH420">
        <f t="shared" si="80"/>
        <v>-9.9999999999999937E-5</v>
      </c>
      <c r="AI420">
        <f t="shared" si="81"/>
        <v>9.9999999999999937E-5</v>
      </c>
      <c r="AJ420">
        <f t="shared" si="82"/>
        <v>9.9999999999999829E-5</v>
      </c>
      <c r="AK420">
        <f t="shared" si="83"/>
        <v>0</v>
      </c>
      <c r="AL420">
        <f t="shared" si="84"/>
        <v>0</v>
      </c>
      <c r="AM420">
        <f t="shared" si="85"/>
        <v>1.9999999999999879E-4</v>
      </c>
      <c r="AN420">
        <f t="shared" si="86"/>
        <v>4.0000000000000105E-4</v>
      </c>
      <c r="AO420">
        <f t="shared" si="87"/>
        <v>4.0000000000000105E-4</v>
      </c>
      <c r="AP420">
        <f t="shared" si="88"/>
        <v>4.0000000000000105E-4</v>
      </c>
    </row>
    <row r="421" spans="17:42" x14ac:dyDescent="0.25">
      <c r="Q421" s="1">
        <v>44441</v>
      </c>
      <c r="R421">
        <v>5.0000000000000001E-4</v>
      </c>
      <c r="S421">
        <v>7.000000000000001E-4</v>
      </c>
      <c r="T421">
        <v>5.0000000000000001E-4</v>
      </c>
      <c r="U421">
        <v>5.9999999999999995E-4</v>
      </c>
      <c r="V421">
        <v>7.000000000000001E-4</v>
      </c>
      <c r="W421">
        <v>2E-3</v>
      </c>
      <c r="X421">
        <v>4.1999999999999997E-3</v>
      </c>
      <c r="Y421">
        <v>7.8000000000000005E-3</v>
      </c>
      <c r="Z421">
        <v>1.0700000000000001E-2</v>
      </c>
      <c r="AA421">
        <v>1.29E-2</v>
      </c>
      <c r="AB421">
        <v>1.83E-2</v>
      </c>
      <c r="AC421">
        <v>1.9E-2</v>
      </c>
      <c r="AE421">
        <f t="shared" si="77"/>
        <v>9.9999999999999991E-5</v>
      </c>
      <c r="AF421">
        <f t="shared" si="78"/>
        <v>1.0000000000000015E-4</v>
      </c>
      <c r="AG421">
        <f t="shared" si="79"/>
        <v>0</v>
      </c>
      <c r="AH421">
        <f t="shared" si="80"/>
        <v>0</v>
      </c>
      <c r="AI421">
        <f t="shared" si="81"/>
        <v>0</v>
      </c>
      <c r="AJ421">
        <f t="shared" si="82"/>
        <v>0</v>
      </c>
      <c r="AK421">
        <f t="shared" si="83"/>
        <v>0</v>
      </c>
      <c r="AL421">
        <f t="shared" si="84"/>
        <v>0</v>
      </c>
      <c r="AM421">
        <f t="shared" si="85"/>
        <v>-9.9999999999999395E-5</v>
      </c>
      <c r="AN421">
        <f t="shared" si="86"/>
        <v>-2.0000000000000052E-4</v>
      </c>
      <c r="AO421">
        <f t="shared" si="87"/>
        <v>-9.9999999999999395E-5</v>
      </c>
      <c r="AP421">
        <f t="shared" si="88"/>
        <v>-1.9999999999999879E-4</v>
      </c>
    </row>
    <row r="422" spans="17:42" x14ac:dyDescent="0.25">
      <c r="Q422" s="1">
        <v>44440</v>
      </c>
      <c r="R422">
        <v>4.0000000000000002E-4</v>
      </c>
      <c r="S422">
        <v>5.9999999999999995E-4</v>
      </c>
      <c r="T422">
        <v>5.0000000000000001E-4</v>
      </c>
      <c r="U422">
        <v>5.9999999999999995E-4</v>
      </c>
      <c r="V422">
        <v>7.000000000000001E-4</v>
      </c>
      <c r="W422">
        <v>2E-3</v>
      </c>
      <c r="X422">
        <v>4.1999999999999997E-3</v>
      </c>
      <c r="Y422">
        <v>7.8000000000000005E-3</v>
      </c>
      <c r="Z422">
        <v>1.0800000000000001E-2</v>
      </c>
      <c r="AA422">
        <v>1.3100000000000001E-2</v>
      </c>
      <c r="AB422">
        <v>1.84E-2</v>
      </c>
      <c r="AC422">
        <v>1.9199999999999998E-2</v>
      </c>
      <c r="AE422">
        <f t="shared" si="77"/>
        <v>1.0000000000000005E-4</v>
      </c>
      <c r="AF422">
        <f t="shared" si="78"/>
        <v>9.9999999999999937E-5</v>
      </c>
      <c r="AG422">
        <f t="shared" si="79"/>
        <v>9.9999999999999991E-5</v>
      </c>
      <c r="AH422">
        <f t="shared" si="80"/>
        <v>0</v>
      </c>
      <c r="AI422">
        <f t="shared" si="81"/>
        <v>0</v>
      </c>
      <c r="AJ422">
        <f t="shared" si="82"/>
        <v>0</v>
      </c>
      <c r="AK422">
        <f t="shared" si="83"/>
        <v>1.9999999999999966E-4</v>
      </c>
      <c r="AL422">
        <f t="shared" si="84"/>
        <v>1.0000000000000026E-4</v>
      </c>
      <c r="AM422">
        <f t="shared" si="85"/>
        <v>0</v>
      </c>
      <c r="AN422">
        <f t="shared" si="86"/>
        <v>9.9999999999999395E-5</v>
      </c>
      <c r="AO422">
        <f t="shared" si="87"/>
        <v>-1.0000000000000286E-4</v>
      </c>
      <c r="AP422">
        <f t="shared" si="88"/>
        <v>0</v>
      </c>
    </row>
    <row r="423" spans="17:42" x14ac:dyDescent="0.25">
      <c r="Q423" s="1">
        <v>44439</v>
      </c>
      <c r="R423">
        <v>2.9999999999999997E-4</v>
      </c>
      <c r="S423">
        <v>5.0000000000000001E-4</v>
      </c>
      <c r="T423">
        <v>4.0000000000000002E-4</v>
      </c>
      <c r="U423">
        <v>5.9999999999999995E-4</v>
      </c>
      <c r="V423">
        <v>7.000000000000001E-4</v>
      </c>
      <c r="W423">
        <v>2E-3</v>
      </c>
      <c r="X423">
        <v>4.0000000000000001E-3</v>
      </c>
      <c r="Y423">
        <v>7.7000000000000002E-3</v>
      </c>
      <c r="Z423">
        <v>1.0800000000000001E-2</v>
      </c>
      <c r="AA423">
        <v>1.3000000000000001E-2</v>
      </c>
      <c r="AB423">
        <v>1.8500000000000003E-2</v>
      </c>
      <c r="AC423">
        <v>1.9199999999999998E-2</v>
      </c>
      <c r="AE423">
        <f t="shared" si="77"/>
        <v>-1.0000000000000005E-4</v>
      </c>
      <c r="AF423">
        <f t="shared" si="78"/>
        <v>-2.0000000000000009E-4</v>
      </c>
      <c r="AG423">
        <f t="shared" si="79"/>
        <v>-9.9999999999999991E-5</v>
      </c>
      <c r="AH423">
        <f t="shared" si="80"/>
        <v>9.9999999999999937E-5</v>
      </c>
      <c r="AI423">
        <f t="shared" si="81"/>
        <v>-9.9999999999999937E-5</v>
      </c>
      <c r="AJ423">
        <f t="shared" si="82"/>
        <v>0</v>
      </c>
      <c r="AK423">
        <f t="shared" si="83"/>
        <v>0</v>
      </c>
      <c r="AL423">
        <f t="shared" si="84"/>
        <v>0</v>
      </c>
      <c r="AM423">
        <f t="shared" si="85"/>
        <v>9.9999999999999395E-5</v>
      </c>
      <c r="AN423">
        <f t="shared" si="86"/>
        <v>1.0000000000000113E-4</v>
      </c>
      <c r="AO423">
        <f t="shared" si="87"/>
        <v>3.0000000000000165E-4</v>
      </c>
      <c r="AP423">
        <f t="shared" si="88"/>
        <v>1.9999999999999879E-4</v>
      </c>
    </row>
    <row r="424" spans="17:42" x14ac:dyDescent="0.25">
      <c r="Q424" s="1">
        <v>44438</v>
      </c>
      <c r="R424">
        <v>4.0000000000000002E-4</v>
      </c>
      <c r="S424">
        <v>7.000000000000001E-4</v>
      </c>
      <c r="T424">
        <v>5.0000000000000001E-4</v>
      </c>
      <c r="U424">
        <v>5.0000000000000001E-4</v>
      </c>
      <c r="V424">
        <v>8.0000000000000004E-4</v>
      </c>
      <c r="W424">
        <v>2E-3</v>
      </c>
      <c r="X424">
        <v>4.0000000000000001E-3</v>
      </c>
      <c r="Y424">
        <v>7.7000000000000002E-3</v>
      </c>
      <c r="Z424">
        <v>1.0700000000000001E-2</v>
      </c>
      <c r="AA424">
        <v>1.29E-2</v>
      </c>
      <c r="AB424">
        <v>1.8200000000000001E-2</v>
      </c>
      <c r="AC424">
        <v>1.9E-2</v>
      </c>
      <c r="AE424">
        <f t="shared" si="77"/>
        <v>0</v>
      </c>
      <c r="AF424">
        <f t="shared" si="78"/>
        <v>1.0000000000000015E-4</v>
      </c>
      <c r="AG424">
        <f t="shared" si="79"/>
        <v>0</v>
      </c>
      <c r="AH424">
        <f t="shared" si="80"/>
        <v>0</v>
      </c>
      <c r="AI424">
        <f t="shared" si="81"/>
        <v>9.9999999999999937E-5</v>
      </c>
      <c r="AJ424">
        <f t="shared" si="82"/>
        <v>-2.0000000000000009E-4</v>
      </c>
      <c r="AK424">
        <f t="shared" si="83"/>
        <v>-9.9999999999999395E-5</v>
      </c>
      <c r="AL424">
        <f t="shared" si="84"/>
        <v>-2.0000000000000052E-4</v>
      </c>
      <c r="AM424">
        <f t="shared" si="85"/>
        <v>-1.9999999999999879E-4</v>
      </c>
      <c r="AN424">
        <f t="shared" si="86"/>
        <v>-2.0000000000000052E-4</v>
      </c>
      <c r="AO424">
        <f t="shared" si="87"/>
        <v>-1.9999999999999879E-4</v>
      </c>
      <c r="AP424">
        <f t="shared" si="88"/>
        <v>-9.9999999999999395E-5</v>
      </c>
    </row>
    <row r="425" spans="17:42" x14ac:dyDescent="0.25">
      <c r="Q425" s="1">
        <v>44435</v>
      </c>
      <c r="R425">
        <v>4.0000000000000002E-4</v>
      </c>
      <c r="S425">
        <v>5.9999999999999995E-4</v>
      </c>
      <c r="T425">
        <v>5.0000000000000001E-4</v>
      </c>
      <c r="U425">
        <v>5.0000000000000001E-4</v>
      </c>
      <c r="V425">
        <v>7.000000000000001E-4</v>
      </c>
      <c r="W425">
        <v>2.2000000000000001E-3</v>
      </c>
      <c r="X425">
        <v>4.0999999999999995E-3</v>
      </c>
      <c r="Y425">
        <v>7.9000000000000008E-3</v>
      </c>
      <c r="Z425">
        <v>1.09E-2</v>
      </c>
      <c r="AA425">
        <v>1.3100000000000001E-2</v>
      </c>
      <c r="AB425">
        <v>1.84E-2</v>
      </c>
      <c r="AC425">
        <v>1.9099999999999999E-2</v>
      </c>
      <c r="AE425">
        <f t="shared" si="77"/>
        <v>0</v>
      </c>
      <c r="AF425">
        <f t="shared" si="78"/>
        <v>0</v>
      </c>
      <c r="AG425">
        <f t="shared" si="79"/>
        <v>0</v>
      </c>
      <c r="AH425">
        <f t="shared" si="80"/>
        <v>-9.9999999999999937E-5</v>
      </c>
      <c r="AI425">
        <f t="shared" si="81"/>
        <v>0</v>
      </c>
      <c r="AJ425">
        <f t="shared" si="82"/>
        <v>-2.9999999999999992E-4</v>
      </c>
      <c r="AK425">
        <f t="shared" si="83"/>
        <v>-5.0000000000000044E-4</v>
      </c>
      <c r="AL425">
        <f t="shared" si="84"/>
        <v>-4.9999999999999871E-4</v>
      </c>
      <c r="AM425">
        <f t="shared" si="85"/>
        <v>-3.9999999999999931E-4</v>
      </c>
      <c r="AN425">
        <f t="shared" si="86"/>
        <v>-2.9999999999999992E-4</v>
      </c>
      <c r="AO425">
        <f t="shared" si="87"/>
        <v>-3.0000000000000165E-4</v>
      </c>
      <c r="AP425">
        <f t="shared" si="88"/>
        <v>-3.0000000000000165E-4</v>
      </c>
    </row>
    <row r="426" spans="17:42" x14ac:dyDescent="0.25">
      <c r="Q426" s="1">
        <v>44434</v>
      </c>
      <c r="R426">
        <v>4.0000000000000002E-4</v>
      </c>
      <c r="S426">
        <v>5.9999999999999995E-4</v>
      </c>
      <c r="T426">
        <v>5.0000000000000001E-4</v>
      </c>
      <c r="U426">
        <v>5.9999999999999995E-4</v>
      </c>
      <c r="V426">
        <v>7.000000000000001E-4</v>
      </c>
      <c r="W426">
        <v>2.5000000000000001E-3</v>
      </c>
      <c r="X426">
        <v>4.5999999999999999E-3</v>
      </c>
      <c r="Y426">
        <v>8.3999999999999995E-3</v>
      </c>
      <c r="Z426">
        <v>1.1299999999999999E-2</v>
      </c>
      <c r="AA426">
        <v>1.34E-2</v>
      </c>
      <c r="AB426">
        <v>1.8700000000000001E-2</v>
      </c>
      <c r="AC426">
        <v>1.9400000000000001E-2</v>
      </c>
      <c r="AE426">
        <f t="shared" si="77"/>
        <v>0</v>
      </c>
      <c r="AF426">
        <f t="shared" si="78"/>
        <v>9.9999999999999937E-5</v>
      </c>
      <c r="AG426">
        <f t="shared" si="79"/>
        <v>-9.9999999999999937E-5</v>
      </c>
      <c r="AH426">
        <f t="shared" si="80"/>
        <v>0</v>
      </c>
      <c r="AI426">
        <f t="shared" si="81"/>
        <v>0</v>
      </c>
      <c r="AJ426">
        <f t="shared" si="82"/>
        <v>2.0000000000000009E-4</v>
      </c>
      <c r="AK426">
        <f t="shared" si="83"/>
        <v>-9.9999999999999395E-5</v>
      </c>
      <c r="AL426">
        <f t="shared" si="84"/>
        <v>0</v>
      </c>
      <c r="AM426">
        <f t="shared" si="85"/>
        <v>0</v>
      </c>
      <c r="AN426">
        <f t="shared" si="86"/>
        <v>-1.0000000000000113E-4</v>
      </c>
      <c r="AO426">
        <f t="shared" si="87"/>
        <v>-9.9999999999995925E-5</v>
      </c>
      <c r="AP426">
        <f t="shared" si="88"/>
        <v>-1.9999999999999879E-4</v>
      </c>
    </row>
    <row r="427" spans="17:42" x14ac:dyDescent="0.25">
      <c r="Q427" s="1">
        <v>44433</v>
      </c>
      <c r="R427">
        <v>4.0000000000000002E-4</v>
      </c>
      <c r="S427">
        <v>5.0000000000000001E-4</v>
      </c>
      <c r="T427">
        <v>5.9999999999999995E-4</v>
      </c>
      <c r="U427">
        <v>5.9999999999999995E-4</v>
      </c>
      <c r="V427">
        <v>7.000000000000001E-4</v>
      </c>
      <c r="W427">
        <v>2.3E-3</v>
      </c>
      <c r="X427">
        <v>4.6999999999999993E-3</v>
      </c>
      <c r="Y427">
        <v>8.3999999999999995E-3</v>
      </c>
      <c r="Z427">
        <v>1.1299999999999999E-2</v>
      </c>
      <c r="AA427">
        <v>1.3500000000000002E-2</v>
      </c>
      <c r="AB427">
        <v>1.8799999999999997E-2</v>
      </c>
      <c r="AC427">
        <v>1.9599999999999999E-2</v>
      </c>
      <c r="AE427">
        <f t="shared" si="77"/>
        <v>1.0000000000000005E-4</v>
      </c>
      <c r="AF427">
        <f t="shared" si="78"/>
        <v>0</v>
      </c>
      <c r="AG427">
        <f t="shared" si="79"/>
        <v>9.9999999999999937E-5</v>
      </c>
      <c r="AH427">
        <f t="shared" si="80"/>
        <v>9.9999999999999937E-5</v>
      </c>
      <c r="AI427">
        <f t="shared" si="81"/>
        <v>1.0000000000000015E-4</v>
      </c>
      <c r="AJ427">
        <f t="shared" si="82"/>
        <v>-9.9999999999999829E-5</v>
      </c>
      <c r="AK427">
        <f t="shared" si="83"/>
        <v>2.9999999999999905E-4</v>
      </c>
      <c r="AL427">
        <f t="shared" si="84"/>
        <v>3.9999999999999931E-4</v>
      </c>
      <c r="AM427">
        <f t="shared" si="85"/>
        <v>4.9999999999999871E-4</v>
      </c>
      <c r="AN427">
        <f t="shared" si="86"/>
        <v>6.0000000000000157E-4</v>
      </c>
      <c r="AO427">
        <f t="shared" si="87"/>
        <v>4.9999999999999697E-4</v>
      </c>
      <c r="AP427">
        <f t="shared" si="88"/>
        <v>5.0000000000000044E-4</v>
      </c>
    </row>
    <row r="428" spans="17:42" x14ac:dyDescent="0.25">
      <c r="Q428" s="1">
        <v>44432</v>
      </c>
      <c r="R428">
        <v>2.9999999999999997E-4</v>
      </c>
      <c r="S428">
        <v>5.0000000000000001E-4</v>
      </c>
      <c r="T428">
        <v>5.0000000000000001E-4</v>
      </c>
      <c r="U428">
        <v>5.0000000000000001E-4</v>
      </c>
      <c r="V428">
        <v>5.9999999999999995E-4</v>
      </c>
      <c r="W428">
        <v>2.3999999999999998E-3</v>
      </c>
      <c r="X428">
        <v>4.4000000000000003E-3</v>
      </c>
      <c r="Y428">
        <v>8.0000000000000002E-3</v>
      </c>
      <c r="Z428">
        <v>1.0800000000000001E-2</v>
      </c>
      <c r="AA428">
        <v>1.29E-2</v>
      </c>
      <c r="AB428">
        <v>1.83E-2</v>
      </c>
      <c r="AC428">
        <v>1.9099999999999999E-2</v>
      </c>
      <c r="AE428">
        <f t="shared" si="77"/>
        <v>-1.0000000000000005E-4</v>
      </c>
      <c r="AF428">
        <f t="shared" si="78"/>
        <v>0</v>
      </c>
      <c r="AG428">
        <f t="shared" si="79"/>
        <v>0</v>
      </c>
      <c r="AH428">
        <f t="shared" si="80"/>
        <v>-9.9999999999999937E-5</v>
      </c>
      <c r="AI428">
        <f t="shared" si="81"/>
        <v>-1.0000000000000015E-4</v>
      </c>
      <c r="AJ428">
        <f t="shared" si="82"/>
        <v>9.9999999999999829E-5</v>
      </c>
      <c r="AK428">
        <f t="shared" si="83"/>
        <v>1.0000000000000026E-4</v>
      </c>
      <c r="AL428">
        <f t="shared" si="84"/>
        <v>1.9999999999999966E-4</v>
      </c>
      <c r="AM428">
        <f t="shared" si="85"/>
        <v>2.9999999999999992E-4</v>
      </c>
      <c r="AN428">
        <f t="shared" si="86"/>
        <v>3.9999999999999931E-4</v>
      </c>
      <c r="AO428">
        <f t="shared" si="87"/>
        <v>4.0000000000000105E-4</v>
      </c>
      <c r="AP428">
        <f t="shared" si="88"/>
        <v>3.9999999999999758E-4</v>
      </c>
    </row>
    <row r="429" spans="17:42" x14ac:dyDescent="0.25">
      <c r="Q429" s="1">
        <v>44431</v>
      </c>
      <c r="R429">
        <v>4.0000000000000002E-4</v>
      </c>
      <c r="S429">
        <v>5.0000000000000001E-4</v>
      </c>
      <c r="T429">
        <v>5.0000000000000001E-4</v>
      </c>
      <c r="U429">
        <v>5.9999999999999995E-4</v>
      </c>
      <c r="V429">
        <v>7.000000000000001E-4</v>
      </c>
      <c r="W429">
        <v>2.3E-3</v>
      </c>
      <c r="X429">
        <v>4.3E-3</v>
      </c>
      <c r="Y429">
        <v>7.8000000000000005E-3</v>
      </c>
      <c r="Z429">
        <v>1.0500000000000001E-2</v>
      </c>
      <c r="AA429">
        <v>1.2500000000000001E-2</v>
      </c>
      <c r="AB429">
        <v>1.7899999999999999E-2</v>
      </c>
      <c r="AC429">
        <v>1.8700000000000001E-2</v>
      </c>
      <c r="AE429">
        <f t="shared" si="77"/>
        <v>0</v>
      </c>
      <c r="AF429">
        <f t="shared" si="78"/>
        <v>0</v>
      </c>
      <c r="AG429">
        <f t="shared" si="79"/>
        <v>0</v>
      </c>
      <c r="AH429">
        <f t="shared" si="80"/>
        <v>9.9999999999999937E-5</v>
      </c>
      <c r="AI429">
        <f t="shared" si="81"/>
        <v>1.0000000000000015E-4</v>
      </c>
      <c r="AJ429">
        <f t="shared" si="82"/>
        <v>0</v>
      </c>
      <c r="AK429">
        <f t="shared" si="83"/>
        <v>-1.0000000000000026E-4</v>
      </c>
      <c r="AL429">
        <f t="shared" si="84"/>
        <v>-1.9999999999999966E-4</v>
      </c>
      <c r="AM429">
        <f t="shared" si="85"/>
        <v>-9.9999999999999395E-5</v>
      </c>
      <c r="AN429">
        <f t="shared" si="86"/>
        <v>-9.9999999999999395E-5</v>
      </c>
      <c r="AO429">
        <f t="shared" si="87"/>
        <v>0</v>
      </c>
      <c r="AP429">
        <f t="shared" si="88"/>
        <v>0</v>
      </c>
    </row>
    <row r="430" spans="17:42" x14ac:dyDescent="0.25">
      <c r="Q430" s="1">
        <v>44428</v>
      </c>
      <c r="R430">
        <v>4.0000000000000002E-4</v>
      </c>
      <c r="S430">
        <v>5.0000000000000001E-4</v>
      </c>
      <c r="T430">
        <v>5.0000000000000001E-4</v>
      </c>
      <c r="U430">
        <v>5.0000000000000001E-4</v>
      </c>
      <c r="V430">
        <v>5.9999999999999995E-4</v>
      </c>
      <c r="W430">
        <v>2.3E-3</v>
      </c>
      <c r="X430">
        <v>4.4000000000000003E-3</v>
      </c>
      <c r="Y430">
        <v>8.0000000000000002E-3</v>
      </c>
      <c r="Z430">
        <v>1.06E-2</v>
      </c>
      <c r="AA430">
        <v>1.26E-2</v>
      </c>
      <c r="AB430">
        <v>1.7899999999999999E-2</v>
      </c>
      <c r="AC430">
        <v>1.8700000000000001E-2</v>
      </c>
      <c r="AE430">
        <f t="shared" si="77"/>
        <v>0</v>
      </c>
      <c r="AF430">
        <f t="shared" si="78"/>
        <v>0</v>
      </c>
      <c r="AG430">
        <f t="shared" si="79"/>
        <v>-9.9999999999999937E-5</v>
      </c>
      <c r="AH430">
        <f t="shared" si="80"/>
        <v>0</v>
      </c>
      <c r="AI430">
        <f t="shared" si="81"/>
        <v>0</v>
      </c>
      <c r="AJ430">
        <f t="shared" si="82"/>
        <v>9.9999999999999829E-5</v>
      </c>
      <c r="AK430">
        <f t="shared" si="83"/>
        <v>0</v>
      </c>
      <c r="AL430">
        <f t="shared" si="84"/>
        <v>1.9999999999999966E-4</v>
      </c>
      <c r="AM430">
        <f t="shared" si="85"/>
        <v>2.0000000000000052E-4</v>
      </c>
      <c r="AN430">
        <f t="shared" si="86"/>
        <v>2.0000000000000052E-4</v>
      </c>
      <c r="AO430">
        <f t="shared" si="87"/>
        <v>-1.0000000000000286E-4</v>
      </c>
      <c r="AP430">
        <f t="shared" si="88"/>
        <v>-9.9999999999995925E-5</v>
      </c>
    </row>
    <row r="431" spans="17:42" x14ac:dyDescent="0.25">
      <c r="Q431" s="1">
        <v>44427</v>
      </c>
      <c r="R431">
        <v>4.0000000000000002E-4</v>
      </c>
      <c r="S431">
        <v>5.0000000000000001E-4</v>
      </c>
      <c r="T431">
        <v>5.9999999999999995E-4</v>
      </c>
      <c r="U431">
        <v>5.0000000000000001E-4</v>
      </c>
      <c r="V431">
        <v>5.9999999999999995E-4</v>
      </c>
      <c r="W431">
        <v>2.2000000000000001E-3</v>
      </c>
      <c r="X431">
        <v>4.4000000000000003E-3</v>
      </c>
      <c r="Y431">
        <v>7.8000000000000005E-3</v>
      </c>
      <c r="Z431">
        <v>1.04E-2</v>
      </c>
      <c r="AA431">
        <v>1.24E-2</v>
      </c>
      <c r="AB431">
        <v>1.8000000000000002E-2</v>
      </c>
      <c r="AC431">
        <v>1.8799999999999997E-2</v>
      </c>
      <c r="AE431">
        <f t="shared" si="77"/>
        <v>1.0000000000000005E-4</v>
      </c>
      <c r="AF431">
        <f t="shared" si="78"/>
        <v>0</v>
      </c>
      <c r="AG431">
        <f t="shared" si="79"/>
        <v>-1.0000000000000015E-4</v>
      </c>
      <c r="AH431">
        <f t="shared" si="80"/>
        <v>0</v>
      </c>
      <c r="AI431">
        <f t="shared" si="81"/>
        <v>-1.0000000000000015E-4</v>
      </c>
      <c r="AJ431">
        <f t="shared" si="82"/>
        <v>-9.9999999999999829E-5</v>
      </c>
      <c r="AK431">
        <f t="shared" si="83"/>
        <v>1.0000000000000026E-4</v>
      </c>
      <c r="AL431">
        <f t="shared" si="84"/>
        <v>-1.0000000000000026E-4</v>
      </c>
      <c r="AM431">
        <f t="shared" si="85"/>
        <v>-2.0000000000000052E-4</v>
      </c>
      <c r="AN431">
        <f t="shared" si="86"/>
        <v>-2.9999999999999992E-4</v>
      </c>
      <c r="AO431">
        <f t="shared" si="87"/>
        <v>-3.9999999999999758E-4</v>
      </c>
      <c r="AP431">
        <f t="shared" si="88"/>
        <v>-3.0000000000000165E-4</v>
      </c>
    </row>
    <row r="432" spans="17:42" x14ac:dyDescent="0.25">
      <c r="Q432" s="1">
        <v>44426</v>
      </c>
      <c r="R432">
        <v>2.9999999999999997E-4</v>
      </c>
      <c r="S432">
        <v>5.0000000000000001E-4</v>
      </c>
      <c r="T432">
        <v>7.000000000000001E-4</v>
      </c>
      <c r="U432">
        <v>5.0000000000000001E-4</v>
      </c>
      <c r="V432">
        <v>7.000000000000001E-4</v>
      </c>
      <c r="W432">
        <v>2.3E-3</v>
      </c>
      <c r="X432">
        <v>4.3E-3</v>
      </c>
      <c r="Y432">
        <v>7.9000000000000008E-3</v>
      </c>
      <c r="Z432">
        <v>1.06E-2</v>
      </c>
      <c r="AA432">
        <v>1.2699999999999999E-2</v>
      </c>
      <c r="AB432">
        <v>1.84E-2</v>
      </c>
      <c r="AC432">
        <v>1.9099999999999999E-2</v>
      </c>
      <c r="AE432">
        <f t="shared" si="77"/>
        <v>0</v>
      </c>
      <c r="AF432">
        <f t="shared" si="78"/>
        <v>0</v>
      </c>
      <c r="AG432">
        <f t="shared" si="79"/>
        <v>0</v>
      </c>
      <c r="AH432">
        <f t="shared" si="80"/>
        <v>-9.9999999999999937E-5</v>
      </c>
      <c r="AI432">
        <f t="shared" si="81"/>
        <v>0</v>
      </c>
      <c r="AJ432">
        <f t="shared" si="82"/>
        <v>0</v>
      </c>
      <c r="AK432">
        <f t="shared" si="83"/>
        <v>0</v>
      </c>
      <c r="AL432">
        <f t="shared" si="84"/>
        <v>2.0000000000000052E-4</v>
      </c>
      <c r="AM432">
        <f t="shared" si="85"/>
        <v>9.9999999999999395E-5</v>
      </c>
      <c r="AN432">
        <f t="shared" si="86"/>
        <v>9.9999999999999395E-5</v>
      </c>
      <c r="AO432">
        <f t="shared" si="87"/>
        <v>1.9999999999999879E-4</v>
      </c>
      <c r="AP432">
        <f t="shared" si="88"/>
        <v>-9.9999999999999395E-5</v>
      </c>
    </row>
    <row r="433" spans="17:42" x14ac:dyDescent="0.25">
      <c r="Q433" s="1">
        <v>44425</v>
      </c>
      <c r="R433">
        <v>2.9999999999999997E-4</v>
      </c>
      <c r="S433">
        <v>5.0000000000000001E-4</v>
      </c>
      <c r="T433">
        <v>7.000000000000001E-4</v>
      </c>
      <c r="U433">
        <v>5.9999999999999995E-4</v>
      </c>
      <c r="V433">
        <v>7.000000000000001E-4</v>
      </c>
      <c r="W433">
        <v>2.3E-3</v>
      </c>
      <c r="X433">
        <v>4.3E-3</v>
      </c>
      <c r="Y433">
        <v>7.7000000000000002E-3</v>
      </c>
      <c r="Z433">
        <v>1.0500000000000001E-2</v>
      </c>
      <c r="AA433">
        <v>1.26E-2</v>
      </c>
      <c r="AB433">
        <v>1.8200000000000001E-2</v>
      </c>
      <c r="AC433">
        <v>1.9199999999999998E-2</v>
      </c>
      <c r="AE433">
        <f t="shared" si="77"/>
        <v>-1.0000000000000005E-4</v>
      </c>
      <c r="AF433">
        <f t="shared" si="78"/>
        <v>0</v>
      </c>
      <c r="AG433">
        <f t="shared" si="79"/>
        <v>1.0000000000000015E-4</v>
      </c>
      <c r="AH433">
        <f t="shared" si="80"/>
        <v>9.9999999999999937E-5</v>
      </c>
      <c r="AI433">
        <f t="shared" si="81"/>
        <v>-9.9999999999999937E-5</v>
      </c>
      <c r="AJ433">
        <f t="shared" si="82"/>
        <v>2.0000000000000009E-4</v>
      </c>
      <c r="AK433">
        <f t="shared" si="83"/>
        <v>1.0000000000000026E-4</v>
      </c>
      <c r="AL433">
        <f t="shared" si="84"/>
        <v>2.0000000000000052E-4</v>
      </c>
      <c r="AM433">
        <f t="shared" si="85"/>
        <v>1.0000000000000113E-4</v>
      </c>
      <c r="AN433">
        <f t="shared" si="86"/>
        <v>0</v>
      </c>
      <c r="AO433">
        <f t="shared" si="87"/>
        <v>0</v>
      </c>
      <c r="AP433">
        <f t="shared" si="88"/>
        <v>0</v>
      </c>
    </row>
    <row r="434" spans="17:42" x14ac:dyDescent="0.25">
      <c r="Q434" s="1">
        <v>44424</v>
      </c>
      <c r="R434">
        <v>4.0000000000000002E-4</v>
      </c>
      <c r="S434">
        <v>5.0000000000000001E-4</v>
      </c>
      <c r="T434">
        <v>5.9999999999999995E-4</v>
      </c>
      <c r="U434">
        <v>5.0000000000000001E-4</v>
      </c>
      <c r="V434">
        <v>8.0000000000000004E-4</v>
      </c>
      <c r="W434">
        <v>2.0999999999999999E-3</v>
      </c>
      <c r="X434">
        <v>4.1999999999999997E-3</v>
      </c>
      <c r="Y434">
        <v>7.4999999999999997E-3</v>
      </c>
      <c r="Z434">
        <v>1.04E-2</v>
      </c>
      <c r="AA434">
        <v>1.26E-2</v>
      </c>
      <c r="AB434">
        <v>1.8200000000000001E-2</v>
      </c>
      <c r="AC434">
        <v>1.9199999999999998E-2</v>
      </c>
      <c r="AE434">
        <f t="shared" si="77"/>
        <v>0</v>
      </c>
      <c r="AF434">
        <f t="shared" si="78"/>
        <v>0</v>
      </c>
      <c r="AG434">
        <f t="shared" si="79"/>
        <v>0</v>
      </c>
      <c r="AH434">
        <f t="shared" si="80"/>
        <v>0</v>
      </c>
      <c r="AI434">
        <f t="shared" si="81"/>
        <v>0</v>
      </c>
      <c r="AJ434">
        <f t="shared" si="82"/>
        <v>-2.0000000000000009E-4</v>
      </c>
      <c r="AK434">
        <f t="shared" si="83"/>
        <v>-2.0000000000000052E-4</v>
      </c>
      <c r="AL434">
        <f t="shared" si="84"/>
        <v>-4.0000000000000105E-4</v>
      </c>
      <c r="AM434">
        <f t="shared" si="85"/>
        <v>-4.0000000000000105E-4</v>
      </c>
      <c r="AN434">
        <f t="shared" si="86"/>
        <v>-2.9999999999999992E-4</v>
      </c>
      <c r="AO434">
        <f t="shared" si="87"/>
        <v>-3.0000000000000165E-4</v>
      </c>
      <c r="AP434">
        <f t="shared" si="88"/>
        <v>-2.0000000000000226E-4</v>
      </c>
    </row>
    <row r="435" spans="17:42" x14ac:dyDescent="0.25">
      <c r="Q435" s="1">
        <v>44421</v>
      </c>
      <c r="R435">
        <v>4.0000000000000002E-4</v>
      </c>
      <c r="S435">
        <v>5.0000000000000001E-4</v>
      </c>
      <c r="T435">
        <v>5.9999999999999995E-4</v>
      </c>
      <c r="U435">
        <v>5.0000000000000001E-4</v>
      </c>
      <c r="V435">
        <v>8.0000000000000004E-4</v>
      </c>
      <c r="W435">
        <v>2.3E-3</v>
      </c>
      <c r="X435">
        <v>4.4000000000000003E-3</v>
      </c>
      <c r="Y435">
        <v>7.9000000000000008E-3</v>
      </c>
      <c r="Z435">
        <v>1.0800000000000001E-2</v>
      </c>
      <c r="AA435">
        <v>1.29E-2</v>
      </c>
      <c r="AB435">
        <v>1.8500000000000003E-2</v>
      </c>
      <c r="AC435">
        <v>1.9400000000000001E-2</v>
      </c>
      <c r="AE435">
        <f t="shared" si="77"/>
        <v>-9.9999999999999991E-5</v>
      </c>
      <c r="AF435">
        <f t="shared" si="78"/>
        <v>-9.9999999999999937E-5</v>
      </c>
      <c r="AG435">
        <f t="shared" si="79"/>
        <v>0</v>
      </c>
      <c r="AH435">
        <f t="shared" si="80"/>
        <v>-9.9999999999999937E-5</v>
      </c>
      <c r="AI435">
        <f t="shared" si="81"/>
        <v>-9.9999999999999937E-5</v>
      </c>
      <c r="AJ435">
        <f t="shared" si="82"/>
        <v>0</v>
      </c>
      <c r="AK435">
        <f t="shared" si="83"/>
        <v>-1.9999999999999966E-4</v>
      </c>
      <c r="AL435">
        <f t="shared" si="84"/>
        <v>-3.9999999999999931E-4</v>
      </c>
      <c r="AM435">
        <f t="shared" si="85"/>
        <v>-4.9999999999999871E-4</v>
      </c>
      <c r="AN435">
        <f t="shared" si="86"/>
        <v>-7.0000000000000097E-4</v>
      </c>
      <c r="AO435">
        <f t="shared" si="87"/>
        <v>-6.9999999999999576E-4</v>
      </c>
      <c r="AP435">
        <f t="shared" si="88"/>
        <v>-8.9999999999999802E-4</v>
      </c>
    </row>
    <row r="436" spans="17:42" x14ac:dyDescent="0.25">
      <c r="Q436" s="1">
        <v>44420</v>
      </c>
      <c r="R436">
        <v>5.0000000000000001E-4</v>
      </c>
      <c r="S436">
        <v>5.9999999999999995E-4</v>
      </c>
      <c r="T436">
        <v>5.9999999999999995E-4</v>
      </c>
      <c r="U436">
        <v>5.9999999999999995E-4</v>
      </c>
      <c r="V436">
        <v>8.9999999999999998E-4</v>
      </c>
      <c r="W436">
        <v>2.3E-3</v>
      </c>
      <c r="X436">
        <v>4.5999999999999999E-3</v>
      </c>
      <c r="Y436">
        <v>8.3000000000000001E-3</v>
      </c>
      <c r="Z436">
        <v>1.1299999999999999E-2</v>
      </c>
      <c r="AA436">
        <v>1.3600000000000001E-2</v>
      </c>
      <c r="AB436">
        <v>1.9199999999999998E-2</v>
      </c>
      <c r="AC436">
        <v>2.0299999999999999E-2</v>
      </c>
      <c r="AE436">
        <f t="shared" si="77"/>
        <v>0</v>
      </c>
      <c r="AF436">
        <f t="shared" si="78"/>
        <v>9.9999999999999937E-5</v>
      </c>
      <c r="AG436">
        <f t="shared" si="79"/>
        <v>9.9999999999999937E-5</v>
      </c>
      <c r="AH436">
        <f t="shared" si="80"/>
        <v>0</v>
      </c>
      <c r="AI436">
        <f t="shared" si="81"/>
        <v>9.9999999999999937E-5</v>
      </c>
      <c r="AJ436">
        <f t="shared" si="82"/>
        <v>0</v>
      </c>
      <c r="AK436">
        <f t="shared" si="83"/>
        <v>9.9999999999999395E-5</v>
      </c>
      <c r="AL436">
        <f t="shared" si="84"/>
        <v>1.9999999999999879E-4</v>
      </c>
      <c r="AM436">
        <f t="shared" si="85"/>
        <v>1.9999999999999879E-4</v>
      </c>
      <c r="AN436">
        <f t="shared" si="86"/>
        <v>9.9999999999999395E-5</v>
      </c>
      <c r="AO436">
        <f t="shared" si="87"/>
        <v>1.9999999999999879E-4</v>
      </c>
      <c r="AP436">
        <f t="shared" si="88"/>
        <v>3.9999999999999758E-4</v>
      </c>
    </row>
    <row r="437" spans="17:42" x14ac:dyDescent="0.25">
      <c r="Q437" s="1">
        <v>44419</v>
      </c>
      <c r="R437">
        <v>5.0000000000000001E-4</v>
      </c>
      <c r="S437">
        <v>5.0000000000000001E-4</v>
      </c>
      <c r="T437">
        <v>5.0000000000000001E-4</v>
      </c>
      <c r="U437">
        <v>5.9999999999999995E-4</v>
      </c>
      <c r="V437">
        <v>8.0000000000000004E-4</v>
      </c>
      <c r="W437">
        <v>2.3E-3</v>
      </c>
      <c r="X437">
        <v>4.5000000000000005E-3</v>
      </c>
      <c r="Y437">
        <v>8.1000000000000013E-3</v>
      </c>
      <c r="Z437">
        <v>1.11E-2</v>
      </c>
      <c r="AA437">
        <v>1.3500000000000002E-2</v>
      </c>
      <c r="AB437">
        <v>1.9E-2</v>
      </c>
      <c r="AC437">
        <v>1.9900000000000001E-2</v>
      </c>
      <c r="AE437">
        <f t="shared" si="77"/>
        <v>0</v>
      </c>
      <c r="AF437">
        <f t="shared" si="78"/>
        <v>0</v>
      </c>
      <c r="AG437">
        <f t="shared" si="79"/>
        <v>0</v>
      </c>
      <c r="AH437">
        <f t="shared" si="80"/>
        <v>9.9999999999999937E-5</v>
      </c>
      <c r="AI437">
        <f t="shared" si="81"/>
        <v>0</v>
      </c>
      <c r="AJ437">
        <f t="shared" si="82"/>
        <v>-9.9999999999999829E-5</v>
      </c>
      <c r="AK437">
        <f t="shared" si="83"/>
        <v>-1.9999999999999879E-4</v>
      </c>
      <c r="AL437">
        <f t="shared" si="84"/>
        <v>-9.999999999999766E-5</v>
      </c>
      <c r="AM437">
        <f t="shared" si="85"/>
        <v>-1.0000000000000113E-4</v>
      </c>
      <c r="AN437">
        <f t="shared" si="86"/>
        <v>-9.9999999999999395E-5</v>
      </c>
      <c r="AO437">
        <f t="shared" si="87"/>
        <v>0</v>
      </c>
      <c r="AP437">
        <f t="shared" si="88"/>
        <v>0</v>
      </c>
    </row>
    <row r="438" spans="17:42" x14ac:dyDescent="0.25">
      <c r="Q438" s="1">
        <v>44418</v>
      </c>
      <c r="R438">
        <v>5.0000000000000001E-4</v>
      </c>
      <c r="S438">
        <v>5.0000000000000001E-4</v>
      </c>
      <c r="T438">
        <v>5.0000000000000001E-4</v>
      </c>
      <c r="U438">
        <v>5.0000000000000001E-4</v>
      </c>
      <c r="V438">
        <v>8.0000000000000004E-4</v>
      </c>
      <c r="W438">
        <v>2.3999999999999998E-3</v>
      </c>
      <c r="X438">
        <v>4.6999999999999993E-3</v>
      </c>
      <c r="Y438">
        <v>8.199999999999999E-3</v>
      </c>
      <c r="Z438">
        <v>1.1200000000000002E-2</v>
      </c>
      <c r="AA438">
        <v>1.3600000000000001E-2</v>
      </c>
      <c r="AB438">
        <v>1.9E-2</v>
      </c>
      <c r="AC438">
        <v>1.9900000000000001E-2</v>
      </c>
      <c r="AE438">
        <f t="shared" si="77"/>
        <v>9.9999999999999991E-5</v>
      </c>
      <c r="AF438">
        <f t="shared" si="78"/>
        <v>0</v>
      </c>
      <c r="AG438">
        <f t="shared" si="79"/>
        <v>-9.9999999999999937E-5</v>
      </c>
      <c r="AH438">
        <f t="shared" si="80"/>
        <v>-9.9999999999999937E-5</v>
      </c>
      <c r="AI438">
        <f t="shared" si="81"/>
        <v>0</v>
      </c>
      <c r="AJ438">
        <f t="shared" si="82"/>
        <v>9.9999999999999829E-5</v>
      </c>
      <c r="AK438">
        <f t="shared" si="83"/>
        <v>3.9999999999999931E-4</v>
      </c>
      <c r="AL438">
        <f t="shared" si="84"/>
        <v>2.9999999999999818E-4</v>
      </c>
      <c r="AM438">
        <f t="shared" si="85"/>
        <v>3.0000000000000165E-4</v>
      </c>
      <c r="AN438">
        <f t="shared" si="86"/>
        <v>2.9999999999999992E-4</v>
      </c>
      <c r="AO438">
        <f t="shared" si="87"/>
        <v>2.9999999999999818E-4</v>
      </c>
      <c r="AP438">
        <f t="shared" si="88"/>
        <v>3.0000000000000165E-4</v>
      </c>
    </row>
    <row r="439" spans="17:42" x14ac:dyDescent="0.25">
      <c r="Q439" s="1">
        <v>44417</v>
      </c>
      <c r="R439">
        <v>4.0000000000000002E-4</v>
      </c>
      <c r="S439">
        <v>5.0000000000000001E-4</v>
      </c>
      <c r="T439">
        <v>5.9999999999999995E-4</v>
      </c>
      <c r="U439">
        <v>5.9999999999999995E-4</v>
      </c>
      <c r="V439">
        <v>8.0000000000000004E-4</v>
      </c>
      <c r="W439">
        <v>2.3E-3</v>
      </c>
      <c r="X439">
        <v>4.3E-3</v>
      </c>
      <c r="Y439">
        <v>7.9000000000000008E-3</v>
      </c>
      <c r="Z439">
        <v>1.09E-2</v>
      </c>
      <c r="AA439">
        <v>1.3300000000000001E-2</v>
      </c>
      <c r="AB439">
        <v>1.8700000000000001E-2</v>
      </c>
      <c r="AC439">
        <v>1.9599999999999999E-2</v>
      </c>
      <c r="AE439">
        <f t="shared" si="77"/>
        <v>0</v>
      </c>
      <c r="AF439">
        <f t="shared" si="78"/>
        <v>0</v>
      </c>
      <c r="AG439">
        <f t="shared" si="79"/>
        <v>0</v>
      </c>
      <c r="AH439">
        <f t="shared" si="80"/>
        <v>0</v>
      </c>
      <c r="AI439">
        <f t="shared" si="81"/>
        <v>-9.9999999999999937E-5</v>
      </c>
      <c r="AJ439">
        <f t="shared" si="82"/>
        <v>2.0000000000000009E-4</v>
      </c>
      <c r="AK439">
        <f t="shared" si="83"/>
        <v>1.0000000000000026E-4</v>
      </c>
      <c r="AL439">
        <f t="shared" si="84"/>
        <v>2.0000000000000052E-4</v>
      </c>
      <c r="AM439">
        <f t="shared" si="85"/>
        <v>1.9999999999999879E-4</v>
      </c>
      <c r="AN439">
        <f t="shared" si="86"/>
        <v>2.0000000000000052E-4</v>
      </c>
      <c r="AO439">
        <f t="shared" si="87"/>
        <v>1.9999999999999879E-4</v>
      </c>
      <c r="AP439">
        <f t="shared" si="88"/>
        <v>1.9999999999999879E-4</v>
      </c>
    </row>
    <row r="440" spans="17:42" x14ac:dyDescent="0.25">
      <c r="Q440" s="1">
        <v>44414</v>
      </c>
      <c r="R440">
        <v>4.0000000000000002E-4</v>
      </c>
      <c r="S440">
        <v>5.0000000000000001E-4</v>
      </c>
      <c r="T440">
        <v>5.9999999999999995E-4</v>
      </c>
      <c r="U440">
        <v>5.9999999999999995E-4</v>
      </c>
      <c r="V440">
        <v>8.9999999999999998E-4</v>
      </c>
      <c r="W440">
        <v>2.0999999999999999E-3</v>
      </c>
      <c r="X440">
        <v>4.1999999999999997E-3</v>
      </c>
      <c r="Y440">
        <v>7.7000000000000002E-3</v>
      </c>
      <c r="Z440">
        <v>1.0700000000000001E-2</v>
      </c>
      <c r="AA440">
        <v>1.3100000000000001E-2</v>
      </c>
      <c r="AB440">
        <v>1.8500000000000003E-2</v>
      </c>
      <c r="AC440">
        <v>1.9400000000000001E-2</v>
      </c>
      <c r="AE440">
        <f t="shared" si="77"/>
        <v>-9.9999999999999991E-5</v>
      </c>
      <c r="AF440">
        <f t="shared" si="78"/>
        <v>0</v>
      </c>
      <c r="AG440">
        <f t="shared" si="79"/>
        <v>9.9999999999999937E-5</v>
      </c>
      <c r="AH440">
        <f t="shared" si="80"/>
        <v>0</v>
      </c>
      <c r="AI440">
        <f t="shared" si="81"/>
        <v>9.9999999999999937E-5</v>
      </c>
      <c r="AJ440">
        <f t="shared" si="82"/>
        <v>0</v>
      </c>
      <c r="AK440">
        <f t="shared" si="83"/>
        <v>3.9999999999999975E-4</v>
      </c>
      <c r="AL440">
        <f t="shared" si="84"/>
        <v>5.0000000000000044E-4</v>
      </c>
      <c r="AM440">
        <f t="shared" si="85"/>
        <v>6.0000000000000157E-4</v>
      </c>
      <c r="AN440">
        <f t="shared" si="86"/>
        <v>8.0000000000000036E-4</v>
      </c>
      <c r="AO440">
        <f t="shared" si="87"/>
        <v>8.000000000000021E-4</v>
      </c>
      <c r="AP440">
        <f t="shared" si="88"/>
        <v>7.9999999999999863E-4</v>
      </c>
    </row>
    <row r="441" spans="17:42" x14ac:dyDescent="0.25">
      <c r="Q441" s="1">
        <v>44413</v>
      </c>
      <c r="R441">
        <v>5.0000000000000001E-4</v>
      </c>
      <c r="S441">
        <v>5.0000000000000001E-4</v>
      </c>
      <c r="T441">
        <v>5.0000000000000001E-4</v>
      </c>
      <c r="U441">
        <v>5.9999999999999995E-4</v>
      </c>
      <c r="V441">
        <v>8.0000000000000004E-4</v>
      </c>
      <c r="W441">
        <v>2.0999999999999999E-3</v>
      </c>
      <c r="X441">
        <v>3.8E-3</v>
      </c>
      <c r="Y441">
        <v>7.1999999999999998E-3</v>
      </c>
      <c r="Z441">
        <v>1.01E-2</v>
      </c>
      <c r="AA441">
        <v>1.23E-2</v>
      </c>
      <c r="AB441">
        <v>1.77E-2</v>
      </c>
      <c r="AC441">
        <v>1.8600000000000002E-2</v>
      </c>
      <c r="AE441">
        <f t="shared" si="77"/>
        <v>0</v>
      </c>
      <c r="AF441">
        <f t="shared" si="78"/>
        <v>0</v>
      </c>
      <c r="AG441">
        <f t="shared" si="79"/>
        <v>0</v>
      </c>
      <c r="AH441">
        <f t="shared" si="80"/>
        <v>9.9999999999999937E-5</v>
      </c>
      <c r="AI441">
        <f t="shared" si="81"/>
        <v>9.9999999999999937E-5</v>
      </c>
      <c r="AJ441">
        <f t="shared" si="82"/>
        <v>3.9999999999999975E-4</v>
      </c>
      <c r="AK441">
        <f t="shared" si="83"/>
        <v>3.9999999999999975E-4</v>
      </c>
      <c r="AL441">
        <f t="shared" si="84"/>
        <v>4.9999999999999958E-4</v>
      </c>
      <c r="AM441">
        <f t="shared" si="85"/>
        <v>5.0000000000000044E-4</v>
      </c>
      <c r="AN441">
        <f t="shared" si="86"/>
        <v>4.0000000000000105E-4</v>
      </c>
      <c r="AO441">
        <f t="shared" si="87"/>
        <v>3.0000000000000165E-4</v>
      </c>
      <c r="AP441">
        <f t="shared" si="88"/>
        <v>3.0000000000000165E-4</v>
      </c>
    </row>
    <row r="442" spans="17:42" x14ac:dyDescent="0.25">
      <c r="Q442" s="1">
        <v>44412</v>
      </c>
      <c r="R442">
        <v>5.0000000000000001E-4</v>
      </c>
      <c r="S442">
        <v>5.0000000000000001E-4</v>
      </c>
      <c r="T442">
        <v>5.0000000000000001E-4</v>
      </c>
      <c r="U442">
        <v>5.0000000000000001E-4</v>
      </c>
      <c r="V442">
        <v>7.000000000000001E-4</v>
      </c>
      <c r="W442">
        <v>1.7000000000000001E-3</v>
      </c>
      <c r="X442">
        <v>3.4000000000000002E-3</v>
      </c>
      <c r="Y442">
        <v>6.7000000000000002E-3</v>
      </c>
      <c r="Z442">
        <v>9.5999999999999992E-3</v>
      </c>
      <c r="AA442">
        <v>1.1899999999999999E-2</v>
      </c>
      <c r="AB442">
        <v>1.7399999999999999E-2</v>
      </c>
      <c r="AC442">
        <v>1.83E-2</v>
      </c>
      <c r="AE442">
        <f t="shared" si="77"/>
        <v>0</v>
      </c>
      <c r="AF442">
        <f t="shared" si="78"/>
        <v>0</v>
      </c>
      <c r="AG442">
        <f t="shared" si="79"/>
        <v>0</v>
      </c>
      <c r="AH442">
        <f t="shared" si="80"/>
        <v>-9.9999999999999937E-5</v>
      </c>
      <c r="AI442">
        <f t="shared" si="81"/>
        <v>0</v>
      </c>
      <c r="AJ442">
        <f t="shared" si="82"/>
        <v>0</v>
      </c>
      <c r="AK442">
        <f t="shared" si="83"/>
        <v>1.0000000000000026E-4</v>
      </c>
      <c r="AL442">
        <f t="shared" si="84"/>
        <v>1.9999999999999966E-4</v>
      </c>
      <c r="AM442">
        <f t="shared" si="85"/>
        <v>9.9999999999999395E-5</v>
      </c>
      <c r="AN442">
        <f t="shared" si="86"/>
        <v>0</v>
      </c>
      <c r="AO442">
        <f t="shared" si="87"/>
        <v>-2.0000000000000226E-4</v>
      </c>
      <c r="AP442">
        <f t="shared" si="88"/>
        <v>-2.0000000000000226E-4</v>
      </c>
    </row>
    <row r="443" spans="17:42" x14ac:dyDescent="0.25">
      <c r="Q443" s="1">
        <v>44411</v>
      </c>
      <c r="R443">
        <v>5.0000000000000001E-4</v>
      </c>
      <c r="S443">
        <v>5.0000000000000001E-4</v>
      </c>
      <c r="T443">
        <v>5.0000000000000001E-4</v>
      </c>
      <c r="U443">
        <v>5.9999999999999995E-4</v>
      </c>
      <c r="V443">
        <v>7.000000000000001E-4</v>
      </c>
      <c r="W443">
        <v>1.7000000000000001E-3</v>
      </c>
      <c r="X443">
        <v>3.3E-3</v>
      </c>
      <c r="Y443">
        <v>6.5000000000000006E-3</v>
      </c>
      <c r="Z443">
        <v>9.4999999999999998E-3</v>
      </c>
      <c r="AA443">
        <v>1.1899999999999999E-2</v>
      </c>
      <c r="AB443">
        <v>1.7600000000000001E-2</v>
      </c>
      <c r="AC443">
        <v>1.8500000000000003E-2</v>
      </c>
      <c r="AE443">
        <f t="shared" si="77"/>
        <v>0</v>
      </c>
      <c r="AF443">
        <f t="shared" si="78"/>
        <v>0</v>
      </c>
      <c r="AG443">
        <f t="shared" si="79"/>
        <v>0</v>
      </c>
      <c r="AH443">
        <f t="shared" si="80"/>
        <v>0</v>
      </c>
      <c r="AI443">
        <f t="shared" si="81"/>
        <v>0</v>
      </c>
      <c r="AJ443">
        <f t="shared" si="82"/>
        <v>0</v>
      </c>
      <c r="AK443">
        <f t="shared" si="83"/>
        <v>0</v>
      </c>
      <c r="AL443">
        <f t="shared" si="84"/>
        <v>-9.9999999999999395E-5</v>
      </c>
      <c r="AM443">
        <f t="shared" si="85"/>
        <v>-9.9999999999999395E-5</v>
      </c>
      <c r="AN443">
        <f t="shared" si="86"/>
        <v>-1.0000000000000113E-4</v>
      </c>
      <c r="AO443">
        <f t="shared" si="87"/>
        <v>-9.9999999999999395E-5</v>
      </c>
      <c r="AP443">
        <f t="shared" si="88"/>
        <v>-9.9999999999999395E-5</v>
      </c>
    </row>
    <row r="444" spans="17:42" x14ac:dyDescent="0.25">
      <c r="Q444" s="1">
        <v>44410</v>
      </c>
      <c r="R444">
        <v>5.0000000000000001E-4</v>
      </c>
      <c r="S444">
        <v>5.0000000000000001E-4</v>
      </c>
      <c r="T444">
        <v>5.0000000000000001E-4</v>
      </c>
      <c r="U444">
        <v>5.9999999999999995E-4</v>
      </c>
      <c r="V444">
        <v>7.000000000000001E-4</v>
      </c>
      <c r="W444">
        <v>1.7000000000000001E-3</v>
      </c>
      <c r="X444">
        <v>3.3E-3</v>
      </c>
      <c r="Y444">
        <v>6.6E-3</v>
      </c>
      <c r="Z444">
        <v>9.5999999999999992E-3</v>
      </c>
      <c r="AA444">
        <v>1.2E-2</v>
      </c>
      <c r="AB444">
        <v>1.77E-2</v>
      </c>
      <c r="AC444">
        <v>1.8600000000000002E-2</v>
      </c>
      <c r="AE444">
        <f t="shared" si="77"/>
        <v>0</v>
      </c>
      <c r="AF444">
        <f t="shared" si="78"/>
        <v>0</v>
      </c>
      <c r="AG444">
        <f t="shared" si="79"/>
        <v>-9.9999999999999937E-5</v>
      </c>
      <c r="AH444">
        <f t="shared" si="80"/>
        <v>9.9999999999999937E-5</v>
      </c>
      <c r="AI444">
        <f t="shared" si="81"/>
        <v>0</v>
      </c>
      <c r="AJ444">
        <f t="shared" si="82"/>
        <v>-1.9999999999999987E-4</v>
      </c>
      <c r="AK444">
        <f t="shared" si="83"/>
        <v>-1.9999999999999966E-4</v>
      </c>
      <c r="AL444">
        <f t="shared" si="84"/>
        <v>-2.9999999999999992E-4</v>
      </c>
      <c r="AM444">
        <f t="shared" si="85"/>
        <v>-4.0000000000000105E-4</v>
      </c>
      <c r="AN444">
        <f t="shared" si="86"/>
        <v>-3.9999999999999931E-4</v>
      </c>
      <c r="AO444">
        <f t="shared" si="87"/>
        <v>-4.0000000000000105E-4</v>
      </c>
      <c r="AP444">
        <f t="shared" si="88"/>
        <v>-2.9999999999999818E-4</v>
      </c>
    </row>
    <row r="445" spans="17:42" x14ac:dyDescent="0.25">
      <c r="Q445" s="1">
        <v>44407</v>
      </c>
      <c r="R445">
        <v>5.0000000000000001E-4</v>
      </c>
      <c r="S445">
        <v>5.0000000000000001E-4</v>
      </c>
      <c r="T445">
        <v>5.9999999999999995E-4</v>
      </c>
      <c r="U445">
        <v>5.0000000000000001E-4</v>
      </c>
      <c r="V445">
        <v>7.000000000000001E-4</v>
      </c>
      <c r="W445">
        <v>1.9E-3</v>
      </c>
      <c r="X445">
        <v>3.4999999999999996E-3</v>
      </c>
      <c r="Y445">
        <v>6.8999999999999999E-3</v>
      </c>
      <c r="Z445">
        <v>0.01</v>
      </c>
      <c r="AA445">
        <v>1.24E-2</v>
      </c>
      <c r="AB445">
        <v>1.8100000000000002E-2</v>
      </c>
      <c r="AC445">
        <v>1.89E-2</v>
      </c>
      <c r="AE445">
        <f t="shared" si="77"/>
        <v>0</v>
      </c>
      <c r="AF445">
        <f t="shared" si="78"/>
        <v>0</v>
      </c>
      <c r="AG445">
        <f t="shared" si="79"/>
        <v>0</v>
      </c>
      <c r="AH445">
        <f t="shared" si="80"/>
        <v>0</v>
      </c>
      <c r="AI445">
        <f t="shared" si="81"/>
        <v>-9.9999999999999937E-5</v>
      </c>
      <c r="AJ445">
        <f t="shared" si="82"/>
        <v>-1.0000000000000005E-4</v>
      </c>
      <c r="AK445">
        <f t="shared" si="83"/>
        <v>-2.0000000000000052E-4</v>
      </c>
      <c r="AL445">
        <f t="shared" si="84"/>
        <v>-4.0000000000000018E-4</v>
      </c>
      <c r="AM445">
        <f t="shared" si="85"/>
        <v>-3.9999999999999931E-4</v>
      </c>
      <c r="AN445">
        <f t="shared" si="86"/>
        <v>-4.0000000000000105E-4</v>
      </c>
      <c r="AO445">
        <f t="shared" si="87"/>
        <v>-2.9999999999999818E-4</v>
      </c>
      <c r="AP445">
        <f t="shared" si="88"/>
        <v>-1.9999999999999879E-4</v>
      </c>
    </row>
    <row r="446" spans="17:42" x14ac:dyDescent="0.25">
      <c r="Q446" s="1">
        <v>44406</v>
      </c>
      <c r="R446">
        <v>5.0000000000000001E-4</v>
      </c>
      <c r="S446">
        <v>5.0000000000000001E-4</v>
      </c>
      <c r="T446">
        <v>5.9999999999999995E-4</v>
      </c>
      <c r="U446">
        <v>5.0000000000000001E-4</v>
      </c>
      <c r="V446">
        <v>8.0000000000000004E-4</v>
      </c>
      <c r="W446">
        <v>2E-3</v>
      </c>
      <c r="X446">
        <v>3.7000000000000002E-3</v>
      </c>
      <c r="Y446">
        <v>7.3000000000000001E-3</v>
      </c>
      <c r="Z446">
        <v>1.04E-2</v>
      </c>
      <c r="AA446">
        <v>1.2800000000000001E-2</v>
      </c>
      <c r="AB446">
        <v>1.84E-2</v>
      </c>
      <c r="AC446">
        <v>1.9099999999999999E-2</v>
      </c>
      <c r="AE446">
        <f t="shared" si="77"/>
        <v>9.9999999999999991E-5</v>
      </c>
      <c r="AF446">
        <f t="shared" si="78"/>
        <v>0</v>
      </c>
      <c r="AG446">
        <f t="shared" si="79"/>
        <v>9.9999999999999937E-5</v>
      </c>
      <c r="AH446">
        <f t="shared" si="80"/>
        <v>0</v>
      </c>
      <c r="AI446">
        <f t="shared" si="81"/>
        <v>9.9999999999999937E-5</v>
      </c>
      <c r="AJ446">
        <f t="shared" si="82"/>
        <v>0</v>
      </c>
      <c r="AK446">
        <f t="shared" si="83"/>
        <v>-9.9999999999999829E-5</v>
      </c>
      <c r="AL446">
        <f t="shared" si="84"/>
        <v>1.0000000000000026E-4</v>
      </c>
      <c r="AM446">
        <f t="shared" si="85"/>
        <v>2.9999999999999992E-4</v>
      </c>
      <c r="AN446">
        <f t="shared" si="86"/>
        <v>2.0000000000000052E-4</v>
      </c>
      <c r="AO446">
        <f t="shared" si="87"/>
        <v>9.9999999999999395E-5</v>
      </c>
      <c r="AP446">
        <f t="shared" si="88"/>
        <v>9.9999999999999395E-5</v>
      </c>
    </row>
    <row r="447" spans="17:42" x14ac:dyDescent="0.25">
      <c r="Q447" s="1">
        <v>44405</v>
      </c>
      <c r="R447">
        <v>4.0000000000000002E-4</v>
      </c>
      <c r="S447">
        <v>5.0000000000000001E-4</v>
      </c>
      <c r="T447">
        <v>5.0000000000000001E-4</v>
      </c>
      <c r="U447">
        <v>5.0000000000000001E-4</v>
      </c>
      <c r="V447">
        <v>7.000000000000001E-4</v>
      </c>
      <c r="W447">
        <v>2E-3</v>
      </c>
      <c r="X447">
        <v>3.8E-3</v>
      </c>
      <c r="Y447">
        <v>7.1999999999999998E-3</v>
      </c>
      <c r="Z447">
        <v>1.01E-2</v>
      </c>
      <c r="AA447">
        <v>1.26E-2</v>
      </c>
      <c r="AB447">
        <v>1.83E-2</v>
      </c>
      <c r="AC447">
        <v>1.9E-2</v>
      </c>
      <c r="AE447">
        <f t="shared" si="77"/>
        <v>0</v>
      </c>
      <c r="AF447">
        <f t="shared" si="78"/>
        <v>0</v>
      </c>
      <c r="AG447">
        <f t="shared" si="79"/>
        <v>0</v>
      </c>
      <c r="AH447">
        <f t="shared" si="80"/>
        <v>0</v>
      </c>
      <c r="AI447">
        <f t="shared" si="81"/>
        <v>0</v>
      </c>
      <c r="AJ447">
        <f t="shared" si="82"/>
        <v>0</v>
      </c>
      <c r="AK447">
        <f t="shared" si="83"/>
        <v>9.9999999999999829E-5</v>
      </c>
      <c r="AL447">
        <f t="shared" si="84"/>
        <v>1.0000000000000026E-4</v>
      </c>
      <c r="AM447">
        <f t="shared" si="85"/>
        <v>0</v>
      </c>
      <c r="AN447">
        <f t="shared" si="86"/>
        <v>9.9999999999999395E-5</v>
      </c>
      <c r="AO447">
        <f t="shared" si="87"/>
        <v>1.9999999999999879E-4</v>
      </c>
      <c r="AP447">
        <f t="shared" si="88"/>
        <v>9.9999999999999395E-5</v>
      </c>
    </row>
    <row r="448" spans="17:42" x14ac:dyDescent="0.25">
      <c r="Q448" s="1">
        <v>44404</v>
      </c>
      <c r="R448">
        <v>4.0000000000000002E-4</v>
      </c>
      <c r="S448">
        <v>5.0000000000000001E-4</v>
      </c>
      <c r="T448">
        <v>5.0000000000000001E-4</v>
      </c>
      <c r="U448">
        <v>5.0000000000000001E-4</v>
      </c>
      <c r="V448">
        <v>7.000000000000001E-4</v>
      </c>
      <c r="W448">
        <v>2E-3</v>
      </c>
      <c r="X448">
        <v>3.7000000000000002E-3</v>
      </c>
      <c r="Y448">
        <v>7.0999999999999995E-3</v>
      </c>
      <c r="Z448">
        <v>1.01E-2</v>
      </c>
      <c r="AA448">
        <v>1.2500000000000001E-2</v>
      </c>
      <c r="AB448">
        <v>1.8100000000000002E-2</v>
      </c>
      <c r="AC448">
        <v>1.89E-2</v>
      </c>
      <c r="AE448">
        <f t="shared" si="77"/>
        <v>-9.9999999999999991E-5</v>
      </c>
      <c r="AF448">
        <f t="shared" si="78"/>
        <v>0</v>
      </c>
      <c r="AG448">
        <f t="shared" si="79"/>
        <v>0</v>
      </c>
      <c r="AH448">
        <f t="shared" si="80"/>
        <v>-9.9999999999999937E-5</v>
      </c>
      <c r="AI448">
        <f t="shared" si="81"/>
        <v>-9.9999999999999937E-5</v>
      </c>
      <c r="AJ448">
        <f t="shared" si="82"/>
        <v>-2.0000000000000009E-4</v>
      </c>
      <c r="AK448">
        <f t="shared" si="83"/>
        <v>-9.9999999999999829E-5</v>
      </c>
      <c r="AL448">
        <f t="shared" si="84"/>
        <v>-2.0000000000000052E-4</v>
      </c>
      <c r="AM448">
        <f t="shared" si="85"/>
        <v>-2.9999999999999992E-4</v>
      </c>
      <c r="AN448">
        <f t="shared" si="86"/>
        <v>-3.9999999999999931E-4</v>
      </c>
      <c r="AO448">
        <f t="shared" si="87"/>
        <v>-4.0000000000000105E-4</v>
      </c>
      <c r="AP448">
        <f t="shared" si="88"/>
        <v>-3.9999999999999758E-4</v>
      </c>
    </row>
    <row r="449" spans="17:42" x14ac:dyDescent="0.25">
      <c r="Q449" s="1">
        <v>44403</v>
      </c>
      <c r="R449">
        <v>5.0000000000000001E-4</v>
      </c>
      <c r="S449">
        <v>5.0000000000000001E-4</v>
      </c>
      <c r="T449">
        <v>5.0000000000000001E-4</v>
      </c>
      <c r="U449">
        <v>5.9999999999999995E-4</v>
      </c>
      <c r="V449">
        <v>8.0000000000000004E-4</v>
      </c>
      <c r="W449">
        <v>2.2000000000000001E-3</v>
      </c>
      <c r="X449">
        <v>3.8E-3</v>
      </c>
      <c r="Y449">
        <v>7.3000000000000001E-3</v>
      </c>
      <c r="Z449">
        <v>1.04E-2</v>
      </c>
      <c r="AA449">
        <v>1.29E-2</v>
      </c>
      <c r="AB449">
        <v>1.8500000000000003E-2</v>
      </c>
      <c r="AC449">
        <v>1.9299999999999998E-2</v>
      </c>
      <c r="AE449">
        <f t="shared" si="77"/>
        <v>0</v>
      </c>
      <c r="AF449">
        <f t="shared" si="78"/>
        <v>0</v>
      </c>
      <c r="AG449">
        <f t="shared" si="79"/>
        <v>0</v>
      </c>
      <c r="AH449">
        <f t="shared" si="80"/>
        <v>9.9999999999999937E-5</v>
      </c>
      <c r="AI449">
        <f t="shared" si="81"/>
        <v>9.9999999999999937E-5</v>
      </c>
      <c r="AJ449">
        <f t="shared" si="82"/>
        <v>0</v>
      </c>
      <c r="AK449">
        <f t="shared" si="83"/>
        <v>0</v>
      </c>
      <c r="AL449">
        <f t="shared" si="84"/>
        <v>1.0000000000000026E-4</v>
      </c>
      <c r="AM449">
        <f t="shared" si="85"/>
        <v>0</v>
      </c>
      <c r="AN449">
        <f t="shared" si="86"/>
        <v>-1.0000000000000113E-4</v>
      </c>
      <c r="AO449">
        <f t="shared" si="87"/>
        <v>0</v>
      </c>
      <c r="AP449">
        <f t="shared" si="88"/>
        <v>9.9999999999999395E-5</v>
      </c>
    </row>
    <row r="450" spans="17:42" x14ac:dyDescent="0.25">
      <c r="Q450" s="1">
        <v>44400</v>
      </c>
      <c r="R450">
        <v>5.0000000000000001E-4</v>
      </c>
      <c r="S450">
        <v>5.0000000000000001E-4</v>
      </c>
      <c r="T450">
        <v>5.0000000000000001E-4</v>
      </c>
      <c r="U450">
        <v>5.0000000000000001E-4</v>
      </c>
      <c r="V450">
        <v>7.000000000000001E-4</v>
      </c>
      <c r="W450">
        <v>2.2000000000000001E-3</v>
      </c>
      <c r="X450">
        <v>3.8E-3</v>
      </c>
      <c r="Y450">
        <v>7.1999999999999998E-3</v>
      </c>
      <c r="Z450">
        <v>1.04E-2</v>
      </c>
      <c r="AA450">
        <v>1.3000000000000001E-2</v>
      </c>
      <c r="AB450">
        <v>1.8500000000000003E-2</v>
      </c>
      <c r="AC450">
        <v>1.9199999999999998E-2</v>
      </c>
      <c r="AE450">
        <f t="shared" si="77"/>
        <v>9.9999999999999991E-5</v>
      </c>
      <c r="AF450">
        <f t="shared" si="78"/>
        <v>9.9999999999999991E-5</v>
      </c>
      <c r="AG450">
        <f t="shared" si="79"/>
        <v>0</v>
      </c>
      <c r="AH450">
        <f t="shared" si="80"/>
        <v>0</v>
      </c>
      <c r="AI450">
        <f t="shared" si="81"/>
        <v>0</v>
      </c>
      <c r="AJ450">
        <f t="shared" si="82"/>
        <v>2.0000000000000009E-4</v>
      </c>
      <c r="AK450">
        <f t="shared" si="83"/>
        <v>9.9999999999999829E-5</v>
      </c>
      <c r="AL450">
        <f t="shared" si="84"/>
        <v>1.0000000000000026E-4</v>
      </c>
      <c r="AM450">
        <f t="shared" si="85"/>
        <v>1.9999999999999879E-4</v>
      </c>
      <c r="AN450">
        <f t="shared" si="86"/>
        <v>3.0000000000000165E-4</v>
      </c>
      <c r="AO450">
        <f t="shared" si="87"/>
        <v>3.0000000000000165E-4</v>
      </c>
      <c r="AP450">
        <f t="shared" si="88"/>
        <v>1.9999999999999879E-4</v>
      </c>
    </row>
    <row r="451" spans="17:42" x14ac:dyDescent="0.25">
      <c r="Q451" s="1">
        <v>44399</v>
      </c>
      <c r="R451">
        <v>4.0000000000000002E-4</v>
      </c>
      <c r="S451">
        <v>4.0000000000000002E-4</v>
      </c>
      <c r="T451">
        <v>5.0000000000000001E-4</v>
      </c>
      <c r="U451">
        <v>5.0000000000000001E-4</v>
      </c>
      <c r="V451">
        <v>7.000000000000001E-4</v>
      </c>
      <c r="W451">
        <v>2E-3</v>
      </c>
      <c r="X451">
        <v>3.7000000000000002E-3</v>
      </c>
      <c r="Y451">
        <v>7.0999999999999995E-3</v>
      </c>
      <c r="Z451">
        <v>1.0200000000000001E-2</v>
      </c>
      <c r="AA451">
        <v>1.2699999999999999E-2</v>
      </c>
      <c r="AB451">
        <v>1.8200000000000001E-2</v>
      </c>
      <c r="AC451">
        <v>1.9E-2</v>
      </c>
      <c r="AE451">
        <f t="shared" si="77"/>
        <v>0</v>
      </c>
      <c r="AF451">
        <f t="shared" si="78"/>
        <v>0</v>
      </c>
      <c r="AG451">
        <f t="shared" si="79"/>
        <v>0</v>
      </c>
      <c r="AH451">
        <f t="shared" si="80"/>
        <v>0</v>
      </c>
      <c r="AI451">
        <f t="shared" si="81"/>
        <v>0</v>
      </c>
      <c r="AJ451">
        <f t="shared" si="82"/>
        <v>-2.0000000000000009E-4</v>
      </c>
      <c r="AK451">
        <f t="shared" si="83"/>
        <v>-2.0000000000000009E-4</v>
      </c>
      <c r="AL451">
        <f t="shared" si="84"/>
        <v>-3.0000000000000079E-4</v>
      </c>
      <c r="AM451">
        <f t="shared" si="85"/>
        <v>-2.9999999999999992E-4</v>
      </c>
      <c r="AN451">
        <f t="shared" si="86"/>
        <v>-3.0000000000000165E-4</v>
      </c>
      <c r="AO451">
        <f t="shared" si="87"/>
        <v>-5.0000000000000044E-4</v>
      </c>
      <c r="AP451">
        <f t="shared" si="88"/>
        <v>-4.0000000000000105E-4</v>
      </c>
    </row>
    <row r="452" spans="17:42" x14ac:dyDescent="0.25">
      <c r="Q452" s="1">
        <v>44398</v>
      </c>
      <c r="R452">
        <v>4.0000000000000002E-4</v>
      </c>
      <c r="S452">
        <v>4.0000000000000002E-4</v>
      </c>
      <c r="T452">
        <v>5.0000000000000001E-4</v>
      </c>
      <c r="U452">
        <v>5.0000000000000001E-4</v>
      </c>
      <c r="V452">
        <v>7.000000000000001E-4</v>
      </c>
      <c r="W452">
        <v>2.2000000000000001E-3</v>
      </c>
      <c r="X452">
        <v>3.9000000000000003E-3</v>
      </c>
      <c r="Y452">
        <v>7.4000000000000003E-3</v>
      </c>
      <c r="Z452">
        <v>1.0500000000000001E-2</v>
      </c>
      <c r="AA452">
        <v>1.3000000000000001E-2</v>
      </c>
      <c r="AB452">
        <v>1.8700000000000001E-2</v>
      </c>
      <c r="AC452">
        <v>1.9400000000000001E-2</v>
      </c>
      <c r="AE452">
        <f t="shared" si="77"/>
        <v>-9.9999999999999991E-5</v>
      </c>
      <c r="AF452">
        <f t="shared" si="78"/>
        <v>-9.9999999999999991E-5</v>
      </c>
      <c r="AG452">
        <f t="shared" si="79"/>
        <v>0</v>
      </c>
      <c r="AH452">
        <f t="shared" si="80"/>
        <v>-9.9999999999999937E-5</v>
      </c>
      <c r="AI452">
        <f t="shared" si="81"/>
        <v>-9.9999999999999937E-5</v>
      </c>
      <c r="AJ452">
        <f t="shared" si="82"/>
        <v>2.0000000000000009E-4</v>
      </c>
      <c r="AK452">
        <f t="shared" si="83"/>
        <v>2.0000000000000009E-4</v>
      </c>
      <c r="AL452">
        <f t="shared" si="84"/>
        <v>5.0000000000000044E-4</v>
      </c>
      <c r="AM452">
        <f t="shared" si="85"/>
        <v>7.0000000000000097E-4</v>
      </c>
      <c r="AN452">
        <f t="shared" si="86"/>
        <v>7.0000000000000097E-4</v>
      </c>
      <c r="AO452">
        <f t="shared" si="87"/>
        <v>8.000000000000021E-4</v>
      </c>
      <c r="AP452">
        <f t="shared" si="88"/>
        <v>6.0000000000000331E-4</v>
      </c>
    </row>
    <row r="453" spans="17:42" x14ac:dyDescent="0.25">
      <c r="Q453" s="1">
        <v>44397</v>
      </c>
      <c r="R453">
        <v>5.0000000000000001E-4</v>
      </c>
      <c r="S453">
        <v>5.0000000000000001E-4</v>
      </c>
      <c r="T453">
        <v>5.0000000000000001E-4</v>
      </c>
      <c r="U453">
        <v>5.9999999999999995E-4</v>
      </c>
      <c r="V453">
        <v>8.0000000000000004E-4</v>
      </c>
      <c r="W453">
        <v>2E-3</v>
      </c>
      <c r="X453">
        <v>3.7000000000000002E-3</v>
      </c>
      <c r="Y453">
        <v>6.8999999999999999E-3</v>
      </c>
      <c r="Z453">
        <v>9.7999999999999997E-3</v>
      </c>
      <c r="AA453">
        <v>1.23E-2</v>
      </c>
      <c r="AB453">
        <v>1.7899999999999999E-2</v>
      </c>
      <c r="AC453">
        <v>1.8799999999999997E-2</v>
      </c>
      <c r="AE453">
        <f t="shared" ref="AE453:AE516" si="89">R453-R454</f>
        <v>0</v>
      </c>
      <c r="AF453">
        <f t="shared" ref="AF453:AF516" si="90">S453-S454</f>
        <v>0</v>
      </c>
      <c r="AG453">
        <f t="shared" ref="AG453:AG516" si="91">T453-T454</f>
        <v>0</v>
      </c>
      <c r="AH453">
        <f t="shared" ref="AH453:AH516" si="92">U453-U454</f>
        <v>0</v>
      </c>
      <c r="AI453">
        <f t="shared" ref="AI453:AI516" si="93">V453-V454</f>
        <v>9.9999999999999937E-5</v>
      </c>
      <c r="AJ453">
        <f t="shared" ref="AJ453:AJ516" si="94">W453-W454</f>
        <v>-9.9999999999999829E-5</v>
      </c>
      <c r="AK453">
        <f t="shared" ref="AK453:AK516" si="95">X453-X454</f>
        <v>-9.9999999999999829E-5</v>
      </c>
      <c r="AL453">
        <f t="shared" ref="AL453:AL516" si="96">Y453-Y454</f>
        <v>-9.9999999999999395E-5</v>
      </c>
      <c r="AM453">
        <f t="shared" ref="AM453:AM516" si="97">Z453-Z454</f>
        <v>9.9999999999999395E-5</v>
      </c>
      <c r="AN453">
        <f t="shared" ref="AN453:AN516" si="98">AA453-AA454</f>
        <v>4.0000000000000105E-4</v>
      </c>
      <c r="AO453">
        <f t="shared" ref="AO453:AO516" si="99">AB453-AB454</f>
        <v>5.0000000000000044E-4</v>
      </c>
      <c r="AP453">
        <f t="shared" ref="AP453:AP516" si="100">AC453-AC454</f>
        <v>6.9999999999999576E-4</v>
      </c>
    </row>
    <row r="454" spans="17:42" x14ac:dyDescent="0.25">
      <c r="Q454" s="1">
        <v>44396</v>
      </c>
      <c r="R454">
        <v>5.0000000000000001E-4</v>
      </c>
      <c r="S454">
        <v>5.0000000000000001E-4</v>
      </c>
      <c r="T454">
        <v>5.0000000000000001E-4</v>
      </c>
      <c r="U454">
        <v>5.9999999999999995E-4</v>
      </c>
      <c r="V454">
        <v>7.000000000000001E-4</v>
      </c>
      <c r="W454">
        <v>2.0999999999999999E-3</v>
      </c>
      <c r="X454">
        <v>3.8E-3</v>
      </c>
      <c r="Y454">
        <v>6.9999999999999993E-3</v>
      </c>
      <c r="Z454">
        <v>9.7000000000000003E-3</v>
      </c>
      <c r="AA454">
        <v>1.1899999999999999E-2</v>
      </c>
      <c r="AB454">
        <v>1.7399999999999999E-2</v>
      </c>
      <c r="AC454">
        <v>1.8100000000000002E-2</v>
      </c>
      <c r="AE454">
        <f t="shared" si="89"/>
        <v>0</v>
      </c>
      <c r="AF454">
        <f t="shared" si="90"/>
        <v>0</v>
      </c>
      <c r="AG454">
        <f t="shared" si="91"/>
        <v>0</v>
      </c>
      <c r="AH454">
        <f t="shared" si="92"/>
        <v>9.9999999999999937E-5</v>
      </c>
      <c r="AI454">
        <f t="shared" si="93"/>
        <v>-9.9999999999999937E-5</v>
      </c>
      <c r="AJ454">
        <f t="shared" si="94"/>
        <v>-4.0000000000000018E-4</v>
      </c>
      <c r="AK454">
        <f t="shared" si="95"/>
        <v>-5.0000000000000001E-4</v>
      </c>
      <c r="AL454">
        <f t="shared" si="96"/>
        <v>-9.0000000000000149E-4</v>
      </c>
      <c r="AM454">
        <f t="shared" si="97"/>
        <v>-1.1000000000000003E-3</v>
      </c>
      <c r="AN454">
        <f t="shared" si="98"/>
        <v>-1.2000000000000014E-3</v>
      </c>
      <c r="AO454">
        <f t="shared" si="99"/>
        <v>-1.2000000000000031E-3</v>
      </c>
      <c r="AP454">
        <f t="shared" si="100"/>
        <v>-1.1999999999999962E-3</v>
      </c>
    </row>
    <row r="455" spans="17:42" x14ac:dyDescent="0.25">
      <c r="Q455" s="1">
        <v>44393</v>
      </c>
      <c r="R455">
        <v>5.0000000000000001E-4</v>
      </c>
      <c r="S455">
        <v>5.0000000000000001E-4</v>
      </c>
      <c r="T455">
        <v>5.0000000000000001E-4</v>
      </c>
      <c r="U455">
        <v>5.0000000000000001E-4</v>
      </c>
      <c r="V455">
        <v>8.0000000000000004E-4</v>
      </c>
      <c r="W455">
        <v>2.5000000000000001E-3</v>
      </c>
      <c r="X455">
        <v>4.3E-3</v>
      </c>
      <c r="Y455">
        <v>7.9000000000000008E-3</v>
      </c>
      <c r="Z455">
        <v>1.0800000000000001E-2</v>
      </c>
      <c r="AA455">
        <v>1.3100000000000001E-2</v>
      </c>
      <c r="AB455">
        <v>1.8600000000000002E-2</v>
      </c>
      <c r="AC455">
        <v>1.9299999999999998E-2</v>
      </c>
      <c r="AE455">
        <f t="shared" si="89"/>
        <v>0</v>
      </c>
      <c r="AF455">
        <f t="shared" si="90"/>
        <v>0</v>
      </c>
      <c r="AG455">
        <f t="shared" si="91"/>
        <v>0</v>
      </c>
      <c r="AH455">
        <f t="shared" si="92"/>
        <v>0</v>
      </c>
      <c r="AI455">
        <f t="shared" si="93"/>
        <v>9.9999999999999937E-5</v>
      </c>
      <c r="AJ455">
        <f t="shared" si="94"/>
        <v>2.0000000000000009E-4</v>
      </c>
      <c r="AK455">
        <f t="shared" si="95"/>
        <v>0</v>
      </c>
      <c r="AL455">
        <f t="shared" si="96"/>
        <v>1.0000000000000026E-4</v>
      </c>
      <c r="AM455">
        <f t="shared" si="97"/>
        <v>9.9999999999999395E-5</v>
      </c>
      <c r="AN455">
        <f t="shared" si="98"/>
        <v>0</v>
      </c>
      <c r="AO455">
        <f t="shared" si="99"/>
        <v>9.9999999999999395E-5</v>
      </c>
      <c r="AP455">
        <f t="shared" si="100"/>
        <v>9.9999999999999395E-5</v>
      </c>
    </row>
    <row r="456" spans="17:42" x14ac:dyDescent="0.25">
      <c r="Q456" s="1">
        <v>44392</v>
      </c>
      <c r="R456">
        <v>5.0000000000000001E-4</v>
      </c>
      <c r="S456">
        <v>5.0000000000000001E-4</v>
      </c>
      <c r="T456">
        <v>5.0000000000000001E-4</v>
      </c>
      <c r="U456">
        <v>5.0000000000000001E-4</v>
      </c>
      <c r="V456">
        <v>7.000000000000001E-4</v>
      </c>
      <c r="W456">
        <v>2.3E-3</v>
      </c>
      <c r="X456">
        <v>4.3E-3</v>
      </c>
      <c r="Y456">
        <v>7.8000000000000005E-3</v>
      </c>
      <c r="Z456">
        <v>1.0700000000000001E-2</v>
      </c>
      <c r="AA456">
        <v>1.3100000000000001E-2</v>
      </c>
      <c r="AB456">
        <v>1.8500000000000003E-2</v>
      </c>
      <c r="AC456">
        <v>1.9199999999999998E-2</v>
      </c>
      <c r="AE456">
        <f t="shared" si="89"/>
        <v>-9.9999999999999937E-5</v>
      </c>
      <c r="AF456">
        <f t="shared" si="90"/>
        <v>0</v>
      </c>
      <c r="AG456">
        <f t="shared" si="91"/>
        <v>-9.9999999999999937E-5</v>
      </c>
      <c r="AH456">
        <f t="shared" si="92"/>
        <v>0</v>
      </c>
      <c r="AI456">
        <f t="shared" si="93"/>
        <v>-9.9999999999999937E-5</v>
      </c>
      <c r="AJ456">
        <f t="shared" si="94"/>
        <v>0</v>
      </c>
      <c r="AK456">
        <f t="shared" si="95"/>
        <v>-1.0000000000000026E-4</v>
      </c>
      <c r="AL456">
        <f t="shared" si="96"/>
        <v>-1.9999999999999966E-4</v>
      </c>
      <c r="AM456">
        <f t="shared" si="97"/>
        <v>-3.9999999999999931E-4</v>
      </c>
      <c r="AN456">
        <f t="shared" si="98"/>
        <v>-5.9999999999999984E-4</v>
      </c>
      <c r="AO456">
        <f t="shared" si="99"/>
        <v>-5.9999999999999637E-4</v>
      </c>
      <c r="AP456">
        <f t="shared" si="100"/>
        <v>-5.9999999999999984E-4</v>
      </c>
    </row>
    <row r="457" spans="17:42" x14ac:dyDescent="0.25">
      <c r="Q457" s="1">
        <v>44391</v>
      </c>
      <c r="R457">
        <v>5.9999999999999995E-4</v>
      </c>
      <c r="S457">
        <v>5.0000000000000001E-4</v>
      </c>
      <c r="T457">
        <v>5.9999999999999995E-4</v>
      </c>
      <c r="U457">
        <v>5.0000000000000001E-4</v>
      </c>
      <c r="V457">
        <v>8.0000000000000004E-4</v>
      </c>
      <c r="W457">
        <v>2.3E-3</v>
      </c>
      <c r="X457">
        <v>4.4000000000000003E-3</v>
      </c>
      <c r="Y457">
        <v>8.0000000000000002E-3</v>
      </c>
      <c r="Z457">
        <v>1.11E-2</v>
      </c>
      <c r="AA457">
        <v>1.37E-2</v>
      </c>
      <c r="AB457">
        <v>1.9099999999999999E-2</v>
      </c>
      <c r="AC457">
        <v>1.9799999999999998E-2</v>
      </c>
      <c r="AE457">
        <f t="shared" si="89"/>
        <v>9.9999999999999937E-5</v>
      </c>
      <c r="AF457">
        <f t="shared" si="90"/>
        <v>0</v>
      </c>
      <c r="AG457">
        <f t="shared" si="91"/>
        <v>9.9999999999999937E-5</v>
      </c>
      <c r="AH457">
        <f t="shared" si="92"/>
        <v>-9.9999999999999937E-5</v>
      </c>
      <c r="AI457">
        <f t="shared" si="93"/>
        <v>0</v>
      </c>
      <c r="AJ457">
        <f t="shared" si="94"/>
        <v>-2.9999999999999992E-4</v>
      </c>
      <c r="AK457">
        <f t="shared" si="95"/>
        <v>-2.9999999999999905E-4</v>
      </c>
      <c r="AL457">
        <f t="shared" si="96"/>
        <v>-5.0000000000000044E-4</v>
      </c>
      <c r="AM457">
        <f t="shared" si="97"/>
        <v>-4.9999999999999871E-4</v>
      </c>
      <c r="AN457">
        <f t="shared" si="98"/>
        <v>-4.9999999999999871E-4</v>
      </c>
      <c r="AO457">
        <f t="shared" si="99"/>
        <v>-5.0000000000000044E-4</v>
      </c>
      <c r="AP457">
        <f t="shared" si="100"/>
        <v>-6.0000000000000331E-4</v>
      </c>
    </row>
    <row r="458" spans="17:42" x14ac:dyDescent="0.25">
      <c r="Q458" s="1">
        <v>44390</v>
      </c>
      <c r="R458">
        <v>5.0000000000000001E-4</v>
      </c>
      <c r="S458">
        <v>5.0000000000000001E-4</v>
      </c>
      <c r="T458">
        <v>5.0000000000000001E-4</v>
      </c>
      <c r="U458">
        <v>5.9999999999999995E-4</v>
      </c>
      <c r="V458">
        <v>8.0000000000000004E-4</v>
      </c>
      <c r="W458">
        <v>2.5999999999999999E-3</v>
      </c>
      <c r="X458">
        <v>4.6999999999999993E-3</v>
      </c>
      <c r="Y458">
        <v>8.5000000000000006E-3</v>
      </c>
      <c r="Z458">
        <v>1.1599999999999999E-2</v>
      </c>
      <c r="AA458">
        <v>1.4199999999999999E-2</v>
      </c>
      <c r="AB458">
        <v>1.9599999999999999E-2</v>
      </c>
      <c r="AC458">
        <v>2.0400000000000001E-2</v>
      </c>
      <c r="AE458">
        <f t="shared" si="89"/>
        <v>0</v>
      </c>
      <c r="AF458">
        <f t="shared" si="90"/>
        <v>0</v>
      </c>
      <c r="AG458">
        <f t="shared" si="91"/>
        <v>0</v>
      </c>
      <c r="AH458">
        <f t="shared" si="92"/>
        <v>0</v>
      </c>
      <c r="AI458">
        <f t="shared" si="93"/>
        <v>0</v>
      </c>
      <c r="AJ458">
        <f t="shared" si="94"/>
        <v>2.9999999999999992E-4</v>
      </c>
      <c r="AK458">
        <f t="shared" si="95"/>
        <v>3.9999999999999931E-4</v>
      </c>
      <c r="AL458">
        <f t="shared" si="96"/>
        <v>3.9999999999999931E-4</v>
      </c>
      <c r="AM458">
        <f t="shared" si="97"/>
        <v>2.9999999999999992E-4</v>
      </c>
      <c r="AN458">
        <f t="shared" si="98"/>
        <v>3.9999999999999931E-4</v>
      </c>
      <c r="AO458">
        <f t="shared" si="99"/>
        <v>3.0000000000000165E-4</v>
      </c>
      <c r="AP458">
        <f t="shared" si="100"/>
        <v>4.0000000000000105E-4</v>
      </c>
    </row>
    <row r="459" spans="17:42" x14ac:dyDescent="0.25">
      <c r="Q459" s="1">
        <v>44389</v>
      </c>
      <c r="R459">
        <v>5.0000000000000001E-4</v>
      </c>
      <c r="S459">
        <v>5.0000000000000001E-4</v>
      </c>
      <c r="T459">
        <v>5.0000000000000001E-4</v>
      </c>
      <c r="U459">
        <v>5.9999999999999995E-4</v>
      </c>
      <c r="V459">
        <v>8.0000000000000004E-4</v>
      </c>
      <c r="W459">
        <v>2.3E-3</v>
      </c>
      <c r="X459">
        <v>4.3E-3</v>
      </c>
      <c r="Y459">
        <v>8.1000000000000013E-3</v>
      </c>
      <c r="Z459">
        <v>1.1299999999999999E-2</v>
      </c>
      <c r="AA459">
        <v>1.38E-2</v>
      </c>
      <c r="AB459">
        <v>1.9299999999999998E-2</v>
      </c>
      <c r="AC459">
        <v>0.02</v>
      </c>
      <c r="AE459">
        <f t="shared" si="89"/>
        <v>-9.9999999999999937E-5</v>
      </c>
      <c r="AF459">
        <f t="shared" si="90"/>
        <v>0</v>
      </c>
      <c r="AG459">
        <f t="shared" si="91"/>
        <v>-9.9999999999999937E-5</v>
      </c>
      <c r="AH459">
        <f t="shared" si="92"/>
        <v>9.9999999999999937E-5</v>
      </c>
      <c r="AI459">
        <f t="shared" si="93"/>
        <v>0</v>
      </c>
      <c r="AJ459">
        <f t="shared" si="94"/>
        <v>0</v>
      </c>
      <c r="AK459">
        <f t="shared" si="95"/>
        <v>2.0000000000000052E-4</v>
      </c>
      <c r="AL459">
        <f t="shared" si="96"/>
        <v>2.0000000000000052E-4</v>
      </c>
      <c r="AM459">
        <f t="shared" si="97"/>
        <v>9.999999999999766E-5</v>
      </c>
      <c r="AN459">
        <f t="shared" si="98"/>
        <v>9.9999999999999395E-5</v>
      </c>
      <c r="AO459">
        <f t="shared" si="99"/>
        <v>1.9999999999999879E-4</v>
      </c>
      <c r="AP459">
        <f t="shared" si="100"/>
        <v>9.9999999999999395E-5</v>
      </c>
    </row>
    <row r="460" spans="17:42" x14ac:dyDescent="0.25">
      <c r="Q460" s="1">
        <v>44386</v>
      </c>
      <c r="R460">
        <v>5.9999999999999995E-4</v>
      </c>
      <c r="S460">
        <v>5.0000000000000001E-4</v>
      </c>
      <c r="T460">
        <v>5.9999999999999995E-4</v>
      </c>
      <c r="U460">
        <v>5.0000000000000001E-4</v>
      </c>
      <c r="V460">
        <v>8.0000000000000004E-4</v>
      </c>
      <c r="W460">
        <v>2.3E-3</v>
      </c>
      <c r="X460">
        <v>4.0999999999999995E-3</v>
      </c>
      <c r="Y460">
        <v>7.9000000000000008E-3</v>
      </c>
      <c r="Z460">
        <v>1.1200000000000002E-2</v>
      </c>
      <c r="AA460">
        <v>1.37E-2</v>
      </c>
      <c r="AB460">
        <v>1.9099999999999999E-2</v>
      </c>
      <c r="AC460">
        <v>1.9900000000000001E-2</v>
      </c>
      <c r="AE460">
        <f t="shared" si="89"/>
        <v>0</v>
      </c>
      <c r="AF460">
        <f t="shared" si="90"/>
        <v>0</v>
      </c>
      <c r="AG460">
        <f t="shared" si="91"/>
        <v>0</v>
      </c>
      <c r="AH460">
        <f t="shared" si="92"/>
        <v>-9.9999999999999937E-5</v>
      </c>
      <c r="AI460">
        <f t="shared" si="93"/>
        <v>9.9999999999999937E-5</v>
      </c>
      <c r="AJ460">
        <f t="shared" si="94"/>
        <v>3.9999999999999996E-4</v>
      </c>
      <c r="AK460">
        <f t="shared" si="95"/>
        <v>3.9999999999999931E-4</v>
      </c>
      <c r="AL460">
        <f t="shared" si="96"/>
        <v>5.0000000000000044E-4</v>
      </c>
      <c r="AM460">
        <f t="shared" si="97"/>
        <v>6.0000000000000157E-4</v>
      </c>
      <c r="AN460">
        <f t="shared" si="98"/>
        <v>6.9999999999999923E-4</v>
      </c>
      <c r="AO460">
        <f t="shared" si="99"/>
        <v>6.9999999999999923E-4</v>
      </c>
      <c r="AP460">
        <f t="shared" si="100"/>
        <v>8.000000000000021E-4</v>
      </c>
    </row>
    <row r="461" spans="17:42" x14ac:dyDescent="0.25">
      <c r="Q461" s="1">
        <v>44385</v>
      </c>
      <c r="R461">
        <v>5.9999999999999995E-4</v>
      </c>
      <c r="S461">
        <v>5.0000000000000001E-4</v>
      </c>
      <c r="T461">
        <v>5.9999999999999995E-4</v>
      </c>
      <c r="U461">
        <v>5.9999999999999995E-4</v>
      </c>
      <c r="V461">
        <v>7.000000000000001E-4</v>
      </c>
      <c r="W461">
        <v>1.9E-3</v>
      </c>
      <c r="X461">
        <v>3.7000000000000002E-3</v>
      </c>
      <c r="Y461">
        <v>7.4000000000000003E-3</v>
      </c>
      <c r="Z461">
        <v>1.06E-2</v>
      </c>
      <c r="AA461">
        <v>1.3000000000000001E-2</v>
      </c>
      <c r="AB461">
        <v>1.84E-2</v>
      </c>
      <c r="AC461">
        <v>1.9099999999999999E-2</v>
      </c>
      <c r="AE461">
        <f t="shared" si="89"/>
        <v>9.9999999999999937E-5</v>
      </c>
      <c r="AF461">
        <f t="shared" si="90"/>
        <v>0</v>
      </c>
      <c r="AG461">
        <f t="shared" si="91"/>
        <v>9.9999999999999937E-5</v>
      </c>
      <c r="AH461">
        <f t="shared" si="92"/>
        <v>9.9999999999999937E-5</v>
      </c>
      <c r="AI461">
        <f t="shared" si="93"/>
        <v>-9.9999999999999937E-5</v>
      </c>
      <c r="AJ461">
        <f t="shared" si="94"/>
        <v>-3.0000000000000014E-4</v>
      </c>
      <c r="AK461">
        <f t="shared" si="95"/>
        <v>-3.9999999999999931E-4</v>
      </c>
      <c r="AL461">
        <f t="shared" si="96"/>
        <v>-5.0000000000000044E-4</v>
      </c>
      <c r="AM461">
        <f t="shared" si="97"/>
        <v>-2.9999999999999992E-4</v>
      </c>
      <c r="AN461">
        <f t="shared" si="98"/>
        <v>-2.9999999999999992E-4</v>
      </c>
      <c r="AO461">
        <f t="shared" si="99"/>
        <v>-3.0000000000000165E-4</v>
      </c>
      <c r="AP461">
        <f t="shared" si="100"/>
        <v>-3.0000000000000165E-4</v>
      </c>
    </row>
    <row r="462" spans="17:42" x14ac:dyDescent="0.25">
      <c r="Q462" s="1">
        <v>44384</v>
      </c>
      <c r="R462">
        <v>5.0000000000000001E-4</v>
      </c>
      <c r="S462">
        <v>5.0000000000000001E-4</v>
      </c>
      <c r="T462">
        <v>5.0000000000000001E-4</v>
      </c>
      <c r="U462">
        <v>5.0000000000000001E-4</v>
      </c>
      <c r="V462">
        <v>8.0000000000000004E-4</v>
      </c>
      <c r="W462">
        <v>2.2000000000000001E-3</v>
      </c>
      <c r="X462">
        <v>4.0999999999999995E-3</v>
      </c>
      <c r="Y462">
        <v>7.9000000000000008E-3</v>
      </c>
      <c r="Z462">
        <v>1.09E-2</v>
      </c>
      <c r="AA462">
        <v>1.3300000000000001E-2</v>
      </c>
      <c r="AB462">
        <v>1.8700000000000001E-2</v>
      </c>
      <c r="AC462">
        <v>1.9400000000000001E-2</v>
      </c>
      <c r="AE462">
        <f t="shared" si="89"/>
        <v>0</v>
      </c>
      <c r="AF462">
        <f t="shared" si="90"/>
        <v>0</v>
      </c>
      <c r="AG462">
        <f t="shared" si="91"/>
        <v>0</v>
      </c>
      <c r="AH462">
        <f t="shared" si="92"/>
        <v>-9.9999999999999937E-5</v>
      </c>
      <c r="AI462">
        <f t="shared" si="93"/>
        <v>9.9999999999999937E-5</v>
      </c>
      <c r="AJ462">
        <f t="shared" si="94"/>
        <v>0</v>
      </c>
      <c r="AK462">
        <f t="shared" si="95"/>
        <v>-1.0000000000000026E-4</v>
      </c>
      <c r="AL462">
        <f t="shared" si="96"/>
        <v>-2.0000000000000052E-4</v>
      </c>
      <c r="AM462">
        <f t="shared" si="97"/>
        <v>-3.9999999999999931E-4</v>
      </c>
      <c r="AN462">
        <f t="shared" si="98"/>
        <v>-3.9999999999999931E-4</v>
      </c>
      <c r="AO462">
        <f t="shared" si="99"/>
        <v>-4.9999999999999697E-4</v>
      </c>
      <c r="AP462">
        <f t="shared" si="100"/>
        <v>-5.9999999999999984E-4</v>
      </c>
    </row>
    <row r="463" spans="17:42" x14ac:dyDescent="0.25">
      <c r="Q463" s="1">
        <v>44383</v>
      </c>
      <c r="R463">
        <v>5.0000000000000001E-4</v>
      </c>
      <c r="S463">
        <v>5.0000000000000001E-4</v>
      </c>
      <c r="T463">
        <v>5.0000000000000001E-4</v>
      </c>
      <c r="U463">
        <v>5.9999999999999995E-4</v>
      </c>
      <c r="V463">
        <v>7.000000000000001E-4</v>
      </c>
      <c r="W463">
        <v>2.2000000000000001E-3</v>
      </c>
      <c r="X463">
        <v>4.1999999999999997E-3</v>
      </c>
      <c r="Y463">
        <v>8.1000000000000013E-3</v>
      </c>
      <c r="Z463">
        <v>1.1299999999999999E-2</v>
      </c>
      <c r="AA463">
        <v>1.37E-2</v>
      </c>
      <c r="AB463">
        <v>1.9199999999999998E-2</v>
      </c>
      <c r="AC463">
        <v>0.02</v>
      </c>
      <c r="AE463">
        <f t="shared" si="89"/>
        <v>0</v>
      </c>
      <c r="AF463">
        <f t="shared" si="90"/>
        <v>0</v>
      </c>
      <c r="AG463">
        <f t="shared" si="91"/>
        <v>0</v>
      </c>
      <c r="AH463">
        <f t="shared" si="92"/>
        <v>9.9999999999999937E-5</v>
      </c>
      <c r="AI463">
        <f t="shared" si="93"/>
        <v>-9.9999999999999937E-5</v>
      </c>
      <c r="AJ463">
        <f t="shared" si="94"/>
        <v>-1.9999999999999966E-4</v>
      </c>
      <c r="AK463">
        <f t="shared" si="95"/>
        <v>-3.0000000000000079E-4</v>
      </c>
      <c r="AL463">
        <f t="shared" si="96"/>
        <v>-4.9999999999999871E-4</v>
      </c>
      <c r="AM463">
        <f t="shared" si="97"/>
        <v>-5.9999999999999984E-4</v>
      </c>
      <c r="AN463">
        <f t="shared" si="98"/>
        <v>-6.9999999999999923E-4</v>
      </c>
      <c r="AO463">
        <f t="shared" si="99"/>
        <v>-5.9999999999999984E-4</v>
      </c>
      <c r="AP463">
        <f t="shared" si="100"/>
        <v>-4.9999999999999697E-4</v>
      </c>
    </row>
    <row r="464" spans="17:42" x14ac:dyDescent="0.25">
      <c r="Q464" s="1">
        <v>44379</v>
      </c>
      <c r="R464">
        <v>5.0000000000000001E-4</v>
      </c>
      <c r="S464">
        <v>5.0000000000000001E-4</v>
      </c>
      <c r="T464">
        <v>5.0000000000000001E-4</v>
      </c>
      <c r="U464">
        <v>5.0000000000000001E-4</v>
      </c>
      <c r="V464">
        <v>8.0000000000000004E-4</v>
      </c>
      <c r="W464">
        <v>2.3999999999999998E-3</v>
      </c>
      <c r="X464">
        <v>4.5000000000000005E-3</v>
      </c>
      <c r="Y464">
        <v>8.6E-3</v>
      </c>
      <c r="Z464">
        <v>1.1899999999999999E-2</v>
      </c>
      <c r="AA464">
        <v>1.44E-2</v>
      </c>
      <c r="AB464">
        <v>1.9799999999999998E-2</v>
      </c>
      <c r="AC464">
        <v>2.0499999999999997E-2</v>
      </c>
      <c r="AE464">
        <f t="shared" si="89"/>
        <v>0</v>
      </c>
      <c r="AF464">
        <f t="shared" si="90"/>
        <v>0</v>
      </c>
      <c r="AG464">
        <f t="shared" si="91"/>
        <v>0</v>
      </c>
      <c r="AH464">
        <f t="shared" si="92"/>
        <v>0</v>
      </c>
      <c r="AI464">
        <f t="shared" si="93"/>
        <v>-9.9999999999999937E-5</v>
      </c>
      <c r="AJ464">
        <f t="shared" si="94"/>
        <v>-1.0000000000000026E-4</v>
      </c>
      <c r="AK464">
        <f t="shared" si="95"/>
        <v>-1.9999999999999879E-4</v>
      </c>
      <c r="AL464">
        <f t="shared" si="96"/>
        <v>-2.9999999999999992E-4</v>
      </c>
      <c r="AM464">
        <f t="shared" si="97"/>
        <v>-5.0000000000000044E-4</v>
      </c>
      <c r="AN464">
        <f t="shared" si="98"/>
        <v>-4.0000000000000105E-4</v>
      </c>
      <c r="AO464">
        <f t="shared" si="99"/>
        <v>-2.9999999999999818E-4</v>
      </c>
      <c r="AP464">
        <f t="shared" si="100"/>
        <v>-2.0000000000000226E-4</v>
      </c>
    </row>
    <row r="465" spans="17:42" x14ac:dyDescent="0.25">
      <c r="Q465" s="1">
        <v>44378</v>
      </c>
      <c r="R465">
        <v>5.0000000000000001E-4</v>
      </c>
      <c r="S465">
        <v>5.0000000000000001E-4</v>
      </c>
      <c r="T465">
        <v>5.0000000000000001E-4</v>
      </c>
      <c r="U465">
        <v>5.0000000000000001E-4</v>
      </c>
      <c r="V465">
        <v>8.9999999999999998E-4</v>
      </c>
      <c r="W465">
        <v>2.5000000000000001E-3</v>
      </c>
      <c r="X465">
        <v>4.6999999999999993E-3</v>
      </c>
      <c r="Y465">
        <v>8.8999999999999999E-3</v>
      </c>
      <c r="Z465">
        <v>1.24E-2</v>
      </c>
      <c r="AA465">
        <v>1.4800000000000001E-2</v>
      </c>
      <c r="AB465">
        <v>2.0099999999999996E-2</v>
      </c>
      <c r="AC465">
        <v>2.07E-2</v>
      </c>
      <c r="AE465">
        <f t="shared" si="89"/>
        <v>0</v>
      </c>
      <c r="AF465">
        <f t="shared" si="90"/>
        <v>0</v>
      </c>
      <c r="AG465">
        <f t="shared" si="91"/>
        <v>0</v>
      </c>
      <c r="AH465">
        <f t="shared" si="92"/>
        <v>-9.9999999999999937E-5</v>
      </c>
      <c r="AI465">
        <f t="shared" si="93"/>
        <v>1.9999999999999987E-4</v>
      </c>
      <c r="AJ465">
        <f t="shared" si="94"/>
        <v>0</v>
      </c>
      <c r="AK465">
        <f t="shared" si="95"/>
        <v>9.9999999999999395E-5</v>
      </c>
      <c r="AL465">
        <f t="shared" si="96"/>
        <v>2.0000000000000052E-4</v>
      </c>
      <c r="AM465">
        <f t="shared" si="97"/>
        <v>2.9999999999999992E-4</v>
      </c>
      <c r="AN465">
        <f t="shared" si="98"/>
        <v>3.0000000000000165E-4</v>
      </c>
      <c r="AO465">
        <f t="shared" si="99"/>
        <v>9.9999999999995925E-5</v>
      </c>
      <c r="AP465">
        <f t="shared" si="100"/>
        <v>9.9999999999999395E-5</v>
      </c>
    </row>
    <row r="466" spans="17:42" x14ac:dyDescent="0.25">
      <c r="Q466" s="1">
        <v>44377</v>
      </c>
      <c r="R466">
        <v>5.0000000000000001E-4</v>
      </c>
      <c r="S466">
        <v>5.0000000000000001E-4</v>
      </c>
      <c r="T466">
        <v>5.0000000000000001E-4</v>
      </c>
      <c r="U466">
        <v>5.9999999999999995E-4</v>
      </c>
      <c r="V466">
        <v>7.000000000000001E-4</v>
      </c>
      <c r="W466">
        <v>2.5000000000000001E-3</v>
      </c>
      <c r="X466">
        <v>4.5999999999999999E-3</v>
      </c>
      <c r="Y466">
        <v>8.6999999999999994E-3</v>
      </c>
      <c r="Z466">
        <v>1.21E-2</v>
      </c>
      <c r="AA466">
        <v>1.4499999999999999E-2</v>
      </c>
      <c r="AB466">
        <v>0.02</v>
      </c>
      <c r="AC466">
        <v>2.06E-2</v>
      </c>
      <c r="AE466">
        <f t="shared" si="89"/>
        <v>9.9999999999999991E-5</v>
      </c>
      <c r="AF466">
        <f t="shared" si="90"/>
        <v>9.9999999999999991E-5</v>
      </c>
      <c r="AG466">
        <f t="shared" si="91"/>
        <v>9.9999999999999991E-5</v>
      </c>
      <c r="AH466">
        <f t="shared" si="92"/>
        <v>0</v>
      </c>
      <c r="AI466">
        <f t="shared" si="93"/>
        <v>-9.9999999999999937E-5</v>
      </c>
      <c r="AJ466">
        <f t="shared" si="94"/>
        <v>-2.0000000000000009E-4</v>
      </c>
      <c r="AK466">
        <f t="shared" si="95"/>
        <v>-9.9999999999999395E-5</v>
      </c>
      <c r="AL466">
        <f t="shared" si="96"/>
        <v>-2.0000000000000052E-4</v>
      </c>
      <c r="AM466">
        <f t="shared" si="97"/>
        <v>-2.9999999999999992E-4</v>
      </c>
      <c r="AN466">
        <f t="shared" si="98"/>
        <v>-4.0000000000000105E-4</v>
      </c>
      <c r="AO466">
        <f t="shared" si="99"/>
        <v>-2.9999999999999818E-4</v>
      </c>
      <c r="AP466">
        <f t="shared" si="100"/>
        <v>-4.0000000000000105E-4</v>
      </c>
    </row>
    <row r="467" spans="17:42" x14ac:dyDescent="0.25">
      <c r="Q467" s="1">
        <v>44376</v>
      </c>
      <c r="R467">
        <v>4.0000000000000002E-4</v>
      </c>
      <c r="S467">
        <v>4.0000000000000002E-4</v>
      </c>
      <c r="T467">
        <v>4.0000000000000002E-4</v>
      </c>
      <c r="U467">
        <v>5.9999999999999995E-4</v>
      </c>
      <c r="V467">
        <v>8.0000000000000004E-4</v>
      </c>
      <c r="W467">
        <v>2.7000000000000001E-3</v>
      </c>
      <c r="X467">
        <v>4.6999999999999993E-3</v>
      </c>
      <c r="Y467">
        <v>8.8999999999999999E-3</v>
      </c>
      <c r="Z467">
        <v>1.24E-2</v>
      </c>
      <c r="AA467">
        <v>1.49E-2</v>
      </c>
      <c r="AB467">
        <v>2.0299999999999999E-2</v>
      </c>
      <c r="AC467">
        <v>2.1000000000000001E-2</v>
      </c>
      <c r="AE467">
        <f t="shared" si="89"/>
        <v>0</v>
      </c>
      <c r="AF467">
        <f t="shared" si="90"/>
        <v>-9.9999999999999991E-5</v>
      </c>
      <c r="AG467">
        <f t="shared" si="91"/>
        <v>-9.9999999999999991E-5</v>
      </c>
      <c r="AH467">
        <f t="shared" si="92"/>
        <v>0</v>
      </c>
      <c r="AI467">
        <f t="shared" si="93"/>
        <v>0</v>
      </c>
      <c r="AJ467">
        <f t="shared" si="94"/>
        <v>2.0000000000000009E-4</v>
      </c>
      <c r="AK467">
        <f t="shared" si="95"/>
        <v>0</v>
      </c>
      <c r="AL467">
        <f t="shared" si="96"/>
        <v>-1.0000000000000113E-4</v>
      </c>
      <c r="AM467">
        <f t="shared" si="97"/>
        <v>-1.0000000000000113E-4</v>
      </c>
      <c r="AN467">
        <f t="shared" si="98"/>
        <v>0</v>
      </c>
      <c r="AO467">
        <f t="shared" si="99"/>
        <v>-1.0000000000000286E-4</v>
      </c>
      <c r="AP467">
        <f t="shared" si="100"/>
        <v>0</v>
      </c>
    </row>
    <row r="468" spans="17:42" x14ac:dyDescent="0.25">
      <c r="Q468" s="1">
        <v>44375</v>
      </c>
      <c r="R468">
        <v>4.0000000000000002E-4</v>
      </c>
      <c r="S468">
        <v>5.0000000000000001E-4</v>
      </c>
      <c r="T468">
        <v>5.0000000000000001E-4</v>
      </c>
      <c r="U468">
        <v>5.9999999999999995E-4</v>
      </c>
      <c r="V468">
        <v>8.0000000000000004E-4</v>
      </c>
      <c r="W468">
        <v>2.5000000000000001E-3</v>
      </c>
      <c r="X468">
        <v>4.6999999999999993E-3</v>
      </c>
      <c r="Y468">
        <v>9.0000000000000011E-3</v>
      </c>
      <c r="Z468">
        <v>1.2500000000000001E-2</v>
      </c>
      <c r="AA468">
        <v>1.49E-2</v>
      </c>
      <c r="AB468">
        <v>2.0400000000000001E-2</v>
      </c>
      <c r="AC468">
        <v>2.1000000000000001E-2</v>
      </c>
      <c r="AE468">
        <f t="shared" si="89"/>
        <v>-9.9999999999999991E-5</v>
      </c>
      <c r="AF468">
        <f t="shared" si="90"/>
        <v>0</v>
      </c>
      <c r="AG468">
        <f t="shared" si="91"/>
        <v>-9.9999999999999937E-5</v>
      </c>
      <c r="AH468">
        <f t="shared" si="92"/>
        <v>0</v>
      </c>
      <c r="AI468">
        <f t="shared" si="93"/>
        <v>-9.9999999999999937E-5</v>
      </c>
      <c r="AJ468">
        <f t="shared" si="94"/>
        <v>-3.0000000000000035E-4</v>
      </c>
      <c r="AK468">
        <f t="shared" si="95"/>
        <v>-1.0000000000000026E-4</v>
      </c>
      <c r="AL468">
        <f t="shared" si="96"/>
        <v>-1.9999999999999879E-4</v>
      </c>
      <c r="AM468">
        <f t="shared" si="97"/>
        <v>-3.9999999999999931E-4</v>
      </c>
      <c r="AN468">
        <f t="shared" si="98"/>
        <v>-5.0000000000000044E-4</v>
      </c>
      <c r="AO468">
        <f t="shared" si="99"/>
        <v>-4.9999999999999697E-4</v>
      </c>
      <c r="AP468">
        <f t="shared" si="100"/>
        <v>-5.9999999999999984E-4</v>
      </c>
    </row>
    <row r="469" spans="17:42" x14ac:dyDescent="0.25">
      <c r="Q469" s="1">
        <v>44372</v>
      </c>
      <c r="R469">
        <v>5.0000000000000001E-4</v>
      </c>
      <c r="S469">
        <v>5.0000000000000001E-4</v>
      </c>
      <c r="T469">
        <v>5.9999999999999995E-4</v>
      </c>
      <c r="U469">
        <v>5.9999999999999995E-4</v>
      </c>
      <c r="V469">
        <v>8.9999999999999998E-4</v>
      </c>
      <c r="W469">
        <v>2.8000000000000004E-3</v>
      </c>
      <c r="X469">
        <v>4.7999999999999996E-3</v>
      </c>
      <c r="Y469">
        <v>9.1999999999999998E-3</v>
      </c>
      <c r="Z469">
        <v>1.29E-2</v>
      </c>
      <c r="AA469">
        <v>1.54E-2</v>
      </c>
      <c r="AB469">
        <v>2.0899999999999998E-2</v>
      </c>
      <c r="AC469">
        <v>2.1600000000000001E-2</v>
      </c>
      <c r="AE469">
        <f t="shared" si="89"/>
        <v>0</v>
      </c>
      <c r="AF469">
        <f t="shared" si="90"/>
        <v>0</v>
      </c>
      <c r="AG469">
        <f t="shared" si="91"/>
        <v>9.9999999999999937E-5</v>
      </c>
      <c r="AH469">
        <f t="shared" si="92"/>
        <v>9.9999999999999937E-5</v>
      </c>
      <c r="AI469">
        <f t="shared" si="93"/>
        <v>9.9999999999999937E-5</v>
      </c>
      <c r="AJ469">
        <f t="shared" si="94"/>
        <v>2.0000000000000052E-4</v>
      </c>
      <c r="AK469">
        <f t="shared" si="95"/>
        <v>0</v>
      </c>
      <c r="AL469">
        <f t="shared" si="96"/>
        <v>1.9999999999999879E-4</v>
      </c>
      <c r="AM469">
        <f t="shared" si="97"/>
        <v>2.9999999999999992E-4</v>
      </c>
      <c r="AN469">
        <f t="shared" si="98"/>
        <v>5.0000000000000044E-4</v>
      </c>
      <c r="AO469">
        <f t="shared" si="99"/>
        <v>5.9999999999999984E-4</v>
      </c>
      <c r="AP469">
        <f t="shared" si="100"/>
        <v>5.9999999999999984E-4</v>
      </c>
    </row>
    <row r="470" spans="17:42" x14ac:dyDescent="0.25">
      <c r="Q470" s="1">
        <v>44371</v>
      </c>
      <c r="R470">
        <v>5.0000000000000001E-4</v>
      </c>
      <c r="S470">
        <v>5.0000000000000001E-4</v>
      </c>
      <c r="T470">
        <v>5.0000000000000001E-4</v>
      </c>
      <c r="U470">
        <v>5.0000000000000001E-4</v>
      </c>
      <c r="V470">
        <v>8.0000000000000004E-4</v>
      </c>
      <c r="W470">
        <v>2.5999999999999999E-3</v>
      </c>
      <c r="X470">
        <v>4.7999999999999996E-3</v>
      </c>
      <c r="Y470">
        <v>9.0000000000000011E-3</v>
      </c>
      <c r="Z470">
        <v>1.26E-2</v>
      </c>
      <c r="AA470">
        <v>1.49E-2</v>
      </c>
      <c r="AB470">
        <v>2.0299999999999999E-2</v>
      </c>
      <c r="AC470">
        <v>2.1000000000000001E-2</v>
      </c>
      <c r="AE470">
        <f t="shared" si="89"/>
        <v>9.9999999999999991E-5</v>
      </c>
      <c r="AF470">
        <f t="shared" si="90"/>
        <v>9.9999999999999991E-5</v>
      </c>
      <c r="AG470">
        <f t="shared" si="91"/>
        <v>0</v>
      </c>
      <c r="AH470">
        <f t="shared" si="92"/>
        <v>0</v>
      </c>
      <c r="AI470">
        <f t="shared" si="93"/>
        <v>0</v>
      </c>
      <c r="AJ470">
        <f t="shared" si="94"/>
        <v>0</v>
      </c>
      <c r="AK470">
        <f t="shared" si="95"/>
        <v>1.0000000000000026E-4</v>
      </c>
      <c r="AL470">
        <f t="shared" si="96"/>
        <v>0</v>
      </c>
      <c r="AM470">
        <f t="shared" si="97"/>
        <v>9.9999999999999395E-5</v>
      </c>
      <c r="AN470">
        <f t="shared" si="98"/>
        <v>-9.9999999999999395E-5</v>
      </c>
      <c r="AO470">
        <f t="shared" si="99"/>
        <v>-1.0000000000000286E-4</v>
      </c>
      <c r="AP470">
        <f t="shared" si="100"/>
        <v>-9.9999999999995925E-5</v>
      </c>
    </row>
    <row r="471" spans="17:42" x14ac:dyDescent="0.25">
      <c r="Q471" s="1">
        <v>44370</v>
      </c>
      <c r="R471">
        <v>4.0000000000000002E-4</v>
      </c>
      <c r="S471">
        <v>4.0000000000000002E-4</v>
      </c>
      <c r="T471">
        <v>5.0000000000000001E-4</v>
      </c>
      <c r="U471">
        <v>5.0000000000000001E-4</v>
      </c>
      <c r="V471">
        <v>8.0000000000000004E-4</v>
      </c>
      <c r="W471">
        <v>2.5999999999999999E-3</v>
      </c>
      <c r="X471">
        <v>4.6999999999999993E-3</v>
      </c>
      <c r="Y471">
        <v>9.0000000000000011E-3</v>
      </c>
      <c r="Z471">
        <v>1.2500000000000001E-2</v>
      </c>
      <c r="AA471">
        <v>1.4999999999999999E-2</v>
      </c>
      <c r="AB471">
        <v>2.0400000000000001E-2</v>
      </c>
      <c r="AC471">
        <v>2.1099999999999997E-2</v>
      </c>
      <c r="AE471">
        <f t="shared" si="89"/>
        <v>0</v>
      </c>
      <c r="AF471">
        <f t="shared" si="90"/>
        <v>-9.9999999999999991E-5</v>
      </c>
      <c r="AG471">
        <f t="shared" si="91"/>
        <v>9.9999999999999991E-5</v>
      </c>
      <c r="AH471">
        <f t="shared" si="92"/>
        <v>-9.9999999999999937E-5</v>
      </c>
      <c r="AI471">
        <f t="shared" si="93"/>
        <v>-9.9999999999999937E-5</v>
      </c>
      <c r="AJ471">
        <f t="shared" si="94"/>
        <v>9.9999999999999829E-5</v>
      </c>
      <c r="AK471">
        <f t="shared" si="95"/>
        <v>2.9999999999999905E-4</v>
      </c>
      <c r="AL471">
        <f t="shared" si="96"/>
        <v>3.0000000000000165E-4</v>
      </c>
      <c r="AM471">
        <f t="shared" si="97"/>
        <v>2.0000000000000052E-4</v>
      </c>
      <c r="AN471">
        <f t="shared" si="98"/>
        <v>1.9999999999999879E-4</v>
      </c>
      <c r="AO471">
        <f t="shared" si="99"/>
        <v>1.0000000000000286E-4</v>
      </c>
      <c r="AP471">
        <f t="shared" si="100"/>
        <v>9.9999999999995925E-5</v>
      </c>
    </row>
    <row r="472" spans="17:42" x14ac:dyDescent="0.25">
      <c r="Q472" s="1">
        <v>44369</v>
      </c>
      <c r="R472">
        <v>4.0000000000000002E-4</v>
      </c>
      <c r="S472">
        <v>5.0000000000000001E-4</v>
      </c>
      <c r="T472">
        <v>4.0000000000000002E-4</v>
      </c>
      <c r="U472">
        <v>5.9999999999999995E-4</v>
      </c>
      <c r="V472">
        <v>8.9999999999999998E-4</v>
      </c>
      <c r="W472">
        <v>2.5000000000000001E-3</v>
      </c>
      <c r="X472">
        <v>4.4000000000000003E-3</v>
      </c>
      <c r="Y472">
        <v>8.6999999999999994E-3</v>
      </c>
      <c r="Z472">
        <v>1.23E-2</v>
      </c>
      <c r="AA472">
        <v>1.4800000000000001E-2</v>
      </c>
      <c r="AB472">
        <v>2.0299999999999999E-2</v>
      </c>
      <c r="AC472">
        <v>2.1000000000000001E-2</v>
      </c>
      <c r="AE472">
        <f t="shared" si="89"/>
        <v>0</v>
      </c>
      <c r="AF472">
        <f t="shared" si="90"/>
        <v>9.9999999999999991E-5</v>
      </c>
      <c r="AG472">
        <f t="shared" si="91"/>
        <v>-9.9999999999999991E-5</v>
      </c>
      <c r="AH472">
        <f t="shared" si="92"/>
        <v>0</v>
      </c>
      <c r="AI472">
        <f t="shared" si="93"/>
        <v>0</v>
      </c>
      <c r="AJ472">
        <f t="shared" si="94"/>
        <v>-2.0000000000000009E-4</v>
      </c>
      <c r="AK472">
        <f t="shared" si="95"/>
        <v>-3.9999999999999931E-4</v>
      </c>
      <c r="AL472">
        <f t="shared" si="96"/>
        <v>-3.0000000000000165E-4</v>
      </c>
      <c r="AM472">
        <f t="shared" si="97"/>
        <v>-2.0000000000000052E-4</v>
      </c>
      <c r="AN472">
        <f t="shared" si="98"/>
        <v>-1.9999999999999879E-4</v>
      </c>
      <c r="AO472">
        <f t="shared" si="99"/>
        <v>-1.9999999999999879E-4</v>
      </c>
      <c r="AP472">
        <f t="shared" si="100"/>
        <v>-9.9999999999995925E-5</v>
      </c>
    </row>
    <row r="473" spans="17:42" x14ac:dyDescent="0.25">
      <c r="Q473" s="1">
        <v>44368</v>
      </c>
      <c r="R473">
        <v>4.0000000000000002E-4</v>
      </c>
      <c r="S473">
        <v>4.0000000000000002E-4</v>
      </c>
      <c r="T473">
        <v>5.0000000000000001E-4</v>
      </c>
      <c r="U473">
        <v>5.9999999999999995E-4</v>
      </c>
      <c r="V473">
        <v>8.9999999999999998E-4</v>
      </c>
      <c r="W473">
        <v>2.7000000000000001E-3</v>
      </c>
      <c r="X473">
        <v>4.7999999999999996E-3</v>
      </c>
      <c r="Y473">
        <v>9.0000000000000011E-3</v>
      </c>
      <c r="Z473">
        <v>1.2500000000000001E-2</v>
      </c>
      <c r="AA473">
        <v>1.4999999999999999E-2</v>
      </c>
      <c r="AB473">
        <v>2.0499999999999997E-2</v>
      </c>
      <c r="AC473">
        <v>2.1099999999999997E-2</v>
      </c>
      <c r="AE473">
        <f t="shared" si="89"/>
        <v>-9.9999999999999991E-5</v>
      </c>
      <c r="AF473">
        <f t="shared" si="90"/>
        <v>-9.9999999999999991E-5</v>
      </c>
      <c r="AG473">
        <f t="shared" si="91"/>
        <v>0</v>
      </c>
      <c r="AH473">
        <f t="shared" si="92"/>
        <v>0</v>
      </c>
      <c r="AI473">
        <f t="shared" si="93"/>
        <v>0</v>
      </c>
      <c r="AJ473">
        <f t="shared" si="94"/>
        <v>1.0000000000000026E-4</v>
      </c>
      <c r="AK473">
        <f t="shared" si="95"/>
        <v>1.0000000000000026E-4</v>
      </c>
      <c r="AL473">
        <f t="shared" si="96"/>
        <v>1.0000000000000113E-4</v>
      </c>
      <c r="AM473">
        <f t="shared" si="97"/>
        <v>3.0000000000000165E-4</v>
      </c>
      <c r="AN473">
        <f t="shared" si="98"/>
        <v>5.0000000000000044E-4</v>
      </c>
      <c r="AO473">
        <f t="shared" si="99"/>
        <v>7.9999999999999863E-4</v>
      </c>
      <c r="AP473">
        <f t="shared" si="100"/>
        <v>1.0000000000000009E-3</v>
      </c>
    </row>
    <row r="474" spans="17:42" x14ac:dyDescent="0.25">
      <c r="Q474" s="1">
        <v>44365</v>
      </c>
      <c r="R474">
        <v>5.0000000000000001E-4</v>
      </c>
      <c r="S474">
        <v>5.0000000000000001E-4</v>
      </c>
      <c r="T474">
        <v>5.0000000000000001E-4</v>
      </c>
      <c r="U474">
        <v>5.9999999999999995E-4</v>
      </c>
      <c r="V474">
        <v>8.9999999999999998E-4</v>
      </c>
      <c r="W474">
        <v>2.5999999999999999E-3</v>
      </c>
      <c r="X474">
        <v>4.6999999999999993E-3</v>
      </c>
      <c r="Y474">
        <v>8.8999999999999999E-3</v>
      </c>
      <c r="Z474">
        <v>1.2199999999999999E-2</v>
      </c>
      <c r="AA474">
        <v>1.4499999999999999E-2</v>
      </c>
      <c r="AB474">
        <v>1.9699999999999999E-2</v>
      </c>
      <c r="AC474">
        <v>2.0099999999999996E-2</v>
      </c>
      <c r="AE474">
        <f t="shared" si="89"/>
        <v>0</v>
      </c>
      <c r="AF474">
        <f t="shared" si="90"/>
        <v>9.9999999999999991E-5</v>
      </c>
      <c r="AG474">
        <f t="shared" si="91"/>
        <v>9.9999999999999991E-5</v>
      </c>
      <c r="AH474">
        <f t="shared" si="92"/>
        <v>0</v>
      </c>
      <c r="AI474">
        <f t="shared" si="93"/>
        <v>9.9999999999999937E-5</v>
      </c>
      <c r="AJ474">
        <f t="shared" si="94"/>
        <v>2.9999999999999992E-4</v>
      </c>
      <c r="AK474">
        <f t="shared" si="95"/>
        <v>3.9999999999999931E-4</v>
      </c>
      <c r="AL474">
        <f t="shared" si="96"/>
        <v>-1.0000000000000113E-4</v>
      </c>
      <c r="AM474">
        <f t="shared" si="97"/>
        <v>-5.0000000000000044E-4</v>
      </c>
      <c r="AN474">
        <f t="shared" si="98"/>
        <v>-7.0000000000000097E-4</v>
      </c>
      <c r="AO474">
        <f t="shared" si="99"/>
        <v>-7.9999999999999863E-4</v>
      </c>
      <c r="AP474">
        <f t="shared" si="100"/>
        <v>-1.0000000000000009E-3</v>
      </c>
    </row>
    <row r="475" spans="17:42" x14ac:dyDescent="0.25">
      <c r="Q475" s="1">
        <v>44364</v>
      </c>
      <c r="R475">
        <v>5.0000000000000001E-4</v>
      </c>
      <c r="S475">
        <v>4.0000000000000002E-4</v>
      </c>
      <c r="T475">
        <v>4.0000000000000002E-4</v>
      </c>
      <c r="U475">
        <v>5.9999999999999995E-4</v>
      </c>
      <c r="V475">
        <v>8.0000000000000004E-4</v>
      </c>
      <c r="W475">
        <v>2.3E-3</v>
      </c>
      <c r="X475">
        <v>4.3E-3</v>
      </c>
      <c r="Y475">
        <v>9.0000000000000011E-3</v>
      </c>
      <c r="Z475">
        <v>1.2699999999999999E-2</v>
      </c>
      <c r="AA475">
        <v>1.52E-2</v>
      </c>
      <c r="AB475">
        <v>2.0499999999999997E-2</v>
      </c>
      <c r="AC475">
        <v>2.1099999999999997E-2</v>
      </c>
      <c r="AE475">
        <f t="shared" si="89"/>
        <v>9.9999999999999991E-5</v>
      </c>
      <c r="AF475">
        <f t="shared" si="90"/>
        <v>0</v>
      </c>
      <c r="AG475">
        <f t="shared" si="91"/>
        <v>0</v>
      </c>
      <c r="AH475">
        <f t="shared" si="92"/>
        <v>0</v>
      </c>
      <c r="AI475">
        <f t="shared" si="93"/>
        <v>0</v>
      </c>
      <c r="AJ475">
        <f t="shared" si="94"/>
        <v>2.0000000000000009E-4</v>
      </c>
      <c r="AK475">
        <f t="shared" si="95"/>
        <v>2.0000000000000052E-4</v>
      </c>
      <c r="AL475">
        <f t="shared" si="96"/>
        <v>1.0000000000000113E-4</v>
      </c>
      <c r="AM475">
        <f t="shared" si="97"/>
        <v>-2.0000000000000052E-4</v>
      </c>
      <c r="AN475">
        <f t="shared" si="98"/>
        <v>-5.0000000000000218E-4</v>
      </c>
      <c r="AO475">
        <f t="shared" si="99"/>
        <v>-8.000000000000021E-4</v>
      </c>
      <c r="AP475">
        <f t="shared" si="100"/>
        <v>-9.0000000000000496E-4</v>
      </c>
    </row>
    <row r="476" spans="17:42" x14ac:dyDescent="0.25">
      <c r="Q476" s="1">
        <v>44363</v>
      </c>
      <c r="R476">
        <v>4.0000000000000002E-4</v>
      </c>
      <c r="S476">
        <v>4.0000000000000002E-4</v>
      </c>
      <c r="T476">
        <v>4.0000000000000002E-4</v>
      </c>
      <c r="U476">
        <v>5.9999999999999995E-4</v>
      </c>
      <c r="V476">
        <v>8.0000000000000004E-4</v>
      </c>
      <c r="W476">
        <v>2.0999999999999999E-3</v>
      </c>
      <c r="X476">
        <v>4.0999999999999995E-3</v>
      </c>
      <c r="Y476">
        <v>8.8999999999999999E-3</v>
      </c>
      <c r="Z476">
        <v>1.29E-2</v>
      </c>
      <c r="AA476">
        <v>1.5700000000000002E-2</v>
      </c>
      <c r="AB476">
        <v>2.1299999999999999E-2</v>
      </c>
      <c r="AC476">
        <v>2.2000000000000002E-2</v>
      </c>
      <c r="AE476">
        <f t="shared" si="89"/>
        <v>2.0000000000000001E-4</v>
      </c>
      <c r="AF476">
        <f t="shared" si="90"/>
        <v>2.0000000000000001E-4</v>
      </c>
      <c r="AG476">
        <f t="shared" si="91"/>
        <v>1.0000000000000005E-4</v>
      </c>
      <c r="AH476">
        <f t="shared" si="92"/>
        <v>9.9999999999999937E-5</v>
      </c>
      <c r="AI476">
        <f t="shared" si="93"/>
        <v>0</v>
      </c>
      <c r="AJ476">
        <f t="shared" si="94"/>
        <v>4.9999999999999979E-4</v>
      </c>
      <c r="AK476">
        <f t="shared" si="95"/>
        <v>6.9999999999999923E-4</v>
      </c>
      <c r="AL476">
        <f t="shared" si="96"/>
        <v>9.9999999999999915E-4</v>
      </c>
      <c r="AM476">
        <f t="shared" si="97"/>
        <v>8.0000000000000036E-4</v>
      </c>
      <c r="AN476">
        <f t="shared" si="98"/>
        <v>6.0000000000000157E-4</v>
      </c>
      <c r="AO476">
        <f t="shared" si="99"/>
        <v>9.9999999999999395E-5</v>
      </c>
      <c r="AP476">
        <f t="shared" si="100"/>
        <v>0</v>
      </c>
    </row>
    <row r="477" spans="17:42" x14ac:dyDescent="0.25">
      <c r="Q477" s="1">
        <v>44362</v>
      </c>
      <c r="R477">
        <v>2.0000000000000001E-4</v>
      </c>
      <c r="S477">
        <v>2.0000000000000001E-4</v>
      </c>
      <c r="T477">
        <v>2.9999999999999997E-4</v>
      </c>
      <c r="U477">
        <v>5.0000000000000001E-4</v>
      </c>
      <c r="V477">
        <v>8.0000000000000004E-4</v>
      </c>
      <c r="W477">
        <v>1.6000000000000001E-3</v>
      </c>
      <c r="X477">
        <v>3.4000000000000002E-3</v>
      </c>
      <c r="Y477">
        <v>7.9000000000000008E-3</v>
      </c>
      <c r="Z477">
        <v>1.21E-2</v>
      </c>
      <c r="AA477">
        <v>1.5100000000000001E-2</v>
      </c>
      <c r="AB477">
        <v>2.12E-2</v>
      </c>
      <c r="AC477">
        <v>2.2000000000000002E-2</v>
      </c>
      <c r="AE477">
        <f t="shared" si="89"/>
        <v>1E-4</v>
      </c>
      <c r="AF477">
        <f t="shared" si="90"/>
        <v>0</v>
      </c>
      <c r="AG477">
        <f t="shared" si="91"/>
        <v>0</v>
      </c>
      <c r="AH477">
        <f t="shared" si="92"/>
        <v>0</v>
      </c>
      <c r="AI477">
        <f t="shared" si="93"/>
        <v>3.0000000000000003E-4</v>
      </c>
      <c r="AJ477">
        <f t="shared" si="94"/>
        <v>0</v>
      </c>
      <c r="AK477">
        <f t="shared" si="95"/>
        <v>1.0000000000000026E-4</v>
      </c>
      <c r="AL477">
        <f t="shared" si="96"/>
        <v>-9.9999999999999395E-5</v>
      </c>
      <c r="AM477">
        <f t="shared" si="97"/>
        <v>9.9999999999999395E-5</v>
      </c>
      <c r="AN477">
        <f t="shared" si="98"/>
        <v>0</v>
      </c>
      <c r="AO477">
        <f t="shared" si="99"/>
        <v>0</v>
      </c>
      <c r="AP477">
        <f t="shared" si="100"/>
        <v>1.0000000000000286E-4</v>
      </c>
    </row>
    <row r="478" spans="17:42" x14ac:dyDescent="0.25">
      <c r="Q478" s="1">
        <v>44361</v>
      </c>
      <c r="R478">
        <v>1E-4</v>
      </c>
      <c r="S478">
        <v>2.0000000000000001E-4</v>
      </c>
      <c r="T478">
        <v>2.9999999999999997E-4</v>
      </c>
      <c r="U478">
        <v>5.0000000000000001E-4</v>
      </c>
      <c r="V478">
        <v>5.0000000000000001E-4</v>
      </c>
      <c r="W478">
        <v>1.6000000000000001E-3</v>
      </c>
      <c r="X478">
        <v>3.3E-3</v>
      </c>
      <c r="Y478">
        <v>8.0000000000000002E-3</v>
      </c>
      <c r="Z478">
        <v>1.2E-2</v>
      </c>
      <c r="AA478">
        <v>1.5100000000000001E-2</v>
      </c>
      <c r="AB478">
        <v>2.12E-2</v>
      </c>
      <c r="AC478">
        <v>2.1899999999999999E-2</v>
      </c>
      <c r="AE478">
        <f t="shared" si="89"/>
        <v>0</v>
      </c>
      <c r="AF478">
        <f t="shared" si="90"/>
        <v>0</v>
      </c>
      <c r="AG478">
        <f t="shared" si="91"/>
        <v>0</v>
      </c>
      <c r="AH478">
        <f t="shared" si="92"/>
        <v>9.9999999999999991E-5</v>
      </c>
      <c r="AI478">
        <f t="shared" si="93"/>
        <v>0</v>
      </c>
      <c r="AJ478">
        <f t="shared" si="94"/>
        <v>0</v>
      </c>
      <c r="AK478">
        <f t="shared" si="95"/>
        <v>2.0000000000000009E-4</v>
      </c>
      <c r="AL478">
        <f t="shared" si="96"/>
        <v>4.0000000000000018E-4</v>
      </c>
      <c r="AM478">
        <f t="shared" si="97"/>
        <v>4.0000000000000105E-4</v>
      </c>
      <c r="AN478">
        <f t="shared" si="98"/>
        <v>4.0000000000000105E-4</v>
      </c>
      <c r="AO478">
        <f t="shared" si="99"/>
        <v>4.0000000000000105E-4</v>
      </c>
      <c r="AP478">
        <f t="shared" si="100"/>
        <v>4.0000000000000105E-4</v>
      </c>
    </row>
    <row r="479" spans="17:42" x14ac:dyDescent="0.25">
      <c r="Q479" s="1">
        <v>44358</v>
      </c>
      <c r="R479">
        <v>1E-4</v>
      </c>
      <c r="S479">
        <v>2.0000000000000001E-4</v>
      </c>
      <c r="T479">
        <v>2.9999999999999997E-4</v>
      </c>
      <c r="U479">
        <v>4.0000000000000002E-4</v>
      </c>
      <c r="V479">
        <v>5.0000000000000001E-4</v>
      </c>
      <c r="W479">
        <v>1.6000000000000001E-3</v>
      </c>
      <c r="X479">
        <v>3.0999999999999999E-3</v>
      </c>
      <c r="Y479">
        <v>7.6E-3</v>
      </c>
      <c r="Z479">
        <v>1.1599999999999999E-2</v>
      </c>
      <c r="AA479">
        <v>1.47E-2</v>
      </c>
      <c r="AB479">
        <v>2.0799999999999999E-2</v>
      </c>
      <c r="AC479">
        <v>2.1499999999999998E-2</v>
      </c>
      <c r="AE479">
        <f t="shared" si="89"/>
        <v>0</v>
      </c>
      <c r="AF479">
        <f t="shared" si="90"/>
        <v>0</v>
      </c>
      <c r="AG479">
        <f t="shared" si="91"/>
        <v>0</v>
      </c>
      <c r="AH479">
        <f t="shared" si="92"/>
        <v>0</v>
      </c>
      <c r="AI479">
        <f t="shared" si="93"/>
        <v>0</v>
      </c>
      <c r="AJ479">
        <f t="shared" si="94"/>
        <v>1.9999999999999987E-4</v>
      </c>
      <c r="AK479">
        <f t="shared" si="95"/>
        <v>9.9999999999999829E-5</v>
      </c>
      <c r="AL479">
        <f t="shared" si="96"/>
        <v>2.9999999999999992E-4</v>
      </c>
      <c r="AM479">
        <f t="shared" si="97"/>
        <v>2.0000000000000052E-4</v>
      </c>
      <c r="AN479">
        <f t="shared" si="98"/>
        <v>2.0000000000000052E-4</v>
      </c>
      <c r="AO479">
        <f t="shared" si="99"/>
        <v>9.9999999999999395E-5</v>
      </c>
      <c r="AP479">
        <f t="shared" si="100"/>
        <v>0</v>
      </c>
    </row>
    <row r="480" spans="17:42" x14ac:dyDescent="0.25">
      <c r="Q480" s="1">
        <v>44357</v>
      </c>
      <c r="R480">
        <v>1E-4</v>
      </c>
      <c r="S480">
        <v>2.0000000000000001E-4</v>
      </c>
      <c r="T480">
        <v>2.9999999999999997E-4</v>
      </c>
      <c r="U480">
        <v>4.0000000000000002E-4</v>
      </c>
      <c r="V480">
        <v>5.0000000000000001E-4</v>
      </c>
      <c r="W480">
        <v>1.4000000000000002E-3</v>
      </c>
      <c r="X480">
        <v>3.0000000000000001E-3</v>
      </c>
      <c r="Y480">
        <v>7.3000000000000001E-3</v>
      </c>
      <c r="Z480">
        <v>1.1399999999999999E-2</v>
      </c>
      <c r="AA480">
        <v>1.4499999999999999E-2</v>
      </c>
      <c r="AB480">
        <v>2.07E-2</v>
      </c>
      <c r="AC480">
        <v>2.1499999999999998E-2</v>
      </c>
      <c r="AE480">
        <f t="shared" si="89"/>
        <v>0</v>
      </c>
      <c r="AF480">
        <f t="shared" si="90"/>
        <v>0</v>
      </c>
      <c r="AG480">
        <f t="shared" si="91"/>
        <v>0</v>
      </c>
      <c r="AH480">
        <f t="shared" si="92"/>
        <v>0</v>
      </c>
      <c r="AI480">
        <f t="shared" si="93"/>
        <v>0</v>
      </c>
      <c r="AJ480">
        <f t="shared" si="94"/>
        <v>-1.9999999999999987E-4</v>
      </c>
      <c r="AK480">
        <f t="shared" si="95"/>
        <v>-9.9999999999999829E-5</v>
      </c>
      <c r="AL480">
        <f t="shared" si="96"/>
        <v>-1.9999999999999966E-4</v>
      </c>
      <c r="AM480">
        <f t="shared" si="97"/>
        <v>-2.9999999999999992E-4</v>
      </c>
      <c r="AN480">
        <f t="shared" si="98"/>
        <v>-5.0000000000000044E-4</v>
      </c>
      <c r="AO480">
        <f t="shared" si="99"/>
        <v>-3.0000000000000165E-4</v>
      </c>
      <c r="AP480">
        <f t="shared" si="100"/>
        <v>-2.0000000000000226E-4</v>
      </c>
    </row>
    <row r="481" spans="17:42" x14ac:dyDescent="0.25">
      <c r="Q481" s="1">
        <v>44356</v>
      </c>
      <c r="R481">
        <v>1E-4</v>
      </c>
      <c r="S481">
        <v>2.0000000000000001E-4</v>
      </c>
      <c r="T481">
        <v>2.9999999999999997E-4</v>
      </c>
      <c r="U481">
        <v>4.0000000000000002E-4</v>
      </c>
      <c r="V481">
        <v>5.0000000000000001E-4</v>
      </c>
      <c r="W481">
        <v>1.6000000000000001E-3</v>
      </c>
      <c r="X481">
        <v>3.0999999999999999E-3</v>
      </c>
      <c r="Y481">
        <v>7.4999999999999997E-3</v>
      </c>
      <c r="Z481">
        <v>1.1699999999999999E-2</v>
      </c>
      <c r="AA481">
        <v>1.4999999999999999E-2</v>
      </c>
      <c r="AB481">
        <v>2.1000000000000001E-2</v>
      </c>
      <c r="AC481">
        <v>2.1700000000000001E-2</v>
      </c>
      <c r="AE481">
        <f t="shared" si="89"/>
        <v>0</v>
      </c>
      <c r="AF481">
        <f t="shared" si="90"/>
        <v>0</v>
      </c>
      <c r="AG481">
        <f t="shared" si="91"/>
        <v>9.9999999999999964E-5</v>
      </c>
      <c r="AH481">
        <f t="shared" si="92"/>
        <v>0</v>
      </c>
      <c r="AI481">
        <f t="shared" si="93"/>
        <v>0</v>
      </c>
      <c r="AJ481">
        <f t="shared" si="94"/>
        <v>1.9999999999999987E-4</v>
      </c>
      <c r="AK481">
        <f t="shared" si="95"/>
        <v>-1.0000000000000026E-4</v>
      </c>
      <c r="AL481">
        <f t="shared" si="96"/>
        <v>-2.0000000000000052E-4</v>
      </c>
      <c r="AM481">
        <f t="shared" si="97"/>
        <v>-3.0000000000000165E-4</v>
      </c>
      <c r="AN481">
        <f t="shared" si="98"/>
        <v>-3.0000000000000165E-4</v>
      </c>
      <c r="AO481">
        <f t="shared" si="99"/>
        <v>-2.9999999999999818E-4</v>
      </c>
      <c r="AP481">
        <f t="shared" si="100"/>
        <v>-3.9999999999999758E-4</v>
      </c>
    </row>
    <row r="482" spans="17:42" x14ac:dyDescent="0.25">
      <c r="Q482" s="1">
        <v>44355</v>
      </c>
      <c r="R482">
        <v>1E-4</v>
      </c>
      <c r="S482">
        <v>2.0000000000000001E-4</v>
      </c>
      <c r="T482">
        <v>2.0000000000000001E-4</v>
      </c>
      <c r="U482">
        <v>4.0000000000000002E-4</v>
      </c>
      <c r="V482">
        <v>5.0000000000000001E-4</v>
      </c>
      <c r="W482">
        <v>1.4000000000000002E-3</v>
      </c>
      <c r="X482">
        <v>3.2000000000000002E-3</v>
      </c>
      <c r="Y482">
        <v>7.7000000000000002E-3</v>
      </c>
      <c r="Z482">
        <v>1.2E-2</v>
      </c>
      <c r="AA482">
        <v>1.5300000000000001E-2</v>
      </c>
      <c r="AB482">
        <v>2.1299999999999999E-2</v>
      </c>
      <c r="AC482">
        <v>2.2099999999999998E-2</v>
      </c>
      <c r="AE482">
        <f t="shared" si="89"/>
        <v>0</v>
      </c>
      <c r="AF482">
        <f t="shared" si="90"/>
        <v>0</v>
      </c>
      <c r="AG482">
        <f t="shared" si="91"/>
        <v>0</v>
      </c>
      <c r="AH482">
        <f t="shared" si="92"/>
        <v>0</v>
      </c>
      <c r="AI482">
        <f t="shared" si="93"/>
        <v>0</v>
      </c>
      <c r="AJ482">
        <f t="shared" si="94"/>
        <v>-1.9999999999999987E-4</v>
      </c>
      <c r="AK482">
        <f t="shared" si="95"/>
        <v>-9.9999999999999829E-5</v>
      </c>
      <c r="AL482">
        <f t="shared" si="96"/>
        <v>-2.0000000000000052E-4</v>
      </c>
      <c r="AM482">
        <f t="shared" si="97"/>
        <v>-3.9999999999999931E-4</v>
      </c>
      <c r="AN482">
        <f t="shared" si="98"/>
        <v>-4.0000000000000105E-4</v>
      </c>
      <c r="AO482">
        <f t="shared" si="99"/>
        <v>-4.0000000000000105E-4</v>
      </c>
      <c r="AP482">
        <f t="shared" si="100"/>
        <v>-4.0000000000000105E-4</v>
      </c>
    </row>
    <row r="483" spans="17:42" x14ac:dyDescent="0.25">
      <c r="Q483" s="1">
        <v>44354</v>
      </c>
      <c r="R483">
        <v>1E-4</v>
      </c>
      <c r="S483">
        <v>2.0000000000000001E-4</v>
      </c>
      <c r="T483">
        <v>2.0000000000000001E-4</v>
      </c>
      <c r="U483">
        <v>4.0000000000000002E-4</v>
      </c>
      <c r="V483">
        <v>5.0000000000000001E-4</v>
      </c>
      <c r="W483">
        <v>1.6000000000000001E-3</v>
      </c>
      <c r="X483">
        <v>3.3E-3</v>
      </c>
      <c r="Y483">
        <v>7.9000000000000008E-3</v>
      </c>
      <c r="Z483">
        <v>1.24E-2</v>
      </c>
      <c r="AA483">
        <v>1.5700000000000002E-2</v>
      </c>
      <c r="AB483">
        <v>2.1700000000000001E-2</v>
      </c>
      <c r="AC483">
        <v>2.2499999999999999E-2</v>
      </c>
      <c r="AE483">
        <f t="shared" si="89"/>
        <v>0</v>
      </c>
      <c r="AF483">
        <f t="shared" si="90"/>
        <v>0</v>
      </c>
      <c r="AG483">
        <f t="shared" si="91"/>
        <v>0</v>
      </c>
      <c r="AH483">
        <f t="shared" si="92"/>
        <v>0</v>
      </c>
      <c r="AI483">
        <f t="shared" si="93"/>
        <v>0</v>
      </c>
      <c r="AJ483">
        <f t="shared" si="94"/>
        <v>1.9999999999999987E-4</v>
      </c>
      <c r="AK483">
        <f t="shared" si="95"/>
        <v>9.9999999999999829E-5</v>
      </c>
      <c r="AL483">
        <f t="shared" si="96"/>
        <v>1.0000000000000026E-4</v>
      </c>
      <c r="AM483">
        <f t="shared" si="97"/>
        <v>9.9999999999999395E-5</v>
      </c>
      <c r="AN483">
        <f t="shared" si="98"/>
        <v>1.0000000000000113E-4</v>
      </c>
      <c r="AO483">
        <f t="shared" si="99"/>
        <v>9.9999999999999395E-5</v>
      </c>
      <c r="AP483">
        <f t="shared" si="100"/>
        <v>9.9999999999995925E-5</v>
      </c>
    </row>
    <row r="484" spans="17:42" x14ac:dyDescent="0.25">
      <c r="Q484" s="1">
        <v>44351</v>
      </c>
      <c r="R484">
        <v>1E-4</v>
      </c>
      <c r="S484">
        <v>2.0000000000000001E-4</v>
      </c>
      <c r="T484">
        <v>2.0000000000000001E-4</v>
      </c>
      <c r="U484">
        <v>4.0000000000000002E-4</v>
      </c>
      <c r="V484">
        <v>5.0000000000000001E-4</v>
      </c>
      <c r="W484">
        <v>1.4000000000000002E-3</v>
      </c>
      <c r="X484">
        <v>3.2000000000000002E-3</v>
      </c>
      <c r="Y484">
        <v>7.8000000000000005E-3</v>
      </c>
      <c r="Z484">
        <v>1.23E-2</v>
      </c>
      <c r="AA484">
        <v>1.5600000000000001E-2</v>
      </c>
      <c r="AB484">
        <v>2.1600000000000001E-2</v>
      </c>
      <c r="AC484">
        <v>2.2400000000000003E-2</v>
      </c>
      <c r="AE484">
        <f t="shared" si="89"/>
        <v>1E-4</v>
      </c>
      <c r="AF484">
        <f t="shared" si="90"/>
        <v>1E-4</v>
      </c>
      <c r="AG484">
        <f t="shared" si="91"/>
        <v>0</v>
      </c>
      <c r="AH484">
        <f t="shared" si="92"/>
        <v>0</v>
      </c>
      <c r="AI484">
        <f t="shared" si="93"/>
        <v>9.9999999999999991E-5</v>
      </c>
      <c r="AJ484">
        <f t="shared" si="94"/>
        <v>-1.9999999999999987E-4</v>
      </c>
      <c r="AK484">
        <f t="shared" si="95"/>
        <v>-2.0000000000000009E-4</v>
      </c>
      <c r="AL484">
        <f t="shared" si="96"/>
        <v>-5.9999999999999897E-4</v>
      </c>
      <c r="AM484">
        <f t="shared" si="97"/>
        <v>-7.0000000000000097E-4</v>
      </c>
      <c r="AN484">
        <f t="shared" si="98"/>
        <v>-6.999999999999975E-4</v>
      </c>
      <c r="AO484">
        <f t="shared" si="99"/>
        <v>-5.9999999999999984E-4</v>
      </c>
      <c r="AP484">
        <f t="shared" si="100"/>
        <v>-5.9999999999999637E-4</v>
      </c>
    </row>
    <row r="485" spans="17:42" x14ac:dyDescent="0.25">
      <c r="Q485" s="1">
        <v>44350</v>
      </c>
      <c r="R485">
        <v>0</v>
      </c>
      <c r="S485">
        <v>1E-4</v>
      </c>
      <c r="T485">
        <v>2.0000000000000001E-4</v>
      </c>
      <c r="U485">
        <v>4.0000000000000002E-4</v>
      </c>
      <c r="V485">
        <v>4.0000000000000002E-4</v>
      </c>
      <c r="W485">
        <v>1.6000000000000001E-3</v>
      </c>
      <c r="X485">
        <v>3.4000000000000002E-3</v>
      </c>
      <c r="Y485">
        <v>8.3999999999999995E-3</v>
      </c>
      <c r="Z485">
        <v>1.3000000000000001E-2</v>
      </c>
      <c r="AA485">
        <v>1.6299999999999999E-2</v>
      </c>
      <c r="AB485">
        <v>2.2200000000000001E-2</v>
      </c>
      <c r="AC485">
        <v>2.3E-2</v>
      </c>
      <c r="AE485">
        <f t="shared" si="89"/>
        <v>-1E-4</v>
      </c>
      <c r="AF485">
        <f t="shared" si="90"/>
        <v>0</v>
      </c>
      <c r="AG485">
        <f t="shared" si="91"/>
        <v>0</v>
      </c>
      <c r="AH485">
        <f t="shared" si="92"/>
        <v>0</v>
      </c>
      <c r="AI485">
        <f t="shared" si="93"/>
        <v>-9.9999999999999991E-5</v>
      </c>
      <c r="AJ485">
        <f t="shared" si="94"/>
        <v>3.0000000000000014E-4</v>
      </c>
      <c r="AK485">
        <f t="shared" si="95"/>
        <v>4.0000000000000018E-4</v>
      </c>
      <c r="AL485">
        <f t="shared" si="96"/>
        <v>3.9999999999999931E-4</v>
      </c>
      <c r="AM485">
        <f t="shared" si="97"/>
        <v>4.0000000000000105E-4</v>
      </c>
      <c r="AN485">
        <f t="shared" si="98"/>
        <v>3.9999999999999758E-4</v>
      </c>
      <c r="AO485">
        <f t="shared" si="99"/>
        <v>1.0000000000000286E-4</v>
      </c>
      <c r="AP485">
        <f t="shared" si="100"/>
        <v>2.0000000000000226E-4</v>
      </c>
    </row>
    <row r="486" spans="17:42" x14ac:dyDescent="0.25">
      <c r="Q486" s="1">
        <v>44349</v>
      </c>
      <c r="R486">
        <v>1E-4</v>
      </c>
      <c r="S486">
        <v>1E-4</v>
      </c>
      <c r="T486">
        <v>2.0000000000000001E-4</v>
      </c>
      <c r="U486">
        <v>4.0000000000000002E-4</v>
      </c>
      <c r="V486">
        <v>5.0000000000000001E-4</v>
      </c>
      <c r="W486">
        <v>1.2999999999999999E-3</v>
      </c>
      <c r="X486">
        <v>3.0000000000000001E-3</v>
      </c>
      <c r="Y486">
        <v>8.0000000000000002E-3</v>
      </c>
      <c r="Z486">
        <v>1.26E-2</v>
      </c>
      <c r="AA486">
        <v>1.5900000000000001E-2</v>
      </c>
      <c r="AB486">
        <v>2.2099999999999998E-2</v>
      </c>
      <c r="AC486">
        <v>2.2799999999999997E-2</v>
      </c>
      <c r="AE486">
        <f t="shared" si="89"/>
        <v>0</v>
      </c>
      <c r="AF486">
        <f t="shared" si="90"/>
        <v>0</v>
      </c>
      <c r="AG486">
        <f t="shared" si="91"/>
        <v>0</v>
      </c>
      <c r="AH486">
        <f t="shared" si="92"/>
        <v>0</v>
      </c>
      <c r="AI486">
        <f t="shared" si="93"/>
        <v>9.9999999999999991E-5</v>
      </c>
      <c r="AJ486">
        <f t="shared" si="94"/>
        <v>-3.0000000000000014E-4</v>
      </c>
      <c r="AK486">
        <f t="shared" si="95"/>
        <v>-9.9999999999999829E-5</v>
      </c>
      <c r="AL486">
        <f t="shared" si="96"/>
        <v>-1.0000000000000113E-4</v>
      </c>
      <c r="AM486">
        <f t="shared" si="97"/>
        <v>-2.0000000000000052E-4</v>
      </c>
      <c r="AN486">
        <f t="shared" si="98"/>
        <v>-3.0000000000000165E-4</v>
      </c>
      <c r="AO486">
        <f t="shared" si="99"/>
        <v>-1.0000000000000286E-4</v>
      </c>
      <c r="AP486">
        <f t="shared" si="100"/>
        <v>-2.0000000000000226E-4</v>
      </c>
    </row>
    <row r="487" spans="17:42" x14ac:dyDescent="0.25">
      <c r="Q487" s="1">
        <v>44348</v>
      </c>
      <c r="R487">
        <v>1E-4</v>
      </c>
      <c r="S487">
        <v>1E-4</v>
      </c>
      <c r="T487">
        <v>2.0000000000000001E-4</v>
      </c>
      <c r="U487">
        <v>4.0000000000000002E-4</v>
      </c>
      <c r="V487">
        <v>4.0000000000000002E-4</v>
      </c>
      <c r="W487">
        <v>1.6000000000000001E-3</v>
      </c>
      <c r="X487">
        <v>3.0999999999999999E-3</v>
      </c>
      <c r="Y487">
        <v>8.1000000000000013E-3</v>
      </c>
      <c r="Z487">
        <v>1.2800000000000001E-2</v>
      </c>
      <c r="AA487">
        <v>1.6200000000000003E-2</v>
      </c>
      <c r="AB487">
        <v>2.2200000000000001E-2</v>
      </c>
      <c r="AC487">
        <v>2.3E-2</v>
      </c>
      <c r="AE487">
        <f t="shared" si="89"/>
        <v>0</v>
      </c>
      <c r="AF487">
        <f t="shared" si="90"/>
        <v>0</v>
      </c>
      <c r="AG487">
        <f t="shared" si="91"/>
        <v>1E-4</v>
      </c>
      <c r="AH487">
        <f t="shared" si="92"/>
        <v>1.0000000000000005E-4</v>
      </c>
      <c r="AI487">
        <f t="shared" si="93"/>
        <v>-9.9999999999999991E-5</v>
      </c>
      <c r="AJ487">
        <f t="shared" si="94"/>
        <v>1.9999999999999987E-4</v>
      </c>
      <c r="AK487">
        <f t="shared" si="95"/>
        <v>9.9999999999999829E-5</v>
      </c>
      <c r="AL487">
        <f t="shared" si="96"/>
        <v>2.0000000000000052E-4</v>
      </c>
      <c r="AM487">
        <f t="shared" si="97"/>
        <v>4.0000000000000105E-4</v>
      </c>
      <c r="AN487">
        <f t="shared" si="98"/>
        <v>4.0000000000000105E-4</v>
      </c>
      <c r="AO487">
        <f t="shared" si="99"/>
        <v>4.0000000000000105E-4</v>
      </c>
      <c r="AP487">
        <f t="shared" si="100"/>
        <v>4.0000000000000105E-4</v>
      </c>
    </row>
    <row r="488" spans="17:42" x14ac:dyDescent="0.25">
      <c r="Q488" s="1">
        <v>44344</v>
      </c>
      <c r="R488">
        <v>1E-4</v>
      </c>
      <c r="S488">
        <v>1E-4</v>
      </c>
      <c r="T488">
        <v>1E-4</v>
      </c>
      <c r="U488">
        <v>2.9999999999999997E-4</v>
      </c>
      <c r="V488">
        <v>5.0000000000000001E-4</v>
      </c>
      <c r="W488">
        <v>1.4000000000000002E-3</v>
      </c>
      <c r="X488">
        <v>3.0000000000000001E-3</v>
      </c>
      <c r="Y488">
        <v>7.9000000000000008E-3</v>
      </c>
      <c r="Z488">
        <v>1.24E-2</v>
      </c>
      <c r="AA488">
        <v>1.5800000000000002E-2</v>
      </c>
      <c r="AB488">
        <v>2.18E-2</v>
      </c>
      <c r="AC488">
        <v>2.2599999999999999E-2</v>
      </c>
      <c r="AE488">
        <f t="shared" si="89"/>
        <v>1E-4</v>
      </c>
      <c r="AF488">
        <f t="shared" si="90"/>
        <v>0</v>
      </c>
      <c r="AG488">
        <f t="shared" si="91"/>
        <v>-1E-4</v>
      </c>
      <c r="AH488">
        <f t="shared" si="92"/>
        <v>-1.0000000000000005E-4</v>
      </c>
      <c r="AI488">
        <f t="shared" si="93"/>
        <v>9.9999999999999991E-5</v>
      </c>
      <c r="AJ488">
        <f t="shared" si="94"/>
        <v>0</v>
      </c>
      <c r="AK488">
        <f t="shared" si="95"/>
        <v>-9.9999999999999829E-5</v>
      </c>
      <c r="AL488">
        <f t="shared" si="96"/>
        <v>-2.0000000000000052E-4</v>
      </c>
      <c r="AM488">
        <f t="shared" si="97"/>
        <v>-4.0000000000000105E-4</v>
      </c>
      <c r="AN488">
        <f t="shared" si="98"/>
        <v>-2.9999999999999818E-4</v>
      </c>
      <c r="AO488">
        <f t="shared" si="99"/>
        <v>-2.0000000000000226E-4</v>
      </c>
      <c r="AP488">
        <f t="shared" si="100"/>
        <v>-3.0000000000000165E-4</v>
      </c>
    </row>
    <row r="489" spans="17:42" x14ac:dyDescent="0.25">
      <c r="Q489" s="1">
        <v>44343</v>
      </c>
      <c r="R489">
        <v>0</v>
      </c>
      <c r="S489">
        <v>1E-4</v>
      </c>
      <c r="T489">
        <v>2.0000000000000001E-4</v>
      </c>
      <c r="U489">
        <v>4.0000000000000002E-4</v>
      </c>
      <c r="V489">
        <v>4.0000000000000002E-4</v>
      </c>
      <c r="W489">
        <v>1.4000000000000002E-3</v>
      </c>
      <c r="X489">
        <v>3.0999999999999999E-3</v>
      </c>
      <c r="Y489">
        <v>8.1000000000000013E-3</v>
      </c>
      <c r="Z489">
        <v>1.2800000000000001E-2</v>
      </c>
      <c r="AA489">
        <v>1.61E-2</v>
      </c>
      <c r="AB489">
        <v>2.2000000000000002E-2</v>
      </c>
      <c r="AC489">
        <v>2.29E-2</v>
      </c>
      <c r="AE489">
        <f t="shared" si="89"/>
        <v>0</v>
      </c>
      <c r="AF489">
        <f t="shared" si="90"/>
        <v>1E-4</v>
      </c>
      <c r="AG489">
        <f t="shared" si="91"/>
        <v>0</v>
      </c>
      <c r="AH489">
        <f t="shared" si="92"/>
        <v>0</v>
      </c>
      <c r="AI489">
        <f t="shared" si="93"/>
        <v>0</v>
      </c>
      <c r="AJ489">
        <f t="shared" si="94"/>
        <v>0</v>
      </c>
      <c r="AK489">
        <f t="shared" si="95"/>
        <v>0</v>
      </c>
      <c r="AL489">
        <f t="shared" si="96"/>
        <v>1.0000000000000113E-4</v>
      </c>
      <c r="AM489">
        <f t="shared" si="97"/>
        <v>4.0000000000000105E-4</v>
      </c>
      <c r="AN489">
        <f t="shared" si="98"/>
        <v>2.9999999999999818E-4</v>
      </c>
      <c r="AO489">
        <f t="shared" si="99"/>
        <v>3.0000000000000165E-4</v>
      </c>
      <c r="AP489">
        <f t="shared" si="100"/>
        <v>1.9999999999999879E-4</v>
      </c>
    </row>
    <row r="490" spans="17:42" x14ac:dyDescent="0.25">
      <c r="Q490" s="1">
        <v>44342</v>
      </c>
      <c r="R490">
        <v>0</v>
      </c>
      <c r="S490">
        <v>0</v>
      </c>
      <c r="T490">
        <v>2.0000000000000001E-4</v>
      </c>
      <c r="U490">
        <v>4.0000000000000002E-4</v>
      </c>
      <c r="V490">
        <v>4.0000000000000002E-4</v>
      </c>
      <c r="W490">
        <v>1.4000000000000002E-3</v>
      </c>
      <c r="X490">
        <v>3.0999999999999999E-3</v>
      </c>
      <c r="Y490">
        <v>8.0000000000000002E-3</v>
      </c>
      <c r="Z490">
        <v>1.24E-2</v>
      </c>
      <c r="AA490">
        <v>1.5800000000000002E-2</v>
      </c>
      <c r="AB490">
        <v>2.1700000000000001E-2</v>
      </c>
      <c r="AC490">
        <v>2.2700000000000001E-2</v>
      </c>
      <c r="AE490">
        <f t="shared" si="89"/>
        <v>-1E-4</v>
      </c>
      <c r="AF490">
        <f t="shared" si="90"/>
        <v>-1E-4</v>
      </c>
      <c r="AG490">
        <f t="shared" si="91"/>
        <v>0</v>
      </c>
      <c r="AH490">
        <f t="shared" si="92"/>
        <v>0</v>
      </c>
      <c r="AI490">
        <f t="shared" si="93"/>
        <v>0</v>
      </c>
      <c r="AJ490">
        <f t="shared" si="94"/>
        <v>-9.9999999999999829E-5</v>
      </c>
      <c r="AK490">
        <f t="shared" si="95"/>
        <v>9.9999999999999829E-5</v>
      </c>
      <c r="AL490">
        <f t="shared" si="96"/>
        <v>9.9999999999999395E-5</v>
      </c>
      <c r="AM490">
        <f t="shared" si="97"/>
        <v>9.9999999999999395E-5</v>
      </c>
      <c r="AN490">
        <f t="shared" si="98"/>
        <v>2.0000000000000052E-4</v>
      </c>
      <c r="AO490">
        <f t="shared" si="99"/>
        <v>9.9999999999999395E-5</v>
      </c>
      <c r="AP490">
        <f t="shared" si="100"/>
        <v>1.0000000000000286E-4</v>
      </c>
    </row>
    <row r="491" spans="17:42" x14ac:dyDescent="0.25">
      <c r="Q491" s="1">
        <v>44341</v>
      </c>
      <c r="R491">
        <v>1E-4</v>
      </c>
      <c r="S491">
        <v>1E-4</v>
      </c>
      <c r="T491">
        <v>2.0000000000000001E-4</v>
      </c>
      <c r="U491">
        <v>4.0000000000000002E-4</v>
      </c>
      <c r="V491">
        <v>4.0000000000000002E-4</v>
      </c>
      <c r="W491">
        <v>1.5E-3</v>
      </c>
      <c r="X491">
        <v>3.0000000000000001E-3</v>
      </c>
      <c r="Y491">
        <v>7.9000000000000008E-3</v>
      </c>
      <c r="Z491">
        <v>1.23E-2</v>
      </c>
      <c r="AA491">
        <v>1.5600000000000001E-2</v>
      </c>
      <c r="AB491">
        <v>2.1600000000000001E-2</v>
      </c>
      <c r="AC491">
        <v>2.2599999999999999E-2</v>
      </c>
      <c r="AE491">
        <f t="shared" si="89"/>
        <v>0</v>
      </c>
      <c r="AF491">
        <f t="shared" si="90"/>
        <v>0</v>
      </c>
      <c r="AG491">
        <f t="shared" si="91"/>
        <v>0</v>
      </c>
      <c r="AH491">
        <f t="shared" si="92"/>
        <v>1.0000000000000005E-4</v>
      </c>
      <c r="AI491">
        <f t="shared" si="93"/>
        <v>0</v>
      </c>
      <c r="AJ491">
        <f t="shared" si="94"/>
        <v>0</v>
      </c>
      <c r="AK491">
        <f t="shared" si="95"/>
        <v>-2.0000000000000009E-4</v>
      </c>
      <c r="AL491">
        <f t="shared" si="96"/>
        <v>-2.9999999999999818E-4</v>
      </c>
      <c r="AM491">
        <f t="shared" si="97"/>
        <v>-5.0000000000000044E-4</v>
      </c>
      <c r="AN491">
        <f t="shared" si="98"/>
        <v>-4.9999999999999871E-4</v>
      </c>
      <c r="AO491">
        <f t="shared" si="99"/>
        <v>-5.9999999999999984E-4</v>
      </c>
      <c r="AP491">
        <f t="shared" si="100"/>
        <v>-5.0000000000000044E-4</v>
      </c>
    </row>
    <row r="492" spans="17:42" x14ac:dyDescent="0.25">
      <c r="Q492" s="1">
        <v>44340</v>
      </c>
      <c r="R492">
        <v>1E-4</v>
      </c>
      <c r="S492">
        <v>1E-4</v>
      </c>
      <c r="T492">
        <v>2.0000000000000001E-4</v>
      </c>
      <c r="U492">
        <v>2.9999999999999997E-4</v>
      </c>
      <c r="V492">
        <v>4.0000000000000002E-4</v>
      </c>
      <c r="W492">
        <v>1.5E-3</v>
      </c>
      <c r="X492">
        <v>3.2000000000000002E-3</v>
      </c>
      <c r="Y492">
        <v>8.199999999999999E-3</v>
      </c>
      <c r="Z492">
        <v>1.2800000000000001E-2</v>
      </c>
      <c r="AA492">
        <v>1.61E-2</v>
      </c>
      <c r="AB492">
        <v>2.2200000000000001E-2</v>
      </c>
      <c r="AC492">
        <v>2.3099999999999999E-2</v>
      </c>
      <c r="AE492">
        <f t="shared" si="89"/>
        <v>1E-4</v>
      </c>
      <c r="AF492">
        <f t="shared" si="90"/>
        <v>0</v>
      </c>
      <c r="AG492">
        <f t="shared" si="91"/>
        <v>1E-4</v>
      </c>
      <c r="AH492">
        <f t="shared" si="92"/>
        <v>9.9999999999999964E-5</v>
      </c>
      <c r="AI492">
        <f t="shared" si="93"/>
        <v>0</v>
      </c>
      <c r="AJ492">
        <f t="shared" si="94"/>
        <v>-2.0000000000000009E-4</v>
      </c>
      <c r="AK492">
        <f t="shared" si="95"/>
        <v>-2.0000000000000009E-4</v>
      </c>
      <c r="AL492">
        <f t="shared" si="96"/>
        <v>-2.0000000000000052E-4</v>
      </c>
      <c r="AM492">
        <f t="shared" si="97"/>
        <v>-9.9999999999999395E-5</v>
      </c>
      <c r="AN492">
        <f t="shared" si="98"/>
        <v>-1.9999999999999879E-4</v>
      </c>
      <c r="AO492">
        <f t="shared" si="99"/>
        <v>-2.0000000000000226E-4</v>
      </c>
      <c r="AP492">
        <f t="shared" si="100"/>
        <v>-2.0000000000000226E-4</v>
      </c>
    </row>
    <row r="493" spans="17:42" x14ac:dyDescent="0.25">
      <c r="Q493" s="1">
        <v>44337</v>
      </c>
      <c r="R493">
        <v>0</v>
      </c>
      <c r="S493">
        <v>1E-4</v>
      </c>
      <c r="T493">
        <v>1E-4</v>
      </c>
      <c r="U493">
        <v>2.0000000000000001E-4</v>
      </c>
      <c r="V493">
        <v>4.0000000000000002E-4</v>
      </c>
      <c r="W493">
        <v>1.7000000000000001E-3</v>
      </c>
      <c r="X493">
        <v>3.4000000000000002E-3</v>
      </c>
      <c r="Y493">
        <v>8.3999999999999995E-3</v>
      </c>
      <c r="Z493">
        <v>1.29E-2</v>
      </c>
      <c r="AA493">
        <v>1.6299999999999999E-2</v>
      </c>
      <c r="AB493">
        <v>2.2400000000000003E-2</v>
      </c>
      <c r="AC493">
        <v>2.3300000000000001E-2</v>
      </c>
      <c r="AE493">
        <f t="shared" si="89"/>
        <v>-1E-4</v>
      </c>
      <c r="AF493">
        <f t="shared" si="90"/>
        <v>0</v>
      </c>
      <c r="AG493">
        <f t="shared" si="91"/>
        <v>0</v>
      </c>
      <c r="AH493">
        <f t="shared" si="92"/>
        <v>-9.9999999999999964E-5</v>
      </c>
      <c r="AI493">
        <f t="shared" si="93"/>
        <v>-9.9999999999999991E-5</v>
      </c>
      <c r="AJ493">
        <f t="shared" si="94"/>
        <v>2.0000000000000009E-4</v>
      </c>
      <c r="AK493">
        <f t="shared" si="95"/>
        <v>0</v>
      </c>
      <c r="AL493">
        <f t="shared" si="96"/>
        <v>9.9999999999999395E-5</v>
      </c>
      <c r="AM493">
        <f t="shared" si="97"/>
        <v>0</v>
      </c>
      <c r="AN493">
        <f t="shared" si="98"/>
        <v>0</v>
      </c>
      <c r="AO493">
        <f t="shared" si="99"/>
        <v>-9.9999999999995925E-5</v>
      </c>
      <c r="AP493">
        <f t="shared" si="100"/>
        <v>-9.9999999999995925E-5</v>
      </c>
    </row>
    <row r="494" spans="17:42" x14ac:dyDescent="0.25">
      <c r="Q494" s="1">
        <v>44336</v>
      </c>
      <c r="R494">
        <v>1E-4</v>
      </c>
      <c r="S494">
        <v>1E-4</v>
      </c>
      <c r="T494">
        <v>1E-4</v>
      </c>
      <c r="U494">
        <v>2.9999999999999997E-4</v>
      </c>
      <c r="V494">
        <v>5.0000000000000001E-4</v>
      </c>
      <c r="W494">
        <v>1.5E-3</v>
      </c>
      <c r="X494">
        <v>3.4000000000000002E-3</v>
      </c>
      <c r="Y494">
        <v>8.3000000000000001E-3</v>
      </c>
      <c r="Z494">
        <v>1.29E-2</v>
      </c>
      <c r="AA494">
        <v>1.6299999999999999E-2</v>
      </c>
      <c r="AB494">
        <v>2.2499999999999999E-2</v>
      </c>
      <c r="AC494">
        <v>2.3399999999999997E-2</v>
      </c>
      <c r="AE494">
        <f t="shared" si="89"/>
        <v>1E-4</v>
      </c>
      <c r="AF494">
        <f t="shared" si="90"/>
        <v>0</v>
      </c>
      <c r="AG494">
        <f t="shared" si="91"/>
        <v>0</v>
      </c>
      <c r="AH494">
        <f t="shared" si="92"/>
        <v>0</v>
      </c>
      <c r="AI494">
        <f t="shared" si="93"/>
        <v>0</v>
      </c>
      <c r="AJ494">
        <f t="shared" si="94"/>
        <v>-1.0000000000000005E-4</v>
      </c>
      <c r="AK494">
        <f t="shared" si="95"/>
        <v>-9.9999999999999395E-5</v>
      </c>
      <c r="AL494">
        <f t="shared" si="96"/>
        <v>-3.9999999999999931E-4</v>
      </c>
      <c r="AM494">
        <f t="shared" si="97"/>
        <v>-5.0000000000000044E-4</v>
      </c>
      <c r="AN494">
        <f t="shared" si="98"/>
        <v>-5.0000000000000044E-4</v>
      </c>
      <c r="AO494">
        <f t="shared" si="99"/>
        <v>-5.0000000000000044E-4</v>
      </c>
      <c r="AP494">
        <f t="shared" si="100"/>
        <v>-4.0000000000000105E-4</v>
      </c>
    </row>
    <row r="495" spans="17:42" x14ac:dyDescent="0.25">
      <c r="Q495" s="1">
        <v>44335</v>
      </c>
      <c r="R495">
        <v>0</v>
      </c>
      <c r="S495">
        <v>1E-4</v>
      </c>
      <c r="T495">
        <v>1E-4</v>
      </c>
      <c r="U495">
        <v>2.9999999999999997E-4</v>
      </c>
      <c r="V495">
        <v>5.0000000000000001E-4</v>
      </c>
      <c r="W495">
        <v>1.6000000000000001E-3</v>
      </c>
      <c r="X495">
        <v>3.4999999999999996E-3</v>
      </c>
      <c r="Y495">
        <v>8.6999999999999994E-3</v>
      </c>
      <c r="Z495">
        <v>1.34E-2</v>
      </c>
      <c r="AA495">
        <v>1.6799999999999999E-2</v>
      </c>
      <c r="AB495">
        <v>2.3E-2</v>
      </c>
      <c r="AC495">
        <v>2.3799999999999998E-2</v>
      </c>
      <c r="AE495">
        <f t="shared" si="89"/>
        <v>0</v>
      </c>
      <c r="AF495">
        <f t="shared" si="90"/>
        <v>0</v>
      </c>
      <c r="AG495">
        <f t="shared" si="91"/>
        <v>-1E-4</v>
      </c>
      <c r="AH495">
        <f t="shared" si="92"/>
        <v>0</v>
      </c>
      <c r="AI495">
        <f t="shared" si="93"/>
        <v>-9.9999999999999937E-5</v>
      </c>
      <c r="AJ495">
        <f t="shared" si="94"/>
        <v>0</v>
      </c>
      <c r="AK495">
        <f t="shared" si="95"/>
        <v>9.9999999999999395E-5</v>
      </c>
      <c r="AL495">
        <f t="shared" si="96"/>
        <v>3.9999999999999931E-4</v>
      </c>
      <c r="AM495">
        <f t="shared" si="97"/>
        <v>5.0000000000000044E-4</v>
      </c>
      <c r="AN495">
        <f t="shared" si="98"/>
        <v>4.0000000000000105E-4</v>
      </c>
      <c r="AO495">
        <f t="shared" si="99"/>
        <v>2.9999999999999818E-4</v>
      </c>
      <c r="AP495">
        <f t="shared" si="100"/>
        <v>9.9999999999995925E-5</v>
      </c>
    </row>
    <row r="496" spans="17:42" x14ac:dyDescent="0.25">
      <c r="Q496" s="1">
        <v>44334</v>
      </c>
      <c r="R496">
        <v>0</v>
      </c>
      <c r="S496">
        <v>1E-4</v>
      </c>
      <c r="T496">
        <v>2.0000000000000001E-4</v>
      </c>
      <c r="U496">
        <v>2.9999999999999997E-4</v>
      </c>
      <c r="V496">
        <v>5.9999999999999995E-4</v>
      </c>
      <c r="W496">
        <v>1.6000000000000001E-3</v>
      </c>
      <c r="X496">
        <v>3.4000000000000002E-3</v>
      </c>
      <c r="Y496">
        <v>8.3000000000000001E-3</v>
      </c>
      <c r="Z496">
        <v>1.29E-2</v>
      </c>
      <c r="AA496">
        <v>1.6399999999999998E-2</v>
      </c>
      <c r="AB496">
        <v>2.2700000000000001E-2</v>
      </c>
      <c r="AC496">
        <v>2.3700000000000002E-2</v>
      </c>
      <c r="AE496">
        <f t="shared" si="89"/>
        <v>0</v>
      </c>
      <c r="AF496">
        <f t="shared" si="90"/>
        <v>0</v>
      </c>
      <c r="AG496">
        <f t="shared" si="91"/>
        <v>0</v>
      </c>
      <c r="AH496">
        <f t="shared" si="92"/>
        <v>-1.0000000000000005E-4</v>
      </c>
      <c r="AI496">
        <f t="shared" si="93"/>
        <v>0</v>
      </c>
      <c r="AJ496">
        <f t="shared" si="94"/>
        <v>0</v>
      </c>
      <c r="AK496">
        <f t="shared" si="95"/>
        <v>0</v>
      </c>
      <c r="AL496">
        <f t="shared" si="96"/>
        <v>-9.9999999999999395E-5</v>
      </c>
      <c r="AM496">
        <f t="shared" si="97"/>
        <v>-1.0000000000000113E-4</v>
      </c>
      <c r="AN496">
        <f t="shared" si="98"/>
        <v>0</v>
      </c>
      <c r="AO496">
        <f t="shared" si="99"/>
        <v>0</v>
      </c>
      <c r="AP496">
        <f t="shared" si="100"/>
        <v>1.0000000000000286E-4</v>
      </c>
    </row>
    <row r="497" spans="17:42" x14ac:dyDescent="0.25">
      <c r="Q497" s="1">
        <v>44333</v>
      </c>
      <c r="R497">
        <v>0</v>
      </c>
      <c r="S497">
        <v>1E-4</v>
      </c>
      <c r="T497">
        <v>2.0000000000000001E-4</v>
      </c>
      <c r="U497">
        <v>4.0000000000000002E-4</v>
      </c>
      <c r="V497">
        <v>5.9999999999999995E-4</v>
      </c>
      <c r="W497">
        <v>1.6000000000000001E-3</v>
      </c>
      <c r="X497">
        <v>3.4000000000000002E-3</v>
      </c>
      <c r="Y497">
        <v>8.3999999999999995E-3</v>
      </c>
      <c r="Z497">
        <v>1.3000000000000001E-2</v>
      </c>
      <c r="AA497">
        <v>1.6399999999999998E-2</v>
      </c>
      <c r="AB497">
        <v>2.2700000000000001E-2</v>
      </c>
      <c r="AC497">
        <v>2.3599999999999999E-2</v>
      </c>
      <c r="AE497">
        <f t="shared" si="89"/>
        <v>-1E-4</v>
      </c>
      <c r="AF497">
        <f t="shared" si="90"/>
        <v>0</v>
      </c>
      <c r="AG497">
        <f t="shared" si="91"/>
        <v>1E-4</v>
      </c>
      <c r="AH497">
        <f t="shared" si="92"/>
        <v>1.0000000000000005E-4</v>
      </c>
      <c r="AI497">
        <f t="shared" si="93"/>
        <v>0</v>
      </c>
      <c r="AJ497">
        <f t="shared" si="94"/>
        <v>0</v>
      </c>
      <c r="AK497">
        <f t="shared" si="95"/>
        <v>1.0000000000000026E-4</v>
      </c>
      <c r="AL497">
        <f t="shared" si="96"/>
        <v>2.0000000000000052E-4</v>
      </c>
      <c r="AM497">
        <f t="shared" si="97"/>
        <v>1.0000000000000113E-4</v>
      </c>
      <c r="AN497">
        <f t="shared" si="98"/>
        <v>9.9999999999999395E-5</v>
      </c>
      <c r="AO497">
        <f t="shared" si="99"/>
        <v>2.0000000000000226E-4</v>
      </c>
      <c r="AP497">
        <f t="shared" si="100"/>
        <v>9.9999999999999395E-5</v>
      </c>
    </row>
    <row r="498" spans="17:42" x14ac:dyDescent="0.25">
      <c r="Q498" s="1">
        <v>44330</v>
      </c>
      <c r="R498">
        <v>1E-4</v>
      </c>
      <c r="S498">
        <v>1E-4</v>
      </c>
      <c r="T498">
        <v>1E-4</v>
      </c>
      <c r="U498">
        <v>2.9999999999999997E-4</v>
      </c>
      <c r="V498">
        <v>5.9999999999999995E-4</v>
      </c>
      <c r="W498">
        <v>1.6000000000000001E-3</v>
      </c>
      <c r="X498">
        <v>3.3E-3</v>
      </c>
      <c r="Y498">
        <v>8.199999999999999E-3</v>
      </c>
      <c r="Z498">
        <v>1.29E-2</v>
      </c>
      <c r="AA498">
        <v>1.6299999999999999E-2</v>
      </c>
      <c r="AB498">
        <v>2.2499999999999999E-2</v>
      </c>
      <c r="AC498">
        <v>2.35E-2</v>
      </c>
      <c r="AE498">
        <f t="shared" si="89"/>
        <v>1E-4</v>
      </c>
      <c r="AF498">
        <f t="shared" si="90"/>
        <v>0</v>
      </c>
      <c r="AG498">
        <f t="shared" si="91"/>
        <v>-1E-4</v>
      </c>
      <c r="AH498">
        <f t="shared" si="92"/>
        <v>0</v>
      </c>
      <c r="AI498">
        <f t="shared" si="93"/>
        <v>9.9999999999999937E-5</v>
      </c>
      <c r="AJ498">
        <f t="shared" si="94"/>
        <v>0</v>
      </c>
      <c r="AK498">
        <f t="shared" si="95"/>
        <v>0</v>
      </c>
      <c r="AL498">
        <f t="shared" si="96"/>
        <v>-2.0000000000000052E-4</v>
      </c>
      <c r="AM498">
        <f t="shared" si="97"/>
        <v>-2.0000000000000052E-4</v>
      </c>
      <c r="AN498">
        <f t="shared" si="98"/>
        <v>-3.0000000000000165E-4</v>
      </c>
      <c r="AO498">
        <f t="shared" si="99"/>
        <v>-2.9999999999999818E-4</v>
      </c>
      <c r="AP498">
        <f t="shared" si="100"/>
        <v>-4.0000000000000105E-4</v>
      </c>
    </row>
    <row r="499" spans="17:42" x14ac:dyDescent="0.25">
      <c r="Q499" s="1">
        <v>44329</v>
      </c>
      <c r="R499">
        <v>0</v>
      </c>
      <c r="S499">
        <v>1E-4</v>
      </c>
      <c r="T499">
        <v>2.0000000000000001E-4</v>
      </c>
      <c r="U499">
        <v>2.9999999999999997E-4</v>
      </c>
      <c r="V499">
        <v>5.0000000000000001E-4</v>
      </c>
      <c r="W499">
        <v>1.6000000000000001E-3</v>
      </c>
      <c r="X499">
        <v>3.3E-3</v>
      </c>
      <c r="Y499">
        <v>8.3999999999999995E-3</v>
      </c>
      <c r="Z499">
        <v>1.3100000000000001E-2</v>
      </c>
      <c r="AA499">
        <v>1.66E-2</v>
      </c>
      <c r="AB499">
        <v>2.2799999999999997E-2</v>
      </c>
      <c r="AC499">
        <v>2.3900000000000001E-2</v>
      </c>
      <c r="AE499">
        <f t="shared" si="89"/>
        <v>-1E-4</v>
      </c>
      <c r="AF499">
        <f t="shared" si="90"/>
        <v>-1E-4</v>
      </c>
      <c r="AG499">
        <f t="shared" si="91"/>
        <v>0</v>
      </c>
      <c r="AH499">
        <f t="shared" si="92"/>
        <v>-1.0000000000000005E-4</v>
      </c>
      <c r="AI499">
        <f t="shared" si="93"/>
        <v>0</v>
      </c>
      <c r="AJ499">
        <f t="shared" si="94"/>
        <v>0</v>
      </c>
      <c r="AK499">
        <f t="shared" si="95"/>
        <v>-1.9999999999999966E-4</v>
      </c>
      <c r="AL499">
        <f t="shared" si="96"/>
        <v>-2.9999999999999992E-4</v>
      </c>
      <c r="AM499">
        <f t="shared" si="97"/>
        <v>-2.9999999999999992E-4</v>
      </c>
      <c r="AN499">
        <f t="shared" si="98"/>
        <v>-2.9999999999999818E-4</v>
      </c>
      <c r="AO499">
        <f t="shared" si="99"/>
        <v>-1.0000000000000286E-4</v>
      </c>
      <c r="AP499">
        <f t="shared" si="100"/>
        <v>-9.9999999999999395E-5</v>
      </c>
    </row>
    <row r="500" spans="17:42" x14ac:dyDescent="0.25">
      <c r="Q500" s="1">
        <v>44328</v>
      </c>
      <c r="R500">
        <v>1E-4</v>
      </c>
      <c r="S500">
        <v>2.0000000000000001E-4</v>
      </c>
      <c r="T500">
        <v>2.0000000000000001E-4</v>
      </c>
      <c r="U500">
        <v>4.0000000000000002E-4</v>
      </c>
      <c r="V500">
        <v>5.0000000000000001E-4</v>
      </c>
      <c r="W500">
        <v>1.6000000000000001E-3</v>
      </c>
      <c r="X500">
        <v>3.4999999999999996E-3</v>
      </c>
      <c r="Y500">
        <v>8.6999999999999994E-3</v>
      </c>
      <c r="Z500">
        <v>1.34E-2</v>
      </c>
      <c r="AA500">
        <v>1.6899999999999998E-2</v>
      </c>
      <c r="AB500">
        <v>2.29E-2</v>
      </c>
      <c r="AC500">
        <v>2.4E-2</v>
      </c>
      <c r="AE500">
        <f t="shared" si="89"/>
        <v>0</v>
      </c>
      <c r="AF500">
        <f t="shared" si="90"/>
        <v>1E-4</v>
      </c>
      <c r="AG500">
        <f t="shared" si="91"/>
        <v>1E-4</v>
      </c>
      <c r="AH500">
        <f t="shared" si="92"/>
        <v>0</v>
      </c>
      <c r="AI500">
        <f t="shared" si="93"/>
        <v>0</v>
      </c>
      <c r="AJ500">
        <f t="shared" si="94"/>
        <v>0</v>
      </c>
      <c r="AK500">
        <f t="shared" si="95"/>
        <v>3.9999999999999975E-4</v>
      </c>
      <c r="AL500">
        <f t="shared" si="96"/>
        <v>6.9999999999999923E-4</v>
      </c>
      <c r="AM500">
        <f t="shared" si="97"/>
        <v>5.9999999999999984E-4</v>
      </c>
      <c r="AN500">
        <f t="shared" si="98"/>
        <v>5.0000000000000044E-4</v>
      </c>
      <c r="AO500">
        <f t="shared" si="99"/>
        <v>5.9999999999999984E-4</v>
      </c>
      <c r="AP500">
        <f t="shared" si="100"/>
        <v>5.0000000000000044E-4</v>
      </c>
    </row>
    <row r="501" spans="17:42" x14ac:dyDescent="0.25">
      <c r="Q501" s="1">
        <v>44327</v>
      </c>
      <c r="R501">
        <v>1E-4</v>
      </c>
      <c r="S501">
        <v>1E-4</v>
      </c>
      <c r="T501">
        <v>1E-4</v>
      </c>
      <c r="U501">
        <v>4.0000000000000002E-4</v>
      </c>
      <c r="V501">
        <v>5.0000000000000001E-4</v>
      </c>
      <c r="W501">
        <v>1.6000000000000001E-3</v>
      </c>
      <c r="X501">
        <v>3.0999999999999999E-3</v>
      </c>
      <c r="Y501">
        <v>8.0000000000000002E-3</v>
      </c>
      <c r="Z501">
        <v>1.2800000000000001E-2</v>
      </c>
      <c r="AA501">
        <v>1.6399999999999998E-2</v>
      </c>
      <c r="AB501">
        <v>2.23E-2</v>
      </c>
      <c r="AC501">
        <v>2.35E-2</v>
      </c>
      <c r="AE501">
        <f t="shared" si="89"/>
        <v>-1E-4</v>
      </c>
      <c r="AF501">
        <f t="shared" si="90"/>
        <v>0</v>
      </c>
      <c r="AG501">
        <f t="shared" si="91"/>
        <v>-1E-4</v>
      </c>
      <c r="AH501">
        <f t="shared" si="92"/>
        <v>0</v>
      </c>
      <c r="AI501">
        <f t="shared" si="93"/>
        <v>0</v>
      </c>
      <c r="AJ501">
        <f t="shared" si="94"/>
        <v>0</v>
      </c>
      <c r="AK501">
        <f t="shared" si="95"/>
        <v>-1.0000000000000026E-4</v>
      </c>
      <c r="AL501">
        <f t="shared" si="96"/>
        <v>0</v>
      </c>
      <c r="AM501">
        <f t="shared" si="97"/>
        <v>1.0000000000000113E-4</v>
      </c>
      <c r="AN501">
        <f t="shared" si="98"/>
        <v>9.9999999999999395E-5</v>
      </c>
      <c r="AO501">
        <f t="shared" si="99"/>
        <v>2.9999999999999818E-4</v>
      </c>
      <c r="AP501">
        <f t="shared" si="100"/>
        <v>3.0000000000000165E-4</v>
      </c>
    </row>
    <row r="502" spans="17:42" x14ac:dyDescent="0.25">
      <c r="Q502" s="1">
        <v>44326</v>
      </c>
      <c r="R502">
        <v>2.0000000000000001E-4</v>
      </c>
      <c r="S502">
        <v>1E-4</v>
      </c>
      <c r="T502">
        <v>2.0000000000000001E-4</v>
      </c>
      <c r="U502">
        <v>4.0000000000000002E-4</v>
      </c>
      <c r="V502">
        <v>5.0000000000000001E-4</v>
      </c>
      <c r="W502">
        <v>1.6000000000000001E-3</v>
      </c>
      <c r="X502">
        <v>3.2000000000000002E-3</v>
      </c>
      <c r="Y502">
        <v>8.0000000000000002E-3</v>
      </c>
      <c r="Z502">
        <v>1.2699999999999999E-2</v>
      </c>
      <c r="AA502">
        <v>1.6299999999999999E-2</v>
      </c>
      <c r="AB502">
        <v>2.2000000000000002E-2</v>
      </c>
      <c r="AC502">
        <v>2.3199999999999998E-2</v>
      </c>
      <c r="AE502">
        <f t="shared" si="89"/>
        <v>1E-4</v>
      </c>
      <c r="AF502">
        <f t="shared" si="90"/>
        <v>0</v>
      </c>
      <c r="AG502">
        <f t="shared" si="91"/>
        <v>0</v>
      </c>
      <c r="AH502">
        <f t="shared" si="92"/>
        <v>0</v>
      </c>
      <c r="AI502">
        <f t="shared" si="93"/>
        <v>0</v>
      </c>
      <c r="AJ502">
        <f t="shared" si="94"/>
        <v>1.9999999999999987E-4</v>
      </c>
      <c r="AK502">
        <f t="shared" si="95"/>
        <v>3.0000000000000035E-4</v>
      </c>
      <c r="AL502">
        <f t="shared" si="96"/>
        <v>2.9999999999999992E-4</v>
      </c>
      <c r="AM502">
        <f t="shared" si="97"/>
        <v>2.9999999999999992E-4</v>
      </c>
      <c r="AN502">
        <f t="shared" si="98"/>
        <v>2.9999999999999818E-4</v>
      </c>
      <c r="AO502">
        <f t="shared" si="99"/>
        <v>3.0000000000000165E-4</v>
      </c>
      <c r="AP502">
        <f t="shared" si="100"/>
        <v>4.0000000000000105E-4</v>
      </c>
    </row>
    <row r="503" spans="17:42" x14ac:dyDescent="0.25">
      <c r="Q503" s="1">
        <v>44323</v>
      </c>
      <c r="R503">
        <v>1E-4</v>
      </c>
      <c r="S503">
        <v>1E-4</v>
      </c>
      <c r="T503">
        <v>2.0000000000000001E-4</v>
      </c>
      <c r="U503">
        <v>4.0000000000000002E-4</v>
      </c>
      <c r="V503">
        <v>5.0000000000000001E-4</v>
      </c>
      <c r="W503">
        <v>1.4000000000000002E-3</v>
      </c>
      <c r="X503">
        <v>2.8999999999999998E-3</v>
      </c>
      <c r="Y503">
        <v>7.7000000000000002E-3</v>
      </c>
      <c r="Z503">
        <v>1.24E-2</v>
      </c>
      <c r="AA503">
        <v>1.6E-2</v>
      </c>
      <c r="AB503">
        <v>2.1700000000000001E-2</v>
      </c>
      <c r="AC503">
        <v>2.2799999999999997E-2</v>
      </c>
      <c r="AE503">
        <f t="shared" si="89"/>
        <v>0</v>
      </c>
      <c r="AF503">
        <f t="shared" si="90"/>
        <v>-1E-4</v>
      </c>
      <c r="AG503">
        <f t="shared" si="91"/>
        <v>0</v>
      </c>
      <c r="AH503">
        <f t="shared" si="92"/>
        <v>0</v>
      </c>
      <c r="AI503">
        <f t="shared" si="93"/>
        <v>0</v>
      </c>
      <c r="AJ503">
        <f t="shared" si="94"/>
        <v>-1.9999999999999987E-4</v>
      </c>
      <c r="AK503">
        <f t="shared" si="95"/>
        <v>-3.0000000000000035E-4</v>
      </c>
      <c r="AL503">
        <f t="shared" si="96"/>
        <v>-4.0000000000000105E-4</v>
      </c>
      <c r="AM503">
        <f t="shared" si="97"/>
        <v>-1.0000000000000113E-4</v>
      </c>
      <c r="AN503">
        <f t="shared" si="98"/>
        <v>1.9999999999999879E-4</v>
      </c>
      <c r="AO503">
        <f t="shared" si="99"/>
        <v>2.9999999999999818E-4</v>
      </c>
      <c r="AP503">
        <f t="shared" si="100"/>
        <v>3.9999999999999411E-4</v>
      </c>
    </row>
    <row r="504" spans="17:42" x14ac:dyDescent="0.25">
      <c r="Q504" s="1">
        <v>44322</v>
      </c>
      <c r="R504">
        <v>1E-4</v>
      </c>
      <c r="S504">
        <v>2.0000000000000001E-4</v>
      </c>
      <c r="T504">
        <v>2.0000000000000001E-4</v>
      </c>
      <c r="U504">
        <v>4.0000000000000002E-4</v>
      </c>
      <c r="V504">
        <v>5.0000000000000001E-4</v>
      </c>
      <c r="W504">
        <v>1.6000000000000001E-3</v>
      </c>
      <c r="X504">
        <v>3.2000000000000002E-3</v>
      </c>
      <c r="Y504">
        <v>8.1000000000000013E-3</v>
      </c>
      <c r="Z504">
        <v>1.2500000000000001E-2</v>
      </c>
      <c r="AA504">
        <v>1.5800000000000002E-2</v>
      </c>
      <c r="AB504">
        <v>2.1400000000000002E-2</v>
      </c>
      <c r="AC504">
        <v>2.2400000000000003E-2</v>
      </c>
      <c r="AE504">
        <f t="shared" si="89"/>
        <v>0</v>
      </c>
      <c r="AF504">
        <f t="shared" si="90"/>
        <v>1E-4</v>
      </c>
      <c r="AG504">
        <f t="shared" si="91"/>
        <v>0</v>
      </c>
      <c r="AH504">
        <f t="shared" si="92"/>
        <v>0</v>
      </c>
      <c r="AI504">
        <f t="shared" si="93"/>
        <v>-9.9999999999999937E-5</v>
      </c>
      <c r="AJ504">
        <f t="shared" si="94"/>
        <v>0</v>
      </c>
      <c r="AK504">
        <f t="shared" si="95"/>
        <v>0</v>
      </c>
      <c r="AL504">
        <f t="shared" si="96"/>
        <v>1.0000000000000113E-4</v>
      </c>
      <c r="AM504">
        <f t="shared" si="97"/>
        <v>0</v>
      </c>
      <c r="AN504">
        <f t="shared" si="98"/>
        <v>-9.9999999999999395E-5</v>
      </c>
      <c r="AO504">
        <f t="shared" si="99"/>
        <v>0</v>
      </c>
      <c r="AP504">
        <f t="shared" si="100"/>
        <v>-9.9999999999995925E-5</v>
      </c>
    </row>
    <row r="505" spans="17:42" x14ac:dyDescent="0.25">
      <c r="Q505" s="1">
        <v>44321</v>
      </c>
      <c r="R505">
        <v>1E-4</v>
      </c>
      <c r="S505">
        <v>1E-4</v>
      </c>
      <c r="T505">
        <v>2.0000000000000001E-4</v>
      </c>
      <c r="U505">
        <v>4.0000000000000002E-4</v>
      </c>
      <c r="V505">
        <v>5.9999999999999995E-4</v>
      </c>
      <c r="W505">
        <v>1.6000000000000001E-3</v>
      </c>
      <c r="X505">
        <v>3.2000000000000002E-3</v>
      </c>
      <c r="Y505">
        <v>8.0000000000000002E-3</v>
      </c>
      <c r="Z505">
        <v>1.2500000000000001E-2</v>
      </c>
      <c r="AA505">
        <v>1.5900000000000001E-2</v>
      </c>
      <c r="AB505">
        <v>2.1400000000000002E-2</v>
      </c>
      <c r="AC505">
        <v>2.2499999999999999E-2</v>
      </c>
      <c r="AE505">
        <f t="shared" si="89"/>
        <v>0</v>
      </c>
      <c r="AF505">
        <f t="shared" si="90"/>
        <v>0</v>
      </c>
      <c r="AG505">
        <f t="shared" si="91"/>
        <v>0</v>
      </c>
      <c r="AH505">
        <f t="shared" si="92"/>
        <v>0</v>
      </c>
      <c r="AI505">
        <f t="shared" si="93"/>
        <v>0</v>
      </c>
      <c r="AJ505">
        <f t="shared" si="94"/>
        <v>0</v>
      </c>
      <c r="AK505">
        <f t="shared" si="95"/>
        <v>-9.9999999999999829E-5</v>
      </c>
      <c r="AL505">
        <f t="shared" si="96"/>
        <v>-1.9999999999999879E-4</v>
      </c>
      <c r="AM505">
        <f t="shared" si="97"/>
        <v>-2.9999999999999992E-4</v>
      </c>
      <c r="AN505">
        <f t="shared" si="98"/>
        <v>-1.9999999999999879E-4</v>
      </c>
      <c r="AO505">
        <f t="shared" si="99"/>
        <v>-1.9999999999999879E-4</v>
      </c>
      <c r="AP505">
        <f t="shared" si="100"/>
        <v>-2.0000000000000226E-4</v>
      </c>
    </row>
    <row r="506" spans="17:42" x14ac:dyDescent="0.25">
      <c r="Q506" s="1">
        <v>44320</v>
      </c>
      <c r="R506">
        <v>1E-4</v>
      </c>
      <c r="S506">
        <v>1E-4</v>
      </c>
      <c r="T506">
        <v>2.0000000000000001E-4</v>
      </c>
      <c r="U506">
        <v>4.0000000000000002E-4</v>
      </c>
      <c r="V506">
        <v>5.9999999999999995E-4</v>
      </c>
      <c r="W506">
        <v>1.6000000000000001E-3</v>
      </c>
      <c r="X506">
        <v>3.3E-3</v>
      </c>
      <c r="Y506">
        <v>8.199999999999999E-3</v>
      </c>
      <c r="Z506">
        <v>1.2800000000000001E-2</v>
      </c>
      <c r="AA506">
        <v>1.61E-2</v>
      </c>
      <c r="AB506">
        <v>2.1600000000000001E-2</v>
      </c>
      <c r="AC506">
        <v>2.2700000000000001E-2</v>
      </c>
      <c r="AE506">
        <f t="shared" si="89"/>
        <v>-1E-4</v>
      </c>
      <c r="AF506">
        <f t="shared" si="90"/>
        <v>-1E-4</v>
      </c>
      <c r="AG506">
        <f t="shared" si="91"/>
        <v>-2.0000000000000001E-4</v>
      </c>
      <c r="AH506">
        <f t="shared" si="92"/>
        <v>0</v>
      </c>
      <c r="AI506">
        <f t="shared" si="93"/>
        <v>0</v>
      </c>
      <c r="AJ506">
        <f t="shared" si="94"/>
        <v>0</v>
      </c>
      <c r="AK506">
        <f t="shared" si="95"/>
        <v>0</v>
      </c>
      <c r="AL506">
        <f t="shared" si="96"/>
        <v>-2.0000000000000052E-4</v>
      </c>
      <c r="AM506">
        <f t="shared" si="97"/>
        <v>-9.9999999999999395E-5</v>
      </c>
      <c r="AN506">
        <f t="shared" si="98"/>
        <v>-1.9999999999999879E-4</v>
      </c>
      <c r="AO506">
        <f t="shared" si="99"/>
        <v>-1.9999999999999879E-4</v>
      </c>
      <c r="AP506">
        <f t="shared" si="100"/>
        <v>-2.9999999999999818E-4</v>
      </c>
    </row>
    <row r="507" spans="17:42" x14ac:dyDescent="0.25">
      <c r="Q507" s="1">
        <v>44319</v>
      </c>
      <c r="R507">
        <v>2.0000000000000001E-4</v>
      </c>
      <c r="S507">
        <v>2.0000000000000001E-4</v>
      </c>
      <c r="T507">
        <v>4.0000000000000002E-4</v>
      </c>
      <c r="U507">
        <v>4.0000000000000002E-4</v>
      </c>
      <c r="V507">
        <v>5.9999999999999995E-4</v>
      </c>
      <c r="W507">
        <v>1.6000000000000001E-3</v>
      </c>
      <c r="X507">
        <v>3.3E-3</v>
      </c>
      <c r="Y507">
        <v>8.3999999999999995E-3</v>
      </c>
      <c r="Z507">
        <v>1.29E-2</v>
      </c>
      <c r="AA507">
        <v>1.6299999999999999E-2</v>
      </c>
      <c r="AB507">
        <v>2.18E-2</v>
      </c>
      <c r="AC507">
        <v>2.3E-2</v>
      </c>
      <c r="AE507">
        <f t="shared" si="89"/>
        <v>1E-4</v>
      </c>
      <c r="AF507">
        <f t="shared" si="90"/>
        <v>0</v>
      </c>
      <c r="AG507">
        <f t="shared" si="91"/>
        <v>3.0000000000000003E-4</v>
      </c>
      <c r="AH507">
        <f t="shared" si="92"/>
        <v>1.0000000000000005E-4</v>
      </c>
      <c r="AI507">
        <f t="shared" si="93"/>
        <v>9.9999999999999937E-5</v>
      </c>
      <c r="AJ507">
        <f t="shared" si="94"/>
        <v>0</v>
      </c>
      <c r="AK507">
        <f t="shared" si="95"/>
        <v>-1.9999999999999966E-4</v>
      </c>
      <c r="AL507">
        <f t="shared" si="96"/>
        <v>-2.0000000000000052E-4</v>
      </c>
      <c r="AM507">
        <f t="shared" si="97"/>
        <v>-2.9999999999999992E-4</v>
      </c>
      <c r="AN507">
        <f t="shared" si="98"/>
        <v>-2.0000000000000226E-4</v>
      </c>
      <c r="AO507">
        <f t="shared" si="99"/>
        <v>-9.9999999999999395E-5</v>
      </c>
      <c r="AP507">
        <f t="shared" si="100"/>
        <v>0</v>
      </c>
    </row>
    <row r="508" spans="17:42" x14ac:dyDescent="0.25">
      <c r="Q508" s="1">
        <v>44316</v>
      </c>
      <c r="R508">
        <v>1E-4</v>
      </c>
      <c r="S508">
        <v>2.0000000000000001E-4</v>
      </c>
      <c r="T508">
        <v>1E-4</v>
      </c>
      <c r="U508">
        <v>2.9999999999999997E-4</v>
      </c>
      <c r="V508">
        <v>5.0000000000000001E-4</v>
      </c>
      <c r="W508">
        <v>1.6000000000000001E-3</v>
      </c>
      <c r="X508">
        <v>3.4999999999999996E-3</v>
      </c>
      <c r="Y508">
        <v>8.6E-3</v>
      </c>
      <c r="Z508">
        <v>1.32E-2</v>
      </c>
      <c r="AA508">
        <v>1.6500000000000001E-2</v>
      </c>
      <c r="AB508">
        <v>2.1899999999999999E-2</v>
      </c>
      <c r="AC508">
        <v>2.3E-2</v>
      </c>
      <c r="AE508">
        <f t="shared" si="89"/>
        <v>0</v>
      </c>
      <c r="AF508">
        <f t="shared" si="90"/>
        <v>1E-4</v>
      </c>
      <c r="AG508">
        <f t="shared" si="91"/>
        <v>0</v>
      </c>
      <c r="AH508">
        <f t="shared" si="92"/>
        <v>-1.0000000000000005E-4</v>
      </c>
      <c r="AI508">
        <f t="shared" si="93"/>
        <v>0</v>
      </c>
      <c r="AJ508">
        <f t="shared" si="94"/>
        <v>0</v>
      </c>
      <c r="AK508">
        <f t="shared" si="95"/>
        <v>0</v>
      </c>
      <c r="AL508">
        <f t="shared" si="96"/>
        <v>0</v>
      </c>
      <c r="AM508">
        <f t="shared" si="97"/>
        <v>0</v>
      </c>
      <c r="AN508">
        <f t="shared" si="98"/>
        <v>0</v>
      </c>
      <c r="AO508">
        <f t="shared" si="99"/>
        <v>-1.0000000000000286E-4</v>
      </c>
      <c r="AP508">
        <f t="shared" si="100"/>
        <v>-9.9999999999999395E-5</v>
      </c>
    </row>
    <row r="509" spans="17:42" x14ac:dyDescent="0.25">
      <c r="Q509" s="1">
        <v>44315</v>
      </c>
      <c r="R509">
        <v>1E-4</v>
      </c>
      <c r="S509">
        <v>1E-4</v>
      </c>
      <c r="T509">
        <v>1E-4</v>
      </c>
      <c r="U509">
        <v>4.0000000000000002E-4</v>
      </c>
      <c r="V509">
        <v>5.0000000000000001E-4</v>
      </c>
      <c r="W509">
        <v>1.6000000000000001E-3</v>
      </c>
      <c r="X509">
        <v>3.4999999999999996E-3</v>
      </c>
      <c r="Y509">
        <v>8.6E-3</v>
      </c>
      <c r="Z509">
        <v>1.32E-2</v>
      </c>
      <c r="AA509">
        <v>1.6500000000000001E-2</v>
      </c>
      <c r="AB509">
        <v>2.2000000000000002E-2</v>
      </c>
      <c r="AC509">
        <v>2.3099999999999999E-2</v>
      </c>
      <c r="AE509">
        <f t="shared" si="89"/>
        <v>0</v>
      </c>
      <c r="AF509">
        <f t="shared" si="90"/>
        <v>0</v>
      </c>
      <c r="AG509">
        <f t="shared" si="91"/>
        <v>0</v>
      </c>
      <c r="AH509">
        <f t="shared" si="92"/>
        <v>0</v>
      </c>
      <c r="AI509">
        <f t="shared" si="93"/>
        <v>0</v>
      </c>
      <c r="AJ509">
        <f t="shared" si="94"/>
        <v>-1.0000000000000005E-4</v>
      </c>
      <c r="AK509">
        <f t="shared" si="95"/>
        <v>0</v>
      </c>
      <c r="AL509">
        <f t="shared" si="96"/>
        <v>0</v>
      </c>
      <c r="AM509">
        <f t="shared" si="97"/>
        <v>9.9999999999999395E-5</v>
      </c>
      <c r="AN509">
        <f t="shared" si="98"/>
        <v>2.0000000000000226E-4</v>
      </c>
      <c r="AO509">
        <f t="shared" si="99"/>
        <v>1.0000000000000286E-4</v>
      </c>
      <c r="AP509">
        <f t="shared" si="100"/>
        <v>1.9999999999999879E-4</v>
      </c>
    </row>
    <row r="510" spans="17:42" x14ac:dyDescent="0.25">
      <c r="Q510" s="1">
        <v>44314</v>
      </c>
      <c r="R510">
        <v>1E-4</v>
      </c>
      <c r="S510">
        <v>1E-4</v>
      </c>
      <c r="T510">
        <v>1E-4</v>
      </c>
      <c r="U510">
        <v>4.0000000000000002E-4</v>
      </c>
      <c r="V510">
        <v>5.0000000000000001E-4</v>
      </c>
      <c r="W510">
        <v>1.7000000000000001E-3</v>
      </c>
      <c r="X510">
        <v>3.4999999999999996E-3</v>
      </c>
      <c r="Y510">
        <v>8.6E-3</v>
      </c>
      <c r="Z510">
        <v>1.3100000000000001E-2</v>
      </c>
      <c r="AA510">
        <v>1.6299999999999999E-2</v>
      </c>
      <c r="AB510">
        <v>2.1899999999999999E-2</v>
      </c>
      <c r="AC510">
        <v>2.29E-2</v>
      </c>
      <c r="AE510">
        <f t="shared" si="89"/>
        <v>0</v>
      </c>
      <c r="AF510">
        <f t="shared" si="90"/>
        <v>-1E-4</v>
      </c>
      <c r="AG510">
        <f t="shared" si="91"/>
        <v>0</v>
      </c>
      <c r="AH510">
        <f t="shared" si="92"/>
        <v>0</v>
      </c>
      <c r="AI510">
        <f t="shared" si="93"/>
        <v>-9.9999999999999937E-5</v>
      </c>
      <c r="AJ510">
        <f t="shared" si="94"/>
        <v>0</v>
      </c>
      <c r="AK510">
        <f t="shared" si="95"/>
        <v>-1.0000000000000026E-4</v>
      </c>
      <c r="AL510">
        <f t="shared" si="96"/>
        <v>-2.0000000000000052E-4</v>
      </c>
      <c r="AM510">
        <f t="shared" si="97"/>
        <v>-9.9999999999999395E-5</v>
      </c>
      <c r="AN510">
        <f t="shared" si="98"/>
        <v>0</v>
      </c>
      <c r="AO510">
        <f t="shared" si="99"/>
        <v>9.9999999999999395E-5</v>
      </c>
      <c r="AP510">
        <f t="shared" si="100"/>
        <v>0</v>
      </c>
    </row>
    <row r="511" spans="17:42" x14ac:dyDescent="0.25">
      <c r="Q511" s="1">
        <v>44313</v>
      </c>
      <c r="R511">
        <v>1E-4</v>
      </c>
      <c r="S511">
        <v>2.0000000000000001E-4</v>
      </c>
      <c r="T511">
        <v>1E-4</v>
      </c>
      <c r="U511">
        <v>4.0000000000000002E-4</v>
      </c>
      <c r="V511">
        <v>5.9999999999999995E-4</v>
      </c>
      <c r="W511">
        <v>1.7000000000000001E-3</v>
      </c>
      <c r="X511">
        <v>3.5999999999999999E-3</v>
      </c>
      <c r="Y511">
        <v>8.8000000000000005E-3</v>
      </c>
      <c r="Z511">
        <v>1.32E-2</v>
      </c>
      <c r="AA511">
        <v>1.6299999999999999E-2</v>
      </c>
      <c r="AB511">
        <v>2.18E-2</v>
      </c>
      <c r="AC511">
        <v>2.29E-2</v>
      </c>
      <c r="AE511">
        <f t="shared" si="89"/>
        <v>-1E-4</v>
      </c>
      <c r="AF511">
        <f t="shared" si="90"/>
        <v>0</v>
      </c>
      <c r="AG511">
        <f t="shared" si="91"/>
        <v>-1.9999999999999998E-4</v>
      </c>
      <c r="AH511">
        <f t="shared" si="92"/>
        <v>0</v>
      </c>
      <c r="AI511">
        <f t="shared" si="93"/>
        <v>0</v>
      </c>
      <c r="AJ511">
        <f t="shared" si="94"/>
        <v>-9.9999999999999829E-5</v>
      </c>
      <c r="AK511">
        <f t="shared" si="95"/>
        <v>1.0000000000000026E-4</v>
      </c>
      <c r="AL511">
        <f t="shared" si="96"/>
        <v>2.9999999999999992E-4</v>
      </c>
      <c r="AM511">
        <f t="shared" si="97"/>
        <v>5.0000000000000044E-4</v>
      </c>
      <c r="AN511">
        <f t="shared" si="98"/>
        <v>4.9999999999999697E-4</v>
      </c>
      <c r="AO511">
        <f t="shared" si="99"/>
        <v>5.0000000000000044E-4</v>
      </c>
      <c r="AP511">
        <f t="shared" si="100"/>
        <v>4.9999999999999697E-4</v>
      </c>
    </row>
    <row r="512" spans="17:42" x14ac:dyDescent="0.25">
      <c r="Q512" s="1">
        <v>44312</v>
      </c>
      <c r="R512">
        <v>2.0000000000000001E-4</v>
      </c>
      <c r="S512">
        <v>2.0000000000000001E-4</v>
      </c>
      <c r="T512">
        <v>2.9999999999999997E-4</v>
      </c>
      <c r="U512">
        <v>4.0000000000000002E-4</v>
      </c>
      <c r="V512">
        <v>5.9999999999999995E-4</v>
      </c>
      <c r="W512">
        <v>1.8E-3</v>
      </c>
      <c r="X512">
        <v>3.4999999999999996E-3</v>
      </c>
      <c r="Y512">
        <v>8.5000000000000006E-3</v>
      </c>
      <c r="Z512">
        <v>1.2699999999999999E-2</v>
      </c>
      <c r="AA512">
        <v>1.5800000000000002E-2</v>
      </c>
      <c r="AB512">
        <v>2.1299999999999999E-2</v>
      </c>
      <c r="AC512">
        <v>2.2400000000000003E-2</v>
      </c>
      <c r="AE512">
        <f t="shared" si="89"/>
        <v>1E-4</v>
      </c>
      <c r="AF512">
        <f t="shared" si="90"/>
        <v>0</v>
      </c>
      <c r="AG512">
        <f t="shared" si="91"/>
        <v>0</v>
      </c>
      <c r="AH512">
        <f t="shared" si="92"/>
        <v>1.0000000000000005E-4</v>
      </c>
      <c r="AI512">
        <f t="shared" si="93"/>
        <v>-1.0000000000000015E-4</v>
      </c>
      <c r="AJ512">
        <f t="shared" si="94"/>
        <v>1.9999999999999987E-4</v>
      </c>
      <c r="AK512">
        <f t="shared" si="95"/>
        <v>9.9999999999999395E-5</v>
      </c>
      <c r="AL512">
        <f t="shared" si="96"/>
        <v>2.0000000000000052E-4</v>
      </c>
      <c r="AM512">
        <f t="shared" si="97"/>
        <v>9.9999999999999395E-5</v>
      </c>
      <c r="AN512">
        <f t="shared" si="98"/>
        <v>0</v>
      </c>
      <c r="AO512">
        <f t="shared" si="99"/>
        <v>-1.0000000000000286E-4</v>
      </c>
      <c r="AP512">
        <f t="shared" si="100"/>
        <v>-9.9999999999995925E-5</v>
      </c>
    </row>
    <row r="513" spans="17:42" x14ac:dyDescent="0.25">
      <c r="Q513" s="1">
        <v>44309</v>
      </c>
      <c r="R513">
        <v>1E-4</v>
      </c>
      <c r="S513">
        <v>2.0000000000000001E-4</v>
      </c>
      <c r="T513">
        <v>2.9999999999999997E-4</v>
      </c>
      <c r="U513">
        <v>2.9999999999999997E-4</v>
      </c>
      <c r="V513">
        <v>7.000000000000001E-4</v>
      </c>
      <c r="W513">
        <v>1.6000000000000001E-3</v>
      </c>
      <c r="X513">
        <v>3.4000000000000002E-3</v>
      </c>
      <c r="Y513">
        <v>8.3000000000000001E-3</v>
      </c>
      <c r="Z513">
        <v>1.26E-2</v>
      </c>
      <c r="AA513">
        <v>1.5800000000000002E-2</v>
      </c>
      <c r="AB513">
        <v>2.1400000000000002E-2</v>
      </c>
      <c r="AC513">
        <v>2.2499999999999999E-2</v>
      </c>
      <c r="AE513">
        <f t="shared" si="89"/>
        <v>-1E-4</v>
      </c>
      <c r="AF513">
        <f t="shared" si="90"/>
        <v>0</v>
      </c>
      <c r="AG513">
        <f t="shared" si="91"/>
        <v>0</v>
      </c>
      <c r="AH513">
        <f t="shared" si="92"/>
        <v>-1.0000000000000005E-4</v>
      </c>
      <c r="AI513">
        <f t="shared" si="93"/>
        <v>1.0000000000000015E-4</v>
      </c>
      <c r="AJ513">
        <f t="shared" si="94"/>
        <v>0</v>
      </c>
      <c r="AK513">
        <f t="shared" si="95"/>
        <v>2.0000000000000009E-4</v>
      </c>
      <c r="AL513">
        <f t="shared" si="96"/>
        <v>1.9999999999999879E-4</v>
      </c>
      <c r="AM513">
        <f t="shared" si="97"/>
        <v>2.0000000000000052E-4</v>
      </c>
      <c r="AN513">
        <f t="shared" si="98"/>
        <v>9.9999999999999395E-5</v>
      </c>
      <c r="AO513">
        <f t="shared" si="99"/>
        <v>1.0000000000000286E-4</v>
      </c>
      <c r="AP513">
        <f t="shared" si="100"/>
        <v>9.9999999999995925E-5</v>
      </c>
    </row>
    <row r="514" spans="17:42" x14ac:dyDescent="0.25">
      <c r="Q514" s="1">
        <v>44308</v>
      </c>
      <c r="R514">
        <v>2.0000000000000001E-4</v>
      </c>
      <c r="S514">
        <v>2.0000000000000001E-4</v>
      </c>
      <c r="T514">
        <v>2.9999999999999997E-4</v>
      </c>
      <c r="U514">
        <v>4.0000000000000002E-4</v>
      </c>
      <c r="V514">
        <v>5.9999999999999995E-4</v>
      </c>
      <c r="W514">
        <v>1.6000000000000001E-3</v>
      </c>
      <c r="X514">
        <v>3.2000000000000002E-3</v>
      </c>
      <c r="Y514">
        <v>8.1000000000000013E-3</v>
      </c>
      <c r="Z514">
        <v>1.24E-2</v>
      </c>
      <c r="AA514">
        <v>1.5700000000000002E-2</v>
      </c>
      <c r="AB514">
        <v>2.1299999999999999E-2</v>
      </c>
      <c r="AC514">
        <v>2.2400000000000003E-2</v>
      </c>
      <c r="AE514">
        <f t="shared" si="89"/>
        <v>2.0000000000000001E-4</v>
      </c>
      <c r="AF514">
        <f t="shared" si="90"/>
        <v>0</v>
      </c>
      <c r="AG514">
        <f t="shared" si="91"/>
        <v>0</v>
      </c>
      <c r="AH514">
        <f t="shared" si="92"/>
        <v>0</v>
      </c>
      <c r="AI514">
        <f t="shared" si="93"/>
        <v>-1.0000000000000015E-4</v>
      </c>
      <c r="AJ514">
        <f t="shared" si="94"/>
        <v>1.0000000000000005E-4</v>
      </c>
      <c r="AK514">
        <f t="shared" si="95"/>
        <v>0</v>
      </c>
      <c r="AL514">
        <f t="shared" si="96"/>
        <v>0</v>
      </c>
      <c r="AM514">
        <f t="shared" si="97"/>
        <v>0</v>
      </c>
      <c r="AN514">
        <f t="shared" si="98"/>
        <v>0</v>
      </c>
      <c r="AO514">
        <f t="shared" si="99"/>
        <v>-3.0000000000000165E-4</v>
      </c>
      <c r="AP514">
        <f t="shared" si="100"/>
        <v>-1.9999999999999532E-4</v>
      </c>
    </row>
    <row r="515" spans="17:42" x14ac:dyDescent="0.25">
      <c r="Q515" s="1">
        <v>44307</v>
      </c>
      <c r="R515">
        <v>0</v>
      </c>
      <c r="S515">
        <v>2.0000000000000001E-4</v>
      </c>
      <c r="T515">
        <v>2.9999999999999997E-4</v>
      </c>
      <c r="U515">
        <v>4.0000000000000002E-4</v>
      </c>
      <c r="V515">
        <v>7.000000000000001E-4</v>
      </c>
      <c r="W515">
        <v>1.5E-3</v>
      </c>
      <c r="X515">
        <v>3.2000000000000002E-3</v>
      </c>
      <c r="Y515">
        <v>8.1000000000000013E-3</v>
      </c>
      <c r="Z515">
        <v>1.24E-2</v>
      </c>
      <c r="AA515">
        <v>1.5700000000000002E-2</v>
      </c>
      <c r="AB515">
        <v>2.1600000000000001E-2</v>
      </c>
      <c r="AC515">
        <v>2.2599999999999999E-2</v>
      </c>
      <c r="AE515">
        <f t="shared" si="89"/>
        <v>-1E-4</v>
      </c>
      <c r="AF515">
        <f t="shared" si="90"/>
        <v>0</v>
      </c>
      <c r="AG515">
        <f t="shared" si="91"/>
        <v>0</v>
      </c>
      <c r="AH515">
        <f t="shared" si="92"/>
        <v>0</v>
      </c>
      <c r="AI515">
        <f t="shared" si="93"/>
        <v>0</v>
      </c>
      <c r="AJ515">
        <f t="shared" si="94"/>
        <v>0</v>
      </c>
      <c r="AK515">
        <f t="shared" si="95"/>
        <v>1.0000000000000026E-4</v>
      </c>
      <c r="AL515">
        <f t="shared" si="96"/>
        <v>0</v>
      </c>
      <c r="AM515">
        <f t="shared" si="97"/>
        <v>-1.0000000000000113E-4</v>
      </c>
      <c r="AN515">
        <f t="shared" si="98"/>
        <v>-9.9999999999999395E-5</v>
      </c>
      <c r="AO515">
        <f t="shared" si="99"/>
        <v>0</v>
      </c>
      <c r="AP515">
        <f t="shared" si="100"/>
        <v>-1.0000000000000286E-4</v>
      </c>
    </row>
    <row r="516" spans="17:42" x14ac:dyDescent="0.25">
      <c r="Q516" s="1">
        <v>44306</v>
      </c>
      <c r="R516">
        <v>1E-4</v>
      </c>
      <c r="S516">
        <v>2.0000000000000001E-4</v>
      </c>
      <c r="T516">
        <v>2.9999999999999997E-4</v>
      </c>
      <c r="U516">
        <v>4.0000000000000002E-4</v>
      </c>
      <c r="V516">
        <v>7.000000000000001E-4</v>
      </c>
      <c r="W516">
        <v>1.5E-3</v>
      </c>
      <c r="X516">
        <v>3.0999999999999999E-3</v>
      </c>
      <c r="Y516">
        <v>8.1000000000000013E-3</v>
      </c>
      <c r="Z516">
        <v>1.2500000000000001E-2</v>
      </c>
      <c r="AA516">
        <v>1.5800000000000002E-2</v>
      </c>
      <c r="AB516">
        <v>2.1600000000000001E-2</v>
      </c>
      <c r="AC516">
        <v>2.2700000000000001E-2</v>
      </c>
      <c r="AE516">
        <f t="shared" si="89"/>
        <v>0</v>
      </c>
      <c r="AF516">
        <f t="shared" si="90"/>
        <v>0</v>
      </c>
      <c r="AG516">
        <f t="shared" si="91"/>
        <v>9.9999999999999964E-5</v>
      </c>
      <c r="AH516">
        <f t="shared" si="92"/>
        <v>0</v>
      </c>
      <c r="AI516">
        <f t="shared" si="93"/>
        <v>-9.9999999999999937E-5</v>
      </c>
      <c r="AJ516">
        <f t="shared" si="94"/>
        <v>-1.0000000000000005E-4</v>
      </c>
      <c r="AK516">
        <f t="shared" si="95"/>
        <v>-3.0000000000000035E-4</v>
      </c>
      <c r="AL516">
        <f t="shared" si="96"/>
        <v>-3.9999999999999931E-4</v>
      </c>
      <c r="AM516">
        <f t="shared" si="97"/>
        <v>-2.9999999999999992E-4</v>
      </c>
      <c r="AN516">
        <f t="shared" si="98"/>
        <v>-2.9999999999999818E-4</v>
      </c>
      <c r="AO516">
        <f t="shared" si="99"/>
        <v>-1.9999999999999879E-4</v>
      </c>
      <c r="AP516">
        <f t="shared" si="100"/>
        <v>-1.9999999999999879E-4</v>
      </c>
    </row>
    <row r="517" spans="17:42" x14ac:dyDescent="0.25">
      <c r="Q517" s="1">
        <v>44305</v>
      </c>
      <c r="R517">
        <v>1E-4</v>
      </c>
      <c r="S517">
        <v>2.0000000000000001E-4</v>
      </c>
      <c r="T517">
        <v>2.0000000000000001E-4</v>
      </c>
      <c r="U517">
        <v>4.0000000000000002E-4</v>
      </c>
      <c r="V517">
        <v>8.0000000000000004E-4</v>
      </c>
      <c r="W517">
        <v>1.6000000000000001E-3</v>
      </c>
      <c r="X517">
        <v>3.4000000000000002E-3</v>
      </c>
      <c r="Y517">
        <v>8.5000000000000006E-3</v>
      </c>
      <c r="Z517">
        <v>1.2800000000000001E-2</v>
      </c>
      <c r="AA517">
        <v>1.61E-2</v>
      </c>
      <c r="AB517">
        <v>2.18E-2</v>
      </c>
      <c r="AC517">
        <v>2.29E-2</v>
      </c>
      <c r="AE517">
        <f t="shared" ref="AE517:AE580" si="101">R517-R518</f>
        <v>-1E-4</v>
      </c>
      <c r="AF517">
        <f t="shared" ref="AF517:AF580" si="102">S517-S518</f>
        <v>0</v>
      </c>
      <c r="AG517">
        <f t="shared" ref="AG517:AG580" si="103">T517-T518</f>
        <v>0</v>
      </c>
      <c r="AH517">
        <f t="shared" ref="AH517:AH580" si="104">U517-U518</f>
        <v>0</v>
      </c>
      <c r="AI517">
        <f t="shared" ref="AI517:AI580" si="105">V517-V518</f>
        <v>2.0000000000000009E-4</v>
      </c>
      <c r="AJ517">
        <f t="shared" ref="AJ517:AJ580" si="106">W517-W518</f>
        <v>0</v>
      </c>
      <c r="AK517">
        <f t="shared" ref="AK517:AK580" si="107">X517-X518</f>
        <v>0</v>
      </c>
      <c r="AL517">
        <f t="shared" ref="AL517:AL580" si="108">Y517-Y518</f>
        <v>1.0000000000000113E-4</v>
      </c>
      <c r="AM517">
        <f t="shared" ref="AM517:AM580" si="109">Z517-Z518</f>
        <v>2.0000000000000052E-4</v>
      </c>
      <c r="AN517">
        <f t="shared" ref="AN517:AN580" si="110">AA517-AA518</f>
        <v>1.9999999999999879E-4</v>
      </c>
      <c r="AO517">
        <f t="shared" ref="AO517:AO580" si="111">AB517-AB518</f>
        <v>3.0000000000000165E-4</v>
      </c>
      <c r="AP517">
        <f t="shared" ref="AP517:AP580" si="112">AC517-AC518</f>
        <v>3.0000000000000165E-4</v>
      </c>
    </row>
    <row r="518" spans="17:42" x14ac:dyDescent="0.25">
      <c r="Q518" s="1">
        <v>44302</v>
      </c>
      <c r="R518">
        <v>2.0000000000000001E-4</v>
      </c>
      <c r="S518">
        <v>2.0000000000000001E-4</v>
      </c>
      <c r="T518">
        <v>2.0000000000000001E-4</v>
      </c>
      <c r="U518">
        <v>4.0000000000000002E-4</v>
      </c>
      <c r="V518">
        <v>5.9999999999999995E-4</v>
      </c>
      <c r="W518">
        <v>1.6000000000000001E-3</v>
      </c>
      <c r="X518">
        <v>3.4000000000000002E-3</v>
      </c>
      <c r="Y518">
        <v>8.3999999999999995E-3</v>
      </c>
      <c r="Z518">
        <v>1.26E-2</v>
      </c>
      <c r="AA518">
        <v>1.5900000000000001E-2</v>
      </c>
      <c r="AB518">
        <v>2.1499999999999998E-2</v>
      </c>
      <c r="AC518">
        <v>2.2599999999999999E-2</v>
      </c>
      <c r="AE518">
        <f t="shared" si="101"/>
        <v>0</v>
      </c>
      <c r="AF518">
        <f t="shared" si="102"/>
        <v>1E-4</v>
      </c>
      <c r="AG518">
        <f t="shared" si="103"/>
        <v>0</v>
      </c>
      <c r="AH518">
        <f t="shared" si="104"/>
        <v>0</v>
      </c>
      <c r="AI518">
        <f t="shared" si="105"/>
        <v>0</v>
      </c>
      <c r="AJ518">
        <f t="shared" si="106"/>
        <v>0</v>
      </c>
      <c r="AK518">
        <f t="shared" si="107"/>
        <v>2.0000000000000009E-4</v>
      </c>
      <c r="AL518">
        <f t="shared" si="108"/>
        <v>2.9999999999999818E-4</v>
      </c>
      <c r="AM518">
        <f t="shared" si="109"/>
        <v>2.0000000000000052E-4</v>
      </c>
      <c r="AN518">
        <f t="shared" si="110"/>
        <v>2.9999999999999992E-4</v>
      </c>
      <c r="AO518">
        <f t="shared" si="111"/>
        <v>1.9999999999999879E-4</v>
      </c>
      <c r="AP518">
        <f t="shared" si="112"/>
        <v>2.9999999999999818E-4</v>
      </c>
    </row>
    <row r="519" spans="17:42" x14ac:dyDescent="0.25">
      <c r="Q519" s="1">
        <v>44301</v>
      </c>
      <c r="R519">
        <v>2.0000000000000001E-4</v>
      </c>
      <c r="S519">
        <v>1E-4</v>
      </c>
      <c r="T519">
        <v>2.0000000000000001E-4</v>
      </c>
      <c r="U519">
        <v>4.0000000000000002E-4</v>
      </c>
      <c r="V519">
        <v>5.9999999999999995E-4</v>
      </c>
      <c r="W519">
        <v>1.6000000000000001E-3</v>
      </c>
      <c r="X519">
        <v>3.2000000000000002E-3</v>
      </c>
      <c r="Y519">
        <v>8.1000000000000013E-3</v>
      </c>
      <c r="Z519">
        <v>1.24E-2</v>
      </c>
      <c r="AA519">
        <v>1.5600000000000001E-2</v>
      </c>
      <c r="AB519">
        <v>2.1299999999999999E-2</v>
      </c>
      <c r="AC519">
        <v>2.23E-2</v>
      </c>
      <c r="AE519">
        <f t="shared" si="101"/>
        <v>0</v>
      </c>
      <c r="AF519">
        <f t="shared" si="102"/>
        <v>-1E-4</v>
      </c>
      <c r="AG519">
        <f t="shared" si="103"/>
        <v>0</v>
      </c>
      <c r="AH519">
        <f t="shared" si="104"/>
        <v>0</v>
      </c>
      <c r="AI519">
        <f t="shared" si="105"/>
        <v>0</v>
      </c>
      <c r="AJ519">
        <f t="shared" si="106"/>
        <v>0</v>
      </c>
      <c r="AK519">
        <f t="shared" si="107"/>
        <v>-2.9999999999999949E-4</v>
      </c>
      <c r="AL519">
        <f t="shared" si="108"/>
        <v>-5.999999999999981E-4</v>
      </c>
      <c r="AM519">
        <f t="shared" si="109"/>
        <v>-7.0000000000000097E-4</v>
      </c>
      <c r="AN519">
        <f t="shared" si="110"/>
        <v>-7.9999999999999689E-4</v>
      </c>
      <c r="AO519">
        <f t="shared" si="111"/>
        <v>-9.0000000000000149E-4</v>
      </c>
      <c r="AP519">
        <f t="shared" si="112"/>
        <v>-8.9999999999999802E-4</v>
      </c>
    </row>
    <row r="520" spans="17:42" x14ac:dyDescent="0.25">
      <c r="Q520" s="1">
        <v>44300</v>
      </c>
      <c r="R520">
        <v>2.0000000000000001E-4</v>
      </c>
      <c r="S520">
        <v>2.0000000000000001E-4</v>
      </c>
      <c r="T520">
        <v>2.0000000000000001E-4</v>
      </c>
      <c r="U520">
        <v>4.0000000000000002E-4</v>
      </c>
      <c r="V520">
        <v>5.9999999999999995E-4</v>
      </c>
      <c r="W520">
        <v>1.6000000000000001E-3</v>
      </c>
      <c r="X520">
        <v>3.4999999999999996E-3</v>
      </c>
      <c r="Y520">
        <v>8.6999999999999994E-3</v>
      </c>
      <c r="Z520">
        <v>1.3100000000000001E-2</v>
      </c>
      <c r="AA520">
        <v>1.6399999999999998E-2</v>
      </c>
      <c r="AB520">
        <v>2.2200000000000001E-2</v>
      </c>
      <c r="AC520">
        <v>2.3199999999999998E-2</v>
      </c>
      <c r="AE520">
        <f t="shared" si="101"/>
        <v>-9.9999999999999964E-5</v>
      </c>
      <c r="AF520">
        <f t="shared" si="102"/>
        <v>0</v>
      </c>
      <c r="AG520">
        <f t="shared" si="103"/>
        <v>-9.9999999999999964E-5</v>
      </c>
      <c r="AH520">
        <f t="shared" si="104"/>
        <v>-9.9999999999999991E-5</v>
      </c>
      <c r="AI520">
        <f t="shared" si="105"/>
        <v>0</v>
      </c>
      <c r="AJ520">
        <f t="shared" si="106"/>
        <v>0</v>
      </c>
      <c r="AK520">
        <f t="shared" si="107"/>
        <v>0</v>
      </c>
      <c r="AL520">
        <f t="shared" si="108"/>
        <v>1.9999999999999879E-4</v>
      </c>
      <c r="AM520">
        <f t="shared" si="109"/>
        <v>2.0000000000000052E-4</v>
      </c>
      <c r="AN520">
        <f t="shared" si="110"/>
        <v>0</v>
      </c>
      <c r="AO520">
        <f t="shared" si="111"/>
        <v>1.0000000000000286E-4</v>
      </c>
      <c r="AP520">
        <f t="shared" si="112"/>
        <v>0</v>
      </c>
    </row>
    <row r="521" spans="17:42" x14ac:dyDescent="0.25">
      <c r="Q521" s="1">
        <v>44299</v>
      </c>
      <c r="R521">
        <v>2.9999999999999997E-4</v>
      </c>
      <c r="S521">
        <v>2.0000000000000001E-4</v>
      </c>
      <c r="T521">
        <v>2.9999999999999997E-4</v>
      </c>
      <c r="U521">
        <v>5.0000000000000001E-4</v>
      </c>
      <c r="V521">
        <v>5.9999999999999995E-4</v>
      </c>
      <c r="W521">
        <v>1.6000000000000001E-3</v>
      </c>
      <c r="X521">
        <v>3.4999999999999996E-3</v>
      </c>
      <c r="Y521">
        <v>8.5000000000000006E-3</v>
      </c>
      <c r="Z521">
        <v>1.29E-2</v>
      </c>
      <c r="AA521">
        <v>1.6399999999999998E-2</v>
      </c>
      <c r="AB521">
        <v>2.2099999999999998E-2</v>
      </c>
      <c r="AC521">
        <v>2.3199999999999998E-2</v>
      </c>
      <c r="AE521">
        <f t="shared" si="101"/>
        <v>9.9999999999999964E-5</v>
      </c>
      <c r="AF521">
        <f t="shared" si="102"/>
        <v>0</v>
      </c>
      <c r="AG521">
        <f t="shared" si="103"/>
        <v>9.9999999999999964E-5</v>
      </c>
      <c r="AH521">
        <f t="shared" si="104"/>
        <v>9.9999999999999991E-5</v>
      </c>
      <c r="AI521">
        <f t="shared" si="105"/>
        <v>0</v>
      </c>
      <c r="AJ521">
        <f t="shared" si="106"/>
        <v>-1.9999999999999987E-4</v>
      </c>
      <c r="AK521">
        <f t="shared" si="107"/>
        <v>-3.0000000000000035E-4</v>
      </c>
      <c r="AL521">
        <f t="shared" si="108"/>
        <v>-3.9999999999999931E-4</v>
      </c>
      <c r="AM521">
        <f t="shared" si="109"/>
        <v>-6.0000000000000157E-4</v>
      </c>
      <c r="AN521">
        <f t="shared" si="110"/>
        <v>-5.0000000000000044E-4</v>
      </c>
      <c r="AO521">
        <f t="shared" si="111"/>
        <v>-3.0000000000000512E-4</v>
      </c>
      <c r="AP521">
        <f t="shared" si="112"/>
        <v>-1.9999999999999879E-4</v>
      </c>
    </row>
    <row r="522" spans="17:42" x14ac:dyDescent="0.25">
      <c r="Q522" s="1">
        <v>44298</v>
      </c>
      <c r="R522">
        <v>2.0000000000000001E-4</v>
      </c>
      <c r="S522">
        <v>2.0000000000000001E-4</v>
      </c>
      <c r="T522">
        <v>2.0000000000000001E-4</v>
      </c>
      <c r="U522">
        <v>4.0000000000000002E-4</v>
      </c>
      <c r="V522">
        <v>5.9999999999999995E-4</v>
      </c>
      <c r="W522">
        <v>1.8E-3</v>
      </c>
      <c r="X522">
        <v>3.8E-3</v>
      </c>
      <c r="Y522">
        <v>8.8999999999999999E-3</v>
      </c>
      <c r="Z522">
        <v>1.3500000000000002E-2</v>
      </c>
      <c r="AA522">
        <v>1.6899999999999998E-2</v>
      </c>
      <c r="AB522">
        <v>2.2400000000000003E-2</v>
      </c>
      <c r="AC522">
        <v>2.3399999999999997E-2</v>
      </c>
      <c r="AE522">
        <f t="shared" si="101"/>
        <v>0</v>
      </c>
      <c r="AF522">
        <f t="shared" si="102"/>
        <v>1E-4</v>
      </c>
      <c r="AG522">
        <f t="shared" si="103"/>
        <v>0</v>
      </c>
      <c r="AH522">
        <f t="shared" si="104"/>
        <v>1.0000000000000005E-4</v>
      </c>
      <c r="AI522">
        <f t="shared" si="105"/>
        <v>0</v>
      </c>
      <c r="AJ522">
        <f t="shared" si="106"/>
        <v>1.9999999999999987E-4</v>
      </c>
      <c r="AK522">
        <f t="shared" si="107"/>
        <v>3.0000000000000035E-4</v>
      </c>
      <c r="AL522">
        <f t="shared" si="108"/>
        <v>2.0000000000000052E-4</v>
      </c>
      <c r="AM522">
        <f t="shared" si="109"/>
        <v>2.0000000000000052E-4</v>
      </c>
      <c r="AN522">
        <f t="shared" si="110"/>
        <v>1.9999999999999879E-4</v>
      </c>
      <c r="AO522">
        <f t="shared" si="111"/>
        <v>1.0000000000000286E-4</v>
      </c>
      <c r="AP522">
        <f t="shared" si="112"/>
        <v>0</v>
      </c>
    </row>
    <row r="523" spans="17:42" x14ac:dyDescent="0.25">
      <c r="Q523" s="1">
        <v>44295</v>
      </c>
      <c r="R523">
        <v>2.0000000000000001E-4</v>
      </c>
      <c r="S523">
        <v>1E-4</v>
      </c>
      <c r="T523">
        <v>2.0000000000000001E-4</v>
      </c>
      <c r="U523">
        <v>2.9999999999999997E-4</v>
      </c>
      <c r="V523">
        <v>5.9999999999999995E-4</v>
      </c>
      <c r="W523">
        <v>1.6000000000000001E-3</v>
      </c>
      <c r="X523">
        <v>3.4999999999999996E-3</v>
      </c>
      <c r="Y523">
        <v>8.6999999999999994E-3</v>
      </c>
      <c r="Z523">
        <v>1.3300000000000001E-2</v>
      </c>
      <c r="AA523">
        <v>1.67E-2</v>
      </c>
      <c r="AB523">
        <v>2.23E-2</v>
      </c>
      <c r="AC523">
        <v>2.3399999999999997E-2</v>
      </c>
      <c r="AE523">
        <f t="shared" si="101"/>
        <v>0</v>
      </c>
      <c r="AF523">
        <f t="shared" si="102"/>
        <v>-1E-4</v>
      </c>
      <c r="AG523">
        <f t="shared" si="103"/>
        <v>1E-4</v>
      </c>
      <c r="AH523">
        <f t="shared" si="104"/>
        <v>-1.0000000000000005E-4</v>
      </c>
      <c r="AI523">
        <f t="shared" si="105"/>
        <v>9.9999999999999937E-5</v>
      </c>
      <c r="AJ523">
        <f t="shared" si="106"/>
        <v>1.9999999999999987E-4</v>
      </c>
      <c r="AK523">
        <f t="shared" si="107"/>
        <v>1.9999999999999966E-4</v>
      </c>
      <c r="AL523">
        <f t="shared" si="108"/>
        <v>1.9999999999999879E-4</v>
      </c>
      <c r="AM523">
        <f t="shared" si="109"/>
        <v>2.9999999999999992E-4</v>
      </c>
      <c r="AN523">
        <f t="shared" si="110"/>
        <v>3.0000000000000165E-4</v>
      </c>
      <c r="AO523">
        <f t="shared" si="111"/>
        <v>9.9999999999999395E-5</v>
      </c>
      <c r="AP523">
        <f t="shared" si="112"/>
        <v>1.9999999999999879E-4</v>
      </c>
    </row>
    <row r="524" spans="17:42" x14ac:dyDescent="0.25">
      <c r="Q524" s="1">
        <v>44294</v>
      </c>
      <c r="R524">
        <v>2.0000000000000001E-4</v>
      </c>
      <c r="S524">
        <v>2.0000000000000001E-4</v>
      </c>
      <c r="T524">
        <v>1E-4</v>
      </c>
      <c r="U524">
        <v>4.0000000000000002E-4</v>
      </c>
      <c r="V524">
        <v>5.0000000000000001E-4</v>
      </c>
      <c r="W524">
        <v>1.4000000000000002E-3</v>
      </c>
      <c r="X524">
        <v>3.3E-3</v>
      </c>
      <c r="Y524">
        <v>8.5000000000000006E-3</v>
      </c>
      <c r="Z524">
        <v>1.3000000000000001E-2</v>
      </c>
      <c r="AA524">
        <v>1.6399999999999998E-2</v>
      </c>
      <c r="AB524">
        <v>2.2200000000000001E-2</v>
      </c>
      <c r="AC524">
        <v>2.3199999999999998E-2</v>
      </c>
      <c r="AE524">
        <f t="shared" si="101"/>
        <v>1E-4</v>
      </c>
      <c r="AF524">
        <f t="shared" si="102"/>
        <v>0</v>
      </c>
      <c r="AG524">
        <f t="shared" si="103"/>
        <v>-1E-4</v>
      </c>
      <c r="AH524">
        <f t="shared" si="104"/>
        <v>0</v>
      </c>
      <c r="AI524">
        <f t="shared" si="105"/>
        <v>-9.9999999999999937E-5</v>
      </c>
      <c r="AJ524">
        <f t="shared" si="106"/>
        <v>-1.9999999999999987E-4</v>
      </c>
      <c r="AK524">
        <f t="shared" si="107"/>
        <v>-1.0000000000000026E-4</v>
      </c>
      <c r="AL524">
        <f t="shared" si="108"/>
        <v>-1.9999999999999879E-4</v>
      </c>
      <c r="AM524">
        <f t="shared" si="109"/>
        <v>-3.9999999999999931E-4</v>
      </c>
      <c r="AN524">
        <f t="shared" si="110"/>
        <v>-4.0000000000000105E-4</v>
      </c>
      <c r="AO524">
        <f t="shared" si="111"/>
        <v>-3.9999999999999758E-4</v>
      </c>
      <c r="AP524">
        <f t="shared" si="112"/>
        <v>-3.0000000000000165E-4</v>
      </c>
    </row>
    <row r="525" spans="17:42" x14ac:dyDescent="0.25">
      <c r="Q525" s="1">
        <v>44293</v>
      </c>
      <c r="R525">
        <v>1E-4</v>
      </c>
      <c r="S525">
        <v>2.0000000000000001E-4</v>
      </c>
      <c r="T525">
        <v>2.0000000000000001E-4</v>
      </c>
      <c r="U525">
        <v>4.0000000000000002E-4</v>
      </c>
      <c r="V525">
        <v>5.9999999999999995E-4</v>
      </c>
      <c r="W525">
        <v>1.6000000000000001E-3</v>
      </c>
      <c r="X525">
        <v>3.4000000000000002E-3</v>
      </c>
      <c r="Y525">
        <v>8.6999999999999994E-3</v>
      </c>
      <c r="Z525">
        <v>1.34E-2</v>
      </c>
      <c r="AA525">
        <v>1.6799999999999999E-2</v>
      </c>
      <c r="AB525">
        <v>2.2599999999999999E-2</v>
      </c>
      <c r="AC525">
        <v>2.35E-2</v>
      </c>
      <c r="AE525">
        <f t="shared" si="101"/>
        <v>-1E-4</v>
      </c>
      <c r="AF525">
        <f t="shared" si="102"/>
        <v>0</v>
      </c>
      <c r="AG525">
        <f t="shared" si="103"/>
        <v>0</v>
      </c>
      <c r="AH525">
        <f t="shared" si="104"/>
        <v>0</v>
      </c>
      <c r="AI525">
        <f t="shared" si="105"/>
        <v>0</v>
      </c>
      <c r="AJ525">
        <f t="shared" si="106"/>
        <v>0</v>
      </c>
      <c r="AK525">
        <f t="shared" si="107"/>
        <v>-9.9999999999999395E-5</v>
      </c>
      <c r="AL525">
        <f t="shared" si="108"/>
        <v>-1.0000000000000113E-4</v>
      </c>
      <c r="AM525">
        <f t="shared" si="109"/>
        <v>0</v>
      </c>
      <c r="AN525">
        <f t="shared" si="110"/>
        <v>9.9999999999999395E-5</v>
      </c>
      <c r="AO525">
        <f t="shared" si="111"/>
        <v>1.9999999999999532E-4</v>
      </c>
      <c r="AP525">
        <f t="shared" si="112"/>
        <v>3.0000000000000165E-4</v>
      </c>
    </row>
    <row r="526" spans="17:42" x14ac:dyDescent="0.25">
      <c r="Q526" s="1">
        <v>44292</v>
      </c>
      <c r="R526">
        <v>2.0000000000000001E-4</v>
      </c>
      <c r="S526">
        <v>2.0000000000000001E-4</v>
      </c>
      <c r="T526">
        <v>2.0000000000000001E-4</v>
      </c>
      <c r="U526">
        <v>4.0000000000000002E-4</v>
      </c>
      <c r="V526">
        <v>5.9999999999999995E-4</v>
      </c>
      <c r="W526">
        <v>1.6000000000000001E-3</v>
      </c>
      <c r="X526">
        <v>3.4999999999999996E-3</v>
      </c>
      <c r="Y526">
        <v>8.8000000000000005E-3</v>
      </c>
      <c r="Z526">
        <v>1.34E-2</v>
      </c>
      <c r="AA526">
        <v>1.67E-2</v>
      </c>
      <c r="AB526">
        <v>2.2400000000000003E-2</v>
      </c>
      <c r="AC526">
        <v>2.3199999999999998E-2</v>
      </c>
      <c r="AE526">
        <f t="shared" si="101"/>
        <v>-9.9999999999999964E-5</v>
      </c>
      <c r="AF526">
        <f t="shared" si="102"/>
        <v>0</v>
      </c>
      <c r="AG526">
        <f t="shared" si="103"/>
        <v>-9.9999999999999964E-5</v>
      </c>
      <c r="AH526">
        <f t="shared" si="104"/>
        <v>0</v>
      </c>
      <c r="AI526">
        <f t="shared" si="105"/>
        <v>0</v>
      </c>
      <c r="AJ526">
        <f t="shared" si="106"/>
        <v>-1.0000000000000005E-4</v>
      </c>
      <c r="AK526">
        <f t="shared" si="107"/>
        <v>-2.0000000000000052E-4</v>
      </c>
      <c r="AL526">
        <f t="shared" si="108"/>
        <v>-5.999999999999981E-4</v>
      </c>
      <c r="AM526">
        <f t="shared" si="109"/>
        <v>-5.999999999999981E-4</v>
      </c>
      <c r="AN526">
        <f t="shared" si="110"/>
        <v>-5.9999999999999984E-4</v>
      </c>
      <c r="AO526">
        <f t="shared" si="111"/>
        <v>-3.9999999999999411E-4</v>
      </c>
      <c r="AP526">
        <f t="shared" si="112"/>
        <v>-4.0000000000000105E-4</v>
      </c>
    </row>
    <row r="527" spans="17:42" x14ac:dyDescent="0.25">
      <c r="Q527" s="1">
        <v>44291</v>
      </c>
      <c r="R527">
        <v>2.9999999999999997E-4</v>
      </c>
      <c r="S527">
        <v>2.0000000000000001E-4</v>
      </c>
      <c r="T527">
        <v>2.9999999999999997E-4</v>
      </c>
      <c r="U527">
        <v>4.0000000000000002E-4</v>
      </c>
      <c r="V527">
        <v>5.9999999999999995E-4</v>
      </c>
      <c r="W527">
        <v>1.7000000000000001E-3</v>
      </c>
      <c r="X527">
        <v>3.7000000000000002E-3</v>
      </c>
      <c r="Y527">
        <v>9.3999999999999986E-3</v>
      </c>
      <c r="Z527">
        <v>1.3999999999999999E-2</v>
      </c>
      <c r="AA527">
        <v>1.7299999999999999E-2</v>
      </c>
      <c r="AB527">
        <v>2.2799999999999997E-2</v>
      </c>
      <c r="AC527">
        <v>2.3599999999999999E-2</v>
      </c>
      <c r="AE527">
        <f t="shared" si="101"/>
        <v>9.9999999999999964E-5</v>
      </c>
      <c r="AF527">
        <f t="shared" si="102"/>
        <v>0</v>
      </c>
      <c r="AG527">
        <f t="shared" si="103"/>
        <v>9.9999999999999964E-5</v>
      </c>
      <c r="AH527">
        <f t="shared" si="104"/>
        <v>0</v>
      </c>
      <c r="AI527">
        <f t="shared" si="105"/>
        <v>-1.0000000000000015E-4</v>
      </c>
      <c r="AJ527">
        <f t="shared" si="106"/>
        <v>-1.9999999999999987E-4</v>
      </c>
      <c r="AK527">
        <f t="shared" si="107"/>
        <v>-2.0000000000000009E-4</v>
      </c>
      <c r="AL527">
        <f t="shared" si="108"/>
        <v>-3.0000000000000165E-4</v>
      </c>
      <c r="AM527">
        <f t="shared" si="109"/>
        <v>-2.0000000000000052E-4</v>
      </c>
      <c r="AN527">
        <f t="shared" si="110"/>
        <v>9.9999999999999395E-5</v>
      </c>
      <c r="AO527">
        <f t="shared" si="111"/>
        <v>9.9999999999995925E-5</v>
      </c>
      <c r="AP527">
        <f t="shared" si="112"/>
        <v>9.9999999999999395E-5</v>
      </c>
    </row>
    <row r="528" spans="17:42" x14ac:dyDescent="0.25">
      <c r="Q528" s="1">
        <v>44288</v>
      </c>
      <c r="R528">
        <v>2.0000000000000001E-4</v>
      </c>
      <c r="S528">
        <v>2.0000000000000001E-4</v>
      </c>
      <c r="T528">
        <v>2.0000000000000001E-4</v>
      </c>
      <c r="U528">
        <v>4.0000000000000002E-4</v>
      </c>
      <c r="V528">
        <v>7.000000000000001E-4</v>
      </c>
      <c r="W528">
        <v>1.9E-3</v>
      </c>
      <c r="X528">
        <v>3.9000000000000003E-3</v>
      </c>
      <c r="Y528">
        <v>9.7000000000000003E-3</v>
      </c>
      <c r="Z528">
        <v>1.4199999999999999E-2</v>
      </c>
      <c r="AA528">
        <v>1.72E-2</v>
      </c>
      <c r="AB528">
        <v>2.2700000000000001E-2</v>
      </c>
      <c r="AC528">
        <v>2.35E-2</v>
      </c>
      <c r="AE528">
        <f t="shared" si="101"/>
        <v>0</v>
      </c>
      <c r="AF528">
        <f t="shared" si="102"/>
        <v>0</v>
      </c>
      <c r="AG528">
        <f t="shared" si="103"/>
        <v>0</v>
      </c>
      <c r="AH528">
        <f t="shared" si="104"/>
        <v>0</v>
      </c>
      <c r="AI528">
        <f t="shared" si="105"/>
        <v>1.0000000000000015E-4</v>
      </c>
      <c r="AJ528">
        <f t="shared" si="106"/>
        <v>1.9999999999999987E-4</v>
      </c>
      <c r="AK528">
        <f t="shared" si="107"/>
        <v>4.0000000000000062E-4</v>
      </c>
      <c r="AL528">
        <f t="shared" si="108"/>
        <v>6.9999999999999923E-4</v>
      </c>
      <c r="AM528">
        <f t="shared" si="109"/>
        <v>4.9999999999999871E-4</v>
      </c>
      <c r="AN528">
        <f t="shared" si="110"/>
        <v>3.0000000000000165E-4</v>
      </c>
      <c r="AO528">
        <f t="shared" si="111"/>
        <v>2.9999999999999818E-4</v>
      </c>
      <c r="AP528">
        <f t="shared" si="112"/>
        <v>1.0000000000000286E-4</v>
      </c>
    </row>
    <row r="529" spans="17:42" x14ac:dyDescent="0.25">
      <c r="Q529" s="1">
        <v>44287</v>
      </c>
      <c r="R529">
        <v>2.0000000000000001E-4</v>
      </c>
      <c r="S529">
        <v>2.0000000000000001E-4</v>
      </c>
      <c r="T529">
        <v>2.0000000000000001E-4</v>
      </c>
      <c r="U529">
        <v>4.0000000000000002E-4</v>
      </c>
      <c r="V529">
        <v>5.9999999999999995E-4</v>
      </c>
      <c r="W529">
        <v>1.7000000000000001E-3</v>
      </c>
      <c r="X529">
        <v>3.4999999999999996E-3</v>
      </c>
      <c r="Y529">
        <v>9.0000000000000011E-3</v>
      </c>
      <c r="Z529">
        <v>1.37E-2</v>
      </c>
      <c r="AA529">
        <v>1.6899999999999998E-2</v>
      </c>
      <c r="AB529">
        <v>2.2400000000000003E-2</v>
      </c>
      <c r="AC529">
        <v>2.3399999999999997E-2</v>
      </c>
      <c r="AE529">
        <f t="shared" si="101"/>
        <v>1E-4</v>
      </c>
      <c r="AF529">
        <f t="shared" si="102"/>
        <v>1E-4</v>
      </c>
      <c r="AG529">
        <f t="shared" si="103"/>
        <v>-9.9999999999999964E-5</v>
      </c>
      <c r="AH529">
        <f t="shared" si="104"/>
        <v>-9.9999999999999991E-5</v>
      </c>
      <c r="AI529">
        <f t="shared" si="105"/>
        <v>-1.0000000000000015E-4</v>
      </c>
      <c r="AJ529">
        <f t="shared" si="106"/>
        <v>1.0000000000000005E-4</v>
      </c>
      <c r="AK529">
        <f t="shared" si="107"/>
        <v>0</v>
      </c>
      <c r="AL529">
        <f t="shared" si="108"/>
        <v>-1.9999999999999879E-4</v>
      </c>
      <c r="AM529">
        <f t="shared" si="109"/>
        <v>-2.9999999999999818E-4</v>
      </c>
      <c r="AN529">
        <f t="shared" si="110"/>
        <v>-5.0000000000000044E-4</v>
      </c>
      <c r="AO529">
        <f t="shared" si="111"/>
        <v>-6.9999999999999576E-4</v>
      </c>
      <c r="AP529">
        <f t="shared" si="112"/>
        <v>-7.000000000000027E-4</v>
      </c>
    </row>
    <row r="530" spans="17:42" x14ac:dyDescent="0.25">
      <c r="Q530" s="1">
        <v>44286</v>
      </c>
      <c r="R530">
        <v>1E-4</v>
      </c>
      <c r="S530">
        <v>1E-4</v>
      </c>
      <c r="T530">
        <v>2.9999999999999997E-4</v>
      </c>
      <c r="U530">
        <v>5.0000000000000001E-4</v>
      </c>
      <c r="V530">
        <v>7.000000000000001E-4</v>
      </c>
      <c r="W530">
        <v>1.6000000000000001E-3</v>
      </c>
      <c r="X530">
        <v>3.4999999999999996E-3</v>
      </c>
      <c r="Y530">
        <v>9.1999999999999998E-3</v>
      </c>
      <c r="Z530">
        <v>1.3999999999999999E-2</v>
      </c>
      <c r="AA530">
        <v>1.7399999999999999E-2</v>
      </c>
      <c r="AB530">
        <v>2.3099999999999999E-2</v>
      </c>
      <c r="AC530">
        <v>2.41E-2</v>
      </c>
      <c r="AE530">
        <f t="shared" si="101"/>
        <v>0</v>
      </c>
      <c r="AF530">
        <f t="shared" si="102"/>
        <v>0</v>
      </c>
      <c r="AG530">
        <f t="shared" si="103"/>
        <v>9.9999999999999964E-5</v>
      </c>
      <c r="AH530">
        <f t="shared" si="104"/>
        <v>9.9999999999999991E-5</v>
      </c>
      <c r="AI530">
        <f t="shared" si="105"/>
        <v>1.0000000000000015E-4</v>
      </c>
      <c r="AJ530">
        <f t="shared" si="106"/>
        <v>0</v>
      </c>
      <c r="AK530">
        <f t="shared" si="107"/>
        <v>1.9999999999999966E-4</v>
      </c>
      <c r="AL530">
        <f t="shared" si="108"/>
        <v>1.9999999999999879E-4</v>
      </c>
      <c r="AM530">
        <f t="shared" si="109"/>
        <v>9.9999999999999395E-5</v>
      </c>
      <c r="AN530">
        <f t="shared" si="110"/>
        <v>9.9999999999999395E-5</v>
      </c>
      <c r="AO530">
        <f t="shared" si="111"/>
        <v>1.9999999999999879E-4</v>
      </c>
      <c r="AP530">
        <f t="shared" si="112"/>
        <v>3.0000000000000165E-4</v>
      </c>
    </row>
    <row r="531" spans="17:42" x14ac:dyDescent="0.25">
      <c r="Q531" s="1">
        <v>44285</v>
      </c>
      <c r="R531">
        <v>1E-4</v>
      </c>
      <c r="S531">
        <v>1E-4</v>
      </c>
      <c r="T531">
        <v>2.0000000000000001E-4</v>
      </c>
      <c r="U531">
        <v>4.0000000000000002E-4</v>
      </c>
      <c r="V531">
        <v>5.9999999999999995E-4</v>
      </c>
      <c r="W531">
        <v>1.6000000000000001E-3</v>
      </c>
      <c r="X531">
        <v>3.3E-3</v>
      </c>
      <c r="Y531">
        <v>9.0000000000000011E-3</v>
      </c>
      <c r="Z531">
        <v>1.3899999999999999E-2</v>
      </c>
      <c r="AA531">
        <v>1.7299999999999999E-2</v>
      </c>
      <c r="AB531">
        <v>2.29E-2</v>
      </c>
      <c r="AC531">
        <v>2.3799999999999998E-2</v>
      </c>
      <c r="AE531">
        <f t="shared" si="101"/>
        <v>-1E-4</v>
      </c>
      <c r="AF531">
        <f t="shared" si="102"/>
        <v>-1.9999999999999998E-4</v>
      </c>
      <c r="AG531">
        <f t="shared" si="103"/>
        <v>-9.9999999999999964E-5</v>
      </c>
      <c r="AH531">
        <f t="shared" si="104"/>
        <v>0</v>
      </c>
      <c r="AI531">
        <f t="shared" si="105"/>
        <v>0</v>
      </c>
      <c r="AJ531">
        <f t="shared" si="106"/>
        <v>1.9999999999999987E-4</v>
      </c>
      <c r="AK531">
        <f t="shared" si="107"/>
        <v>9.9999999999999829E-5</v>
      </c>
      <c r="AL531">
        <f t="shared" si="108"/>
        <v>1.0000000000000113E-4</v>
      </c>
      <c r="AM531">
        <f t="shared" si="109"/>
        <v>1.9999999999999879E-4</v>
      </c>
      <c r="AN531">
        <f t="shared" si="110"/>
        <v>0</v>
      </c>
      <c r="AO531">
        <f t="shared" si="111"/>
        <v>-2.9999999999999818E-4</v>
      </c>
      <c r="AP531">
        <f t="shared" si="112"/>
        <v>-5.0000000000000391E-4</v>
      </c>
    </row>
    <row r="532" spans="17:42" x14ac:dyDescent="0.25">
      <c r="Q532" s="1">
        <v>44284</v>
      </c>
      <c r="R532">
        <v>2.0000000000000001E-4</v>
      </c>
      <c r="S532">
        <v>2.9999999999999997E-4</v>
      </c>
      <c r="T532">
        <v>2.9999999999999997E-4</v>
      </c>
      <c r="U532">
        <v>4.0000000000000002E-4</v>
      </c>
      <c r="V532">
        <v>5.9999999999999995E-4</v>
      </c>
      <c r="W532">
        <v>1.4000000000000002E-3</v>
      </c>
      <c r="X532">
        <v>3.2000000000000002E-3</v>
      </c>
      <c r="Y532">
        <v>8.8999999999999999E-3</v>
      </c>
      <c r="Z532">
        <v>1.37E-2</v>
      </c>
      <c r="AA532">
        <v>1.7299999999999999E-2</v>
      </c>
      <c r="AB532">
        <v>2.3199999999999998E-2</v>
      </c>
      <c r="AC532">
        <v>2.4300000000000002E-2</v>
      </c>
      <c r="AE532">
        <f t="shared" si="101"/>
        <v>0</v>
      </c>
      <c r="AF532">
        <f t="shared" si="102"/>
        <v>9.9999999999999964E-5</v>
      </c>
      <c r="AG532">
        <f t="shared" si="103"/>
        <v>9.9999999999999964E-5</v>
      </c>
      <c r="AH532">
        <f t="shared" si="104"/>
        <v>0</v>
      </c>
      <c r="AI532">
        <f t="shared" si="105"/>
        <v>0</v>
      </c>
      <c r="AJ532">
        <f t="shared" si="106"/>
        <v>0</v>
      </c>
      <c r="AK532">
        <f t="shared" si="107"/>
        <v>1.0000000000000026E-4</v>
      </c>
      <c r="AL532">
        <f t="shared" si="108"/>
        <v>3.9999999999999931E-4</v>
      </c>
      <c r="AM532">
        <f t="shared" si="109"/>
        <v>5.0000000000000044E-4</v>
      </c>
      <c r="AN532">
        <f t="shared" si="110"/>
        <v>5.9999999999999984E-4</v>
      </c>
      <c r="AO532">
        <f t="shared" si="111"/>
        <v>4.9999999999999697E-4</v>
      </c>
      <c r="AP532">
        <f t="shared" si="112"/>
        <v>5.9999999999999984E-4</v>
      </c>
    </row>
    <row r="533" spans="17:42" x14ac:dyDescent="0.25">
      <c r="Q533" s="1">
        <v>44281</v>
      </c>
      <c r="R533">
        <v>2.0000000000000001E-4</v>
      </c>
      <c r="S533">
        <v>2.0000000000000001E-4</v>
      </c>
      <c r="T533">
        <v>2.0000000000000001E-4</v>
      </c>
      <c r="U533">
        <v>4.0000000000000002E-4</v>
      </c>
      <c r="V533">
        <v>5.9999999999999995E-4</v>
      </c>
      <c r="W533">
        <v>1.4000000000000002E-3</v>
      </c>
      <c r="X533">
        <v>3.0999999999999999E-3</v>
      </c>
      <c r="Y533">
        <v>8.5000000000000006E-3</v>
      </c>
      <c r="Z533">
        <v>1.32E-2</v>
      </c>
      <c r="AA533">
        <v>1.67E-2</v>
      </c>
      <c r="AB533">
        <v>2.2700000000000001E-2</v>
      </c>
      <c r="AC533">
        <v>2.3700000000000002E-2</v>
      </c>
      <c r="AE533">
        <f t="shared" si="101"/>
        <v>0</v>
      </c>
      <c r="AF533">
        <f t="shared" si="102"/>
        <v>-9.9999999999999964E-5</v>
      </c>
      <c r="AG533">
        <f t="shared" si="103"/>
        <v>0</v>
      </c>
      <c r="AH533">
        <f t="shared" si="104"/>
        <v>0</v>
      </c>
      <c r="AI533">
        <f t="shared" si="105"/>
        <v>-1.0000000000000015E-4</v>
      </c>
      <c r="AJ533">
        <f t="shared" si="106"/>
        <v>0</v>
      </c>
      <c r="AK533">
        <f t="shared" si="107"/>
        <v>9.9999999999999829E-5</v>
      </c>
      <c r="AL533">
        <f t="shared" si="108"/>
        <v>3.0000000000000165E-4</v>
      </c>
      <c r="AM533">
        <f t="shared" si="109"/>
        <v>2.9999999999999992E-4</v>
      </c>
      <c r="AN533">
        <f t="shared" si="110"/>
        <v>4.0000000000000105E-4</v>
      </c>
      <c r="AO533">
        <f t="shared" si="111"/>
        <v>2.9999999999999818E-4</v>
      </c>
      <c r="AP533">
        <f t="shared" si="112"/>
        <v>3.0000000000000512E-4</v>
      </c>
    </row>
    <row r="534" spans="17:42" x14ac:dyDescent="0.25">
      <c r="Q534" s="1">
        <v>44280</v>
      </c>
      <c r="R534">
        <v>2.0000000000000001E-4</v>
      </c>
      <c r="S534">
        <v>2.9999999999999997E-4</v>
      </c>
      <c r="T534">
        <v>2.0000000000000001E-4</v>
      </c>
      <c r="U534">
        <v>4.0000000000000002E-4</v>
      </c>
      <c r="V534">
        <v>7.000000000000001E-4</v>
      </c>
      <c r="W534">
        <v>1.4000000000000002E-3</v>
      </c>
      <c r="X534">
        <v>3.0000000000000001E-3</v>
      </c>
      <c r="Y534">
        <v>8.199999999999999E-3</v>
      </c>
      <c r="Z534">
        <v>1.29E-2</v>
      </c>
      <c r="AA534">
        <v>1.6299999999999999E-2</v>
      </c>
      <c r="AB534">
        <v>2.2400000000000003E-2</v>
      </c>
      <c r="AC534">
        <v>2.3399999999999997E-2</v>
      </c>
      <c r="AE534">
        <f t="shared" si="101"/>
        <v>0</v>
      </c>
      <c r="AF534">
        <f t="shared" si="102"/>
        <v>9.9999999999999964E-5</v>
      </c>
      <c r="AG534">
        <f t="shared" si="103"/>
        <v>0</v>
      </c>
      <c r="AH534">
        <f t="shared" si="104"/>
        <v>0</v>
      </c>
      <c r="AI534">
        <f t="shared" si="105"/>
        <v>0</v>
      </c>
      <c r="AJ534">
        <f t="shared" si="106"/>
        <v>0</v>
      </c>
      <c r="AK534">
        <f t="shared" si="107"/>
        <v>-9.9999999999999829E-5</v>
      </c>
      <c r="AL534">
        <f t="shared" si="108"/>
        <v>-1.0000000000000113E-4</v>
      </c>
      <c r="AM534">
        <f t="shared" si="109"/>
        <v>2.0000000000000052E-4</v>
      </c>
      <c r="AN534">
        <f t="shared" si="110"/>
        <v>9.9999999999995925E-5</v>
      </c>
      <c r="AO534">
        <f t="shared" si="111"/>
        <v>3.0000000000000512E-4</v>
      </c>
      <c r="AP534">
        <f t="shared" si="112"/>
        <v>2.9999999999999818E-4</v>
      </c>
    </row>
    <row r="535" spans="17:42" x14ac:dyDescent="0.25">
      <c r="Q535" s="1">
        <v>44279</v>
      </c>
      <c r="R535">
        <v>2.0000000000000001E-4</v>
      </c>
      <c r="S535">
        <v>2.0000000000000001E-4</v>
      </c>
      <c r="T535">
        <v>2.0000000000000001E-4</v>
      </c>
      <c r="U535">
        <v>4.0000000000000002E-4</v>
      </c>
      <c r="V535">
        <v>7.000000000000001E-4</v>
      </c>
      <c r="W535">
        <v>1.4000000000000002E-3</v>
      </c>
      <c r="X535">
        <v>3.0999999999999999E-3</v>
      </c>
      <c r="Y535">
        <v>8.3000000000000001E-3</v>
      </c>
      <c r="Z535">
        <v>1.2699999999999999E-2</v>
      </c>
      <c r="AA535">
        <v>1.6200000000000003E-2</v>
      </c>
      <c r="AB535">
        <v>2.2099999999999998E-2</v>
      </c>
      <c r="AC535">
        <v>2.3099999999999999E-2</v>
      </c>
      <c r="AE535">
        <f t="shared" si="101"/>
        <v>0</v>
      </c>
      <c r="AF535">
        <f t="shared" si="102"/>
        <v>0</v>
      </c>
      <c r="AG535">
        <f t="shared" si="103"/>
        <v>1E-4</v>
      </c>
      <c r="AH535">
        <f t="shared" si="104"/>
        <v>0</v>
      </c>
      <c r="AI535">
        <f t="shared" si="105"/>
        <v>-9.9999999999999937E-5</v>
      </c>
      <c r="AJ535">
        <f t="shared" si="106"/>
        <v>-9.9999999999999829E-5</v>
      </c>
      <c r="AK535">
        <f t="shared" si="107"/>
        <v>0</v>
      </c>
      <c r="AL535">
        <f t="shared" si="108"/>
        <v>0</v>
      </c>
      <c r="AM535">
        <f t="shared" si="109"/>
        <v>-2.0000000000000052E-4</v>
      </c>
      <c r="AN535">
        <f t="shared" si="110"/>
        <v>-9.9999999999995925E-5</v>
      </c>
      <c r="AO535">
        <f t="shared" si="111"/>
        <v>-3.0000000000000512E-4</v>
      </c>
      <c r="AP535">
        <f t="shared" si="112"/>
        <v>-2.9999999999999818E-4</v>
      </c>
    </row>
    <row r="536" spans="17:42" x14ac:dyDescent="0.25">
      <c r="Q536" s="1">
        <v>44278</v>
      </c>
      <c r="R536">
        <v>2.0000000000000001E-4</v>
      </c>
      <c r="S536">
        <v>2.0000000000000001E-4</v>
      </c>
      <c r="T536">
        <v>1E-4</v>
      </c>
      <c r="U536">
        <v>4.0000000000000002E-4</v>
      </c>
      <c r="V536">
        <v>8.0000000000000004E-4</v>
      </c>
      <c r="W536">
        <v>1.5E-3</v>
      </c>
      <c r="X536">
        <v>3.0999999999999999E-3</v>
      </c>
      <c r="Y536">
        <v>8.3000000000000001E-3</v>
      </c>
      <c r="Z536">
        <v>1.29E-2</v>
      </c>
      <c r="AA536">
        <v>1.6299999999999999E-2</v>
      </c>
      <c r="AB536">
        <v>2.2400000000000003E-2</v>
      </c>
      <c r="AC536">
        <v>2.3399999999999997E-2</v>
      </c>
      <c r="AE536">
        <f t="shared" si="101"/>
        <v>0</v>
      </c>
      <c r="AF536">
        <f t="shared" si="102"/>
        <v>0</v>
      </c>
      <c r="AG536">
        <f t="shared" si="103"/>
        <v>-1.9999999999999998E-4</v>
      </c>
      <c r="AH536">
        <f t="shared" si="104"/>
        <v>-9.9999999999999991E-5</v>
      </c>
      <c r="AI536">
        <f t="shared" si="105"/>
        <v>2.0000000000000009E-4</v>
      </c>
      <c r="AJ536">
        <f t="shared" si="106"/>
        <v>0</v>
      </c>
      <c r="AK536">
        <f t="shared" si="107"/>
        <v>-1.0000000000000026E-4</v>
      </c>
      <c r="AL536">
        <f t="shared" si="108"/>
        <v>-3.9999999999999931E-4</v>
      </c>
      <c r="AM536">
        <f t="shared" si="109"/>
        <v>-5.0000000000000044E-4</v>
      </c>
      <c r="AN536">
        <f t="shared" si="110"/>
        <v>-5.9999999999999984E-4</v>
      </c>
      <c r="AO536">
        <f t="shared" si="111"/>
        <v>-4.9999999999999697E-4</v>
      </c>
      <c r="AP536">
        <f t="shared" si="112"/>
        <v>-4.0000000000000105E-4</v>
      </c>
    </row>
    <row r="537" spans="17:42" x14ac:dyDescent="0.25">
      <c r="Q537" s="1">
        <v>44277</v>
      </c>
      <c r="R537">
        <v>2.0000000000000001E-4</v>
      </c>
      <c r="S537">
        <v>2.0000000000000001E-4</v>
      </c>
      <c r="T537">
        <v>2.9999999999999997E-4</v>
      </c>
      <c r="U537">
        <v>5.0000000000000001E-4</v>
      </c>
      <c r="V537">
        <v>5.9999999999999995E-4</v>
      </c>
      <c r="W537">
        <v>1.5E-3</v>
      </c>
      <c r="X537">
        <v>3.2000000000000002E-3</v>
      </c>
      <c r="Y537">
        <v>8.6999999999999994E-3</v>
      </c>
      <c r="Z537">
        <v>1.34E-2</v>
      </c>
      <c r="AA537">
        <v>1.6899999999999998E-2</v>
      </c>
      <c r="AB537">
        <v>2.29E-2</v>
      </c>
      <c r="AC537">
        <v>2.3799999999999998E-2</v>
      </c>
      <c r="AE537">
        <f t="shared" si="101"/>
        <v>1E-4</v>
      </c>
      <c r="AF537">
        <f t="shared" si="102"/>
        <v>1E-4</v>
      </c>
      <c r="AG537">
        <f t="shared" si="103"/>
        <v>1.9999999999999998E-4</v>
      </c>
      <c r="AH537">
        <f t="shared" si="104"/>
        <v>2.0000000000000004E-4</v>
      </c>
      <c r="AI537">
        <f t="shared" si="105"/>
        <v>-1.0000000000000015E-4</v>
      </c>
      <c r="AJ537">
        <f t="shared" si="106"/>
        <v>-1.0000000000000005E-4</v>
      </c>
      <c r="AK537">
        <f t="shared" si="107"/>
        <v>-9.9999999999999829E-5</v>
      </c>
      <c r="AL537">
        <f t="shared" si="108"/>
        <v>-3.0000000000000165E-4</v>
      </c>
      <c r="AM537">
        <f t="shared" si="109"/>
        <v>-3.9999999999999931E-4</v>
      </c>
      <c r="AN537">
        <f t="shared" si="110"/>
        <v>-5.0000000000000044E-4</v>
      </c>
      <c r="AO537">
        <f t="shared" si="111"/>
        <v>-6.9999999999999923E-4</v>
      </c>
      <c r="AP537">
        <f t="shared" si="112"/>
        <v>-7.000000000000027E-4</v>
      </c>
    </row>
    <row r="538" spans="17:42" x14ac:dyDescent="0.25">
      <c r="Q538" s="1">
        <v>44274</v>
      </c>
      <c r="R538">
        <v>1E-4</v>
      </c>
      <c r="S538">
        <v>1E-4</v>
      </c>
      <c r="T538">
        <v>1E-4</v>
      </c>
      <c r="U538">
        <v>2.9999999999999997E-4</v>
      </c>
      <c r="V538">
        <v>7.000000000000001E-4</v>
      </c>
      <c r="W538">
        <v>1.6000000000000001E-3</v>
      </c>
      <c r="X538">
        <v>3.3E-3</v>
      </c>
      <c r="Y538">
        <v>9.0000000000000011E-3</v>
      </c>
      <c r="Z538">
        <v>1.38E-2</v>
      </c>
      <c r="AA538">
        <v>1.7399999999999999E-2</v>
      </c>
      <c r="AB538">
        <v>2.3599999999999999E-2</v>
      </c>
      <c r="AC538">
        <v>2.4500000000000001E-2</v>
      </c>
      <c r="AE538">
        <f t="shared" si="101"/>
        <v>0</v>
      </c>
      <c r="AF538">
        <f t="shared" si="102"/>
        <v>0</v>
      </c>
      <c r="AG538">
        <f t="shared" si="103"/>
        <v>0</v>
      </c>
      <c r="AH538">
        <f t="shared" si="104"/>
        <v>0</v>
      </c>
      <c r="AI538">
        <f t="shared" si="105"/>
        <v>-9.9999999999999937E-5</v>
      </c>
      <c r="AJ538">
        <f t="shared" si="106"/>
        <v>0</v>
      </c>
      <c r="AK538">
        <f t="shared" si="107"/>
        <v>0</v>
      </c>
      <c r="AL538">
        <f t="shared" si="108"/>
        <v>4.0000000000000105E-4</v>
      </c>
      <c r="AM538">
        <f t="shared" si="109"/>
        <v>2.9999999999999818E-4</v>
      </c>
      <c r="AN538">
        <f t="shared" si="110"/>
        <v>2.9999999999999818E-4</v>
      </c>
      <c r="AO538">
        <f t="shared" si="111"/>
        <v>0</v>
      </c>
      <c r="AP538">
        <f t="shared" si="112"/>
        <v>0</v>
      </c>
    </row>
    <row r="539" spans="17:42" x14ac:dyDescent="0.25">
      <c r="Q539" s="1">
        <v>44273</v>
      </c>
      <c r="R539">
        <v>1E-4</v>
      </c>
      <c r="S539">
        <v>1E-4</v>
      </c>
      <c r="T539">
        <v>1E-4</v>
      </c>
      <c r="U539">
        <v>2.9999999999999997E-4</v>
      </c>
      <c r="V539">
        <v>8.0000000000000004E-4</v>
      </c>
      <c r="W539">
        <v>1.6000000000000001E-3</v>
      </c>
      <c r="X539">
        <v>3.3E-3</v>
      </c>
      <c r="Y539">
        <v>8.6E-3</v>
      </c>
      <c r="Z539">
        <v>1.3500000000000002E-2</v>
      </c>
      <c r="AA539">
        <v>1.7100000000000001E-2</v>
      </c>
      <c r="AB539">
        <v>2.3599999999999999E-2</v>
      </c>
      <c r="AC539">
        <v>2.4500000000000001E-2</v>
      </c>
      <c r="AE539">
        <f t="shared" si="101"/>
        <v>0</v>
      </c>
      <c r="AF539">
        <f t="shared" si="102"/>
        <v>-1E-4</v>
      </c>
      <c r="AG539">
        <f t="shared" si="103"/>
        <v>-1E-4</v>
      </c>
      <c r="AH539">
        <f t="shared" si="104"/>
        <v>-2.0000000000000004E-4</v>
      </c>
      <c r="AI539">
        <f t="shared" si="105"/>
        <v>9.9999999999999937E-5</v>
      </c>
      <c r="AJ539">
        <f t="shared" si="106"/>
        <v>3.0000000000000014E-4</v>
      </c>
      <c r="AK539">
        <f t="shared" si="107"/>
        <v>4.0000000000000018E-4</v>
      </c>
      <c r="AL539">
        <f t="shared" si="108"/>
        <v>5.9999999999999984E-4</v>
      </c>
      <c r="AM539">
        <f t="shared" si="109"/>
        <v>8.000000000000021E-4</v>
      </c>
      <c r="AN539">
        <f t="shared" si="110"/>
        <v>8.000000000000021E-4</v>
      </c>
      <c r="AO539">
        <f t="shared" si="111"/>
        <v>4.0000000000000105E-4</v>
      </c>
      <c r="AP539">
        <f t="shared" si="112"/>
        <v>3.0000000000000165E-4</v>
      </c>
    </row>
    <row r="540" spans="17:42" x14ac:dyDescent="0.25">
      <c r="Q540" s="1">
        <v>44272</v>
      </c>
      <c r="R540">
        <v>1E-4</v>
      </c>
      <c r="S540">
        <v>2.0000000000000001E-4</v>
      </c>
      <c r="T540">
        <v>2.0000000000000001E-4</v>
      </c>
      <c r="U540">
        <v>5.0000000000000001E-4</v>
      </c>
      <c r="V540">
        <v>7.000000000000001E-4</v>
      </c>
      <c r="W540">
        <v>1.2999999999999999E-3</v>
      </c>
      <c r="X540">
        <v>2.8999999999999998E-3</v>
      </c>
      <c r="Y540">
        <v>8.0000000000000002E-3</v>
      </c>
      <c r="Z540">
        <v>1.2699999999999999E-2</v>
      </c>
      <c r="AA540">
        <v>1.6299999999999999E-2</v>
      </c>
      <c r="AB540">
        <v>2.3199999999999998E-2</v>
      </c>
      <c r="AC540">
        <v>2.4199999999999999E-2</v>
      </c>
      <c r="AE540">
        <f t="shared" si="101"/>
        <v>0</v>
      </c>
      <c r="AF540">
        <f t="shared" si="102"/>
        <v>0</v>
      </c>
      <c r="AG540">
        <f t="shared" si="103"/>
        <v>0</v>
      </c>
      <c r="AH540">
        <f t="shared" si="104"/>
        <v>-9.9999999999999937E-5</v>
      </c>
      <c r="AI540">
        <f t="shared" si="105"/>
        <v>0</v>
      </c>
      <c r="AJ540">
        <f t="shared" si="106"/>
        <v>-2.0000000000000009E-4</v>
      </c>
      <c r="AK540">
        <f t="shared" si="107"/>
        <v>-4.0000000000000018E-4</v>
      </c>
      <c r="AL540">
        <f t="shared" si="108"/>
        <v>-2.9999999999999992E-4</v>
      </c>
      <c r="AM540">
        <f t="shared" si="109"/>
        <v>-1.0000000000000113E-4</v>
      </c>
      <c r="AN540">
        <f t="shared" si="110"/>
        <v>9.9999999999995925E-5</v>
      </c>
      <c r="AO540">
        <f t="shared" si="111"/>
        <v>1.9999999999999879E-4</v>
      </c>
      <c r="AP540">
        <f t="shared" si="112"/>
        <v>4.0000000000000105E-4</v>
      </c>
    </row>
    <row r="541" spans="17:42" x14ac:dyDescent="0.25">
      <c r="Q541" s="1">
        <v>44271</v>
      </c>
      <c r="R541">
        <v>1E-4</v>
      </c>
      <c r="S541">
        <v>2.0000000000000001E-4</v>
      </c>
      <c r="T541">
        <v>2.0000000000000001E-4</v>
      </c>
      <c r="U541">
        <v>5.9999999999999995E-4</v>
      </c>
      <c r="V541">
        <v>7.000000000000001E-4</v>
      </c>
      <c r="W541">
        <v>1.5E-3</v>
      </c>
      <c r="X541">
        <v>3.3E-3</v>
      </c>
      <c r="Y541">
        <v>8.3000000000000001E-3</v>
      </c>
      <c r="Z541">
        <v>1.2800000000000001E-2</v>
      </c>
      <c r="AA541">
        <v>1.6200000000000003E-2</v>
      </c>
      <c r="AB541">
        <v>2.3E-2</v>
      </c>
      <c r="AC541">
        <v>2.3799999999999998E-2</v>
      </c>
      <c r="AE541">
        <f t="shared" si="101"/>
        <v>-1E-4</v>
      </c>
      <c r="AF541">
        <f t="shared" si="102"/>
        <v>0</v>
      </c>
      <c r="AG541">
        <f t="shared" si="103"/>
        <v>-2.0000000000000001E-4</v>
      </c>
      <c r="AH541">
        <f t="shared" si="104"/>
        <v>0</v>
      </c>
      <c r="AI541">
        <f t="shared" si="105"/>
        <v>-9.9999999999999937E-5</v>
      </c>
      <c r="AJ541">
        <f t="shared" si="106"/>
        <v>9.9999999999999829E-5</v>
      </c>
      <c r="AK541">
        <f t="shared" si="107"/>
        <v>0</v>
      </c>
      <c r="AL541">
        <f t="shared" si="108"/>
        <v>-9.9999999999999395E-5</v>
      </c>
      <c r="AM541">
        <f t="shared" si="109"/>
        <v>0</v>
      </c>
      <c r="AN541">
        <f t="shared" si="110"/>
        <v>0</v>
      </c>
      <c r="AO541">
        <f t="shared" si="111"/>
        <v>2.9999999999999818E-4</v>
      </c>
      <c r="AP541">
        <f t="shared" si="112"/>
        <v>9.9999999999995925E-5</v>
      </c>
    </row>
    <row r="542" spans="17:42" x14ac:dyDescent="0.25">
      <c r="Q542" s="1">
        <v>44270</v>
      </c>
      <c r="R542">
        <v>2.0000000000000001E-4</v>
      </c>
      <c r="S542">
        <v>2.0000000000000001E-4</v>
      </c>
      <c r="T542">
        <v>4.0000000000000002E-4</v>
      </c>
      <c r="U542">
        <v>5.9999999999999995E-4</v>
      </c>
      <c r="V542">
        <v>8.0000000000000004E-4</v>
      </c>
      <c r="W542">
        <v>1.4000000000000002E-3</v>
      </c>
      <c r="X542">
        <v>3.3E-3</v>
      </c>
      <c r="Y542">
        <v>8.3999999999999995E-3</v>
      </c>
      <c r="Z542">
        <v>1.2800000000000001E-2</v>
      </c>
      <c r="AA542">
        <v>1.6200000000000003E-2</v>
      </c>
      <c r="AB542">
        <v>2.2700000000000001E-2</v>
      </c>
      <c r="AC542">
        <v>2.3700000000000002E-2</v>
      </c>
      <c r="AE542">
        <f t="shared" si="101"/>
        <v>-9.9999999999999964E-5</v>
      </c>
      <c r="AF542">
        <f t="shared" si="102"/>
        <v>-9.9999999999999964E-5</v>
      </c>
      <c r="AG542">
        <f t="shared" si="103"/>
        <v>0</v>
      </c>
      <c r="AH542">
        <f t="shared" si="104"/>
        <v>0</v>
      </c>
      <c r="AI542">
        <f t="shared" si="105"/>
        <v>-9.9999999999999937E-5</v>
      </c>
      <c r="AJ542">
        <f t="shared" si="106"/>
        <v>0</v>
      </c>
      <c r="AK542">
        <f t="shared" si="107"/>
        <v>-1.0000000000000026E-4</v>
      </c>
      <c r="AL542">
        <f t="shared" si="108"/>
        <v>-1.0000000000000113E-4</v>
      </c>
      <c r="AM542">
        <f t="shared" si="109"/>
        <v>-2.0000000000000052E-4</v>
      </c>
      <c r="AN542">
        <f t="shared" si="110"/>
        <v>-1.9999999999999532E-4</v>
      </c>
      <c r="AO542">
        <f t="shared" si="111"/>
        <v>-3.9999999999999758E-4</v>
      </c>
      <c r="AP542">
        <f t="shared" si="112"/>
        <v>-2.9999999999999818E-4</v>
      </c>
    </row>
    <row r="543" spans="17:42" x14ac:dyDescent="0.25">
      <c r="Q543" s="1">
        <v>44267</v>
      </c>
      <c r="R543">
        <v>2.9999999999999997E-4</v>
      </c>
      <c r="S543">
        <v>2.9999999999999997E-4</v>
      </c>
      <c r="T543">
        <v>4.0000000000000002E-4</v>
      </c>
      <c r="U543">
        <v>5.9999999999999995E-4</v>
      </c>
      <c r="V543">
        <v>8.9999999999999998E-4</v>
      </c>
      <c r="W543">
        <v>1.4000000000000002E-3</v>
      </c>
      <c r="X543">
        <v>3.4000000000000002E-3</v>
      </c>
      <c r="Y543">
        <v>8.5000000000000006E-3</v>
      </c>
      <c r="Z543">
        <v>1.3000000000000001E-2</v>
      </c>
      <c r="AA543">
        <v>1.6399999999999998E-2</v>
      </c>
      <c r="AB543">
        <v>2.3099999999999999E-2</v>
      </c>
      <c r="AC543">
        <v>2.4E-2</v>
      </c>
      <c r="AE543">
        <f t="shared" si="101"/>
        <v>-1.0000000000000005E-4</v>
      </c>
      <c r="AF543">
        <f t="shared" si="102"/>
        <v>-1.0000000000000005E-4</v>
      </c>
      <c r="AG543">
        <f t="shared" si="103"/>
        <v>0</v>
      </c>
      <c r="AH543">
        <f t="shared" si="104"/>
        <v>9.9999999999999937E-5</v>
      </c>
      <c r="AI543">
        <f t="shared" si="105"/>
        <v>9.9999999999999937E-5</v>
      </c>
      <c r="AJ543">
        <f t="shared" si="106"/>
        <v>0</v>
      </c>
      <c r="AK543">
        <f t="shared" si="107"/>
        <v>3.0000000000000035E-4</v>
      </c>
      <c r="AL543">
        <f t="shared" si="108"/>
        <v>7.000000000000001E-4</v>
      </c>
      <c r="AM543">
        <f t="shared" si="109"/>
        <v>1.0000000000000009E-3</v>
      </c>
      <c r="AN543">
        <f t="shared" si="110"/>
        <v>9.9999999999999742E-4</v>
      </c>
      <c r="AO543">
        <f t="shared" si="111"/>
        <v>1.2999999999999991E-3</v>
      </c>
      <c r="AP543">
        <f t="shared" si="112"/>
        <v>1.1000000000000003E-3</v>
      </c>
    </row>
    <row r="544" spans="17:42" x14ac:dyDescent="0.25">
      <c r="Q544" s="1">
        <v>44266</v>
      </c>
      <c r="R544">
        <v>4.0000000000000002E-4</v>
      </c>
      <c r="S544">
        <v>4.0000000000000002E-4</v>
      </c>
      <c r="T544">
        <v>4.0000000000000002E-4</v>
      </c>
      <c r="U544">
        <v>5.0000000000000001E-4</v>
      </c>
      <c r="V544">
        <v>8.0000000000000004E-4</v>
      </c>
      <c r="W544">
        <v>1.4000000000000002E-3</v>
      </c>
      <c r="X544">
        <v>3.0999999999999999E-3</v>
      </c>
      <c r="Y544">
        <v>7.8000000000000005E-3</v>
      </c>
      <c r="Z544">
        <v>1.2E-2</v>
      </c>
      <c r="AA544">
        <v>1.54E-2</v>
      </c>
      <c r="AB544">
        <v>2.18E-2</v>
      </c>
      <c r="AC544">
        <v>2.29E-2</v>
      </c>
      <c r="AE544">
        <f t="shared" si="101"/>
        <v>1.0000000000000005E-4</v>
      </c>
      <c r="AF544">
        <f t="shared" si="102"/>
        <v>1.0000000000000005E-4</v>
      </c>
      <c r="AG544">
        <f t="shared" si="103"/>
        <v>0</v>
      </c>
      <c r="AH544">
        <f t="shared" si="104"/>
        <v>-9.9999999999999937E-5</v>
      </c>
      <c r="AI544">
        <f t="shared" si="105"/>
        <v>0</v>
      </c>
      <c r="AJ544">
        <f t="shared" si="106"/>
        <v>-1.9999999999999987E-4</v>
      </c>
      <c r="AK544">
        <f t="shared" si="107"/>
        <v>-1.0000000000000026E-4</v>
      </c>
      <c r="AL544">
        <f t="shared" si="108"/>
        <v>-1.9999999999999966E-4</v>
      </c>
      <c r="AM544">
        <f t="shared" si="109"/>
        <v>0</v>
      </c>
      <c r="AN544">
        <f t="shared" si="110"/>
        <v>9.9999999999999395E-5</v>
      </c>
      <c r="AO544">
        <f t="shared" si="111"/>
        <v>3.0000000000000165E-4</v>
      </c>
      <c r="AP544">
        <f t="shared" si="112"/>
        <v>4.9999999999999697E-4</v>
      </c>
    </row>
    <row r="545" spans="17:42" x14ac:dyDescent="0.25">
      <c r="Q545" s="1">
        <v>44265</v>
      </c>
      <c r="R545">
        <v>2.9999999999999997E-4</v>
      </c>
      <c r="S545">
        <v>2.9999999999999997E-4</v>
      </c>
      <c r="T545">
        <v>4.0000000000000002E-4</v>
      </c>
      <c r="U545">
        <v>5.9999999999999995E-4</v>
      </c>
      <c r="V545">
        <v>8.0000000000000004E-4</v>
      </c>
      <c r="W545">
        <v>1.6000000000000001E-3</v>
      </c>
      <c r="X545">
        <v>3.2000000000000002E-3</v>
      </c>
      <c r="Y545">
        <v>8.0000000000000002E-3</v>
      </c>
      <c r="Z545">
        <v>1.2E-2</v>
      </c>
      <c r="AA545">
        <v>1.5300000000000001E-2</v>
      </c>
      <c r="AB545">
        <v>2.1499999999999998E-2</v>
      </c>
      <c r="AC545">
        <v>2.2400000000000003E-2</v>
      </c>
      <c r="AE545">
        <f t="shared" si="101"/>
        <v>-1.0000000000000005E-4</v>
      </c>
      <c r="AF545">
        <f t="shared" si="102"/>
        <v>-1.0000000000000005E-4</v>
      </c>
      <c r="AG545">
        <f t="shared" si="103"/>
        <v>-9.9999999999999991E-5</v>
      </c>
      <c r="AH545">
        <f t="shared" si="104"/>
        <v>-1.0000000000000015E-4</v>
      </c>
      <c r="AI545">
        <f t="shared" si="105"/>
        <v>-1.9999999999999998E-4</v>
      </c>
      <c r="AJ545">
        <f t="shared" si="106"/>
        <v>-1.0000000000000005E-4</v>
      </c>
      <c r="AK545">
        <f t="shared" si="107"/>
        <v>-2.9999999999999949E-4</v>
      </c>
      <c r="AL545">
        <f t="shared" si="108"/>
        <v>-2.9999999999999992E-4</v>
      </c>
      <c r="AM545">
        <f t="shared" si="109"/>
        <v>-2.9999999999999992E-4</v>
      </c>
      <c r="AN545">
        <f t="shared" si="110"/>
        <v>-1.9999999999999879E-4</v>
      </c>
      <c r="AO545">
        <f t="shared" si="111"/>
        <v>-1.0000000000000286E-4</v>
      </c>
      <c r="AP545">
        <f t="shared" si="112"/>
        <v>-1.9999999999999532E-4</v>
      </c>
    </row>
    <row r="546" spans="17:42" x14ac:dyDescent="0.25">
      <c r="Q546" s="1">
        <v>44264</v>
      </c>
      <c r="R546">
        <v>4.0000000000000002E-4</v>
      </c>
      <c r="S546">
        <v>4.0000000000000002E-4</v>
      </c>
      <c r="T546">
        <v>5.0000000000000001E-4</v>
      </c>
      <c r="U546">
        <v>7.000000000000001E-4</v>
      </c>
      <c r="V546">
        <v>1E-3</v>
      </c>
      <c r="W546">
        <v>1.7000000000000001E-3</v>
      </c>
      <c r="X546">
        <v>3.4999999999999996E-3</v>
      </c>
      <c r="Y546">
        <v>8.3000000000000001E-3</v>
      </c>
      <c r="Z546">
        <v>1.23E-2</v>
      </c>
      <c r="AA546">
        <v>1.55E-2</v>
      </c>
      <c r="AB546">
        <v>2.1600000000000001E-2</v>
      </c>
      <c r="AC546">
        <v>2.2599999999999999E-2</v>
      </c>
      <c r="AE546">
        <f t="shared" si="101"/>
        <v>0</v>
      </c>
      <c r="AF546">
        <f t="shared" si="102"/>
        <v>0</v>
      </c>
      <c r="AG546">
        <f t="shared" si="103"/>
        <v>0</v>
      </c>
      <c r="AH546">
        <f t="shared" si="104"/>
        <v>1.0000000000000015E-4</v>
      </c>
      <c r="AI546">
        <f t="shared" si="105"/>
        <v>1.0000000000000005E-4</v>
      </c>
      <c r="AJ546">
        <f t="shared" si="106"/>
        <v>0</v>
      </c>
      <c r="AK546">
        <f t="shared" si="107"/>
        <v>9.9999999999999395E-5</v>
      </c>
      <c r="AL546">
        <f t="shared" si="108"/>
        <v>-2.9999999999999992E-4</v>
      </c>
      <c r="AM546">
        <f t="shared" si="109"/>
        <v>-5.0000000000000044E-4</v>
      </c>
      <c r="AN546">
        <f t="shared" si="110"/>
        <v>-4.0000000000000105E-4</v>
      </c>
      <c r="AO546">
        <f t="shared" si="111"/>
        <v>-4.0000000000000105E-4</v>
      </c>
      <c r="AP546">
        <f t="shared" si="112"/>
        <v>-5.0000000000000044E-4</v>
      </c>
    </row>
    <row r="547" spans="17:42" x14ac:dyDescent="0.25">
      <c r="Q547" s="1">
        <v>44263</v>
      </c>
      <c r="R547">
        <v>4.0000000000000002E-4</v>
      </c>
      <c r="S547">
        <v>4.0000000000000002E-4</v>
      </c>
      <c r="T547">
        <v>5.0000000000000001E-4</v>
      </c>
      <c r="U547">
        <v>5.9999999999999995E-4</v>
      </c>
      <c r="V547">
        <v>8.9999999999999998E-4</v>
      </c>
      <c r="W547">
        <v>1.7000000000000001E-3</v>
      </c>
      <c r="X547">
        <v>3.4000000000000002E-3</v>
      </c>
      <c r="Y547">
        <v>8.6E-3</v>
      </c>
      <c r="Z547">
        <v>1.2800000000000001E-2</v>
      </c>
      <c r="AA547">
        <v>1.5900000000000001E-2</v>
      </c>
      <c r="AB547">
        <v>2.2000000000000002E-2</v>
      </c>
      <c r="AC547">
        <v>2.3099999999999999E-2</v>
      </c>
      <c r="AE547">
        <f t="shared" si="101"/>
        <v>0</v>
      </c>
      <c r="AF547">
        <f t="shared" si="102"/>
        <v>0</v>
      </c>
      <c r="AG547">
        <f t="shared" si="103"/>
        <v>9.9999999999999991E-5</v>
      </c>
      <c r="AH547">
        <f t="shared" si="104"/>
        <v>-1.0000000000000015E-4</v>
      </c>
      <c r="AI547">
        <f t="shared" si="105"/>
        <v>9.9999999999999937E-5</v>
      </c>
      <c r="AJ547">
        <f t="shared" si="106"/>
        <v>2.9999999999999992E-4</v>
      </c>
      <c r="AK547">
        <f t="shared" si="107"/>
        <v>2.0000000000000009E-4</v>
      </c>
      <c r="AL547">
        <f t="shared" si="108"/>
        <v>6.9999999999999923E-4</v>
      </c>
      <c r="AM547">
        <f t="shared" si="109"/>
        <v>5.0000000000000044E-4</v>
      </c>
      <c r="AN547">
        <f t="shared" si="110"/>
        <v>2.9999999999999992E-4</v>
      </c>
      <c r="AO547">
        <f t="shared" si="111"/>
        <v>2.0000000000000226E-4</v>
      </c>
      <c r="AP547">
        <f t="shared" si="112"/>
        <v>3.0000000000000165E-4</v>
      </c>
    </row>
    <row r="548" spans="17:42" x14ac:dyDescent="0.25">
      <c r="Q548" s="1">
        <v>44260</v>
      </c>
      <c r="R548">
        <v>4.0000000000000002E-4</v>
      </c>
      <c r="S548">
        <v>4.0000000000000002E-4</v>
      </c>
      <c r="T548">
        <v>4.0000000000000002E-4</v>
      </c>
      <c r="U548">
        <v>7.000000000000001E-4</v>
      </c>
      <c r="V548">
        <v>8.0000000000000004E-4</v>
      </c>
      <c r="W548">
        <v>1.4000000000000002E-3</v>
      </c>
      <c r="X548">
        <v>3.2000000000000002E-3</v>
      </c>
      <c r="Y548">
        <v>7.9000000000000008E-3</v>
      </c>
      <c r="Z548">
        <v>1.23E-2</v>
      </c>
      <c r="AA548">
        <v>1.5600000000000001E-2</v>
      </c>
      <c r="AB548">
        <v>2.18E-2</v>
      </c>
      <c r="AC548">
        <v>2.2799999999999997E-2</v>
      </c>
      <c r="AE548">
        <f t="shared" si="101"/>
        <v>1.0000000000000005E-4</v>
      </c>
      <c r="AF548">
        <f t="shared" si="102"/>
        <v>-9.9999999999999991E-5</v>
      </c>
      <c r="AG548">
        <f t="shared" si="103"/>
        <v>0</v>
      </c>
      <c r="AH548">
        <f t="shared" si="104"/>
        <v>0</v>
      </c>
      <c r="AI548">
        <f t="shared" si="105"/>
        <v>0</v>
      </c>
      <c r="AJ548">
        <f t="shared" si="106"/>
        <v>0</v>
      </c>
      <c r="AK548">
        <f t="shared" si="107"/>
        <v>0</v>
      </c>
      <c r="AL548">
        <f t="shared" si="108"/>
        <v>2.0000000000000052E-4</v>
      </c>
      <c r="AM548">
        <f t="shared" si="109"/>
        <v>2.0000000000000052E-4</v>
      </c>
      <c r="AN548">
        <f t="shared" si="110"/>
        <v>2.0000000000000052E-4</v>
      </c>
      <c r="AO548">
        <f t="shared" si="111"/>
        <v>0</v>
      </c>
      <c r="AP548">
        <f t="shared" si="112"/>
        <v>-2.0000000000000226E-4</v>
      </c>
    </row>
    <row r="549" spans="17:42" x14ac:dyDescent="0.25">
      <c r="Q549" s="1">
        <v>44259</v>
      </c>
      <c r="R549">
        <v>2.9999999999999997E-4</v>
      </c>
      <c r="S549">
        <v>5.0000000000000001E-4</v>
      </c>
      <c r="T549">
        <v>4.0000000000000002E-4</v>
      </c>
      <c r="U549">
        <v>7.000000000000001E-4</v>
      </c>
      <c r="V549">
        <v>8.0000000000000004E-4</v>
      </c>
      <c r="W549">
        <v>1.4000000000000002E-3</v>
      </c>
      <c r="X549">
        <v>3.2000000000000002E-3</v>
      </c>
      <c r="Y549">
        <v>7.7000000000000002E-3</v>
      </c>
      <c r="Z549">
        <v>1.21E-2</v>
      </c>
      <c r="AA549">
        <v>1.54E-2</v>
      </c>
      <c r="AB549">
        <v>2.18E-2</v>
      </c>
      <c r="AC549">
        <v>2.3E-2</v>
      </c>
      <c r="AE549">
        <f t="shared" si="101"/>
        <v>-1.0000000000000005E-4</v>
      </c>
      <c r="AF549">
        <f t="shared" si="102"/>
        <v>9.9999999999999991E-5</v>
      </c>
      <c r="AG549">
        <f t="shared" si="103"/>
        <v>-9.9999999999999991E-5</v>
      </c>
      <c r="AH549">
        <f t="shared" si="104"/>
        <v>0</v>
      </c>
      <c r="AI549">
        <f t="shared" si="105"/>
        <v>0</v>
      </c>
      <c r="AJ549">
        <f t="shared" si="106"/>
        <v>0</v>
      </c>
      <c r="AK549">
        <f t="shared" si="107"/>
        <v>3.0000000000000035E-4</v>
      </c>
      <c r="AL549">
        <f t="shared" si="108"/>
        <v>4.0000000000000018E-4</v>
      </c>
      <c r="AM549">
        <f t="shared" si="109"/>
        <v>7.0000000000000097E-4</v>
      </c>
      <c r="AN549">
        <f t="shared" si="110"/>
        <v>7.0000000000000097E-4</v>
      </c>
      <c r="AO549">
        <f t="shared" si="111"/>
        <v>5.9999999999999984E-4</v>
      </c>
      <c r="AP549">
        <f t="shared" si="112"/>
        <v>5.0000000000000044E-4</v>
      </c>
    </row>
    <row r="550" spans="17:42" x14ac:dyDescent="0.25">
      <c r="Q550" s="1">
        <v>44258</v>
      </c>
      <c r="R550">
        <v>4.0000000000000002E-4</v>
      </c>
      <c r="S550">
        <v>4.0000000000000002E-4</v>
      </c>
      <c r="T550">
        <v>5.0000000000000001E-4</v>
      </c>
      <c r="U550">
        <v>7.000000000000001E-4</v>
      </c>
      <c r="V550">
        <v>8.0000000000000004E-4</v>
      </c>
      <c r="W550">
        <v>1.4000000000000002E-3</v>
      </c>
      <c r="X550">
        <v>2.8999999999999998E-3</v>
      </c>
      <c r="Y550">
        <v>7.3000000000000001E-3</v>
      </c>
      <c r="Z550">
        <v>1.1399999999999999E-2</v>
      </c>
      <c r="AA550">
        <v>1.47E-2</v>
      </c>
      <c r="AB550">
        <v>2.12E-2</v>
      </c>
      <c r="AC550">
        <v>2.2499999999999999E-2</v>
      </c>
      <c r="AE550">
        <f t="shared" si="101"/>
        <v>0</v>
      </c>
      <c r="AF550">
        <f t="shared" si="102"/>
        <v>0</v>
      </c>
      <c r="AG550">
        <f t="shared" si="103"/>
        <v>9.9999999999999991E-5</v>
      </c>
      <c r="AH550">
        <f t="shared" si="104"/>
        <v>1.0000000000000015E-4</v>
      </c>
      <c r="AI550">
        <f t="shared" si="105"/>
        <v>0</v>
      </c>
      <c r="AJ550">
        <f t="shared" si="106"/>
        <v>1.0000000000000026E-4</v>
      </c>
      <c r="AK550">
        <f t="shared" si="107"/>
        <v>2.9999999999999992E-4</v>
      </c>
      <c r="AL550">
        <f t="shared" si="108"/>
        <v>5.9999999999999984E-4</v>
      </c>
      <c r="AM550">
        <f t="shared" si="109"/>
        <v>5.999999999999981E-4</v>
      </c>
      <c r="AN550">
        <f t="shared" si="110"/>
        <v>5.0000000000000044E-4</v>
      </c>
      <c r="AO550">
        <f t="shared" si="111"/>
        <v>3.0000000000000165E-4</v>
      </c>
      <c r="AP550">
        <f t="shared" si="112"/>
        <v>4.0000000000000105E-4</v>
      </c>
    </row>
    <row r="551" spans="17:42" x14ac:dyDescent="0.25">
      <c r="Q551" s="1">
        <v>44257</v>
      </c>
      <c r="R551">
        <v>4.0000000000000002E-4</v>
      </c>
      <c r="S551">
        <v>4.0000000000000002E-4</v>
      </c>
      <c r="T551">
        <v>4.0000000000000002E-4</v>
      </c>
      <c r="U551">
        <v>5.9999999999999995E-4</v>
      </c>
      <c r="V551">
        <v>8.0000000000000004E-4</v>
      </c>
      <c r="W551">
        <v>1.2999999999999999E-3</v>
      </c>
      <c r="X551">
        <v>2.5999999999999999E-3</v>
      </c>
      <c r="Y551">
        <v>6.7000000000000002E-3</v>
      </c>
      <c r="Z551">
        <v>1.0800000000000001E-2</v>
      </c>
      <c r="AA551">
        <v>1.4199999999999999E-2</v>
      </c>
      <c r="AB551">
        <v>2.0899999999999998E-2</v>
      </c>
      <c r="AC551">
        <v>2.2099999999999998E-2</v>
      </c>
      <c r="AE551">
        <f t="shared" si="101"/>
        <v>1.0000000000000005E-4</v>
      </c>
      <c r="AF551">
        <f t="shared" si="102"/>
        <v>1.0000000000000005E-4</v>
      </c>
      <c r="AG551">
        <f t="shared" si="103"/>
        <v>-9.9999999999999991E-5</v>
      </c>
      <c r="AH551">
        <f t="shared" si="104"/>
        <v>-1.0000000000000015E-4</v>
      </c>
      <c r="AI551">
        <f t="shared" si="105"/>
        <v>0</v>
      </c>
      <c r="AJ551">
        <f t="shared" si="106"/>
        <v>0</v>
      </c>
      <c r="AK551">
        <f t="shared" si="107"/>
        <v>-1.0000000000000026E-4</v>
      </c>
      <c r="AL551">
        <f t="shared" si="108"/>
        <v>-3.9999999999999931E-4</v>
      </c>
      <c r="AM551">
        <f t="shared" si="109"/>
        <v>-4.0000000000000105E-4</v>
      </c>
      <c r="AN551">
        <f t="shared" si="110"/>
        <v>-2.9999999999999992E-4</v>
      </c>
      <c r="AO551">
        <f t="shared" si="111"/>
        <v>-1.9999999999999879E-4</v>
      </c>
      <c r="AP551">
        <f t="shared" si="112"/>
        <v>-2.0000000000000226E-4</v>
      </c>
    </row>
    <row r="552" spans="17:42" x14ac:dyDescent="0.25">
      <c r="Q552" s="1">
        <v>44256</v>
      </c>
      <c r="R552">
        <v>2.9999999999999997E-4</v>
      </c>
      <c r="S552">
        <v>2.9999999999999997E-4</v>
      </c>
      <c r="T552">
        <v>5.0000000000000001E-4</v>
      </c>
      <c r="U552">
        <v>7.000000000000001E-4</v>
      </c>
      <c r="V552">
        <v>8.0000000000000004E-4</v>
      </c>
      <c r="W552">
        <v>1.2999999999999999E-3</v>
      </c>
      <c r="X552">
        <v>2.7000000000000001E-3</v>
      </c>
      <c r="Y552">
        <v>7.0999999999999995E-3</v>
      </c>
      <c r="Z552">
        <v>1.1200000000000002E-2</v>
      </c>
      <c r="AA552">
        <v>1.4499999999999999E-2</v>
      </c>
      <c r="AB552">
        <v>2.1099999999999997E-2</v>
      </c>
      <c r="AC552">
        <v>2.23E-2</v>
      </c>
      <c r="AE552">
        <f t="shared" si="101"/>
        <v>-1.0000000000000005E-4</v>
      </c>
      <c r="AF552">
        <f t="shared" si="102"/>
        <v>-1.0000000000000005E-4</v>
      </c>
      <c r="AG552">
        <f t="shared" si="103"/>
        <v>9.9999999999999991E-5</v>
      </c>
      <c r="AH552">
        <f t="shared" si="104"/>
        <v>2.0000000000000009E-4</v>
      </c>
      <c r="AI552">
        <f t="shared" si="105"/>
        <v>0</v>
      </c>
      <c r="AJ552">
        <f t="shared" si="106"/>
        <v>-1.0000000000000026E-4</v>
      </c>
      <c r="AK552">
        <f t="shared" si="107"/>
        <v>-2.9999999999999992E-4</v>
      </c>
      <c r="AL552">
        <f t="shared" si="108"/>
        <v>-4.0000000000000018E-4</v>
      </c>
      <c r="AM552">
        <f t="shared" si="109"/>
        <v>-2.9999999999999818E-4</v>
      </c>
      <c r="AN552">
        <f t="shared" si="110"/>
        <v>9.9999999999999395E-5</v>
      </c>
      <c r="AO552">
        <f t="shared" si="111"/>
        <v>2.9999999999999818E-4</v>
      </c>
      <c r="AP552">
        <f t="shared" si="112"/>
        <v>5.9999999999999984E-4</v>
      </c>
    </row>
    <row r="553" spans="17:42" x14ac:dyDescent="0.25">
      <c r="Q553" s="1">
        <v>44253</v>
      </c>
      <c r="R553">
        <v>4.0000000000000002E-4</v>
      </c>
      <c r="S553">
        <v>4.0000000000000002E-4</v>
      </c>
      <c r="T553">
        <v>4.0000000000000002E-4</v>
      </c>
      <c r="U553">
        <v>5.0000000000000001E-4</v>
      </c>
      <c r="V553">
        <v>8.0000000000000004E-4</v>
      </c>
      <c r="W553">
        <v>1.4000000000000002E-3</v>
      </c>
      <c r="X553">
        <v>3.0000000000000001E-3</v>
      </c>
      <c r="Y553">
        <v>7.4999999999999997E-3</v>
      </c>
      <c r="Z553">
        <v>1.15E-2</v>
      </c>
      <c r="AA553">
        <v>1.44E-2</v>
      </c>
      <c r="AB553">
        <v>2.0799999999999999E-2</v>
      </c>
      <c r="AC553">
        <v>2.1700000000000001E-2</v>
      </c>
      <c r="AE553">
        <f t="shared" si="101"/>
        <v>0</v>
      </c>
      <c r="AF553">
        <f t="shared" si="102"/>
        <v>1.0000000000000005E-4</v>
      </c>
      <c r="AG553">
        <f t="shared" si="103"/>
        <v>0</v>
      </c>
      <c r="AH553">
        <f t="shared" si="104"/>
        <v>-9.9999999999999937E-5</v>
      </c>
      <c r="AI553">
        <f t="shared" si="105"/>
        <v>-9.9999999999999937E-5</v>
      </c>
      <c r="AJ553">
        <f t="shared" si="106"/>
        <v>-2.9999999999999992E-4</v>
      </c>
      <c r="AK553">
        <f t="shared" si="107"/>
        <v>-4.0000000000000018E-4</v>
      </c>
      <c r="AL553">
        <f t="shared" si="108"/>
        <v>-6.0000000000000157E-4</v>
      </c>
      <c r="AM553">
        <f t="shared" si="109"/>
        <v>-8.0000000000000036E-4</v>
      </c>
      <c r="AN553">
        <f t="shared" si="110"/>
        <v>-1.0000000000000009E-3</v>
      </c>
      <c r="AO553">
        <f t="shared" si="111"/>
        <v>-1.7000000000000001E-3</v>
      </c>
      <c r="AP553">
        <f t="shared" si="112"/>
        <v>-1.6000000000000007E-3</v>
      </c>
    </row>
    <row r="554" spans="17:42" x14ac:dyDescent="0.25">
      <c r="Q554" s="1">
        <v>44252</v>
      </c>
      <c r="R554">
        <v>4.0000000000000002E-4</v>
      </c>
      <c r="S554">
        <v>2.9999999999999997E-4</v>
      </c>
      <c r="T554">
        <v>4.0000000000000002E-4</v>
      </c>
      <c r="U554">
        <v>5.9999999999999995E-4</v>
      </c>
      <c r="V554">
        <v>8.9999999999999998E-4</v>
      </c>
      <c r="W554">
        <v>1.7000000000000001E-3</v>
      </c>
      <c r="X554">
        <v>3.4000000000000002E-3</v>
      </c>
      <c r="Y554">
        <v>8.1000000000000013E-3</v>
      </c>
      <c r="Z554">
        <v>1.23E-2</v>
      </c>
      <c r="AA554">
        <v>1.54E-2</v>
      </c>
      <c r="AB554">
        <v>2.2499999999999999E-2</v>
      </c>
      <c r="AC554">
        <v>2.3300000000000001E-2</v>
      </c>
      <c r="AE554">
        <f t="shared" si="101"/>
        <v>1.0000000000000005E-4</v>
      </c>
      <c r="AF554">
        <f t="shared" si="102"/>
        <v>0</v>
      </c>
      <c r="AG554">
        <f t="shared" si="103"/>
        <v>1.0000000000000005E-4</v>
      </c>
      <c r="AH554">
        <f t="shared" si="104"/>
        <v>9.9999999999999937E-5</v>
      </c>
      <c r="AI554">
        <f t="shared" si="105"/>
        <v>9.9999999999999937E-5</v>
      </c>
      <c r="AJ554">
        <f t="shared" si="106"/>
        <v>5.0000000000000023E-4</v>
      </c>
      <c r="AK554">
        <f t="shared" si="107"/>
        <v>1.0000000000000005E-3</v>
      </c>
      <c r="AL554">
        <f t="shared" si="108"/>
        <v>1.9000000000000015E-3</v>
      </c>
      <c r="AM554">
        <f t="shared" si="109"/>
        <v>2.0999999999999994E-3</v>
      </c>
      <c r="AN554">
        <f t="shared" si="110"/>
        <v>1.6000000000000007E-3</v>
      </c>
      <c r="AO554">
        <f t="shared" si="111"/>
        <v>1.7999999999999995E-3</v>
      </c>
      <c r="AP554">
        <f t="shared" si="112"/>
        <v>8.9999999999999802E-4</v>
      </c>
    </row>
    <row r="555" spans="17:42" x14ac:dyDescent="0.25">
      <c r="Q555" s="1">
        <v>44251</v>
      </c>
      <c r="R555">
        <v>2.9999999999999997E-4</v>
      </c>
      <c r="S555">
        <v>2.9999999999999997E-4</v>
      </c>
      <c r="T555">
        <v>2.9999999999999997E-4</v>
      </c>
      <c r="U555">
        <v>5.0000000000000001E-4</v>
      </c>
      <c r="V555">
        <v>8.0000000000000004E-4</v>
      </c>
      <c r="W555">
        <v>1.1999999999999999E-3</v>
      </c>
      <c r="X555">
        <v>2.3999999999999998E-3</v>
      </c>
      <c r="Y555">
        <v>6.1999999999999998E-3</v>
      </c>
      <c r="Z555">
        <v>1.0200000000000001E-2</v>
      </c>
      <c r="AA555">
        <v>1.38E-2</v>
      </c>
      <c r="AB555">
        <v>2.07E-2</v>
      </c>
      <c r="AC555">
        <v>2.2400000000000003E-2</v>
      </c>
      <c r="AE555">
        <f t="shared" si="101"/>
        <v>0</v>
      </c>
      <c r="AF555">
        <f t="shared" si="102"/>
        <v>9.9999999999999964E-5</v>
      </c>
      <c r="AG555">
        <f t="shared" si="103"/>
        <v>-1.0000000000000005E-4</v>
      </c>
      <c r="AH555">
        <f t="shared" si="104"/>
        <v>0</v>
      </c>
      <c r="AI555">
        <f t="shared" si="105"/>
        <v>0</v>
      </c>
      <c r="AJ555">
        <f t="shared" si="106"/>
        <v>9.9999999999999829E-5</v>
      </c>
      <c r="AK555">
        <f t="shared" si="107"/>
        <v>1.9999999999999966E-4</v>
      </c>
      <c r="AL555">
        <f t="shared" si="108"/>
        <v>2.9999999999999992E-4</v>
      </c>
      <c r="AM555">
        <f t="shared" si="109"/>
        <v>2.0000000000000052E-4</v>
      </c>
      <c r="AN555">
        <f t="shared" si="110"/>
        <v>9.9999999999999395E-5</v>
      </c>
      <c r="AO555">
        <f t="shared" si="111"/>
        <v>4.0000000000000105E-4</v>
      </c>
      <c r="AP555">
        <f t="shared" si="112"/>
        <v>3.0000000000000512E-4</v>
      </c>
    </row>
    <row r="556" spans="17:42" x14ac:dyDescent="0.25">
      <c r="Q556" s="1">
        <v>44250</v>
      </c>
      <c r="R556">
        <v>2.9999999999999997E-4</v>
      </c>
      <c r="S556">
        <v>2.0000000000000001E-4</v>
      </c>
      <c r="T556">
        <v>4.0000000000000002E-4</v>
      </c>
      <c r="U556">
        <v>5.0000000000000001E-4</v>
      </c>
      <c r="V556">
        <v>8.0000000000000004E-4</v>
      </c>
      <c r="W556">
        <v>1.1000000000000001E-3</v>
      </c>
      <c r="X556">
        <v>2.2000000000000001E-3</v>
      </c>
      <c r="Y556">
        <v>5.8999999999999999E-3</v>
      </c>
      <c r="Z556">
        <v>0.01</v>
      </c>
      <c r="AA556">
        <v>1.37E-2</v>
      </c>
      <c r="AB556">
        <v>2.0299999999999999E-2</v>
      </c>
      <c r="AC556">
        <v>2.2099999999999998E-2</v>
      </c>
      <c r="AE556">
        <f t="shared" si="101"/>
        <v>0</v>
      </c>
      <c r="AF556">
        <f t="shared" si="102"/>
        <v>0</v>
      </c>
      <c r="AG556">
        <f t="shared" si="103"/>
        <v>1.0000000000000005E-4</v>
      </c>
      <c r="AH556">
        <f t="shared" si="104"/>
        <v>9.9999999999999991E-5</v>
      </c>
      <c r="AI556">
        <f t="shared" si="105"/>
        <v>2.0000000000000009E-4</v>
      </c>
      <c r="AJ556">
        <f t="shared" si="106"/>
        <v>0</v>
      </c>
      <c r="AK556">
        <f t="shared" si="107"/>
        <v>0</v>
      </c>
      <c r="AL556">
        <f t="shared" si="108"/>
        <v>-1.9999999999999966E-4</v>
      </c>
      <c r="AM556">
        <f t="shared" si="109"/>
        <v>0</v>
      </c>
      <c r="AN556">
        <f t="shared" si="110"/>
        <v>0</v>
      </c>
      <c r="AO556">
        <f t="shared" si="111"/>
        <v>9.9999999999999395E-5</v>
      </c>
      <c r="AP556">
        <f t="shared" si="112"/>
        <v>1.9999999999999879E-4</v>
      </c>
    </row>
    <row r="557" spans="17:42" x14ac:dyDescent="0.25">
      <c r="Q557" s="1">
        <v>44249</v>
      </c>
      <c r="R557">
        <v>2.9999999999999997E-4</v>
      </c>
      <c r="S557">
        <v>2.0000000000000001E-4</v>
      </c>
      <c r="T557">
        <v>2.9999999999999997E-4</v>
      </c>
      <c r="U557">
        <v>4.0000000000000002E-4</v>
      </c>
      <c r="V557">
        <v>5.9999999999999995E-4</v>
      </c>
      <c r="W557">
        <v>1.1000000000000001E-3</v>
      </c>
      <c r="X557">
        <v>2.2000000000000001E-3</v>
      </c>
      <c r="Y557">
        <v>6.0999999999999995E-3</v>
      </c>
      <c r="Z557">
        <v>0.01</v>
      </c>
      <c r="AA557">
        <v>1.37E-2</v>
      </c>
      <c r="AB557">
        <v>2.0199999999999999E-2</v>
      </c>
      <c r="AC557">
        <v>2.1899999999999999E-2</v>
      </c>
      <c r="AE557">
        <f t="shared" si="101"/>
        <v>0</v>
      </c>
      <c r="AF557">
        <f t="shared" si="102"/>
        <v>-9.9999999999999964E-5</v>
      </c>
      <c r="AG557">
        <f t="shared" si="103"/>
        <v>-1.0000000000000005E-4</v>
      </c>
      <c r="AH557">
        <f t="shared" si="104"/>
        <v>-1.9999999999999993E-4</v>
      </c>
      <c r="AI557">
        <f t="shared" si="105"/>
        <v>-1.0000000000000015E-4</v>
      </c>
      <c r="AJ557">
        <f t="shared" si="106"/>
        <v>0</v>
      </c>
      <c r="AK557">
        <f t="shared" si="107"/>
        <v>0</v>
      </c>
      <c r="AL557">
        <f t="shared" si="108"/>
        <v>1.9999999999999966E-4</v>
      </c>
      <c r="AM557">
        <f t="shared" si="109"/>
        <v>2.0000000000000052E-4</v>
      </c>
      <c r="AN557">
        <f t="shared" si="110"/>
        <v>2.9999999999999992E-4</v>
      </c>
      <c r="AO557">
        <f t="shared" si="111"/>
        <v>4.0000000000000105E-4</v>
      </c>
      <c r="AP557">
        <f t="shared" si="112"/>
        <v>4.9999999999999697E-4</v>
      </c>
    </row>
    <row r="558" spans="17:42" x14ac:dyDescent="0.25">
      <c r="Q558" s="1">
        <v>44246</v>
      </c>
      <c r="R558">
        <v>2.9999999999999997E-4</v>
      </c>
      <c r="S558">
        <v>2.9999999999999997E-4</v>
      </c>
      <c r="T558">
        <v>4.0000000000000002E-4</v>
      </c>
      <c r="U558">
        <v>5.9999999999999995E-4</v>
      </c>
      <c r="V558">
        <v>7.000000000000001E-4</v>
      </c>
      <c r="W558">
        <v>1.1000000000000001E-3</v>
      </c>
      <c r="X558">
        <v>2.2000000000000001E-3</v>
      </c>
      <c r="Y558">
        <v>5.8999999999999999E-3</v>
      </c>
      <c r="Z558">
        <v>9.7999999999999997E-3</v>
      </c>
      <c r="AA558">
        <v>1.34E-2</v>
      </c>
      <c r="AB558">
        <v>1.9799999999999998E-2</v>
      </c>
      <c r="AC558">
        <v>2.1400000000000002E-2</v>
      </c>
      <c r="AE558">
        <f t="shared" si="101"/>
        <v>0</v>
      </c>
      <c r="AF558">
        <f t="shared" si="102"/>
        <v>0</v>
      </c>
      <c r="AG558">
        <f t="shared" si="103"/>
        <v>1.0000000000000005E-4</v>
      </c>
      <c r="AH558">
        <f t="shared" si="104"/>
        <v>1.9999999999999993E-4</v>
      </c>
      <c r="AI558">
        <f t="shared" si="105"/>
        <v>1.0000000000000015E-4</v>
      </c>
      <c r="AJ558">
        <f t="shared" si="106"/>
        <v>0</v>
      </c>
      <c r="AK558">
        <f t="shared" si="107"/>
        <v>1.0000000000000026E-4</v>
      </c>
      <c r="AL558">
        <f t="shared" si="108"/>
        <v>2.9999999999999905E-4</v>
      </c>
      <c r="AM558">
        <f t="shared" si="109"/>
        <v>4.0000000000000105E-4</v>
      </c>
      <c r="AN558">
        <f t="shared" si="110"/>
        <v>5.0000000000000044E-4</v>
      </c>
      <c r="AO558">
        <f t="shared" si="111"/>
        <v>6.9999999999999923E-4</v>
      </c>
      <c r="AP558">
        <f t="shared" si="112"/>
        <v>6.0000000000000331E-4</v>
      </c>
    </row>
    <row r="559" spans="17:42" x14ac:dyDescent="0.25">
      <c r="Q559" s="1">
        <v>44245</v>
      </c>
      <c r="R559">
        <v>2.9999999999999997E-4</v>
      </c>
      <c r="S559">
        <v>2.9999999999999997E-4</v>
      </c>
      <c r="T559">
        <v>2.9999999999999997E-4</v>
      </c>
      <c r="U559">
        <v>4.0000000000000002E-4</v>
      </c>
      <c r="V559">
        <v>5.9999999999999995E-4</v>
      </c>
      <c r="W559">
        <v>1.1000000000000001E-3</v>
      </c>
      <c r="X559">
        <v>2.0999999999999999E-3</v>
      </c>
      <c r="Y559">
        <v>5.6000000000000008E-3</v>
      </c>
      <c r="Z559">
        <v>9.3999999999999986E-3</v>
      </c>
      <c r="AA559">
        <v>1.29E-2</v>
      </c>
      <c r="AB559">
        <v>1.9099999999999999E-2</v>
      </c>
      <c r="AC559">
        <v>2.0799999999999999E-2</v>
      </c>
      <c r="AE559">
        <f t="shared" si="101"/>
        <v>0</v>
      </c>
      <c r="AF559">
        <f t="shared" si="102"/>
        <v>-1.0000000000000005E-4</v>
      </c>
      <c r="AG559">
        <f t="shared" si="103"/>
        <v>-1.0000000000000005E-4</v>
      </c>
      <c r="AH559">
        <f t="shared" si="104"/>
        <v>-1.9999999999999993E-4</v>
      </c>
      <c r="AI559">
        <f t="shared" si="105"/>
        <v>-1.0000000000000015E-4</v>
      </c>
      <c r="AJ559">
        <f t="shared" si="106"/>
        <v>0</v>
      </c>
      <c r="AK559">
        <f t="shared" si="107"/>
        <v>0</v>
      </c>
      <c r="AL559">
        <f t="shared" si="108"/>
        <v>-9.9999999999998528E-5</v>
      </c>
      <c r="AM559">
        <f t="shared" si="109"/>
        <v>0</v>
      </c>
      <c r="AN559">
        <f t="shared" si="110"/>
        <v>0</v>
      </c>
      <c r="AO559">
        <f t="shared" si="111"/>
        <v>-9.9999999999999395E-5</v>
      </c>
      <c r="AP559">
        <f t="shared" si="112"/>
        <v>1.9999999999999879E-4</v>
      </c>
    </row>
    <row r="560" spans="17:42" x14ac:dyDescent="0.25">
      <c r="Q560" s="1">
        <v>44244</v>
      </c>
      <c r="R560">
        <v>2.9999999999999997E-4</v>
      </c>
      <c r="S560">
        <v>4.0000000000000002E-4</v>
      </c>
      <c r="T560">
        <v>4.0000000000000002E-4</v>
      </c>
      <c r="U560">
        <v>5.9999999999999995E-4</v>
      </c>
      <c r="V560">
        <v>7.000000000000001E-4</v>
      </c>
      <c r="W560">
        <v>1.1000000000000001E-3</v>
      </c>
      <c r="X560">
        <v>2.0999999999999999E-3</v>
      </c>
      <c r="Y560">
        <v>5.6999999999999993E-3</v>
      </c>
      <c r="Z560">
        <v>9.3999999999999986E-3</v>
      </c>
      <c r="AA560">
        <v>1.29E-2</v>
      </c>
      <c r="AB560">
        <v>1.9199999999999998E-2</v>
      </c>
      <c r="AC560">
        <v>2.06E-2</v>
      </c>
      <c r="AE560">
        <f t="shared" si="101"/>
        <v>0</v>
      </c>
      <c r="AF560">
        <f t="shared" si="102"/>
        <v>0</v>
      </c>
      <c r="AG560">
        <f t="shared" si="103"/>
        <v>0</v>
      </c>
      <c r="AH560">
        <f t="shared" si="104"/>
        <v>0</v>
      </c>
      <c r="AI560">
        <f t="shared" si="105"/>
        <v>-9.9999999999999937E-5</v>
      </c>
      <c r="AJ560">
        <f t="shared" si="106"/>
        <v>-1.9999999999999987E-4</v>
      </c>
      <c r="AK560">
        <f t="shared" si="107"/>
        <v>-2.0000000000000009E-4</v>
      </c>
      <c r="AL560">
        <f t="shared" si="108"/>
        <v>0</v>
      </c>
      <c r="AM560">
        <f t="shared" si="109"/>
        <v>0</v>
      </c>
      <c r="AN560">
        <f t="shared" si="110"/>
        <v>-1.0000000000000113E-4</v>
      </c>
      <c r="AO560">
        <f t="shared" si="111"/>
        <v>0</v>
      </c>
      <c r="AP560">
        <f t="shared" si="112"/>
        <v>-1.9999999999999879E-4</v>
      </c>
    </row>
    <row r="561" spans="17:42" x14ac:dyDescent="0.25">
      <c r="Q561" s="1">
        <v>44243</v>
      </c>
      <c r="R561">
        <v>2.9999999999999997E-4</v>
      </c>
      <c r="S561">
        <v>4.0000000000000002E-4</v>
      </c>
      <c r="T561">
        <v>4.0000000000000002E-4</v>
      </c>
      <c r="U561">
        <v>5.9999999999999995E-4</v>
      </c>
      <c r="V561">
        <v>8.0000000000000004E-4</v>
      </c>
      <c r="W561">
        <v>1.2999999999999999E-3</v>
      </c>
      <c r="X561">
        <v>2.3E-3</v>
      </c>
      <c r="Y561">
        <v>5.6999999999999993E-3</v>
      </c>
      <c r="Z561">
        <v>9.3999999999999986E-3</v>
      </c>
      <c r="AA561">
        <v>1.3000000000000001E-2</v>
      </c>
      <c r="AB561">
        <v>1.9199999999999998E-2</v>
      </c>
      <c r="AC561">
        <v>2.0799999999999999E-2</v>
      </c>
      <c r="AE561">
        <f t="shared" si="101"/>
        <v>0</v>
      </c>
      <c r="AF561">
        <f t="shared" si="102"/>
        <v>0</v>
      </c>
      <c r="AG561">
        <f t="shared" si="103"/>
        <v>0</v>
      </c>
      <c r="AH561">
        <f t="shared" si="104"/>
        <v>9.9999999999999937E-5</v>
      </c>
      <c r="AI561">
        <f t="shared" si="105"/>
        <v>2.0000000000000009E-4</v>
      </c>
      <c r="AJ561">
        <f t="shared" si="106"/>
        <v>1.9999999999999987E-4</v>
      </c>
      <c r="AK561">
        <f t="shared" si="107"/>
        <v>2.9999999999999992E-4</v>
      </c>
      <c r="AL561">
        <f t="shared" si="108"/>
        <v>6.9999999999999923E-4</v>
      </c>
      <c r="AM561">
        <f t="shared" si="109"/>
        <v>8.9999999999999802E-4</v>
      </c>
      <c r="AN561">
        <f t="shared" si="110"/>
        <v>1.0000000000000009E-3</v>
      </c>
      <c r="AO561">
        <f t="shared" si="111"/>
        <v>8.9999999999999802E-4</v>
      </c>
      <c r="AP561">
        <f t="shared" si="112"/>
        <v>7.000000000000027E-4</v>
      </c>
    </row>
    <row r="562" spans="17:42" x14ac:dyDescent="0.25">
      <c r="Q562" s="1">
        <v>44239</v>
      </c>
      <c r="R562">
        <v>2.9999999999999997E-4</v>
      </c>
      <c r="S562">
        <v>4.0000000000000002E-4</v>
      </c>
      <c r="T562">
        <v>4.0000000000000002E-4</v>
      </c>
      <c r="U562">
        <v>5.0000000000000001E-4</v>
      </c>
      <c r="V562">
        <v>5.9999999999999995E-4</v>
      </c>
      <c r="W562">
        <v>1.1000000000000001E-3</v>
      </c>
      <c r="X562">
        <v>2E-3</v>
      </c>
      <c r="Y562">
        <v>5.0000000000000001E-3</v>
      </c>
      <c r="Z562">
        <v>8.5000000000000006E-3</v>
      </c>
      <c r="AA562">
        <v>1.2E-2</v>
      </c>
      <c r="AB562">
        <v>1.83E-2</v>
      </c>
      <c r="AC562">
        <v>2.0099999999999996E-2</v>
      </c>
      <c r="AE562">
        <f t="shared" si="101"/>
        <v>-2.0000000000000004E-4</v>
      </c>
      <c r="AF562">
        <f t="shared" si="102"/>
        <v>-9.9999999999999991E-5</v>
      </c>
      <c r="AG562">
        <f t="shared" si="103"/>
        <v>-9.9999999999999991E-5</v>
      </c>
      <c r="AH562">
        <f t="shared" si="104"/>
        <v>-9.9999999999999937E-5</v>
      </c>
      <c r="AI562">
        <f t="shared" si="105"/>
        <v>-1.0000000000000015E-4</v>
      </c>
      <c r="AJ562">
        <f t="shared" si="106"/>
        <v>0</v>
      </c>
      <c r="AK562">
        <f t="shared" si="107"/>
        <v>1.0000000000000005E-4</v>
      </c>
      <c r="AL562">
        <f t="shared" si="108"/>
        <v>4.0000000000000018E-4</v>
      </c>
      <c r="AM562">
        <f t="shared" si="109"/>
        <v>3.9999999999999931E-4</v>
      </c>
      <c r="AN562">
        <f t="shared" si="110"/>
        <v>4.0000000000000105E-4</v>
      </c>
      <c r="AO562">
        <f t="shared" si="111"/>
        <v>5.9999999999999984E-4</v>
      </c>
      <c r="AP562">
        <f t="shared" si="112"/>
        <v>6.9999999999999576E-4</v>
      </c>
    </row>
    <row r="563" spans="17:42" x14ac:dyDescent="0.25">
      <c r="Q563" s="1">
        <v>44238</v>
      </c>
      <c r="R563">
        <v>5.0000000000000001E-4</v>
      </c>
      <c r="S563">
        <v>5.0000000000000001E-4</v>
      </c>
      <c r="T563">
        <v>5.0000000000000001E-4</v>
      </c>
      <c r="U563">
        <v>5.9999999999999995E-4</v>
      </c>
      <c r="V563">
        <v>7.000000000000001E-4</v>
      </c>
      <c r="W563">
        <v>1.1000000000000001E-3</v>
      </c>
      <c r="X563">
        <v>1.9E-3</v>
      </c>
      <c r="Y563">
        <v>4.5999999999999999E-3</v>
      </c>
      <c r="Z563">
        <v>8.1000000000000013E-3</v>
      </c>
      <c r="AA563">
        <v>1.1599999999999999E-2</v>
      </c>
      <c r="AB563">
        <v>1.77E-2</v>
      </c>
      <c r="AC563">
        <v>1.9400000000000001E-2</v>
      </c>
      <c r="AE563">
        <f t="shared" si="101"/>
        <v>0</v>
      </c>
      <c r="AF563">
        <f t="shared" si="102"/>
        <v>9.9999999999999991E-5</v>
      </c>
      <c r="AG563">
        <f t="shared" si="103"/>
        <v>0</v>
      </c>
      <c r="AH563">
        <f t="shared" si="104"/>
        <v>0</v>
      </c>
      <c r="AI563">
        <f t="shared" si="105"/>
        <v>0</v>
      </c>
      <c r="AJ563">
        <f t="shared" si="106"/>
        <v>0</v>
      </c>
      <c r="AK563">
        <f t="shared" si="107"/>
        <v>0</v>
      </c>
      <c r="AL563">
        <f t="shared" si="108"/>
        <v>0</v>
      </c>
      <c r="AM563">
        <f t="shared" si="109"/>
        <v>1.0000000000000113E-4</v>
      </c>
      <c r="AN563">
        <f t="shared" si="110"/>
        <v>9.9999999999999395E-5</v>
      </c>
      <c r="AO563">
        <f t="shared" si="111"/>
        <v>1.9999999999999879E-4</v>
      </c>
      <c r="AP563">
        <f t="shared" si="112"/>
        <v>2.0000000000000226E-4</v>
      </c>
    </row>
    <row r="564" spans="17:42" x14ac:dyDescent="0.25">
      <c r="Q564" s="1">
        <v>44237</v>
      </c>
      <c r="R564">
        <v>5.0000000000000001E-4</v>
      </c>
      <c r="S564">
        <v>4.0000000000000002E-4</v>
      </c>
      <c r="T564">
        <v>5.0000000000000001E-4</v>
      </c>
      <c r="U564">
        <v>5.9999999999999995E-4</v>
      </c>
      <c r="V564">
        <v>7.000000000000001E-4</v>
      </c>
      <c r="W564">
        <v>1.1000000000000001E-3</v>
      </c>
      <c r="X564">
        <v>1.9E-3</v>
      </c>
      <c r="Y564">
        <v>4.5999999999999999E-3</v>
      </c>
      <c r="Z564">
        <v>8.0000000000000002E-3</v>
      </c>
      <c r="AA564">
        <v>1.15E-2</v>
      </c>
      <c r="AB564">
        <v>1.7500000000000002E-2</v>
      </c>
      <c r="AC564">
        <v>1.9199999999999998E-2</v>
      </c>
      <c r="AE564">
        <f t="shared" si="101"/>
        <v>9.9999999999999991E-5</v>
      </c>
      <c r="AF564">
        <f t="shared" si="102"/>
        <v>0</v>
      </c>
      <c r="AG564">
        <f t="shared" si="103"/>
        <v>9.9999999999999991E-5</v>
      </c>
      <c r="AH564">
        <f t="shared" si="104"/>
        <v>0</v>
      </c>
      <c r="AI564">
        <f t="shared" si="105"/>
        <v>0</v>
      </c>
      <c r="AJ564">
        <f t="shared" si="106"/>
        <v>0</v>
      </c>
      <c r="AK564">
        <f t="shared" si="107"/>
        <v>0</v>
      </c>
      <c r="AL564">
        <f t="shared" si="108"/>
        <v>-1.9999999999999966E-4</v>
      </c>
      <c r="AM564">
        <f t="shared" si="109"/>
        <v>-2.9999999999999992E-4</v>
      </c>
      <c r="AN564">
        <f t="shared" si="110"/>
        <v>-2.9999999999999992E-4</v>
      </c>
      <c r="AO564">
        <f t="shared" si="111"/>
        <v>-2.9999999999999818E-4</v>
      </c>
      <c r="AP564">
        <f t="shared" si="112"/>
        <v>-3.0000000000000165E-4</v>
      </c>
    </row>
    <row r="565" spans="17:42" x14ac:dyDescent="0.25">
      <c r="Q565" s="1">
        <v>44236</v>
      </c>
      <c r="R565">
        <v>4.0000000000000002E-4</v>
      </c>
      <c r="S565">
        <v>4.0000000000000002E-4</v>
      </c>
      <c r="T565">
        <v>4.0000000000000002E-4</v>
      </c>
      <c r="U565">
        <v>5.9999999999999995E-4</v>
      </c>
      <c r="V565">
        <v>7.000000000000001E-4</v>
      </c>
      <c r="W565">
        <v>1.1000000000000001E-3</v>
      </c>
      <c r="X565">
        <v>1.9E-3</v>
      </c>
      <c r="Y565">
        <v>4.7999999999999996E-3</v>
      </c>
      <c r="Z565">
        <v>8.3000000000000001E-3</v>
      </c>
      <c r="AA565">
        <v>1.18E-2</v>
      </c>
      <c r="AB565">
        <v>1.78E-2</v>
      </c>
      <c r="AC565">
        <v>1.95E-2</v>
      </c>
      <c r="AE565">
        <f t="shared" si="101"/>
        <v>0</v>
      </c>
      <c r="AF565">
        <f t="shared" si="102"/>
        <v>1.0000000000000005E-4</v>
      </c>
      <c r="AG565">
        <f t="shared" si="103"/>
        <v>-9.9999999999999991E-5</v>
      </c>
      <c r="AH565">
        <f t="shared" si="104"/>
        <v>9.9999999999999937E-5</v>
      </c>
      <c r="AI565">
        <f t="shared" si="105"/>
        <v>0</v>
      </c>
      <c r="AJ565">
        <f t="shared" si="106"/>
        <v>0</v>
      </c>
      <c r="AK565">
        <f t="shared" si="107"/>
        <v>-1.0000000000000005E-4</v>
      </c>
      <c r="AL565">
        <f t="shared" si="108"/>
        <v>0</v>
      </c>
      <c r="AM565">
        <f t="shared" si="109"/>
        <v>0</v>
      </c>
      <c r="AN565">
        <f t="shared" si="110"/>
        <v>-9.9999999999999395E-5</v>
      </c>
      <c r="AO565">
        <f t="shared" si="111"/>
        <v>0</v>
      </c>
      <c r="AP565">
        <f t="shared" si="112"/>
        <v>-9.9999999999999395E-5</v>
      </c>
    </row>
    <row r="566" spans="17:42" x14ac:dyDescent="0.25">
      <c r="Q566" s="1">
        <v>44235</v>
      </c>
      <c r="R566">
        <v>4.0000000000000002E-4</v>
      </c>
      <c r="S566">
        <v>2.9999999999999997E-4</v>
      </c>
      <c r="T566">
        <v>5.0000000000000001E-4</v>
      </c>
      <c r="U566">
        <v>5.0000000000000001E-4</v>
      </c>
      <c r="V566">
        <v>7.000000000000001E-4</v>
      </c>
      <c r="W566">
        <v>1.1000000000000001E-3</v>
      </c>
      <c r="X566">
        <v>2E-3</v>
      </c>
      <c r="Y566">
        <v>4.7999999999999996E-3</v>
      </c>
      <c r="Z566">
        <v>8.3000000000000001E-3</v>
      </c>
      <c r="AA566">
        <v>1.1899999999999999E-2</v>
      </c>
      <c r="AB566">
        <v>1.78E-2</v>
      </c>
      <c r="AC566">
        <v>1.9599999999999999E-2</v>
      </c>
      <c r="AE566">
        <f t="shared" si="101"/>
        <v>2.0000000000000001E-4</v>
      </c>
      <c r="AF566">
        <f t="shared" si="102"/>
        <v>0</v>
      </c>
      <c r="AG566">
        <f t="shared" si="103"/>
        <v>2.0000000000000004E-4</v>
      </c>
      <c r="AH566">
        <f t="shared" si="104"/>
        <v>0</v>
      </c>
      <c r="AI566">
        <f t="shared" si="105"/>
        <v>1.0000000000000015E-4</v>
      </c>
      <c r="AJ566">
        <f t="shared" si="106"/>
        <v>2.0000000000000009E-4</v>
      </c>
      <c r="AK566">
        <f t="shared" si="107"/>
        <v>1.0000000000000005E-4</v>
      </c>
      <c r="AL566">
        <f t="shared" si="108"/>
        <v>1.0000000000000026E-4</v>
      </c>
      <c r="AM566">
        <f t="shared" si="109"/>
        <v>0</v>
      </c>
      <c r="AN566">
        <f t="shared" si="110"/>
        <v>0</v>
      </c>
      <c r="AO566">
        <f t="shared" si="111"/>
        <v>-9.9999999999999395E-5</v>
      </c>
      <c r="AP566">
        <f t="shared" si="112"/>
        <v>-9.9999999999999395E-5</v>
      </c>
    </row>
    <row r="567" spans="17:42" x14ac:dyDescent="0.25">
      <c r="Q567" s="1">
        <v>44232</v>
      </c>
      <c r="R567">
        <v>2.0000000000000001E-4</v>
      </c>
      <c r="S567">
        <v>2.9999999999999997E-4</v>
      </c>
      <c r="T567">
        <v>2.9999999999999997E-4</v>
      </c>
      <c r="U567">
        <v>5.0000000000000001E-4</v>
      </c>
      <c r="V567">
        <v>5.9999999999999995E-4</v>
      </c>
      <c r="W567">
        <v>8.9999999999999998E-4</v>
      </c>
      <c r="X567">
        <v>1.9E-3</v>
      </c>
      <c r="Y567">
        <v>4.6999999999999993E-3</v>
      </c>
      <c r="Z567">
        <v>8.3000000000000001E-3</v>
      </c>
      <c r="AA567">
        <v>1.1899999999999999E-2</v>
      </c>
      <c r="AB567">
        <v>1.7899999999999999E-2</v>
      </c>
      <c r="AC567">
        <v>1.9699999999999999E-2</v>
      </c>
      <c r="AE567">
        <f t="shared" si="101"/>
        <v>-9.9999999999999964E-5</v>
      </c>
      <c r="AF567">
        <f t="shared" si="102"/>
        <v>-1.0000000000000005E-4</v>
      </c>
      <c r="AG567">
        <f t="shared" si="103"/>
        <v>-1.0000000000000005E-4</v>
      </c>
      <c r="AH567">
        <f t="shared" si="104"/>
        <v>-9.9999999999999937E-5</v>
      </c>
      <c r="AI567">
        <f t="shared" si="105"/>
        <v>-1.0000000000000015E-4</v>
      </c>
      <c r="AJ567">
        <f t="shared" si="106"/>
        <v>-2.0000000000000009E-4</v>
      </c>
      <c r="AK567">
        <f t="shared" si="107"/>
        <v>1.0000000000000005E-4</v>
      </c>
      <c r="AL567">
        <f t="shared" si="108"/>
        <v>9.9999999999999395E-5</v>
      </c>
      <c r="AM567">
        <f t="shared" si="109"/>
        <v>1.9999999999999879E-4</v>
      </c>
      <c r="AN567">
        <f t="shared" si="110"/>
        <v>3.9999999999999931E-4</v>
      </c>
      <c r="AO567">
        <f t="shared" si="111"/>
        <v>3.9999999999999758E-4</v>
      </c>
      <c r="AP567">
        <f t="shared" si="112"/>
        <v>4.0000000000000105E-4</v>
      </c>
    </row>
    <row r="568" spans="17:42" x14ac:dyDescent="0.25">
      <c r="Q568" s="1">
        <v>44231</v>
      </c>
      <c r="R568">
        <v>2.9999999999999997E-4</v>
      </c>
      <c r="S568">
        <v>4.0000000000000002E-4</v>
      </c>
      <c r="T568">
        <v>4.0000000000000002E-4</v>
      </c>
      <c r="U568">
        <v>5.9999999999999995E-4</v>
      </c>
      <c r="V568">
        <v>7.000000000000001E-4</v>
      </c>
      <c r="W568">
        <v>1.1000000000000001E-3</v>
      </c>
      <c r="X568">
        <v>1.8E-3</v>
      </c>
      <c r="Y568">
        <v>4.5999999999999999E-3</v>
      </c>
      <c r="Z568">
        <v>8.1000000000000013E-3</v>
      </c>
      <c r="AA568">
        <v>1.15E-2</v>
      </c>
      <c r="AB568">
        <v>1.7500000000000002E-2</v>
      </c>
      <c r="AC568">
        <v>1.9299999999999998E-2</v>
      </c>
      <c r="AE568">
        <f t="shared" si="101"/>
        <v>0</v>
      </c>
      <c r="AF568">
        <f t="shared" si="102"/>
        <v>0</v>
      </c>
      <c r="AG568">
        <f t="shared" si="103"/>
        <v>0</v>
      </c>
      <c r="AH568">
        <f t="shared" si="104"/>
        <v>0</v>
      </c>
      <c r="AI568">
        <f t="shared" si="105"/>
        <v>-9.9999999999999937E-5</v>
      </c>
      <c r="AJ568">
        <f t="shared" si="106"/>
        <v>0</v>
      </c>
      <c r="AK568">
        <f t="shared" si="107"/>
        <v>-1.0000000000000005E-4</v>
      </c>
      <c r="AL568">
        <f t="shared" si="108"/>
        <v>0</v>
      </c>
      <c r="AM568">
        <f t="shared" si="109"/>
        <v>0</v>
      </c>
      <c r="AN568">
        <f t="shared" si="110"/>
        <v>0</v>
      </c>
      <c r="AO568">
        <f t="shared" si="111"/>
        <v>2.0000000000000226E-4</v>
      </c>
      <c r="AP568">
        <f t="shared" si="112"/>
        <v>9.9999999999999395E-5</v>
      </c>
    </row>
    <row r="569" spans="17:42" x14ac:dyDescent="0.25">
      <c r="Q569" s="1">
        <v>44230</v>
      </c>
      <c r="R569">
        <v>2.9999999999999997E-4</v>
      </c>
      <c r="S569">
        <v>4.0000000000000002E-4</v>
      </c>
      <c r="T569">
        <v>4.0000000000000002E-4</v>
      </c>
      <c r="U569">
        <v>5.9999999999999995E-4</v>
      </c>
      <c r="V569">
        <v>8.0000000000000004E-4</v>
      </c>
      <c r="W569">
        <v>1.1000000000000001E-3</v>
      </c>
      <c r="X569">
        <v>1.9E-3</v>
      </c>
      <c r="Y569">
        <v>4.5999999999999999E-3</v>
      </c>
      <c r="Z569">
        <v>8.1000000000000013E-3</v>
      </c>
      <c r="AA569">
        <v>1.15E-2</v>
      </c>
      <c r="AB569">
        <v>1.7299999999999999E-2</v>
      </c>
      <c r="AC569">
        <v>1.9199999999999998E-2</v>
      </c>
      <c r="AE569">
        <f t="shared" si="101"/>
        <v>-1.0000000000000005E-4</v>
      </c>
      <c r="AF569">
        <f t="shared" si="102"/>
        <v>-9.9999999999999991E-5</v>
      </c>
      <c r="AG569">
        <f t="shared" si="103"/>
        <v>-3.0000000000000008E-4</v>
      </c>
      <c r="AH569">
        <f t="shared" si="104"/>
        <v>-2.0000000000000009E-4</v>
      </c>
      <c r="AI569">
        <f t="shared" si="105"/>
        <v>0</v>
      </c>
      <c r="AJ569">
        <f t="shared" si="106"/>
        <v>0</v>
      </c>
      <c r="AK569">
        <f t="shared" si="107"/>
        <v>1.0000000000000005E-4</v>
      </c>
      <c r="AL569">
        <f t="shared" si="108"/>
        <v>9.9999999999999395E-5</v>
      </c>
      <c r="AM569">
        <f t="shared" si="109"/>
        <v>2.0000000000000052E-4</v>
      </c>
      <c r="AN569">
        <f t="shared" si="110"/>
        <v>2.9999999999999818E-4</v>
      </c>
      <c r="AO569">
        <f t="shared" si="111"/>
        <v>4.0000000000000105E-4</v>
      </c>
      <c r="AP569">
        <f t="shared" si="112"/>
        <v>4.9999999999999697E-4</v>
      </c>
    </row>
    <row r="570" spans="17:42" x14ac:dyDescent="0.25">
      <c r="Q570" s="1">
        <v>44229</v>
      </c>
      <c r="R570">
        <v>4.0000000000000002E-4</v>
      </c>
      <c r="S570">
        <v>5.0000000000000001E-4</v>
      </c>
      <c r="T570">
        <v>7.000000000000001E-4</v>
      </c>
      <c r="U570">
        <v>8.0000000000000004E-4</v>
      </c>
      <c r="V570">
        <v>8.0000000000000004E-4</v>
      </c>
      <c r="W570">
        <v>1.1000000000000001E-3</v>
      </c>
      <c r="X570">
        <v>1.8E-3</v>
      </c>
      <c r="Y570">
        <v>4.5000000000000005E-3</v>
      </c>
      <c r="Z570">
        <v>7.9000000000000008E-3</v>
      </c>
      <c r="AA570">
        <v>1.1200000000000002E-2</v>
      </c>
      <c r="AB570">
        <v>1.6899999999999998E-2</v>
      </c>
      <c r="AC570">
        <v>1.8700000000000001E-2</v>
      </c>
      <c r="AE570">
        <f t="shared" si="101"/>
        <v>-1.9999999999999993E-4</v>
      </c>
      <c r="AF570">
        <f t="shared" si="102"/>
        <v>-2.0000000000000009E-4</v>
      </c>
      <c r="AG570">
        <f t="shared" si="103"/>
        <v>0</v>
      </c>
      <c r="AH570">
        <f t="shared" si="104"/>
        <v>0</v>
      </c>
      <c r="AI570">
        <f t="shared" si="105"/>
        <v>0</v>
      </c>
      <c r="AJ570">
        <f t="shared" si="106"/>
        <v>0</v>
      </c>
      <c r="AK570">
        <f t="shared" si="107"/>
        <v>9.9999999999999829E-5</v>
      </c>
      <c r="AL570">
        <f t="shared" si="108"/>
        <v>3.0000000000000079E-4</v>
      </c>
      <c r="AM570">
        <f t="shared" si="109"/>
        <v>3.0000000000000079E-4</v>
      </c>
      <c r="AN570">
        <f t="shared" si="110"/>
        <v>3.0000000000000165E-4</v>
      </c>
      <c r="AO570">
        <f t="shared" si="111"/>
        <v>2.9999999999999818E-4</v>
      </c>
      <c r="AP570">
        <f t="shared" si="112"/>
        <v>3.0000000000000165E-4</v>
      </c>
    </row>
    <row r="571" spans="17:42" x14ac:dyDescent="0.25">
      <c r="Q571" s="1">
        <v>44228</v>
      </c>
      <c r="R571">
        <v>5.9999999999999995E-4</v>
      </c>
      <c r="S571">
        <v>7.000000000000001E-4</v>
      </c>
      <c r="T571">
        <v>7.000000000000001E-4</v>
      </c>
      <c r="U571">
        <v>8.0000000000000004E-4</v>
      </c>
      <c r="V571">
        <v>8.0000000000000004E-4</v>
      </c>
      <c r="W571">
        <v>1.1000000000000001E-3</v>
      </c>
      <c r="X571">
        <v>1.7000000000000001E-3</v>
      </c>
      <c r="Y571">
        <v>4.1999999999999997E-3</v>
      </c>
      <c r="Z571">
        <v>7.6E-3</v>
      </c>
      <c r="AA571">
        <v>1.09E-2</v>
      </c>
      <c r="AB571">
        <v>1.66E-2</v>
      </c>
      <c r="AC571">
        <v>1.84E-2</v>
      </c>
      <c r="AE571">
        <f t="shared" si="101"/>
        <v>-1.0000000000000015E-4</v>
      </c>
      <c r="AF571">
        <f t="shared" si="102"/>
        <v>0</v>
      </c>
      <c r="AG571">
        <f t="shared" si="103"/>
        <v>1.0000000000000015E-4</v>
      </c>
      <c r="AH571">
        <f t="shared" si="104"/>
        <v>9.9999999999999937E-5</v>
      </c>
      <c r="AI571">
        <f t="shared" si="105"/>
        <v>-1.9999999999999998E-4</v>
      </c>
      <c r="AJ571">
        <f t="shared" si="106"/>
        <v>0</v>
      </c>
      <c r="AK571">
        <f t="shared" si="107"/>
        <v>-1.9999999999999987E-4</v>
      </c>
      <c r="AL571">
        <f t="shared" si="108"/>
        <v>-3.0000000000000079E-4</v>
      </c>
      <c r="AM571">
        <f t="shared" si="109"/>
        <v>-3.0000000000000079E-4</v>
      </c>
      <c r="AN571">
        <f t="shared" si="110"/>
        <v>-2.0000000000000052E-4</v>
      </c>
      <c r="AO571">
        <f t="shared" si="111"/>
        <v>-1.9999999999999879E-4</v>
      </c>
      <c r="AP571">
        <f t="shared" si="112"/>
        <v>-3.0000000000000165E-4</v>
      </c>
    </row>
    <row r="572" spans="17:42" x14ac:dyDescent="0.25">
      <c r="Q572" s="1">
        <v>44225</v>
      </c>
      <c r="R572">
        <v>7.000000000000001E-4</v>
      </c>
      <c r="S572">
        <v>7.000000000000001E-4</v>
      </c>
      <c r="T572">
        <v>5.9999999999999995E-4</v>
      </c>
      <c r="U572">
        <v>7.000000000000001E-4</v>
      </c>
      <c r="V572">
        <v>1E-3</v>
      </c>
      <c r="W572">
        <v>1.1000000000000001E-3</v>
      </c>
      <c r="X572">
        <v>1.9E-3</v>
      </c>
      <c r="Y572">
        <v>4.5000000000000005E-3</v>
      </c>
      <c r="Z572">
        <v>7.9000000000000008E-3</v>
      </c>
      <c r="AA572">
        <v>1.11E-2</v>
      </c>
      <c r="AB572">
        <v>1.6799999999999999E-2</v>
      </c>
      <c r="AC572">
        <v>1.8700000000000001E-2</v>
      </c>
      <c r="AE572">
        <f t="shared" si="101"/>
        <v>2.0000000000000009E-4</v>
      </c>
      <c r="AF572">
        <f t="shared" si="102"/>
        <v>1.0000000000000015E-4</v>
      </c>
      <c r="AG572">
        <f t="shared" si="103"/>
        <v>-1.0000000000000015E-4</v>
      </c>
      <c r="AH572">
        <f t="shared" si="104"/>
        <v>-9.9999999999999937E-5</v>
      </c>
      <c r="AI572">
        <f t="shared" si="105"/>
        <v>1.9999999999999998E-4</v>
      </c>
      <c r="AJ572">
        <f t="shared" si="106"/>
        <v>-9.9999999999999829E-5</v>
      </c>
      <c r="AK572">
        <f t="shared" si="107"/>
        <v>1.0000000000000005E-4</v>
      </c>
      <c r="AL572">
        <f t="shared" si="108"/>
        <v>3.0000000000000079E-4</v>
      </c>
      <c r="AM572">
        <f t="shared" si="109"/>
        <v>4.0000000000000105E-4</v>
      </c>
      <c r="AN572">
        <f t="shared" si="110"/>
        <v>3.9999999999999931E-4</v>
      </c>
      <c r="AO572">
        <f t="shared" si="111"/>
        <v>5.0000000000000044E-4</v>
      </c>
      <c r="AP572">
        <f t="shared" si="112"/>
        <v>5.9999999999999984E-4</v>
      </c>
    </row>
    <row r="573" spans="17:42" x14ac:dyDescent="0.25">
      <c r="Q573" s="1">
        <v>44224</v>
      </c>
      <c r="R573">
        <v>5.0000000000000001E-4</v>
      </c>
      <c r="S573">
        <v>5.9999999999999995E-4</v>
      </c>
      <c r="T573">
        <v>7.000000000000001E-4</v>
      </c>
      <c r="U573">
        <v>8.0000000000000004E-4</v>
      </c>
      <c r="V573">
        <v>8.0000000000000004E-4</v>
      </c>
      <c r="W573">
        <v>1.1999999999999999E-3</v>
      </c>
      <c r="X573">
        <v>1.8E-3</v>
      </c>
      <c r="Y573">
        <v>4.1999999999999997E-3</v>
      </c>
      <c r="Z573">
        <v>7.4999999999999997E-3</v>
      </c>
      <c r="AA573">
        <v>1.0700000000000001E-2</v>
      </c>
      <c r="AB573">
        <v>1.6299999999999999E-2</v>
      </c>
      <c r="AC573">
        <v>1.8100000000000002E-2</v>
      </c>
      <c r="AE573">
        <f t="shared" si="101"/>
        <v>0</v>
      </c>
      <c r="AF573">
        <f t="shared" si="102"/>
        <v>0</v>
      </c>
      <c r="AG573">
        <f t="shared" si="103"/>
        <v>-9.9999999999999937E-5</v>
      </c>
      <c r="AH573">
        <f t="shared" si="104"/>
        <v>-9.9999999999999937E-5</v>
      </c>
      <c r="AI573">
        <f t="shared" si="105"/>
        <v>-9.9999999999999937E-5</v>
      </c>
      <c r="AJ573">
        <f t="shared" si="106"/>
        <v>0</v>
      </c>
      <c r="AK573">
        <f t="shared" si="107"/>
        <v>0</v>
      </c>
      <c r="AL573">
        <f t="shared" si="108"/>
        <v>1.0000000000000026E-4</v>
      </c>
      <c r="AM573">
        <f t="shared" si="109"/>
        <v>2.9999999999999992E-4</v>
      </c>
      <c r="AN573">
        <f t="shared" si="110"/>
        <v>3.0000000000000165E-4</v>
      </c>
      <c r="AO573">
        <f t="shared" si="111"/>
        <v>2.9999999999999818E-4</v>
      </c>
      <c r="AP573">
        <f t="shared" si="112"/>
        <v>2.0000000000000226E-4</v>
      </c>
    </row>
    <row r="574" spans="17:42" x14ac:dyDescent="0.25">
      <c r="Q574" s="1">
        <v>44223</v>
      </c>
      <c r="R574">
        <v>5.0000000000000001E-4</v>
      </c>
      <c r="S574">
        <v>5.9999999999999995E-4</v>
      </c>
      <c r="T574">
        <v>8.0000000000000004E-4</v>
      </c>
      <c r="U574">
        <v>8.9999999999999998E-4</v>
      </c>
      <c r="V574">
        <v>8.9999999999999998E-4</v>
      </c>
      <c r="W574">
        <v>1.1999999999999999E-3</v>
      </c>
      <c r="X574">
        <v>1.8E-3</v>
      </c>
      <c r="Y574">
        <v>4.0999999999999995E-3</v>
      </c>
      <c r="Z574">
        <v>7.1999999999999998E-3</v>
      </c>
      <c r="AA574">
        <v>1.04E-2</v>
      </c>
      <c r="AB574">
        <v>1.6E-2</v>
      </c>
      <c r="AC574">
        <v>1.7899999999999999E-2</v>
      </c>
      <c r="AE574">
        <f t="shared" si="101"/>
        <v>0</v>
      </c>
      <c r="AF574">
        <f t="shared" si="102"/>
        <v>-1.0000000000000015E-4</v>
      </c>
      <c r="AG574">
        <f t="shared" si="103"/>
        <v>9.9999999999999937E-5</v>
      </c>
      <c r="AH574">
        <f t="shared" si="104"/>
        <v>0</v>
      </c>
      <c r="AI574">
        <f t="shared" si="105"/>
        <v>0</v>
      </c>
      <c r="AJ574">
        <f t="shared" si="106"/>
        <v>9.9999999999999829E-5</v>
      </c>
      <c r="AK574">
        <f t="shared" si="107"/>
        <v>0</v>
      </c>
      <c r="AL574">
        <f t="shared" si="108"/>
        <v>-1.0000000000000026E-4</v>
      </c>
      <c r="AM574">
        <f t="shared" si="109"/>
        <v>-2.0000000000000052E-4</v>
      </c>
      <c r="AN574">
        <f t="shared" si="110"/>
        <v>-1.0000000000000113E-4</v>
      </c>
      <c r="AO574">
        <f t="shared" si="111"/>
        <v>-9.9999999999999395E-5</v>
      </c>
      <c r="AP574">
        <f t="shared" si="112"/>
        <v>-1.0000000000000286E-4</v>
      </c>
    </row>
    <row r="575" spans="17:42" x14ac:dyDescent="0.25">
      <c r="Q575" s="1">
        <v>44222</v>
      </c>
      <c r="R575">
        <v>5.0000000000000001E-4</v>
      </c>
      <c r="S575">
        <v>7.000000000000001E-4</v>
      </c>
      <c r="T575">
        <v>7.000000000000001E-4</v>
      </c>
      <c r="U575">
        <v>8.9999999999999998E-4</v>
      </c>
      <c r="V575">
        <v>8.9999999999999998E-4</v>
      </c>
      <c r="W575">
        <v>1.1000000000000001E-3</v>
      </c>
      <c r="X575">
        <v>1.8E-3</v>
      </c>
      <c r="Y575">
        <v>4.1999999999999997E-3</v>
      </c>
      <c r="Z575">
        <v>7.4000000000000003E-3</v>
      </c>
      <c r="AA575">
        <v>1.0500000000000001E-2</v>
      </c>
      <c r="AB575">
        <v>1.61E-2</v>
      </c>
      <c r="AC575">
        <v>1.8000000000000002E-2</v>
      </c>
      <c r="AE575">
        <f t="shared" si="101"/>
        <v>-2.0000000000000009E-4</v>
      </c>
      <c r="AF575">
        <f t="shared" si="102"/>
        <v>-9.9999999999999937E-5</v>
      </c>
      <c r="AG575">
        <f t="shared" si="103"/>
        <v>-1.9999999999999987E-4</v>
      </c>
      <c r="AH575">
        <f t="shared" si="104"/>
        <v>0</v>
      </c>
      <c r="AI575">
        <f t="shared" si="105"/>
        <v>-1.0000000000000005E-4</v>
      </c>
      <c r="AJ575">
        <f t="shared" si="106"/>
        <v>-1.9999999999999987E-4</v>
      </c>
      <c r="AK575">
        <f t="shared" si="107"/>
        <v>9.9999999999999829E-5</v>
      </c>
      <c r="AL575">
        <f t="shared" si="108"/>
        <v>0</v>
      </c>
      <c r="AM575">
        <f t="shared" si="109"/>
        <v>1.0000000000000026E-4</v>
      </c>
      <c r="AN575">
        <f t="shared" si="110"/>
        <v>0</v>
      </c>
      <c r="AO575">
        <f t="shared" si="111"/>
        <v>0</v>
      </c>
      <c r="AP575">
        <f t="shared" si="112"/>
        <v>0</v>
      </c>
    </row>
    <row r="576" spans="17:42" x14ac:dyDescent="0.25">
      <c r="Q576" s="1">
        <v>44221</v>
      </c>
      <c r="R576">
        <v>7.000000000000001E-4</v>
      </c>
      <c r="S576">
        <v>8.0000000000000004E-4</v>
      </c>
      <c r="T576">
        <v>8.9999999999999998E-4</v>
      </c>
      <c r="U576">
        <v>8.9999999999999998E-4</v>
      </c>
      <c r="V576">
        <v>1E-3</v>
      </c>
      <c r="W576">
        <v>1.2999999999999999E-3</v>
      </c>
      <c r="X576">
        <v>1.7000000000000001E-3</v>
      </c>
      <c r="Y576">
        <v>4.1999999999999997E-3</v>
      </c>
      <c r="Z576">
        <v>7.3000000000000001E-3</v>
      </c>
      <c r="AA576">
        <v>1.0500000000000001E-2</v>
      </c>
      <c r="AB576">
        <v>1.61E-2</v>
      </c>
      <c r="AC576">
        <v>1.8000000000000002E-2</v>
      </c>
      <c r="AE576">
        <f t="shared" si="101"/>
        <v>0</v>
      </c>
      <c r="AF576">
        <f t="shared" si="102"/>
        <v>0</v>
      </c>
      <c r="AG576">
        <f t="shared" si="103"/>
        <v>9.9999999999999937E-5</v>
      </c>
      <c r="AH576">
        <f t="shared" si="104"/>
        <v>-1.0000000000000005E-4</v>
      </c>
      <c r="AI576">
        <f t="shared" si="105"/>
        <v>0</v>
      </c>
      <c r="AJ576">
        <f t="shared" si="106"/>
        <v>0</v>
      </c>
      <c r="AK576">
        <f t="shared" si="107"/>
        <v>-1.9999999999999987E-4</v>
      </c>
      <c r="AL576">
        <f t="shared" si="108"/>
        <v>-2.0000000000000052E-4</v>
      </c>
      <c r="AM576">
        <f t="shared" si="109"/>
        <v>-4.0000000000000018E-4</v>
      </c>
      <c r="AN576">
        <f t="shared" si="110"/>
        <v>-5.0000000000000044E-4</v>
      </c>
      <c r="AO576">
        <f t="shared" si="111"/>
        <v>-5.0000000000000044E-4</v>
      </c>
      <c r="AP576">
        <f t="shared" si="112"/>
        <v>-5.0000000000000044E-4</v>
      </c>
    </row>
    <row r="577" spans="17:42" x14ac:dyDescent="0.25">
      <c r="Q577" s="1">
        <v>44218</v>
      </c>
      <c r="R577">
        <v>7.000000000000001E-4</v>
      </c>
      <c r="S577">
        <v>8.0000000000000004E-4</v>
      </c>
      <c r="T577">
        <v>8.0000000000000004E-4</v>
      </c>
      <c r="U577">
        <v>1E-3</v>
      </c>
      <c r="V577">
        <v>1E-3</v>
      </c>
      <c r="W577">
        <v>1.2999999999999999E-3</v>
      </c>
      <c r="X577">
        <v>1.9E-3</v>
      </c>
      <c r="Y577">
        <v>4.4000000000000003E-3</v>
      </c>
      <c r="Z577">
        <v>7.7000000000000002E-3</v>
      </c>
      <c r="AA577">
        <v>1.1000000000000001E-2</v>
      </c>
      <c r="AB577">
        <v>1.66E-2</v>
      </c>
      <c r="AC577">
        <v>1.8500000000000003E-2</v>
      </c>
      <c r="AE577">
        <f t="shared" si="101"/>
        <v>0</v>
      </c>
      <c r="AF577">
        <f t="shared" si="102"/>
        <v>-9.9999999999999937E-5</v>
      </c>
      <c r="AG577">
        <f t="shared" si="103"/>
        <v>-9.9999999999999937E-5</v>
      </c>
      <c r="AH577">
        <f t="shared" si="104"/>
        <v>1.0000000000000005E-4</v>
      </c>
      <c r="AI577">
        <f t="shared" si="105"/>
        <v>0</v>
      </c>
      <c r="AJ577">
        <f t="shared" si="106"/>
        <v>0</v>
      </c>
      <c r="AK577">
        <f t="shared" si="107"/>
        <v>0</v>
      </c>
      <c r="AL577">
        <f t="shared" si="108"/>
        <v>-1.0000000000000026E-4</v>
      </c>
      <c r="AM577">
        <f t="shared" si="109"/>
        <v>-2.0000000000000052E-4</v>
      </c>
      <c r="AN577">
        <f t="shared" si="110"/>
        <v>-2.0000000000000052E-4</v>
      </c>
      <c r="AO577">
        <f t="shared" si="111"/>
        <v>-1.9999999999999879E-4</v>
      </c>
      <c r="AP577">
        <f t="shared" si="112"/>
        <v>-1.9999999999999879E-4</v>
      </c>
    </row>
    <row r="578" spans="17:42" x14ac:dyDescent="0.25">
      <c r="Q578" s="1">
        <v>44217</v>
      </c>
      <c r="R578">
        <v>7.000000000000001E-4</v>
      </c>
      <c r="S578">
        <v>8.9999999999999998E-4</v>
      </c>
      <c r="T578">
        <v>8.9999999999999998E-4</v>
      </c>
      <c r="U578">
        <v>8.9999999999999998E-4</v>
      </c>
      <c r="V578">
        <v>1E-3</v>
      </c>
      <c r="W578">
        <v>1.2999999999999999E-3</v>
      </c>
      <c r="X578">
        <v>1.9E-3</v>
      </c>
      <c r="Y578">
        <v>4.5000000000000005E-3</v>
      </c>
      <c r="Z578">
        <v>7.9000000000000008E-3</v>
      </c>
      <c r="AA578">
        <v>1.1200000000000002E-2</v>
      </c>
      <c r="AB578">
        <v>1.6799999999999999E-2</v>
      </c>
      <c r="AC578">
        <v>1.8700000000000001E-2</v>
      </c>
      <c r="AE578">
        <f t="shared" si="101"/>
        <v>-9.9999999999999937E-5</v>
      </c>
      <c r="AF578">
        <f t="shared" si="102"/>
        <v>9.9999999999999937E-5</v>
      </c>
      <c r="AG578">
        <f t="shared" si="103"/>
        <v>9.9999999999999937E-5</v>
      </c>
      <c r="AH578">
        <f t="shared" si="104"/>
        <v>-1.0000000000000005E-4</v>
      </c>
      <c r="AI578">
        <f t="shared" si="105"/>
        <v>0</v>
      </c>
      <c r="AJ578">
        <f t="shared" si="106"/>
        <v>0</v>
      </c>
      <c r="AK578">
        <f t="shared" si="107"/>
        <v>0</v>
      </c>
      <c r="AL578">
        <f t="shared" si="108"/>
        <v>0</v>
      </c>
      <c r="AM578">
        <f t="shared" si="109"/>
        <v>1.0000000000000026E-4</v>
      </c>
      <c r="AN578">
        <f t="shared" si="110"/>
        <v>2.0000000000000052E-4</v>
      </c>
      <c r="AO578">
        <f t="shared" si="111"/>
        <v>2.9999999999999818E-4</v>
      </c>
      <c r="AP578">
        <f t="shared" si="112"/>
        <v>3.0000000000000165E-4</v>
      </c>
    </row>
    <row r="579" spans="17:42" x14ac:dyDescent="0.25">
      <c r="Q579" s="1">
        <v>44216</v>
      </c>
      <c r="R579">
        <v>8.0000000000000004E-4</v>
      </c>
      <c r="S579">
        <v>8.0000000000000004E-4</v>
      </c>
      <c r="T579">
        <v>8.0000000000000004E-4</v>
      </c>
      <c r="U579">
        <v>1E-3</v>
      </c>
      <c r="V579">
        <v>1E-3</v>
      </c>
      <c r="W579">
        <v>1.2999999999999999E-3</v>
      </c>
      <c r="X579">
        <v>1.9E-3</v>
      </c>
      <c r="Y579">
        <v>4.5000000000000005E-3</v>
      </c>
      <c r="Z579">
        <v>7.8000000000000005E-3</v>
      </c>
      <c r="AA579">
        <v>1.1000000000000001E-2</v>
      </c>
      <c r="AB579">
        <v>1.6500000000000001E-2</v>
      </c>
      <c r="AC579">
        <v>1.84E-2</v>
      </c>
      <c r="AE579">
        <f t="shared" si="101"/>
        <v>9.9999999999999937E-5</v>
      </c>
      <c r="AF579">
        <f t="shared" si="102"/>
        <v>-9.9999999999999937E-5</v>
      </c>
      <c r="AG579">
        <f t="shared" si="103"/>
        <v>-9.9999999999999937E-5</v>
      </c>
      <c r="AH579">
        <f t="shared" si="104"/>
        <v>-1.0000000000000005E-4</v>
      </c>
      <c r="AI579">
        <f t="shared" si="105"/>
        <v>0</v>
      </c>
      <c r="AJ579">
        <f t="shared" si="106"/>
        <v>-1.0000000000000026E-4</v>
      </c>
      <c r="AK579">
        <f t="shared" si="107"/>
        <v>-1.9999999999999987E-4</v>
      </c>
      <c r="AL579">
        <f t="shared" si="108"/>
        <v>0</v>
      </c>
      <c r="AM579">
        <f t="shared" si="109"/>
        <v>0</v>
      </c>
      <c r="AN579">
        <f t="shared" si="110"/>
        <v>0</v>
      </c>
      <c r="AO579">
        <f t="shared" si="111"/>
        <v>0</v>
      </c>
      <c r="AP579">
        <f t="shared" si="112"/>
        <v>0</v>
      </c>
    </row>
    <row r="580" spans="17:42" x14ac:dyDescent="0.25">
      <c r="Q580" s="1">
        <v>44215</v>
      </c>
      <c r="R580">
        <v>7.000000000000001E-4</v>
      </c>
      <c r="S580">
        <v>8.9999999999999998E-4</v>
      </c>
      <c r="T580">
        <v>8.9999999999999998E-4</v>
      </c>
      <c r="U580">
        <v>1.1000000000000001E-3</v>
      </c>
      <c r="V580">
        <v>1E-3</v>
      </c>
      <c r="W580">
        <v>1.4000000000000002E-3</v>
      </c>
      <c r="X580">
        <v>2.0999999999999999E-3</v>
      </c>
      <c r="Y580">
        <v>4.5000000000000005E-3</v>
      </c>
      <c r="Z580">
        <v>7.8000000000000005E-3</v>
      </c>
      <c r="AA580">
        <v>1.1000000000000001E-2</v>
      </c>
      <c r="AB580">
        <v>1.6500000000000001E-2</v>
      </c>
      <c r="AC580">
        <v>1.84E-2</v>
      </c>
      <c r="AE580">
        <f t="shared" si="101"/>
        <v>-9.9999999999999937E-5</v>
      </c>
      <c r="AF580">
        <f t="shared" si="102"/>
        <v>0</v>
      </c>
      <c r="AG580">
        <f t="shared" si="103"/>
        <v>0</v>
      </c>
      <c r="AH580">
        <f t="shared" si="104"/>
        <v>1.0000000000000005E-4</v>
      </c>
      <c r="AI580">
        <f t="shared" si="105"/>
        <v>0</v>
      </c>
      <c r="AJ580">
        <f t="shared" si="106"/>
        <v>1.0000000000000026E-4</v>
      </c>
      <c r="AK580">
        <f t="shared" si="107"/>
        <v>9.9999999999999829E-5</v>
      </c>
      <c r="AL580">
        <f t="shared" si="108"/>
        <v>-9.9999999999999395E-5</v>
      </c>
      <c r="AM580">
        <f t="shared" si="109"/>
        <v>0</v>
      </c>
      <c r="AN580">
        <f t="shared" si="110"/>
        <v>-9.9999999999999395E-5</v>
      </c>
      <c r="AO580">
        <f t="shared" si="111"/>
        <v>-9.9999999999999395E-5</v>
      </c>
      <c r="AP580">
        <f t="shared" si="112"/>
        <v>-1.0000000000000286E-4</v>
      </c>
    </row>
    <row r="581" spans="17:42" x14ac:dyDescent="0.25">
      <c r="Q581" s="1">
        <v>44211</v>
      </c>
      <c r="R581">
        <v>8.0000000000000004E-4</v>
      </c>
      <c r="S581">
        <v>8.9999999999999998E-4</v>
      </c>
      <c r="T581">
        <v>8.9999999999999998E-4</v>
      </c>
      <c r="U581">
        <v>1E-3</v>
      </c>
      <c r="V581">
        <v>1E-3</v>
      </c>
      <c r="W581">
        <v>1.2999999999999999E-3</v>
      </c>
      <c r="X581">
        <v>2E-3</v>
      </c>
      <c r="Y581">
        <v>4.5999999999999999E-3</v>
      </c>
      <c r="Z581">
        <v>7.8000000000000005E-3</v>
      </c>
      <c r="AA581">
        <v>1.11E-2</v>
      </c>
      <c r="AB581">
        <v>1.66E-2</v>
      </c>
      <c r="AC581">
        <v>1.8500000000000003E-2</v>
      </c>
      <c r="AE581">
        <f t="shared" ref="AE581:AE589" si="113">R581-R582</f>
        <v>-9.9999999999999937E-5</v>
      </c>
      <c r="AF581">
        <f t="shared" ref="AF581:AF589" si="114">S581-S582</f>
        <v>0</v>
      </c>
      <c r="AG581">
        <f t="shared" ref="AG581:AG589" si="115">T581-T582</f>
        <v>0</v>
      </c>
      <c r="AH581">
        <f t="shared" ref="AH581:AH589" si="116">U581-U582</f>
        <v>1.0000000000000005E-4</v>
      </c>
      <c r="AI581">
        <f t="shared" ref="AI581:AI589" si="117">V581-V582</f>
        <v>0</v>
      </c>
      <c r="AJ581">
        <f t="shared" ref="AJ581:AJ589" si="118">W581-W582</f>
        <v>-3.0000000000000014E-4</v>
      </c>
      <c r="AK581">
        <f t="shared" ref="AK581:AK589" si="119">X581-X582</f>
        <v>-2.9999999999999992E-4</v>
      </c>
      <c r="AL581">
        <f t="shared" ref="AL581:AL589" si="120">Y581-Y582</f>
        <v>-2.9999999999999992E-4</v>
      </c>
      <c r="AM581">
        <f t="shared" ref="AM581:AM589" si="121">Z581-Z582</f>
        <v>-3.9999999999999845E-4</v>
      </c>
      <c r="AN581">
        <f t="shared" ref="AN581:AN589" si="122">AA581-AA582</f>
        <v>-3.9999999999999931E-4</v>
      </c>
      <c r="AO581">
        <f t="shared" ref="AO581:AO589" si="123">AB581-AB582</f>
        <v>-2.9999999999999818E-4</v>
      </c>
      <c r="AP581">
        <f t="shared" ref="AP581:AP589" si="124">AC581-AC582</f>
        <v>-2.9999999999999472E-4</v>
      </c>
    </row>
    <row r="582" spans="17:42" x14ac:dyDescent="0.25">
      <c r="Q582" s="1">
        <v>44210</v>
      </c>
      <c r="R582">
        <v>8.9999999999999998E-4</v>
      </c>
      <c r="S582">
        <v>8.9999999999999998E-4</v>
      </c>
      <c r="T582">
        <v>8.9999999999999998E-4</v>
      </c>
      <c r="U582">
        <v>8.9999999999999998E-4</v>
      </c>
      <c r="V582">
        <v>1E-3</v>
      </c>
      <c r="W582">
        <v>1.6000000000000001E-3</v>
      </c>
      <c r="X582">
        <v>2.3E-3</v>
      </c>
      <c r="Y582">
        <v>4.8999999999999998E-3</v>
      </c>
      <c r="Z582">
        <v>8.199999999999999E-3</v>
      </c>
      <c r="AA582">
        <v>1.15E-2</v>
      </c>
      <c r="AB582">
        <v>1.6899999999999998E-2</v>
      </c>
      <c r="AC582">
        <v>1.8799999999999997E-2</v>
      </c>
      <c r="AE582">
        <f t="shared" si="113"/>
        <v>0</v>
      </c>
      <c r="AF582">
        <f t="shared" si="114"/>
        <v>9.9999999999999937E-5</v>
      </c>
      <c r="AG582">
        <f t="shared" si="115"/>
        <v>0</v>
      </c>
      <c r="AH582">
        <f t="shared" si="116"/>
        <v>-1.0000000000000005E-4</v>
      </c>
      <c r="AI582">
        <f t="shared" si="117"/>
        <v>-1.9999999999999987E-4</v>
      </c>
      <c r="AJ582">
        <f t="shared" si="118"/>
        <v>1.9999999999999987E-4</v>
      </c>
      <c r="AK582">
        <f t="shared" si="119"/>
        <v>9.9999999999999829E-5</v>
      </c>
      <c r="AL582">
        <f t="shared" si="120"/>
        <v>1.0000000000000026E-4</v>
      </c>
      <c r="AM582">
        <f t="shared" si="121"/>
        <v>1.9999999999999879E-4</v>
      </c>
      <c r="AN582">
        <f t="shared" si="122"/>
        <v>4.9999999999999871E-4</v>
      </c>
      <c r="AO582">
        <f t="shared" si="123"/>
        <v>5.9999999999999984E-4</v>
      </c>
      <c r="AP582">
        <f t="shared" si="124"/>
        <v>5.9999999999999637E-4</v>
      </c>
    </row>
    <row r="583" spans="17:42" x14ac:dyDescent="0.25">
      <c r="Q583" s="1">
        <v>44209</v>
      </c>
      <c r="R583">
        <v>8.9999999999999998E-4</v>
      </c>
      <c r="S583">
        <v>8.0000000000000004E-4</v>
      </c>
      <c r="T583">
        <v>8.9999999999999998E-4</v>
      </c>
      <c r="U583">
        <v>1E-3</v>
      </c>
      <c r="V583">
        <v>1.1999999999999999E-3</v>
      </c>
      <c r="W583">
        <v>1.4000000000000002E-3</v>
      </c>
      <c r="X583">
        <v>2.2000000000000001E-3</v>
      </c>
      <c r="Y583">
        <v>4.7999999999999996E-3</v>
      </c>
      <c r="Z583">
        <v>8.0000000000000002E-3</v>
      </c>
      <c r="AA583">
        <v>1.1000000000000001E-2</v>
      </c>
      <c r="AB583">
        <v>1.6299999999999999E-2</v>
      </c>
      <c r="AC583">
        <v>1.8200000000000001E-2</v>
      </c>
      <c r="AE583">
        <f t="shared" si="113"/>
        <v>0</v>
      </c>
      <c r="AF583">
        <f t="shared" si="114"/>
        <v>0</v>
      </c>
      <c r="AG583">
        <f t="shared" si="115"/>
        <v>0</v>
      </c>
      <c r="AH583">
        <f t="shared" si="116"/>
        <v>1.0000000000000005E-4</v>
      </c>
      <c r="AI583">
        <f t="shared" si="117"/>
        <v>9.9999999999999829E-5</v>
      </c>
      <c r="AJ583">
        <f t="shared" si="118"/>
        <v>0</v>
      </c>
      <c r="AK583">
        <f t="shared" si="119"/>
        <v>-9.9999999999999829E-5</v>
      </c>
      <c r="AL583">
        <f t="shared" si="120"/>
        <v>-2.0000000000000052E-4</v>
      </c>
      <c r="AM583">
        <f t="shared" si="121"/>
        <v>-2.9999999999999992E-4</v>
      </c>
      <c r="AN583">
        <f t="shared" si="122"/>
        <v>-4.9999999999999871E-4</v>
      </c>
      <c r="AO583">
        <f t="shared" si="123"/>
        <v>-5.0000000000000044E-4</v>
      </c>
      <c r="AP583">
        <f t="shared" si="124"/>
        <v>-5.9999999999999637E-4</v>
      </c>
    </row>
    <row r="584" spans="17:42" x14ac:dyDescent="0.25">
      <c r="Q584" s="1">
        <v>44208</v>
      </c>
      <c r="R584">
        <v>8.9999999999999998E-4</v>
      </c>
      <c r="S584">
        <v>8.0000000000000004E-4</v>
      </c>
      <c r="T584">
        <v>8.9999999999999998E-4</v>
      </c>
      <c r="U584">
        <v>8.9999999999999998E-4</v>
      </c>
      <c r="V584">
        <v>1.1000000000000001E-3</v>
      </c>
      <c r="W584">
        <v>1.4000000000000002E-3</v>
      </c>
      <c r="X584">
        <v>2.3E-3</v>
      </c>
      <c r="Y584">
        <v>5.0000000000000001E-3</v>
      </c>
      <c r="Z584">
        <v>8.3000000000000001E-3</v>
      </c>
      <c r="AA584">
        <v>1.15E-2</v>
      </c>
      <c r="AB584">
        <v>1.6799999999999999E-2</v>
      </c>
      <c r="AC584">
        <v>1.8799999999999997E-2</v>
      </c>
      <c r="AE584">
        <f t="shared" si="113"/>
        <v>0</v>
      </c>
      <c r="AF584">
        <f t="shared" si="114"/>
        <v>0</v>
      </c>
      <c r="AG584">
        <f t="shared" si="115"/>
        <v>9.9999999999999937E-5</v>
      </c>
      <c r="AH584">
        <f t="shared" si="116"/>
        <v>-1.0000000000000005E-4</v>
      </c>
      <c r="AI584">
        <f t="shared" si="117"/>
        <v>1.0000000000000005E-4</v>
      </c>
      <c r="AJ584">
        <f t="shared" si="118"/>
        <v>0</v>
      </c>
      <c r="AK584">
        <f t="shared" si="119"/>
        <v>9.9999999999999829E-5</v>
      </c>
      <c r="AL584">
        <f t="shared" si="120"/>
        <v>0</v>
      </c>
      <c r="AM584">
        <f t="shared" si="121"/>
        <v>-9.9999999999999395E-5</v>
      </c>
      <c r="AN584">
        <f t="shared" si="122"/>
        <v>0</v>
      </c>
      <c r="AO584">
        <f t="shared" si="123"/>
        <v>0</v>
      </c>
      <c r="AP584">
        <f t="shared" si="124"/>
        <v>0</v>
      </c>
    </row>
    <row r="585" spans="17:42" x14ac:dyDescent="0.25">
      <c r="Q585" s="1">
        <v>44207</v>
      </c>
      <c r="R585">
        <v>8.9999999999999998E-4</v>
      </c>
      <c r="S585">
        <v>8.0000000000000004E-4</v>
      </c>
      <c r="T585">
        <v>8.0000000000000004E-4</v>
      </c>
      <c r="U585">
        <v>1E-3</v>
      </c>
      <c r="V585">
        <v>1E-3</v>
      </c>
      <c r="W585">
        <v>1.4000000000000002E-3</v>
      </c>
      <c r="X585">
        <v>2.2000000000000001E-3</v>
      </c>
      <c r="Y585">
        <v>5.0000000000000001E-3</v>
      </c>
      <c r="Z585">
        <v>8.3999999999999995E-3</v>
      </c>
      <c r="AA585">
        <v>1.15E-2</v>
      </c>
      <c r="AB585">
        <v>1.6799999999999999E-2</v>
      </c>
      <c r="AC585">
        <v>1.8799999999999997E-2</v>
      </c>
      <c r="AE585">
        <f t="shared" si="113"/>
        <v>9.9999999999999937E-5</v>
      </c>
      <c r="AF585">
        <f t="shared" si="114"/>
        <v>0</v>
      </c>
      <c r="AG585">
        <f t="shared" si="115"/>
        <v>0</v>
      </c>
      <c r="AH585">
        <f t="shared" si="116"/>
        <v>1.0000000000000005E-4</v>
      </c>
      <c r="AI585">
        <f t="shared" si="117"/>
        <v>0</v>
      </c>
      <c r="AJ585">
        <f t="shared" si="118"/>
        <v>0</v>
      </c>
      <c r="AK585">
        <f t="shared" si="119"/>
        <v>-1.9999999999999966E-4</v>
      </c>
      <c r="AL585">
        <f t="shared" si="120"/>
        <v>1.0000000000000026E-4</v>
      </c>
      <c r="AM585">
        <f t="shared" si="121"/>
        <v>2.9999999999999818E-4</v>
      </c>
      <c r="AN585">
        <f t="shared" si="122"/>
        <v>2.0000000000000052E-4</v>
      </c>
      <c r="AO585">
        <f t="shared" si="123"/>
        <v>9.9999999999999395E-5</v>
      </c>
      <c r="AP585">
        <f t="shared" si="124"/>
        <v>9.9999999999995925E-5</v>
      </c>
    </row>
    <row r="586" spans="17:42" x14ac:dyDescent="0.25">
      <c r="Q586" s="1">
        <v>44204</v>
      </c>
      <c r="R586">
        <v>8.0000000000000004E-4</v>
      </c>
      <c r="S586">
        <v>8.0000000000000004E-4</v>
      </c>
      <c r="T586">
        <v>8.0000000000000004E-4</v>
      </c>
      <c r="U586">
        <v>8.9999999999999998E-4</v>
      </c>
      <c r="V586">
        <v>1E-3</v>
      </c>
      <c r="W586">
        <v>1.4000000000000002E-3</v>
      </c>
      <c r="X586">
        <v>2.3999999999999998E-3</v>
      </c>
      <c r="Y586">
        <v>4.8999999999999998E-3</v>
      </c>
      <c r="Z586">
        <v>8.1000000000000013E-3</v>
      </c>
      <c r="AA586">
        <v>1.1299999999999999E-2</v>
      </c>
      <c r="AB586">
        <v>1.67E-2</v>
      </c>
      <c r="AC586">
        <v>1.8700000000000001E-2</v>
      </c>
      <c r="AE586">
        <f t="shared" si="113"/>
        <v>-9.9999999999999937E-5</v>
      </c>
      <c r="AF586">
        <f t="shared" si="114"/>
        <v>-9.9999999999999937E-5</v>
      </c>
      <c r="AG586">
        <f t="shared" si="115"/>
        <v>-9.9999999999999937E-5</v>
      </c>
      <c r="AH586">
        <f t="shared" si="116"/>
        <v>0</v>
      </c>
      <c r="AI586">
        <f t="shared" si="117"/>
        <v>-1.0000000000000005E-4</v>
      </c>
      <c r="AJ586">
        <f t="shared" si="118"/>
        <v>0</v>
      </c>
      <c r="AK586">
        <f t="shared" si="119"/>
        <v>1.9999999999999966E-4</v>
      </c>
      <c r="AL586">
        <f t="shared" si="120"/>
        <v>2.9999999999999992E-4</v>
      </c>
      <c r="AM586">
        <f t="shared" si="121"/>
        <v>3.0000000000000079E-4</v>
      </c>
      <c r="AN586">
        <f t="shared" si="122"/>
        <v>4.9999999999999871E-4</v>
      </c>
      <c r="AO586">
        <f t="shared" si="123"/>
        <v>3.0000000000000165E-4</v>
      </c>
      <c r="AP586">
        <f t="shared" si="124"/>
        <v>1.9999999999999879E-4</v>
      </c>
    </row>
    <row r="587" spans="17:42" x14ac:dyDescent="0.25">
      <c r="Q587" s="1">
        <v>44203</v>
      </c>
      <c r="R587">
        <v>8.9999999999999998E-4</v>
      </c>
      <c r="S587">
        <v>8.9999999999999998E-4</v>
      </c>
      <c r="T587">
        <v>8.9999999999999998E-4</v>
      </c>
      <c r="U587">
        <v>8.9999999999999998E-4</v>
      </c>
      <c r="V587">
        <v>1.1000000000000001E-3</v>
      </c>
      <c r="W587">
        <v>1.4000000000000002E-3</v>
      </c>
      <c r="X587">
        <v>2.2000000000000001E-3</v>
      </c>
      <c r="Y587">
        <v>4.5999999999999999E-3</v>
      </c>
      <c r="Z587">
        <v>7.8000000000000005E-3</v>
      </c>
      <c r="AA587">
        <v>1.0800000000000001E-2</v>
      </c>
      <c r="AB587">
        <v>1.6399999999999998E-2</v>
      </c>
      <c r="AC587">
        <v>1.8500000000000003E-2</v>
      </c>
      <c r="AE587">
        <f t="shared" si="113"/>
        <v>0</v>
      </c>
      <c r="AF587">
        <f t="shared" si="114"/>
        <v>0</v>
      </c>
      <c r="AG587">
        <f t="shared" si="115"/>
        <v>0</v>
      </c>
      <c r="AH587">
        <f t="shared" si="116"/>
        <v>0</v>
      </c>
      <c r="AI587">
        <f t="shared" si="117"/>
        <v>0</v>
      </c>
      <c r="AJ587">
        <f t="shared" si="118"/>
        <v>0</v>
      </c>
      <c r="AK587">
        <f t="shared" si="119"/>
        <v>2.0000000000000009E-4</v>
      </c>
      <c r="AL587">
        <f t="shared" si="120"/>
        <v>2.9999999999999992E-4</v>
      </c>
      <c r="AM587">
        <f t="shared" si="121"/>
        <v>4.0000000000000018E-4</v>
      </c>
      <c r="AN587">
        <f t="shared" si="122"/>
        <v>4.0000000000000105E-4</v>
      </c>
      <c r="AO587">
        <f t="shared" si="123"/>
        <v>3.9999999999999758E-4</v>
      </c>
      <c r="AP587">
        <f t="shared" si="124"/>
        <v>4.0000000000000105E-4</v>
      </c>
    </row>
    <row r="588" spans="17:42" x14ac:dyDescent="0.25">
      <c r="Q588" s="1">
        <v>44202</v>
      </c>
      <c r="R588">
        <v>8.9999999999999998E-4</v>
      </c>
      <c r="S588">
        <v>8.9999999999999998E-4</v>
      </c>
      <c r="T588">
        <v>8.9999999999999998E-4</v>
      </c>
      <c r="U588">
        <v>8.9999999999999998E-4</v>
      </c>
      <c r="V588">
        <v>1.1000000000000001E-3</v>
      </c>
      <c r="W588">
        <v>1.4000000000000002E-3</v>
      </c>
      <c r="X588">
        <v>2E-3</v>
      </c>
      <c r="Y588">
        <v>4.3E-3</v>
      </c>
      <c r="Z588">
        <v>7.4000000000000003E-3</v>
      </c>
      <c r="AA588">
        <v>1.04E-2</v>
      </c>
      <c r="AB588">
        <v>1.6E-2</v>
      </c>
      <c r="AC588">
        <v>1.8100000000000002E-2</v>
      </c>
      <c r="AE588">
        <f t="shared" si="113"/>
        <v>9.9999999999999937E-5</v>
      </c>
      <c r="AF588">
        <f t="shared" si="114"/>
        <v>0</v>
      </c>
      <c r="AG588">
        <f t="shared" si="115"/>
        <v>0</v>
      </c>
      <c r="AH588">
        <f t="shared" si="116"/>
        <v>0</v>
      </c>
      <c r="AI588">
        <f t="shared" si="117"/>
        <v>1.0000000000000005E-4</v>
      </c>
      <c r="AJ588">
        <f t="shared" si="118"/>
        <v>1.0000000000000026E-4</v>
      </c>
      <c r="AK588">
        <f t="shared" si="119"/>
        <v>2.9999999999999992E-4</v>
      </c>
      <c r="AL588">
        <f t="shared" si="120"/>
        <v>5.0000000000000001E-4</v>
      </c>
      <c r="AM588">
        <f t="shared" si="121"/>
        <v>8.0000000000000036E-4</v>
      </c>
      <c r="AN588">
        <f t="shared" si="122"/>
        <v>8.0000000000000036E-4</v>
      </c>
      <c r="AO588">
        <f t="shared" si="123"/>
        <v>1.1000000000000003E-3</v>
      </c>
      <c r="AP588">
        <f t="shared" si="124"/>
        <v>1.1000000000000003E-3</v>
      </c>
    </row>
    <row r="589" spans="17:42" x14ac:dyDescent="0.25">
      <c r="Q589" s="1">
        <v>44201</v>
      </c>
      <c r="R589">
        <v>8.0000000000000004E-4</v>
      </c>
      <c r="S589">
        <v>8.9999999999999998E-4</v>
      </c>
      <c r="T589">
        <v>8.9999999999999998E-4</v>
      </c>
      <c r="U589">
        <v>8.9999999999999998E-4</v>
      </c>
      <c r="V589">
        <v>1E-3</v>
      </c>
      <c r="W589">
        <v>1.2999999999999999E-3</v>
      </c>
      <c r="X589">
        <v>1.7000000000000001E-3</v>
      </c>
      <c r="Y589">
        <v>3.8E-3</v>
      </c>
      <c r="Z589">
        <v>6.6E-3</v>
      </c>
      <c r="AA589">
        <v>9.5999999999999992E-3</v>
      </c>
      <c r="AB589">
        <v>1.49E-2</v>
      </c>
      <c r="AC589">
        <v>1.7000000000000001E-2</v>
      </c>
      <c r="AE589">
        <f t="shared" si="113"/>
        <v>-9.9999999999999937E-5</v>
      </c>
      <c r="AF589">
        <f t="shared" si="114"/>
        <v>0</v>
      </c>
      <c r="AG589">
        <f t="shared" si="115"/>
        <v>0</v>
      </c>
      <c r="AH589">
        <f t="shared" si="116"/>
        <v>0</v>
      </c>
      <c r="AI589">
        <f t="shared" si="117"/>
        <v>0</v>
      </c>
      <c r="AJ589">
        <f t="shared" si="118"/>
        <v>1.9999999999999987E-4</v>
      </c>
      <c r="AK589">
        <f t="shared" si="119"/>
        <v>1.0000000000000005E-4</v>
      </c>
      <c r="AL589">
        <f t="shared" si="120"/>
        <v>2.0000000000000009E-4</v>
      </c>
      <c r="AM589">
        <f t="shared" si="121"/>
        <v>1.9999999999999966E-4</v>
      </c>
      <c r="AN589">
        <f t="shared" si="122"/>
        <v>2.9999999999999818E-4</v>
      </c>
      <c r="AO589">
        <f t="shared" si="123"/>
        <v>2.9999999999999992E-4</v>
      </c>
      <c r="AP589">
        <f t="shared" si="124"/>
        <v>4.0000000000000105E-4</v>
      </c>
    </row>
    <row r="590" spans="17:42" x14ac:dyDescent="0.25">
      <c r="Q590" s="1">
        <v>44200</v>
      </c>
      <c r="R590">
        <v>8.9999999999999998E-4</v>
      </c>
      <c r="S590">
        <v>8.9999999999999998E-4</v>
      </c>
      <c r="T590">
        <v>8.9999999999999998E-4</v>
      </c>
      <c r="U590">
        <v>8.9999999999999998E-4</v>
      </c>
      <c r="V590">
        <v>1E-3</v>
      </c>
      <c r="W590">
        <v>1.1000000000000001E-3</v>
      </c>
      <c r="X590">
        <v>1.6000000000000001E-3</v>
      </c>
      <c r="Y590">
        <v>3.5999999999999999E-3</v>
      </c>
      <c r="Z590">
        <v>6.4000000000000003E-3</v>
      </c>
      <c r="AA590">
        <v>9.300000000000001E-3</v>
      </c>
      <c r="AB590">
        <v>1.46E-2</v>
      </c>
      <c r="AC590">
        <v>1.66E-2</v>
      </c>
    </row>
    <row r="591" spans="17:42" x14ac:dyDescent="0.25">
      <c r="Q591" s="1">
        <v>44196</v>
      </c>
      <c r="R591">
        <v>8.0000000000000004E-4</v>
      </c>
      <c r="S591">
        <v>8.0000000000000004E-4</v>
      </c>
      <c r="T591">
        <v>8.9999999999999998E-4</v>
      </c>
      <c r="U591">
        <v>8.9999999999999998E-4</v>
      </c>
      <c r="V591">
        <v>1E-3</v>
      </c>
      <c r="W591">
        <v>1.2999999999999999E-3</v>
      </c>
      <c r="X591">
        <v>1.7000000000000001E-3</v>
      </c>
      <c r="Y591">
        <v>3.5999999999999999E-3</v>
      </c>
      <c r="Z591">
        <v>6.5000000000000006E-3</v>
      </c>
      <c r="AA591">
        <v>9.300000000000001E-3</v>
      </c>
      <c r="AB591">
        <v>1.4499999999999999E-2</v>
      </c>
      <c r="AC591">
        <v>1.6500000000000001E-2</v>
      </c>
    </row>
    <row r="592" spans="17:42" x14ac:dyDescent="0.25">
      <c r="Q592" s="1">
        <v>44195</v>
      </c>
      <c r="R592">
        <v>5.9999999999999995E-4</v>
      </c>
      <c r="S592">
        <v>5.9999999999999995E-4</v>
      </c>
      <c r="T592">
        <v>8.0000000000000004E-4</v>
      </c>
      <c r="U592">
        <v>8.9999999999999998E-4</v>
      </c>
      <c r="V592">
        <v>1.1999999999999999E-3</v>
      </c>
      <c r="W592">
        <v>1.1999999999999999E-3</v>
      </c>
      <c r="X592">
        <v>1.7000000000000001E-3</v>
      </c>
      <c r="Y592">
        <v>3.7000000000000002E-3</v>
      </c>
      <c r="Z592">
        <v>6.6E-3</v>
      </c>
      <c r="AA592">
        <v>9.300000000000001E-3</v>
      </c>
      <c r="AB592">
        <v>1.46E-2</v>
      </c>
      <c r="AC592">
        <v>1.66E-2</v>
      </c>
    </row>
    <row r="593" spans="17:29" x14ac:dyDescent="0.25">
      <c r="Q593" s="1">
        <v>44194</v>
      </c>
      <c r="R593">
        <v>8.0000000000000004E-4</v>
      </c>
      <c r="S593">
        <v>8.9999999999999998E-4</v>
      </c>
      <c r="T593">
        <v>1E-3</v>
      </c>
      <c r="U593">
        <v>1.1999999999999999E-3</v>
      </c>
      <c r="V593">
        <v>1.1000000000000001E-3</v>
      </c>
      <c r="W593">
        <v>1.1999999999999999E-3</v>
      </c>
      <c r="X593">
        <v>1.7000000000000001E-3</v>
      </c>
      <c r="Y593">
        <v>3.7000000000000002E-3</v>
      </c>
      <c r="Z593">
        <v>6.6E-3</v>
      </c>
      <c r="AA593">
        <v>9.3999999999999986E-3</v>
      </c>
      <c r="AB593">
        <v>1.47E-2</v>
      </c>
      <c r="AC593">
        <v>1.67E-2</v>
      </c>
    </row>
    <row r="594" spans="17:29" x14ac:dyDescent="0.25">
      <c r="Q594" s="1">
        <v>44193</v>
      </c>
      <c r="R594">
        <v>8.9999999999999998E-4</v>
      </c>
      <c r="S594">
        <v>1E-3</v>
      </c>
      <c r="T594">
        <v>1.1000000000000001E-3</v>
      </c>
      <c r="U594">
        <v>1.1000000000000001E-3</v>
      </c>
      <c r="V594">
        <v>1.1000000000000001E-3</v>
      </c>
      <c r="W594">
        <v>1.2999999999999999E-3</v>
      </c>
      <c r="X594">
        <v>1.7000000000000001E-3</v>
      </c>
      <c r="Y594">
        <v>3.8E-3</v>
      </c>
      <c r="Z594">
        <v>6.5000000000000006E-3</v>
      </c>
      <c r="AA594">
        <v>9.3999999999999986E-3</v>
      </c>
      <c r="AB594">
        <v>1.46E-2</v>
      </c>
      <c r="AC594">
        <v>1.67E-2</v>
      </c>
    </row>
    <row r="595" spans="17:29" x14ac:dyDescent="0.25">
      <c r="Q595" s="1">
        <v>44189</v>
      </c>
      <c r="R595">
        <v>8.9999999999999998E-4</v>
      </c>
      <c r="S595">
        <v>8.9999999999999998E-4</v>
      </c>
      <c r="T595">
        <v>8.9999999999999998E-4</v>
      </c>
      <c r="U595">
        <v>8.9999999999999998E-4</v>
      </c>
      <c r="V595">
        <v>1E-3</v>
      </c>
      <c r="W595">
        <v>1.2999999999999999E-3</v>
      </c>
      <c r="X595">
        <v>1.7000000000000001E-3</v>
      </c>
      <c r="Y595">
        <v>3.7000000000000002E-3</v>
      </c>
      <c r="Z595">
        <v>6.6E-3</v>
      </c>
      <c r="AA595">
        <v>9.3999999999999986E-3</v>
      </c>
      <c r="AB595">
        <v>1.46E-2</v>
      </c>
      <c r="AC595">
        <v>1.66E-2</v>
      </c>
    </row>
    <row r="596" spans="17:29" x14ac:dyDescent="0.25">
      <c r="Q596" s="1">
        <v>44188</v>
      </c>
      <c r="R596">
        <v>7.000000000000001E-4</v>
      </c>
      <c r="S596">
        <v>8.0000000000000004E-4</v>
      </c>
      <c r="T596">
        <v>8.9999999999999998E-4</v>
      </c>
      <c r="U596">
        <v>8.9999999999999998E-4</v>
      </c>
      <c r="V596">
        <v>8.9999999999999998E-4</v>
      </c>
      <c r="W596">
        <v>1.2999999999999999E-3</v>
      </c>
      <c r="X596">
        <v>1.8E-3</v>
      </c>
      <c r="Y596">
        <v>3.8E-3</v>
      </c>
      <c r="Z596">
        <v>6.7000000000000002E-3</v>
      </c>
      <c r="AA596">
        <v>9.5999999999999992E-3</v>
      </c>
      <c r="AB596">
        <v>1.49E-2</v>
      </c>
      <c r="AC596">
        <v>1.7000000000000001E-2</v>
      </c>
    </row>
    <row r="597" spans="17:29" x14ac:dyDescent="0.25">
      <c r="Q597" s="1">
        <v>44187</v>
      </c>
      <c r="R597">
        <v>7.000000000000001E-4</v>
      </c>
      <c r="S597">
        <v>8.9999999999999998E-4</v>
      </c>
      <c r="T597">
        <v>8.9999999999999998E-4</v>
      </c>
      <c r="U597">
        <v>8.9999999999999998E-4</v>
      </c>
      <c r="V597">
        <v>8.9999999999999998E-4</v>
      </c>
      <c r="W597">
        <v>1.2999999999999999E-3</v>
      </c>
      <c r="X597">
        <v>1.7000000000000001E-3</v>
      </c>
      <c r="Y597">
        <v>3.7000000000000002E-3</v>
      </c>
      <c r="Z597">
        <v>6.4000000000000003E-3</v>
      </c>
      <c r="AA597">
        <v>9.300000000000001E-3</v>
      </c>
      <c r="AB597">
        <v>1.4499999999999999E-2</v>
      </c>
      <c r="AC597">
        <v>1.6500000000000001E-2</v>
      </c>
    </row>
    <row r="598" spans="17:29" x14ac:dyDescent="0.25">
      <c r="Q598" s="1">
        <v>44186</v>
      </c>
      <c r="R598">
        <v>8.0000000000000004E-4</v>
      </c>
      <c r="S598">
        <v>8.9999999999999998E-4</v>
      </c>
      <c r="T598">
        <v>8.9999999999999998E-4</v>
      </c>
      <c r="U598">
        <v>8.9999999999999998E-4</v>
      </c>
      <c r="V598">
        <v>8.9999999999999998E-4</v>
      </c>
      <c r="W598">
        <v>1.2999999999999999E-3</v>
      </c>
      <c r="X598">
        <v>1.8E-3</v>
      </c>
      <c r="Y598">
        <v>3.9000000000000003E-3</v>
      </c>
      <c r="Z598">
        <v>6.6E-3</v>
      </c>
      <c r="AA598">
        <v>9.4999999999999998E-3</v>
      </c>
      <c r="AB598">
        <v>1.4800000000000001E-2</v>
      </c>
      <c r="AC598">
        <v>1.6799999999999999E-2</v>
      </c>
    </row>
    <row r="599" spans="17:29" x14ac:dyDescent="0.25">
      <c r="Q599" s="1">
        <v>44183</v>
      </c>
      <c r="R599">
        <v>8.0000000000000004E-4</v>
      </c>
      <c r="S599">
        <v>8.0000000000000004E-4</v>
      </c>
      <c r="T599">
        <v>8.0000000000000004E-4</v>
      </c>
      <c r="U599">
        <v>8.9999999999999998E-4</v>
      </c>
      <c r="V599">
        <v>8.9999999999999998E-4</v>
      </c>
      <c r="W599">
        <v>1.2999999999999999E-3</v>
      </c>
      <c r="X599">
        <v>1.9E-3</v>
      </c>
      <c r="Y599">
        <v>3.9000000000000003E-3</v>
      </c>
      <c r="Z599">
        <v>6.7000000000000002E-3</v>
      </c>
      <c r="AA599">
        <v>9.4999999999999998E-3</v>
      </c>
      <c r="AB599">
        <v>1.49E-2</v>
      </c>
      <c r="AC599">
        <v>1.7000000000000001E-2</v>
      </c>
    </row>
    <row r="600" spans="17:29" x14ac:dyDescent="0.25">
      <c r="Q600" s="1">
        <v>44182</v>
      </c>
      <c r="R600">
        <v>8.0000000000000004E-4</v>
      </c>
      <c r="S600">
        <v>8.9999999999999998E-4</v>
      </c>
      <c r="T600">
        <v>8.0000000000000004E-4</v>
      </c>
      <c r="U600">
        <v>8.9999999999999998E-4</v>
      </c>
      <c r="V600">
        <v>8.9999999999999998E-4</v>
      </c>
      <c r="W600">
        <v>1.2999999999999999E-3</v>
      </c>
      <c r="X600">
        <v>1.9E-3</v>
      </c>
      <c r="Y600">
        <v>3.8E-3</v>
      </c>
      <c r="Z600">
        <v>6.6E-3</v>
      </c>
      <c r="AA600">
        <v>9.3999999999999986E-3</v>
      </c>
      <c r="AB600">
        <v>1.47E-2</v>
      </c>
      <c r="AC600">
        <v>1.6799999999999999E-2</v>
      </c>
    </row>
    <row r="601" spans="17:29" x14ac:dyDescent="0.25">
      <c r="Q601" s="1">
        <v>44181</v>
      </c>
      <c r="R601">
        <v>8.0000000000000004E-4</v>
      </c>
      <c r="S601">
        <v>8.0000000000000004E-4</v>
      </c>
      <c r="T601">
        <v>8.9999999999999998E-4</v>
      </c>
      <c r="U601">
        <v>8.9999999999999998E-4</v>
      </c>
      <c r="V601">
        <v>8.9999999999999998E-4</v>
      </c>
      <c r="W601">
        <v>1.2999999999999999E-3</v>
      </c>
      <c r="X601">
        <v>1.8E-3</v>
      </c>
      <c r="Y601">
        <v>3.7000000000000002E-3</v>
      </c>
      <c r="Z601">
        <v>6.4000000000000003E-3</v>
      </c>
      <c r="AA601">
        <v>9.1999999999999998E-3</v>
      </c>
      <c r="AB601">
        <v>1.46E-2</v>
      </c>
      <c r="AC601">
        <v>1.66E-2</v>
      </c>
    </row>
    <row r="602" spans="17:29" x14ac:dyDescent="0.25">
      <c r="Q602" s="1">
        <v>44180</v>
      </c>
      <c r="R602">
        <v>7.000000000000001E-4</v>
      </c>
      <c r="S602">
        <v>8.0000000000000004E-4</v>
      </c>
      <c r="T602">
        <v>8.0000000000000004E-4</v>
      </c>
      <c r="U602">
        <v>8.0000000000000004E-4</v>
      </c>
      <c r="V602">
        <v>8.9999999999999998E-4</v>
      </c>
      <c r="W602">
        <v>1.1000000000000001E-3</v>
      </c>
      <c r="X602">
        <v>1.8E-3</v>
      </c>
      <c r="Y602">
        <v>3.7000000000000002E-3</v>
      </c>
      <c r="Z602">
        <v>6.4000000000000003E-3</v>
      </c>
      <c r="AA602">
        <v>9.1999999999999998E-3</v>
      </c>
      <c r="AB602">
        <v>1.4499999999999999E-2</v>
      </c>
      <c r="AC602">
        <v>1.6500000000000001E-2</v>
      </c>
    </row>
    <row r="603" spans="17:29" x14ac:dyDescent="0.25">
      <c r="Q603" s="1">
        <v>44179</v>
      </c>
      <c r="R603">
        <v>7.000000000000001E-4</v>
      </c>
      <c r="S603">
        <v>8.0000000000000004E-4</v>
      </c>
      <c r="T603">
        <v>8.9999999999999998E-4</v>
      </c>
      <c r="U603">
        <v>8.0000000000000004E-4</v>
      </c>
      <c r="V603">
        <v>1E-3</v>
      </c>
      <c r="W603">
        <v>1.2999999999999999E-3</v>
      </c>
      <c r="X603">
        <v>1.7000000000000001E-3</v>
      </c>
      <c r="Y603">
        <v>3.7000000000000002E-3</v>
      </c>
      <c r="Z603">
        <v>6.3E-3</v>
      </c>
      <c r="AA603">
        <v>9.0000000000000011E-3</v>
      </c>
      <c r="AB603">
        <v>1.43E-2</v>
      </c>
      <c r="AC603">
        <v>1.6299999999999999E-2</v>
      </c>
    </row>
    <row r="604" spans="17:29" x14ac:dyDescent="0.25">
      <c r="Q604" s="1">
        <v>44176</v>
      </c>
      <c r="R604">
        <v>8.0000000000000004E-4</v>
      </c>
      <c r="S604">
        <v>8.0000000000000004E-4</v>
      </c>
      <c r="T604">
        <v>8.0000000000000004E-4</v>
      </c>
      <c r="U604">
        <v>8.0000000000000004E-4</v>
      </c>
      <c r="V604">
        <v>1E-3</v>
      </c>
      <c r="W604">
        <v>1.1000000000000001E-3</v>
      </c>
      <c r="X604">
        <v>1.8E-3</v>
      </c>
      <c r="Y604">
        <v>3.7000000000000002E-3</v>
      </c>
      <c r="Z604">
        <v>6.3E-3</v>
      </c>
      <c r="AA604">
        <v>9.0000000000000011E-3</v>
      </c>
      <c r="AB604">
        <v>1.4199999999999999E-2</v>
      </c>
      <c r="AC604">
        <v>1.6299999999999999E-2</v>
      </c>
    </row>
    <row r="605" spans="17:29" x14ac:dyDescent="0.25">
      <c r="Q605" s="1">
        <v>44175</v>
      </c>
      <c r="R605">
        <v>7.000000000000001E-4</v>
      </c>
      <c r="S605">
        <v>8.0000000000000004E-4</v>
      </c>
      <c r="T605">
        <v>8.0000000000000004E-4</v>
      </c>
      <c r="U605">
        <v>8.9999999999999998E-4</v>
      </c>
      <c r="V605">
        <v>1E-3</v>
      </c>
      <c r="W605">
        <v>1.4000000000000002E-3</v>
      </c>
      <c r="X605">
        <v>2E-3</v>
      </c>
      <c r="Y605">
        <v>3.9000000000000003E-3</v>
      </c>
      <c r="Z605">
        <v>6.5000000000000006E-3</v>
      </c>
      <c r="AA605">
        <v>9.1999999999999998E-3</v>
      </c>
      <c r="AB605">
        <v>1.44E-2</v>
      </c>
      <c r="AC605">
        <v>1.6500000000000001E-2</v>
      </c>
    </row>
    <row r="606" spans="17:29" x14ac:dyDescent="0.25">
      <c r="Q606" s="1">
        <v>44174</v>
      </c>
      <c r="R606">
        <v>7.000000000000001E-4</v>
      </c>
      <c r="S606">
        <v>7.000000000000001E-4</v>
      </c>
      <c r="T606">
        <v>8.0000000000000004E-4</v>
      </c>
      <c r="U606">
        <v>8.9999999999999998E-4</v>
      </c>
      <c r="V606">
        <v>1E-3</v>
      </c>
      <c r="W606">
        <v>1.6000000000000001E-3</v>
      </c>
      <c r="X606">
        <v>2.0999999999999999E-3</v>
      </c>
      <c r="Y606">
        <v>4.0999999999999995E-3</v>
      </c>
      <c r="Z606">
        <v>6.8000000000000005E-3</v>
      </c>
      <c r="AA606">
        <v>9.4999999999999998E-3</v>
      </c>
      <c r="AB606">
        <v>1.4800000000000001E-2</v>
      </c>
      <c r="AC606">
        <v>1.6899999999999998E-2</v>
      </c>
    </row>
    <row r="607" spans="17:29" x14ac:dyDescent="0.25">
      <c r="Q607" s="1">
        <v>44173</v>
      </c>
      <c r="R607">
        <v>8.0000000000000004E-4</v>
      </c>
      <c r="S607">
        <v>8.0000000000000004E-4</v>
      </c>
      <c r="T607">
        <v>8.9999999999999998E-4</v>
      </c>
      <c r="U607">
        <v>8.9999999999999998E-4</v>
      </c>
      <c r="V607">
        <v>1E-3</v>
      </c>
      <c r="W607">
        <v>1.4000000000000002E-3</v>
      </c>
      <c r="X607">
        <v>2E-3</v>
      </c>
      <c r="Y607">
        <v>3.9000000000000003E-3</v>
      </c>
      <c r="Z607">
        <v>6.5000000000000006E-3</v>
      </c>
      <c r="AA607">
        <v>9.1999999999999998E-3</v>
      </c>
      <c r="AB607">
        <v>1.46E-2</v>
      </c>
      <c r="AC607">
        <v>1.67E-2</v>
      </c>
    </row>
    <row r="608" spans="17:29" x14ac:dyDescent="0.25">
      <c r="Q608" s="1">
        <v>44172</v>
      </c>
      <c r="R608">
        <v>8.9999999999999998E-4</v>
      </c>
      <c r="S608">
        <v>8.0000000000000004E-4</v>
      </c>
      <c r="T608">
        <v>8.0000000000000004E-4</v>
      </c>
      <c r="U608">
        <v>1E-3</v>
      </c>
      <c r="V608">
        <v>1E-3</v>
      </c>
      <c r="W608">
        <v>1.4000000000000002E-3</v>
      </c>
      <c r="X608">
        <v>2E-3</v>
      </c>
      <c r="Y608">
        <v>4.0000000000000001E-3</v>
      </c>
      <c r="Z608">
        <v>6.7000000000000002E-3</v>
      </c>
      <c r="AA608">
        <v>9.3999999999999986E-3</v>
      </c>
      <c r="AB608">
        <v>1.49E-2</v>
      </c>
      <c r="AC608">
        <v>1.6899999999999998E-2</v>
      </c>
    </row>
    <row r="609" spans="17:29" x14ac:dyDescent="0.25">
      <c r="Q609" s="1">
        <v>44169</v>
      </c>
      <c r="R609">
        <v>7.000000000000001E-4</v>
      </c>
      <c r="S609">
        <v>7.000000000000001E-4</v>
      </c>
      <c r="T609">
        <v>8.9999999999999998E-4</v>
      </c>
      <c r="U609">
        <v>1E-3</v>
      </c>
      <c r="V609">
        <v>1.1000000000000001E-3</v>
      </c>
      <c r="W609">
        <v>1.6000000000000001E-3</v>
      </c>
      <c r="X609">
        <v>2.0999999999999999E-3</v>
      </c>
      <c r="Y609">
        <v>4.1999999999999997E-3</v>
      </c>
      <c r="Z609">
        <v>6.9999999999999993E-3</v>
      </c>
      <c r="AA609">
        <v>9.7000000000000003E-3</v>
      </c>
      <c r="AB609">
        <v>1.5300000000000001E-2</v>
      </c>
      <c r="AC609">
        <v>1.7299999999999999E-2</v>
      </c>
    </row>
    <row r="610" spans="17:29" x14ac:dyDescent="0.25">
      <c r="Q610" s="1">
        <v>44168</v>
      </c>
      <c r="R610">
        <v>8.0000000000000004E-4</v>
      </c>
      <c r="S610">
        <v>8.0000000000000004E-4</v>
      </c>
      <c r="T610">
        <v>8.0000000000000004E-4</v>
      </c>
      <c r="U610">
        <v>8.9999999999999998E-4</v>
      </c>
      <c r="V610">
        <v>1E-3</v>
      </c>
      <c r="W610">
        <v>1.6000000000000001E-3</v>
      </c>
      <c r="X610">
        <v>2.0999999999999999E-3</v>
      </c>
      <c r="Y610">
        <v>4.0000000000000001E-3</v>
      </c>
      <c r="Z610">
        <v>6.7000000000000002E-3</v>
      </c>
      <c r="AA610">
        <v>9.1999999999999998E-3</v>
      </c>
      <c r="AB610">
        <v>1.46E-2</v>
      </c>
      <c r="AC610">
        <v>1.67E-2</v>
      </c>
    </row>
    <row r="611" spans="17:29" x14ac:dyDescent="0.25">
      <c r="Q611" s="1">
        <v>44167</v>
      </c>
      <c r="R611">
        <v>7.000000000000001E-4</v>
      </c>
      <c r="S611">
        <v>8.0000000000000004E-4</v>
      </c>
      <c r="T611">
        <v>8.9999999999999998E-4</v>
      </c>
      <c r="U611">
        <v>1E-3</v>
      </c>
      <c r="V611">
        <v>1.1000000000000001E-3</v>
      </c>
      <c r="W611">
        <v>1.6000000000000001E-3</v>
      </c>
      <c r="X611">
        <v>2.2000000000000001E-3</v>
      </c>
      <c r="Y611">
        <v>4.1999999999999997E-3</v>
      </c>
      <c r="Z611">
        <v>6.8999999999999999E-3</v>
      </c>
      <c r="AA611">
        <v>9.4999999999999998E-3</v>
      </c>
      <c r="AB611">
        <v>1.4999999999999999E-2</v>
      </c>
      <c r="AC611">
        <v>1.7000000000000001E-2</v>
      </c>
    </row>
    <row r="612" spans="17:29" x14ac:dyDescent="0.25">
      <c r="Q612" s="1">
        <v>44166</v>
      </c>
      <c r="R612">
        <v>7.000000000000001E-4</v>
      </c>
      <c r="S612">
        <v>7.000000000000001E-4</v>
      </c>
      <c r="T612">
        <v>8.9999999999999998E-4</v>
      </c>
      <c r="U612">
        <v>1E-3</v>
      </c>
      <c r="V612">
        <v>1.1999999999999999E-3</v>
      </c>
      <c r="W612">
        <v>1.7000000000000001E-3</v>
      </c>
      <c r="X612">
        <v>2.2000000000000001E-3</v>
      </c>
      <c r="Y612">
        <v>4.1999999999999997E-3</v>
      </c>
      <c r="Z612">
        <v>6.8000000000000005E-3</v>
      </c>
      <c r="AA612">
        <v>9.1999999999999998E-3</v>
      </c>
      <c r="AB612">
        <v>1.46E-2</v>
      </c>
      <c r="AC612">
        <v>1.66E-2</v>
      </c>
    </row>
    <row r="613" spans="17:29" x14ac:dyDescent="0.25">
      <c r="Q613" s="1">
        <v>44165</v>
      </c>
      <c r="R613">
        <v>8.0000000000000004E-4</v>
      </c>
      <c r="S613">
        <v>8.0000000000000004E-4</v>
      </c>
      <c r="T613">
        <v>8.0000000000000004E-4</v>
      </c>
      <c r="U613">
        <v>8.9999999999999998E-4</v>
      </c>
      <c r="V613">
        <v>1.1000000000000001E-3</v>
      </c>
      <c r="W613">
        <v>1.6000000000000001E-3</v>
      </c>
      <c r="X613">
        <v>1.9E-3</v>
      </c>
      <c r="Y613">
        <v>3.5999999999999999E-3</v>
      </c>
      <c r="Z613">
        <v>6.1999999999999998E-3</v>
      </c>
      <c r="AA613">
        <v>8.3999999999999995E-3</v>
      </c>
      <c r="AB613">
        <v>1.37E-2</v>
      </c>
      <c r="AC613">
        <v>1.5800000000000002E-2</v>
      </c>
    </row>
    <row r="614" spans="17:29" x14ac:dyDescent="0.25">
      <c r="Q614" s="1">
        <v>44162</v>
      </c>
      <c r="R614">
        <v>8.9999999999999998E-4</v>
      </c>
      <c r="S614">
        <v>8.9999999999999998E-4</v>
      </c>
      <c r="T614">
        <v>8.9999999999999998E-4</v>
      </c>
      <c r="U614">
        <v>1E-3</v>
      </c>
      <c r="V614">
        <v>1.1000000000000001E-3</v>
      </c>
      <c r="W614">
        <v>1.6000000000000001E-3</v>
      </c>
      <c r="X614">
        <v>2E-3</v>
      </c>
      <c r="Y614">
        <v>3.7000000000000002E-3</v>
      </c>
      <c r="Z614">
        <v>6.0999999999999995E-3</v>
      </c>
      <c r="AA614">
        <v>8.3999999999999995E-3</v>
      </c>
      <c r="AB614">
        <v>1.3600000000000001E-2</v>
      </c>
      <c r="AC614">
        <v>1.5700000000000002E-2</v>
      </c>
    </row>
    <row r="615" spans="17:29" x14ac:dyDescent="0.25">
      <c r="Q615" s="1">
        <v>44160</v>
      </c>
      <c r="R615">
        <v>7.000000000000001E-4</v>
      </c>
      <c r="S615">
        <v>7.000000000000001E-4</v>
      </c>
      <c r="T615">
        <v>8.9999999999999998E-4</v>
      </c>
      <c r="U615">
        <v>8.9999999999999998E-4</v>
      </c>
      <c r="V615">
        <v>1.1000000000000001E-3</v>
      </c>
      <c r="W615">
        <v>1.7000000000000001E-3</v>
      </c>
      <c r="X615">
        <v>2.0999999999999999E-3</v>
      </c>
      <c r="Y615">
        <v>3.9000000000000003E-3</v>
      </c>
      <c r="Z615">
        <v>6.5000000000000006E-3</v>
      </c>
      <c r="AA615">
        <v>8.8000000000000005E-3</v>
      </c>
      <c r="AB615">
        <v>1.41E-2</v>
      </c>
      <c r="AC615">
        <v>1.6200000000000003E-2</v>
      </c>
    </row>
    <row r="616" spans="17:29" x14ac:dyDescent="0.25">
      <c r="Q616" s="1">
        <v>44159</v>
      </c>
      <c r="R616">
        <v>8.0000000000000004E-4</v>
      </c>
      <c r="S616">
        <v>8.0000000000000004E-4</v>
      </c>
      <c r="T616">
        <v>8.9999999999999998E-4</v>
      </c>
      <c r="U616">
        <v>1E-3</v>
      </c>
      <c r="V616">
        <v>1.1000000000000001E-3</v>
      </c>
      <c r="W616">
        <v>1.6000000000000001E-3</v>
      </c>
      <c r="X616">
        <v>2.2000000000000001E-3</v>
      </c>
      <c r="Y616">
        <v>3.9000000000000003E-3</v>
      </c>
      <c r="Z616">
        <v>6.5000000000000006E-3</v>
      </c>
      <c r="AA616">
        <v>8.8000000000000005E-3</v>
      </c>
      <c r="AB616">
        <v>1.3999999999999999E-2</v>
      </c>
      <c r="AC616">
        <v>1.6E-2</v>
      </c>
    </row>
    <row r="617" spans="17:29" x14ac:dyDescent="0.25">
      <c r="Q617" s="1">
        <v>44158</v>
      </c>
      <c r="R617">
        <v>8.0000000000000004E-4</v>
      </c>
      <c r="S617">
        <v>8.0000000000000004E-4</v>
      </c>
      <c r="T617">
        <v>8.0000000000000004E-4</v>
      </c>
      <c r="U617">
        <v>8.0000000000000004E-4</v>
      </c>
      <c r="V617">
        <v>1E-3</v>
      </c>
      <c r="W617">
        <v>1.6000000000000001E-3</v>
      </c>
      <c r="X617">
        <v>2.2000000000000001E-3</v>
      </c>
      <c r="Y617">
        <v>3.9000000000000003E-3</v>
      </c>
      <c r="Z617">
        <v>6.4000000000000003E-3</v>
      </c>
      <c r="AA617">
        <v>8.6E-3</v>
      </c>
      <c r="AB617">
        <v>1.3600000000000001E-2</v>
      </c>
      <c r="AC617">
        <v>1.5600000000000001E-2</v>
      </c>
    </row>
    <row r="618" spans="17:29" x14ac:dyDescent="0.25">
      <c r="Q618" s="1">
        <v>44155</v>
      </c>
      <c r="R618">
        <v>8.9999999999999998E-4</v>
      </c>
      <c r="S618">
        <v>8.9999999999999998E-4</v>
      </c>
      <c r="T618">
        <v>7.000000000000001E-4</v>
      </c>
      <c r="U618">
        <v>1E-3</v>
      </c>
      <c r="V618">
        <v>1.1000000000000001E-3</v>
      </c>
      <c r="W618">
        <v>1.6000000000000001E-3</v>
      </c>
      <c r="X618">
        <v>2.0999999999999999E-3</v>
      </c>
      <c r="Y618">
        <v>3.8E-3</v>
      </c>
      <c r="Z618">
        <v>6.1999999999999998E-3</v>
      </c>
      <c r="AA618">
        <v>8.3000000000000001E-3</v>
      </c>
      <c r="AB618">
        <v>1.3300000000000001E-2</v>
      </c>
      <c r="AC618">
        <v>1.5300000000000001E-2</v>
      </c>
    </row>
    <row r="619" spans="17:29" x14ac:dyDescent="0.25">
      <c r="Q619" s="1">
        <v>44154</v>
      </c>
      <c r="R619">
        <v>8.0000000000000004E-4</v>
      </c>
      <c r="S619">
        <v>8.0000000000000004E-4</v>
      </c>
      <c r="T619">
        <v>7.000000000000001E-4</v>
      </c>
      <c r="U619">
        <v>1E-3</v>
      </c>
      <c r="V619">
        <v>1.1000000000000001E-3</v>
      </c>
      <c r="W619">
        <v>1.8E-3</v>
      </c>
      <c r="X619">
        <v>2.2000000000000001E-3</v>
      </c>
      <c r="Y619">
        <v>3.9000000000000003E-3</v>
      </c>
      <c r="Z619">
        <v>6.3E-3</v>
      </c>
      <c r="AA619">
        <v>8.6E-3</v>
      </c>
      <c r="AB619">
        <v>1.38E-2</v>
      </c>
      <c r="AC619">
        <v>1.5800000000000002E-2</v>
      </c>
    </row>
    <row r="620" spans="17:29" x14ac:dyDescent="0.25">
      <c r="Q620" s="1">
        <v>44153</v>
      </c>
      <c r="R620">
        <v>7.000000000000001E-4</v>
      </c>
      <c r="S620">
        <v>8.9999999999999998E-4</v>
      </c>
      <c r="T620">
        <v>8.9999999999999998E-4</v>
      </c>
      <c r="U620">
        <v>1E-3</v>
      </c>
      <c r="V620">
        <v>1.1000000000000001E-3</v>
      </c>
      <c r="W620">
        <v>1.6000000000000001E-3</v>
      </c>
      <c r="X620">
        <v>2.2000000000000001E-3</v>
      </c>
      <c r="Y620">
        <v>4.0000000000000001E-3</v>
      </c>
      <c r="Z620">
        <v>6.4000000000000003E-3</v>
      </c>
      <c r="AA620">
        <v>8.8000000000000005E-3</v>
      </c>
      <c r="AB620">
        <v>1.4199999999999999E-2</v>
      </c>
      <c r="AC620">
        <v>1.6200000000000003E-2</v>
      </c>
    </row>
    <row r="621" spans="17:29" x14ac:dyDescent="0.25">
      <c r="Q621" s="1">
        <v>44152</v>
      </c>
      <c r="R621">
        <v>8.0000000000000004E-4</v>
      </c>
      <c r="S621">
        <v>8.0000000000000004E-4</v>
      </c>
      <c r="T621">
        <v>8.9999999999999998E-4</v>
      </c>
      <c r="U621">
        <v>1E-3</v>
      </c>
      <c r="V621">
        <v>1.1999999999999999E-3</v>
      </c>
      <c r="W621">
        <v>1.8E-3</v>
      </c>
      <c r="X621">
        <v>2.2000000000000001E-3</v>
      </c>
      <c r="Y621">
        <v>3.9000000000000003E-3</v>
      </c>
      <c r="Z621">
        <v>6.3E-3</v>
      </c>
      <c r="AA621">
        <v>8.6999999999999994E-3</v>
      </c>
      <c r="AB621">
        <v>1.3999999999999999E-2</v>
      </c>
      <c r="AC621">
        <v>1.6200000000000003E-2</v>
      </c>
    </row>
    <row r="622" spans="17:29" x14ac:dyDescent="0.25">
      <c r="Q622" s="1">
        <v>44151</v>
      </c>
      <c r="R622">
        <v>8.9999999999999998E-4</v>
      </c>
      <c r="S622">
        <v>1E-3</v>
      </c>
      <c r="T622">
        <v>8.9999999999999998E-4</v>
      </c>
      <c r="U622">
        <v>1.1999999999999999E-3</v>
      </c>
      <c r="V622">
        <v>1.1999999999999999E-3</v>
      </c>
      <c r="W622">
        <v>1.9E-3</v>
      </c>
      <c r="X622">
        <v>2.3999999999999998E-3</v>
      </c>
      <c r="Y622">
        <v>4.0999999999999995E-3</v>
      </c>
      <c r="Z622">
        <v>6.6E-3</v>
      </c>
      <c r="AA622">
        <v>9.1000000000000004E-3</v>
      </c>
      <c r="AB622">
        <v>1.44E-2</v>
      </c>
      <c r="AC622">
        <v>1.66E-2</v>
      </c>
    </row>
    <row r="623" spans="17:29" x14ac:dyDescent="0.25">
      <c r="Q623" s="1">
        <v>44148</v>
      </c>
      <c r="R623">
        <v>1E-3</v>
      </c>
      <c r="S623">
        <v>8.9999999999999998E-4</v>
      </c>
      <c r="T623">
        <v>8.9999999999999998E-4</v>
      </c>
      <c r="U623">
        <v>1E-3</v>
      </c>
      <c r="V623">
        <v>1.1999999999999999E-3</v>
      </c>
      <c r="W623">
        <v>1.7000000000000001E-3</v>
      </c>
      <c r="X623">
        <v>2.3E-3</v>
      </c>
      <c r="Y623">
        <v>4.0999999999999995E-3</v>
      </c>
      <c r="Z623">
        <v>6.5000000000000006E-3</v>
      </c>
      <c r="AA623">
        <v>8.8999999999999999E-3</v>
      </c>
      <c r="AB623">
        <v>1.43E-2</v>
      </c>
      <c r="AC623">
        <v>1.6500000000000001E-2</v>
      </c>
    </row>
    <row r="624" spans="17:29" x14ac:dyDescent="0.25">
      <c r="Q624" s="1">
        <v>44147</v>
      </c>
      <c r="R624">
        <v>1E-3</v>
      </c>
      <c r="S624">
        <v>1.1000000000000001E-3</v>
      </c>
      <c r="T624">
        <v>1E-3</v>
      </c>
      <c r="U624">
        <v>1E-3</v>
      </c>
      <c r="V624">
        <v>1.2999999999999999E-3</v>
      </c>
      <c r="W624">
        <v>1.7000000000000001E-3</v>
      </c>
      <c r="X624">
        <v>2.3E-3</v>
      </c>
      <c r="Y624">
        <v>4.0000000000000001E-3</v>
      </c>
      <c r="Z624">
        <v>6.4000000000000003E-3</v>
      </c>
      <c r="AA624">
        <v>8.8000000000000005E-3</v>
      </c>
      <c r="AB624">
        <v>1.4199999999999999E-2</v>
      </c>
      <c r="AC624">
        <v>1.6399999999999998E-2</v>
      </c>
    </row>
    <row r="625" spans="17:29" x14ac:dyDescent="0.25">
      <c r="Q625" s="1">
        <v>44145</v>
      </c>
      <c r="R625">
        <v>8.9999999999999998E-4</v>
      </c>
      <c r="S625">
        <v>8.9999999999999998E-4</v>
      </c>
      <c r="T625">
        <v>1E-3</v>
      </c>
      <c r="U625">
        <v>1.1000000000000001E-3</v>
      </c>
      <c r="V625">
        <v>1.1999999999999999E-3</v>
      </c>
      <c r="W625">
        <v>1.9E-3</v>
      </c>
      <c r="X625">
        <v>2.5999999999999999E-3</v>
      </c>
      <c r="Y625">
        <v>4.5999999999999999E-3</v>
      </c>
      <c r="Z625">
        <v>7.1999999999999998E-3</v>
      </c>
      <c r="AA625">
        <v>9.7999999999999997E-3</v>
      </c>
      <c r="AB625">
        <v>1.5300000000000001E-2</v>
      </c>
      <c r="AC625">
        <v>1.7500000000000002E-2</v>
      </c>
    </row>
    <row r="626" spans="17:29" x14ac:dyDescent="0.25">
      <c r="Q626" s="1">
        <v>44144</v>
      </c>
      <c r="R626">
        <v>1E-3</v>
      </c>
      <c r="S626">
        <v>1E-3</v>
      </c>
      <c r="T626">
        <v>1.1000000000000001E-3</v>
      </c>
      <c r="U626">
        <v>1.1000000000000001E-3</v>
      </c>
      <c r="V626">
        <v>1.1999999999999999E-3</v>
      </c>
      <c r="W626">
        <v>1.7000000000000001E-3</v>
      </c>
      <c r="X626">
        <v>2.5000000000000001E-3</v>
      </c>
      <c r="Y626">
        <v>4.4000000000000003E-3</v>
      </c>
      <c r="Z626">
        <v>6.9999999999999993E-3</v>
      </c>
      <c r="AA626">
        <v>9.5999999999999992E-3</v>
      </c>
      <c r="AB626">
        <v>1.5100000000000001E-2</v>
      </c>
      <c r="AC626">
        <v>1.7299999999999999E-2</v>
      </c>
    </row>
    <row r="627" spans="17:29" x14ac:dyDescent="0.25">
      <c r="Q627" s="1">
        <v>44141</v>
      </c>
      <c r="R627">
        <v>1E-3</v>
      </c>
      <c r="S627">
        <v>1E-3</v>
      </c>
      <c r="T627">
        <v>1E-3</v>
      </c>
      <c r="U627">
        <v>1.1000000000000001E-3</v>
      </c>
      <c r="V627">
        <v>1.1999999999999999E-3</v>
      </c>
      <c r="W627">
        <v>1.6000000000000001E-3</v>
      </c>
      <c r="X627">
        <v>2.0999999999999999E-3</v>
      </c>
      <c r="Y627">
        <v>3.5999999999999999E-3</v>
      </c>
      <c r="Z627">
        <v>5.8999999999999999E-3</v>
      </c>
      <c r="AA627">
        <v>8.3000000000000001E-3</v>
      </c>
      <c r="AB627">
        <v>1.37E-2</v>
      </c>
      <c r="AC627">
        <v>1.6E-2</v>
      </c>
    </row>
    <row r="628" spans="17:29" x14ac:dyDescent="0.25">
      <c r="Q628" s="1">
        <v>44140</v>
      </c>
      <c r="R628">
        <v>8.9999999999999998E-4</v>
      </c>
      <c r="S628">
        <v>1E-3</v>
      </c>
      <c r="T628">
        <v>1E-3</v>
      </c>
      <c r="U628">
        <v>1E-3</v>
      </c>
      <c r="V628">
        <v>1.1999999999999999E-3</v>
      </c>
      <c r="W628">
        <v>1.4000000000000002E-3</v>
      </c>
      <c r="X628">
        <v>1.8E-3</v>
      </c>
      <c r="Y628">
        <v>3.3E-3</v>
      </c>
      <c r="Z628">
        <v>5.6000000000000008E-3</v>
      </c>
      <c r="AA628">
        <v>7.9000000000000008E-3</v>
      </c>
      <c r="AB628">
        <v>1.32E-2</v>
      </c>
      <c r="AC628">
        <v>1.54E-2</v>
      </c>
    </row>
    <row r="629" spans="17:29" x14ac:dyDescent="0.25">
      <c r="Q629" s="1">
        <v>44139</v>
      </c>
      <c r="R629">
        <v>8.0000000000000004E-4</v>
      </c>
      <c r="S629">
        <v>8.9999999999999998E-4</v>
      </c>
      <c r="T629">
        <v>1E-3</v>
      </c>
      <c r="U629">
        <v>1E-3</v>
      </c>
      <c r="V629">
        <v>1.1999999999999999E-3</v>
      </c>
      <c r="W629">
        <v>1.4000000000000002E-3</v>
      </c>
      <c r="X629">
        <v>1.8E-3</v>
      </c>
      <c r="Y629">
        <v>3.3E-3</v>
      </c>
      <c r="Z629">
        <v>5.5000000000000005E-3</v>
      </c>
      <c r="AA629">
        <v>7.8000000000000005E-3</v>
      </c>
      <c r="AB629">
        <v>1.3300000000000001E-2</v>
      </c>
      <c r="AC629">
        <v>1.55E-2</v>
      </c>
    </row>
    <row r="630" spans="17:29" x14ac:dyDescent="0.25">
      <c r="Q630" s="1">
        <v>44138</v>
      </c>
      <c r="R630">
        <v>8.9999999999999998E-4</v>
      </c>
      <c r="S630">
        <v>1E-3</v>
      </c>
      <c r="T630">
        <v>1E-3</v>
      </c>
      <c r="U630">
        <v>1.1999999999999999E-3</v>
      </c>
      <c r="V630">
        <v>1.4000000000000002E-3</v>
      </c>
      <c r="W630">
        <v>1.7000000000000001E-3</v>
      </c>
      <c r="X630">
        <v>2.0999999999999999E-3</v>
      </c>
      <c r="Y630">
        <v>3.9000000000000003E-3</v>
      </c>
      <c r="Z630">
        <v>6.5000000000000006E-3</v>
      </c>
      <c r="AA630">
        <v>9.0000000000000011E-3</v>
      </c>
      <c r="AB630">
        <v>1.44E-2</v>
      </c>
      <c r="AC630">
        <v>1.66E-2</v>
      </c>
    </row>
    <row r="631" spans="17:29" x14ac:dyDescent="0.25">
      <c r="Q631" s="1">
        <v>44137</v>
      </c>
      <c r="R631">
        <v>8.9999999999999998E-4</v>
      </c>
      <c r="S631">
        <v>8.9999999999999998E-4</v>
      </c>
      <c r="T631">
        <v>8.9999999999999998E-4</v>
      </c>
      <c r="U631">
        <v>1.1000000000000001E-3</v>
      </c>
      <c r="V631">
        <v>1.2999999999999999E-3</v>
      </c>
      <c r="W631">
        <v>1.6000000000000001E-3</v>
      </c>
      <c r="X631">
        <v>2E-3</v>
      </c>
      <c r="Y631">
        <v>3.8E-3</v>
      </c>
      <c r="Z631">
        <v>6.3E-3</v>
      </c>
      <c r="AA631">
        <v>8.6999999999999994E-3</v>
      </c>
      <c r="AB631">
        <v>1.41E-2</v>
      </c>
      <c r="AC631">
        <v>1.6299999999999999E-2</v>
      </c>
    </row>
    <row r="632" spans="17:29" x14ac:dyDescent="0.25">
      <c r="Q632" s="1">
        <v>44134</v>
      </c>
      <c r="R632">
        <v>8.0000000000000004E-4</v>
      </c>
      <c r="S632">
        <v>8.9999999999999998E-4</v>
      </c>
      <c r="T632">
        <v>8.9999999999999998E-4</v>
      </c>
      <c r="U632">
        <v>1.1000000000000001E-3</v>
      </c>
      <c r="V632">
        <v>1.2999999999999999E-3</v>
      </c>
      <c r="W632">
        <v>1.4000000000000002E-3</v>
      </c>
      <c r="X632">
        <v>1.9E-3</v>
      </c>
      <c r="Y632">
        <v>3.8E-3</v>
      </c>
      <c r="Z632">
        <v>6.4000000000000003E-3</v>
      </c>
      <c r="AA632">
        <v>8.8000000000000005E-3</v>
      </c>
      <c r="AB632">
        <v>1.43E-2</v>
      </c>
      <c r="AC632">
        <v>1.6500000000000001E-2</v>
      </c>
    </row>
    <row r="633" spans="17:29" x14ac:dyDescent="0.25">
      <c r="Q633" s="1">
        <v>44133</v>
      </c>
      <c r="R633">
        <v>8.0000000000000004E-4</v>
      </c>
      <c r="S633">
        <v>1E-3</v>
      </c>
      <c r="T633">
        <v>8.9999999999999998E-4</v>
      </c>
      <c r="U633">
        <v>1E-3</v>
      </c>
      <c r="V633">
        <v>1.1999999999999999E-3</v>
      </c>
      <c r="W633">
        <v>1.6000000000000001E-3</v>
      </c>
      <c r="X633">
        <v>2E-3</v>
      </c>
      <c r="Y633">
        <v>3.8E-3</v>
      </c>
      <c r="Z633">
        <v>6.0999999999999995E-3</v>
      </c>
      <c r="AA633">
        <v>8.5000000000000006E-3</v>
      </c>
      <c r="AB633">
        <v>1.3899999999999999E-2</v>
      </c>
      <c r="AC633">
        <v>1.6200000000000003E-2</v>
      </c>
    </row>
    <row r="634" spans="17:29" x14ac:dyDescent="0.25">
      <c r="Q634" s="1">
        <v>44132</v>
      </c>
      <c r="R634">
        <v>7.000000000000001E-4</v>
      </c>
      <c r="S634">
        <v>8.9999999999999998E-4</v>
      </c>
      <c r="T634">
        <v>1E-3</v>
      </c>
      <c r="U634">
        <v>1.1000000000000001E-3</v>
      </c>
      <c r="V634">
        <v>1.1999999999999999E-3</v>
      </c>
      <c r="W634">
        <v>1.6000000000000001E-3</v>
      </c>
      <c r="X634">
        <v>1.9E-3</v>
      </c>
      <c r="Y634">
        <v>3.4000000000000002E-3</v>
      </c>
      <c r="Z634">
        <v>5.6000000000000008E-3</v>
      </c>
      <c r="AA634">
        <v>7.9000000000000008E-3</v>
      </c>
      <c r="AB634">
        <v>1.34E-2</v>
      </c>
      <c r="AC634">
        <v>1.5600000000000001E-2</v>
      </c>
    </row>
    <row r="635" spans="17:29" x14ac:dyDescent="0.25">
      <c r="Q635" s="1">
        <v>44131</v>
      </c>
      <c r="R635">
        <v>8.0000000000000004E-4</v>
      </c>
      <c r="S635">
        <v>8.9999999999999998E-4</v>
      </c>
      <c r="T635">
        <v>1E-3</v>
      </c>
      <c r="U635">
        <v>1.1000000000000001E-3</v>
      </c>
      <c r="V635">
        <v>1.1999999999999999E-3</v>
      </c>
      <c r="W635">
        <v>1.6000000000000001E-3</v>
      </c>
      <c r="X635">
        <v>1.9E-3</v>
      </c>
      <c r="Y635">
        <v>3.4000000000000002E-3</v>
      </c>
      <c r="Z635">
        <v>5.6000000000000008E-3</v>
      </c>
      <c r="AA635">
        <v>7.9000000000000008E-3</v>
      </c>
      <c r="AB635">
        <v>1.34E-2</v>
      </c>
      <c r="AC635">
        <v>1.5700000000000002E-2</v>
      </c>
    </row>
    <row r="636" spans="17:29" x14ac:dyDescent="0.25">
      <c r="Q636" s="1">
        <v>44130</v>
      </c>
      <c r="R636">
        <v>8.0000000000000004E-4</v>
      </c>
      <c r="S636">
        <v>8.9999999999999998E-4</v>
      </c>
      <c r="T636">
        <v>1.1000000000000001E-3</v>
      </c>
      <c r="U636">
        <v>1.1999999999999999E-3</v>
      </c>
      <c r="V636">
        <v>1.1999999999999999E-3</v>
      </c>
      <c r="W636">
        <v>1.6000000000000001E-3</v>
      </c>
      <c r="X636">
        <v>1.8E-3</v>
      </c>
      <c r="Y636">
        <v>3.4999999999999996E-3</v>
      </c>
      <c r="Z636">
        <v>5.7999999999999996E-3</v>
      </c>
      <c r="AA636">
        <v>8.1000000000000013E-3</v>
      </c>
      <c r="AB636">
        <v>1.37E-2</v>
      </c>
      <c r="AC636">
        <v>1.5900000000000001E-2</v>
      </c>
    </row>
    <row r="637" spans="17:29" x14ac:dyDescent="0.25">
      <c r="Q637" s="1">
        <v>44127</v>
      </c>
      <c r="R637">
        <v>8.0000000000000004E-4</v>
      </c>
      <c r="S637">
        <v>8.9999999999999998E-4</v>
      </c>
      <c r="T637">
        <v>1E-3</v>
      </c>
      <c r="U637">
        <v>1.1000000000000001E-3</v>
      </c>
      <c r="V637">
        <v>1.1999999999999999E-3</v>
      </c>
      <c r="W637">
        <v>1.8E-3</v>
      </c>
      <c r="X637">
        <v>2.0999999999999999E-3</v>
      </c>
      <c r="Y637">
        <v>3.7000000000000002E-3</v>
      </c>
      <c r="Z637">
        <v>6.0999999999999995E-3</v>
      </c>
      <c r="AA637">
        <v>8.5000000000000006E-3</v>
      </c>
      <c r="AB637">
        <v>1.41E-2</v>
      </c>
      <c r="AC637">
        <v>1.6399999999999998E-2</v>
      </c>
    </row>
    <row r="638" spans="17:29" x14ac:dyDescent="0.25">
      <c r="Q638" s="1">
        <v>44126</v>
      </c>
      <c r="R638">
        <v>8.9999999999999998E-4</v>
      </c>
      <c r="S638">
        <v>8.9999999999999998E-4</v>
      </c>
      <c r="T638">
        <v>8.9999999999999998E-4</v>
      </c>
      <c r="U638">
        <v>1.1000000000000001E-3</v>
      </c>
      <c r="V638">
        <v>1.2999999999999999E-3</v>
      </c>
      <c r="W638">
        <v>1.6000000000000001E-3</v>
      </c>
      <c r="X638">
        <v>2.0999999999999999E-3</v>
      </c>
      <c r="Y638">
        <v>3.8E-3</v>
      </c>
      <c r="Z638">
        <v>6.1999999999999998E-3</v>
      </c>
      <c r="AA638">
        <v>8.6999999999999994E-3</v>
      </c>
      <c r="AB638">
        <v>1.43E-2</v>
      </c>
      <c r="AC638">
        <v>1.67E-2</v>
      </c>
    </row>
    <row r="639" spans="17:29" x14ac:dyDescent="0.25">
      <c r="Q639" s="1">
        <v>44125</v>
      </c>
      <c r="R639">
        <v>8.0000000000000004E-4</v>
      </c>
      <c r="S639">
        <v>8.9999999999999998E-4</v>
      </c>
      <c r="T639">
        <v>1E-3</v>
      </c>
      <c r="U639">
        <v>1.1999999999999999E-3</v>
      </c>
      <c r="V639">
        <v>1.2999999999999999E-3</v>
      </c>
      <c r="W639">
        <v>1.4000000000000002E-3</v>
      </c>
      <c r="X639">
        <v>2E-3</v>
      </c>
      <c r="Y639">
        <v>3.5999999999999999E-3</v>
      </c>
      <c r="Z639">
        <v>5.7999999999999996E-3</v>
      </c>
      <c r="AA639">
        <v>8.3000000000000001E-3</v>
      </c>
      <c r="AB639">
        <v>1.3999999999999999E-2</v>
      </c>
      <c r="AC639">
        <v>1.6200000000000003E-2</v>
      </c>
    </row>
    <row r="640" spans="17:29" x14ac:dyDescent="0.25">
      <c r="Q640" s="1">
        <v>44124</v>
      </c>
      <c r="R640">
        <v>8.0000000000000004E-4</v>
      </c>
      <c r="S640">
        <v>8.9999999999999998E-4</v>
      </c>
      <c r="T640">
        <v>1E-3</v>
      </c>
      <c r="U640">
        <v>1.1999999999999999E-3</v>
      </c>
      <c r="V640">
        <v>1.2999999999999999E-3</v>
      </c>
      <c r="W640">
        <v>1.4000000000000002E-3</v>
      </c>
      <c r="X640">
        <v>1.9E-3</v>
      </c>
      <c r="Y640">
        <v>3.4000000000000002E-3</v>
      </c>
      <c r="Z640">
        <v>5.6999999999999993E-3</v>
      </c>
      <c r="AA640">
        <v>8.1000000000000013E-3</v>
      </c>
      <c r="AB640">
        <v>1.37E-2</v>
      </c>
      <c r="AC640">
        <v>1.6E-2</v>
      </c>
    </row>
    <row r="641" spans="17:29" x14ac:dyDescent="0.25">
      <c r="Q641" s="1">
        <v>44123</v>
      </c>
      <c r="R641">
        <v>8.9999999999999998E-4</v>
      </c>
      <c r="S641">
        <v>1E-3</v>
      </c>
      <c r="T641">
        <v>1.1000000000000001E-3</v>
      </c>
      <c r="U641">
        <v>1.1000000000000001E-3</v>
      </c>
      <c r="V641">
        <v>1.2999999999999999E-3</v>
      </c>
      <c r="W641">
        <v>1.6000000000000001E-3</v>
      </c>
      <c r="X641">
        <v>1.9E-3</v>
      </c>
      <c r="Y641">
        <v>3.4000000000000002E-3</v>
      </c>
      <c r="Z641">
        <v>5.4000000000000003E-3</v>
      </c>
      <c r="AA641">
        <v>7.8000000000000005E-3</v>
      </c>
      <c r="AB641">
        <v>1.32E-2</v>
      </c>
      <c r="AC641">
        <v>1.55E-2</v>
      </c>
    </row>
    <row r="642" spans="17:29" x14ac:dyDescent="0.25">
      <c r="Q642" s="1">
        <v>44120</v>
      </c>
      <c r="R642">
        <v>8.9999999999999998E-4</v>
      </c>
      <c r="S642">
        <v>1E-3</v>
      </c>
      <c r="T642">
        <v>1.1000000000000001E-3</v>
      </c>
      <c r="U642">
        <v>1.1999999999999999E-3</v>
      </c>
      <c r="V642">
        <v>1.1999999999999999E-3</v>
      </c>
      <c r="W642">
        <v>1.4000000000000002E-3</v>
      </c>
      <c r="X642">
        <v>1.8E-3</v>
      </c>
      <c r="Y642">
        <v>3.2000000000000002E-3</v>
      </c>
      <c r="Z642">
        <v>5.3E-3</v>
      </c>
      <c r="AA642">
        <v>7.6E-3</v>
      </c>
      <c r="AB642">
        <v>1.3000000000000001E-2</v>
      </c>
      <c r="AC642">
        <v>1.52E-2</v>
      </c>
    </row>
    <row r="643" spans="17:29" x14ac:dyDescent="0.25">
      <c r="Q643" s="1">
        <v>44119</v>
      </c>
      <c r="R643">
        <v>1E-3</v>
      </c>
      <c r="S643">
        <v>1E-3</v>
      </c>
      <c r="T643">
        <v>1.1000000000000001E-3</v>
      </c>
      <c r="U643">
        <v>1.1999999999999999E-3</v>
      </c>
      <c r="V643">
        <v>1.1999999999999999E-3</v>
      </c>
      <c r="W643">
        <v>1.4000000000000002E-3</v>
      </c>
      <c r="X643">
        <v>1.8E-3</v>
      </c>
      <c r="Y643">
        <v>3.2000000000000002E-3</v>
      </c>
      <c r="Z643">
        <v>5.1999999999999998E-3</v>
      </c>
      <c r="AA643">
        <v>7.4000000000000003E-3</v>
      </c>
      <c r="AB643">
        <v>1.29E-2</v>
      </c>
      <c r="AC643">
        <v>1.52E-2</v>
      </c>
    </row>
    <row r="644" spans="17:29" x14ac:dyDescent="0.25">
      <c r="Q644" s="1">
        <v>44118</v>
      </c>
      <c r="R644">
        <v>1E-3</v>
      </c>
      <c r="S644">
        <v>1E-3</v>
      </c>
      <c r="T644">
        <v>1.1999999999999999E-3</v>
      </c>
      <c r="U644">
        <v>1.1999999999999999E-3</v>
      </c>
      <c r="V644">
        <v>1.2999999999999999E-3</v>
      </c>
      <c r="W644">
        <v>1.4000000000000002E-3</v>
      </c>
      <c r="X644">
        <v>1.8E-3</v>
      </c>
      <c r="Y644">
        <v>3.0000000000000001E-3</v>
      </c>
      <c r="Z644">
        <v>5.1000000000000004E-3</v>
      </c>
      <c r="AA644">
        <v>7.3000000000000001E-3</v>
      </c>
      <c r="AB644">
        <v>1.2800000000000001E-2</v>
      </c>
      <c r="AC644">
        <v>1.4999999999999999E-2</v>
      </c>
    </row>
    <row r="645" spans="17:29" x14ac:dyDescent="0.25">
      <c r="Q645" s="1">
        <v>44117</v>
      </c>
      <c r="R645">
        <v>8.9999999999999998E-4</v>
      </c>
      <c r="S645">
        <v>8.9999999999999998E-4</v>
      </c>
      <c r="T645">
        <v>1.1000000000000001E-3</v>
      </c>
      <c r="U645">
        <v>1.1999999999999999E-3</v>
      </c>
      <c r="V645">
        <v>1.2999999999999999E-3</v>
      </c>
      <c r="W645">
        <v>1.6000000000000001E-3</v>
      </c>
      <c r="X645">
        <v>1.8E-3</v>
      </c>
      <c r="Y645">
        <v>3.0999999999999999E-3</v>
      </c>
      <c r="Z645">
        <v>5.1999999999999998E-3</v>
      </c>
      <c r="AA645">
        <v>7.4000000000000003E-3</v>
      </c>
      <c r="AB645">
        <v>1.29E-2</v>
      </c>
      <c r="AC645">
        <v>1.52E-2</v>
      </c>
    </row>
    <row r="646" spans="17:29" x14ac:dyDescent="0.25">
      <c r="Q646" s="1">
        <v>44113</v>
      </c>
      <c r="R646">
        <v>1E-3</v>
      </c>
      <c r="S646">
        <v>1.1000000000000001E-3</v>
      </c>
      <c r="T646">
        <v>1E-3</v>
      </c>
      <c r="U646">
        <v>1.1999999999999999E-3</v>
      </c>
      <c r="V646">
        <v>1.5E-3</v>
      </c>
      <c r="W646">
        <v>1.6000000000000001E-3</v>
      </c>
      <c r="X646">
        <v>2E-3</v>
      </c>
      <c r="Y646">
        <v>3.4000000000000002E-3</v>
      </c>
      <c r="Z646">
        <v>5.5000000000000005E-3</v>
      </c>
      <c r="AA646">
        <v>7.9000000000000008E-3</v>
      </c>
      <c r="AB646">
        <v>1.34E-2</v>
      </c>
      <c r="AC646">
        <v>1.5800000000000002E-2</v>
      </c>
    </row>
    <row r="647" spans="17:29" x14ac:dyDescent="0.25">
      <c r="Q647" s="1">
        <v>44112</v>
      </c>
      <c r="R647">
        <v>8.9999999999999998E-4</v>
      </c>
      <c r="S647">
        <v>8.9999999999999998E-4</v>
      </c>
      <c r="T647">
        <v>8.9999999999999998E-4</v>
      </c>
      <c r="U647">
        <v>1.1999999999999999E-3</v>
      </c>
      <c r="V647">
        <v>1.2999999999999999E-3</v>
      </c>
      <c r="W647">
        <v>1.2999999999999999E-3</v>
      </c>
      <c r="X647">
        <v>1.8E-3</v>
      </c>
      <c r="Y647">
        <v>3.3E-3</v>
      </c>
      <c r="Z647">
        <v>5.4000000000000003E-3</v>
      </c>
      <c r="AA647">
        <v>7.8000000000000005E-3</v>
      </c>
      <c r="AB647">
        <v>1.34E-2</v>
      </c>
      <c r="AC647">
        <v>1.5700000000000002E-2</v>
      </c>
    </row>
    <row r="648" spans="17:29" x14ac:dyDescent="0.25">
      <c r="Q648" s="1">
        <v>44111</v>
      </c>
      <c r="R648">
        <v>8.0000000000000004E-4</v>
      </c>
      <c r="S648">
        <v>8.9999999999999998E-4</v>
      </c>
      <c r="T648">
        <v>1E-3</v>
      </c>
      <c r="U648">
        <v>1.1999999999999999E-3</v>
      </c>
      <c r="V648">
        <v>1.2999999999999999E-3</v>
      </c>
      <c r="W648">
        <v>1.6000000000000001E-3</v>
      </c>
      <c r="X648">
        <v>2.0999999999999999E-3</v>
      </c>
      <c r="Y648">
        <v>3.4999999999999996E-3</v>
      </c>
      <c r="Z648">
        <v>5.6000000000000008E-3</v>
      </c>
      <c r="AA648">
        <v>8.1000000000000013E-3</v>
      </c>
      <c r="AB648">
        <v>1.37E-2</v>
      </c>
      <c r="AC648">
        <v>1.6E-2</v>
      </c>
    </row>
    <row r="649" spans="17:29" x14ac:dyDescent="0.25">
      <c r="Q649" s="1">
        <v>44110</v>
      </c>
      <c r="R649">
        <v>8.0000000000000004E-4</v>
      </c>
      <c r="S649">
        <v>8.9999999999999998E-4</v>
      </c>
      <c r="T649">
        <v>1E-3</v>
      </c>
      <c r="U649">
        <v>1.1000000000000001E-3</v>
      </c>
      <c r="V649">
        <v>1.4000000000000002E-3</v>
      </c>
      <c r="W649">
        <v>1.4000000000000002E-3</v>
      </c>
      <c r="X649">
        <v>1.7000000000000001E-3</v>
      </c>
      <c r="Y649">
        <v>3.2000000000000002E-3</v>
      </c>
      <c r="Z649">
        <v>5.3E-3</v>
      </c>
      <c r="AA649">
        <v>7.6E-3</v>
      </c>
      <c r="AB649">
        <v>1.3300000000000001E-2</v>
      </c>
      <c r="AC649">
        <v>1.5600000000000001E-2</v>
      </c>
    </row>
    <row r="650" spans="17:29" x14ac:dyDescent="0.25">
      <c r="Q650" s="1">
        <v>44109</v>
      </c>
      <c r="R650">
        <v>8.9999999999999998E-4</v>
      </c>
      <c r="S650">
        <v>1E-3</v>
      </c>
      <c r="T650">
        <v>1E-3</v>
      </c>
      <c r="U650">
        <v>1.1000000000000001E-3</v>
      </c>
      <c r="V650">
        <v>1.1999999999999999E-3</v>
      </c>
      <c r="W650">
        <v>1.4000000000000002E-3</v>
      </c>
      <c r="X650">
        <v>1.9E-3</v>
      </c>
      <c r="Y650">
        <v>3.3E-3</v>
      </c>
      <c r="Z650">
        <v>5.5000000000000005E-3</v>
      </c>
      <c r="AA650">
        <v>7.8000000000000005E-3</v>
      </c>
      <c r="AB650">
        <v>1.34E-2</v>
      </c>
      <c r="AC650">
        <v>1.5700000000000002E-2</v>
      </c>
    </row>
    <row r="651" spans="17:29" x14ac:dyDescent="0.25">
      <c r="Q651" s="1">
        <v>44106</v>
      </c>
      <c r="R651">
        <v>1E-3</v>
      </c>
      <c r="S651">
        <v>8.9999999999999998E-4</v>
      </c>
      <c r="T651">
        <v>8.9999999999999998E-4</v>
      </c>
      <c r="U651">
        <v>1.1000000000000001E-3</v>
      </c>
      <c r="V651">
        <v>1.1999999999999999E-3</v>
      </c>
      <c r="W651">
        <v>1.2999999999999999E-3</v>
      </c>
      <c r="X651">
        <v>1.6000000000000001E-3</v>
      </c>
      <c r="Y651">
        <v>2.8000000000000004E-3</v>
      </c>
      <c r="Z651">
        <v>4.7999999999999996E-3</v>
      </c>
      <c r="AA651">
        <v>6.9999999999999993E-3</v>
      </c>
      <c r="AB651">
        <v>1.2500000000000001E-2</v>
      </c>
      <c r="AC651">
        <v>1.4800000000000001E-2</v>
      </c>
    </row>
    <row r="652" spans="17:29" x14ac:dyDescent="0.25">
      <c r="Q652" s="1">
        <v>44105</v>
      </c>
      <c r="R652">
        <v>8.9999999999999998E-4</v>
      </c>
      <c r="S652">
        <v>8.9999999999999998E-4</v>
      </c>
      <c r="T652">
        <v>8.9999999999999998E-4</v>
      </c>
      <c r="U652">
        <v>1E-3</v>
      </c>
      <c r="V652">
        <v>1.1999999999999999E-3</v>
      </c>
      <c r="W652">
        <v>1.4000000000000002E-3</v>
      </c>
      <c r="X652">
        <v>1.6000000000000001E-3</v>
      </c>
      <c r="Y652">
        <v>2.7000000000000001E-3</v>
      </c>
      <c r="Z652">
        <v>4.5999999999999999E-3</v>
      </c>
      <c r="AA652">
        <v>6.8000000000000005E-3</v>
      </c>
      <c r="AB652">
        <v>1.23E-2</v>
      </c>
      <c r="AC652">
        <v>1.4499999999999999E-2</v>
      </c>
    </row>
    <row r="653" spans="17:29" x14ac:dyDescent="0.25">
      <c r="Q653" s="1">
        <v>44104</v>
      </c>
      <c r="R653">
        <v>8.0000000000000004E-4</v>
      </c>
      <c r="S653">
        <v>8.0000000000000004E-4</v>
      </c>
      <c r="T653">
        <v>1E-3</v>
      </c>
      <c r="U653">
        <v>1.1000000000000001E-3</v>
      </c>
      <c r="V653">
        <v>1.1999999999999999E-3</v>
      </c>
      <c r="W653">
        <v>1.2999999999999999E-3</v>
      </c>
      <c r="X653">
        <v>1.6000000000000001E-3</v>
      </c>
      <c r="Y653">
        <v>2.8000000000000004E-3</v>
      </c>
      <c r="Z653">
        <v>4.6999999999999993E-3</v>
      </c>
      <c r="AA653">
        <v>6.8999999999999999E-3</v>
      </c>
      <c r="AB653">
        <v>1.23E-2</v>
      </c>
      <c r="AC653">
        <v>1.46E-2</v>
      </c>
    </row>
    <row r="654" spans="17:29" x14ac:dyDescent="0.25">
      <c r="Q654" s="1">
        <v>44103</v>
      </c>
      <c r="R654">
        <v>7.000000000000001E-4</v>
      </c>
      <c r="S654">
        <v>8.0000000000000004E-4</v>
      </c>
      <c r="T654">
        <v>8.9999999999999998E-4</v>
      </c>
      <c r="U654">
        <v>1.1000000000000001E-3</v>
      </c>
      <c r="V654">
        <v>1.1999999999999999E-3</v>
      </c>
      <c r="W654">
        <v>1.1000000000000001E-3</v>
      </c>
      <c r="X654">
        <v>1.2999999999999999E-3</v>
      </c>
      <c r="Y654">
        <v>2.3999999999999998E-3</v>
      </c>
      <c r="Z654">
        <v>4.4000000000000003E-3</v>
      </c>
      <c r="AA654">
        <v>6.6E-3</v>
      </c>
      <c r="AB654">
        <v>1.1899999999999999E-2</v>
      </c>
      <c r="AC654">
        <v>1.41E-2</v>
      </c>
    </row>
    <row r="655" spans="17:29" x14ac:dyDescent="0.25">
      <c r="Q655" s="1">
        <v>44102</v>
      </c>
      <c r="R655">
        <v>8.9999999999999998E-4</v>
      </c>
      <c r="S655">
        <v>1E-3</v>
      </c>
      <c r="T655">
        <v>1.1000000000000001E-3</v>
      </c>
      <c r="U655">
        <v>1.1000000000000001E-3</v>
      </c>
      <c r="V655">
        <v>1.1999999999999999E-3</v>
      </c>
      <c r="W655">
        <v>1.4000000000000002E-3</v>
      </c>
      <c r="X655">
        <v>1.6000000000000001E-3</v>
      </c>
      <c r="Y655">
        <v>2.5999999999999999E-3</v>
      </c>
      <c r="Z655">
        <v>4.5999999999999999E-3</v>
      </c>
      <c r="AA655">
        <v>6.7000000000000002E-3</v>
      </c>
      <c r="AB655">
        <v>1.2E-2</v>
      </c>
      <c r="AC655">
        <v>1.4199999999999999E-2</v>
      </c>
    </row>
    <row r="656" spans="17:29" x14ac:dyDescent="0.25">
      <c r="Q656" s="1">
        <v>44099</v>
      </c>
      <c r="R656">
        <v>8.0000000000000004E-4</v>
      </c>
      <c r="S656">
        <v>8.9999999999999998E-4</v>
      </c>
      <c r="T656">
        <v>1E-3</v>
      </c>
      <c r="U656">
        <v>1.1000000000000001E-3</v>
      </c>
      <c r="V656">
        <v>1.1999999999999999E-3</v>
      </c>
      <c r="W656">
        <v>1.1999999999999999E-3</v>
      </c>
      <c r="X656">
        <v>1.5E-3</v>
      </c>
      <c r="Y656">
        <v>2.5999999999999999E-3</v>
      </c>
      <c r="Z656">
        <v>4.5000000000000005E-3</v>
      </c>
      <c r="AA656">
        <v>6.6E-3</v>
      </c>
      <c r="AB656">
        <v>1.1899999999999999E-2</v>
      </c>
      <c r="AC656">
        <v>1.3999999999999999E-2</v>
      </c>
    </row>
    <row r="657" spans="17:29" x14ac:dyDescent="0.25">
      <c r="Q657" s="1">
        <v>44098</v>
      </c>
      <c r="R657">
        <v>8.0000000000000004E-4</v>
      </c>
      <c r="S657">
        <v>8.9999999999999998E-4</v>
      </c>
      <c r="T657">
        <v>1E-3</v>
      </c>
      <c r="U657">
        <v>1.1000000000000001E-3</v>
      </c>
      <c r="V657">
        <v>1.1999999999999999E-3</v>
      </c>
      <c r="W657">
        <v>1.4000000000000002E-3</v>
      </c>
      <c r="X657">
        <v>1.6000000000000001E-3</v>
      </c>
      <c r="Y657">
        <v>2.7000000000000001E-3</v>
      </c>
      <c r="Z657">
        <v>4.5999999999999999E-3</v>
      </c>
      <c r="AA657">
        <v>6.7000000000000002E-3</v>
      </c>
      <c r="AB657">
        <v>1.1899999999999999E-2</v>
      </c>
      <c r="AC657">
        <v>1.3999999999999999E-2</v>
      </c>
    </row>
    <row r="658" spans="17:29" x14ac:dyDescent="0.25">
      <c r="Q658" s="1">
        <v>44097</v>
      </c>
      <c r="R658">
        <v>8.0000000000000004E-4</v>
      </c>
      <c r="S658">
        <v>8.9999999999999998E-4</v>
      </c>
      <c r="T658">
        <v>1.1000000000000001E-3</v>
      </c>
      <c r="U658">
        <v>1.1000000000000001E-3</v>
      </c>
      <c r="V658">
        <v>1.2999999999999999E-3</v>
      </c>
      <c r="W658">
        <v>1.4000000000000002E-3</v>
      </c>
      <c r="X658">
        <v>1.5E-3</v>
      </c>
      <c r="Y658">
        <v>2.8000000000000004E-3</v>
      </c>
      <c r="Z658">
        <v>4.5999999999999999E-3</v>
      </c>
      <c r="AA658">
        <v>6.8000000000000005E-3</v>
      </c>
      <c r="AB658">
        <v>1.21E-2</v>
      </c>
      <c r="AC658">
        <v>1.4199999999999999E-2</v>
      </c>
    </row>
    <row r="659" spans="17:29" x14ac:dyDescent="0.25">
      <c r="Q659" s="1">
        <v>44096</v>
      </c>
      <c r="R659">
        <v>8.0000000000000004E-4</v>
      </c>
      <c r="S659">
        <v>8.9999999999999998E-4</v>
      </c>
      <c r="T659">
        <v>1E-3</v>
      </c>
      <c r="U659">
        <v>1.1000000000000001E-3</v>
      </c>
      <c r="V659">
        <v>1.1999999999999999E-3</v>
      </c>
      <c r="W659">
        <v>1.2999999999999999E-3</v>
      </c>
      <c r="X659">
        <v>1.5E-3</v>
      </c>
      <c r="Y659">
        <v>2.7000000000000001E-3</v>
      </c>
      <c r="Z659">
        <v>4.5999999999999999E-3</v>
      </c>
      <c r="AA659">
        <v>6.8000000000000005E-3</v>
      </c>
      <c r="AB659">
        <v>1.21E-2</v>
      </c>
      <c r="AC659">
        <v>1.4199999999999999E-2</v>
      </c>
    </row>
    <row r="660" spans="17:29" x14ac:dyDescent="0.25">
      <c r="Q660" s="1">
        <v>44095</v>
      </c>
      <c r="R660">
        <v>8.9999999999999998E-4</v>
      </c>
      <c r="S660">
        <v>1E-3</v>
      </c>
      <c r="T660">
        <v>1E-3</v>
      </c>
      <c r="U660">
        <v>1.1000000000000001E-3</v>
      </c>
      <c r="V660">
        <v>1.1999999999999999E-3</v>
      </c>
      <c r="W660">
        <v>1.4000000000000002E-3</v>
      </c>
      <c r="X660">
        <v>1.6000000000000001E-3</v>
      </c>
      <c r="Y660">
        <v>2.7000000000000001E-3</v>
      </c>
      <c r="Z660">
        <v>4.5999999999999999E-3</v>
      </c>
      <c r="AA660">
        <v>6.8000000000000005E-3</v>
      </c>
      <c r="AB660">
        <v>1.2199999999999999E-2</v>
      </c>
      <c r="AC660">
        <v>1.43E-2</v>
      </c>
    </row>
    <row r="661" spans="17:29" x14ac:dyDescent="0.25">
      <c r="Q661" s="1">
        <v>44092</v>
      </c>
      <c r="R661">
        <v>8.9999999999999998E-4</v>
      </c>
      <c r="S661">
        <v>1E-3</v>
      </c>
      <c r="T661">
        <v>1E-3</v>
      </c>
      <c r="U661">
        <v>1.1999999999999999E-3</v>
      </c>
      <c r="V661">
        <v>1.2999999999999999E-3</v>
      </c>
      <c r="W661">
        <v>1.4000000000000002E-3</v>
      </c>
      <c r="X661">
        <v>1.6000000000000001E-3</v>
      </c>
      <c r="Y661">
        <v>2.8999999999999998E-3</v>
      </c>
      <c r="Z661">
        <v>4.7999999999999996E-3</v>
      </c>
      <c r="AA661">
        <v>6.9999999999999993E-3</v>
      </c>
      <c r="AB661">
        <v>1.24E-2</v>
      </c>
      <c r="AC661">
        <v>1.4499999999999999E-2</v>
      </c>
    </row>
    <row r="662" spans="17:29" x14ac:dyDescent="0.25">
      <c r="Q662" s="1">
        <v>44091</v>
      </c>
      <c r="R662">
        <v>8.9999999999999998E-4</v>
      </c>
      <c r="S662">
        <v>8.9999999999999998E-4</v>
      </c>
      <c r="T662">
        <v>8.9999999999999998E-4</v>
      </c>
      <c r="U662">
        <v>1.1000000000000001E-3</v>
      </c>
      <c r="V662">
        <v>1.1999999999999999E-3</v>
      </c>
      <c r="W662">
        <v>1.2999999999999999E-3</v>
      </c>
      <c r="X662">
        <v>1.6000000000000001E-3</v>
      </c>
      <c r="Y662">
        <v>2.8000000000000004E-3</v>
      </c>
      <c r="Z662">
        <v>4.6999999999999993E-3</v>
      </c>
      <c r="AA662">
        <v>6.8999999999999999E-3</v>
      </c>
      <c r="AB662">
        <v>1.2199999999999999E-2</v>
      </c>
      <c r="AC662">
        <v>1.43E-2</v>
      </c>
    </row>
    <row r="663" spans="17:29" x14ac:dyDescent="0.25">
      <c r="Q663" s="1">
        <v>44090</v>
      </c>
      <c r="R663">
        <v>8.0000000000000004E-4</v>
      </c>
      <c r="S663">
        <v>1.1000000000000001E-3</v>
      </c>
      <c r="T663">
        <v>1.1999999999999999E-3</v>
      </c>
      <c r="U663">
        <v>1.1999999999999999E-3</v>
      </c>
      <c r="V663">
        <v>1.1999999999999999E-3</v>
      </c>
      <c r="W663">
        <v>1.4000000000000002E-3</v>
      </c>
      <c r="X663">
        <v>1.6000000000000001E-3</v>
      </c>
      <c r="Y663">
        <v>2.8000000000000004E-3</v>
      </c>
      <c r="Z663">
        <v>4.6999999999999993E-3</v>
      </c>
      <c r="AA663">
        <v>6.8999999999999999E-3</v>
      </c>
      <c r="AB663">
        <v>1.23E-2</v>
      </c>
      <c r="AC663">
        <v>1.4499999999999999E-2</v>
      </c>
    </row>
    <row r="664" spans="17:29" x14ac:dyDescent="0.25">
      <c r="Q664" s="1">
        <v>44089</v>
      </c>
      <c r="R664">
        <v>8.9999999999999998E-4</v>
      </c>
      <c r="S664">
        <v>1E-3</v>
      </c>
      <c r="T664">
        <v>1.1000000000000001E-3</v>
      </c>
      <c r="U664">
        <v>1.1999999999999999E-3</v>
      </c>
      <c r="V664">
        <v>1.2999999999999999E-3</v>
      </c>
      <c r="W664">
        <v>1.4000000000000002E-3</v>
      </c>
      <c r="X664">
        <v>1.6000000000000001E-3</v>
      </c>
      <c r="Y664">
        <v>2.7000000000000001E-3</v>
      </c>
      <c r="Z664">
        <v>4.5999999999999999E-3</v>
      </c>
      <c r="AA664">
        <v>6.8000000000000005E-3</v>
      </c>
      <c r="AB664">
        <v>1.21E-2</v>
      </c>
      <c r="AC664">
        <v>1.43E-2</v>
      </c>
    </row>
    <row r="665" spans="17:29" x14ac:dyDescent="0.25">
      <c r="Q665" s="1">
        <v>44088</v>
      </c>
      <c r="R665">
        <v>1E-3</v>
      </c>
      <c r="S665">
        <v>1.1000000000000001E-3</v>
      </c>
      <c r="T665">
        <v>1.1000000000000001E-3</v>
      </c>
      <c r="U665">
        <v>1.2999999999999999E-3</v>
      </c>
      <c r="V665">
        <v>1.4000000000000002E-3</v>
      </c>
      <c r="W665">
        <v>1.4000000000000002E-3</v>
      </c>
      <c r="X665">
        <v>1.6000000000000001E-3</v>
      </c>
      <c r="Y665">
        <v>2.7000000000000001E-3</v>
      </c>
      <c r="Z665">
        <v>4.5999999999999999E-3</v>
      </c>
      <c r="AA665">
        <v>6.8000000000000005E-3</v>
      </c>
      <c r="AB665">
        <v>1.21E-2</v>
      </c>
      <c r="AC665">
        <v>1.4199999999999999E-2</v>
      </c>
    </row>
    <row r="666" spans="17:29" x14ac:dyDescent="0.25">
      <c r="Q666" s="1">
        <v>44085</v>
      </c>
      <c r="R666">
        <v>1E-3</v>
      </c>
      <c r="S666">
        <v>1.1000000000000001E-3</v>
      </c>
      <c r="T666">
        <v>1.1000000000000001E-3</v>
      </c>
      <c r="U666">
        <v>1.1999999999999999E-3</v>
      </c>
      <c r="V666">
        <v>1.2999999999999999E-3</v>
      </c>
      <c r="W666">
        <v>1.2999999999999999E-3</v>
      </c>
      <c r="X666">
        <v>1.6000000000000001E-3</v>
      </c>
      <c r="Y666">
        <v>2.5999999999999999E-3</v>
      </c>
      <c r="Z666">
        <v>4.5000000000000005E-3</v>
      </c>
      <c r="AA666">
        <v>6.7000000000000002E-3</v>
      </c>
      <c r="AB666">
        <v>1.21E-2</v>
      </c>
      <c r="AC666">
        <v>1.4199999999999999E-2</v>
      </c>
    </row>
    <row r="667" spans="17:29" x14ac:dyDescent="0.25">
      <c r="Q667" s="1">
        <v>44084</v>
      </c>
      <c r="R667">
        <v>1E-3</v>
      </c>
      <c r="S667">
        <v>1.1000000000000001E-3</v>
      </c>
      <c r="T667">
        <v>1.1999999999999999E-3</v>
      </c>
      <c r="U667">
        <v>1.1999999999999999E-3</v>
      </c>
      <c r="V667">
        <v>1.5E-3</v>
      </c>
      <c r="W667">
        <v>1.4000000000000002E-3</v>
      </c>
      <c r="X667">
        <v>1.7000000000000001E-3</v>
      </c>
      <c r="Y667">
        <v>2.5999999999999999E-3</v>
      </c>
      <c r="Z667">
        <v>4.5999999999999999E-3</v>
      </c>
      <c r="AA667">
        <v>6.8000000000000005E-3</v>
      </c>
      <c r="AB667">
        <v>1.2199999999999999E-2</v>
      </c>
      <c r="AC667">
        <v>1.43E-2</v>
      </c>
    </row>
    <row r="668" spans="17:29" x14ac:dyDescent="0.25">
      <c r="Q668" s="1">
        <v>44083</v>
      </c>
      <c r="R668">
        <v>1E-3</v>
      </c>
      <c r="S668">
        <v>1.1000000000000001E-3</v>
      </c>
      <c r="T668">
        <v>1.1999999999999999E-3</v>
      </c>
      <c r="U668">
        <v>1.4000000000000002E-3</v>
      </c>
      <c r="V668">
        <v>1.4000000000000002E-3</v>
      </c>
      <c r="W668">
        <v>1.4000000000000002E-3</v>
      </c>
      <c r="X668">
        <v>1.7000000000000001E-3</v>
      </c>
      <c r="Y668">
        <v>2.8000000000000004E-3</v>
      </c>
      <c r="Z668">
        <v>4.7999999999999996E-3</v>
      </c>
      <c r="AA668">
        <v>7.0999999999999995E-3</v>
      </c>
      <c r="AB668">
        <v>1.2500000000000001E-2</v>
      </c>
      <c r="AC668">
        <v>1.4499999999999999E-2</v>
      </c>
    </row>
    <row r="669" spans="17:29" x14ac:dyDescent="0.25">
      <c r="Q669" s="1">
        <v>44082</v>
      </c>
      <c r="R669">
        <v>1E-3</v>
      </c>
      <c r="S669">
        <v>1E-3</v>
      </c>
      <c r="T669">
        <v>1.2999999999999999E-3</v>
      </c>
      <c r="U669">
        <v>1.4000000000000002E-3</v>
      </c>
      <c r="V669">
        <v>1.5E-3</v>
      </c>
      <c r="W669">
        <v>1.4000000000000002E-3</v>
      </c>
      <c r="X669">
        <v>1.7000000000000001E-3</v>
      </c>
      <c r="Y669">
        <v>2.8000000000000004E-3</v>
      </c>
      <c r="Z669">
        <v>4.6999999999999993E-3</v>
      </c>
      <c r="AA669">
        <v>6.8999999999999999E-3</v>
      </c>
      <c r="AB669">
        <v>1.2199999999999999E-2</v>
      </c>
      <c r="AC669">
        <v>1.43E-2</v>
      </c>
    </row>
    <row r="670" spans="17:29" x14ac:dyDescent="0.25">
      <c r="Q670" s="1">
        <v>44078</v>
      </c>
      <c r="R670">
        <v>8.9999999999999998E-4</v>
      </c>
      <c r="S670">
        <v>1E-3</v>
      </c>
      <c r="T670">
        <v>1.1000000000000001E-3</v>
      </c>
      <c r="U670">
        <v>1.1999999999999999E-3</v>
      </c>
      <c r="V670">
        <v>1.2999999999999999E-3</v>
      </c>
      <c r="W670">
        <v>1.4000000000000002E-3</v>
      </c>
      <c r="X670">
        <v>1.8E-3</v>
      </c>
      <c r="Y670">
        <v>3.0000000000000001E-3</v>
      </c>
      <c r="Z670">
        <v>5.0000000000000001E-3</v>
      </c>
      <c r="AA670">
        <v>7.1999999999999998E-3</v>
      </c>
      <c r="AB670">
        <v>1.2500000000000001E-2</v>
      </c>
      <c r="AC670">
        <v>1.46E-2</v>
      </c>
    </row>
    <row r="671" spans="17:29" x14ac:dyDescent="0.25">
      <c r="Q671" s="1">
        <v>44077</v>
      </c>
      <c r="R671">
        <v>1E-3</v>
      </c>
      <c r="S671">
        <v>1.1000000000000001E-3</v>
      </c>
      <c r="T671">
        <v>1.1000000000000001E-3</v>
      </c>
      <c r="U671">
        <v>1.1999999999999999E-3</v>
      </c>
      <c r="V671">
        <v>1.1999999999999999E-3</v>
      </c>
      <c r="W671">
        <v>1.2999999999999999E-3</v>
      </c>
      <c r="X671">
        <v>1.5E-3</v>
      </c>
      <c r="Y671">
        <v>2.3999999999999998E-3</v>
      </c>
      <c r="Z671">
        <v>4.3E-3</v>
      </c>
      <c r="AA671">
        <v>6.3E-3</v>
      </c>
      <c r="AB671">
        <v>1.1299999999999999E-2</v>
      </c>
      <c r="AC671">
        <v>1.34E-2</v>
      </c>
    </row>
    <row r="672" spans="17:29" x14ac:dyDescent="0.25">
      <c r="Q672" s="1">
        <v>44076</v>
      </c>
      <c r="R672">
        <v>1E-3</v>
      </c>
      <c r="S672">
        <v>1E-3</v>
      </c>
      <c r="T672">
        <v>1.1999999999999999E-3</v>
      </c>
      <c r="U672">
        <v>1.1999999999999999E-3</v>
      </c>
      <c r="V672">
        <v>1.2999999999999999E-3</v>
      </c>
      <c r="W672">
        <v>1.4000000000000002E-3</v>
      </c>
      <c r="X672">
        <v>1.6000000000000001E-3</v>
      </c>
      <c r="Y672">
        <v>2.5999999999999999E-3</v>
      </c>
      <c r="Z672">
        <v>4.5000000000000005E-3</v>
      </c>
      <c r="AA672">
        <v>6.6E-3</v>
      </c>
      <c r="AB672">
        <v>1.1599999999999999E-2</v>
      </c>
      <c r="AC672">
        <v>1.38E-2</v>
      </c>
    </row>
    <row r="673" spans="17:29" x14ac:dyDescent="0.25">
      <c r="Q673" s="1">
        <v>44075</v>
      </c>
      <c r="R673">
        <v>8.9999999999999998E-4</v>
      </c>
      <c r="S673">
        <v>1.1000000000000001E-3</v>
      </c>
      <c r="T673">
        <v>1.1999999999999999E-3</v>
      </c>
      <c r="U673">
        <v>1.2999999999999999E-3</v>
      </c>
      <c r="V673">
        <v>1.1999999999999999E-3</v>
      </c>
      <c r="W673">
        <v>1.2999999999999999E-3</v>
      </c>
      <c r="X673">
        <v>1.4000000000000002E-3</v>
      </c>
      <c r="Y673">
        <v>2.5999999999999999E-3</v>
      </c>
      <c r="Z673">
        <v>4.5999999999999999E-3</v>
      </c>
      <c r="AA673">
        <v>6.8000000000000005E-3</v>
      </c>
      <c r="AB673">
        <v>1.2E-2</v>
      </c>
      <c r="AC673">
        <v>1.43E-2</v>
      </c>
    </row>
    <row r="674" spans="17:29" x14ac:dyDescent="0.25">
      <c r="Q674" s="1">
        <v>44074</v>
      </c>
      <c r="R674">
        <v>8.0000000000000004E-4</v>
      </c>
      <c r="S674">
        <v>1E-3</v>
      </c>
      <c r="T674">
        <v>1.1000000000000001E-3</v>
      </c>
      <c r="U674">
        <v>1.2999999999999999E-3</v>
      </c>
      <c r="V674">
        <v>1.1999999999999999E-3</v>
      </c>
      <c r="W674">
        <v>1.4000000000000002E-3</v>
      </c>
      <c r="X674">
        <v>1.5E-3</v>
      </c>
      <c r="Y674">
        <v>2.8000000000000004E-3</v>
      </c>
      <c r="Z674">
        <v>5.0000000000000001E-3</v>
      </c>
      <c r="AA674">
        <v>7.1999999999999998E-3</v>
      </c>
      <c r="AB674">
        <v>1.26E-2</v>
      </c>
      <c r="AC674">
        <v>1.49E-2</v>
      </c>
    </row>
    <row r="675" spans="17:29" x14ac:dyDescent="0.25">
      <c r="Q675" s="1">
        <v>44071</v>
      </c>
      <c r="R675">
        <v>8.9999999999999998E-4</v>
      </c>
      <c r="S675">
        <v>8.9999999999999998E-4</v>
      </c>
      <c r="T675">
        <v>1E-3</v>
      </c>
      <c r="U675">
        <v>1.1000000000000001E-3</v>
      </c>
      <c r="V675">
        <v>1.1999999999999999E-3</v>
      </c>
      <c r="W675">
        <v>1.4000000000000002E-3</v>
      </c>
      <c r="X675">
        <v>1.6000000000000001E-3</v>
      </c>
      <c r="Y675">
        <v>2.8000000000000004E-3</v>
      </c>
      <c r="Z675">
        <v>5.1000000000000004E-3</v>
      </c>
      <c r="AA675">
        <v>7.4000000000000003E-3</v>
      </c>
      <c r="AB675">
        <v>1.29E-2</v>
      </c>
      <c r="AC675">
        <v>1.52E-2</v>
      </c>
    </row>
    <row r="676" spans="17:29" x14ac:dyDescent="0.25">
      <c r="Q676" s="1">
        <v>44070</v>
      </c>
      <c r="R676">
        <v>8.9999999999999998E-4</v>
      </c>
      <c r="S676">
        <v>1E-3</v>
      </c>
      <c r="T676">
        <v>1.1000000000000001E-3</v>
      </c>
      <c r="U676">
        <v>1.1000000000000001E-3</v>
      </c>
      <c r="V676">
        <v>1.2999999999999999E-3</v>
      </c>
      <c r="W676">
        <v>1.6000000000000001E-3</v>
      </c>
      <c r="X676">
        <v>1.9E-3</v>
      </c>
      <c r="Y676">
        <v>3.0999999999999999E-3</v>
      </c>
      <c r="Z676">
        <v>5.3E-3</v>
      </c>
      <c r="AA676">
        <v>7.4000000000000003E-3</v>
      </c>
      <c r="AB676">
        <v>1.2800000000000001E-2</v>
      </c>
      <c r="AC676">
        <v>1.4999999999999999E-2</v>
      </c>
    </row>
    <row r="677" spans="17:29" x14ac:dyDescent="0.25">
      <c r="Q677" s="1">
        <v>44069</v>
      </c>
      <c r="R677">
        <v>8.0000000000000004E-4</v>
      </c>
      <c r="S677">
        <v>1E-3</v>
      </c>
      <c r="T677">
        <v>1.1000000000000001E-3</v>
      </c>
      <c r="U677">
        <v>1.1999999999999999E-3</v>
      </c>
      <c r="V677">
        <v>1.1999999999999999E-3</v>
      </c>
      <c r="W677">
        <v>1.6000000000000001E-3</v>
      </c>
      <c r="X677">
        <v>1.8E-3</v>
      </c>
      <c r="Y677">
        <v>2.8000000000000004E-3</v>
      </c>
      <c r="Z677">
        <v>5.0000000000000001E-3</v>
      </c>
      <c r="AA677">
        <v>6.8999999999999999E-3</v>
      </c>
      <c r="AB677">
        <v>1.2E-2</v>
      </c>
      <c r="AC677">
        <v>1.41E-2</v>
      </c>
    </row>
    <row r="678" spans="17:29" x14ac:dyDescent="0.25">
      <c r="Q678" s="1">
        <v>44068</v>
      </c>
      <c r="R678">
        <v>8.0000000000000004E-4</v>
      </c>
      <c r="S678">
        <v>1E-3</v>
      </c>
      <c r="T678">
        <v>1.1000000000000001E-3</v>
      </c>
      <c r="U678">
        <v>1.1999999999999999E-3</v>
      </c>
      <c r="V678">
        <v>1.2999999999999999E-3</v>
      </c>
      <c r="W678">
        <v>1.5E-3</v>
      </c>
      <c r="X678">
        <v>1.8E-3</v>
      </c>
      <c r="Y678">
        <v>3.0000000000000001E-3</v>
      </c>
      <c r="Z678">
        <v>4.8999999999999998E-3</v>
      </c>
      <c r="AA678">
        <v>6.8999999999999999E-3</v>
      </c>
      <c r="AB678">
        <v>1.18E-2</v>
      </c>
      <c r="AC678">
        <v>1.3899999999999999E-2</v>
      </c>
    </row>
    <row r="679" spans="17:29" x14ac:dyDescent="0.25">
      <c r="Q679" s="1">
        <v>44067</v>
      </c>
      <c r="R679">
        <v>8.9999999999999998E-4</v>
      </c>
      <c r="S679">
        <v>1E-3</v>
      </c>
      <c r="T679">
        <v>1.1999999999999999E-3</v>
      </c>
      <c r="U679">
        <v>1.1999999999999999E-3</v>
      </c>
      <c r="V679">
        <v>1.4000000000000002E-3</v>
      </c>
      <c r="W679">
        <v>1.4000000000000002E-3</v>
      </c>
      <c r="X679">
        <v>1.8E-3</v>
      </c>
      <c r="Y679">
        <v>2.8000000000000004E-3</v>
      </c>
      <c r="Z679">
        <v>4.6999999999999993E-3</v>
      </c>
      <c r="AA679">
        <v>6.5000000000000006E-3</v>
      </c>
      <c r="AB679">
        <v>1.1399999999999999E-2</v>
      </c>
      <c r="AC679">
        <v>1.3500000000000002E-2</v>
      </c>
    </row>
    <row r="680" spans="17:29" x14ac:dyDescent="0.25">
      <c r="Q680" s="1">
        <v>44064</v>
      </c>
      <c r="R680">
        <v>7.000000000000001E-4</v>
      </c>
      <c r="S680">
        <v>8.9999999999999998E-4</v>
      </c>
      <c r="T680">
        <v>1E-3</v>
      </c>
      <c r="U680">
        <v>1.1999999999999999E-3</v>
      </c>
      <c r="V680">
        <v>1.2999999999999999E-3</v>
      </c>
      <c r="W680">
        <v>1.6000000000000001E-3</v>
      </c>
      <c r="X680">
        <v>1.6000000000000001E-3</v>
      </c>
      <c r="Y680">
        <v>2.7000000000000001E-3</v>
      </c>
      <c r="Z680">
        <v>4.5999999999999999E-3</v>
      </c>
      <c r="AA680">
        <v>6.4000000000000003E-3</v>
      </c>
      <c r="AB680">
        <v>1.1299999999999999E-2</v>
      </c>
      <c r="AC680">
        <v>1.3500000000000002E-2</v>
      </c>
    </row>
    <row r="681" spans="17:29" x14ac:dyDescent="0.25">
      <c r="Q681" s="1">
        <v>44063</v>
      </c>
      <c r="R681">
        <v>8.0000000000000004E-4</v>
      </c>
      <c r="S681">
        <v>8.9999999999999998E-4</v>
      </c>
      <c r="T681">
        <v>1.1000000000000001E-3</v>
      </c>
      <c r="U681">
        <v>1.2999999999999999E-3</v>
      </c>
      <c r="V681">
        <v>1.1999999999999999E-3</v>
      </c>
      <c r="W681">
        <v>1.2999999999999999E-3</v>
      </c>
      <c r="X681">
        <v>1.5E-3</v>
      </c>
      <c r="Y681">
        <v>2.5999999999999999E-3</v>
      </c>
      <c r="Z681">
        <v>4.5999999999999999E-3</v>
      </c>
      <c r="AA681">
        <v>6.5000000000000006E-3</v>
      </c>
      <c r="AB681">
        <v>1.15E-2</v>
      </c>
      <c r="AC681">
        <v>1.38E-2</v>
      </c>
    </row>
    <row r="682" spans="17:29" x14ac:dyDescent="0.25">
      <c r="Q682" s="1">
        <v>44062</v>
      </c>
      <c r="R682">
        <v>7.000000000000001E-4</v>
      </c>
      <c r="S682">
        <v>8.9999999999999998E-4</v>
      </c>
      <c r="T682">
        <v>1.1000000000000001E-3</v>
      </c>
      <c r="U682">
        <v>1.1999999999999999E-3</v>
      </c>
      <c r="V682">
        <v>1.2999999999999999E-3</v>
      </c>
      <c r="W682">
        <v>1.4000000000000002E-3</v>
      </c>
      <c r="X682">
        <v>1.7000000000000001E-3</v>
      </c>
      <c r="Y682">
        <v>2.8999999999999998E-3</v>
      </c>
      <c r="Z682">
        <v>4.7999999999999996E-3</v>
      </c>
      <c r="AA682">
        <v>6.8000000000000005E-3</v>
      </c>
      <c r="AB682">
        <v>1.2E-2</v>
      </c>
      <c r="AC682">
        <v>1.4199999999999999E-2</v>
      </c>
    </row>
    <row r="683" spans="17:29" x14ac:dyDescent="0.25">
      <c r="Q683" s="1">
        <v>44061</v>
      </c>
      <c r="R683">
        <v>8.0000000000000004E-4</v>
      </c>
      <c r="S683">
        <v>8.9999999999999998E-4</v>
      </c>
      <c r="T683">
        <v>8.9999999999999998E-4</v>
      </c>
      <c r="U683">
        <v>1.2999999999999999E-3</v>
      </c>
      <c r="V683">
        <v>1.2999999999999999E-3</v>
      </c>
      <c r="W683">
        <v>1.4000000000000002E-3</v>
      </c>
      <c r="X683">
        <v>1.7000000000000001E-3</v>
      </c>
      <c r="Y683">
        <v>2.7000000000000001E-3</v>
      </c>
      <c r="Z683">
        <v>4.6999999999999993E-3</v>
      </c>
      <c r="AA683">
        <v>6.7000000000000002E-3</v>
      </c>
      <c r="AB683">
        <v>1.1599999999999999E-2</v>
      </c>
      <c r="AC683">
        <v>1.3999999999999999E-2</v>
      </c>
    </row>
    <row r="684" spans="17:29" x14ac:dyDescent="0.25">
      <c r="Q684" s="1">
        <v>44060</v>
      </c>
      <c r="R684">
        <v>8.9999999999999998E-4</v>
      </c>
      <c r="S684">
        <v>1E-3</v>
      </c>
      <c r="T684">
        <v>1E-3</v>
      </c>
      <c r="U684">
        <v>1.1999999999999999E-3</v>
      </c>
      <c r="V684">
        <v>1.2999999999999999E-3</v>
      </c>
      <c r="W684">
        <v>1.4000000000000002E-3</v>
      </c>
      <c r="X684">
        <v>1.8E-3</v>
      </c>
      <c r="Y684">
        <v>2.8999999999999998E-3</v>
      </c>
      <c r="Z684">
        <v>4.8999999999999998E-3</v>
      </c>
      <c r="AA684">
        <v>6.8999999999999999E-3</v>
      </c>
      <c r="AB684">
        <v>1.1899999999999999E-2</v>
      </c>
      <c r="AC684">
        <v>1.43E-2</v>
      </c>
    </row>
    <row r="685" spans="17:29" x14ac:dyDescent="0.25">
      <c r="Q685" s="1">
        <v>44057</v>
      </c>
      <c r="R685">
        <v>8.9999999999999998E-4</v>
      </c>
      <c r="S685">
        <v>1E-3</v>
      </c>
      <c r="T685">
        <v>1E-3</v>
      </c>
      <c r="U685">
        <v>1.1999999999999999E-3</v>
      </c>
      <c r="V685">
        <v>1.2999999999999999E-3</v>
      </c>
      <c r="W685">
        <v>1.4000000000000002E-3</v>
      </c>
      <c r="X685">
        <v>1.8E-3</v>
      </c>
      <c r="Y685">
        <v>2.8999999999999998E-3</v>
      </c>
      <c r="Z685">
        <v>5.1000000000000004E-3</v>
      </c>
      <c r="AA685">
        <v>7.0999999999999995E-3</v>
      </c>
      <c r="AB685">
        <v>1.21E-2</v>
      </c>
      <c r="AC685">
        <v>1.4499999999999999E-2</v>
      </c>
    </row>
    <row r="686" spans="17:29" x14ac:dyDescent="0.25">
      <c r="Q686" s="1">
        <v>44056</v>
      </c>
      <c r="R686">
        <v>8.0000000000000004E-4</v>
      </c>
      <c r="S686">
        <v>1E-3</v>
      </c>
      <c r="T686">
        <v>1E-3</v>
      </c>
      <c r="U686">
        <v>1.1999999999999999E-3</v>
      </c>
      <c r="V686">
        <v>1.4000000000000002E-3</v>
      </c>
      <c r="W686">
        <v>1.6000000000000001E-3</v>
      </c>
      <c r="X686">
        <v>1.9E-3</v>
      </c>
      <c r="Y686">
        <v>3.2000000000000002E-3</v>
      </c>
      <c r="Z686">
        <v>5.1999999999999998E-3</v>
      </c>
      <c r="AA686">
        <v>7.0999999999999995E-3</v>
      </c>
      <c r="AB686">
        <v>1.2E-2</v>
      </c>
      <c r="AC686">
        <v>1.4199999999999999E-2</v>
      </c>
    </row>
    <row r="687" spans="17:29" x14ac:dyDescent="0.25">
      <c r="Q687" s="1">
        <v>44055</v>
      </c>
      <c r="R687">
        <v>8.0000000000000004E-4</v>
      </c>
      <c r="S687">
        <v>1E-3</v>
      </c>
      <c r="T687">
        <v>1.1000000000000001E-3</v>
      </c>
      <c r="U687">
        <v>1.1999999999999999E-3</v>
      </c>
      <c r="V687">
        <v>1.2999999999999999E-3</v>
      </c>
      <c r="W687">
        <v>1.6000000000000001E-3</v>
      </c>
      <c r="X687">
        <v>1.9E-3</v>
      </c>
      <c r="Y687">
        <v>3.0000000000000001E-3</v>
      </c>
      <c r="Z687">
        <v>5.0000000000000001E-3</v>
      </c>
      <c r="AA687">
        <v>6.8999999999999999E-3</v>
      </c>
      <c r="AB687">
        <v>1.15E-2</v>
      </c>
      <c r="AC687">
        <v>1.37E-2</v>
      </c>
    </row>
    <row r="688" spans="17:29" x14ac:dyDescent="0.25">
      <c r="Q688" s="1">
        <v>44054</v>
      </c>
      <c r="R688">
        <v>8.0000000000000004E-4</v>
      </c>
      <c r="S688">
        <v>1E-3</v>
      </c>
      <c r="T688">
        <v>1.1000000000000001E-3</v>
      </c>
      <c r="U688">
        <v>1.1999999999999999E-3</v>
      </c>
      <c r="V688">
        <v>1.5E-3</v>
      </c>
      <c r="W688">
        <v>1.6000000000000001E-3</v>
      </c>
      <c r="X688">
        <v>1.8E-3</v>
      </c>
      <c r="Y688">
        <v>2.7000000000000001E-3</v>
      </c>
      <c r="Z688">
        <v>4.5999999999999999E-3</v>
      </c>
      <c r="AA688">
        <v>6.4000000000000003E-3</v>
      </c>
      <c r="AB688">
        <v>1.1000000000000001E-2</v>
      </c>
      <c r="AC688">
        <v>1.32E-2</v>
      </c>
    </row>
    <row r="689" spans="17:29" x14ac:dyDescent="0.25">
      <c r="Q689" s="1">
        <v>44053</v>
      </c>
      <c r="R689">
        <v>8.9999999999999998E-4</v>
      </c>
      <c r="S689">
        <v>1.1000000000000001E-3</v>
      </c>
      <c r="T689">
        <v>1.1000000000000001E-3</v>
      </c>
      <c r="U689">
        <v>1.2999999999999999E-3</v>
      </c>
      <c r="V689">
        <v>1.2999999999999999E-3</v>
      </c>
      <c r="W689">
        <v>1.4000000000000002E-3</v>
      </c>
      <c r="X689">
        <v>1.5E-3</v>
      </c>
      <c r="Y689">
        <v>2.3999999999999998E-3</v>
      </c>
      <c r="Z689">
        <v>4.1999999999999997E-3</v>
      </c>
      <c r="AA689">
        <v>5.8999999999999999E-3</v>
      </c>
      <c r="AB689">
        <v>1.04E-2</v>
      </c>
      <c r="AC689">
        <v>1.2500000000000001E-2</v>
      </c>
    </row>
    <row r="690" spans="17:29" x14ac:dyDescent="0.25">
      <c r="Q690" s="1">
        <v>44050</v>
      </c>
      <c r="R690">
        <v>8.0000000000000004E-4</v>
      </c>
      <c r="S690">
        <v>8.9999999999999998E-4</v>
      </c>
      <c r="T690">
        <v>1E-3</v>
      </c>
      <c r="U690">
        <v>1.1999999999999999E-3</v>
      </c>
      <c r="V690">
        <v>1.4000000000000002E-3</v>
      </c>
      <c r="W690">
        <v>1.2999999999999999E-3</v>
      </c>
      <c r="X690">
        <v>1.4000000000000002E-3</v>
      </c>
      <c r="Y690">
        <v>2.3E-3</v>
      </c>
      <c r="Z690">
        <v>4.0999999999999995E-3</v>
      </c>
      <c r="AA690">
        <v>5.6999999999999993E-3</v>
      </c>
      <c r="AB690">
        <v>1.01E-2</v>
      </c>
      <c r="AC690">
        <v>1.23E-2</v>
      </c>
    </row>
    <row r="691" spans="17:29" x14ac:dyDescent="0.25">
      <c r="Q691" s="1">
        <v>44049</v>
      </c>
      <c r="R691">
        <v>7.000000000000001E-4</v>
      </c>
      <c r="S691">
        <v>1.1000000000000001E-3</v>
      </c>
      <c r="T691">
        <v>1E-3</v>
      </c>
      <c r="U691">
        <v>1.1000000000000001E-3</v>
      </c>
      <c r="V691">
        <v>1.4000000000000002E-3</v>
      </c>
      <c r="W691">
        <v>1.1000000000000001E-3</v>
      </c>
      <c r="X691">
        <v>1.2999999999999999E-3</v>
      </c>
      <c r="Y691">
        <v>2.0999999999999999E-3</v>
      </c>
      <c r="Z691">
        <v>3.9000000000000003E-3</v>
      </c>
      <c r="AA691">
        <v>5.5000000000000005E-3</v>
      </c>
      <c r="AB691">
        <v>9.7999999999999997E-3</v>
      </c>
      <c r="AC691">
        <v>1.2E-2</v>
      </c>
    </row>
    <row r="692" spans="17:29" x14ac:dyDescent="0.25">
      <c r="Q692" s="1">
        <v>44048</v>
      </c>
      <c r="R692">
        <v>8.0000000000000004E-4</v>
      </c>
      <c r="S692">
        <v>8.9999999999999998E-4</v>
      </c>
      <c r="T692">
        <v>1E-3</v>
      </c>
      <c r="U692">
        <v>1.1999999999999999E-3</v>
      </c>
      <c r="V692">
        <v>1.1999999999999999E-3</v>
      </c>
      <c r="W692">
        <v>1.1000000000000001E-3</v>
      </c>
      <c r="X692">
        <v>1.2999999999999999E-3</v>
      </c>
      <c r="Y692">
        <v>2.2000000000000001E-3</v>
      </c>
      <c r="Z692">
        <v>3.9000000000000003E-3</v>
      </c>
      <c r="AA692">
        <v>5.5000000000000005E-3</v>
      </c>
      <c r="AB692">
        <v>0.01</v>
      </c>
      <c r="AC692">
        <v>1.2199999999999999E-2</v>
      </c>
    </row>
    <row r="693" spans="17:29" x14ac:dyDescent="0.25">
      <c r="Q693" s="1">
        <v>44047</v>
      </c>
      <c r="R693">
        <v>8.9999999999999998E-4</v>
      </c>
      <c r="S693">
        <v>8.9999999999999998E-4</v>
      </c>
      <c r="T693">
        <v>8.9999999999999998E-4</v>
      </c>
      <c r="U693">
        <v>1.1000000000000001E-3</v>
      </c>
      <c r="V693">
        <v>1.4000000000000002E-3</v>
      </c>
      <c r="W693">
        <v>1.1000000000000001E-3</v>
      </c>
      <c r="X693">
        <v>1E-3</v>
      </c>
      <c r="Y693">
        <v>1.9E-3</v>
      </c>
      <c r="Z693">
        <v>3.5999999999999999E-3</v>
      </c>
      <c r="AA693">
        <v>5.1999999999999998E-3</v>
      </c>
      <c r="AB693">
        <v>9.5999999999999992E-3</v>
      </c>
      <c r="AC693">
        <v>1.1899999999999999E-2</v>
      </c>
    </row>
    <row r="694" spans="17:29" x14ac:dyDescent="0.25">
      <c r="Q694" s="1">
        <v>44046</v>
      </c>
      <c r="R694">
        <v>8.9999999999999998E-4</v>
      </c>
      <c r="S694">
        <v>8.9999999999999998E-4</v>
      </c>
      <c r="T694">
        <v>1E-3</v>
      </c>
      <c r="U694">
        <v>1.1000000000000001E-3</v>
      </c>
      <c r="V694">
        <v>1.1999999999999999E-3</v>
      </c>
      <c r="W694">
        <v>1.1000000000000001E-3</v>
      </c>
      <c r="X694">
        <v>1.2999999999999999E-3</v>
      </c>
      <c r="Y694">
        <v>2.2000000000000001E-3</v>
      </c>
      <c r="Z694">
        <v>4.0000000000000001E-3</v>
      </c>
      <c r="AA694">
        <v>5.6000000000000008E-3</v>
      </c>
      <c r="AB694">
        <v>1.01E-2</v>
      </c>
      <c r="AC694">
        <v>1.23E-2</v>
      </c>
    </row>
    <row r="695" spans="17:29" x14ac:dyDescent="0.25">
      <c r="Q695" s="1">
        <v>44043</v>
      </c>
      <c r="R695">
        <v>8.9999999999999998E-4</v>
      </c>
      <c r="S695">
        <v>8.9999999999999998E-4</v>
      </c>
      <c r="T695">
        <v>8.9999999999999998E-4</v>
      </c>
      <c r="U695">
        <v>1E-3</v>
      </c>
      <c r="V695">
        <v>1.1000000000000001E-3</v>
      </c>
      <c r="W695">
        <v>1.1000000000000001E-3</v>
      </c>
      <c r="X695">
        <v>1.1000000000000001E-3</v>
      </c>
      <c r="Y695">
        <v>2.0999999999999999E-3</v>
      </c>
      <c r="Z695">
        <v>3.9000000000000003E-3</v>
      </c>
      <c r="AA695">
        <v>5.5000000000000005E-3</v>
      </c>
      <c r="AB695">
        <v>9.7999999999999997E-3</v>
      </c>
      <c r="AC695">
        <v>1.2E-2</v>
      </c>
    </row>
    <row r="696" spans="17:29" x14ac:dyDescent="0.25">
      <c r="Q696" s="1">
        <v>44042</v>
      </c>
      <c r="R696">
        <v>1E-3</v>
      </c>
      <c r="S696">
        <v>1E-3</v>
      </c>
      <c r="T696">
        <v>8.9999999999999998E-4</v>
      </c>
      <c r="U696">
        <v>1.1000000000000001E-3</v>
      </c>
      <c r="V696">
        <v>1.1000000000000001E-3</v>
      </c>
      <c r="W696">
        <v>1.1000000000000001E-3</v>
      </c>
      <c r="X696">
        <v>1.4000000000000002E-3</v>
      </c>
      <c r="Y696">
        <v>2.3E-3</v>
      </c>
      <c r="Z696">
        <v>4.0000000000000001E-3</v>
      </c>
      <c r="AA696">
        <v>5.5000000000000005E-3</v>
      </c>
      <c r="AB696">
        <v>9.7999999999999997E-3</v>
      </c>
      <c r="AC696">
        <v>1.2E-2</v>
      </c>
    </row>
    <row r="697" spans="17:29" x14ac:dyDescent="0.25">
      <c r="Q697" s="1">
        <v>44041</v>
      </c>
      <c r="R697">
        <v>8.9999999999999998E-4</v>
      </c>
      <c r="S697">
        <v>1E-3</v>
      </c>
      <c r="T697">
        <v>1.1000000000000001E-3</v>
      </c>
      <c r="U697">
        <v>1.1999999999999999E-3</v>
      </c>
      <c r="V697">
        <v>1.2999999999999999E-3</v>
      </c>
      <c r="W697">
        <v>1.1999999999999999E-3</v>
      </c>
      <c r="X697">
        <v>1.5E-3</v>
      </c>
      <c r="Y697">
        <v>2.5000000000000001E-3</v>
      </c>
      <c r="Z697">
        <v>4.3E-3</v>
      </c>
      <c r="AA697">
        <v>5.7999999999999996E-3</v>
      </c>
      <c r="AB697">
        <v>1.03E-2</v>
      </c>
      <c r="AC697">
        <v>1.24E-2</v>
      </c>
    </row>
    <row r="698" spans="17:29" x14ac:dyDescent="0.25">
      <c r="Q698" s="1">
        <v>44040</v>
      </c>
      <c r="R698">
        <v>8.9999999999999998E-4</v>
      </c>
      <c r="S698">
        <v>1.1000000000000001E-3</v>
      </c>
      <c r="T698">
        <v>1.1000000000000001E-3</v>
      </c>
      <c r="U698">
        <v>1.1999999999999999E-3</v>
      </c>
      <c r="V698">
        <v>1.4000000000000002E-3</v>
      </c>
      <c r="W698">
        <v>1.4000000000000002E-3</v>
      </c>
      <c r="X698">
        <v>1.6000000000000001E-3</v>
      </c>
      <c r="Y698">
        <v>2.5999999999999999E-3</v>
      </c>
      <c r="Z698">
        <v>4.4000000000000003E-3</v>
      </c>
      <c r="AA698">
        <v>5.8999999999999999E-3</v>
      </c>
      <c r="AB698">
        <v>1.01E-2</v>
      </c>
      <c r="AC698">
        <v>1.2199999999999999E-2</v>
      </c>
    </row>
    <row r="699" spans="17:29" x14ac:dyDescent="0.25">
      <c r="Q699" s="1">
        <v>44039</v>
      </c>
      <c r="R699">
        <v>1E-3</v>
      </c>
      <c r="S699">
        <v>1E-3</v>
      </c>
      <c r="T699">
        <v>1.1000000000000001E-3</v>
      </c>
      <c r="U699">
        <v>1.4000000000000002E-3</v>
      </c>
      <c r="V699">
        <v>1.4000000000000002E-3</v>
      </c>
      <c r="W699">
        <v>1.5E-3</v>
      </c>
      <c r="X699">
        <v>1.8E-3</v>
      </c>
      <c r="Y699">
        <v>3.0000000000000001E-3</v>
      </c>
      <c r="Z699">
        <v>4.5999999999999999E-3</v>
      </c>
      <c r="AA699">
        <v>6.1999999999999998E-3</v>
      </c>
      <c r="AB699">
        <v>1.0500000000000001E-2</v>
      </c>
      <c r="AC699">
        <v>1.2500000000000001E-2</v>
      </c>
    </row>
    <row r="700" spans="17:29" x14ac:dyDescent="0.25">
      <c r="Q700" s="1">
        <v>44036</v>
      </c>
      <c r="R700">
        <v>1E-3</v>
      </c>
      <c r="S700">
        <v>1.1000000000000001E-3</v>
      </c>
      <c r="T700">
        <v>1.1000000000000001E-3</v>
      </c>
      <c r="U700">
        <v>1.4000000000000002E-3</v>
      </c>
      <c r="V700">
        <v>1.6000000000000001E-3</v>
      </c>
      <c r="W700">
        <v>1.4000000000000002E-3</v>
      </c>
      <c r="X700">
        <v>1.7000000000000001E-3</v>
      </c>
      <c r="Y700">
        <v>2.7000000000000001E-3</v>
      </c>
      <c r="Z700">
        <v>4.4000000000000003E-3</v>
      </c>
      <c r="AA700">
        <v>5.8999999999999999E-3</v>
      </c>
      <c r="AB700">
        <v>1.03E-2</v>
      </c>
      <c r="AC700">
        <v>1.23E-2</v>
      </c>
    </row>
    <row r="701" spans="17:29" x14ac:dyDescent="0.25">
      <c r="Q701" s="1">
        <v>44035</v>
      </c>
      <c r="R701">
        <v>8.9999999999999998E-4</v>
      </c>
      <c r="S701">
        <v>1.1000000000000001E-3</v>
      </c>
      <c r="T701">
        <v>1.1999999999999999E-3</v>
      </c>
      <c r="U701">
        <v>1.2999999999999999E-3</v>
      </c>
      <c r="V701">
        <v>1.4000000000000002E-3</v>
      </c>
      <c r="W701">
        <v>1.6000000000000001E-3</v>
      </c>
      <c r="X701">
        <v>1.6000000000000001E-3</v>
      </c>
      <c r="Y701">
        <v>2.7000000000000001E-3</v>
      </c>
      <c r="Z701">
        <v>4.4000000000000003E-3</v>
      </c>
      <c r="AA701">
        <v>5.8999999999999999E-3</v>
      </c>
      <c r="AB701">
        <v>1.03E-2</v>
      </c>
      <c r="AC701">
        <v>1.24E-2</v>
      </c>
    </row>
    <row r="702" spans="17:29" x14ac:dyDescent="0.25">
      <c r="Q702" s="1">
        <v>44034</v>
      </c>
      <c r="R702">
        <v>8.9999999999999998E-4</v>
      </c>
      <c r="S702">
        <v>1.1999999999999999E-3</v>
      </c>
      <c r="T702">
        <v>1.2999999999999999E-3</v>
      </c>
      <c r="U702">
        <v>1.4000000000000002E-3</v>
      </c>
      <c r="V702">
        <v>1.4000000000000002E-3</v>
      </c>
      <c r="W702">
        <v>1.4000000000000002E-3</v>
      </c>
      <c r="X702">
        <v>1.7000000000000001E-3</v>
      </c>
      <c r="Y702">
        <v>2.7000000000000001E-3</v>
      </c>
      <c r="Z702">
        <v>4.5000000000000005E-3</v>
      </c>
      <c r="AA702">
        <v>6.0000000000000001E-3</v>
      </c>
      <c r="AB702">
        <v>1.0800000000000001E-2</v>
      </c>
      <c r="AC702">
        <v>1.29E-2</v>
      </c>
    </row>
    <row r="703" spans="17:29" x14ac:dyDescent="0.25">
      <c r="Q703" s="1">
        <v>44033</v>
      </c>
      <c r="R703">
        <v>8.9999999999999998E-4</v>
      </c>
      <c r="S703">
        <v>1.1000000000000001E-3</v>
      </c>
      <c r="T703">
        <v>1.2999999999999999E-3</v>
      </c>
      <c r="U703">
        <v>1.2999999999999999E-3</v>
      </c>
      <c r="V703">
        <v>1.5E-3</v>
      </c>
      <c r="W703">
        <v>1.4000000000000002E-3</v>
      </c>
      <c r="X703">
        <v>1.7000000000000001E-3</v>
      </c>
      <c r="Y703">
        <v>2.7000000000000001E-3</v>
      </c>
      <c r="Z703">
        <v>4.5000000000000005E-3</v>
      </c>
      <c r="AA703">
        <v>6.0999999999999995E-3</v>
      </c>
      <c r="AB703">
        <v>1.09E-2</v>
      </c>
      <c r="AC703">
        <v>1.3100000000000001E-2</v>
      </c>
    </row>
    <row r="704" spans="17:29" x14ac:dyDescent="0.25">
      <c r="Q704" s="1">
        <v>44032</v>
      </c>
      <c r="R704">
        <v>1.1000000000000001E-3</v>
      </c>
      <c r="S704">
        <v>1.1999999999999999E-3</v>
      </c>
      <c r="T704">
        <v>1.2999999999999999E-3</v>
      </c>
      <c r="U704">
        <v>1.4000000000000002E-3</v>
      </c>
      <c r="V704">
        <v>1.4000000000000002E-3</v>
      </c>
      <c r="W704">
        <v>1.6000000000000001E-3</v>
      </c>
      <c r="X704">
        <v>1.8E-3</v>
      </c>
      <c r="Y704">
        <v>2.8999999999999998E-3</v>
      </c>
      <c r="Z704">
        <v>4.6999999999999993E-3</v>
      </c>
      <c r="AA704">
        <v>6.1999999999999998E-3</v>
      </c>
      <c r="AB704">
        <v>1.1000000000000001E-2</v>
      </c>
      <c r="AC704">
        <v>1.32E-2</v>
      </c>
    </row>
    <row r="705" spans="17:29" x14ac:dyDescent="0.25">
      <c r="Q705" s="1">
        <v>44029</v>
      </c>
      <c r="R705">
        <v>1.1000000000000001E-3</v>
      </c>
      <c r="S705">
        <v>1.1000000000000001E-3</v>
      </c>
      <c r="T705">
        <v>1.1000000000000001E-3</v>
      </c>
      <c r="U705">
        <v>1.2999999999999999E-3</v>
      </c>
      <c r="V705">
        <v>1.4000000000000002E-3</v>
      </c>
      <c r="W705">
        <v>1.4000000000000002E-3</v>
      </c>
      <c r="X705">
        <v>1.8E-3</v>
      </c>
      <c r="Y705">
        <v>2.8999999999999998E-3</v>
      </c>
      <c r="Z705">
        <v>4.6999999999999993E-3</v>
      </c>
      <c r="AA705">
        <v>6.4000000000000003E-3</v>
      </c>
      <c r="AB705">
        <v>1.11E-2</v>
      </c>
      <c r="AC705">
        <v>1.3300000000000001E-2</v>
      </c>
    </row>
    <row r="706" spans="17:29" x14ac:dyDescent="0.25">
      <c r="Q706" s="1">
        <v>44028</v>
      </c>
      <c r="R706">
        <v>1.1999999999999999E-3</v>
      </c>
      <c r="S706">
        <v>1.1000000000000001E-3</v>
      </c>
      <c r="T706">
        <v>1.1000000000000001E-3</v>
      </c>
      <c r="U706">
        <v>1.2999999999999999E-3</v>
      </c>
      <c r="V706">
        <v>1.4000000000000002E-3</v>
      </c>
      <c r="W706">
        <v>1.6000000000000001E-3</v>
      </c>
      <c r="X706">
        <v>1.7000000000000001E-3</v>
      </c>
      <c r="Y706">
        <v>2.8000000000000004E-3</v>
      </c>
      <c r="Z706">
        <v>4.5999999999999999E-3</v>
      </c>
      <c r="AA706">
        <v>6.1999999999999998E-3</v>
      </c>
      <c r="AB706">
        <v>1.09E-2</v>
      </c>
      <c r="AC706">
        <v>1.3100000000000001E-2</v>
      </c>
    </row>
    <row r="707" spans="17:29" x14ac:dyDescent="0.25">
      <c r="Q707" s="1">
        <v>44027</v>
      </c>
      <c r="R707">
        <v>1.1999999999999999E-3</v>
      </c>
      <c r="S707">
        <v>1.2999999999999999E-3</v>
      </c>
      <c r="T707">
        <v>1.6000000000000001E-3</v>
      </c>
      <c r="U707">
        <v>1.5E-3</v>
      </c>
      <c r="V707">
        <v>1.5E-3</v>
      </c>
      <c r="W707">
        <v>1.6000000000000001E-3</v>
      </c>
      <c r="X707">
        <v>1.8E-3</v>
      </c>
      <c r="Y707">
        <v>2.8000000000000004E-3</v>
      </c>
      <c r="Z707">
        <v>4.6999999999999993E-3</v>
      </c>
      <c r="AA707">
        <v>6.4000000000000003E-3</v>
      </c>
      <c r="AB707">
        <v>1.11E-2</v>
      </c>
      <c r="AC707">
        <v>1.3300000000000001E-2</v>
      </c>
    </row>
    <row r="708" spans="17:29" x14ac:dyDescent="0.25">
      <c r="Q708" s="1">
        <v>44026</v>
      </c>
      <c r="R708">
        <v>1.1000000000000001E-3</v>
      </c>
      <c r="S708">
        <v>1.4000000000000002E-3</v>
      </c>
      <c r="T708">
        <v>1.5E-3</v>
      </c>
      <c r="U708">
        <v>1.4000000000000002E-3</v>
      </c>
      <c r="V708">
        <v>1.7000000000000001E-3</v>
      </c>
      <c r="W708">
        <v>1.4000000000000002E-3</v>
      </c>
      <c r="X708">
        <v>1.9E-3</v>
      </c>
      <c r="Y708">
        <v>2.8000000000000004E-3</v>
      </c>
      <c r="Z708">
        <v>4.6999999999999993E-3</v>
      </c>
      <c r="AA708">
        <v>6.3E-3</v>
      </c>
      <c r="AB708">
        <v>1.09E-2</v>
      </c>
      <c r="AC708">
        <v>1.3000000000000001E-2</v>
      </c>
    </row>
    <row r="709" spans="17:29" x14ac:dyDescent="0.25">
      <c r="Q709" s="1">
        <v>44025</v>
      </c>
      <c r="R709">
        <v>1.1000000000000001E-3</v>
      </c>
      <c r="S709">
        <v>1.1999999999999999E-3</v>
      </c>
      <c r="T709">
        <v>1.4000000000000002E-3</v>
      </c>
      <c r="U709">
        <v>1.5E-3</v>
      </c>
      <c r="V709">
        <v>1.6000000000000001E-3</v>
      </c>
      <c r="W709">
        <v>1.6000000000000001E-3</v>
      </c>
      <c r="X709">
        <v>1.9E-3</v>
      </c>
      <c r="Y709">
        <v>3.0000000000000001E-3</v>
      </c>
      <c r="Z709">
        <v>4.7999999999999996E-3</v>
      </c>
      <c r="AA709">
        <v>6.4000000000000003E-3</v>
      </c>
      <c r="AB709">
        <v>1.11E-2</v>
      </c>
      <c r="AC709">
        <v>1.3300000000000001E-2</v>
      </c>
    </row>
    <row r="710" spans="17:29" x14ac:dyDescent="0.25">
      <c r="Q710" s="1">
        <v>44022</v>
      </c>
      <c r="R710">
        <v>1E-3</v>
      </c>
      <c r="S710">
        <v>1.1999999999999999E-3</v>
      </c>
      <c r="T710">
        <v>1.2999999999999999E-3</v>
      </c>
      <c r="U710">
        <v>1.5E-3</v>
      </c>
      <c r="V710">
        <v>1.5E-3</v>
      </c>
      <c r="W710">
        <v>1.6000000000000001E-3</v>
      </c>
      <c r="X710">
        <v>1.9E-3</v>
      </c>
      <c r="Y710">
        <v>3.0000000000000001E-3</v>
      </c>
      <c r="Z710">
        <v>4.8999999999999998E-3</v>
      </c>
      <c r="AA710">
        <v>6.5000000000000006E-3</v>
      </c>
      <c r="AB710">
        <v>1.1200000000000002E-2</v>
      </c>
      <c r="AC710">
        <v>1.3300000000000001E-2</v>
      </c>
    </row>
    <row r="711" spans="17:29" x14ac:dyDescent="0.25">
      <c r="Q711" s="1">
        <v>44021</v>
      </c>
      <c r="R711">
        <v>1.1000000000000001E-3</v>
      </c>
      <c r="S711">
        <v>1.1999999999999999E-3</v>
      </c>
      <c r="T711">
        <v>1.2999999999999999E-3</v>
      </c>
      <c r="U711">
        <v>1.6000000000000001E-3</v>
      </c>
      <c r="V711">
        <v>1.5E-3</v>
      </c>
      <c r="W711">
        <v>1.6000000000000001E-3</v>
      </c>
      <c r="X711">
        <v>1.8E-3</v>
      </c>
      <c r="Y711">
        <v>2.8000000000000004E-3</v>
      </c>
      <c r="Z711">
        <v>4.5999999999999999E-3</v>
      </c>
      <c r="AA711">
        <v>6.1999999999999998E-3</v>
      </c>
      <c r="AB711">
        <v>1.09E-2</v>
      </c>
      <c r="AC711">
        <v>1.32E-2</v>
      </c>
    </row>
    <row r="712" spans="17:29" x14ac:dyDescent="0.25">
      <c r="Q712" s="1">
        <v>44020</v>
      </c>
      <c r="R712">
        <v>1.1000000000000001E-3</v>
      </c>
      <c r="S712">
        <v>1.2999999999999999E-3</v>
      </c>
      <c r="T712">
        <v>1.5E-3</v>
      </c>
      <c r="U712">
        <v>1.7000000000000001E-3</v>
      </c>
      <c r="V712">
        <v>1.5E-3</v>
      </c>
      <c r="W712">
        <v>1.6000000000000001E-3</v>
      </c>
      <c r="X712">
        <v>1.9E-3</v>
      </c>
      <c r="Y712">
        <v>3.0000000000000001E-3</v>
      </c>
      <c r="Z712">
        <v>4.8999999999999998E-3</v>
      </c>
      <c r="AA712">
        <v>6.7000000000000002E-3</v>
      </c>
      <c r="AB712">
        <v>1.1599999999999999E-2</v>
      </c>
      <c r="AC712">
        <v>1.3899999999999999E-2</v>
      </c>
    </row>
    <row r="713" spans="17:29" x14ac:dyDescent="0.25">
      <c r="Q713" s="1">
        <v>44019</v>
      </c>
      <c r="R713">
        <v>1.1999999999999999E-3</v>
      </c>
      <c r="S713">
        <v>1.4000000000000002E-3</v>
      </c>
      <c r="T713">
        <v>1.5E-3</v>
      </c>
      <c r="U713">
        <v>1.7000000000000001E-3</v>
      </c>
      <c r="V713">
        <v>1.5E-3</v>
      </c>
      <c r="W713">
        <v>1.6000000000000001E-3</v>
      </c>
      <c r="X713">
        <v>1.9E-3</v>
      </c>
      <c r="Y713">
        <v>2.8999999999999998E-3</v>
      </c>
      <c r="Z713">
        <v>4.7999999999999996E-3</v>
      </c>
      <c r="AA713">
        <v>6.5000000000000006E-3</v>
      </c>
      <c r="AB713">
        <v>1.15E-2</v>
      </c>
      <c r="AC713">
        <v>1.38E-2</v>
      </c>
    </row>
    <row r="714" spans="17:29" x14ac:dyDescent="0.25">
      <c r="Q714" s="1">
        <v>44018</v>
      </c>
      <c r="R714">
        <v>1.1999999999999999E-3</v>
      </c>
      <c r="S714">
        <v>1.4000000000000002E-3</v>
      </c>
      <c r="T714">
        <v>1.5E-3</v>
      </c>
      <c r="U714">
        <v>1.6000000000000001E-3</v>
      </c>
      <c r="V714">
        <v>1.6000000000000001E-3</v>
      </c>
      <c r="W714">
        <v>1.6000000000000001E-3</v>
      </c>
      <c r="X714">
        <v>1.9E-3</v>
      </c>
      <c r="Y714">
        <v>3.0999999999999999E-3</v>
      </c>
      <c r="Z714">
        <v>5.1000000000000004E-3</v>
      </c>
      <c r="AA714">
        <v>6.8999999999999999E-3</v>
      </c>
      <c r="AB714">
        <v>1.21E-2</v>
      </c>
      <c r="AC714">
        <v>1.4499999999999999E-2</v>
      </c>
    </row>
    <row r="715" spans="17:29" x14ac:dyDescent="0.25">
      <c r="Q715" s="1">
        <v>44014</v>
      </c>
      <c r="R715">
        <v>1.2999999999999999E-3</v>
      </c>
      <c r="S715">
        <v>1.4000000000000002E-3</v>
      </c>
      <c r="T715">
        <v>1.4000000000000002E-3</v>
      </c>
      <c r="U715">
        <v>1.6000000000000001E-3</v>
      </c>
      <c r="V715">
        <v>1.6000000000000001E-3</v>
      </c>
      <c r="W715">
        <v>1.6000000000000001E-3</v>
      </c>
      <c r="X715">
        <v>1.9E-3</v>
      </c>
      <c r="Y715">
        <v>2.8999999999999998E-3</v>
      </c>
      <c r="Z715">
        <v>5.0000000000000001E-3</v>
      </c>
      <c r="AA715">
        <v>6.8000000000000005E-3</v>
      </c>
      <c r="AB715">
        <v>1.2E-2</v>
      </c>
      <c r="AC715">
        <v>1.43E-2</v>
      </c>
    </row>
    <row r="716" spans="17:29" x14ac:dyDescent="0.25">
      <c r="Q716" s="1">
        <v>44013</v>
      </c>
      <c r="R716">
        <v>1.1999999999999999E-3</v>
      </c>
      <c r="S716">
        <v>1.1999999999999999E-3</v>
      </c>
      <c r="T716">
        <v>1.4000000000000002E-3</v>
      </c>
      <c r="U716">
        <v>1.7000000000000001E-3</v>
      </c>
      <c r="V716">
        <v>1.6000000000000001E-3</v>
      </c>
      <c r="W716">
        <v>1.7000000000000001E-3</v>
      </c>
      <c r="X716">
        <v>1.9E-3</v>
      </c>
      <c r="Y716">
        <v>3.0999999999999999E-3</v>
      </c>
      <c r="Z716">
        <v>5.1999999999999998E-3</v>
      </c>
      <c r="AA716">
        <v>6.8999999999999999E-3</v>
      </c>
      <c r="AB716">
        <v>1.2E-2</v>
      </c>
      <c r="AC716">
        <v>1.43E-2</v>
      </c>
    </row>
    <row r="717" spans="17:29" x14ac:dyDescent="0.25">
      <c r="Q717" s="1">
        <v>44012</v>
      </c>
      <c r="R717">
        <v>1.2999999999999999E-3</v>
      </c>
      <c r="S717">
        <v>1.4000000000000002E-3</v>
      </c>
      <c r="T717">
        <v>1.6000000000000001E-3</v>
      </c>
      <c r="U717">
        <v>1.8E-3</v>
      </c>
      <c r="V717">
        <v>1.6000000000000001E-3</v>
      </c>
      <c r="W717">
        <v>1.6000000000000001E-3</v>
      </c>
      <c r="X717">
        <v>1.8E-3</v>
      </c>
      <c r="Y717">
        <v>2.8999999999999998E-3</v>
      </c>
      <c r="Z717">
        <v>4.8999999999999998E-3</v>
      </c>
      <c r="AA717">
        <v>6.6E-3</v>
      </c>
      <c r="AB717">
        <v>1.18E-2</v>
      </c>
      <c r="AC717">
        <v>1.41E-2</v>
      </c>
    </row>
    <row r="718" spans="17:29" x14ac:dyDescent="0.25">
      <c r="Q718" s="1">
        <v>44011</v>
      </c>
      <c r="R718">
        <v>1.1000000000000001E-3</v>
      </c>
      <c r="S718">
        <v>1.4000000000000002E-3</v>
      </c>
      <c r="T718">
        <v>1.4000000000000002E-3</v>
      </c>
      <c r="U718">
        <v>1.8E-3</v>
      </c>
      <c r="V718">
        <v>1.6000000000000001E-3</v>
      </c>
      <c r="W718">
        <v>1.6000000000000001E-3</v>
      </c>
      <c r="X718">
        <v>1.8E-3</v>
      </c>
      <c r="Y718">
        <v>2.8000000000000004E-3</v>
      </c>
      <c r="Z718">
        <v>4.6999999999999993E-3</v>
      </c>
      <c r="AA718">
        <v>6.4000000000000003E-3</v>
      </c>
      <c r="AB718">
        <v>1.1599999999999999E-2</v>
      </c>
      <c r="AC718">
        <v>1.3899999999999999E-2</v>
      </c>
    </row>
    <row r="719" spans="17:29" x14ac:dyDescent="0.25">
      <c r="Q719" s="1">
        <v>44008</v>
      </c>
      <c r="R719">
        <v>1.1999999999999999E-3</v>
      </c>
      <c r="S719">
        <v>1.5E-3</v>
      </c>
      <c r="T719">
        <v>1.4000000000000002E-3</v>
      </c>
      <c r="U719">
        <v>1.7000000000000001E-3</v>
      </c>
      <c r="V719">
        <v>1.7000000000000001E-3</v>
      </c>
      <c r="W719">
        <v>1.7000000000000001E-3</v>
      </c>
      <c r="X719">
        <v>1.9E-3</v>
      </c>
      <c r="Y719">
        <v>3.0000000000000001E-3</v>
      </c>
      <c r="Z719">
        <v>4.8999999999999998E-3</v>
      </c>
      <c r="AA719">
        <v>6.4000000000000003E-3</v>
      </c>
      <c r="AB719">
        <v>1.15E-2</v>
      </c>
      <c r="AC719">
        <v>1.37E-2</v>
      </c>
    </row>
    <row r="720" spans="17:29" x14ac:dyDescent="0.25">
      <c r="Q720" s="1">
        <v>44007</v>
      </c>
      <c r="R720">
        <v>1.2999999999999999E-3</v>
      </c>
      <c r="S720">
        <v>1.4000000000000002E-3</v>
      </c>
      <c r="T720">
        <v>1.6000000000000001E-3</v>
      </c>
      <c r="U720">
        <v>1.7000000000000001E-3</v>
      </c>
      <c r="V720">
        <v>1.7000000000000001E-3</v>
      </c>
      <c r="W720">
        <v>1.7000000000000001E-3</v>
      </c>
      <c r="X720">
        <v>2.0999999999999999E-3</v>
      </c>
      <c r="Y720">
        <v>3.2000000000000002E-3</v>
      </c>
      <c r="Z720">
        <v>5.3E-3</v>
      </c>
      <c r="AA720">
        <v>6.8000000000000005E-3</v>
      </c>
      <c r="AB720">
        <v>1.2E-2</v>
      </c>
      <c r="AC720">
        <v>1.43E-2</v>
      </c>
    </row>
    <row r="721" spans="17:29" x14ac:dyDescent="0.25">
      <c r="Q721" s="1">
        <v>44006</v>
      </c>
      <c r="R721">
        <v>1.1000000000000001E-3</v>
      </c>
      <c r="S721">
        <v>1.4000000000000002E-3</v>
      </c>
      <c r="T721">
        <v>1.5E-3</v>
      </c>
      <c r="U721">
        <v>1.7000000000000001E-3</v>
      </c>
      <c r="V721">
        <v>1.7000000000000001E-3</v>
      </c>
      <c r="W721">
        <v>1.9E-3</v>
      </c>
      <c r="X721">
        <v>2.0999999999999999E-3</v>
      </c>
      <c r="Y721">
        <v>3.3E-3</v>
      </c>
      <c r="Z721">
        <v>5.1999999999999998E-3</v>
      </c>
      <c r="AA721">
        <v>6.8999999999999999E-3</v>
      </c>
      <c r="AB721">
        <v>1.21E-2</v>
      </c>
      <c r="AC721">
        <v>1.44E-2</v>
      </c>
    </row>
    <row r="722" spans="17:29" x14ac:dyDescent="0.25">
      <c r="Q722" s="1">
        <v>44005</v>
      </c>
      <c r="R722">
        <v>1.1999999999999999E-3</v>
      </c>
      <c r="S722">
        <v>1.4000000000000002E-3</v>
      </c>
      <c r="T722">
        <v>1.6000000000000001E-3</v>
      </c>
      <c r="U722">
        <v>1.7000000000000001E-3</v>
      </c>
      <c r="V722">
        <v>1.8E-3</v>
      </c>
      <c r="W722">
        <v>1.8E-3</v>
      </c>
      <c r="X722">
        <v>2.2000000000000001E-3</v>
      </c>
      <c r="Y722">
        <v>3.3E-3</v>
      </c>
      <c r="Z722">
        <v>5.4000000000000003E-3</v>
      </c>
      <c r="AA722">
        <v>7.1999999999999998E-3</v>
      </c>
      <c r="AB722">
        <v>1.2500000000000001E-2</v>
      </c>
      <c r="AC722">
        <v>1.49E-2</v>
      </c>
    </row>
    <row r="723" spans="17:29" x14ac:dyDescent="0.25">
      <c r="Q723" s="1">
        <v>44004</v>
      </c>
      <c r="R723">
        <v>1.4000000000000002E-3</v>
      </c>
      <c r="S723">
        <v>1.5E-3</v>
      </c>
      <c r="T723">
        <v>1.6000000000000001E-3</v>
      </c>
      <c r="U723">
        <v>1.8E-3</v>
      </c>
      <c r="V723">
        <v>1.7000000000000001E-3</v>
      </c>
      <c r="W723">
        <v>1.9E-3</v>
      </c>
      <c r="X723">
        <v>2.2000000000000001E-3</v>
      </c>
      <c r="Y723">
        <v>3.4000000000000002E-3</v>
      </c>
      <c r="Z723">
        <v>5.4000000000000003E-3</v>
      </c>
      <c r="AA723">
        <v>7.0999999999999995E-3</v>
      </c>
      <c r="AB723">
        <v>1.23E-2</v>
      </c>
      <c r="AC723">
        <v>1.46E-2</v>
      </c>
    </row>
    <row r="724" spans="17:29" x14ac:dyDescent="0.25">
      <c r="Q724" s="1">
        <v>44001</v>
      </c>
      <c r="R724">
        <v>1.2999999999999999E-3</v>
      </c>
      <c r="S724">
        <v>1.4000000000000002E-3</v>
      </c>
      <c r="T724">
        <v>1.5E-3</v>
      </c>
      <c r="U724">
        <v>1.7000000000000001E-3</v>
      </c>
      <c r="V724">
        <v>1.8E-3</v>
      </c>
      <c r="W724">
        <v>1.9E-3</v>
      </c>
      <c r="X724">
        <v>2.2000000000000001E-3</v>
      </c>
      <c r="Y724">
        <v>3.3E-3</v>
      </c>
      <c r="Z724">
        <v>5.3E-3</v>
      </c>
      <c r="AA724">
        <v>6.9999999999999993E-3</v>
      </c>
      <c r="AB724">
        <v>1.23E-2</v>
      </c>
      <c r="AC724">
        <v>1.47E-2</v>
      </c>
    </row>
    <row r="725" spans="17:29" x14ac:dyDescent="0.25">
      <c r="Q725" s="1">
        <v>44000</v>
      </c>
      <c r="R725">
        <v>1.2999999999999999E-3</v>
      </c>
      <c r="S725">
        <v>1.4000000000000002E-3</v>
      </c>
      <c r="T725">
        <v>1.6000000000000001E-3</v>
      </c>
      <c r="U725">
        <v>1.7000000000000001E-3</v>
      </c>
      <c r="V725">
        <v>1.9E-3</v>
      </c>
      <c r="W725">
        <v>1.9E-3</v>
      </c>
      <c r="X725">
        <v>2.2000000000000001E-3</v>
      </c>
      <c r="Y725">
        <v>3.4000000000000002E-3</v>
      </c>
      <c r="Z725">
        <v>5.4000000000000003E-3</v>
      </c>
      <c r="AA725">
        <v>7.0999999999999995E-3</v>
      </c>
      <c r="AB725">
        <v>1.24E-2</v>
      </c>
      <c r="AC725">
        <v>1.47E-2</v>
      </c>
    </row>
    <row r="726" spans="17:29" x14ac:dyDescent="0.25">
      <c r="Q726" s="1">
        <v>43999</v>
      </c>
      <c r="R726">
        <v>1.2999999999999999E-3</v>
      </c>
      <c r="S726">
        <v>1.5E-3</v>
      </c>
      <c r="T726">
        <v>1.7000000000000001E-3</v>
      </c>
      <c r="U726">
        <v>1.8E-3</v>
      </c>
      <c r="V726">
        <v>1.9E-3</v>
      </c>
      <c r="W726">
        <v>1.9E-3</v>
      </c>
      <c r="X726">
        <v>2.3E-3</v>
      </c>
      <c r="Y726">
        <v>3.4000000000000002E-3</v>
      </c>
      <c r="Z726">
        <v>5.5000000000000005E-3</v>
      </c>
      <c r="AA726">
        <v>7.4000000000000003E-3</v>
      </c>
      <c r="AB726">
        <v>1.3000000000000001E-2</v>
      </c>
      <c r="AC726">
        <v>1.52E-2</v>
      </c>
    </row>
    <row r="727" spans="17:29" x14ac:dyDescent="0.25">
      <c r="Q727" s="1">
        <v>43998</v>
      </c>
      <c r="R727">
        <v>1.4000000000000002E-3</v>
      </c>
      <c r="S727">
        <v>1.5E-3</v>
      </c>
      <c r="T727">
        <v>1.7000000000000001E-3</v>
      </c>
      <c r="U727">
        <v>1.9E-3</v>
      </c>
      <c r="V727">
        <v>1.8E-3</v>
      </c>
      <c r="W727">
        <v>2.0999999999999999E-3</v>
      </c>
      <c r="X727">
        <v>2.3E-3</v>
      </c>
      <c r="Y727">
        <v>3.4000000000000002E-3</v>
      </c>
      <c r="Z727">
        <v>5.6000000000000008E-3</v>
      </c>
      <c r="AA727">
        <v>7.4999999999999997E-3</v>
      </c>
      <c r="AB727">
        <v>1.3100000000000001E-2</v>
      </c>
      <c r="AC727">
        <v>1.54E-2</v>
      </c>
    </row>
    <row r="728" spans="17:29" x14ac:dyDescent="0.25">
      <c r="Q728" s="1">
        <v>43997</v>
      </c>
      <c r="R728">
        <v>1.5E-3</v>
      </c>
      <c r="S728">
        <v>1.6000000000000001E-3</v>
      </c>
      <c r="T728">
        <v>1.8E-3</v>
      </c>
      <c r="U728">
        <v>1.9E-3</v>
      </c>
      <c r="V728">
        <v>1.7000000000000001E-3</v>
      </c>
      <c r="W728">
        <v>1.9E-3</v>
      </c>
      <c r="X728">
        <v>2.2000000000000001E-3</v>
      </c>
      <c r="Y728">
        <v>3.3E-3</v>
      </c>
      <c r="Z728">
        <v>5.4000000000000003E-3</v>
      </c>
      <c r="AA728">
        <v>7.0999999999999995E-3</v>
      </c>
      <c r="AB728">
        <v>1.24E-2</v>
      </c>
      <c r="AC728">
        <v>1.4499999999999999E-2</v>
      </c>
    </row>
    <row r="729" spans="17:29" x14ac:dyDescent="0.25">
      <c r="Q729" s="1">
        <v>43994</v>
      </c>
      <c r="R729">
        <v>1.4000000000000002E-3</v>
      </c>
      <c r="S729">
        <v>1.5E-3</v>
      </c>
      <c r="T729">
        <v>1.6000000000000001E-3</v>
      </c>
      <c r="U729">
        <v>1.8E-3</v>
      </c>
      <c r="V729">
        <v>1.8E-3</v>
      </c>
      <c r="W729">
        <v>1.9E-3</v>
      </c>
      <c r="X729">
        <v>2.2000000000000001E-3</v>
      </c>
      <c r="Y729">
        <v>3.3E-3</v>
      </c>
      <c r="Z729">
        <v>5.4000000000000003E-3</v>
      </c>
      <c r="AA729">
        <v>7.0999999999999995E-3</v>
      </c>
      <c r="AB729">
        <v>1.24E-2</v>
      </c>
      <c r="AC729">
        <v>1.4499999999999999E-2</v>
      </c>
    </row>
    <row r="730" spans="17:29" x14ac:dyDescent="0.25">
      <c r="Q730" s="1">
        <v>43993</v>
      </c>
      <c r="R730">
        <v>1.4000000000000002E-3</v>
      </c>
      <c r="S730">
        <v>1.6000000000000001E-3</v>
      </c>
      <c r="T730">
        <v>1.7000000000000001E-3</v>
      </c>
      <c r="U730">
        <v>1.8E-3</v>
      </c>
      <c r="V730">
        <v>1.9E-3</v>
      </c>
      <c r="W730">
        <v>1.9E-3</v>
      </c>
      <c r="X730">
        <v>2.2000000000000001E-3</v>
      </c>
      <c r="Y730">
        <v>3.2000000000000002E-3</v>
      </c>
      <c r="Z730">
        <v>5.1000000000000004E-3</v>
      </c>
      <c r="AA730">
        <v>6.6E-3</v>
      </c>
      <c r="AB730">
        <v>1.1899999999999999E-2</v>
      </c>
      <c r="AC730">
        <v>1.41E-2</v>
      </c>
    </row>
    <row r="731" spans="17:29" x14ac:dyDescent="0.25">
      <c r="Q731" s="1">
        <v>43992</v>
      </c>
      <c r="R731">
        <v>1.2999999999999999E-3</v>
      </c>
      <c r="S731">
        <v>1.6000000000000001E-3</v>
      </c>
      <c r="T731">
        <v>1.7000000000000001E-3</v>
      </c>
      <c r="U731">
        <v>1.9E-3</v>
      </c>
      <c r="V731">
        <v>1.8E-3</v>
      </c>
      <c r="W731">
        <v>1.7000000000000001E-3</v>
      </c>
      <c r="X731">
        <v>2.2000000000000001E-3</v>
      </c>
      <c r="Y731">
        <v>3.3E-3</v>
      </c>
      <c r="Z731">
        <v>5.6000000000000008E-3</v>
      </c>
      <c r="AA731">
        <v>7.4999999999999997E-3</v>
      </c>
      <c r="AB731">
        <v>1.3100000000000001E-2</v>
      </c>
      <c r="AC731">
        <v>1.5300000000000001E-2</v>
      </c>
    </row>
    <row r="732" spans="17:29" x14ac:dyDescent="0.25">
      <c r="Q732" s="1">
        <v>43991</v>
      </c>
      <c r="R732">
        <v>1.4000000000000002E-3</v>
      </c>
      <c r="S732">
        <v>1.7000000000000001E-3</v>
      </c>
      <c r="T732">
        <v>1.9E-3</v>
      </c>
      <c r="U732">
        <v>1.9E-3</v>
      </c>
      <c r="V732">
        <v>1.9E-3</v>
      </c>
      <c r="W732">
        <v>2E-3</v>
      </c>
      <c r="X732">
        <v>2.5000000000000001E-3</v>
      </c>
      <c r="Y732">
        <v>4.0000000000000001E-3</v>
      </c>
      <c r="Z732">
        <v>6.5000000000000006E-3</v>
      </c>
      <c r="AA732">
        <v>8.3999999999999995E-3</v>
      </c>
      <c r="AB732">
        <v>1.37E-2</v>
      </c>
      <c r="AC732">
        <v>1.5900000000000001E-2</v>
      </c>
    </row>
    <row r="733" spans="17:29" x14ac:dyDescent="0.25">
      <c r="Q733" s="1">
        <v>43990</v>
      </c>
      <c r="R733">
        <v>1.5E-3</v>
      </c>
      <c r="S733">
        <v>1.5E-3</v>
      </c>
      <c r="T733">
        <v>1.7000000000000001E-3</v>
      </c>
      <c r="U733">
        <v>1.9E-3</v>
      </c>
      <c r="V733">
        <v>1.9E-3</v>
      </c>
      <c r="W733">
        <v>2.2000000000000001E-3</v>
      </c>
      <c r="X733">
        <v>2.8999999999999998E-3</v>
      </c>
      <c r="Y733">
        <v>4.5000000000000005E-3</v>
      </c>
      <c r="Z733">
        <v>6.8999999999999999E-3</v>
      </c>
      <c r="AA733">
        <v>8.8000000000000005E-3</v>
      </c>
      <c r="AB733">
        <v>1.43E-2</v>
      </c>
      <c r="AC733">
        <v>1.6500000000000001E-2</v>
      </c>
    </row>
    <row r="734" spans="17:29" x14ac:dyDescent="0.25">
      <c r="Q734" s="1">
        <v>43987</v>
      </c>
      <c r="R734">
        <v>1.2999999999999999E-3</v>
      </c>
      <c r="S734">
        <v>1.4000000000000002E-3</v>
      </c>
      <c r="T734">
        <v>1.5E-3</v>
      </c>
      <c r="U734">
        <v>1.8E-3</v>
      </c>
      <c r="V734">
        <v>1.8E-3</v>
      </c>
      <c r="W734">
        <v>2.2000000000000001E-3</v>
      </c>
      <c r="X734">
        <v>2.8999999999999998E-3</v>
      </c>
      <c r="Y734">
        <v>4.6999999999999993E-3</v>
      </c>
      <c r="Z734">
        <v>7.0999999999999995E-3</v>
      </c>
      <c r="AA734">
        <v>9.1000000000000004E-3</v>
      </c>
      <c r="AB734">
        <v>1.46E-2</v>
      </c>
      <c r="AC734">
        <v>1.6799999999999999E-2</v>
      </c>
    </row>
    <row r="735" spans="17:29" x14ac:dyDescent="0.25">
      <c r="Q735" s="1">
        <v>43986</v>
      </c>
      <c r="R735">
        <v>1.2999999999999999E-3</v>
      </c>
      <c r="S735">
        <v>1.5E-3</v>
      </c>
      <c r="T735">
        <v>1.5E-3</v>
      </c>
      <c r="U735">
        <v>1.8E-3</v>
      </c>
      <c r="V735">
        <v>1.7000000000000001E-3</v>
      </c>
      <c r="W735">
        <v>1.9E-3</v>
      </c>
      <c r="X735">
        <v>2.5999999999999999E-3</v>
      </c>
      <c r="Y735">
        <v>4.0000000000000001E-3</v>
      </c>
      <c r="Z735">
        <v>6.3E-3</v>
      </c>
      <c r="AA735">
        <v>8.199999999999999E-3</v>
      </c>
      <c r="AB735">
        <v>1.38E-2</v>
      </c>
      <c r="AC735">
        <v>1.61E-2</v>
      </c>
    </row>
    <row r="736" spans="17:29" x14ac:dyDescent="0.25">
      <c r="Q736" s="1">
        <v>43985</v>
      </c>
      <c r="R736">
        <v>1.1999999999999999E-3</v>
      </c>
      <c r="S736">
        <v>1.4000000000000002E-3</v>
      </c>
      <c r="T736">
        <v>1.6000000000000001E-3</v>
      </c>
      <c r="U736">
        <v>1.9E-3</v>
      </c>
      <c r="V736">
        <v>1.7000000000000001E-3</v>
      </c>
      <c r="W736">
        <v>1.9E-3</v>
      </c>
      <c r="X736">
        <v>2.5999999999999999E-3</v>
      </c>
      <c r="Y736">
        <v>3.8E-3</v>
      </c>
      <c r="Z736">
        <v>5.8999999999999999E-3</v>
      </c>
      <c r="AA736">
        <v>7.7000000000000002E-3</v>
      </c>
      <c r="AB736">
        <v>1.32E-2</v>
      </c>
      <c r="AC736">
        <v>1.5600000000000001E-2</v>
      </c>
    </row>
    <row r="737" spans="17:29" x14ac:dyDescent="0.25">
      <c r="Q737" s="1">
        <v>43984</v>
      </c>
      <c r="R737">
        <v>1.1999999999999999E-3</v>
      </c>
      <c r="S737">
        <v>1.2999999999999999E-3</v>
      </c>
      <c r="T737">
        <v>1.5E-3</v>
      </c>
      <c r="U737">
        <v>1.8E-3</v>
      </c>
      <c r="V737">
        <v>1.7000000000000001E-3</v>
      </c>
      <c r="W737">
        <v>1.7000000000000001E-3</v>
      </c>
      <c r="X737">
        <v>2E-3</v>
      </c>
      <c r="Y737">
        <v>3.2000000000000002E-3</v>
      </c>
      <c r="Z737">
        <v>5.1999999999999998E-3</v>
      </c>
      <c r="AA737">
        <v>6.8000000000000005E-3</v>
      </c>
      <c r="AB737">
        <v>1.24E-2</v>
      </c>
      <c r="AC737">
        <v>1.4800000000000001E-2</v>
      </c>
    </row>
    <row r="738" spans="17:29" x14ac:dyDescent="0.25">
      <c r="Q738" s="1">
        <v>43983</v>
      </c>
      <c r="R738">
        <v>1.1999999999999999E-3</v>
      </c>
      <c r="S738">
        <v>1.4000000000000002E-3</v>
      </c>
      <c r="T738">
        <v>1.4000000000000002E-3</v>
      </c>
      <c r="U738">
        <v>1.8E-3</v>
      </c>
      <c r="V738">
        <v>1.7000000000000001E-3</v>
      </c>
      <c r="W738">
        <v>1.4000000000000002E-3</v>
      </c>
      <c r="X738">
        <v>2E-3</v>
      </c>
      <c r="Y738">
        <v>3.0999999999999999E-3</v>
      </c>
      <c r="Z738">
        <v>5.0000000000000001E-3</v>
      </c>
      <c r="AA738">
        <v>6.6E-3</v>
      </c>
      <c r="AB738">
        <v>1.2199999999999999E-2</v>
      </c>
      <c r="AC738">
        <v>1.46E-2</v>
      </c>
    </row>
    <row r="739" spans="17:29" x14ac:dyDescent="0.25">
      <c r="Q739" s="1">
        <v>43980</v>
      </c>
      <c r="R739">
        <v>1.2999999999999999E-3</v>
      </c>
      <c r="S739">
        <v>1.4000000000000002E-3</v>
      </c>
      <c r="T739">
        <v>1.4000000000000002E-3</v>
      </c>
      <c r="U739">
        <v>1.8E-3</v>
      </c>
      <c r="V739">
        <v>1.7000000000000001E-3</v>
      </c>
      <c r="W739">
        <v>1.6000000000000001E-3</v>
      </c>
      <c r="X739">
        <v>1.9E-3</v>
      </c>
      <c r="Y739">
        <v>3.0000000000000001E-3</v>
      </c>
      <c r="Z739">
        <v>5.0000000000000001E-3</v>
      </c>
      <c r="AA739">
        <v>6.5000000000000006E-3</v>
      </c>
      <c r="AB739">
        <v>1.18E-2</v>
      </c>
      <c r="AC739">
        <v>1.41E-2</v>
      </c>
    </row>
    <row r="740" spans="17:29" x14ac:dyDescent="0.25">
      <c r="Q740" s="1">
        <v>43979</v>
      </c>
      <c r="R740">
        <v>1.4000000000000002E-3</v>
      </c>
      <c r="S740">
        <v>1.5E-3</v>
      </c>
      <c r="T740">
        <v>1.5E-3</v>
      </c>
      <c r="U740">
        <v>1.8E-3</v>
      </c>
      <c r="V740">
        <v>1.7000000000000001E-3</v>
      </c>
      <c r="W740">
        <v>1.7000000000000001E-3</v>
      </c>
      <c r="X740">
        <v>2.2000000000000001E-3</v>
      </c>
      <c r="Y740">
        <v>3.4000000000000002E-3</v>
      </c>
      <c r="Z740">
        <v>5.4000000000000003E-3</v>
      </c>
      <c r="AA740">
        <v>6.9999999999999993E-3</v>
      </c>
      <c r="AB740">
        <v>1.23E-2</v>
      </c>
      <c r="AC740">
        <v>1.47E-2</v>
      </c>
    </row>
    <row r="741" spans="17:29" x14ac:dyDescent="0.25">
      <c r="Q741" s="1">
        <v>43978</v>
      </c>
      <c r="R741">
        <v>1.1000000000000001E-3</v>
      </c>
      <c r="S741">
        <v>1.4000000000000002E-3</v>
      </c>
      <c r="T741">
        <v>1.5E-3</v>
      </c>
      <c r="U741">
        <v>1.7000000000000001E-3</v>
      </c>
      <c r="V741">
        <v>1.8E-3</v>
      </c>
      <c r="W741">
        <v>1.9E-3</v>
      </c>
      <c r="X741">
        <v>2.2000000000000001E-3</v>
      </c>
      <c r="Y741">
        <v>3.4000000000000002E-3</v>
      </c>
      <c r="Z741">
        <v>5.1999999999999998E-3</v>
      </c>
      <c r="AA741">
        <v>6.8000000000000005E-3</v>
      </c>
      <c r="AB741">
        <v>1.1899999999999999E-2</v>
      </c>
      <c r="AC741">
        <v>1.44E-2</v>
      </c>
    </row>
    <row r="742" spans="17:29" x14ac:dyDescent="0.25">
      <c r="Q742" s="1">
        <v>43977</v>
      </c>
      <c r="R742">
        <v>1E-3</v>
      </c>
      <c r="S742">
        <v>1.1999999999999999E-3</v>
      </c>
      <c r="T742">
        <v>1.4000000000000002E-3</v>
      </c>
      <c r="U742">
        <v>1.7000000000000001E-3</v>
      </c>
      <c r="V742">
        <v>1.7000000000000001E-3</v>
      </c>
      <c r="W742">
        <v>1.8E-3</v>
      </c>
      <c r="X742">
        <v>2.2000000000000001E-3</v>
      </c>
      <c r="Y742">
        <v>3.4999999999999996E-3</v>
      </c>
      <c r="Z742">
        <v>5.3E-3</v>
      </c>
      <c r="AA742">
        <v>6.8999999999999999E-3</v>
      </c>
      <c r="AB742">
        <v>1.1899999999999999E-2</v>
      </c>
      <c r="AC742">
        <v>1.43E-2</v>
      </c>
    </row>
    <row r="743" spans="17:29" x14ac:dyDescent="0.25">
      <c r="Q743" s="1">
        <v>43973</v>
      </c>
      <c r="R743">
        <v>8.9999999999999998E-4</v>
      </c>
      <c r="S743">
        <v>1.1000000000000001E-3</v>
      </c>
      <c r="T743">
        <v>1.1999999999999999E-3</v>
      </c>
      <c r="U743">
        <v>1.6000000000000001E-3</v>
      </c>
      <c r="V743">
        <v>1.7000000000000001E-3</v>
      </c>
      <c r="W743">
        <v>1.7000000000000001E-3</v>
      </c>
      <c r="X743">
        <v>2.0999999999999999E-3</v>
      </c>
      <c r="Y743">
        <v>3.4000000000000002E-3</v>
      </c>
      <c r="Z743">
        <v>5.1000000000000004E-3</v>
      </c>
      <c r="AA743">
        <v>6.6E-3</v>
      </c>
      <c r="AB743">
        <v>1.1200000000000002E-2</v>
      </c>
      <c r="AC743">
        <v>1.37E-2</v>
      </c>
    </row>
    <row r="744" spans="17:29" x14ac:dyDescent="0.25">
      <c r="Q744" s="1">
        <v>43972</v>
      </c>
      <c r="R744">
        <v>8.9999999999999998E-4</v>
      </c>
      <c r="S744">
        <v>1.1000000000000001E-3</v>
      </c>
      <c r="T744">
        <v>1.1999999999999999E-3</v>
      </c>
      <c r="U744">
        <v>1.4000000000000002E-3</v>
      </c>
      <c r="V744">
        <v>1.6000000000000001E-3</v>
      </c>
      <c r="W744">
        <v>1.7000000000000001E-3</v>
      </c>
      <c r="X744">
        <v>2.0999999999999999E-3</v>
      </c>
      <c r="Y744">
        <v>3.4999999999999996E-3</v>
      </c>
      <c r="Z744">
        <v>5.3E-3</v>
      </c>
      <c r="AA744">
        <v>6.8000000000000005E-3</v>
      </c>
      <c r="AB744">
        <v>1.1599999999999999E-2</v>
      </c>
      <c r="AC744">
        <v>1.3999999999999999E-2</v>
      </c>
    </row>
    <row r="745" spans="17:29" x14ac:dyDescent="0.25">
      <c r="Q745" s="1">
        <v>43971</v>
      </c>
      <c r="R745">
        <v>8.0000000000000004E-4</v>
      </c>
      <c r="S745">
        <v>1.1000000000000001E-3</v>
      </c>
      <c r="T745">
        <v>1.1999999999999999E-3</v>
      </c>
      <c r="U745">
        <v>1.4000000000000002E-3</v>
      </c>
      <c r="V745">
        <v>1.6000000000000001E-3</v>
      </c>
      <c r="W745">
        <v>1.6000000000000001E-3</v>
      </c>
      <c r="X745">
        <v>2.0999999999999999E-3</v>
      </c>
      <c r="Y745">
        <v>3.4000000000000002E-3</v>
      </c>
      <c r="Z745">
        <v>5.3E-3</v>
      </c>
      <c r="AA745">
        <v>6.8000000000000005E-3</v>
      </c>
      <c r="AB745">
        <v>1.1899999999999999E-2</v>
      </c>
      <c r="AC745">
        <v>1.3999999999999999E-2</v>
      </c>
    </row>
    <row r="746" spans="17:29" x14ac:dyDescent="0.25">
      <c r="Q746" s="1">
        <v>43970</v>
      </c>
      <c r="R746">
        <v>8.9999999999999998E-4</v>
      </c>
      <c r="S746">
        <v>1.1000000000000001E-3</v>
      </c>
      <c r="T746">
        <v>1.2999999999999999E-3</v>
      </c>
      <c r="U746">
        <v>1.5E-3</v>
      </c>
      <c r="V746">
        <v>1.6000000000000001E-3</v>
      </c>
      <c r="W746">
        <v>1.7000000000000001E-3</v>
      </c>
      <c r="X746">
        <v>2.2000000000000001E-3</v>
      </c>
      <c r="Y746">
        <v>3.4999999999999996E-3</v>
      </c>
      <c r="Z746">
        <v>5.4000000000000003E-3</v>
      </c>
      <c r="AA746">
        <v>6.9999999999999993E-3</v>
      </c>
      <c r="AB746">
        <v>1.15E-2</v>
      </c>
      <c r="AC746">
        <v>1.43E-2</v>
      </c>
    </row>
    <row r="747" spans="17:29" x14ac:dyDescent="0.25">
      <c r="Q747" s="1">
        <v>43969</v>
      </c>
      <c r="R747">
        <v>1E-3</v>
      </c>
      <c r="S747">
        <v>1.1000000000000001E-3</v>
      </c>
      <c r="T747">
        <v>1.2999999999999999E-3</v>
      </c>
      <c r="U747">
        <v>1.5E-3</v>
      </c>
      <c r="V747">
        <v>1.7000000000000001E-3</v>
      </c>
      <c r="W747">
        <v>1.8E-3</v>
      </c>
      <c r="X747">
        <v>2.3999999999999998E-3</v>
      </c>
      <c r="Y747">
        <v>3.8E-3</v>
      </c>
      <c r="Z747">
        <v>5.6999999999999993E-3</v>
      </c>
      <c r="AA747">
        <v>7.3000000000000001E-3</v>
      </c>
      <c r="AB747">
        <v>1.1699999999999999E-2</v>
      </c>
      <c r="AC747">
        <v>1.44E-2</v>
      </c>
    </row>
    <row r="748" spans="17:29" x14ac:dyDescent="0.25">
      <c r="Q748" s="1">
        <v>43966</v>
      </c>
      <c r="R748">
        <v>8.9999999999999998E-4</v>
      </c>
      <c r="S748">
        <v>8.9999999999999998E-4</v>
      </c>
      <c r="T748">
        <v>1.1999999999999999E-3</v>
      </c>
      <c r="U748">
        <v>1.5E-3</v>
      </c>
      <c r="V748">
        <v>1.5E-3</v>
      </c>
      <c r="W748">
        <v>1.6000000000000001E-3</v>
      </c>
      <c r="X748">
        <v>1.9E-3</v>
      </c>
      <c r="Y748">
        <v>3.0999999999999999E-3</v>
      </c>
      <c r="Z748">
        <v>4.8999999999999998E-3</v>
      </c>
      <c r="AA748">
        <v>6.4000000000000003E-3</v>
      </c>
      <c r="AB748">
        <v>1.0500000000000001E-2</v>
      </c>
      <c r="AC748">
        <v>1.32E-2</v>
      </c>
    </row>
    <row r="749" spans="17:29" x14ac:dyDescent="0.25">
      <c r="Q749" s="1">
        <v>43965</v>
      </c>
      <c r="R749">
        <v>8.9999999999999998E-4</v>
      </c>
      <c r="S749">
        <v>1E-3</v>
      </c>
      <c r="T749">
        <v>1.1999999999999999E-3</v>
      </c>
      <c r="U749">
        <v>1.5E-3</v>
      </c>
      <c r="V749">
        <v>1.5E-3</v>
      </c>
      <c r="W749">
        <v>1.6000000000000001E-3</v>
      </c>
      <c r="X749">
        <v>2E-3</v>
      </c>
      <c r="Y749">
        <v>3.0999999999999999E-3</v>
      </c>
      <c r="Z749">
        <v>4.7999999999999996E-3</v>
      </c>
      <c r="AA749">
        <v>6.3E-3</v>
      </c>
      <c r="AB749">
        <v>1.03E-2</v>
      </c>
      <c r="AC749">
        <v>1.3000000000000001E-2</v>
      </c>
    </row>
    <row r="750" spans="17:29" x14ac:dyDescent="0.25">
      <c r="Q750" s="1">
        <v>43964</v>
      </c>
      <c r="R750">
        <v>1E-3</v>
      </c>
      <c r="S750">
        <v>1E-3</v>
      </c>
      <c r="T750">
        <v>1.2999999999999999E-3</v>
      </c>
      <c r="U750">
        <v>1.5E-3</v>
      </c>
      <c r="V750">
        <v>1.5E-3</v>
      </c>
      <c r="W750">
        <v>1.6000000000000001E-3</v>
      </c>
      <c r="X750">
        <v>2E-3</v>
      </c>
      <c r="Y750">
        <v>3.0999999999999999E-3</v>
      </c>
      <c r="Z750">
        <v>5.0000000000000001E-3</v>
      </c>
      <c r="AA750">
        <v>6.4000000000000003E-3</v>
      </c>
      <c r="AB750">
        <v>1.0700000000000001E-2</v>
      </c>
      <c r="AC750">
        <v>1.3500000000000002E-2</v>
      </c>
    </row>
    <row r="751" spans="17:29" x14ac:dyDescent="0.25">
      <c r="Q751" s="1">
        <v>43963</v>
      </c>
      <c r="R751">
        <v>1E-3</v>
      </c>
      <c r="S751">
        <v>1.1000000000000001E-3</v>
      </c>
      <c r="T751">
        <v>1.2999999999999999E-3</v>
      </c>
      <c r="U751">
        <v>1.6000000000000001E-3</v>
      </c>
      <c r="V751">
        <v>1.6000000000000001E-3</v>
      </c>
      <c r="W751">
        <v>1.7000000000000001E-3</v>
      </c>
      <c r="X751">
        <v>2.2000000000000001E-3</v>
      </c>
      <c r="Y751">
        <v>3.4000000000000002E-3</v>
      </c>
      <c r="Z751">
        <v>5.3E-3</v>
      </c>
      <c r="AA751">
        <v>6.8999999999999999E-3</v>
      </c>
      <c r="AB751">
        <v>1.11E-2</v>
      </c>
      <c r="AC751">
        <v>1.38E-2</v>
      </c>
    </row>
    <row r="752" spans="17:29" x14ac:dyDescent="0.25">
      <c r="Q752" s="1">
        <v>43962</v>
      </c>
      <c r="R752">
        <v>8.9999999999999998E-4</v>
      </c>
      <c r="S752">
        <v>1.1000000000000001E-3</v>
      </c>
      <c r="T752">
        <v>1.1999999999999999E-3</v>
      </c>
      <c r="U752">
        <v>1.6000000000000001E-3</v>
      </c>
      <c r="V752">
        <v>1.6000000000000001E-3</v>
      </c>
      <c r="W752">
        <v>1.7000000000000001E-3</v>
      </c>
      <c r="X752">
        <v>2.3999999999999998E-3</v>
      </c>
      <c r="Y752">
        <v>3.5999999999999999E-3</v>
      </c>
      <c r="Z752">
        <v>5.6000000000000008E-3</v>
      </c>
      <c r="AA752">
        <v>7.3000000000000001E-3</v>
      </c>
      <c r="AB752">
        <v>1.1599999999999999E-2</v>
      </c>
      <c r="AC752">
        <v>1.43E-2</v>
      </c>
    </row>
    <row r="753" spans="17:29" x14ac:dyDescent="0.25">
      <c r="Q753" s="1">
        <v>43959</v>
      </c>
      <c r="R753">
        <v>1E-3</v>
      </c>
      <c r="S753">
        <v>1.1000000000000001E-3</v>
      </c>
      <c r="T753">
        <v>1.1999999999999999E-3</v>
      </c>
      <c r="U753">
        <v>1.5E-3</v>
      </c>
      <c r="V753">
        <v>1.5E-3</v>
      </c>
      <c r="W753">
        <v>1.6000000000000001E-3</v>
      </c>
      <c r="X753">
        <v>2.0999999999999999E-3</v>
      </c>
      <c r="Y753">
        <v>3.3E-3</v>
      </c>
      <c r="Z753">
        <v>5.3E-3</v>
      </c>
      <c r="AA753">
        <v>6.8999999999999999E-3</v>
      </c>
      <c r="AB753">
        <v>1.1200000000000002E-2</v>
      </c>
      <c r="AC753">
        <v>1.3899999999999999E-2</v>
      </c>
    </row>
    <row r="754" spans="17:29" x14ac:dyDescent="0.25">
      <c r="Q754" s="1">
        <v>43958</v>
      </c>
      <c r="R754">
        <v>1E-3</v>
      </c>
      <c r="S754">
        <v>1.1000000000000001E-3</v>
      </c>
      <c r="T754">
        <v>1.1000000000000001E-3</v>
      </c>
      <c r="U754">
        <v>1.4000000000000002E-3</v>
      </c>
      <c r="V754">
        <v>1.5E-3</v>
      </c>
      <c r="W754">
        <v>1.2999999999999999E-3</v>
      </c>
      <c r="X754">
        <v>1.9E-3</v>
      </c>
      <c r="Y754">
        <v>2.8999999999999998E-3</v>
      </c>
      <c r="Z754">
        <v>4.8999999999999998E-3</v>
      </c>
      <c r="AA754">
        <v>6.3E-3</v>
      </c>
      <c r="AB754">
        <v>1.0500000000000001E-2</v>
      </c>
      <c r="AC754">
        <v>1.3100000000000001E-2</v>
      </c>
    </row>
    <row r="755" spans="17:29" x14ac:dyDescent="0.25">
      <c r="Q755" s="1">
        <v>43957</v>
      </c>
      <c r="R755">
        <v>8.0000000000000004E-4</v>
      </c>
      <c r="S755">
        <v>1E-3</v>
      </c>
      <c r="T755">
        <v>1.1999999999999999E-3</v>
      </c>
      <c r="U755">
        <v>1.6000000000000001E-3</v>
      </c>
      <c r="V755">
        <v>1.6000000000000001E-3</v>
      </c>
      <c r="W755">
        <v>1.7000000000000001E-3</v>
      </c>
      <c r="X755">
        <v>2.3999999999999998E-3</v>
      </c>
      <c r="Y755">
        <v>3.7000000000000002E-3</v>
      </c>
      <c r="Z755">
        <v>5.6999999999999993E-3</v>
      </c>
      <c r="AA755">
        <v>7.1999999999999998E-3</v>
      </c>
      <c r="AB755">
        <v>1.1599999999999999E-2</v>
      </c>
      <c r="AC755">
        <v>1.41E-2</v>
      </c>
    </row>
    <row r="756" spans="17:29" x14ac:dyDescent="0.25">
      <c r="Q756" s="1">
        <v>43956</v>
      </c>
      <c r="R756">
        <v>8.9999999999999998E-4</v>
      </c>
      <c r="S756">
        <v>1.1000000000000001E-3</v>
      </c>
      <c r="T756">
        <v>1.2999999999999999E-3</v>
      </c>
      <c r="U756">
        <v>1.5E-3</v>
      </c>
      <c r="V756">
        <v>1.6000000000000001E-3</v>
      </c>
      <c r="W756">
        <v>1.9E-3</v>
      </c>
      <c r="X756">
        <v>2.3999999999999998E-3</v>
      </c>
      <c r="Y756">
        <v>3.5999999999999999E-3</v>
      </c>
      <c r="Z756">
        <v>5.3E-3</v>
      </c>
      <c r="AA756">
        <v>6.6E-3</v>
      </c>
      <c r="AB756">
        <v>1.0700000000000001E-2</v>
      </c>
      <c r="AC756">
        <v>1.32E-2</v>
      </c>
    </row>
    <row r="757" spans="17:29" x14ac:dyDescent="0.25">
      <c r="Q757" s="1">
        <v>43955</v>
      </c>
      <c r="R757">
        <v>1E-3</v>
      </c>
      <c r="S757">
        <v>1E-3</v>
      </c>
      <c r="T757">
        <v>1.2999999999999999E-3</v>
      </c>
      <c r="U757">
        <v>1.4000000000000002E-3</v>
      </c>
      <c r="V757">
        <v>1.6000000000000001E-3</v>
      </c>
      <c r="W757">
        <v>1.9E-3</v>
      </c>
      <c r="X757">
        <v>2.3999999999999998E-3</v>
      </c>
      <c r="Y757">
        <v>3.5999999999999999E-3</v>
      </c>
      <c r="Z757">
        <v>5.1999999999999998E-3</v>
      </c>
      <c r="AA757">
        <v>6.4000000000000003E-3</v>
      </c>
      <c r="AB757">
        <v>1.0500000000000001E-2</v>
      </c>
      <c r="AC757">
        <v>1.29E-2</v>
      </c>
    </row>
    <row r="758" spans="17:29" x14ac:dyDescent="0.25">
      <c r="Q758" s="1">
        <v>43952</v>
      </c>
      <c r="R758">
        <v>1E-3</v>
      </c>
      <c r="S758">
        <v>1.1000000000000001E-3</v>
      </c>
      <c r="T758">
        <v>1.1999999999999999E-3</v>
      </c>
      <c r="U758">
        <v>1.1999999999999999E-3</v>
      </c>
      <c r="V758">
        <v>1.7000000000000001E-3</v>
      </c>
      <c r="W758">
        <v>2E-3</v>
      </c>
      <c r="X758">
        <v>2.5000000000000001E-3</v>
      </c>
      <c r="Y758">
        <v>3.5999999999999999E-3</v>
      </c>
      <c r="Z758">
        <v>5.3E-3</v>
      </c>
      <c r="AA758">
        <v>6.4000000000000003E-3</v>
      </c>
      <c r="AB758">
        <v>1.04E-2</v>
      </c>
      <c r="AC758">
        <v>1.2699999999999999E-2</v>
      </c>
    </row>
    <row r="759" spans="17:29" x14ac:dyDescent="0.25">
      <c r="Q759" s="1">
        <v>43951</v>
      </c>
      <c r="R759">
        <v>1E-3</v>
      </c>
      <c r="S759">
        <v>1E-3</v>
      </c>
      <c r="T759">
        <v>8.9999999999999998E-4</v>
      </c>
      <c r="U759">
        <v>1.1000000000000001E-3</v>
      </c>
      <c r="V759">
        <v>1.6000000000000001E-3</v>
      </c>
      <c r="W759">
        <v>2E-3</v>
      </c>
      <c r="X759">
        <v>2.3999999999999998E-3</v>
      </c>
      <c r="Y759">
        <v>3.5999999999999999E-3</v>
      </c>
      <c r="Z759">
        <v>5.3E-3</v>
      </c>
      <c r="AA759">
        <v>6.4000000000000003E-3</v>
      </c>
      <c r="AB759">
        <v>1.0500000000000001E-2</v>
      </c>
      <c r="AC759">
        <v>1.2800000000000001E-2</v>
      </c>
    </row>
    <row r="760" spans="17:29" x14ac:dyDescent="0.25">
      <c r="Q760" s="1">
        <v>43950</v>
      </c>
      <c r="R760">
        <v>1E-3</v>
      </c>
      <c r="S760">
        <v>8.9999999999999998E-4</v>
      </c>
      <c r="T760">
        <v>1E-3</v>
      </c>
      <c r="U760">
        <v>1.1999999999999999E-3</v>
      </c>
      <c r="V760">
        <v>1.8E-3</v>
      </c>
      <c r="W760">
        <v>2E-3</v>
      </c>
      <c r="X760">
        <v>2.3999999999999998E-3</v>
      </c>
      <c r="Y760">
        <v>3.5999999999999999E-3</v>
      </c>
      <c r="Z760">
        <v>5.1999999999999998E-3</v>
      </c>
      <c r="AA760">
        <v>6.3E-3</v>
      </c>
      <c r="AB760">
        <v>1.0200000000000001E-2</v>
      </c>
      <c r="AC760">
        <v>1.24E-2</v>
      </c>
    </row>
    <row r="761" spans="17:29" x14ac:dyDescent="0.25">
      <c r="Q761" s="1">
        <v>43949</v>
      </c>
      <c r="R761">
        <v>8.0000000000000004E-4</v>
      </c>
      <c r="S761">
        <v>8.9999999999999998E-4</v>
      </c>
      <c r="T761">
        <v>1.1000000000000001E-3</v>
      </c>
      <c r="U761">
        <v>1.2999999999999999E-3</v>
      </c>
      <c r="V761">
        <v>1.6000000000000001E-3</v>
      </c>
      <c r="W761">
        <v>2E-3</v>
      </c>
      <c r="X761">
        <v>2.5999999999999999E-3</v>
      </c>
      <c r="Y761">
        <v>3.7000000000000002E-3</v>
      </c>
      <c r="Z761">
        <v>5.1999999999999998E-3</v>
      </c>
      <c r="AA761">
        <v>6.1999999999999998E-3</v>
      </c>
      <c r="AB761">
        <v>0.01</v>
      </c>
      <c r="AC761">
        <v>1.2E-2</v>
      </c>
    </row>
    <row r="762" spans="17:29" x14ac:dyDescent="0.25">
      <c r="Q762" s="1">
        <v>43948</v>
      </c>
      <c r="R762">
        <v>8.9999999999999998E-4</v>
      </c>
      <c r="S762">
        <v>1.2999999999999999E-3</v>
      </c>
      <c r="T762">
        <v>1.1999999999999999E-3</v>
      </c>
      <c r="U762">
        <v>1.5E-3</v>
      </c>
      <c r="V762">
        <v>1.7000000000000001E-3</v>
      </c>
      <c r="W762">
        <v>2.3999999999999998E-3</v>
      </c>
      <c r="X762">
        <v>2.8999999999999998E-3</v>
      </c>
      <c r="Y762">
        <v>4.0999999999999995E-3</v>
      </c>
      <c r="Z762">
        <v>5.6000000000000008E-3</v>
      </c>
      <c r="AA762">
        <v>6.7000000000000002E-3</v>
      </c>
      <c r="AB762">
        <v>1.06E-2</v>
      </c>
      <c r="AC762">
        <v>1.2500000000000001E-2</v>
      </c>
    </row>
    <row r="763" spans="17:29" x14ac:dyDescent="0.25">
      <c r="Q763" s="1">
        <v>43945</v>
      </c>
      <c r="R763">
        <v>1E-3</v>
      </c>
      <c r="S763">
        <v>1.1000000000000001E-3</v>
      </c>
      <c r="T763">
        <v>1.1999999999999999E-3</v>
      </c>
      <c r="U763">
        <v>1.4000000000000002E-3</v>
      </c>
      <c r="V763">
        <v>1.8E-3</v>
      </c>
      <c r="W763">
        <v>2.2000000000000001E-3</v>
      </c>
      <c r="X763">
        <v>2.5999999999999999E-3</v>
      </c>
      <c r="Y763">
        <v>3.5999999999999999E-3</v>
      </c>
      <c r="Z763">
        <v>5.1000000000000004E-3</v>
      </c>
      <c r="AA763">
        <v>6.0000000000000001E-3</v>
      </c>
      <c r="AB763">
        <v>9.7999999999999997E-3</v>
      </c>
      <c r="AC763">
        <v>1.1699999999999999E-2</v>
      </c>
    </row>
    <row r="764" spans="17:29" x14ac:dyDescent="0.25">
      <c r="Q764" s="1">
        <v>43944</v>
      </c>
      <c r="R764">
        <v>8.9999999999999998E-4</v>
      </c>
      <c r="S764">
        <v>1.1999999999999999E-3</v>
      </c>
      <c r="T764">
        <v>1.1000000000000001E-3</v>
      </c>
      <c r="U764">
        <v>1.4000000000000002E-3</v>
      </c>
      <c r="V764">
        <v>1.7000000000000001E-3</v>
      </c>
      <c r="W764">
        <v>2.2000000000000001E-3</v>
      </c>
      <c r="X764">
        <v>2.5999999999999999E-3</v>
      </c>
      <c r="Y764">
        <v>3.7000000000000002E-3</v>
      </c>
      <c r="Z764">
        <v>5.1000000000000004E-3</v>
      </c>
      <c r="AA764">
        <v>6.0999999999999995E-3</v>
      </c>
      <c r="AB764">
        <v>9.8999999999999991E-3</v>
      </c>
      <c r="AC764">
        <v>1.18E-2</v>
      </c>
    </row>
    <row r="765" spans="17:29" x14ac:dyDescent="0.25">
      <c r="Q765" s="1">
        <v>43943</v>
      </c>
      <c r="R765">
        <v>8.9999999999999998E-4</v>
      </c>
      <c r="S765">
        <v>8.9999999999999998E-4</v>
      </c>
      <c r="T765">
        <v>1.1999999999999999E-3</v>
      </c>
      <c r="U765">
        <v>1.4000000000000002E-3</v>
      </c>
      <c r="V765">
        <v>1.6000000000000001E-3</v>
      </c>
      <c r="W765">
        <v>2.2000000000000001E-3</v>
      </c>
      <c r="X765">
        <v>2.5999999999999999E-3</v>
      </c>
      <c r="Y765">
        <v>3.7000000000000002E-3</v>
      </c>
      <c r="Z765">
        <v>5.1999999999999998E-3</v>
      </c>
      <c r="AA765">
        <v>6.3E-3</v>
      </c>
      <c r="AB765">
        <v>1.03E-2</v>
      </c>
      <c r="AC765">
        <v>1.2199999999999999E-2</v>
      </c>
    </row>
    <row r="766" spans="17:29" x14ac:dyDescent="0.25">
      <c r="Q766" s="1">
        <v>43942</v>
      </c>
      <c r="R766">
        <v>8.0000000000000004E-4</v>
      </c>
      <c r="S766">
        <v>8.0000000000000004E-4</v>
      </c>
      <c r="T766">
        <v>1.1000000000000001E-3</v>
      </c>
      <c r="U766">
        <v>1.4000000000000002E-3</v>
      </c>
      <c r="V766">
        <v>1.7000000000000001E-3</v>
      </c>
      <c r="W766">
        <v>2E-3</v>
      </c>
      <c r="X766">
        <v>2.3999999999999998E-3</v>
      </c>
      <c r="Y766">
        <v>3.4000000000000002E-3</v>
      </c>
      <c r="Z766">
        <v>4.7999999999999996E-3</v>
      </c>
      <c r="AA766">
        <v>5.7999999999999996E-3</v>
      </c>
      <c r="AB766">
        <v>9.7999999999999997E-3</v>
      </c>
      <c r="AC766">
        <v>1.1699999999999999E-2</v>
      </c>
    </row>
    <row r="767" spans="17:29" x14ac:dyDescent="0.25">
      <c r="Q767" s="1">
        <v>43941</v>
      </c>
      <c r="R767">
        <v>1E-3</v>
      </c>
      <c r="S767">
        <v>1E-3</v>
      </c>
      <c r="T767">
        <v>1.1999999999999999E-3</v>
      </c>
      <c r="U767">
        <v>1.5E-3</v>
      </c>
      <c r="V767">
        <v>1.5E-3</v>
      </c>
      <c r="W767">
        <v>2E-3</v>
      </c>
      <c r="X767">
        <v>2.5999999999999999E-3</v>
      </c>
      <c r="Y767">
        <v>3.4999999999999996E-3</v>
      </c>
      <c r="Z767">
        <v>5.1000000000000004E-3</v>
      </c>
      <c r="AA767">
        <v>6.3E-3</v>
      </c>
      <c r="AB767">
        <v>1.04E-2</v>
      </c>
      <c r="AC767">
        <v>1.23E-2</v>
      </c>
    </row>
    <row r="768" spans="17:29" x14ac:dyDescent="0.25">
      <c r="Q768" s="1">
        <v>43938</v>
      </c>
      <c r="R768">
        <v>1.1999999999999999E-3</v>
      </c>
      <c r="S768">
        <v>1.1999999999999999E-3</v>
      </c>
      <c r="T768">
        <v>1.1999999999999999E-3</v>
      </c>
      <c r="U768">
        <v>1.6000000000000001E-3</v>
      </c>
      <c r="V768">
        <v>1.6000000000000001E-3</v>
      </c>
      <c r="W768">
        <v>2E-3</v>
      </c>
      <c r="X768">
        <v>2.5999999999999999E-3</v>
      </c>
      <c r="Y768">
        <v>3.5999999999999999E-3</v>
      </c>
      <c r="Z768">
        <v>5.3E-3</v>
      </c>
      <c r="AA768">
        <v>6.5000000000000006E-3</v>
      </c>
      <c r="AB768">
        <v>1.0800000000000001E-2</v>
      </c>
      <c r="AC768">
        <v>1.2699999999999999E-2</v>
      </c>
    </row>
    <row r="769" spans="17:29" x14ac:dyDescent="0.25">
      <c r="Q769" s="1">
        <v>43937</v>
      </c>
      <c r="R769">
        <v>1.4000000000000002E-3</v>
      </c>
      <c r="S769">
        <v>1.5E-3</v>
      </c>
      <c r="T769">
        <v>1.4000000000000002E-3</v>
      </c>
      <c r="U769">
        <v>1.8E-3</v>
      </c>
      <c r="V769">
        <v>1.7000000000000001E-3</v>
      </c>
      <c r="W769">
        <v>2E-3</v>
      </c>
      <c r="X769">
        <v>2.5000000000000001E-3</v>
      </c>
      <c r="Y769">
        <v>3.4999999999999996E-3</v>
      </c>
      <c r="Z769">
        <v>5.0000000000000001E-3</v>
      </c>
      <c r="AA769">
        <v>6.0999999999999995E-3</v>
      </c>
      <c r="AB769">
        <v>1.01E-2</v>
      </c>
      <c r="AC769">
        <v>1.21E-2</v>
      </c>
    </row>
    <row r="770" spans="17:29" x14ac:dyDescent="0.25">
      <c r="Q770" s="1">
        <v>43936</v>
      </c>
      <c r="R770">
        <v>1.4000000000000002E-3</v>
      </c>
      <c r="S770">
        <v>1.5E-3</v>
      </c>
      <c r="T770">
        <v>1.4000000000000002E-3</v>
      </c>
      <c r="U770">
        <v>1.9E-3</v>
      </c>
      <c r="V770">
        <v>1.9E-3</v>
      </c>
      <c r="W770">
        <v>2E-3</v>
      </c>
      <c r="X770">
        <v>2.3999999999999998E-3</v>
      </c>
      <c r="Y770">
        <v>3.4000000000000002E-3</v>
      </c>
      <c r="Z770">
        <v>4.8999999999999998E-3</v>
      </c>
      <c r="AA770">
        <v>6.3E-3</v>
      </c>
      <c r="AB770">
        <v>1.06E-2</v>
      </c>
      <c r="AC770">
        <v>1.2699999999999999E-2</v>
      </c>
    </row>
    <row r="771" spans="17:29" x14ac:dyDescent="0.25">
      <c r="Q771" s="1">
        <v>43935</v>
      </c>
      <c r="R771">
        <v>1.7000000000000001E-3</v>
      </c>
      <c r="S771">
        <v>1.9E-3</v>
      </c>
      <c r="T771">
        <v>2E-3</v>
      </c>
      <c r="U771">
        <v>2.3999999999999998E-3</v>
      </c>
      <c r="V771">
        <v>2.5000000000000001E-3</v>
      </c>
      <c r="W771">
        <v>2.3E-3</v>
      </c>
      <c r="X771">
        <v>2.8999999999999998E-3</v>
      </c>
      <c r="Y771">
        <v>4.1999999999999997E-3</v>
      </c>
      <c r="Z771">
        <v>6.0999999999999995E-3</v>
      </c>
      <c r="AA771">
        <v>7.6E-3</v>
      </c>
      <c r="AB771">
        <v>1.1899999999999999E-2</v>
      </c>
      <c r="AC771">
        <v>1.41E-2</v>
      </c>
    </row>
    <row r="772" spans="17:29" x14ac:dyDescent="0.25">
      <c r="Q772" s="1">
        <v>43934</v>
      </c>
      <c r="R772">
        <v>1.7000000000000001E-3</v>
      </c>
      <c r="S772">
        <v>2.8999999999999998E-3</v>
      </c>
      <c r="T772">
        <v>2.5999999999999999E-3</v>
      </c>
      <c r="U772">
        <v>2.7000000000000001E-3</v>
      </c>
      <c r="V772">
        <v>2.7000000000000001E-3</v>
      </c>
      <c r="W772">
        <v>2.5000000000000001E-3</v>
      </c>
      <c r="X772">
        <v>3.0999999999999999E-3</v>
      </c>
      <c r="Y772">
        <v>4.4000000000000003E-3</v>
      </c>
      <c r="Z772">
        <v>6.3E-3</v>
      </c>
      <c r="AA772">
        <v>7.6E-3</v>
      </c>
      <c r="AB772">
        <v>1.1899999999999999E-2</v>
      </c>
      <c r="AC772">
        <v>1.3899999999999999E-2</v>
      </c>
    </row>
    <row r="773" spans="17:29" x14ac:dyDescent="0.25">
      <c r="Q773" s="1">
        <v>43930</v>
      </c>
      <c r="R773">
        <v>2E-3</v>
      </c>
      <c r="S773">
        <v>2.7000000000000001E-3</v>
      </c>
      <c r="T773">
        <v>2.5000000000000001E-3</v>
      </c>
      <c r="U773">
        <v>2.3999999999999998E-3</v>
      </c>
      <c r="V773">
        <v>2.5000000000000001E-3</v>
      </c>
      <c r="W773">
        <v>2.3E-3</v>
      </c>
      <c r="X773">
        <v>2.8999999999999998E-3</v>
      </c>
      <c r="Y773">
        <v>4.0999999999999995E-3</v>
      </c>
      <c r="Z773">
        <v>6.0000000000000001E-3</v>
      </c>
      <c r="AA773">
        <v>7.3000000000000001E-3</v>
      </c>
      <c r="AB773">
        <v>1.15E-2</v>
      </c>
      <c r="AC773">
        <v>1.3500000000000002E-2</v>
      </c>
    </row>
    <row r="774" spans="17:29" x14ac:dyDescent="0.25">
      <c r="Q774" s="1">
        <v>43929</v>
      </c>
      <c r="R774">
        <v>1.4000000000000002E-3</v>
      </c>
      <c r="S774">
        <v>1.7000000000000001E-3</v>
      </c>
      <c r="T774">
        <v>2.2000000000000001E-3</v>
      </c>
      <c r="U774">
        <v>2.3999999999999998E-3</v>
      </c>
      <c r="V774">
        <v>2.3E-3</v>
      </c>
      <c r="W774">
        <v>2.7000000000000001E-3</v>
      </c>
      <c r="X774">
        <v>3.4000000000000002E-3</v>
      </c>
      <c r="Y774">
        <v>4.6999999999999993E-3</v>
      </c>
      <c r="Z774">
        <v>6.5000000000000006E-3</v>
      </c>
      <c r="AA774">
        <v>7.7000000000000002E-3</v>
      </c>
      <c r="AB774">
        <v>1.18E-2</v>
      </c>
      <c r="AC774">
        <v>1.37E-2</v>
      </c>
    </row>
    <row r="775" spans="17:29" x14ac:dyDescent="0.25">
      <c r="Q775" s="1">
        <v>43928</v>
      </c>
      <c r="R775">
        <v>1E-3</v>
      </c>
      <c r="S775">
        <v>1.2999999999999999E-3</v>
      </c>
      <c r="T775">
        <v>1.4000000000000002E-3</v>
      </c>
      <c r="U775">
        <v>2E-3</v>
      </c>
      <c r="V775">
        <v>2E-3</v>
      </c>
      <c r="W775">
        <v>2.8000000000000004E-3</v>
      </c>
      <c r="X775">
        <v>3.5999999999999999E-3</v>
      </c>
      <c r="Y775">
        <v>4.7999999999999996E-3</v>
      </c>
      <c r="Z775">
        <v>6.4000000000000003E-3</v>
      </c>
      <c r="AA775">
        <v>7.4999999999999997E-3</v>
      </c>
      <c r="AB775">
        <v>1.1299999999999999E-2</v>
      </c>
      <c r="AC775">
        <v>1.32E-2</v>
      </c>
    </row>
    <row r="776" spans="17:29" x14ac:dyDescent="0.25">
      <c r="Q776" s="1">
        <v>43927</v>
      </c>
      <c r="R776">
        <v>8.9999999999999998E-4</v>
      </c>
      <c r="S776">
        <v>1.2999999999999999E-3</v>
      </c>
      <c r="T776">
        <v>1.5E-3</v>
      </c>
      <c r="U776">
        <v>1.7000000000000001E-3</v>
      </c>
      <c r="V776">
        <v>2E-3</v>
      </c>
      <c r="W776">
        <v>2.7000000000000001E-3</v>
      </c>
      <c r="X776">
        <v>3.4999999999999996E-3</v>
      </c>
      <c r="Y776">
        <v>4.4000000000000003E-3</v>
      </c>
      <c r="Z776">
        <v>5.7999999999999996E-3</v>
      </c>
      <c r="AA776">
        <v>6.7000000000000002E-3</v>
      </c>
      <c r="AB776">
        <v>1.0800000000000001E-2</v>
      </c>
      <c r="AC776">
        <v>1.2699999999999999E-2</v>
      </c>
    </row>
    <row r="777" spans="17:29" x14ac:dyDescent="0.25">
      <c r="Q777" s="1">
        <v>43924</v>
      </c>
      <c r="R777">
        <v>8.9999999999999998E-4</v>
      </c>
      <c r="S777">
        <v>1.1000000000000001E-3</v>
      </c>
      <c r="T777">
        <v>1E-3</v>
      </c>
      <c r="U777">
        <v>1.5E-3</v>
      </c>
      <c r="V777">
        <v>1.5E-3</v>
      </c>
      <c r="W777">
        <v>2.3E-3</v>
      </c>
      <c r="X777">
        <v>3.0000000000000001E-3</v>
      </c>
      <c r="Y777">
        <v>3.9000000000000003E-3</v>
      </c>
      <c r="Z777">
        <v>5.1999999999999998E-3</v>
      </c>
      <c r="AA777">
        <v>6.1999999999999998E-3</v>
      </c>
      <c r="AB777">
        <v>1.0500000000000001E-2</v>
      </c>
      <c r="AC777">
        <v>1.24E-2</v>
      </c>
    </row>
    <row r="778" spans="17:29" x14ac:dyDescent="0.25">
      <c r="Q778" s="1">
        <v>43923</v>
      </c>
      <c r="R778">
        <v>8.9999999999999998E-4</v>
      </c>
      <c r="S778">
        <v>1E-3</v>
      </c>
      <c r="T778">
        <v>8.9999999999999998E-4</v>
      </c>
      <c r="U778">
        <v>1.5E-3</v>
      </c>
      <c r="V778">
        <v>1.4000000000000002E-3</v>
      </c>
      <c r="W778">
        <v>2.3E-3</v>
      </c>
      <c r="X778">
        <v>2.8999999999999998E-3</v>
      </c>
      <c r="Y778">
        <v>3.9000000000000003E-3</v>
      </c>
      <c r="Z778">
        <v>5.3E-3</v>
      </c>
      <c r="AA778">
        <v>6.3E-3</v>
      </c>
      <c r="AB778">
        <v>1.04E-2</v>
      </c>
      <c r="AC778">
        <v>1.26E-2</v>
      </c>
    </row>
    <row r="779" spans="17:29" x14ac:dyDescent="0.25">
      <c r="Q779" s="1">
        <v>43922</v>
      </c>
      <c r="R779">
        <v>2.9999999999999997E-4</v>
      </c>
      <c r="S779">
        <v>7.000000000000001E-4</v>
      </c>
      <c r="T779">
        <v>8.9999999999999998E-4</v>
      </c>
      <c r="U779">
        <v>1.4000000000000002E-3</v>
      </c>
      <c r="V779">
        <v>1.6000000000000001E-3</v>
      </c>
      <c r="W779">
        <v>2.3E-3</v>
      </c>
      <c r="X779">
        <v>2.8000000000000004E-3</v>
      </c>
      <c r="Y779">
        <v>3.7000000000000002E-3</v>
      </c>
      <c r="Z779">
        <v>5.1000000000000004E-3</v>
      </c>
      <c r="AA779">
        <v>6.1999999999999998E-3</v>
      </c>
      <c r="AB779">
        <v>1.04E-2</v>
      </c>
      <c r="AC779">
        <v>1.2699999999999999E-2</v>
      </c>
    </row>
    <row r="780" spans="17:29" x14ac:dyDescent="0.25">
      <c r="Q780" s="1">
        <v>43921</v>
      </c>
      <c r="R780">
        <v>5.0000000000000001E-4</v>
      </c>
      <c r="S780">
        <v>1.1999999999999999E-3</v>
      </c>
      <c r="T780">
        <v>1.1000000000000001E-3</v>
      </c>
      <c r="U780">
        <v>1.5E-3</v>
      </c>
      <c r="V780">
        <v>1.7000000000000001E-3</v>
      </c>
      <c r="W780">
        <v>2.3E-3</v>
      </c>
      <c r="X780">
        <v>2.8999999999999998E-3</v>
      </c>
      <c r="Y780">
        <v>3.7000000000000002E-3</v>
      </c>
      <c r="Z780">
        <v>5.5000000000000005E-3</v>
      </c>
      <c r="AA780">
        <v>6.9999999999999993E-3</v>
      </c>
      <c r="AB780">
        <v>1.15E-2</v>
      </c>
      <c r="AC780">
        <v>1.3500000000000002E-2</v>
      </c>
    </row>
    <row r="781" spans="17:29" x14ac:dyDescent="0.25">
      <c r="Q781" s="1">
        <v>43920</v>
      </c>
      <c r="R781">
        <v>4.0000000000000002E-4</v>
      </c>
      <c r="S781">
        <v>7.000000000000001E-4</v>
      </c>
      <c r="T781">
        <v>1.1999999999999999E-3</v>
      </c>
      <c r="U781">
        <v>1.1999999999999999E-3</v>
      </c>
      <c r="V781">
        <v>1.4000000000000002E-3</v>
      </c>
      <c r="W781">
        <v>2.3E-3</v>
      </c>
      <c r="X781">
        <v>2.8999999999999998E-3</v>
      </c>
      <c r="Y781">
        <v>3.9000000000000003E-3</v>
      </c>
      <c r="Z781">
        <v>5.6999999999999993E-3</v>
      </c>
      <c r="AA781">
        <v>6.9999999999999993E-3</v>
      </c>
      <c r="AB781">
        <v>1.1000000000000001E-2</v>
      </c>
      <c r="AC781">
        <v>1.3100000000000001E-2</v>
      </c>
    </row>
    <row r="782" spans="17:29" x14ac:dyDescent="0.25">
      <c r="Q782" s="1">
        <v>43917</v>
      </c>
      <c r="R782">
        <v>1E-4</v>
      </c>
      <c r="S782">
        <v>2.9999999999999997E-4</v>
      </c>
      <c r="T782">
        <v>2.9999999999999997E-4</v>
      </c>
      <c r="U782">
        <v>2.0000000000000001E-4</v>
      </c>
      <c r="V782">
        <v>1.1000000000000001E-3</v>
      </c>
      <c r="W782">
        <v>2.5000000000000001E-3</v>
      </c>
      <c r="X782">
        <v>3.0000000000000001E-3</v>
      </c>
      <c r="Y782">
        <v>4.0999999999999995E-3</v>
      </c>
      <c r="Z782">
        <v>6.0000000000000001E-3</v>
      </c>
      <c r="AA782">
        <v>7.1999999999999998E-3</v>
      </c>
      <c r="AB782">
        <v>1.09E-2</v>
      </c>
      <c r="AC782">
        <v>1.29E-2</v>
      </c>
    </row>
    <row r="783" spans="17:29" x14ac:dyDescent="0.25">
      <c r="Q783" s="1">
        <v>43916</v>
      </c>
      <c r="R783">
        <v>1E-4</v>
      </c>
      <c r="S783">
        <v>1E-4</v>
      </c>
      <c r="T783">
        <v>0</v>
      </c>
      <c r="U783">
        <v>4.0000000000000002E-4</v>
      </c>
      <c r="V783">
        <v>1.2999999999999999E-3</v>
      </c>
      <c r="W783">
        <v>3.0000000000000001E-3</v>
      </c>
      <c r="X783">
        <v>3.5999999999999999E-3</v>
      </c>
      <c r="Y783">
        <v>5.1000000000000004E-3</v>
      </c>
      <c r="Z783">
        <v>7.1999999999999998E-3</v>
      </c>
      <c r="AA783">
        <v>8.3000000000000001E-3</v>
      </c>
      <c r="AB783">
        <v>1.2E-2</v>
      </c>
      <c r="AC783">
        <v>1.4199999999999999E-2</v>
      </c>
    </row>
    <row r="784" spans="17:29" x14ac:dyDescent="0.25">
      <c r="Q784" s="1">
        <v>43915</v>
      </c>
      <c r="R784">
        <v>0</v>
      </c>
      <c r="S784">
        <v>0</v>
      </c>
      <c r="T784">
        <v>0</v>
      </c>
      <c r="U784">
        <v>7.000000000000001E-4</v>
      </c>
      <c r="V784">
        <v>1.9E-3</v>
      </c>
      <c r="W784">
        <v>3.4000000000000002E-3</v>
      </c>
      <c r="X784">
        <v>4.0999999999999995E-3</v>
      </c>
      <c r="Y784">
        <v>5.6000000000000008E-3</v>
      </c>
      <c r="Z784">
        <v>7.7000000000000002E-3</v>
      </c>
      <c r="AA784">
        <v>8.8000000000000005E-3</v>
      </c>
      <c r="AB784">
        <v>1.23E-2</v>
      </c>
      <c r="AC784">
        <v>1.4499999999999999E-2</v>
      </c>
    </row>
    <row r="785" spans="17:29" x14ac:dyDescent="0.25">
      <c r="Q785" s="1">
        <v>43914</v>
      </c>
      <c r="R785">
        <v>1E-4</v>
      </c>
      <c r="S785">
        <v>1E-4</v>
      </c>
      <c r="T785">
        <v>1E-4</v>
      </c>
      <c r="U785">
        <v>8.9999999999999998E-4</v>
      </c>
      <c r="V785">
        <v>2.5000000000000001E-3</v>
      </c>
      <c r="W785">
        <v>3.8E-3</v>
      </c>
      <c r="X785">
        <v>4.4000000000000003E-3</v>
      </c>
      <c r="Y785">
        <v>5.1999999999999998E-3</v>
      </c>
      <c r="Z785">
        <v>7.4999999999999997E-3</v>
      </c>
      <c r="AA785">
        <v>8.3999999999999995E-3</v>
      </c>
      <c r="AB785">
        <v>1.1899999999999999E-2</v>
      </c>
      <c r="AC785">
        <v>1.3899999999999999E-2</v>
      </c>
    </row>
    <row r="786" spans="17:29" x14ac:dyDescent="0.25">
      <c r="Q786" s="1">
        <v>43913</v>
      </c>
      <c r="R786">
        <v>1E-4</v>
      </c>
      <c r="S786">
        <v>4.0000000000000002E-4</v>
      </c>
      <c r="T786">
        <v>2.0000000000000001E-4</v>
      </c>
      <c r="U786">
        <v>8.0000000000000004E-4</v>
      </c>
      <c r="V786">
        <v>1.7000000000000001E-3</v>
      </c>
      <c r="W786">
        <v>2.8000000000000004E-3</v>
      </c>
      <c r="X786">
        <v>3.0999999999999999E-3</v>
      </c>
      <c r="Y786">
        <v>3.8E-3</v>
      </c>
      <c r="Z786">
        <v>6.3E-3</v>
      </c>
      <c r="AA786">
        <v>7.6E-3</v>
      </c>
      <c r="AB786">
        <v>1.1200000000000002E-2</v>
      </c>
      <c r="AC786">
        <v>1.3300000000000001E-2</v>
      </c>
    </row>
    <row r="787" spans="17:29" x14ac:dyDescent="0.25">
      <c r="Q787" s="1">
        <v>43910</v>
      </c>
      <c r="R787">
        <v>4.0000000000000002E-4</v>
      </c>
      <c r="S787">
        <v>5.0000000000000001E-4</v>
      </c>
      <c r="T787">
        <v>5.0000000000000001E-4</v>
      </c>
      <c r="U787">
        <v>5.0000000000000001E-4</v>
      </c>
      <c r="V787">
        <v>1.5E-3</v>
      </c>
      <c r="W787">
        <v>3.7000000000000002E-3</v>
      </c>
      <c r="X787">
        <v>4.0999999999999995E-3</v>
      </c>
      <c r="Y787">
        <v>5.1999999999999998E-3</v>
      </c>
      <c r="Z787">
        <v>8.199999999999999E-3</v>
      </c>
      <c r="AA787">
        <v>9.1999999999999998E-3</v>
      </c>
      <c r="AB787">
        <v>1.3500000000000002E-2</v>
      </c>
      <c r="AC787">
        <v>1.55E-2</v>
      </c>
    </row>
    <row r="788" spans="17:29" x14ac:dyDescent="0.25">
      <c r="Q788" s="1">
        <v>43909</v>
      </c>
      <c r="R788">
        <v>4.0000000000000002E-4</v>
      </c>
      <c r="S788">
        <v>4.0000000000000002E-4</v>
      </c>
      <c r="T788">
        <v>4.0000000000000002E-4</v>
      </c>
      <c r="U788">
        <v>5.9999999999999995E-4</v>
      </c>
      <c r="V788">
        <v>2E-3</v>
      </c>
      <c r="W788">
        <v>4.4000000000000003E-3</v>
      </c>
      <c r="X788">
        <v>5.3E-3</v>
      </c>
      <c r="Y788">
        <v>6.6E-3</v>
      </c>
      <c r="Z788">
        <v>0.01</v>
      </c>
      <c r="AA788">
        <v>1.1200000000000002E-2</v>
      </c>
      <c r="AB788">
        <v>1.5600000000000001E-2</v>
      </c>
      <c r="AC788">
        <v>1.78E-2</v>
      </c>
    </row>
    <row r="789" spans="17:29" x14ac:dyDescent="0.25">
      <c r="Q789" s="1">
        <v>43908</v>
      </c>
      <c r="R789">
        <v>4.0000000000000002E-4</v>
      </c>
      <c r="S789">
        <v>2.9999999999999997E-4</v>
      </c>
      <c r="T789">
        <v>2.0000000000000001E-4</v>
      </c>
      <c r="U789">
        <v>8.0000000000000004E-4</v>
      </c>
      <c r="V789">
        <v>2.0999999999999999E-3</v>
      </c>
      <c r="W789">
        <v>5.4000000000000003E-3</v>
      </c>
      <c r="X789">
        <v>6.6E-3</v>
      </c>
      <c r="Y789">
        <v>7.9000000000000008E-3</v>
      </c>
      <c r="Z789">
        <v>1.0800000000000001E-2</v>
      </c>
      <c r="AA789">
        <v>1.18E-2</v>
      </c>
      <c r="AB789">
        <v>1.6E-2</v>
      </c>
      <c r="AC789">
        <v>1.77E-2</v>
      </c>
    </row>
    <row r="790" spans="17:29" x14ac:dyDescent="0.25">
      <c r="Q790" s="1">
        <v>43907</v>
      </c>
      <c r="R790">
        <v>1.1999999999999999E-3</v>
      </c>
      <c r="S790">
        <v>1.8E-3</v>
      </c>
      <c r="T790">
        <v>1.9E-3</v>
      </c>
      <c r="U790">
        <v>2.3999999999999998E-3</v>
      </c>
      <c r="V790">
        <v>3.0000000000000001E-3</v>
      </c>
      <c r="W790">
        <v>4.6999999999999993E-3</v>
      </c>
      <c r="X790">
        <v>5.4000000000000003E-3</v>
      </c>
      <c r="Y790">
        <v>6.6E-3</v>
      </c>
      <c r="Z790">
        <v>9.1000000000000004E-3</v>
      </c>
      <c r="AA790">
        <v>1.0200000000000001E-2</v>
      </c>
      <c r="AB790">
        <v>1.4499999999999999E-2</v>
      </c>
      <c r="AC790">
        <v>1.6299999999999999E-2</v>
      </c>
    </row>
    <row r="791" spans="17:29" x14ac:dyDescent="0.25">
      <c r="Q791" s="1">
        <v>43906</v>
      </c>
      <c r="R791">
        <v>2.5000000000000001E-3</v>
      </c>
      <c r="S791">
        <v>2.5000000000000001E-3</v>
      </c>
      <c r="T791">
        <v>2.3999999999999998E-3</v>
      </c>
      <c r="U791">
        <v>2.8999999999999998E-3</v>
      </c>
      <c r="V791">
        <v>2.8999999999999998E-3</v>
      </c>
      <c r="W791">
        <v>3.5999999999999999E-3</v>
      </c>
      <c r="X791">
        <v>4.3E-3</v>
      </c>
      <c r="Y791">
        <v>4.8999999999999998E-3</v>
      </c>
      <c r="Z791">
        <v>6.7000000000000002E-3</v>
      </c>
      <c r="AA791">
        <v>7.3000000000000001E-3</v>
      </c>
      <c r="AB791">
        <v>1.1000000000000001E-2</v>
      </c>
      <c r="AC791">
        <v>1.34E-2</v>
      </c>
    </row>
    <row r="792" spans="17:29" x14ac:dyDescent="0.25">
      <c r="Q792" s="1">
        <v>43903</v>
      </c>
      <c r="R792">
        <v>3.3E-3</v>
      </c>
      <c r="S792">
        <v>3.0000000000000001E-3</v>
      </c>
      <c r="T792">
        <v>2.8000000000000004E-3</v>
      </c>
      <c r="U792">
        <v>3.8E-3</v>
      </c>
      <c r="V792">
        <v>3.8E-3</v>
      </c>
      <c r="W792">
        <v>4.8999999999999998E-3</v>
      </c>
      <c r="X792">
        <v>5.7999999999999996E-3</v>
      </c>
      <c r="Y792">
        <v>6.9999999999999993E-3</v>
      </c>
      <c r="Z792">
        <v>8.8999999999999999E-3</v>
      </c>
      <c r="AA792">
        <v>9.3999999999999986E-3</v>
      </c>
      <c r="AB792">
        <v>1.3100000000000001E-2</v>
      </c>
      <c r="AC792">
        <v>1.5600000000000001E-2</v>
      </c>
    </row>
    <row r="793" spans="17:29" x14ac:dyDescent="0.25">
      <c r="Q793" s="1">
        <v>43902</v>
      </c>
      <c r="R793">
        <v>4.0999999999999995E-3</v>
      </c>
      <c r="S793">
        <v>3.3E-3</v>
      </c>
      <c r="T793">
        <v>3.3E-3</v>
      </c>
      <c r="U793">
        <v>3.7000000000000002E-3</v>
      </c>
      <c r="V793">
        <v>3.9000000000000003E-3</v>
      </c>
      <c r="W793">
        <v>5.0000000000000001E-3</v>
      </c>
      <c r="X793">
        <v>5.7999999999999996E-3</v>
      </c>
      <c r="Y793">
        <v>6.6E-3</v>
      </c>
      <c r="Z793">
        <v>8.199999999999999E-3</v>
      </c>
      <c r="AA793">
        <v>8.8000000000000005E-3</v>
      </c>
      <c r="AB793">
        <v>1.2699999999999999E-2</v>
      </c>
      <c r="AC793">
        <v>1.49E-2</v>
      </c>
    </row>
    <row r="794" spans="17:29" x14ac:dyDescent="0.25">
      <c r="Q794" s="1">
        <v>43901</v>
      </c>
      <c r="R794">
        <v>4.1999999999999997E-3</v>
      </c>
      <c r="S794">
        <v>4.1999999999999997E-3</v>
      </c>
      <c r="T794">
        <v>4.1999999999999997E-3</v>
      </c>
      <c r="U794">
        <v>4.0000000000000001E-3</v>
      </c>
      <c r="V794">
        <v>4.0000000000000001E-3</v>
      </c>
      <c r="W794">
        <v>5.0000000000000001E-3</v>
      </c>
      <c r="X794">
        <v>5.7999999999999996E-3</v>
      </c>
      <c r="Y794">
        <v>6.6E-3</v>
      </c>
      <c r="Z794">
        <v>7.8000000000000005E-3</v>
      </c>
      <c r="AA794">
        <v>8.199999999999999E-3</v>
      </c>
      <c r="AB794">
        <v>1.1299999999999999E-2</v>
      </c>
      <c r="AC794">
        <v>1.3000000000000001E-2</v>
      </c>
    </row>
    <row r="795" spans="17:29" x14ac:dyDescent="0.25">
      <c r="Q795" s="1">
        <v>43900</v>
      </c>
      <c r="R795">
        <v>5.6999999999999993E-3</v>
      </c>
      <c r="S795">
        <v>5.5000000000000005E-3</v>
      </c>
      <c r="T795">
        <v>4.4000000000000003E-3</v>
      </c>
      <c r="U795">
        <v>4.3E-3</v>
      </c>
      <c r="V795">
        <v>4.3E-3</v>
      </c>
      <c r="W795">
        <v>5.0000000000000001E-3</v>
      </c>
      <c r="X795">
        <v>5.7999999999999996E-3</v>
      </c>
      <c r="Y795">
        <v>6.3E-3</v>
      </c>
      <c r="Z795">
        <v>7.3000000000000001E-3</v>
      </c>
      <c r="AA795">
        <v>7.6E-3</v>
      </c>
      <c r="AB795">
        <v>1.1599999999999999E-2</v>
      </c>
      <c r="AC795">
        <v>1.2800000000000001E-2</v>
      </c>
    </row>
    <row r="796" spans="17:29" x14ac:dyDescent="0.25">
      <c r="Q796" s="1">
        <v>43899</v>
      </c>
      <c r="R796">
        <v>5.6999999999999993E-3</v>
      </c>
      <c r="S796">
        <v>5.1999999999999998E-3</v>
      </c>
      <c r="T796">
        <v>3.3E-3</v>
      </c>
      <c r="U796">
        <v>2.7000000000000001E-3</v>
      </c>
      <c r="V796">
        <v>3.0999999999999999E-3</v>
      </c>
      <c r="W796">
        <v>3.8E-3</v>
      </c>
      <c r="X796">
        <v>4.0000000000000001E-3</v>
      </c>
      <c r="Y796">
        <v>4.5999999999999999E-3</v>
      </c>
      <c r="Z796">
        <v>5.6000000000000008E-3</v>
      </c>
      <c r="AA796">
        <v>5.4000000000000003E-3</v>
      </c>
      <c r="AB796">
        <v>8.6999999999999994E-3</v>
      </c>
      <c r="AC796">
        <v>9.8999999999999991E-3</v>
      </c>
    </row>
    <row r="797" spans="17:29" x14ac:dyDescent="0.25">
      <c r="Q797" s="1">
        <v>43896</v>
      </c>
      <c r="R797">
        <v>7.9000000000000008E-3</v>
      </c>
      <c r="S797">
        <v>6.4000000000000003E-3</v>
      </c>
      <c r="T797">
        <v>4.5000000000000005E-3</v>
      </c>
      <c r="U797">
        <v>4.0999999999999995E-3</v>
      </c>
      <c r="V797">
        <v>3.9000000000000003E-3</v>
      </c>
      <c r="W797">
        <v>4.8999999999999998E-3</v>
      </c>
      <c r="X797">
        <v>5.3E-3</v>
      </c>
      <c r="Y797">
        <v>5.7999999999999996E-3</v>
      </c>
      <c r="Z797">
        <v>6.8999999999999999E-3</v>
      </c>
      <c r="AA797">
        <v>7.4000000000000003E-3</v>
      </c>
      <c r="AB797">
        <v>1.09E-2</v>
      </c>
      <c r="AC797">
        <v>1.2500000000000001E-2</v>
      </c>
    </row>
    <row r="798" spans="17:29" x14ac:dyDescent="0.25">
      <c r="Q798" s="1">
        <v>43895</v>
      </c>
      <c r="R798">
        <v>9.1999999999999998E-3</v>
      </c>
      <c r="S798">
        <v>8.3000000000000001E-3</v>
      </c>
      <c r="T798">
        <v>6.1999999999999998E-3</v>
      </c>
      <c r="U798">
        <v>5.3E-3</v>
      </c>
      <c r="V798">
        <v>4.7999999999999996E-3</v>
      </c>
      <c r="W798">
        <v>5.8999999999999999E-3</v>
      </c>
      <c r="X798">
        <v>6.0999999999999995E-3</v>
      </c>
      <c r="Y798">
        <v>6.7000000000000002E-3</v>
      </c>
      <c r="Z798">
        <v>8.1000000000000013E-3</v>
      </c>
      <c r="AA798">
        <v>9.1999999999999998E-3</v>
      </c>
      <c r="AB798">
        <v>1.34E-2</v>
      </c>
      <c r="AC798">
        <v>1.5600000000000001E-2</v>
      </c>
    </row>
    <row r="799" spans="17:29" x14ac:dyDescent="0.25">
      <c r="Q799" s="1">
        <v>43894</v>
      </c>
      <c r="R799">
        <v>0.01</v>
      </c>
      <c r="S799">
        <v>8.6999999999999994E-3</v>
      </c>
      <c r="T799">
        <v>7.1999999999999998E-3</v>
      </c>
      <c r="U799">
        <v>6.8000000000000005E-3</v>
      </c>
      <c r="V799">
        <v>5.8999999999999999E-3</v>
      </c>
      <c r="W799">
        <v>6.7000000000000002E-3</v>
      </c>
      <c r="X799">
        <v>6.8000000000000005E-3</v>
      </c>
      <c r="Y799">
        <v>7.4999999999999997E-3</v>
      </c>
      <c r="Z799">
        <v>9.0000000000000011E-3</v>
      </c>
      <c r="AA799">
        <v>1.0200000000000001E-2</v>
      </c>
      <c r="AB799">
        <v>1.4499999999999999E-2</v>
      </c>
      <c r="AC799">
        <v>1.67E-2</v>
      </c>
    </row>
    <row r="800" spans="17:29" x14ac:dyDescent="0.25">
      <c r="Q800" s="1">
        <v>43893</v>
      </c>
      <c r="R800">
        <v>1.11E-2</v>
      </c>
      <c r="S800">
        <v>1.0500000000000001E-2</v>
      </c>
      <c r="T800">
        <v>9.4999999999999998E-3</v>
      </c>
      <c r="U800">
        <v>8.3000000000000001E-3</v>
      </c>
      <c r="V800">
        <v>7.3000000000000001E-3</v>
      </c>
      <c r="W800">
        <v>7.0999999999999995E-3</v>
      </c>
      <c r="X800">
        <v>7.1999999999999998E-3</v>
      </c>
      <c r="Y800">
        <v>7.7000000000000002E-3</v>
      </c>
      <c r="Z800">
        <v>9.1000000000000004E-3</v>
      </c>
      <c r="AA800">
        <v>1.0200000000000001E-2</v>
      </c>
      <c r="AB800">
        <v>1.44E-2</v>
      </c>
      <c r="AC800">
        <v>1.6399999999999998E-2</v>
      </c>
    </row>
    <row r="801" spans="17:29" x14ac:dyDescent="0.25">
      <c r="Q801" s="1">
        <v>43892</v>
      </c>
      <c r="R801">
        <v>1.41E-2</v>
      </c>
      <c r="S801">
        <v>1.2699999999999999E-2</v>
      </c>
      <c r="T801">
        <v>1.1299999999999999E-2</v>
      </c>
      <c r="U801">
        <v>9.4999999999999998E-3</v>
      </c>
      <c r="V801">
        <v>8.8999999999999999E-3</v>
      </c>
      <c r="W801">
        <v>8.3999999999999995E-3</v>
      </c>
      <c r="X801">
        <v>8.5000000000000006E-3</v>
      </c>
      <c r="Y801">
        <v>8.8000000000000005E-3</v>
      </c>
      <c r="Z801">
        <v>1.01E-2</v>
      </c>
      <c r="AA801">
        <v>1.1000000000000001E-2</v>
      </c>
      <c r="AB801">
        <v>1.46E-2</v>
      </c>
      <c r="AC801">
        <v>1.66E-2</v>
      </c>
    </row>
    <row r="802" spans="17:29" x14ac:dyDescent="0.25">
      <c r="Q802" s="1">
        <v>43889</v>
      </c>
      <c r="R802">
        <v>1.4499999999999999E-2</v>
      </c>
      <c r="S802">
        <v>1.37E-2</v>
      </c>
      <c r="T802">
        <v>1.2699999999999999E-2</v>
      </c>
      <c r="U802">
        <v>1.11E-2</v>
      </c>
      <c r="V802">
        <v>9.7000000000000003E-3</v>
      </c>
      <c r="W802">
        <v>8.6E-3</v>
      </c>
      <c r="X802">
        <v>8.5000000000000006E-3</v>
      </c>
      <c r="Y802">
        <v>8.8999999999999999E-3</v>
      </c>
      <c r="Z802">
        <v>1.03E-2</v>
      </c>
      <c r="AA802">
        <v>1.1299999999999999E-2</v>
      </c>
      <c r="AB802">
        <v>1.46E-2</v>
      </c>
      <c r="AC802">
        <v>1.6500000000000001E-2</v>
      </c>
    </row>
    <row r="803" spans="17:29" x14ac:dyDescent="0.25">
      <c r="Q803" s="1">
        <v>43888</v>
      </c>
      <c r="R803">
        <v>1.5600000000000001E-2</v>
      </c>
      <c r="S803">
        <v>1.5300000000000001E-2</v>
      </c>
      <c r="T803">
        <v>1.4499999999999999E-2</v>
      </c>
      <c r="U803">
        <v>1.3300000000000001E-2</v>
      </c>
      <c r="V803">
        <v>1.18E-2</v>
      </c>
      <c r="W803">
        <v>1.11E-2</v>
      </c>
      <c r="X803">
        <v>1.0800000000000001E-2</v>
      </c>
      <c r="Y803">
        <v>1.11E-2</v>
      </c>
      <c r="Z803">
        <v>1.2199999999999999E-2</v>
      </c>
      <c r="AA803">
        <v>1.3000000000000001E-2</v>
      </c>
      <c r="AB803">
        <v>1.61E-2</v>
      </c>
      <c r="AC803">
        <v>1.7899999999999999E-2</v>
      </c>
    </row>
    <row r="804" spans="17:29" x14ac:dyDescent="0.25">
      <c r="Q804" s="1">
        <v>43887</v>
      </c>
      <c r="R804">
        <v>1.5900000000000001E-2</v>
      </c>
      <c r="S804">
        <v>1.5600000000000001E-2</v>
      </c>
      <c r="T804">
        <v>1.5300000000000001E-2</v>
      </c>
      <c r="U804">
        <v>1.4199999999999999E-2</v>
      </c>
      <c r="V804">
        <v>1.26E-2</v>
      </c>
      <c r="W804">
        <v>1.1599999999999999E-2</v>
      </c>
      <c r="X804">
        <v>1.1399999999999999E-2</v>
      </c>
      <c r="Y804">
        <v>1.1399999999999999E-2</v>
      </c>
      <c r="Z804">
        <v>1.2500000000000001E-2</v>
      </c>
      <c r="AA804">
        <v>1.3300000000000001E-2</v>
      </c>
      <c r="AB804">
        <v>1.6399999999999998E-2</v>
      </c>
      <c r="AC804">
        <v>1.8100000000000002E-2</v>
      </c>
    </row>
    <row r="805" spans="17:29" x14ac:dyDescent="0.25">
      <c r="Q805" s="1">
        <v>43886</v>
      </c>
      <c r="R805">
        <v>1.5900000000000001E-2</v>
      </c>
      <c r="S805">
        <v>1.5800000000000002E-2</v>
      </c>
      <c r="T805">
        <v>1.5300000000000001E-2</v>
      </c>
      <c r="U805">
        <v>1.47E-2</v>
      </c>
      <c r="V805">
        <v>1.3000000000000001E-2</v>
      </c>
      <c r="W805">
        <v>1.2E-2</v>
      </c>
      <c r="X805">
        <v>1.1599999999999999E-2</v>
      </c>
      <c r="Y805">
        <v>1.1599999999999999E-2</v>
      </c>
      <c r="Z805">
        <v>1.2500000000000001E-2</v>
      </c>
      <c r="AA805">
        <v>1.3300000000000001E-2</v>
      </c>
      <c r="AB805">
        <v>1.6299999999999999E-2</v>
      </c>
      <c r="AC805">
        <v>1.8000000000000002E-2</v>
      </c>
    </row>
    <row r="806" spans="17:29" x14ac:dyDescent="0.25">
      <c r="Q806" s="1">
        <v>43885</v>
      </c>
      <c r="R806">
        <v>1.6E-2</v>
      </c>
      <c r="S806">
        <v>1.5900000000000001E-2</v>
      </c>
      <c r="T806">
        <v>1.5300000000000001E-2</v>
      </c>
      <c r="U806">
        <v>1.49E-2</v>
      </c>
      <c r="V806">
        <v>1.3500000000000002E-2</v>
      </c>
      <c r="W806">
        <v>1.26E-2</v>
      </c>
      <c r="X806">
        <v>1.21E-2</v>
      </c>
      <c r="Y806">
        <v>1.21E-2</v>
      </c>
      <c r="Z806">
        <v>1.3000000000000001E-2</v>
      </c>
      <c r="AA806">
        <v>1.38E-2</v>
      </c>
      <c r="AB806">
        <v>1.6799999999999999E-2</v>
      </c>
      <c r="AC806">
        <v>1.84E-2</v>
      </c>
    </row>
    <row r="807" spans="17:29" x14ac:dyDescent="0.25">
      <c r="Q807" s="1">
        <v>43882</v>
      </c>
      <c r="R807">
        <v>1.6E-2</v>
      </c>
      <c r="S807">
        <v>1.6E-2</v>
      </c>
      <c r="T807">
        <v>1.5600000000000001E-2</v>
      </c>
      <c r="U807">
        <v>1.5300000000000001E-2</v>
      </c>
      <c r="V807">
        <v>1.43E-2</v>
      </c>
      <c r="W807">
        <v>1.34E-2</v>
      </c>
      <c r="X807">
        <v>1.3000000000000001E-2</v>
      </c>
      <c r="Y807">
        <v>1.3000000000000001E-2</v>
      </c>
      <c r="Z807">
        <v>1.3899999999999999E-2</v>
      </c>
      <c r="AA807">
        <v>1.46E-2</v>
      </c>
      <c r="AB807">
        <v>1.7500000000000002E-2</v>
      </c>
      <c r="AC807">
        <v>1.9E-2</v>
      </c>
    </row>
    <row r="808" spans="17:29" x14ac:dyDescent="0.25">
      <c r="Q808" s="1">
        <v>43881</v>
      </c>
      <c r="R808">
        <v>1.61E-2</v>
      </c>
      <c r="S808">
        <v>1.6E-2</v>
      </c>
      <c r="T808">
        <v>1.5800000000000002E-2</v>
      </c>
      <c r="U808">
        <v>1.55E-2</v>
      </c>
      <c r="V808">
        <v>1.46E-2</v>
      </c>
      <c r="W808">
        <v>1.3899999999999999E-2</v>
      </c>
      <c r="X808">
        <v>1.3500000000000002E-2</v>
      </c>
      <c r="Y808">
        <v>1.37E-2</v>
      </c>
      <c r="Z808">
        <v>1.4499999999999999E-2</v>
      </c>
      <c r="AA808">
        <v>1.52E-2</v>
      </c>
      <c r="AB808">
        <v>1.8100000000000002E-2</v>
      </c>
      <c r="AC808">
        <v>1.9699999999999999E-2</v>
      </c>
    </row>
    <row r="809" spans="17:29" x14ac:dyDescent="0.25">
      <c r="Q809" s="1">
        <v>43880</v>
      </c>
      <c r="R809">
        <v>1.61E-2</v>
      </c>
      <c r="S809">
        <v>1.61E-2</v>
      </c>
      <c r="T809">
        <v>1.5800000000000002E-2</v>
      </c>
      <c r="U809">
        <v>1.5600000000000001E-2</v>
      </c>
      <c r="V809">
        <v>1.47E-2</v>
      </c>
      <c r="W809">
        <v>1.4199999999999999E-2</v>
      </c>
      <c r="X809">
        <v>1.3899999999999999E-2</v>
      </c>
      <c r="Y809">
        <v>1.41E-2</v>
      </c>
      <c r="Z809">
        <v>1.4999999999999999E-2</v>
      </c>
      <c r="AA809">
        <v>1.5600000000000001E-2</v>
      </c>
      <c r="AB809">
        <v>1.8600000000000002E-2</v>
      </c>
      <c r="AC809">
        <v>2.0099999999999996E-2</v>
      </c>
    </row>
    <row r="810" spans="17:29" x14ac:dyDescent="0.25">
      <c r="Q810" s="1">
        <v>43879</v>
      </c>
      <c r="R810">
        <v>1.61E-2</v>
      </c>
      <c r="S810">
        <v>1.6E-2</v>
      </c>
      <c r="T810">
        <v>1.5800000000000002E-2</v>
      </c>
      <c r="U810">
        <v>1.5600000000000001E-2</v>
      </c>
      <c r="V810">
        <v>1.47E-2</v>
      </c>
      <c r="W810">
        <v>1.41E-2</v>
      </c>
      <c r="X810">
        <v>1.37E-2</v>
      </c>
      <c r="Y810">
        <v>1.3899999999999999E-2</v>
      </c>
      <c r="Z810">
        <v>1.4800000000000001E-2</v>
      </c>
      <c r="AA810">
        <v>1.55E-2</v>
      </c>
      <c r="AB810">
        <v>1.8500000000000003E-2</v>
      </c>
      <c r="AC810">
        <v>0.02</v>
      </c>
    </row>
    <row r="811" spans="17:29" x14ac:dyDescent="0.25">
      <c r="Q811" s="1">
        <v>43875</v>
      </c>
      <c r="R811">
        <v>1.6E-2</v>
      </c>
      <c r="S811">
        <v>1.6E-2</v>
      </c>
      <c r="T811">
        <v>1.5800000000000002E-2</v>
      </c>
      <c r="U811">
        <v>1.5600000000000001E-2</v>
      </c>
      <c r="V811">
        <v>1.49E-2</v>
      </c>
      <c r="W811">
        <v>1.4199999999999999E-2</v>
      </c>
      <c r="X811">
        <v>1.3999999999999999E-2</v>
      </c>
      <c r="Y811">
        <v>1.4199999999999999E-2</v>
      </c>
      <c r="Z811">
        <v>1.5100000000000001E-2</v>
      </c>
      <c r="AA811">
        <v>1.5900000000000001E-2</v>
      </c>
      <c r="AB811">
        <v>1.89E-2</v>
      </c>
      <c r="AC811">
        <v>2.0400000000000001E-2</v>
      </c>
    </row>
    <row r="812" spans="17:29" x14ac:dyDescent="0.25">
      <c r="Q812" s="1">
        <v>43874</v>
      </c>
      <c r="R812">
        <v>1.5900000000000001E-2</v>
      </c>
      <c r="S812">
        <v>1.5900000000000001E-2</v>
      </c>
      <c r="T812">
        <v>1.5900000000000001E-2</v>
      </c>
      <c r="U812">
        <v>1.5600000000000001E-2</v>
      </c>
      <c r="V812">
        <v>1.4800000000000001E-2</v>
      </c>
      <c r="W812">
        <v>1.44E-2</v>
      </c>
      <c r="X812">
        <v>1.4199999999999999E-2</v>
      </c>
      <c r="Y812">
        <v>1.43E-2</v>
      </c>
      <c r="Z812">
        <v>1.5300000000000001E-2</v>
      </c>
      <c r="AA812">
        <v>1.61E-2</v>
      </c>
      <c r="AB812">
        <v>1.9099999999999999E-2</v>
      </c>
      <c r="AC812">
        <v>2.07E-2</v>
      </c>
    </row>
    <row r="813" spans="17:29" x14ac:dyDescent="0.25">
      <c r="Q813" s="1">
        <v>43873</v>
      </c>
      <c r="R813">
        <v>1.5700000000000002E-2</v>
      </c>
      <c r="S813">
        <v>1.5900000000000001E-2</v>
      </c>
      <c r="T813">
        <v>1.5800000000000002E-2</v>
      </c>
      <c r="U813">
        <v>1.5600000000000001E-2</v>
      </c>
      <c r="V813">
        <v>1.49E-2</v>
      </c>
      <c r="W813">
        <v>1.44E-2</v>
      </c>
      <c r="X813">
        <v>1.4199999999999999E-2</v>
      </c>
      <c r="Y813">
        <v>1.4499999999999999E-2</v>
      </c>
      <c r="Z813">
        <v>1.55E-2</v>
      </c>
      <c r="AA813">
        <v>1.6200000000000003E-2</v>
      </c>
      <c r="AB813">
        <v>1.9299999999999998E-2</v>
      </c>
      <c r="AC813">
        <v>2.0899999999999998E-2</v>
      </c>
    </row>
    <row r="814" spans="17:29" x14ac:dyDescent="0.25">
      <c r="Q814" s="1">
        <v>43872</v>
      </c>
      <c r="R814">
        <v>1.5700000000000002E-2</v>
      </c>
      <c r="S814">
        <v>1.5800000000000002E-2</v>
      </c>
      <c r="T814">
        <v>1.5700000000000002E-2</v>
      </c>
      <c r="U814">
        <v>1.55E-2</v>
      </c>
      <c r="V814">
        <v>1.4800000000000001E-2</v>
      </c>
      <c r="W814">
        <v>1.41E-2</v>
      </c>
      <c r="X814">
        <v>1.3899999999999999E-2</v>
      </c>
      <c r="Y814">
        <v>1.3999999999999999E-2</v>
      </c>
      <c r="Z814">
        <v>1.4999999999999999E-2</v>
      </c>
      <c r="AA814">
        <v>1.5900000000000001E-2</v>
      </c>
      <c r="AB814">
        <v>1.89E-2</v>
      </c>
      <c r="AC814">
        <v>2.0499999999999997E-2</v>
      </c>
    </row>
    <row r="815" spans="17:29" x14ac:dyDescent="0.25">
      <c r="Q815" s="1">
        <v>43871</v>
      </c>
      <c r="R815">
        <v>1.5800000000000002E-2</v>
      </c>
      <c r="S815">
        <v>1.5800000000000002E-2</v>
      </c>
      <c r="T815">
        <v>1.5800000000000002E-2</v>
      </c>
      <c r="U815">
        <v>1.5800000000000002E-2</v>
      </c>
      <c r="V815">
        <v>1.4499999999999999E-2</v>
      </c>
      <c r="W815">
        <v>1.37E-2</v>
      </c>
      <c r="X815">
        <v>1.3600000000000001E-2</v>
      </c>
      <c r="Y815">
        <v>1.38E-2</v>
      </c>
      <c r="Z815">
        <v>1.47E-2</v>
      </c>
      <c r="AA815">
        <v>1.5600000000000001E-2</v>
      </c>
      <c r="AB815">
        <v>1.8700000000000001E-2</v>
      </c>
      <c r="AC815">
        <v>2.0299999999999999E-2</v>
      </c>
    </row>
    <row r="816" spans="17:29" x14ac:dyDescent="0.25">
      <c r="Q816" s="1">
        <v>43868</v>
      </c>
      <c r="R816">
        <v>1.5700000000000002E-2</v>
      </c>
      <c r="S816">
        <v>1.5800000000000002E-2</v>
      </c>
      <c r="T816">
        <v>1.5600000000000001E-2</v>
      </c>
      <c r="U816">
        <v>1.5700000000000002E-2</v>
      </c>
      <c r="V816">
        <v>1.49E-2</v>
      </c>
      <c r="W816">
        <v>1.41E-2</v>
      </c>
      <c r="X816">
        <v>1.3899999999999999E-2</v>
      </c>
      <c r="Y816">
        <v>1.41E-2</v>
      </c>
      <c r="Z816">
        <v>1.5100000000000001E-2</v>
      </c>
      <c r="AA816">
        <v>1.5900000000000001E-2</v>
      </c>
      <c r="AB816">
        <v>1.89E-2</v>
      </c>
      <c r="AC816">
        <v>2.0499999999999997E-2</v>
      </c>
    </row>
    <row r="817" spans="17:29" x14ac:dyDescent="0.25">
      <c r="Q817" s="1">
        <v>43867</v>
      </c>
      <c r="R817">
        <v>1.5900000000000001E-2</v>
      </c>
      <c r="S817">
        <v>1.5900000000000001E-2</v>
      </c>
      <c r="T817">
        <v>1.5700000000000002E-2</v>
      </c>
      <c r="U817">
        <v>1.5800000000000002E-2</v>
      </c>
      <c r="V817">
        <v>1.5100000000000001E-2</v>
      </c>
      <c r="W817">
        <v>1.44E-2</v>
      </c>
      <c r="X817">
        <v>1.43E-2</v>
      </c>
      <c r="Y817">
        <v>1.4499999999999999E-2</v>
      </c>
      <c r="Z817">
        <v>1.5600000000000001E-2</v>
      </c>
      <c r="AA817">
        <v>1.6500000000000001E-2</v>
      </c>
      <c r="AB817">
        <v>1.9400000000000001E-2</v>
      </c>
      <c r="AC817">
        <v>2.1099999999999997E-2</v>
      </c>
    </row>
    <row r="818" spans="17:29" x14ac:dyDescent="0.25">
      <c r="Q818" s="1">
        <v>43866</v>
      </c>
      <c r="R818">
        <v>1.55E-2</v>
      </c>
      <c r="S818">
        <v>1.5600000000000001E-2</v>
      </c>
      <c r="T818">
        <v>1.5700000000000002E-2</v>
      </c>
      <c r="U818">
        <v>1.5700000000000002E-2</v>
      </c>
      <c r="V818">
        <v>1.49E-2</v>
      </c>
      <c r="W818">
        <v>1.44E-2</v>
      </c>
      <c r="X818">
        <v>1.43E-2</v>
      </c>
      <c r="Y818">
        <v>1.46E-2</v>
      </c>
      <c r="Z818">
        <v>1.5700000000000002E-2</v>
      </c>
      <c r="AA818">
        <v>1.66E-2</v>
      </c>
      <c r="AB818">
        <v>1.9699999999999999E-2</v>
      </c>
      <c r="AC818">
        <v>2.1400000000000002E-2</v>
      </c>
    </row>
    <row r="819" spans="17:29" x14ac:dyDescent="0.25">
      <c r="Q819" s="1">
        <v>43865</v>
      </c>
      <c r="R819">
        <v>1.55E-2</v>
      </c>
      <c r="S819">
        <v>1.5700000000000002E-2</v>
      </c>
      <c r="T819">
        <v>1.5700000000000002E-2</v>
      </c>
      <c r="U819">
        <v>1.5700000000000002E-2</v>
      </c>
      <c r="V819">
        <v>1.4800000000000001E-2</v>
      </c>
      <c r="W819">
        <v>1.41E-2</v>
      </c>
      <c r="X819">
        <v>1.3999999999999999E-2</v>
      </c>
      <c r="Y819">
        <v>1.4199999999999999E-2</v>
      </c>
      <c r="Z819">
        <v>1.52E-2</v>
      </c>
      <c r="AA819">
        <v>1.61E-2</v>
      </c>
      <c r="AB819">
        <v>1.9099999999999999E-2</v>
      </c>
      <c r="AC819">
        <v>2.0799999999999999E-2</v>
      </c>
    </row>
    <row r="820" spans="17:29" x14ac:dyDescent="0.25">
      <c r="Q820" s="1">
        <v>43864</v>
      </c>
      <c r="R820">
        <v>1.5600000000000001E-2</v>
      </c>
      <c r="S820">
        <v>1.5700000000000002E-2</v>
      </c>
      <c r="T820">
        <v>1.5700000000000002E-2</v>
      </c>
      <c r="U820">
        <v>1.5600000000000001E-2</v>
      </c>
      <c r="V820">
        <v>1.46E-2</v>
      </c>
      <c r="W820">
        <v>1.3600000000000001E-2</v>
      </c>
      <c r="X820">
        <v>1.34E-2</v>
      </c>
      <c r="Y820">
        <v>1.3500000000000002E-2</v>
      </c>
      <c r="Z820">
        <v>1.4499999999999999E-2</v>
      </c>
      <c r="AA820">
        <v>1.54E-2</v>
      </c>
      <c r="AB820">
        <v>1.84E-2</v>
      </c>
      <c r="AC820">
        <v>2.0099999999999996E-2</v>
      </c>
    </row>
    <row r="821" spans="17:29" x14ac:dyDescent="0.25">
      <c r="Q821" s="1">
        <v>43861</v>
      </c>
      <c r="R821">
        <v>1.5600000000000001E-2</v>
      </c>
      <c r="S821">
        <v>1.5700000000000002E-2</v>
      </c>
      <c r="T821">
        <v>1.55E-2</v>
      </c>
      <c r="U821">
        <v>1.54E-2</v>
      </c>
      <c r="V821">
        <v>1.4499999999999999E-2</v>
      </c>
      <c r="W821">
        <v>1.3300000000000001E-2</v>
      </c>
      <c r="X821">
        <v>1.3000000000000001E-2</v>
      </c>
      <c r="Y821">
        <v>1.32E-2</v>
      </c>
      <c r="Z821">
        <v>1.4199999999999999E-2</v>
      </c>
      <c r="AA821">
        <v>1.5100000000000001E-2</v>
      </c>
      <c r="AB821">
        <v>1.83E-2</v>
      </c>
      <c r="AC821">
        <v>1.9900000000000001E-2</v>
      </c>
    </row>
    <row r="822" spans="17:29" x14ac:dyDescent="0.25">
      <c r="Q822" s="1">
        <v>43860</v>
      </c>
      <c r="R822">
        <v>1.5900000000000001E-2</v>
      </c>
      <c r="S822">
        <v>1.5800000000000002E-2</v>
      </c>
      <c r="T822">
        <v>1.5700000000000002E-2</v>
      </c>
      <c r="U822">
        <v>1.5700000000000002E-2</v>
      </c>
      <c r="V822">
        <v>1.4800000000000001E-2</v>
      </c>
      <c r="W822">
        <v>1.41E-2</v>
      </c>
      <c r="X822">
        <v>1.37E-2</v>
      </c>
      <c r="Y822">
        <v>1.3899999999999999E-2</v>
      </c>
      <c r="Z822">
        <v>1.49E-2</v>
      </c>
      <c r="AA822">
        <v>1.5700000000000002E-2</v>
      </c>
      <c r="AB822">
        <v>1.8799999999999997E-2</v>
      </c>
      <c r="AC822">
        <v>2.0400000000000001E-2</v>
      </c>
    </row>
    <row r="823" spans="17:29" x14ac:dyDescent="0.25">
      <c r="Q823" s="1">
        <v>43859</v>
      </c>
      <c r="R823">
        <v>1.52E-2</v>
      </c>
      <c r="S823">
        <v>1.55E-2</v>
      </c>
      <c r="T823">
        <v>1.5600000000000001E-2</v>
      </c>
      <c r="U823">
        <v>1.5700000000000002E-2</v>
      </c>
      <c r="V823">
        <v>1.5100000000000001E-2</v>
      </c>
      <c r="W823">
        <v>1.4199999999999999E-2</v>
      </c>
      <c r="X823">
        <v>1.3899999999999999E-2</v>
      </c>
      <c r="Y823">
        <v>1.41E-2</v>
      </c>
      <c r="Z823">
        <v>1.5100000000000001E-2</v>
      </c>
      <c r="AA823">
        <v>1.6E-2</v>
      </c>
      <c r="AB823">
        <v>1.89E-2</v>
      </c>
      <c r="AC823">
        <v>2.0499999999999997E-2</v>
      </c>
    </row>
    <row r="824" spans="17:29" x14ac:dyDescent="0.25">
      <c r="Q824" s="1">
        <v>43858</v>
      </c>
      <c r="R824">
        <v>1.5300000000000001E-2</v>
      </c>
      <c r="S824">
        <v>1.5700000000000002E-2</v>
      </c>
      <c r="T824">
        <v>1.5700000000000002E-2</v>
      </c>
      <c r="U824">
        <v>1.5800000000000002E-2</v>
      </c>
      <c r="V824">
        <v>1.5300000000000001E-2</v>
      </c>
      <c r="W824">
        <v>1.4499999999999999E-2</v>
      </c>
      <c r="X824">
        <v>1.4499999999999999E-2</v>
      </c>
      <c r="Y824">
        <v>1.47E-2</v>
      </c>
      <c r="Z824">
        <v>1.5600000000000001E-2</v>
      </c>
      <c r="AA824">
        <v>1.6500000000000001E-2</v>
      </c>
      <c r="AB824">
        <v>1.95E-2</v>
      </c>
      <c r="AC824">
        <v>2.1000000000000001E-2</v>
      </c>
    </row>
    <row r="825" spans="17:29" x14ac:dyDescent="0.25">
      <c r="Q825" s="1">
        <v>43857</v>
      </c>
      <c r="R825">
        <v>1.5300000000000001E-2</v>
      </c>
      <c r="S825">
        <v>1.55E-2</v>
      </c>
      <c r="T825">
        <v>1.55E-2</v>
      </c>
      <c r="U825">
        <v>1.5700000000000002E-2</v>
      </c>
      <c r="V825">
        <v>1.5300000000000001E-2</v>
      </c>
      <c r="W825">
        <v>1.44E-2</v>
      </c>
      <c r="X825">
        <v>1.41E-2</v>
      </c>
      <c r="Y825">
        <v>1.44E-2</v>
      </c>
      <c r="Z825">
        <v>1.52E-2</v>
      </c>
      <c r="AA825">
        <v>1.61E-2</v>
      </c>
      <c r="AB825">
        <v>1.9099999999999999E-2</v>
      </c>
      <c r="AC825">
        <v>2.0499999999999997E-2</v>
      </c>
    </row>
    <row r="826" spans="17:29" x14ac:dyDescent="0.25">
      <c r="Q826" s="1">
        <v>43854</v>
      </c>
      <c r="R826">
        <v>1.54E-2</v>
      </c>
      <c r="S826">
        <v>1.55E-2</v>
      </c>
      <c r="T826">
        <v>1.54E-2</v>
      </c>
      <c r="U826">
        <v>1.55E-2</v>
      </c>
      <c r="V826">
        <v>1.55E-2</v>
      </c>
      <c r="W826">
        <v>1.49E-2</v>
      </c>
      <c r="X826">
        <v>1.4800000000000001E-2</v>
      </c>
      <c r="Y826">
        <v>1.5100000000000001E-2</v>
      </c>
      <c r="Z826">
        <v>1.61E-2</v>
      </c>
      <c r="AA826">
        <v>1.7000000000000001E-2</v>
      </c>
      <c r="AB826">
        <v>0.02</v>
      </c>
      <c r="AC826">
        <v>2.1400000000000002E-2</v>
      </c>
    </row>
    <row r="827" spans="17:29" x14ac:dyDescent="0.25">
      <c r="Q827" s="1">
        <v>43853</v>
      </c>
      <c r="R827">
        <v>1.55E-2</v>
      </c>
      <c r="S827">
        <v>1.5700000000000002E-2</v>
      </c>
      <c r="T827">
        <v>1.55E-2</v>
      </c>
      <c r="U827">
        <v>1.5600000000000001E-2</v>
      </c>
      <c r="V827">
        <v>1.55E-2</v>
      </c>
      <c r="W827">
        <v>1.5100000000000001E-2</v>
      </c>
      <c r="X827">
        <v>1.5100000000000001E-2</v>
      </c>
      <c r="Y827">
        <v>1.55E-2</v>
      </c>
      <c r="Z827">
        <v>1.6500000000000001E-2</v>
      </c>
      <c r="AA827">
        <v>1.7399999999999999E-2</v>
      </c>
      <c r="AB827">
        <v>2.0299999999999999E-2</v>
      </c>
      <c r="AC827">
        <v>2.18E-2</v>
      </c>
    </row>
    <row r="828" spans="17:29" x14ac:dyDescent="0.25">
      <c r="Q828" s="1">
        <v>43852</v>
      </c>
      <c r="R828">
        <v>1.52E-2</v>
      </c>
      <c r="S828">
        <v>1.5300000000000001E-2</v>
      </c>
      <c r="T828">
        <v>1.55E-2</v>
      </c>
      <c r="U828">
        <v>1.5600000000000001E-2</v>
      </c>
      <c r="V828">
        <v>1.55E-2</v>
      </c>
      <c r="W828">
        <v>1.5300000000000001E-2</v>
      </c>
      <c r="X828">
        <v>1.52E-2</v>
      </c>
      <c r="Y828">
        <v>1.5700000000000002E-2</v>
      </c>
      <c r="Z828">
        <v>1.6799999999999999E-2</v>
      </c>
      <c r="AA828">
        <v>1.77E-2</v>
      </c>
      <c r="AB828">
        <v>2.07E-2</v>
      </c>
      <c r="AC828">
        <v>2.2200000000000001E-2</v>
      </c>
    </row>
    <row r="829" spans="17:29" x14ac:dyDescent="0.25">
      <c r="Q829" s="1">
        <v>43851</v>
      </c>
      <c r="R829">
        <v>1.52E-2</v>
      </c>
      <c r="S829">
        <v>1.54E-2</v>
      </c>
      <c r="T829">
        <v>1.5600000000000001E-2</v>
      </c>
      <c r="U829">
        <v>1.5700000000000002E-2</v>
      </c>
      <c r="V829">
        <v>1.54E-2</v>
      </c>
      <c r="W829">
        <v>1.5300000000000001E-2</v>
      </c>
      <c r="X829">
        <v>1.5300000000000001E-2</v>
      </c>
      <c r="Y829">
        <v>1.5700000000000002E-2</v>
      </c>
      <c r="Z829">
        <v>1.6899999999999998E-2</v>
      </c>
      <c r="AA829">
        <v>1.78E-2</v>
      </c>
      <c r="AB829">
        <v>2.1000000000000001E-2</v>
      </c>
      <c r="AC829">
        <v>2.23E-2</v>
      </c>
    </row>
    <row r="830" spans="17:29" x14ac:dyDescent="0.25">
      <c r="Q830" s="1">
        <v>43847</v>
      </c>
      <c r="R830">
        <v>1.54E-2</v>
      </c>
      <c r="S830">
        <v>1.5600000000000001E-2</v>
      </c>
      <c r="T830">
        <v>1.5600000000000001E-2</v>
      </c>
      <c r="U830">
        <v>1.5700000000000002E-2</v>
      </c>
      <c r="V830">
        <v>1.5600000000000001E-2</v>
      </c>
      <c r="W830">
        <v>1.5800000000000002E-2</v>
      </c>
      <c r="X830">
        <v>1.5600000000000001E-2</v>
      </c>
      <c r="Y830">
        <v>1.6299999999999999E-2</v>
      </c>
      <c r="Z830">
        <v>1.7399999999999999E-2</v>
      </c>
      <c r="AA830">
        <v>1.84E-2</v>
      </c>
      <c r="AB830">
        <v>2.1600000000000001E-2</v>
      </c>
      <c r="AC830">
        <v>2.29E-2</v>
      </c>
    </row>
    <row r="831" spans="17:29" x14ac:dyDescent="0.25">
      <c r="Q831" s="1">
        <v>43846</v>
      </c>
      <c r="R831">
        <v>1.54E-2</v>
      </c>
      <c r="S831">
        <v>1.5600000000000001E-2</v>
      </c>
      <c r="T831">
        <v>1.55E-2</v>
      </c>
      <c r="U831">
        <v>1.5600000000000001E-2</v>
      </c>
      <c r="V831">
        <v>1.54E-2</v>
      </c>
      <c r="W831">
        <v>1.5800000000000002E-2</v>
      </c>
      <c r="X831">
        <v>1.5800000000000002E-2</v>
      </c>
      <c r="Y831">
        <v>1.6299999999999999E-2</v>
      </c>
      <c r="Z831">
        <v>1.7299999999999999E-2</v>
      </c>
      <c r="AA831">
        <v>1.8100000000000002E-2</v>
      </c>
      <c r="AB831">
        <v>2.1099999999999997E-2</v>
      </c>
      <c r="AC831">
        <v>2.2599999999999999E-2</v>
      </c>
    </row>
    <row r="832" spans="17:29" x14ac:dyDescent="0.25">
      <c r="Q832" s="1">
        <v>43845</v>
      </c>
      <c r="R832">
        <v>1.5300000000000001E-2</v>
      </c>
      <c r="S832">
        <v>1.5600000000000001E-2</v>
      </c>
      <c r="T832">
        <v>1.5700000000000002E-2</v>
      </c>
      <c r="U832">
        <v>1.5800000000000002E-2</v>
      </c>
      <c r="V832">
        <v>1.54E-2</v>
      </c>
      <c r="W832">
        <v>1.5600000000000001E-2</v>
      </c>
      <c r="X832">
        <v>1.5600000000000001E-2</v>
      </c>
      <c r="Y832">
        <v>1.6E-2</v>
      </c>
      <c r="Z832">
        <v>1.7100000000000001E-2</v>
      </c>
      <c r="AA832">
        <v>1.7899999999999999E-2</v>
      </c>
      <c r="AB832">
        <v>2.0899999999999998E-2</v>
      </c>
      <c r="AC832">
        <v>2.23E-2</v>
      </c>
    </row>
    <row r="833" spans="17:29" x14ac:dyDescent="0.25">
      <c r="Q833" s="1">
        <v>43844</v>
      </c>
      <c r="R833">
        <v>1.5300000000000001E-2</v>
      </c>
      <c r="S833">
        <v>1.5600000000000001E-2</v>
      </c>
      <c r="T833">
        <v>1.5700000000000002E-2</v>
      </c>
      <c r="U833">
        <v>1.5700000000000002E-2</v>
      </c>
      <c r="V833">
        <v>1.5300000000000001E-2</v>
      </c>
      <c r="W833">
        <v>1.5800000000000002E-2</v>
      </c>
      <c r="X833">
        <v>1.5900000000000001E-2</v>
      </c>
      <c r="Y833">
        <v>1.6299999999999999E-2</v>
      </c>
      <c r="Z833">
        <v>1.7399999999999999E-2</v>
      </c>
      <c r="AA833">
        <v>1.8200000000000001E-2</v>
      </c>
      <c r="AB833">
        <v>2.12E-2</v>
      </c>
      <c r="AC833">
        <v>2.2700000000000001E-2</v>
      </c>
    </row>
    <row r="834" spans="17:29" x14ac:dyDescent="0.25">
      <c r="Q834" s="1">
        <v>43843</v>
      </c>
      <c r="R834">
        <v>1.54E-2</v>
      </c>
      <c r="S834">
        <v>1.5600000000000001E-2</v>
      </c>
      <c r="T834">
        <v>1.5700000000000002E-2</v>
      </c>
      <c r="U834">
        <v>1.5700000000000002E-2</v>
      </c>
      <c r="V834">
        <v>1.5300000000000001E-2</v>
      </c>
      <c r="W834">
        <v>1.5800000000000002E-2</v>
      </c>
      <c r="X834">
        <v>1.6E-2</v>
      </c>
      <c r="Y834">
        <v>1.6500000000000001E-2</v>
      </c>
      <c r="Z834">
        <v>1.7600000000000001E-2</v>
      </c>
      <c r="AA834">
        <v>1.8500000000000003E-2</v>
      </c>
      <c r="AB834">
        <v>2.1600000000000001E-2</v>
      </c>
      <c r="AC834">
        <v>2.3E-2</v>
      </c>
    </row>
    <row r="835" spans="17:29" x14ac:dyDescent="0.25">
      <c r="Q835" s="1">
        <v>43840</v>
      </c>
      <c r="R835">
        <v>1.52E-2</v>
      </c>
      <c r="S835">
        <v>1.55E-2</v>
      </c>
      <c r="T835">
        <v>1.54E-2</v>
      </c>
      <c r="U835">
        <v>1.55E-2</v>
      </c>
      <c r="V835">
        <v>1.5300000000000001E-2</v>
      </c>
      <c r="W835">
        <v>1.5600000000000001E-2</v>
      </c>
      <c r="X835">
        <v>1.5900000000000001E-2</v>
      </c>
      <c r="Y835">
        <v>1.6299999999999999E-2</v>
      </c>
      <c r="Z835">
        <v>1.7399999999999999E-2</v>
      </c>
      <c r="AA835">
        <v>1.83E-2</v>
      </c>
      <c r="AB835">
        <v>2.1400000000000002E-2</v>
      </c>
      <c r="AC835">
        <v>2.2799999999999997E-2</v>
      </c>
    </row>
    <row r="836" spans="17:29" x14ac:dyDescent="0.25">
      <c r="Q836" s="1">
        <v>43839</v>
      </c>
      <c r="R836">
        <v>1.5300000000000001E-2</v>
      </c>
      <c r="S836">
        <v>1.55E-2</v>
      </c>
      <c r="T836">
        <v>1.54E-2</v>
      </c>
      <c r="U836">
        <v>1.5600000000000001E-2</v>
      </c>
      <c r="V836">
        <v>1.54E-2</v>
      </c>
      <c r="W836">
        <v>1.5800000000000002E-2</v>
      </c>
      <c r="X836">
        <v>1.5900000000000001E-2</v>
      </c>
      <c r="Y836">
        <v>1.6500000000000001E-2</v>
      </c>
      <c r="Z836">
        <v>1.77E-2</v>
      </c>
      <c r="AA836">
        <v>1.8500000000000003E-2</v>
      </c>
      <c r="AB836">
        <v>2.1700000000000001E-2</v>
      </c>
      <c r="AC836">
        <v>2.3799999999999998E-2</v>
      </c>
    </row>
    <row r="837" spans="17:29" x14ac:dyDescent="0.25">
      <c r="Q837" s="1">
        <v>43838</v>
      </c>
      <c r="R837">
        <v>1.4999999999999999E-2</v>
      </c>
      <c r="S837">
        <v>1.5300000000000001E-2</v>
      </c>
      <c r="T837">
        <v>1.54E-2</v>
      </c>
      <c r="U837">
        <v>1.5600000000000001E-2</v>
      </c>
      <c r="V837">
        <v>1.55E-2</v>
      </c>
      <c r="W837">
        <v>1.5800000000000002E-2</v>
      </c>
      <c r="X837">
        <v>1.61E-2</v>
      </c>
      <c r="Y837">
        <v>1.67E-2</v>
      </c>
      <c r="Z837">
        <v>1.78E-2</v>
      </c>
      <c r="AA837">
        <v>1.8700000000000001E-2</v>
      </c>
      <c r="AB837">
        <v>2.2099999999999998E-2</v>
      </c>
      <c r="AC837">
        <v>2.35E-2</v>
      </c>
    </row>
    <row r="838" spans="17:29" x14ac:dyDescent="0.25">
      <c r="Q838" s="1">
        <v>43837</v>
      </c>
      <c r="R838">
        <v>1.52E-2</v>
      </c>
      <c r="S838">
        <v>1.5300000000000001E-2</v>
      </c>
      <c r="T838">
        <v>1.54E-2</v>
      </c>
      <c r="U838">
        <v>1.5600000000000001E-2</v>
      </c>
      <c r="V838">
        <v>1.5300000000000001E-2</v>
      </c>
      <c r="W838">
        <v>1.54E-2</v>
      </c>
      <c r="X838">
        <v>1.55E-2</v>
      </c>
      <c r="Y838">
        <v>1.6200000000000003E-2</v>
      </c>
      <c r="Z838">
        <v>1.7399999999999999E-2</v>
      </c>
      <c r="AA838">
        <v>1.83E-2</v>
      </c>
      <c r="AB838">
        <v>2.1600000000000001E-2</v>
      </c>
      <c r="AC838">
        <v>2.3099999999999999E-2</v>
      </c>
    </row>
    <row r="839" spans="17:29" x14ac:dyDescent="0.25">
      <c r="Q839" s="1">
        <v>43836</v>
      </c>
      <c r="R839">
        <v>1.54E-2</v>
      </c>
      <c r="S839">
        <v>1.54E-2</v>
      </c>
      <c r="T839">
        <v>1.5600000000000001E-2</v>
      </c>
      <c r="U839">
        <v>1.5600000000000001E-2</v>
      </c>
      <c r="V839">
        <v>1.54E-2</v>
      </c>
      <c r="W839">
        <v>1.54E-2</v>
      </c>
      <c r="X839">
        <v>1.5600000000000001E-2</v>
      </c>
      <c r="Y839">
        <v>1.61E-2</v>
      </c>
      <c r="Z839">
        <v>1.72E-2</v>
      </c>
      <c r="AA839">
        <v>1.8100000000000002E-2</v>
      </c>
      <c r="AB839">
        <v>2.1299999999999999E-2</v>
      </c>
      <c r="AC839">
        <v>2.2799999999999997E-2</v>
      </c>
    </row>
    <row r="840" spans="17:29" x14ac:dyDescent="0.25">
      <c r="Q840" s="1">
        <v>43833</v>
      </c>
      <c r="R840">
        <v>1.52E-2</v>
      </c>
      <c r="S840">
        <v>1.55E-2</v>
      </c>
      <c r="T840">
        <v>1.52E-2</v>
      </c>
      <c r="U840">
        <v>1.55E-2</v>
      </c>
      <c r="V840">
        <v>1.55E-2</v>
      </c>
      <c r="W840">
        <v>1.5300000000000001E-2</v>
      </c>
      <c r="X840">
        <v>1.54E-2</v>
      </c>
      <c r="Y840">
        <v>1.5900000000000001E-2</v>
      </c>
      <c r="Z840">
        <v>1.7100000000000001E-2</v>
      </c>
      <c r="AA840">
        <v>1.8000000000000002E-2</v>
      </c>
      <c r="AB840">
        <v>2.1099999999999997E-2</v>
      </c>
      <c r="AC840">
        <v>2.2599999999999999E-2</v>
      </c>
    </row>
    <row r="841" spans="17:29" x14ac:dyDescent="0.25">
      <c r="Q841" s="1">
        <v>43832</v>
      </c>
      <c r="R841">
        <v>1.5300000000000001E-2</v>
      </c>
      <c r="S841">
        <v>1.55E-2</v>
      </c>
      <c r="T841">
        <v>1.54E-2</v>
      </c>
      <c r="U841">
        <v>1.5700000000000002E-2</v>
      </c>
      <c r="V841">
        <v>1.5600000000000001E-2</v>
      </c>
      <c r="W841">
        <v>1.5800000000000002E-2</v>
      </c>
      <c r="X841">
        <v>1.5900000000000001E-2</v>
      </c>
      <c r="Y841">
        <v>1.67E-2</v>
      </c>
      <c r="Z841">
        <v>1.7899999999999999E-2</v>
      </c>
      <c r="AA841">
        <v>1.8799999999999997E-2</v>
      </c>
      <c r="AB841">
        <v>2.1899999999999999E-2</v>
      </c>
      <c r="AC841">
        <v>2.3300000000000001E-2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A707E3-2E89-4608-BB8D-24F8654B46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daily-treasury-rates 2023_2020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Öcsi Béla</dc:creator>
  <cp:lastModifiedBy>Öcsi Béla</cp:lastModifiedBy>
  <dcterms:created xsi:type="dcterms:W3CDTF">2023-05-09T13:29:20Z</dcterms:created>
  <dcterms:modified xsi:type="dcterms:W3CDTF">2024-04-23T05:47:00Z</dcterms:modified>
</cp:coreProperties>
</file>