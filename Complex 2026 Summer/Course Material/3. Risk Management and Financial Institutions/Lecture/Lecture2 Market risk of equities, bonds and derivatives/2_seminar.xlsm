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2week\"/>
    </mc:Choice>
  </mc:AlternateContent>
  <xr:revisionPtr revIDLastSave="0" documentId="13_ncr:1_{3E1B31EC-8E1C-449F-8106-897077BF4C5B}" xr6:coauthVersionLast="47" xr6:coauthVersionMax="47" xr10:uidLastSave="{00000000-0000-0000-0000-000000000000}"/>
  <bookViews>
    <workbookView xWindow="-110" yWindow="-110" windowWidth="19420" windowHeight="10420" tabRatio="510" activeTab="5" xr2:uid="{00000000-000D-0000-FFFF-FFFF00000000}"/>
  </bookViews>
  <sheets>
    <sheet name="1_Hist_sim" sheetId="1" r:id="rId1"/>
    <sheet name="1_EW" sheetId="12" r:id="rId2"/>
    <sheet name="1_Delta normal" sheetId="13" r:id="rId3"/>
    <sheet name="2" sheetId="14" r:id="rId4"/>
    <sheet name="3" sheetId="15" r:id="rId5"/>
    <sheet name="4" sheetId="16" r:id="rId6"/>
    <sheet name="5" sheetId="17" r:id="rId7"/>
  </sheets>
  <functionGroups builtInGroupCount="19"/>
  <definedNames>
    <definedName name="_xlnm._FilterDatabase" localSheetId="1" hidden="1">'1_EW'!$N$14:$O$770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" i="12" l="1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5" i="13" l="1"/>
  <c r="B5" i="13"/>
  <c r="B4" i="13"/>
  <c r="C4" i="13"/>
  <c r="D5" i="13"/>
  <c r="B3" i="13"/>
  <c r="E3" i="15" l="1"/>
  <c r="L21" i="14" l="1"/>
  <c r="L8" i="14"/>
  <c r="D4" i="13"/>
  <c r="D3" i="13"/>
  <c r="C3" i="13"/>
  <c r="K9" i="12" l="1"/>
  <c r="L9" i="12"/>
  <c r="M9" i="12"/>
  <c r="C9" i="13"/>
  <c r="K3" i="12"/>
  <c r="B9" i="13" l="1"/>
  <c r="D9" i="13"/>
  <c r="J15" i="12" l="1"/>
  <c r="J16" i="12" s="1"/>
  <c r="J17" i="12" s="1"/>
  <c r="J18" i="12" s="1"/>
  <c r="J19" i="12" s="1"/>
  <c r="J20" i="12" s="1"/>
  <c r="J21" i="12" s="1"/>
  <c r="J22" i="12" s="1"/>
  <c r="J23" i="12" s="1"/>
  <c r="J24" i="12" s="1"/>
  <c r="J25" i="12" s="1"/>
  <c r="J26" i="12" s="1"/>
  <c r="J27" i="12" s="1"/>
  <c r="J28" i="12" s="1"/>
  <c r="J29" i="12" s="1"/>
  <c r="J30" i="12" s="1"/>
  <c r="J31" i="12" s="1"/>
  <c r="L19" i="14" l="1"/>
  <c r="J32" i="12"/>
  <c r="J33" i="12" l="1"/>
  <c r="J34" i="12" l="1"/>
  <c r="J35" i="12" l="1"/>
  <c r="J36" i="12" l="1"/>
  <c r="J37" i="12" l="1"/>
  <c r="J38" i="12" l="1"/>
  <c r="J39" i="12" l="1"/>
  <c r="J40" i="12" l="1"/>
  <c r="J41" i="12" l="1"/>
  <c r="J42" i="12" l="1"/>
  <c r="J43" i="12" l="1"/>
  <c r="J44" i="12" l="1"/>
  <c r="J45" i="12" l="1"/>
  <c r="J46" i="12" l="1"/>
  <c r="J47" i="12" l="1"/>
  <c r="J48" i="12" l="1"/>
  <c r="J49" i="12" l="1"/>
  <c r="J50" i="12" l="1"/>
  <c r="J51" i="12" l="1"/>
  <c r="J52" i="12" l="1"/>
  <c r="J53" i="12" l="1"/>
  <c r="J54" i="12" l="1"/>
  <c r="J55" i="12" l="1"/>
  <c r="J56" i="12" l="1"/>
  <c r="J57" i="12" l="1"/>
  <c r="J58" i="12" l="1"/>
  <c r="J59" i="12" l="1"/>
  <c r="J60" i="12" l="1"/>
  <c r="J61" i="12" l="1"/>
  <c r="J62" i="12" l="1"/>
  <c r="J63" i="12" l="1"/>
  <c r="J64" i="12" l="1"/>
  <c r="J65" i="12" l="1"/>
  <c r="J66" i="12" l="1"/>
  <c r="J67" i="12" l="1"/>
  <c r="J68" i="12" l="1"/>
  <c r="J69" i="12" l="1"/>
  <c r="J70" i="12" l="1"/>
  <c r="J71" i="12" l="1"/>
  <c r="J72" i="12" l="1"/>
  <c r="J73" i="12" l="1"/>
  <c r="J74" i="12" l="1"/>
  <c r="J75" i="12" l="1"/>
  <c r="J76" i="12" l="1"/>
  <c r="J77" i="12" l="1"/>
  <c r="J78" i="12" l="1"/>
  <c r="J79" i="12" l="1"/>
  <c r="J80" i="12" l="1"/>
  <c r="J81" i="12" l="1"/>
  <c r="J82" i="12" l="1"/>
  <c r="J83" i="12" l="1"/>
  <c r="J84" i="12" l="1"/>
  <c r="J85" i="12" l="1"/>
  <c r="J86" i="12" l="1"/>
  <c r="J87" i="12" l="1"/>
  <c r="J88" i="12" l="1"/>
  <c r="J89" i="12" l="1"/>
  <c r="J90" i="12" l="1"/>
  <c r="J91" i="12" l="1"/>
  <c r="J92" i="12" l="1"/>
  <c r="J93" i="12" l="1"/>
  <c r="J94" i="12" l="1"/>
  <c r="J95" i="12" l="1"/>
  <c r="J96" i="12" l="1"/>
  <c r="J97" i="12" l="1"/>
  <c r="J98" i="12" l="1"/>
  <c r="J99" i="12" l="1"/>
  <c r="J100" i="12" l="1"/>
  <c r="J101" i="12" l="1"/>
  <c r="J102" i="12" l="1"/>
  <c r="J103" i="12" l="1"/>
  <c r="J104" i="12" l="1"/>
  <c r="J105" i="12" l="1"/>
  <c r="J106" i="12" l="1"/>
  <c r="J107" i="12" l="1"/>
  <c r="J108" i="12" l="1"/>
  <c r="J109" i="12" l="1"/>
  <c r="J110" i="12" l="1"/>
  <c r="J111" i="12" l="1"/>
  <c r="J112" i="12" l="1"/>
  <c r="J113" i="12" l="1"/>
  <c r="J114" i="12" l="1"/>
  <c r="J115" i="12" l="1"/>
  <c r="J116" i="12" l="1"/>
  <c r="J117" i="12" l="1"/>
  <c r="J118" i="12" l="1"/>
  <c r="J119" i="12" l="1"/>
  <c r="J120" i="12" l="1"/>
  <c r="J121" i="12" l="1"/>
  <c r="J122" i="12" l="1"/>
  <c r="J123" i="12" l="1"/>
  <c r="J124" i="12" l="1"/>
  <c r="J125" i="12" l="1"/>
  <c r="J126" i="12" l="1"/>
  <c r="J127" i="12" l="1"/>
  <c r="J128" i="12" l="1"/>
  <c r="J129" i="12" l="1"/>
  <c r="J130" i="12" l="1"/>
  <c r="J131" i="12" l="1"/>
  <c r="J132" i="12" l="1"/>
  <c r="J133" i="12" l="1"/>
  <c r="J134" i="12" l="1"/>
  <c r="J135" i="12" l="1"/>
  <c r="J136" i="12" l="1"/>
  <c r="J137" i="12" l="1"/>
  <c r="J138" i="12" l="1"/>
  <c r="J139" i="12" l="1"/>
  <c r="J140" i="12" l="1"/>
  <c r="J141" i="12" l="1"/>
  <c r="J142" i="12" l="1"/>
  <c r="J143" i="12" l="1"/>
  <c r="J144" i="12" l="1"/>
  <c r="J145" i="12" l="1"/>
  <c r="J146" i="12" l="1"/>
  <c r="J147" i="12" l="1"/>
  <c r="J148" i="12" l="1"/>
  <c r="J149" i="12" l="1"/>
  <c r="J150" i="12" l="1"/>
  <c r="J151" i="12" l="1"/>
  <c r="J152" i="12" l="1"/>
  <c r="J153" i="12" l="1"/>
  <c r="J154" i="12" l="1"/>
  <c r="J155" i="12" l="1"/>
  <c r="J156" i="12" l="1"/>
  <c r="J157" i="12" l="1"/>
  <c r="J158" i="12" l="1"/>
  <c r="J159" i="12" l="1"/>
  <c r="J160" i="12" l="1"/>
  <c r="J161" i="12" l="1"/>
  <c r="J162" i="12" l="1"/>
  <c r="J163" i="12" l="1"/>
  <c r="J164" i="12" l="1"/>
  <c r="J165" i="12" l="1"/>
  <c r="J166" i="12" l="1"/>
  <c r="J167" i="12" l="1"/>
  <c r="J168" i="12" l="1"/>
  <c r="J169" i="12" l="1"/>
  <c r="J170" i="12" l="1"/>
  <c r="J171" i="12" l="1"/>
  <c r="J172" i="12" l="1"/>
  <c r="J173" i="12" l="1"/>
  <c r="J174" i="12" l="1"/>
  <c r="J175" i="12" l="1"/>
  <c r="J176" i="12" l="1"/>
  <c r="J177" i="12" l="1"/>
  <c r="J178" i="12" l="1"/>
  <c r="J179" i="12" l="1"/>
  <c r="J180" i="12" l="1"/>
  <c r="J181" i="12" l="1"/>
  <c r="J182" i="12" l="1"/>
  <c r="J183" i="12" l="1"/>
  <c r="J184" i="12" l="1"/>
  <c r="J185" i="12" l="1"/>
  <c r="J186" i="12" l="1"/>
  <c r="J187" i="12" l="1"/>
  <c r="J188" i="12" l="1"/>
  <c r="J189" i="12" l="1"/>
  <c r="J190" i="12" l="1"/>
  <c r="J191" i="12" l="1"/>
  <c r="J192" i="12" l="1"/>
  <c r="J193" i="12" l="1"/>
  <c r="J194" i="12" l="1"/>
  <c r="J195" i="12" l="1"/>
  <c r="J196" i="12" l="1"/>
  <c r="J197" i="12" l="1"/>
  <c r="J198" i="12" l="1"/>
  <c r="J199" i="12" l="1"/>
  <c r="J200" i="12" l="1"/>
  <c r="J201" i="12" l="1"/>
  <c r="J202" i="12" l="1"/>
  <c r="J203" i="12" l="1"/>
  <c r="J204" i="12" l="1"/>
  <c r="J205" i="12" l="1"/>
  <c r="J206" i="12" l="1"/>
  <c r="J207" i="12" l="1"/>
  <c r="J208" i="12" l="1"/>
  <c r="J209" i="12" l="1"/>
  <c r="J210" i="12" l="1"/>
  <c r="J211" i="12" l="1"/>
  <c r="J212" i="12" l="1"/>
  <c r="J213" i="12" l="1"/>
  <c r="J214" i="12" l="1"/>
  <c r="J215" i="12" l="1"/>
  <c r="J216" i="12" l="1"/>
  <c r="J217" i="12" l="1"/>
  <c r="J218" i="12" l="1"/>
  <c r="J219" i="12" l="1"/>
  <c r="J220" i="12" l="1"/>
  <c r="J221" i="12" l="1"/>
  <c r="J222" i="12" l="1"/>
  <c r="J223" i="12" l="1"/>
  <c r="J224" i="12" l="1"/>
  <c r="J225" i="12" l="1"/>
  <c r="J226" i="12" l="1"/>
  <c r="J227" i="12" l="1"/>
  <c r="J228" i="12" l="1"/>
  <c r="J229" i="12" l="1"/>
  <c r="J230" i="12" l="1"/>
  <c r="J231" i="12" l="1"/>
  <c r="J232" i="12" l="1"/>
  <c r="J233" i="12" l="1"/>
  <c r="J234" i="12" l="1"/>
  <c r="J235" i="12" l="1"/>
  <c r="J236" i="12" l="1"/>
  <c r="J237" i="12" l="1"/>
  <c r="J238" i="12" l="1"/>
  <c r="J239" i="12" l="1"/>
  <c r="J240" i="12" l="1"/>
  <c r="J241" i="12" l="1"/>
  <c r="J242" i="12" l="1"/>
  <c r="J243" i="12" l="1"/>
  <c r="J244" i="12" l="1"/>
  <c r="J245" i="12" l="1"/>
  <c r="J246" i="12" l="1"/>
  <c r="J247" i="12" l="1"/>
  <c r="J248" i="12" l="1"/>
  <c r="J249" i="12" l="1"/>
  <c r="J250" i="12" l="1"/>
  <c r="J251" i="12" l="1"/>
  <c r="J252" i="12" l="1"/>
  <c r="J253" i="12" l="1"/>
  <c r="J254" i="12" l="1"/>
  <c r="J255" i="12" l="1"/>
  <c r="J256" i="12" l="1"/>
  <c r="J257" i="12" l="1"/>
  <c r="J258" i="12" l="1"/>
  <c r="J259" i="12" l="1"/>
  <c r="J260" i="12" l="1"/>
  <c r="J261" i="12" l="1"/>
  <c r="J262" i="12" l="1"/>
  <c r="J263" i="12" l="1"/>
  <c r="J264" i="12" l="1"/>
  <c r="J265" i="12" l="1"/>
  <c r="J266" i="12" l="1"/>
  <c r="J267" i="12" l="1"/>
  <c r="J268" i="12" l="1"/>
  <c r="J269" i="12" l="1"/>
  <c r="J270" i="12" l="1"/>
  <c r="J271" i="12" l="1"/>
  <c r="J272" i="12" l="1"/>
  <c r="J273" i="12" l="1"/>
  <c r="J274" i="12" l="1"/>
  <c r="J275" i="12" l="1"/>
  <c r="J276" i="12" l="1"/>
  <c r="J277" i="12" l="1"/>
  <c r="J278" i="12" l="1"/>
  <c r="J279" i="12" l="1"/>
  <c r="J280" i="12" l="1"/>
  <c r="J281" i="12" l="1"/>
  <c r="J282" i="12" l="1"/>
  <c r="J283" i="12" l="1"/>
  <c r="J284" i="12" l="1"/>
  <c r="J285" i="12" l="1"/>
  <c r="J286" i="12" l="1"/>
  <c r="J287" i="12" l="1"/>
  <c r="J288" i="12" l="1"/>
  <c r="J289" i="12" l="1"/>
  <c r="J290" i="12" l="1"/>
  <c r="J291" i="12" l="1"/>
  <c r="J292" i="12" l="1"/>
  <c r="J293" i="12" l="1"/>
  <c r="J294" i="12" l="1"/>
  <c r="J295" i="12" l="1"/>
  <c r="J296" i="12" l="1"/>
  <c r="J297" i="12" l="1"/>
  <c r="J298" i="12" l="1"/>
  <c r="J299" i="12" l="1"/>
  <c r="J300" i="12" l="1"/>
  <c r="J301" i="12" l="1"/>
  <c r="J302" i="12" l="1"/>
  <c r="J303" i="12" l="1"/>
  <c r="J304" i="12" l="1"/>
  <c r="J305" i="12" l="1"/>
  <c r="J306" i="12" l="1"/>
  <c r="J307" i="12" l="1"/>
  <c r="J308" i="12" l="1"/>
  <c r="J309" i="12" l="1"/>
  <c r="J310" i="12" l="1"/>
  <c r="J311" i="12" l="1"/>
  <c r="J312" i="12" l="1"/>
  <c r="J313" i="12" l="1"/>
  <c r="J314" i="12" l="1"/>
  <c r="J315" i="12" l="1"/>
  <c r="J316" i="12" l="1"/>
  <c r="J317" i="12" l="1"/>
  <c r="J318" i="12" l="1"/>
  <c r="J319" i="12" l="1"/>
  <c r="J320" i="12" l="1"/>
  <c r="J321" i="12" l="1"/>
  <c r="J322" i="12" l="1"/>
  <c r="J323" i="12" l="1"/>
  <c r="J324" i="12" l="1"/>
  <c r="J325" i="12" l="1"/>
  <c r="J326" i="12" l="1"/>
  <c r="J327" i="12" l="1"/>
  <c r="J328" i="12" l="1"/>
  <c r="J329" i="12" l="1"/>
  <c r="J330" i="12" l="1"/>
  <c r="J331" i="12" l="1"/>
  <c r="J332" i="12" l="1"/>
  <c r="J333" i="12" l="1"/>
  <c r="J334" i="12" l="1"/>
  <c r="J335" i="12" l="1"/>
  <c r="J336" i="12" l="1"/>
  <c r="J337" i="12" l="1"/>
  <c r="J338" i="12" l="1"/>
  <c r="J339" i="12" l="1"/>
  <c r="J340" i="12" l="1"/>
  <c r="J341" i="12" l="1"/>
  <c r="J342" i="12" l="1"/>
  <c r="J343" i="12" l="1"/>
  <c r="J344" i="12" l="1"/>
  <c r="J345" i="12" l="1"/>
  <c r="J346" i="12" l="1"/>
  <c r="J347" i="12" l="1"/>
  <c r="J348" i="12" l="1"/>
  <c r="J349" i="12" l="1"/>
  <c r="J350" i="12" l="1"/>
  <c r="J351" i="12" l="1"/>
  <c r="J352" i="12" l="1"/>
  <c r="J353" i="12" l="1"/>
  <c r="J354" i="12" l="1"/>
  <c r="J355" i="12" l="1"/>
  <c r="J356" i="12" l="1"/>
  <c r="J357" i="12" l="1"/>
  <c r="J358" i="12" l="1"/>
  <c r="J359" i="12" l="1"/>
  <c r="J360" i="12" l="1"/>
  <c r="J361" i="12" l="1"/>
  <c r="J362" i="12" l="1"/>
  <c r="J363" i="12" l="1"/>
  <c r="J364" i="12" l="1"/>
  <c r="J365" i="12" l="1"/>
  <c r="J366" i="12" l="1"/>
  <c r="J367" i="12" l="1"/>
  <c r="J368" i="12" l="1"/>
  <c r="J369" i="12" l="1"/>
  <c r="J370" i="12" l="1"/>
  <c r="J371" i="12" l="1"/>
  <c r="J372" i="12" l="1"/>
  <c r="J373" i="12" l="1"/>
  <c r="J374" i="12" l="1"/>
  <c r="J375" i="12" l="1"/>
  <c r="J376" i="12" l="1"/>
  <c r="J377" i="12" l="1"/>
  <c r="J378" i="12" l="1"/>
  <c r="J379" i="12" l="1"/>
  <c r="J380" i="12" l="1"/>
  <c r="J381" i="12" l="1"/>
  <c r="J382" i="12" l="1"/>
  <c r="J383" i="12" l="1"/>
  <c r="J384" i="12" l="1"/>
  <c r="J385" i="12" l="1"/>
  <c r="J386" i="12" l="1"/>
  <c r="J387" i="12" l="1"/>
  <c r="J388" i="12" l="1"/>
  <c r="J389" i="12" l="1"/>
  <c r="J390" i="12" l="1"/>
  <c r="J391" i="12" l="1"/>
  <c r="J392" i="12" l="1"/>
  <c r="J393" i="12" l="1"/>
  <c r="J394" i="12" l="1"/>
  <c r="J395" i="12" l="1"/>
  <c r="J396" i="12" l="1"/>
  <c r="J397" i="12" l="1"/>
  <c r="J398" i="12" l="1"/>
  <c r="J399" i="12" l="1"/>
  <c r="J400" i="12" l="1"/>
  <c r="J401" i="12" l="1"/>
  <c r="J402" i="12" l="1"/>
  <c r="J403" i="12" l="1"/>
  <c r="J404" i="12" l="1"/>
  <c r="J405" i="12" l="1"/>
  <c r="J406" i="12" l="1"/>
  <c r="J407" i="12" l="1"/>
  <c r="J408" i="12" l="1"/>
  <c r="J409" i="12" l="1"/>
  <c r="J410" i="12" l="1"/>
  <c r="J411" i="12" l="1"/>
  <c r="J412" i="12" l="1"/>
  <c r="J413" i="12" l="1"/>
  <c r="J414" i="12" l="1"/>
  <c r="J415" i="12" l="1"/>
  <c r="J416" i="12" l="1"/>
  <c r="J417" i="12" l="1"/>
  <c r="J418" i="12" l="1"/>
  <c r="J419" i="12" l="1"/>
  <c r="J420" i="12" l="1"/>
  <c r="J421" i="12" l="1"/>
  <c r="J422" i="12" l="1"/>
  <c r="J423" i="12" l="1"/>
  <c r="J424" i="12" l="1"/>
  <c r="J425" i="12" l="1"/>
  <c r="J426" i="12" l="1"/>
  <c r="J427" i="12" l="1"/>
  <c r="J428" i="12" l="1"/>
  <c r="J429" i="12" l="1"/>
  <c r="J430" i="12" l="1"/>
  <c r="J431" i="12" l="1"/>
  <c r="J432" i="12" l="1"/>
  <c r="J433" i="12" l="1"/>
  <c r="J434" i="12" l="1"/>
  <c r="J435" i="12" l="1"/>
  <c r="J436" i="12" l="1"/>
  <c r="J437" i="12" l="1"/>
  <c r="J438" i="12" l="1"/>
  <c r="J439" i="12" l="1"/>
  <c r="J440" i="12" l="1"/>
  <c r="J441" i="12" l="1"/>
  <c r="J442" i="12" l="1"/>
  <c r="J443" i="12" l="1"/>
  <c r="J444" i="12" l="1"/>
  <c r="J445" i="12" l="1"/>
  <c r="J446" i="12" l="1"/>
  <c r="J447" i="12" l="1"/>
  <c r="J448" i="12" l="1"/>
  <c r="J449" i="12" l="1"/>
  <c r="J450" i="12" l="1"/>
  <c r="J451" i="12" l="1"/>
  <c r="J452" i="12" l="1"/>
  <c r="J453" i="12" l="1"/>
  <c r="J454" i="12" l="1"/>
  <c r="J455" i="12" l="1"/>
  <c r="J456" i="12" l="1"/>
  <c r="J457" i="12" l="1"/>
  <c r="J458" i="12" l="1"/>
  <c r="J459" i="12" l="1"/>
  <c r="J460" i="12" l="1"/>
  <c r="J461" i="12" l="1"/>
  <c r="J462" i="12" l="1"/>
  <c r="J463" i="12" l="1"/>
  <c r="J464" i="12" l="1"/>
  <c r="J465" i="12" l="1"/>
  <c r="J466" i="12" l="1"/>
  <c r="J467" i="12" l="1"/>
  <c r="J468" i="12" l="1"/>
  <c r="J469" i="12" l="1"/>
  <c r="J470" i="12" l="1"/>
  <c r="J471" i="12" l="1"/>
  <c r="J472" i="12" l="1"/>
  <c r="J473" i="12" l="1"/>
  <c r="J474" i="12" l="1"/>
  <c r="J475" i="12" l="1"/>
  <c r="J476" i="12" l="1"/>
  <c r="J477" i="12" l="1"/>
  <c r="J478" i="12" l="1"/>
  <c r="J479" i="12" l="1"/>
  <c r="J480" i="12" l="1"/>
  <c r="J481" i="12" l="1"/>
  <c r="J482" i="12" l="1"/>
  <c r="J483" i="12" l="1"/>
  <c r="J484" i="12" l="1"/>
  <c r="J485" i="12" l="1"/>
  <c r="J486" i="12" l="1"/>
  <c r="J487" i="12" l="1"/>
  <c r="J488" i="12" l="1"/>
  <c r="J489" i="12" l="1"/>
  <c r="J490" i="12" l="1"/>
  <c r="J491" i="12" l="1"/>
  <c r="J492" i="12" l="1"/>
  <c r="J493" i="12" l="1"/>
  <c r="J494" i="12" l="1"/>
  <c r="J495" i="12" l="1"/>
  <c r="J496" i="12" l="1"/>
  <c r="J497" i="12" l="1"/>
  <c r="J498" i="12" l="1"/>
  <c r="J499" i="12" l="1"/>
  <c r="J500" i="12" l="1"/>
  <c r="J501" i="12" l="1"/>
  <c r="J502" i="12" l="1"/>
  <c r="J503" i="12" l="1"/>
  <c r="J504" i="12" l="1"/>
  <c r="J505" i="12" l="1"/>
  <c r="J506" i="12" l="1"/>
  <c r="J507" i="12" l="1"/>
  <c r="J508" i="12" l="1"/>
  <c r="J509" i="12" l="1"/>
  <c r="J510" i="12" l="1"/>
  <c r="J511" i="12" l="1"/>
  <c r="J512" i="12" l="1"/>
  <c r="J513" i="12" l="1"/>
  <c r="J514" i="12" l="1"/>
  <c r="J515" i="12" l="1"/>
  <c r="J516" i="12" l="1"/>
  <c r="J517" i="12" l="1"/>
  <c r="J518" i="12" l="1"/>
  <c r="J519" i="12" l="1"/>
  <c r="J520" i="12" l="1"/>
  <c r="J521" i="12" l="1"/>
  <c r="J522" i="12" l="1"/>
  <c r="J523" i="12" l="1"/>
  <c r="J524" i="12" l="1"/>
  <c r="J525" i="12" l="1"/>
  <c r="J526" i="12" l="1"/>
  <c r="J527" i="12" l="1"/>
  <c r="J528" i="12" l="1"/>
  <c r="J529" i="12" l="1"/>
  <c r="J530" i="12" l="1"/>
  <c r="J531" i="12" l="1"/>
  <c r="J532" i="12" l="1"/>
  <c r="J533" i="12" l="1"/>
  <c r="J534" i="12" l="1"/>
  <c r="J535" i="12" l="1"/>
  <c r="J536" i="12" l="1"/>
  <c r="J537" i="12" l="1"/>
  <c r="J538" i="12" l="1"/>
  <c r="J539" i="12" l="1"/>
  <c r="J540" i="12" l="1"/>
  <c r="J541" i="12" l="1"/>
  <c r="J542" i="12" l="1"/>
  <c r="J543" i="12" l="1"/>
  <c r="J544" i="12" l="1"/>
  <c r="J545" i="12" l="1"/>
  <c r="J546" i="12" l="1"/>
  <c r="J547" i="12" l="1"/>
  <c r="J548" i="12" l="1"/>
  <c r="J549" i="12" l="1"/>
  <c r="J550" i="12" l="1"/>
  <c r="J551" i="12" l="1"/>
  <c r="J552" i="12" l="1"/>
  <c r="J553" i="12" l="1"/>
  <c r="J554" i="12" l="1"/>
  <c r="J555" i="12" l="1"/>
  <c r="J556" i="12" l="1"/>
  <c r="J557" i="12" l="1"/>
  <c r="J558" i="12" l="1"/>
  <c r="J559" i="12" l="1"/>
  <c r="J560" i="12" l="1"/>
  <c r="J561" i="12" l="1"/>
  <c r="J562" i="12" l="1"/>
  <c r="J563" i="12" l="1"/>
  <c r="J564" i="12" l="1"/>
  <c r="J565" i="12" l="1"/>
  <c r="J566" i="12" l="1"/>
  <c r="J567" i="12" l="1"/>
  <c r="J568" i="12" l="1"/>
  <c r="J569" i="12" l="1"/>
  <c r="J570" i="12" l="1"/>
  <c r="J571" i="12" l="1"/>
  <c r="J572" i="12" l="1"/>
  <c r="J573" i="12" l="1"/>
  <c r="J574" i="12" l="1"/>
  <c r="J575" i="12" l="1"/>
  <c r="J576" i="12" l="1"/>
  <c r="J577" i="12" l="1"/>
  <c r="J578" i="12" l="1"/>
  <c r="J579" i="12" l="1"/>
  <c r="J580" i="12" l="1"/>
  <c r="J581" i="12" l="1"/>
  <c r="J582" i="12" l="1"/>
  <c r="J583" i="12" l="1"/>
  <c r="J584" i="12" l="1"/>
  <c r="J585" i="12" l="1"/>
  <c r="J586" i="12" l="1"/>
  <c r="J587" i="12" l="1"/>
  <c r="J588" i="12" l="1"/>
  <c r="J589" i="12" l="1"/>
  <c r="J590" i="12" l="1"/>
  <c r="J591" i="12" l="1"/>
  <c r="J592" i="12" l="1"/>
  <c r="J593" i="12" l="1"/>
  <c r="J594" i="12" l="1"/>
  <c r="J595" i="12" l="1"/>
  <c r="J596" i="12" l="1"/>
  <c r="J597" i="12" l="1"/>
  <c r="J598" i="12" l="1"/>
  <c r="J599" i="12" l="1"/>
  <c r="J600" i="12" l="1"/>
  <c r="J601" i="12" l="1"/>
  <c r="J602" i="12" l="1"/>
  <c r="J603" i="12" l="1"/>
  <c r="J604" i="12" l="1"/>
  <c r="J605" i="12" l="1"/>
  <c r="J606" i="12" l="1"/>
  <c r="J607" i="12" l="1"/>
  <c r="J608" i="12" l="1"/>
  <c r="J609" i="12" l="1"/>
  <c r="J610" i="12" l="1"/>
  <c r="J611" i="12" l="1"/>
  <c r="J612" i="12" l="1"/>
  <c r="J613" i="12" l="1"/>
  <c r="J614" i="12" l="1"/>
  <c r="J615" i="12" l="1"/>
  <c r="J616" i="12" l="1"/>
  <c r="J617" i="12" l="1"/>
  <c r="J618" i="12" l="1"/>
  <c r="J619" i="12" l="1"/>
  <c r="J620" i="12" l="1"/>
  <c r="J621" i="12" l="1"/>
  <c r="J622" i="12" l="1"/>
  <c r="J623" i="12" l="1"/>
  <c r="J624" i="12" l="1"/>
  <c r="J625" i="12" l="1"/>
  <c r="J626" i="12" l="1"/>
  <c r="J627" i="12" l="1"/>
  <c r="J628" i="12" l="1"/>
  <c r="J629" i="12" l="1"/>
  <c r="J630" i="12" l="1"/>
  <c r="J631" i="12" l="1"/>
  <c r="J632" i="12" l="1"/>
  <c r="J633" i="12" l="1"/>
  <c r="J634" i="12" l="1"/>
  <c r="J635" i="12" l="1"/>
  <c r="J636" i="12" l="1"/>
  <c r="J637" i="12" l="1"/>
  <c r="J638" i="12" l="1"/>
  <c r="J639" i="12" l="1"/>
  <c r="J640" i="12" l="1"/>
  <c r="J641" i="12" l="1"/>
  <c r="J642" i="12" l="1"/>
  <c r="J643" i="12" l="1"/>
  <c r="J644" i="12" l="1"/>
  <c r="J645" i="12" l="1"/>
  <c r="J646" i="12" l="1"/>
  <c r="J647" i="12" l="1"/>
  <c r="J648" i="12" l="1"/>
  <c r="J649" i="12" l="1"/>
  <c r="J650" i="12" l="1"/>
  <c r="J651" i="12" l="1"/>
  <c r="J652" i="12" l="1"/>
  <c r="J653" i="12" l="1"/>
  <c r="J654" i="12" l="1"/>
  <c r="J655" i="12" l="1"/>
  <c r="J656" i="12" l="1"/>
  <c r="J657" i="12" l="1"/>
  <c r="J658" i="12" l="1"/>
  <c r="J659" i="12" l="1"/>
  <c r="J660" i="12" l="1"/>
  <c r="J661" i="12" l="1"/>
  <c r="J662" i="12" l="1"/>
  <c r="J663" i="12" l="1"/>
  <c r="J664" i="12" l="1"/>
  <c r="J665" i="12" l="1"/>
  <c r="J666" i="12" l="1"/>
  <c r="J667" i="12" l="1"/>
  <c r="J668" i="12" l="1"/>
  <c r="J669" i="12" l="1"/>
  <c r="J670" i="12" l="1"/>
  <c r="J671" i="12" l="1"/>
  <c r="J672" i="12" l="1"/>
  <c r="J673" i="12" l="1"/>
  <c r="J674" i="12" l="1"/>
  <c r="J675" i="12" l="1"/>
  <c r="J676" i="12" l="1"/>
  <c r="J677" i="12" l="1"/>
  <c r="J678" i="12" l="1"/>
  <c r="J679" i="12" l="1"/>
  <c r="J680" i="12" l="1"/>
  <c r="J681" i="12" l="1"/>
  <c r="J682" i="12" l="1"/>
  <c r="J683" i="12" l="1"/>
  <c r="J684" i="12" l="1"/>
  <c r="J685" i="12" l="1"/>
  <c r="J686" i="12" l="1"/>
  <c r="J687" i="12" l="1"/>
  <c r="J688" i="12" l="1"/>
  <c r="J689" i="12" l="1"/>
  <c r="J690" i="12" l="1"/>
  <c r="J691" i="12" l="1"/>
  <c r="J692" i="12" l="1"/>
  <c r="J693" i="12" l="1"/>
  <c r="J694" i="12" l="1"/>
  <c r="J695" i="12" l="1"/>
  <c r="J696" i="12" l="1"/>
  <c r="J697" i="12" l="1"/>
  <c r="J698" i="12" l="1"/>
  <c r="J699" i="12" l="1"/>
  <c r="J700" i="12" l="1"/>
  <c r="J701" i="12" l="1"/>
  <c r="J702" i="12" l="1"/>
  <c r="J703" i="12" l="1"/>
  <c r="J704" i="12" l="1"/>
  <c r="J705" i="12" l="1"/>
  <c r="J706" i="12" l="1"/>
  <c r="J707" i="12" l="1"/>
  <c r="J708" i="12" l="1"/>
  <c r="J709" i="12" l="1"/>
  <c r="J710" i="12" l="1"/>
  <c r="J711" i="12" l="1"/>
  <c r="J712" i="12" l="1"/>
  <c r="J713" i="12" l="1"/>
  <c r="J714" i="12" l="1"/>
  <c r="J715" i="12" l="1"/>
  <c r="J716" i="12" l="1"/>
  <c r="J717" i="12" l="1"/>
  <c r="J718" i="12" l="1"/>
  <c r="J719" i="12" l="1"/>
  <c r="J720" i="12" l="1"/>
  <c r="J721" i="12" l="1"/>
  <c r="J722" i="12" l="1"/>
  <c r="J723" i="12" l="1"/>
  <c r="J724" i="12" l="1"/>
  <c r="J725" i="12" l="1"/>
  <c r="J726" i="12" l="1"/>
  <c r="J727" i="12" l="1"/>
  <c r="J728" i="12" l="1"/>
  <c r="J729" i="12" l="1"/>
  <c r="J730" i="12" l="1"/>
  <c r="J731" i="12" l="1"/>
  <c r="J732" i="12" l="1"/>
  <c r="J733" i="12" l="1"/>
  <c r="J734" i="12" l="1"/>
  <c r="J735" i="12" l="1"/>
  <c r="J736" i="12" l="1"/>
  <c r="J737" i="12" l="1"/>
  <c r="J738" i="12" l="1"/>
  <c r="J739" i="12" l="1"/>
  <c r="J740" i="12" l="1"/>
  <c r="J741" i="12" l="1"/>
  <c r="J742" i="12" l="1"/>
  <c r="J743" i="12" l="1"/>
  <c r="J744" i="12" l="1"/>
  <c r="J745" i="12" l="1"/>
  <c r="J746" i="12" l="1"/>
  <c r="J747" i="12" l="1"/>
  <c r="J748" i="12" l="1"/>
  <c r="J749" i="12" l="1"/>
  <c r="J750" i="12" l="1"/>
  <c r="J751" i="12" l="1"/>
  <c r="J752" i="12" l="1"/>
  <c r="J753" i="12" l="1"/>
  <c r="J754" i="12" l="1"/>
  <c r="J755" i="12" l="1"/>
  <c r="J756" i="12" l="1"/>
  <c r="J757" i="12" l="1"/>
  <c r="J758" i="12" l="1"/>
  <c r="J759" i="12" l="1"/>
  <c r="J760" i="12" l="1"/>
  <c r="J761" i="12" l="1"/>
  <c r="J762" i="12" l="1"/>
  <c r="J763" i="12" l="1"/>
  <c r="J764" i="12" l="1"/>
  <c r="J765" i="12" l="1"/>
  <c r="J766" i="12" l="1"/>
  <c r="J767" i="12" l="1"/>
  <c r="J768" i="12" l="1"/>
  <c r="J769" i="12" l="1"/>
  <c r="J770" i="12" l="1"/>
</calcChain>
</file>

<file path=xl/sharedStrings.xml><?xml version="1.0" encoding="utf-8"?>
<sst xmlns="http://schemas.openxmlformats.org/spreadsheetml/2006/main" count="8990" uniqueCount="93">
  <si>
    <t>MOL</t>
  </si>
  <si>
    <t>OTP</t>
  </si>
  <si>
    <t>VaR(%)</t>
  </si>
  <si>
    <t>alfa</t>
  </si>
  <si>
    <t>VaR</t>
  </si>
  <si>
    <t>ES</t>
  </si>
  <si>
    <t>VaR (Ft)</t>
  </si>
  <si>
    <t>return</t>
  </si>
  <si>
    <t>Closing price</t>
  </si>
  <si>
    <t>Date</t>
  </si>
  <si>
    <t>MTELEKOM</t>
  </si>
  <si>
    <t>Historical</t>
  </si>
  <si>
    <t>Portfolio</t>
  </si>
  <si>
    <t>Portfolio return</t>
  </si>
  <si>
    <t>weight</t>
  </si>
  <si>
    <t>n</t>
  </si>
  <si>
    <t>Portfolio (000)</t>
  </si>
  <si>
    <t>i</t>
  </si>
  <si>
    <t>lambda</t>
  </si>
  <si>
    <t>Exp_weight</t>
  </si>
  <si>
    <t>r</t>
  </si>
  <si>
    <t>r(portfolio)</t>
  </si>
  <si>
    <t>var(portfolio)</t>
  </si>
  <si>
    <t>St. Dev.</t>
  </si>
  <si>
    <t xml:space="preserve">Single stock </t>
  </si>
  <si>
    <t>Mean</t>
  </si>
  <si>
    <t>Var. (%)</t>
  </si>
  <si>
    <t>sum (n):</t>
  </si>
  <si>
    <t>logreturn</t>
  </si>
  <si>
    <t>st. Dev</t>
  </si>
  <si>
    <t>mean</t>
  </si>
  <si>
    <t>VARlog%</t>
  </si>
  <si>
    <t>outlier (m):</t>
  </si>
  <si>
    <t>alfa=</t>
  </si>
  <si>
    <t>multiplier=</t>
  </si>
  <si>
    <t>one-tailed test</t>
  </si>
  <si>
    <t>two-tailed test</t>
  </si>
  <si>
    <t>kupiec</t>
  </si>
  <si>
    <t>Critical value</t>
  </si>
  <si>
    <t>r=</t>
  </si>
  <si>
    <t>multiplier</t>
  </si>
  <si>
    <t>s(dr )</t>
  </si>
  <si>
    <t>D*</t>
  </si>
  <si>
    <t>s(bond)</t>
  </si>
  <si>
    <t>VaR%</t>
  </si>
  <si>
    <t>VaR:</t>
  </si>
  <si>
    <t>S0=</t>
  </si>
  <si>
    <t>X=</t>
  </si>
  <si>
    <t>tau=</t>
  </si>
  <si>
    <t>μ=</t>
  </si>
  <si>
    <t>T=</t>
  </si>
  <si>
    <t>σ=</t>
  </si>
  <si>
    <t>m=</t>
  </si>
  <si>
    <t>c0=</t>
  </si>
  <si>
    <t>s=</t>
  </si>
  <si>
    <t>p0=</t>
  </si>
  <si>
    <t>c0+p0=</t>
  </si>
  <si>
    <t>N(0,1)</t>
  </si>
  <si>
    <t>S1=</t>
  </si>
  <si>
    <t>Call=</t>
  </si>
  <si>
    <t>Put=</t>
  </si>
  <si>
    <t>Stock</t>
  </si>
  <si>
    <t>Option</t>
  </si>
  <si>
    <t>Logreturn</t>
  </si>
  <si>
    <t>Call</t>
  </si>
  <si>
    <t>S*=</t>
  </si>
  <si>
    <t>r*=</t>
  </si>
  <si>
    <t>c*=</t>
  </si>
  <si>
    <t>Straddle</t>
  </si>
  <si>
    <t>logreturn=</t>
  </si>
  <si>
    <t>Simulation</t>
  </si>
  <si>
    <t>Realizations</t>
  </si>
  <si>
    <t>Treshold=</t>
  </si>
  <si>
    <t>VaR =</t>
  </si>
  <si>
    <t>5-Year Yield</t>
  </si>
  <si>
    <t>Change of yields</t>
  </si>
  <si>
    <t>dr</t>
  </si>
  <si>
    <t>%</t>
  </si>
  <si>
    <t>dur</t>
  </si>
  <si>
    <t>years</t>
  </si>
  <si>
    <t>value</t>
  </si>
  <si>
    <t>billion USD</t>
  </si>
  <si>
    <t>mod. Dur</t>
  </si>
  <si>
    <t>Historical simulation</t>
  </si>
  <si>
    <t>Delta nomal method</t>
  </si>
  <si>
    <t>VaR(monthly)</t>
  </si>
  <si>
    <t>Expected value</t>
  </si>
  <si>
    <t>VaR (yearly)</t>
  </si>
  <si>
    <t>Volatility</t>
  </si>
  <si>
    <t>VaR(dr)</t>
  </si>
  <si>
    <t>Actual change in 94':</t>
  </si>
  <si>
    <t>Change of the portfolio based on dur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</si>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</sst>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F_t_-;\-* #,##0.00\ _F_t_-;_-* &quot;-&quot;??\ _F_t_-;_-@_-"/>
    <numFmt numFmtId="165" formatCode="#,##0_ ;\-#,##0\ "/>
    <numFmt numFmtId="166" formatCode="#,###"/>
    <numFmt numFmtId="167" formatCode="0.0000"/>
    <numFmt numFmtId="168" formatCode="#,##0.0000"/>
    <numFmt numFmtId="169" formatCode="0.0%"/>
    <numFmt numFmtId="170" formatCode="0.000"/>
    <numFmt numFmtId="171" formatCode="0.000%"/>
  </numFmts>
  <fonts count="7" x14ac:knownFonts="1">
    <font>
      <sz val="10"/>
      <name val="Arial"/>
      <charset val="238"/>
    </font>
    <font>
      <i/>
      <sz val="10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color indexed="8"/>
      <name val="Arial"/>
      <family val="2"/>
      <charset val="238"/>
    </font>
    <font>
      <sz val="12"/>
      <name val="Times New Roman"/>
      <family val="1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</cellStyleXfs>
  <cellXfs count="115">
    <xf numFmtId="0" fontId="0" fillId="0" borderId="0" xfId="0"/>
    <xf numFmtId="10" fontId="0" fillId="0" borderId="0" xfId="2" applyNumberFormat="1" applyFont="1" applyBorder="1"/>
    <xf numFmtId="14" fontId="0" fillId="0" borderId="0" xfId="0" applyNumberFormat="1"/>
    <xf numFmtId="0" fontId="0" fillId="0" borderId="3" xfId="0" applyBorder="1"/>
    <xf numFmtId="1" fontId="0" fillId="0" borderId="0" xfId="0" applyNumberFormat="1"/>
    <xf numFmtId="0" fontId="4" fillId="0" borderId="0" xfId="0" applyFont="1"/>
    <xf numFmtId="9" fontId="0" fillId="0" borderId="0" xfId="0" applyNumberFormat="1" applyBorder="1"/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/>
    <xf numFmtId="0" fontId="0" fillId="0" borderId="0" xfId="0" applyBorder="1"/>
    <xf numFmtId="0" fontId="2" fillId="0" borderId="0" xfId="0" applyFont="1"/>
    <xf numFmtId="10" fontId="0" fillId="0" borderId="0" xfId="2" applyNumberFormat="1" applyFont="1" applyAlignment="1">
      <alignment horizontal="center"/>
    </xf>
    <xf numFmtId="0" fontId="2" fillId="0" borderId="8" xfId="0" applyFont="1" applyBorder="1" applyAlignment="1">
      <alignment horizontal="center"/>
    </xf>
    <xf numFmtId="2" fontId="0" fillId="0" borderId="0" xfId="0" applyNumberFormat="1"/>
    <xf numFmtId="10" fontId="0" fillId="0" borderId="0" xfId="2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/>
    <xf numFmtId="2" fontId="0" fillId="0" borderId="0" xfId="2" applyNumberFormat="1" applyFont="1" applyAlignment="1">
      <alignment horizontal="center"/>
    </xf>
    <xf numFmtId="0" fontId="2" fillId="0" borderId="0" xfId="0" applyFont="1" applyFill="1" applyBorder="1"/>
    <xf numFmtId="0" fontId="2" fillId="0" borderId="0" xfId="0" applyFont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right"/>
    </xf>
    <xf numFmtId="168" fontId="0" fillId="0" borderId="0" xfId="0" applyNumberFormat="1"/>
    <xf numFmtId="14" fontId="2" fillId="0" borderId="0" xfId="0" applyNumberFormat="1" applyFont="1"/>
    <xf numFmtId="3" fontId="0" fillId="0" borderId="0" xfId="0" applyNumberFormat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0" fontId="0" fillId="2" borderId="0" xfId="0" applyNumberFormat="1" applyFill="1" applyAlignment="1">
      <alignment horizontal="center"/>
    </xf>
    <xf numFmtId="1" fontId="2" fillId="0" borderId="0" xfId="0" applyNumberFormat="1" applyFont="1"/>
    <xf numFmtId="167" fontId="0" fillId="0" borderId="0" xfId="0" applyNumberFormat="1"/>
    <xf numFmtId="3" fontId="0" fillId="0" borderId="0" xfId="0" applyNumberFormat="1" applyBorder="1"/>
    <xf numFmtId="0" fontId="3" fillId="0" borderId="8" xfId="0" applyFont="1" applyFill="1" applyBorder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0" borderId="0" xfId="0" applyNumberFormat="1" applyFill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1" fontId="0" fillId="0" borderId="0" xfId="2" applyNumberFormat="1" applyFont="1" applyBorder="1" applyAlignment="1">
      <alignment horizontal="center"/>
    </xf>
    <xf numFmtId="0" fontId="0" fillId="0" borderId="0" xfId="0" applyFont="1" applyFill="1" applyBorder="1"/>
    <xf numFmtId="169" fontId="0" fillId="0" borderId="0" xfId="0" applyNumberFormat="1" applyAlignment="1">
      <alignment horizontal="center"/>
    </xf>
    <xf numFmtId="16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2" fillId="0" borderId="0" xfId="0" applyNumberFormat="1" applyFont="1" applyAlignment="1">
      <alignment horizontal="center"/>
    </xf>
    <xf numFmtId="0" fontId="0" fillId="0" borderId="0" xfId="0" applyFill="1" applyBorder="1" applyAlignment="1"/>
    <xf numFmtId="0" fontId="0" fillId="0" borderId="6" xfId="0" applyFill="1" applyBorder="1" applyAlignment="1"/>
    <xf numFmtId="0" fontId="1" fillId="0" borderId="10" xfId="0" applyFont="1" applyFill="1" applyBorder="1" applyAlignment="1">
      <alignment horizontal="center"/>
    </xf>
    <xf numFmtId="167" fontId="0" fillId="0" borderId="0" xfId="0" applyNumberFormat="1" applyFill="1" applyBorder="1" applyAlignment="1"/>
    <xf numFmtId="10" fontId="0" fillId="0" borderId="0" xfId="2" applyNumberFormat="1" applyFont="1" applyFill="1" applyBorder="1" applyAlignment="1"/>
    <xf numFmtId="0" fontId="3" fillId="3" borderId="0" xfId="0" applyFont="1" applyFill="1"/>
    <xf numFmtId="0" fontId="2" fillId="3" borderId="0" xfId="0" applyFont="1" applyFill="1"/>
    <xf numFmtId="0" fontId="2" fillId="0" borderId="0" xfId="0" applyFont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0" xfId="3"/>
    <xf numFmtId="10" fontId="3" fillId="0" borderId="0" xfId="4" applyNumberFormat="1" applyFont="1"/>
    <xf numFmtId="0" fontId="3" fillId="0" borderId="0" xfId="3" applyFont="1"/>
    <xf numFmtId="167" fontId="2" fillId="0" borderId="0" xfId="3" applyNumberFormat="1"/>
    <xf numFmtId="167" fontId="3" fillId="0" borderId="0" xfId="3" applyNumberFormat="1" applyFont="1" applyAlignment="1">
      <alignment horizontal="right"/>
    </xf>
    <xf numFmtId="10" fontId="0" fillId="0" borderId="0" xfId="4" applyNumberFormat="1" applyFont="1"/>
    <xf numFmtId="0" fontId="3" fillId="0" borderId="11" xfId="0" applyFont="1" applyBorder="1" applyAlignment="1">
      <alignment horizontal="center"/>
    </xf>
    <xf numFmtId="0" fontId="3" fillId="0" borderId="11" xfId="3" applyFont="1" applyBorder="1" applyAlignment="1">
      <alignment horizontal="right"/>
    </xf>
    <xf numFmtId="167" fontId="3" fillId="0" borderId="11" xfId="3" applyNumberFormat="1" applyFont="1" applyBorder="1" applyAlignment="1">
      <alignment horizontal="right"/>
    </xf>
    <xf numFmtId="1" fontId="2" fillId="0" borderId="0" xfId="3" applyNumberFormat="1"/>
    <xf numFmtId="14" fontId="0" fillId="0" borderId="0" xfId="0" applyNumberFormat="1" applyAlignment="1">
      <alignment horizontal="center"/>
    </xf>
    <xf numFmtId="167" fontId="3" fillId="0" borderId="0" xfId="3" applyNumberFormat="1" applyFont="1"/>
    <xf numFmtId="10" fontId="2" fillId="0" borderId="0" xfId="2" applyNumberFormat="1" applyFont="1"/>
    <xf numFmtId="14" fontId="5" fillId="0" borderId="0" xfId="3" applyNumberFormat="1" applyFont="1"/>
    <xf numFmtId="3" fontId="5" fillId="0" borderId="0" xfId="3" applyNumberFormat="1" applyFont="1"/>
    <xf numFmtId="0" fontId="0" fillId="0" borderId="0" xfId="0" applyAlignment="1">
      <alignment horizontal="right"/>
    </xf>
    <xf numFmtId="9" fontId="0" fillId="0" borderId="0" xfId="0" applyNumberFormat="1"/>
    <xf numFmtId="0" fontId="2" fillId="0" borderId="0" xfId="0" applyFont="1" applyAlignment="1">
      <alignment horizontal="right"/>
    </xf>
    <xf numFmtId="170" fontId="0" fillId="0" borderId="0" xfId="0" applyNumberFormat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1" fontId="0" fillId="0" borderId="0" xfId="2" applyNumberFormat="1" applyFont="1" applyAlignment="1">
      <alignment horizontal="center"/>
    </xf>
    <xf numFmtId="4" fontId="0" fillId="0" borderId="0" xfId="0" applyNumberFormat="1"/>
    <xf numFmtId="10" fontId="0" fillId="0" borderId="0" xfId="0" applyNumberFormat="1" applyFill="1"/>
    <xf numFmtId="169" fontId="0" fillId="2" borderId="0" xfId="0" applyNumberFormat="1" applyFill="1" applyAlignment="1">
      <alignment horizontal="center"/>
    </xf>
    <xf numFmtId="0" fontId="6" fillId="0" borderId="0" xfId="0" applyFont="1" applyAlignment="1">
      <alignment horizontal="justify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3" fillId="0" borderId="1" xfId="5" applyFont="1" applyBorder="1"/>
    <xf numFmtId="0" fontId="2" fillId="0" borderId="0" xfId="5"/>
    <xf numFmtId="0" fontId="3" fillId="0" borderId="0" xfId="5" applyFont="1"/>
    <xf numFmtId="0" fontId="2" fillId="0" borderId="0" xfId="5" applyAlignment="1">
      <alignment horizontal="right"/>
    </xf>
    <xf numFmtId="2" fontId="2" fillId="0" borderId="0" xfId="5" applyNumberFormat="1" applyAlignment="1">
      <alignment horizontal="center"/>
    </xf>
    <xf numFmtId="0" fontId="2" fillId="0" borderId="1" xfId="5" applyBorder="1" applyAlignment="1">
      <alignment horizontal="left"/>
    </xf>
    <xf numFmtId="167" fontId="0" fillId="0" borderId="0" xfId="0" applyNumberFormat="1" applyAlignment="1">
      <alignment horizontal="center"/>
    </xf>
    <xf numFmtId="0" fontId="1" fillId="0" borderId="0" xfId="5" applyFont="1" applyAlignment="1">
      <alignment horizontal="center"/>
    </xf>
    <xf numFmtId="2" fontId="2" fillId="0" borderId="0" xfId="5" applyNumberFormat="1"/>
    <xf numFmtId="0" fontId="2" fillId="0" borderId="1" xfId="5" applyFont="1" applyBorder="1"/>
    <xf numFmtId="170" fontId="2" fillId="0" borderId="0" xfId="5" applyNumberFormat="1"/>
    <xf numFmtId="10" fontId="2" fillId="0" borderId="0" xfId="2" applyNumberFormat="1"/>
    <xf numFmtId="0" fontId="2" fillId="0" borderId="0" xfId="5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17" fontId="0" fillId="0" borderId="0" xfId="0" applyNumberFormat="1"/>
    <xf numFmtId="2" fontId="0" fillId="0" borderId="0" xfId="2" applyNumberFormat="1" applyFont="1"/>
    <xf numFmtId="0" fontId="0" fillId="0" borderId="0" xfId="0" applyAlignment="1">
      <alignment wrapText="1"/>
    </xf>
  </cellXfs>
  <cellStyles count="6">
    <cellStyle name="Comma" xfId="1" builtinId="3"/>
    <cellStyle name="Normal" xfId="0" builtinId="0"/>
    <cellStyle name="Normál 2" xfId="3" xr:uid="{3020B43E-CD2F-4009-93C6-54789310F59C}"/>
    <cellStyle name="Normál_Feladatok_13" xfId="5" xr:uid="{B628254C-AB3A-48E2-B67D-D210F5A02C9A}"/>
    <cellStyle name="Percent" xfId="2" builtinId="5"/>
    <cellStyle name="Százalék 2" xfId="4" xr:uid="{2B73A068-E415-45B8-B077-1CFF9DBA45D5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127000</xdr:rowOff>
        </xdr:from>
        <xdr:to>
          <xdr:col>18</xdr:col>
          <xdr:colOff>69850</xdr:colOff>
          <xdr:row>4</xdr:row>
          <xdr:rowOff>69850</xdr:rowOff>
        </xdr:to>
        <xdr:sp macro="" textlink="">
          <xdr:nvSpPr>
            <xdr:cNvPr id="40961" name="Object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127000</xdr:colOff>
          <xdr:row>15</xdr:row>
          <xdr:rowOff>38100</xdr:rowOff>
        </xdr:from>
        <xdr:to>
          <xdr:col>14</xdr:col>
          <xdr:colOff>584200</xdr:colOff>
          <xdr:row>16</xdr:row>
          <xdr:rowOff>114300</xdr:rowOff>
        </xdr:to>
        <xdr:sp macro="" textlink="">
          <xdr:nvSpPr>
            <xdr:cNvPr id="41985" name="Object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w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T998"/>
  <sheetViews>
    <sheetView topLeftCell="B1" workbookViewId="0">
      <selection activeCell="K9" sqref="K9"/>
    </sheetView>
  </sheetViews>
  <sheetFormatPr defaultRowHeight="12.5" x14ac:dyDescent="0.25"/>
  <cols>
    <col min="1" max="1" width="11.81640625" style="11" customWidth="1"/>
    <col min="2" max="2" width="9.81640625" style="11" customWidth="1"/>
    <col min="3" max="3" width="12.1796875" style="11" customWidth="1"/>
    <col min="4" max="4" width="10.81640625" style="11" customWidth="1"/>
    <col min="5" max="5" width="12.26953125" style="11" bestFit="1" customWidth="1"/>
    <col min="6" max="6" width="10.7265625" style="11" customWidth="1"/>
    <col min="7" max="7" width="12.453125" style="11" customWidth="1"/>
    <col min="8" max="8" width="11.81640625" style="11" customWidth="1"/>
    <col min="9" max="9" width="15.7265625" style="11" customWidth="1"/>
    <col min="10" max="10" width="13.7265625" style="11" bestFit="1" customWidth="1"/>
    <col min="11" max="11" width="12.1796875" style="11" customWidth="1"/>
    <col min="12" max="12" width="12.54296875" style="11" bestFit="1" customWidth="1"/>
    <col min="13" max="13" width="16.26953125" style="11" bestFit="1" customWidth="1"/>
    <col min="14" max="14" width="16.54296875" style="11" customWidth="1"/>
    <col min="15" max="15" width="8.7265625" style="11"/>
    <col min="16" max="16" width="11.6328125" style="11" customWidth="1"/>
    <col min="17" max="17" width="10.1796875" style="11" bestFit="1" customWidth="1"/>
    <col min="18" max="16384" width="8.7265625" style="11"/>
  </cols>
  <sheetData>
    <row r="1" spans="1:20" x14ac:dyDescent="0.25">
      <c r="J1" s="13" t="s">
        <v>15</v>
      </c>
      <c r="K1" s="12"/>
      <c r="L1" s="10"/>
      <c r="M1" s="10"/>
      <c r="R1" s="13"/>
      <c r="S1" s="13"/>
    </row>
    <row r="2" spans="1:20" ht="13" x14ac:dyDescent="0.3">
      <c r="H2" s="5"/>
      <c r="I2" s="5"/>
      <c r="J2" s="11" t="s">
        <v>3</v>
      </c>
      <c r="K2" s="6">
        <v>0.99</v>
      </c>
      <c r="L2" s="12"/>
      <c r="M2" s="12"/>
      <c r="P2" s="13"/>
      <c r="Q2" s="2"/>
    </row>
    <row r="3" spans="1:20" ht="13" x14ac:dyDescent="0.3">
      <c r="A3" s="3"/>
      <c r="B3" s="106" t="s">
        <v>8</v>
      </c>
      <c r="C3" s="109"/>
      <c r="D3" s="110"/>
      <c r="E3" s="106" t="s">
        <v>7</v>
      </c>
      <c r="F3" s="107"/>
      <c r="G3" s="108"/>
      <c r="J3" s="13" t="s">
        <v>16</v>
      </c>
      <c r="K3" s="40"/>
      <c r="L3" s="12"/>
      <c r="M3" s="12"/>
      <c r="Q3" s="2"/>
    </row>
    <row r="4" spans="1:20" ht="26" x14ac:dyDescent="0.3">
      <c r="A4" s="28" t="s">
        <v>9</v>
      </c>
      <c r="B4" s="7" t="s">
        <v>0</v>
      </c>
      <c r="C4" s="8" t="s">
        <v>10</v>
      </c>
      <c r="D4" s="9" t="s">
        <v>1</v>
      </c>
      <c r="E4" s="7" t="s">
        <v>0</v>
      </c>
      <c r="F4" s="8" t="s">
        <v>10</v>
      </c>
      <c r="G4" s="9" t="s">
        <v>1</v>
      </c>
      <c r="H4" s="34" t="s">
        <v>13</v>
      </c>
      <c r="I4" s="19"/>
      <c r="J4" s="19" t="s">
        <v>11</v>
      </c>
      <c r="K4" s="12"/>
      <c r="L4" s="12"/>
      <c r="M4" s="12"/>
      <c r="Q4" s="2"/>
    </row>
    <row r="5" spans="1:20" x14ac:dyDescent="0.25">
      <c r="A5" s="2">
        <v>45400</v>
      </c>
      <c r="B5" s="20">
        <v>3020</v>
      </c>
      <c r="C5" s="20">
        <v>922</v>
      </c>
      <c r="D5" s="20">
        <v>17045</v>
      </c>
      <c r="E5" s="17" t="s">
        <v>92</v>
      </c>
      <c r="F5" s="17" t="s">
        <v>92</v>
      </c>
      <c r="G5" s="17" t="s">
        <v>92</v>
      </c>
      <c r="H5" s="17" t="s">
        <v>92</v>
      </c>
      <c r="I5" s="4"/>
      <c r="J5" s="13"/>
      <c r="Q5" s="2"/>
    </row>
    <row r="6" spans="1:20" ht="13.5" thickBot="1" x14ac:dyDescent="0.35">
      <c r="A6" s="2">
        <v>45399</v>
      </c>
      <c r="B6" s="20">
        <v>3026</v>
      </c>
      <c r="C6" s="20">
        <v>925</v>
      </c>
      <c r="D6" s="20">
        <v>17210</v>
      </c>
      <c r="E6" s="17" t="s">
        <v>92</v>
      </c>
      <c r="F6" s="17" t="s">
        <v>92</v>
      </c>
      <c r="G6" s="17" t="s">
        <v>92</v>
      </c>
      <c r="H6" s="17" t="s">
        <v>92</v>
      </c>
      <c r="I6" s="4"/>
      <c r="J6" s="15"/>
      <c r="K6" s="36" t="s">
        <v>0</v>
      </c>
      <c r="L6" s="36" t="s">
        <v>10</v>
      </c>
      <c r="M6" s="36" t="s">
        <v>1</v>
      </c>
      <c r="N6" s="41" t="s">
        <v>12</v>
      </c>
      <c r="Q6" s="2"/>
    </row>
    <row r="7" spans="1:20" ht="13" thickTop="1" x14ac:dyDescent="0.25">
      <c r="A7" s="2">
        <v>45398</v>
      </c>
      <c r="B7" s="20">
        <v>2968</v>
      </c>
      <c r="C7" s="20">
        <v>916</v>
      </c>
      <c r="D7" s="20">
        <v>17030</v>
      </c>
      <c r="E7" s="17" t="s">
        <v>92</v>
      </c>
      <c r="F7" s="17" t="s">
        <v>92</v>
      </c>
      <c r="G7" s="17" t="s">
        <v>92</v>
      </c>
      <c r="H7" s="17" t="s">
        <v>92</v>
      </c>
      <c r="I7" s="4"/>
      <c r="J7" s="11" t="s">
        <v>2</v>
      </c>
      <c r="K7" s="14"/>
      <c r="L7" s="14"/>
      <c r="M7" s="14"/>
      <c r="N7" s="14"/>
      <c r="P7" s="23"/>
      <c r="Q7" s="2"/>
    </row>
    <row r="8" spans="1:20" x14ac:dyDescent="0.25">
      <c r="A8" s="2">
        <v>45397</v>
      </c>
      <c r="B8" s="20">
        <v>3048</v>
      </c>
      <c r="C8" s="20">
        <v>920</v>
      </c>
      <c r="D8" s="20">
        <v>17700</v>
      </c>
      <c r="E8" s="17" t="s">
        <v>92</v>
      </c>
      <c r="F8" s="17" t="s">
        <v>92</v>
      </c>
      <c r="G8" s="17" t="s">
        <v>92</v>
      </c>
      <c r="H8" s="17" t="s">
        <v>92</v>
      </c>
      <c r="I8" s="4"/>
      <c r="J8" s="13" t="s">
        <v>6</v>
      </c>
      <c r="K8" s="21"/>
      <c r="L8" s="21"/>
      <c r="M8" s="21"/>
      <c r="N8" s="21"/>
      <c r="P8" s="27"/>
      <c r="Q8" s="25"/>
      <c r="R8" s="24"/>
      <c r="S8" s="24"/>
      <c r="T8" s="24"/>
    </row>
    <row r="9" spans="1:20" x14ac:dyDescent="0.25">
      <c r="A9" s="2">
        <v>45394</v>
      </c>
      <c r="B9" s="20">
        <v>3048</v>
      </c>
      <c r="C9" s="20">
        <v>915</v>
      </c>
      <c r="D9" s="20">
        <v>17600</v>
      </c>
      <c r="E9" s="17" t="s">
        <v>92</v>
      </c>
      <c r="F9" s="17" t="s">
        <v>92</v>
      </c>
      <c r="G9" s="17" t="s">
        <v>92</v>
      </c>
      <c r="H9" s="17" t="s">
        <v>92</v>
      </c>
      <c r="I9" s="4"/>
      <c r="J9" s="22" t="s">
        <v>14</v>
      </c>
      <c r="K9" s="14"/>
      <c r="L9" s="14"/>
      <c r="M9" s="14"/>
      <c r="P9" s="27"/>
      <c r="Q9" s="25"/>
      <c r="R9" s="24"/>
      <c r="S9" s="24"/>
      <c r="T9" s="24"/>
    </row>
    <row r="10" spans="1:20" x14ac:dyDescent="0.25">
      <c r="A10" s="2">
        <v>45393</v>
      </c>
      <c r="B10" s="20">
        <v>3030</v>
      </c>
      <c r="C10" s="20">
        <v>930</v>
      </c>
      <c r="D10" s="20">
        <v>17475</v>
      </c>
      <c r="E10" s="17" t="s">
        <v>92</v>
      </c>
      <c r="F10" s="17" t="s">
        <v>92</v>
      </c>
      <c r="G10" s="17" t="s">
        <v>92</v>
      </c>
      <c r="H10" s="17" t="s">
        <v>92</v>
      </c>
      <c r="J10" s="22" t="s">
        <v>5</v>
      </c>
      <c r="K10" s="14"/>
      <c r="L10" s="14"/>
      <c r="M10" s="14"/>
      <c r="N10" s="14"/>
      <c r="O10" s="12"/>
      <c r="P10" s="27"/>
      <c r="Q10" s="26"/>
      <c r="R10" s="24"/>
      <c r="S10" s="24"/>
      <c r="T10" s="24"/>
    </row>
    <row r="11" spans="1:20" x14ac:dyDescent="0.25">
      <c r="A11" s="2">
        <v>45392</v>
      </c>
      <c r="B11" s="20">
        <v>3020</v>
      </c>
      <c r="C11" s="20">
        <v>931</v>
      </c>
      <c r="D11" s="20">
        <v>17550</v>
      </c>
      <c r="E11" s="17" t="s">
        <v>92</v>
      </c>
      <c r="F11" s="17" t="s">
        <v>92</v>
      </c>
      <c r="G11" s="17" t="s">
        <v>92</v>
      </c>
      <c r="H11" s="17" t="s">
        <v>92</v>
      </c>
      <c r="N11" s="33"/>
      <c r="O11" s="12"/>
      <c r="P11" s="27"/>
      <c r="Q11" s="25"/>
      <c r="R11" s="24"/>
      <c r="S11" s="24"/>
      <c r="T11" s="24"/>
    </row>
    <row r="12" spans="1:20" x14ac:dyDescent="0.25">
      <c r="A12" s="2">
        <v>45391</v>
      </c>
      <c r="B12" s="20">
        <v>3054</v>
      </c>
      <c r="C12" s="20">
        <v>916</v>
      </c>
      <c r="D12" s="20">
        <v>16895</v>
      </c>
      <c r="E12" s="17" t="s">
        <v>92</v>
      </c>
      <c r="F12" s="17" t="s">
        <v>92</v>
      </c>
      <c r="G12" s="17" t="s">
        <v>92</v>
      </c>
      <c r="H12" s="17" t="s">
        <v>92</v>
      </c>
      <c r="N12" s="18"/>
      <c r="O12" s="12"/>
      <c r="P12" s="27"/>
      <c r="Q12" s="25"/>
      <c r="R12" s="24"/>
      <c r="S12" s="24"/>
      <c r="T12" s="24"/>
    </row>
    <row r="13" spans="1:20" x14ac:dyDescent="0.25">
      <c r="A13" s="2">
        <v>45390</v>
      </c>
      <c r="B13" s="20">
        <v>3066</v>
      </c>
      <c r="C13" s="20">
        <v>919</v>
      </c>
      <c r="D13" s="20">
        <v>17000</v>
      </c>
      <c r="E13" s="17" t="s">
        <v>92</v>
      </c>
      <c r="F13" s="17" t="s">
        <v>92</v>
      </c>
      <c r="G13" s="17" t="s">
        <v>92</v>
      </c>
      <c r="H13" s="17" t="s">
        <v>92</v>
      </c>
      <c r="I13" s="4"/>
      <c r="J13" s="22"/>
      <c r="K13" s="21"/>
      <c r="L13" s="21"/>
      <c r="M13" s="21"/>
      <c r="N13" s="18"/>
      <c r="O13" s="12"/>
      <c r="P13" s="27"/>
      <c r="Q13" s="26"/>
      <c r="R13" s="24"/>
      <c r="S13" s="24"/>
      <c r="T13" s="24"/>
    </row>
    <row r="14" spans="1:20" ht="13.5" thickBot="1" x14ac:dyDescent="0.35">
      <c r="A14" s="2">
        <v>45387</v>
      </c>
      <c r="B14" s="20">
        <v>3050</v>
      </c>
      <c r="C14" s="20">
        <v>909</v>
      </c>
      <c r="D14" s="20">
        <v>17025</v>
      </c>
      <c r="E14" s="17" t="s">
        <v>92</v>
      </c>
      <c r="F14" s="17" t="s">
        <v>92</v>
      </c>
      <c r="G14" s="17" t="s">
        <v>92</v>
      </c>
      <c r="H14" s="17" t="s">
        <v>92</v>
      </c>
      <c r="I14" s="38" t="s">
        <v>14</v>
      </c>
      <c r="J14" s="35" t="s">
        <v>0</v>
      </c>
      <c r="K14" s="36" t="s">
        <v>10</v>
      </c>
      <c r="L14" s="36" t="s">
        <v>1</v>
      </c>
      <c r="M14" s="35" t="s">
        <v>12</v>
      </c>
      <c r="N14" s="18"/>
      <c r="O14" s="12"/>
      <c r="P14" s="27"/>
      <c r="Q14" s="25"/>
      <c r="R14" s="24"/>
      <c r="S14" s="24"/>
      <c r="T14" s="24"/>
    </row>
    <row r="15" spans="1:20" ht="13" thickTop="1" x14ac:dyDescent="0.25">
      <c r="A15" s="2">
        <v>45386</v>
      </c>
      <c r="B15" s="20">
        <v>3024</v>
      </c>
      <c r="C15" s="20">
        <v>910</v>
      </c>
      <c r="D15" s="20">
        <v>17180</v>
      </c>
      <c r="E15" s="17" t="s">
        <v>92</v>
      </c>
      <c r="F15" s="17" t="s">
        <v>92</v>
      </c>
      <c r="G15" s="17" t="s">
        <v>92</v>
      </c>
      <c r="H15" s="17" t="s">
        <v>92</v>
      </c>
      <c r="I15" s="39"/>
      <c r="J15" s="42"/>
      <c r="K15" s="88"/>
      <c r="L15" s="42"/>
      <c r="M15" s="43"/>
      <c r="N15" s="12"/>
      <c r="O15" s="12"/>
      <c r="P15" s="27"/>
      <c r="Q15" s="25"/>
      <c r="R15" s="24"/>
      <c r="S15" s="24"/>
      <c r="T15" s="24"/>
    </row>
    <row r="16" spans="1:20" x14ac:dyDescent="0.25">
      <c r="A16" s="2">
        <v>45385</v>
      </c>
      <c r="B16" s="20">
        <v>3014</v>
      </c>
      <c r="C16" s="20">
        <v>900</v>
      </c>
      <c r="D16" s="20">
        <v>17300</v>
      </c>
      <c r="E16" s="17" t="s">
        <v>92</v>
      </c>
      <c r="F16" s="17" t="s">
        <v>92</v>
      </c>
      <c r="G16" s="17" t="s">
        <v>92</v>
      </c>
      <c r="H16" s="17" t="s">
        <v>92</v>
      </c>
      <c r="I16" s="39"/>
      <c r="J16" s="42"/>
      <c r="K16" s="88"/>
      <c r="L16" s="42"/>
      <c r="M16" s="43"/>
      <c r="Q16" s="26"/>
      <c r="R16" s="24"/>
      <c r="S16" s="24"/>
      <c r="T16" s="24"/>
    </row>
    <row r="17" spans="1:20" x14ac:dyDescent="0.25">
      <c r="A17" s="2">
        <v>45384</v>
      </c>
      <c r="B17" s="20">
        <v>2964</v>
      </c>
      <c r="C17" s="20">
        <v>893</v>
      </c>
      <c r="D17" s="20">
        <v>16935</v>
      </c>
      <c r="E17" s="17" t="s">
        <v>92</v>
      </c>
      <c r="F17" s="17" t="s">
        <v>92</v>
      </c>
      <c r="G17" s="17" t="s">
        <v>92</v>
      </c>
      <c r="H17" s="17" t="s">
        <v>92</v>
      </c>
      <c r="I17" s="39"/>
      <c r="J17" s="42"/>
      <c r="K17" s="88"/>
      <c r="L17" s="42"/>
      <c r="M17" s="43"/>
      <c r="Q17" s="25"/>
      <c r="R17" s="24"/>
      <c r="S17" s="24"/>
      <c r="T17" s="24"/>
    </row>
    <row r="18" spans="1:20" x14ac:dyDescent="0.25">
      <c r="A18" s="2">
        <v>45379</v>
      </c>
      <c r="B18" s="20">
        <v>2960</v>
      </c>
      <c r="C18" s="20">
        <v>897</v>
      </c>
      <c r="D18" s="20">
        <v>16800</v>
      </c>
      <c r="E18" s="17" t="s">
        <v>92</v>
      </c>
      <c r="F18" s="17" t="s">
        <v>92</v>
      </c>
      <c r="G18" s="17" t="s">
        <v>92</v>
      </c>
      <c r="H18" s="17" t="s">
        <v>92</v>
      </c>
      <c r="I18" s="39"/>
      <c r="J18" s="42"/>
      <c r="K18" s="88"/>
      <c r="L18" s="42"/>
      <c r="M18" s="43"/>
      <c r="O18" s="13"/>
      <c r="Q18" s="2"/>
      <c r="R18" s="24"/>
      <c r="S18" s="24"/>
      <c r="T18" s="24"/>
    </row>
    <row r="19" spans="1:20" x14ac:dyDescent="0.25">
      <c r="A19" s="2">
        <v>45378</v>
      </c>
      <c r="B19" s="20">
        <v>2920</v>
      </c>
      <c r="C19" s="20">
        <v>890</v>
      </c>
      <c r="D19" s="20">
        <v>16600</v>
      </c>
      <c r="E19" s="17" t="s">
        <v>92</v>
      </c>
      <c r="F19" s="17" t="s">
        <v>92</v>
      </c>
      <c r="G19" s="17" t="s">
        <v>92</v>
      </c>
      <c r="H19" s="17" t="s">
        <v>92</v>
      </c>
      <c r="I19" s="39"/>
      <c r="J19" s="42"/>
      <c r="K19" s="88"/>
      <c r="L19" s="42"/>
      <c r="M19" s="43"/>
      <c r="Q19" s="2"/>
      <c r="R19" s="24"/>
      <c r="S19" s="24"/>
      <c r="T19" s="24"/>
    </row>
    <row r="20" spans="1:20" x14ac:dyDescent="0.25">
      <c r="A20" s="2">
        <v>45377</v>
      </c>
      <c r="B20" s="20">
        <v>2924</v>
      </c>
      <c r="C20" s="20">
        <v>890</v>
      </c>
      <c r="D20" s="20">
        <v>16705</v>
      </c>
      <c r="E20" s="17" t="s">
        <v>92</v>
      </c>
      <c r="F20" s="17" t="s">
        <v>92</v>
      </c>
      <c r="G20" s="17" t="s">
        <v>92</v>
      </c>
      <c r="H20" s="17" t="s">
        <v>92</v>
      </c>
      <c r="I20" s="39"/>
      <c r="J20" s="42"/>
      <c r="K20" s="88"/>
      <c r="L20" s="42"/>
      <c r="M20" s="43"/>
      <c r="Q20" s="2"/>
      <c r="R20" s="24"/>
      <c r="S20" s="24"/>
      <c r="T20" s="24"/>
    </row>
    <row r="21" spans="1:20" x14ac:dyDescent="0.25">
      <c r="A21" s="2">
        <v>45376</v>
      </c>
      <c r="B21" s="20">
        <v>2918</v>
      </c>
      <c r="C21" s="20">
        <v>892</v>
      </c>
      <c r="D21" s="20">
        <v>16850</v>
      </c>
      <c r="E21" s="17" t="s">
        <v>92</v>
      </c>
      <c r="F21" s="17" t="s">
        <v>92</v>
      </c>
      <c r="G21" s="17" t="s">
        <v>92</v>
      </c>
      <c r="H21" s="17" t="s">
        <v>92</v>
      </c>
      <c r="I21" s="39"/>
      <c r="J21" s="42"/>
      <c r="K21" s="88"/>
      <c r="L21" s="42"/>
      <c r="M21" s="43"/>
      <c r="Q21" s="2"/>
      <c r="R21" s="24"/>
      <c r="S21" s="24"/>
      <c r="T21" s="24"/>
    </row>
    <row r="22" spans="1:20" x14ac:dyDescent="0.25">
      <c r="A22" s="2">
        <v>45373</v>
      </c>
      <c r="B22" s="20">
        <v>2932</v>
      </c>
      <c r="C22" s="20">
        <v>890</v>
      </c>
      <c r="D22" s="20">
        <v>17000</v>
      </c>
      <c r="E22" s="17" t="s">
        <v>92</v>
      </c>
      <c r="F22" s="17" t="s">
        <v>92</v>
      </c>
      <c r="G22" s="17" t="s">
        <v>92</v>
      </c>
      <c r="H22" s="17" t="s">
        <v>92</v>
      </c>
      <c r="I22" s="39"/>
      <c r="J22" s="42"/>
      <c r="K22" s="88"/>
      <c r="L22" s="42"/>
      <c r="M22" s="43"/>
      <c r="Q22" s="2"/>
      <c r="R22" s="24"/>
      <c r="S22" s="24"/>
      <c r="T22" s="24"/>
    </row>
    <row r="23" spans="1:20" x14ac:dyDescent="0.25">
      <c r="A23" s="2">
        <v>45372</v>
      </c>
      <c r="B23" s="20">
        <v>2940</v>
      </c>
      <c r="C23" s="20">
        <v>901</v>
      </c>
      <c r="D23" s="20">
        <v>17195</v>
      </c>
      <c r="E23" s="17" t="s">
        <v>92</v>
      </c>
      <c r="F23" s="17" t="s">
        <v>92</v>
      </c>
      <c r="G23" s="17" t="s">
        <v>92</v>
      </c>
      <c r="H23" s="17" t="s">
        <v>92</v>
      </c>
      <c r="I23" s="39"/>
      <c r="J23" s="42"/>
      <c r="K23" s="88"/>
      <c r="L23" s="42"/>
      <c r="M23" s="43"/>
      <c r="Q23" s="2"/>
      <c r="R23" s="24"/>
      <c r="S23" s="24"/>
      <c r="T23" s="24"/>
    </row>
    <row r="24" spans="1:20" x14ac:dyDescent="0.25">
      <c r="A24" s="2">
        <v>45371</v>
      </c>
      <c r="B24" s="20">
        <v>2970</v>
      </c>
      <c r="C24" s="20">
        <v>891</v>
      </c>
      <c r="D24" s="20">
        <v>17245</v>
      </c>
      <c r="E24" s="17" t="s">
        <v>92</v>
      </c>
      <c r="F24" s="17" t="s">
        <v>92</v>
      </c>
      <c r="G24" s="17" t="s">
        <v>92</v>
      </c>
      <c r="H24" s="17" t="s">
        <v>92</v>
      </c>
      <c r="I24" s="39"/>
      <c r="J24" s="42"/>
      <c r="K24" s="88"/>
      <c r="L24" s="42"/>
      <c r="M24" s="43"/>
      <c r="Q24" s="2"/>
      <c r="R24" s="24"/>
      <c r="S24" s="24"/>
      <c r="T24" s="24"/>
    </row>
    <row r="25" spans="1:20" x14ac:dyDescent="0.25">
      <c r="A25" s="2">
        <v>45370</v>
      </c>
      <c r="B25" s="20">
        <v>2964</v>
      </c>
      <c r="C25" s="20">
        <v>890</v>
      </c>
      <c r="D25" s="20">
        <v>17270</v>
      </c>
      <c r="E25" s="17" t="s">
        <v>92</v>
      </c>
      <c r="F25" s="17" t="s">
        <v>92</v>
      </c>
      <c r="G25" s="17" t="s">
        <v>92</v>
      </c>
      <c r="H25" s="17" t="s">
        <v>92</v>
      </c>
      <c r="I25" s="39"/>
      <c r="J25" s="42"/>
      <c r="K25" s="88"/>
      <c r="L25" s="42"/>
      <c r="M25" s="43"/>
      <c r="Q25" s="2"/>
      <c r="R25" s="24"/>
      <c r="S25" s="24"/>
      <c r="T25" s="24"/>
    </row>
    <row r="26" spans="1:20" x14ac:dyDescent="0.25">
      <c r="A26" s="2">
        <v>45369</v>
      </c>
      <c r="B26" s="20">
        <v>2972</v>
      </c>
      <c r="C26" s="20">
        <v>898</v>
      </c>
      <c r="D26" s="20">
        <v>16895</v>
      </c>
      <c r="E26" s="17" t="s">
        <v>92</v>
      </c>
      <c r="F26" s="17" t="s">
        <v>92</v>
      </c>
      <c r="G26" s="17" t="s">
        <v>92</v>
      </c>
      <c r="H26" s="17" t="s">
        <v>92</v>
      </c>
      <c r="I26" s="39"/>
      <c r="J26" s="42"/>
      <c r="K26" s="88"/>
      <c r="L26" s="42"/>
      <c r="M26" s="43"/>
      <c r="Q26" s="2"/>
      <c r="R26" s="24"/>
      <c r="S26" s="24"/>
      <c r="T26" s="24"/>
    </row>
    <row r="27" spans="1:20" x14ac:dyDescent="0.25">
      <c r="A27" s="2">
        <v>45365</v>
      </c>
      <c r="B27" s="20">
        <v>2928</v>
      </c>
      <c r="C27" s="20">
        <v>893</v>
      </c>
      <c r="D27" s="20">
        <v>16785</v>
      </c>
      <c r="E27" s="17" t="s">
        <v>92</v>
      </c>
      <c r="F27" s="17" t="s">
        <v>92</v>
      </c>
      <c r="G27" s="17" t="s">
        <v>92</v>
      </c>
      <c r="H27" s="17" t="s">
        <v>92</v>
      </c>
      <c r="I27" s="39"/>
      <c r="J27" s="42"/>
      <c r="K27" s="88"/>
      <c r="L27" s="42"/>
      <c r="M27" s="43"/>
      <c r="Q27" s="2"/>
      <c r="R27" s="24"/>
      <c r="S27" s="24"/>
      <c r="T27" s="24"/>
    </row>
    <row r="28" spans="1:20" x14ac:dyDescent="0.25">
      <c r="A28" s="2">
        <v>45364</v>
      </c>
      <c r="B28" s="20">
        <v>2918</v>
      </c>
      <c r="C28" s="20">
        <v>899</v>
      </c>
      <c r="D28" s="20">
        <v>16915</v>
      </c>
      <c r="E28" s="17" t="s">
        <v>92</v>
      </c>
      <c r="F28" s="17" t="s">
        <v>92</v>
      </c>
      <c r="G28" s="17" t="s">
        <v>92</v>
      </c>
      <c r="H28" s="17" t="s">
        <v>92</v>
      </c>
      <c r="I28" s="39"/>
      <c r="J28" s="42"/>
      <c r="K28" s="88"/>
      <c r="L28" s="42"/>
      <c r="M28" s="43"/>
      <c r="Q28" s="2"/>
      <c r="R28" s="24"/>
      <c r="S28" s="24"/>
      <c r="T28" s="24"/>
    </row>
    <row r="29" spans="1:20" x14ac:dyDescent="0.25">
      <c r="A29" s="2">
        <v>45363</v>
      </c>
      <c r="B29" s="20">
        <v>2942</v>
      </c>
      <c r="C29" s="20">
        <v>890</v>
      </c>
      <c r="D29" s="20">
        <v>17350</v>
      </c>
      <c r="E29" s="17" t="s">
        <v>92</v>
      </c>
      <c r="F29" s="17" t="s">
        <v>92</v>
      </c>
      <c r="G29" s="17" t="s">
        <v>92</v>
      </c>
      <c r="H29" s="17" t="s">
        <v>92</v>
      </c>
      <c r="I29" s="39"/>
      <c r="J29" s="42"/>
      <c r="K29" s="88"/>
      <c r="L29" s="42"/>
      <c r="M29" s="43"/>
      <c r="Q29" s="2"/>
      <c r="R29" s="24"/>
      <c r="S29" s="24"/>
      <c r="T29" s="24"/>
    </row>
    <row r="30" spans="1:20" x14ac:dyDescent="0.25">
      <c r="A30" s="2">
        <v>45362</v>
      </c>
      <c r="B30" s="20">
        <v>2926</v>
      </c>
      <c r="C30" s="20">
        <v>879</v>
      </c>
      <c r="D30" s="20">
        <v>16860</v>
      </c>
      <c r="E30" s="17" t="s">
        <v>92</v>
      </c>
      <c r="F30" s="17" t="s">
        <v>92</v>
      </c>
      <c r="G30" s="17" t="s">
        <v>92</v>
      </c>
      <c r="H30" s="17" t="s">
        <v>92</v>
      </c>
      <c r="I30" s="39"/>
      <c r="J30" s="42"/>
      <c r="K30" s="88"/>
      <c r="L30" s="42"/>
      <c r="M30" s="43"/>
      <c r="Q30" s="2"/>
      <c r="R30" s="24"/>
      <c r="S30" s="24"/>
      <c r="T30" s="24"/>
    </row>
    <row r="31" spans="1:20" x14ac:dyDescent="0.25">
      <c r="A31" s="2">
        <v>45359</v>
      </c>
      <c r="B31" s="20">
        <v>2938</v>
      </c>
      <c r="C31" s="20">
        <v>886</v>
      </c>
      <c r="D31" s="20">
        <v>17085</v>
      </c>
      <c r="E31" s="17" t="s">
        <v>92</v>
      </c>
      <c r="F31" s="17" t="s">
        <v>92</v>
      </c>
      <c r="G31" s="17" t="s">
        <v>92</v>
      </c>
      <c r="H31" s="17" t="s">
        <v>92</v>
      </c>
      <c r="I31" s="39"/>
      <c r="J31" s="42"/>
      <c r="K31" s="88"/>
      <c r="L31" s="42"/>
      <c r="M31" s="43"/>
      <c r="Q31" s="2"/>
      <c r="R31" s="24"/>
      <c r="S31" s="24"/>
      <c r="T31" s="24"/>
    </row>
    <row r="32" spans="1:20" x14ac:dyDescent="0.25">
      <c r="A32" s="2">
        <v>45358</v>
      </c>
      <c r="B32" s="20">
        <v>2940</v>
      </c>
      <c r="C32" s="20">
        <v>879</v>
      </c>
      <c r="D32" s="20">
        <v>17250</v>
      </c>
      <c r="E32" s="17" t="s">
        <v>92</v>
      </c>
      <c r="F32" s="17" t="s">
        <v>92</v>
      </c>
      <c r="G32" s="17" t="s">
        <v>92</v>
      </c>
      <c r="H32" s="17" t="s">
        <v>92</v>
      </c>
      <c r="I32" s="39"/>
      <c r="J32" s="42"/>
      <c r="K32" s="88"/>
      <c r="L32" s="42"/>
      <c r="M32" s="43"/>
      <c r="Q32" s="2"/>
      <c r="R32" s="24"/>
      <c r="S32" s="24"/>
      <c r="T32" s="24"/>
    </row>
    <row r="33" spans="1:20" x14ac:dyDescent="0.25">
      <c r="A33" s="2">
        <v>45357</v>
      </c>
      <c r="B33" s="20">
        <v>2906</v>
      </c>
      <c r="C33" s="20">
        <v>850</v>
      </c>
      <c r="D33" s="20">
        <v>17300</v>
      </c>
      <c r="E33" s="17" t="s">
        <v>92</v>
      </c>
      <c r="F33" s="17" t="s">
        <v>92</v>
      </c>
      <c r="G33" s="17" t="s">
        <v>92</v>
      </c>
      <c r="H33" s="17" t="s">
        <v>92</v>
      </c>
      <c r="I33" s="39"/>
      <c r="J33" s="42"/>
      <c r="K33" s="88"/>
      <c r="L33" s="42"/>
      <c r="M33" s="43"/>
      <c r="Q33" s="2"/>
      <c r="R33" s="24"/>
      <c r="S33" s="24"/>
      <c r="T33" s="24"/>
    </row>
    <row r="34" spans="1:20" x14ac:dyDescent="0.25">
      <c r="A34" s="2">
        <v>45356</v>
      </c>
      <c r="B34" s="20">
        <v>2904</v>
      </c>
      <c r="C34" s="20">
        <v>850</v>
      </c>
      <c r="D34" s="20">
        <v>17265</v>
      </c>
      <c r="E34" s="17" t="s">
        <v>92</v>
      </c>
      <c r="F34" s="17" t="s">
        <v>92</v>
      </c>
      <c r="G34" s="17" t="s">
        <v>92</v>
      </c>
      <c r="H34" s="17" t="s">
        <v>92</v>
      </c>
      <c r="I34" s="39"/>
      <c r="J34" s="42"/>
      <c r="K34" s="88"/>
      <c r="L34" s="42"/>
      <c r="M34" s="43"/>
      <c r="Q34" s="2"/>
      <c r="R34" s="24"/>
      <c r="S34" s="24"/>
      <c r="T34" s="24"/>
    </row>
    <row r="35" spans="1:20" x14ac:dyDescent="0.25">
      <c r="A35" s="2">
        <v>45355</v>
      </c>
      <c r="B35" s="20">
        <v>2918</v>
      </c>
      <c r="C35" s="20">
        <v>848</v>
      </c>
      <c r="D35" s="20">
        <v>17515</v>
      </c>
      <c r="E35" s="17" t="s">
        <v>92</v>
      </c>
      <c r="F35" s="17" t="s">
        <v>92</v>
      </c>
      <c r="G35" s="17" t="s">
        <v>92</v>
      </c>
      <c r="H35" s="17" t="s">
        <v>92</v>
      </c>
      <c r="I35" s="39"/>
      <c r="J35" s="42"/>
      <c r="K35" s="88"/>
      <c r="L35" s="42"/>
      <c r="M35" s="43"/>
      <c r="Q35" s="2"/>
      <c r="R35" s="24"/>
      <c r="S35" s="24"/>
      <c r="T35" s="24"/>
    </row>
    <row r="36" spans="1:20" x14ac:dyDescent="0.25">
      <c r="A36" s="2">
        <v>45352</v>
      </c>
      <c r="B36" s="20">
        <v>2926</v>
      </c>
      <c r="C36" s="20">
        <v>843</v>
      </c>
      <c r="D36" s="20">
        <v>17425</v>
      </c>
      <c r="E36" s="17" t="s">
        <v>92</v>
      </c>
      <c r="F36" s="17" t="s">
        <v>92</v>
      </c>
      <c r="G36" s="17" t="s">
        <v>92</v>
      </c>
      <c r="H36" s="17" t="s">
        <v>92</v>
      </c>
      <c r="I36" s="39"/>
      <c r="J36" s="42"/>
      <c r="K36" s="88"/>
      <c r="L36" s="42"/>
      <c r="M36" s="43"/>
      <c r="Q36" s="2"/>
      <c r="R36" s="24"/>
      <c r="S36" s="24"/>
      <c r="T36" s="24"/>
    </row>
    <row r="37" spans="1:20" x14ac:dyDescent="0.25">
      <c r="A37" s="2">
        <v>45351</v>
      </c>
      <c r="B37" s="20">
        <v>2890</v>
      </c>
      <c r="C37" s="20">
        <v>824</v>
      </c>
      <c r="D37" s="20">
        <v>17415</v>
      </c>
      <c r="E37" s="17" t="s">
        <v>92</v>
      </c>
      <c r="F37" s="17" t="s">
        <v>92</v>
      </c>
      <c r="G37" s="17" t="s">
        <v>92</v>
      </c>
      <c r="H37" s="17" t="s">
        <v>92</v>
      </c>
      <c r="I37" s="39"/>
      <c r="J37" s="42"/>
      <c r="K37" s="88"/>
      <c r="L37" s="42"/>
      <c r="M37" s="43"/>
      <c r="Q37" s="2"/>
      <c r="R37" s="24"/>
      <c r="S37" s="24"/>
      <c r="T37" s="24"/>
    </row>
    <row r="38" spans="1:20" x14ac:dyDescent="0.25">
      <c r="A38" s="2">
        <v>45350</v>
      </c>
      <c r="B38" s="20">
        <v>2900</v>
      </c>
      <c r="C38" s="20">
        <v>839</v>
      </c>
      <c r="D38" s="20">
        <v>17265</v>
      </c>
      <c r="E38" s="17" t="s">
        <v>92</v>
      </c>
      <c r="F38" s="17" t="s">
        <v>92</v>
      </c>
      <c r="G38" s="17" t="s">
        <v>92</v>
      </c>
      <c r="H38" s="17" t="s">
        <v>92</v>
      </c>
      <c r="I38" s="39"/>
      <c r="J38" s="42"/>
      <c r="K38" s="88"/>
      <c r="L38" s="42"/>
      <c r="M38" s="43"/>
      <c r="Q38" s="2"/>
      <c r="R38" s="24"/>
      <c r="S38" s="24"/>
      <c r="T38" s="24"/>
    </row>
    <row r="39" spans="1:20" x14ac:dyDescent="0.25">
      <c r="A39" s="2">
        <v>45349</v>
      </c>
      <c r="B39" s="20">
        <v>2892</v>
      </c>
      <c r="C39" s="20">
        <v>839</v>
      </c>
      <c r="D39" s="20">
        <v>17085</v>
      </c>
      <c r="E39" s="17" t="s">
        <v>92</v>
      </c>
      <c r="F39" s="17" t="s">
        <v>92</v>
      </c>
      <c r="G39" s="17" t="s">
        <v>92</v>
      </c>
      <c r="H39" s="17" t="s">
        <v>92</v>
      </c>
      <c r="I39" s="39"/>
      <c r="J39" s="42"/>
      <c r="K39" s="88"/>
      <c r="L39" s="42"/>
      <c r="M39" s="43"/>
      <c r="Q39" s="2"/>
      <c r="R39" s="24"/>
      <c r="S39" s="24"/>
      <c r="T39" s="24"/>
    </row>
    <row r="40" spans="1:20" x14ac:dyDescent="0.25">
      <c r="A40" s="2">
        <v>45348</v>
      </c>
      <c r="B40" s="20">
        <v>2946</v>
      </c>
      <c r="C40" s="20">
        <v>832</v>
      </c>
      <c r="D40" s="20">
        <v>17235</v>
      </c>
      <c r="E40" s="17" t="s">
        <v>92</v>
      </c>
      <c r="F40" s="17" t="s">
        <v>92</v>
      </c>
      <c r="G40" s="17" t="s">
        <v>92</v>
      </c>
      <c r="H40" s="17" t="s">
        <v>92</v>
      </c>
      <c r="I40" s="39"/>
      <c r="J40" s="42"/>
      <c r="K40" s="88"/>
      <c r="L40" s="42"/>
      <c r="M40" s="43"/>
      <c r="Q40" s="2"/>
      <c r="R40" s="24"/>
      <c r="S40" s="24"/>
      <c r="T40" s="24"/>
    </row>
    <row r="41" spans="1:20" x14ac:dyDescent="0.25">
      <c r="A41" s="2">
        <v>45345</v>
      </c>
      <c r="B41" s="20">
        <v>2932</v>
      </c>
      <c r="C41" s="20">
        <v>833</v>
      </c>
      <c r="D41" s="20">
        <v>17400</v>
      </c>
      <c r="E41" s="17" t="s">
        <v>92</v>
      </c>
      <c r="F41" s="17" t="s">
        <v>92</v>
      </c>
      <c r="G41" s="17" t="s">
        <v>92</v>
      </c>
      <c r="H41" s="17" t="s">
        <v>92</v>
      </c>
      <c r="I41" s="39"/>
      <c r="J41" s="42"/>
      <c r="K41" s="88"/>
      <c r="L41" s="42"/>
      <c r="M41" s="43"/>
      <c r="Q41" s="2"/>
      <c r="R41" s="24"/>
      <c r="S41" s="24"/>
      <c r="T41" s="24"/>
    </row>
    <row r="42" spans="1:20" x14ac:dyDescent="0.25">
      <c r="A42" s="2">
        <v>45344</v>
      </c>
      <c r="B42" s="20">
        <v>2922</v>
      </c>
      <c r="C42" s="20">
        <v>805</v>
      </c>
      <c r="D42" s="20">
        <v>17520</v>
      </c>
      <c r="E42" s="17" t="s">
        <v>92</v>
      </c>
      <c r="F42" s="17" t="s">
        <v>92</v>
      </c>
      <c r="G42" s="17" t="s">
        <v>92</v>
      </c>
      <c r="H42" s="17" t="s">
        <v>92</v>
      </c>
      <c r="I42" s="39"/>
      <c r="J42" s="42"/>
      <c r="K42" s="88"/>
      <c r="L42" s="42"/>
      <c r="M42" s="43"/>
      <c r="Q42" s="2"/>
      <c r="R42" s="24"/>
      <c r="S42" s="24"/>
      <c r="T42" s="24"/>
    </row>
    <row r="43" spans="1:20" x14ac:dyDescent="0.25">
      <c r="A43" s="2">
        <v>45343</v>
      </c>
      <c r="B43" s="20">
        <v>2950</v>
      </c>
      <c r="C43" s="20">
        <v>816</v>
      </c>
      <c r="D43" s="20">
        <v>17445</v>
      </c>
      <c r="E43" s="17" t="s">
        <v>92</v>
      </c>
      <c r="F43" s="17" t="s">
        <v>92</v>
      </c>
      <c r="G43" s="17" t="s">
        <v>92</v>
      </c>
      <c r="H43" s="17" t="s">
        <v>92</v>
      </c>
      <c r="I43" s="39"/>
      <c r="J43" s="42"/>
      <c r="K43" s="88"/>
      <c r="L43" s="42"/>
      <c r="M43" s="43"/>
      <c r="Q43" s="2"/>
      <c r="R43" s="24"/>
      <c r="S43" s="24"/>
      <c r="T43" s="24"/>
    </row>
    <row r="44" spans="1:20" x14ac:dyDescent="0.25">
      <c r="A44" s="2">
        <v>45342</v>
      </c>
      <c r="B44" s="20">
        <v>2934</v>
      </c>
      <c r="C44" s="20">
        <v>793</v>
      </c>
      <c r="D44" s="20">
        <v>17320</v>
      </c>
      <c r="E44" s="17" t="s">
        <v>92</v>
      </c>
      <c r="F44" s="17" t="s">
        <v>92</v>
      </c>
      <c r="G44" s="17" t="s">
        <v>92</v>
      </c>
      <c r="H44" s="17" t="s">
        <v>92</v>
      </c>
      <c r="I44" s="39"/>
      <c r="J44" s="42"/>
      <c r="K44" s="88"/>
      <c r="L44" s="42"/>
      <c r="M44" s="43"/>
      <c r="Q44" s="2"/>
      <c r="R44" s="24"/>
      <c r="S44" s="24"/>
      <c r="T44" s="24"/>
    </row>
    <row r="45" spans="1:20" x14ac:dyDescent="0.25">
      <c r="A45" s="2">
        <v>45341</v>
      </c>
      <c r="B45" s="20">
        <v>2968</v>
      </c>
      <c r="C45" s="20">
        <v>784</v>
      </c>
      <c r="D45" s="20">
        <v>17260</v>
      </c>
      <c r="E45" s="17" t="s">
        <v>92</v>
      </c>
      <c r="F45" s="17" t="s">
        <v>92</v>
      </c>
      <c r="G45" s="17" t="s">
        <v>92</v>
      </c>
      <c r="H45" s="17" t="s">
        <v>92</v>
      </c>
      <c r="I45" s="39"/>
      <c r="J45" s="42"/>
      <c r="K45" s="88"/>
      <c r="L45" s="42"/>
      <c r="M45" s="43"/>
      <c r="Q45" s="2"/>
      <c r="R45" s="24"/>
      <c r="S45" s="24"/>
      <c r="T45" s="24"/>
    </row>
    <row r="46" spans="1:20" x14ac:dyDescent="0.25">
      <c r="A46" s="2">
        <v>45338</v>
      </c>
      <c r="B46" s="20">
        <v>2960</v>
      </c>
      <c r="C46" s="20">
        <v>770</v>
      </c>
      <c r="D46" s="20">
        <v>17225</v>
      </c>
      <c r="E46" s="17" t="s">
        <v>92</v>
      </c>
      <c r="F46" s="17" t="s">
        <v>92</v>
      </c>
      <c r="G46" s="17" t="s">
        <v>92</v>
      </c>
      <c r="H46" s="17" t="s">
        <v>92</v>
      </c>
      <c r="I46" s="39"/>
      <c r="J46" s="42"/>
      <c r="K46" s="88"/>
      <c r="L46" s="42"/>
      <c r="M46" s="43"/>
      <c r="Q46" s="2"/>
      <c r="R46" s="24"/>
      <c r="S46" s="24"/>
      <c r="T46" s="24"/>
    </row>
    <row r="47" spans="1:20" x14ac:dyDescent="0.25">
      <c r="A47" s="2">
        <v>45337</v>
      </c>
      <c r="B47" s="20">
        <v>2942</v>
      </c>
      <c r="C47" s="20">
        <v>768</v>
      </c>
      <c r="D47" s="20">
        <v>17355</v>
      </c>
      <c r="E47" s="17" t="s">
        <v>92</v>
      </c>
      <c r="F47" s="17" t="s">
        <v>92</v>
      </c>
      <c r="G47" s="17" t="s">
        <v>92</v>
      </c>
      <c r="H47" s="17" t="s">
        <v>92</v>
      </c>
      <c r="I47" s="39"/>
      <c r="J47" s="42"/>
      <c r="K47" s="88"/>
      <c r="L47" s="42"/>
      <c r="M47" s="43"/>
      <c r="Q47" s="2"/>
      <c r="R47" s="24"/>
      <c r="S47" s="24"/>
      <c r="T47" s="24"/>
    </row>
    <row r="48" spans="1:20" x14ac:dyDescent="0.25">
      <c r="A48" s="2">
        <v>45336</v>
      </c>
      <c r="B48" s="20">
        <v>2916</v>
      </c>
      <c r="C48" s="20">
        <v>762</v>
      </c>
      <c r="D48" s="20">
        <v>17040</v>
      </c>
      <c r="E48" s="17" t="s">
        <v>92</v>
      </c>
      <c r="F48" s="17" t="s">
        <v>92</v>
      </c>
      <c r="G48" s="17" t="s">
        <v>92</v>
      </c>
      <c r="H48" s="17" t="s">
        <v>92</v>
      </c>
      <c r="I48" s="39"/>
      <c r="J48" s="42"/>
      <c r="K48" s="88"/>
      <c r="L48" s="42"/>
      <c r="M48" s="43"/>
      <c r="Q48" s="2"/>
      <c r="R48" s="24"/>
      <c r="S48" s="24"/>
      <c r="T48" s="24"/>
    </row>
    <row r="49" spans="1:20" x14ac:dyDescent="0.25">
      <c r="A49" s="2">
        <v>45335</v>
      </c>
      <c r="B49" s="20">
        <v>2880</v>
      </c>
      <c r="C49" s="20">
        <v>771</v>
      </c>
      <c r="D49" s="20">
        <v>16970</v>
      </c>
      <c r="E49" s="17" t="s">
        <v>92</v>
      </c>
      <c r="F49" s="17" t="s">
        <v>92</v>
      </c>
      <c r="G49" s="17" t="s">
        <v>92</v>
      </c>
      <c r="H49" s="17" t="s">
        <v>92</v>
      </c>
      <c r="I49" s="39"/>
      <c r="J49" s="42"/>
      <c r="K49" s="88"/>
      <c r="L49" s="42"/>
      <c r="M49" s="43"/>
      <c r="Q49" s="2"/>
      <c r="R49" s="24"/>
      <c r="S49" s="24"/>
      <c r="T49" s="24"/>
    </row>
    <row r="50" spans="1:20" x14ac:dyDescent="0.25">
      <c r="A50" s="2">
        <v>45334</v>
      </c>
      <c r="B50" s="20">
        <v>2900</v>
      </c>
      <c r="C50" s="20">
        <v>777</v>
      </c>
      <c r="D50" s="20">
        <v>16690</v>
      </c>
      <c r="E50" s="17" t="s">
        <v>92</v>
      </c>
      <c r="F50" s="17" t="s">
        <v>92</v>
      </c>
      <c r="G50" s="17" t="s">
        <v>92</v>
      </c>
      <c r="H50" s="17" t="s">
        <v>92</v>
      </c>
      <c r="I50" s="39"/>
      <c r="J50" s="42"/>
      <c r="K50" s="88"/>
      <c r="L50" s="42"/>
      <c r="M50" s="43"/>
      <c r="Q50" s="2"/>
      <c r="R50" s="24"/>
      <c r="S50" s="24"/>
      <c r="T50" s="24"/>
    </row>
    <row r="51" spans="1:20" x14ac:dyDescent="0.25">
      <c r="A51" s="2">
        <v>45331</v>
      </c>
      <c r="B51" s="20">
        <v>2900</v>
      </c>
      <c r="C51" s="20">
        <v>765</v>
      </c>
      <c r="D51" s="20">
        <v>16850</v>
      </c>
      <c r="E51" s="17" t="s">
        <v>92</v>
      </c>
      <c r="F51" s="17" t="s">
        <v>92</v>
      </c>
      <c r="G51" s="17" t="s">
        <v>92</v>
      </c>
      <c r="H51" s="17" t="s">
        <v>92</v>
      </c>
      <c r="I51" s="39"/>
      <c r="J51" s="42"/>
      <c r="K51" s="88"/>
      <c r="L51" s="42"/>
      <c r="M51" s="43"/>
      <c r="Q51" s="2"/>
      <c r="R51" s="24"/>
      <c r="S51" s="24"/>
      <c r="T51" s="24"/>
    </row>
    <row r="52" spans="1:20" x14ac:dyDescent="0.25">
      <c r="A52" s="2">
        <v>45330</v>
      </c>
      <c r="B52" s="20">
        <v>2894</v>
      </c>
      <c r="C52" s="20">
        <v>770</v>
      </c>
      <c r="D52" s="20">
        <v>16505</v>
      </c>
      <c r="E52" s="17" t="s">
        <v>92</v>
      </c>
      <c r="F52" s="17" t="s">
        <v>92</v>
      </c>
      <c r="G52" s="17" t="s">
        <v>92</v>
      </c>
      <c r="H52" s="17" t="s">
        <v>92</v>
      </c>
      <c r="I52" s="39"/>
      <c r="J52" s="42"/>
      <c r="K52" s="88"/>
      <c r="L52" s="42"/>
      <c r="M52" s="43"/>
      <c r="Q52" s="2"/>
      <c r="R52" s="24"/>
      <c r="S52" s="24"/>
      <c r="T52" s="24"/>
    </row>
    <row r="53" spans="1:20" x14ac:dyDescent="0.25">
      <c r="A53" s="2">
        <v>45329</v>
      </c>
      <c r="B53" s="20">
        <v>2894</v>
      </c>
      <c r="C53" s="20">
        <v>769</v>
      </c>
      <c r="D53" s="20">
        <v>16540</v>
      </c>
      <c r="E53" s="17" t="s">
        <v>92</v>
      </c>
      <c r="F53" s="17" t="s">
        <v>92</v>
      </c>
      <c r="G53" s="17" t="s">
        <v>92</v>
      </c>
      <c r="H53" s="17" t="s">
        <v>92</v>
      </c>
      <c r="I53" s="39"/>
      <c r="J53" s="42"/>
      <c r="K53" s="88"/>
      <c r="L53" s="42"/>
      <c r="M53" s="43"/>
      <c r="Q53" s="2"/>
      <c r="R53" s="24"/>
      <c r="S53" s="24"/>
      <c r="T53" s="24"/>
    </row>
    <row r="54" spans="1:20" x14ac:dyDescent="0.25">
      <c r="A54" s="2">
        <v>45328</v>
      </c>
      <c r="B54" s="20">
        <v>2916</v>
      </c>
      <c r="C54" s="20">
        <v>770</v>
      </c>
      <c r="D54" s="20">
        <v>16900</v>
      </c>
      <c r="E54" s="17" t="s">
        <v>92</v>
      </c>
      <c r="F54" s="17" t="s">
        <v>92</v>
      </c>
      <c r="G54" s="17" t="s">
        <v>92</v>
      </c>
      <c r="H54" s="17" t="s">
        <v>92</v>
      </c>
      <c r="I54" s="39"/>
      <c r="J54" s="42"/>
      <c r="K54" s="88"/>
      <c r="L54" s="42"/>
      <c r="M54" s="43"/>
      <c r="Q54" s="2"/>
      <c r="R54" s="24"/>
      <c r="S54" s="24"/>
      <c r="T54" s="24"/>
    </row>
    <row r="55" spans="1:20" x14ac:dyDescent="0.25">
      <c r="A55" s="2">
        <v>45327</v>
      </c>
      <c r="B55" s="20">
        <v>2888</v>
      </c>
      <c r="C55" s="20">
        <v>787</v>
      </c>
      <c r="D55" s="20">
        <v>16985</v>
      </c>
      <c r="E55" s="17" t="s">
        <v>92</v>
      </c>
      <c r="F55" s="17" t="s">
        <v>92</v>
      </c>
      <c r="G55" s="17" t="s">
        <v>92</v>
      </c>
      <c r="H55" s="17" t="s">
        <v>92</v>
      </c>
      <c r="I55" s="39"/>
      <c r="J55" s="42"/>
      <c r="K55" s="88"/>
      <c r="L55" s="42"/>
      <c r="M55" s="43"/>
      <c r="Q55" s="2"/>
      <c r="R55" s="24"/>
      <c r="S55" s="24"/>
      <c r="T55" s="24"/>
    </row>
    <row r="56" spans="1:20" x14ac:dyDescent="0.25">
      <c r="A56" s="2">
        <v>45324</v>
      </c>
      <c r="B56" s="20">
        <v>2928</v>
      </c>
      <c r="C56" s="20">
        <v>777</v>
      </c>
      <c r="D56" s="20">
        <v>17065</v>
      </c>
      <c r="E56" s="17" t="s">
        <v>92</v>
      </c>
      <c r="F56" s="17" t="s">
        <v>92</v>
      </c>
      <c r="G56" s="17" t="s">
        <v>92</v>
      </c>
      <c r="H56" s="17" t="s">
        <v>92</v>
      </c>
      <c r="I56" s="39"/>
      <c r="J56" s="42"/>
      <c r="K56" s="88"/>
      <c r="L56" s="42"/>
      <c r="M56" s="43"/>
      <c r="Q56" s="2"/>
      <c r="R56" s="24"/>
      <c r="S56" s="24"/>
      <c r="T56" s="24"/>
    </row>
    <row r="57" spans="1:20" x14ac:dyDescent="0.25">
      <c r="A57" s="2">
        <v>45323</v>
      </c>
      <c r="B57" s="20">
        <v>2928</v>
      </c>
      <c r="C57" s="20">
        <v>779</v>
      </c>
      <c r="D57" s="20">
        <v>16985</v>
      </c>
      <c r="E57" s="17" t="s">
        <v>92</v>
      </c>
      <c r="F57" s="17" t="s">
        <v>92</v>
      </c>
      <c r="G57" s="17" t="s">
        <v>92</v>
      </c>
      <c r="H57" s="17" t="s">
        <v>92</v>
      </c>
      <c r="I57" s="39"/>
      <c r="J57" s="42"/>
      <c r="K57" s="88"/>
      <c r="L57" s="42"/>
      <c r="M57" s="43"/>
      <c r="Q57" s="2"/>
      <c r="R57" s="24"/>
      <c r="S57" s="24"/>
      <c r="T57" s="24"/>
    </row>
    <row r="58" spans="1:20" x14ac:dyDescent="0.25">
      <c r="A58" s="2">
        <v>45322</v>
      </c>
      <c r="B58" s="20">
        <v>2910</v>
      </c>
      <c r="C58" s="20">
        <v>769</v>
      </c>
      <c r="D58" s="20">
        <v>16450</v>
      </c>
      <c r="E58" s="17" t="s">
        <v>92</v>
      </c>
      <c r="F58" s="17" t="s">
        <v>92</v>
      </c>
      <c r="G58" s="17" t="s">
        <v>92</v>
      </c>
      <c r="H58" s="17" t="s">
        <v>92</v>
      </c>
      <c r="I58" s="39"/>
      <c r="J58" s="42"/>
      <c r="K58" s="88"/>
      <c r="L58" s="42"/>
      <c r="M58" s="43"/>
      <c r="Q58" s="2"/>
      <c r="R58" s="24"/>
      <c r="S58" s="24"/>
      <c r="T58" s="24"/>
    </row>
    <row r="59" spans="1:20" x14ac:dyDescent="0.25">
      <c r="A59" s="2">
        <v>45321</v>
      </c>
      <c r="B59" s="20">
        <v>2888</v>
      </c>
      <c r="C59" s="20">
        <v>745</v>
      </c>
      <c r="D59" s="20">
        <v>16385</v>
      </c>
      <c r="E59" s="17" t="s">
        <v>92</v>
      </c>
      <c r="F59" s="17" t="s">
        <v>92</v>
      </c>
      <c r="G59" s="17" t="s">
        <v>92</v>
      </c>
      <c r="H59" s="17" t="s">
        <v>92</v>
      </c>
      <c r="I59" s="39"/>
      <c r="J59" s="42"/>
      <c r="K59" s="88"/>
      <c r="L59" s="42"/>
      <c r="M59" s="43"/>
      <c r="Q59" s="2"/>
      <c r="R59" s="24"/>
      <c r="S59" s="24"/>
      <c r="T59" s="24"/>
    </row>
    <row r="60" spans="1:20" x14ac:dyDescent="0.25">
      <c r="A60" s="2">
        <v>45320</v>
      </c>
      <c r="B60" s="20">
        <v>2854</v>
      </c>
      <c r="C60" s="20">
        <v>757</v>
      </c>
      <c r="D60" s="20">
        <v>16550</v>
      </c>
      <c r="E60" s="17" t="s">
        <v>92</v>
      </c>
      <c r="F60" s="17" t="s">
        <v>92</v>
      </c>
      <c r="G60" s="17" t="s">
        <v>92</v>
      </c>
      <c r="H60" s="17" t="s">
        <v>92</v>
      </c>
      <c r="I60" s="39"/>
      <c r="J60" s="42"/>
      <c r="K60" s="88"/>
      <c r="L60" s="42"/>
      <c r="M60" s="43"/>
      <c r="Q60" s="2"/>
      <c r="R60" s="24"/>
      <c r="S60" s="24"/>
      <c r="T60" s="24"/>
    </row>
    <row r="61" spans="1:20" x14ac:dyDescent="0.25">
      <c r="A61" s="2">
        <v>45317</v>
      </c>
      <c r="B61" s="20">
        <v>2848</v>
      </c>
      <c r="C61" s="20">
        <v>777</v>
      </c>
      <c r="D61" s="20">
        <v>16895</v>
      </c>
      <c r="E61" s="17" t="s">
        <v>92</v>
      </c>
      <c r="F61" s="17" t="s">
        <v>92</v>
      </c>
      <c r="G61" s="17" t="s">
        <v>92</v>
      </c>
      <c r="H61" s="17" t="s">
        <v>92</v>
      </c>
      <c r="I61" s="39"/>
      <c r="J61" s="42"/>
      <c r="K61" s="88"/>
      <c r="L61" s="42"/>
      <c r="M61" s="43"/>
      <c r="Q61" s="2"/>
      <c r="R61" s="24"/>
      <c r="S61" s="24"/>
      <c r="T61" s="24"/>
    </row>
    <row r="62" spans="1:20" x14ac:dyDescent="0.25">
      <c r="A62" s="2">
        <v>45316</v>
      </c>
      <c r="B62" s="20">
        <v>2858</v>
      </c>
      <c r="C62" s="20">
        <v>780</v>
      </c>
      <c r="D62" s="20">
        <v>16990</v>
      </c>
      <c r="E62" s="17" t="s">
        <v>92</v>
      </c>
      <c r="F62" s="17" t="s">
        <v>92</v>
      </c>
      <c r="G62" s="17" t="s">
        <v>92</v>
      </c>
      <c r="H62" s="17" t="s">
        <v>92</v>
      </c>
      <c r="I62" s="39"/>
      <c r="J62" s="42"/>
      <c r="K62" s="88"/>
      <c r="L62" s="42"/>
      <c r="M62" s="43"/>
      <c r="Q62" s="2"/>
      <c r="R62" s="24"/>
      <c r="S62" s="24"/>
      <c r="T62" s="24"/>
    </row>
    <row r="63" spans="1:20" x14ac:dyDescent="0.25">
      <c r="A63" s="2">
        <v>45315</v>
      </c>
      <c r="B63" s="20">
        <v>2858</v>
      </c>
      <c r="C63" s="20">
        <v>766</v>
      </c>
      <c r="D63" s="20">
        <v>16735</v>
      </c>
      <c r="E63" s="17" t="s">
        <v>92</v>
      </c>
      <c r="F63" s="17" t="s">
        <v>92</v>
      </c>
      <c r="G63" s="17" t="s">
        <v>92</v>
      </c>
      <c r="H63" s="17" t="s">
        <v>92</v>
      </c>
      <c r="I63" s="39"/>
      <c r="J63" s="42"/>
      <c r="K63" s="88"/>
      <c r="L63" s="42"/>
      <c r="M63" s="43"/>
      <c r="Q63" s="2"/>
      <c r="R63" s="24"/>
      <c r="S63" s="24"/>
      <c r="T63" s="24"/>
    </row>
    <row r="64" spans="1:20" x14ac:dyDescent="0.25">
      <c r="A64" s="2">
        <v>45314</v>
      </c>
      <c r="B64" s="20">
        <v>2820</v>
      </c>
      <c r="C64" s="20">
        <v>768</v>
      </c>
      <c r="D64" s="20">
        <v>16800</v>
      </c>
      <c r="E64" s="17" t="s">
        <v>92</v>
      </c>
      <c r="F64" s="17" t="s">
        <v>92</v>
      </c>
      <c r="G64" s="17" t="s">
        <v>92</v>
      </c>
      <c r="H64" s="17" t="s">
        <v>92</v>
      </c>
      <c r="I64" s="39"/>
      <c r="J64" s="42"/>
      <c r="K64" s="88"/>
      <c r="L64" s="42"/>
      <c r="M64" s="43"/>
      <c r="Q64" s="2"/>
      <c r="R64" s="24"/>
      <c r="S64" s="24"/>
      <c r="T64" s="24"/>
    </row>
    <row r="65" spans="1:20" x14ac:dyDescent="0.25">
      <c r="A65" s="2">
        <v>45313</v>
      </c>
      <c r="B65" s="20">
        <v>2838</v>
      </c>
      <c r="C65" s="20">
        <v>790</v>
      </c>
      <c r="D65" s="20">
        <v>17150</v>
      </c>
      <c r="E65" s="17" t="s">
        <v>92</v>
      </c>
      <c r="F65" s="17" t="s">
        <v>92</v>
      </c>
      <c r="G65" s="17" t="s">
        <v>92</v>
      </c>
      <c r="H65" s="17" t="s">
        <v>92</v>
      </c>
      <c r="I65" s="39"/>
      <c r="J65" s="42"/>
      <c r="K65" s="88"/>
      <c r="L65" s="42"/>
      <c r="M65" s="43"/>
      <c r="Q65" s="2"/>
      <c r="R65" s="24"/>
      <c r="S65" s="24"/>
      <c r="T65" s="24"/>
    </row>
    <row r="66" spans="1:20" x14ac:dyDescent="0.25">
      <c r="A66" s="2">
        <v>45310</v>
      </c>
      <c r="B66" s="20">
        <v>2838</v>
      </c>
      <c r="C66" s="20">
        <v>765</v>
      </c>
      <c r="D66" s="20">
        <v>17210</v>
      </c>
      <c r="E66" s="17" t="s">
        <v>92</v>
      </c>
      <c r="F66" s="17" t="s">
        <v>92</v>
      </c>
      <c r="G66" s="17" t="s">
        <v>92</v>
      </c>
      <c r="H66" s="17" t="s">
        <v>92</v>
      </c>
      <c r="I66" s="39"/>
      <c r="J66" s="42"/>
      <c r="K66" s="88"/>
      <c r="L66" s="42"/>
      <c r="M66" s="43"/>
      <c r="Q66" s="2"/>
      <c r="R66" s="24"/>
      <c r="S66" s="24"/>
      <c r="T66" s="24"/>
    </row>
    <row r="67" spans="1:20" x14ac:dyDescent="0.25">
      <c r="A67" s="2">
        <v>45309</v>
      </c>
      <c r="B67" s="20">
        <v>2810</v>
      </c>
      <c r="C67" s="20">
        <v>751</v>
      </c>
      <c r="D67" s="20">
        <v>17015</v>
      </c>
      <c r="E67" s="17" t="s">
        <v>92</v>
      </c>
      <c r="F67" s="17" t="s">
        <v>92</v>
      </c>
      <c r="G67" s="17" t="s">
        <v>92</v>
      </c>
      <c r="H67" s="17" t="s">
        <v>92</v>
      </c>
      <c r="I67" s="39"/>
      <c r="J67" s="42"/>
      <c r="K67" s="88"/>
      <c r="L67" s="42"/>
      <c r="M67" s="43"/>
      <c r="Q67" s="2"/>
      <c r="R67" s="24"/>
      <c r="S67" s="24"/>
      <c r="T67" s="24"/>
    </row>
    <row r="68" spans="1:20" x14ac:dyDescent="0.25">
      <c r="A68" s="2">
        <v>45308</v>
      </c>
      <c r="B68" s="20">
        <v>2802</v>
      </c>
      <c r="C68" s="20">
        <v>739</v>
      </c>
      <c r="D68" s="20">
        <v>16710</v>
      </c>
      <c r="E68" s="17" t="s">
        <v>92</v>
      </c>
      <c r="F68" s="17" t="s">
        <v>92</v>
      </c>
      <c r="G68" s="17" t="s">
        <v>92</v>
      </c>
      <c r="H68" s="17" t="s">
        <v>92</v>
      </c>
      <c r="I68" s="39"/>
      <c r="J68" s="42"/>
      <c r="K68" s="88"/>
      <c r="L68" s="42"/>
      <c r="M68" s="43"/>
      <c r="Q68" s="2"/>
      <c r="R68" s="24"/>
      <c r="S68" s="24"/>
      <c r="T68" s="24"/>
    </row>
    <row r="69" spans="1:20" x14ac:dyDescent="0.25">
      <c r="A69" s="2">
        <v>45307</v>
      </c>
      <c r="B69" s="20">
        <v>2806</v>
      </c>
      <c r="C69" s="20">
        <v>769</v>
      </c>
      <c r="D69" s="20">
        <v>16825</v>
      </c>
      <c r="E69" s="17" t="s">
        <v>92</v>
      </c>
      <c r="F69" s="17" t="s">
        <v>92</v>
      </c>
      <c r="G69" s="17" t="s">
        <v>92</v>
      </c>
      <c r="H69" s="17" t="s">
        <v>92</v>
      </c>
      <c r="I69" s="39"/>
      <c r="J69" s="42"/>
      <c r="K69" s="88"/>
      <c r="L69" s="42"/>
      <c r="M69" s="43"/>
      <c r="Q69" s="2"/>
      <c r="R69" s="24"/>
      <c r="S69" s="24"/>
      <c r="T69" s="24"/>
    </row>
    <row r="70" spans="1:20" x14ac:dyDescent="0.25">
      <c r="A70" s="2">
        <v>45306</v>
      </c>
      <c r="B70" s="20">
        <v>2832</v>
      </c>
      <c r="C70" s="20">
        <v>751</v>
      </c>
      <c r="D70" s="20">
        <v>16980</v>
      </c>
      <c r="E70" s="17" t="s">
        <v>92</v>
      </c>
      <c r="F70" s="17" t="s">
        <v>92</v>
      </c>
      <c r="G70" s="17" t="s">
        <v>92</v>
      </c>
      <c r="H70" s="17" t="s">
        <v>92</v>
      </c>
      <c r="I70" s="39"/>
      <c r="J70" s="42"/>
      <c r="K70" s="88"/>
      <c r="L70" s="42"/>
      <c r="M70" s="43"/>
      <c r="Q70" s="2"/>
      <c r="R70" s="24"/>
      <c r="S70" s="24"/>
      <c r="T70" s="24"/>
    </row>
    <row r="71" spans="1:20" x14ac:dyDescent="0.25">
      <c r="A71" s="2">
        <v>45303</v>
      </c>
      <c r="B71" s="20">
        <v>2838</v>
      </c>
      <c r="C71" s="20">
        <v>731</v>
      </c>
      <c r="D71" s="20">
        <v>16930</v>
      </c>
      <c r="E71" s="17" t="s">
        <v>92</v>
      </c>
      <c r="F71" s="17" t="s">
        <v>92</v>
      </c>
      <c r="G71" s="17" t="s">
        <v>92</v>
      </c>
      <c r="H71" s="17" t="s">
        <v>92</v>
      </c>
      <c r="I71" s="39"/>
      <c r="J71" s="42"/>
      <c r="K71" s="88"/>
      <c r="L71" s="42"/>
      <c r="M71" s="43"/>
      <c r="Q71" s="2"/>
      <c r="R71" s="24"/>
      <c r="S71" s="24"/>
      <c r="T71" s="24"/>
    </row>
    <row r="72" spans="1:20" x14ac:dyDescent="0.25">
      <c r="A72" s="2">
        <v>45302</v>
      </c>
      <c r="B72" s="20">
        <v>2806</v>
      </c>
      <c r="C72" s="20">
        <v>720</v>
      </c>
      <c r="D72" s="20">
        <v>16820</v>
      </c>
      <c r="E72" s="17" t="s">
        <v>92</v>
      </c>
      <c r="F72" s="17" t="s">
        <v>92</v>
      </c>
      <c r="G72" s="17" t="s">
        <v>92</v>
      </c>
      <c r="H72" s="17" t="s">
        <v>92</v>
      </c>
      <c r="I72" s="39"/>
      <c r="J72" s="42"/>
      <c r="K72" s="88"/>
      <c r="L72" s="42"/>
      <c r="M72" s="43"/>
      <c r="Q72" s="2"/>
      <c r="R72" s="24"/>
      <c r="S72" s="24"/>
      <c r="T72" s="24"/>
    </row>
    <row r="73" spans="1:20" x14ac:dyDescent="0.25">
      <c r="A73" s="2">
        <v>45301</v>
      </c>
      <c r="B73" s="20">
        <v>2814</v>
      </c>
      <c r="C73" s="20">
        <v>718</v>
      </c>
      <c r="D73" s="20">
        <v>16700</v>
      </c>
      <c r="E73" s="17" t="s">
        <v>92</v>
      </c>
      <c r="F73" s="17" t="s">
        <v>92</v>
      </c>
      <c r="G73" s="17" t="s">
        <v>92</v>
      </c>
      <c r="H73" s="17" t="s">
        <v>92</v>
      </c>
      <c r="I73" s="39"/>
      <c r="J73" s="42"/>
      <c r="K73" s="88"/>
      <c r="L73" s="42"/>
      <c r="M73" s="43"/>
      <c r="Q73" s="2"/>
      <c r="R73" s="24"/>
      <c r="S73" s="24"/>
      <c r="T73" s="24"/>
    </row>
    <row r="74" spans="1:20" x14ac:dyDescent="0.25">
      <c r="A74" s="2">
        <v>45300</v>
      </c>
      <c r="B74" s="20">
        <v>2832</v>
      </c>
      <c r="C74" s="20">
        <v>683</v>
      </c>
      <c r="D74" s="20">
        <v>16180</v>
      </c>
      <c r="E74" s="17" t="s">
        <v>92</v>
      </c>
      <c r="F74" s="17" t="s">
        <v>92</v>
      </c>
      <c r="G74" s="17" t="s">
        <v>92</v>
      </c>
      <c r="H74" s="17" t="s">
        <v>92</v>
      </c>
      <c r="I74" s="39"/>
      <c r="J74" s="42"/>
      <c r="K74" s="88"/>
      <c r="L74" s="42"/>
      <c r="M74" s="43"/>
      <c r="Q74" s="2"/>
      <c r="R74" s="24"/>
      <c r="S74" s="24"/>
      <c r="T74" s="24"/>
    </row>
    <row r="75" spans="1:20" x14ac:dyDescent="0.25">
      <c r="A75" s="2">
        <v>45299</v>
      </c>
      <c r="B75" s="20">
        <v>2836</v>
      </c>
      <c r="C75" s="20">
        <v>680</v>
      </c>
      <c r="D75" s="20">
        <v>15950</v>
      </c>
      <c r="E75" s="17" t="s">
        <v>92</v>
      </c>
      <c r="F75" s="17" t="s">
        <v>92</v>
      </c>
      <c r="G75" s="17" t="s">
        <v>92</v>
      </c>
      <c r="H75" s="17" t="s">
        <v>92</v>
      </c>
      <c r="I75" s="39"/>
      <c r="J75" s="42"/>
      <c r="K75" s="88"/>
      <c r="L75" s="42"/>
      <c r="M75" s="43"/>
      <c r="Q75" s="2"/>
      <c r="R75" s="24"/>
      <c r="S75" s="24"/>
      <c r="T75" s="24"/>
    </row>
    <row r="76" spans="1:20" x14ac:dyDescent="0.25">
      <c r="A76" s="2">
        <v>45296</v>
      </c>
      <c r="B76" s="20">
        <v>2838</v>
      </c>
      <c r="C76" s="20">
        <v>685</v>
      </c>
      <c r="D76" s="20">
        <v>15880</v>
      </c>
      <c r="E76" s="17" t="s">
        <v>92</v>
      </c>
      <c r="F76" s="17" t="s">
        <v>92</v>
      </c>
      <c r="G76" s="17" t="s">
        <v>92</v>
      </c>
      <c r="H76" s="17" t="s">
        <v>92</v>
      </c>
      <c r="I76" s="39"/>
      <c r="J76" s="42"/>
      <c r="K76" s="88"/>
      <c r="L76" s="42"/>
      <c r="M76" s="43"/>
      <c r="Q76" s="2"/>
      <c r="R76" s="24"/>
      <c r="S76" s="24"/>
      <c r="T76" s="24"/>
    </row>
    <row r="77" spans="1:20" x14ac:dyDescent="0.25">
      <c r="A77" s="2">
        <v>45295</v>
      </c>
      <c r="B77" s="20">
        <v>2820</v>
      </c>
      <c r="C77" s="20">
        <v>672</v>
      </c>
      <c r="D77" s="20">
        <v>15600</v>
      </c>
      <c r="E77" s="17" t="s">
        <v>92</v>
      </c>
      <c r="F77" s="17" t="s">
        <v>92</v>
      </c>
      <c r="G77" s="17" t="s">
        <v>92</v>
      </c>
      <c r="H77" s="17" t="s">
        <v>92</v>
      </c>
      <c r="I77" s="39"/>
      <c r="J77" s="42"/>
      <c r="K77" s="88"/>
      <c r="L77" s="42"/>
      <c r="M77" s="43"/>
      <c r="Q77" s="2"/>
      <c r="R77" s="24"/>
      <c r="S77" s="24"/>
      <c r="T77" s="24"/>
    </row>
    <row r="78" spans="1:20" x14ac:dyDescent="0.25">
      <c r="A78" s="2">
        <v>45294</v>
      </c>
      <c r="B78" s="20">
        <v>2828</v>
      </c>
      <c r="C78" s="20">
        <v>675</v>
      </c>
      <c r="D78" s="20">
        <v>15605</v>
      </c>
      <c r="E78" s="17" t="s">
        <v>92</v>
      </c>
      <c r="F78" s="17" t="s">
        <v>92</v>
      </c>
      <c r="G78" s="17" t="s">
        <v>92</v>
      </c>
      <c r="H78" s="17" t="s">
        <v>92</v>
      </c>
      <c r="I78" s="39"/>
      <c r="J78" s="42"/>
      <c r="K78" s="88"/>
      <c r="L78" s="42"/>
      <c r="M78" s="43"/>
      <c r="Q78" s="2"/>
      <c r="R78" s="24"/>
      <c r="S78" s="24"/>
      <c r="T78" s="24"/>
    </row>
    <row r="79" spans="1:20" x14ac:dyDescent="0.25">
      <c r="A79" s="2">
        <v>45293</v>
      </c>
      <c r="B79" s="20">
        <v>2820</v>
      </c>
      <c r="C79" s="20">
        <v>678</v>
      </c>
      <c r="D79" s="20">
        <v>15750</v>
      </c>
      <c r="E79" s="17" t="s">
        <v>92</v>
      </c>
      <c r="F79" s="17" t="s">
        <v>92</v>
      </c>
      <c r="G79" s="17" t="s">
        <v>92</v>
      </c>
      <c r="H79" s="17" t="s">
        <v>92</v>
      </c>
      <c r="I79" s="39"/>
      <c r="J79" s="42"/>
      <c r="K79" s="88"/>
      <c r="L79" s="42"/>
      <c r="M79" s="43"/>
      <c r="Q79" s="2"/>
      <c r="R79" s="24"/>
      <c r="S79" s="24"/>
      <c r="T79" s="24"/>
    </row>
    <row r="80" spans="1:20" x14ac:dyDescent="0.25">
      <c r="A80" s="2">
        <v>45289</v>
      </c>
      <c r="B80" s="20">
        <v>2826</v>
      </c>
      <c r="C80" s="20">
        <v>682</v>
      </c>
      <c r="D80" s="20">
        <v>15800</v>
      </c>
      <c r="E80" s="17" t="s">
        <v>92</v>
      </c>
      <c r="F80" s="17" t="s">
        <v>92</v>
      </c>
      <c r="G80" s="17" t="s">
        <v>92</v>
      </c>
      <c r="H80" s="17" t="s">
        <v>92</v>
      </c>
      <c r="I80" s="39"/>
      <c r="J80" s="42"/>
      <c r="K80" s="88"/>
      <c r="L80" s="42"/>
      <c r="M80" s="43"/>
      <c r="Q80" s="2"/>
      <c r="R80" s="24"/>
      <c r="S80" s="24"/>
      <c r="T80" s="24"/>
    </row>
    <row r="81" spans="1:20" x14ac:dyDescent="0.25">
      <c r="A81" s="2">
        <v>45288</v>
      </c>
      <c r="B81" s="20">
        <v>2826</v>
      </c>
      <c r="C81" s="20">
        <v>675</v>
      </c>
      <c r="D81" s="20">
        <v>15890</v>
      </c>
      <c r="E81" s="17" t="s">
        <v>92</v>
      </c>
      <c r="F81" s="17" t="s">
        <v>92</v>
      </c>
      <c r="G81" s="17" t="s">
        <v>92</v>
      </c>
      <c r="H81" s="17" t="s">
        <v>92</v>
      </c>
      <c r="I81" s="39"/>
      <c r="J81" s="42"/>
      <c r="K81" s="88"/>
      <c r="L81" s="42"/>
      <c r="M81" s="43"/>
      <c r="Q81" s="2"/>
      <c r="R81" s="24"/>
      <c r="S81" s="24"/>
      <c r="T81" s="24"/>
    </row>
    <row r="82" spans="1:20" x14ac:dyDescent="0.25">
      <c r="A82" s="2">
        <v>45287</v>
      </c>
      <c r="B82" s="20">
        <v>2818</v>
      </c>
      <c r="C82" s="20">
        <v>665</v>
      </c>
      <c r="D82" s="20">
        <v>15740</v>
      </c>
      <c r="E82" s="17" t="s">
        <v>92</v>
      </c>
      <c r="F82" s="17" t="s">
        <v>92</v>
      </c>
      <c r="G82" s="17" t="s">
        <v>92</v>
      </c>
      <c r="H82" s="17" t="s">
        <v>92</v>
      </c>
      <c r="I82" s="39"/>
      <c r="J82" s="42"/>
      <c r="K82" s="88"/>
      <c r="L82" s="42"/>
      <c r="M82" s="43"/>
      <c r="Q82" s="2"/>
      <c r="R82" s="24"/>
      <c r="S82" s="24"/>
      <c r="T82" s="24"/>
    </row>
    <row r="83" spans="1:20" x14ac:dyDescent="0.25">
      <c r="A83" s="2">
        <v>45282</v>
      </c>
      <c r="B83" s="20">
        <v>2822</v>
      </c>
      <c r="C83" s="20">
        <v>663</v>
      </c>
      <c r="D83" s="20">
        <v>15750</v>
      </c>
      <c r="E83" s="17" t="s">
        <v>92</v>
      </c>
      <c r="F83" s="17" t="s">
        <v>92</v>
      </c>
      <c r="G83" s="17" t="s">
        <v>92</v>
      </c>
      <c r="H83" s="17" t="s">
        <v>92</v>
      </c>
      <c r="I83" s="39"/>
      <c r="J83" s="42"/>
      <c r="K83" s="88"/>
      <c r="L83" s="42"/>
      <c r="M83" s="43"/>
      <c r="Q83" s="2"/>
      <c r="R83" s="24"/>
      <c r="S83" s="24"/>
      <c r="T83" s="24"/>
    </row>
    <row r="84" spans="1:20" x14ac:dyDescent="0.25">
      <c r="A84" s="2">
        <v>45281</v>
      </c>
      <c r="B84" s="20">
        <v>2830</v>
      </c>
      <c r="C84" s="20">
        <v>660</v>
      </c>
      <c r="D84" s="20">
        <v>15780</v>
      </c>
      <c r="E84" s="17" t="s">
        <v>92</v>
      </c>
      <c r="F84" s="17" t="s">
        <v>92</v>
      </c>
      <c r="G84" s="17" t="s">
        <v>92</v>
      </c>
      <c r="H84" s="17" t="s">
        <v>92</v>
      </c>
      <c r="I84" s="39"/>
      <c r="J84" s="42"/>
      <c r="K84" s="88"/>
      <c r="L84" s="42"/>
      <c r="M84" s="43"/>
      <c r="Q84" s="2"/>
      <c r="R84" s="24"/>
      <c r="S84" s="24"/>
      <c r="T84" s="24"/>
    </row>
    <row r="85" spans="1:20" x14ac:dyDescent="0.25">
      <c r="A85" s="2">
        <v>45280</v>
      </c>
      <c r="B85" s="20">
        <v>2834</v>
      </c>
      <c r="C85" s="20">
        <v>668</v>
      </c>
      <c r="D85" s="20">
        <v>16030</v>
      </c>
      <c r="E85" s="17" t="s">
        <v>92</v>
      </c>
      <c r="F85" s="17" t="s">
        <v>92</v>
      </c>
      <c r="G85" s="17" t="s">
        <v>92</v>
      </c>
      <c r="H85" s="17" t="s">
        <v>92</v>
      </c>
      <c r="I85" s="39"/>
      <c r="J85" s="42"/>
      <c r="K85" s="88"/>
      <c r="L85" s="42"/>
      <c r="M85" s="43"/>
      <c r="Q85" s="2"/>
      <c r="R85" s="24"/>
      <c r="S85" s="24"/>
      <c r="T85" s="24"/>
    </row>
    <row r="86" spans="1:20" x14ac:dyDescent="0.25">
      <c r="A86" s="2">
        <v>45279</v>
      </c>
      <c r="B86" s="20">
        <v>2830</v>
      </c>
      <c r="C86" s="20">
        <v>660</v>
      </c>
      <c r="D86" s="20">
        <v>15990</v>
      </c>
      <c r="E86" s="17" t="s">
        <v>92</v>
      </c>
      <c r="F86" s="17" t="s">
        <v>92</v>
      </c>
      <c r="G86" s="17" t="s">
        <v>92</v>
      </c>
      <c r="H86" s="17" t="s">
        <v>92</v>
      </c>
      <c r="I86" s="39"/>
      <c r="J86" s="42"/>
      <c r="K86" s="88"/>
      <c r="L86" s="42"/>
      <c r="M86" s="43"/>
      <c r="Q86" s="2"/>
      <c r="R86" s="24"/>
      <c r="S86" s="24"/>
      <c r="T86" s="24"/>
    </row>
    <row r="87" spans="1:20" x14ac:dyDescent="0.25">
      <c r="A87" s="2">
        <v>45278</v>
      </c>
      <c r="B87" s="20">
        <v>2818</v>
      </c>
      <c r="C87" s="20">
        <v>667</v>
      </c>
      <c r="D87" s="20">
        <v>15725</v>
      </c>
      <c r="E87" s="17" t="s">
        <v>92</v>
      </c>
      <c r="F87" s="17" t="s">
        <v>92</v>
      </c>
      <c r="G87" s="17" t="s">
        <v>92</v>
      </c>
      <c r="H87" s="17" t="s">
        <v>92</v>
      </c>
      <c r="I87" s="39"/>
      <c r="J87" s="42"/>
      <c r="K87" s="88"/>
      <c r="L87" s="42"/>
      <c r="M87" s="43"/>
      <c r="Q87" s="2"/>
      <c r="R87" s="24"/>
      <c r="S87" s="24"/>
      <c r="T87" s="24"/>
    </row>
    <row r="88" spans="1:20" x14ac:dyDescent="0.25">
      <c r="A88" s="2">
        <v>45275</v>
      </c>
      <c r="B88" s="20">
        <v>2832</v>
      </c>
      <c r="C88" s="20">
        <v>666</v>
      </c>
      <c r="D88" s="20">
        <v>15580</v>
      </c>
      <c r="E88" s="17" t="s">
        <v>92</v>
      </c>
      <c r="F88" s="17" t="s">
        <v>92</v>
      </c>
      <c r="G88" s="17" t="s">
        <v>92</v>
      </c>
      <c r="H88" s="17" t="s">
        <v>92</v>
      </c>
      <c r="I88" s="39"/>
      <c r="J88" s="42"/>
      <c r="K88" s="88"/>
      <c r="L88" s="42"/>
      <c r="M88" s="43"/>
      <c r="Q88" s="2"/>
      <c r="R88" s="24"/>
      <c r="S88" s="24"/>
      <c r="T88" s="24"/>
    </row>
    <row r="89" spans="1:20" x14ac:dyDescent="0.25">
      <c r="A89" s="2">
        <v>45274</v>
      </c>
      <c r="B89" s="20">
        <v>2816</v>
      </c>
      <c r="C89" s="20">
        <v>667</v>
      </c>
      <c r="D89" s="20">
        <v>15690</v>
      </c>
      <c r="E89" s="17" t="s">
        <v>92</v>
      </c>
      <c r="F89" s="17" t="s">
        <v>92</v>
      </c>
      <c r="G89" s="17" t="s">
        <v>92</v>
      </c>
      <c r="H89" s="17" t="s">
        <v>92</v>
      </c>
      <c r="I89" s="39"/>
      <c r="J89" s="42"/>
      <c r="K89" s="88"/>
      <c r="L89" s="42"/>
      <c r="M89" s="43"/>
      <c r="Q89" s="2"/>
      <c r="R89" s="24"/>
      <c r="S89" s="24"/>
      <c r="T89" s="24"/>
    </row>
    <row r="90" spans="1:20" x14ac:dyDescent="0.25">
      <c r="A90" s="2">
        <v>45273</v>
      </c>
      <c r="B90" s="20">
        <v>2796</v>
      </c>
      <c r="C90" s="20">
        <v>645</v>
      </c>
      <c r="D90" s="20">
        <v>15005</v>
      </c>
      <c r="E90" s="17" t="s">
        <v>92</v>
      </c>
      <c r="F90" s="17" t="s">
        <v>92</v>
      </c>
      <c r="G90" s="17" t="s">
        <v>92</v>
      </c>
      <c r="H90" s="17" t="s">
        <v>92</v>
      </c>
      <c r="I90" s="39"/>
      <c r="J90" s="42"/>
      <c r="K90" s="88"/>
      <c r="L90" s="42"/>
      <c r="M90" s="43"/>
      <c r="Q90" s="2"/>
      <c r="R90" s="24"/>
      <c r="S90" s="24"/>
      <c r="T90" s="24"/>
    </row>
    <row r="91" spans="1:20" x14ac:dyDescent="0.25">
      <c r="A91" s="2">
        <v>45272</v>
      </c>
      <c r="B91" s="20">
        <v>2804</v>
      </c>
      <c r="C91" s="20">
        <v>642</v>
      </c>
      <c r="D91" s="20">
        <v>15025</v>
      </c>
      <c r="E91" s="17" t="s">
        <v>92</v>
      </c>
      <c r="F91" s="17" t="s">
        <v>92</v>
      </c>
      <c r="G91" s="17" t="s">
        <v>92</v>
      </c>
      <c r="H91" s="17" t="s">
        <v>92</v>
      </c>
      <c r="I91" s="39"/>
      <c r="J91" s="42"/>
      <c r="K91" s="88"/>
      <c r="L91" s="42"/>
      <c r="M91" s="43"/>
      <c r="Q91" s="2"/>
      <c r="R91" s="24"/>
      <c r="S91" s="24"/>
      <c r="T91" s="24"/>
    </row>
    <row r="92" spans="1:20" x14ac:dyDescent="0.25">
      <c r="A92" s="2">
        <v>45271</v>
      </c>
      <c r="B92" s="20">
        <v>2756</v>
      </c>
      <c r="C92" s="20">
        <v>632</v>
      </c>
      <c r="D92" s="20">
        <v>14750</v>
      </c>
      <c r="E92" s="17" t="s">
        <v>92</v>
      </c>
      <c r="F92" s="17" t="s">
        <v>92</v>
      </c>
      <c r="G92" s="17" t="s">
        <v>92</v>
      </c>
      <c r="H92" s="17" t="s">
        <v>92</v>
      </c>
      <c r="I92" s="39"/>
      <c r="J92" s="42"/>
      <c r="K92" s="88"/>
      <c r="L92" s="42"/>
      <c r="M92" s="43"/>
      <c r="Q92" s="2"/>
      <c r="R92" s="24"/>
      <c r="S92" s="24"/>
      <c r="T92" s="24"/>
    </row>
    <row r="93" spans="1:20" x14ac:dyDescent="0.25">
      <c r="A93" s="2">
        <v>45268</v>
      </c>
      <c r="B93" s="20">
        <v>2766</v>
      </c>
      <c r="C93" s="20">
        <v>637</v>
      </c>
      <c r="D93" s="20">
        <v>14780</v>
      </c>
      <c r="E93" s="17" t="s">
        <v>92</v>
      </c>
      <c r="F93" s="17" t="s">
        <v>92</v>
      </c>
      <c r="G93" s="17" t="s">
        <v>92</v>
      </c>
      <c r="H93" s="17" t="s">
        <v>92</v>
      </c>
      <c r="I93" s="39"/>
      <c r="J93" s="42"/>
      <c r="K93" s="88"/>
      <c r="L93" s="42"/>
      <c r="M93" s="43"/>
      <c r="Q93" s="2"/>
      <c r="R93" s="24"/>
      <c r="S93" s="24"/>
      <c r="T93" s="24"/>
    </row>
    <row r="94" spans="1:20" x14ac:dyDescent="0.25">
      <c r="A94" s="2">
        <v>45267</v>
      </c>
      <c r="B94" s="20">
        <v>2804</v>
      </c>
      <c r="C94" s="20">
        <v>640</v>
      </c>
      <c r="D94" s="20">
        <v>14540</v>
      </c>
      <c r="E94" s="17" t="s">
        <v>92</v>
      </c>
      <c r="F94" s="17" t="s">
        <v>92</v>
      </c>
      <c r="G94" s="17" t="s">
        <v>92</v>
      </c>
      <c r="H94" s="17" t="s">
        <v>92</v>
      </c>
      <c r="I94" s="39"/>
      <c r="J94" s="42"/>
      <c r="K94" s="88"/>
      <c r="L94" s="42"/>
      <c r="M94" s="43"/>
      <c r="Q94" s="2"/>
      <c r="R94" s="24"/>
      <c r="S94" s="24"/>
      <c r="T94" s="24"/>
    </row>
    <row r="95" spans="1:20" x14ac:dyDescent="0.25">
      <c r="A95" s="2">
        <v>45266</v>
      </c>
      <c r="B95" s="20">
        <v>2810</v>
      </c>
      <c r="C95" s="20">
        <v>643</v>
      </c>
      <c r="D95" s="20">
        <v>14510</v>
      </c>
      <c r="E95" s="17" t="s">
        <v>92</v>
      </c>
      <c r="F95" s="17" t="s">
        <v>92</v>
      </c>
      <c r="G95" s="17" t="s">
        <v>92</v>
      </c>
      <c r="H95" s="17" t="s">
        <v>92</v>
      </c>
      <c r="I95" s="39"/>
      <c r="J95" s="42"/>
      <c r="K95" s="88"/>
      <c r="L95" s="42"/>
      <c r="M95" s="43"/>
      <c r="Q95" s="2"/>
      <c r="R95" s="24"/>
      <c r="S95" s="24"/>
      <c r="T95" s="24"/>
    </row>
    <row r="96" spans="1:20" x14ac:dyDescent="0.25">
      <c r="A96" s="2">
        <v>45265</v>
      </c>
      <c r="B96" s="20">
        <v>2820</v>
      </c>
      <c r="C96" s="20">
        <v>621</v>
      </c>
      <c r="D96" s="20">
        <v>14645</v>
      </c>
      <c r="E96" s="17" t="s">
        <v>92</v>
      </c>
      <c r="F96" s="17" t="s">
        <v>92</v>
      </c>
      <c r="G96" s="17" t="s">
        <v>92</v>
      </c>
      <c r="H96" s="17" t="s">
        <v>92</v>
      </c>
      <c r="I96" s="39"/>
      <c r="J96" s="42"/>
      <c r="K96" s="88"/>
      <c r="L96" s="42"/>
      <c r="M96" s="43"/>
      <c r="Q96" s="2"/>
      <c r="R96" s="24"/>
      <c r="S96" s="24"/>
      <c r="T96" s="24"/>
    </row>
    <row r="97" spans="1:20" x14ac:dyDescent="0.25">
      <c r="A97" s="2">
        <v>45264</v>
      </c>
      <c r="B97" s="20">
        <v>2792</v>
      </c>
      <c r="C97" s="20">
        <v>617</v>
      </c>
      <c r="D97" s="20">
        <v>14670</v>
      </c>
      <c r="E97" s="17" t="s">
        <v>92</v>
      </c>
      <c r="F97" s="17" t="s">
        <v>92</v>
      </c>
      <c r="G97" s="17" t="s">
        <v>92</v>
      </c>
      <c r="H97" s="17" t="s">
        <v>92</v>
      </c>
      <c r="I97" s="39"/>
      <c r="J97" s="42"/>
      <c r="K97" s="88"/>
      <c r="L97" s="42"/>
      <c r="M97" s="43"/>
      <c r="Q97" s="2"/>
      <c r="R97" s="24"/>
      <c r="S97" s="24"/>
      <c r="T97" s="24"/>
    </row>
    <row r="98" spans="1:20" x14ac:dyDescent="0.25">
      <c r="A98" s="2">
        <v>45261</v>
      </c>
      <c r="B98" s="20">
        <v>2780</v>
      </c>
      <c r="C98" s="20">
        <v>604</v>
      </c>
      <c r="D98" s="20">
        <v>14545</v>
      </c>
      <c r="E98" s="17" t="s">
        <v>92</v>
      </c>
      <c r="F98" s="17" t="s">
        <v>92</v>
      </c>
      <c r="G98" s="17" t="s">
        <v>92</v>
      </c>
      <c r="H98" s="17" t="s">
        <v>92</v>
      </c>
      <c r="I98" s="39"/>
      <c r="J98" s="42"/>
      <c r="K98" s="88"/>
      <c r="L98" s="42"/>
      <c r="M98" s="43"/>
      <c r="Q98" s="2"/>
      <c r="R98" s="24"/>
      <c r="S98" s="24"/>
      <c r="T98" s="24"/>
    </row>
    <row r="99" spans="1:20" x14ac:dyDescent="0.25">
      <c r="A99" s="2">
        <v>45260</v>
      </c>
      <c r="B99" s="20">
        <v>2780</v>
      </c>
      <c r="C99" s="20">
        <v>590</v>
      </c>
      <c r="D99" s="20">
        <v>14515</v>
      </c>
      <c r="E99" s="17" t="s">
        <v>92</v>
      </c>
      <c r="F99" s="17" t="s">
        <v>92</v>
      </c>
      <c r="G99" s="17" t="s">
        <v>92</v>
      </c>
      <c r="H99" s="17" t="s">
        <v>92</v>
      </c>
      <c r="I99" s="39"/>
      <c r="J99" s="42"/>
      <c r="K99" s="88"/>
      <c r="L99" s="42"/>
      <c r="M99" s="43"/>
      <c r="Q99" s="2"/>
      <c r="R99" s="24"/>
      <c r="S99" s="24"/>
      <c r="T99" s="24"/>
    </row>
    <row r="100" spans="1:20" x14ac:dyDescent="0.25">
      <c r="A100" s="2">
        <v>45259</v>
      </c>
      <c r="B100" s="20">
        <v>2780</v>
      </c>
      <c r="C100" s="20">
        <v>603</v>
      </c>
      <c r="D100" s="20">
        <v>14350</v>
      </c>
      <c r="E100" s="17" t="s">
        <v>92</v>
      </c>
      <c r="F100" s="17" t="s">
        <v>92</v>
      </c>
      <c r="G100" s="17" t="s">
        <v>92</v>
      </c>
      <c r="H100" s="17" t="s">
        <v>92</v>
      </c>
      <c r="I100" s="39"/>
      <c r="J100" s="42"/>
      <c r="K100" s="88"/>
      <c r="L100" s="42"/>
      <c r="M100" s="43"/>
      <c r="Q100" s="2"/>
      <c r="R100" s="24"/>
      <c r="S100" s="24"/>
      <c r="T100" s="24"/>
    </row>
    <row r="101" spans="1:20" x14ac:dyDescent="0.25">
      <c r="A101" s="2">
        <v>45258</v>
      </c>
      <c r="B101" s="20">
        <v>2796</v>
      </c>
      <c r="C101" s="20">
        <v>604</v>
      </c>
      <c r="D101" s="20">
        <v>14190</v>
      </c>
      <c r="E101" s="17" t="s">
        <v>92</v>
      </c>
      <c r="F101" s="17" t="s">
        <v>92</v>
      </c>
      <c r="G101" s="17" t="s">
        <v>92</v>
      </c>
      <c r="H101" s="17" t="s">
        <v>92</v>
      </c>
      <c r="I101" s="39"/>
      <c r="J101" s="42"/>
      <c r="K101" s="88"/>
      <c r="L101" s="42"/>
      <c r="M101" s="43"/>
      <c r="Q101" s="2"/>
      <c r="R101" s="24"/>
      <c r="S101" s="24"/>
      <c r="T101" s="24"/>
    </row>
    <row r="102" spans="1:20" x14ac:dyDescent="0.25">
      <c r="A102" s="2">
        <v>45257</v>
      </c>
      <c r="B102" s="20">
        <v>2770</v>
      </c>
      <c r="C102" s="20">
        <v>600</v>
      </c>
      <c r="D102" s="20">
        <v>13580</v>
      </c>
      <c r="E102" s="17" t="s">
        <v>92</v>
      </c>
      <c r="F102" s="17" t="s">
        <v>92</v>
      </c>
      <c r="G102" s="17" t="s">
        <v>92</v>
      </c>
      <c r="H102" s="17" t="s">
        <v>92</v>
      </c>
      <c r="I102" s="39"/>
      <c r="J102" s="42"/>
      <c r="K102" s="88"/>
      <c r="L102" s="42"/>
      <c r="M102" s="43"/>
      <c r="Q102" s="2"/>
      <c r="R102" s="24"/>
      <c r="S102" s="24"/>
      <c r="T102" s="24"/>
    </row>
    <row r="103" spans="1:20" x14ac:dyDescent="0.25">
      <c r="A103" s="2">
        <v>45254</v>
      </c>
      <c r="B103" s="20">
        <v>2730</v>
      </c>
      <c r="C103" s="20">
        <v>607</v>
      </c>
      <c r="D103" s="20">
        <v>13770</v>
      </c>
      <c r="E103" s="17" t="s">
        <v>92</v>
      </c>
      <c r="F103" s="17" t="s">
        <v>92</v>
      </c>
      <c r="G103" s="17" t="s">
        <v>92</v>
      </c>
      <c r="H103" s="17" t="s">
        <v>92</v>
      </c>
      <c r="I103" s="39"/>
      <c r="J103" s="42"/>
      <c r="K103" s="88"/>
      <c r="L103" s="42"/>
      <c r="M103" s="43"/>
      <c r="Q103" s="2"/>
      <c r="R103" s="24"/>
      <c r="S103" s="24"/>
      <c r="T103" s="24"/>
    </row>
    <row r="104" spans="1:20" x14ac:dyDescent="0.25">
      <c r="A104" s="2">
        <v>45253</v>
      </c>
      <c r="B104" s="20">
        <v>2748</v>
      </c>
      <c r="C104" s="20">
        <v>608</v>
      </c>
      <c r="D104" s="20">
        <v>13900</v>
      </c>
      <c r="E104" s="17" t="s">
        <v>92</v>
      </c>
      <c r="F104" s="17" t="s">
        <v>92</v>
      </c>
      <c r="G104" s="17" t="s">
        <v>92</v>
      </c>
      <c r="H104" s="17" t="s">
        <v>92</v>
      </c>
      <c r="I104" s="39"/>
      <c r="J104" s="42"/>
      <c r="K104" s="88"/>
      <c r="L104" s="42"/>
      <c r="M104" s="43"/>
      <c r="Q104" s="2"/>
      <c r="R104" s="24"/>
      <c r="S104" s="24"/>
      <c r="T104" s="24"/>
    </row>
    <row r="105" spans="1:20" x14ac:dyDescent="0.25">
      <c r="A105" s="2">
        <v>45252</v>
      </c>
      <c r="B105" s="20">
        <v>2792</v>
      </c>
      <c r="C105" s="20">
        <v>606</v>
      </c>
      <c r="D105" s="20">
        <v>13970</v>
      </c>
      <c r="E105" s="17" t="s">
        <v>92</v>
      </c>
      <c r="F105" s="17" t="s">
        <v>92</v>
      </c>
      <c r="G105" s="17" t="s">
        <v>92</v>
      </c>
      <c r="H105" s="17" t="s">
        <v>92</v>
      </c>
      <c r="I105" s="39"/>
      <c r="J105" s="42"/>
      <c r="K105" s="88"/>
      <c r="L105" s="42"/>
      <c r="M105" s="43"/>
      <c r="Q105" s="2"/>
      <c r="R105" s="24"/>
      <c r="S105" s="24"/>
      <c r="T105" s="24"/>
    </row>
    <row r="106" spans="1:20" x14ac:dyDescent="0.25">
      <c r="A106" s="2">
        <v>45251</v>
      </c>
      <c r="B106" s="20">
        <v>2780</v>
      </c>
      <c r="C106" s="20">
        <v>607</v>
      </c>
      <c r="D106" s="20">
        <v>13835</v>
      </c>
      <c r="E106" s="17" t="s">
        <v>92</v>
      </c>
      <c r="F106" s="17" t="s">
        <v>92</v>
      </c>
      <c r="G106" s="17" t="s">
        <v>92</v>
      </c>
      <c r="H106" s="17" t="s">
        <v>92</v>
      </c>
      <c r="I106" s="39"/>
      <c r="J106" s="42"/>
      <c r="K106" s="88"/>
      <c r="L106" s="42"/>
      <c r="M106" s="43"/>
      <c r="Q106" s="2"/>
      <c r="R106" s="24"/>
      <c r="S106" s="24"/>
      <c r="T106" s="24"/>
    </row>
    <row r="107" spans="1:20" x14ac:dyDescent="0.25">
      <c r="A107" s="2">
        <v>45250</v>
      </c>
      <c r="B107" s="20">
        <v>2810</v>
      </c>
      <c r="C107" s="20">
        <v>613</v>
      </c>
      <c r="D107" s="20">
        <v>13800</v>
      </c>
      <c r="E107" s="17" t="s">
        <v>92</v>
      </c>
      <c r="F107" s="17" t="s">
        <v>92</v>
      </c>
      <c r="G107" s="17" t="s">
        <v>92</v>
      </c>
      <c r="H107" s="17" t="s">
        <v>92</v>
      </c>
      <c r="I107" s="39"/>
      <c r="J107" s="42"/>
      <c r="K107" s="88"/>
      <c r="L107" s="42"/>
      <c r="M107" s="43"/>
      <c r="Q107" s="2"/>
      <c r="R107" s="24"/>
      <c r="S107" s="24"/>
      <c r="T107" s="24"/>
    </row>
    <row r="108" spans="1:20" x14ac:dyDescent="0.25">
      <c r="A108" s="2">
        <v>45247</v>
      </c>
      <c r="B108" s="20">
        <v>2812</v>
      </c>
      <c r="C108" s="20">
        <v>608</v>
      </c>
      <c r="D108" s="20">
        <v>13880</v>
      </c>
      <c r="E108" s="17" t="s">
        <v>92</v>
      </c>
      <c r="F108" s="17" t="s">
        <v>92</v>
      </c>
      <c r="G108" s="17" t="s">
        <v>92</v>
      </c>
      <c r="H108" s="17" t="s">
        <v>92</v>
      </c>
      <c r="I108" s="39"/>
      <c r="J108" s="42"/>
      <c r="K108" s="88"/>
      <c r="L108" s="42"/>
      <c r="M108" s="43"/>
      <c r="Q108" s="2"/>
      <c r="R108" s="24"/>
      <c r="S108" s="24"/>
      <c r="T108" s="24"/>
    </row>
    <row r="109" spans="1:20" x14ac:dyDescent="0.25">
      <c r="A109" s="2">
        <v>45246</v>
      </c>
      <c r="B109" s="20">
        <v>2862</v>
      </c>
      <c r="C109" s="20">
        <v>613</v>
      </c>
      <c r="D109" s="20">
        <v>13910</v>
      </c>
      <c r="E109" s="17" t="s">
        <v>92</v>
      </c>
      <c r="F109" s="17" t="s">
        <v>92</v>
      </c>
      <c r="G109" s="17" t="s">
        <v>92</v>
      </c>
      <c r="H109" s="17" t="s">
        <v>92</v>
      </c>
      <c r="I109" s="39"/>
      <c r="J109" s="42"/>
      <c r="K109" s="88"/>
      <c r="L109" s="42"/>
      <c r="M109" s="43"/>
      <c r="Q109" s="2"/>
      <c r="R109" s="24"/>
      <c r="S109" s="24"/>
      <c r="T109" s="24"/>
    </row>
    <row r="110" spans="1:20" x14ac:dyDescent="0.25">
      <c r="A110" s="2">
        <v>45245</v>
      </c>
      <c r="B110" s="20">
        <v>2876</v>
      </c>
      <c r="C110" s="20">
        <v>613</v>
      </c>
      <c r="D110" s="20">
        <v>14055</v>
      </c>
      <c r="E110" s="17" t="s">
        <v>92</v>
      </c>
      <c r="F110" s="17" t="s">
        <v>92</v>
      </c>
      <c r="G110" s="17" t="s">
        <v>92</v>
      </c>
      <c r="H110" s="17" t="s">
        <v>92</v>
      </c>
      <c r="I110" s="39"/>
      <c r="J110" s="42"/>
      <c r="K110" s="88"/>
      <c r="L110" s="42"/>
      <c r="M110" s="43"/>
      <c r="Q110" s="2"/>
      <c r="R110" s="24"/>
      <c r="S110" s="24"/>
      <c r="T110" s="24"/>
    </row>
    <row r="111" spans="1:20" x14ac:dyDescent="0.25">
      <c r="A111" s="2">
        <v>45244</v>
      </c>
      <c r="B111" s="20">
        <v>2840</v>
      </c>
      <c r="C111" s="20">
        <v>608</v>
      </c>
      <c r="D111" s="20">
        <v>14015</v>
      </c>
      <c r="E111" s="17" t="s">
        <v>92</v>
      </c>
      <c r="F111" s="17" t="s">
        <v>92</v>
      </c>
      <c r="G111" s="17" t="s">
        <v>92</v>
      </c>
      <c r="H111" s="17" t="s">
        <v>92</v>
      </c>
      <c r="I111" s="39"/>
      <c r="J111" s="42"/>
      <c r="K111" s="88"/>
      <c r="L111" s="42"/>
      <c r="M111" s="43"/>
      <c r="Q111" s="2"/>
      <c r="R111" s="24"/>
      <c r="S111" s="24"/>
      <c r="T111" s="24"/>
    </row>
    <row r="112" spans="1:20" x14ac:dyDescent="0.25">
      <c r="A112" s="2">
        <v>45243</v>
      </c>
      <c r="B112" s="20">
        <v>2834</v>
      </c>
      <c r="C112" s="20">
        <v>606</v>
      </c>
      <c r="D112" s="20">
        <v>13780</v>
      </c>
      <c r="E112" s="17" t="s">
        <v>92</v>
      </c>
      <c r="F112" s="17" t="s">
        <v>92</v>
      </c>
      <c r="G112" s="17" t="s">
        <v>92</v>
      </c>
      <c r="H112" s="17" t="s">
        <v>92</v>
      </c>
      <c r="I112" s="39"/>
      <c r="J112" s="42"/>
      <c r="K112" s="88"/>
      <c r="L112" s="42"/>
      <c r="M112" s="43"/>
      <c r="Q112" s="2"/>
      <c r="R112" s="24"/>
      <c r="S112" s="24"/>
      <c r="T112" s="24"/>
    </row>
    <row r="113" spans="1:20" x14ac:dyDescent="0.25">
      <c r="A113" s="2">
        <v>45240</v>
      </c>
      <c r="B113" s="20">
        <v>2844</v>
      </c>
      <c r="C113" s="20">
        <v>606</v>
      </c>
      <c r="D113" s="20">
        <v>13945</v>
      </c>
      <c r="E113" s="17" t="s">
        <v>92</v>
      </c>
      <c r="F113" s="17" t="s">
        <v>92</v>
      </c>
      <c r="G113" s="17" t="s">
        <v>92</v>
      </c>
      <c r="H113" s="17" t="s">
        <v>92</v>
      </c>
      <c r="I113" s="39"/>
      <c r="J113" s="42"/>
      <c r="K113" s="88"/>
      <c r="L113" s="42"/>
      <c r="M113" s="43"/>
      <c r="Q113" s="2"/>
      <c r="R113" s="24"/>
      <c r="S113" s="24"/>
      <c r="T113" s="24"/>
    </row>
    <row r="114" spans="1:20" x14ac:dyDescent="0.25">
      <c r="A114" s="2">
        <v>45239</v>
      </c>
      <c r="B114" s="20">
        <v>2856</v>
      </c>
      <c r="C114" s="20">
        <v>614</v>
      </c>
      <c r="D114" s="20">
        <v>13750</v>
      </c>
      <c r="E114" s="17" t="s">
        <v>92</v>
      </c>
      <c r="F114" s="17" t="s">
        <v>92</v>
      </c>
      <c r="G114" s="17" t="s">
        <v>92</v>
      </c>
      <c r="H114" s="17" t="s">
        <v>92</v>
      </c>
      <c r="I114" s="39"/>
      <c r="J114" s="42"/>
      <c r="K114" s="88"/>
      <c r="L114" s="42"/>
      <c r="M114" s="43"/>
      <c r="Q114" s="2"/>
      <c r="R114" s="24"/>
      <c r="S114" s="24"/>
      <c r="T114" s="24"/>
    </row>
    <row r="115" spans="1:20" x14ac:dyDescent="0.25">
      <c r="A115" s="2">
        <v>45238</v>
      </c>
      <c r="B115" s="20">
        <v>2874</v>
      </c>
      <c r="C115" s="20">
        <v>607</v>
      </c>
      <c r="D115" s="20">
        <v>13730</v>
      </c>
      <c r="E115" s="17" t="s">
        <v>92</v>
      </c>
      <c r="F115" s="17" t="s">
        <v>92</v>
      </c>
      <c r="G115" s="17" t="s">
        <v>92</v>
      </c>
      <c r="H115" s="17" t="s">
        <v>92</v>
      </c>
      <c r="I115" s="39"/>
      <c r="J115" s="42"/>
      <c r="K115" s="88"/>
      <c r="L115" s="42"/>
      <c r="M115" s="43"/>
      <c r="Q115" s="2"/>
      <c r="R115" s="24"/>
      <c r="S115" s="24"/>
      <c r="T115" s="24"/>
    </row>
    <row r="116" spans="1:20" x14ac:dyDescent="0.25">
      <c r="A116" s="2">
        <v>45237</v>
      </c>
      <c r="B116" s="20">
        <v>2924</v>
      </c>
      <c r="C116" s="20">
        <v>610</v>
      </c>
      <c r="D116" s="20">
        <v>13700</v>
      </c>
      <c r="E116" s="17" t="s">
        <v>92</v>
      </c>
      <c r="F116" s="17" t="s">
        <v>92</v>
      </c>
      <c r="G116" s="17" t="s">
        <v>92</v>
      </c>
      <c r="H116" s="17" t="s">
        <v>92</v>
      </c>
      <c r="I116" s="39"/>
      <c r="J116" s="42"/>
      <c r="K116" s="88"/>
      <c r="L116" s="42"/>
      <c r="M116" s="43"/>
      <c r="Q116" s="2"/>
      <c r="R116" s="24"/>
      <c r="S116" s="24"/>
      <c r="T116" s="24"/>
    </row>
    <row r="117" spans="1:20" x14ac:dyDescent="0.25">
      <c r="A117" s="2">
        <v>45236</v>
      </c>
      <c r="B117" s="20">
        <v>2914</v>
      </c>
      <c r="C117" s="20">
        <v>605</v>
      </c>
      <c r="D117" s="20">
        <v>13745</v>
      </c>
      <c r="E117" s="17" t="s">
        <v>92</v>
      </c>
      <c r="F117" s="17" t="s">
        <v>92</v>
      </c>
      <c r="G117" s="17" t="s">
        <v>92</v>
      </c>
      <c r="H117" s="17" t="s">
        <v>92</v>
      </c>
      <c r="I117" s="39"/>
      <c r="J117" s="42"/>
      <c r="K117" s="88"/>
      <c r="L117" s="42"/>
      <c r="M117" s="43"/>
      <c r="Q117" s="2"/>
      <c r="R117" s="24"/>
      <c r="S117" s="24"/>
      <c r="T117" s="24"/>
    </row>
    <row r="118" spans="1:20" x14ac:dyDescent="0.25">
      <c r="A118" s="2">
        <v>45233</v>
      </c>
      <c r="B118" s="20">
        <v>2900</v>
      </c>
      <c r="C118" s="20">
        <v>589</v>
      </c>
      <c r="D118" s="20">
        <v>13765</v>
      </c>
      <c r="E118" s="17" t="s">
        <v>92</v>
      </c>
      <c r="F118" s="17" t="s">
        <v>92</v>
      </c>
      <c r="G118" s="17" t="s">
        <v>92</v>
      </c>
      <c r="H118" s="17" t="s">
        <v>92</v>
      </c>
      <c r="I118" s="39"/>
      <c r="J118" s="42"/>
      <c r="K118" s="88"/>
      <c r="L118" s="42"/>
      <c r="M118" s="43"/>
      <c r="Q118" s="2"/>
      <c r="R118" s="24"/>
      <c r="S118" s="24"/>
      <c r="T118" s="24"/>
    </row>
    <row r="119" spans="1:20" x14ac:dyDescent="0.25">
      <c r="A119" s="2">
        <v>45232</v>
      </c>
      <c r="B119" s="20">
        <v>2892</v>
      </c>
      <c r="C119" s="20">
        <v>559</v>
      </c>
      <c r="D119" s="20">
        <v>13550</v>
      </c>
      <c r="E119" s="17" t="s">
        <v>92</v>
      </c>
      <c r="F119" s="17" t="s">
        <v>92</v>
      </c>
      <c r="G119" s="17" t="s">
        <v>92</v>
      </c>
      <c r="H119" s="17" t="s">
        <v>92</v>
      </c>
      <c r="I119" s="39"/>
      <c r="J119" s="42"/>
      <c r="K119" s="88"/>
      <c r="L119" s="42"/>
      <c r="M119" s="43"/>
      <c r="Q119" s="2"/>
      <c r="R119" s="24"/>
      <c r="S119" s="24"/>
      <c r="T119" s="24"/>
    </row>
    <row r="120" spans="1:20" x14ac:dyDescent="0.25">
      <c r="A120" s="2">
        <v>45230</v>
      </c>
      <c r="B120" s="20">
        <v>2876</v>
      </c>
      <c r="C120" s="20">
        <v>562</v>
      </c>
      <c r="D120" s="20">
        <v>13450</v>
      </c>
      <c r="E120" s="17" t="s">
        <v>92</v>
      </c>
      <c r="F120" s="17" t="s">
        <v>92</v>
      </c>
      <c r="G120" s="17" t="s">
        <v>92</v>
      </c>
      <c r="H120" s="17" t="s">
        <v>92</v>
      </c>
      <c r="I120" s="39"/>
      <c r="J120" s="42"/>
      <c r="K120" s="88"/>
      <c r="L120" s="42"/>
      <c r="M120" s="43"/>
      <c r="Q120" s="2"/>
      <c r="R120" s="24"/>
      <c r="S120" s="24"/>
      <c r="T120" s="24"/>
    </row>
    <row r="121" spans="1:20" x14ac:dyDescent="0.25">
      <c r="A121" s="2">
        <v>45229</v>
      </c>
      <c r="B121" s="20">
        <v>2896</v>
      </c>
      <c r="C121" s="20">
        <v>558</v>
      </c>
      <c r="D121" s="20">
        <v>13585</v>
      </c>
      <c r="E121" s="17" t="s">
        <v>92</v>
      </c>
      <c r="F121" s="17" t="s">
        <v>92</v>
      </c>
      <c r="G121" s="17" t="s">
        <v>92</v>
      </c>
      <c r="H121" s="17" t="s">
        <v>92</v>
      </c>
      <c r="I121" s="39"/>
      <c r="J121" s="42"/>
      <c r="K121" s="88"/>
      <c r="L121" s="42"/>
      <c r="M121" s="43"/>
      <c r="Q121" s="2"/>
      <c r="R121" s="24"/>
      <c r="S121" s="24"/>
      <c r="T121" s="24"/>
    </row>
    <row r="122" spans="1:20" x14ac:dyDescent="0.25">
      <c r="A122" s="2">
        <v>45226</v>
      </c>
      <c r="B122" s="20">
        <v>2874</v>
      </c>
      <c r="C122" s="20">
        <v>559</v>
      </c>
      <c r="D122" s="20">
        <v>13530</v>
      </c>
      <c r="E122" s="17" t="s">
        <v>92</v>
      </c>
      <c r="F122" s="17" t="s">
        <v>92</v>
      </c>
      <c r="G122" s="17" t="s">
        <v>92</v>
      </c>
      <c r="H122" s="17" t="s">
        <v>92</v>
      </c>
      <c r="I122" s="39"/>
      <c r="J122" s="42"/>
      <c r="K122" s="88"/>
      <c r="L122" s="42"/>
      <c r="M122" s="43"/>
      <c r="Q122" s="2"/>
      <c r="R122" s="24"/>
      <c r="S122" s="24"/>
      <c r="T122" s="24"/>
    </row>
    <row r="123" spans="1:20" x14ac:dyDescent="0.25">
      <c r="A123" s="2">
        <v>45225</v>
      </c>
      <c r="B123" s="20">
        <v>2882</v>
      </c>
      <c r="C123" s="20">
        <v>570</v>
      </c>
      <c r="D123" s="20">
        <v>13600</v>
      </c>
      <c r="E123" s="17" t="s">
        <v>92</v>
      </c>
      <c r="F123" s="17" t="s">
        <v>92</v>
      </c>
      <c r="G123" s="17" t="s">
        <v>92</v>
      </c>
      <c r="H123" s="17" t="s">
        <v>92</v>
      </c>
      <c r="I123" s="39"/>
      <c r="J123" s="42"/>
      <c r="K123" s="88"/>
      <c r="L123" s="42"/>
      <c r="M123" s="43"/>
      <c r="Q123" s="2"/>
      <c r="R123" s="24"/>
      <c r="S123" s="24"/>
      <c r="T123" s="24"/>
    </row>
    <row r="124" spans="1:20" x14ac:dyDescent="0.25">
      <c r="A124" s="2">
        <v>45224</v>
      </c>
      <c r="B124" s="20">
        <v>2870</v>
      </c>
      <c r="C124" s="20">
        <v>568</v>
      </c>
      <c r="D124" s="20">
        <v>13700</v>
      </c>
      <c r="E124" s="17" t="s">
        <v>92</v>
      </c>
      <c r="F124" s="17" t="s">
        <v>92</v>
      </c>
      <c r="G124" s="17" t="s">
        <v>92</v>
      </c>
      <c r="H124" s="17" t="s">
        <v>92</v>
      </c>
      <c r="I124" s="39"/>
      <c r="J124" s="42"/>
      <c r="K124" s="88"/>
      <c r="L124" s="42"/>
      <c r="M124" s="43"/>
      <c r="Q124" s="2"/>
      <c r="R124" s="24"/>
      <c r="S124" s="24"/>
      <c r="T124" s="24"/>
    </row>
    <row r="125" spans="1:20" x14ac:dyDescent="0.25">
      <c r="A125" s="2">
        <v>45223</v>
      </c>
      <c r="B125" s="20">
        <v>2868</v>
      </c>
      <c r="C125" s="20">
        <v>566</v>
      </c>
      <c r="D125" s="20">
        <v>13250</v>
      </c>
      <c r="E125" s="17" t="s">
        <v>92</v>
      </c>
      <c r="F125" s="17" t="s">
        <v>92</v>
      </c>
      <c r="G125" s="17" t="s">
        <v>92</v>
      </c>
      <c r="H125" s="17" t="s">
        <v>92</v>
      </c>
      <c r="I125" s="39"/>
      <c r="J125" s="42"/>
      <c r="K125" s="88"/>
      <c r="L125" s="42"/>
      <c r="M125" s="43"/>
      <c r="Q125" s="2"/>
      <c r="R125" s="24"/>
      <c r="S125" s="24"/>
      <c r="T125" s="24"/>
    </row>
    <row r="126" spans="1:20" x14ac:dyDescent="0.25">
      <c r="A126" s="2">
        <v>45219</v>
      </c>
      <c r="B126" s="20">
        <v>2900</v>
      </c>
      <c r="C126" s="20">
        <v>570</v>
      </c>
      <c r="D126" s="20">
        <v>13220</v>
      </c>
      <c r="E126" s="17" t="s">
        <v>92</v>
      </c>
      <c r="F126" s="17" t="s">
        <v>92</v>
      </c>
      <c r="G126" s="17" t="s">
        <v>92</v>
      </c>
      <c r="H126" s="17" t="s">
        <v>92</v>
      </c>
      <c r="I126" s="39"/>
      <c r="J126" s="42"/>
      <c r="K126" s="88"/>
      <c r="L126" s="42"/>
      <c r="M126" s="43"/>
      <c r="Q126" s="2"/>
      <c r="R126" s="24"/>
      <c r="S126" s="24"/>
      <c r="T126" s="24"/>
    </row>
    <row r="127" spans="1:20" x14ac:dyDescent="0.25">
      <c r="A127" s="2">
        <v>45218</v>
      </c>
      <c r="B127" s="20">
        <v>2892</v>
      </c>
      <c r="C127" s="20">
        <v>581</v>
      </c>
      <c r="D127" s="20">
        <v>13350</v>
      </c>
      <c r="E127" s="17" t="s">
        <v>92</v>
      </c>
      <c r="F127" s="17" t="s">
        <v>92</v>
      </c>
      <c r="G127" s="17" t="s">
        <v>92</v>
      </c>
      <c r="H127" s="17" t="s">
        <v>92</v>
      </c>
      <c r="I127" s="39"/>
      <c r="J127" s="42"/>
      <c r="K127" s="88"/>
      <c r="L127" s="42"/>
      <c r="M127" s="43"/>
      <c r="Q127" s="2"/>
      <c r="R127" s="24"/>
      <c r="S127" s="24"/>
      <c r="T127" s="24"/>
    </row>
    <row r="128" spans="1:20" x14ac:dyDescent="0.25">
      <c r="A128" s="2">
        <v>45217</v>
      </c>
      <c r="B128" s="20">
        <v>2898</v>
      </c>
      <c r="C128" s="20">
        <v>589</v>
      </c>
      <c r="D128" s="20">
        <v>13625</v>
      </c>
      <c r="E128" s="17" t="s">
        <v>92</v>
      </c>
      <c r="F128" s="17" t="s">
        <v>92</v>
      </c>
      <c r="G128" s="17" t="s">
        <v>92</v>
      </c>
      <c r="H128" s="17" t="s">
        <v>92</v>
      </c>
      <c r="I128" s="39"/>
      <c r="J128" s="42"/>
      <c r="K128" s="88"/>
      <c r="L128" s="42"/>
      <c r="M128" s="43"/>
      <c r="Q128" s="2"/>
      <c r="R128" s="24"/>
      <c r="S128" s="24"/>
      <c r="T128" s="24"/>
    </row>
    <row r="129" spans="1:20" x14ac:dyDescent="0.25">
      <c r="A129" s="2">
        <v>45216</v>
      </c>
      <c r="B129" s="20">
        <v>2930</v>
      </c>
      <c r="C129" s="20">
        <v>581</v>
      </c>
      <c r="D129" s="20">
        <v>13585</v>
      </c>
      <c r="E129" s="17" t="s">
        <v>92</v>
      </c>
      <c r="F129" s="17" t="s">
        <v>92</v>
      </c>
      <c r="G129" s="17" t="s">
        <v>92</v>
      </c>
      <c r="H129" s="17" t="s">
        <v>92</v>
      </c>
      <c r="I129" s="39"/>
      <c r="J129" s="42"/>
      <c r="K129" s="88"/>
      <c r="L129" s="42"/>
      <c r="M129" s="43"/>
      <c r="Q129" s="2"/>
      <c r="R129" s="24"/>
      <c r="S129" s="24"/>
      <c r="T129" s="24"/>
    </row>
    <row r="130" spans="1:20" x14ac:dyDescent="0.25">
      <c r="A130" s="2">
        <v>45215</v>
      </c>
      <c r="B130" s="20">
        <v>2842</v>
      </c>
      <c r="C130" s="20">
        <v>583</v>
      </c>
      <c r="D130" s="20">
        <v>13550</v>
      </c>
      <c r="E130" s="17" t="s">
        <v>92</v>
      </c>
      <c r="F130" s="17" t="s">
        <v>92</v>
      </c>
      <c r="G130" s="17" t="s">
        <v>92</v>
      </c>
      <c r="H130" s="17" t="s">
        <v>92</v>
      </c>
      <c r="I130" s="39"/>
      <c r="J130" s="42"/>
      <c r="K130" s="88"/>
      <c r="L130" s="42"/>
      <c r="M130" s="43"/>
      <c r="Q130" s="2"/>
      <c r="R130" s="24"/>
      <c r="S130" s="24"/>
      <c r="T130" s="24"/>
    </row>
    <row r="131" spans="1:20" x14ac:dyDescent="0.25">
      <c r="A131" s="2">
        <v>45212</v>
      </c>
      <c r="B131" s="20">
        <v>2800</v>
      </c>
      <c r="C131" s="20">
        <v>585</v>
      </c>
      <c r="D131" s="20">
        <v>13445</v>
      </c>
      <c r="E131" s="17" t="s">
        <v>92</v>
      </c>
      <c r="F131" s="17" t="s">
        <v>92</v>
      </c>
      <c r="G131" s="17" t="s">
        <v>92</v>
      </c>
      <c r="H131" s="17" t="s">
        <v>92</v>
      </c>
      <c r="I131" s="39"/>
      <c r="J131" s="42"/>
      <c r="K131" s="88"/>
      <c r="L131" s="42"/>
      <c r="M131" s="43"/>
      <c r="Q131" s="2"/>
      <c r="R131" s="24"/>
      <c r="S131" s="24"/>
      <c r="T131" s="24"/>
    </row>
    <row r="132" spans="1:20" x14ac:dyDescent="0.25">
      <c r="A132" s="2">
        <v>45211</v>
      </c>
      <c r="B132" s="20">
        <v>2766</v>
      </c>
      <c r="C132" s="20">
        <v>585</v>
      </c>
      <c r="D132" s="20">
        <v>13550</v>
      </c>
      <c r="E132" s="17" t="s">
        <v>92</v>
      </c>
      <c r="F132" s="17" t="s">
        <v>92</v>
      </c>
      <c r="G132" s="17" t="s">
        <v>92</v>
      </c>
      <c r="H132" s="17" t="s">
        <v>92</v>
      </c>
      <c r="I132" s="39"/>
      <c r="J132" s="42"/>
      <c r="K132" s="88"/>
      <c r="L132" s="42"/>
      <c r="M132" s="43"/>
      <c r="Q132" s="2"/>
      <c r="R132" s="24"/>
      <c r="S132" s="24"/>
      <c r="T132" s="24"/>
    </row>
    <row r="133" spans="1:20" x14ac:dyDescent="0.25">
      <c r="A133" s="2">
        <v>45210</v>
      </c>
      <c r="B133" s="20">
        <v>2780</v>
      </c>
      <c r="C133" s="20">
        <v>582</v>
      </c>
      <c r="D133" s="20">
        <v>13535</v>
      </c>
      <c r="E133" s="17" t="s">
        <v>92</v>
      </c>
      <c r="F133" s="17" t="s">
        <v>92</v>
      </c>
      <c r="G133" s="17" t="s">
        <v>92</v>
      </c>
      <c r="H133" s="17" t="s">
        <v>92</v>
      </c>
      <c r="I133" s="39"/>
      <c r="J133" s="42"/>
      <c r="K133" s="88"/>
      <c r="L133" s="42"/>
      <c r="M133" s="43"/>
      <c r="Q133" s="2"/>
      <c r="R133" s="24"/>
      <c r="S133" s="24"/>
      <c r="T133" s="24"/>
    </row>
    <row r="134" spans="1:20" x14ac:dyDescent="0.25">
      <c r="A134" s="2">
        <v>45209</v>
      </c>
      <c r="B134" s="20">
        <v>2800</v>
      </c>
      <c r="C134" s="20">
        <v>590</v>
      </c>
      <c r="D134" s="20">
        <v>13400</v>
      </c>
      <c r="E134" s="17" t="s">
        <v>92</v>
      </c>
      <c r="F134" s="17" t="s">
        <v>92</v>
      </c>
      <c r="G134" s="17" t="s">
        <v>92</v>
      </c>
      <c r="H134" s="17" t="s">
        <v>92</v>
      </c>
      <c r="I134" s="39"/>
      <c r="J134" s="42"/>
      <c r="K134" s="88"/>
      <c r="L134" s="42"/>
      <c r="M134" s="43"/>
      <c r="Q134" s="2"/>
      <c r="R134" s="24"/>
      <c r="S134" s="24"/>
      <c r="T134" s="24"/>
    </row>
    <row r="135" spans="1:20" x14ac:dyDescent="0.25">
      <c r="A135" s="2">
        <v>45208</v>
      </c>
      <c r="B135" s="20">
        <v>2774</v>
      </c>
      <c r="C135" s="20">
        <v>574</v>
      </c>
      <c r="D135" s="20">
        <v>13130</v>
      </c>
      <c r="E135" s="17" t="s">
        <v>92</v>
      </c>
      <c r="F135" s="17" t="s">
        <v>92</v>
      </c>
      <c r="G135" s="17" t="s">
        <v>92</v>
      </c>
      <c r="H135" s="17" t="s">
        <v>92</v>
      </c>
      <c r="I135" s="39"/>
      <c r="J135" s="42"/>
      <c r="K135" s="88"/>
      <c r="L135" s="42"/>
      <c r="M135" s="43"/>
      <c r="Q135" s="2"/>
      <c r="R135" s="24"/>
      <c r="S135" s="24"/>
      <c r="T135" s="24"/>
    </row>
    <row r="136" spans="1:20" x14ac:dyDescent="0.25">
      <c r="A136" s="2">
        <v>45205</v>
      </c>
      <c r="B136" s="20">
        <v>2744</v>
      </c>
      <c r="C136" s="20">
        <v>568</v>
      </c>
      <c r="D136" s="20">
        <v>13180</v>
      </c>
      <c r="E136" s="17" t="s">
        <v>92</v>
      </c>
      <c r="F136" s="17" t="s">
        <v>92</v>
      </c>
      <c r="G136" s="17" t="s">
        <v>92</v>
      </c>
      <c r="H136" s="17" t="s">
        <v>92</v>
      </c>
      <c r="I136" s="39"/>
      <c r="J136" s="42"/>
      <c r="K136" s="88"/>
      <c r="L136" s="42"/>
      <c r="M136" s="43"/>
      <c r="Q136" s="2"/>
      <c r="R136" s="24"/>
      <c r="S136" s="24"/>
      <c r="T136" s="24"/>
    </row>
    <row r="137" spans="1:20" x14ac:dyDescent="0.25">
      <c r="A137" s="2">
        <v>45204</v>
      </c>
      <c r="B137" s="20">
        <v>2790</v>
      </c>
      <c r="C137" s="20">
        <v>567</v>
      </c>
      <c r="D137" s="20">
        <v>13220</v>
      </c>
      <c r="E137" s="17" t="s">
        <v>92</v>
      </c>
      <c r="F137" s="17" t="s">
        <v>92</v>
      </c>
      <c r="G137" s="17" t="s">
        <v>92</v>
      </c>
      <c r="H137" s="17" t="s">
        <v>92</v>
      </c>
      <c r="I137" s="39"/>
      <c r="J137" s="42"/>
      <c r="K137" s="88"/>
      <c r="L137" s="42"/>
      <c r="M137" s="43"/>
      <c r="Q137" s="2"/>
      <c r="R137" s="24"/>
      <c r="S137" s="24"/>
      <c r="T137" s="24"/>
    </row>
    <row r="138" spans="1:20" x14ac:dyDescent="0.25">
      <c r="A138" s="2">
        <v>45203</v>
      </c>
      <c r="B138" s="20">
        <v>2764</v>
      </c>
      <c r="C138" s="20">
        <v>557</v>
      </c>
      <c r="D138" s="20">
        <v>13545</v>
      </c>
      <c r="E138" s="17" t="s">
        <v>92</v>
      </c>
      <c r="F138" s="17" t="s">
        <v>92</v>
      </c>
      <c r="G138" s="17" t="s">
        <v>92</v>
      </c>
      <c r="H138" s="17" t="s">
        <v>92</v>
      </c>
      <c r="I138" s="39"/>
      <c r="J138" s="42"/>
      <c r="K138" s="88"/>
      <c r="L138" s="42"/>
      <c r="M138" s="43"/>
      <c r="Q138" s="2"/>
      <c r="R138" s="24"/>
      <c r="S138" s="24"/>
      <c r="T138" s="24"/>
    </row>
    <row r="139" spans="1:20" x14ac:dyDescent="0.25">
      <c r="A139" s="2">
        <v>45202</v>
      </c>
      <c r="B139" s="20">
        <v>2766</v>
      </c>
      <c r="C139" s="20">
        <v>552</v>
      </c>
      <c r="D139" s="20">
        <v>13490</v>
      </c>
      <c r="E139" s="17" t="s">
        <v>92</v>
      </c>
      <c r="F139" s="17" t="s">
        <v>92</v>
      </c>
      <c r="G139" s="17" t="s">
        <v>92</v>
      </c>
      <c r="H139" s="17" t="s">
        <v>92</v>
      </c>
      <c r="I139" s="39"/>
      <c r="J139" s="42"/>
      <c r="K139" s="88"/>
      <c r="L139" s="42"/>
      <c r="M139" s="43"/>
      <c r="Q139" s="2"/>
      <c r="R139" s="24"/>
      <c r="S139" s="24"/>
      <c r="T139" s="24"/>
    </row>
    <row r="140" spans="1:20" x14ac:dyDescent="0.25">
      <c r="A140" s="2">
        <v>45201</v>
      </c>
      <c r="B140" s="20">
        <v>2764</v>
      </c>
      <c r="C140" s="20">
        <v>548</v>
      </c>
      <c r="D140" s="20">
        <v>13330</v>
      </c>
      <c r="E140" s="17" t="s">
        <v>92</v>
      </c>
      <c r="F140" s="17" t="s">
        <v>92</v>
      </c>
      <c r="G140" s="17" t="s">
        <v>92</v>
      </c>
      <c r="H140" s="17" t="s">
        <v>92</v>
      </c>
      <c r="I140" s="39"/>
      <c r="J140" s="42"/>
      <c r="K140" s="88"/>
      <c r="L140" s="42"/>
      <c r="M140" s="43"/>
      <c r="Q140" s="2"/>
      <c r="R140" s="24"/>
      <c r="S140" s="24"/>
      <c r="T140" s="24"/>
    </row>
    <row r="141" spans="1:20" x14ac:dyDescent="0.25">
      <c r="A141" s="2">
        <v>45198</v>
      </c>
      <c r="B141" s="20">
        <v>2794</v>
      </c>
      <c r="C141" s="20">
        <v>540</v>
      </c>
      <c r="D141" s="20">
        <v>13300</v>
      </c>
      <c r="E141" s="17" t="s">
        <v>92</v>
      </c>
      <c r="F141" s="17" t="s">
        <v>92</v>
      </c>
      <c r="G141" s="17" t="s">
        <v>92</v>
      </c>
      <c r="H141" s="17" t="s">
        <v>92</v>
      </c>
      <c r="I141" s="39"/>
      <c r="J141" s="42"/>
      <c r="K141" s="88"/>
      <c r="L141" s="42"/>
      <c r="M141" s="43"/>
      <c r="Q141" s="2"/>
      <c r="R141" s="24"/>
      <c r="S141" s="24"/>
      <c r="T141" s="24"/>
    </row>
    <row r="142" spans="1:20" x14ac:dyDescent="0.25">
      <c r="A142" s="2">
        <v>45197</v>
      </c>
      <c r="B142" s="20">
        <v>2780</v>
      </c>
      <c r="C142" s="20">
        <v>544</v>
      </c>
      <c r="D142" s="20">
        <v>13010</v>
      </c>
      <c r="E142" s="17" t="s">
        <v>92</v>
      </c>
      <c r="F142" s="17" t="s">
        <v>92</v>
      </c>
      <c r="G142" s="17" t="s">
        <v>92</v>
      </c>
      <c r="H142" s="17" t="s">
        <v>92</v>
      </c>
      <c r="I142" s="39"/>
      <c r="J142" s="42"/>
      <c r="K142" s="88"/>
      <c r="L142" s="42"/>
      <c r="M142" s="43"/>
      <c r="Q142" s="2"/>
      <c r="R142" s="24"/>
      <c r="S142" s="24"/>
      <c r="T142" s="24"/>
    </row>
    <row r="143" spans="1:20" x14ac:dyDescent="0.25">
      <c r="A143" s="2">
        <v>45196</v>
      </c>
      <c r="B143" s="20">
        <v>2794</v>
      </c>
      <c r="C143" s="20">
        <v>544</v>
      </c>
      <c r="D143" s="20">
        <v>13300</v>
      </c>
      <c r="E143" s="17" t="s">
        <v>92</v>
      </c>
      <c r="F143" s="17" t="s">
        <v>92</v>
      </c>
      <c r="G143" s="17" t="s">
        <v>92</v>
      </c>
      <c r="H143" s="17" t="s">
        <v>92</v>
      </c>
      <c r="I143" s="39"/>
      <c r="J143" s="42"/>
      <c r="K143" s="88"/>
      <c r="L143" s="42"/>
      <c r="M143" s="43"/>
      <c r="Q143" s="2"/>
      <c r="R143" s="24"/>
      <c r="S143" s="24"/>
      <c r="T143" s="24"/>
    </row>
    <row r="144" spans="1:20" x14ac:dyDescent="0.25">
      <c r="A144" s="2">
        <v>45195</v>
      </c>
      <c r="B144" s="20">
        <v>2760</v>
      </c>
      <c r="C144" s="20">
        <v>537</v>
      </c>
      <c r="D144" s="20">
        <v>13180</v>
      </c>
      <c r="E144" s="17" t="s">
        <v>92</v>
      </c>
      <c r="F144" s="17" t="s">
        <v>92</v>
      </c>
      <c r="G144" s="17" t="s">
        <v>92</v>
      </c>
      <c r="H144" s="17" t="s">
        <v>92</v>
      </c>
      <c r="I144" s="39"/>
      <c r="J144" s="42"/>
      <c r="K144" s="88"/>
      <c r="L144" s="42"/>
      <c r="M144" s="43"/>
      <c r="Q144" s="2"/>
      <c r="R144" s="24"/>
      <c r="S144" s="24"/>
      <c r="T144" s="24"/>
    </row>
    <row r="145" spans="1:20" x14ac:dyDescent="0.25">
      <c r="A145" s="2">
        <v>45194</v>
      </c>
      <c r="B145" s="20">
        <v>2774</v>
      </c>
      <c r="C145" s="20">
        <v>523</v>
      </c>
      <c r="D145" s="20">
        <v>12995</v>
      </c>
      <c r="E145" s="17" t="s">
        <v>92</v>
      </c>
      <c r="F145" s="17" t="s">
        <v>92</v>
      </c>
      <c r="G145" s="17" t="s">
        <v>92</v>
      </c>
      <c r="H145" s="17" t="s">
        <v>92</v>
      </c>
      <c r="I145" s="39"/>
      <c r="J145" s="42"/>
      <c r="K145" s="88"/>
      <c r="L145" s="42"/>
      <c r="M145" s="43"/>
      <c r="Q145" s="2"/>
      <c r="R145" s="24"/>
      <c r="S145" s="24"/>
      <c r="T145" s="24"/>
    </row>
    <row r="146" spans="1:20" x14ac:dyDescent="0.25">
      <c r="A146" s="2">
        <v>45191</v>
      </c>
      <c r="B146" s="20">
        <v>2786</v>
      </c>
      <c r="C146" s="20">
        <v>533</v>
      </c>
      <c r="D146" s="20">
        <v>12845</v>
      </c>
      <c r="E146" s="17" t="s">
        <v>92</v>
      </c>
      <c r="F146" s="17" t="s">
        <v>92</v>
      </c>
      <c r="G146" s="17" t="s">
        <v>92</v>
      </c>
      <c r="H146" s="17" t="s">
        <v>92</v>
      </c>
      <c r="I146" s="39"/>
      <c r="J146" s="42"/>
      <c r="K146" s="88"/>
      <c r="L146" s="42"/>
      <c r="M146" s="43"/>
      <c r="Q146" s="2"/>
      <c r="R146" s="24"/>
      <c r="S146" s="24"/>
      <c r="T146" s="24"/>
    </row>
    <row r="147" spans="1:20" x14ac:dyDescent="0.25">
      <c r="A147" s="2">
        <v>45190</v>
      </c>
      <c r="B147" s="20">
        <v>2790</v>
      </c>
      <c r="C147" s="20">
        <v>529</v>
      </c>
      <c r="D147" s="20">
        <v>13135</v>
      </c>
      <c r="E147" s="17" t="s">
        <v>92</v>
      </c>
      <c r="F147" s="17" t="s">
        <v>92</v>
      </c>
      <c r="G147" s="17" t="s">
        <v>92</v>
      </c>
      <c r="H147" s="17" t="s">
        <v>92</v>
      </c>
      <c r="I147" s="39"/>
      <c r="J147" s="42"/>
      <c r="K147" s="88"/>
      <c r="L147" s="42"/>
      <c r="M147" s="43"/>
      <c r="Q147" s="2"/>
      <c r="R147" s="24"/>
      <c r="S147" s="24"/>
      <c r="T147" s="24"/>
    </row>
    <row r="148" spans="1:20" x14ac:dyDescent="0.25">
      <c r="A148" s="2">
        <v>45189</v>
      </c>
      <c r="B148" s="20">
        <v>2814</v>
      </c>
      <c r="C148" s="20">
        <v>525</v>
      </c>
      <c r="D148" s="20">
        <v>14010</v>
      </c>
      <c r="E148" s="17" t="s">
        <v>92</v>
      </c>
      <c r="F148" s="17" t="s">
        <v>92</v>
      </c>
      <c r="G148" s="17" t="s">
        <v>92</v>
      </c>
      <c r="H148" s="17" t="s">
        <v>92</v>
      </c>
      <c r="I148" s="39"/>
      <c r="J148" s="42"/>
      <c r="K148" s="88"/>
      <c r="L148" s="42"/>
      <c r="M148" s="43"/>
      <c r="Q148" s="2"/>
      <c r="R148" s="24"/>
      <c r="S148" s="24"/>
      <c r="T148" s="24"/>
    </row>
    <row r="149" spans="1:20" x14ac:dyDescent="0.25">
      <c r="A149" s="2">
        <v>45188</v>
      </c>
      <c r="B149" s="20">
        <v>2760</v>
      </c>
      <c r="C149" s="20">
        <v>529</v>
      </c>
      <c r="D149" s="20">
        <v>14410</v>
      </c>
      <c r="E149" s="17" t="s">
        <v>92</v>
      </c>
      <c r="F149" s="17" t="s">
        <v>92</v>
      </c>
      <c r="G149" s="17" t="s">
        <v>92</v>
      </c>
      <c r="H149" s="17" t="s">
        <v>92</v>
      </c>
      <c r="I149" s="39"/>
      <c r="J149" s="42"/>
      <c r="K149" s="88"/>
      <c r="L149" s="42"/>
      <c r="M149" s="43"/>
      <c r="Q149" s="2"/>
      <c r="R149" s="24"/>
      <c r="S149" s="24"/>
      <c r="T149" s="24"/>
    </row>
    <row r="150" spans="1:20" x14ac:dyDescent="0.25">
      <c r="A150" s="2">
        <v>45187</v>
      </c>
      <c r="B150" s="20">
        <v>2746</v>
      </c>
      <c r="C150" s="20">
        <v>525</v>
      </c>
      <c r="D150" s="20">
        <v>14440</v>
      </c>
      <c r="E150" s="17" t="s">
        <v>92</v>
      </c>
      <c r="F150" s="17" t="s">
        <v>92</v>
      </c>
      <c r="G150" s="17" t="s">
        <v>92</v>
      </c>
      <c r="H150" s="17" t="s">
        <v>92</v>
      </c>
      <c r="I150" s="39"/>
      <c r="J150" s="42"/>
      <c r="K150" s="88"/>
      <c r="L150" s="42"/>
      <c r="M150" s="43"/>
      <c r="Q150" s="2"/>
      <c r="R150" s="24"/>
      <c r="S150" s="24"/>
      <c r="T150" s="24"/>
    </row>
    <row r="151" spans="1:20" x14ac:dyDescent="0.25">
      <c r="A151" s="2">
        <v>45184</v>
      </c>
      <c r="B151" s="20">
        <v>2762</v>
      </c>
      <c r="C151" s="20">
        <v>525</v>
      </c>
      <c r="D151" s="20">
        <v>14695</v>
      </c>
      <c r="E151" s="17" t="s">
        <v>92</v>
      </c>
      <c r="F151" s="17" t="s">
        <v>92</v>
      </c>
      <c r="G151" s="17" t="s">
        <v>92</v>
      </c>
      <c r="H151" s="17" t="s">
        <v>92</v>
      </c>
      <c r="I151" s="39"/>
      <c r="J151" s="42"/>
      <c r="K151" s="88"/>
      <c r="L151" s="42"/>
      <c r="M151" s="43"/>
      <c r="Q151" s="2"/>
      <c r="R151" s="24"/>
      <c r="S151" s="24"/>
      <c r="T151" s="24"/>
    </row>
    <row r="152" spans="1:20" x14ac:dyDescent="0.25">
      <c r="A152" s="2">
        <v>45183</v>
      </c>
      <c r="B152" s="20">
        <v>2728</v>
      </c>
      <c r="C152" s="20">
        <v>475</v>
      </c>
      <c r="D152" s="20">
        <v>14680</v>
      </c>
      <c r="E152" s="17" t="s">
        <v>92</v>
      </c>
      <c r="F152" s="17" t="s">
        <v>92</v>
      </c>
      <c r="G152" s="17" t="s">
        <v>92</v>
      </c>
      <c r="H152" s="17" t="s">
        <v>92</v>
      </c>
      <c r="I152" s="39"/>
      <c r="J152" s="42"/>
      <c r="K152" s="88"/>
      <c r="L152" s="42"/>
      <c r="M152" s="43"/>
      <c r="Q152" s="2"/>
      <c r="R152" s="24"/>
      <c r="S152" s="24"/>
      <c r="T152" s="24"/>
    </row>
    <row r="153" spans="1:20" x14ac:dyDescent="0.25">
      <c r="A153" s="2">
        <v>45182</v>
      </c>
      <c r="B153" s="20">
        <v>2708</v>
      </c>
      <c r="C153" s="20">
        <v>474</v>
      </c>
      <c r="D153" s="20">
        <v>14505</v>
      </c>
      <c r="E153" s="17" t="s">
        <v>92</v>
      </c>
      <c r="F153" s="17" t="s">
        <v>92</v>
      </c>
      <c r="G153" s="17" t="s">
        <v>92</v>
      </c>
      <c r="H153" s="17" t="s">
        <v>92</v>
      </c>
      <c r="I153" s="39"/>
      <c r="J153" s="42"/>
      <c r="K153" s="88"/>
      <c r="L153" s="42"/>
      <c r="M153" s="43"/>
      <c r="Q153" s="2"/>
      <c r="R153" s="24"/>
      <c r="S153" s="24"/>
      <c r="T153" s="24"/>
    </row>
    <row r="154" spans="1:20" x14ac:dyDescent="0.25">
      <c r="A154" s="2">
        <v>45181</v>
      </c>
      <c r="B154" s="20">
        <v>2704</v>
      </c>
      <c r="C154" s="20">
        <v>469</v>
      </c>
      <c r="D154" s="20">
        <v>14560</v>
      </c>
      <c r="E154" s="17" t="s">
        <v>92</v>
      </c>
      <c r="F154" s="17" t="s">
        <v>92</v>
      </c>
      <c r="G154" s="17" t="s">
        <v>92</v>
      </c>
      <c r="H154" s="17" t="s">
        <v>92</v>
      </c>
      <c r="I154" s="39"/>
      <c r="J154" s="42"/>
      <c r="K154" s="88"/>
      <c r="L154" s="42"/>
      <c r="M154" s="43"/>
      <c r="Q154" s="2"/>
      <c r="R154" s="24"/>
      <c r="S154" s="24"/>
      <c r="T154" s="24"/>
    </row>
    <row r="155" spans="1:20" x14ac:dyDescent="0.25">
      <c r="A155" s="2">
        <v>45180</v>
      </c>
      <c r="B155" s="20">
        <v>2678</v>
      </c>
      <c r="C155" s="29">
        <v>453.5</v>
      </c>
      <c r="D155" s="20">
        <v>14500</v>
      </c>
      <c r="E155" s="17" t="s">
        <v>92</v>
      </c>
      <c r="F155" s="17" t="s">
        <v>92</v>
      </c>
      <c r="G155" s="17" t="s">
        <v>92</v>
      </c>
      <c r="H155" s="17" t="s">
        <v>92</v>
      </c>
      <c r="I155" s="39"/>
      <c r="J155" s="42"/>
      <c r="K155" s="88"/>
      <c r="L155" s="42"/>
      <c r="M155" s="43"/>
      <c r="Q155" s="2"/>
      <c r="R155" s="24"/>
      <c r="S155" s="24"/>
      <c r="T155" s="24"/>
    </row>
    <row r="156" spans="1:20" x14ac:dyDescent="0.25">
      <c r="A156" s="2">
        <v>45177</v>
      </c>
      <c r="B156" s="20">
        <v>2668</v>
      </c>
      <c r="C156" s="20">
        <v>450</v>
      </c>
      <c r="D156" s="20">
        <v>14340</v>
      </c>
      <c r="E156" s="17" t="s">
        <v>92</v>
      </c>
      <c r="F156" s="17" t="s">
        <v>92</v>
      </c>
      <c r="G156" s="17" t="s">
        <v>92</v>
      </c>
      <c r="H156" s="17" t="s">
        <v>92</v>
      </c>
      <c r="I156" s="39"/>
      <c r="J156" s="42"/>
      <c r="K156" s="88"/>
      <c r="L156" s="42"/>
      <c r="M156" s="43"/>
      <c r="Q156" s="2"/>
      <c r="R156" s="24"/>
      <c r="S156" s="24"/>
      <c r="T156" s="24"/>
    </row>
    <row r="157" spans="1:20" x14ac:dyDescent="0.25">
      <c r="A157" s="2">
        <v>45176</v>
      </c>
      <c r="B157" s="20">
        <v>2680</v>
      </c>
      <c r="C157" s="29">
        <v>448.5</v>
      </c>
      <c r="D157" s="20">
        <v>14290</v>
      </c>
      <c r="E157" s="17" t="s">
        <v>92</v>
      </c>
      <c r="F157" s="17" t="s">
        <v>92</v>
      </c>
      <c r="G157" s="17" t="s">
        <v>92</v>
      </c>
      <c r="H157" s="17" t="s">
        <v>92</v>
      </c>
      <c r="I157" s="39"/>
      <c r="J157" s="42"/>
      <c r="K157" s="88"/>
      <c r="L157" s="42"/>
      <c r="M157" s="43"/>
      <c r="Q157" s="2"/>
      <c r="R157" s="24"/>
      <c r="S157" s="24"/>
      <c r="T157" s="24"/>
    </row>
    <row r="158" spans="1:20" x14ac:dyDescent="0.25">
      <c r="A158" s="2">
        <v>45175</v>
      </c>
      <c r="B158" s="20">
        <v>2660</v>
      </c>
      <c r="C158" s="20">
        <v>450</v>
      </c>
      <c r="D158" s="20">
        <v>14140</v>
      </c>
      <c r="E158" s="17" t="s">
        <v>92</v>
      </c>
      <c r="F158" s="17" t="s">
        <v>92</v>
      </c>
      <c r="G158" s="17" t="s">
        <v>92</v>
      </c>
      <c r="H158" s="17" t="s">
        <v>92</v>
      </c>
      <c r="I158" s="39"/>
      <c r="J158" s="42"/>
      <c r="K158" s="88"/>
      <c r="L158" s="42"/>
      <c r="M158" s="43"/>
      <c r="Q158" s="2"/>
      <c r="R158" s="24"/>
      <c r="S158" s="24"/>
      <c r="T158" s="24"/>
    </row>
    <row r="159" spans="1:20" x14ac:dyDescent="0.25">
      <c r="A159" s="2">
        <v>45174</v>
      </c>
      <c r="B159" s="20">
        <v>2702</v>
      </c>
      <c r="C159" s="20">
        <v>452</v>
      </c>
      <c r="D159" s="20">
        <v>13920</v>
      </c>
      <c r="E159" s="17" t="s">
        <v>92</v>
      </c>
      <c r="F159" s="17" t="s">
        <v>92</v>
      </c>
      <c r="G159" s="17" t="s">
        <v>92</v>
      </c>
      <c r="H159" s="17" t="s">
        <v>92</v>
      </c>
      <c r="I159" s="39"/>
      <c r="J159" s="42"/>
      <c r="K159" s="88"/>
      <c r="L159" s="42"/>
      <c r="M159" s="43"/>
      <c r="Q159" s="2"/>
      <c r="R159" s="24"/>
      <c r="S159" s="24"/>
      <c r="T159" s="24"/>
    </row>
    <row r="160" spans="1:20" x14ac:dyDescent="0.25">
      <c r="A160" s="2">
        <v>45173</v>
      </c>
      <c r="B160" s="20">
        <v>2668</v>
      </c>
      <c r="C160" s="20">
        <v>457</v>
      </c>
      <c r="D160" s="20">
        <v>13990</v>
      </c>
      <c r="E160" s="17" t="s">
        <v>92</v>
      </c>
      <c r="F160" s="17" t="s">
        <v>92</v>
      </c>
      <c r="G160" s="17" t="s">
        <v>92</v>
      </c>
      <c r="H160" s="17" t="s">
        <v>92</v>
      </c>
      <c r="I160" s="39"/>
      <c r="J160" s="42"/>
      <c r="K160" s="88"/>
      <c r="L160" s="42"/>
      <c r="M160" s="43"/>
      <c r="Q160" s="2"/>
      <c r="R160" s="24"/>
      <c r="S160" s="24"/>
      <c r="T160" s="24"/>
    </row>
    <row r="161" spans="1:20" x14ac:dyDescent="0.25">
      <c r="A161" s="2">
        <v>45170</v>
      </c>
      <c r="B161" s="20">
        <v>2662</v>
      </c>
      <c r="C161" s="20">
        <v>463</v>
      </c>
      <c r="D161" s="20">
        <v>13970</v>
      </c>
      <c r="E161" s="17" t="s">
        <v>92</v>
      </c>
      <c r="F161" s="17" t="s">
        <v>92</v>
      </c>
      <c r="G161" s="17" t="s">
        <v>92</v>
      </c>
      <c r="H161" s="17" t="s">
        <v>92</v>
      </c>
      <c r="I161" s="39"/>
      <c r="J161" s="42"/>
      <c r="K161" s="88"/>
      <c r="L161" s="42"/>
      <c r="M161" s="43"/>
      <c r="Q161" s="2"/>
      <c r="R161" s="24"/>
      <c r="S161" s="24"/>
      <c r="T161" s="24"/>
    </row>
    <row r="162" spans="1:20" x14ac:dyDescent="0.25">
      <c r="A162" s="2">
        <v>45169</v>
      </c>
      <c r="B162" s="20">
        <v>2662</v>
      </c>
      <c r="C162" s="20">
        <v>468</v>
      </c>
      <c r="D162" s="20">
        <v>14365</v>
      </c>
      <c r="E162" s="17" t="s">
        <v>92</v>
      </c>
      <c r="F162" s="17" t="s">
        <v>92</v>
      </c>
      <c r="G162" s="17" t="s">
        <v>92</v>
      </c>
      <c r="H162" s="17" t="s">
        <v>92</v>
      </c>
      <c r="I162" s="39"/>
      <c r="J162" s="42"/>
      <c r="K162" s="88"/>
      <c r="L162" s="42"/>
      <c r="M162" s="43"/>
      <c r="Q162" s="2"/>
      <c r="R162" s="24"/>
      <c r="S162" s="24"/>
      <c r="T162" s="24"/>
    </row>
    <row r="163" spans="1:20" x14ac:dyDescent="0.25">
      <c r="A163" s="2">
        <v>45168</v>
      </c>
      <c r="B163" s="20">
        <v>2682</v>
      </c>
      <c r="C163" s="29">
        <v>464.5</v>
      </c>
      <c r="D163" s="20">
        <v>14580</v>
      </c>
      <c r="E163" s="17" t="s">
        <v>92</v>
      </c>
      <c r="F163" s="17" t="s">
        <v>92</v>
      </c>
      <c r="G163" s="17" t="s">
        <v>92</v>
      </c>
      <c r="H163" s="17" t="s">
        <v>92</v>
      </c>
      <c r="I163" s="39"/>
      <c r="J163" s="42"/>
      <c r="K163" s="88"/>
      <c r="L163" s="42"/>
      <c r="M163" s="43"/>
      <c r="Q163" s="2"/>
      <c r="R163" s="24"/>
      <c r="S163" s="24"/>
      <c r="T163" s="24"/>
    </row>
    <row r="164" spans="1:20" x14ac:dyDescent="0.25">
      <c r="A164" s="2">
        <v>45167</v>
      </c>
      <c r="B164" s="20">
        <v>2730</v>
      </c>
      <c r="C164" s="29">
        <v>461.5</v>
      </c>
      <c r="D164" s="20">
        <v>14490</v>
      </c>
      <c r="E164" s="17" t="s">
        <v>92</v>
      </c>
      <c r="F164" s="17" t="s">
        <v>92</v>
      </c>
      <c r="G164" s="17" t="s">
        <v>92</v>
      </c>
      <c r="H164" s="17" t="s">
        <v>92</v>
      </c>
      <c r="I164" s="39"/>
      <c r="J164" s="42"/>
      <c r="K164" s="88"/>
      <c r="L164" s="42"/>
      <c r="M164" s="43"/>
      <c r="Q164" s="2"/>
      <c r="R164" s="24"/>
      <c r="S164" s="24"/>
      <c r="T164" s="24"/>
    </row>
    <row r="165" spans="1:20" x14ac:dyDescent="0.25">
      <c r="A165" s="2">
        <v>45166</v>
      </c>
      <c r="B165" s="20">
        <v>2722</v>
      </c>
      <c r="C165" s="20">
        <v>456</v>
      </c>
      <c r="D165" s="20">
        <v>14310</v>
      </c>
      <c r="E165" s="17" t="s">
        <v>92</v>
      </c>
      <c r="F165" s="17" t="s">
        <v>92</v>
      </c>
      <c r="G165" s="17" t="s">
        <v>92</v>
      </c>
      <c r="H165" s="17" t="s">
        <v>92</v>
      </c>
      <c r="I165" s="39"/>
      <c r="J165" s="42"/>
      <c r="K165" s="88"/>
      <c r="L165" s="42"/>
      <c r="M165" s="43"/>
      <c r="Q165" s="2"/>
      <c r="R165" s="24"/>
      <c r="S165" s="24"/>
      <c r="T165" s="24"/>
    </row>
    <row r="166" spans="1:20" x14ac:dyDescent="0.25">
      <c r="A166" s="2">
        <v>45163</v>
      </c>
      <c r="B166" s="20">
        <v>2746</v>
      </c>
      <c r="C166" s="29">
        <v>452.5</v>
      </c>
      <c r="D166" s="20">
        <v>14305</v>
      </c>
      <c r="E166" s="17" t="s">
        <v>92</v>
      </c>
      <c r="F166" s="17" t="s">
        <v>92</v>
      </c>
      <c r="G166" s="17" t="s">
        <v>92</v>
      </c>
      <c r="H166" s="17" t="s">
        <v>92</v>
      </c>
      <c r="I166" s="39"/>
      <c r="J166" s="42"/>
      <c r="K166" s="88"/>
      <c r="L166" s="42"/>
      <c r="M166" s="43"/>
      <c r="Q166" s="2"/>
      <c r="R166" s="24"/>
      <c r="S166" s="24"/>
      <c r="T166" s="24"/>
    </row>
    <row r="167" spans="1:20" x14ac:dyDescent="0.25">
      <c r="A167" s="2">
        <v>45162</v>
      </c>
      <c r="B167" s="20">
        <v>2744</v>
      </c>
      <c r="C167" s="20">
        <v>459</v>
      </c>
      <c r="D167" s="20">
        <v>14500</v>
      </c>
      <c r="E167" s="17" t="s">
        <v>92</v>
      </c>
      <c r="F167" s="17" t="s">
        <v>92</v>
      </c>
      <c r="G167" s="17" t="s">
        <v>92</v>
      </c>
      <c r="H167" s="17" t="s">
        <v>92</v>
      </c>
      <c r="I167" s="39"/>
      <c r="J167" s="42"/>
      <c r="K167" s="88"/>
      <c r="L167" s="42"/>
      <c r="M167" s="43"/>
      <c r="Q167" s="2"/>
      <c r="R167" s="24"/>
      <c r="S167" s="24"/>
      <c r="T167" s="24"/>
    </row>
    <row r="168" spans="1:20" x14ac:dyDescent="0.25">
      <c r="A168" s="2">
        <v>45161</v>
      </c>
      <c r="B168" s="20">
        <v>2734</v>
      </c>
      <c r="C168" s="20">
        <v>445</v>
      </c>
      <c r="D168" s="20">
        <v>14380</v>
      </c>
      <c r="E168" s="17" t="s">
        <v>92</v>
      </c>
      <c r="F168" s="17" t="s">
        <v>92</v>
      </c>
      <c r="G168" s="17" t="s">
        <v>92</v>
      </c>
      <c r="H168" s="17" t="s">
        <v>92</v>
      </c>
      <c r="I168" s="39"/>
      <c r="J168" s="42"/>
      <c r="K168" s="88"/>
      <c r="L168" s="42"/>
      <c r="M168" s="43"/>
      <c r="Q168" s="2"/>
      <c r="R168" s="24"/>
      <c r="S168" s="24"/>
      <c r="T168" s="24"/>
    </row>
    <row r="169" spans="1:20" x14ac:dyDescent="0.25">
      <c r="A169" s="2">
        <v>45160</v>
      </c>
      <c r="B169" s="20">
        <v>2698</v>
      </c>
      <c r="C169" s="20">
        <v>442</v>
      </c>
      <c r="D169" s="20">
        <v>14295</v>
      </c>
      <c r="E169" s="17" t="s">
        <v>92</v>
      </c>
      <c r="F169" s="17" t="s">
        <v>92</v>
      </c>
      <c r="G169" s="17" t="s">
        <v>92</v>
      </c>
      <c r="H169" s="17" t="s">
        <v>92</v>
      </c>
      <c r="I169" s="39"/>
      <c r="J169" s="42"/>
      <c r="K169" s="88"/>
      <c r="L169" s="42"/>
      <c r="M169" s="43"/>
      <c r="Q169" s="2"/>
      <c r="R169" s="24"/>
      <c r="S169" s="24"/>
      <c r="T169" s="24"/>
    </row>
    <row r="170" spans="1:20" x14ac:dyDescent="0.25">
      <c r="A170" s="2">
        <v>45159</v>
      </c>
      <c r="B170" s="20">
        <v>2708</v>
      </c>
      <c r="C170" s="29">
        <v>437.5</v>
      </c>
      <c r="D170" s="20">
        <v>14095</v>
      </c>
      <c r="E170" s="17" t="s">
        <v>92</v>
      </c>
      <c r="F170" s="17" t="s">
        <v>92</v>
      </c>
      <c r="G170" s="17" t="s">
        <v>92</v>
      </c>
      <c r="H170" s="17" t="s">
        <v>92</v>
      </c>
      <c r="I170" s="39"/>
      <c r="J170" s="42"/>
      <c r="K170" s="88"/>
      <c r="L170" s="42"/>
      <c r="M170" s="43"/>
      <c r="Q170" s="2"/>
      <c r="R170" s="24"/>
      <c r="S170" s="24"/>
      <c r="T170" s="24"/>
    </row>
    <row r="171" spans="1:20" x14ac:dyDescent="0.25">
      <c r="A171" s="2">
        <v>45156</v>
      </c>
      <c r="B171" s="20">
        <v>2652</v>
      </c>
      <c r="C171" s="20">
        <v>440</v>
      </c>
      <c r="D171" s="20">
        <v>14100</v>
      </c>
      <c r="E171" s="17" t="s">
        <v>92</v>
      </c>
      <c r="F171" s="17" t="s">
        <v>92</v>
      </c>
      <c r="G171" s="17" t="s">
        <v>92</v>
      </c>
      <c r="H171" s="17" t="s">
        <v>92</v>
      </c>
      <c r="I171" s="39"/>
      <c r="J171" s="42"/>
      <c r="K171" s="88"/>
      <c r="L171" s="42"/>
      <c r="M171" s="43"/>
      <c r="Q171" s="2"/>
      <c r="R171" s="24"/>
      <c r="S171" s="24"/>
      <c r="T171" s="24"/>
    </row>
    <row r="172" spans="1:20" x14ac:dyDescent="0.25">
      <c r="A172" s="2">
        <v>45155</v>
      </c>
      <c r="B172" s="20">
        <v>2696</v>
      </c>
      <c r="C172" s="29">
        <v>438.5</v>
      </c>
      <c r="D172" s="20">
        <v>14100</v>
      </c>
      <c r="E172" s="17" t="s">
        <v>92</v>
      </c>
      <c r="F172" s="17" t="s">
        <v>92</v>
      </c>
      <c r="G172" s="17" t="s">
        <v>92</v>
      </c>
      <c r="H172" s="17" t="s">
        <v>92</v>
      </c>
      <c r="I172" s="39"/>
      <c r="J172" s="42"/>
      <c r="K172" s="88"/>
      <c r="L172" s="42"/>
      <c r="M172" s="43"/>
      <c r="Q172" s="2"/>
      <c r="R172" s="24"/>
      <c r="S172" s="24"/>
      <c r="T172" s="24"/>
    </row>
    <row r="173" spans="1:20" x14ac:dyDescent="0.25">
      <c r="A173" s="2">
        <v>45154</v>
      </c>
      <c r="B173" s="20">
        <v>2662</v>
      </c>
      <c r="C173" s="29">
        <v>438.5</v>
      </c>
      <c r="D173" s="20">
        <v>13665</v>
      </c>
      <c r="E173" s="17" t="s">
        <v>92</v>
      </c>
      <c r="F173" s="17" t="s">
        <v>92</v>
      </c>
      <c r="G173" s="17" t="s">
        <v>92</v>
      </c>
      <c r="H173" s="17" t="s">
        <v>92</v>
      </c>
      <c r="I173" s="39"/>
      <c r="J173" s="42"/>
      <c r="K173" s="88"/>
      <c r="L173" s="42"/>
      <c r="M173" s="43"/>
      <c r="Q173" s="2"/>
      <c r="R173" s="24"/>
      <c r="S173" s="24"/>
      <c r="T173" s="24"/>
    </row>
    <row r="174" spans="1:20" x14ac:dyDescent="0.25">
      <c r="A174" s="2">
        <v>45153</v>
      </c>
      <c r="B174" s="20">
        <v>2668</v>
      </c>
      <c r="C174" s="29">
        <v>439.5</v>
      </c>
      <c r="D174" s="20">
        <v>13765</v>
      </c>
      <c r="E174" s="17" t="s">
        <v>92</v>
      </c>
      <c r="F174" s="17" t="s">
        <v>92</v>
      </c>
      <c r="G174" s="17" t="s">
        <v>92</v>
      </c>
      <c r="H174" s="17" t="s">
        <v>92</v>
      </c>
      <c r="I174" s="39"/>
      <c r="J174" s="42"/>
      <c r="K174" s="88"/>
      <c r="L174" s="42"/>
      <c r="M174" s="43"/>
      <c r="Q174" s="2"/>
      <c r="R174" s="24"/>
      <c r="S174" s="24"/>
      <c r="T174" s="24"/>
    </row>
    <row r="175" spans="1:20" x14ac:dyDescent="0.25">
      <c r="A175" s="2">
        <v>45152</v>
      </c>
      <c r="B175" s="20">
        <v>2692</v>
      </c>
      <c r="C175" s="29">
        <v>442.5</v>
      </c>
      <c r="D175" s="20">
        <v>13895</v>
      </c>
      <c r="E175" s="17" t="s">
        <v>92</v>
      </c>
      <c r="F175" s="17" t="s">
        <v>92</v>
      </c>
      <c r="G175" s="17" t="s">
        <v>92</v>
      </c>
      <c r="H175" s="17" t="s">
        <v>92</v>
      </c>
      <c r="I175" s="39"/>
      <c r="J175" s="42"/>
      <c r="K175" s="88"/>
      <c r="L175" s="42"/>
      <c r="M175" s="43"/>
      <c r="Q175" s="2"/>
      <c r="R175" s="24"/>
      <c r="S175" s="24"/>
      <c r="T175" s="24"/>
    </row>
    <row r="176" spans="1:20" x14ac:dyDescent="0.25">
      <c r="A176" s="2">
        <v>45149</v>
      </c>
      <c r="B176" s="20">
        <v>2670</v>
      </c>
      <c r="C176" s="29">
        <v>439.5</v>
      </c>
      <c r="D176" s="20">
        <v>14085</v>
      </c>
      <c r="E176" s="17" t="s">
        <v>92</v>
      </c>
      <c r="F176" s="17" t="s">
        <v>92</v>
      </c>
      <c r="G176" s="17" t="s">
        <v>92</v>
      </c>
      <c r="H176" s="17" t="s">
        <v>92</v>
      </c>
      <c r="I176" s="39"/>
      <c r="J176" s="42"/>
      <c r="K176" s="88"/>
      <c r="L176" s="42"/>
      <c r="M176" s="43"/>
      <c r="Q176" s="2"/>
      <c r="R176" s="24"/>
      <c r="S176" s="24"/>
      <c r="T176" s="24"/>
    </row>
    <row r="177" spans="1:20" x14ac:dyDescent="0.25">
      <c r="A177" s="2">
        <v>45148</v>
      </c>
      <c r="B177" s="20">
        <v>2680</v>
      </c>
      <c r="C177" s="20">
        <v>442</v>
      </c>
      <c r="D177" s="20">
        <v>13945</v>
      </c>
      <c r="E177" s="17" t="s">
        <v>92</v>
      </c>
      <c r="F177" s="17" t="s">
        <v>92</v>
      </c>
      <c r="G177" s="17" t="s">
        <v>92</v>
      </c>
      <c r="H177" s="17" t="s">
        <v>92</v>
      </c>
      <c r="I177" s="39"/>
      <c r="J177" s="42"/>
      <c r="K177" s="88"/>
      <c r="L177" s="42"/>
      <c r="M177" s="43"/>
      <c r="Q177" s="2"/>
      <c r="R177" s="24"/>
      <c r="S177" s="24"/>
      <c r="T177" s="24"/>
    </row>
    <row r="178" spans="1:20" x14ac:dyDescent="0.25">
      <c r="A178" s="2">
        <v>45147</v>
      </c>
      <c r="B178" s="20">
        <v>2698</v>
      </c>
      <c r="C178" s="29">
        <v>441.5</v>
      </c>
      <c r="D178" s="20">
        <v>13685</v>
      </c>
      <c r="E178" s="17" t="s">
        <v>92</v>
      </c>
      <c r="F178" s="17" t="s">
        <v>92</v>
      </c>
      <c r="G178" s="17" t="s">
        <v>92</v>
      </c>
      <c r="H178" s="17" t="s">
        <v>92</v>
      </c>
      <c r="I178" s="39"/>
      <c r="J178" s="42"/>
      <c r="K178" s="88"/>
      <c r="L178" s="42"/>
      <c r="M178" s="43"/>
      <c r="Q178" s="2"/>
      <c r="R178" s="24"/>
      <c r="S178" s="24"/>
      <c r="T178" s="24"/>
    </row>
    <row r="179" spans="1:20" x14ac:dyDescent="0.25">
      <c r="A179" s="2">
        <v>45146</v>
      </c>
      <c r="B179" s="20">
        <v>2656</v>
      </c>
      <c r="C179" s="20">
        <v>433</v>
      </c>
      <c r="D179" s="20">
        <v>13870</v>
      </c>
      <c r="E179" s="17" t="s">
        <v>92</v>
      </c>
      <c r="F179" s="17" t="s">
        <v>92</v>
      </c>
      <c r="G179" s="17" t="s">
        <v>92</v>
      </c>
      <c r="H179" s="17" t="s">
        <v>92</v>
      </c>
      <c r="I179" s="39"/>
      <c r="J179" s="42"/>
      <c r="K179" s="88"/>
      <c r="L179" s="42"/>
      <c r="M179" s="43"/>
      <c r="Q179" s="2"/>
      <c r="R179" s="24"/>
      <c r="S179" s="24"/>
      <c r="T179" s="24"/>
    </row>
    <row r="180" spans="1:20" x14ac:dyDescent="0.25">
      <c r="A180" s="2">
        <v>45145</v>
      </c>
      <c r="B180" s="20">
        <v>2710</v>
      </c>
      <c r="C180" s="20">
        <v>426</v>
      </c>
      <c r="D180" s="20">
        <v>13500</v>
      </c>
      <c r="E180" s="17" t="s">
        <v>92</v>
      </c>
      <c r="F180" s="17" t="s">
        <v>92</v>
      </c>
      <c r="G180" s="17" t="s">
        <v>92</v>
      </c>
      <c r="H180" s="17" t="s">
        <v>92</v>
      </c>
      <c r="I180" s="39"/>
      <c r="J180" s="42"/>
      <c r="K180" s="88"/>
      <c r="L180" s="42"/>
      <c r="M180" s="43"/>
      <c r="Q180" s="2"/>
      <c r="R180" s="24"/>
      <c r="S180" s="24"/>
      <c r="T180" s="24"/>
    </row>
    <row r="181" spans="1:20" x14ac:dyDescent="0.25">
      <c r="A181" s="2">
        <v>45142</v>
      </c>
      <c r="B181" s="20">
        <v>2738</v>
      </c>
      <c r="C181" s="29">
        <v>427.5</v>
      </c>
      <c r="D181" s="20">
        <v>13275</v>
      </c>
      <c r="E181" s="17" t="s">
        <v>92</v>
      </c>
      <c r="F181" s="17" t="s">
        <v>92</v>
      </c>
      <c r="G181" s="17" t="s">
        <v>92</v>
      </c>
      <c r="H181" s="17" t="s">
        <v>92</v>
      </c>
      <c r="I181" s="39"/>
      <c r="J181" s="42"/>
      <c r="K181" s="88"/>
      <c r="L181" s="42"/>
      <c r="M181" s="43"/>
      <c r="Q181" s="2"/>
      <c r="R181" s="24"/>
      <c r="S181" s="24"/>
      <c r="T181" s="24"/>
    </row>
    <row r="182" spans="1:20" x14ac:dyDescent="0.25">
      <c r="A182" s="2">
        <v>45141</v>
      </c>
      <c r="B182" s="20">
        <v>2780</v>
      </c>
      <c r="C182" s="20">
        <v>427</v>
      </c>
      <c r="D182" s="20">
        <v>13130</v>
      </c>
      <c r="E182" s="17" t="s">
        <v>92</v>
      </c>
      <c r="F182" s="17" t="s">
        <v>92</v>
      </c>
      <c r="G182" s="17" t="s">
        <v>92</v>
      </c>
      <c r="H182" s="17" t="s">
        <v>92</v>
      </c>
      <c r="I182" s="39"/>
      <c r="J182" s="42"/>
      <c r="K182" s="88"/>
      <c r="L182" s="42"/>
      <c r="M182" s="43"/>
      <c r="Q182" s="2"/>
      <c r="R182" s="24"/>
      <c r="S182" s="24"/>
      <c r="T182" s="24"/>
    </row>
    <row r="183" spans="1:20" x14ac:dyDescent="0.25">
      <c r="A183" s="2">
        <v>45140</v>
      </c>
      <c r="B183" s="20">
        <v>2804</v>
      </c>
      <c r="C183" s="20">
        <v>424</v>
      </c>
      <c r="D183" s="20">
        <v>12925</v>
      </c>
      <c r="E183" s="17" t="s">
        <v>92</v>
      </c>
      <c r="F183" s="17" t="s">
        <v>92</v>
      </c>
      <c r="G183" s="17" t="s">
        <v>92</v>
      </c>
      <c r="H183" s="17" t="s">
        <v>92</v>
      </c>
      <c r="I183" s="39"/>
      <c r="J183" s="42"/>
      <c r="K183" s="88"/>
      <c r="L183" s="42"/>
      <c r="M183" s="43"/>
      <c r="Q183" s="2"/>
      <c r="R183" s="24"/>
      <c r="S183" s="24"/>
      <c r="T183" s="24"/>
    </row>
    <row r="184" spans="1:20" x14ac:dyDescent="0.25">
      <c r="A184" s="2">
        <v>45139</v>
      </c>
      <c r="B184" s="20">
        <v>2792</v>
      </c>
      <c r="C184" s="20">
        <v>423</v>
      </c>
      <c r="D184" s="20">
        <v>13000</v>
      </c>
      <c r="E184" s="17" t="s">
        <v>92</v>
      </c>
      <c r="F184" s="17" t="s">
        <v>92</v>
      </c>
      <c r="G184" s="17" t="s">
        <v>92</v>
      </c>
      <c r="H184" s="17" t="s">
        <v>92</v>
      </c>
      <c r="I184" s="39"/>
      <c r="J184" s="42"/>
      <c r="K184" s="88"/>
      <c r="L184" s="42"/>
      <c r="M184" s="43"/>
      <c r="Q184" s="2"/>
      <c r="R184" s="24"/>
      <c r="S184" s="24"/>
      <c r="T184" s="24"/>
    </row>
    <row r="185" spans="1:20" x14ac:dyDescent="0.25">
      <c r="A185" s="2">
        <v>45138</v>
      </c>
      <c r="B185" s="20">
        <v>2780</v>
      </c>
      <c r="C185" s="29">
        <v>418.5</v>
      </c>
      <c r="D185" s="20">
        <v>12810</v>
      </c>
      <c r="E185" s="17" t="s">
        <v>92</v>
      </c>
      <c r="F185" s="17" t="s">
        <v>92</v>
      </c>
      <c r="G185" s="17" t="s">
        <v>92</v>
      </c>
      <c r="H185" s="17" t="s">
        <v>92</v>
      </c>
      <c r="I185" s="39"/>
      <c r="J185" s="42"/>
      <c r="K185" s="88"/>
      <c r="L185" s="42"/>
      <c r="M185" s="43"/>
      <c r="Q185" s="2"/>
      <c r="R185" s="24"/>
      <c r="S185" s="24"/>
      <c r="T185" s="24"/>
    </row>
    <row r="186" spans="1:20" x14ac:dyDescent="0.25">
      <c r="A186" s="2">
        <v>45135</v>
      </c>
      <c r="B186" s="20">
        <v>2778</v>
      </c>
      <c r="C186" s="29">
        <v>421.5</v>
      </c>
      <c r="D186" s="20">
        <v>12900</v>
      </c>
      <c r="E186" s="17" t="s">
        <v>92</v>
      </c>
      <c r="F186" s="17" t="s">
        <v>92</v>
      </c>
      <c r="G186" s="17" t="s">
        <v>92</v>
      </c>
      <c r="H186" s="17" t="s">
        <v>92</v>
      </c>
      <c r="I186" s="39"/>
      <c r="J186" s="42"/>
      <c r="K186" s="88"/>
      <c r="L186" s="42"/>
      <c r="M186" s="43"/>
      <c r="Q186" s="2"/>
      <c r="R186" s="24"/>
      <c r="S186" s="24"/>
      <c r="T186" s="24"/>
    </row>
    <row r="187" spans="1:20" x14ac:dyDescent="0.25">
      <c r="A187" s="2">
        <v>45134</v>
      </c>
      <c r="B187" s="20">
        <v>2766</v>
      </c>
      <c r="C187" s="20">
        <v>419</v>
      </c>
      <c r="D187" s="20">
        <v>12835</v>
      </c>
      <c r="E187" s="17" t="s">
        <v>92</v>
      </c>
      <c r="F187" s="17" t="s">
        <v>92</v>
      </c>
      <c r="G187" s="17" t="s">
        <v>92</v>
      </c>
      <c r="H187" s="17" t="s">
        <v>92</v>
      </c>
      <c r="I187" s="39"/>
      <c r="J187" s="42"/>
      <c r="K187" s="88"/>
      <c r="L187" s="42"/>
      <c r="M187" s="43"/>
      <c r="Q187" s="2"/>
      <c r="R187" s="24"/>
      <c r="S187" s="24"/>
      <c r="T187" s="24"/>
    </row>
    <row r="188" spans="1:20" x14ac:dyDescent="0.25">
      <c r="A188" s="2">
        <v>45133</v>
      </c>
      <c r="B188" s="20">
        <v>2806</v>
      </c>
      <c r="C188" s="29">
        <v>413.5</v>
      </c>
      <c r="D188" s="20">
        <v>12900</v>
      </c>
      <c r="E188" s="17" t="s">
        <v>92</v>
      </c>
      <c r="F188" s="17" t="s">
        <v>92</v>
      </c>
      <c r="G188" s="17" t="s">
        <v>92</v>
      </c>
      <c r="H188" s="17" t="s">
        <v>92</v>
      </c>
      <c r="I188" s="39"/>
      <c r="J188" s="42"/>
      <c r="K188" s="88"/>
      <c r="L188" s="42"/>
      <c r="M188" s="43"/>
      <c r="Q188" s="2"/>
      <c r="R188" s="24"/>
      <c r="S188" s="24"/>
      <c r="T188" s="24"/>
    </row>
    <row r="189" spans="1:20" x14ac:dyDescent="0.25">
      <c r="A189" s="2">
        <v>45132</v>
      </c>
      <c r="B189" s="20">
        <v>2834</v>
      </c>
      <c r="C189" s="29">
        <v>412.5</v>
      </c>
      <c r="D189" s="20">
        <v>12970</v>
      </c>
      <c r="E189" s="17" t="s">
        <v>92</v>
      </c>
      <c r="F189" s="17" t="s">
        <v>92</v>
      </c>
      <c r="G189" s="17" t="s">
        <v>92</v>
      </c>
      <c r="H189" s="17" t="s">
        <v>92</v>
      </c>
      <c r="I189" s="39"/>
      <c r="J189" s="42"/>
      <c r="K189" s="88"/>
      <c r="L189" s="42"/>
      <c r="M189" s="43"/>
      <c r="Q189" s="2"/>
      <c r="R189" s="24"/>
      <c r="S189" s="24"/>
      <c r="T189" s="24"/>
    </row>
    <row r="190" spans="1:20" x14ac:dyDescent="0.25">
      <c r="A190" s="2">
        <v>45131</v>
      </c>
      <c r="B190" s="20">
        <v>2816</v>
      </c>
      <c r="C190" s="20">
        <v>416</v>
      </c>
      <c r="D190" s="20">
        <v>12845</v>
      </c>
      <c r="E190" s="17" t="s">
        <v>92</v>
      </c>
      <c r="F190" s="17" t="s">
        <v>92</v>
      </c>
      <c r="G190" s="17" t="s">
        <v>92</v>
      </c>
      <c r="H190" s="17" t="s">
        <v>92</v>
      </c>
      <c r="I190" s="39"/>
      <c r="J190" s="42"/>
      <c r="K190" s="88"/>
      <c r="L190" s="42"/>
      <c r="M190" s="43"/>
      <c r="Q190" s="2"/>
      <c r="R190" s="24"/>
      <c r="S190" s="24"/>
      <c r="T190" s="24"/>
    </row>
    <row r="191" spans="1:20" x14ac:dyDescent="0.25">
      <c r="A191" s="2">
        <v>45128</v>
      </c>
      <c r="B191" s="20">
        <v>2880</v>
      </c>
      <c r="C191" s="29">
        <v>412.5</v>
      </c>
      <c r="D191" s="20">
        <v>12750</v>
      </c>
      <c r="E191" s="17" t="s">
        <v>92</v>
      </c>
      <c r="F191" s="17" t="s">
        <v>92</v>
      </c>
      <c r="G191" s="17" t="s">
        <v>92</v>
      </c>
      <c r="H191" s="17" t="s">
        <v>92</v>
      </c>
      <c r="I191" s="39"/>
      <c r="J191" s="42"/>
      <c r="K191" s="88"/>
      <c r="L191" s="42"/>
      <c r="M191" s="43"/>
      <c r="Q191" s="2"/>
      <c r="R191" s="24"/>
      <c r="S191" s="24"/>
      <c r="T191" s="24"/>
    </row>
    <row r="192" spans="1:20" x14ac:dyDescent="0.25">
      <c r="A192" s="2">
        <v>45127</v>
      </c>
      <c r="B192" s="20">
        <v>2870</v>
      </c>
      <c r="C192" s="20">
        <v>412</v>
      </c>
      <c r="D192" s="20">
        <v>12650</v>
      </c>
      <c r="E192" s="17" t="s">
        <v>92</v>
      </c>
      <c r="F192" s="17" t="s">
        <v>92</v>
      </c>
      <c r="G192" s="17" t="s">
        <v>92</v>
      </c>
      <c r="H192" s="17" t="s">
        <v>92</v>
      </c>
      <c r="I192" s="39"/>
      <c r="J192" s="42"/>
      <c r="K192" s="88"/>
      <c r="L192" s="42"/>
      <c r="M192" s="43"/>
      <c r="Q192" s="2"/>
      <c r="R192" s="24"/>
      <c r="S192" s="24"/>
      <c r="T192" s="24"/>
    </row>
    <row r="193" spans="1:20" x14ac:dyDescent="0.25">
      <c r="A193" s="2">
        <v>45126</v>
      </c>
      <c r="B193" s="20">
        <v>3190</v>
      </c>
      <c r="C193" s="29">
        <v>415.5</v>
      </c>
      <c r="D193" s="20">
        <v>12500</v>
      </c>
      <c r="E193" s="17" t="s">
        <v>92</v>
      </c>
      <c r="F193" s="17" t="s">
        <v>92</v>
      </c>
      <c r="G193" s="17" t="s">
        <v>92</v>
      </c>
      <c r="H193" s="17" t="s">
        <v>92</v>
      </c>
      <c r="I193" s="39"/>
      <c r="J193" s="42"/>
      <c r="K193" s="88"/>
      <c r="L193" s="42"/>
      <c r="M193" s="43"/>
      <c r="Q193" s="2"/>
      <c r="R193" s="24"/>
      <c r="S193" s="24"/>
      <c r="T193" s="24"/>
    </row>
    <row r="194" spans="1:20" x14ac:dyDescent="0.25">
      <c r="A194" s="2">
        <v>45125</v>
      </c>
      <c r="B194" s="20">
        <v>3140</v>
      </c>
      <c r="C194" s="29">
        <v>417.5</v>
      </c>
      <c r="D194" s="20">
        <v>12555</v>
      </c>
      <c r="E194" s="17" t="s">
        <v>92</v>
      </c>
      <c r="F194" s="17" t="s">
        <v>92</v>
      </c>
      <c r="G194" s="17" t="s">
        <v>92</v>
      </c>
      <c r="H194" s="17" t="s">
        <v>92</v>
      </c>
      <c r="I194" s="39"/>
      <c r="J194" s="42"/>
      <c r="K194" s="88"/>
      <c r="L194" s="42"/>
      <c r="M194" s="43"/>
      <c r="Q194" s="2"/>
      <c r="R194" s="24"/>
      <c r="S194" s="24"/>
      <c r="T194" s="24"/>
    </row>
    <row r="195" spans="1:20" x14ac:dyDescent="0.25">
      <c r="A195" s="2">
        <v>45124</v>
      </c>
      <c r="B195" s="20">
        <v>3120</v>
      </c>
      <c r="C195" s="20">
        <v>421</v>
      </c>
      <c r="D195" s="20">
        <v>12300</v>
      </c>
      <c r="E195" s="17" t="s">
        <v>92</v>
      </c>
      <c r="F195" s="17" t="s">
        <v>92</v>
      </c>
      <c r="G195" s="17" t="s">
        <v>92</v>
      </c>
      <c r="H195" s="17" t="s">
        <v>92</v>
      </c>
      <c r="I195" s="39"/>
      <c r="J195" s="42"/>
      <c r="K195" s="88"/>
      <c r="L195" s="42"/>
      <c r="M195" s="43"/>
      <c r="Q195" s="2"/>
      <c r="R195" s="24"/>
      <c r="S195" s="24"/>
      <c r="T195" s="24"/>
    </row>
    <row r="196" spans="1:20" x14ac:dyDescent="0.25">
      <c r="A196" s="2">
        <v>45121</v>
      </c>
      <c r="B196" s="20">
        <v>3096</v>
      </c>
      <c r="C196" s="20">
        <v>420</v>
      </c>
      <c r="D196" s="20">
        <v>12290</v>
      </c>
      <c r="E196" s="17" t="s">
        <v>92</v>
      </c>
      <c r="F196" s="17" t="s">
        <v>92</v>
      </c>
      <c r="G196" s="17" t="s">
        <v>92</v>
      </c>
      <c r="H196" s="17" t="s">
        <v>92</v>
      </c>
      <c r="I196" s="39"/>
      <c r="J196" s="42"/>
      <c r="K196" s="88"/>
      <c r="L196" s="42"/>
      <c r="M196" s="43"/>
      <c r="Q196" s="2"/>
      <c r="R196" s="24"/>
      <c r="S196" s="24"/>
      <c r="T196" s="24"/>
    </row>
    <row r="197" spans="1:20" x14ac:dyDescent="0.25">
      <c r="A197" s="2">
        <v>45120</v>
      </c>
      <c r="B197" s="20">
        <v>3080</v>
      </c>
      <c r="C197" s="20">
        <v>415</v>
      </c>
      <c r="D197" s="20">
        <v>12220</v>
      </c>
      <c r="E197" s="17" t="s">
        <v>92</v>
      </c>
      <c r="F197" s="17" t="s">
        <v>92</v>
      </c>
      <c r="G197" s="17" t="s">
        <v>92</v>
      </c>
      <c r="H197" s="17" t="s">
        <v>92</v>
      </c>
      <c r="I197" s="39"/>
      <c r="J197" s="42"/>
      <c r="K197" s="88"/>
      <c r="L197" s="42"/>
      <c r="M197" s="43"/>
      <c r="Q197" s="2"/>
      <c r="R197" s="24"/>
      <c r="S197" s="24"/>
      <c r="T197" s="24"/>
    </row>
    <row r="198" spans="1:20" x14ac:dyDescent="0.25">
      <c r="A198" s="2">
        <v>45119</v>
      </c>
      <c r="B198" s="20">
        <v>3072</v>
      </c>
      <c r="C198" s="20">
        <v>415</v>
      </c>
      <c r="D198" s="20">
        <v>12090</v>
      </c>
      <c r="E198" s="17" t="s">
        <v>92</v>
      </c>
      <c r="F198" s="17" t="s">
        <v>92</v>
      </c>
      <c r="G198" s="17" t="s">
        <v>92</v>
      </c>
      <c r="H198" s="17" t="s">
        <v>92</v>
      </c>
      <c r="I198" s="39"/>
      <c r="J198" s="42"/>
      <c r="K198" s="88"/>
      <c r="L198" s="42"/>
      <c r="M198" s="43"/>
      <c r="Q198" s="2"/>
      <c r="R198" s="24"/>
      <c r="S198" s="24"/>
      <c r="T198" s="24"/>
    </row>
    <row r="199" spans="1:20" x14ac:dyDescent="0.25">
      <c r="A199" s="2">
        <v>45118</v>
      </c>
      <c r="B199" s="20">
        <v>3026</v>
      </c>
      <c r="C199" s="29">
        <v>416.5</v>
      </c>
      <c r="D199" s="20">
        <v>11950</v>
      </c>
      <c r="E199" s="17" t="s">
        <v>92</v>
      </c>
      <c r="F199" s="17" t="s">
        <v>92</v>
      </c>
      <c r="G199" s="17" t="s">
        <v>92</v>
      </c>
      <c r="H199" s="17" t="s">
        <v>92</v>
      </c>
      <c r="I199" s="39"/>
      <c r="J199" s="42"/>
      <c r="K199" s="88"/>
      <c r="L199" s="42"/>
      <c r="M199" s="43"/>
      <c r="Q199" s="2"/>
      <c r="R199" s="24"/>
      <c r="S199" s="24"/>
      <c r="T199" s="24"/>
    </row>
    <row r="200" spans="1:20" x14ac:dyDescent="0.25">
      <c r="A200" s="2">
        <v>45117</v>
      </c>
      <c r="B200" s="20">
        <v>3004</v>
      </c>
      <c r="C200" s="20">
        <v>414</v>
      </c>
      <c r="D200" s="20">
        <v>11860</v>
      </c>
      <c r="E200" s="17" t="s">
        <v>92</v>
      </c>
      <c r="F200" s="17" t="s">
        <v>92</v>
      </c>
      <c r="G200" s="17" t="s">
        <v>92</v>
      </c>
      <c r="H200" s="17" t="s">
        <v>92</v>
      </c>
      <c r="I200" s="39"/>
      <c r="J200" s="42"/>
      <c r="K200" s="88"/>
      <c r="L200" s="42"/>
      <c r="M200" s="43"/>
      <c r="Q200" s="2"/>
      <c r="R200" s="24"/>
      <c r="S200" s="24"/>
      <c r="T200" s="24"/>
    </row>
    <row r="201" spans="1:20" x14ac:dyDescent="0.25">
      <c r="A201" s="2">
        <v>45114</v>
      </c>
      <c r="B201" s="20">
        <v>3004</v>
      </c>
      <c r="C201" s="29">
        <v>413.5</v>
      </c>
      <c r="D201" s="20">
        <v>11800</v>
      </c>
      <c r="E201" s="17" t="s">
        <v>92</v>
      </c>
      <c r="F201" s="17" t="s">
        <v>92</v>
      </c>
      <c r="G201" s="17" t="s">
        <v>92</v>
      </c>
      <c r="H201" s="17" t="s">
        <v>92</v>
      </c>
      <c r="I201" s="39"/>
      <c r="J201" s="42"/>
      <c r="K201" s="88"/>
      <c r="L201" s="42"/>
      <c r="M201" s="43"/>
      <c r="Q201" s="2"/>
      <c r="R201" s="24"/>
      <c r="S201" s="24"/>
      <c r="T201" s="24"/>
    </row>
    <row r="202" spans="1:20" x14ac:dyDescent="0.25">
      <c r="A202" s="2">
        <v>45113</v>
      </c>
      <c r="B202" s="20">
        <v>3006</v>
      </c>
      <c r="C202" s="20">
        <v>414</v>
      </c>
      <c r="D202" s="20">
        <v>11605</v>
      </c>
      <c r="E202" s="17" t="s">
        <v>92</v>
      </c>
      <c r="F202" s="17" t="s">
        <v>92</v>
      </c>
      <c r="G202" s="17" t="s">
        <v>92</v>
      </c>
      <c r="H202" s="17" t="s">
        <v>92</v>
      </c>
      <c r="I202" s="39"/>
      <c r="J202" s="42"/>
      <c r="K202" s="88"/>
      <c r="L202" s="42"/>
      <c r="M202" s="43"/>
      <c r="Q202" s="2"/>
      <c r="R202" s="24"/>
      <c r="S202" s="24"/>
      <c r="T202" s="24"/>
    </row>
    <row r="203" spans="1:20" x14ac:dyDescent="0.25">
      <c r="A203" s="2">
        <v>45112</v>
      </c>
      <c r="B203" s="20">
        <v>3040</v>
      </c>
      <c r="C203" s="29">
        <v>405.5</v>
      </c>
      <c r="D203" s="20">
        <v>11795</v>
      </c>
      <c r="E203" s="17" t="s">
        <v>92</v>
      </c>
      <c r="F203" s="17" t="s">
        <v>92</v>
      </c>
      <c r="G203" s="17" t="s">
        <v>92</v>
      </c>
      <c r="H203" s="17" t="s">
        <v>92</v>
      </c>
      <c r="I203" s="39"/>
      <c r="J203" s="42"/>
      <c r="K203" s="88"/>
      <c r="L203" s="42"/>
      <c r="M203" s="43"/>
      <c r="Q203" s="2"/>
      <c r="R203" s="24"/>
      <c r="S203" s="24"/>
      <c r="T203" s="24"/>
    </row>
    <row r="204" spans="1:20" x14ac:dyDescent="0.25">
      <c r="A204" s="2">
        <v>45111</v>
      </c>
      <c r="B204" s="20">
        <v>3004</v>
      </c>
      <c r="C204" s="20">
        <v>407</v>
      </c>
      <c r="D204" s="20">
        <v>11990</v>
      </c>
      <c r="E204" s="17" t="s">
        <v>92</v>
      </c>
      <c r="F204" s="17" t="s">
        <v>92</v>
      </c>
      <c r="G204" s="17" t="s">
        <v>92</v>
      </c>
      <c r="H204" s="17" t="s">
        <v>92</v>
      </c>
      <c r="I204" s="39"/>
      <c r="J204" s="42"/>
      <c r="K204" s="88"/>
      <c r="L204" s="42"/>
      <c r="M204" s="43"/>
      <c r="Q204" s="2"/>
      <c r="R204" s="24"/>
      <c r="S204" s="24"/>
      <c r="T204" s="24"/>
    </row>
    <row r="205" spans="1:20" x14ac:dyDescent="0.25">
      <c r="A205" s="2">
        <v>45110</v>
      </c>
      <c r="B205" s="20">
        <v>2998</v>
      </c>
      <c r="C205" s="29">
        <v>405.5</v>
      </c>
      <c r="D205" s="20">
        <v>12030</v>
      </c>
      <c r="E205" s="17" t="s">
        <v>92</v>
      </c>
      <c r="F205" s="17" t="s">
        <v>92</v>
      </c>
      <c r="G205" s="17" t="s">
        <v>92</v>
      </c>
      <c r="H205" s="17" t="s">
        <v>92</v>
      </c>
      <c r="I205" s="39"/>
      <c r="J205" s="42"/>
      <c r="K205" s="88"/>
      <c r="L205" s="42"/>
      <c r="M205" s="43"/>
      <c r="Q205" s="2"/>
      <c r="R205" s="24"/>
      <c r="S205" s="24"/>
      <c r="T205" s="24"/>
    </row>
    <row r="206" spans="1:20" x14ac:dyDescent="0.25">
      <c r="A206" s="2">
        <v>45107</v>
      </c>
      <c r="B206" s="20">
        <v>2988</v>
      </c>
      <c r="C206" s="29">
        <v>404.5</v>
      </c>
      <c r="D206" s="20">
        <v>12130</v>
      </c>
      <c r="E206" s="17" t="s">
        <v>92</v>
      </c>
      <c r="F206" s="17" t="s">
        <v>92</v>
      </c>
      <c r="G206" s="17" t="s">
        <v>92</v>
      </c>
      <c r="H206" s="17" t="s">
        <v>92</v>
      </c>
      <c r="I206" s="39"/>
      <c r="J206" s="42"/>
      <c r="K206" s="88"/>
      <c r="L206" s="42"/>
      <c r="M206" s="43"/>
      <c r="Q206" s="2"/>
      <c r="R206" s="24"/>
      <c r="S206" s="24"/>
      <c r="T206" s="24"/>
    </row>
    <row r="207" spans="1:20" x14ac:dyDescent="0.25">
      <c r="A207" s="2">
        <v>45106</v>
      </c>
      <c r="B207" s="20">
        <v>2998</v>
      </c>
      <c r="C207" s="20">
        <v>410</v>
      </c>
      <c r="D207" s="20">
        <v>12080</v>
      </c>
      <c r="E207" s="17" t="s">
        <v>92</v>
      </c>
      <c r="F207" s="17" t="s">
        <v>92</v>
      </c>
      <c r="G207" s="17" t="s">
        <v>92</v>
      </c>
      <c r="H207" s="17" t="s">
        <v>92</v>
      </c>
      <c r="I207" s="39"/>
      <c r="J207" s="42"/>
      <c r="K207" s="88"/>
      <c r="L207" s="42"/>
      <c r="M207" s="43"/>
      <c r="Q207" s="2"/>
      <c r="R207" s="24"/>
      <c r="S207" s="24"/>
      <c r="T207" s="24"/>
    </row>
    <row r="208" spans="1:20" x14ac:dyDescent="0.25">
      <c r="A208" s="2">
        <v>45105</v>
      </c>
      <c r="B208" s="20">
        <v>2986</v>
      </c>
      <c r="C208" s="20">
        <v>405</v>
      </c>
      <c r="D208" s="20">
        <v>12040</v>
      </c>
      <c r="E208" s="17" t="s">
        <v>92</v>
      </c>
      <c r="F208" s="17" t="s">
        <v>92</v>
      </c>
      <c r="G208" s="17" t="s">
        <v>92</v>
      </c>
      <c r="H208" s="17" t="s">
        <v>92</v>
      </c>
      <c r="I208" s="39"/>
      <c r="J208" s="42"/>
      <c r="K208" s="88"/>
      <c r="L208" s="42"/>
      <c r="M208" s="43"/>
      <c r="Q208" s="2"/>
      <c r="R208" s="24"/>
      <c r="S208" s="24"/>
      <c r="T208" s="24"/>
    </row>
    <row r="209" spans="1:20" x14ac:dyDescent="0.25">
      <c r="A209" s="2">
        <v>45104</v>
      </c>
      <c r="B209" s="20">
        <v>2952</v>
      </c>
      <c r="C209" s="20">
        <v>408</v>
      </c>
      <c r="D209" s="20">
        <v>12085</v>
      </c>
      <c r="E209" s="17" t="s">
        <v>92</v>
      </c>
      <c r="F209" s="17" t="s">
        <v>92</v>
      </c>
      <c r="G209" s="17" t="s">
        <v>92</v>
      </c>
      <c r="H209" s="17" t="s">
        <v>92</v>
      </c>
      <c r="I209" s="39"/>
      <c r="J209" s="42"/>
      <c r="K209" s="88"/>
      <c r="L209" s="42"/>
      <c r="M209" s="43"/>
      <c r="Q209" s="2"/>
      <c r="R209" s="24"/>
      <c r="S209" s="24"/>
      <c r="T209" s="24"/>
    </row>
    <row r="210" spans="1:20" x14ac:dyDescent="0.25">
      <c r="A210" s="2">
        <v>45103</v>
      </c>
      <c r="B210" s="20">
        <v>2986</v>
      </c>
      <c r="C210" s="20">
        <v>410</v>
      </c>
      <c r="D210" s="20">
        <v>11975</v>
      </c>
      <c r="E210" s="17" t="s">
        <v>92</v>
      </c>
      <c r="F210" s="17" t="s">
        <v>92</v>
      </c>
      <c r="G210" s="17" t="s">
        <v>92</v>
      </c>
      <c r="H210" s="17" t="s">
        <v>92</v>
      </c>
      <c r="I210" s="39"/>
      <c r="J210" s="42"/>
      <c r="K210" s="88"/>
      <c r="L210" s="42"/>
      <c r="M210" s="43"/>
      <c r="Q210" s="2"/>
      <c r="R210" s="24"/>
      <c r="S210" s="24"/>
      <c r="T210" s="24"/>
    </row>
    <row r="211" spans="1:20" x14ac:dyDescent="0.25">
      <c r="A211" s="2">
        <v>45100</v>
      </c>
      <c r="B211" s="20">
        <v>3018</v>
      </c>
      <c r="C211" s="29">
        <v>405.5</v>
      </c>
      <c r="D211" s="20">
        <v>12025</v>
      </c>
      <c r="E211" s="17" t="s">
        <v>92</v>
      </c>
      <c r="F211" s="17" t="s">
        <v>92</v>
      </c>
      <c r="G211" s="17" t="s">
        <v>92</v>
      </c>
      <c r="H211" s="17" t="s">
        <v>92</v>
      </c>
      <c r="I211" s="39"/>
      <c r="J211" s="42"/>
      <c r="K211" s="88"/>
      <c r="L211" s="42"/>
      <c r="M211" s="43"/>
      <c r="Q211" s="2"/>
      <c r="R211" s="24"/>
      <c r="S211" s="24"/>
      <c r="T211" s="24"/>
    </row>
    <row r="212" spans="1:20" x14ac:dyDescent="0.25">
      <c r="A212" s="2">
        <v>45099</v>
      </c>
      <c r="B212" s="20">
        <v>2996</v>
      </c>
      <c r="C212" s="20">
        <v>405</v>
      </c>
      <c r="D212" s="20">
        <v>12010</v>
      </c>
      <c r="E212" s="17" t="s">
        <v>92</v>
      </c>
      <c r="F212" s="17" t="s">
        <v>92</v>
      </c>
      <c r="G212" s="17" t="s">
        <v>92</v>
      </c>
      <c r="H212" s="17" t="s">
        <v>92</v>
      </c>
      <c r="I212" s="39"/>
      <c r="J212" s="42"/>
      <c r="K212" s="88"/>
      <c r="L212" s="42"/>
      <c r="M212" s="43"/>
      <c r="Q212" s="2"/>
      <c r="R212" s="24"/>
      <c r="S212" s="24"/>
      <c r="T212" s="24"/>
    </row>
    <row r="213" spans="1:20" x14ac:dyDescent="0.25">
      <c r="A213" s="2">
        <v>45098</v>
      </c>
      <c r="B213" s="20">
        <v>3002</v>
      </c>
      <c r="C213" s="29">
        <v>409.5</v>
      </c>
      <c r="D213" s="20">
        <v>11990</v>
      </c>
      <c r="E213" s="17" t="s">
        <v>92</v>
      </c>
      <c r="F213" s="17" t="s">
        <v>92</v>
      </c>
      <c r="G213" s="17" t="s">
        <v>92</v>
      </c>
      <c r="H213" s="17" t="s">
        <v>92</v>
      </c>
      <c r="I213" s="39"/>
      <c r="J213" s="42"/>
      <c r="K213" s="88"/>
      <c r="L213" s="42"/>
      <c r="M213" s="43"/>
      <c r="Q213" s="2"/>
      <c r="R213" s="24"/>
      <c r="S213" s="24"/>
      <c r="T213" s="24"/>
    </row>
    <row r="214" spans="1:20" x14ac:dyDescent="0.25">
      <c r="A214" s="2">
        <v>45097</v>
      </c>
      <c r="B214" s="20">
        <v>2992</v>
      </c>
      <c r="C214" s="29">
        <v>410.5</v>
      </c>
      <c r="D214" s="20">
        <v>11900</v>
      </c>
      <c r="E214" s="17" t="s">
        <v>92</v>
      </c>
      <c r="F214" s="17" t="s">
        <v>92</v>
      </c>
      <c r="G214" s="17" t="s">
        <v>92</v>
      </c>
      <c r="H214" s="17" t="s">
        <v>92</v>
      </c>
      <c r="I214" s="39"/>
      <c r="J214" s="42"/>
      <c r="K214" s="88"/>
      <c r="L214" s="42"/>
      <c r="M214" s="43"/>
      <c r="Q214" s="2"/>
      <c r="R214" s="24"/>
      <c r="S214" s="24"/>
      <c r="T214" s="24"/>
    </row>
    <row r="215" spans="1:20" x14ac:dyDescent="0.25">
      <c r="A215" s="2">
        <v>45096</v>
      </c>
      <c r="B215" s="20">
        <v>2956</v>
      </c>
      <c r="C215" s="20">
        <v>413</v>
      </c>
      <c r="D215" s="20">
        <v>11830</v>
      </c>
      <c r="E215" s="17" t="s">
        <v>92</v>
      </c>
      <c r="F215" s="17" t="s">
        <v>92</v>
      </c>
      <c r="G215" s="17" t="s">
        <v>92</v>
      </c>
      <c r="H215" s="17" t="s">
        <v>92</v>
      </c>
      <c r="I215" s="39"/>
      <c r="J215" s="42"/>
      <c r="K215" s="88"/>
      <c r="L215" s="42"/>
      <c r="M215" s="43"/>
      <c r="Q215" s="2"/>
      <c r="R215" s="24"/>
      <c r="S215" s="24"/>
      <c r="T215" s="24"/>
    </row>
    <row r="216" spans="1:20" x14ac:dyDescent="0.25">
      <c r="A216" s="2">
        <v>45093</v>
      </c>
      <c r="B216" s="20">
        <v>2960</v>
      </c>
      <c r="C216" s="20">
        <v>410</v>
      </c>
      <c r="D216" s="20">
        <v>12080</v>
      </c>
      <c r="E216" s="17" t="s">
        <v>92</v>
      </c>
      <c r="F216" s="17" t="s">
        <v>92</v>
      </c>
      <c r="G216" s="17" t="s">
        <v>92</v>
      </c>
      <c r="H216" s="17" t="s">
        <v>92</v>
      </c>
      <c r="I216" s="39"/>
      <c r="J216" s="42"/>
      <c r="K216" s="88"/>
      <c r="L216" s="42"/>
      <c r="M216" s="43"/>
      <c r="Q216" s="2"/>
      <c r="R216" s="24"/>
      <c r="S216" s="24"/>
      <c r="T216" s="24"/>
    </row>
    <row r="217" spans="1:20" x14ac:dyDescent="0.25">
      <c r="A217" s="2">
        <v>45092</v>
      </c>
      <c r="B217" s="20">
        <v>2976</v>
      </c>
      <c r="C217" s="20">
        <v>404</v>
      </c>
      <c r="D217" s="20">
        <v>12175</v>
      </c>
      <c r="E217" s="17" t="s">
        <v>92</v>
      </c>
      <c r="F217" s="17" t="s">
        <v>92</v>
      </c>
      <c r="G217" s="17" t="s">
        <v>92</v>
      </c>
      <c r="H217" s="17" t="s">
        <v>92</v>
      </c>
      <c r="I217" s="39"/>
      <c r="J217" s="42"/>
      <c r="K217" s="88"/>
      <c r="L217" s="42"/>
      <c r="M217" s="43"/>
      <c r="Q217" s="2"/>
      <c r="R217" s="24"/>
      <c r="S217" s="24"/>
      <c r="T217" s="24"/>
    </row>
    <row r="218" spans="1:20" x14ac:dyDescent="0.25">
      <c r="A218" s="2">
        <v>45091</v>
      </c>
      <c r="B218" s="20">
        <v>3000</v>
      </c>
      <c r="C218" s="20">
        <v>409</v>
      </c>
      <c r="D218" s="20">
        <v>11940</v>
      </c>
      <c r="E218" s="17" t="s">
        <v>92</v>
      </c>
      <c r="F218" s="17" t="s">
        <v>92</v>
      </c>
      <c r="G218" s="17" t="s">
        <v>92</v>
      </c>
      <c r="H218" s="17" t="s">
        <v>92</v>
      </c>
      <c r="I218" s="39"/>
      <c r="J218" s="42"/>
      <c r="K218" s="88"/>
      <c r="L218" s="42"/>
      <c r="M218" s="43"/>
      <c r="Q218" s="2"/>
      <c r="R218" s="24"/>
      <c r="S218" s="24"/>
      <c r="T218" s="24"/>
    </row>
    <row r="219" spans="1:20" x14ac:dyDescent="0.25">
      <c r="A219" s="2">
        <v>45090</v>
      </c>
      <c r="B219" s="20">
        <v>3040</v>
      </c>
      <c r="C219" s="29">
        <v>407.5</v>
      </c>
      <c r="D219" s="20">
        <v>11850</v>
      </c>
      <c r="E219" s="17" t="s">
        <v>92</v>
      </c>
      <c r="F219" s="17" t="s">
        <v>92</v>
      </c>
      <c r="G219" s="17" t="s">
        <v>92</v>
      </c>
      <c r="H219" s="17" t="s">
        <v>92</v>
      </c>
      <c r="I219" s="39"/>
      <c r="J219" s="42"/>
      <c r="K219" s="88"/>
      <c r="L219" s="42"/>
      <c r="M219" s="43"/>
      <c r="Q219" s="2"/>
      <c r="R219" s="24"/>
      <c r="S219" s="24"/>
      <c r="T219" s="24"/>
    </row>
    <row r="220" spans="1:20" x14ac:dyDescent="0.25">
      <c r="A220" s="2">
        <v>45089</v>
      </c>
      <c r="B220" s="20">
        <v>3040</v>
      </c>
      <c r="C220" s="20">
        <v>409</v>
      </c>
      <c r="D220" s="20">
        <v>11900</v>
      </c>
      <c r="E220" s="17" t="s">
        <v>92</v>
      </c>
      <c r="F220" s="17" t="s">
        <v>92</v>
      </c>
      <c r="G220" s="17" t="s">
        <v>92</v>
      </c>
      <c r="H220" s="17" t="s">
        <v>92</v>
      </c>
      <c r="I220" s="39"/>
      <c r="J220" s="42"/>
      <c r="K220" s="88"/>
      <c r="L220" s="42"/>
      <c r="M220" s="43"/>
      <c r="Q220" s="2"/>
      <c r="R220" s="24"/>
      <c r="S220" s="24"/>
      <c r="T220" s="24"/>
    </row>
    <row r="221" spans="1:20" x14ac:dyDescent="0.25">
      <c r="A221" s="2">
        <v>45086</v>
      </c>
      <c r="B221" s="20">
        <v>3000</v>
      </c>
      <c r="C221" s="29">
        <v>409.5</v>
      </c>
      <c r="D221" s="20">
        <v>11580</v>
      </c>
      <c r="E221" s="17" t="s">
        <v>92</v>
      </c>
      <c r="F221" s="17" t="s">
        <v>92</v>
      </c>
      <c r="G221" s="17" t="s">
        <v>92</v>
      </c>
      <c r="H221" s="17" t="s">
        <v>92</v>
      </c>
      <c r="I221" s="39"/>
      <c r="J221" s="42"/>
      <c r="K221" s="88"/>
      <c r="L221" s="42"/>
      <c r="M221" s="43"/>
      <c r="Q221" s="2"/>
      <c r="R221" s="24"/>
      <c r="S221" s="24"/>
      <c r="T221" s="24"/>
    </row>
    <row r="222" spans="1:20" x14ac:dyDescent="0.25">
      <c r="A222" s="2">
        <v>45085</v>
      </c>
      <c r="B222" s="20">
        <v>3010</v>
      </c>
      <c r="C222" s="20">
        <v>410</v>
      </c>
      <c r="D222" s="20">
        <v>11520</v>
      </c>
      <c r="E222" s="17" t="s">
        <v>92</v>
      </c>
      <c r="F222" s="17" t="s">
        <v>92</v>
      </c>
      <c r="G222" s="17" t="s">
        <v>92</v>
      </c>
      <c r="H222" s="17" t="s">
        <v>92</v>
      </c>
      <c r="I222" s="39"/>
      <c r="J222" s="42"/>
      <c r="K222" s="88"/>
      <c r="L222" s="42"/>
      <c r="M222" s="43"/>
      <c r="Q222" s="2"/>
      <c r="R222" s="24"/>
      <c r="S222" s="24"/>
      <c r="T222" s="24"/>
    </row>
    <row r="223" spans="1:20" x14ac:dyDescent="0.25">
      <c r="A223" s="2">
        <v>45084</v>
      </c>
      <c r="B223" s="20">
        <v>2986</v>
      </c>
      <c r="C223" s="29">
        <v>410.5</v>
      </c>
      <c r="D223" s="20">
        <v>11150</v>
      </c>
      <c r="E223" s="17" t="s">
        <v>92</v>
      </c>
      <c r="F223" s="17" t="s">
        <v>92</v>
      </c>
      <c r="G223" s="17" t="s">
        <v>92</v>
      </c>
      <c r="H223" s="17" t="s">
        <v>92</v>
      </c>
      <c r="I223" s="39"/>
      <c r="J223" s="42"/>
      <c r="K223" s="88"/>
      <c r="L223" s="42"/>
      <c r="M223" s="43"/>
      <c r="Q223" s="2"/>
      <c r="R223" s="24"/>
      <c r="S223" s="24"/>
      <c r="T223" s="24"/>
    </row>
    <row r="224" spans="1:20" x14ac:dyDescent="0.25">
      <c r="A224" s="2">
        <v>45083</v>
      </c>
      <c r="B224" s="20">
        <v>2972</v>
      </c>
      <c r="C224" s="20">
        <v>413</v>
      </c>
      <c r="D224" s="20">
        <v>11000</v>
      </c>
      <c r="E224" s="17" t="s">
        <v>92</v>
      </c>
      <c r="F224" s="17" t="s">
        <v>92</v>
      </c>
      <c r="G224" s="17" t="s">
        <v>92</v>
      </c>
      <c r="H224" s="17" t="s">
        <v>92</v>
      </c>
      <c r="I224" s="39"/>
      <c r="J224" s="42"/>
      <c r="K224" s="88"/>
      <c r="L224" s="42"/>
      <c r="M224" s="43"/>
      <c r="Q224" s="2"/>
      <c r="R224" s="24"/>
      <c r="S224" s="24"/>
      <c r="T224" s="24"/>
    </row>
    <row r="225" spans="1:20" x14ac:dyDescent="0.25">
      <c r="A225" s="2">
        <v>45082</v>
      </c>
      <c r="B225" s="20">
        <v>2956</v>
      </c>
      <c r="C225" s="20">
        <v>411</v>
      </c>
      <c r="D225" s="20">
        <v>11030</v>
      </c>
      <c r="E225" s="17" t="s">
        <v>92</v>
      </c>
      <c r="F225" s="17" t="s">
        <v>92</v>
      </c>
      <c r="G225" s="17" t="s">
        <v>92</v>
      </c>
      <c r="H225" s="17" t="s">
        <v>92</v>
      </c>
      <c r="I225" s="39"/>
      <c r="J225" s="42"/>
      <c r="K225" s="88"/>
      <c r="L225" s="42"/>
      <c r="M225" s="43"/>
      <c r="Q225" s="2"/>
      <c r="R225" s="24"/>
      <c r="S225" s="24"/>
      <c r="T225" s="24"/>
    </row>
    <row r="226" spans="1:20" x14ac:dyDescent="0.25">
      <c r="A226" s="2">
        <v>45079</v>
      </c>
      <c r="B226" s="20">
        <v>2906</v>
      </c>
      <c r="C226" s="20">
        <v>413</v>
      </c>
      <c r="D226" s="20">
        <v>10970</v>
      </c>
      <c r="E226" s="17" t="s">
        <v>92</v>
      </c>
      <c r="F226" s="17" t="s">
        <v>92</v>
      </c>
      <c r="G226" s="17" t="s">
        <v>92</v>
      </c>
      <c r="H226" s="17" t="s">
        <v>92</v>
      </c>
      <c r="I226" s="39"/>
      <c r="J226" s="42"/>
      <c r="K226" s="88"/>
      <c r="L226" s="42"/>
      <c r="M226" s="43"/>
      <c r="Q226" s="2"/>
      <c r="R226" s="24"/>
      <c r="S226" s="24"/>
      <c r="T226" s="24"/>
    </row>
    <row r="227" spans="1:20" x14ac:dyDescent="0.25">
      <c r="A227" s="2">
        <v>45078</v>
      </c>
      <c r="B227" s="20">
        <v>2830</v>
      </c>
      <c r="C227" s="20">
        <v>420</v>
      </c>
      <c r="D227" s="20">
        <v>10620</v>
      </c>
      <c r="E227" s="17" t="s">
        <v>92</v>
      </c>
      <c r="F227" s="17" t="s">
        <v>92</v>
      </c>
      <c r="G227" s="17" t="s">
        <v>92</v>
      </c>
      <c r="H227" s="17" t="s">
        <v>92</v>
      </c>
      <c r="I227" s="39"/>
      <c r="J227" s="42"/>
      <c r="K227" s="88"/>
      <c r="L227" s="42"/>
      <c r="M227" s="43"/>
      <c r="Q227" s="2"/>
      <c r="R227" s="24"/>
      <c r="S227" s="24"/>
      <c r="T227" s="24"/>
    </row>
    <row r="228" spans="1:20" x14ac:dyDescent="0.25">
      <c r="A228" s="2">
        <v>45077</v>
      </c>
      <c r="B228" s="20">
        <v>2820</v>
      </c>
      <c r="C228" s="20">
        <v>418</v>
      </c>
      <c r="D228" s="20">
        <v>10795</v>
      </c>
      <c r="E228" s="17" t="s">
        <v>92</v>
      </c>
      <c r="F228" s="17" t="s">
        <v>92</v>
      </c>
      <c r="G228" s="17" t="s">
        <v>92</v>
      </c>
      <c r="H228" s="17" t="s">
        <v>92</v>
      </c>
      <c r="I228" s="39"/>
      <c r="J228" s="42"/>
      <c r="K228" s="88"/>
      <c r="L228" s="42"/>
      <c r="M228" s="43"/>
      <c r="Q228" s="2"/>
      <c r="R228" s="24"/>
      <c r="S228" s="24"/>
      <c r="T228" s="24"/>
    </row>
    <row r="229" spans="1:20" x14ac:dyDescent="0.25">
      <c r="A229" s="2">
        <v>45076</v>
      </c>
      <c r="B229" s="20">
        <v>2836</v>
      </c>
      <c r="C229" s="20">
        <v>412</v>
      </c>
      <c r="D229" s="20">
        <v>11040</v>
      </c>
      <c r="E229" s="17" t="s">
        <v>92</v>
      </c>
      <c r="F229" s="17" t="s">
        <v>92</v>
      </c>
      <c r="G229" s="17" t="s">
        <v>92</v>
      </c>
      <c r="H229" s="17" t="s">
        <v>92</v>
      </c>
      <c r="I229" s="39"/>
      <c r="J229" s="42"/>
      <c r="K229" s="88"/>
      <c r="L229" s="42"/>
      <c r="M229" s="43"/>
      <c r="Q229" s="2"/>
      <c r="R229" s="24"/>
      <c r="S229" s="24"/>
      <c r="T229" s="24"/>
    </row>
    <row r="230" spans="1:20" x14ac:dyDescent="0.25">
      <c r="A230" s="2">
        <v>45072</v>
      </c>
      <c r="B230" s="20">
        <v>2866</v>
      </c>
      <c r="C230" s="20">
        <v>418</v>
      </c>
      <c r="D230" s="20">
        <v>11135</v>
      </c>
      <c r="E230" s="17" t="s">
        <v>92</v>
      </c>
      <c r="F230" s="17" t="s">
        <v>92</v>
      </c>
      <c r="G230" s="17" t="s">
        <v>92</v>
      </c>
      <c r="H230" s="17" t="s">
        <v>92</v>
      </c>
      <c r="I230" s="39"/>
      <c r="J230" s="42"/>
      <c r="K230" s="88"/>
      <c r="L230" s="42"/>
      <c r="M230" s="43"/>
      <c r="Q230" s="2"/>
      <c r="R230" s="24"/>
      <c r="S230" s="24"/>
      <c r="T230" s="24"/>
    </row>
    <row r="231" spans="1:20" x14ac:dyDescent="0.25">
      <c r="A231" s="2">
        <v>45071</v>
      </c>
      <c r="B231" s="20">
        <v>2830</v>
      </c>
      <c r="C231" s="29">
        <v>422.5</v>
      </c>
      <c r="D231" s="20">
        <v>11120</v>
      </c>
      <c r="E231" s="17" t="s">
        <v>92</v>
      </c>
      <c r="F231" s="17" t="s">
        <v>92</v>
      </c>
      <c r="G231" s="17" t="s">
        <v>92</v>
      </c>
      <c r="H231" s="17" t="s">
        <v>92</v>
      </c>
      <c r="I231" s="39"/>
      <c r="J231" s="42"/>
      <c r="K231" s="88"/>
      <c r="L231" s="42"/>
      <c r="M231" s="43"/>
      <c r="Q231" s="2"/>
      <c r="R231" s="24"/>
      <c r="S231" s="24"/>
      <c r="T231" s="24"/>
    </row>
    <row r="232" spans="1:20" x14ac:dyDescent="0.25">
      <c r="A232" s="2">
        <v>45070</v>
      </c>
      <c r="B232" s="20">
        <v>2772</v>
      </c>
      <c r="C232" s="29">
        <v>431.5</v>
      </c>
      <c r="D232" s="20">
        <v>11020</v>
      </c>
      <c r="E232" s="17" t="s">
        <v>92</v>
      </c>
      <c r="F232" s="17" t="s">
        <v>92</v>
      </c>
      <c r="G232" s="17" t="s">
        <v>92</v>
      </c>
      <c r="H232" s="17" t="s">
        <v>92</v>
      </c>
      <c r="I232" s="39"/>
      <c r="J232" s="42"/>
      <c r="K232" s="88"/>
      <c r="L232" s="42"/>
      <c r="M232" s="43"/>
      <c r="Q232" s="2"/>
      <c r="R232" s="24"/>
      <c r="S232" s="24"/>
      <c r="T232" s="24"/>
    </row>
    <row r="233" spans="1:20" x14ac:dyDescent="0.25">
      <c r="A233" s="2">
        <v>45069</v>
      </c>
      <c r="B233" s="20">
        <v>2778</v>
      </c>
      <c r="C233" s="20">
        <v>429</v>
      </c>
      <c r="D233" s="20">
        <v>11150</v>
      </c>
      <c r="E233" s="17" t="s">
        <v>92</v>
      </c>
      <c r="F233" s="17" t="s">
        <v>92</v>
      </c>
      <c r="G233" s="17" t="s">
        <v>92</v>
      </c>
      <c r="H233" s="17" t="s">
        <v>92</v>
      </c>
      <c r="I233" s="39"/>
      <c r="J233" s="42"/>
      <c r="K233" s="88"/>
      <c r="L233" s="42"/>
      <c r="M233" s="43"/>
      <c r="Q233" s="2"/>
      <c r="R233" s="24"/>
      <c r="S233" s="24"/>
      <c r="T233" s="24"/>
    </row>
    <row r="234" spans="1:20" x14ac:dyDescent="0.25">
      <c r="A234" s="2">
        <v>45068</v>
      </c>
      <c r="B234" s="20">
        <v>2802</v>
      </c>
      <c r="C234" s="29">
        <v>426.5</v>
      </c>
      <c r="D234" s="20">
        <v>11180</v>
      </c>
      <c r="E234" s="17" t="s">
        <v>92</v>
      </c>
      <c r="F234" s="17" t="s">
        <v>92</v>
      </c>
      <c r="G234" s="17" t="s">
        <v>92</v>
      </c>
      <c r="H234" s="17" t="s">
        <v>92</v>
      </c>
      <c r="I234" s="39"/>
      <c r="J234" s="42"/>
      <c r="K234" s="88"/>
      <c r="L234" s="42"/>
      <c r="M234" s="43"/>
      <c r="Q234" s="2"/>
      <c r="R234" s="24"/>
      <c r="S234" s="24"/>
      <c r="T234" s="24"/>
    </row>
    <row r="235" spans="1:20" x14ac:dyDescent="0.25">
      <c r="A235" s="2">
        <v>45065</v>
      </c>
      <c r="B235" s="20">
        <v>2782</v>
      </c>
      <c r="C235" s="20">
        <v>426</v>
      </c>
      <c r="D235" s="20">
        <v>11300</v>
      </c>
      <c r="E235" s="17" t="s">
        <v>92</v>
      </c>
      <c r="F235" s="17" t="s">
        <v>92</v>
      </c>
      <c r="G235" s="17" t="s">
        <v>92</v>
      </c>
      <c r="H235" s="17" t="s">
        <v>92</v>
      </c>
      <c r="I235" s="39"/>
      <c r="J235" s="42"/>
      <c r="K235" s="88"/>
      <c r="L235" s="42"/>
      <c r="M235" s="43"/>
      <c r="Q235" s="2"/>
      <c r="R235" s="24"/>
      <c r="S235" s="24"/>
      <c r="T235" s="24"/>
    </row>
    <row r="236" spans="1:20" x14ac:dyDescent="0.25">
      <c r="A236" s="2">
        <v>45064</v>
      </c>
      <c r="B236" s="20">
        <v>2808</v>
      </c>
      <c r="C236" s="20">
        <v>425</v>
      </c>
      <c r="D236" s="20">
        <v>11100</v>
      </c>
      <c r="E236" s="17" t="s">
        <v>92</v>
      </c>
      <c r="F236" s="17" t="s">
        <v>92</v>
      </c>
      <c r="G236" s="17" t="s">
        <v>92</v>
      </c>
      <c r="H236" s="17" t="s">
        <v>92</v>
      </c>
      <c r="I236" s="39"/>
      <c r="J236" s="42"/>
      <c r="K236" s="88"/>
      <c r="L236" s="42"/>
      <c r="M236" s="43"/>
      <c r="Q236" s="2"/>
      <c r="R236" s="24"/>
      <c r="S236" s="24"/>
      <c r="T236" s="24"/>
    </row>
    <row r="237" spans="1:20" x14ac:dyDescent="0.25">
      <c r="A237" s="2">
        <v>45063</v>
      </c>
      <c r="B237" s="20">
        <v>2784</v>
      </c>
      <c r="C237" s="29">
        <v>424.5</v>
      </c>
      <c r="D237" s="20">
        <v>10870</v>
      </c>
      <c r="E237" s="17" t="s">
        <v>92</v>
      </c>
      <c r="F237" s="17" t="s">
        <v>92</v>
      </c>
      <c r="G237" s="17" t="s">
        <v>92</v>
      </c>
      <c r="H237" s="17" t="s">
        <v>92</v>
      </c>
      <c r="I237" s="39"/>
      <c r="J237" s="42"/>
      <c r="K237" s="88"/>
      <c r="L237" s="42"/>
      <c r="M237" s="43"/>
      <c r="Q237" s="2"/>
      <c r="R237" s="24"/>
      <c r="S237" s="24"/>
      <c r="T237" s="24"/>
    </row>
    <row r="238" spans="1:20" x14ac:dyDescent="0.25">
      <c r="A238" s="2">
        <v>45062</v>
      </c>
      <c r="B238" s="20">
        <v>2756</v>
      </c>
      <c r="C238" s="29">
        <v>418.5</v>
      </c>
      <c r="D238" s="20">
        <v>10900</v>
      </c>
      <c r="E238" s="17" t="s">
        <v>92</v>
      </c>
      <c r="F238" s="17" t="s">
        <v>92</v>
      </c>
      <c r="G238" s="17" t="s">
        <v>92</v>
      </c>
      <c r="H238" s="17" t="s">
        <v>92</v>
      </c>
      <c r="I238" s="39"/>
      <c r="J238" s="42"/>
      <c r="K238" s="88"/>
      <c r="L238" s="42"/>
      <c r="M238" s="43"/>
      <c r="Q238" s="2"/>
      <c r="R238" s="24"/>
      <c r="S238" s="24"/>
      <c r="T238" s="24"/>
    </row>
    <row r="239" spans="1:20" x14ac:dyDescent="0.25">
      <c r="A239" s="2">
        <v>45061</v>
      </c>
      <c r="B239" s="20">
        <v>2742</v>
      </c>
      <c r="C239" s="20">
        <v>419</v>
      </c>
      <c r="D239" s="20">
        <v>10885</v>
      </c>
      <c r="E239" s="17" t="s">
        <v>92</v>
      </c>
      <c r="F239" s="17" t="s">
        <v>92</v>
      </c>
      <c r="G239" s="17" t="s">
        <v>92</v>
      </c>
      <c r="H239" s="17" t="s">
        <v>92</v>
      </c>
      <c r="I239" s="39"/>
      <c r="J239" s="42"/>
      <c r="K239" s="88"/>
      <c r="L239" s="42"/>
      <c r="M239" s="43"/>
      <c r="Q239" s="2"/>
      <c r="R239" s="24"/>
      <c r="S239" s="24"/>
      <c r="T239" s="24"/>
    </row>
    <row r="240" spans="1:20" x14ac:dyDescent="0.25">
      <c r="A240" s="2">
        <v>45058</v>
      </c>
      <c r="B240" s="20">
        <v>2748</v>
      </c>
      <c r="C240" s="20">
        <v>421</v>
      </c>
      <c r="D240" s="20">
        <v>10860</v>
      </c>
      <c r="E240" s="17" t="s">
        <v>92</v>
      </c>
      <c r="F240" s="17" t="s">
        <v>92</v>
      </c>
      <c r="G240" s="17" t="s">
        <v>92</v>
      </c>
      <c r="H240" s="17" t="s">
        <v>92</v>
      </c>
      <c r="I240" s="39"/>
      <c r="J240" s="42"/>
      <c r="K240" s="88"/>
      <c r="L240" s="42"/>
      <c r="M240" s="43"/>
      <c r="Q240" s="2"/>
      <c r="R240" s="24"/>
      <c r="S240" s="24"/>
      <c r="T240" s="24"/>
    </row>
    <row r="241" spans="1:20" x14ac:dyDescent="0.25">
      <c r="A241" s="2">
        <v>45057</v>
      </c>
      <c r="B241" s="20">
        <v>2766</v>
      </c>
      <c r="C241" s="20">
        <v>416</v>
      </c>
      <c r="D241" s="20">
        <v>10845</v>
      </c>
      <c r="E241" s="17" t="s">
        <v>92</v>
      </c>
      <c r="F241" s="17" t="s">
        <v>92</v>
      </c>
      <c r="G241" s="17" t="s">
        <v>92</v>
      </c>
      <c r="H241" s="17" t="s">
        <v>92</v>
      </c>
      <c r="I241" s="39"/>
      <c r="J241" s="42"/>
      <c r="K241" s="88"/>
      <c r="L241" s="42"/>
      <c r="M241" s="43"/>
      <c r="Q241" s="2"/>
      <c r="R241" s="24"/>
      <c r="S241" s="24"/>
      <c r="T241" s="24"/>
    </row>
    <row r="242" spans="1:20" x14ac:dyDescent="0.25">
      <c r="A242" s="2">
        <v>45056</v>
      </c>
      <c r="B242" s="20">
        <v>2804</v>
      </c>
      <c r="C242" s="20">
        <v>415</v>
      </c>
      <c r="D242" s="20">
        <v>10760</v>
      </c>
      <c r="E242" s="17" t="s">
        <v>92</v>
      </c>
      <c r="F242" s="17" t="s">
        <v>92</v>
      </c>
      <c r="G242" s="17" t="s">
        <v>92</v>
      </c>
      <c r="H242" s="17" t="s">
        <v>92</v>
      </c>
      <c r="I242" s="39"/>
      <c r="J242" s="42"/>
      <c r="K242" s="88"/>
      <c r="L242" s="42"/>
      <c r="M242" s="43"/>
      <c r="Q242" s="2"/>
      <c r="R242" s="24"/>
      <c r="S242" s="24"/>
      <c r="T242" s="24"/>
    </row>
    <row r="243" spans="1:20" x14ac:dyDescent="0.25">
      <c r="A243" s="2">
        <v>45055</v>
      </c>
      <c r="B243" s="20">
        <v>2796</v>
      </c>
      <c r="C243" s="29">
        <v>416.5</v>
      </c>
      <c r="D243" s="20">
        <v>11080</v>
      </c>
      <c r="E243" s="17" t="s">
        <v>92</v>
      </c>
      <c r="F243" s="17" t="s">
        <v>92</v>
      </c>
      <c r="G243" s="17" t="s">
        <v>92</v>
      </c>
      <c r="H243" s="17" t="s">
        <v>92</v>
      </c>
      <c r="I243" s="39"/>
      <c r="J243" s="42"/>
      <c r="K243" s="88"/>
      <c r="L243" s="42"/>
      <c r="M243" s="43"/>
      <c r="Q243" s="2"/>
      <c r="R243" s="24"/>
      <c r="S243" s="24"/>
      <c r="T243" s="24"/>
    </row>
    <row r="244" spans="1:20" x14ac:dyDescent="0.25">
      <c r="A244" s="2">
        <v>45054</v>
      </c>
      <c r="B244" s="20">
        <v>2766</v>
      </c>
      <c r="C244" s="20">
        <v>438</v>
      </c>
      <c r="D244" s="20">
        <v>11195</v>
      </c>
      <c r="E244" s="17" t="s">
        <v>92</v>
      </c>
      <c r="F244" s="17" t="s">
        <v>92</v>
      </c>
      <c r="G244" s="17" t="s">
        <v>92</v>
      </c>
      <c r="H244" s="17" t="s">
        <v>92</v>
      </c>
      <c r="I244" s="39"/>
      <c r="J244" s="42"/>
      <c r="K244" s="88"/>
      <c r="L244" s="42"/>
      <c r="M244" s="43"/>
      <c r="Q244" s="2"/>
      <c r="R244" s="24"/>
      <c r="S244" s="24"/>
      <c r="T244" s="24"/>
    </row>
    <row r="245" spans="1:20" x14ac:dyDescent="0.25">
      <c r="A245" s="2">
        <v>45051</v>
      </c>
      <c r="B245" s="20">
        <v>2780</v>
      </c>
      <c r="C245" s="20">
        <v>430</v>
      </c>
      <c r="D245" s="20">
        <v>10945</v>
      </c>
      <c r="E245" s="17" t="s">
        <v>92</v>
      </c>
      <c r="F245" s="17" t="s">
        <v>92</v>
      </c>
      <c r="G245" s="17" t="s">
        <v>92</v>
      </c>
      <c r="H245" s="17" t="s">
        <v>92</v>
      </c>
      <c r="I245" s="39"/>
      <c r="J245" s="42"/>
      <c r="K245" s="88"/>
      <c r="L245" s="42"/>
      <c r="M245" s="43"/>
      <c r="Q245" s="2"/>
      <c r="R245" s="24"/>
      <c r="S245" s="24"/>
      <c r="T245" s="24"/>
    </row>
    <row r="246" spans="1:20" x14ac:dyDescent="0.25">
      <c r="A246" s="2">
        <v>45050</v>
      </c>
      <c r="B246" s="20">
        <v>2800</v>
      </c>
      <c r="C246" s="20">
        <v>425</v>
      </c>
      <c r="D246" s="20">
        <v>10975</v>
      </c>
      <c r="E246" s="17" t="s">
        <v>92</v>
      </c>
      <c r="F246" s="17" t="s">
        <v>92</v>
      </c>
      <c r="G246" s="17" t="s">
        <v>92</v>
      </c>
      <c r="H246" s="17" t="s">
        <v>92</v>
      </c>
      <c r="I246" s="39"/>
      <c r="J246" s="42"/>
      <c r="K246" s="88"/>
      <c r="L246" s="42"/>
      <c r="M246" s="43"/>
      <c r="Q246" s="2"/>
      <c r="R246" s="24"/>
      <c r="S246" s="24"/>
      <c r="T246" s="24"/>
    </row>
    <row r="247" spans="1:20" x14ac:dyDescent="0.25">
      <c r="A247" s="2">
        <v>45049</v>
      </c>
      <c r="B247" s="20">
        <v>2806</v>
      </c>
      <c r="C247" s="20">
        <v>429</v>
      </c>
      <c r="D247" s="20">
        <v>11090</v>
      </c>
      <c r="E247" s="17" t="s">
        <v>92</v>
      </c>
      <c r="F247" s="17" t="s">
        <v>92</v>
      </c>
      <c r="G247" s="17" t="s">
        <v>92</v>
      </c>
      <c r="H247" s="17" t="s">
        <v>92</v>
      </c>
      <c r="I247" s="39"/>
      <c r="J247" s="42"/>
      <c r="K247" s="88"/>
      <c r="L247" s="42"/>
      <c r="M247" s="43"/>
      <c r="Q247" s="2"/>
      <c r="R247" s="24"/>
      <c r="S247" s="24"/>
      <c r="T247" s="24"/>
    </row>
    <row r="248" spans="1:20" x14ac:dyDescent="0.25">
      <c r="A248" s="2">
        <v>45048</v>
      </c>
      <c r="B248" s="20">
        <v>2750</v>
      </c>
      <c r="C248" s="20">
        <v>429</v>
      </c>
      <c r="D248" s="20">
        <v>10665</v>
      </c>
      <c r="E248" s="17" t="s">
        <v>92</v>
      </c>
      <c r="F248" s="17" t="s">
        <v>92</v>
      </c>
      <c r="G248" s="17" t="s">
        <v>92</v>
      </c>
      <c r="H248" s="17" t="s">
        <v>92</v>
      </c>
      <c r="I248" s="39"/>
      <c r="J248" s="42"/>
      <c r="K248" s="88"/>
      <c r="L248" s="42"/>
      <c r="M248" s="43"/>
      <c r="Q248" s="2"/>
      <c r="R248" s="24"/>
      <c r="S248" s="24"/>
      <c r="T248" s="24"/>
    </row>
    <row r="249" spans="1:20" x14ac:dyDescent="0.25">
      <c r="A249" s="2">
        <v>45044</v>
      </c>
      <c r="B249" s="20">
        <v>2742</v>
      </c>
      <c r="C249" s="20">
        <v>426</v>
      </c>
      <c r="D249" s="20">
        <v>10300</v>
      </c>
      <c r="E249" s="17" t="s">
        <v>92</v>
      </c>
      <c r="F249" s="17" t="s">
        <v>92</v>
      </c>
      <c r="G249" s="17" t="s">
        <v>92</v>
      </c>
      <c r="H249" s="17" t="s">
        <v>92</v>
      </c>
      <c r="I249" s="39"/>
      <c r="J249" s="42"/>
      <c r="K249" s="88"/>
      <c r="L249" s="42"/>
      <c r="M249" s="43"/>
      <c r="Q249" s="2"/>
      <c r="R249" s="24"/>
      <c r="S249" s="24"/>
      <c r="T249" s="24"/>
    </row>
    <row r="250" spans="1:20" x14ac:dyDescent="0.25">
      <c r="A250" s="2">
        <v>45043</v>
      </c>
      <c r="B250" s="20">
        <v>2734</v>
      </c>
      <c r="C250" s="20">
        <v>423</v>
      </c>
      <c r="D250" s="20">
        <v>10170</v>
      </c>
      <c r="E250" s="17" t="s">
        <v>92</v>
      </c>
      <c r="F250" s="17" t="s">
        <v>92</v>
      </c>
      <c r="G250" s="17" t="s">
        <v>92</v>
      </c>
      <c r="H250" s="17" t="s">
        <v>92</v>
      </c>
      <c r="I250" s="39"/>
      <c r="J250" s="42"/>
      <c r="K250" s="88"/>
      <c r="L250" s="42"/>
      <c r="M250" s="43"/>
      <c r="Q250" s="2"/>
      <c r="R250" s="24"/>
      <c r="S250" s="24"/>
      <c r="T250" s="24"/>
    </row>
    <row r="251" spans="1:20" x14ac:dyDescent="0.25">
      <c r="A251" s="2">
        <v>45042</v>
      </c>
      <c r="B251" s="20">
        <v>2628</v>
      </c>
      <c r="C251" s="20">
        <v>422</v>
      </c>
      <c r="D251" s="20">
        <v>9664</v>
      </c>
      <c r="E251" s="17" t="s">
        <v>92</v>
      </c>
      <c r="F251" s="17" t="s">
        <v>92</v>
      </c>
      <c r="G251" s="17" t="s">
        <v>92</v>
      </c>
      <c r="H251" s="17" t="s">
        <v>92</v>
      </c>
      <c r="I251" s="39"/>
      <c r="J251" s="42"/>
      <c r="K251" s="88"/>
      <c r="L251" s="42"/>
      <c r="M251" s="43"/>
      <c r="Q251" s="2"/>
      <c r="R251" s="24"/>
      <c r="S251" s="24"/>
      <c r="T251" s="24"/>
    </row>
    <row r="252" spans="1:20" x14ac:dyDescent="0.25">
      <c r="A252" s="2">
        <v>45041</v>
      </c>
      <c r="B252" s="20">
        <v>2616</v>
      </c>
      <c r="C252" s="20">
        <v>420</v>
      </c>
      <c r="D252" s="20">
        <v>9790</v>
      </c>
      <c r="E252" s="17" t="s">
        <v>92</v>
      </c>
      <c r="F252" s="17" t="s">
        <v>92</v>
      </c>
      <c r="G252" s="17" t="s">
        <v>92</v>
      </c>
      <c r="H252" s="17" t="s">
        <v>92</v>
      </c>
      <c r="I252" s="39"/>
      <c r="J252" s="42"/>
      <c r="K252" s="88"/>
      <c r="L252" s="42"/>
      <c r="M252" s="43"/>
      <c r="Q252" s="2"/>
      <c r="R252" s="24"/>
      <c r="S252" s="24"/>
      <c r="T252" s="24"/>
    </row>
    <row r="253" spans="1:20" x14ac:dyDescent="0.25">
      <c r="A253" s="2">
        <v>45040</v>
      </c>
      <c r="B253" s="20">
        <v>2648</v>
      </c>
      <c r="C253" s="20">
        <v>425</v>
      </c>
      <c r="D253" s="20">
        <v>9874</v>
      </c>
      <c r="E253" s="17" t="s">
        <v>92</v>
      </c>
      <c r="F253" s="17" t="s">
        <v>92</v>
      </c>
      <c r="G253" s="17" t="s">
        <v>92</v>
      </c>
      <c r="H253" s="17" t="s">
        <v>92</v>
      </c>
      <c r="I253" s="39"/>
      <c r="J253" s="42"/>
      <c r="K253" s="88"/>
      <c r="L253" s="42"/>
      <c r="M253" s="43"/>
      <c r="Q253" s="2"/>
      <c r="R253" s="24"/>
      <c r="S253" s="24"/>
      <c r="T253" s="24"/>
    </row>
    <row r="254" spans="1:20" x14ac:dyDescent="0.25">
      <c r="A254" s="2">
        <v>45037</v>
      </c>
      <c r="B254" s="20">
        <v>2708</v>
      </c>
      <c r="C254" s="20">
        <v>423</v>
      </c>
      <c r="D254" s="20">
        <v>10030</v>
      </c>
      <c r="E254" s="17" t="s">
        <v>92</v>
      </c>
      <c r="F254" s="17" t="s">
        <v>92</v>
      </c>
      <c r="G254" s="17" t="s">
        <v>92</v>
      </c>
      <c r="H254" s="17" t="s">
        <v>92</v>
      </c>
      <c r="I254" s="39"/>
      <c r="J254" s="42"/>
      <c r="K254" s="88"/>
      <c r="L254" s="42"/>
      <c r="M254" s="43"/>
      <c r="Q254" s="2"/>
      <c r="R254" s="24"/>
      <c r="S254" s="24"/>
      <c r="T254" s="24"/>
    </row>
    <row r="255" spans="1:20" x14ac:dyDescent="0.25">
      <c r="A255" s="2">
        <v>45036</v>
      </c>
      <c r="B255" s="20">
        <v>2680</v>
      </c>
      <c r="C255" s="20">
        <v>416</v>
      </c>
      <c r="D255" s="20">
        <v>9986</v>
      </c>
      <c r="E255" s="17" t="s">
        <v>92</v>
      </c>
      <c r="F255" s="17" t="s">
        <v>92</v>
      </c>
      <c r="G255" s="17" t="s">
        <v>92</v>
      </c>
      <c r="H255" s="17" t="s">
        <v>92</v>
      </c>
      <c r="I255" s="39"/>
      <c r="J255" s="42"/>
      <c r="K255" s="88"/>
      <c r="L255" s="42"/>
      <c r="M255" s="43"/>
      <c r="Q255" s="2"/>
      <c r="R255" s="24"/>
      <c r="S255" s="24"/>
      <c r="T255" s="24"/>
    </row>
    <row r="256" spans="1:20" x14ac:dyDescent="0.25">
      <c r="A256" s="2">
        <v>45035</v>
      </c>
      <c r="B256" s="20">
        <v>2670</v>
      </c>
      <c r="C256" s="20">
        <v>417</v>
      </c>
      <c r="D256" s="20">
        <v>9874</v>
      </c>
      <c r="E256" s="17" t="s">
        <v>92</v>
      </c>
      <c r="F256" s="17" t="s">
        <v>92</v>
      </c>
      <c r="G256" s="17" t="s">
        <v>92</v>
      </c>
      <c r="H256" s="17" t="s">
        <v>92</v>
      </c>
      <c r="I256" s="39"/>
      <c r="J256" s="42"/>
      <c r="K256" s="88"/>
      <c r="L256" s="42"/>
      <c r="M256" s="43"/>
      <c r="Q256" s="2"/>
      <c r="R256" s="24"/>
      <c r="S256" s="24"/>
      <c r="T256" s="24"/>
    </row>
    <row r="257" spans="1:20" x14ac:dyDescent="0.25">
      <c r="A257" s="2">
        <v>45034</v>
      </c>
      <c r="B257" s="20">
        <v>2714</v>
      </c>
      <c r="C257" s="20">
        <v>418</v>
      </c>
      <c r="D257" s="20">
        <v>9900</v>
      </c>
      <c r="E257" s="17" t="s">
        <v>92</v>
      </c>
      <c r="F257" s="17" t="s">
        <v>92</v>
      </c>
      <c r="G257" s="17" t="s">
        <v>92</v>
      </c>
      <c r="H257" s="17" t="s">
        <v>92</v>
      </c>
      <c r="I257" s="39"/>
      <c r="J257" s="42"/>
      <c r="K257" s="88"/>
      <c r="L257" s="42"/>
      <c r="M257" s="43"/>
      <c r="Q257" s="2"/>
      <c r="R257" s="24"/>
      <c r="S257" s="24"/>
      <c r="T257" s="24"/>
    </row>
    <row r="258" spans="1:20" x14ac:dyDescent="0.25">
      <c r="A258" s="2">
        <v>45033</v>
      </c>
      <c r="B258" s="20">
        <v>2714</v>
      </c>
      <c r="C258" s="20">
        <v>415</v>
      </c>
      <c r="D258" s="20">
        <v>9924</v>
      </c>
      <c r="E258" s="17" t="s">
        <v>92</v>
      </c>
      <c r="F258" s="17" t="s">
        <v>92</v>
      </c>
      <c r="G258" s="17" t="s">
        <v>92</v>
      </c>
      <c r="H258" s="17" t="s">
        <v>92</v>
      </c>
      <c r="I258" s="39"/>
      <c r="J258" s="42"/>
      <c r="K258" s="88"/>
      <c r="L258" s="42"/>
      <c r="M258" s="43"/>
      <c r="Q258" s="2"/>
      <c r="R258" s="24"/>
      <c r="S258" s="24"/>
      <c r="T258" s="24"/>
    </row>
    <row r="259" spans="1:20" x14ac:dyDescent="0.25">
      <c r="A259" s="2">
        <v>45030</v>
      </c>
      <c r="B259" s="20">
        <v>2698</v>
      </c>
      <c r="C259" s="20">
        <v>408</v>
      </c>
      <c r="D259" s="20">
        <v>9830</v>
      </c>
      <c r="E259" s="17" t="s">
        <v>92</v>
      </c>
      <c r="F259" s="17" t="s">
        <v>92</v>
      </c>
      <c r="G259" s="17" t="s">
        <v>92</v>
      </c>
      <c r="H259" s="17" t="s">
        <v>92</v>
      </c>
      <c r="I259" s="39"/>
      <c r="J259" s="42"/>
      <c r="K259" s="88"/>
      <c r="L259" s="42"/>
      <c r="M259" s="43"/>
      <c r="Q259" s="2"/>
      <c r="R259" s="24"/>
      <c r="S259" s="24"/>
      <c r="T259" s="24"/>
    </row>
    <row r="260" spans="1:20" x14ac:dyDescent="0.25">
      <c r="A260" s="2">
        <v>45029</v>
      </c>
      <c r="B260" s="20">
        <v>2612</v>
      </c>
      <c r="C260" s="20">
        <v>405</v>
      </c>
      <c r="D260" s="20">
        <v>9700</v>
      </c>
      <c r="E260" s="17" t="s">
        <v>92</v>
      </c>
      <c r="F260" s="17" t="s">
        <v>92</v>
      </c>
      <c r="G260" s="17" t="s">
        <v>92</v>
      </c>
      <c r="H260" s="17" t="s">
        <v>92</v>
      </c>
      <c r="I260" s="39"/>
      <c r="J260" s="42"/>
      <c r="K260" s="88"/>
      <c r="L260" s="42"/>
      <c r="M260" s="43"/>
      <c r="Q260" s="2"/>
      <c r="R260" s="24"/>
      <c r="S260" s="24"/>
      <c r="T260" s="24"/>
    </row>
    <row r="261" spans="1:20" x14ac:dyDescent="0.25">
      <c r="A261" s="2">
        <v>45028</v>
      </c>
      <c r="B261" s="20">
        <v>2658</v>
      </c>
      <c r="C261" s="20">
        <v>400</v>
      </c>
      <c r="D261" s="20">
        <v>9868</v>
      </c>
      <c r="E261" s="17" t="s">
        <v>92</v>
      </c>
      <c r="F261" s="17" t="s">
        <v>92</v>
      </c>
      <c r="G261" s="17" t="s">
        <v>92</v>
      </c>
      <c r="H261" s="17" t="s">
        <v>92</v>
      </c>
      <c r="I261" s="39"/>
      <c r="J261" s="42"/>
      <c r="K261" s="88"/>
      <c r="L261" s="42"/>
      <c r="M261" s="43"/>
      <c r="Q261" s="2"/>
      <c r="R261" s="24"/>
      <c r="S261" s="24"/>
      <c r="T261" s="24"/>
    </row>
    <row r="262" spans="1:20" x14ac:dyDescent="0.25">
      <c r="A262" s="2">
        <v>45027</v>
      </c>
      <c r="B262" s="20">
        <v>2710</v>
      </c>
      <c r="C262" s="20">
        <v>404</v>
      </c>
      <c r="D262" s="20">
        <v>10225</v>
      </c>
      <c r="E262" s="17" t="s">
        <v>92</v>
      </c>
      <c r="F262" s="17" t="s">
        <v>92</v>
      </c>
      <c r="G262" s="17" t="s">
        <v>92</v>
      </c>
      <c r="H262" s="17" t="s">
        <v>92</v>
      </c>
      <c r="I262" s="39"/>
      <c r="J262" s="42"/>
      <c r="K262" s="88"/>
      <c r="L262" s="42"/>
      <c r="M262" s="43"/>
      <c r="Q262" s="2"/>
      <c r="R262" s="24"/>
      <c r="S262" s="24"/>
      <c r="T262" s="24"/>
    </row>
    <row r="263" spans="1:20" x14ac:dyDescent="0.25">
      <c r="A263" s="2">
        <v>45022</v>
      </c>
      <c r="B263" s="20">
        <v>2714</v>
      </c>
      <c r="C263" s="29">
        <v>400.5</v>
      </c>
      <c r="D263" s="20">
        <v>10210</v>
      </c>
      <c r="E263" s="17" t="s">
        <v>92</v>
      </c>
      <c r="F263" s="17" t="s">
        <v>92</v>
      </c>
      <c r="G263" s="17" t="s">
        <v>92</v>
      </c>
      <c r="H263" s="17" t="s">
        <v>92</v>
      </c>
      <c r="I263" s="39"/>
      <c r="J263" s="42"/>
      <c r="K263" s="88"/>
      <c r="L263" s="42"/>
      <c r="M263" s="43"/>
      <c r="Q263" s="2"/>
      <c r="R263" s="24"/>
      <c r="S263" s="24"/>
      <c r="T263" s="24"/>
    </row>
    <row r="264" spans="1:20" x14ac:dyDescent="0.25">
      <c r="A264" s="2">
        <v>45021</v>
      </c>
      <c r="B264" s="20">
        <v>2704</v>
      </c>
      <c r="C264" s="20">
        <v>400</v>
      </c>
      <c r="D264" s="20">
        <v>10190</v>
      </c>
      <c r="E264" s="17" t="s">
        <v>92</v>
      </c>
      <c r="F264" s="17" t="s">
        <v>92</v>
      </c>
      <c r="G264" s="17" t="s">
        <v>92</v>
      </c>
      <c r="H264" s="17" t="s">
        <v>92</v>
      </c>
      <c r="I264" s="39"/>
      <c r="J264" s="42"/>
      <c r="K264" s="88"/>
      <c r="L264" s="42"/>
      <c r="M264" s="43"/>
      <c r="Q264" s="2"/>
      <c r="R264" s="24"/>
      <c r="S264" s="24"/>
      <c r="T264" s="24"/>
    </row>
    <row r="265" spans="1:20" x14ac:dyDescent="0.25">
      <c r="A265" s="2">
        <v>45020</v>
      </c>
      <c r="B265" s="20">
        <v>2678</v>
      </c>
      <c r="C265" s="20">
        <v>400</v>
      </c>
      <c r="D265" s="20">
        <v>10215</v>
      </c>
      <c r="E265" s="17" t="s">
        <v>92</v>
      </c>
      <c r="F265" s="17" t="s">
        <v>92</v>
      </c>
      <c r="G265" s="17" t="s">
        <v>92</v>
      </c>
      <c r="H265" s="17" t="s">
        <v>92</v>
      </c>
      <c r="I265" s="39"/>
      <c r="J265" s="42"/>
      <c r="K265" s="88"/>
      <c r="L265" s="42"/>
      <c r="M265" s="43"/>
      <c r="Q265" s="2"/>
      <c r="R265" s="24"/>
      <c r="S265" s="24"/>
      <c r="T265" s="24"/>
    </row>
    <row r="266" spans="1:20" x14ac:dyDescent="0.25">
      <c r="A266" s="2">
        <v>45019</v>
      </c>
      <c r="B266" s="20">
        <v>2602</v>
      </c>
      <c r="C266" s="20">
        <v>404</v>
      </c>
      <c r="D266" s="20">
        <v>10120</v>
      </c>
      <c r="E266" s="17" t="s">
        <v>92</v>
      </c>
      <c r="F266" s="17" t="s">
        <v>92</v>
      </c>
      <c r="G266" s="17" t="s">
        <v>92</v>
      </c>
      <c r="H266" s="17" t="s">
        <v>92</v>
      </c>
      <c r="I266" s="39"/>
      <c r="J266" s="42"/>
      <c r="K266" s="88"/>
      <c r="L266" s="42"/>
      <c r="M266" s="43"/>
      <c r="Q266" s="2"/>
      <c r="R266" s="24"/>
      <c r="S266" s="24"/>
      <c r="T266" s="24"/>
    </row>
    <row r="267" spans="1:20" x14ac:dyDescent="0.25">
      <c r="A267" s="2">
        <v>45016</v>
      </c>
      <c r="B267" s="20">
        <v>2564</v>
      </c>
      <c r="C267" s="29">
        <v>400.5</v>
      </c>
      <c r="D267" s="20">
        <v>9982</v>
      </c>
      <c r="E267" s="17" t="s">
        <v>92</v>
      </c>
      <c r="F267" s="17" t="s">
        <v>92</v>
      </c>
      <c r="G267" s="17" t="s">
        <v>92</v>
      </c>
      <c r="H267" s="17" t="s">
        <v>92</v>
      </c>
      <c r="I267" s="39"/>
      <c r="J267" s="42"/>
      <c r="K267" s="88"/>
      <c r="L267" s="42"/>
      <c r="M267" s="43"/>
      <c r="Q267" s="2"/>
      <c r="R267" s="24"/>
      <c r="S267" s="24"/>
      <c r="T267" s="24"/>
    </row>
    <row r="268" spans="1:20" x14ac:dyDescent="0.25">
      <c r="A268" s="2">
        <v>45015</v>
      </c>
      <c r="B268" s="20">
        <v>2500</v>
      </c>
      <c r="C268" s="20">
        <v>404</v>
      </c>
      <c r="D268" s="20">
        <v>9796</v>
      </c>
      <c r="E268" s="17" t="s">
        <v>92</v>
      </c>
      <c r="F268" s="17" t="s">
        <v>92</v>
      </c>
      <c r="G268" s="17" t="s">
        <v>92</v>
      </c>
      <c r="H268" s="17" t="s">
        <v>92</v>
      </c>
      <c r="I268" s="39"/>
      <c r="J268" s="42"/>
      <c r="K268" s="88"/>
      <c r="L268" s="42"/>
      <c r="M268" s="43"/>
      <c r="Q268" s="2"/>
      <c r="R268" s="24"/>
      <c r="S268" s="24"/>
      <c r="T268" s="24"/>
    </row>
    <row r="269" spans="1:20" x14ac:dyDescent="0.25">
      <c r="A269" s="2">
        <v>45014</v>
      </c>
      <c r="B269" s="20">
        <v>2554</v>
      </c>
      <c r="C269" s="20">
        <v>396</v>
      </c>
      <c r="D269" s="20">
        <v>9916</v>
      </c>
      <c r="E269" s="17" t="s">
        <v>92</v>
      </c>
      <c r="F269" s="17" t="s">
        <v>92</v>
      </c>
      <c r="G269" s="17" t="s">
        <v>92</v>
      </c>
      <c r="H269" s="17" t="s">
        <v>92</v>
      </c>
      <c r="I269" s="39"/>
      <c r="J269" s="42"/>
      <c r="K269" s="88"/>
      <c r="L269" s="42"/>
      <c r="M269" s="43"/>
      <c r="Q269" s="2"/>
      <c r="R269" s="24"/>
      <c r="S269" s="24"/>
      <c r="T269" s="24"/>
    </row>
    <row r="270" spans="1:20" x14ac:dyDescent="0.25">
      <c r="A270" s="2">
        <v>45013</v>
      </c>
      <c r="B270" s="20">
        <v>2542</v>
      </c>
      <c r="C270" s="20">
        <v>393</v>
      </c>
      <c r="D270" s="20">
        <v>9800</v>
      </c>
      <c r="E270" s="17" t="s">
        <v>92</v>
      </c>
      <c r="F270" s="17" t="s">
        <v>92</v>
      </c>
      <c r="G270" s="17" t="s">
        <v>92</v>
      </c>
      <c r="H270" s="17" t="s">
        <v>92</v>
      </c>
      <c r="I270" s="39"/>
      <c r="J270" s="42"/>
      <c r="K270" s="88"/>
      <c r="L270" s="42"/>
      <c r="M270" s="43"/>
      <c r="Q270" s="2"/>
      <c r="R270" s="24"/>
      <c r="S270" s="24"/>
      <c r="T270" s="24"/>
    </row>
    <row r="271" spans="1:20" x14ac:dyDescent="0.25">
      <c r="A271" s="2">
        <v>45012</v>
      </c>
      <c r="B271" s="20">
        <v>2492</v>
      </c>
      <c r="C271" s="20">
        <v>387</v>
      </c>
      <c r="D271" s="20">
        <v>9994</v>
      </c>
      <c r="E271" s="17" t="s">
        <v>92</v>
      </c>
      <c r="F271" s="17" t="s">
        <v>92</v>
      </c>
      <c r="G271" s="17" t="s">
        <v>92</v>
      </c>
      <c r="H271" s="17" t="s">
        <v>92</v>
      </c>
      <c r="I271" s="39"/>
      <c r="J271" s="42"/>
      <c r="K271" s="88"/>
      <c r="L271" s="42"/>
      <c r="M271" s="43"/>
      <c r="Q271" s="2"/>
      <c r="R271" s="24"/>
      <c r="S271" s="24"/>
      <c r="T271" s="24"/>
    </row>
    <row r="272" spans="1:20" x14ac:dyDescent="0.25">
      <c r="A272" s="2">
        <v>45009</v>
      </c>
      <c r="B272" s="20">
        <v>2474</v>
      </c>
      <c r="C272" s="20">
        <v>383</v>
      </c>
      <c r="D272" s="20">
        <v>9844</v>
      </c>
      <c r="E272" s="17" t="s">
        <v>92</v>
      </c>
      <c r="F272" s="17" t="s">
        <v>92</v>
      </c>
      <c r="G272" s="17" t="s">
        <v>92</v>
      </c>
      <c r="H272" s="17" t="s">
        <v>92</v>
      </c>
      <c r="I272" s="39"/>
      <c r="J272" s="42"/>
      <c r="K272" s="88"/>
      <c r="L272" s="42"/>
      <c r="M272" s="43"/>
      <c r="Q272" s="2"/>
      <c r="R272" s="24"/>
      <c r="S272" s="24"/>
      <c r="T272" s="24"/>
    </row>
    <row r="273" spans="1:20" x14ac:dyDescent="0.25">
      <c r="A273" s="2">
        <v>45008</v>
      </c>
      <c r="B273" s="20">
        <v>2546</v>
      </c>
      <c r="C273" s="20">
        <v>388</v>
      </c>
      <c r="D273" s="20">
        <v>10400</v>
      </c>
      <c r="E273" s="17" t="s">
        <v>92</v>
      </c>
      <c r="F273" s="17" t="s">
        <v>92</v>
      </c>
      <c r="G273" s="17" t="s">
        <v>92</v>
      </c>
      <c r="H273" s="17" t="s">
        <v>92</v>
      </c>
      <c r="I273" s="39"/>
      <c r="J273" s="42"/>
      <c r="K273" s="88"/>
      <c r="L273" s="42"/>
      <c r="M273" s="43"/>
      <c r="Q273" s="2"/>
      <c r="R273" s="24"/>
      <c r="S273" s="24"/>
      <c r="T273" s="24"/>
    </row>
    <row r="274" spans="1:20" x14ac:dyDescent="0.25">
      <c r="A274" s="2">
        <v>45007</v>
      </c>
      <c r="B274" s="20">
        <v>2460</v>
      </c>
      <c r="C274" s="29">
        <v>386.5</v>
      </c>
      <c r="D274" s="20">
        <v>10060</v>
      </c>
      <c r="E274" s="17" t="s">
        <v>92</v>
      </c>
      <c r="F274" s="17" t="s">
        <v>92</v>
      </c>
      <c r="G274" s="17" t="s">
        <v>92</v>
      </c>
      <c r="H274" s="17" t="s">
        <v>92</v>
      </c>
      <c r="I274" s="39"/>
      <c r="J274" s="42"/>
      <c r="K274" s="88"/>
      <c r="L274" s="42"/>
      <c r="M274" s="43"/>
      <c r="Q274" s="2"/>
      <c r="R274" s="24"/>
      <c r="S274" s="24"/>
      <c r="T274" s="24"/>
    </row>
    <row r="275" spans="1:20" x14ac:dyDescent="0.25">
      <c r="A275" s="2">
        <v>45006</v>
      </c>
      <c r="B275" s="20">
        <v>2500</v>
      </c>
      <c r="C275" s="20">
        <v>383</v>
      </c>
      <c r="D275" s="20">
        <v>9908</v>
      </c>
      <c r="E275" s="17" t="s">
        <v>92</v>
      </c>
      <c r="F275" s="17" t="s">
        <v>92</v>
      </c>
      <c r="G275" s="17" t="s">
        <v>92</v>
      </c>
      <c r="H275" s="17" t="s">
        <v>92</v>
      </c>
      <c r="I275" s="39"/>
      <c r="J275" s="42"/>
      <c r="K275" s="88"/>
      <c r="L275" s="42"/>
      <c r="M275" s="43"/>
      <c r="Q275" s="2"/>
      <c r="R275" s="24"/>
      <c r="S275" s="24"/>
      <c r="T275" s="24"/>
    </row>
    <row r="276" spans="1:20" x14ac:dyDescent="0.25">
      <c r="A276" s="2">
        <v>45005</v>
      </c>
      <c r="B276" s="20">
        <v>2500</v>
      </c>
      <c r="C276" s="20">
        <v>382</v>
      </c>
      <c r="D276" s="20">
        <v>9482</v>
      </c>
      <c r="E276" s="17" t="s">
        <v>92</v>
      </c>
      <c r="F276" s="17" t="s">
        <v>92</v>
      </c>
      <c r="G276" s="17" t="s">
        <v>92</v>
      </c>
      <c r="H276" s="17" t="s">
        <v>92</v>
      </c>
      <c r="I276" s="39"/>
      <c r="J276" s="42"/>
      <c r="K276" s="88"/>
      <c r="L276" s="42"/>
      <c r="M276" s="43"/>
      <c r="Q276" s="2"/>
      <c r="R276" s="24"/>
      <c r="S276" s="24"/>
      <c r="T276" s="24"/>
    </row>
    <row r="277" spans="1:20" x14ac:dyDescent="0.25">
      <c r="A277" s="2">
        <v>45002</v>
      </c>
      <c r="B277" s="20">
        <v>2418</v>
      </c>
      <c r="C277" s="20">
        <v>385</v>
      </c>
      <c r="D277" s="20">
        <v>9490</v>
      </c>
      <c r="E277" s="17" t="s">
        <v>92</v>
      </c>
      <c r="F277" s="17" t="s">
        <v>92</v>
      </c>
      <c r="G277" s="17" t="s">
        <v>92</v>
      </c>
      <c r="H277" s="17" t="s">
        <v>92</v>
      </c>
      <c r="I277" s="39"/>
      <c r="J277" s="42"/>
      <c r="K277" s="88"/>
      <c r="L277" s="42"/>
      <c r="M277" s="43"/>
      <c r="Q277" s="2"/>
      <c r="R277" s="24"/>
      <c r="S277" s="24"/>
      <c r="T277" s="24"/>
    </row>
    <row r="278" spans="1:20" x14ac:dyDescent="0.25">
      <c r="A278" s="2">
        <v>45001</v>
      </c>
      <c r="B278" s="20">
        <v>2398</v>
      </c>
      <c r="C278" s="20">
        <v>382</v>
      </c>
      <c r="D278" s="20">
        <v>9496</v>
      </c>
      <c r="E278" s="17" t="s">
        <v>92</v>
      </c>
      <c r="F278" s="17" t="s">
        <v>92</v>
      </c>
      <c r="G278" s="17" t="s">
        <v>92</v>
      </c>
      <c r="H278" s="17" t="s">
        <v>92</v>
      </c>
      <c r="I278" s="39"/>
      <c r="J278" s="42"/>
      <c r="K278" s="88"/>
      <c r="L278" s="42"/>
      <c r="M278" s="43"/>
      <c r="Q278" s="2"/>
      <c r="R278" s="24"/>
      <c r="S278" s="24"/>
      <c r="T278" s="24"/>
    </row>
    <row r="279" spans="1:20" x14ac:dyDescent="0.25">
      <c r="A279" s="2">
        <v>44999</v>
      </c>
      <c r="B279" s="20">
        <v>2460</v>
      </c>
      <c r="C279" s="20">
        <v>387</v>
      </c>
      <c r="D279" s="20">
        <v>9900</v>
      </c>
      <c r="E279" s="17" t="s">
        <v>92</v>
      </c>
      <c r="F279" s="17" t="s">
        <v>92</v>
      </c>
      <c r="G279" s="17" t="s">
        <v>92</v>
      </c>
      <c r="H279" s="17" t="s">
        <v>92</v>
      </c>
      <c r="I279" s="39"/>
      <c r="J279" s="42"/>
      <c r="K279" s="88"/>
      <c r="L279" s="42"/>
      <c r="M279" s="43"/>
      <c r="Q279" s="2"/>
      <c r="R279" s="24"/>
      <c r="S279" s="24"/>
      <c r="T279" s="24"/>
    </row>
    <row r="280" spans="1:20" x14ac:dyDescent="0.25">
      <c r="A280" s="2">
        <v>44998</v>
      </c>
      <c r="B280" s="20">
        <v>2538</v>
      </c>
      <c r="C280" s="20">
        <v>388</v>
      </c>
      <c r="D280" s="20">
        <v>9700</v>
      </c>
      <c r="E280" s="17" t="s">
        <v>92</v>
      </c>
      <c r="F280" s="17" t="s">
        <v>92</v>
      </c>
      <c r="G280" s="17" t="s">
        <v>92</v>
      </c>
      <c r="H280" s="17" t="s">
        <v>92</v>
      </c>
      <c r="I280" s="39"/>
      <c r="J280" s="42"/>
      <c r="K280" s="88"/>
      <c r="L280" s="42"/>
      <c r="M280" s="43"/>
      <c r="Q280" s="2"/>
      <c r="R280" s="24"/>
      <c r="S280" s="24"/>
      <c r="T280" s="24"/>
    </row>
    <row r="281" spans="1:20" x14ac:dyDescent="0.25">
      <c r="A281" s="2">
        <v>44995</v>
      </c>
      <c r="B281" s="20">
        <v>2564</v>
      </c>
      <c r="C281" s="20">
        <v>392</v>
      </c>
      <c r="D281" s="20">
        <v>10250</v>
      </c>
      <c r="E281" s="17" t="s">
        <v>92</v>
      </c>
      <c r="F281" s="17" t="s">
        <v>92</v>
      </c>
      <c r="G281" s="17" t="s">
        <v>92</v>
      </c>
      <c r="H281" s="17" t="s">
        <v>92</v>
      </c>
      <c r="I281" s="39"/>
      <c r="J281" s="42"/>
      <c r="K281" s="88"/>
      <c r="L281" s="42"/>
      <c r="M281" s="43"/>
      <c r="Q281" s="2"/>
      <c r="R281" s="24"/>
      <c r="S281" s="24"/>
      <c r="T281" s="24"/>
    </row>
    <row r="282" spans="1:20" x14ac:dyDescent="0.25">
      <c r="A282" s="2">
        <v>44994</v>
      </c>
      <c r="B282" s="20">
        <v>2580</v>
      </c>
      <c r="C282" s="20">
        <v>391</v>
      </c>
      <c r="D282" s="20">
        <v>10060</v>
      </c>
      <c r="E282" s="17" t="s">
        <v>92</v>
      </c>
      <c r="F282" s="17" t="s">
        <v>92</v>
      </c>
      <c r="G282" s="17" t="s">
        <v>92</v>
      </c>
      <c r="H282" s="17" t="s">
        <v>92</v>
      </c>
      <c r="I282" s="39"/>
      <c r="J282" s="42"/>
      <c r="K282" s="88"/>
      <c r="L282" s="42"/>
      <c r="M282" s="43"/>
      <c r="Q282" s="2"/>
      <c r="R282" s="24"/>
      <c r="S282" s="24"/>
      <c r="T282" s="24"/>
    </row>
    <row r="283" spans="1:20" x14ac:dyDescent="0.25">
      <c r="A283" s="2">
        <v>44993</v>
      </c>
      <c r="B283" s="20">
        <v>2620</v>
      </c>
      <c r="C283" s="29">
        <v>392.5</v>
      </c>
      <c r="D283" s="20">
        <v>10150</v>
      </c>
      <c r="E283" s="17" t="s">
        <v>92</v>
      </c>
      <c r="F283" s="17" t="s">
        <v>92</v>
      </c>
      <c r="G283" s="17" t="s">
        <v>92</v>
      </c>
      <c r="H283" s="17" t="s">
        <v>92</v>
      </c>
      <c r="I283" s="39"/>
      <c r="J283" s="42"/>
      <c r="K283" s="88"/>
      <c r="L283" s="42"/>
      <c r="M283" s="43"/>
      <c r="Q283" s="2"/>
      <c r="R283" s="24"/>
      <c r="S283" s="24"/>
      <c r="T283" s="24"/>
    </row>
    <row r="284" spans="1:20" x14ac:dyDescent="0.25">
      <c r="A284" s="2">
        <v>44992</v>
      </c>
      <c r="B284" s="20">
        <v>2634</v>
      </c>
      <c r="C284" s="20">
        <v>391</v>
      </c>
      <c r="D284" s="20">
        <v>10240</v>
      </c>
      <c r="E284" s="17" t="s">
        <v>92</v>
      </c>
      <c r="F284" s="17" t="s">
        <v>92</v>
      </c>
      <c r="G284" s="17" t="s">
        <v>92</v>
      </c>
      <c r="H284" s="17" t="s">
        <v>92</v>
      </c>
      <c r="I284" s="39"/>
      <c r="J284" s="42"/>
      <c r="K284" s="88"/>
      <c r="L284" s="42"/>
      <c r="M284" s="43"/>
      <c r="Q284" s="2"/>
      <c r="R284" s="24"/>
      <c r="S284" s="24"/>
      <c r="T284" s="24"/>
    </row>
    <row r="285" spans="1:20" x14ac:dyDescent="0.25">
      <c r="A285" s="2">
        <v>44991</v>
      </c>
      <c r="B285" s="20">
        <v>2690</v>
      </c>
      <c r="C285" s="20">
        <v>397</v>
      </c>
      <c r="D285" s="20">
        <v>10550</v>
      </c>
      <c r="E285" s="17" t="s">
        <v>92</v>
      </c>
      <c r="F285" s="17" t="s">
        <v>92</v>
      </c>
      <c r="G285" s="17" t="s">
        <v>92</v>
      </c>
      <c r="H285" s="17" t="s">
        <v>92</v>
      </c>
      <c r="I285" s="39"/>
      <c r="J285" s="42"/>
      <c r="K285" s="88"/>
      <c r="L285" s="42"/>
      <c r="M285" s="43"/>
      <c r="Q285" s="2"/>
      <c r="R285" s="24"/>
      <c r="S285" s="24"/>
      <c r="T285" s="24"/>
    </row>
    <row r="286" spans="1:20" x14ac:dyDescent="0.25">
      <c r="A286" s="2">
        <v>44988</v>
      </c>
      <c r="B286" s="20">
        <v>2662</v>
      </c>
      <c r="C286" s="29">
        <v>396.5</v>
      </c>
      <c r="D286" s="20">
        <v>10550</v>
      </c>
      <c r="E286" s="17" t="s">
        <v>92</v>
      </c>
      <c r="F286" s="17" t="s">
        <v>92</v>
      </c>
      <c r="G286" s="17" t="s">
        <v>92</v>
      </c>
      <c r="H286" s="17" t="s">
        <v>92</v>
      </c>
      <c r="I286" s="39"/>
      <c r="J286" s="42"/>
      <c r="K286" s="88"/>
      <c r="L286" s="42"/>
      <c r="M286" s="43"/>
      <c r="Q286" s="2"/>
      <c r="R286" s="24"/>
      <c r="S286" s="24"/>
      <c r="T286" s="24"/>
    </row>
    <row r="287" spans="1:20" x14ac:dyDescent="0.25">
      <c r="A287" s="2">
        <v>44987</v>
      </c>
      <c r="B287" s="20">
        <v>2672</v>
      </c>
      <c r="C287" s="20">
        <v>394</v>
      </c>
      <c r="D287" s="20">
        <v>10605</v>
      </c>
      <c r="E287" s="17" t="s">
        <v>92</v>
      </c>
      <c r="F287" s="17" t="s">
        <v>92</v>
      </c>
      <c r="G287" s="17" t="s">
        <v>92</v>
      </c>
      <c r="H287" s="17" t="s">
        <v>92</v>
      </c>
      <c r="I287" s="39"/>
      <c r="J287" s="42"/>
      <c r="K287" s="88"/>
      <c r="L287" s="42"/>
      <c r="M287" s="43"/>
      <c r="Q287" s="2"/>
      <c r="R287" s="24"/>
      <c r="S287" s="24"/>
      <c r="T287" s="24"/>
    </row>
    <row r="288" spans="1:20" x14ac:dyDescent="0.25">
      <c r="A288" s="2">
        <v>44986</v>
      </c>
      <c r="B288" s="20">
        <v>2714</v>
      </c>
      <c r="C288" s="20">
        <v>392</v>
      </c>
      <c r="D288" s="20">
        <v>10740</v>
      </c>
      <c r="E288" s="17" t="s">
        <v>92</v>
      </c>
      <c r="F288" s="17" t="s">
        <v>92</v>
      </c>
      <c r="G288" s="17" t="s">
        <v>92</v>
      </c>
      <c r="H288" s="17" t="s">
        <v>92</v>
      </c>
      <c r="I288" s="39"/>
      <c r="J288" s="42"/>
      <c r="K288" s="88"/>
      <c r="L288" s="42"/>
      <c r="M288" s="43"/>
      <c r="Q288" s="2"/>
      <c r="R288" s="24"/>
      <c r="S288" s="24"/>
      <c r="T288" s="24"/>
    </row>
    <row r="289" spans="1:20" x14ac:dyDescent="0.25">
      <c r="A289" s="2">
        <v>44985</v>
      </c>
      <c r="B289" s="20">
        <v>2722</v>
      </c>
      <c r="C289" s="20">
        <v>391</v>
      </c>
      <c r="D289" s="20">
        <v>10865</v>
      </c>
      <c r="E289" s="17" t="s">
        <v>92</v>
      </c>
      <c r="F289" s="17" t="s">
        <v>92</v>
      </c>
      <c r="G289" s="17" t="s">
        <v>92</v>
      </c>
      <c r="H289" s="17" t="s">
        <v>92</v>
      </c>
      <c r="I289" s="39"/>
      <c r="J289" s="42"/>
      <c r="K289" s="88"/>
      <c r="L289" s="42"/>
      <c r="M289" s="43"/>
      <c r="Q289" s="2"/>
      <c r="R289" s="24"/>
      <c r="S289" s="24"/>
      <c r="T289" s="24"/>
    </row>
    <row r="290" spans="1:20" x14ac:dyDescent="0.25">
      <c r="A290" s="2">
        <v>44984</v>
      </c>
      <c r="B290" s="20">
        <v>2788</v>
      </c>
      <c r="C290" s="20">
        <v>396</v>
      </c>
      <c r="D290" s="20">
        <v>10650</v>
      </c>
      <c r="E290" s="17" t="s">
        <v>92</v>
      </c>
      <c r="F290" s="17" t="s">
        <v>92</v>
      </c>
      <c r="G290" s="17" t="s">
        <v>92</v>
      </c>
      <c r="H290" s="17" t="s">
        <v>92</v>
      </c>
      <c r="I290" s="39"/>
      <c r="J290" s="42"/>
      <c r="K290" s="88"/>
      <c r="L290" s="42"/>
      <c r="M290" s="43"/>
      <c r="Q290" s="2"/>
      <c r="R290" s="24"/>
      <c r="S290" s="24"/>
      <c r="T290" s="24"/>
    </row>
    <row r="291" spans="1:20" x14ac:dyDescent="0.25">
      <c r="A291" s="2">
        <v>44981</v>
      </c>
      <c r="B291" s="20">
        <v>2778</v>
      </c>
      <c r="C291" s="20">
        <v>403</v>
      </c>
      <c r="D291" s="20">
        <v>10800</v>
      </c>
      <c r="E291" s="17" t="s">
        <v>92</v>
      </c>
      <c r="F291" s="17" t="s">
        <v>92</v>
      </c>
      <c r="G291" s="17" t="s">
        <v>92</v>
      </c>
      <c r="H291" s="17" t="s">
        <v>92</v>
      </c>
      <c r="I291" s="39"/>
      <c r="J291" s="42"/>
      <c r="K291" s="88"/>
      <c r="L291" s="42"/>
      <c r="M291" s="43"/>
      <c r="Q291" s="2"/>
      <c r="R291" s="24"/>
      <c r="S291" s="24"/>
      <c r="T291" s="24"/>
    </row>
    <row r="292" spans="1:20" x14ac:dyDescent="0.25">
      <c r="A292" s="2">
        <v>44980</v>
      </c>
      <c r="B292" s="20">
        <v>2778</v>
      </c>
      <c r="C292" s="20">
        <v>394</v>
      </c>
      <c r="D292" s="20">
        <v>10855</v>
      </c>
      <c r="E292" s="17" t="s">
        <v>92</v>
      </c>
      <c r="F292" s="17" t="s">
        <v>92</v>
      </c>
      <c r="G292" s="17" t="s">
        <v>92</v>
      </c>
      <c r="H292" s="17" t="s">
        <v>92</v>
      </c>
      <c r="I292" s="39"/>
      <c r="J292" s="42"/>
      <c r="K292" s="88"/>
      <c r="L292" s="42"/>
      <c r="M292" s="43"/>
      <c r="Q292" s="2"/>
      <c r="R292" s="24"/>
      <c r="S292" s="24"/>
      <c r="T292" s="24"/>
    </row>
    <row r="293" spans="1:20" x14ac:dyDescent="0.25">
      <c r="A293" s="2">
        <v>44979</v>
      </c>
      <c r="B293" s="20">
        <v>2704</v>
      </c>
      <c r="C293" s="20">
        <v>377</v>
      </c>
      <c r="D293" s="20">
        <v>10870</v>
      </c>
      <c r="E293" s="17" t="s">
        <v>92</v>
      </c>
      <c r="F293" s="17" t="s">
        <v>92</v>
      </c>
      <c r="G293" s="17" t="s">
        <v>92</v>
      </c>
      <c r="H293" s="17" t="s">
        <v>92</v>
      </c>
      <c r="I293" s="39"/>
      <c r="J293" s="42"/>
      <c r="K293" s="88"/>
      <c r="L293" s="42"/>
      <c r="M293" s="43"/>
      <c r="Q293" s="2"/>
      <c r="R293" s="24"/>
      <c r="S293" s="24"/>
      <c r="T293" s="24"/>
    </row>
    <row r="294" spans="1:20" x14ac:dyDescent="0.25">
      <c r="A294" s="2">
        <v>44978</v>
      </c>
      <c r="B294" s="20">
        <v>2722</v>
      </c>
      <c r="C294" s="20">
        <v>377</v>
      </c>
      <c r="D294" s="20">
        <v>10840</v>
      </c>
      <c r="E294" s="17" t="s">
        <v>92</v>
      </c>
      <c r="F294" s="17" t="s">
        <v>92</v>
      </c>
      <c r="G294" s="17" t="s">
        <v>92</v>
      </c>
      <c r="H294" s="17" t="s">
        <v>92</v>
      </c>
      <c r="I294" s="39"/>
      <c r="J294" s="42"/>
      <c r="K294" s="88"/>
      <c r="L294" s="42"/>
      <c r="M294" s="43"/>
      <c r="Q294" s="2"/>
      <c r="R294" s="24"/>
      <c r="S294" s="24"/>
      <c r="T294" s="24"/>
    </row>
    <row r="295" spans="1:20" x14ac:dyDescent="0.25">
      <c r="A295" s="2">
        <v>44977</v>
      </c>
      <c r="B295" s="20">
        <v>2700</v>
      </c>
      <c r="C295" s="20">
        <v>376</v>
      </c>
      <c r="D295" s="20">
        <v>10810</v>
      </c>
      <c r="E295" s="17" t="s">
        <v>92</v>
      </c>
      <c r="F295" s="17" t="s">
        <v>92</v>
      </c>
      <c r="G295" s="17" t="s">
        <v>92</v>
      </c>
      <c r="H295" s="17" t="s">
        <v>92</v>
      </c>
      <c r="I295" s="39"/>
      <c r="J295" s="42"/>
      <c r="K295" s="88"/>
      <c r="L295" s="42"/>
      <c r="M295" s="43"/>
      <c r="Q295" s="2"/>
      <c r="R295" s="24"/>
      <c r="S295" s="24"/>
      <c r="T295" s="24"/>
    </row>
    <row r="296" spans="1:20" x14ac:dyDescent="0.25">
      <c r="A296" s="2">
        <v>44974</v>
      </c>
      <c r="B296" s="20">
        <v>2748</v>
      </c>
      <c r="C296" s="29">
        <v>361.5</v>
      </c>
      <c r="D296" s="20">
        <v>10965</v>
      </c>
      <c r="E296" s="17" t="s">
        <v>92</v>
      </c>
      <c r="F296" s="17" t="s">
        <v>92</v>
      </c>
      <c r="G296" s="17" t="s">
        <v>92</v>
      </c>
      <c r="H296" s="17" t="s">
        <v>92</v>
      </c>
      <c r="I296" s="39"/>
      <c r="J296" s="42"/>
      <c r="K296" s="88"/>
      <c r="L296" s="42"/>
      <c r="M296" s="43"/>
      <c r="Q296" s="2"/>
      <c r="R296" s="24"/>
      <c r="S296" s="24"/>
      <c r="T296" s="24"/>
    </row>
    <row r="297" spans="1:20" x14ac:dyDescent="0.25">
      <c r="A297" s="2">
        <v>44973</v>
      </c>
      <c r="B297" s="20">
        <v>2792</v>
      </c>
      <c r="C297" s="20">
        <v>365</v>
      </c>
      <c r="D297" s="20">
        <v>11175</v>
      </c>
      <c r="E297" s="17" t="s">
        <v>92</v>
      </c>
      <c r="F297" s="17" t="s">
        <v>92</v>
      </c>
      <c r="G297" s="17" t="s">
        <v>92</v>
      </c>
      <c r="H297" s="17" t="s">
        <v>92</v>
      </c>
      <c r="I297" s="39"/>
      <c r="J297" s="42"/>
      <c r="K297" s="88"/>
      <c r="L297" s="42"/>
      <c r="M297" s="43"/>
      <c r="Q297" s="2"/>
      <c r="R297" s="24"/>
      <c r="S297" s="24"/>
      <c r="T297" s="24"/>
    </row>
    <row r="298" spans="1:20" x14ac:dyDescent="0.25">
      <c r="A298" s="2">
        <v>44972</v>
      </c>
      <c r="B298" s="20">
        <v>2796</v>
      </c>
      <c r="C298" s="29">
        <v>364.5</v>
      </c>
      <c r="D298" s="20">
        <v>11270</v>
      </c>
      <c r="E298" s="17" t="s">
        <v>92</v>
      </c>
      <c r="F298" s="17" t="s">
        <v>92</v>
      </c>
      <c r="G298" s="17" t="s">
        <v>92</v>
      </c>
      <c r="H298" s="17" t="s">
        <v>92</v>
      </c>
      <c r="I298" s="39"/>
      <c r="J298" s="42"/>
      <c r="K298" s="88"/>
      <c r="L298" s="42"/>
      <c r="M298" s="43"/>
      <c r="Q298" s="2"/>
      <c r="R298" s="24"/>
      <c r="S298" s="24"/>
      <c r="T298" s="24"/>
    </row>
    <row r="299" spans="1:20" x14ac:dyDescent="0.25">
      <c r="A299" s="2">
        <v>44971</v>
      </c>
      <c r="B299" s="20">
        <v>2804</v>
      </c>
      <c r="C299" s="29">
        <v>361.5</v>
      </c>
      <c r="D299" s="20">
        <v>11360</v>
      </c>
      <c r="E299" s="17" t="s">
        <v>92</v>
      </c>
      <c r="F299" s="17" t="s">
        <v>92</v>
      </c>
      <c r="G299" s="17" t="s">
        <v>92</v>
      </c>
      <c r="H299" s="17" t="s">
        <v>92</v>
      </c>
      <c r="I299" s="39"/>
      <c r="J299" s="42"/>
      <c r="K299" s="88"/>
      <c r="L299" s="42"/>
      <c r="M299" s="43"/>
      <c r="Q299" s="2"/>
      <c r="R299" s="24"/>
      <c r="S299" s="24"/>
      <c r="T299" s="24"/>
    </row>
    <row r="300" spans="1:20" x14ac:dyDescent="0.25">
      <c r="A300" s="2">
        <v>44970</v>
      </c>
      <c r="B300" s="20">
        <v>2820</v>
      </c>
      <c r="C300" s="20">
        <v>366</v>
      </c>
      <c r="D300" s="20">
        <v>11200</v>
      </c>
      <c r="E300" s="17" t="s">
        <v>92</v>
      </c>
      <c r="F300" s="17" t="s">
        <v>92</v>
      </c>
      <c r="G300" s="17" t="s">
        <v>92</v>
      </c>
      <c r="H300" s="17" t="s">
        <v>92</v>
      </c>
      <c r="I300" s="39"/>
      <c r="J300" s="42"/>
      <c r="K300" s="88"/>
      <c r="L300" s="42"/>
      <c r="M300" s="43"/>
      <c r="Q300" s="2"/>
      <c r="R300" s="24"/>
      <c r="S300" s="24"/>
      <c r="T300" s="24"/>
    </row>
    <row r="301" spans="1:20" x14ac:dyDescent="0.25">
      <c r="A301" s="2">
        <v>44967</v>
      </c>
      <c r="B301" s="20">
        <v>2796</v>
      </c>
      <c r="C301" s="20">
        <v>366</v>
      </c>
      <c r="D301" s="20">
        <v>11110</v>
      </c>
      <c r="E301" s="17" t="s">
        <v>92</v>
      </c>
      <c r="F301" s="17" t="s">
        <v>92</v>
      </c>
      <c r="G301" s="17" t="s">
        <v>92</v>
      </c>
      <c r="H301" s="17" t="s">
        <v>92</v>
      </c>
      <c r="I301" s="39"/>
      <c r="J301" s="42"/>
      <c r="K301" s="88"/>
      <c r="L301" s="42"/>
      <c r="M301" s="43"/>
      <c r="Q301" s="2"/>
      <c r="R301" s="24"/>
      <c r="S301" s="24"/>
      <c r="T301" s="24"/>
    </row>
    <row r="302" spans="1:20" x14ac:dyDescent="0.25">
      <c r="A302" s="2">
        <v>44966</v>
      </c>
      <c r="B302" s="20">
        <v>2764</v>
      </c>
      <c r="C302" s="20">
        <v>360</v>
      </c>
      <c r="D302" s="20">
        <v>11200</v>
      </c>
      <c r="E302" s="17" t="s">
        <v>92</v>
      </c>
      <c r="F302" s="17" t="s">
        <v>92</v>
      </c>
      <c r="G302" s="17" t="s">
        <v>92</v>
      </c>
      <c r="H302" s="17" t="s">
        <v>92</v>
      </c>
      <c r="I302" s="39"/>
      <c r="J302" s="42"/>
      <c r="K302" s="88"/>
      <c r="L302" s="42"/>
      <c r="M302" s="43"/>
      <c r="Q302" s="2"/>
      <c r="R302" s="24"/>
      <c r="S302" s="24"/>
      <c r="T302" s="24"/>
    </row>
    <row r="303" spans="1:20" x14ac:dyDescent="0.25">
      <c r="A303" s="2">
        <v>44965</v>
      </c>
      <c r="B303" s="20">
        <v>2762</v>
      </c>
      <c r="C303" s="20">
        <v>371</v>
      </c>
      <c r="D303" s="20">
        <v>10935</v>
      </c>
      <c r="E303" s="17" t="s">
        <v>92</v>
      </c>
      <c r="F303" s="17" t="s">
        <v>92</v>
      </c>
      <c r="G303" s="17" t="s">
        <v>92</v>
      </c>
      <c r="H303" s="17" t="s">
        <v>92</v>
      </c>
      <c r="I303" s="39"/>
      <c r="J303" s="42"/>
      <c r="K303" s="88"/>
      <c r="L303" s="42"/>
      <c r="M303" s="43"/>
      <c r="Q303" s="2"/>
      <c r="R303" s="24"/>
      <c r="S303" s="24"/>
      <c r="T303" s="24"/>
    </row>
    <row r="304" spans="1:20" x14ac:dyDescent="0.25">
      <c r="A304" s="2">
        <v>44964</v>
      </c>
      <c r="B304" s="20">
        <v>2736</v>
      </c>
      <c r="C304" s="20">
        <v>367</v>
      </c>
      <c r="D304" s="20">
        <v>10720</v>
      </c>
      <c r="E304" s="17" t="s">
        <v>92</v>
      </c>
      <c r="F304" s="17" t="s">
        <v>92</v>
      </c>
      <c r="G304" s="17" t="s">
        <v>92</v>
      </c>
      <c r="H304" s="17" t="s">
        <v>92</v>
      </c>
      <c r="I304" s="39"/>
      <c r="J304" s="42"/>
      <c r="K304" s="88"/>
      <c r="L304" s="42"/>
      <c r="M304" s="43"/>
      <c r="Q304" s="2"/>
      <c r="R304" s="24"/>
      <c r="S304" s="24"/>
      <c r="T304" s="24"/>
    </row>
    <row r="305" spans="1:20" x14ac:dyDescent="0.25">
      <c r="A305" s="2">
        <v>44963</v>
      </c>
      <c r="B305" s="20">
        <v>2682</v>
      </c>
      <c r="C305" s="29">
        <v>370.5</v>
      </c>
      <c r="D305" s="20">
        <v>10565</v>
      </c>
      <c r="E305" s="17" t="s">
        <v>92</v>
      </c>
      <c r="F305" s="17" t="s">
        <v>92</v>
      </c>
      <c r="G305" s="17" t="s">
        <v>92</v>
      </c>
      <c r="H305" s="17" t="s">
        <v>92</v>
      </c>
      <c r="I305" s="39"/>
      <c r="J305" s="42"/>
      <c r="K305" s="88"/>
      <c r="L305" s="42"/>
      <c r="M305" s="43"/>
      <c r="Q305" s="2"/>
      <c r="R305" s="24"/>
      <c r="S305" s="24"/>
      <c r="T305" s="24"/>
    </row>
    <row r="306" spans="1:20" x14ac:dyDescent="0.25">
      <c r="A306" s="2">
        <v>44960</v>
      </c>
      <c r="B306" s="20">
        <v>2740</v>
      </c>
      <c r="C306" s="20">
        <v>376</v>
      </c>
      <c r="D306" s="20">
        <v>10725</v>
      </c>
      <c r="E306" s="17" t="s">
        <v>92</v>
      </c>
      <c r="F306" s="17" t="s">
        <v>92</v>
      </c>
      <c r="G306" s="17" t="s">
        <v>92</v>
      </c>
      <c r="H306" s="17" t="s">
        <v>92</v>
      </c>
      <c r="I306" s="39"/>
      <c r="J306" s="42"/>
      <c r="K306" s="88"/>
      <c r="L306" s="42"/>
      <c r="M306" s="43"/>
      <c r="Q306" s="2"/>
      <c r="R306" s="24"/>
      <c r="S306" s="24"/>
      <c r="T306" s="24"/>
    </row>
    <row r="307" spans="1:20" x14ac:dyDescent="0.25">
      <c r="A307" s="2">
        <v>44959</v>
      </c>
      <c r="B307" s="20">
        <v>2750</v>
      </c>
      <c r="C307" s="29">
        <v>383.5</v>
      </c>
      <c r="D307" s="20">
        <v>10770</v>
      </c>
      <c r="E307" s="17" t="s">
        <v>92</v>
      </c>
      <c r="F307" s="17" t="s">
        <v>92</v>
      </c>
      <c r="G307" s="17" t="s">
        <v>92</v>
      </c>
      <c r="H307" s="17" t="s">
        <v>92</v>
      </c>
      <c r="I307" s="39"/>
      <c r="J307" s="42"/>
      <c r="K307" s="88"/>
      <c r="L307" s="42"/>
      <c r="M307" s="43"/>
      <c r="Q307" s="2"/>
      <c r="R307" s="24"/>
      <c r="S307" s="24"/>
      <c r="T307" s="24"/>
    </row>
    <row r="308" spans="1:20" x14ac:dyDescent="0.25">
      <c r="A308" s="2">
        <v>44958</v>
      </c>
      <c r="B308" s="20">
        <v>2710</v>
      </c>
      <c r="C308" s="29">
        <v>383.5</v>
      </c>
      <c r="D308" s="20">
        <v>10630</v>
      </c>
      <c r="E308" s="17" t="s">
        <v>92</v>
      </c>
      <c r="F308" s="17" t="s">
        <v>92</v>
      </c>
      <c r="G308" s="17" t="s">
        <v>92</v>
      </c>
      <c r="H308" s="17" t="s">
        <v>92</v>
      </c>
      <c r="I308" s="39"/>
      <c r="J308" s="42"/>
      <c r="K308" s="88"/>
      <c r="L308" s="42"/>
      <c r="M308" s="43"/>
      <c r="Q308" s="2"/>
      <c r="R308" s="24"/>
      <c r="S308" s="24"/>
      <c r="T308" s="24"/>
    </row>
    <row r="309" spans="1:20" x14ac:dyDescent="0.25">
      <c r="A309" s="2">
        <v>44957</v>
      </c>
      <c r="B309" s="20">
        <v>2682</v>
      </c>
      <c r="C309" s="20">
        <v>382</v>
      </c>
      <c r="D309" s="20">
        <v>10825</v>
      </c>
      <c r="E309" s="17" t="s">
        <v>92</v>
      </c>
      <c r="F309" s="17" t="s">
        <v>92</v>
      </c>
      <c r="G309" s="17" t="s">
        <v>92</v>
      </c>
      <c r="H309" s="17" t="s">
        <v>92</v>
      </c>
      <c r="I309" s="39"/>
      <c r="J309" s="42"/>
      <c r="K309" s="88"/>
      <c r="L309" s="42"/>
      <c r="M309" s="43"/>
      <c r="Q309" s="2"/>
      <c r="R309" s="24"/>
      <c r="S309" s="24"/>
      <c r="T309" s="24"/>
    </row>
    <row r="310" spans="1:20" x14ac:dyDescent="0.25">
      <c r="A310" s="2">
        <v>44956</v>
      </c>
      <c r="B310" s="20">
        <v>2702</v>
      </c>
      <c r="C310" s="29">
        <v>371.5</v>
      </c>
      <c r="D310" s="20">
        <v>11000</v>
      </c>
      <c r="E310" s="17" t="s">
        <v>92</v>
      </c>
      <c r="F310" s="17" t="s">
        <v>92</v>
      </c>
      <c r="G310" s="17" t="s">
        <v>92</v>
      </c>
      <c r="H310" s="17" t="s">
        <v>92</v>
      </c>
      <c r="I310" s="39"/>
      <c r="J310" s="42"/>
      <c r="K310" s="88"/>
      <c r="L310" s="42"/>
      <c r="M310" s="43"/>
      <c r="Q310" s="2"/>
      <c r="R310" s="24"/>
      <c r="S310" s="24"/>
      <c r="T310" s="24"/>
    </row>
    <row r="311" spans="1:20" x14ac:dyDescent="0.25">
      <c r="A311" s="2">
        <v>44953</v>
      </c>
      <c r="B311" s="20">
        <v>2788</v>
      </c>
      <c r="C311" s="20">
        <v>370</v>
      </c>
      <c r="D311" s="20">
        <v>11250</v>
      </c>
      <c r="E311" s="17" t="s">
        <v>92</v>
      </c>
      <c r="F311" s="17" t="s">
        <v>92</v>
      </c>
      <c r="G311" s="17" t="s">
        <v>92</v>
      </c>
      <c r="H311" s="17" t="s">
        <v>92</v>
      </c>
      <c r="I311" s="39"/>
      <c r="J311" s="42"/>
      <c r="K311" s="88"/>
      <c r="L311" s="42"/>
      <c r="M311" s="43"/>
      <c r="Q311" s="2"/>
      <c r="R311" s="24"/>
      <c r="S311" s="24"/>
      <c r="T311" s="24"/>
    </row>
    <row r="312" spans="1:20" x14ac:dyDescent="0.25">
      <c r="A312" s="2">
        <v>44952</v>
      </c>
      <c r="B312" s="20">
        <v>2748</v>
      </c>
      <c r="C312" s="20">
        <v>378</v>
      </c>
      <c r="D312" s="20">
        <v>11400</v>
      </c>
      <c r="E312" s="17" t="s">
        <v>92</v>
      </c>
      <c r="F312" s="17" t="s">
        <v>92</v>
      </c>
      <c r="G312" s="17" t="s">
        <v>92</v>
      </c>
      <c r="H312" s="17" t="s">
        <v>92</v>
      </c>
      <c r="I312" s="39"/>
      <c r="J312" s="42"/>
      <c r="K312" s="88"/>
      <c r="L312" s="42"/>
      <c r="M312" s="43"/>
      <c r="Q312" s="2"/>
      <c r="R312" s="24"/>
      <c r="S312" s="24"/>
      <c r="T312" s="24"/>
    </row>
    <row r="313" spans="1:20" x14ac:dyDescent="0.25">
      <c r="A313" s="2">
        <v>44951</v>
      </c>
      <c r="B313" s="20">
        <v>2670</v>
      </c>
      <c r="C313" s="20">
        <v>380</v>
      </c>
      <c r="D313" s="20">
        <v>11250</v>
      </c>
      <c r="E313" s="17" t="s">
        <v>92</v>
      </c>
      <c r="F313" s="17" t="s">
        <v>92</v>
      </c>
      <c r="G313" s="17" t="s">
        <v>92</v>
      </c>
      <c r="H313" s="17" t="s">
        <v>92</v>
      </c>
      <c r="I313" s="39"/>
      <c r="J313" s="42"/>
      <c r="K313" s="88"/>
      <c r="L313" s="42"/>
      <c r="M313" s="43"/>
      <c r="Q313" s="2"/>
      <c r="R313" s="24"/>
      <c r="S313" s="24"/>
      <c r="T313" s="24"/>
    </row>
    <row r="314" spans="1:20" x14ac:dyDescent="0.25">
      <c r="A314" s="2">
        <v>44950</v>
      </c>
      <c r="B314" s="20">
        <v>2658</v>
      </c>
      <c r="C314" s="20">
        <v>383</v>
      </c>
      <c r="D314" s="20">
        <v>11550</v>
      </c>
      <c r="E314" s="17" t="s">
        <v>92</v>
      </c>
      <c r="F314" s="17" t="s">
        <v>92</v>
      </c>
      <c r="G314" s="17" t="s">
        <v>92</v>
      </c>
      <c r="H314" s="17" t="s">
        <v>92</v>
      </c>
      <c r="I314" s="39"/>
      <c r="J314" s="42"/>
      <c r="K314" s="88"/>
      <c r="L314" s="42"/>
      <c r="M314" s="43"/>
      <c r="Q314" s="2"/>
      <c r="R314" s="24"/>
      <c r="S314" s="24"/>
      <c r="T314" s="24"/>
    </row>
    <row r="315" spans="1:20" x14ac:dyDescent="0.25">
      <c r="A315" s="2">
        <v>44949</v>
      </c>
      <c r="B315" s="20">
        <v>2676</v>
      </c>
      <c r="C315" s="20">
        <v>375</v>
      </c>
      <c r="D315" s="20">
        <v>11500</v>
      </c>
      <c r="E315" s="17" t="s">
        <v>92</v>
      </c>
      <c r="F315" s="17" t="s">
        <v>92</v>
      </c>
      <c r="G315" s="17" t="s">
        <v>92</v>
      </c>
      <c r="H315" s="17" t="s">
        <v>92</v>
      </c>
      <c r="I315" s="39"/>
      <c r="J315" s="42"/>
      <c r="K315" s="88"/>
      <c r="L315" s="42"/>
      <c r="M315" s="43"/>
      <c r="Q315" s="2"/>
      <c r="R315" s="24"/>
      <c r="S315" s="24"/>
      <c r="T315" s="24"/>
    </row>
    <row r="316" spans="1:20" x14ac:dyDescent="0.25">
      <c r="A316" s="2">
        <v>44946</v>
      </c>
      <c r="B316" s="20">
        <v>2690</v>
      </c>
      <c r="C316" s="20">
        <v>374</v>
      </c>
      <c r="D316" s="20">
        <v>11370</v>
      </c>
      <c r="E316" s="17" t="s">
        <v>92</v>
      </c>
      <c r="F316" s="17" t="s">
        <v>92</v>
      </c>
      <c r="G316" s="17" t="s">
        <v>92</v>
      </c>
      <c r="H316" s="17" t="s">
        <v>92</v>
      </c>
      <c r="I316" s="39"/>
      <c r="J316" s="42"/>
      <c r="K316" s="88"/>
      <c r="L316" s="42"/>
      <c r="M316" s="43"/>
      <c r="Q316" s="2"/>
      <c r="R316" s="24"/>
      <c r="S316" s="24"/>
      <c r="T316" s="24"/>
    </row>
    <row r="317" spans="1:20" x14ac:dyDescent="0.25">
      <c r="A317" s="2">
        <v>44945</v>
      </c>
      <c r="B317" s="20">
        <v>2700</v>
      </c>
      <c r="C317" s="20">
        <v>381</v>
      </c>
      <c r="D317" s="20">
        <v>11395</v>
      </c>
      <c r="E317" s="17" t="s">
        <v>92</v>
      </c>
      <c r="F317" s="17" t="s">
        <v>92</v>
      </c>
      <c r="G317" s="17" t="s">
        <v>92</v>
      </c>
      <c r="H317" s="17" t="s">
        <v>92</v>
      </c>
      <c r="I317" s="39"/>
      <c r="J317" s="42"/>
      <c r="K317" s="88"/>
      <c r="L317" s="42"/>
      <c r="M317" s="43"/>
      <c r="Q317" s="2"/>
      <c r="R317" s="24"/>
      <c r="S317" s="24"/>
      <c r="T317" s="24"/>
    </row>
    <row r="318" spans="1:20" x14ac:dyDescent="0.25">
      <c r="A318" s="2">
        <v>44944</v>
      </c>
      <c r="B318" s="20">
        <v>2688</v>
      </c>
      <c r="C318" s="20">
        <v>369</v>
      </c>
      <c r="D318" s="20">
        <v>11465</v>
      </c>
      <c r="E318" s="17" t="s">
        <v>92</v>
      </c>
      <c r="F318" s="17" t="s">
        <v>92</v>
      </c>
      <c r="G318" s="17" t="s">
        <v>92</v>
      </c>
      <c r="H318" s="17" t="s">
        <v>92</v>
      </c>
      <c r="I318" s="39"/>
      <c r="J318" s="42"/>
      <c r="K318" s="88"/>
      <c r="L318" s="42"/>
      <c r="M318" s="43"/>
      <c r="Q318" s="2"/>
      <c r="R318" s="24"/>
      <c r="S318" s="24"/>
      <c r="T318" s="24"/>
    </row>
    <row r="319" spans="1:20" x14ac:dyDescent="0.25">
      <c r="A319" s="2">
        <v>44943</v>
      </c>
      <c r="B319" s="20">
        <v>2686</v>
      </c>
      <c r="C319" s="20">
        <v>371</v>
      </c>
      <c r="D319" s="20">
        <v>11155</v>
      </c>
      <c r="E319" s="17" t="s">
        <v>92</v>
      </c>
      <c r="F319" s="17" t="s">
        <v>92</v>
      </c>
      <c r="G319" s="17" t="s">
        <v>92</v>
      </c>
      <c r="H319" s="17" t="s">
        <v>92</v>
      </c>
      <c r="I319" s="39"/>
      <c r="J319" s="42"/>
      <c r="K319" s="88"/>
      <c r="L319" s="42"/>
      <c r="M319" s="43"/>
      <c r="Q319" s="2"/>
      <c r="R319" s="24"/>
      <c r="S319" s="24"/>
      <c r="T319" s="24"/>
    </row>
    <row r="320" spans="1:20" x14ac:dyDescent="0.25">
      <c r="A320" s="2">
        <v>44942</v>
      </c>
      <c r="B320" s="20">
        <v>2708</v>
      </c>
      <c r="C320" s="20">
        <v>366</v>
      </c>
      <c r="D320" s="20">
        <v>11190</v>
      </c>
      <c r="E320" s="17" t="s">
        <v>92</v>
      </c>
      <c r="F320" s="17" t="s">
        <v>92</v>
      </c>
      <c r="G320" s="17" t="s">
        <v>92</v>
      </c>
      <c r="H320" s="17" t="s">
        <v>92</v>
      </c>
      <c r="I320" s="39"/>
      <c r="J320" s="42"/>
      <c r="K320" s="88"/>
      <c r="L320" s="42"/>
      <c r="M320" s="43"/>
      <c r="Q320" s="2"/>
      <c r="R320" s="24"/>
      <c r="S320" s="24"/>
      <c r="T320" s="24"/>
    </row>
    <row r="321" spans="1:20" x14ac:dyDescent="0.25">
      <c r="A321" s="2">
        <v>44939</v>
      </c>
      <c r="B321" s="20">
        <v>2688</v>
      </c>
      <c r="C321" s="20">
        <v>364</v>
      </c>
      <c r="D321" s="20">
        <v>11000</v>
      </c>
      <c r="E321" s="17" t="s">
        <v>92</v>
      </c>
      <c r="F321" s="17" t="s">
        <v>92</v>
      </c>
      <c r="G321" s="17" t="s">
        <v>92</v>
      </c>
      <c r="H321" s="17" t="s">
        <v>92</v>
      </c>
      <c r="I321" s="39"/>
      <c r="J321" s="42"/>
      <c r="K321" s="88"/>
      <c r="L321" s="42"/>
      <c r="M321" s="43"/>
      <c r="Q321" s="2"/>
      <c r="R321" s="24"/>
      <c r="S321" s="24"/>
      <c r="T321" s="24"/>
    </row>
    <row r="322" spans="1:20" x14ac:dyDescent="0.25">
      <c r="A322" s="2">
        <v>44938</v>
      </c>
      <c r="B322" s="20">
        <v>2690</v>
      </c>
      <c r="C322" s="20">
        <v>367</v>
      </c>
      <c r="D322" s="20">
        <v>11070</v>
      </c>
      <c r="E322" s="17" t="s">
        <v>92</v>
      </c>
      <c r="F322" s="17" t="s">
        <v>92</v>
      </c>
      <c r="G322" s="17" t="s">
        <v>92</v>
      </c>
      <c r="H322" s="17" t="s">
        <v>92</v>
      </c>
      <c r="I322" s="39"/>
      <c r="J322" s="42"/>
      <c r="K322" s="88"/>
      <c r="L322" s="42"/>
      <c r="M322" s="43"/>
      <c r="Q322" s="2"/>
      <c r="R322" s="24"/>
      <c r="S322" s="24"/>
      <c r="T322" s="24"/>
    </row>
    <row r="323" spans="1:20" x14ac:dyDescent="0.25">
      <c r="A323" s="2">
        <v>44937</v>
      </c>
      <c r="B323" s="20">
        <v>2702</v>
      </c>
      <c r="C323" s="20">
        <v>362</v>
      </c>
      <c r="D323" s="20">
        <v>11020</v>
      </c>
      <c r="E323" s="17" t="s">
        <v>92</v>
      </c>
      <c r="F323" s="17" t="s">
        <v>92</v>
      </c>
      <c r="G323" s="17" t="s">
        <v>92</v>
      </c>
      <c r="H323" s="17" t="s">
        <v>92</v>
      </c>
      <c r="I323" s="39"/>
      <c r="J323" s="42"/>
      <c r="K323" s="88"/>
      <c r="L323" s="42"/>
      <c r="M323" s="43"/>
      <c r="Q323" s="2"/>
      <c r="R323" s="24"/>
      <c r="S323" s="24"/>
      <c r="T323" s="24"/>
    </row>
    <row r="324" spans="1:20" x14ac:dyDescent="0.25">
      <c r="A324" s="2">
        <v>44936</v>
      </c>
      <c r="B324" s="20">
        <v>2680</v>
      </c>
      <c r="C324" s="20">
        <v>362</v>
      </c>
      <c r="D324" s="20">
        <v>10920</v>
      </c>
      <c r="E324" s="17" t="s">
        <v>92</v>
      </c>
      <c r="F324" s="17" t="s">
        <v>92</v>
      </c>
      <c r="G324" s="17" t="s">
        <v>92</v>
      </c>
      <c r="H324" s="17" t="s">
        <v>92</v>
      </c>
      <c r="I324" s="39"/>
      <c r="J324" s="42"/>
      <c r="K324" s="88"/>
      <c r="L324" s="42"/>
      <c r="M324" s="43"/>
      <c r="Q324" s="2"/>
      <c r="R324" s="24"/>
      <c r="S324" s="24"/>
      <c r="T324" s="24"/>
    </row>
    <row r="325" spans="1:20" x14ac:dyDescent="0.25">
      <c r="A325" s="2">
        <v>44935</v>
      </c>
      <c r="B325" s="20">
        <v>2678</v>
      </c>
      <c r="C325" s="20">
        <v>360</v>
      </c>
      <c r="D325" s="20">
        <v>10895</v>
      </c>
      <c r="E325" s="17" t="s">
        <v>92</v>
      </c>
      <c r="F325" s="17" t="s">
        <v>92</v>
      </c>
      <c r="G325" s="17" t="s">
        <v>92</v>
      </c>
      <c r="H325" s="17" t="s">
        <v>92</v>
      </c>
      <c r="I325" s="39"/>
      <c r="J325" s="42"/>
      <c r="K325" s="88"/>
      <c r="L325" s="42"/>
      <c r="M325" s="43"/>
      <c r="Q325" s="2"/>
      <c r="R325" s="24"/>
      <c r="S325" s="24"/>
      <c r="T325" s="24"/>
    </row>
    <row r="326" spans="1:20" x14ac:dyDescent="0.25">
      <c r="A326" s="2">
        <v>44932</v>
      </c>
      <c r="B326" s="20">
        <v>2648</v>
      </c>
      <c r="C326" s="20">
        <v>355</v>
      </c>
      <c r="D326" s="20">
        <v>10775</v>
      </c>
      <c r="E326" s="17" t="s">
        <v>92</v>
      </c>
      <c r="F326" s="17" t="s">
        <v>92</v>
      </c>
      <c r="G326" s="17" t="s">
        <v>92</v>
      </c>
      <c r="H326" s="17" t="s">
        <v>92</v>
      </c>
      <c r="I326" s="39"/>
      <c r="J326" s="42"/>
      <c r="K326" s="88"/>
      <c r="L326" s="42"/>
      <c r="M326" s="43"/>
      <c r="Q326" s="2"/>
      <c r="R326" s="24"/>
      <c r="S326" s="24"/>
      <c r="T326" s="24"/>
    </row>
    <row r="327" spans="1:20" x14ac:dyDescent="0.25">
      <c r="A327" s="2">
        <v>44931</v>
      </c>
      <c r="B327" s="20">
        <v>2618</v>
      </c>
      <c r="C327" s="20">
        <v>348</v>
      </c>
      <c r="D327" s="20">
        <v>10785</v>
      </c>
      <c r="E327" s="17" t="s">
        <v>92</v>
      </c>
      <c r="F327" s="17" t="s">
        <v>92</v>
      </c>
      <c r="G327" s="17" t="s">
        <v>92</v>
      </c>
      <c r="H327" s="17" t="s">
        <v>92</v>
      </c>
      <c r="I327" s="39"/>
      <c r="J327" s="42"/>
      <c r="K327" s="88"/>
      <c r="L327" s="42"/>
      <c r="M327" s="43"/>
      <c r="Q327" s="2"/>
      <c r="R327" s="24"/>
      <c r="S327" s="24"/>
      <c r="T327" s="24"/>
    </row>
    <row r="328" spans="1:20" x14ac:dyDescent="0.25">
      <c r="A328" s="2">
        <v>44930</v>
      </c>
      <c r="B328" s="20">
        <v>2612</v>
      </c>
      <c r="C328" s="29">
        <v>343.5</v>
      </c>
      <c r="D328" s="20">
        <v>10680</v>
      </c>
      <c r="E328" s="17" t="s">
        <v>92</v>
      </c>
      <c r="F328" s="17" t="s">
        <v>92</v>
      </c>
      <c r="G328" s="17" t="s">
        <v>92</v>
      </c>
      <c r="H328" s="17" t="s">
        <v>92</v>
      </c>
      <c r="I328" s="39"/>
      <c r="J328" s="42"/>
      <c r="K328" s="88"/>
      <c r="L328" s="42"/>
      <c r="M328" s="43"/>
      <c r="Q328" s="2"/>
      <c r="R328" s="24"/>
      <c r="S328" s="24"/>
      <c r="T328" s="24"/>
    </row>
    <row r="329" spans="1:20" x14ac:dyDescent="0.25">
      <c r="A329" s="2">
        <v>44929</v>
      </c>
      <c r="B329" s="20">
        <v>2650</v>
      </c>
      <c r="C329" s="20">
        <v>345</v>
      </c>
      <c r="D329" s="20">
        <v>10430</v>
      </c>
      <c r="E329" s="17" t="s">
        <v>92</v>
      </c>
      <c r="F329" s="17" t="s">
        <v>92</v>
      </c>
      <c r="G329" s="17" t="s">
        <v>92</v>
      </c>
      <c r="H329" s="17" t="s">
        <v>92</v>
      </c>
      <c r="I329" s="39"/>
      <c r="J329" s="42"/>
      <c r="K329" s="88"/>
      <c r="L329" s="42"/>
      <c r="M329" s="43"/>
      <c r="Q329" s="2"/>
      <c r="R329" s="24"/>
      <c r="S329" s="24"/>
      <c r="T329" s="24"/>
    </row>
    <row r="330" spans="1:20" x14ac:dyDescent="0.25">
      <c r="A330" s="2">
        <v>44928</v>
      </c>
      <c r="B330" s="20">
        <v>2608</v>
      </c>
      <c r="C330" s="20">
        <v>337</v>
      </c>
      <c r="D330" s="20">
        <v>10090</v>
      </c>
      <c r="E330" s="17" t="s">
        <v>92</v>
      </c>
      <c r="F330" s="17" t="s">
        <v>92</v>
      </c>
      <c r="G330" s="17" t="s">
        <v>92</v>
      </c>
      <c r="H330" s="17" t="s">
        <v>92</v>
      </c>
      <c r="I330" s="39"/>
      <c r="J330" s="42"/>
      <c r="K330" s="88"/>
      <c r="L330" s="42"/>
      <c r="M330" s="43"/>
      <c r="Q330" s="2"/>
      <c r="R330" s="24"/>
      <c r="S330" s="24"/>
      <c r="T330" s="24"/>
    </row>
    <row r="331" spans="1:20" x14ac:dyDescent="0.25">
      <c r="A331" s="2">
        <v>44925</v>
      </c>
      <c r="B331" s="20">
        <v>2602</v>
      </c>
      <c r="C331" s="20">
        <v>339</v>
      </c>
      <c r="D331" s="20">
        <v>10110</v>
      </c>
      <c r="E331" s="17" t="s">
        <v>92</v>
      </c>
      <c r="F331" s="17" t="s">
        <v>92</v>
      </c>
      <c r="G331" s="17" t="s">
        <v>92</v>
      </c>
      <c r="H331" s="17" t="s">
        <v>92</v>
      </c>
      <c r="I331" s="39"/>
      <c r="J331" s="42"/>
      <c r="K331" s="88"/>
      <c r="L331" s="42"/>
      <c r="M331" s="43"/>
      <c r="Q331" s="2"/>
      <c r="R331" s="24"/>
      <c r="S331" s="24"/>
      <c r="T331" s="24"/>
    </row>
    <row r="332" spans="1:20" x14ac:dyDescent="0.25">
      <c r="A332" s="2">
        <v>44924</v>
      </c>
      <c r="B332" s="20">
        <v>2630</v>
      </c>
      <c r="C332" s="20">
        <v>338</v>
      </c>
      <c r="D332" s="20">
        <v>10180</v>
      </c>
      <c r="E332" s="17" t="s">
        <v>92</v>
      </c>
      <c r="F332" s="17" t="s">
        <v>92</v>
      </c>
      <c r="G332" s="17" t="s">
        <v>92</v>
      </c>
      <c r="H332" s="17" t="s">
        <v>92</v>
      </c>
      <c r="I332" s="39"/>
      <c r="J332" s="42"/>
      <c r="K332" s="88"/>
      <c r="L332" s="42"/>
      <c r="M332" s="43"/>
      <c r="Q332" s="2"/>
      <c r="R332" s="24"/>
      <c r="S332" s="24"/>
      <c r="T332" s="24"/>
    </row>
    <row r="333" spans="1:20" x14ac:dyDescent="0.25">
      <c r="A333" s="2">
        <v>44923</v>
      </c>
      <c r="B333" s="20">
        <v>2616</v>
      </c>
      <c r="C333" s="20">
        <v>345</v>
      </c>
      <c r="D333" s="20">
        <v>10280</v>
      </c>
      <c r="E333" s="17" t="s">
        <v>92</v>
      </c>
      <c r="F333" s="17" t="s">
        <v>92</v>
      </c>
      <c r="G333" s="17" t="s">
        <v>92</v>
      </c>
      <c r="H333" s="17" t="s">
        <v>92</v>
      </c>
      <c r="I333" s="39"/>
      <c r="J333" s="42"/>
      <c r="K333" s="88"/>
      <c r="L333" s="42"/>
      <c r="M333" s="43"/>
      <c r="Q333" s="2"/>
      <c r="R333" s="24"/>
      <c r="S333" s="24"/>
      <c r="T333" s="24"/>
    </row>
    <row r="334" spans="1:20" x14ac:dyDescent="0.25">
      <c r="A334" s="2">
        <v>44922</v>
      </c>
      <c r="B334" s="20">
        <v>2632</v>
      </c>
      <c r="C334" s="20">
        <v>345</v>
      </c>
      <c r="D334" s="20">
        <v>10295</v>
      </c>
      <c r="E334" s="17" t="s">
        <v>92</v>
      </c>
      <c r="F334" s="17" t="s">
        <v>92</v>
      </c>
      <c r="G334" s="17" t="s">
        <v>92</v>
      </c>
      <c r="H334" s="17" t="s">
        <v>92</v>
      </c>
      <c r="I334" s="39"/>
      <c r="J334" s="42"/>
      <c r="K334" s="88"/>
      <c r="L334" s="42"/>
      <c r="M334" s="43"/>
      <c r="Q334" s="2"/>
      <c r="R334" s="24"/>
      <c r="S334" s="24"/>
      <c r="T334" s="24"/>
    </row>
    <row r="335" spans="1:20" x14ac:dyDescent="0.25">
      <c r="A335" s="2">
        <v>44918</v>
      </c>
      <c r="B335" s="20">
        <v>2640</v>
      </c>
      <c r="C335" s="29">
        <v>347.5</v>
      </c>
      <c r="D335" s="20">
        <v>10300</v>
      </c>
      <c r="E335" s="17" t="s">
        <v>92</v>
      </c>
      <c r="F335" s="17" t="s">
        <v>92</v>
      </c>
      <c r="G335" s="17" t="s">
        <v>92</v>
      </c>
      <c r="H335" s="17" t="s">
        <v>92</v>
      </c>
      <c r="I335" s="39"/>
      <c r="J335" s="42"/>
      <c r="K335" s="88"/>
      <c r="L335" s="42"/>
      <c r="M335" s="43"/>
      <c r="Q335" s="2"/>
      <c r="R335" s="24"/>
      <c r="S335" s="24"/>
      <c r="T335" s="24"/>
    </row>
    <row r="336" spans="1:20" x14ac:dyDescent="0.25">
      <c r="A336" s="2">
        <v>44917</v>
      </c>
      <c r="B336" s="20">
        <v>2640</v>
      </c>
      <c r="C336" s="20">
        <v>352</v>
      </c>
      <c r="D336" s="20">
        <v>10440</v>
      </c>
      <c r="E336" s="17" t="s">
        <v>92</v>
      </c>
      <c r="F336" s="17" t="s">
        <v>92</v>
      </c>
      <c r="G336" s="17" t="s">
        <v>92</v>
      </c>
      <c r="H336" s="17" t="s">
        <v>92</v>
      </c>
      <c r="I336" s="39"/>
      <c r="J336" s="42"/>
      <c r="K336" s="88"/>
      <c r="L336" s="42"/>
      <c r="M336" s="43"/>
      <c r="Q336" s="2"/>
      <c r="R336" s="24"/>
      <c r="S336" s="24"/>
      <c r="T336" s="24"/>
    </row>
    <row r="337" spans="1:20" x14ac:dyDescent="0.25">
      <c r="A337" s="2">
        <v>44916</v>
      </c>
      <c r="B337" s="20">
        <v>2632</v>
      </c>
      <c r="C337" s="20">
        <v>348</v>
      </c>
      <c r="D337" s="20">
        <v>10425</v>
      </c>
      <c r="E337" s="17" t="s">
        <v>92</v>
      </c>
      <c r="F337" s="17" t="s">
        <v>92</v>
      </c>
      <c r="G337" s="17" t="s">
        <v>92</v>
      </c>
      <c r="H337" s="17" t="s">
        <v>92</v>
      </c>
      <c r="I337" s="39"/>
      <c r="J337" s="42"/>
      <c r="K337" s="88"/>
      <c r="L337" s="42"/>
      <c r="M337" s="43"/>
      <c r="Q337" s="2"/>
      <c r="R337" s="24"/>
      <c r="S337" s="24"/>
      <c r="T337" s="24"/>
    </row>
    <row r="338" spans="1:20" x14ac:dyDescent="0.25">
      <c r="A338" s="2">
        <v>44915</v>
      </c>
      <c r="B338" s="20">
        <v>2648</v>
      </c>
      <c r="C338" s="20">
        <v>340</v>
      </c>
      <c r="D338" s="20">
        <v>10350</v>
      </c>
      <c r="E338" s="17" t="s">
        <v>92</v>
      </c>
      <c r="F338" s="17" t="s">
        <v>92</v>
      </c>
      <c r="G338" s="17" t="s">
        <v>92</v>
      </c>
      <c r="H338" s="17" t="s">
        <v>92</v>
      </c>
      <c r="I338" s="39"/>
      <c r="J338" s="42"/>
      <c r="K338" s="88"/>
      <c r="L338" s="42"/>
      <c r="M338" s="43"/>
      <c r="Q338" s="2"/>
      <c r="R338" s="24"/>
      <c r="S338" s="24"/>
      <c r="T338" s="24"/>
    </row>
    <row r="339" spans="1:20" x14ac:dyDescent="0.25">
      <c r="A339" s="2">
        <v>44914</v>
      </c>
      <c r="B339" s="20">
        <v>2644</v>
      </c>
      <c r="C339" s="20">
        <v>339</v>
      </c>
      <c r="D339" s="20">
        <v>10285</v>
      </c>
      <c r="E339" s="17" t="s">
        <v>92</v>
      </c>
      <c r="F339" s="17" t="s">
        <v>92</v>
      </c>
      <c r="G339" s="17" t="s">
        <v>92</v>
      </c>
      <c r="H339" s="17" t="s">
        <v>92</v>
      </c>
      <c r="I339" s="39"/>
      <c r="J339" s="42"/>
      <c r="K339" s="88"/>
      <c r="L339" s="42"/>
      <c r="M339" s="43"/>
      <c r="Q339" s="2"/>
      <c r="R339" s="24"/>
      <c r="S339" s="24"/>
      <c r="T339" s="24"/>
    </row>
    <row r="340" spans="1:20" x14ac:dyDescent="0.25">
      <c r="A340" s="2">
        <v>44911</v>
      </c>
      <c r="B340" s="20">
        <v>2616</v>
      </c>
      <c r="C340" s="20">
        <v>332</v>
      </c>
      <c r="D340" s="20">
        <v>10390</v>
      </c>
      <c r="E340" s="17" t="s">
        <v>92</v>
      </c>
      <c r="F340" s="17" t="s">
        <v>92</v>
      </c>
      <c r="G340" s="17" t="s">
        <v>92</v>
      </c>
      <c r="H340" s="17" t="s">
        <v>92</v>
      </c>
      <c r="I340" s="39"/>
      <c r="J340" s="42"/>
      <c r="K340" s="88"/>
      <c r="L340" s="42"/>
      <c r="M340" s="43"/>
      <c r="Q340" s="2"/>
      <c r="R340" s="24"/>
      <c r="S340" s="24"/>
      <c r="T340" s="24"/>
    </row>
    <row r="341" spans="1:20" x14ac:dyDescent="0.25">
      <c r="A341" s="2">
        <v>44910</v>
      </c>
      <c r="B341" s="20">
        <v>2608</v>
      </c>
      <c r="C341" s="20">
        <v>344</v>
      </c>
      <c r="D341" s="20">
        <v>10200</v>
      </c>
      <c r="E341" s="17" t="s">
        <v>92</v>
      </c>
      <c r="F341" s="17" t="s">
        <v>92</v>
      </c>
      <c r="G341" s="17" t="s">
        <v>92</v>
      </c>
      <c r="H341" s="17" t="s">
        <v>92</v>
      </c>
      <c r="I341" s="39"/>
      <c r="J341" s="42"/>
      <c r="K341" s="88"/>
      <c r="L341" s="42"/>
      <c r="M341" s="43"/>
      <c r="Q341" s="2"/>
      <c r="R341" s="24"/>
      <c r="S341" s="24"/>
      <c r="T341" s="24"/>
    </row>
    <row r="342" spans="1:20" x14ac:dyDescent="0.25">
      <c r="A342" s="2">
        <v>44909</v>
      </c>
      <c r="B342" s="20">
        <v>2642</v>
      </c>
      <c r="C342" s="20">
        <v>339</v>
      </c>
      <c r="D342" s="20">
        <v>10255</v>
      </c>
      <c r="E342" s="17" t="s">
        <v>92</v>
      </c>
      <c r="F342" s="17" t="s">
        <v>92</v>
      </c>
      <c r="G342" s="17" t="s">
        <v>92</v>
      </c>
      <c r="H342" s="17" t="s">
        <v>92</v>
      </c>
      <c r="I342" s="39"/>
      <c r="J342" s="42"/>
      <c r="K342" s="88"/>
      <c r="L342" s="42"/>
      <c r="M342" s="43"/>
      <c r="Q342" s="2"/>
      <c r="R342" s="24"/>
      <c r="S342" s="24"/>
      <c r="T342" s="24"/>
    </row>
    <row r="343" spans="1:20" x14ac:dyDescent="0.25">
      <c r="A343" s="2">
        <v>44908</v>
      </c>
      <c r="B343" s="20">
        <v>2608</v>
      </c>
      <c r="C343" s="20">
        <v>331</v>
      </c>
      <c r="D343" s="20">
        <v>10340</v>
      </c>
      <c r="E343" s="17" t="s">
        <v>92</v>
      </c>
      <c r="F343" s="17" t="s">
        <v>92</v>
      </c>
      <c r="G343" s="17" t="s">
        <v>92</v>
      </c>
      <c r="H343" s="17" t="s">
        <v>92</v>
      </c>
      <c r="I343" s="39"/>
      <c r="J343" s="42"/>
      <c r="K343" s="88"/>
      <c r="L343" s="42"/>
      <c r="M343" s="43"/>
      <c r="Q343" s="2"/>
      <c r="R343" s="24"/>
      <c r="S343" s="24"/>
      <c r="T343" s="24"/>
    </row>
    <row r="344" spans="1:20" x14ac:dyDescent="0.25">
      <c r="A344" s="2">
        <v>44907</v>
      </c>
      <c r="B344" s="20">
        <v>2580</v>
      </c>
      <c r="C344" s="20">
        <v>326</v>
      </c>
      <c r="D344" s="20">
        <v>9980</v>
      </c>
      <c r="E344" s="17" t="s">
        <v>92</v>
      </c>
      <c r="F344" s="17" t="s">
        <v>92</v>
      </c>
      <c r="G344" s="17" t="s">
        <v>92</v>
      </c>
      <c r="H344" s="17" t="s">
        <v>92</v>
      </c>
      <c r="I344" s="39"/>
      <c r="J344" s="42"/>
      <c r="K344" s="88"/>
      <c r="L344" s="42"/>
      <c r="M344" s="43"/>
      <c r="Q344" s="2"/>
      <c r="R344" s="24"/>
      <c r="S344" s="24"/>
      <c r="T344" s="24"/>
    </row>
    <row r="345" spans="1:20" x14ac:dyDescent="0.25">
      <c r="A345" s="2">
        <v>44904</v>
      </c>
      <c r="B345" s="20">
        <v>2600</v>
      </c>
      <c r="C345" s="29">
        <v>324.5</v>
      </c>
      <c r="D345" s="20">
        <v>10000</v>
      </c>
      <c r="E345" s="17" t="s">
        <v>92</v>
      </c>
      <c r="F345" s="17" t="s">
        <v>92</v>
      </c>
      <c r="G345" s="17" t="s">
        <v>92</v>
      </c>
      <c r="H345" s="17" t="s">
        <v>92</v>
      </c>
      <c r="I345" s="39"/>
      <c r="J345" s="42"/>
      <c r="K345" s="88"/>
      <c r="L345" s="42"/>
      <c r="M345" s="43"/>
      <c r="Q345" s="2"/>
      <c r="R345" s="24"/>
      <c r="S345" s="24"/>
      <c r="T345" s="24"/>
    </row>
    <row r="346" spans="1:20" x14ac:dyDescent="0.25">
      <c r="A346" s="2">
        <v>44903</v>
      </c>
      <c r="B346" s="20">
        <v>2598</v>
      </c>
      <c r="C346" s="20">
        <v>326</v>
      </c>
      <c r="D346" s="20">
        <v>9940</v>
      </c>
      <c r="E346" s="17" t="s">
        <v>92</v>
      </c>
      <c r="F346" s="17" t="s">
        <v>92</v>
      </c>
      <c r="G346" s="17" t="s">
        <v>92</v>
      </c>
      <c r="H346" s="17" t="s">
        <v>92</v>
      </c>
      <c r="I346" s="39"/>
      <c r="J346" s="42"/>
      <c r="K346" s="88"/>
      <c r="L346" s="42"/>
      <c r="M346" s="43"/>
      <c r="Q346" s="2"/>
      <c r="R346" s="24"/>
      <c r="S346" s="24"/>
      <c r="T346" s="24"/>
    </row>
    <row r="347" spans="1:20" x14ac:dyDescent="0.25">
      <c r="A347" s="2">
        <v>44902</v>
      </c>
      <c r="B347" s="20">
        <v>2746</v>
      </c>
      <c r="C347" s="20">
        <v>330</v>
      </c>
      <c r="D347" s="20">
        <v>10000</v>
      </c>
      <c r="E347" s="17" t="s">
        <v>92</v>
      </c>
      <c r="F347" s="17" t="s">
        <v>92</v>
      </c>
      <c r="G347" s="17" t="s">
        <v>92</v>
      </c>
      <c r="H347" s="17" t="s">
        <v>92</v>
      </c>
      <c r="I347" s="39"/>
      <c r="J347" s="42"/>
      <c r="K347" s="88"/>
      <c r="L347" s="42"/>
      <c r="M347" s="43"/>
      <c r="Q347" s="2"/>
      <c r="R347" s="24"/>
      <c r="S347" s="24"/>
      <c r="T347" s="24"/>
    </row>
    <row r="348" spans="1:20" x14ac:dyDescent="0.25">
      <c r="A348" s="2">
        <v>44901</v>
      </c>
      <c r="B348" s="20">
        <v>2818</v>
      </c>
      <c r="C348" s="20">
        <v>326</v>
      </c>
      <c r="D348" s="20">
        <v>10200</v>
      </c>
      <c r="E348" s="17" t="s">
        <v>92</v>
      </c>
      <c r="F348" s="17" t="s">
        <v>92</v>
      </c>
      <c r="G348" s="17" t="s">
        <v>92</v>
      </c>
      <c r="H348" s="17" t="s">
        <v>92</v>
      </c>
      <c r="I348" s="39"/>
      <c r="J348" s="42"/>
      <c r="K348" s="88"/>
      <c r="L348" s="42"/>
      <c r="M348" s="43"/>
      <c r="Q348" s="2"/>
      <c r="R348" s="24"/>
      <c r="S348" s="24"/>
      <c r="T348" s="24"/>
    </row>
    <row r="349" spans="1:20" x14ac:dyDescent="0.25">
      <c r="A349" s="2">
        <v>44900</v>
      </c>
      <c r="B349" s="20">
        <v>2760</v>
      </c>
      <c r="C349" s="29">
        <v>326.5</v>
      </c>
      <c r="D349" s="20">
        <v>10090</v>
      </c>
      <c r="E349" s="17" t="s">
        <v>92</v>
      </c>
      <c r="F349" s="17" t="s">
        <v>92</v>
      </c>
      <c r="G349" s="17" t="s">
        <v>92</v>
      </c>
      <c r="H349" s="17" t="s">
        <v>92</v>
      </c>
      <c r="I349" s="39"/>
      <c r="J349" s="42"/>
      <c r="K349" s="88"/>
      <c r="L349" s="42"/>
      <c r="M349" s="43"/>
      <c r="Q349" s="2"/>
      <c r="R349" s="24"/>
      <c r="S349" s="24"/>
      <c r="T349" s="24"/>
    </row>
    <row r="350" spans="1:20" x14ac:dyDescent="0.25">
      <c r="A350" s="2">
        <v>44897</v>
      </c>
      <c r="B350" s="20">
        <v>2844</v>
      </c>
      <c r="C350" s="20">
        <v>325</v>
      </c>
      <c r="D350" s="20">
        <v>10595</v>
      </c>
      <c r="E350" s="17" t="s">
        <v>92</v>
      </c>
      <c r="F350" s="17" t="s">
        <v>92</v>
      </c>
      <c r="G350" s="17" t="s">
        <v>92</v>
      </c>
      <c r="H350" s="17" t="s">
        <v>92</v>
      </c>
      <c r="I350" s="39"/>
      <c r="J350" s="42"/>
      <c r="K350" s="88"/>
      <c r="L350" s="42"/>
      <c r="M350" s="43"/>
      <c r="Q350" s="2"/>
      <c r="R350" s="24"/>
      <c r="S350" s="24"/>
      <c r="T350" s="24"/>
    </row>
    <row r="351" spans="1:20" x14ac:dyDescent="0.25">
      <c r="A351" s="2">
        <v>44896</v>
      </c>
      <c r="B351" s="20">
        <v>2836</v>
      </c>
      <c r="C351" s="29">
        <v>332.5</v>
      </c>
      <c r="D351" s="20">
        <v>10890</v>
      </c>
      <c r="E351" s="17" t="s">
        <v>92</v>
      </c>
      <c r="F351" s="17" t="s">
        <v>92</v>
      </c>
      <c r="G351" s="17" t="s">
        <v>92</v>
      </c>
      <c r="H351" s="17" t="s">
        <v>92</v>
      </c>
      <c r="I351" s="39"/>
      <c r="J351" s="42"/>
      <c r="K351" s="88"/>
      <c r="L351" s="42"/>
      <c r="M351" s="43"/>
      <c r="Q351" s="2"/>
      <c r="R351" s="24"/>
      <c r="S351" s="24"/>
      <c r="T351" s="24"/>
    </row>
    <row r="352" spans="1:20" x14ac:dyDescent="0.25">
      <c r="A352" s="2">
        <v>44895</v>
      </c>
      <c r="B352" s="20">
        <v>2820</v>
      </c>
      <c r="C352" s="20">
        <v>331</v>
      </c>
      <c r="D352" s="20">
        <v>10750</v>
      </c>
      <c r="E352" s="17" t="s">
        <v>92</v>
      </c>
      <c r="F352" s="17" t="s">
        <v>92</v>
      </c>
      <c r="G352" s="17" t="s">
        <v>92</v>
      </c>
      <c r="H352" s="17" t="s">
        <v>92</v>
      </c>
      <c r="I352" s="39"/>
      <c r="J352" s="42"/>
      <c r="K352" s="88"/>
      <c r="L352" s="42"/>
      <c r="M352" s="43"/>
      <c r="Q352" s="2"/>
      <c r="R352" s="24"/>
      <c r="S352" s="24"/>
      <c r="T352" s="24"/>
    </row>
    <row r="353" spans="1:20" x14ac:dyDescent="0.25">
      <c r="A353" s="2">
        <v>44894</v>
      </c>
      <c r="B353" s="20">
        <v>2790</v>
      </c>
      <c r="C353" s="20">
        <v>332</v>
      </c>
      <c r="D353" s="20">
        <v>10700</v>
      </c>
      <c r="E353" s="17" t="s">
        <v>92</v>
      </c>
      <c r="F353" s="17" t="s">
        <v>92</v>
      </c>
      <c r="G353" s="17" t="s">
        <v>92</v>
      </c>
      <c r="H353" s="17" t="s">
        <v>92</v>
      </c>
      <c r="I353" s="39"/>
      <c r="J353" s="42"/>
      <c r="K353" s="88"/>
      <c r="L353" s="42"/>
      <c r="M353" s="43"/>
      <c r="Q353" s="2"/>
      <c r="R353" s="24"/>
      <c r="S353" s="24"/>
      <c r="T353" s="24"/>
    </row>
    <row r="354" spans="1:20" x14ac:dyDescent="0.25">
      <c r="A354" s="2">
        <v>44893</v>
      </c>
      <c r="B354" s="20">
        <v>2720</v>
      </c>
      <c r="C354" s="20">
        <v>335</v>
      </c>
      <c r="D354" s="20">
        <v>10815</v>
      </c>
      <c r="E354" s="17" t="s">
        <v>92</v>
      </c>
      <c r="F354" s="17" t="s">
        <v>92</v>
      </c>
      <c r="G354" s="17" t="s">
        <v>92</v>
      </c>
      <c r="H354" s="17" t="s">
        <v>92</v>
      </c>
      <c r="I354" s="39"/>
      <c r="J354" s="42"/>
      <c r="K354" s="88"/>
      <c r="L354" s="42"/>
      <c r="M354" s="43"/>
      <c r="Q354" s="2"/>
      <c r="R354" s="24"/>
      <c r="S354" s="24"/>
      <c r="T354" s="24"/>
    </row>
    <row r="355" spans="1:20" x14ac:dyDescent="0.25">
      <c r="A355" s="2">
        <v>44890</v>
      </c>
      <c r="B355" s="20">
        <v>2768</v>
      </c>
      <c r="C355" s="29">
        <v>329.5</v>
      </c>
      <c r="D355" s="20">
        <v>10800</v>
      </c>
      <c r="E355" s="17" t="s">
        <v>92</v>
      </c>
      <c r="F355" s="17" t="s">
        <v>92</v>
      </c>
      <c r="G355" s="17" t="s">
        <v>92</v>
      </c>
      <c r="H355" s="17" t="s">
        <v>92</v>
      </c>
      <c r="I355" s="39"/>
      <c r="J355" s="42"/>
      <c r="K355" s="88"/>
      <c r="L355" s="42"/>
      <c r="M355" s="43"/>
      <c r="Q355" s="2"/>
      <c r="R355" s="24"/>
      <c r="S355" s="24"/>
      <c r="T355" s="24"/>
    </row>
    <row r="356" spans="1:20" x14ac:dyDescent="0.25">
      <c r="A356" s="2">
        <v>44889</v>
      </c>
      <c r="B356" s="20">
        <v>2762</v>
      </c>
      <c r="C356" s="29">
        <v>326.5</v>
      </c>
      <c r="D356" s="20">
        <v>10750</v>
      </c>
      <c r="E356" s="17" t="s">
        <v>92</v>
      </c>
      <c r="F356" s="17" t="s">
        <v>92</v>
      </c>
      <c r="G356" s="17" t="s">
        <v>92</v>
      </c>
      <c r="H356" s="17" t="s">
        <v>92</v>
      </c>
      <c r="I356" s="39"/>
      <c r="J356" s="42"/>
      <c r="K356" s="88"/>
      <c r="L356" s="42"/>
      <c r="M356" s="43"/>
      <c r="Q356" s="2"/>
      <c r="R356" s="24"/>
      <c r="S356" s="24"/>
      <c r="T356" s="24"/>
    </row>
    <row r="357" spans="1:20" x14ac:dyDescent="0.25">
      <c r="A357" s="2">
        <v>44888</v>
      </c>
      <c r="B357" s="20">
        <v>2740</v>
      </c>
      <c r="C357" s="20">
        <v>325</v>
      </c>
      <c r="D357" s="20">
        <v>10710</v>
      </c>
      <c r="E357" s="17" t="s">
        <v>92</v>
      </c>
      <c r="F357" s="17" t="s">
        <v>92</v>
      </c>
      <c r="G357" s="17" t="s">
        <v>92</v>
      </c>
      <c r="H357" s="17" t="s">
        <v>92</v>
      </c>
      <c r="I357" s="39"/>
      <c r="J357" s="42"/>
      <c r="K357" s="88"/>
      <c r="L357" s="42"/>
      <c r="M357" s="43"/>
      <c r="Q357" s="2"/>
      <c r="R357" s="24"/>
      <c r="S357" s="24"/>
      <c r="T357" s="24"/>
    </row>
    <row r="358" spans="1:20" x14ac:dyDescent="0.25">
      <c r="A358" s="2">
        <v>44887</v>
      </c>
      <c r="B358" s="20">
        <v>2770</v>
      </c>
      <c r="C358" s="20">
        <v>327</v>
      </c>
      <c r="D358" s="20">
        <v>10840</v>
      </c>
      <c r="E358" s="17" t="s">
        <v>92</v>
      </c>
      <c r="F358" s="17" t="s">
        <v>92</v>
      </c>
      <c r="G358" s="17" t="s">
        <v>92</v>
      </c>
      <c r="H358" s="17" t="s">
        <v>92</v>
      </c>
      <c r="I358" s="39"/>
      <c r="J358" s="42"/>
      <c r="K358" s="88"/>
      <c r="L358" s="42"/>
      <c r="M358" s="43"/>
      <c r="Q358" s="2"/>
      <c r="R358" s="24"/>
      <c r="S358" s="24"/>
      <c r="T358" s="24"/>
    </row>
    <row r="359" spans="1:20" x14ac:dyDescent="0.25">
      <c r="A359" s="2">
        <v>44886</v>
      </c>
      <c r="B359" s="20">
        <v>2698</v>
      </c>
      <c r="C359" s="29">
        <v>321.5</v>
      </c>
      <c r="D359" s="20">
        <v>10620</v>
      </c>
      <c r="E359" s="17" t="s">
        <v>92</v>
      </c>
      <c r="F359" s="17" t="s">
        <v>92</v>
      </c>
      <c r="G359" s="17" t="s">
        <v>92</v>
      </c>
      <c r="H359" s="17" t="s">
        <v>92</v>
      </c>
      <c r="I359" s="39"/>
      <c r="J359" s="42"/>
      <c r="K359" s="88"/>
      <c r="L359" s="42"/>
      <c r="M359" s="43"/>
      <c r="Q359" s="2"/>
      <c r="R359" s="24"/>
      <c r="S359" s="24"/>
      <c r="T359" s="24"/>
    </row>
    <row r="360" spans="1:20" x14ac:dyDescent="0.25">
      <c r="A360" s="2">
        <v>44883</v>
      </c>
      <c r="B360" s="20">
        <v>2680</v>
      </c>
      <c r="C360" s="29">
        <v>320.5</v>
      </c>
      <c r="D360" s="20">
        <v>10580</v>
      </c>
      <c r="E360" s="17" t="s">
        <v>92</v>
      </c>
      <c r="F360" s="17" t="s">
        <v>92</v>
      </c>
      <c r="G360" s="17" t="s">
        <v>92</v>
      </c>
      <c r="H360" s="17" t="s">
        <v>92</v>
      </c>
      <c r="I360" s="39"/>
      <c r="J360" s="42"/>
      <c r="K360" s="88"/>
      <c r="L360" s="42"/>
      <c r="M360" s="43"/>
      <c r="Q360" s="2"/>
      <c r="R360" s="24"/>
      <c r="S360" s="24"/>
      <c r="T360" s="24"/>
    </row>
    <row r="361" spans="1:20" x14ac:dyDescent="0.25">
      <c r="A361" s="2">
        <v>44882</v>
      </c>
      <c r="B361" s="20">
        <v>2652</v>
      </c>
      <c r="C361" s="20">
        <v>319</v>
      </c>
      <c r="D361" s="20">
        <v>10350</v>
      </c>
      <c r="E361" s="17" t="s">
        <v>92</v>
      </c>
      <c r="F361" s="17" t="s">
        <v>92</v>
      </c>
      <c r="G361" s="17" t="s">
        <v>92</v>
      </c>
      <c r="H361" s="17" t="s">
        <v>92</v>
      </c>
      <c r="I361" s="39"/>
      <c r="J361" s="42"/>
      <c r="K361" s="88"/>
      <c r="L361" s="42"/>
      <c r="M361" s="43"/>
      <c r="Q361" s="2"/>
      <c r="R361" s="24"/>
      <c r="S361" s="24"/>
      <c r="T361" s="24"/>
    </row>
    <row r="362" spans="1:20" x14ac:dyDescent="0.25">
      <c r="A362" s="2">
        <v>44881</v>
      </c>
      <c r="B362" s="20">
        <v>2606</v>
      </c>
      <c r="C362" s="20">
        <v>318</v>
      </c>
      <c r="D362" s="20">
        <v>10490</v>
      </c>
      <c r="E362" s="17" t="s">
        <v>92</v>
      </c>
      <c r="F362" s="17" t="s">
        <v>92</v>
      </c>
      <c r="G362" s="17" t="s">
        <v>92</v>
      </c>
      <c r="H362" s="17" t="s">
        <v>92</v>
      </c>
      <c r="I362" s="39"/>
      <c r="J362" s="42"/>
      <c r="K362" s="88"/>
      <c r="L362" s="42"/>
      <c r="M362" s="43"/>
      <c r="Q362" s="2"/>
      <c r="R362" s="24"/>
      <c r="S362" s="24"/>
      <c r="T362" s="24"/>
    </row>
    <row r="363" spans="1:20" x14ac:dyDescent="0.25">
      <c r="A363" s="2">
        <v>44880</v>
      </c>
      <c r="B363" s="20">
        <v>2618</v>
      </c>
      <c r="C363" s="20">
        <v>317</v>
      </c>
      <c r="D363" s="20">
        <v>10495</v>
      </c>
      <c r="E363" s="17" t="s">
        <v>92</v>
      </c>
      <c r="F363" s="17" t="s">
        <v>92</v>
      </c>
      <c r="G363" s="17" t="s">
        <v>92</v>
      </c>
      <c r="H363" s="17" t="s">
        <v>92</v>
      </c>
      <c r="I363" s="39"/>
      <c r="J363" s="42"/>
      <c r="K363" s="88"/>
      <c r="L363" s="42"/>
      <c r="M363" s="43"/>
      <c r="Q363" s="2"/>
      <c r="R363" s="24"/>
      <c r="S363" s="24"/>
      <c r="T363" s="24"/>
    </row>
    <row r="364" spans="1:20" x14ac:dyDescent="0.25">
      <c r="A364" s="2">
        <v>44879</v>
      </c>
      <c r="B364" s="20">
        <v>2644</v>
      </c>
      <c r="C364" s="20">
        <v>320</v>
      </c>
      <c r="D364" s="20">
        <v>10240</v>
      </c>
      <c r="E364" s="17" t="s">
        <v>92</v>
      </c>
      <c r="F364" s="17" t="s">
        <v>92</v>
      </c>
      <c r="G364" s="17" t="s">
        <v>92</v>
      </c>
      <c r="H364" s="17" t="s">
        <v>92</v>
      </c>
      <c r="I364" s="39"/>
      <c r="J364" s="42"/>
      <c r="K364" s="88"/>
      <c r="L364" s="42"/>
      <c r="M364" s="43"/>
      <c r="Q364" s="2"/>
      <c r="R364" s="24"/>
      <c r="S364" s="24"/>
      <c r="T364" s="24"/>
    </row>
    <row r="365" spans="1:20" x14ac:dyDescent="0.25">
      <c r="A365" s="2">
        <v>44876</v>
      </c>
      <c r="B365" s="20">
        <v>2622</v>
      </c>
      <c r="C365" s="29">
        <v>324.5</v>
      </c>
      <c r="D365" s="20">
        <v>10005</v>
      </c>
      <c r="E365" s="17" t="s">
        <v>92</v>
      </c>
      <c r="F365" s="17" t="s">
        <v>92</v>
      </c>
      <c r="G365" s="17" t="s">
        <v>92</v>
      </c>
      <c r="H365" s="17" t="s">
        <v>92</v>
      </c>
      <c r="I365" s="39"/>
      <c r="J365" s="42"/>
      <c r="K365" s="88"/>
      <c r="L365" s="42"/>
      <c r="M365" s="43"/>
      <c r="Q365" s="2"/>
      <c r="R365" s="24"/>
      <c r="S365" s="24"/>
      <c r="T365" s="24"/>
    </row>
    <row r="366" spans="1:20" x14ac:dyDescent="0.25">
      <c r="A366" s="2">
        <v>44875</v>
      </c>
      <c r="B366" s="20">
        <v>2624</v>
      </c>
      <c r="C366" s="20">
        <v>318</v>
      </c>
      <c r="D366" s="20">
        <v>9660</v>
      </c>
      <c r="E366" s="17" t="s">
        <v>92</v>
      </c>
      <c r="F366" s="17" t="s">
        <v>92</v>
      </c>
      <c r="G366" s="17" t="s">
        <v>92</v>
      </c>
      <c r="H366" s="17" t="s">
        <v>92</v>
      </c>
      <c r="I366" s="39"/>
      <c r="J366" s="42"/>
      <c r="K366" s="88"/>
      <c r="L366" s="42"/>
      <c r="M366" s="43"/>
      <c r="Q366" s="2"/>
      <c r="R366" s="24"/>
      <c r="S366" s="24"/>
      <c r="T366" s="24"/>
    </row>
    <row r="367" spans="1:20" x14ac:dyDescent="0.25">
      <c r="A367" s="2">
        <v>44874</v>
      </c>
      <c r="B367" s="20">
        <v>2652</v>
      </c>
      <c r="C367" s="20">
        <v>313</v>
      </c>
      <c r="D367" s="20">
        <v>9982</v>
      </c>
      <c r="E367" s="17" t="s">
        <v>92</v>
      </c>
      <c r="F367" s="17" t="s">
        <v>92</v>
      </c>
      <c r="G367" s="17" t="s">
        <v>92</v>
      </c>
      <c r="H367" s="17" t="s">
        <v>92</v>
      </c>
      <c r="I367" s="39"/>
      <c r="J367" s="42"/>
      <c r="K367" s="88"/>
      <c r="L367" s="42"/>
      <c r="M367" s="43"/>
      <c r="Q367" s="2"/>
      <c r="R367" s="24"/>
      <c r="S367" s="24"/>
      <c r="T367" s="24"/>
    </row>
    <row r="368" spans="1:20" x14ac:dyDescent="0.25">
      <c r="A368" s="2">
        <v>44873</v>
      </c>
      <c r="B368" s="20">
        <v>2628</v>
      </c>
      <c r="C368" s="20">
        <v>305</v>
      </c>
      <c r="D368" s="20">
        <v>9980</v>
      </c>
      <c r="E368" s="17" t="s">
        <v>92</v>
      </c>
      <c r="F368" s="17" t="s">
        <v>92</v>
      </c>
      <c r="G368" s="17" t="s">
        <v>92</v>
      </c>
      <c r="H368" s="17" t="s">
        <v>92</v>
      </c>
      <c r="I368" s="39"/>
      <c r="J368" s="42"/>
      <c r="K368" s="88"/>
      <c r="L368" s="42"/>
      <c r="M368" s="43"/>
      <c r="Q368" s="2"/>
      <c r="R368" s="24"/>
      <c r="S368" s="24"/>
      <c r="T368" s="24"/>
    </row>
    <row r="369" spans="1:20" x14ac:dyDescent="0.25">
      <c r="A369" s="2">
        <v>44872</v>
      </c>
      <c r="B369" s="20">
        <v>2690</v>
      </c>
      <c r="C369" s="20">
        <v>302</v>
      </c>
      <c r="D369" s="20">
        <v>9910</v>
      </c>
      <c r="E369" s="17" t="s">
        <v>92</v>
      </c>
      <c r="F369" s="17" t="s">
        <v>92</v>
      </c>
      <c r="G369" s="17" t="s">
        <v>92</v>
      </c>
      <c r="H369" s="17" t="s">
        <v>92</v>
      </c>
      <c r="I369" s="39"/>
      <c r="J369" s="42"/>
      <c r="K369" s="88"/>
      <c r="L369" s="42"/>
      <c r="M369" s="43"/>
      <c r="Q369" s="2"/>
      <c r="R369" s="24"/>
      <c r="S369" s="24"/>
      <c r="T369" s="24"/>
    </row>
    <row r="370" spans="1:20" x14ac:dyDescent="0.25">
      <c r="A370" s="2">
        <v>44869</v>
      </c>
      <c r="B370" s="20">
        <v>2634</v>
      </c>
      <c r="C370" s="20">
        <v>297</v>
      </c>
      <c r="D370" s="20">
        <v>9550</v>
      </c>
      <c r="E370" s="17" t="s">
        <v>92</v>
      </c>
      <c r="F370" s="17" t="s">
        <v>92</v>
      </c>
      <c r="G370" s="17" t="s">
        <v>92</v>
      </c>
      <c r="H370" s="17" t="s">
        <v>92</v>
      </c>
      <c r="I370" s="39"/>
      <c r="J370" s="42"/>
      <c r="K370" s="88"/>
      <c r="L370" s="42"/>
      <c r="M370" s="43"/>
      <c r="Q370" s="2"/>
      <c r="R370" s="24"/>
      <c r="S370" s="24"/>
      <c r="T370" s="24"/>
    </row>
    <row r="371" spans="1:20" x14ac:dyDescent="0.25">
      <c r="A371" s="2">
        <v>44868</v>
      </c>
      <c r="B371" s="20">
        <v>2582</v>
      </c>
      <c r="C371" s="20">
        <v>290</v>
      </c>
      <c r="D371" s="20">
        <v>9200</v>
      </c>
      <c r="E371" s="17" t="s">
        <v>92</v>
      </c>
      <c r="F371" s="17" t="s">
        <v>92</v>
      </c>
      <c r="G371" s="17" t="s">
        <v>92</v>
      </c>
      <c r="H371" s="17" t="s">
        <v>92</v>
      </c>
      <c r="I371" s="39"/>
      <c r="J371" s="42"/>
      <c r="K371" s="88"/>
      <c r="L371" s="42"/>
      <c r="M371" s="43"/>
      <c r="Q371" s="2"/>
      <c r="R371" s="24"/>
      <c r="S371" s="24"/>
      <c r="T371" s="24"/>
    </row>
    <row r="372" spans="1:20" x14ac:dyDescent="0.25">
      <c r="A372" s="2">
        <v>44867</v>
      </c>
      <c r="B372" s="20">
        <v>2484</v>
      </c>
      <c r="C372" s="29">
        <v>293.5</v>
      </c>
      <c r="D372" s="20">
        <v>9108</v>
      </c>
      <c r="E372" s="17" t="s">
        <v>92</v>
      </c>
      <c r="F372" s="17" t="s">
        <v>92</v>
      </c>
      <c r="G372" s="17" t="s">
        <v>92</v>
      </c>
      <c r="H372" s="17" t="s">
        <v>92</v>
      </c>
      <c r="I372" s="39"/>
      <c r="J372" s="42"/>
      <c r="K372" s="88"/>
      <c r="L372" s="42"/>
      <c r="M372" s="43"/>
      <c r="Q372" s="2"/>
      <c r="R372" s="24"/>
      <c r="S372" s="24"/>
      <c r="T372" s="24"/>
    </row>
    <row r="373" spans="1:20" x14ac:dyDescent="0.25">
      <c r="A373" s="2">
        <v>44862</v>
      </c>
      <c r="B373" s="20">
        <v>2484</v>
      </c>
      <c r="C373" s="20">
        <v>297</v>
      </c>
      <c r="D373" s="20">
        <v>9030</v>
      </c>
      <c r="E373" s="17" t="s">
        <v>92</v>
      </c>
      <c r="F373" s="17" t="s">
        <v>92</v>
      </c>
      <c r="G373" s="17" t="s">
        <v>92</v>
      </c>
      <c r="H373" s="17" t="s">
        <v>92</v>
      </c>
      <c r="I373" s="39"/>
      <c r="J373" s="42"/>
      <c r="K373" s="88"/>
      <c r="L373" s="42"/>
      <c r="M373" s="43"/>
      <c r="Q373" s="2"/>
      <c r="R373" s="24"/>
      <c r="S373" s="24"/>
      <c r="T373" s="24"/>
    </row>
    <row r="374" spans="1:20" x14ac:dyDescent="0.25">
      <c r="A374" s="2">
        <v>44861</v>
      </c>
      <c r="B374" s="20">
        <v>2480</v>
      </c>
      <c r="C374" s="29">
        <v>299.5</v>
      </c>
      <c r="D374" s="20">
        <v>8958</v>
      </c>
      <c r="E374" s="17" t="s">
        <v>92</v>
      </c>
      <c r="F374" s="17" t="s">
        <v>92</v>
      </c>
      <c r="G374" s="17" t="s">
        <v>92</v>
      </c>
      <c r="H374" s="17" t="s">
        <v>92</v>
      </c>
      <c r="I374" s="39"/>
      <c r="J374" s="42"/>
      <c r="K374" s="88"/>
      <c r="L374" s="42"/>
      <c r="M374" s="43"/>
      <c r="Q374" s="2"/>
      <c r="R374" s="24"/>
      <c r="S374" s="24"/>
      <c r="T374" s="24"/>
    </row>
    <row r="375" spans="1:20" x14ac:dyDescent="0.25">
      <c r="A375" s="2">
        <v>44860</v>
      </c>
      <c r="B375" s="20">
        <v>2464</v>
      </c>
      <c r="C375" s="20">
        <v>295</v>
      </c>
      <c r="D375" s="20">
        <v>8900</v>
      </c>
      <c r="E375" s="17" t="s">
        <v>92</v>
      </c>
      <c r="F375" s="17" t="s">
        <v>92</v>
      </c>
      <c r="G375" s="17" t="s">
        <v>92</v>
      </c>
      <c r="H375" s="17" t="s">
        <v>92</v>
      </c>
      <c r="I375" s="39"/>
      <c r="J375" s="42"/>
      <c r="K375" s="88"/>
      <c r="L375" s="42"/>
      <c r="M375" s="43"/>
      <c r="Q375" s="2"/>
      <c r="R375" s="24"/>
      <c r="S375" s="24"/>
      <c r="T375" s="24"/>
    </row>
    <row r="376" spans="1:20" x14ac:dyDescent="0.25">
      <c r="A376" s="2">
        <v>44859</v>
      </c>
      <c r="B376" s="20">
        <v>2470</v>
      </c>
      <c r="C376" s="29">
        <v>285.5</v>
      </c>
      <c r="D376" s="20">
        <v>8850</v>
      </c>
      <c r="E376" s="17" t="s">
        <v>92</v>
      </c>
      <c r="F376" s="17" t="s">
        <v>92</v>
      </c>
      <c r="G376" s="17" t="s">
        <v>92</v>
      </c>
      <c r="H376" s="17" t="s">
        <v>92</v>
      </c>
      <c r="I376" s="39"/>
      <c r="J376" s="42"/>
      <c r="K376" s="88"/>
      <c r="L376" s="42"/>
      <c r="M376" s="43"/>
      <c r="Q376" s="2"/>
      <c r="R376" s="24"/>
      <c r="S376" s="24"/>
      <c r="T376" s="24"/>
    </row>
    <row r="377" spans="1:20" x14ac:dyDescent="0.25">
      <c r="A377" s="2">
        <v>44858</v>
      </c>
      <c r="B377" s="20">
        <v>2450</v>
      </c>
      <c r="C377" s="20">
        <v>284</v>
      </c>
      <c r="D377" s="20">
        <v>8832</v>
      </c>
      <c r="E377" s="17" t="s">
        <v>92</v>
      </c>
      <c r="F377" s="17" t="s">
        <v>92</v>
      </c>
      <c r="G377" s="17" t="s">
        <v>92</v>
      </c>
      <c r="H377" s="17" t="s">
        <v>92</v>
      </c>
      <c r="I377" s="39"/>
      <c r="J377" s="42"/>
      <c r="K377" s="88"/>
      <c r="L377" s="42"/>
      <c r="M377" s="43"/>
      <c r="Q377" s="2"/>
      <c r="R377" s="24"/>
      <c r="S377" s="24"/>
      <c r="T377" s="24"/>
    </row>
    <row r="378" spans="1:20" x14ac:dyDescent="0.25">
      <c r="A378" s="2">
        <v>44855</v>
      </c>
      <c r="B378" s="20">
        <v>2446</v>
      </c>
      <c r="C378" s="29">
        <v>282.5</v>
      </c>
      <c r="D378" s="20">
        <v>8940</v>
      </c>
      <c r="E378" s="17" t="s">
        <v>92</v>
      </c>
      <c r="F378" s="17" t="s">
        <v>92</v>
      </c>
      <c r="G378" s="17" t="s">
        <v>92</v>
      </c>
      <c r="H378" s="17" t="s">
        <v>92</v>
      </c>
      <c r="I378" s="39"/>
      <c r="J378" s="42"/>
      <c r="K378" s="88"/>
      <c r="L378" s="42"/>
      <c r="M378" s="43"/>
      <c r="Q378" s="2"/>
      <c r="R378" s="24"/>
      <c r="S378" s="24"/>
      <c r="T378" s="24"/>
    </row>
    <row r="379" spans="1:20" x14ac:dyDescent="0.25">
      <c r="A379" s="2">
        <v>44854</v>
      </c>
      <c r="B379" s="20">
        <v>2438</v>
      </c>
      <c r="C379" s="20">
        <v>280</v>
      </c>
      <c r="D379" s="20">
        <v>8988</v>
      </c>
      <c r="E379" s="17" t="s">
        <v>92</v>
      </c>
      <c r="F379" s="17" t="s">
        <v>92</v>
      </c>
      <c r="G379" s="17" t="s">
        <v>92</v>
      </c>
      <c r="H379" s="17" t="s">
        <v>92</v>
      </c>
      <c r="I379" s="39"/>
      <c r="J379" s="42"/>
      <c r="K379" s="88"/>
      <c r="L379" s="42"/>
      <c r="M379" s="43"/>
      <c r="Q379" s="2"/>
      <c r="R379" s="24"/>
      <c r="S379" s="24"/>
      <c r="T379" s="24"/>
    </row>
    <row r="380" spans="1:20" x14ac:dyDescent="0.25">
      <c r="A380" s="2">
        <v>44853</v>
      </c>
      <c r="B380" s="20">
        <v>2434</v>
      </c>
      <c r="C380" s="29">
        <v>285.5</v>
      </c>
      <c r="D380" s="20">
        <v>8986</v>
      </c>
      <c r="E380" s="17" t="s">
        <v>92</v>
      </c>
      <c r="F380" s="17" t="s">
        <v>92</v>
      </c>
      <c r="G380" s="17" t="s">
        <v>92</v>
      </c>
      <c r="H380" s="17" t="s">
        <v>92</v>
      </c>
      <c r="I380" s="39"/>
      <c r="J380" s="42"/>
      <c r="K380" s="88"/>
      <c r="L380" s="42"/>
      <c r="M380" s="43"/>
      <c r="Q380" s="2"/>
      <c r="R380" s="24"/>
      <c r="S380" s="24"/>
      <c r="T380" s="24"/>
    </row>
    <row r="381" spans="1:20" x14ac:dyDescent="0.25">
      <c r="A381" s="2">
        <v>44852</v>
      </c>
      <c r="B381" s="20">
        <v>2468</v>
      </c>
      <c r="C381" s="20">
        <v>291</v>
      </c>
      <c r="D381" s="20">
        <v>9066</v>
      </c>
      <c r="E381" s="17" t="s">
        <v>92</v>
      </c>
      <c r="F381" s="17" t="s">
        <v>92</v>
      </c>
      <c r="G381" s="17" t="s">
        <v>92</v>
      </c>
      <c r="H381" s="17" t="s">
        <v>92</v>
      </c>
      <c r="I381" s="39"/>
      <c r="J381" s="42"/>
      <c r="K381" s="88"/>
      <c r="L381" s="42"/>
      <c r="M381" s="43"/>
      <c r="Q381" s="2"/>
      <c r="R381" s="24"/>
      <c r="S381" s="24"/>
      <c r="T381" s="24"/>
    </row>
    <row r="382" spans="1:20" x14ac:dyDescent="0.25">
      <c r="A382" s="2">
        <v>44851</v>
      </c>
      <c r="B382" s="20">
        <v>2458</v>
      </c>
      <c r="C382" s="29">
        <v>281.5</v>
      </c>
      <c r="D382" s="20">
        <v>8600</v>
      </c>
      <c r="E382" s="17" t="s">
        <v>92</v>
      </c>
      <c r="F382" s="17" t="s">
        <v>92</v>
      </c>
      <c r="G382" s="17" t="s">
        <v>92</v>
      </c>
      <c r="H382" s="17" t="s">
        <v>92</v>
      </c>
      <c r="I382" s="39"/>
      <c r="J382" s="42"/>
      <c r="K382" s="88"/>
      <c r="L382" s="42"/>
      <c r="M382" s="43"/>
      <c r="Q382" s="2"/>
      <c r="R382" s="24"/>
      <c r="S382" s="24"/>
      <c r="T382" s="24"/>
    </row>
    <row r="383" spans="1:20" x14ac:dyDescent="0.25">
      <c r="A383" s="2">
        <v>44848</v>
      </c>
      <c r="B383" s="20">
        <v>2450</v>
      </c>
      <c r="C383" s="20">
        <v>283</v>
      </c>
      <c r="D383" s="20">
        <v>8458</v>
      </c>
      <c r="E383" s="17" t="s">
        <v>92</v>
      </c>
      <c r="F383" s="17" t="s">
        <v>92</v>
      </c>
      <c r="G383" s="17" t="s">
        <v>92</v>
      </c>
      <c r="H383" s="17" t="s">
        <v>92</v>
      </c>
      <c r="I383" s="39"/>
      <c r="J383" s="42"/>
      <c r="K383" s="88"/>
      <c r="L383" s="42"/>
      <c r="M383" s="43"/>
      <c r="Q383" s="2"/>
      <c r="R383" s="24"/>
      <c r="S383" s="24"/>
      <c r="T383" s="24"/>
    </row>
    <row r="384" spans="1:20" x14ac:dyDescent="0.25">
      <c r="A384" s="2">
        <v>44847</v>
      </c>
      <c r="B384" s="20">
        <v>2402</v>
      </c>
      <c r="C384" s="20">
        <v>282</v>
      </c>
      <c r="D384" s="20">
        <v>8128</v>
      </c>
      <c r="E384" s="17" t="s">
        <v>92</v>
      </c>
      <c r="F384" s="17" t="s">
        <v>92</v>
      </c>
      <c r="G384" s="17" t="s">
        <v>92</v>
      </c>
      <c r="H384" s="17" t="s">
        <v>92</v>
      </c>
      <c r="I384" s="39"/>
      <c r="J384" s="42"/>
      <c r="K384" s="88"/>
      <c r="L384" s="42"/>
      <c r="M384" s="43"/>
      <c r="Q384" s="2"/>
      <c r="R384" s="24"/>
      <c r="S384" s="24"/>
      <c r="T384" s="24"/>
    </row>
    <row r="385" spans="1:20" x14ac:dyDescent="0.25">
      <c r="A385" s="2">
        <v>44846</v>
      </c>
      <c r="B385" s="20">
        <v>2438</v>
      </c>
      <c r="C385" s="20">
        <v>281</v>
      </c>
      <c r="D385" s="20">
        <v>8100</v>
      </c>
      <c r="E385" s="17" t="s">
        <v>92</v>
      </c>
      <c r="F385" s="17" t="s">
        <v>92</v>
      </c>
      <c r="G385" s="17" t="s">
        <v>92</v>
      </c>
      <c r="H385" s="17" t="s">
        <v>92</v>
      </c>
      <c r="I385" s="39"/>
      <c r="J385" s="42"/>
      <c r="K385" s="88"/>
      <c r="L385" s="42"/>
      <c r="M385" s="43"/>
      <c r="Q385" s="2"/>
      <c r="R385" s="24"/>
      <c r="S385" s="24"/>
      <c r="T385" s="24"/>
    </row>
    <row r="386" spans="1:20" x14ac:dyDescent="0.25">
      <c r="A386" s="2">
        <v>44845</v>
      </c>
      <c r="B386" s="20">
        <v>2454</v>
      </c>
      <c r="C386" s="29">
        <v>281.5</v>
      </c>
      <c r="D386" s="20">
        <v>8050</v>
      </c>
      <c r="E386" s="17" t="s">
        <v>92</v>
      </c>
      <c r="F386" s="17" t="s">
        <v>92</v>
      </c>
      <c r="G386" s="17" t="s">
        <v>92</v>
      </c>
      <c r="H386" s="17" t="s">
        <v>92</v>
      </c>
      <c r="I386" s="39"/>
      <c r="J386" s="42"/>
      <c r="K386" s="88"/>
      <c r="L386" s="42"/>
      <c r="M386" s="43"/>
      <c r="Q386" s="2"/>
      <c r="R386" s="24"/>
      <c r="S386" s="24"/>
      <c r="T386" s="24"/>
    </row>
    <row r="387" spans="1:20" x14ac:dyDescent="0.25">
      <c r="A387" s="2">
        <v>44844</v>
      </c>
      <c r="B387" s="20">
        <v>2470</v>
      </c>
      <c r="C387" s="29">
        <v>288.5</v>
      </c>
      <c r="D387" s="20">
        <v>8200</v>
      </c>
      <c r="E387" s="17" t="s">
        <v>92</v>
      </c>
      <c r="F387" s="17" t="s">
        <v>92</v>
      </c>
      <c r="G387" s="17" t="s">
        <v>92</v>
      </c>
      <c r="H387" s="17" t="s">
        <v>92</v>
      </c>
      <c r="I387" s="39"/>
      <c r="J387" s="42"/>
      <c r="K387" s="88"/>
      <c r="L387" s="42"/>
      <c r="M387" s="43"/>
      <c r="Q387" s="2"/>
      <c r="R387" s="24"/>
      <c r="S387" s="24"/>
      <c r="T387" s="24"/>
    </row>
    <row r="388" spans="1:20" x14ac:dyDescent="0.25">
      <c r="A388" s="2">
        <v>44841</v>
      </c>
      <c r="B388" s="20">
        <v>2570</v>
      </c>
      <c r="C388" s="29">
        <v>291.5</v>
      </c>
      <c r="D388" s="20">
        <v>8158</v>
      </c>
      <c r="E388" s="17" t="s">
        <v>92</v>
      </c>
      <c r="F388" s="17" t="s">
        <v>92</v>
      </c>
      <c r="G388" s="17" t="s">
        <v>92</v>
      </c>
      <c r="H388" s="17" t="s">
        <v>92</v>
      </c>
      <c r="I388" s="39"/>
      <c r="J388" s="42"/>
      <c r="K388" s="88"/>
      <c r="L388" s="42"/>
      <c r="M388" s="43"/>
      <c r="Q388" s="2"/>
      <c r="R388" s="24"/>
      <c r="S388" s="24"/>
      <c r="T388" s="24"/>
    </row>
    <row r="389" spans="1:20" x14ac:dyDescent="0.25">
      <c r="A389" s="2">
        <v>44840</v>
      </c>
      <c r="B389" s="20">
        <v>2642</v>
      </c>
      <c r="C389" s="20">
        <v>296</v>
      </c>
      <c r="D389" s="20">
        <v>7944</v>
      </c>
      <c r="E389" s="17" t="s">
        <v>92</v>
      </c>
      <c r="F389" s="17" t="s">
        <v>92</v>
      </c>
      <c r="G389" s="17" t="s">
        <v>92</v>
      </c>
      <c r="H389" s="17" t="s">
        <v>92</v>
      </c>
      <c r="I389" s="39"/>
      <c r="J389" s="42"/>
      <c r="K389" s="88"/>
      <c r="L389" s="42"/>
      <c r="M389" s="43"/>
      <c r="Q389" s="2"/>
      <c r="R389" s="24"/>
      <c r="S389" s="24"/>
      <c r="T389" s="24"/>
    </row>
    <row r="390" spans="1:20" x14ac:dyDescent="0.25">
      <c r="A390" s="2">
        <v>44839</v>
      </c>
      <c r="B390" s="20">
        <v>2648</v>
      </c>
      <c r="C390" s="20">
        <v>293</v>
      </c>
      <c r="D390" s="20">
        <v>8078</v>
      </c>
      <c r="E390" s="17" t="s">
        <v>92</v>
      </c>
      <c r="F390" s="17" t="s">
        <v>92</v>
      </c>
      <c r="G390" s="17" t="s">
        <v>92</v>
      </c>
      <c r="H390" s="17" t="s">
        <v>92</v>
      </c>
      <c r="I390" s="39"/>
      <c r="J390" s="42"/>
      <c r="K390" s="88"/>
      <c r="L390" s="42"/>
      <c r="M390" s="43"/>
      <c r="Q390" s="2"/>
      <c r="R390" s="24"/>
      <c r="S390" s="24"/>
      <c r="T390" s="24"/>
    </row>
    <row r="391" spans="1:20" x14ac:dyDescent="0.25">
      <c r="A391" s="2">
        <v>44838</v>
      </c>
      <c r="B391" s="20">
        <v>2624</v>
      </c>
      <c r="C391" s="20">
        <v>300</v>
      </c>
      <c r="D391" s="20">
        <v>8250</v>
      </c>
      <c r="E391" s="17" t="s">
        <v>92</v>
      </c>
      <c r="F391" s="17" t="s">
        <v>92</v>
      </c>
      <c r="G391" s="17" t="s">
        <v>92</v>
      </c>
      <c r="H391" s="17" t="s">
        <v>92</v>
      </c>
      <c r="I391" s="39"/>
      <c r="J391" s="42"/>
      <c r="K391" s="88"/>
      <c r="L391" s="42"/>
      <c r="M391" s="43"/>
      <c r="Q391" s="2"/>
      <c r="R391" s="24"/>
      <c r="S391" s="24"/>
      <c r="T391" s="24"/>
    </row>
    <row r="392" spans="1:20" x14ac:dyDescent="0.25">
      <c r="A392" s="2">
        <v>44837</v>
      </c>
      <c r="B392" s="20">
        <v>2466</v>
      </c>
      <c r="C392" s="20">
        <v>296</v>
      </c>
      <c r="D392" s="20">
        <v>7988</v>
      </c>
      <c r="E392" s="17" t="s">
        <v>92</v>
      </c>
      <c r="F392" s="17" t="s">
        <v>92</v>
      </c>
      <c r="G392" s="17" t="s">
        <v>92</v>
      </c>
      <c r="H392" s="17" t="s">
        <v>92</v>
      </c>
      <c r="I392" s="39"/>
      <c r="J392" s="42"/>
      <c r="K392" s="88"/>
      <c r="L392" s="42"/>
      <c r="M392" s="43"/>
      <c r="Q392" s="2"/>
      <c r="R392" s="24"/>
      <c r="S392" s="24"/>
      <c r="T392" s="24"/>
    </row>
    <row r="393" spans="1:20" x14ac:dyDescent="0.25">
      <c r="A393" s="2">
        <v>44834</v>
      </c>
      <c r="B393" s="20">
        <v>2406</v>
      </c>
      <c r="C393" s="29">
        <v>295.5</v>
      </c>
      <c r="D393" s="20">
        <v>7908</v>
      </c>
      <c r="E393" s="17" t="s">
        <v>92</v>
      </c>
      <c r="F393" s="17" t="s">
        <v>92</v>
      </c>
      <c r="G393" s="17" t="s">
        <v>92</v>
      </c>
      <c r="H393" s="17" t="s">
        <v>92</v>
      </c>
      <c r="I393" s="39"/>
      <c r="J393" s="42"/>
      <c r="K393" s="88"/>
      <c r="L393" s="42"/>
      <c r="M393" s="43"/>
      <c r="Q393" s="2"/>
      <c r="R393" s="24"/>
      <c r="S393" s="24"/>
      <c r="T393" s="24"/>
    </row>
    <row r="394" spans="1:20" x14ac:dyDescent="0.25">
      <c r="A394" s="2">
        <v>44833</v>
      </c>
      <c r="B394" s="20">
        <v>2326</v>
      </c>
      <c r="C394" s="20">
        <v>285</v>
      </c>
      <c r="D394" s="20">
        <v>7902</v>
      </c>
      <c r="E394" s="17" t="s">
        <v>92</v>
      </c>
      <c r="F394" s="17" t="s">
        <v>92</v>
      </c>
      <c r="G394" s="17" t="s">
        <v>92</v>
      </c>
      <c r="H394" s="17" t="s">
        <v>92</v>
      </c>
      <c r="I394" s="39"/>
      <c r="J394" s="42"/>
      <c r="K394" s="88"/>
      <c r="L394" s="42"/>
      <c r="M394" s="43"/>
      <c r="Q394" s="2"/>
      <c r="R394" s="24"/>
      <c r="S394" s="24"/>
      <c r="T394" s="24"/>
    </row>
    <row r="395" spans="1:20" x14ac:dyDescent="0.25">
      <c r="A395" s="2">
        <v>44832</v>
      </c>
      <c r="B395" s="20">
        <v>2366</v>
      </c>
      <c r="C395" s="20">
        <v>292</v>
      </c>
      <c r="D395" s="20">
        <v>8122</v>
      </c>
      <c r="E395" s="17" t="s">
        <v>92</v>
      </c>
      <c r="F395" s="17" t="s">
        <v>92</v>
      </c>
      <c r="G395" s="17" t="s">
        <v>92</v>
      </c>
      <c r="H395" s="17" t="s">
        <v>92</v>
      </c>
      <c r="I395" s="39"/>
      <c r="J395" s="42"/>
      <c r="K395" s="88"/>
      <c r="L395" s="42"/>
      <c r="M395" s="43"/>
      <c r="Q395" s="2"/>
      <c r="R395" s="24"/>
      <c r="S395" s="24"/>
      <c r="T395" s="24"/>
    </row>
    <row r="396" spans="1:20" x14ac:dyDescent="0.25">
      <c r="A396" s="2">
        <v>44831</v>
      </c>
      <c r="B396" s="20">
        <v>2416</v>
      </c>
      <c r="C396" s="20">
        <v>297</v>
      </c>
      <c r="D396" s="20">
        <v>8284</v>
      </c>
      <c r="E396" s="17" t="s">
        <v>92</v>
      </c>
      <c r="F396" s="17" t="s">
        <v>92</v>
      </c>
      <c r="G396" s="17" t="s">
        <v>92</v>
      </c>
      <c r="H396" s="17" t="s">
        <v>92</v>
      </c>
      <c r="I396" s="39"/>
      <c r="J396" s="42"/>
      <c r="K396" s="88"/>
      <c r="L396" s="42"/>
      <c r="M396" s="43"/>
      <c r="Q396" s="2"/>
      <c r="R396" s="24"/>
      <c r="S396" s="24"/>
      <c r="T396" s="24"/>
    </row>
    <row r="397" spans="1:20" x14ac:dyDescent="0.25">
      <c r="A397" s="2">
        <v>44830</v>
      </c>
      <c r="B397" s="20">
        <v>2428</v>
      </c>
      <c r="C397" s="20">
        <v>298</v>
      </c>
      <c r="D397" s="20">
        <v>8224</v>
      </c>
      <c r="E397" s="17" t="s">
        <v>92</v>
      </c>
      <c r="F397" s="17" t="s">
        <v>92</v>
      </c>
      <c r="G397" s="17" t="s">
        <v>92</v>
      </c>
      <c r="H397" s="17" t="s">
        <v>92</v>
      </c>
      <c r="I397" s="39"/>
      <c r="J397" s="42"/>
      <c r="K397" s="88"/>
      <c r="L397" s="42"/>
      <c r="M397" s="43"/>
      <c r="Q397" s="2"/>
      <c r="R397" s="24"/>
      <c r="S397" s="24"/>
      <c r="T397" s="24"/>
    </row>
    <row r="398" spans="1:20" x14ac:dyDescent="0.25">
      <c r="A398" s="2">
        <v>44827</v>
      </c>
      <c r="B398" s="20">
        <v>2410</v>
      </c>
      <c r="C398" s="20">
        <v>300</v>
      </c>
      <c r="D398" s="20">
        <v>8328</v>
      </c>
      <c r="E398" s="17" t="s">
        <v>92</v>
      </c>
      <c r="F398" s="17" t="s">
        <v>92</v>
      </c>
      <c r="G398" s="17" t="s">
        <v>92</v>
      </c>
      <c r="H398" s="17" t="s">
        <v>92</v>
      </c>
      <c r="I398" s="39"/>
      <c r="J398" s="42"/>
      <c r="K398" s="88"/>
      <c r="L398" s="42"/>
      <c r="M398" s="43"/>
      <c r="Q398" s="2"/>
      <c r="R398" s="24"/>
      <c r="S398" s="24"/>
      <c r="T398" s="24"/>
    </row>
    <row r="399" spans="1:20" x14ac:dyDescent="0.25">
      <c r="A399" s="2">
        <v>44826</v>
      </c>
      <c r="B399" s="20">
        <v>2476</v>
      </c>
      <c r="C399" s="29">
        <v>303.5</v>
      </c>
      <c r="D399" s="20">
        <v>8572</v>
      </c>
      <c r="E399" s="17" t="s">
        <v>92</v>
      </c>
      <c r="F399" s="17" t="s">
        <v>92</v>
      </c>
      <c r="G399" s="17" t="s">
        <v>92</v>
      </c>
      <c r="H399" s="17" t="s">
        <v>92</v>
      </c>
      <c r="I399" s="39"/>
      <c r="J399" s="42"/>
      <c r="K399" s="88"/>
      <c r="L399" s="42"/>
      <c r="M399" s="43"/>
      <c r="Q399" s="2"/>
      <c r="R399" s="24"/>
      <c r="S399" s="24"/>
      <c r="T399" s="24"/>
    </row>
    <row r="400" spans="1:20" x14ac:dyDescent="0.25">
      <c r="A400" s="2">
        <v>44825</v>
      </c>
      <c r="B400" s="20">
        <v>2500</v>
      </c>
      <c r="C400" s="29">
        <v>302.5</v>
      </c>
      <c r="D400" s="20">
        <v>8320</v>
      </c>
      <c r="E400" s="17" t="s">
        <v>92</v>
      </c>
      <c r="F400" s="17" t="s">
        <v>92</v>
      </c>
      <c r="G400" s="17" t="s">
        <v>92</v>
      </c>
      <c r="H400" s="17" t="s">
        <v>92</v>
      </c>
      <c r="I400" s="39"/>
      <c r="J400" s="42"/>
      <c r="K400" s="88"/>
      <c r="L400" s="42"/>
      <c r="M400" s="43"/>
      <c r="Q400" s="2"/>
      <c r="R400" s="24"/>
      <c r="S400" s="24"/>
      <c r="T400" s="24"/>
    </row>
    <row r="401" spans="1:20" x14ac:dyDescent="0.25">
      <c r="A401" s="2">
        <v>44824</v>
      </c>
      <c r="B401" s="20">
        <v>2500</v>
      </c>
      <c r="C401" s="20">
        <v>305</v>
      </c>
      <c r="D401" s="20">
        <v>8500</v>
      </c>
      <c r="E401" s="17" t="s">
        <v>92</v>
      </c>
      <c r="F401" s="17" t="s">
        <v>92</v>
      </c>
      <c r="G401" s="17" t="s">
        <v>92</v>
      </c>
      <c r="H401" s="17" t="s">
        <v>92</v>
      </c>
      <c r="I401" s="39"/>
      <c r="J401" s="42"/>
      <c r="K401" s="88"/>
      <c r="L401" s="42"/>
      <c r="M401" s="43"/>
      <c r="Q401" s="2"/>
      <c r="R401" s="24"/>
      <c r="S401" s="24"/>
      <c r="T401" s="24"/>
    </row>
    <row r="402" spans="1:20" x14ac:dyDescent="0.25">
      <c r="A402" s="2">
        <v>44823</v>
      </c>
      <c r="B402" s="20">
        <v>2516</v>
      </c>
      <c r="C402" s="20">
        <v>302</v>
      </c>
      <c r="D402" s="20">
        <v>8800</v>
      </c>
      <c r="E402" s="17" t="s">
        <v>92</v>
      </c>
      <c r="F402" s="17" t="s">
        <v>92</v>
      </c>
      <c r="G402" s="17" t="s">
        <v>92</v>
      </c>
      <c r="H402" s="17" t="s">
        <v>92</v>
      </c>
      <c r="I402" s="39"/>
      <c r="J402" s="42"/>
      <c r="K402" s="88"/>
      <c r="L402" s="42"/>
      <c r="M402" s="43"/>
      <c r="Q402" s="2"/>
      <c r="R402" s="24"/>
      <c r="S402" s="24"/>
      <c r="T402" s="24"/>
    </row>
    <row r="403" spans="1:20" x14ac:dyDescent="0.25">
      <c r="A403" s="2">
        <v>44820</v>
      </c>
      <c r="B403" s="20">
        <v>2516</v>
      </c>
      <c r="C403" s="20">
        <v>305</v>
      </c>
      <c r="D403" s="20">
        <v>8658</v>
      </c>
      <c r="E403" s="17" t="s">
        <v>92</v>
      </c>
      <c r="F403" s="17" t="s">
        <v>92</v>
      </c>
      <c r="G403" s="17" t="s">
        <v>92</v>
      </c>
      <c r="H403" s="17" t="s">
        <v>92</v>
      </c>
      <c r="I403" s="39"/>
      <c r="J403" s="42"/>
      <c r="K403" s="88"/>
      <c r="L403" s="42"/>
      <c r="M403" s="43"/>
      <c r="Q403" s="2"/>
      <c r="R403" s="24"/>
      <c r="S403" s="24"/>
      <c r="T403" s="24"/>
    </row>
    <row r="404" spans="1:20" x14ac:dyDescent="0.25">
      <c r="A404" s="2">
        <v>44819</v>
      </c>
      <c r="B404" s="20">
        <v>2600</v>
      </c>
      <c r="C404" s="20">
        <v>303</v>
      </c>
      <c r="D404" s="20">
        <v>8630</v>
      </c>
      <c r="E404" s="17" t="s">
        <v>92</v>
      </c>
      <c r="F404" s="17" t="s">
        <v>92</v>
      </c>
      <c r="G404" s="17" t="s">
        <v>92</v>
      </c>
      <c r="H404" s="17" t="s">
        <v>92</v>
      </c>
      <c r="I404" s="39"/>
      <c r="J404" s="42"/>
      <c r="K404" s="88"/>
      <c r="L404" s="42"/>
      <c r="M404" s="43"/>
      <c r="Q404" s="2"/>
      <c r="R404" s="24"/>
      <c r="S404" s="24"/>
      <c r="T404" s="24"/>
    </row>
    <row r="405" spans="1:20" x14ac:dyDescent="0.25">
      <c r="A405" s="2">
        <v>44818</v>
      </c>
      <c r="B405" s="20">
        <v>2678</v>
      </c>
      <c r="C405" s="29">
        <v>308.5</v>
      </c>
      <c r="D405" s="20">
        <v>8600</v>
      </c>
      <c r="E405" s="17" t="s">
        <v>92</v>
      </c>
      <c r="F405" s="17" t="s">
        <v>92</v>
      </c>
      <c r="G405" s="17" t="s">
        <v>92</v>
      </c>
      <c r="H405" s="17" t="s">
        <v>92</v>
      </c>
      <c r="I405" s="39"/>
      <c r="J405" s="42"/>
      <c r="K405" s="88"/>
      <c r="L405" s="42"/>
      <c r="M405" s="43"/>
      <c r="Q405" s="2"/>
      <c r="R405" s="24"/>
      <c r="S405" s="24"/>
      <c r="T405" s="24"/>
    </row>
    <row r="406" spans="1:20" x14ac:dyDescent="0.25">
      <c r="A406" s="2">
        <v>44817</v>
      </c>
      <c r="B406" s="20">
        <v>2686</v>
      </c>
      <c r="C406" s="20">
        <v>312</v>
      </c>
      <c r="D406" s="20">
        <v>8800</v>
      </c>
      <c r="E406" s="17" t="s">
        <v>92</v>
      </c>
      <c r="F406" s="17" t="s">
        <v>92</v>
      </c>
      <c r="G406" s="17" t="s">
        <v>92</v>
      </c>
      <c r="H406" s="17" t="s">
        <v>92</v>
      </c>
      <c r="I406" s="39"/>
      <c r="J406" s="42"/>
      <c r="K406" s="88"/>
      <c r="L406" s="42"/>
      <c r="M406" s="43"/>
      <c r="Q406" s="2"/>
      <c r="R406" s="24"/>
      <c r="S406" s="24"/>
      <c r="T406" s="24"/>
    </row>
    <row r="407" spans="1:20" x14ac:dyDescent="0.25">
      <c r="A407" s="2">
        <v>44816</v>
      </c>
      <c r="B407" s="20">
        <v>2650</v>
      </c>
      <c r="C407" s="20">
        <v>313</v>
      </c>
      <c r="D407" s="20">
        <v>9060</v>
      </c>
      <c r="E407" s="17" t="s">
        <v>92</v>
      </c>
      <c r="F407" s="17" t="s">
        <v>92</v>
      </c>
      <c r="G407" s="17" t="s">
        <v>92</v>
      </c>
      <c r="H407" s="17" t="s">
        <v>92</v>
      </c>
      <c r="I407" s="39"/>
      <c r="J407" s="42"/>
      <c r="K407" s="88"/>
      <c r="L407" s="42"/>
      <c r="M407" s="43"/>
      <c r="Q407" s="2"/>
      <c r="R407" s="24"/>
      <c r="S407" s="24"/>
      <c r="T407" s="24"/>
    </row>
    <row r="408" spans="1:20" x14ac:dyDescent="0.25">
      <c r="A408" s="2">
        <v>44813</v>
      </c>
      <c r="B408" s="20">
        <v>2650</v>
      </c>
      <c r="C408" s="20">
        <v>315</v>
      </c>
      <c r="D408" s="20">
        <v>8636</v>
      </c>
      <c r="E408" s="17" t="s">
        <v>92</v>
      </c>
      <c r="F408" s="17" t="s">
        <v>92</v>
      </c>
      <c r="G408" s="17" t="s">
        <v>92</v>
      </c>
      <c r="H408" s="17" t="s">
        <v>92</v>
      </c>
      <c r="I408" s="39"/>
      <c r="J408" s="42"/>
      <c r="K408" s="88"/>
      <c r="L408" s="42"/>
      <c r="M408" s="43"/>
      <c r="Q408" s="2"/>
      <c r="R408" s="24"/>
      <c r="S408" s="24"/>
      <c r="T408" s="24"/>
    </row>
    <row r="409" spans="1:20" x14ac:dyDescent="0.25">
      <c r="A409" s="2">
        <v>44812</v>
      </c>
      <c r="B409" s="20">
        <v>2666</v>
      </c>
      <c r="C409" s="20">
        <v>314</v>
      </c>
      <c r="D409" s="20">
        <v>8608</v>
      </c>
      <c r="E409" s="17" t="s">
        <v>92</v>
      </c>
      <c r="F409" s="17" t="s">
        <v>92</v>
      </c>
      <c r="G409" s="17" t="s">
        <v>92</v>
      </c>
      <c r="H409" s="17" t="s">
        <v>92</v>
      </c>
      <c r="I409" s="39"/>
      <c r="J409" s="42"/>
      <c r="K409" s="88"/>
      <c r="L409" s="42"/>
      <c r="M409" s="43"/>
      <c r="Q409" s="2"/>
      <c r="R409" s="24"/>
      <c r="S409" s="24"/>
      <c r="T409" s="24"/>
    </row>
    <row r="410" spans="1:20" x14ac:dyDescent="0.25">
      <c r="A410" s="2">
        <v>44811</v>
      </c>
      <c r="B410" s="20">
        <v>2684</v>
      </c>
      <c r="C410" s="20">
        <v>323</v>
      </c>
      <c r="D410" s="20">
        <v>8680</v>
      </c>
      <c r="E410" s="17" t="s">
        <v>92</v>
      </c>
      <c r="F410" s="17" t="s">
        <v>92</v>
      </c>
      <c r="G410" s="17" t="s">
        <v>92</v>
      </c>
      <c r="H410" s="17" t="s">
        <v>92</v>
      </c>
      <c r="I410" s="39"/>
      <c r="J410" s="42"/>
      <c r="K410" s="88"/>
      <c r="L410" s="42"/>
      <c r="M410" s="43"/>
      <c r="Q410" s="2"/>
      <c r="R410" s="24"/>
      <c r="S410" s="24"/>
      <c r="T410" s="24"/>
    </row>
    <row r="411" spans="1:20" x14ac:dyDescent="0.25">
      <c r="A411" s="2">
        <v>44810</v>
      </c>
      <c r="B411" s="20">
        <v>2700</v>
      </c>
      <c r="C411" s="29">
        <v>323.5</v>
      </c>
      <c r="D411" s="20">
        <v>8436</v>
      </c>
      <c r="E411" s="17" t="s">
        <v>92</v>
      </c>
      <c r="F411" s="17" t="s">
        <v>92</v>
      </c>
      <c r="G411" s="17" t="s">
        <v>92</v>
      </c>
      <c r="H411" s="17" t="s">
        <v>92</v>
      </c>
      <c r="I411" s="39"/>
      <c r="J411" s="42"/>
      <c r="K411" s="88"/>
      <c r="L411" s="42"/>
      <c r="M411" s="43"/>
      <c r="Q411" s="2"/>
      <c r="R411" s="24"/>
      <c r="S411" s="24"/>
      <c r="T411" s="24"/>
    </row>
    <row r="412" spans="1:20" x14ac:dyDescent="0.25">
      <c r="A412" s="2">
        <v>44809</v>
      </c>
      <c r="B412" s="20">
        <v>2694</v>
      </c>
      <c r="C412" s="29">
        <v>323.5</v>
      </c>
      <c r="D412" s="20">
        <v>8450</v>
      </c>
      <c r="E412" s="17" t="s">
        <v>92</v>
      </c>
      <c r="F412" s="17" t="s">
        <v>92</v>
      </c>
      <c r="G412" s="17" t="s">
        <v>92</v>
      </c>
      <c r="H412" s="17" t="s">
        <v>92</v>
      </c>
      <c r="I412" s="39"/>
      <c r="J412" s="42"/>
      <c r="K412" s="88"/>
      <c r="L412" s="42"/>
      <c r="M412" s="43"/>
      <c r="Q412" s="2"/>
      <c r="R412" s="24"/>
      <c r="S412" s="24"/>
      <c r="T412" s="24"/>
    </row>
    <row r="413" spans="1:20" x14ac:dyDescent="0.25">
      <c r="A413" s="2">
        <v>44806</v>
      </c>
      <c r="B413" s="20">
        <v>2754</v>
      </c>
      <c r="C413" s="29">
        <v>334.5</v>
      </c>
      <c r="D413" s="20">
        <v>8504</v>
      </c>
      <c r="E413" s="17" t="s">
        <v>92</v>
      </c>
      <c r="F413" s="17" t="s">
        <v>92</v>
      </c>
      <c r="G413" s="17" t="s">
        <v>92</v>
      </c>
      <c r="H413" s="17" t="s">
        <v>92</v>
      </c>
      <c r="I413" s="39"/>
      <c r="J413" s="42"/>
      <c r="K413" s="88"/>
      <c r="L413" s="42"/>
      <c r="M413" s="43"/>
      <c r="Q413" s="2"/>
      <c r="R413" s="24"/>
      <c r="S413" s="24"/>
      <c r="T413" s="24"/>
    </row>
    <row r="414" spans="1:20" x14ac:dyDescent="0.25">
      <c r="A414" s="2">
        <v>44805</v>
      </c>
      <c r="B414" s="20">
        <v>2724</v>
      </c>
      <c r="C414" s="20">
        <v>330</v>
      </c>
      <c r="D414" s="20">
        <v>8438</v>
      </c>
      <c r="E414" s="17" t="s">
        <v>92</v>
      </c>
      <c r="F414" s="17" t="s">
        <v>92</v>
      </c>
      <c r="G414" s="17" t="s">
        <v>92</v>
      </c>
      <c r="H414" s="17" t="s">
        <v>92</v>
      </c>
      <c r="I414" s="39"/>
      <c r="J414" s="42"/>
      <c r="K414" s="88"/>
      <c r="L414" s="42"/>
      <c r="M414" s="43"/>
      <c r="Q414" s="2"/>
      <c r="R414" s="24"/>
      <c r="S414" s="24"/>
      <c r="T414" s="24"/>
    </row>
    <row r="415" spans="1:20" x14ac:dyDescent="0.25">
      <c r="A415" s="2">
        <v>44804</v>
      </c>
      <c r="B415" s="20">
        <v>2750</v>
      </c>
      <c r="C415" s="20">
        <v>338</v>
      </c>
      <c r="D415" s="20">
        <v>8492</v>
      </c>
      <c r="E415" s="17" t="s">
        <v>92</v>
      </c>
      <c r="F415" s="17" t="s">
        <v>92</v>
      </c>
      <c r="G415" s="17" t="s">
        <v>92</v>
      </c>
      <c r="H415" s="17" t="s">
        <v>92</v>
      </c>
      <c r="I415" s="39"/>
      <c r="J415" s="42"/>
      <c r="K415" s="88"/>
      <c r="L415" s="42"/>
      <c r="M415" s="43"/>
      <c r="Q415" s="2"/>
      <c r="R415" s="24"/>
      <c r="S415" s="24"/>
      <c r="T415" s="24"/>
    </row>
    <row r="416" spans="1:20" x14ac:dyDescent="0.25">
      <c r="A416" s="2">
        <v>44803</v>
      </c>
      <c r="B416" s="20">
        <v>2794</v>
      </c>
      <c r="C416" s="20">
        <v>334</v>
      </c>
      <c r="D416" s="20">
        <v>8618</v>
      </c>
      <c r="E416" s="17" t="s">
        <v>92</v>
      </c>
      <c r="F416" s="17" t="s">
        <v>92</v>
      </c>
      <c r="G416" s="17" t="s">
        <v>92</v>
      </c>
      <c r="H416" s="17" t="s">
        <v>92</v>
      </c>
      <c r="I416" s="39"/>
      <c r="J416" s="42"/>
      <c r="K416" s="88"/>
      <c r="L416" s="42"/>
      <c r="M416" s="43"/>
      <c r="Q416" s="2"/>
      <c r="R416" s="24"/>
      <c r="S416" s="24"/>
      <c r="T416" s="24"/>
    </row>
    <row r="417" spans="1:20" x14ac:dyDescent="0.25">
      <c r="A417" s="2">
        <v>44802</v>
      </c>
      <c r="B417" s="20">
        <v>2760</v>
      </c>
      <c r="C417" s="20">
        <v>336</v>
      </c>
      <c r="D417" s="20">
        <v>8900</v>
      </c>
      <c r="E417" s="17" t="s">
        <v>92</v>
      </c>
      <c r="F417" s="17" t="s">
        <v>92</v>
      </c>
      <c r="G417" s="17" t="s">
        <v>92</v>
      </c>
      <c r="H417" s="17" t="s">
        <v>92</v>
      </c>
      <c r="I417" s="39"/>
      <c r="J417" s="42"/>
      <c r="K417" s="88"/>
      <c r="L417" s="42"/>
      <c r="M417" s="43"/>
      <c r="Q417" s="2"/>
      <c r="R417" s="24"/>
      <c r="S417" s="24"/>
      <c r="T417" s="24"/>
    </row>
    <row r="418" spans="1:20" x14ac:dyDescent="0.25">
      <c r="A418" s="2">
        <v>44799</v>
      </c>
      <c r="B418" s="20">
        <v>2808</v>
      </c>
      <c r="C418" s="20">
        <v>338</v>
      </c>
      <c r="D418" s="20">
        <v>9180</v>
      </c>
      <c r="E418" s="17" t="s">
        <v>92</v>
      </c>
      <c r="F418" s="17" t="s">
        <v>92</v>
      </c>
      <c r="G418" s="17" t="s">
        <v>92</v>
      </c>
      <c r="H418" s="17" t="s">
        <v>92</v>
      </c>
      <c r="I418" s="39"/>
      <c r="J418" s="42"/>
      <c r="K418" s="88"/>
      <c r="L418" s="42"/>
      <c r="M418" s="43"/>
      <c r="Q418" s="2"/>
      <c r="R418" s="24"/>
      <c r="S418" s="24"/>
      <c r="T418" s="24"/>
    </row>
    <row r="419" spans="1:20" x14ac:dyDescent="0.25">
      <c r="A419" s="2">
        <v>44798</v>
      </c>
      <c r="B419" s="20">
        <v>2832</v>
      </c>
      <c r="C419" s="20">
        <v>344</v>
      </c>
      <c r="D419" s="20">
        <v>9214</v>
      </c>
      <c r="E419" s="17" t="s">
        <v>92</v>
      </c>
      <c r="F419" s="17" t="s">
        <v>92</v>
      </c>
      <c r="G419" s="17" t="s">
        <v>92</v>
      </c>
      <c r="H419" s="17" t="s">
        <v>92</v>
      </c>
      <c r="I419" s="39"/>
      <c r="J419" s="42"/>
      <c r="K419" s="88"/>
      <c r="L419" s="42"/>
      <c r="M419" s="43"/>
      <c r="Q419" s="2"/>
      <c r="R419" s="24"/>
      <c r="S419" s="24"/>
      <c r="T419" s="24"/>
    </row>
    <row r="420" spans="1:20" x14ac:dyDescent="0.25">
      <c r="A420" s="2">
        <v>44797</v>
      </c>
      <c r="B420" s="20">
        <v>2800</v>
      </c>
      <c r="C420" s="20">
        <v>337</v>
      </c>
      <c r="D420" s="20">
        <v>9182</v>
      </c>
      <c r="E420" s="17" t="s">
        <v>92</v>
      </c>
      <c r="F420" s="17" t="s">
        <v>92</v>
      </c>
      <c r="G420" s="17" t="s">
        <v>92</v>
      </c>
      <c r="H420" s="17" t="s">
        <v>92</v>
      </c>
      <c r="I420" s="39"/>
      <c r="J420" s="42"/>
      <c r="K420" s="88"/>
      <c r="L420" s="42"/>
      <c r="M420" s="43"/>
      <c r="Q420" s="2"/>
      <c r="R420" s="24"/>
      <c r="S420" s="24"/>
      <c r="T420" s="24"/>
    </row>
    <row r="421" spans="1:20" x14ac:dyDescent="0.25">
      <c r="A421" s="2">
        <v>44796</v>
      </c>
      <c r="B421" s="20">
        <v>2802</v>
      </c>
      <c r="C421" s="29">
        <v>333.5</v>
      </c>
      <c r="D421" s="20">
        <v>9172</v>
      </c>
      <c r="E421" s="17" t="s">
        <v>92</v>
      </c>
      <c r="F421" s="17" t="s">
        <v>92</v>
      </c>
      <c r="G421" s="17" t="s">
        <v>92</v>
      </c>
      <c r="H421" s="17" t="s">
        <v>92</v>
      </c>
      <c r="I421" s="39"/>
      <c r="J421" s="42"/>
      <c r="K421" s="88"/>
      <c r="L421" s="42"/>
      <c r="M421" s="43"/>
      <c r="Q421" s="2"/>
      <c r="R421" s="24"/>
      <c r="S421" s="24"/>
      <c r="T421" s="24"/>
    </row>
    <row r="422" spans="1:20" x14ac:dyDescent="0.25">
      <c r="A422" s="2">
        <v>44795</v>
      </c>
      <c r="B422" s="20">
        <v>2804</v>
      </c>
      <c r="C422" s="20">
        <v>330</v>
      </c>
      <c r="D422" s="20">
        <v>8984</v>
      </c>
      <c r="E422" s="17" t="s">
        <v>92</v>
      </c>
      <c r="F422" s="17" t="s">
        <v>92</v>
      </c>
      <c r="G422" s="17" t="s">
        <v>92</v>
      </c>
      <c r="H422" s="17" t="s">
        <v>92</v>
      </c>
      <c r="I422" s="39"/>
      <c r="J422" s="42"/>
      <c r="K422" s="88"/>
      <c r="L422" s="42"/>
      <c r="M422" s="43"/>
      <c r="Q422" s="2"/>
      <c r="R422" s="24"/>
      <c r="S422" s="24"/>
      <c r="T422" s="24"/>
    </row>
    <row r="423" spans="1:20" x14ac:dyDescent="0.25">
      <c r="A423" s="2">
        <v>44792</v>
      </c>
      <c r="B423" s="20">
        <v>2834</v>
      </c>
      <c r="C423" s="20">
        <v>325</v>
      </c>
      <c r="D423" s="20">
        <v>9148</v>
      </c>
      <c r="E423" s="17" t="s">
        <v>92</v>
      </c>
      <c r="F423" s="17" t="s">
        <v>92</v>
      </c>
      <c r="G423" s="17" t="s">
        <v>92</v>
      </c>
      <c r="H423" s="17" t="s">
        <v>92</v>
      </c>
      <c r="I423" s="39"/>
      <c r="J423" s="42"/>
      <c r="K423" s="88"/>
      <c r="L423" s="42"/>
      <c r="M423" s="43"/>
      <c r="Q423" s="2"/>
      <c r="R423" s="24"/>
      <c r="S423" s="24"/>
      <c r="T423" s="24"/>
    </row>
    <row r="424" spans="1:20" x14ac:dyDescent="0.25">
      <c r="A424" s="2">
        <v>44791</v>
      </c>
      <c r="B424" s="20">
        <v>2810</v>
      </c>
      <c r="C424" s="20">
        <v>327</v>
      </c>
      <c r="D424" s="20">
        <v>9216</v>
      </c>
      <c r="E424" s="17" t="s">
        <v>92</v>
      </c>
      <c r="F424" s="17" t="s">
        <v>92</v>
      </c>
      <c r="G424" s="17" t="s">
        <v>92</v>
      </c>
      <c r="H424" s="17" t="s">
        <v>92</v>
      </c>
      <c r="I424" s="39"/>
      <c r="J424" s="42"/>
      <c r="K424" s="88"/>
      <c r="L424" s="42"/>
      <c r="M424" s="43"/>
      <c r="Q424" s="2"/>
      <c r="R424" s="24"/>
      <c r="S424" s="24"/>
      <c r="T424" s="24"/>
    </row>
    <row r="425" spans="1:20" x14ac:dyDescent="0.25">
      <c r="A425" s="2">
        <v>44790</v>
      </c>
      <c r="B425" s="20">
        <v>2862</v>
      </c>
      <c r="C425" s="20">
        <v>320</v>
      </c>
      <c r="D425" s="20">
        <v>8990</v>
      </c>
      <c r="E425" s="17" t="s">
        <v>92</v>
      </c>
      <c r="F425" s="17" t="s">
        <v>92</v>
      </c>
      <c r="G425" s="17" t="s">
        <v>92</v>
      </c>
      <c r="H425" s="17" t="s">
        <v>92</v>
      </c>
      <c r="I425" s="39"/>
      <c r="J425" s="42"/>
      <c r="K425" s="88"/>
      <c r="L425" s="42"/>
      <c r="M425" s="43"/>
      <c r="Q425" s="2"/>
      <c r="R425" s="24"/>
      <c r="S425" s="24"/>
      <c r="T425" s="24"/>
    </row>
    <row r="426" spans="1:20" x14ac:dyDescent="0.25">
      <c r="A426" s="2">
        <v>44789</v>
      </c>
      <c r="B426" s="20">
        <v>2916</v>
      </c>
      <c r="C426" s="20">
        <v>320</v>
      </c>
      <c r="D426" s="20">
        <v>9212</v>
      </c>
      <c r="E426" s="17" t="s">
        <v>92</v>
      </c>
      <c r="F426" s="17" t="s">
        <v>92</v>
      </c>
      <c r="G426" s="17" t="s">
        <v>92</v>
      </c>
      <c r="H426" s="17" t="s">
        <v>92</v>
      </c>
      <c r="I426" s="39"/>
      <c r="J426" s="42"/>
      <c r="K426" s="88"/>
      <c r="L426" s="42"/>
      <c r="M426" s="43"/>
      <c r="Q426" s="2"/>
      <c r="R426" s="24"/>
      <c r="S426" s="24"/>
      <c r="T426" s="24"/>
    </row>
    <row r="427" spans="1:20" x14ac:dyDescent="0.25">
      <c r="A427" s="2">
        <v>44788</v>
      </c>
      <c r="B427" s="20">
        <v>2886</v>
      </c>
      <c r="C427" s="20">
        <v>319</v>
      </c>
      <c r="D427" s="20">
        <v>8976</v>
      </c>
      <c r="E427" s="17" t="s">
        <v>92</v>
      </c>
      <c r="F427" s="17" t="s">
        <v>92</v>
      </c>
      <c r="G427" s="17" t="s">
        <v>92</v>
      </c>
      <c r="H427" s="17" t="s">
        <v>92</v>
      </c>
      <c r="I427" s="39"/>
      <c r="J427" s="42"/>
      <c r="K427" s="88"/>
      <c r="L427" s="42"/>
      <c r="M427" s="43"/>
      <c r="Q427" s="2"/>
      <c r="R427" s="24"/>
      <c r="S427" s="24"/>
      <c r="T427" s="24"/>
    </row>
    <row r="428" spans="1:20" x14ac:dyDescent="0.25">
      <c r="A428" s="2">
        <v>44785</v>
      </c>
      <c r="B428" s="20">
        <v>2886</v>
      </c>
      <c r="C428" s="20">
        <v>321</v>
      </c>
      <c r="D428" s="20">
        <v>9358</v>
      </c>
      <c r="E428" s="17" t="s">
        <v>92</v>
      </c>
      <c r="F428" s="17" t="s">
        <v>92</v>
      </c>
      <c r="G428" s="17" t="s">
        <v>92</v>
      </c>
      <c r="H428" s="17" t="s">
        <v>92</v>
      </c>
      <c r="I428" s="39"/>
      <c r="J428" s="42"/>
      <c r="K428" s="88"/>
      <c r="L428" s="42"/>
      <c r="M428" s="43"/>
      <c r="Q428" s="2"/>
      <c r="R428" s="24"/>
      <c r="S428" s="24"/>
      <c r="T428" s="24"/>
    </row>
    <row r="429" spans="1:20" x14ac:dyDescent="0.25">
      <c r="A429" s="2">
        <v>44784</v>
      </c>
      <c r="B429" s="20">
        <v>2954</v>
      </c>
      <c r="C429" s="29">
        <v>318.5</v>
      </c>
      <c r="D429" s="20">
        <v>9520</v>
      </c>
      <c r="E429" s="17" t="s">
        <v>92</v>
      </c>
      <c r="F429" s="17" t="s">
        <v>92</v>
      </c>
      <c r="G429" s="17" t="s">
        <v>92</v>
      </c>
      <c r="H429" s="17" t="s">
        <v>92</v>
      </c>
      <c r="I429" s="39"/>
      <c r="J429" s="42"/>
      <c r="K429" s="88"/>
      <c r="L429" s="42"/>
      <c r="M429" s="43"/>
      <c r="Q429" s="2"/>
      <c r="R429" s="24"/>
      <c r="S429" s="24"/>
      <c r="T429" s="24"/>
    </row>
    <row r="430" spans="1:20" x14ac:dyDescent="0.25">
      <c r="A430" s="2">
        <v>44783</v>
      </c>
      <c r="B430" s="20">
        <v>2948</v>
      </c>
      <c r="C430" s="20">
        <v>322</v>
      </c>
      <c r="D430" s="20">
        <v>9370</v>
      </c>
      <c r="E430" s="17" t="s">
        <v>92</v>
      </c>
      <c r="F430" s="17" t="s">
        <v>92</v>
      </c>
      <c r="G430" s="17" t="s">
        <v>92</v>
      </c>
      <c r="H430" s="17" t="s">
        <v>92</v>
      </c>
      <c r="I430" s="39"/>
      <c r="J430" s="42"/>
      <c r="K430" s="88"/>
      <c r="L430" s="42"/>
      <c r="M430" s="43"/>
      <c r="Q430" s="2"/>
      <c r="R430" s="24"/>
      <c r="S430" s="24"/>
      <c r="T430" s="24"/>
    </row>
    <row r="431" spans="1:20" x14ac:dyDescent="0.25">
      <c r="A431" s="2">
        <v>44782</v>
      </c>
      <c r="B431" s="20">
        <v>2814</v>
      </c>
      <c r="C431" s="20">
        <v>314</v>
      </c>
      <c r="D431" s="20">
        <v>8918</v>
      </c>
      <c r="E431" s="17" t="s">
        <v>92</v>
      </c>
      <c r="F431" s="17" t="s">
        <v>92</v>
      </c>
      <c r="G431" s="17" t="s">
        <v>92</v>
      </c>
      <c r="H431" s="17" t="s">
        <v>92</v>
      </c>
      <c r="I431" s="39"/>
      <c r="J431" s="42"/>
      <c r="K431" s="88"/>
      <c r="L431" s="42"/>
      <c r="M431" s="43"/>
      <c r="Q431" s="2"/>
      <c r="R431" s="24"/>
      <c r="S431" s="24"/>
      <c r="T431" s="24"/>
    </row>
    <row r="432" spans="1:20" x14ac:dyDescent="0.25">
      <c r="A432" s="2">
        <v>44781</v>
      </c>
      <c r="B432" s="20">
        <v>2936</v>
      </c>
      <c r="C432" s="20">
        <v>316</v>
      </c>
      <c r="D432" s="20">
        <v>9290</v>
      </c>
      <c r="E432" s="17" t="s">
        <v>92</v>
      </c>
      <c r="F432" s="17" t="s">
        <v>92</v>
      </c>
      <c r="G432" s="17" t="s">
        <v>92</v>
      </c>
      <c r="H432" s="17" t="s">
        <v>92</v>
      </c>
      <c r="I432" s="39"/>
      <c r="J432" s="42"/>
      <c r="K432" s="88"/>
      <c r="L432" s="42"/>
      <c r="M432" s="43"/>
      <c r="Q432" s="2"/>
      <c r="R432" s="24"/>
      <c r="S432" s="24"/>
      <c r="T432" s="24"/>
    </row>
    <row r="433" spans="1:20" x14ac:dyDescent="0.25">
      <c r="A433" s="2">
        <v>44778</v>
      </c>
      <c r="B433" s="20">
        <v>2900</v>
      </c>
      <c r="C433" s="20">
        <v>315</v>
      </c>
      <c r="D433" s="20">
        <v>8930</v>
      </c>
      <c r="E433" s="17" t="s">
        <v>92</v>
      </c>
      <c r="F433" s="17" t="s">
        <v>92</v>
      </c>
      <c r="G433" s="17" t="s">
        <v>92</v>
      </c>
      <c r="H433" s="17" t="s">
        <v>92</v>
      </c>
      <c r="I433" s="39"/>
      <c r="J433" s="42"/>
      <c r="K433" s="88"/>
      <c r="L433" s="42"/>
      <c r="M433" s="43"/>
      <c r="Q433" s="2"/>
      <c r="R433" s="24"/>
      <c r="S433" s="24"/>
      <c r="T433" s="24"/>
    </row>
    <row r="434" spans="1:20" x14ac:dyDescent="0.25">
      <c r="A434" s="2">
        <v>44777</v>
      </c>
      <c r="B434" s="20">
        <v>3000</v>
      </c>
      <c r="C434" s="20">
        <v>308</v>
      </c>
      <c r="D434" s="20">
        <v>8636</v>
      </c>
      <c r="E434" s="17" t="s">
        <v>92</v>
      </c>
      <c r="F434" s="17" t="s">
        <v>92</v>
      </c>
      <c r="G434" s="17" t="s">
        <v>92</v>
      </c>
      <c r="H434" s="17" t="s">
        <v>92</v>
      </c>
      <c r="I434" s="39"/>
      <c r="J434" s="42"/>
      <c r="K434" s="88"/>
      <c r="L434" s="42"/>
      <c r="M434" s="43"/>
      <c r="Q434" s="2"/>
      <c r="R434" s="24"/>
      <c r="S434" s="24"/>
      <c r="T434" s="24"/>
    </row>
    <row r="435" spans="1:20" x14ac:dyDescent="0.25">
      <c r="A435" s="2">
        <v>44776</v>
      </c>
      <c r="B435" s="20">
        <v>2936</v>
      </c>
      <c r="C435" s="20">
        <v>312</v>
      </c>
      <c r="D435" s="20">
        <v>8510</v>
      </c>
      <c r="E435" s="17" t="s">
        <v>92</v>
      </c>
      <c r="F435" s="17" t="s">
        <v>92</v>
      </c>
      <c r="G435" s="17" t="s">
        <v>92</v>
      </c>
      <c r="H435" s="17" t="s">
        <v>92</v>
      </c>
      <c r="I435" s="39"/>
      <c r="J435" s="42"/>
      <c r="K435" s="88"/>
      <c r="L435" s="42"/>
      <c r="M435" s="43"/>
      <c r="Q435" s="2"/>
      <c r="R435" s="24"/>
      <c r="S435" s="24"/>
      <c r="T435" s="24"/>
    </row>
    <row r="436" spans="1:20" x14ac:dyDescent="0.25">
      <c r="A436" s="2">
        <v>44775</v>
      </c>
      <c r="B436" s="20">
        <v>2888</v>
      </c>
      <c r="C436" s="20">
        <v>312</v>
      </c>
      <c r="D436" s="20">
        <v>8346</v>
      </c>
      <c r="E436" s="17" t="s">
        <v>92</v>
      </c>
      <c r="F436" s="17" t="s">
        <v>92</v>
      </c>
      <c r="G436" s="17" t="s">
        <v>92</v>
      </c>
      <c r="H436" s="17" t="s">
        <v>92</v>
      </c>
      <c r="I436" s="39"/>
      <c r="J436" s="42"/>
      <c r="K436" s="88"/>
      <c r="L436" s="42"/>
      <c r="M436" s="43"/>
      <c r="Q436" s="2"/>
      <c r="R436" s="24"/>
      <c r="S436" s="24"/>
      <c r="T436" s="24"/>
    </row>
    <row r="437" spans="1:20" x14ac:dyDescent="0.25">
      <c r="A437" s="2">
        <v>44774</v>
      </c>
      <c r="B437" s="20">
        <v>2910</v>
      </c>
      <c r="C437" s="20">
        <v>313</v>
      </c>
      <c r="D437" s="20">
        <v>8380</v>
      </c>
      <c r="E437" s="17" t="s">
        <v>92</v>
      </c>
      <c r="F437" s="17" t="s">
        <v>92</v>
      </c>
      <c r="G437" s="17" t="s">
        <v>92</v>
      </c>
      <c r="H437" s="17" t="s">
        <v>92</v>
      </c>
      <c r="I437" s="39"/>
      <c r="J437" s="42"/>
      <c r="K437" s="88"/>
      <c r="L437" s="42"/>
      <c r="M437" s="43"/>
      <c r="Q437" s="2"/>
      <c r="R437" s="24"/>
      <c r="S437" s="24"/>
      <c r="T437" s="24"/>
    </row>
    <row r="438" spans="1:20" x14ac:dyDescent="0.25">
      <c r="A438" s="2">
        <v>44771</v>
      </c>
      <c r="B438" s="20">
        <v>2906</v>
      </c>
      <c r="C438" s="29">
        <v>312.5</v>
      </c>
      <c r="D438" s="20">
        <v>8120</v>
      </c>
      <c r="E438" s="17" t="s">
        <v>92</v>
      </c>
      <c r="F438" s="17" t="s">
        <v>92</v>
      </c>
      <c r="G438" s="17" t="s">
        <v>92</v>
      </c>
      <c r="H438" s="17" t="s">
        <v>92</v>
      </c>
      <c r="I438" s="39"/>
      <c r="J438" s="42"/>
      <c r="K438" s="88"/>
      <c r="L438" s="42"/>
      <c r="M438" s="43"/>
      <c r="Q438" s="2"/>
      <c r="R438" s="24"/>
      <c r="S438" s="24"/>
      <c r="T438" s="24"/>
    </row>
    <row r="439" spans="1:20" x14ac:dyDescent="0.25">
      <c r="A439" s="2">
        <v>44770</v>
      </c>
      <c r="B439" s="20">
        <v>2880</v>
      </c>
      <c r="C439" s="20">
        <v>310</v>
      </c>
      <c r="D439" s="20">
        <v>7906</v>
      </c>
      <c r="E439" s="17" t="s">
        <v>92</v>
      </c>
      <c r="F439" s="17" t="s">
        <v>92</v>
      </c>
      <c r="G439" s="17" t="s">
        <v>92</v>
      </c>
      <c r="H439" s="17" t="s">
        <v>92</v>
      </c>
      <c r="I439" s="39"/>
      <c r="J439" s="42"/>
      <c r="K439" s="88"/>
      <c r="L439" s="42"/>
      <c r="M439" s="43"/>
      <c r="Q439" s="2"/>
      <c r="R439" s="24"/>
      <c r="S439" s="24"/>
      <c r="T439" s="24"/>
    </row>
    <row r="440" spans="1:20" x14ac:dyDescent="0.25">
      <c r="A440" s="2">
        <v>44769</v>
      </c>
      <c r="B440" s="20">
        <v>2830</v>
      </c>
      <c r="C440" s="29">
        <v>315.5</v>
      </c>
      <c r="D440" s="20">
        <v>7902</v>
      </c>
      <c r="E440" s="17" t="s">
        <v>92</v>
      </c>
      <c r="F440" s="17" t="s">
        <v>92</v>
      </c>
      <c r="G440" s="17" t="s">
        <v>92</v>
      </c>
      <c r="H440" s="17" t="s">
        <v>92</v>
      </c>
      <c r="I440" s="39"/>
      <c r="J440" s="42"/>
      <c r="K440" s="88"/>
      <c r="L440" s="42"/>
      <c r="M440" s="43"/>
      <c r="Q440" s="2"/>
      <c r="R440" s="24"/>
      <c r="S440" s="24"/>
      <c r="T440" s="24"/>
    </row>
    <row r="441" spans="1:20" x14ac:dyDescent="0.25">
      <c r="A441" s="2">
        <v>44768</v>
      </c>
      <c r="B441" s="20">
        <v>2794</v>
      </c>
      <c r="C441" s="20">
        <v>318</v>
      </c>
      <c r="D441" s="20">
        <v>7854</v>
      </c>
      <c r="E441" s="17" t="s">
        <v>92</v>
      </c>
      <c r="F441" s="17" t="s">
        <v>92</v>
      </c>
      <c r="G441" s="17" t="s">
        <v>92</v>
      </c>
      <c r="H441" s="17" t="s">
        <v>92</v>
      </c>
      <c r="I441" s="39"/>
      <c r="J441" s="42"/>
      <c r="K441" s="88"/>
      <c r="L441" s="42"/>
      <c r="M441" s="43"/>
      <c r="Q441" s="2"/>
      <c r="R441" s="24"/>
      <c r="S441" s="24"/>
      <c r="T441" s="24"/>
    </row>
    <row r="442" spans="1:20" x14ac:dyDescent="0.25">
      <c r="A442" s="2">
        <v>44767</v>
      </c>
      <c r="B442" s="20">
        <v>2840</v>
      </c>
      <c r="C442" s="20">
        <v>320</v>
      </c>
      <c r="D442" s="20">
        <v>8158</v>
      </c>
      <c r="E442" s="17" t="s">
        <v>92</v>
      </c>
      <c r="F442" s="17" t="s">
        <v>92</v>
      </c>
      <c r="G442" s="17" t="s">
        <v>92</v>
      </c>
      <c r="H442" s="17" t="s">
        <v>92</v>
      </c>
      <c r="I442" s="39"/>
      <c r="J442" s="42"/>
      <c r="K442" s="88"/>
      <c r="L442" s="42"/>
      <c r="M442" s="43"/>
      <c r="Q442" s="2"/>
      <c r="R442" s="24"/>
      <c r="S442" s="24"/>
      <c r="T442" s="24"/>
    </row>
    <row r="443" spans="1:20" x14ac:dyDescent="0.25">
      <c r="A443" s="2">
        <v>44764</v>
      </c>
      <c r="B443" s="20">
        <v>2928</v>
      </c>
      <c r="C443" s="29">
        <v>324.5</v>
      </c>
      <c r="D443" s="20">
        <v>8142</v>
      </c>
      <c r="E443" s="17" t="s">
        <v>92</v>
      </c>
      <c r="F443" s="17" t="s">
        <v>92</v>
      </c>
      <c r="G443" s="17" t="s">
        <v>92</v>
      </c>
      <c r="H443" s="17" t="s">
        <v>92</v>
      </c>
      <c r="I443" s="39"/>
      <c r="J443" s="42"/>
      <c r="K443" s="88"/>
      <c r="L443" s="42"/>
      <c r="M443" s="43"/>
      <c r="Q443" s="2"/>
      <c r="R443" s="24"/>
      <c r="S443" s="24"/>
      <c r="T443" s="24"/>
    </row>
    <row r="444" spans="1:20" x14ac:dyDescent="0.25">
      <c r="A444" s="2">
        <v>44763</v>
      </c>
      <c r="B444" s="20">
        <v>2888</v>
      </c>
      <c r="C444" s="20">
        <v>323</v>
      </c>
      <c r="D444" s="20">
        <v>8040</v>
      </c>
      <c r="E444" s="17" t="s">
        <v>92</v>
      </c>
      <c r="F444" s="17" t="s">
        <v>92</v>
      </c>
      <c r="G444" s="17" t="s">
        <v>92</v>
      </c>
      <c r="H444" s="17" t="s">
        <v>92</v>
      </c>
      <c r="I444" s="39"/>
      <c r="J444" s="42"/>
      <c r="K444" s="88"/>
      <c r="L444" s="42"/>
      <c r="M444" s="43"/>
      <c r="Q444" s="2"/>
      <c r="R444" s="24"/>
      <c r="S444" s="24"/>
      <c r="T444" s="24"/>
    </row>
    <row r="445" spans="1:20" x14ac:dyDescent="0.25">
      <c r="A445" s="2">
        <v>44762</v>
      </c>
      <c r="B445" s="20">
        <v>2784</v>
      </c>
      <c r="C445" s="20">
        <v>319</v>
      </c>
      <c r="D445" s="20">
        <v>8002</v>
      </c>
      <c r="E445" s="17" t="s">
        <v>92</v>
      </c>
      <c r="F445" s="17" t="s">
        <v>92</v>
      </c>
      <c r="G445" s="17" t="s">
        <v>92</v>
      </c>
      <c r="H445" s="17" t="s">
        <v>92</v>
      </c>
      <c r="I445" s="39"/>
      <c r="J445" s="42"/>
      <c r="K445" s="88"/>
      <c r="L445" s="42"/>
      <c r="M445" s="43"/>
      <c r="Q445" s="2"/>
      <c r="R445" s="24"/>
      <c r="S445" s="24"/>
      <c r="T445" s="24"/>
    </row>
    <row r="446" spans="1:20" x14ac:dyDescent="0.25">
      <c r="A446" s="2">
        <v>44761</v>
      </c>
      <c r="B446" s="20">
        <v>3042</v>
      </c>
      <c r="C446" s="29">
        <v>311.5</v>
      </c>
      <c r="D446" s="20">
        <v>7990</v>
      </c>
      <c r="E446" s="17" t="s">
        <v>92</v>
      </c>
      <c r="F446" s="17" t="s">
        <v>92</v>
      </c>
      <c r="G446" s="17" t="s">
        <v>92</v>
      </c>
      <c r="H446" s="17" t="s">
        <v>92</v>
      </c>
      <c r="I446" s="39"/>
      <c r="J446" s="42"/>
      <c r="K446" s="88"/>
      <c r="L446" s="42"/>
      <c r="M446" s="43"/>
      <c r="Q446" s="2"/>
      <c r="R446" s="24"/>
      <c r="S446" s="24"/>
      <c r="T446" s="24"/>
    </row>
    <row r="447" spans="1:20" x14ac:dyDescent="0.25">
      <c r="A447" s="2">
        <v>44760</v>
      </c>
      <c r="B447" s="20">
        <v>3020</v>
      </c>
      <c r="C447" s="29">
        <v>314.5</v>
      </c>
      <c r="D447" s="20">
        <v>8054</v>
      </c>
      <c r="E447" s="17" t="s">
        <v>92</v>
      </c>
      <c r="F447" s="17" t="s">
        <v>92</v>
      </c>
      <c r="G447" s="17" t="s">
        <v>92</v>
      </c>
      <c r="H447" s="17" t="s">
        <v>92</v>
      </c>
      <c r="I447" s="39"/>
      <c r="J447" s="42"/>
      <c r="K447" s="88"/>
      <c r="L447" s="42"/>
      <c r="M447" s="43"/>
      <c r="Q447" s="2"/>
      <c r="R447" s="24"/>
      <c r="S447" s="24"/>
      <c r="T447" s="24"/>
    </row>
    <row r="448" spans="1:20" x14ac:dyDescent="0.25">
      <c r="A448" s="2">
        <v>44757</v>
      </c>
      <c r="B448" s="20">
        <v>2944</v>
      </c>
      <c r="C448" s="20">
        <v>305</v>
      </c>
      <c r="D448" s="20">
        <v>8124</v>
      </c>
      <c r="E448" s="17" t="s">
        <v>92</v>
      </c>
      <c r="F448" s="17" t="s">
        <v>92</v>
      </c>
      <c r="G448" s="17" t="s">
        <v>92</v>
      </c>
      <c r="H448" s="17" t="s">
        <v>92</v>
      </c>
      <c r="I448" s="39"/>
      <c r="J448" s="42"/>
      <c r="K448" s="88"/>
      <c r="L448" s="42"/>
      <c r="M448" s="43"/>
      <c r="Q448" s="2"/>
      <c r="R448" s="24"/>
      <c r="S448" s="24"/>
      <c r="T448" s="24"/>
    </row>
    <row r="449" spans="1:20" x14ac:dyDescent="0.25">
      <c r="A449" s="2">
        <v>44756</v>
      </c>
      <c r="B449" s="20">
        <v>2900</v>
      </c>
      <c r="C449" s="20">
        <v>300</v>
      </c>
      <c r="D449" s="20">
        <v>8000</v>
      </c>
      <c r="E449" s="17" t="s">
        <v>92</v>
      </c>
      <c r="F449" s="17" t="s">
        <v>92</v>
      </c>
      <c r="G449" s="17" t="s">
        <v>92</v>
      </c>
      <c r="H449" s="17" t="s">
        <v>92</v>
      </c>
      <c r="I449" s="39"/>
      <c r="J449" s="42"/>
      <c r="K449" s="88"/>
      <c r="L449" s="42"/>
      <c r="M449" s="43"/>
      <c r="Q449" s="2"/>
      <c r="R449" s="24"/>
      <c r="S449" s="24"/>
      <c r="T449" s="24"/>
    </row>
    <row r="450" spans="1:20" x14ac:dyDescent="0.25">
      <c r="A450" s="2">
        <v>44755</v>
      </c>
      <c r="B450" s="20">
        <v>2838</v>
      </c>
      <c r="C450" s="20">
        <v>314</v>
      </c>
      <c r="D450" s="20">
        <v>8000</v>
      </c>
      <c r="E450" s="17" t="s">
        <v>92</v>
      </c>
      <c r="F450" s="17" t="s">
        <v>92</v>
      </c>
      <c r="G450" s="17" t="s">
        <v>92</v>
      </c>
      <c r="H450" s="17" t="s">
        <v>92</v>
      </c>
      <c r="I450" s="39"/>
      <c r="J450" s="42"/>
      <c r="K450" s="88"/>
      <c r="L450" s="42"/>
      <c r="M450" s="43"/>
      <c r="Q450" s="2"/>
      <c r="R450" s="24"/>
      <c r="S450" s="24"/>
      <c r="T450" s="24"/>
    </row>
    <row r="451" spans="1:20" x14ac:dyDescent="0.25">
      <c r="A451" s="2">
        <v>44754</v>
      </c>
      <c r="B451" s="20">
        <v>2846</v>
      </c>
      <c r="C451" s="20">
        <v>317</v>
      </c>
      <c r="D451" s="20">
        <v>8000</v>
      </c>
      <c r="E451" s="17" t="s">
        <v>92</v>
      </c>
      <c r="F451" s="17" t="s">
        <v>92</v>
      </c>
      <c r="G451" s="17" t="s">
        <v>92</v>
      </c>
      <c r="H451" s="17" t="s">
        <v>92</v>
      </c>
      <c r="I451" s="39"/>
      <c r="J451" s="42"/>
      <c r="K451" s="88"/>
      <c r="L451" s="42"/>
      <c r="M451" s="43"/>
      <c r="Q451" s="2"/>
      <c r="R451" s="24"/>
      <c r="S451" s="24"/>
      <c r="T451" s="24"/>
    </row>
    <row r="452" spans="1:20" x14ac:dyDescent="0.25">
      <c r="A452" s="2">
        <v>44753</v>
      </c>
      <c r="B452" s="20">
        <v>2872</v>
      </c>
      <c r="C452" s="20">
        <v>329</v>
      </c>
      <c r="D452" s="20">
        <v>8158</v>
      </c>
      <c r="E452" s="17" t="s">
        <v>92</v>
      </c>
      <c r="F452" s="17" t="s">
        <v>92</v>
      </c>
      <c r="G452" s="17" t="s">
        <v>92</v>
      </c>
      <c r="H452" s="17" t="s">
        <v>92</v>
      </c>
      <c r="I452" s="39"/>
      <c r="J452" s="42"/>
      <c r="K452" s="88"/>
      <c r="L452" s="42"/>
      <c r="M452" s="43"/>
      <c r="Q452" s="2"/>
      <c r="R452" s="24"/>
      <c r="S452" s="24"/>
      <c r="T452" s="24"/>
    </row>
    <row r="453" spans="1:20" x14ac:dyDescent="0.25">
      <c r="A453" s="2">
        <v>44750</v>
      </c>
      <c r="B453" s="20">
        <v>2914</v>
      </c>
      <c r="C453" s="20">
        <v>328</v>
      </c>
      <c r="D453" s="20">
        <v>8470</v>
      </c>
      <c r="E453" s="17" t="s">
        <v>92</v>
      </c>
      <c r="F453" s="17" t="s">
        <v>92</v>
      </c>
      <c r="G453" s="17" t="s">
        <v>92</v>
      </c>
      <c r="H453" s="17" t="s">
        <v>92</v>
      </c>
      <c r="I453" s="39"/>
      <c r="J453" s="42"/>
      <c r="K453" s="88"/>
      <c r="L453" s="42"/>
      <c r="M453" s="43"/>
      <c r="Q453" s="2"/>
      <c r="R453" s="24"/>
      <c r="S453" s="24"/>
      <c r="T453" s="24"/>
    </row>
    <row r="454" spans="1:20" x14ac:dyDescent="0.25">
      <c r="A454" s="2">
        <v>44749</v>
      </c>
      <c r="B454" s="20">
        <v>2888</v>
      </c>
      <c r="C454" s="29">
        <v>330.5</v>
      </c>
      <c r="D454" s="20">
        <v>8380</v>
      </c>
      <c r="E454" s="17" t="s">
        <v>92</v>
      </c>
      <c r="F454" s="17" t="s">
        <v>92</v>
      </c>
      <c r="G454" s="17" t="s">
        <v>92</v>
      </c>
      <c r="H454" s="17" t="s">
        <v>92</v>
      </c>
      <c r="I454" s="39"/>
      <c r="J454" s="42"/>
      <c r="K454" s="88"/>
      <c r="L454" s="42"/>
      <c r="M454" s="43"/>
      <c r="Q454" s="2"/>
      <c r="R454" s="24"/>
      <c r="S454" s="24"/>
      <c r="T454" s="24"/>
    </row>
    <row r="455" spans="1:20" x14ac:dyDescent="0.25">
      <c r="A455" s="2">
        <v>44748</v>
      </c>
      <c r="B455" s="20">
        <v>2902</v>
      </c>
      <c r="C455" s="20">
        <v>320</v>
      </c>
      <c r="D455" s="20">
        <v>8158</v>
      </c>
      <c r="E455" s="17" t="s">
        <v>92</v>
      </c>
      <c r="F455" s="17" t="s">
        <v>92</v>
      </c>
      <c r="G455" s="17" t="s">
        <v>92</v>
      </c>
      <c r="H455" s="17" t="s">
        <v>92</v>
      </c>
      <c r="I455" s="39"/>
      <c r="J455" s="42"/>
      <c r="K455" s="88"/>
      <c r="L455" s="42"/>
      <c r="M455" s="43"/>
      <c r="Q455" s="2"/>
      <c r="R455" s="24"/>
      <c r="S455" s="24"/>
      <c r="T455" s="24"/>
    </row>
    <row r="456" spans="1:20" x14ac:dyDescent="0.25">
      <c r="A456" s="2">
        <v>44747</v>
      </c>
      <c r="B456" s="20">
        <v>2932</v>
      </c>
      <c r="C456" s="20">
        <v>325</v>
      </c>
      <c r="D456" s="20">
        <v>8152</v>
      </c>
      <c r="E456" s="17" t="s">
        <v>92</v>
      </c>
      <c r="F456" s="17" t="s">
        <v>92</v>
      </c>
      <c r="G456" s="17" t="s">
        <v>92</v>
      </c>
      <c r="H456" s="17" t="s">
        <v>92</v>
      </c>
      <c r="I456" s="39"/>
      <c r="J456" s="42"/>
      <c r="K456" s="88"/>
      <c r="L456" s="42"/>
      <c r="M456" s="43"/>
      <c r="Q456" s="2"/>
      <c r="R456" s="24"/>
      <c r="S456" s="24"/>
      <c r="T456" s="24"/>
    </row>
    <row r="457" spans="1:20" x14ac:dyDescent="0.25">
      <c r="A457" s="2">
        <v>44746</v>
      </c>
      <c r="B457" s="20">
        <v>2950</v>
      </c>
      <c r="C457" s="20">
        <v>333</v>
      </c>
      <c r="D457" s="20">
        <v>8534</v>
      </c>
      <c r="E457" s="17" t="s">
        <v>92</v>
      </c>
      <c r="F457" s="17" t="s">
        <v>92</v>
      </c>
      <c r="G457" s="17" t="s">
        <v>92</v>
      </c>
      <c r="H457" s="17" t="s">
        <v>92</v>
      </c>
      <c r="I457" s="39"/>
      <c r="J457" s="42"/>
      <c r="K457" s="88"/>
      <c r="L457" s="42"/>
      <c r="M457" s="43"/>
      <c r="Q457" s="2"/>
      <c r="R457" s="24"/>
      <c r="S457" s="24"/>
      <c r="T457" s="24"/>
    </row>
    <row r="458" spans="1:20" x14ac:dyDescent="0.25">
      <c r="A458" s="2">
        <v>44743</v>
      </c>
      <c r="B458" s="20">
        <v>2912</v>
      </c>
      <c r="C458" s="20">
        <v>322</v>
      </c>
      <c r="D458" s="20">
        <v>8390</v>
      </c>
      <c r="E458" s="17" t="s">
        <v>92</v>
      </c>
      <c r="F458" s="17" t="s">
        <v>92</v>
      </c>
      <c r="G458" s="17" t="s">
        <v>92</v>
      </c>
      <c r="H458" s="17" t="s">
        <v>92</v>
      </c>
      <c r="I458" s="39"/>
      <c r="J458" s="42"/>
      <c r="K458" s="88"/>
      <c r="L458" s="42"/>
      <c r="M458" s="43"/>
      <c r="Q458" s="2"/>
      <c r="R458" s="24"/>
      <c r="S458" s="24"/>
      <c r="T458" s="24"/>
    </row>
    <row r="459" spans="1:20" x14ac:dyDescent="0.25">
      <c r="A459" s="2">
        <v>44742</v>
      </c>
      <c r="B459" s="20">
        <v>2918</v>
      </c>
      <c r="C459" s="20">
        <v>320</v>
      </c>
      <c r="D459" s="20">
        <v>8422</v>
      </c>
      <c r="E459" s="17" t="s">
        <v>92</v>
      </c>
      <c r="F459" s="17" t="s">
        <v>92</v>
      </c>
      <c r="G459" s="17" t="s">
        <v>92</v>
      </c>
      <c r="H459" s="17" t="s">
        <v>92</v>
      </c>
      <c r="I459" s="39"/>
      <c r="J459" s="42"/>
      <c r="K459" s="88"/>
      <c r="L459" s="42"/>
      <c r="M459" s="43"/>
      <c r="Q459" s="2"/>
      <c r="R459" s="24"/>
      <c r="S459" s="24"/>
      <c r="T459" s="24"/>
    </row>
    <row r="460" spans="1:20" x14ac:dyDescent="0.25">
      <c r="A460" s="2">
        <v>44741</v>
      </c>
      <c r="B460" s="20">
        <v>2970</v>
      </c>
      <c r="C460" s="20">
        <v>318</v>
      </c>
      <c r="D460" s="20">
        <v>8488</v>
      </c>
      <c r="E460" s="17" t="s">
        <v>92</v>
      </c>
      <c r="F460" s="17" t="s">
        <v>92</v>
      </c>
      <c r="G460" s="17" t="s">
        <v>92</v>
      </c>
      <c r="H460" s="17" t="s">
        <v>92</v>
      </c>
      <c r="I460" s="39"/>
      <c r="J460" s="42"/>
      <c r="K460" s="88"/>
      <c r="L460" s="42"/>
      <c r="M460" s="43"/>
      <c r="Q460" s="2"/>
      <c r="R460" s="24"/>
      <c r="S460" s="24"/>
      <c r="T460" s="24"/>
    </row>
    <row r="461" spans="1:20" x14ac:dyDescent="0.25">
      <c r="A461" s="2">
        <v>44740</v>
      </c>
      <c r="B461" s="20">
        <v>2992</v>
      </c>
      <c r="C461" s="29">
        <v>325.5</v>
      </c>
      <c r="D461" s="20">
        <v>8750</v>
      </c>
      <c r="E461" s="17" t="s">
        <v>92</v>
      </c>
      <c r="F461" s="17" t="s">
        <v>92</v>
      </c>
      <c r="G461" s="17" t="s">
        <v>92</v>
      </c>
      <c r="H461" s="17" t="s">
        <v>92</v>
      </c>
      <c r="I461" s="39"/>
      <c r="J461" s="42"/>
      <c r="K461" s="88"/>
      <c r="L461" s="42"/>
      <c r="M461" s="43"/>
      <c r="Q461" s="2"/>
      <c r="R461" s="24"/>
      <c r="S461" s="24"/>
      <c r="T461" s="24"/>
    </row>
    <row r="462" spans="1:20" x14ac:dyDescent="0.25">
      <c r="A462" s="2">
        <v>44739</v>
      </c>
      <c r="B462" s="20">
        <v>2912</v>
      </c>
      <c r="C462" s="20">
        <v>328</v>
      </c>
      <c r="D462" s="20">
        <v>8418</v>
      </c>
      <c r="E462" s="17" t="s">
        <v>92</v>
      </c>
      <c r="F462" s="17" t="s">
        <v>92</v>
      </c>
      <c r="G462" s="17" t="s">
        <v>92</v>
      </c>
      <c r="H462" s="17" t="s">
        <v>92</v>
      </c>
      <c r="I462" s="39"/>
      <c r="J462" s="42"/>
      <c r="K462" s="88"/>
      <c r="L462" s="42"/>
      <c r="M462" s="43"/>
      <c r="Q462" s="2"/>
      <c r="R462" s="24"/>
      <c r="S462" s="24"/>
      <c r="T462" s="24"/>
    </row>
    <row r="463" spans="1:20" x14ac:dyDescent="0.25">
      <c r="A463" s="2">
        <v>44736</v>
      </c>
      <c r="B463" s="20">
        <v>2926</v>
      </c>
      <c r="C463" s="29">
        <v>331.5</v>
      </c>
      <c r="D463" s="20">
        <v>8400</v>
      </c>
      <c r="E463" s="17" t="s">
        <v>92</v>
      </c>
      <c r="F463" s="17" t="s">
        <v>92</v>
      </c>
      <c r="G463" s="17" t="s">
        <v>92</v>
      </c>
      <c r="H463" s="17" t="s">
        <v>92</v>
      </c>
      <c r="I463" s="39"/>
      <c r="J463" s="42"/>
      <c r="K463" s="88"/>
      <c r="L463" s="42"/>
      <c r="M463" s="43"/>
      <c r="Q463" s="2"/>
      <c r="R463" s="24"/>
      <c r="S463" s="24"/>
      <c r="T463" s="24"/>
    </row>
    <row r="464" spans="1:20" x14ac:dyDescent="0.25">
      <c r="A464" s="2">
        <v>44735</v>
      </c>
      <c r="B464" s="20">
        <v>2930</v>
      </c>
      <c r="C464" s="29">
        <v>335.5</v>
      </c>
      <c r="D464" s="20">
        <v>8354</v>
      </c>
      <c r="E464" s="17" t="s">
        <v>92</v>
      </c>
      <c r="F464" s="17" t="s">
        <v>92</v>
      </c>
      <c r="G464" s="17" t="s">
        <v>92</v>
      </c>
      <c r="H464" s="17" t="s">
        <v>92</v>
      </c>
      <c r="I464" s="39"/>
      <c r="J464" s="42"/>
      <c r="K464" s="88"/>
      <c r="L464" s="42"/>
      <c r="M464" s="43"/>
      <c r="Q464" s="2"/>
      <c r="R464" s="24"/>
      <c r="S464" s="24"/>
      <c r="T464" s="24"/>
    </row>
    <row r="465" spans="1:20" x14ac:dyDescent="0.25">
      <c r="A465" s="2">
        <v>44734</v>
      </c>
      <c r="B465" s="20">
        <v>2914</v>
      </c>
      <c r="C465" s="20">
        <v>335</v>
      </c>
      <c r="D465" s="20">
        <v>8530</v>
      </c>
      <c r="E465" s="17" t="s">
        <v>92</v>
      </c>
      <c r="F465" s="17" t="s">
        <v>92</v>
      </c>
      <c r="G465" s="17" t="s">
        <v>92</v>
      </c>
      <c r="H465" s="17" t="s">
        <v>92</v>
      </c>
      <c r="I465" s="39"/>
      <c r="J465" s="42"/>
      <c r="K465" s="88"/>
      <c r="L465" s="42"/>
      <c r="M465" s="43"/>
      <c r="Q465" s="2"/>
      <c r="R465" s="24"/>
      <c r="S465" s="24"/>
      <c r="T465" s="24"/>
    </row>
    <row r="466" spans="1:20" x14ac:dyDescent="0.25">
      <c r="A466" s="2">
        <v>44733</v>
      </c>
      <c r="B466" s="20">
        <v>3030</v>
      </c>
      <c r="C466" s="20">
        <v>342</v>
      </c>
      <c r="D466" s="20">
        <v>8760</v>
      </c>
      <c r="E466" s="17" t="s">
        <v>92</v>
      </c>
      <c r="F466" s="17" t="s">
        <v>92</v>
      </c>
      <c r="G466" s="17" t="s">
        <v>92</v>
      </c>
      <c r="H466" s="17" t="s">
        <v>92</v>
      </c>
      <c r="I466" s="39"/>
      <c r="J466" s="42"/>
      <c r="K466" s="88"/>
      <c r="L466" s="42"/>
      <c r="M466" s="43"/>
      <c r="Q466" s="2"/>
      <c r="R466" s="24"/>
      <c r="S466" s="24"/>
      <c r="T466" s="24"/>
    </row>
    <row r="467" spans="1:20" x14ac:dyDescent="0.25">
      <c r="A467" s="2">
        <v>44732</v>
      </c>
      <c r="B467" s="20">
        <v>2900</v>
      </c>
      <c r="C467" s="20">
        <v>343</v>
      </c>
      <c r="D467" s="20">
        <v>8584</v>
      </c>
      <c r="E467" s="17" t="s">
        <v>92</v>
      </c>
      <c r="F467" s="17" t="s">
        <v>92</v>
      </c>
      <c r="G467" s="17" t="s">
        <v>92</v>
      </c>
      <c r="H467" s="17" t="s">
        <v>92</v>
      </c>
      <c r="I467" s="39"/>
      <c r="J467" s="42"/>
      <c r="K467" s="88"/>
      <c r="L467" s="42"/>
      <c r="M467" s="43"/>
      <c r="Q467" s="2"/>
      <c r="R467" s="24"/>
      <c r="S467" s="24"/>
      <c r="T467" s="24"/>
    </row>
    <row r="468" spans="1:20" x14ac:dyDescent="0.25">
      <c r="A468" s="2">
        <v>44729</v>
      </c>
      <c r="B468" s="20">
        <v>2892</v>
      </c>
      <c r="C468" s="20">
        <v>339</v>
      </c>
      <c r="D468" s="20">
        <v>8458</v>
      </c>
      <c r="E468" s="17" t="s">
        <v>92</v>
      </c>
      <c r="F468" s="17" t="s">
        <v>92</v>
      </c>
      <c r="G468" s="17" t="s">
        <v>92</v>
      </c>
      <c r="H468" s="17" t="s">
        <v>92</v>
      </c>
      <c r="I468" s="39"/>
      <c r="J468" s="42"/>
      <c r="K468" s="88"/>
      <c r="L468" s="42"/>
      <c r="M468" s="43"/>
      <c r="Q468" s="2"/>
      <c r="R468" s="24"/>
      <c r="S468" s="24"/>
      <c r="T468" s="24"/>
    </row>
    <row r="469" spans="1:20" x14ac:dyDescent="0.25">
      <c r="A469" s="2">
        <v>44728</v>
      </c>
      <c r="B469" s="20">
        <v>2900</v>
      </c>
      <c r="C469" s="29">
        <v>335.5</v>
      </c>
      <c r="D469" s="20">
        <v>8502</v>
      </c>
      <c r="E469" s="17" t="s">
        <v>92</v>
      </c>
      <c r="F469" s="17" t="s">
        <v>92</v>
      </c>
      <c r="G469" s="17" t="s">
        <v>92</v>
      </c>
      <c r="H469" s="17" t="s">
        <v>92</v>
      </c>
      <c r="I469" s="39"/>
      <c r="J469" s="42"/>
      <c r="K469" s="88"/>
      <c r="L469" s="42"/>
      <c r="M469" s="43"/>
      <c r="Q469" s="2"/>
      <c r="R469" s="24"/>
      <c r="S469" s="24"/>
      <c r="T469" s="24"/>
    </row>
    <row r="470" spans="1:20" x14ac:dyDescent="0.25">
      <c r="A470" s="2">
        <v>44727</v>
      </c>
      <c r="B470" s="20">
        <v>2900</v>
      </c>
      <c r="C470" s="20">
        <v>341</v>
      </c>
      <c r="D470" s="20">
        <v>8510</v>
      </c>
      <c r="E470" s="17" t="s">
        <v>92</v>
      </c>
      <c r="F470" s="17" t="s">
        <v>92</v>
      </c>
      <c r="G470" s="17" t="s">
        <v>92</v>
      </c>
      <c r="H470" s="17" t="s">
        <v>92</v>
      </c>
      <c r="I470" s="39"/>
      <c r="J470" s="42"/>
      <c r="K470" s="88"/>
      <c r="L470" s="42"/>
      <c r="M470" s="43"/>
      <c r="Q470" s="2"/>
      <c r="R470" s="24"/>
      <c r="S470" s="24"/>
      <c r="T470" s="24"/>
    </row>
    <row r="471" spans="1:20" x14ac:dyDescent="0.25">
      <c r="A471" s="2">
        <v>44726</v>
      </c>
      <c r="B471" s="20">
        <v>2794</v>
      </c>
      <c r="C471" s="20">
        <v>345</v>
      </c>
      <c r="D471" s="20">
        <v>8450</v>
      </c>
      <c r="E471" s="17" t="s">
        <v>92</v>
      </c>
      <c r="F471" s="17" t="s">
        <v>92</v>
      </c>
      <c r="G471" s="17" t="s">
        <v>92</v>
      </c>
      <c r="H471" s="17" t="s">
        <v>92</v>
      </c>
      <c r="I471" s="39"/>
      <c r="J471" s="42"/>
      <c r="K471" s="88"/>
      <c r="L471" s="42"/>
      <c r="M471" s="43"/>
      <c r="Q471" s="2"/>
      <c r="R471" s="24"/>
      <c r="S471" s="24"/>
      <c r="T471" s="24"/>
    </row>
    <row r="472" spans="1:20" x14ac:dyDescent="0.25">
      <c r="A472" s="2">
        <v>44725</v>
      </c>
      <c r="B472" s="20">
        <v>2622</v>
      </c>
      <c r="C472" s="20">
        <v>343</v>
      </c>
      <c r="D472" s="20">
        <v>8450</v>
      </c>
      <c r="E472" s="17" t="s">
        <v>92</v>
      </c>
      <c r="F472" s="17" t="s">
        <v>92</v>
      </c>
      <c r="G472" s="17" t="s">
        <v>92</v>
      </c>
      <c r="H472" s="17" t="s">
        <v>92</v>
      </c>
      <c r="I472" s="39"/>
      <c r="J472" s="42"/>
      <c r="K472" s="88"/>
      <c r="L472" s="42"/>
      <c r="M472" s="43"/>
      <c r="Q472" s="2"/>
      <c r="R472" s="24"/>
      <c r="S472" s="24"/>
      <c r="T472" s="24"/>
    </row>
    <row r="473" spans="1:20" x14ac:dyDescent="0.25">
      <c r="A473" s="2">
        <v>44722</v>
      </c>
      <c r="B473" s="20">
        <v>2662</v>
      </c>
      <c r="C473" s="20">
        <v>358</v>
      </c>
      <c r="D473" s="20">
        <v>8762</v>
      </c>
      <c r="E473" s="17" t="s">
        <v>92</v>
      </c>
      <c r="F473" s="17" t="s">
        <v>92</v>
      </c>
      <c r="G473" s="17" t="s">
        <v>92</v>
      </c>
      <c r="H473" s="17" t="s">
        <v>92</v>
      </c>
      <c r="I473" s="39"/>
      <c r="J473" s="42"/>
      <c r="K473" s="88"/>
      <c r="L473" s="42"/>
      <c r="M473" s="43"/>
      <c r="Q473" s="2"/>
      <c r="R473" s="24"/>
      <c r="S473" s="24"/>
      <c r="T473" s="24"/>
    </row>
    <row r="474" spans="1:20" x14ac:dyDescent="0.25">
      <c r="A474" s="2">
        <v>44721</v>
      </c>
      <c r="B474" s="20">
        <v>2746</v>
      </c>
      <c r="C474" s="20">
        <v>367</v>
      </c>
      <c r="D474" s="20">
        <v>8900</v>
      </c>
      <c r="E474" s="17" t="s">
        <v>92</v>
      </c>
      <c r="F474" s="17" t="s">
        <v>92</v>
      </c>
      <c r="G474" s="17" t="s">
        <v>92</v>
      </c>
      <c r="H474" s="17" t="s">
        <v>92</v>
      </c>
      <c r="I474" s="39"/>
      <c r="J474" s="42"/>
      <c r="K474" s="88"/>
      <c r="L474" s="42"/>
      <c r="M474" s="43"/>
      <c r="Q474" s="2"/>
      <c r="R474" s="24"/>
      <c r="S474" s="24"/>
      <c r="T474" s="24"/>
    </row>
    <row r="475" spans="1:20" x14ac:dyDescent="0.25">
      <c r="A475" s="2">
        <v>44720</v>
      </c>
      <c r="B475" s="20">
        <v>2802</v>
      </c>
      <c r="C475" s="20">
        <v>369</v>
      </c>
      <c r="D475" s="20">
        <v>9002</v>
      </c>
      <c r="E475" s="17" t="s">
        <v>92</v>
      </c>
      <c r="F475" s="17" t="s">
        <v>92</v>
      </c>
      <c r="G475" s="17" t="s">
        <v>92</v>
      </c>
      <c r="H475" s="17" t="s">
        <v>92</v>
      </c>
      <c r="I475" s="39"/>
      <c r="J475" s="42"/>
      <c r="K475" s="88"/>
      <c r="L475" s="42"/>
      <c r="M475" s="43"/>
      <c r="Q475" s="2"/>
      <c r="R475" s="24"/>
      <c r="S475" s="24"/>
      <c r="T475" s="24"/>
    </row>
    <row r="476" spans="1:20" x14ac:dyDescent="0.25">
      <c r="A476" s="2">
        <v>44719</v>
      </c>
      <c r="B476" s="20">
        <v>2798</v>
      </c>
      <c r="C476" s="29">
        <v>368.5</v>
      </c>
      <c r="D476" s="20">
        <v>9050</v>
      </c>
      <c r="E476" s="17" t="s">
        <v>92</v>
      </c>
      <c r="F476" s="17" t="s">
        <v>92</v>
      </c>
      <c r="G476" s="17" t="s">
        <v>92</v>
      </c>
      <c r="H476" s="17" t="s">
        <v>92</v>
      </c>
      <c r="I476" s="39"/>
      <c r="J476" s="42"/>
      <c r="K476" s="88"/>
      <c r="L476" s="42"/>
      <c r="M476" s="43"/>
      <c r="Q476" s="2"/>
      <c r="R476" s="24"/>
      <c r="S476" s="24"/>
      <c r="T476" s="24"/>
    </row>
    <row r="477" spans="1:20" x14ac:dyDescent="0.25">
      <c r="A477" s="2">
        <v>44715</v>
      </c>
      <c r="B477" s="20">
        <v>2842</v>
      </c>
      <c r="C477" s="29">
        <v>377.5</v>
      </c>
      <c r="D477" s="20">
        <v>9314</v>
      </c>
      <c r="E477" s="17" t="s">
        <v>92</v>
      </c>
      <c r="F477" s="17" t="s">
        <v>92</v>
      </c>
      <c r="G477" s="17" t="s">
        <v>92</v>
      </c>
      <c r="H477" s="17" t="s">
        <v>92</v>
      </c>
      <c r="I477" s="39"/>
      <c r="J477" s="42"/>
      <c r="K477" s="88"/>
      <c r="L477" s="42"/>
      <c r="M477" s="43"/>
      <c r="Q477" s="2"/>
      <c r="R477" s="24"/>
      <c r="S477" s="24"/>
      <c r="T477" s="24"/>
    </row>
    <row r="478" spans="1:20" x14ac:dyDescent="0.25">
      <c r="A478" s="2">
        <v>44714</v>
      </c>
      <c r="B478" s="20">
        <v>2798</v>
      </c>
      <c r="C478" s="20">
        <v>380</v>
      </c>
      <c r="D478" s="20">
        <v>9194</v>
      </c>
      <c r="E478" s="17" t="s">
        <v>92</v>
      </c>
      <c r="F478" s="17" t="s">
        <v>92</v>
      </c>
      <c r="G478" s="17" t="s">
        <v>92</v>
      </c>
      <c r="H478" s="17" t="s">
        <v>92</v>
      </c>
      <c r="I478" s="39"/>
      <c r="J478" s="42"/>
      <c r="K478" s="88"/>
      <c r="L478" s="42"/>
      <c r="M478" s="43"/>
      <c r="Q478" s="2"/>
      <c r="R478" s="24"/>
      <c r="S478" s="24"/>
      <c r="T478" s="24"/>
    </row>
    <row r="479" spans="1:20" x14ac:dyDescent="0.25">
      <c r="A479" s="2">
        <v>44713</v>
      </c>
      <c r="B479" s="20">
        <v>2770</v>
      </c>
      <c r="C479" s="20">
        <v>382</v>
      </c>
      <c r="D479" s="20">
        <v>9156</v>
      </c>
      <c r="E479" s="17" t="s">
        <v>92</v>
      </c>
      <c r="F479" s="17" t="s">
        <v>92</v>
      </c>
      <c r="G479" s="17" t="s">
        <v>92</v>
      </c>
      <c r="H479" s="17" t="s">
        <v>92</v>
      </c>
      <c r="I479" s="39"/>
      <c r="J479" s="42"/>
      <c r="K479" s="88"/>
      <c r="L479" s="42"/>
      <c r="M479" s="43"/>
      <c r="Q479" s="2"/>
      <c r="R479" s="24"/>
      <c r="S479" s="24"/>
      <c r="T479" s="24"/>
    </row>
    <row r="480" spans="1:20" x14ac:dyDescent="0.25">
      <c r="A480" s="2">
        <v>44712</v>
      </c>
      <c r="B480" s="20">
        <v>2658</v>
      </c>
      <c r="C480" s="20">
        <v>377</v>
      </c>
      <c r="D480" s="20">
        <v>8818</v>
      </c>
      <c r="E480" s="17" t="s">
        <v>92</v>
      </c>
      <c r="F480" s="17" t="s">
        <v>92</v>
      </c>
      <c r="G480" s="17" t="s">
        <v>92</v>
      </c>
      <c r="H480" s="17" t="s">
        <v>92</v>
      </c>
      <c r="I480" s="39"/>
      <c r="J480" s="42"/>
      <c r="K480" s="88"/>
      <c r="L480" s="42"/>
      <c r="M480" s="43"/>
      <c r="Q480" s="2"/>
      <c r="R480" s="24"/>
      <c r="S480" s="24"/>
      <c r="T480" s="24"/>
    </row>
    <row r="481" spans="1:20" x14ac:dyDescent="0.25">
      <c r="A481" s="2">
        <v>44711</v>
      </c>
      <c r="B481" s="20">
        <v>2516</v>
      </c>
      <c r="C481" s="20">
        <v>379</v>
      </c>
      <c r="D481" s="20">
        <v>8800</v>
      </c>
      <c r="E481" s="17" t="s">
        <v>92</v>
      </c>
      <c r="F481" s="17" t="s">
        <v>92</v>
      </c>
      <c r="G481" s="17" t="s">
        <v>92</v>
      </c>
      <c r="H481" s="17" t="s">
        <v>92</v>
      </c>
      <c r="I481" s="39"/>
      <c r="J481" s="42"/>
      <c r="K481" s="88"/>
      <c r="L481" s="42"/>
      <c r="M481" s="43"/>
      <c r="Q481" s="2"/>
      <c r="R481" s="24"/>
      <c r="S481" s="24"/>
      <c r="T481" s="24"/>
    </row>
    <row r="482" spans="1:20" x14ac:dyDescent="0.25">
      <c r="A482" s="2">
        <v>44708</v>
      </c>
      <c r="B482" s="20">
        <v>2560</v>
      </c>
      <c r="C482" s="20">
        <v>373</v>
      </c>
      <c r="D482" s="20">
        <v>8530</v>
      </c>
      <c r="E482" s="17" t="s">
        <v>92</v>
      </c>
      <c r="F482" s="17" t="s">
        <v>92</v>
      </c>
      <c r="G482" s="17" t="s">
        <v>92</v>
      </c>
      <c r="H482" s="17" t="s">
        <v>92</v>
      </c>
      <c r="I482" s="39"/>
      <c r="J482" s="42"/>
      <c r="K482" s="88"/>
      <c r="L482" s="42"/>
      <c r="M482" s="43"/>
      <c r="Q482" s="2"/>
      <c r="R482" s="24"/>
      <c r="S482" s="24"/>
      <c r="T482" s="24"/>
    </row>
    <row r="483" spans="1:20" x14ac:dyDescent="0.25">
      <c r="A483" s="2">
        <v>44707</v>
      </c>
      <c r="B483" s="20">
        <v>2504</v>
      </c>
      <c r="C483" s="20">
        <v>387</v>
      </c>
      <c r="D483" s="20">
        <v>9010</v>
      </c>
      <c r="E483" s="17" t="s">
        <v>92</v>
      </c>
      <c r="F483" s="17" t="s">
        <v>92</v>
      </c>
      <c r="G483" s="17" t="s">
        <v>92</v>
      </c>
      <c r="H483" s="17" t="s">
        <v>92</v>
      </c>
      <c r="I483" s="39"/>
      <c r="J483" s="42"/>
      <c r="K483" s="88"/>
      <c r="L483" s="42"/>
      <c r="M483" s="43"/>
      <c r="Q483" s="2"/>
      <c r="R483" s="24"/>
      <c r="S483" s="24"/>
      <c r="T483" s="24"/>
    </row>
    <row r="484" spans="1:20" x14ac:dyDescent="0.25">
      <c r="A484" s="2">
        <v>44706</v>
      </c>
      <c r="B484" s="20">
        <v>2756</v>
      </c>
      <c r="C484" s="20">
        <v>405</v>
      </c>
      <c r="D484" s="20">
        <v>9812</v>
      </c>
      <c r="E484" s="17" t="s">
        <v>92</v>
      </c>
      <c r="F484" s="17" t="s">
        <v>92</v>
      </c>
      <c r="G484" s="17" t="s">
        <v>92</v>
      </c>
      <c r="H484" s="17" t="s">
        <v>92</v>
      </c>
      <c r="I484" s="39"/>
      <c r="J484" s="42"/>
      <c r="K484" s="88"/>
      <c r="L484" s="42"/>
      <c r="M484" s="43"/>
      <c r="Q484" s="2"/>
      <c r="R484" s="24"/>
      <c r="S484" s="24"/>
      <c r="T484" s="24"/>
    </row>
    <row r="485" spans="1:20" x14ac:dyDescent="0.25">
      <c r="A485" s="2">
        <v>44705</v>
      </c>
      <c r="B485" s="20">
        <v>2872</v>
      </c>
      <c r="C485" s="20">
        <v>419</v>
      </c>
      <c r="D485" s="20">
        <v>10295</v>
      </c>
      <c r="E485" s="17" t="s">
        <v>92</v>
      </c>
      <c r="F485" s="17" t="s">
        <v>92</v>
      </c>
      <c r="G485" s="17" t="s">
        <v>92</v>
      </c>
      <c r="H485" s="17" t="s">
        <v>92</v>
      </c>
      <c r="I485" s="39"/>
      <c r="J485" s="42"/>
      <c r="K485" s="88"/>
      <c r="L485" s="42"/>
      <c r="M485" s="43"/>
      <c r="Q485" s="2"/>
      <c r="R485" s="24"/>
      <c r="S485" s="24"/>
      <c r="T485" s="24"/>
    </row>
    <row r="486" spans="1:20" x14ac:dyDescent="0.25">
      <c r="A486" s="2">
        <v>44704</v>
      </c>
      <c r="B486" s="20">
        <v>2842</v>
      </c>
      <c r="C486" s="20">
        <v>411</v>
      </c>
      <c r="D486" s="20">
        <v>10465</v>
      </c>
      <c r="E486" s="17" t="s">
        <v>92</v>
      </c>
      <c r="F486" s="17" t="s">
        <v>92</v>
      </c>
      <c r="G486" s="17" t="s">
        <v>92</v>
      </c>
      <c r="H486" s="17" t="s">
        <v>92</v>
      </c>
      <c r="I486" s="39"/>
      <c r="J486" s="42"/>
      <c r="K486" s="88"/>
      <c r="L486" s="42"/>
      <c r="M486" s="43"/>
      <c r="Q486" s="2"/>
      <c r="R486" s="24"/>
      <c r="S486" s="24"/>
      <c r="T486" s="24"/>
    </row>
    <row r="487" spans="1:20" x14ac:dyDescent="0.25">
      <c r="A487" s="2">
        <v>44701</v>
      </c>
      <c r="B487" s="20">
        <v>2700</v>
      </c>
      <c r="C487" s="20">
        <v>409</v>
      </c>
      <c r="D487" s="20">
        <v>9904</v>
      </c>
      <c r="E487" s="17" t="s">
        <v>92</v>
      </c>
      <c r="F487" s="17" t="s">
        <v>92</v>
      </c>
      <c r="G487" s="17" t="s">
        <v>92</v>
      </c>
      <c r="H487" s="17" t="s">
        <v>92</v>
      </c>
      <c r="I487" s="39"/>
      <c r="J487" s="42"/>
      <c r="K487" s="88"/>
      <c r="L487" s="42"/>
      <c r="M487" s="43"/>
      <c r="Q487" s="2"/>
      <c r="R487" s="24"/>
      <c r="S487" s="24"/>
      <c r="T487" s="24"/>
    </row>
    <row r="488" spans="1:20" x14ac:dyDescent="0.25">
      <c r="A488" s="2">
        <v>44700</v>
      </c>
      <c r="B488" s="20">
        <v>2716</v>
      </c>
      <c r="C488" s="20">
        <v>410</v>
      </c>
      <c r="D488" s="20">
        <v>10290</v>
      </c>
      <c r="E488" s="17" t="s">
        <v>92</v>
      </c>
      <c r="F488" s="17" t="s">
        <v>92</v>
      </c>
      <c r="G488" s="17" t="s">
        <v>92</v>
      </c>
      <c r="H488" s="17" t="s">
        <v>92</v>
      </c>
      <c r="I488" s="39"/>
      <c r="J488" s="42"/>
      <c r="K488" s="88"/>
      <c r="L488" s="42"/>
      <c r="M488" s="43"/>
      <c r="Q488" s="2"/>
      <c r="R488" s="24"/>
      <c r="S488" s="24"/>
      <c r="T488" s="24"/>
    </row>
    <row r="489" spans="1:20" x14ac:dyDescent="0.25">
      <c r="A489" s="2">
        <v>44699</v>
      </c>
      <c r="B489" s="20">
        <v>2870</v>
      </c>
      <c r="C489" s="20">
        <v>410</v>
      </c>
      <c r="D489" s="20">
        <v>10775</v>
      </c>
      <c r="E489" s="17" t="s">
        <v>92</v>
      </c>
      <c r="F489" s="17" t="s">
        <v>92</v>
      </c>
      <c r="G489" s="17" t="s">
        <v>92</v>
      </c>
      <c r="H489" s="17" t="s">
        <v>92</v>
      </c>
      <c r="I489" s="39"/>
      <c r="J489" s="42"/>
      <c r="K489" s="88"/>
      <c r="L489" s="42"/>
      <c r="M489" s="43"/>
      <c r="Q489" s="2"/>
      <c r="R489" s="24"/>
      <c r="S489" s="24"/>
      <c r="T489" s="24"/>
    </row>
    <row r="490" spans="1:20" x14ac:dyDescent="0.25">
      <c r="A490" s="2">
        <v>44698</v>
      </c>
      <c r="B490" s="20">
        <v>2834</v>
      </c>
      <c r="C490" s="20">
        <v>410</v>
      </c>
      <c r="D490" s="20">
        <v>10580</v>
      </c>
      <c r="E490" s="17" t="s">
        <v>92</v>
      </c>
      <c r="F490" s="17" t="s">
        <v>92</v>
      </c>
      <c r="G490" s="17" t="s">
        <v>92</v>
      </c>
      <c r="H490" s="17" t="s">
        <v>92</v>
      </c>
      <c r="I490" s="39"/>
      <c r="J490" s="42"/>
      <c r="K490" s="88"/>
      <c r="L490" s="42"/>
      <c r="M490" s="43"/>
      <c r="Q490" s="2"/>
      <c r="R490" s="24"/>
      <c r="S490" s="24"/>
      <c r="T490" s="24"/>
    </row>
    <row r="491" spans="1:20" x14ac:dyDescent="0.25">
      <c r="A491" s="2">
        <v>44697</v>
      </c>
      <c r="B491" s="20">
        <v>2800</v>
      </c>
      <c r="C491" s="20">
        <v>412</v>
      </c>
      <c r="D491" s="20">
        <v>10505</v>
      </c>
      <c r="E491" s="17" t="s">
        <v>92</v>
      </c>
      <c r="F491" s="17" t="s">
        <v>92</v>
      </c>
      <c r="G491" s="17" t="s">
        <v>92</v>
      </c>
      <c r="H491" s="17" t="s">
        <v>92</v>
      </c>
      <c r="I491" s="39"/>
      <c r="J491" s="42"/>
      <c r="K491" s="88"/>
      <c r="L491" s="42"/>
      <c r="M491" s="43"/>
      <c r="Q491" s="2"/>
      <c r="R491" s="24"/>
      <c r="S491" s="24"/>
      <c r="T491" s="24"/>
    </row>
    <row r="492" spans="1:20" x14ac:dyDescent="0.25">
      <c r="A492" s="2">
        <v>44694</v>
      </c>
      <c r="B492" s="20">
        <v>2828</v>
      </c>
      <c r="C492" s="29">
        <v>399.5</v>
      </c>
      <c r="D492" s="20">
        <v>10300</v>
      </c>
      <c r="E492" s="17" t="s">
        <v>92</v>
      </c>
      <c r="F492" s="17" t="s">
        <v>92</v>
      </c>
      <c r="G492" s="17" t="s">
        <v>92</v>
      </c>
      <c r="H492" s="17" t="s">
        <v>92</v>
      </c>
      <c r="I492" s="39"/>
      <c r="J492" s="42"/>
      <c r="K492" s="88"/>
      <c r="L492" s="42"/>
      <c r="M492" s="43"/>
      <c r="Q492" s="2"/>
      <c r="R492" s="24"/>
      <c r="S492" s="24"/>
      <c r="T492" s="24"/>
    </row>
    <row r="493" spans="1:20" x14ac:dyDescent="0.25">
      <c r="A493" s="2">
        <v>44693</v>
      </c>
      <c r="B493" s="20">
        <v>2740</v>
      </c>
      <c r="C493" s="20">
        <v>395</v>
      </c>
      <c r="D493" s="20">
        <v>9820</v>
      </c>
      <c r="E493" s="17" t="s">
        <v>92</v>
      </c>
      <c r="F493" s="17" t="s">
        <v>92</v>
      </c>
      <c r="G493" s="17" t="s">
        <v>92</v>
      </c>
      <c r="H493" s="17" t="s">
        <v>92</v>
      </c>
      <c r="I493" s="39"/>
      <c r="J493" s="42"/>
      <c r="K493" s="88"/>
      <c r="L493" s="42"/>
      <c r="M493" s="43"/>
      <c r="Q493" s="2"/>
      <c r="R493" s="24"/>
      <c r="S493" s="24"/>
      <c r="T493" s="24"/>
    </row>
    <row r="494" spans="1:20" x14ac:dyDescent="0.25">
      <c r="A494" s="2">
        <v>44692</v>
      </c>
      <c r="B494" s="20">
        <v>2792</v>
      </c>
      <c r="C494" s="20">
        <v>396</v>
      </c>
      <c r="D494" s="20">
        <v>10185</v>
      </c>
      <c r="E494" s="17" t="s">
        <v>92</v>
      </c>
      <c r="F494" s="17" t="s">
        <v>92</v>
      </c>
      <c r="G494" s="17" t="s">
        <v>92</v>
      </c>
      <c r="H494" s="17" t="s">
        <v>92</v>
      </c>
      <c r="I494" s="39"/>
      <c r="J494" s="42"/>
      <c r="K494" s="88"/>
      <c r="L494" s="42"/>
      <c r="M494" s="43"/>
      <c r="Q494" s="2"/>
      <c r="R494" s="24"/>
      <c r="S494" s="24"/>
      <c r="T494" s="24"/>
    </row>
    <row r="495" spans="1:20" x14ac:dyDescent="0.25">
      <c r="A495" s="2">
        <v>44691</v>
      </c>
      <c r="B495" s="20">
        <v>2770</v>
      </c>
      <c r="C495" s="29">
        <v>399.5</v>
      </c>
      <c r="D495" s="20">
        <v>10000</v>
      </c>
      <c r="E495" s="17" t="s">
        <v>92</v>
      </c>
      <c r="F495" s="17" t="s">
        <v>92</v>
      </c>
      <c r="G495" s="17" t="s">
        <v>92</v>
      </c>
      <c r="H495" s="17" t="s">
        <v>92</v>
      </c>
      <c r="I495" s="39"/>
      <c r="J495" s="42"/>
      <c r="K495" s="88"/>
      <c r="L495" s="42"/>
      <c r="M495" s="43"/>
      <c r="Q495" s="2"/>
      <c r="R495" s="24"/>
      <c r="S495" s="24"/>
      <c r="T495" s="24"/>
    </row>
    <row r="496" spans="1:20" x14ac:dyDescent="0.25">
      <c r="A496" s="2">
        <v>44690</v>
      </c>
      <c r="B496" s="20">
        <v>2878</v>
      </c>
      <c r="C496" s="29">
        <v>395.5</v>
      </c>
      <c r="D496" s="20">
        <v>10325</v>
      </c>
      <c r="E496" s="17" t="s">
        <v>92</v>
      </c>
      <c r="F496" s="17" t="s">
        <v>92</v>
      </c>
      <c r="G496" s="17" t="s">
        <v>92</v>
      </c>
      <c r="H496" s="17" t="s">
        <v>92</v>
      </c>
      <c r="I496" s="39"/>
      <c r="J496" s="42"/>
      <c r="K496" s="88"/>
      <c r="L496" s="42"/>
      <c r="M496" s="43"/>
      <c r="Q496" s="2"/>
      <c r="R496" s="24"/>
      <c r="S496" s="24"/>
      <c r="T496" s="24"/>
    </row>
    <row r="497" spans="1:20" x14ac:dyDescent="0.25">
      <c r="A497" s="2">
        <v>44687</v>
      </c>
      <c r="B497" s="20">
        <v>2928</v>
      </c>
      <c r="C497" s="20">
        <v>400</v>
      </c>
      <c r="D497" s="20">
        <v>10250</v>
      </c>
      <c r="E497" s="17" t="s">
        <v>92</v>
      </c>
      <c r="F497" s="17" t="s">
        <v>92</v>
      </c>
      <c r="G497" s="17" t="s">
        <v>92</v>
      </c>
      <c r="H497" s="17" t="s">
        <v>92</v>
      </c>
      <c r="I497" s="39"/>
      <c r="J497" s="42"/>
      <c r="K497" s="88"/>
      <c r="L497" s="42"/>
      <c r="M497" s="43"/>
      <c r="Q497" s="2"/>
      <c r="R497" s="24"/>
      <c r="S497" s="24"/>
      <c r="T497" s="24"/>
    </row>
    <row r="498" spans="1:20" x14ac:dyDescent="0.25">
      <c r="A498" s="2">
        <v>44686</v>
      </c>
      <c r="B498" s="20">
        <v>2990</v>
      </c>
      <c r="C498" s="20">
        <v>389</v>
      </c>
      <c r="D498" s="20">
        <v>10500</v>
      </c>
      <c r="E498" s="17" t="s">
        <v>92</v>
      </c>
      <c r="F498" s="17" t="s">
        <v>92</v>
      </c>
      <c r="G498" s="17" t="s">
        <v>92</v>
      </c>
      <c r="H498" s="17" t="s">
        <v>92</v>
      </c>
      <c r="I498" s="39"/>
      <c r="J498" s="42"/>
      <c r="K498" s="88"/>
      <c r="L498" s="42"/>
      <c r="M498" s="43"/>
      <c r="Q498" s="2"/>
      <c r="R498" s="24"/>
      <c r="S498" s="24"/>
      <c r="T498" s="24"/>
    </row>
    <row r="499" spans="1:20" x14ac:dyDescent="0.25">
      <c r="A499" s="2">
        <v>44685</v>
      </c>
      <c r="B499" s="20">
        <v>3028</v>
      </c>
      <c r="C499" s="20">
        <v>387</v>
      </c>
      <c r="D499" s="20">
        <v>10700</v>
      </c>
      <c r="E499" s="17" t="s">
        <v>92</v>
      </c>
      <c r="F499" s="17" t="s">
        <v>92</v>
      </c>
      <c r="G499" s="17" t="s">
        <v>92</v>
      </c>
      <c r="H499" s="17" t="s">
        <v>92</v>
      </c>
      <c r="I499" s="39"/>
      <c r="J499" s="42"/>
      <c r="K499" s="88"/>
      <c r="L499" s="42"/>
      <c r="M499" s="43"/>
      <c r="Q499" s="2"/>
      <c r="R499" s="24"/>
      <c r="S499" s="24"/>
      <c r="T499" s="24"/>
    </row>
    <row r="500" spans="1:20" x14ac:dyDescent="0.25">
      <c r="A500" s="2">
        <v>44684</v>
      </c>
      <c r="B500" s="20">
        <v>3032</v>
      </c>
      <c r="C500" s="20">
        <v>385</v>
      </c>
      <c r="D500" s="20">
        <v>11000</v>
      </c>
      <c r="E500" s="17" t="s">
        <v>92</v>
      </c>
      <c r="F500" s="17" t="s">
        <v>92</v>
      </c>
      <c r="G500" s="17" t="s">
        <v>92</v>
      </c>
      <c r="H500" s="17" t="s">
        <v>92</v>
      </c>
      <c r="I500" s="39"/>
      <c r="J500" s="42"/>
      <c r="K500" s="88"/>
      <c r="L500" s="42"/>
      <c r="M500" s="43"/>
      <c r="Q500" s="2"/>
      <c r="R500" s="24"/>
      <c r="S500" s="24"/>
      <c r="T500" s="24"/>
    </row>
    <row r="501" spans="1:20" x14ac:dyDescent="0.25">
      <c r="A501" s="2">
        <v>44683</v>
      </c>
      <c r="B501" s="20">
        <v>2910</v>
      </c>
      <c r="C501" s="20">
        <v>384</v>
      </c>
      <c r="D501" s="20">
        <v>10700</v>
      </c>
      <c r="E501" s="17" t="s">
        <v>92</v>
      </c>
      <c r="F501" s="17" t="s">
        <v>92</v>
      </c>
      <c r="G501" s="17" t="s">
        <v>92</v>
      </c>
      <c r="H501" s="17" t="s">
        <v>92</v>
      </c>
      <c r="I501" s="39"/>
      <c r="J501" s="42"/>
      <c r="K501" s="88"/>
      <c r="L501" s="42"/>
      <c r="M501" s="43"/>
      <c r="Q501" s="2"/>
      <c r="R501" s="24"/>
      <c r="S501" s="24"/>
      <c r="T501" s="24"/>
    </row>
    <row r="502" spans="1:20" x14ac:dyDescent="0.25">
      <c r="A502" s="2">
        <v>44680</v>
      </c>
      <c r="B502" s="20">
        <v>3058</v>
      </c>
      <c r="C502" s="29">
        <v>388.5</v>
      </c>
      <c r="D502" s="20">
        <v>10800</v>
      </c>
      <c r="E502" s="17" t="s">
        <v>92</v>
      </c>
      <c r="F502" s="17" t="s">
        <v>92</v>
      </c>
      <c r="G502" s="17" t="s">
        <v>92</v>
      </c>
      <c r="H502" s="17" t="s">
        <v>92</v>
      </c>
      <c r="I502" s="39"/>
      <c r="J502" s="42"/>
      <c r="K502" s="88"/>
      <c r="L502" s="42"/>
      <c r="M502" s="43"/>
      <c r="Q502" s="2"/>
      <c r="R502" s="24"/>
      <c r="S502" s="24"/>
      <c r="T502" s="24"/>
    </row>
    <row r="503" spans="1:20" x14ac:dyDescent="0.25">
      <c r="A503" s="2">
        <v>44679</v>
      </c>
      <c r="B503" s="20">
        <v>3070</v>
      </c>
      <c r="C503" s="29">
        <v>387.5</v>
      </c>
      <c r="D503" s="20">
        <v>11030</v>
      </c>
      <c r="E503" s="17" t="s">
        <v>92</v>
      </c>
      <c r="F503" s="17" t="s">
        <v>92</v>
      </c>
      <c r="G503" s="17" t="s">
        <v>92</v>
      </c>
      <c r="H503" s="17" t="s">
        <v>92</v>
      </c>
      <c r="I503" s="39"/>
      <c r="J503" s="42"/>
      <c r="K503" s="88"/>
      <c r="L503" s="42"/>
      <c r="M503" s="43"/>
      <c r="Q503" s="2"/>
      <c r="R503" s="24"/>
      <c r="S503" s="24"/>
      <c r="T503" s="24"/>
    </row>
    <row r="504" spans="1:20" x14ac:dyDescent="0.25">
      <c r="A504" s="2">
        <v>44678</v>
      </c>
      <c r="B504" s="20">
        <v>2980</v>
      </c>
      <c r="C504" s="20">
        <v>400</v>
      </c>
      <c r="D504" s="20">
        <v>10610</v>
      </c>
      <c r="E504" s="17" t="s">
        <v>92</v>
      </c>
      <c r="F504" s="17" t="s">
        <v>92</v>
      </c>
      <c r="G504" s="17" t="s">
        <v>92</v>
      </c>
      <c r="H504" s="17" t="s">
        <v>92</v>
      </c>
      <c r="I504" s="39"/>
      <c r="J504" s="42"/>
      <c r="K504" s="88"/>
      <c r="L504" s="42"/>
      <c r="M504" s="43"/>
      <c r="Q504" s="2"/>
      <c r="R504" s="24"/>
      <c r="S504" s="24"/>
      <c r="T504" s="24"/>
    </row>
    <row r="505" spans="1:20" x14ac:dyDescent="0.25">
      <c r="A505" s="2">
        <v>44677</v>
      </c>
      <c r="B505" s="20">
        <v>3000</v>
      </c>
      <c r="C505" s="29">
        <v>402.5</v>
      </c>
      <c r="D505" s="20">
        <v>10435</v>
      </c>
      <c r="E505" s="17" t="s">
        <v>92</v>
      </c>
      <c r="F505" s="17" t="s">
        <v>92</v>
      </c>
      <c r="G505" s="17" t="s">
        <v>92</v>
      </c>
      <c r="H505" s="17" t="s">
        <v>92</v>
      </c>
      <c r="I505" s="39"/>
      <c r="J505" s="42"/>
      <c r="K505" s="88"/>
      <c r="L505" s="42"/>
      <c r="M505" s="43"/>
      <c r="Q505" s="2"/>
      <c r="R505" s="24"/>
      <c r="S505" s="24"/>
      <c r="T505" s="24"/>
    </row>
    <row r="506" spans="1:20" x14ac:dyDescent="0.25">
      <c r="A506" s="2">
        <v>44676</v>
      </c>
      <c r="B506" s="20">
        <v>3010</v>
      </c>
      <c r="C506" s="29">
        <v>391.5</v>
      </c>
      <c r="D506" s="20">
        <v>10590</v>
      </c>
      <c r="E506" s="17" t="s">
        <v>92</v>
      </c>
      <c r="F506" s="17" t="s">
        <v>92</v>
      </c>
      <c r="G506" s="17" t="s">
        <v>92</v>
      </c>
      <c r="H506" s="17" t="s">
        <v>92</v>
      </c>
      <c r="I506" s="39"/>
      <c r="J506" s="42"/>
      <c r="K506" s="88"/>
      <c r="L506" s="42"/>
      <c r="M506" s="43"/>
      <c r="Q506" s="2"/>
      <c r="R506" s="24"/>
      <c r="S506" s="24"/>
      <c r="T506" s="24"/>
    </row>
    <row r="507" spans="1:20" x14ac:dyDescent="0.25">
      <c r="A507" s="2">
        <v>44673</v>
      </c>
      <c r="B507" s="20">
        <v>3060</v>
      </c>
      <c r="C507" s="20">
        <v>389</v>
      </c>
      <c r="D507" s="20">
        <v>10890</v>
      </c>
      <c r="E507" s="17" t="s">
        <v>92</v>
      </c>
      <c r="F507" s="17" t="s">
        <v>92</v>
      </c>
      <c r="G507" s="17" t="s">
        <v>92</v>
      </c>
      <c r="H507" s="17" t="s">
        <v>92</v>
      </c>
      <c r="I507" s="39"/>
      <c r="J507" s="42"/>
      <c r="K507" s="88"/>
      <c r="L507" s="42"/>
      <c r="M507" s="43"/>
      <c r="Q507" s="2"/>
      <c r="R507" s="24"/>
      <c r="S507" s="24"/>
      <c r="T507" s="24"/>
    </row>
    <row r="508" spans="1:20" x14ac:dyDescent="0.25">
      <c r="A508" s="2">
        <v>44672</v>
      </c>
      <c r="B508" s="20">
        <v>3104</v>
      </c>
      <c r="C508" s="20">
        <v>395</v>
      </c>
      <c r="D508" s="20">
        <v>10690</v>
      </c>
      <c r="E508" s="17" t="s">
        <v>92</v>
      </c>
      <c r="F508" s="17" t="s">
        <v>92</v>
      </c>
      <c r="G508" s="17" t="s">
        <v>92</v>
      </c>
      <c r="H508" s="17" t="s">
        <v>92</v>
      </c>
      <c r="I508" s="39"/>
      <c r="J508" s="42"/>
      <c r="K508" s="88"/>
      <c r="L508" s="42"/>
      <c r="M508" s="43"/>
      <c r="Q508" s="2"/>
      <c r="R508" s="24"/>
      <c r="S508" s="24"/>
      <c r="T508" s="24"/>
    </row>
    <row r="509" spans="1:20" x14ac:dyDescent="0.25">
      <c r="A509" s="2">
        <v>44671</v>
      </c>
      <c r="B509" s="20">
        <v>3156</v>
      </c>
      <c r="C509" s="20">
        <v>390</v>
      </c>
      <c r="D509" s="20">
        <v>10440</v>
      </c>
      <c r="E509" s="17" t="s">
        <v>92</v>
      </c>
      <c r="F509" s="17" t="s">
        <v>92</v>
      </c>
      <c r="G509" s="17" t="s">
        <v>92</v>
      </c>
      <c r="H509" s="17" t="s">
        <v>92</v>
      </c>
      <c r="I509" s="39"/>
      <c r="J509" s="42"/>
      <c r="K509" s="88"/>
      <c r="L509" s="42"/>
      <c r="M509" s="43"/>
      <c r="Q509" s="2"/>
      <c r="R509" s="24"/>
      <c r="S509" s="24"/>
      <c r="T509" s="24"/>
    </row>
    <row r="510" spans="1:20" x14ac:dyDescent="0.25">
      <c r="A510" s="2">
        <v>44670</v>
      </c>
      <c r="B510" s="20">
        <v>3072</v>
      </c>
      <c r="C510" s="20">
        <v>390</v>
      </c>
      <c r="D510" s="20">
        <v>10475</v>
      </c>
      <c r="E510" s="17" t="s">
        <v>92</v>
      </c>
      <c r="F510" s="17" t="s">
        <v>92</v>
      </c>
      <c r="G510" s="17" t="s">
        <v>92</v>
      </c>
      <c r="H510" s="17" t="s">
        <v>92</v>
      </c>
      <c r="I510" s="39"/>
      <c r="J510" s="42"/>
      <c r="K510" s="88"/>
      <c r="L510" s="42"/>
      <c r="M510" s="43"/>
      <c r="Q510" s="2"/>
      <c r="R510" s="24"/>
      <c r="S510" s="24"/>
      <c r="T510" s="24"/>
    </row>
    <row r="511" spans="1:20" x14ac:dyDescent="0.25">
      <c r="A511" s="2">
        <v>44665</v>
      </c>
      <c r="B511" s="20">
        <v>3000</v>
      </c>
      <c r="C511" s="20">
        <v>387</v>
      </c>
      <c r="D511" s="20">
        <v>10700</v>
      </c>
      <c r="E511" s="17" t="s">
        <v>92</v>
      </c>
      <c r="F511" s="17" t="s">
        <v>92</v>
      </c>
      <c r="G511" s="17" t="s">
        <v>92</v>
      </c>
      <c r="H511" s="17" t="s">
        <v>92</v>
      </c>
      <c r="I511" s="39"/>
      <c r="J511" s="42"/>
      <c r="K511" s="88"/>
      <c r="L511" s="42"/>
      <c r="M511" s="43"/>
      <c r="Q511" s="2"/>
      <c r="R511" s="24"/>
      <c r="S511" s="24"/>
      <c r="T511" s="24"/>
    </row>
    <row r="512" spans="1:20" x14ac:dyDescent="0.25">
      <c r="A512" s="2">
        <v>44664</v>
      </c>
      <c r="B512" s="20">
        <v>2888</v>
      </c>
      <c r="C512" s="20">
        <v>387</v>
      </c>
      <c r="D512" s="20">
        <v>10820</v>
      </c>
      <c r="E512" s="17" t="s">
        <v>92</v>
      </c>
      <c r="F512" s="17" t="s">
        <v>92</v>
      </c>
      <c r="G512" s="17" t="s">
        <v>92</v>
      </c>
      <c r="H512" s="17" t="s">
        <v>92</v>
      </c>
      <c r="I512" s="39"/>
      <c r="J512" s="42"/>
      <c r="K512" s="88"/>
      <c r="L512" s="42"/>
      <c r="M512" s="43"/>
      <c r="Q512" s="2"/>
      <c r="R512" s="24"/>
      <c r="S512" s="24"/>
      <c r="T512" s="24"/>
    </row>
    <row r="513" spans="1:20" x14ac:dyDescent="0.25">
      <c r="A513" s="2">
        <v>44663</v>
      </c>
      <c r="B513" s="20">
        <v>2800</v>
      </c>
      <c r="C513" s="20">
        <v>382</v>
      </c>
      <c r="D513" s="20">
        <v>10560</v>
      </c>
      <c r="E513" s="17" t="s">
        <v>92</v>
      </c>
      <c r="F513" s="17" t="s">
        <v>92</v>
      </c>
      <c r="G513" s="17" t="s">
        <v>92</v>
      </c>
      <c r="H513" s="17" t="s">
        <v>92</v>
      </c>
      <c r="I513" s="39"/>
      <c r="J513" s="42"/>
      <c r="K513" s="88"/>
      <c r="L513" s="42"/>
      <c r="M513" s="43"/>
      <c r="Q513" s="2"/>
      <c r="R513" s="24"/>
      <c r="S513" s="24"/>
      <c r="T513" s="24"/>
    </row>
    <row r="514" spans="1:20" x14ac:dyDescent="0.25">
      <c r="A514" s="2">
        <v>44662</v>
      </c>
      <c r="B514" s="20">
        <v>2800</v>
      </c>
      <c r="C514" s="20">
        <v>394</v>
      </c>
      <c r="D514" s="20">
        <v>10680</v>
      </c>
      <c r="E514" s="17" t="s">
        <v>92</v>
      </c>
      <c r="F514" s="17" t="s">
        <v>92</v>
      </c>
      <c r="G514" s="17" t="s">
        <v>92</v>
      </c>
      <c r="H514" s="17" t="s">
        <v>92</v>
      </c>
      <c r="I514" s="39"/>
      <c r="J514" s="42"/>
      <c r="K514" s="88"/>
      <c r="L514" s="42"/>
      <c r="M514" s="43"/>
      <c r="Q514" s="2"/>
      <c r="R514" s="24"/>
      <c r="S514" s="24"/>
      <c r="T514" s="24"/>
    </row>
    <row r="515" spans="1:20" x14ac:dyDescent="0.25">
      <c r="A515" s="2">
        <v>44659</v>
      </c>
      <c r="B515" s="20">
        <v>2784</v>
      </c>
      <c r="C515" s="29">
        <v>397.5</v>
      </c>
      <c r="D515" s="20">
        <v>10865</v>
      </c>
      <c r="E515" s="17" t="s">
        <v>92</v>
      </c>
      <c r="F515" s="17" t="s">
        <v>92</v>
      </c>
      <c r="G515" s="17" t="s">
        <v>92</v>
      </c>
      <c r="H515" s="17" t="s">
        <v>92</v>
      </c>
      <c r="I515" s="39"/>
      <c r="J515" s="42"/>
      <c r="K515" s="88"/>
      <c r="L515" s="42"/>
      <c r="M515" s="43"/>
      <c r="Q515" s="2"/>
      <c r="R515" s="24"/>
      <c r="S515" s="24"/>
      <c r="T515" s="24"/>
    </row>
    <row r="516" spans="1:20" x14ac:dyDescent="0.25">
      <c r="A516" s="2">
        <v>44658</v>
      </c>
      <c r="B516" s="20">
        <v>2750</v>
      </c>
      <c r="C516" s="20">
        <v>398</v>
      </c>
      <c r="D516" s="20">
        <v>10880</v>
      </c>
      <c r="E516" s="17" t="s">
        <v>92</v>
      </c>
      <c r="F516" s="17" t="s">
        <v>92</v>
      </c>
      <c r="G516" s="17" t="s">
        <v>92</v>
      </c>
      <c r="H516" s="17" t="s">
        <v>92</v>
      </c>
      <c r="I516" s="39"/>
      <c r="J516" s="42"/>
      <c r="K516" s="88"/>
      <c r="L516" s="42"/>
      <c r="M516" s="43"/>
      <c r="Q516" s="2"/>
      <c r="R516" s="24"/>
      <c r="S516" s="24"/>
      <c r="T516" s="24"/>
    </row>
    <row r="517" spans="1:20" x14ac:dyDescent="0.25">
      <c r="A517" s="2">
        <v>44657</v>
      </c>
      <c r="B517" s="20">
        <v>2744</v>
      </c>
      <c r="C517" s="29">
        <v>398.5</v>
      </c>
      <c r="D517" s="20">
        <v>10700</v>
      </c>
      <c r="E517" s="17" t="s">
        <v>92</v>
      </c>
      <c r="F517" s="17" t="s">
        <v>92</v>
      </c>
      <c r="G517" s="17" t="s">
        <v>92</v>
      </c>
      <c r="H517" s="17" t="s">
        <v>92</v>
      </c>
      <c r="I517" s="39"/>
      <c r="J517" s="42"/>
      <c r="K517" s="88"/>
      <c r="L517" s="42"/>
      <c r="M517" s="43"/>
      <c r="Q517" s="2"/>
      <c r="R517" s="24"/>
      <c r="S517" s="24"/>
      <c r="T517" s="24"/>
    </row>
    <row r="518" spans="1:20" x14ac:dyDescent="0.25">
      <c r="A518" s="2">
        <v>44656</v>
      </c>
      <c r="B518" s="20">
        <v>2850</v>
      </c>
      <c r="C518" s="20">
        <v>398</v>
      </c>
      <c r="D518" s="20">
        <v>11735</v>
      </c>
      <c r="E518" s="17" t="s">
        <v>92</v>
      </c>
      <c r="F518" s="17" t="s">
        <v>92</v>
      </c>
      <c r="G518" s="17" t="s">
        <v>92</v>
      </c>
      <c r="H518" s="17" t="s">
        <v>92</v>
      </c>
      <c r="I518" s="39"/>
      <c r="J518" s="42"/>
      <c r="K518" s="88"/>
      <c r="L518" s="42"/>
      <c r="M518" s="43"/>
      <c r="Q518" s="2"/>
      <c r="R518" s="24"/>
      <c r="S518" s="24"/>
      <c r="T518" s="24"/>
    </row>
    <row r="519" spans="1:20" x14ac:dyDescent="0.25">
      <c r="A519" s="2">
        <v>44655</v>
      </c>
      <c r="B519" s="20">
        <v>2940</v>
      </c>
      <c r="C519" s="20">
        <v>405</v>
      </c>
      <c r="D519" s="20">
        <v>12330</v>
      </c>
      <c r="E519" s="17" t="s">
        <v>92</v>
      </c>
      <c r="F519" s="17" t="s">
        <v>92</v>
      </c>
      <c r="G519" s="17" t="s">
        <v>92</v>
      </c>
      <c r="H519" s="17" t="s">
        <v>92</v>
      </c>
      <c r="I519" s="39"/>
      <c r="J519" s="42"/>
      <c r="K519" s="88"/>
      <c r="L519" s="42"/>
      <c r="M519" s="43"/>
      <c r="Q519" s="2"/>
      <c r="R519" s="24"/>
      <c r="S519" s="24"/>
      <c r="T519" s="24"/>
    </row>
    <row r="520" spans="1:20" x14ac:dyDescent="0.25">
      <c r="A520" s="2">
        <v>44652</v>
      </c>
      <c r="B520" s="20">
        <v>2908</v>
      </c>
      <c r="C520" s="20">
        <v>406</v>
      </c>
      <c r="D520" s="20">
        <v>12235</v>
      </c>
      <c r="E520" s="17" t="s">
        <v>92</v>
      </c>
      <c r="F520" s="17" t="s">
        <v>92</v>
      </c>
      <c r="G520" s="17" t="s">
        <v>92</v>
      </c>
      <c r="H520" s="17" t="s">
        <v>92</v>
      </c>
      <c r="I520" s="39"/>
      <c r="J520" s="42"/>
      <c r="K520" s="88"/>
      <c r="L520" s="42"/>
      <c r="M520" s="43"/>
      <c r="Q520" s="2"/>
      <c r="R520" s="24"/>
      <c r="S520" s="24"/>
      <c r="T520" s="24"/>
    </row>
    <row r="521" spans="1:20" x14ac:dyDescent="0.25">
      <c r="A521" s="2">
        <v>44651</v>
      </c>
      <c r="B521" s="20">
        <v>2930</v>
      </c>
      <c r="C521" s="20">
        <v>404</v>
      </c>
      <c r="D521" s="20">
        <v>12145</v>
      </c>
      <c r="E521" s="17" t="s">
        <v>92</v>
      </c>
      <c r="F521" s="17" t="s">
        <v>92</v>
      </c>
      <c r="G521" s="17" t="s">
        <v>92</v>
      </c>
      <c r="H521" s="17" t="s">
        <v>92</v>
      </c>
      <c r="I521" s="39"/>
      <c r="J521" s="42"/>
      <c r="K521" s="88"/>
      <c r="L521" s="42"/>
      <c r="M521" s="43"/>
      <c r="Q521" s="2"/>
      <c r="R521" s="24"/>
      <c r="S521" s="24"/>
      <c r="T521" s="24"/>
    </row>
    <row r="522" spans="1:20" x14ac:dyDescent="0.25">
      <c r="A522" s="2">
        <v>44650</v>
      </c>
      <c r="B522" s="20">
        <v>2950</v>
      </c>
      <c r="C522" s="20">
        <v>407</v>
      </c>
      <c r="D522" s="20">
        <v>12640</v>
      </c>
      <c r="E522" s="17" t="s">
        <v>92</v>
      </c>
      <c r="F522" s="17" t="s">
        <v>92</v>
      </c>
      <c r="G522" s="17" t="s">
        <v>92</v>
      </c>
      <c r="H522" s="17" t="s">
        <v>92</v>
      </c>
      <c r="I522" s="39"/>
      <c r="J522" s="42"/>
      <c r="K522" s="88"/>
      <c r="L522" s="42"/>
      <c r="M522" s="43"/>
      <c r="Q522" s="2"/>
      <c r="R522" s="24"/>
      <c r="S522" s="24"/>
      <c r="T522" s="24"/>
    </row>
    <row r="523" spans="1:20" x14ac:dyDescent="0.25">
      <c r="A523" s="2">
        <v>44649</v>
      </c>
      <c r="B523" s="20">
        <v>2894</v>
      </c>
      <c r="C523" s="20">
        <v>405</v>
      </c>
      <c r="D523" s="20">
        <v>13200</v>
      </c>
      <c r="E523" s="17" t="s">
        <v>92</v>
      </c>
      <c r="F523" s="17" t="s">
        <v>92</v>
      </c>
      <c r="G523" s="17" t="s">
        <v>92</v>
      </c>
      <c r="H523" s="17" t="s">
        <v>92</v>
      </c>
      <c r="I523" s="39"/>
      <c r="J523" s="42"/>
      <c r="K523" s="88"/>
      <c r="L523" s="42"/>
      <c r="M523" s="43"/>
      <c r="Q523" s="2"/>
      <c r="R523" s="24"/>
      <c r="S523" s="24"/>
      <c r="T523" s="24"/>
    </row>
    <row r="524" spans="1:20" x14ac:dyDescent="0.25">
      <c r="A524" s="2">
        <v>44648</v>
      </c>
      <c r="B524" s="20">
        <v>2802</v>
      </c>
      <c r="C524" s="20">
        <v>405</v>
      </c>
      <c r="D524" s="20">
        <v>12030</v>
      </c>
      <c r="E524" s="17" t="s">
        <v>92</v>
      </c>
      <c r="F524" s="17" t="s">
        <v>92</v>
      </c>
      <c r="G524" s="17" t="s">
        <v>92</v>
      </c>
      <c r="H524" s="17" t="s">
        <v>92</v>
      </c>
      <c r="I524" s="39"/>
      <c r="J524" s="42"/>
      <c r="K524" s="88"/>
      <c r="L524" s="42"/>
      <c r="M524" s="43"/>
      <c r="Q524" s="2"/>
      <c r="R524" s="24"/>
      <c r="S524" s="24"/>
      <c r="T524" s="24"/>
    </row>
    <row r="525" spans="1:20" x14ac:dyDescent="0.25">
      <c r="A525" s="2">
        <v>44645</v>
      </c>
      <c r="B525" s="20">
        <v>2810</v>
      </c>
      <c r="C525" s="20">
        <v>403</v>
      </c>
      <c r="D525" s="20">
        <v>11700</v>
      </c>
      <c r="E525" s="17" t="s">
        <v>92</v>
      </c>
      <c r="F525" s="17" t="s">
        <v>92</v>
      </c>
      <c r="G525" s="17" t="s">
        <v>92</v>
      </c>
      <c r="H525" s="17" t="s">
        <v>92</v>
      </c>
      <c r="I525" s="39"/>
      <c r="J525" s="42"/>
      <c r="K525" s="88"/>
      <c r="L525" s="42"/>
      <c r="M525" s="43"/>
      <c r="Q525" s="2"/>
      <c r="R525" s="24"/>
      <c r="S525" s="24"/>
      <c r="T525" s="24"/>
    </row>
    <row r="526" spans="1:20" x14ac:dyDescent="0.25">
      <c r="A526" s="2">
        <v>44644</v>
      </c>
      <c r="B526" s="20">
        <v>2790</v>
      </c>
      <c r="C526" s="20">
        <v>405</v>
      </c>
      <c r="D526" s="20">
        <v>11810</v>
      </c>
      <c r="E526" s="17" t="s">
        <v>92</v>
      </c>
      <c r="F526" s="17" t="s">
        <v>92</v>
      </c>
      <c r="G526" s="17" t="s">
        <v>92</v>
      </c>
      <c r="H526" s="17" t="s">
        <v>92</v>
      </c>
      <c r="I526" s="39"/>
      <c r="J526" s="42"/>
      <c r="K526" s="88"/>
      <c r="L526" s="42"/>
      <c r="M526" s="43"/>
      <c r="Q526" s="2"/>
      <c r="R526" s="24"/>
      <c r="S526" s="24"/>
      <c r="T526" s="24"/>
    </row>
    <row r="527" spans="1:20" x14ac:dyDescent="0.25">
      <c r="A527" s="2">
        <v>44643</v>
      </c>
      <c r="B527" s="20">
        <v>2800</v>
      </c>
      <c r="C527" s="29">
        <v>401.5</v>
      </c>
      <c r="D527" s="20">
        <v>12335</v>
      </c>
      <c r="E527" s="17" t="s">
        <v>92</v>
      </c>
      <c r="F527" s="17" t="s">
        <v>92</v>
      </c>
      <c r="G527" s="17" t="s">
        <v>92</v>
      </c>
      <c r="H527" s="17" t="s">
        <v>92</v>
      </c>
      <c r="I527" s="39"/>
      <c r="J527" s="42"/>
      <c r="K527" s="88"/>
      <c r="L527" s="42"/>
      <c r="M527" s="43"/>
      <c r="Q527" s="2"/>
      <c r="R527" s="24"/>
      <c r="S527" s="24"/>
      <c r="T527" s="24"/>
    </row>
    <row r="528" spans="1:20" x14ac:dyDescent="0.25">
      <c r="A528" s="2">
        <v>44642</v>
      </c>
      <c r="B528" s="20">
        <v>2650</v>
      </c>
      <c r="C528" s="20">
        <v>411</v>
      </c>
      <c r="D528" s="20">
        <v>12595</v>
      </c>
      <c r="E528" s="17" t="s">
        <v>92</v>
      </c>
      <c r="F528" s="17" t="s">
        <v>92</v>
      </c>
      <c r="G528" s="17" t="s">
        <v>92</v>
      </c>
      <c r="H528" s="17" t="s">
        <v>92</v>
      </c>
      <c r="I528" s="39"/>
      <c r="J528" s="42"/>
      <c r="K528" s="88"/>
      <c r="L528" s="42"/>
      <c r="M528" s="43"/>
      <c r="Q528" s="2"/>
      <c r="R528" s="24"/>
      <c r="S528" s="24"/>
      <c r="T528" s="24"/>
    </row>
    <row r="529" spans="1:20" x14ac:dyDescent="0.25">
      <c r="A529" s="2">
        <v>44641</v>
      </c>
      <c r="B529" s="20">
        <v>2634</v>
      </c>
      <c r="C529" s="20">
        <v>401</v>
      </c>
      <c r="D529" s="20">
        <v>12620</v>
      </c>
      <c r="E529" s="17" t="s">
        <v>92</v>
      </c>
      <c r="F529" s="17" t="s">
        <v>92</v>
      </c>
      <c r="G529" s="17" t="s">
        <v>92</v>
      </c>
      <c r="H529" s="17" t="s">
        <v>92</v>
      </c>
      <c r="I529" s="39"/>
      <c r="J529" s="42"/>
      <c r="K529" s="88"/>
      <c r="L529" s="42"/>
      <c r="M529" s="43"/>
      <c r="Q529" s="2"/>
      <c r="R529" s="24"/>
      <c r="S529" s="24"/>
      <c r="T529" s="24"/>
    </row>
    <row r="530" spans="1:20" x14ac:dyDescent="0.25">
      <c r="A530" s="2">
        <v>44638</v>
      </c>
      <c r="B530" s="20">
        <v>2560</v>
      </c>
      <c r="C530" s="20">
        <v>405</v>
      </c>
      <c r="D530" s="20">
        <v>12660</v>
      </c>
      <c r="E530" s="17" t="s">
        <v>92</v>
      </c>
      <c r="F530" s="17" t="s">
        <v>92</v>
      </c>
      <c r="G530" s="17" t="s">
        <v>92</v>
      </c>
      <c r="H530" s="17" t="s">
        <v>92</v>
      </c>
      <c r="I530" s="39"/>
      <c r="J530" s="42"/>
      <c r="K530" s="88"/>
      <c r="L530" s="42"/>
      <c r="M530" s="43"/>
      <c r="Q530" s="2"/>
      <c r="R530" s="24"/>
      <c r="S530" s="24"/>
      <c r="T530" s="24"/>
    </row>
    <row r="531" spans="1:20" x14ac:dyDescent="0.25">
      <c r="A531" s="2">
        <v>44637</v>
      </c>
      <c r="B531" s="20">
        <v>2646</v>
      </c>
      <c r="C531" s="20">
        <v>397</v>
      </c>
      <c r="D531" s="20">
        <v>12805</v>
      </c>
      <c r="E531" s="17" t="s">
        <v>92</v>
      </c>
      <c r="F531" s="17" t="s">
        <v>92</v>
      </c>
      <c r="G531" s="17" t="s">
        <v>92</v>
      </c>
      <c r="H531" s="17" t="s">
        <v>92</v>
      </c>
      <c r="I531" s="39"/>
      <c r="J531" s="42"/>
      <c r="K531" s="88"/>
      <c r="L531" s="42"/>
      <c r="M531" s="43"/>
      <c r="Q531" s="2"/>
      <c r="R531" s="24"/>
      <c r="S531" s="24"/>
      <c r="T531" s="24"/>
    </row>
    <row r="532" spans="1:20" x14ac:dyDescent="0.25">
      <c r="A532" s="2">
        <v>44636</v>
      </c>
      <c r="B532" s="20">
        <v>2640</v>
      </c>
      <c r="C532" s="20">
        <v>397</v>
      </c>
      <c r="D532" s="20">
        <v>12660</v>
      </c>
      <c r="E532" s="17" t="s">
        <v>92</v>
      </c>
      <c r="F532" s="17" t="s">
        <v>92</v>
      </c>
      <c r="G532" s="17" t="s">
        <v>92</v>
      </c>
      <c r="H532" s="17" t="s">
        <v>92</v>
      </c>
      <c r="I532" s="39"/>
      <c r="J532" s="42"/>
      <c r="K532" s="88"/>
      <c r="L532" s="42"/>
      <c r="M532" s="43"/>
      <c r="Q532" s="2"/>
      <c r="R532" s="24"/>
      <c r="S532" s="24"/>
      <c r="T532" s="24"/>
    </row>
    <row r="533" spans="1:20" x14ac:dyDescent="0.25">
      <c r="A533" s="2">
        <v>44631</v>
      </c>
      <c r="B533" s="20">
        <v>2590</v>
      </c>
      <c r="C533" s="20">
        <v>394</v>
      </c>
      <c r="D533" s="20">
        <v>12045</v>
      </c>
      <c r="E533" s="17" t="s">
        <v>92</v>
      </c>
      <c r="F533" s="17" t="s">
        <v>92</v>
      </c>
      <c r="G533" s="17" t="s">
        <v>92</v>
      </c>
      <c r="H533" s="17" t="s">
        <v>92</v>
      </c>
      <c r="I533" s="39"/>
      <c r="J533" s="42"/>
      <c r="K533" s="88"/>
      <c r="L533" s="42"/>
      <c r="M533" s="43"/>
      <c r="Q533" s="2"/>
      <c r="R533" s="24"/>
      <c r="S533" s="24"/>
      <c r="T533" s="24"/>
    </row>
    <row r="534" spans="1:20" x14ac:dyDescent="0.25">
      <c r="A534" s="2">
        <v>44630</v>
      </c>
      <c r="B534" s="20">
        <v>2554</v>
      </c>
      <c r="C534" s="20">
        <v>394</v>
      </c>
      <c r="D534" s="20">
        <v>11540</v>
      </c>
      <c r="E534" s="17" t="s">
        <v>92</v>
      </c>
      <c r="F534" s="17" t="s">
        <v>92</v>
      </c>
      <c r="G534" s="17" t="s">
        <v>92</v>
      </c>
      <c r="H534" s="17" t="s">
        <v>92</v>
      </c>
      <c r="I534" s="39"/>
      <c r="J534" s="42"/>
      <c r="K534" s="88"/>
      <c r="L534" s="42"/>
      <c r="M534" s="43"/>
      <c r="Q534" s="2"/>
      <c r="R534" s="24"/>
      <c r="S534" s="24"/>
      <c r="T534" s="24"/>
    </row>
    <row r="535" spans="1:20" x14ac:dyDescent="0.25">
      <c r="A535" s="2">
        <v>44629</v>
      </c>
      <c r="B535" s="20">
        <v>2644</v>
      </c>
      <c r="C535" s="20">
        <v>398</v>
      </c>
      <c r="D535" s="20">
        <v>11980</v>
      </c>
      <c r="E535" s="17" t="s">
        <v>92</v>
      </c>
      <c r="F535" s="17" t="s">
        <v>92</v>
      </c>
      <c r="G535" s="17" t="s">
        <v>92</v>
      </c>
      <c r="H535" s="17" t="s">
        <v>92</v>
      </c>
      <c r="I535" s="39"/>
      <c r="J535" s="42"/>
      <c r="K535" s="88"/>
      <c r="L535" s="42"/>
      <c r="M535" s="43"/>
      <c r="Q535" s="2"/>
      <c r="R535" s="24"/>
      <c r="S535" s="24"/>
      <c r="T535" s="24"/>
    </row>
    <row r="536" spans="1:20" x14ac:dyDescent="0.25">
      <c r="A536" s="2">
        <v>44628</v>
      </c>
      <c r="B536" s="20">
        <v>2640</v>
      </c>
      <c r="C536" s="29">
        <v>402.5</v>
      </c>
      <c r="D536" s="20">
        <v>11000</v>
      </c>
      <c r="E536" s="17" t="s">
        <v>92</v>
      </c>
      <c r="F536" s="17" t="s">
        <v>92</v>
      </c>
      <c r="G536" s="17" t="s">
        <v>92</v>
      </c>
      <c r="H536" s="17" t="s">
        <v>92</v>
      </c>
      <c r="I536" s="39"/>
      <c r="J536" s="42"/>
      <c r="K536" s="88"/>
      <c r="L536" s="42"/>
      <c r="M536" s="43"/>
      <c r="Q536" s="2"/>
      <c r="R536" s="24"/>
      <c r="S536" s="24"/>
      <c r="T536" s="24"/>
    </row>
    <row r="537" spans="1:20" x14ac:dyDescent="0.25">
      <c r="A537" s="2">
        <v>44627</v>
      </c>
      <c r="B537" s="20">
        <v>2604</v>
      </c>
      <c r="C537" s="20">
        <v>400</v>
      </c>
      <c r="D537" s="20">
        <v>10015</v>
      </c>
      <c r="E537" s="17" t="s">
        <v>92</v>
      </c>
      <c r="F537" s="17" t="s">
        <v>92</v>
      </c>
      <c r="G537" s="17" t="s">
        <v>92</v>
      </c>
      <c r="H537" s="17" t="s">
        <v>92</v>
      </c>
      <c r="I537" s="39"/>
      <c r="J537" s="42"/>
      <c r="K537" s="88"/>
      <c r="L537" s="42"/>
      <c r="M537" s="43"/>
      <c r="Q537" s="2"/>
      <c r="R537" s="24"/>
      <c r="S537" s="24"/>
      <c r="T537" s="24"/>
    </row>
    <row r="538" spans="1:20" x14ac:dyDescent="0.25">
      <c r="A538" s="2">
        <v>44624</v>
      </c>
      <c r="B538" s="20">
        <v>2512</v>
      </c>
      <c r="C538" s="29">
        <v>399.5</v>
      </c>
      <c r="D538" s="20">
        <v>10415</v>
      </c>
      <c r="E538" s="17" t="s">
        <v>92</v>
      </c>
      <c r="F538" s="17" t="s">
        <v>92</v>
      </c>
      <c r="G538" s="17" t="s">
        <v>92</v>
      </c>
      <c r="H538" s="17" t="s">
        <v>92</v>
      </c>
      <c r="I538" s="39"/>
      <c r="J538" s="42"/>
      <c r="K538" s="88"/>
      <c r="L538" s="42"/>
      <c r="M538" s="43"/>
      <c r="Q538" s="2"/>
      <c r="R538" s="24"/>
      <c r="S538" s="24"/>
      <c r="T538" s="24"/>
    </row>
    <row r="539" spans="1:20" x14ac:dyDescent="0.25">
      <c r="A539" s="2">
        <v>44623</v>
      </c>
      <c r="B539" s="20">
        <v>2500</v>
      </c>
      <c r="C539" s="29">
        <v>402.5</v>
      </c>
      <c r="D539" s="20">
        <v>11000</v>
      </c>
      <c r="E539" s="17" t="s">
        <v>92</v>
      </c>
      <c r="F539" s="17" t="s">
        <v>92</v>
      </c>
      <c r="G539" s="17" t="s">
        <v>92</v>
      </c>
      <c r="H539" s="17" t="s">
        <v>92</v>
      </c>
      <c r="I539" s="39"/>
      <c r="J539" s="42"/>
      <c r="K539" s="88"/>
      <c r="L539" s="42"/>
      <c r="M539" s="43"/>
      <c r="Q539" s="2"/>
      <c r="R539" s="24"/>
      <c r="S539" s="24"/>
      <c r="T539" s="24"/>
    </row>
    <row r="540" spans="1:20" x14ac:dyDescent="0.25">
      <c r="A540" s="2">
        <v>44622</v>
      </c>
      <c r="B540" s="20">
        <v>2448</v>
      </c>
      <c r="C540" s="29">
        <v>403.5</v>
      </c>
      <c r="D540" s="20">
        <v>10120</v>
      </c>
      <c r="E540" s="17" t="s">
        <v>92</v>
      </c>
      <c r="F540" s="17" t="s">
        <v>92</v>
      </c>
      <c r="G540" s="17" t="s">
        <v>92</v>
      </c>
      <c r="H540" s="17" t="s">
        <v>92</v>
      </c>
      <c r="I540" s="39"/>
      <c r="J540" s="42"/>
      <c r="K540" s="88"/>
      <c r="L540" s="42"/>
      <c r="M540" s="43"/>
      <c r="Q540" s="2"/>
      <c r="R540" s="24"/>
      <c r="S540" s="24"/>
      <c r="T540" s="24"/>
    </row>
    <row r="541" spans="1:20" x14ac:dyDescent="0.25">
      <c r="A541" s="2">
        <v>44621</v>
      </c>
      <c r="B541" s="20">
        <v>2444</v>
      </c>
      <c r="C541" s="20">
        <v>404</v>
      </c>
      <c r="D541" s="20">
        <v>10005</v>
      </c>
      <c r="E541" s="17" t="s">
        <v>92</v>
      </c>
      <c r="F541" s="17" t="s">
        <v>92</v>
      </c>
      <c r="G541" s="17" t="s">
        <v>92</v>
      </c>
      <c r="H541" s="17" t="s">
        <v>92</v>
      </c>
      <c r="I541" s="39"/>
      <c r="J541" s="42"/>
      <c r="K541" s="88"/>
      <c r="L541" s="42"/>
      <c r="M541" s="43"/>
      <c r="Q541" s="2"/>
      <c r="R541" s="24"/>
      <c r="S541" s="24"/>
      <c r="T541" s="24"/>
    </row>
    <row r="542" spans="1:20" x14ac:dyDescent="0.25">
      <c r="A542" s="2">
        <v>44620</v>
      </c>
      <c r="B542" s="20">
        <v>2590</v>
      </c>
      <c r="C542" s="29">
        <v>416.5</v>
      </c>
      <c r="D542" s="20">
        <v>12750</v>
      </c>
      <c r="E542" s="17" t="s">
        <v>92</v>
      </c>
      <c r="F542" s="17" t="s">
        <v>92</v>
      </c>
      <c r="G542" s="17" t="s">
        <v>92</v>
      </c>
      <c r="H542" s="17" t="s">
        <v>92</v>
      </c>
      <c r="I542" s="39"/>
      <c r="J542" s="42"/>
      <c r="K542" s="88"/>
      <c r="L542" s="42"/>
      <c r="M542" s="43"/>
      <c r="Q542" s="2"/>
      <c r="R542" s="24"/>
      <c r="S542" s="24"/>
      <c r="T542" s="24"/>
    </row>
    <row r="543" spans="1:20" x14ac:dyDescent="0.25">
      <c r="A543" s="2">
        <v>44617</v>
      </c>
      <c r="B543" s="20">
        <v>2460</v>
      </c>
      <c r="C543" s="20">
        <v>425</v>
      </c>
      <c r="D543" s="20">
        <v>14750</v>
      </c>
      <c r="E543" s="17" t="s">
        <v>92</v>
      </c>
      <c r="F543" s="17" t="s">
        <v>92</v>
      </c>
      <c r="G543" s="17" t="s">
        <v>92</v>
      </c>
      <c r="H543" s="17" t="s">
        <v>92</v>
      </c>
      <c r="I543" s="39"/>
      <c r="J543" s="42"/>
      <c r="K543" s="88"/>
      <c r="L543" s="42"/>
      <c r="M543" s="43"/>
      <c r="Q543" s="2"/>
      <c r="R543" s="24"/>
      <c r="S543" s="24"/>
      <c r="T543" s="24"/>
    </row>
    <row r="544" spans="1:20" x14ac:dyDescent="0.25">
      <c r="A544" s="2">
        <v>44616</v>
      </c>
      <c r="B544" s="20">
        <v>2340</v>
      </c>
      <c r="C544" s="20">
        <v>425</v>
      </c>
      <c r="D544" s="20">
        <v>13010</v>
      </c>
      <c r="E544" s="17" t="s">
        <v>92</v>
      </c>
      <c r="F544" s="17" t="s">
        <v>92</v>
      </c>
      <c r="G544" s="17" t="s">
        <v>92</v>
      </c>
      <c r="H544" s="17" t="s">
        <v>92</v>
      </c>
      <c r="I544" s="39"/>
      <c r="J544" s="42"/>
      <c r="K544" s="88"/>
      <c r="L544" s="42"/>
      <c r="M544" s="43"/>
      <c r="Q544" s="2"/>
      <c r="R544" s="24"/>
      <c r="S544" s="24"/>
      <c r="T544" s="24"/>
    </row>
    <row r="545" spans="1:20" x14ac:dyDescent="0.25">
      <c r="A545" s="2">
        <v>44615</v>
      </c>
      <c r="B545" s="20">
        <v>2522</v>
      </c>
      <c r="C545" s="20">
        <v>434</v>
      </c>
      <c r="D545" s="20">
        <v>15250</v>
      </c>
      <c r="E545" s="17" t="s">
        <v>92</v>
      </c>
      <c r="F545" s="17" t="s">
        <v>92</v>
      </c>
      <c r="G545" s="17" t="s">
        <v>92</v>
      </c>
      <c r="H545" s="17" t="s">
        <v>92</v>
      </c>
      <c r="I545" s="39"/>
      <c r="J545" s="42"/>
      <c r="K545" s="88"/>
      <c r="L545" s="42"/>
      <c r="M545" s="43"/>
      <c r="Q545" s="2"/>
      <c r="R545" s="24"/>
      <c r="S545" s="24"/>
      <c r="T545" s="24"/>
    </row>
    <row r="546" spans="1:20" x14ac:dyDescent="0.25">
      <c r="A546" s="2">
        <v>44614</v>
      </c>
      <c r="B546" s="20">
        <v>2562</v>
      </c>
      <c r="C546" s="20">
        <v>423</v>
      </c>
      <c r="D546" s="20">
        <v>15430</v>
      </c>
      <c r="E546" s="17" t="s">
        <v>92</v>
      </c>
      <c r="F546" s="17" t="s">
        <v>92</v>
      </c>
      <c r="G546" s="17" t="s">
        <v>92</v>
      </c>
      <c r="H546" s="17" t="s">
        <v>92</v>
      </c>
      <c r="I546" s="39"/>
      <c r="J546" s="42"/>
      <c r="K546" s="88"/>
      <c r="L546" s="42"/>
      <c r="M546" s="43"/>
      <c r="Q546" s="2"/>
      <c r="R546" s="24"/>
      <c r="S546" s="24"/>
      <c r="T546" s="24"/>
    </row>
    <row r="547" spans="1:20" x14ac:dyDescent="0.25">
      <c r="A547" s="2">
        <v>44613</v>
      </c>
      <c r="B547" s="20">
        <v>2558</v>
      </c>
      <c r="C547" s="20">
        <v>431</v>
      </c>
      <c r="D547" s="20">
        <v>15860</v>
      </c>
      <c r="E547" s="17" t="s">
        <v>92</v>
      </c>
      <c r="F547" s="17" t="s">
        <v>92</v>
      </c>
      <c r="G547" s="17" t="s">
        <v>92</v>
      </c>
      <c r="H547" s="17" t="s">
        <v>92</v>
      </c>
      <c r="I547" s="39"/>
      <c r="J547" s="42"/>
      <c r="K547" s="88"/>
      <c r="L547" s="42"/>
      <c r="M547" s="43"/>
      <c r="Q547" s="2"/>
      <c r="R547" s="24"/>
      <c r="S547" s="24"/>
      <c r="T547" s="24"/>
    </row>
    <row r="548" spans="1:20" x14ac:dyDescent="0.25">
      <c r="A548" s="2">
        <v>44610</v>
      </c>
      <c r="B548" s="20">
        <v>2614</v>
      </c>
      <c r="C548" s="20">
        <v>433</v>
      </c>
      <c r="D548" s="20">
        <v>16600</v>
      </c>
      <c r="E548" s="17" t="s">
        <v>92</v>
      </c>
      <c r="F548" s="17" t="s">
        <v>92</v>
      </c>
      <c r="G548" s="17" t="s">
        <v>92</v>
      </c>
      <c r="H548" s="17" t="s">
        <v>92</v>
      </c>
      <c r="I548" s="39"/>
      <c r="J548" s="42"/>
      <c r="K548" s="88"/>
      <c r="L548" s="42"/>
      <c r="M548" s="43"/>
      <c r="Q548" s="2"/>
      <c r="R548" s="24"/>
      <c r="S548" s="24"/>
      <c r="T548" s="24"/>
    </row>
    <row r="549" spans="1:20" x14ac:dyDescent="0.25">
      <c r="A549" s="2">
        <v>44609</v>
      </c>
      <c r="B549" s="20">
        <v>2652</v>
      </c>
      <c r="C549" s="20">
        <v>433</v>
      </c>
      <c r="D549" s="20">
        <v>17165</v>
      </c>
      <c r="E549" s="17" t="s">
        <v>92</v>
      </c>
      <c r="F549" s="17" t="s">
        <v>92</v>
      </c>
      <c r="G549" s="17" t="s">
        <v>92</v>
      </c>
      <c r="H549" s="17" t="s">
        <v>92</v>
      </c>
      <c r="I549" s="39"/>
      <c r="J549" s="42"/>
      <c r="K549" s="88"/>
      <c r="L549" s="42"/>
      <c r="M549" s="43"/>
      <c r="Q549" s="2"/>
      <c r="R549" s="24"/>
      <c r="S549" s="24"/>
      <c r="T549" s="24"/>
    </row>
    <row r="550" spans="1:20" x14ac:dyDescent="0.25">
      <c r="A550" s="2">
        <v>44608</v>
      </c>
      <c r="B550" s="20">
        <v>2662</v>
      </c>
      <c r="C550" s="20">
        <v>437</v>
      </c>
      <c r="D550" s="20">
        <v>17465</v>
      </c>
      <c r="E550" s="17" t="s">
        <v>92</v>
      </c>
      <c r="F550" s="17" t="s">
        <v>92</v>
      </c>
      <c r="G550" s="17" t="s">
        <v>92</v>
      </c>
      <c r="H550" s="17" t="s">
        <v>92</v>
      </c>
      <c r="I550" s="39"/>
      <c r="J550" s="42"/>
      <c r="K550" s="88"/>
      <c r="L550" s="42"/>
      <c r="M550" s="43"/>
      <c r="Q550" s="2"/>
      <c r="R550" s="24"/>
      <c r="S550" s="24"/>
      <c r="T550" s="24"/>
    </row>
    <row r="551" spans="1:20" x14ac:dyDescent="0.25">
      <c r="A551" s="2">
        <v>44607</v>
      </c>
      <c r="B551" s="20">
        <v>2648</v>
      </c>
      <c r="C551" s="29">
        <v>433.5</v>
      </c>
      <c r="D551" s="20">
        <v>17355</v>
      </c>
      <c r="E551" s="17" t="s">
        <v>92</v>
      </c>
      <c r="F551" s="17" t="s">
        <v>92</v>
      </c>
      <c r="G551" s="17" t="s">
        <v>92</v>
      </c>
      <c r="H551" s="17" t="s">
        <v>92</v>
      </c>
      <c r="I551" s="39"/>
      <c r="J551" s="42"/>
      <c r="K551" s="88"/>
      <c r="L551" s="42"/>
      <c r="M551" s="43"/>
      <c r="Q551" s="2"/>
      <c r="R551" s="24"/>
      <c r="S551" s="24"/>
      <c r="T551" s="24"/>
    </row>
    <row r="552" spans="1:20" x14ac:dyDescent="0.25">
      <c r="A552" s="2">
        <v>44606</v>
      </c>
      <c r="B552" s="20">
        <v>2648</v>
      </c>
      <c r="C552" s="29">
        <v>431.5</v>
      </c>
      <c r="D552" s="20">
        <v>17405</v>
      </c>
      <c r="E552" s="17" t="s">
        <v>92</v>
      </c>
      <c r="F552" s="17" t="s">
        <v>92</v>
      </c>
      <c r="G552" s="17" t="s">
        <v>92</v>
      </c>
      <c r="H552" s="17" t="s">
        <v>92</v>
      </c>
      <c r="I552" s="39"/>
      <c r="J552" s="42"/>
      <c r="K552" s="88"/>
      <c r="L552" s="42"/>
      <c r="M552" s="43"/>
      <c r="Q552" s="2"/>
      <c r="R552" s="24"/>
      <c r="S552" s="24"/>
      <c r="T552" s="24"/>
    </row>
    <row r="553" spans="1:20" x14ac:dyDescent="0.25">
      <c r="A553" s="2">
        <v>44603</v>
      </c>
      <c r="B553" s="20">
        <v>2670</v>
      </c>
      <c r="C553" s="20">
        <v>435</v>
      </c>
      <c r="D553" s="20">
        <v>17800</v>
      </c>
      <c r="E553" s="17" t="s">
        <v>92</v>
      </c>
      <c r="F553" s="17" t="s">
        <v>92</v>
      </c>
      <c r="G553" s="17" t="s">
        <v>92</v>
      </c>
      <c r="H553" s="17" t="s">
        <v>92</v>
      </c>
      <c r="I553" s="39"/>
      <c r="J553" s="42"/>
      <c r="K553" s="88"/>
      <c r="L553" s="42"/>
      <c r="M553" s="43"/>
      <c r="Q553" s="2"/>
      <c r="R553" s="24"/>
      <c r="S553" s="24"/>
      <c r="T553" s="24"/>
    </row>
    <row r="554" spans="1:20" x14ac:dyDescent="0.25">
      <c r="A554" s="2">
        <v>44602</v>
      </c>
      <c r="B554" s="20">
        <v>2670</v>
      </c>
      <c r="C554" s="20">
        <v>433</v>
      </c>
      <c r="D554" s="20">
        <v>18150</v>
      </c>
      <c r="E554" s="17" t="s">
        <v>92</v>
      </c>
      <c r="F554" s="17" t="s">
        <v>92</v>
      </c>
      <c r="G554" s="17" t="s">
        <v>92</v>
      </c>
      <c r="H554" s="17" t="s">
        <v>92</v>
      </c>
      <c r="I554" s="39"/>
      <c r="J554" s="42"/>
      <c r="K554" s="88"/>
      <c r="L554" s="42"/>
      <c r="M554" s="43"/>
      <c r="Q554" s="2"/>
      <c r="R554" s="24"/>
      <c r="S554" s="24"/>
      <c r="T554" s="24"/>
    </row>
    <row r="555" spans="1:20" x14ac:dyDescent="0.25">
      <c r="A555" s="2">
        <v>44601</v>
      </c>
      <c r="B555" s="20">
        <v>2702</v>
      </c>
      <c r="C555" s="20">
        <v>429</v>
      </c>
      <c r="D555" s="20">
        <v>18280</v>
      </c>
      <c r="E555" s="17" t="s">
        <v>92</v>
      </c>
      <c r="F555" s="17" t="s">
        <v>92</v>
      </c>
      <c r="G555" s="17" t="s">
        <v>92</v>
      </c>
      <c r="H555" s="17" t="s">
        <v>92</v>
      </c>
      <c r="I555" s="39"/>
      <c r="J555" s="42"/>
      <c r="K555" s="88"/>
      <c r="L555" s="42"/>
      <c r="M555" s="43"/>
      <c r="Q555" s="2"/>
      <c r="R555" s="24"/>
      <c r="S555" s="24"/>
      <c r="T555" s="24"/>
    </row>
    <row r="556" spans="1:20" x14ac:dyDescent="0.25">
      <c r="A556" s="2">
        <v>44600</v>
      </c>
      <c r="B556" s="20">
        <v>2710</v>
      </c>
      <c r="C556" s="20">
        <v>422</v>
      </c>
      <c r="D556" s="20">
        <v>18030</v>
      </c>
      <c r="E556" s="17" t="s">
        <v>92</v>
      </c>
      <c r="F556" s="17" t="s">
        <v>92</v>
      </c>
      <c r="G556" s="17" t="s">
        <v>92</v>
      </c>
      <c r="H556" s="17" t="s">
        <v>92</v>
      </c>
      <c r="I556" s="39"/>
      <c r="J556" s="42"/>
      <c r="K556" s="88"/>
      <c r="L556" s="42"/>
      <c r="M556" s="43"/>
      <c r="Q556" s="2"/>
      <c r="R556" s="24"/>
      <c r="S556" s="24"/>
      <c r="T556" s="24"/>
    </row>
    <row r="557" spans="1:20" x14ac:dyDescent="0.25">
      <c r="A557" s="2">
        <v>44599</v>
      </c>
      <c r="B557" s="20">
        <v>2662</v>
      </c>
      <c r="C557" s="20">
        <v>421</v>
      </c>
      <c r="D557" s="20">
        <v>17910</v>
      </c>
      <c r="E557" s="17" t="s">
        <v>92</v>
      </c>
      <c r="F557" s="17" t="s">
        <v>92</v>
      </c>
      <c r="G557" s="17" t="s">
        <v>92</v>
      </c>
      <c r="H557" s="17" t="s">
        <v>92</v>
      </c>
      <c r="I557" s="39"/>
      <c r="J557" s="42"/>
      <c r="K557" s="88"/>
      <c r="L557" s="42"/>
      <c r="M557" s="43"/>
      <c r="Q557" s="2"/>
      <c r="R557" s="24"/>
      <c r="S557" s="24"/>
      <c r="T557" s="24"/>
    </row>
    <row r="558" spans="1:20" x14ac:dyDescent="0.25">
      <c r="A558" s="2">
        <v>44596</v>
      </c>
      <c r="B558" s="20">
        <v>2678</v>
      </c>
      <c r="C558" s="29">
        <v>419.5</v>
      </c>
      <c r="D558" s="20">
        <v>17430</v>
      </c>
      <c r="E558" s="17" t="s">
        <v>92</v>
      </c>
      <c r="F558" s="17" t="s">
        <v>92</v>
      </c>
      <c r="G558" s="17" t="s">
        <v>92</v>
      </c>
      <c r="H558" s="17" t="s">
        <v>92</v>
      </c>
      <c r="I558" s="39"/>
      <c r="J558" s="42"/>
      <c r="K558" s="88"/>
      <c r="L558" s="42"/>
      <c r="M558" s="43"/>
      <c r="Q558" s="2"/>
      <c r="R558" s="24"/>
      <c r="S558" s="24"/>
      <c r="T558" s="24"/>
    </row>
    <row r="559" spans="1:20" x14ac:dyDescent="0.25">
      <c r="A559" s="2">
        <v>44595</v>
      </c>
      <c r="B559" s="20">
        <v>2682</v>
      </c>
      <c r="C559" s="20">
        <v>422</v>
      </c>
      <c r="D559" s="20">
        <v>17650</v>
      </c>
      <c r="E559" s="17" t="s">
        <v>92</v>
      </c>
      <c r="F559" s="17" t="s">
        <v>92</v>
      </c>
      <c r="G559" s="17" t="s">
        <v>92</v>
      </c>
      <c r="H559" s="17" t="s">
        <v>92</v>
      </c>
      <c r="I559" s="39"/>
      <c r="J559" s="42"/>
      <c r="K559" s="88"/>
      <c r="L559" s="42"/>
      <c r="M559" s="43"/>
      <c r="Q559" s="2"/>
      <c r="R559" s="24"/>
      <c r="S559" s="24"/>
      <c r="T559" s="24"/>
    </row>
    <row r="560" spans="1:20" x14ac:dyDescent="0.25">
      <c r="A560" s="2">
        <v>44594</v>
      </c>
      <c r="B560" s="20">
        <v>2710</v>
      </c>
      <c r="C560" s="20">
        <v>418</v>
      </c>
      <c r="D560" s="20">
        <v>18070</v>
      </c>
      <c r="E560" s="17" t="s">
        <v>92</v>
      </c>
      <c r="F560" s="17" t="s">
        <v>92</v>
      </c>
      <c r="G560" s="17" t="s">
        <v>92</v>
      </c>
      <c r="H560" s="17" t="s">
        <v>92</v>
      </c>
      <c r="I560" s="39"/>
      <c r="J560" s="42"/>
      <c r="K560" s="88"/>
      <c r="L560" s="42"/>
      <c r="M560" s="43"/>
      <c r="Q560" s="2"/>
      <c r="R560" s="24"/>
      <c r="S560" s="24"/>
      <c r="T560" s="24"/>
    </row>
    <row r="561" spans="1:20" x14ac:dyDescent="0.25">
      <c r="A561" s="2">
        <v>44593</v>
      </c>
      <c r="B561" s="20">
        <v>2700</v>
      </c>
      <c r="C561" s="20">
        <v>420</v>
      </c>
      <c r="D561" s="20">
        <v>18110</v>
      </c>
      <c r="E561" s="17" t="s">
        <v>92</v>
      </c>
      <c r="F561" s="17" t="s">
        <v>92</v>
      </c>
      <c r="G561" s="17" t="s">
        <v>92</v>
      </c>
      <c r="H561" s="17" t="s">
        <v>92</v>
      </c>
      <c r="I561" s="39"/>
      <c r="J561" s="42"/>
      <c r="K561" s="88"/>
      <c r="L561" s="42"/>
      <c r="M561" s="43"/>
      <c r="Q561" s="2"/>
      <c r="R561" s="24"/>
      <c r="S561" s="24"/>
      <c r="T561" s="24"/>
    </row>
    <row r="562" spans="1:20" x14ac:dyDescent="0.25">
      <c r="A562" s="2">
        <v>44592</v>
      </c>
      <c r="B562" s="20">
        <v>2750</v>
      </c>
      <c r="C562" s="29">
        <v>419.5</v>
      </c>
      <c r="D562" s="20">
        <v>18300</v>
      </c>
      <c r="E562" s="17" t="s">
        <v>92</v>
      </c>
      <c r="F562" s="17" t="s">
        <v>92</v>
      </c>
      <c r="G562" s="17" t="s">
        <v>92</v>
      </c>
      <c r="H562" s="17" t="s">
        <v>92</v>
      </c>
      <c r="I562" s="39"/>
      <c r="J562" s="42"/>
      <c r="K562" s="88"/>
      <c r="L562" s="42"/>
      <c r="M562" s="43"/>
      <c r="Q562" s="2"/>
      <c r="R562" s="24"/>
      <c r="S562" s="24"/>
      <c r="T562" s="24"/>
    </row>
    <row r="563" spans="1:20" x14ac:dyDescent="0.25">
      <c r="A563" s="2">
        <v>44589</v>
      </c>
      <c r="B563" s="20">
        <v>2728</v>
      </c>
      <c r="C563" s="20">
        <v>421</v>
      </c>
      <c r="D563" s="20">
        <v>17980</v>
      </c>
      <c r="E563" s="17" t="s">
        <v>92</v>
      </c>
      <c r="F563" s="17" t="s">
        <v>92</v>
      </c>
      <c r="G563" s="17" t="s">
        <v>92</v>
      </c>
      <c r="H563" s="17" t="s">
        <v>92</v>
      </c>
      <c r="I563" s="39"/>
      <c r="J563" s="42"/>
      <c r="K563" s="88"/>
      <c r="L563" s="42"/>
      <c r="M563" s="43"/>
      <c r="Q563" s="2"/>
      <c r="R563" s="24"/>
      <c r="S563" s="24"/>
      <c r="T563" s="24"/>
    </row>
    <row r="564" spans="1:20" x14ac:dyDescent="0.25">
      <c r="A564" s="2">
        <v>44588</v>
      </c>
      <c r="B564" s="20">
        <v>2750</v>
      </c>
      <c r="C564" s="29">
        <v>418.5</v>
      </c>
      <c r="D564" s="20">
        <v>17850</v>
      </c>
      <c r="E564" s="17" t="s">
        <v>92</v>
      </c>
      <c r="F564" s="17" t="s">
        <v>92</v>
      </c>
      <c r="G564" s="17" t="s">
        <v>92</v>
      </c>
      <c r="H564" s="17" t="s">
        <v>92</v>
      </c>
      <c r="I564" s="39"/>
      <c r="J564" s="42"/>
      <c r="K564" s="88"/>
      <c r="L564" s="42"/>
      <c r="M564" s="43"/>
      <c r="Q564" s="2"/>
      <c r="R564" s="24"/>
      <c r="S564" s="24"/>
      <c r="T564" s="24"/>
    </row>
    <row r="565" spans="1:20" x14ac:dyDescent="0.25">
      <c r="A565" s="2">
        <v>44587</v>
      </c>
      <c r="B565" s="20">
        <v>2670</v>
      </c>
      <c r="C565" s="20">
        <v>421</v>
      </c>
      <c r="D565" s="20">
        <v>17455</v>
      </c>
      <c r="E565" s="17" t="s">
        <v>92</v>
      </c>
      <c r="F565" s="17" t="s">
        <v>92</v>
      </c>
      <c r="G565" s="17" t="s">
        <v>92</v>
      </c>
      <c r="H565" s="17" t="s">
        <v>92</v>
      </c>
      <c r="I565" s="39"/>
      <c r="J565" s="42"/>
      <c r="K565" s="88"/>
      <c r="L565" s="42"/>
      <c r="M565" s="43"/>
      <c r="Q565" s="2"/>
      <c r="R565" s="24"/>
      <c r="S565" s="24"/>
      <c r="T565" s="24"/>
    </row>
    <row r="566" spans="1:20" x14ac:dyDescent="0.25">
      <c r="A566" s="2">
        <v>44586</v>
      </c>
      <c r="B566" s="20">
        <v>2660</v>
      </c>
      <c r="C566" s="20">
        <v>422</v>
      </c>
      <c r="D566" s="20">
        <v>16940</v>
      </c>
      <c r="E566" s="17" t="s">
        <v>92</v>
      </c>
      <c r="F566" s="17" t="s">
        <v>92</v>
      </c>
      <c r="G566" s="17" t="s">
        <v>92</v>
      </c>
      <c r="H566" s="17" t="s">
        <v>92</v>
      </c>
      <c r="I566" s="39"/>
      <c r="J566" s="42"/>
      <c r="K566" s="88"/>
      <c r="L566" s="42"/>
      <c r="M566" s="43"/>
      <c r="Q566" s="2"/>
      <c r="R566" s="24"/>
      <c r="S566" s="24"/>
      <c r="T566" s="24"/>
    </row>
    <row r="567" spans="1:20" x14ac:dyDescent="0.25">
      <c r="A567" s="2">
        <v>44585</v>
      </c>
      <c r="B567" s="20">
        <v>2620</v>
      </c>
      <c r="C567" s="29">
        <v>416.5</v>
      </c>
      <c r="D567" s="20">
        <v>17140</v>
      </c>
      <c r="E567" s="17" t="s">
        <v>92</v>
      </c>
      <c r="F567" s="17" t="s">
        <v>92</v>
      </c>
      <c r="G567" s="17" t="s">
        <v>92</v>
      </c>
      <c r="H567" s="17" t="s">
        <v>92</v>
      </c>
      <c r="I567" s="39"/>
      <c r="J567" s="42"/>
      <c r="K567" s="88"/>
      <c r="L567" s="42"/>
      <c r="M567" s="43"/>
      <c r="Q567" s="2"/>
      <c r="R567" s="24"/>
      <c r="S567" s="24"/>
      <c r="T567" s="24"/>
    </row>
    <row r="568" spans="1:20" x14ac:dyDescent="0.25">
      <c r="A568" s="2">
        <v>44582</v>
      </c>
      <c r="B568" s="20">
        <v>2684</v>
      </c>
      <c r="C568" s="20">
        <v>422</v>
      </c>
      <c r="D568" s="20">
        <v>17300</v>
      </c>
      <c r="E568" s="17" t="s">
        <v>92</v>
      </c>
      <c r="F568" s="17" t="s">
        <v>92</v>
      </c>
      <c r="G568" s="17" t="s">
        <v>92</v>
      </c>
      <c r="H568" s="17" t="s">
        <v>92</v>
      </c>
      <c r="I568" s="39"/>
      <c r="J568" s="42"/>
      <c r="K568" s="88"/>
      <c r="L568" s="42"/>
      <c r="M568" s="43"/>
      <c r="Q568" s="2"/>
      <c r="R568" s="24"/>
      <c r="S568" s="24"/>
      <c r="T568" s="24"/>
    </row>
    <row r="569" spans="1:20" x14ac:dyDescent="0.25">
      <c r="A569" s="2">
        <v>44581</v>
      </c>
      <c r="B569" s="20">
        <v>2652</v>
      </c>
      <c r="C569" s="29">
        <v>424.5</v>
      </c>
      <c r="D569" s="20">
        <v>17690</v>
      </c>
      <c r="E569" s="17" t="s">
        <v>92</v>
      </c>
      <c r="F569" s="17" t="s">
        <v>92</v>
      </c>
      <c r="G569" s="17" t="s">
        <v>92</v>
      </c>
      <c r="H569" s="17" t="s">
        <v>92</v>
      </c>
      <c r="I569" s="39"/>
      <c r="J569" s="42"/>
      <c r="K569" s="88"/>
      <c r="L569" s="42"/>
      <c r="M569" s="43"/>
      <c r="Q569" s="2"/>
      <c r="R569" s="24"/>
      <c r="S569" s="24"/>
      <c r="T569" s="24"/>
    </row>
    <row r="570" spans="1:20" x14ac:dyDescent="0.25">
      <c r="A570" s="2">
        <v>44580</v>
      </c>
      <c r="B570" s="20">
        <v>2660</v>
      </c>
      <c r="C570" s="20">
        <v>426</v>
      </c>
      <c r="D570" s="20">
        <v>17980</v>
      </c>
      <c r="E570" s="17" t="s">
        <v>92</v>
      </c>
      <c r="F570" s="17" t="s">
        <v>92</v>
      </c>
      <c r="G570" s="17" t="s">
        <v>92</v>
      </c>
      <c r="H570" s="17" t="s">
        <v>92</v>
      </c>
      <c r="I570" s="39"/>
      <c r="J570" s="42"/>
      <c r="K570" s="88"/>
      <c r="L570" s="42"/>
      <c r="M570" s="43"/>
      <c r="Q570" s="2"/>
      <c r="R570" s="24"/>
      <c r="S570" s="24"/>
      <c r="T570" s="24"/>
    </row>
    <row r="571" spans="1:20" x14ac:dyDescent="0.25">
      <c r="A571" s="2">
        <v>44579</v>
      </c>
      <c r="B571" s="20">
        <v>2624</v>
      </c>
      <c r="C571" s="29">
        <v>421.5</v>
      </c>
      <c r="D571" s="20">
        <v>17745</v>
      </c>
      <c r="E571" s="17" t="s">
        <v>92</v>
      </c>
      <c r="F571" s="17" t="s">
        <v>92</v>
      </c>
      <c r="G571" s="17" t="s">
        <v>92</v>
      </c>
      <c r="H571" s="17" t="s">
        <v>92</v>
      </c>
      <c r="I571" s="39"/>
      <c r="J571" s="42"/>
      <c r="K571" s="88"/>
      <c r="L571" s="42"/>
      <c r="M571" s="43"/>
      <c r="Q571" s="2"/>
      <c r="R571" s="24"/>
      <c r="S571" s="24"/>
      <c r="T571" s="24"/>
    </row>
    <row r="572" spans="1:20" x14ac:dyDescent="0.25">
      <c r="A572" s="2">
        <v>44578</v>
      </c>
      <c r="B572" s="20">
        <v>2668</v>
      </c>
      <c r="C572" s="20">
        <v>419</v>
      </c>
      <c r="D572" s="20">
        <v>18120</v>
      </c>
      <c r="E572" s="17" t="s">
        <v>92</v>
      </c>
      <c r="F572" s="17" t="s">
        <v>92</v>
      </c>
      <c r="G572" s="17" t="s">
        <v>92</v>
      </c>
      <c r="H572" s="17" t="s">
        <v>92</v>
      </c>
      <c r="I572" s="39"/>
      <c r="J572" s="42"/>
      <c r="K572" s="88"/>
      <c r="L572" s="42"/>
      <c r="M572" s="43"/>
      <c r="Q572" s="2"/>
      <c r="R572" s="24"/>
      <c r="S572" s="24"/>
      <c r="T572" s="24"/>
    </row>
    <row r="573" spans="1:20" x14ac:dyDescent="0.25">
      <c r="A573" s="2">
        <v>44575</v>
      </c>
      <c r="B573" s="20">
        <v>2652</v>
      </c>
      <c r="C573" s="20">
        <v>417</v>
      </c>
      <c r="D573" s="20">
        <v>17610</v>
      </c>
      <c r="E573" s="17" t="s">
        <v>92</v>
      </c>
      <c r="F573" s="17" t="s">
        <v>92</v>
      </c>
      <c r="G573" s="17" t="s">
        <v>92</v>
      </c>
      <c r="H573" s="17" t="s">
        <v>92</v>
      </c>
      <c r="I573" s="39"/>
      <c r="J573" s="42"/>
      <c r="K573" s="88"/>
      <c r="L573" s="42"/>
      <c r="M573" s="43"/>
      <c r="Q573" s="2"/>
      <c r="R573" s="24"/>
      <c r="S573" s="24"/>
      <c r="T573" s="24"/>
    </row>
    <row r="574" spans="1:20" x14ac:dyDescent="0.25">
      <c r="A574" s="2">
        <v>44574</v>
      </c>
      <c r="B574" s="20">
        <v>2686</v>
      </c>
      <c r="C574" s="20">
        <v>417</v>
      </c>
      <c r="D574" s="20">
        <v>18215</v>
      </c>
      <c r="E574" s="17" t="s">
        <v>92</v>
      </c>
      <c r="F574" s="17" t="s">
        <v>92</v>
      </c>
      <c r="G574" s="17" t="s">
        <v>92</v>
      </c>
      <c r="H574" s="17" t="s">
        <v>92</v>
      </c>
      <c r="I574" s="39"/>
      <c r="J574" s="42"/>
      <c r="K574" s="88"/>
      <c r="L574" s="42"/>
      <c r="M574" s="43"/>
      <c r="Q574" s="2"/>
      <c r="R574" s="24"/>
      <c r="S574" s="24"/>
      <c r="T574" s="24"/>
    </row>
    <row r="575" spans="1:20" x14ac:dyDescent="0.25">
      <c r="A575" s="2">
        <v>44573</v>
      </c>
      <c r="B575" s="20">
        <v>2690</v>
      </c>
      <c r="C575" s="29">
        <v>416.5</v>
      </c>
      <c r="D575" s="20">
        <v>18600</v>
      </c>
      <c r="E575" s="17" t="s">
        <v>92</v>
      </c>
      <c r="F575" s="17" t="s">
        <v>92</v>
      </c>
      <c r="G575" s="17" t="s">
        <v>92</v>
      </c>
      <c r="H575" s="17" t="s">
        <v>92</v>
      </c>
      <c r="I575" s="39"/>
      <c r="J575" s="42"/>
      <c r="K575" s="88"/>
      <c r="L575" s="42"/>
      <c r="M575" s="43"/>
      <c r="Q575" s="2"/>
      <c r="R575" s="24"/>
      <c r="S575" s="24"/>
      <c r="T575" s="24"/>
    </row>
    <row r="576" spans="1:20" x14ac:dyDescent="0.25">
      <c r="A576" s="2">
        <v>44572</v>
      </c>
      <c r="B576" s="20">
        <v>2648</v>
      </c>
      <c r="C576" s="20">
        <v>418</v>
      </c>
      <c r="D576" s="20">
        <v>18090</v>
      </c>
      <c r="E576" s="17" t="s">
        <v>92</v>
      </c>
      <c r="F576" s="17" t="s">
        <v>92</v>
      </c>
      <c r="G576" s="17" t="s">
        <v>92</v>
      </c>
      <c r="H576" s="17" t="s">
        <v>92</v>
      </c>
      <c r="I576" s="39"/>
      <c r="J576" s="42"/>
      <c r="K576" s="88"/>
      <c r="L576" s="42"/>
      <c r="M576" s="43"/>
      <c r="Q576" s="2"/>
      <c r="R576" s="24"/>
      <c r="S576" s="24"/>
      <c r="T576" s="24"/>
    </row>
    <row r="577" spans="1:20" x14ac:dyDescent="0.25">
      <c r="A577" s="2">
        <v>44571</v>
      </c>
      <c r="B577" s="20">
        <v>2636</v>
      </c>
      <c r="C577" s="20">
        <v>418</v>
      </c>
      <c r="D577" s="20">
        <v>17310</v>
      </c>
      <c r="E577" s="17" t="s">
        <v>92</v>
      </c>
      <c r="F577" s="17" t="s">
        <v>92</v>
      </c>
      <c r="G577" s="17" t="s">
        <v>92</v>
      </c>
      <c r="H577" s="17" t="s">
        <v>92</v>
      </c>
      <c r="I577" s="39"/>
      <c r="J577" s="42"/>
      <c r="K577" s="88"/>
      <c r="L577" s="42"/>
      <c r="M577" s="43"/>
      <c r="Q577" s="2"/>
      <c r="R577" s="24"/>
      <c r="S577" s="24"/>
      <c r="T577" s="24"/>
    </row>
    <row r="578" spans="1:20" x14ac:dyDescent="0.25">
      <c r="A578" s="2">
        <v>44568</v>
      </c>
      <c r="B578" s="20">
        <v>2600</v>
      </c>
      <c r="C578" s="20">
        <v>416</v>
      </c>
      <c r="D578" s="20">
        <v>17190</v>
      </c>
      <c r="E578" s="17" t="s">
        <v>92</v>
      </c>
      <c r="F578" s="17" t="s">
        <v>92</v>
      </c>
      <c r="G578" s="17" t="s">
        <v>92</v>
      </c>
      <c r="H578" s="17" t="s">
        <v>92</v>
      </c>
      <c r="I578" s="39"/>
      <c r="J578" s="42"/>
      <c r="K578" s="88"/>
      <c r="L578" s="42"/>
      <c r="M578" s="43"/>
      <c r="Q578" s="2"/>
      <c r="R578" s="24"/>
      <c r="S578" s="24"/>
      <c r="T578" s="24"/>
    </row>
    <row r="579" spans="1:20" x14ac:dyDescent="0.25">
      <c r="A579" s="2">
        <v>44567</v>
      </c>
      <c r="B579" s="20">
        <v>2610</v>
      </c>
      <c r="C579" s="20">
        <v>418</v>
      </c>
      <c r="D579" s="20">
        <v>16910</v>
      </c>
      <c r="E579" s="17" t="s">
        <v>92</v>
      </c>
      <c r="F579" s="17" t="s">
        <v>92</v>
      </c>
      <c r="G579" s="17" t="s">
        <v>92</v>
      </c>
      <c r="H579" s="17" t="s">
        <v>92</v>
      </c>
      <c r="I579" s="39"/>
      <c r="J579" s="42"/>
      <c r="K579" s="88"/>
      <c r="L579" s="42"/>
      <c r="M579" s="43"/>
      <c r="Q579" s="2"/>
      <c r="R579" s="24"/>
      <c r="S579" s="24"/>
      <c r="T579" s="24"/>
    </row>
    <row r="580" spans="1:20" x14ac:dyDescent="0.25">
      <c r="A580" s="2">
        <v>44566</v>
      </c>
      <c r="B580" s="20">
        <v>2618</v>
      </c>
      <c r="C580" s="20">
        <v>416</v>
      </c>
      <c r="D580" s="20">
        <v>17115</v>
      </c>
      <c r="E580" s="17" t="s">
        <v>92</v>
      </c>
      <c r="F580" s="17" t="s">
        <v>92</v>
      </c>
      <c r="G580" s="17" t="s">
        <v>92</v>
      </c>
      <c r="H580" s="17" t="s">
        <v>92</v>
      </c>
      <c r="I580" s="39"/>
      <c r="J580" s="42"/>
      <c r="K580" s="88"/>
      <c r="L580" s="42"/>
      <c r="M580" s="43"/>
      <c r="Q580" s="2"/>
      <c r="R580" s="24"/>
      <c r="S580" s="24"/>
      <c r="T580" s="24"/>
    </row>
    <row r="581" spans="1:20" x14ac:dyDescent="0.25">
      <c r="A581" s="2">
        <v>44565</v>
      </c>
      <c r="B581" s="20">
        <v>2600</v>
      </c>
      <c r="C581" s="29">
        <v>420.5</v>
      </c>
      <c r="D581" s="20">
        <v>16835</v>
      </c>
      <c r="E581" s="17" t="s">
        <v>92</v>
      </c>
      <c r="F581" s="17" t="s">
        <v>92</v>
      </c>
      <c r="G581" s="17" t="s">
        <v>92</v>
      </c>
      <c r="H581" s="17" t="s">
        <v>92</v>
      </c>
      <c r="I581" s="39"/>
      <c r="J581" s="42"/>
      <c r="K581" s="88"/>
      <c r="L581" s="42"/>
      <c r="M581" s="43"/>
      <c r="Q581" s="2"/>
      <c r="R581" s="24"/>
      <c r="S581" s="24"/>
      <c r="T581" s="24"/>
    </row>
    <row r="582" spans="1:20" x14ac:dyDescent="0.25">
      <c r="A582" s="2">
        <v>44564</v>
      </c>
      <c r="B582" s="20">
        <v>2584</v>
      </c>
      <c r="C582" s="20">
        <v>418</v>
      </c>
      <c r="D582" s="20">
        <v>17035</v>
      </c>
      <c r="E582" s="17" t="s">
        <v>92</v>
      </c>
      <c r="F582" s="17" t="s">
        <v>92</v>
      </c>
      <c r="G582" s="17" t="s">
        <v>92</v>
      </c>
      <c r="H582" s="17" t="s">
        <v>92</v>
      </c>
      <c r="I582" s="39"/>
      <c r="J582" s="42"/>
      <c r="K582" s="88"/>
      <c r="L582" s="42"/>
      <c r="M582" s="43"/>
      <c r="Q582" s="2"/>
      <c r="R582" s="24"/>
      <c r="S582" s="24"/>
      <c r="T582" s="24"/>
    </row>
    <row r="583" spans="1:20" x14ac:dyDescent="0.25">
      <c r="A583" s="2">
        <v>44560</v>
      </c>
      <c r="B583" s="20">
        <v>2520</v>
      </c>
      <c r="C583" s="29">
        <v>411.5</v>
      </c>
      <c r="D583" s="20">
        <v>16600</v>
      </c>
      <c r="E583" s="17" t="s">
        <v>92</v>
      </c>
      <c r="F583" s="17" t="s">
        <v>92</v>
      </c>
      <c r="G583" s="17" t="s">
        <v>92</v>
      </c>
      <c r="H583" s="17" t="s">
        <v>92</v>
      </c>
      <c r="I583" s="39"/>
      <c r="J583" s="42"/>
      <c r="K583" s="88"/>
      <c r="L583" s="42"/>
      <c r="M583" s="43"/>
      <c r="Q583" s="2"/>
      <c r="R583" s="24"/>
      <c r="S583" s="24"/>
      <c r="T583" s="24"/>
    </row>
    <row r="584" spans="1:20" x14ac:dyDescent="0.25">
      <c r="A584" s="2">
        <v>44559</v>
      </c>
      <c r="B584" s="20">
        <v>2500</v>
      </c>
      <c r="C584" s="29">
        <v>410.5</v>
      </c>
      <c r="D584" s="20">
        <v>16420</v>
      </c>
      <c r="E584" s="17" t="s">
        <v>92</v>
      </c>
      <c r="F584" s="17" t="s">
        <v>92</v>
      </c>
      <c r="G584" s="17" t="s">
        <v>92</v>
      </c>
      <c r="H584" s="17" t="s">
        <v>92</v>
      </c>
      <c r="I584" s="39"/>
      <c r="J584" s="42"/>
      <c r="K584" s="88"/>
      <c r="L584" s="42"/>
      <c r="M584" s="43"/>
      <c r="Q584" s="2"/>
      <c r="R584" s="24"/>
      <c r="S584" s="24"/>
      <c r="T584" s="24"/>
    </row>
    <row r="585" spans="1:20" x14ac:dyDescent="0.25">
      <c r="A585" s="2">
        <v>44558</v>
      </c>
      <c r="B585" s="20">
        <v>2440</v>
      </c>
      <c r="C585" s="29">
        <v>409.5</v>
      </c>
      <c r="D585" s="20">
        <v>16205</v>
      </c>
      <c r="E585" s="17" t="s">
        <v>92</v>
      </c>
      <c r="F585" s="17" t="s">
        <v>92</v>
      </c>
      <c r="G585" s="17" t="s">
        <v>92</v>
      </c>
      <c r="H585" s="17" t="s">
        <v>92</v>
      </c>
      <c r="I585" s="39"/>
      <c r="J585" s="42"/>
      <c r="K585" s="88"/>
      <c r="L585" s="42"/>
      <c r="M585" s="43"/>
      <c r="Q585" s="2"/>
      <c r="R585" s="24"/>
      <c r="S585" s="24"/>
      <c r="T585" s="24"/>
    </row>
    <row r="586" spans="1:20" x14ac:dyDescent="0.25">
      <c r="A586" s="2">
        <v>44557</v>
      </c>
      <c r="B586" s="20">
        <v>2454</v>
      </c>
      <c r="C586" s="20">
        <v>406</v>
      </c>
      <c r="D586" s="20">
        <v>16150</v>
      </c>
      <c r="E586" s="17" t="s">
        <v>92</v>
      </c>
      <c r="F586" s="17" t="s">
        <v>92</v>
      </c>
      <c r="G586" s="17" t="s">
        <v>92</v>
      </c>
      <c r="H586" s="17" t="s">
        <v>92</v>
      </c>
      <c r="I586" s="39"/>
      <c r="J586" s="42"/>
      <c r="K586" s="88"/>
      <c r="L586" s="42"/>
      <c r="M586" s="43"/>
      <c r="Q586" s="2"/>
      <c r="R586" s="24"/>
      <c r="S586" s="24"/>
      <c r="T586" s="24"/>
    </row>
    <row r="587" spans="1:20" x14ac:dyDescent="0.25">
      <c r="A587" s="2">
        <v>44553</v>
      </c>
      <c r="B587" s="20">
        <v>2470</v>
      </c>
      <c r="C587" s="20">
        <v>408</v>
      </c>
      <c r="D587" s="20">
        <v>16040</v>
      </c>
      <c r="E587" s="17" t="s">
        <v>92</v>
      </c>
      <c r="F587" s="17" t="s">
        <v>92</v>
      </c>
      <c r="G587" s="17" t="s">
        <v>92</v>
      </c>
      <c r="H587" s="17" t="s">
        <v>92</v>
      </c>
      <c r="I587" s="39"/>
      <c r="J587" s="42"/>
      <c r="K587" s="88"/>
      <c r="L587" s="42"/>
      <c r="M587" s="43"/>
      <c r="Q587" s="2"/>
      <c r="R587" s="24"/>
      <c r="S587" s="24"/>
      <c r="T587" s="24"/>
    </row>
    <row r="588" spans="1:20" x14ac:dyDescent="0.25">
      <c r="A588" s="2">
        <v>44552</v>
      </c>
      <c r="B588" s="20">
        <v>2470</v>
      </c>
      <c r="C588" s="20">
        <v>412</v>
      </c>
      <c r="D588" s="20">
        <v>15600</v>
      </c>
      <c r="E588" s="17" t="s">
        <v>92</v>
      </c>
      <c r="F588" s="17" t="s">
        <v>92</v>
      </c>
      <c r="G588" s="17" t="s">
        <v>92</v>
      </c>
      <c r="H588" s="17" t="s">
        <v>92</v>
      </c>
      <c r="I588" s="39"/>
      <c r="J588" s="42"/>
      <c r="K588" s="88"/>
      <c r="L588" s="42"/>
      <c r="M588" s="43"/>
      <c r="Q588" s="2"/>
      <c r="R588" s="24"/>
      <c r="S588" s="24"/>
      <c r="T588" s="24"/>
    </row>
    <row r="589" spans="1:20" x14ac:dyDescent="0.25">
      <c r="A589" s="2">
        <v>44551</v>
      </c>
      <c r="B589" s="20">
        <v>2440</v>
      </c>
      <c r="C589" s="20">
        <v>407</v>
      </c>
      <c r="D589" s="20">
        <v>16880</v>
      </c>
      <c r="E589" s="17" t="s">
        <v>92</v>
      </c>
      <c r="F589" s="17" t="s">
        <v>92</v>
      </c>
      <c r="G589" s="17" t="s">
        <v>92</v>
      </c>
      <c r="H589" s="17" t="s">
        <v>92</v>
      </c>
      <c r="I589" s="39"/>
      <c r="J589" s="42"/>
      <c r="K589" s="88"/>
      <c r="L589" s="42"/>
      <c r="M589" s="43"/>
      <c r="Q589" s="2"/>
      <c r="R589" s="24"/>
      <c r="S589" s="24"/>
      <c r="T589" s="24"/>
    </row>
    <row r="590" spans="1:20" x14ac:dyDescent="0.25">
      <c r="A590" s="2">
        <v>44550</v>
      </c>
      <c r="B590" s="20">
        <v>2438</v>
      </c>
      <c r="C590" s="29">
        <v>413.5</v>
      </c>
      <c r="D590" s="20">
        <v>16805</v>
      </c>
      <c r="E590" s="17" t="s">
        <v>92</v>
      </c>
      <c r="F590" s="17" t="s">
        <v>92</v>
      </c>
      <c r="G590" s="17" t="s">
        <v>92</v>
      </c>
      <c r="H590" s="17" t="s">
        <v>92</v>
      </c>
      <c r="I590" s="39"/>
      <c r="J590" s="42"/>
      <c r="K590" s="88"/>
      <c r="L590" s="42"/>
      <c r="M590" s="43"/>
      <c r="Q590" s="2"/>
      <c r="R590" s="24"/>
      <c r="S590" s="24"/>
      <c r="T590" s="24"/>
    </row>
    <row r="591" spans="1:20" x14ac:dyDescent="0.25">
      <c r="A591" s="2">
        <v>44547</v>
      </c>
      <c r="B591" s="20">
        <v>2450</v>
      </c>
      <c r="C591" s="29">
        <v>409.5</v>
      </c>
      <c r="D591" s="20">
        <v>17200</v>
      </c>
      <c r="E591" s="17" t="s">
        <v>92</v>
      </c>
      <c r="F591" s="17" t="s">
        <v>92</v>
      </c>
      <c r="G591" s="17" t="s">
        <v>92</v>
      </c>
      <c r="H591" s="17" t="s">
        <v>92</v>
      </c>
      <c r="I591" s="39"/>
      <c r="J591" s="42"/>
      <c r="K591" s="88"/>
      <c r="L591" s="42"/>
      <c r="M591" s="43"/>
      <c r="Q591" s="2"/>
      <c r="R591" s="24"/>
      <c r="S591" s="24"/>
      <c r="T591" s="24"/>
    </row>
    <row r="592" spans="1:20" x14ac:dyDescent="0.25">
      <c r="A592" s="2">
        <v>44546</v>
      </c>
      <c r="B592" s="20">
        <v>2440</v>
      </c>
      <c r="C592" s="29">
        <v>407.5</v>
      </c>
      <c r="D592" s="20">
        <v>17025</v>
      </c>
      <c r="E592" s="17" t="s">
        <v>92</v>
      </c>
      <c r="F592" s="17" t="s">
        <v>92</v>
      </c>
      <c r="G592" s="17" t="s">
        <v>92</v>
      </c>
      <c r="H592" s="17" t="s">
        <v>92</v>
      </c>
      <c r="I592" s="39"/>
      <c r="J592" s="42"/>
      <c r="K592" s="88"/>
      <c r="L592" s="42"/>
      <c r="M592" s="43"/>
      <c r="Q592" s="2"/>
      <c r="R592" s="24"/>
      <c r="S592" s="24"/>
      <c r="T592" s="24"/>
    </row>
    <row r="593" spans="1:20" x14ac:dyDescent="0.25">
      <c r="A593" s="2">
        <v>44545</v>
      </c>
      <c r="B593" s="20">
        <v>2420</v>
      </c>
      <c r="C593" s="29">
        <v>401.5</v>
      </c>
      <c r="D593" s="20">
        <v>16845</v>
      </c>
      <c r="E593" s="17" t="s">
        <v>92</v>
      </c>
      <c r="F593" s="17" t="s">
        <v>92</v>
      </c>
      <c r="G593" s="17" t="s">
        <v>92</v>
      </c>
      <c r="H593" s="17" t="s">
        <v>92</v>
      </c>
      <c r="I593" s="39"/>
      <c r="J593" s="42"/>
      <c r="K593" s="88"/>
      <c r="L593" s="42"/>
      <c r="M593" s="43"/>
      <c r="Q593" s="2"/>
      <c r="R593" s="24"/>
      <c r="S593" s="24"/>
      <c r="T593" s="24"/>
    </row>
    <row r="594" spans="1:20" x14ac:dyDescent="0.25">
      <c r="A594" s="2">
        <v>44544</v>
      </c>
      <c r="B594" s="20">
        <v>2430</v>
      </c>
      <c r="C594" s="20">
        <v>406</v>
      </c>
      <c r="D594" s="20">
        <v>16895</v>
      </c>
      <c r="E594" s="17" t="s">
        <v>92</v>
      </c>
      <c r="F594" s="17" t="s">
        <v>92</v>
      </c>
      <c r="G594" s="17" t="s">
        <v>92</v>
      </c>
      <c r="H594" s="17" t="s">
        <v>92</v>
      </c>
      <c r="I594" s="39"/>
      <c r="J594" s="42"/>
      <c r="K594" s="88"/>
      <c r="L594" s="42"/>
      <c r="M594" s="43"/>
      <c r="Q594" s="2"/>
      <c r="R594" s="24"/>
      <c r="S594" s="24"/>
      <c r="T594" s="24"/>
    </row>
    <row r="595" spans="1:20" x14ac:dyDescent="0.25">
      <c r="A595" s="2">
        <v>44543</v>
      </c>
      <c r="B595" s="20">
        <v>2422</v>
      </c>
      <c r="C595" s="20">
        <v>407</v>
      </c>
      <c r="D595" s="20">
        <v>17155</v>
      </c>
      <c r="E595" s="17" t="s">
        <v>92</v>
      </c>
      <c r="F595" s="17" t="s">
        <v>92</v>
      </c>
      <c r="G595" s="17" t="s">
        <v>92</v>
      </c>
      <c r="H595" s="17" t="s">
        <v>92</v>
      </c>
      <c r="I595" s="39"/>
      <c r="J595" s="42"/>
      <c r="K595" s="88"/>
      <c r="L595" s="42"/>
      <c r="M595" s="43"/>
      <c r="Q595" s="2"/>
      <c r="R595" s="24"/>
      <c r="S595" s="24"/>
      <c r="T595" s="24"/>
    </row>
    <row r="596" spans="1:20" x14ac:dyDescent="0.25">
      <c r="A596" s="2">
        <v>44540</v>
      </c>
      <c r="B596" s="20">
        <v>2446</v>
      </c>
      <c r="C596" s="20">
        <v>411</v>
      </c>
      <c r="D596" s="20">
        <v>17445</v>
      </c>
      <c r="E596" s="17" t="s">
        <v>92</v>
      </c>
      <c r="F596" s="17" t="s">
        <v>92</v>
      </c>
      <c r="G596" s="17" t="s">
        <v>92</v>
      </c>
      <c r="H596" s="17" t="s">
        <v>92</v>
      </c>
      <c r="I596" s="39"/>
      <c r="J596" s="42"/>
      <c r="K596" s="88"/>
      <c r="L596" s="42"/>
      <c r="M596" s="43"/>
      <c r="Q596" s="2"/>
      <c r="R596" s="24"/>
      <c r="S596" s="24"/>
      <c r="T596" s="24"/>
    </row>
    <row r="597" spans="1:20" x14ac:dyDescent="0.25">
      <c r="A597" s="2">
        <v>44539</v>
      </c>
      <c r="B597" s="20">
        <v>2456</v>
      </c>
      <c r="C597" s="20">
        <v>414</v>
      </c>
      <c r="D597" s="20">
        <v>17465</v>
      </c>
      <c r="E597" s="17" t="s">
        <v>92</v>
      </c>
      <c r="F597" s="17" t="s">
        <v>92</v>
      </c>
      <c r="G597" s="17" t="s">
        <v>92</v>
      </c>
      <c r="H597" s="17" t="s">
        <v>92</v>
      </c>
      <c r="I597" s="39"/>
      <c r="J597" s="42"/>
      <c r="K597" s="88"/>
      <c r="L597" s="42"/>
      <c r="M597" s="43"/>
      <c r="Q597" s="2"/>
      <c r="R597" s="24"/>
      <c r="S597" s="24"/>
      <c r="T597" s="24"/>
    </row>
    <row r="598" spans="1:20" x14ac:dyDescent="0.25">
      <c r="A598" s="2">
        <v>44538</v>
      </c>
      <c r="B598" s="20">
        <v>2454</v>
      </c>
      <c r="C598" s="20">
        <v>408</v>
      </c>
      <c r="D598" s="20">
        <v>17550</v>
      </c>
      <c r="E598" s="17" t="s">
        <v>92</v>
      </c>
      <c r="F598" s="17" t="s">
        <v>92</v>
      </c>
      <c r="G598" s="17" t="s">
        <v>92</v>
      </c>
      <c r="H598" s="17" t="s">
        <v>92</v>
      </c>
      <c r="I598" s="39"/>
      <c r="J598" s="42"/>
      <c r="K598" s="88"/>
      <c r="L598" s="42"/>
      <c r="M598" s="43"/>
      <c r="Q598" s="2"/>
      <c r="R598" s="24"/>
      <c r="S598" s="24"/>
      <c r="T598" s="24"/>
    </row>
    <row r="599" spans="1:20" x14ac:dyDescent="0.25">
      <c r="A599" s="2">
        <v>44537</v>
      </c>
      <c r="B599" s="20">
        <v>2456</v>
      </c>
      <c r="C599" s="20">
        <v>408</v>
      </c>
      <c r="D599" s="20">
        <v>17580</v>
      </c>
      <c r="E599" s="17" t="s">
        <v>92</v>
      </c>
      <c r="F599" s="17" t="s">
        <v>92</v>
      </c>
      <c r="G599" s="17" t="s">
        <v>92</v>
      </c>
      <c r="H599" s="17" t="s">
        <v>92</v>
      </c>
      <c r="I599" s="39"/>
      <c r="J599" s="42"/>
      <c r="K599" s="88"/>
      <c r="L599" s="42"/>
      <c r="M599" s="43"/>
      <c r="Q599" s="2"/>
      <c r="R599" s="24"/>
      <c r="S599" s="24"/>
      <c r="T599" s="24"/>
    </row>
    <row r="600" spans="1:20" x14ac:dyDescent="0.25">
      <c r="A600" s="2">
        <v>44536</v>
      </c>
      <c r="B600" s="20">
        <v>2434</v>
      </c>
      <c r="C600" s="20">
        <v>408</v>
      </c>
      <c r="D600" s="20">
        <v>17285</v>
      </c>
      <c r="E600" s="17" t="s">
        <v>92</v>
      </c>
      <c r="F600" s="17" t="s">
        <v>92</v>
      </c>
      <c r="G600" s="17" t="s">
        <v>92</v>
      </c>
      <c r="H600" s="17" t="s">
        <v>92</v>
      </c>
      <c r="I600" s="39"/>
      <c r="J600" s="42"/>
      <c r="K600" s="88"/>
      <c r="L600" s="42"/>
      <c r="M600" s="43"/>
      <c r="Q600" s="2"/>
      <c r="R600" s="24"/>
      <c r="S600" s="24"/>
      <c r="T600" s="24"/>
    </row>
    <row r="601" spans="1:20" x14ac:dyDescent="0.25">
      <c r="A601" s="2">
        <v>44533</v>
      </c>
      <c r="B601" s="20">
        <v>2410</v>
      </c>
      <c r="C601" s="20">
        <v>414</v>
      </c>
      <c r="D601" s="20">
        <v>17380</v>
      </c>
      <c r="E601" s="17" t="s">
        <v>92</v>
      </c>
      <c r="F601" s="17" t="s">
        <v>92</v>
      </c>
      <c r="G601" s="17" t="s">
        <v>92</v>
      </c>
      <c r="H601" s="17" t="s">
        <v>92</v>
      </c>
      <c r="I601" s="39"/>
      <c r="J601" s="42"/>
      <c r="K601" s="88"/>
      <c r="L601" s="42"/>
      <c r="M601" s="43"/>
      <c r="Q601" s="2"/>
      <c r="R601" s="24"/>
      <c r="S601" s="24"/>
      <c r="T601" s="24"/>
    </row>
    <row r="602" spans="1:20" x14ac:dyDescent="0.25">
      <c r="A602" s="2">
        <v>44532</v>
      </c>
      <c r="B602" s="20">
        <v>2434</v>
      </c>
      <c r="C602" s="20">
        <v>416</v>
      </c>
      <c r="D602" s="20">
        <v>17595</v>
      </c>
      <c r="E602" s="17" t="s">
        <v>92</v>
      </c>
      <c r="F602" s="17" t="s">
        <v>92</v>
      </c>
      <c r="G602" s="17" t="s">
        <v>92</v>
      </c>
      <c r="H602" s="17" t="s">
        <v>92</v>
      </c>
      <c r="I602" s="39"/>
      <c r="J602" s="42"/>
      <c r="K602" s="88"/>
      <c r="L602" s="42"/>
      <c r="M602" s="43"/>
      <c r="Q602" s="2"/>
      <c r="R602" s="24"/>
      <c r="S602" s="24"/>
      <c r="T602" s="24"/>
    </row>
    <row r="603" spans="1:20" x14ac:dyDescent="0.25">
      <c r="A603" s="2">
        <v>44531</v>
      </c>
      <c r="B603" s="20">
        <v>2446</v>
      </c>
      <c r="C603" s="20">
        <v>418</v>
      </c>
      <c r="D603" s="20">
        <v>17890</v>
      </c>
      <c r="E603" s="17" t="s">
        <v>92</v>
      </c>
      <c r="F603" s="17" t="s">
        <v>92</v>
      </c>
      <c r="G603" s="17" t="s">
        <v>92</v>
      </c>
      <c r="H603" s="17" t="s">
        <v>92</v>
      </c>
      <c r="I603" s="39"/>
      <c r="J603" s="42"/>
      <c r="K603" s="88"/>
      <c r="L603" s="42"/>
      <c r="M603" s="43"/>
      <c r="Q603" s="2"/>
      <c r="R603" s="24"/>
      <c r="S603" s="24"/>
      <c r="T603" s="24"/>
    </row>
    <row r="604" spans="1:20" x14ac:dyDescent="0.25">
      <c r="A604" s="2">
        <v>44530</v>
      </c>
      <c r="B604" s="20">
        <v>2416</v>
      </c>
      <c r="C604" s="29">
        <v>413.5</v>
      </c>
      <c r="D604" s="20">
        <v>17790</v>
      </c>
      <c r="E604" s="17" t="s">
        <v>92</v>
      </c>
      <c r="F604" s="17" t="s">
        <v>92</v>
      </c>
      <c r="G604" s="17" t="s">
        <v>92</v>
      </c>
      <c r="H604" s="17" t="s">
        <v>92</v>
      </c>
      <c r="I604" s="39"/>
      <c r="J604" s="42"/>
      <c r="K604" s="88"/>
      <c r="L604" s="42"/>
      <c r="M604" s="43"/>
      <c r="Q604" s="2"/>
      <c r="R604" s="24"/>
      <c r="S604" s="24"/>
      <c r="T604" s="24"/>
    </row>
    <row r="605" spans="1:20" x14ac:dyDescent="0.25">
      <c r="A605" s="2">
        <v>44529</v>
      </c>
      <c r="B605" s="20">
        <v>2440</v>
      </c>
      <c r="C605" s="20">
        <v>422</v>
      </c>
      <c r="D605" s="20">
        <v>17735</v>
      </c>
      <c r="E605" s="17" t="s">
        <v>92</v>
      </c>
      <c r="F605" s="17" t="s">
        <v>92</v>
      </c>
      <c r="G605" s="17" t="s">
        <v>92</v>
      </c>
      <c r="H605" s="17" t="s">
        <v>92</v>
      </c>
      <c r="I605" s="39"/>
      <c r="J605" s="42"/>
      <c r="K605" s="88"/>
      <c r="L605" s="42"/>
      <c r="M605" s="43"/>
      <c r="Q605" s="2"/>
      <c r="R605" s="24"/>
      <c r="S605" s="24"/>
      <c r="T605" s="24"/>
    </row>
    <row r="606" spans="1:20" x14ac:dyDescent="0.25">
      <c r="A606" s="2">
        <v>44526</v>
      </c>
      <c r="B606" s="20">
        <v>2450</v>
      </c>
      <c r="C606" s="20">
        <v>422</v>
      </c>
      <c r="D606" s="20">
        <v>17135</v>
      </c>
      <c r="E606" s="17" t="s">
        <v>92</v>
      </c>
      <c r="F606" s="17" t="s">
        <v>92</v>
      </c>
      <c r="G606" s="17" t="s">
        <v>92</v>
      </c>
      <c r="H606" s="17" t="s">
        <v>92</v>
      </c>
      <c r="I606" s="39"/>
      <c r="J606" s="42"/>
      <c r="K606" s="88"/>
      <c r="L606" s="42"/>
      <c r="M606" s="43"/>
      <c r="Q606" s="2"/>
      <c r="R606" s="24"/>
      <c r="S606" s="24"/>
      <c r="T606" s="24"/>
    </row>
    <row r="607" spans="1:20" x14ac:dyDescent="0.25">
      <c r="A607" s="2">
        <v>44525</v>
      </c>
      <c r="B607" s="20">
        <v>2474</v>
      </c>
      <c r="C607" s="20">
        <v>429</v>
      </c>
      <c r="D607" s="20">
        <v>17965</v>
      </c>
      <c r="E607" s="17" t="s">
        <v>92</v>
      </c>
      <c r="F607" s="17" t="s">
        <v>92</v>
      </c>
      <c r="G607" s="17" t="s">
        <v>92</v>
      </c>
      <c r="H607" s="17" t="s">
        <v>92</v>
      </c>
      <c r="I607" s="39"/>
      <c r="J607" s="42"/>
      <c r="K607" s="88"/>
      <c r="L607" s="42"/>
      <c r="M607" s="43"/>
      <c r="Q607" s="2"/>
      <c r="R607" s="24"/>
      <c r="S607" s="24"/>
      <c r="T607" s="24"/>
    </row>
    <row r="608" spans="1:20" x14ac:dyDescent="0.25">
      <c r="A608" s="2">
        <v>44524</v>
      </c>
      <c r="B608" s="20">
        <v>2538</v>
      </c>
      <c r="C608" s="20">
        <v>429</v>
      </c>
      <c r="D608" s="20">
        <v>17900</v>
      </c>
      <c r="E608" s="17" t="s">
        <v>92</v>
      </c>
      <c r="F608" s="17" t="s">
        <v>92</v>
      </c>
      <c r="G608" s="17" t="s">
        <v>92</v>
      </c>
      <c r="H608" s="17" t="s">
        <v>92</v>
      </c>
      <c r="I608" s="39"/>
      <c r="J608" s="42"/>
      <c r="K608" s="88"/>
      <c r="L608" s="42"/>
      <c r="M608" s="43"/>
      <c r="Q608" s="2"/>
      <c r="R608" s="24"/>
      <c r="S608" s="24"/>
      <c r="T608" s="24"/>
    </row>
    <row r="609" spans="1:20" x14ac:dyDescent="0.25">
      <c r="A609" s="2">
        <v>44523</v>
      </c>
      <c r="B609" s="20">
        <v>2546</v>
      </c>
      <c r="C609" s="20">
        <v>430</v>
      </c>
      <c r="D609" s="20">
        <v>17080</v>
      </c>
      <c r="E609" s="17" t="s">
        <v>92</v>
      </c>
      <c r="F609" s="17" t="s">
        <v>92</v>
      </c>
      <c r="G609" s="17" t="s">
        <v>92</v>
      </c>
      <c r="H609" s="17" t="s">
        <v>92</v>
      </c>
      <c r="I609" s="39"/>
      <c r="J609" s="42"/>
      <c r="K609" s="88"/>
      <c r="L609" s="42"/>
      <c r="M609" s="43"/>
      <c r="Q609" s="2"/>
      <c r="R609" s="24"/>
      <c r="S609" s="24"/>
      <c r="T609" s="24"/>
    </row>
    <row r="610" spans="1:20" x14ac:dyDescent="0.25">
      <c r="A610" s="2">
        <v>44522</v>
      </c>
      <c r="B610" s="20">
        <v>2430</v>
      </c>
      <c r="C610" s="20">
        <v>431</v>
      </c>
      <c r="D610" s="20">
        <v>16905</v>
      </c>
      <c r="E610" s="17" t="s">
        <v>92</v>
      </c>
      <c r="F610" s="17" t="s">
        <v>92</v>
      </c>
      <c r="G610" s="17" t="s">
        <v>92</v>
      </c>
      <c r="H610" s="17" t="s">
        <v>92</v>
      </c>
      <c r="I610" s="39"/>
      <c r="J610" s="42"/>
      <c r="K610" s="88"/>
      <c r="L610" s="42"/>
      <c r="M610" s="43"/>
      <c r="Q610" s="2"/>
      <c r="R610" s="24"/>
      <c r="S610" s="24"/>
      <c r="T610" s="24"/>
    </row>
    <row r="611" spans="1:20" x14ac:dyDescent="0.25">
      <c r="A611" s="2">
        <v>44519</v>
      </c>
      <c r="B611" s="20">
        <v>2436</v>
      </c>
      <c r="C611" s="20">
        <v>432</v>
      </c>
      <c r="D611" s="20">
        <v>17820</v>
      </c>
      <c r="E611" s="17" t="s">
        <v>92</v>
      </c>
      <c r="F611" s="17" t="s">
        <v>92</v>
      </c>
      <c r="G611" s="17" t="s">
        <v>92</v>
      </c>
      <c r="H611" s="17" t="s">
        <v>92</v>
      </c>
      <c r="I611" s="39"/>
      <c r="J611" s="42"/>
      <c r="K611" s="88"/>
      <c r="L611" s="42"/>
      <c r="M611" s="43"/>
      <c r="Q611" s="2"/>
      <c r="R611" s="24"/>
      <c r="S611" s="24"/>
      <c r="T611" s="24"/>
    </row>
    <row r="612" spans="1:20" x14ac:dyDescent="0.25">
      <c r="A612" s="2">
        <v>44518</v>
      </c>
      <c r="B612" s="20">
        <v>2518</v>
      </c>
      <c r="C612" s="29">
        <v>433.5</v>
      </c>
      <c r="D612" s="20">
        <v>17990</v>
      </c>
      <c r="E612" s="17" t="s">
        <v>92</v>
      </c>
      <c r="F612" s="17" t="s">
        <v>92</v>
      </c>
      <c r="G612" s="17" t="s">
        <v>92</v>
      </c>
      <c r="H612" s="17" t="s">
        <v>92</v>
      </c>
      <c r="I612" s="39"/>
      <c r="J612" s="42"/>
      <c r="K612" s="88"/>
      <c r="L612" s="42"/>
      <c r="M612" s="43"/>
      <c r="Q612" s="2"/>
      <c r="R612" s="24"/>
      <c r="S612" s="24"/>
      <c r="T612" s="24"/>
    </row>
    <row r="613" spans="1:20" x14ac:dyDescent="0.25">
      <c r="A613" s="2">
        <v>44517</v>
      </c>
      <c r="B613" s="20">
        <v>2508</v>
      </c>
      <c r="C613" s="20">
        <v>434</v>
      </c>
      <c r="D613" s="20">
        <v>17625</v>
      </c>
      <c r="E613" s="17" t="s">
        <v>92</v>
      </c>
      <c r="F613" s="17" t="s">
        <v>92</v>
      </c>
      <c r="G613" s="17" t="s">
        <v>92</v>
      </c>
      <c r="H613" s="17" t="s">
        <v>92</v>
      </c>
      <c r="I613" s="39"/>
      <c r="J613" s="42"/>
      <c r="K613" s="88"/>
      <c r="L613" s="42"/>
      <c r="M613" s="43"/>
      <c r="Q613" s="2"/>
      <c r="R613" s="24"/>
      <c r="S613" s="24"/>
      <c r="T613" s="24"/>
    </row>
    <row r="614" spans="1:20" x14ac:dyDescent="0.25">
      <c r="A614" s="2">
        <v>44516</v>
      </c>
      <c r="B614" s="20">
        <v>2502</v>
      </c>
      <c r="C614" s="29">
        <v>435.5</v>
      </c>
      <c r="D614" s="20">
        <v>17785</v>
      </c>
      <c r="E614" s="17" t="s">
        <v>92</v>
      </c>
      <c r="F614" s="17" t="s">
        <v>92</v>
      </c>
      <c r="G614" s="17" t="s">
        <v>92</v>
      </c>
      <c r="H614" s="17" t="s">
        <v>92</v>
      </c>
      <c r="I614" s="39"/>
      <c r="J614" s="42"/>
      <c r="K614" s="88"/>
      <c r="L614" s="42"/>
      <c r="M614" s="43"/>
      <c r="Q614" s="2"/>
      <c r="R614" s="24"/>
      <c r="S614" s="24"/>
      <c r="T614" s="24"/>
    </row>
    <row r="615" spans="1:20" x14ac:dyDescent="0.25">
      <c r="A615" s="2">
        <v>44515</v>
      </c>
      <c r="B615" s="20">
        <v>2516</v>
      </c>
      <c r="C615" s="20">
        <v>432</v>
      </c>
      <c r="D615" s="20">
        <v>17700</v>
      </c>
      <c r="E615" s="17" t="s">
        <v>92</v>
      </c>
      <c r="F615" s="17" t="s">
        <v>92</v>
      </c>
      <c r="G615" s="17" t="s">
        <v>92</v>
      </c>
      <c r="H615" s="17" t="s">
        <v>92</v>
      </c>
      <c r="I615" s="39"/>
      <c r="J615" s="42"/>
      <c r="K615" s="88"/>
      <c r="L615" s="42"/>
      <c r="M615" s="43"/>
      <c r="Q615" s="2"/>
      <c r="R615" s="24"/>
      <c r="S615" s="24"/>
      <c r="T615" s="24"/>
    </row>
    <row r="616" spans="1:20" x14ac:dyDescent="0.25">
      <c r="A616" s="2">
        <v>44512</v>
      </c>
      <c r="B616" s="20">
        <v>2468</v>
      </c>
      <c r="C616" s="20">
        <v>436</v>
      </c>
      <c r="D616" s="20">
        <v>18250</v>
      </c>
      <c r="E616" s="17" t="s">
        <v>92</v>
      </c>
      <c r="F616" s="17" t="s">
        <v>92</v>
      </c>
      <c r="G616" s="17" t="s">
        <v>92</v>
      </c>
      <c r="H616" s="17" t="s">
        <v>92</v>
      </c>
      <c r="I616" s="39"/>
      <c r="J616" s="42"/>
      <c r="K616" s="88"/>
      <c r="L616" s="42"/>
      <c r="M616" s="43"/>
      <c r="Q616" s="2"/>
      <c r="R616" s="24"/>
      <c r="S616" s="24"/>
      <c r="T616" s="24"/>
    </row>
    <row r="617" spans="1:20" x14ac:dyDescent="0.25">
      <c r="A617" s="2">
        <v>44511</v>
      </c>
      <c r="B617" s="20">
        <v>2550</v>
      </c>
      <c r="C617" s="20">
        <v>434</v>
      </c>
      <c r="D617" s="20">
        <v>18470</v>
      </c>
      <c r="E617" s="17" t="s">
        <v>92</v>
      </c>
      <c r="F617" s="17" t="s">
        <v>92</v>
      </c>
      <c r="G617" s="17" t="s">
        <v>92</v>
      </c>
      <c r="H617" s="17" t="s">
        <v>92</v>
      </c>
      <c r="I617" s="39"/>
      <c r="J617" s="42"/>
      <c r="K617" s="88"/>
      <c r="L617" s="42"/>
      <c r="M617" s="43"/>
      <c r="Q617" s="2"/>
      <c r="R617" s="24"/>
      <c r="S617" s="24"/>
      <c r="T617" s="24"/>
    </row>
    <row r="618" spans="1:20" x14ac:dyDescent="0.25">
      <c r="A618" s="2">
        <v>44510</v>
      </c>
      <c r="B618" s="20">
        <v>2678</v>
      </c>
      <c r="C618" s="29">
        <v>437.5</v>
      </c>
      <c r="D618" s="20">
        <v>18110</v>
      </c>
      <c r="E618" s="17" t="s">
        <v>92</v>
      </c>
      <c r="F618" s="17" t="s">
        <v>92</v>
      </c>
      <c r="G618" s="17" t="s">
        <v>92</v>
      </c>
      <c r="H618" s="17" t="s">
        <v>92</v>
      </c>
      <c r="I618" s="39"/>
      <c r="J618" s="42"/>
      <c r="K618" s="88"/>
      <c r="L618" s="42"/>
      <c r="M618" s="43"/>
      <c r="Q618" s="2"/>
      <c r="R618" s="24"/>
      <c r="S618" s="24"/>
      <c r="T618" s="24"/>
    </row>
    <row r="619" spans="1:20" x14ac:dyDescent="0.25">
      <c r="A619" s="2">
        <v>44509</v>
      </c>
      <c r="B619" s="20">
        <v>2724</v>
      </c>
      <c r="C619" s="20">
        <v>434</v>
      </c>
      <c r="D619" s="20">
        <v>18460</v>
      </c>
      <c r="E619" s="17" t="s">
        <v>92</v>
      </c>
      <c r="F619" s="17" t="s">
        <v>92</v>
      </c>
      <c r="G619" s="17" t="s">
        <v>92</v>
      </c>
      <c r="H619" s="17" t="s">
        <v>92</v>
      </c>
      <c r="I619" s="39"/>
      <c r="J619" s="42"/>
      <c r="K619" s="88"/>
      <c r="L619" s="42"/>
      <c r="M619" s="43"/>
      <c r="Q619" s="2"/>
      <c r="R619" s="24"/>
      <c r="S619" s="24"/>
      <c r="T619" s="24"/>
    </row>
    <row r="620" spans="1:20" x14ac:dyDescent="0.25">
      <c r="A620" s="2">
        <v>44508</v>
      </c>
      <c r="B620" s="20">
        <v>2700</v>
      </c>
      <c r="C620" s="29">
        <v>433.5</v>
      </c>
      <c r="D620" s="20">
        <v>18510</v>
      </c>
      <c r="E620" s="17" t="s">
        <v>92</v>
      </c>
      <c r="F620" s="17" t="s">
        <v>92</v>
      </c>
      <c r="G620" s="17" t="s">
        <v>92</v>
      </c>
      <c r="H620" s="17" t="s">
        <v>92</v>
      </c>
      <c r="I620" s="39"/>
      <c r="J620" s="42"/>
      <c r="K620" s="88"/>
      <c r="L620" s="42"/>
      <c r="M620" s="43"/>
      <c r="Q620" s="2"/>
      <c r="R620" s="24"/>
      <c r="S620" s="24"/>
      <c r="T620" s="24"/>
    </row>
    <row r="621" spans="1:20" x14ac:dyDescent="0.25">
      <c r="A621" s="2">
        <v>44505</v>
      </c>
      <c r="B621" s="20">
        <v>2756</v>
      </c>
      <c r="C621" s="29">
        <v>437.5</v>
      </c>
      <c r="D621" s="20">
        <v>18945</v>
      </c>
      <c r="E621" s="17" t="s">
        <v>92</v>
      </c>
      <c r="F621" s="17" t="s">
        <v>92</v>
      </c>
      <c r="G621" s="17" t="s">
        <v>92</v>
      </c>
      <c r="H621" s="17" t="s">
        <v>92</v>
      </c>
      <c r="I621" s="39"/>
      <c r="J621" s="42"/>
      <c r="K621" s="88"/>
      <c r="L621" s="42"/>
      <c r="M621" s="43"/>
      <c r="Q621" s="2"/>
      <c r="R621" s="24"/>
      <c r="S621" s="24"/>
      <c r="T621" s="24"/>
    </row>
    <row r="622" spans="1:20" x14ac:dyDescent="0.25">
      <c r="A622" s="2">
        <v>44504</v>
      </c>
      <c r="B622" s="20">
        <v>2794</v>
      </c>
      <c r="C622" s="20">
        <v>435</v>
      </c>
      <c r="D622" s="20">
        <v>19400</v>
      </c>
      <c r="E622" s="17" t="s">
        <v>92</v>
      </c>
      <c r="F622" s="17" t="s">
        <v>92</v>
      </c>
      <c r="G622" s="17" t="s">
        <v>92</v>
      </c>
      <c r="H622" s="17" t="s">
        <v>92</v>
      </c>
      <c r="I622" s="39"/>
      <c r="J622" s="42"/>
      <c r="K622" s="88"/>
      <c r="L622" s="42"/>
      <c r="M622" s="43"/>
      <c r="Q622" s="2"/>
      <c r="R622" s="24"/>
      <c r="S622" s="24"/>
      <c r="T622" s="24"/>
    </row>
    <row r="623" spans="1:20" x14ac:dyDescent="0.25">
      <c r="A623" s="2">
        <v>44503</v>
      </c>
      <c r="B623" s="20">
        <v>2730</v>
      </c>
      <c r="C623" s="20">
        <v>435</v>
      </c>
      <c r="D623" s="20">
        <v>18785</v>
      </c>
      <c r="E623" s="17" t="s">
        <v>92</v>
      </c>
      <c r="F623" s="17" t="s">
        <v>92</v>
      </c>
      <c r="G623" s="17" t="s">
        <v>92</v>
      </c>
      <c r="H623" s="17" t="s">
        <v>92</v>
      </c>
      <c r="I623" s="39"/>
      <c r="J623" s="42"/>
      <c r="K623" s="88"/>
      <c r="L623" s="42"/>
      <c r="M623" s="43"/>
      <c r="Q623" s="2"/>
      <c r="R623" s="24"/>
      <c r="S623" s="24"/>
      <c r="T623" s="24"/>
    </row>
    <row r="624" spans="1:20" x14ac:dyDescent="0.25">
      <c r="A624" s="2">
        <v>44502</v>
      </c>
      <c r="B624" s="20">
        <v>2676</v>
      </c>
      <c r="C624" s="20">
        <v>430</v>
      </c>
      <c r="D624" s="20">
        <v>18600</v>
      </c>
      <c r="E624" s="17" t="s">
        <v>92</v>
      </c>
      <c r="F624" s="17" t="s">
        <v>92</v>
      </c>
      <c r="G624" s="17" t="s">
        <v>92</v>
      </c>
      <c r="H624" s="17" t="s">
        <v>92</v>
      </c>
      <c r="I624" s="39"/>
      <c r="J624" s="42"/>
      <c r="K624" s="88"/>
      <c r="L624" s="42"/>
      <c r="M624" s="43"/>
      <c r="Q624" s="2"/>
      <c r="R624" s="24"/>
      <c r="S624" s="24"/>
      <c r="T624" s="24"/>
    </row>
    <row r="625" spans="1:20" x14ac:dyDescent="0.25">
      <c r="A625" s="2">
        <v>44498</v>
      </c>
      <c r="B625" s="20">
        <v>2660</v>
      </c>
      <c r="C625" s="20">
        <v>429</v>
      </c>
      <c r="D625" s="20">
        <v>18695</v>
      </c>
      <c r="E625" s="17" t="s">
        <v>92</v>
      </c>
      <c r="F625" s="17" t="s">
        <v>92</v>
      </c>
      <c r="G625" s="17" t="s">
        <v>92</v>
      </c>
      <c r="H625" s="17" t="s">
        <v>92</v>
      </c>
      <c r="I625" s="39"/>
      <c r="J625" s="42"/>
      <c r="K625" s="88"/>
      <c r="L625" s="42"/>
      <c r="M625" s="43"/>
      <c r="Q625" s="2"/>
      <c r="R625" s="24"/>
      <c r="S625" s="24"/>
      <c r="T625" s="24"/>
    </row>
    <row r="626" spans="1:20" x14ac:dyDescent="0.25">
      <c r="A626" s="2">
        <v>44497</v>
      </c>
      <c r="B626" s="20">
        <v>2654</v>
      </c>
      <c r="C626" s="29">
        <v>426.5</v>
      </c>
      <c r="D626" s="20">
        <v>18550</v>
      </c>
      <c r="E626" s="17" t="s">
        <v>92</v>
      </c>
      <c r="F626" s="17" t="s">
        <v>92</v>
      </c>
      <c r="G626" s="17" t="s">
        <v>92</v>
      </c>
      <c r="H626" s="17" t="s">
        <v>92</v>
      </c>
      <c r="I626" s="39"/>
      <c r="J626" s="42"/>
      <c r="K626" s="88"/>
      <c r="L626" s="42"/>
      <c r="M626" s="43"/>
      <c r="Q626" s="2"/>
      <c r="R626" s="24"/>
      <c r="S626" s="24"/>
      <c r="T626" s="24"/>
    </row>
    <row r="627" spans="1:20" x14ac:dyDescent="0.25">
      <c r="A627" s="2">
        <v>44496</v>
      </c>
      <c r="B627" s="20">
        <v>2730</v>
      </c>
      <c r="C627" s="20">
        <v>425</v>
      </c>
      <c r="D627" s="20">
        <v>19025</v>
      </c>
      <c r="E627" s="17" t="s">
        <v>92</v>
      </c>
      <c r="F627" s="17" t="s">
        <v>92</v>
      </c>
      <c r="G627" s="17" t="s">
        <v>92</v>
      </c>
      <c r="H627" s="17" t="s">
        <v>92</v>
      </c>
      <c r="I627" s="39"/>
      <c r="J627" s="42"/>
      <c r="K627" s="88"/>
      <c r="L627" s="42"/>
      <c r="M627" s="43"/>
      <c r="Q627" s="2"/>
      <c r="R627" s="24"/>
      <c r="S627" s="24"/>
      <c r="T627" s="24"/>
    </row>
    <row r="628" spans="1:20" x14ac:dyDescent="0.25">
      <c r="A628" s="2">
        <v>44495</v>
      </c>
      <c r="B628" s="20">
        <v>2746</v>
      </c>
      <c r="C628" s="29">
        <v>428.5</v>
      </c>
      <c r="D628" s="20">
        <v>19250</v>
      </c>
      <c r="E628" s="17" t="s">
        <v>92</v>
      </c>
      <c r="F628" s="17" t="s">
        <v>92</v>
      </c>
      <c r="G628" s="17" t="s">
        <v>92</v>
      </c>
      <c r="H628" s="17" t="s">
        <v>92</v>
      </c>
      <c r="I628" s="39"/>
      <c r="J628" s="42"/>
      <c r="K628" s="88"/>
      <c r="L628" s="42"/>
      <c r="M628" s="43"/>
      <c r="Q628" s="2"/>
      <c r="R628" s="24"/>
      <c r="S628" s="24"/>
      <c r="T628" s="24"/>
    </row>
    <row r="629" spans="1:20" x14ac:dyDescent="0.25">
      <c r="A629" s="2">
        <v>44494</v>
      </c>
      <c r="B629" s="20">
        <v>2748</v>
      </c>
      <c r="C629" s="20">
        <v>430</v>
      </c>
      <c r="D629" s="20">
        <v>18825</v>
      </c>
      <c r="E629" s="17" t="s">
        <v>92</v>
      </c>
      <c r="F629" s="17" t="s">
        <v>92</v>
      </c>
      <c r="G629" s="17" t="s">
        <v>92</v>
      </c>
      <c r="H629" s="17" t="s">
        <v>92</v>
      </c>
      <c r="I629" s="39"/>
      <c r="J629" s="42"/>
      <c r="K629" s="88"/>
      <c r="L629" s="42"/>
      <c r="M629" s="43"/>
      <c r="Q629" s="2"/>
      <c r="R629" s="24"/>
      <c r="S629" s="24"/>
      <c r="T629" s="24"/>
    </row>
    <row r="630" spans="1:20" x14ac:dyDescent="0.25">
      <c r="A630" s="2">
        <v>44491</v>
      </c>
      <c r="B630" s="20">
        <v>2770</v>
      </c>
      <c r="C630" s="20">
        <v>431</v>
      </c>
      <c r="D630" s="20">
        <v>18985</v>
      </c>
      <c r="E630" s="17" t="s">
        <v>92</v>
      </c>
      <c r="F630" s="17" t="s">
        <v>92</v>
      </c>
      <c r="G630" s="17" t="s">
        <v>92</v>
      </c>
      <c r="H630" s="17" t="s">
        <v>92</v>
      </c>
      <c r="I630" s="39"/>
      <c r="J630" s="42"/>
      <c r="K630" s="88"/>
      <c r="L630" s="42"/>
      <c r="M630" s="43"/>
      <c r="Q630" s="2"/>
      <c r="R630" s="24"/>
      <c r="S630" s="24"/>
      <c r="T630" s="24"/>
    </row>
    <row r="631" spans="1:20" x14ac:dyDescent="0.25">
      <c r="A631" s="2">
        <v>44490</v>
      </c>
      <c r="B631" s="20">
        <v>2760</v>
      </c>
      <c r="C631" s="20">
        <v>425</v>
      </c>
      <c r="D631" s="20">
        <v>18990</v>
      </c>
      <c r="E631" s="17" t="s">
        <v>92</v>
      </c>
      <c r="F631" s="17" t="s">
        <v>92</v>
      </c>
      <c r="G631" s="17" t="s">
        <v>92</v>
      </c>
      <c r="H631" s="17" t="s">
        <v>92</v>
      </c>
      <c r="I631" s="39"/>
      <c r="J631" s="42"/>
      <c r="K631" s="88"/>
      <c r="L631" s="42"/>
      <c r="M631" s="43"/>
      <c r="Q631" s="2"/>
      <c r="R631" s="24"/>
      <c r="S631" s="24"/>
      <c r="T631" s="24"/>
    </row>
    <row r="632" spans="1:20" x14ac:dyDescent="0.25">
      <c r="A632" s="2">
        <v>44489</v>
      </c>
      <c r="B632" s="20">
        <v>2720</v>
      </c>
      <c r="C632" s="20">
        <v>431</v>
      </c>
      <c r="D632" s="20">
        <v>18640</v>
      </c>
      <c r="E632" s="17" t="s">
        <v>92</v>
      </c>
      <c r="F632" s="17" t="s">
        <v>92</v>
      </c>
      <c r="G632" s="17" t="s">
        <v>92</v>
      </c>
      <c r="H632" s="17" t="s">
        <v>92</v>
      </c>
      <c r="I632" s="39"/>
      <c r="J632" s="42"/>
      <c r="K632" s="88"/>
      <c r="L632" s="42"/>
      <c r="M632" s="43"/>
      <c r="Q632" s="2"/>
      <c r="R632" s="24"/>
      <c r="S632" s="24"/>
      <c r="T632" s="24"/>
    </row>
    <row r="633" spans="1:20" x14ac:dyDescent="0.25">
      <c r="A633" s="2">
        <v>44488</v>
      </c>
      <c r="B633" s="20">
        <v>2728</v>
      </c>
      <c r="C633" s="20">
        <v>426</v>
      </c>
      <c r="D633" s="20">
        <v>18750</v>
      </c>
      <c r="E633" s="17" t="s">
        <v>92</v>
      </c>
      <c r="F633" s="17" t="s">
        <v>92</v>
      </c>
      <c r="G633" s="17" t="s">
        <v>92</v>
      </c>
      <c r="H633" s="17" t="s">
        <v>92</v>
      </c>
      <c r="I633" s="39"/>
      <c r="J633" s="42"/>
      <c r="K633" s="88"/>
      <c r="L633" s="42"/>
      <c r="M633" s="43"/>
      <c r="Q633" s="2"/>
      <c r="R633" s="24"/>
      <c r="S633" s="24"/>
      <c r="T633" s="24"/>
    </row>
    <row r="634" spans="1:20" x14ac:dyDescent="0.25">
      <c r="A634" s="2">
        <v>44487</v>
      </c>
      <c r="B634" s="20">
        <v>2720</v>
      </c>
      <c r="C634" s="20">
        <v>425</v>
      </c>
      <c r="D634" s="20">
        <v>19045</v>
      </c>
      <c r="E634" s="17" t="s">
        <v>92</v>
      </c>
      <c r="F634" s="17" t="s">
        <v>92</v>
      </c>
      <c r="G634" s="17" t="s">
        <v>92</v>
      </c>
      <c r="H634" s="17" t="s">
        <v>92</v>
      </c>
      <c r="I634" s="39"/>
      <c r="J634" s="42"/>
      <c r="K634" s="88"/>
      <c r="L634" s="42"/>
      <c r="M634" s="43"/>
      <c r="Q634" s="2"/>
      <c r="R634" s="24"/>
      <c r="S634" s="24"/>
      <c r="T634" s="24"/>
    </row>
    <row r="635" spans="1:20" x14ac:dyDescent="0.25">
      <c r="A635" s="2">
        <v>44484</v>
      </c>
      <c r="B635" s="20">
        <v>2738</v>
      </c>
      <c r="C635" s="20">
        <v>427</v>
      </c>
      <c r="D635" s="20">
        <v>19000</v>
      </c>
      <c r="E635" s="17" t="s">
        <v>92</v>
      </c>
      <c r="F635" s="17" t="s">
        <v>92</v>
      </c>
      <c r="G635" s="17" t="s">
        <v>92</v>
      </c>
      <c r="H635" s="17" t="s">
        <v>92</v>
      </c>
      <c r="I635" s="39"/>
      <c r="J635" s="42"/>
      <c r="K635" s="88"/>
      <c r="L635" s="42"/>
      <c r="M635" s="43"/>
      <c r="Q635" s="2"/>
      <c r="R635" s="24"/>
      <c r="S635" s="24"/>
      <c r="T635" s="24"/>
    </row>
    <row r="636" spans="1:20" x14ac:dyDescent="0.25">
      <c r="A636" s="2">
        <v>44483</v>
      </c>
      <c r="B636" s="20">
        <v>2768</v>
      </c>
      <c r="C636" s="20">
        <v>425</v>
      </c>
      <c r="D636" s="20">
        <v>19140</v>
      </c>
      <c r="E636" s="17" t="s">
        <v>92</v>
      </c>
      <c r="F636" s="17" t="s">
        <v>92</v>
      </c>
      <c r="G636" s="17" t="s">
        <v>92</v>
      </c>
      <c r="H636" s="17" t="s">
        <v>92</v>
      </c>
      <c r="I636" s="39"/>
      <c r="J636" s="42"/>
      <c r="K636" s="88"/>
      <c r="L636" s="42"/>
      <c r="M636" s="43"/>
      <c r="Q636" s="2"/>
      <c r="R636" s="24"/>
      <c r="S636" s="24"/>
      <c r="T636" s="24"/>
    </row>
    <row r="637" spans="1:20" x14ac:dyDescent="0.25">
      <c r="A637" s="2">
        <v>44482</v>
      </c>
      <c r="B637" s="20">
        <v>2694</v>
      </c>
      <c r="C637" s="20">
        <v>425</v>
      </c>
      <c r="D637" s="20">
        <v>19070</v>
      </c>
      <c r="E637" s="17" t="s">
        <v>92</v>
      </c>
      <c r="F637" s="17" t="s">
        <v>92</v>
      </c>
      <c r="G637" s="17" t="s">
        <v>92</v>
      </c>
      <c r="H637" s="17" t="s">
        <v>92</v>
      </c>
      <c r="I637" s="39"/>
      <c r="J637" s="42"/>
      <c r="K637" s="88"/>
      <c r="L637" s="42"/>
      <c r="M637" s="43"/>
      <c r="Q637" s="2"/>
      <c r="R637" s="24"/>
      <c r="S637" s="24"/>
      <c r="T637" s="24"/>
    </row>
    <row r="638" spans="1:20" x14ac:dyDescent="0.25">
      <c r="A638" s="2">
        <v>44481</v>
      </c>
      <c r="B638" s="20">
        <v>2740</v>
      </c>
      <c r="C638" s="20">
        <v>425</v>
      </c>
      <c r="D638" s="20">
        <v>18855</v>
      </c>
      <c r="E638" s="17" t="s">
        <v>92</v>
      </c>
      <c r="F638" s="17" t="s">
        <v>92</v>
      </c>
      <c r="G638" s="17" t="s">
        <v>92</v>
      </c>
      <c r="H638" s="17" t="s">
        <v>92</v>
      </c>
      <c r="I638" s="39"/>
      <c r="J638" s="42"/>
      <c r="K638" s="88"/>
      <c r="L638" s="42"/>
      <c r="M638" s="43"/>
      <c r="Q638" s="2"/>
      <c r="R638" s="24"/>
      <c r="S638" s="24"/>
      <c r="T638" s="24"/>
    </row>
    <row r="639" spans="1:20" x14ac:dyDescent="0.25">
      <c r="A639" s="2">
        <v>44480</v>
      </c>
      <c r="B639" s="20">
        <v>2708</v>
      </c>
      <c r="C639" s="20">
        <v>425</v>
      </c>
      <c r="D639" s="20">
        <v>18780</v>
      </c>
      <c r="E639" s="17" t="s">
        <v>92</v>
      </c>
      <c r="F639" s="17" t="s">
        <v>92</v>
      </c>
      <c r="G639" s="17" t="s">
        <v>92</v>
      </c>
      <c r="H639" s="17" t="s">
        <v>92</v>
      </c>
      <c r="I639" s="39"/>
      <c r="J639" s="42"/>
      <c r="K639" s="88"/>
      <c r="L639" s="42"/>
      <c r="M639" s="43"/>
      <c r="Q639" s="2"/>
      <c r="R639" s="24"/>
      <c r="S639" s="24"/>
      <c r="T639" s="24"/>
    </row>
    <row r="640" spans="1:20" x14ac:dyDescent="0.25">
      <c r="A640" s="2">
        <v>44477</v>
      </c>
      <c r="B640" s="20">
        <v>2684</v>
      </c>
      <c r="C640" s="20">
        <v>424</v>
      </c>
      <c r="D640" s="20">
        <v>18590</v>
      </c>
      <c r="E640" s="17" t="s">
        <v>92</v>
      </c>
      <c r="F640" s="17" t="s">
        <v>92</v>
      </c>
      <c r="G640" s="17" t="s">
        <v>92</v>
      </c>
      <c r="H640" s="17" t="s">
        <v>92</v>
      </c>
      <c r="I640" s="39"/>
      <c r="J640" s="42"/>
      <c r="K640" s="88"/>
      <c r="L640" s="42"/>
      <c r="M640" s="43"/>
      <c r="Q640" s="2"/>
      <c r="R640" s="24"/>
      <c r="S640" s="24"/>
      <c r="T640" s="24"/>
    </row>
    <row r="641" spans="1:20" x14ac:dyDescent="0.25">
      <c r="A641" s="2">
        <v>44476</v>
      </c>
      <c r="B641" s="20">
        <v>2680</v>
      </c>
      <c r="C641" s="20">
        <v>425</v>
      </c>
      <c r="D641" s="20">
        <v>18595</v>
      </c>
      <c r="E641" s="17" t="s">
        <v>92</v>
      </c>
      <c r="F641" s="17" t="s">
        <v>92</v>
      </c>
      <c r="G641" s="17" t="s">
        <v>92</v>
      </c>
      <c r="H641" s="17" t="s">
        <v>92</v>
      </c>
      <c r="I641" s="39"/>
      <c r="J641" s="42"/>
      <c r="K641" s="88"/>
      <c r="L641" s="42"/>
      <c r="M641" s="43"/>
      <c r="Q641" s="2"/>
      <c r="R641" s="24"/>
      <c r="S641" s="24"/>
      <c r="T641" s="24"/>
    </row>
    <row r="642" spans="1:20" x14ac:dyDescent="0.25">
      <c r="A642" s="2">
        <v>44475</v>
      </c>
      <c r="B642" s="20">
        <v>2688</v>
      </c>
      <c r="C642" s="29">
        <v>424.5</v>
      </c>
      <c r="D642" s="20">
        <v>18345</v>
      </c>
      <c r="E642" s="17" t="s">
        <v>92</v>
      </c>
      <c r="F642" s="17" t="s">
        <v>92</v>
      </c>
      <c r="G642" s="17" t="s">
        <v>92</v>
      </c>
      <c r="H642" s="17" t="s">
        <v>92</v>
      </c>
      <c r="I642" s="39"/>
      <c r="J642" s="42"/>
      <c r="K642" s="88"/>
      <c r="L642" s="42"/>
      <c r="M642" s="43"/>
      <c r="Q642" s="2"/>
      <c r="R642" s="24"/>
      <c r="S642" s="24"/>
      <c r="T642" s="24"/>
    </row>
    <row r="643" spans="1:20" x14ac:dyDescent="0.25">
      <c r="A643" s="2">
        <v>44474</v>
      </c>
      <c r="B643" s="20">
        <v>2660</v>
      </c>
      <c r="C643" s="20">
        <v>422</v>
      </c>
      <c r="D643" s="20">
        <v>18420</v>
      </c>
      <c r="E643" s="17" t="s">
        <v>92</v>
      </c>
      <c r="F643" s="17" t="s">
        <v>92</v>
      </c>
      <c r="G643" s="17" t="s">
        <v>92</v>
      </c>
      <c r="H643" s="17" t="s">
        <v>92</v>
      </c>
      <c r="I643" s="39"/>
      <c r="J643" s="42"/>
      <c r="K643" s="88"/>
      <c r="L643" s="42"/>
      <c r="M643" s="43"/>
      <c r="Q643" s="2"/>
      <c r="R643" s="24"/>
      <c r="S643" s="24"/>
      <c r="T643" s="24"/>
    </row>
    <row r="644" spans="1:20" x14ac:dyDescent="0.25">
      <c r="A644" s="2">
        <v>44473</v>
      </c>
      <c r="B644" s="20">
        <v>2606</v>
      </c>
      <c r="C644" s="20">
        <v>425</v>
      </c>
      <c r="D644" s="20">
        <v>18490</v>
      </c>
      <c r="E644" s="17" t="s">
        <v>92</v>
      </c>
      <c r="F644" s="17" t="s">
        <v>92</v>
      </c>
      <c r="G644" s="17" t="s">
        <v>92</v>
      </c>
      <c r="H644" s="17" t="s">
        <v>92</v>
      </c>
      <c r="I644" s="39"/>
      <c r="J644" s="42"/>
      <c r="K644" s="88"/>
      <c r="L644" s="42"/>
      <c r="M644" s="43"/>
      <c r="Q644" s="2"/>
      <c r="R644" s="24"/>
      <c r="S644" s="24"/>
      <c r="T644" s="24"/>
    </row>
    <row r="645" spans="1:20" x14ac:dyDescent="0.25">
      <c r="A645" s="2">
        <v>44470</v>
      </c>
      <c r="B645" s="20">
        <v>2594</v>
      </c>
      <c r="C645" s="29">
        <v>421.5</v>
      </c>
      <c r="D645" s="20">
        <v>18680</v>
      </c>
      <c r="E645" s="17" t="s">
        <v>92</v>
      </c>
      <c r="F645" s="17" t="s">
        <v>92</v>
      </c>
      <c r="G645" s="17" t="s">
        <v>92</v>
      </c>
      <c r="H645" s="17" t="s">
        <v>92</v>
      </c>
      <c r="I645" s="39"/>
      <c r="J645" s="42"/>
      <c r="K645" s="88"/>
      <c r="L645" s="42"/>
      <c r="M645" s="43"/>
      <c r="Q645" s="2"/>
      <c r="R645" s="24"/>
      <c r="S645" s="24"/>
      <c r="T645" s="24"/>
    </row>
    <row r="646" spans="1:20" x14ac:dyDescent="0.25">
      <c r="A646" s="2">
        <v>44469</v>
      </c>
      <c r="B646" s="20">
        <v>2584</v>
      </c>
      <c r="C646" s="29">
        <v>423.5</v>
      </c>
      <c r="D646" s="20">
        <v>18200</v>
      </c>
      <c r="E646" s="17" t="s">
        <v>92</v>
      </c>
      <c r="F646" s="17" t="s">
        <v>92</v>
      </c>
      <c r="G646" s="17" t="s">
        <v>92</v>
      </c>
      <c r="H646" s="17" t="s">
        <v>92</v>
      </c>
      <c r="I646" s="39"/>
      <c r="J646" s="42"/>
      <c r="K646" s="88"/>
      <c r="L646" s="42"/>
      <c r="M646" s="43"/>
      <c r="Q646" s="2"/>
      <c r="R646" s="24"/>
      <c r="S646" s="24"/>
      <c r="T646" s="24"/>
    </row>
    <row r="647" spans="1:20" x14ac:dyDescent="0.25">
      <c r="A647" s="2">
        <v>44468</v>
      </c>
      <c r="B647" s="20">
        <v>2538</v>
      </c>
      <c r="C647" s="20">
        <v>422</v>
      </c>
      <c r="D647" s="20">
        <v>17770</v>
      </c>
      <c r="E647" s="17" t="s">
        <v>92</v>
      </c>
      <c r="F647" s="17" t="s">
        <v>92</v>
      </c>
      <c r="G647" s="17" t="s">
        <v>92</v>
      </c>
      <c r="H647" s="17" t="s">
        <v>92</v>
      </c>
      <c r="I647" s="39"/>
      <c r="J647" s="42"/>
      <c r="K647" s="88"/>
      <c r="L647" s="42"/>
      <c r="M647" s="43"/>
      <c r="Q647" s="2"/>
      <c r="R647" s="24"/>
      <c r="S647" s="24"/>
      <c r="T647" s="24"/>
    </row>
    <row r="648" spans="1:20" x14ac:dyDescent="0.25">
      <c r="A648" s="2">
        <v>44467</v>
      </c>
      <c r="B648" s="20">
        <v>2476</v>
      </c>
      <c r="C648" s="29">
        <v>425.5</v>
      </c>
      <c r="D648" s="20">
        <v>17555</v>
      </c>
      <c r="E648" s="17" t="s">
        <v>92</v>
      </c>
      <c r="F648" s="17" t="s">
        <v>92</v>
      </c>
      <c r="G648" s="17" t="s">
        <v>92</v>
      </c>
      <c r="H648" s="17" t="s">
        <v>92</v>
      </c>
      <c r="I648" s="39"/>
      <c r="J648" s="42"/>
      <c r="K648" s="88"/>
      <c r="L648" s="42"/>
      <c r="M648" s="43"/>
      <c r="Q648" s="2"/>
      <c r="R648" s="24"/>
      <c r="S648" s="24"/>
      <c r="T648" s="24"/>
    </row>
    <row r="649" spans="1:20" x14ac:dyDescent="0.25">
      <c r="A649" s="2">
        <v>44466</v>
      </c>
      <c r="B649" s="20">
        <v>2462</v>
      </c>
      <c r="C649" s="20">
        <v>428</v>
      </c>
      <c r="D649" s="20">
        <v>17565</v>
      </c>
      <c r="E649" s="17" t="s">
        <v>92</v>
      </c>
      <c r="F649" s="17" t="s">
        <v>92</v>
      </c>
      <c r="G649" s="17" t="s">
        <v>92</v>
      </c>
      <c r="H649" s="17" t="s">
        <v>92</v>
      </c>
      <c r="I649" s="39"/>
      <c r="J649" s="42"/>
      <c r="K649" s="88"/>
      <c r="L649" s="42"/>
      <c r="M649" s="43"/>
      <c r="Q649" s="2"/>
      <c r="R649" s="24"/>
      <c r="S649" s="24"/>
      <c r="T649" s="24"/>
    </row>
    <row r="650" spans="1:20" x14ac:dyDescent="0.25">
      <c r="A650" s="2">
        <v>44463</v>
      </c>
      <c r="B650" s="20">
        <v>2460</v>
      </c>
      <c r="C650" s="29">
        <v>424.5</v>
      </c>
      <c r="D650" s="20">
        <v>17500</v>
      </c>
      <c r="E650" s="17" t="s">
        <v>92</v>
      </c>
      <c r="F650" s="17" t="s">
        <v>92</v>
      </c>
      <c r="G650" s="17" t="s">
        <v>92</v>
      </c>
      <c r="H650" s="17" t="s">
        <v>92</v>
      </c>
      <c r="I650" s="39"/>
      <c r="J650" s="42"/>
      <c r="K650" s="88"/>
      <c r="L650" s="42"/>
      <c r="M650" s="43"/>
      <c r="Q650" s="2"/>
      <c r="R650" s="24"/>
      <c r="S650" s="24"/>
      <c r="T650" s="24"/>
    </row>
    <row r="651" spans="1:20" x14ac:dyDescent="0.25">
      <c r="A651" s="2">
        <v>44462</v>
      </c>
      <c r="B651" s="20">
        <v>2446</v>
      </c>
      <c r="C651" s="20">
        <v>427</v>
      </c>
      <c r="D651" s="20">
        <v>17895</v>
      </c>
      <c r="E651" s="17" t="s">
        <v>92</v>
      </c>
      <c r="F651" s="17" t="s">
        <v>92</v>
      </c>
      <c r="G651" s="17" t="s">
        <v>92</v>
      </c>
      <c r="H651" s="17" t="s">
        <v>92</v>
      </c>
      <c r="I651" s="39"/>
      <c r="J651" s="42"/>
      <c r="K651" s="88"/>
      <c r="L651" s="42"/>
      <c r="M651" s="43"/>
      <c r="Q651" s="2"/>
      <c r="R651" s="24"/>
      <c r="S651" s="24"/>
      <c r="T651" s="24"/>
    </row>
    <row r="652" spans="1:20" x14ac:dyDescent="0.25">
      <c r="A652" s="2">
        <v>44461</v>
      </c>
      <c r="B652" s="20">
        <v>2410</v>
      </c>
      <c r="C652" s="20">
        <v>428</v>
      </c>
      <c r="D652" s="20">
        <v>17650</v>
      </c>
      <c r="E652" s="17" t="s">
        <v>92</v>
      </c>
      <c r="F652" s="17" t="s">
        <v>92</v>
      </c>
      <c r="G652" s="17" t="s">
        <v>92</v>
      </c>
      <c r="H652" s="17" t="s">
        <v>92</v>
      </c>
      <c r="I652" s="39"/>
      <c r="J652" s="42"/>
      <c r="K652" s="88"/>
      <c r="L652" s="42"/>
      <c r="M652" s="43"/>
      <c r="Q652" s="2"/>
      <c r="R652" s="24"/>
      <c r="S652" s="24"/>
      <c r="T652" s="24"/>
    </row>
    <row r="653" spans="1:20" x14ac:dyDescent="0.25">
      <c r="A653" s="2">
        <v>44460</v>
      </c>
      <c r="B653" s="20">
        <v>2364</v>
      </c>
      <c r="C653" s="29">
        <v>428.5</v>
      </c>
      <c r="D653" s="20">
        <v>17390</v>
      </c>
      <c r="E653" s="17" t="s">
        <v>92</v>
      </c>
      <c r="F653" s="17" t="s">
        <v>92</v>
      </c>
      <c r="G653" s="17" t="s">
        <v>92</v>
      </c>
      <c r="H653" s="17" t="s">
        <v>92</v>
      </c>
      <c r="I653" s="39"/>
      <c r="J653" s="42"/>
      <c r="K653" s="88"/>
      <c r="L653" s="42"/>
      <c r="M653" s="43"/>
      <c r="Q653" s="2"/>
      <c r="R653" s="24"/>
      <c r="S653" s="24"/>
      <c r="T653" s="24"/>
    </row>
    <row r="654" spans="1:20" x14ac:dyDescent="0.25">
      <c r="A654" s="2">
        <v>44459</v>
      </c>
      <c r="B654" s="20">
        <v>2378</v>
      </c>
      <c r="C654" s="29">
        <v>423.5</v>
      </c>
      <c r="D654" s="20">
        <v>17530</v>
      </c>
      <c r="E654" s="17" t="s">
        <v>92</v>
      </c>
      <c r="F654" s="17" t="s">
        <v>92</v>
      </c>
      <c r="G654" s="17" t="s">
        <v>92</v>
      </c>
      <c r="H654" s="17" t="s">
        <v>92</v>
      </c>
      <c r="I654" s="39"/>
      <c r="J654" s="42"/>
      <c r="K654" s="88"/>
      <c r="L654" s="42"/>
      <c r="M654" s="43"/>
      <c r="Q654" s="2"/>
      <c r="R654" s="24"/>
      <c r="S654" s="24"/>
      <c r="T654" s="24"/>
    </row>
    <row r="655" spans="1:20" x14ac:dyDescent="0.25">
      <c r="A655" s="2">
        <v>44456</v>
      </c>
      <c r="B655" s="20">
        <v>2436</v>
      </c>
      <c r="C655" s="20">
        <v>427</v>
      </c>
      <c r="D655" s="20">
        <v>18110</v>
      </c>
      <c r="E655" s="17" t="s">
        <v>92</v>
      </c>
      <c r="F655" s="17" t="s">
        <v>92</v>
      </c>
      <c r="G655" s="17" t="s">
        <v>92</v>
      </c>
      <c r="H655" s="17" t="s">
        <v>92</v>
      </c>
      <c r="I655" s="39"/>
      <c r="J655" s="42"/>
      <c r="K655" s="88"/>
      <c r="L655" s="42"/>
      <c r="M655" s="43"/>
      <c r="Q655" s="2"/>
      <c r="R655" s="24"/>
      <c r="S655" s="24"/>
      <c r="T655" s="24"/>
    </row>
    <row r="656" spans="1:20" x14ac:dyDescent="0.25">
      <c r="A656" s="2">
        <v>44455</v>
      </c>
      <c r="B656" s="20">
        <v>2438</v>
      </c>
      <c r="C656" s="20">
        <v>436</v>
      </c>
      <c r="D656" s="20">
        <v>18285</v>
      </c>
      <c r="E656" s="17" t="s">
        <v>92</v>
      </c>
      <c r="F656" s="17" t="s">
        <v>92</v>
      </c>
      <c r="G656" s="17" t="s">
        <v>92</v>
      </c>
      <c r="H656" s="17" t="s">
        <v>92</v>
      </c>
      <c r="I656" s="39"/>
      <c r="J656" s="42"/>
      <c r="K656" s="88"/>
      <c r="L656" s="42"/>
      <c r="M656" s="43"/>
      <c r="Q656" s="2"/>
      <c r="R656" s="24"/>
      <c r="S656" s="24"/>
      <c r="T656" s="24"/>
    </row>
    <row r="657" spans="1:20" x14ac:dyDescent="0.25">
      <c r="A657" s="2">
        <v>44454</v>
      </c>
      <c r="B657" s="20">
        <v>2444</v>
      </c>
      <c r="C657" s="20">
        <v>436</v>
      </c>
      <c r="D657" s="20">
        <v>18290</v>
      </c>
      <c r="E657" s="17" t="s">
        <v>92</v>
      </c>
      <c r="F657" s="17" t="s">
        <v>92</v>
      </c>
      <c r="G657" s="17" t="s">
        <v>92</v>
      </c>
      <c r="H657" s="17" t="s">
        <v>92</v>
      </c>
      <c r="I657" s="39"/>
      <c r="J657" s="42"/>
      <c r="K657" s="88"/>
      <c r="L657" s="42"/>
      <c r="M657" s="43"/>
      <c r="Q657" s="2"/>
      <c r="R657" s="24"/>
      <c r="S657" s="24"/>
      <c r="T657" s="24"/>
    </row>
    <row r="658" spans="1:20" x14ac:dyDescent="0.25">
      <c r="A658" s="2">
        <v>44453</v>
      </c>
      <c r="B658" s="20">
        <v>2396</v>
      </c>
      <c r="C658" s="20">
        <v>432</v>
      </c>
      <c r="D658" s="20">
        <v>18400</v>
      </c>
      <c r="E658" s="17" t="s">
        <v>92</v>
      </c>
      <c r="F658" s="17" t="s">
        <v>92</v>
      </c>
      <c r="G658" s="17" t="s">
        <v>92</v>
      </c>
      <c r="H658" s="17" t="s">
        <v>92</v>
      </c>
      <c r="I658" s="39"/>
      <c r="J658" s="42"/>
      <c r="K658" s="88"/>
      <c r="L658" s="42"/>
      <c r="M658" s="43"/>
      <c r="Q658" s="2"/>
      <c r="R658" s="24"/>
      <c r="S658" s="24"/>
      <c r="T658" s="24"/>
    </row>
    <row r="659" spans="1:20" x14ac:dyDescent="0.25">
      <c r="A659" s="2">
        <v>44452</v>
      </c>
      <c r="B659" s="20">
        <v>2398</v>
      </c>
      <c r="C659" s="29">
        <v>431.5</v>
      </c>
      <c r="D659" s="20">
        <v>18710</v>
      </c>
      <c r="E659" s="17" t="s">
        <v>92</v>
      </c>
      <c r="F659" s="17" t="s">
        <v>92</v>
      </c>
      <c r="G659" s="17" t="s">
        <v>92</v>
      </c>
      <c r="H659" s="17" t="s">
        <v>92</v>
      </c>
      <c r="I659" s="39"/>
      <c r="J659" s="42"/>
      <c r="K659" s="88"/>
      <c r="L659" s="42"/>
      <c r="M659" s="43"/>
      <c r="Q659" s="2"/>
      <c r="R659" s="24"/>
      <c r="S659" s="24"/>
      <c r="T659" s="24"/>
    </row>
    <row r="660" spans="1:20" x14ac:dyDescent="0.25">
      <c r="A660" s="2">
        <v>44449</v>
      </c>
      <c r="B660" s="20">
        <v>2400</v>
      </c>
      <c r="C660" s="20">
        <v>434</v>
      </c>
      <c r="D660" s="20">
        <v>18700</v>
      </c>
      <c r="E660" s="17" t="s">
        <v>92</v>
      </c>
      <c r="F660" s="17" t="s">
        <v>92</v>
      </c>
      <c r="G660" s="17" t="s">
        <v>92</v>
      </c>
      <c r="H660" s="17" t="s">
        <v>92</v>
      </c>
      <c r="I660" s="39"/>
      <c r="J660" s="42"/>
      <c r="K660" s="88"/>
      <c r="L660" s="42"/>
      <c r="M660" s="43"/>
      <c r="Q660" s="2"/>
      <c r="R660" s="24"/>
      <c r="S660" s="24"/>
      <c r="T660" s="24"/>
    </row>
    <row r="661" spans="1:20" x14ac:dyDescent="0.25">
      <c r="A661" s="2">
        <v>44448</v>
      </c>
      <c r="B661" s="20">
        <v>2400</v>
      </c>
      <c r="C661" s="20">
        <v>436</v>
      </c>
      <c r="D661" s="20">
        <v>18750</v>
      </c>
      <c r="E661" s="17" t="s">
        <v>92</v>
      </c>
      <c r="F661" s="17" t="s">
        <v>92</v>
      </c>
      <c r="G661" s="17" t="s">
        <v>92</v>
      </c>
      <c r="H661" s="17" t="s">
        <v>92</v>
      </c>
      <c r="I661" s="39"/>
      <c r="J661" s="42"/>
      <c r="K661" s="88"/>
      <c r="L661" s="42"/>
      <c r="M661" s="43"/>
      <c r="Q661" s="2"/>
      <c r="R661" s="24"/>
      <c r="S661" s="24"/>
      <c r="T661" s="24"/>
    </row>
    <row r="662" spans="1:20" x14ac:dyDescent="0.25">
      <c r="A662" s="2">
        <v>44447</v>
      </c>
      <c r="B662" s="20">
        <v>2408</v>
      </c>
      <c r="C662" s="20">
        <v>435</v>
      </c>
      <c r="D662" s="20">
        <v>18420</v>
      </c>
      <c r="E662" s="17" t="s">
        <v>92</v>
      </c>
      <c r="F662" s="17" t="s">
        <v>92</v>
      </c>
      <c r="G662" s="17" t="s">
        <v>92</v>
      </c>
      <c r="H662" s="17" t="s">
        <v>92</v>
      </c>
      <c r="I662" s="39"/>
      <c r="J662" s="42"/>
      <c r="K662" s="88"/>
      <c r="L662" s="42"/>
      <c r="M662" s="43"/>
      <c r="Q662" s="2"/>
      <c r="R662" s="24"/>
      <c r="S662" s="24"/>
      <c r="T662" s="24"/>
    </row>
    <row r="663" spans="1:20" x14ac:dyDescent="0.25">
      <c r="A663" s="2">
        <v>44446</v>
      </c>
      <c r="B663" s="20">
        <v>2400</v>
      </c>
      <c r="C663" s="20">
        <v>438</v>
      </c>
      <c r="D663" s="20">
        <v>18395</v>
      </c>
      <c r="E663" s="17" t="s">
        <v>92</v>
      </c>
      <c r="F663" s="17" t="s">
        <v>92</v>
      </c>
      <c r="G663" s="17" t="s">
        <v>92</v>
      </c>
      <c r="H663" s="17" t="s">
        <v>92</v>
      </c>
      <c r="I663" s="39"/>
      <c r="J663" s="42"/>
      <c r="K663" s="88"/>
      <c r="L663" s="42"/>
      <c r="M663" s="43"/>
      <c r="Q663" s="2"/>
      <c r="R663" s="24"/>
      <c r="S663" s="24"/>
      <c r="T663" s="24"/>
    </row>
    <row r="664" spans="1:20" x14ac:dyDescent="0.25">
      <c r="A664" s="2">
        <v>44445</v>
      </c>
      <c r="B664" s="20">
        <v>2410</v>
      </c>
      <c r="C664" s="20">
        <v>434</v>
      </c>
      <c r="D664" s="20">
        <v>18340</v>
      </c>
      <c r="E664" s="17" t="s">
        <v>92</v>
      </c>
      <c r="F664" s="17" t="s">
        <v>92</v>
      </c>
      <c r="G664" s="17" t="s">
        <v>92</v>
      </c>
      <c r="H664" s="17" t="s">
        <v>92</v>
      </c>
      <c r="I664" s="39"/>
      <c r="J664" s="42"/>
      <c r="K664" s="88"/>
      <c r="L664" s="42"/>
      <c r="M664" s="43"/>
      <c r="Q664" s="2"/>
      <c r="R664" s="24"/>
      <c r="S664" s="24"/>
      <c r="T664" s="24"/>
    </row>
    <row r="665" spans="1:20" x14ac:dyDescent="0.25">
      <c r="A665" s="2">
        <v>44442</v>
      </c>
      <c r="B665" s="20">
        <v>2420</v>
      </c>
      <c r="C665" s="20">
        <v>438</v>
      </c>
      <c r="D665" s="20">
        <v>18010</v>
      </c>
      <c r="E665" s="17" t="s">
        <v>92</v>
      </c>
      <c r="F665" s="17" t="s">
        <v>92</v>
      </c>
      <c r="G665" s="17" t="s">
        <v>92</v>
      </c>
      <c r="H665" s="17" t="s">
        <v>92</v>
      </c>
      <c r="I665" s="39"/>
      <c r="J665" s="42"/>
      <c r="K665" s="88"/>
      <c r="L665" s="42"/>
      <c r="M665" s="43"/>
      <c r="Q665" s="2"/>
      <c r="R665" s="24"/>
      <c r="S665" s="24"/>
      <c r="T665" s="24"/>
    </row>
    <row r="666" spans="1:20" x14ac:dyDescent="0.25">
      <c r="A666" s="2">
        <v>44441</v>
      </c>
      <c r="B666" s="20">
        <v>2410</v>
      </c>
      <c r="C666" s="20">
        <v>438</v>
      </c>
      <c r="D666" s="20">
        <v>17855</v>
      </c>
      <c r="E666" s="17" t="s">
        <v>92</v>
      </c>
      <c r="F666" s="17" t="s">
        <v>92</v>
      </c>
      <c r="G666" s="17" t="s">
        <v>92</v>
      </c>
      <c r="H666" s="17" t="s">
        <v>92</v>
      </c>
      <c r="I666" s="39"/>
      <c r="J666" s="42"/>
      <c r="K666" s="88"/>
      <c r="L666" s="42"/>
      <c r="M666" s="43"/>
      <c r="Q666" s="2"/>
      <c r="R666" s="24"/>
      <c r="S666" s="24"/>
      <c r="T666" s="24"/>
    </row>
    <row r="667" spans="1:20" x14ac:dyDescent="0.25">
      <c r="A667" s="2">
        <v>44440</v>
      </c>
      <c r="B667" s="20">
        <v>2424</v>
      </c>
      <c r="C667" s="20">
        <v>434</v>
      </c>
      <c r="D667" s="20">
        <v>17820</v>
      </c>
      <c r="E667" s="17" t="s">
        <v>92</v>
      </c>
      <c r="F667" s="17" t="s">
        <v>92</v>
      </c>
      <c r="G667" s="17" t="s">
        <v>92</v>
      </c>
      <c r="H667" s="17" t="s">
        <v>92</v>
      </c>
      <c r="I667" s="39"/>
      <c r="J667" s="42"/>
      <c r="K667" s="88"/>
      <c r="L667" s="42"/>
      <c r="M667" s="43"/>
      <c r="Q667" s="2"/>
      <c r="R667" s="24"/>
      <c r="S667" s="24"/>
      <c r="T667" s="24"/>
    </row>
    <row r="668" spans="1:20" x14ac:dyDescent="0.25">
      <c r="A668" s="2">
        <v>44439</v>
      </c>
      <c r="B668" s="20">
        <v>2424</v>
      </c>
      <c r="C668" s="20">
        <v>431</v>
      </c>
      <c r="D668" s="20">
        <v>17850</v>
      </c>
      <c r="E668" s="17" t="s">
        <v>92</v>
      </c>
      <c r="F668" s="17" t="s">
        <v>92</v>
      </c>
      <c r="G668" s="17" t="s">
        <v>92</v>
      </c>
      <c r="H668" s="17" t="s">
        <v>92</v>
      </c>
      <c r="I668" s="39"/>
      <c r="J668" s="42"/>
      <c r="K668" s="88"/>
      <c r="L668" s="42"/>
      <c r="M668" s="43"/>
      <c r="Q668" s="2"/>
      <c r="R668" s="24"/>
      <c r="S668" s="24"/>
      <c r="T668" s="24"/>
    </row>
    <row r="669" spans="1:20" x14ac:dyDescent="0.25">
      <c r="A669" s="2">
        <v>44438</v>
      </c>
      <c r="B669" s="20">
        <v>2420</v>
      </c>
      <c r="C669" s="29">
        <v>436.5</v>
      </c>
      <c r="D669" s="20">
        <v>17740</v>
      </c>
      <c r="E669" s="17" t="s">
        <v>92</v>
      </c>
      <c r="F669" s="17" t="s">
        <v>92</v>
      </c>
      <c r="G669" s="17" t="s">
        <v>92</v>
      </c>
      <c r="H669" s="17" t="s">
        <v>92</v>
      </c>
      <c r="I669" s="39"/>
      <c r="J669" s="42"/>
      <c r="K669" s="88"/>
      <c r="L669" s="42"/>
      <c r="M669" s="43"/>
      <c r="Q669" s="2"/>
      <c r="R669" s="24"/>
      <c r="S669" s="24"/>
      <c r="T669" s="24"/>
    </row>
    <row r="670" spans="1:20" x14ac:dyDescent="0.25">
      <c r="A670" s="2">
        <v>44435</v>
      </c>
      <c r="B670" s="20">
        <v>2398</v>
      </c>
      <c r="C670" s="20">
        <v>435</v>
      </c>
      <c r="D670" s="20">
        <v>17475</v>
      </c>
      <c r="E670" s="17" t="s">
        <v>92</v>
      </c>
      <c r="F670" s="17" t="s">
        <v>92</v>
      </c>
      <c r="G670" s="17" t="s">
        <v>92</v>
      </c>
      <c r="H670" s="17" t="s">
        <v>92</v>
      </c>
      <c r="I670" s="39"/>
      <c r="J670" s="42"/>
      <c r="K670" s="88"/>
      <c r="L670" s="42"/>
      <c r="M670" s="43"/>
      <c r="Q670" s="2"/>
      <c r="R670" s="24"/>
      <c r="S670" s="24"/>
      <c r="T670" s="24"/>
    </row>
    <row r="671" spans="1:20" x14ac:dyDescent="0.25">
      <c r="A671" s="2">
        <v>44434</v>
      </c>
      <c r="B671" s="20">
        <v>2372</v>
      </c>
      <c r="C671" s="29">
        <v>431.5</v>
      </c>
      <c r="D671" s="20">
        <v>17115</v>
      </c>
      <c r="E671" s="17" t="s">
        <v>92</v>
      </c>
      <c r="F671" s="17" t="s">
        <v>92</v>
      </c>
      <c r="G671" s="17" t="s">
        <v>92</v>
      </c>
      <c r="H671" s="17" t="s">
        <v>92</v>
      </c>
      <c r="I671" s="39"/>
      <c r="J671" s="42"/>
      <c r="K671" s="88"/>
      <c r="L671" s="42"/>
      <c r="M671" s="43"/>
      <c r="Q671" s="2"/>
      <c r="R671" s="24"/>
      <c r="S671" s="24"/>
      <c r="T671" s="24"/>
    </row>
    <row r="672" spans="1:20" x14ac:dyDescent="0.25">
      <c r="A672" s="2">
        <v>44433</v>
      </c>
      <c r="B672" s="20">
        <v>2406</v>
      </c>
      <c r="C672" s="29">
        <v>430.5</v>
      </c>
      <c r="D672" s="20">
        <v>17235</v>
      </c>
      <c r="E672" s="17" t="s">
        <v>92</v>
      </c>
      <c r="F672" s="17" t="s">
        <v>92</v>
      </c>
      <c r="G672" s="17" t="s">
        <v>92</v>
      </c>
      <c r="H672" s="17" t="s">
        <v>92</v>
      </c>
      <c r="I672" s="39"/>
      <c r="J672" s="42"/>
      <c r="K672" s="88"/>
      <c r="L672" s="42"/>
      <c r="M672" s="43"/>
      <c r="Q672" s="2"/>
      <c r="R672" s="24"/>
      <c r="S672" s="24"/>
      <c r="T672" s="24"/>
    </row>
    <row r="673" spans="1:20" x14ac:dyDescent="0.25">
      <c r="A673" s="2">
        <v>44432</v>
      </c>
      <c r="B673" s="20">
        <v>2400</v>
      </c>
      <c r="C673" s="29">
        <v>434.5</v>
      </c>
      <c r="D673" s="20">
        <v>17600</v>
      </c>
      <c r="E673" s="17" t="s">
        <v>92</v>
      </c>
      <c r="F673" s="17" t="s">
        <v>92</v>
      </c>
      <c r="G673" s="17" t="s">
        <v>92</v>
      </c>
      <c r="H673" s="17" t="s">
        <v>92</v>
      </c>
      <c r="I673" s="39"/>
      <c r="J673" s="42"/>
      <c r="K673" s="88"/>
      <c r="L673" s="42"/>
      <c r="M673" s="43"/>
      <c r="Q673" s="2"/>
      <c r="R673" s="24"/>
      <c r="S673" s="24"/>
      <c r="T673" s="24"/>
    </row>
    <row r="674" spans="1:20" x14ac:dyDescent="0.25">
      <c r="A674" s="2">
        <v>44431</v>
      </c>
      <c r="B674" s="20">
        <v>2406</v>
      </c>
      <c r="C674" s="29">
        <v>430.5</v>
      </c>
      <c r="D674" s="20">
        <v>17790</v>
      </c>
      <c r="E674" s="17" t="s">
        <v>92</v>
      </c>
      <c r="F674" s="17" t="s">
        <v>92</v>
      </c>
      <c r="G674" s="17" t="s">
        <v>92</v>
      </c>
      <c r="H674" s="17" t="s">
        <v>92</v>
      </c>
      <c r="I674" s="39"/>
      <c r="J674" s="42"/>
      <c r="K674" s="88"/>
      <c r="L674" s="42"/>
      <c r="M674" s="43"/>
      <c r="Q674" s="2"/>
      <c r="R674" s="24"/>
      <c r="S674" s="24"/>
      <c r="T674" s="24"/>
    </row>
    <row r="675" spans="1:20" x14ac:dyDescent="0.25">
      <c r="A675" s="2">
        <v>44427</v>
      </c>
      <c r="B675" s="20">
        <v>2362</v>
      </c>
      <c r="C675" s="20">
        <v>431</v>
      </c>
      <c r="D675" s="20">
        <v>17740</v>
      </c>
      <c r="E675" s="17" t="s">
        <v>92</v>
      </c>
      <c r="F675" s="17" t="s">
        <v>92</v>
      </c>
      <c r="G675" s="17" t="s">
        <v>92</v>
      </c>
      <c r="H675" s="17" t="s">
        <v>92</v>
      </c>
      <c r="I675" s="39"/>
      <c r="J675" s="42"/>
      <c r="K675" s="88"/>
      <c r="L675" s="42"/>
      <c r="M675" s="43"/>
      <c r="Q675" s="2"/>
      <c r="R675" s="24"/>
      <c r="S675" s="24"/>
      <c r="T675" s="24"/>
    </row>
    <row r="676" spans="1:20" x14ac:dyDescent="0.25">
      <c r="A676" s="2">
        <v>44426</v>
      </c>
      <c r="B676" s="20">
        <v>2408</v>
      </c>
      <c r="C676" s="20">
        <v>434</v>
      </c>
      <c r="D676" s="20">
        <v>18000</v>
      </c>
      <c r="E676" s="17" t="s">
        <v>92</v>
      </c>
      <c r="F676" s="17" t="s">
        <v>92</v>
      </c>
      <c r="G676" s="17" t="s">
        <v>92</v>
      </c>
      <c r="H676" s="17" t="s">
        <v>92</v>
      </c>
      <c r="I676" s="39"/>
      <c r="J676" s="42"/>
      <c r="K676" s="88"/>
      <c r="L676" s="42"/>
      <c r="M676" s="43"/>
      <c r="Q676" s="2"/>
      <c r="R676" s="24"/>
      <c r="S676" s="24"/>
      <c r="T676" s="24"/>
    </row>
    <row r="677" spans="1:20" x14ac:dyDescent="0.25">
      <c r="A677" s="2">
        <v>44425</v>
      </c>
      <c r="B677" s="20">
        <v>2414</v>
      </c>
      <c r="C677" s="20">
        <v>430</v>
      </c>
      <c r="D677" s="20">
        <v>17520</v>
      </c>
      <c r="E677" s="17" t="s">
        <v>92</v>
      </c>
      <c r="F677" s="17" t="s">
        <v>92</v>
      </c>
      <c r="G677" s="17" t="s">
        <v>92</v>
      </c>
      <c r="H677" s="17" t="s">
        <v>92</v>
      </c>
      <c r="I677" s="39"/>
      <c r="J677" s="42"/>
      <c r="K677" s="88"/>
      <c r="L677" s="42"/>
      <c r="M677" s="43"/>
      <c r="Q677" s="2"/>
      <c r="R677" s="24"/>
      <c r="S677" s="24"/>
      <c r="T677" s="24"/>
    </row>
    <row r="678" spans="1:20" x14ac:dyDescent="0.25">
      <c r="A678" s="2">
        <v>44424</v>
      </c>
      <c r="B678" s="20">
        <v>2390</v>
      </c>
      <c r="C678" s="20">
        <v>434</v>
      </c>
      <c r="D678" s="20">
        <v>16680</v>
      </c>
      <c r="E678" s="17" t="s">
        <v>92</v>
      </c>
      <c r="F678" s="17" t="s">
        <v>92</v>
      </c>
      <c r="G678" s="17" t="s">
        <v>92</v>
      </c>
      <c r="H678" s="17" t="s">
        <v>92</v>
      </c>
      <c r="I678" s="39"/>
      <c r="J678" s="42"/>
      <c r="K678" s="88"/>
      <c r="L678" s="42"/>
      <c r="M678" s="43"/>
      <c r="Q678" s="2"/>
      <c r="R678" s="24"/>
      <c r="S678" s="24"/>
      <c r="T678" s="24"/>
    </row>
    <row r="679" spans="1:20" x14ac:dyDescent="0.25">
      <c r="A679" s="2">
        <v>44421</v>
      </c>
      <c r="B679" s="20">
        <v>2430</v>
      </c>
      <c r="C679" s="20">
        <v>436</v>
      </c>
      <c r="D679" s="20">
        <v>16680</v>
      </c>
      <c r="E679" s="17" t="s">
        <v>92</v>
      </c>
      <c r="F679" s="17" t="s">
        <v>92</v>
      </c>
      <c r="G679" s="17" t="s">
        <v>92</v>
      </c>
      <c r="H679" s="17" t="s">
        <v>92</v>
      </c>
      <c r="I679" s="39"/>
      <c r="J679" s="42"/>
      <c r="K679" s="88"/>
      <c r="L679" s="42"/>
      <c r="M679" s="43"/>
      <c r="Q679" s="2"/>
      <c r="R679" s="24"/>
      <c r="S679" s="24"/>
      <c r="T679" s="24"/>
    </row>
    <row r="680" spans="1:20" x14ac:dyDescent="0.25">
      <c r="A680" s="2">
        <v>44420</v>
      </c>
      <c r="B680" s="20">
        <v>2430</v>
      </c>
      <c r="C680" s="20">
        <v>435</v>
      </c>
      <c r="D680" s="20">
        <v>16665</v>
      </c>
      <c r="E680" s="17" t="s">
        <v>92</v>
      </c>
      <c r="F680" s="17" t="s">
        <v>92</v>
      </c>
      <c r="G680" s="17" t="s">
        <v>92</v>
      </c>
      <c r="H680" s="17" t="s">
        <v>92</v>
      </c>
      <c r="I680" s="39"/>
      <c r="J680" s="42"/>
      <c r="K680" s="88"/>
      <c r="L680" s="42"/>
      <c r="M680" s="43"/>
      <c r="Q680" s="2"/>
      <c r="R680" s="24"/>
      <c r="S680" s="24"/>
      <c r="T680" s="24"/>
    </row>
    <row r="681" spans="1:20" x14ac:dyDescent="0.25">
      <c r="A681" s="2">
        <v>44419</v>
      </c>
      <c r="B681" s="20">
        <v>2446</v>
      </c>
      <c r="C681" s="29">
        <v>430.5</v>
      </c>
      <c r="D681" s="20">
        <v>16650</v>
      </c>
      <c r="E681" s="17" t="s">
        <v>92</v>
      </c>
      <c r="F681" s="17" t="s">
        <v>92</v>
      </c>
      <c r="G681" s="17" t="s">
        <v>92</v>
      </c>
      <c r="H681" s="17" t="s">
        <v>92</v>
      </c>
      <c r="I681" s="39"/>
      <c r="J681" s="42"/>
      <c r="K681" s="88"/>
      <c r="L681" s="42"/>
      <c r="M681" s="43"/>
      <c r="Q681" s="2"/>
      <c r="R681" s="24"/>
      <c r="S681" s="24"/>
      <c r="T681" s="24"/>
    </row>
    <row r="682" spans="1:20" x14ac:dyDescent="0.25">
      <c r="A682" s="2">
        <v>44418</v>
      </c>
      <c r="B682" s="20">
        <v>2402</v>
      </c>
      <c r="C682" s="29">
        <v>425.5</v>
      </c>
      <c r="D682" s="20">
        <v>16450</v>
      </c>
      <c r="E682" s="17" t="s">
        <v>92</v>
      </c>
      <c r="F682" s="17" t="s">
        <v>92</v>
      </c>
      <c r="G682" s="17" t="s">
        <v>92</v>
      </c>
      <c r="H682" s="17" t="s">
        <v>92</v>
      </c>
      <c r="I682" s="39"/>
      <c r="J682" s="42"/>
      <c r="K682" s="88"/>
      <c r="L682" s="42"/>
      <c r="M682" s="43"/>
      <c r="Q682" s="2"/>
      <c r="R682" s="24"/>
      <c r="S682" s="24"/>
      <c r="T682" s="24"/>
    </row>
    <row r="683" spans="1:20" x14ac:dyDescent="0.25">
      <c r="A683" s="2">
        <v>44417</v>
      </c>
      <c r="B683" s="20">
        <v>2498</v>
      </c>
      <c r="C683" s="29">
        <v>423.5</v>
      </c>
      <c r="D683" s="20">
        <v>16395</v>
      </c>
      <c r="E683" s="17" t="s">
        <v>92</v>
      </c>
      <c r="F683" s="17" t="s">
        <v>92</v>
      </c>
      <c r="G683" s="17" t="s">
        <v>92</v>
      </c>
      <c r="H683" s="17" t="s">
        <v>92</v>
      </c>
      <c r="I683" s="39"/>
      <c r="J683" s="42"/>
      <c r="K683" s="88"/>
      <c r="L683" s="42"/>
      <c r="M683" s="43"/>
      <c r="Q683" s="2"/>
      <c r="R683" s="24"/>
      <c r="S683" s="24"/>
      <c r="T683" s="24"/>
    </row>
    <row r="684" spans="1:20" x14ac:dyDescent="0.25">
      <c r="A684" s="2">
        <v>44414</v>
      </c>
      <c r="B684" s="20">
        <v>2528</v>
      </c>
      <c r="C684" s="29">
        <v>422.5</v>
      </c>
      <c r="D684" s="20">
        <v>16570</v>
      </c>
      <c r="E684" s="17" t="s">
        <v>92</v>
      </c>
      <c r="F684" s="17" t="s">
        <v>92</v>
      </c>
      <c r="G684" s="17" t="s">
        <v>92</v>
      </c>
      <c r="H684" s="17" t="s">
        <v>92</v>
      </c>
      <c r="I684" s="39"/>
      <c r="J684" s="42"/>
      <c r="K684" s="88"/>
      <c r="L684" s="42"/>
      <c r="M684" s="43"/>
      <c r="Q684" s="2"/>
      <c r="R684" s="24"/>
      <c r="S684" s="24"/>
      <c r="T684" s="24"/>
    </row>
    <row r="685" spans="1:20" x14ac:dyDescent="0.25">
      <c r="A685" s="2">
        <v>44413</v>
      </c>
      <c r="B685" s="20">
        <v>2490</v>
      </c>
      <c r="C685" s="29">
        <v>422.5</v>
      </c>
      <c r="D685" s="20">
        <v>16500</v>
      </c>
      <c r="E685" s="17" t="s">
        <v>92</v>
      </c>
      <c r="F685" s="17" t="s">
        <v>92</v>
      </c>
      <c r="G685" s="17" t="s">
        <v>92</v>
      </c>
      <c r="H685" s="17" t="s">
        <v>92</v>
      </c>
      <c r="I685" s="39"/>
      <c r="J685" s="42"/>
      <c r="K685" s="88"/>
      <c r="L685" s="42"/>
      <c r="M685" s="43"/>
      <c r="Q685" s="2"/>
      <c r="R685" s="24"/>
      <c r="S685" s="24"/>
      <c r="T685" s="24"/>
    </row>
    <row r="686" spans="1:20" x14ac:dyDescent="0.25">
      <c r="A686" s="2">
        <v>44412</v>
      </c>
      <c r="B686" s="20">
        <v>2490</v>
      </c>
      <c r="C686" s="20">
        <v>423</v>
      </c>
      <c r="D686" s="20">
        <v>16500</v>
      </c>
      <c r="E686" s="17" t="s">
        <v>92</v>
      </c>
      <c r="F686" s="17" t="s">
        <v>92</v>
      </c>
      <c r="G686" s="17" t="s">
        <v>92</v>
      </c>
      <c r="H686" s="17" t="s">
        <v>92</v>
      </c>
      <c r="I686" s="39"/>
      <c r="J686" s="42"/>
      <c r="K686" s="88"/>
      <c r="L686" s="42"/>
      <c r="M686" s="43"/>
      <c r="Q686" s="2"/>
      <c r="R686" s="24"/>
      <c r="S686" s="24"/>
      <c r="T686" s="24"/>
    </row>
    <row r="687" spans="1:20" x14ac:dyDescent="0.25">
      <c r="A687" s="2">
        <v>44411</v>
      </c>
      <c r="B687" s="20">
        <v>2422</v>
      </c>
      <c r="C687" s="29">
        <v>424.5</v>
      </c>
      <c r="D687" s="20">
        <v>16555</v>
      </c>
      <c r="E687" s="17" t="s">
        <v>92</v>
      </c>
      <c r="F687" s="17" t="s">
        <v>92</v>
      </c>
      <c r="G687" s="17" t="s">
        <v>92</v>
      </c>
      <c r="H687" s="17" t="s">
        <v>92</v>
      </c>
      <c r="I687" s="39"/>
      <c r="J687" s="42"/>
      <c r="K687" s="88"/>
      <c r="L687" s="42"/>
      <c r="M687" s="43"/>
      <c r="Q687" s="2"/>
      <c r="R687" s="24"/>
      <c r="S687" s="24"/>
      <c r="T687" s="24"/>
    </row>
    <row r="688" spans="1:20" x14ac:dyDescent="0.25">
      <c r="A688" s="2">
        <v>44410</v>
      </c>
      <c r="B688" s="20">
        <v>2404</v>
      </c>
      <c r="C688" s="29">
        <v>425.5</v>
      </c>
      <c r="D688" s="20">
        <v>16650</v>
      </c>
      <c r="E688" s="17" t="s">
        <v>92</v>
      </c>
      <c r="F688" s="17" t="s">
        <v>92</v>
      </c>
      <c r="G688" s="17" t="s">
        <v>92</v>
      </c>
      <c r="H688" s="17" t="s">
        <v>92</v>
      </c>
      <c r="I688" s="39"/>
      <c r="J688" s="42"/>
      <c r="K688" s="88"/>
      <c r="L688" s="42"/>
      <c r="M688" s="43"/>
      <c r="Q688" s="2"/>
      <c r="R688" s="24"/>
      <c r="S688" s="24"/>
      <c r="T688" s="24"/>
    </row>
    <row r="689" spans="1:20" x14ac:dyDescent="0.25">
      <c r="A689" s="2">
        <v>44407</v>
      </c>
      <c r="B689" s="20">
        <v>2410</v>
      </c>
      <c r="C689" s="20">
        <v>428</v>
      </c>
      <c r="D689" s="20">
        <v>16310</v>
      </c>
      <c r="E689" s="17" t="s">
        <v>92</v>
      </c>
      <c r="F689" s="17" t="s">
        <v>92</v>
      </c>
      <c r="G689" s="17" t="s">
        <v>92</v>
      </c>
      <c r="H689" s="17" t="s">
        <v>92</v>
      </c>
      <c r="I689" s="39"/>
      <c r="J689" s="42"/>
      <c r="K689" s="88"/>
      <c r="L689" s="42"/>
      <c r="M689" s="43"/>
      <c r="Q689" s="2"/>
      <c r="R689" s="24"/>
      <c r="S689" s="24"/>
      <c r="T689" s="24"/>
    </row>
    <row r="690" spans="1:20" x14ac:dyDescent="0.25">
      <c r="A690" s="2">
        <v>44406</v>
      </c>
      <c r="B690" s="20">
        <v>2384</v>
      </c>
      <c r="C690" s="20">
        <v>429</v>
      </c>
      <c r="D690" s="20">
        <v>16320</v>
      </c>
      <c r="E690" s="17" t="s">
        <v>92</v>
      </c>
      <c r="F690" s="17" t="s">
        <v>92</v>
      </c>
      <c r="G690" s="17" t="s">
        <v>92</v>
      </c>
      <c r="H690" s="17" t="s">
        <v>92</v>
      </c>
      <c r="I690" s="39"/>
      <c r="J690" s="42"/>
      <c r="K690" s="88"/>
      <c r="L690" s="42"/>
      <c r="M690" s="43"/>
      <c r="Q690" s="2"/>
      <c r="R690" s="24"/>
      <c r="S690" s="24"/>
      <c r="T690" s="24"/>
    </row>
    <row r="691" spans="1:20" x14ac:dyDescent="0.25">
      <c r="A691" s="2">
        <v>44405</v>
      </c>
      <c r="B691" s="20">
        <v>2386</v>
      </c>
      <c r="C691" s="29">
        <v>422.5</v>
      </c>
      <c r="D691" s="20">
        <v>15900</v>
      </c>
      <c r="E691" s="17" t="s">
        <v>92</v>
      </c>
      <c r="F691" s="17" t="s">
        <v>92</v>
      </c>
      <c r="G691" s="17" t="s">
        <v>92</v>
      </c>
      <c r="H691" s="17" t="s">
        <v>92</v>
      </c>
      <c r="I691" s="39"/>
      <c r="J691" s="42"/>
      <c r="K691" s="88"/>
      <c r="L691" s="42"/>
      <c r="M691" s="43"/>
      <c r="Q691" s="2"/>
      <c r="R691" s="24"/>
      <c r="S691" s="24"/>
      <c r="T691" s="24"/>
    </row>
    <row r="692" spans="1:20" x14ac:dyDescent="0.25">
      <c r="A692" s="2">
        <v>44404</v>
      </c>
      <c r="B692" s="20">
        <v>2338</v>
      </c>
      <c r="C692" s="29">
        <v>426.5</v>
      </c>
      <c r="D692" s="20">
        <v>15680</v>
      </c>
      <c r="E692" s="17" t="s">
        <v>92</v>
      </c>
      <c r="F692" s="17" t="s">
        <v>92</v>
      </c>
      <c r="G692" s="17" t="s">
        <v>92</v>
      </c>
      <c r="H692" s="17" t="s">
        <v>92</v>
      </c>
      <c r="I692" s="39"/>
      <c r="J692" s="42"/>
      <c r="K692" s="88"/>
      <c r="L692" s="42"/>
      <c r="M692" s="43"/>
      <c r="Q692" s="2"/>
      <c r="R692" s="24"/>
      <c r="S692" s="24"/>
      <c r="T692" s="24"/>
    </row>
    <row r="693" spans="1:20" x14ac:dyDescent="0.25">
      <c r="A693" s="2">
        <v>44403</v>
      </c>
      <c r="B693" s="20">
        <v>2348</v>
      </c>
      <c r="C693" s="20">
        <v>425</v>
      </c>
      <c r="D693" s="20">
        <v>15625</v>
      </c>
      <c r="E693" s="17" t="s">
        <v>92</v>
      </c>
      <c r="F693" s="17" t="s">
        <v>92</v>
      </c>
      <c r="G693" s="17" t="s">
        <v>92</v>
      </c>
      <c r="H693" s="17" t="s">
        <v>92</v>
      </c>
      <c r="I693" s="39"/>
      <c r="J693" s="42"/>
      <c r="K693" s="88"/>
      <c r="L693" s="42"/>
      <c r="M693" s="43"/>
      <c r="Q693" s="2"/>
      <c r="R693" s="24"/>
      <c r="S693" s="24"/>
      <c r="T693" s="24"/>
    </row>
    <row r="694" spans="1:20" x14ac:dyDescent="0.25">
      <c r="A694" s="2">
        <v>44400</v>
      </c>
      <c r="B694" s="20">
        <v>2370</v>
      </c>
      <c r="C694" s="20">
        <v>426</v>
      </c>
      <c r="D694" s="20">
        <v>15870</v>
      </c>
      <c r="E694" s="17" t="s">
        <v>92</v>
      </c>
      <c r="F694" s="17" t="s">
        <v>92</v>
      </c>
      <c r="G694" s="17" t="s">
        <v>92</v>
      </c>
      <c r="H694" s="17" t="s">
        <v>92</v>
      </c>
      <c r="I694" s="39"/>
      <c r="J694" s="42"/>
      <c r="K694" s="88"/>
      <c r="L694" s="42"/>
      <c r="M694" s="43"/>
      <c r="Q694" s="2"/>
      <c r="R694" s="24"/>
      <c r="S694" s="24"/>
      <c r="T694" s="24"/>
    </row>
    <row r="695" spans="1:20" x14ac:dyDescent="0.25">
      <c r="A695" s="2">
        <v>44399</v>
      </c>
      <c r="B695" s="20">
        <v>2388</v>
      </c>
      <c r="C695" s="20">
        <v>428</v>
      </c>
      <c r="D695" s="20">
        <v>15880</v>
      </c>
      <c r="E695" s="17" t="s">
        <v>92</v>
      </c>
      <c r="F695" s="17" t="s">
        <v>92</v>
      </c>
      <c r="G695" s="17" t="s">
        <v>92</v>
      </c>
      <c r="H695" s="17" t="s">
        <v>92</v>
      </c>
      <c r="I695" s="39"/>
      <c r="J695" s="42"/>
      <c r="K695" s="88"/>
      <c r="L695" s="42"/>
      <c r="M695" s="43"/>
      <c r="Q695" s="2"/>
      <c r="R695" s="24"/>
      <c r="S695" s="24"/>
      <c r="T695" s="24"/>
    </row>
    <row r="696" spans="1:20" x14ac:dyDescent="0.25">
      <c r="A696" s="2">
        <v>44398</v>
      </c>
      <c r="B696" s="20">
        <v>2356</v>
      </c>
      <c r="C696" s="20">
        <v>427</v>
      </c>
      <c r="D696" s="20">
        <v>15960</v>
      </c>
      <c r="E696" s="17" t="s">
        <v>92</v>
      </c>
      <c r="F696" s="17" t="s">
        <v>92</v>
      </c>
      <c r="G696" s="17" t="s">
        <v>92</v>
      </c>
      <c r="H696" s="17" t="s">
        <v>92</v>
      </c>
      <c r="I696" s="39"/>
      <c r="J696" s="42"/>
      <c r="K696" s="88"/>
      <c r="L696" s="42"/>
      <c r="M696" s="43"/>
      <c r="Q696" s="2"/>
      <c r="R696" s="24"/>
      <c r="S696" s="24"/>
      <c r="T696" s="24"/>
    </row>
    <row r="697" spans="1:20" x14ac:dyDescent="0.25">
      <c r="A697" s="2">
        <v>44397</v>
      </c>
      <c r="B697" s="20">
        <v>2308</v>
      </c>
      <c r="C697" s="29">
        <v>429.5</v>
      </c>
      <c r="D697" s="20">
        <v>16010</v>
      </c>
      <c r="E697" s="17" t="s">
        <v>92</v>
      </c>
      <c r="F697" s="17" t="s">
        <v>92</v>
      </c>
      <c r="G697" s="17" t="s">
        <v>92</v>
      </c>
      <c r="H697" s="17" t="s">
        <v>92</v>
      </c>
      <c r="I697" s="39"/>
      <c r="J697" s="42"/>
      <c r="K697" s="88"/>
      <c r="L697" s="42"/>
      <c r="M697" s="43"/>
      <c r="Q697" s="2"/>
      <c r="R697" s="24"/>
      <c r="S697" s="24"/>
      <c r="T697" s="24"/>
    </row>
    <row r="698" spans="1:20" x14ac:dyDescent="0.25">
      <c r="A698" s="2">
        <v>44396</v>
      </c>
      <c r="B698" s="20">
        <v>2302</v>
      </c>
      <c r="C698" s="20">
        <v>430</v>
      </c>
      <c r="D698" s="20">
        <v>16010</v>
      </c>
      <c r="E698" s="17" t="s">
        <v>92</v>
      </c>
      <c r="F698" s="17" t="s">
        <v>92</v>
      </c>
      <c r="G698" s="17" t="s">
        <v>92</v>
      </c>
      <c r="H698" s="17" t="s">
        <v>92</v>
      </c>
      <c r="I698" s="39"/>
      <c r="J698" s="42"/>
      <c r="K698" s="88"/>
      <c r="L698" s="42"/>
      <c r="M698" s="43"/>
      <c r="Q698" s="2"/>
      <c r="R698" s="24"/>
      <c r="S698" s="24"/>
      <c r="T698" s="24"/>
    </row>
    <row r="699" spans="1:20" x14ac:dyDescent="0.25">
      <c r="A699" s="2">
        <v>44393</v>
      </c>
      <c r="B699" s="20">
        <v>2394</v>
      </c>
      <c r="C699" s="20">
        <v>426</v>
      </c>
      <c r="D699" s="20">
        <v>16050</v>
      </c>
      <c r="E699" s="17" t="s">
        <v>92</v>
      </c>
      <c r="F699" s="17" t="s">
        <v>92</v>
      </c>
      <c r="G699" s="17" t="s">
        <v>92</v>
      </c>
      <c r="H699" s="17" t="s">
        <v>92</v>
      </c>
      <c r="I699" s="39"/>
      <c r="J699" s="42"/>
      <c r="K699" s="88"/>
      <c r="L699" s="42"/>
      <c r="M699" s="43"/>
      <c r="Q699" s="2"/>
      <c r="R699" s="24"/>
      <c r="S699" s="24"/>
      <c r="T699" s="24"/>
    </row>
    <row r="700" spans="1:20" x14ac:dyDescent="0.25">
      <c r="A700" s="2">
        <v>44392</v>
      </c>
      <c r="B700" s="20">
        <v>2390</v>
      </c>
      <c r="C700" s="20">
        <v>427</v>
      </c>
      <c r="D700" s="20">
        <v>15800</v>
      </c>
      <c r="E700" s="17" t="s">
        <v>92</v>
      </c>
      <c r="F700" s="17" t="s">
        <v>92</v>
      </c>
      <c r="G700" s="17" t="s">
        <v>92</v>
      </c>
      <c r="H700" s="17" t="s">
        <v>92</v>
      </c>
      <c r="I700" s="39"/>
      <c r="J700" s="42"/>
      <c r="K700" s="88"/>
      <c r="L700" s="42"/>
      <c r="M700" s="43"/>
      <c r="Q700" s="2"/>
      <c r="R700" s="24"/>
      <c r="S700" s="24"/>
      <c r="T700" s="24"/>
    </row>
    <row r="701" spans="1:20" x14ac:dyDescent="0.25">
      <c r="A701" s="2">
        <v>44391</v>
      </c>
      <c r="B701" s="20">
        <v>2402</v>
      </c>
      <c r="C701" s="20">
        <v>424</v>
      </c>
      <c r="D701" s="20">
        <v>15570</v>
      </c>
      <c r="E701" s="17" t="s">
        <v>92</v>
      </c>
      <c r="F701" s="17" t="s">
        <v>92</v>
      </c>
      <c r="G701" s="17" t="s">
        <v>92</v>
      </c>
      <c r="H701" s="17" t="s">
        <v>92</v>
      </c>
      <c r="I701" s="39"/>
      <c r="J701" s="42"/>
      <c r="K701" s="88"/>
      <c r="L701" s="42"/>
      <c r="M701" s="43"/>
      <c r="Q701" s="2"/>
      <c r="R701" s="24"/>
      <c r="S701" s="24"/>
      <c r="T701" s="24"/>
    </row>
    <row r="702" spans="1:20" x14ac:dyDescent="0.25">
      <c r="A702" s="2">
        <v>44390</v>
      </c>
      <c r="B702" s="20">
        <v>2416</v>
      </c>
      <c r="C702" s="20">
        <v>426</v>
      </c>
      <c r="D702" s="20">
        <v>15710</v>
      </c>
      <c r="E702" s="17" t="s">
        <v>92</v>
      </c>
      <c r="F702" s="17" t="s">
        <v>92</v>
      </c>
      <c r="G702" s="17" t="s">
        <v>92</v>
      </c>
      <c r="H702" s="17" t="s">
        <v>92</v>
      </c>
      <c r="I702" s="39"/>
      <c r="J702" s="42"/>
      <c r="K702" s="88"/>
      <c r="L702" s="42"/>
      <c r="M702" s="43"/>
      <c r="Q702" s="2"/>
      <c r="R702" s="24"/>
      <c r="S702" s="24"/>
      <c r="T702" s="24"/>
    </row>
    <row r="703" spans="1:20" x14ac:dyDescent="0.25">
      <c r="A703" s="2">
        <v>44389</v>
      </c>
      <c r="B703" s="20">
        <v>2364</v>
      </c>
      <c r="C703" s="20">
        <v>425</v>
      </c>
      <c r="D703" s="20">
        <v>16005</v>
      </c>
      <c r="E703" s="17" t="s">
        <v>92</v>
      </c>
      <c r="F703" s="17" t="s">
        <v>92</v>
      </c>
      <c r="G703" s="17" t="s">
        <v>92</v>
      </c>
      <c r="H703" s="17" t="s">
        <v>92</v>
      </c>
      <c r="I703" s="39"/>
      <c r="J703" s="42"/>
      <c r="K703" s="88"/>
      <c r="L703" s="42"/>
      <c r="M703" s="43"/>
      <c r="Q703" s="2"/>
      <c r="R703" s="24"/>
      <c r="S703" s="24"/>
      <c r="T703" s="24"/>
    </row>
    <row r="704" spans="1:20" x14ac:dyDescent="0.25">
      <c r="A704" s="2">
        <v>44386</v>
      </c>
      <c r="B704" s="20">
        <v>2378</v>
      </c>
      <c r="C704" s="29">
        <v>421.5</v>
      </c>
      <c r="D704" s="20">
        <v>16185</v>
      </c>
      <c r="E704" s="17" t="s">
        <v>92</v>
      </c>
      <c r="F704" s="17" t="s">
        <v>92</v>
      </c>
      <c r="G704" s="17" t="s">
        <v>92</v>
      </c>
      <c r="H704" s="17" t="s">
        <v>92</v>
      </c>
      <c r="I704" s="39"/>
      <c r="J704" s="42"/>
      <c r="K704" s="88"/>
      <c r="L704" s="42"/>
      <c r="M704" s="43"/>
      <c r="Q704" s="2"/>
      <c r="R704" s="24"/>
      <c r="S704" s="24"/>
      <c r="T704" s="24"/>
    </row>
    <row r="705" spans="1:20" x14ac:dyDescent="0.25">
      <c r="A705" s="2">
        <v>44385</v>
      </c>
      <c r="B705" s="20">
        <v>2368</v>
      </c>
      <c r="C705" s="20">
        <v>426</v>
      </c>
      <c r="D705" s="20">
        <v>15785</v>
      </c>
      <c r="E705" s="17" t="s">
        <v>92</v>
      </c>
      <c r="F705" s="17" t="s">
        <v>92</v>
      </c>
      <c r="G705" s="17" t="s">
        <v>92</v>
      </c>
      <c r="H705" s="17" t="s">
        <v>92</v>
      </c>
      <c r="I705" s="39"/>
      <c r="J705" s="42"/>
      <c r="K705" s="88"/>
      <c r="L705" s="42"/>
      <c r="M705" s="43"/>
      <c r="Q705" s="2"/>
      <c r="R705" s="24"/>
      <c r="S705" s="24"/>
      <c r="T705" s="24"/>
    </row>
    <row r="706" spans="1:20" x14ac:dyDescent="0.25">
      <c r="A706" s="2">
        <v>44384</v>
      </c>
      <c r="B706" s="20">
        <v>2402</v>
      </c>
      <c r="C706" s="20">
        <v>425</v>
      </c>
      <c r="D706" s="20">
        <v>15750</v>
      </c>
      <c r="E706" s="17" t="s">
        <v>92</v>
      </c>
      <c r="F706" s="17" t="s">
        <v>92</v>
      </c>
      <c r="G706" s="17" t="s">
        <v>92</v>
      </c>
      <c r="H706" s="17" t="s">
        <v>92</v>
      </c>
      <c r="I706" s="39"/>
      <c r="J706" s="42"/>
      <c r="K706" s="88"/>
      <c r="L706" s="42"/>
      <c r="M706" s="43"/>
      <c r="Q706" s="2"/>
      <c r="R706" s="24"/>
      <c r="S706" s="24"/>
      <c r="T706" s="24"/>
    </row>
    <row r="707" spans="1:20" x14ac:dyDescent="0.25">
      <c r="A707" s="2">
        <v>44383</v>
      </c>
      <c r="B707" s="20">
        <v>2398</v>
      </c>
      <c r="C707" s="29">
        <v>426.5</v>
      </c>
      <c r="D707" s="20">
        <v>15815</v>
      </c>
      <c r="E707" s="17" t="s">
        <v>92</v>
      </c>
      <c r="F707" s="17" t="s">
        <v>92</v>
      </c>
      <c r="G707" s="17" t="s">
        <v>92</v>
      </c>
      <c r="H707" s="17" t="s">
        <v>92</v>
      </c>
      <c r="I707" s="39"/>
      <c r="J707" s="42"/>
      <c r="K707" s="88"/>
      <c r="L707" s="42"/>
      <c r="M707" s="43"/>
      <c r="Q707" s="2"/>
      <c r="R707" s="24"/>
      <c r="S707" s="24"/>
      <c r="T707" s="24"/>
    </row>
    <row r="708" spans="1:20" x14ac:dyDescent="0.25">
      <c r="A708" s="2">
        <v>44382</v>
      </c>
      <c r="B708" s="20">
        <v>2378</v>
      </c>
      <c r="C708" s="20">
        <v>425</v>
      </c>
      <c r="D708" s="20">
        <v>15960</v>
      </c>
      <c r="E708" s="17" t="s">
        <v>92</v>
      </c>
      <c r="F708" s="17" t="s">
        <v>92</v>
      </c>
      <c r="G708" s="17" t="s">
        <v>92</v>
      </c>
      <c r="H708" s="17" t="s">
        <v>92</v>
      </c>
      <c r="I708" s="39"/>
      <c r="J708" s="42"/>
      <c r="K708" s="88"/>
      <c r="L708" s="42"/>
      <c r="M708" s="43"/>
      <c r="Q708" s="2"/>
      <c r="R708" s="24"/>
      <c r="S708" s="24"/>
      <c r="T708" s="24"/>
    </row>
    <row r="709" spans="1:20" x14ac:dyDescent="0.25">
      <c r="A709" s="2">
        <v>44379</v>
      </c>
      <c r="B709" s="20">
        <v>2380</v>
      </c>
      <c r="C709" s="20">
        <v>424</v>
      </c>
      <c r="D709" s="20">
        <v>16090</v>
      </c>
      <c r="E709" s="17" t="s">
        <v>92</v>
      </c>
      <c r="F709" s="17" t="s">
        <v>92</v>
      </c>
      <c r="G709" s="17" t="s">
        <v>92</v>
      </c>
      <c r="H709" s="17" t="s">
        <v>92</v>
      </c>
      <c r="I709" s="39"/>
      <c r="J709" s="42"/>
      <c r="K709" s="88"/>
      <c r="L709" s="42"/>
      <c r="M709" s="43"/>
      <c r="Q709" s="2"/>
      <c r="R709" s="24"/>
      <c r="S709" s="24"/>
      <c r="T709" s="24"/>
    </row>
    <row r="710" spans="1:20" x14ac:dyDescent="0.25">
      <c r="A710" s="2">
        <v>44378</v>
      </c>
      <c r="B710" s="20">
        <v>2374</v>
      </c>
      <c r="C710" s="20">
        <v>430</v>
      </c>
      <c r="D710" s="20">
        <v>16290</v>
      </c>
      <c r="E710" s="17" t="s">
        <v>92</v>
      </c>
      <c r="F710" s="17" t="s">
        <v>92</v>
      </c>
      <c r="G710" s="17" t="s">
        <v>92</v>
      </c>
      <c r="H710" s="17" t="s">
        <v>92</v>
      </c>
      <c r="I710" s="39"/>
      <c r="J710" s="42"/>
      <c r="K710" s="88"/>
      <c r="L710" s="42"/>
      <c r="M710" s="43"/>
      <c r="Q710" s="2"/>
      <c r="R710" s="24"/>
      <c r="S710" s="24"/>
      <c r="T710" s="24"/>
    </row>
    <row r="711" spans="1:20" x14ac:dyDescent="0.25">
      <c r="A711" s="2">
        <v>44377</v>
      </c>
      <c r="B711" s="20">
        <v>2358</v>
      </c>
      <c r="C711" s="20">
        <v>427</v>
      </c>
      <c r="D711" s="20">
        <v>15955</v>
      </c>
      <c r="E711" s="17" t="s">
        <v>92</v>
      </c>
      <c r="F711" s="17" t="s">
        <v>92</v>
      </c>
      <c r="G711" s="17" t="s">
        <v>92</v>
      </c>
      <c r="H711" s="17" t="s">
        <v>92</v>
      </c>
      <c r="I711" s="39"/>
      <c r="J711" s="42"/>
      <c r="K711" s="88"/>
      <c r="L711" s="42"/>
      <c r="M711" s="43"/>
      <c r="Q711" s="2"/>
      <c r="R711" s="24"/>
      <c r="S711" s="24"/>
      <c r="T711" s="24"/>
    </row>
    <row r="712" spans="1:20" x14ac:dyDescent="0.25">
      <c r="A712" s="2">
        <v>44376</v>
      </c>
      <c r="B712" s="20">
        <v>2376</v>
      </c>
      <c r="C712" s="20">
        <v>427</v>
      </c>
      <c r="D712" s="20">
        <v>16275</v>
      </c>
      <c r="E712" s="17" t="s">
        <v>92</v>
      </c>
      <c r="F712" s="17" t="s">
        <v>92</v>
      </c>
      <c r="G712" s="17" t="s">
        <v>92</v>
      </c>
      <c r="H712" s="17" t="s">
        <v>92</v>
      </c>
      <c r="I712" s="39"/>
      <c r="J712" s="42"/>
      <c r="K712" s="88"/>
      <c r="L712" s="42"/>
      <c r="M712" s="43"/>
      <c r="Q712" s="2"/>
      <c r="R712" s="24"/>
      <c r="S712" s="24"/>
      <c r="T712" s="24"/>
    </row>
    <row r="713" spans="1:20" x14ac:dyDescent="0.25">
      <c r="A713" s="2">
        <v>44375</v>
      </c>
      <c r="B713" s="20">
        <v>2400</v>
      </c>
      <c r="C713" s="20">
        <v>425</v>
      </c>
      <c r="D713" s="20">
        <v>16500</v>
      </c>
      <c r="E713" s="17" t="s">
        <v>92</v>
      </c>
      <c r="F713" s="17" t="s">
        <v>92</v>
      </c>
      <c r="G713" s="17" t="s">
        <v>92</v>
      </c>
      <c r="H713" s="17" t="s">
        <v>92</v>
      </c>
      <c r="I713" s="39"/>
      <c r="J713" s="42"/>
      <c r="K713" s="88"/>
      <c r="L713" s="42"/>
      <c r="M713" s="43"/>
      <c r="Q713" s="2"/>
      <c r="R713" s="24"/>
      <c r="S713" s="24"/>
      <c r="T713" s="24"/>
    </row>
    <row r="714" spans="1:20" x14ac:dyDescent="0.25">
      <c r="A714" s="2">
        <v>44372</v>
      </c>
      <c r="B714" s="20">
        <v>2398</v>
      </c>
      <c r="C714" s="20">
        <v>424</v>
      </c>
      <c r="D714" s="20">
        <v>16750</v>
      </c>
      <c r="E714" s="17" t="s">
        <v>92</v>
      </c>
      <c r="F714" s="17" t="s">
        <v>92</v>
      </c>
      <c r="G714" s="17" t="s">
        <v>92</v>
      </c>
      <c r="H714" s="17" t="s">
        <v>92</v>
      </c>
      <c r="I714" s="39"/>
      <c r="J714" s="42"/>
      <c r="K714" s="88"/>
      <c r="L714" s="42"/>
      <c r="M714" s="43"/>
      <c r="Q714" s="2"/>
      <c r="R714" s="24"/>
      <c r="S714" s="24"/>
      <c r="T714" s="24"/>
    </row>
    <row r="715" spans="1:20" x14ac:dyDescent="0.25">
      <c r="A715" s="2">
        <v>44371</v>
      </c>
      <c r="B715" s="20">
        <v>2400</v>
      </c>
      <c r="C715" s="20">
        <v>424</v>
      </c>
      <c r="D715" s="20">
        <v>16670</v>
      </c>
      <c r="E715" s="17" t="s">
        <v>92</v>
      </c>
      <c r="F715" s="17" t="s">
        <v>92</v>
      </c>
      <c r="G715" s="17" t="s">
        <v>92</v>
      </c>
      <c r="H715" s="17" t="s">
        <v>92</v>
      </c>
      <c r="I715" s="39"/>
      <c r="J715" s="42"/>
      <c r="K715" s="88"/>
      <c r="L715" s="42"/>
      <c r="M715" s="43"/>
      <c r="Q715" s="2"/>
      <c r="R715" s="24"/>
      <c r="S715" s="24"/>
      <c r="T715" s="24"/>
    </row>
    <row r="716" spans="1:20" x14ac:dyDescent="0.25">
      <c r="A716" s="2">
        <v>44370</v>
      </c>
      <c r="B716" s="20">
        <v>2404</v>
      </c>
      <c r="C716" s="20">
        <v>425</v>
      </c>
      <c r="D716" s="20">
        <v>16580</v>
      </c>
      <c r="E716" s="17" t="s">
        <v>92</v>
      </c>
      <c r="F716" s="17" t="s">
        <v>92</v>
      </c>
      <c r="G716" s="17" t="s">
        <v>92</v>
      </c>
      <c r="H716" s="17" t="s">
        <v>92</v>
      </c>
      <c r="I716" s="39"/>
      <c r="J716" s="42"/>
      <c r="K716" s="88"/>
      <c r="L716" s="42"/>
      <c r="M716" s="43"/>
      <c r="Q716" s="2"/>
      <c r="R716" s="24"/>
      <c r="S716" s="24"/>
      <c r="T716" s="24"/>
    </row>
    <row r="717" spans="1:20" x14ac:dyDescent="0.25">
      <c r="A717" s="2">
        <v>44369</v>
      </c>
      <c r="B717" s="20">
        <v>2378</v>
      </c>
      <c r="C717" s="20">
        <v>425</v>
      </c>
      <c r="D717" s="20">
        <v>16315</v>
      </c>
      <c r="E717" s="17" t="s">
        <v>92</v>
      </c>
      <c r="F717" s="17" t="s">
        <v>92</v>
      </c>
      <c r="G717" s="17" t="s">
        <v>92</v>
      </c>
      <c r="H717" s="17" t="s">
        <v>92</v>
      </c>
      <c r="I717" s="39"/>
      <c r="J717" s="42"/>
      <c r="K717" s="88"/>
      <c r="L717" s="42"/>
      <c r="M717" s="43"/>
      <c r="Q717" s="2"/>
      <c r="R717" s="24"/>
      <c r="S717" s="24"/>
      <c r="T717" s="24"/>
    </row>
    <row r="718" spans="1:20" x14ac:dyDescent="0.25">
      <c r="A718" s="2">
        <v>44368</v>
      </c>
      <c r="B718" s="20">
        <v>2340</v>
      </c>
      <c r="C718" s="29">
        <v>424.5</v>
      </c>
      <c r="D718" s="20">
        <v>16500</v>
      </c>
      <c r="E718" s="17" t="s">
        <v>92</v>
      </c>
      <c r="F718" s="17" t="s">
        <v>92</v>
      </c>
      <c r="G718" s="17" t="s">
        <v>92</v>
      </c>
      <c r="H718" s="17" t="s">
        <v>92</v>
      </c>
      <c r="I718" s="39"/>
      <c r="J718" s="42"/>
      <c r="K718" s="88"/>
      <c r="L718" s="42"/>
      <c r="M718" s="43"/>
      <c r="Q718" s="2"/>
      <c r="R718" s="24"/>
      <c r="S718" s="24"/>
      <c r="T718" s="24"/>
    </row>
    <row r="719" spans="1:20" x14ac:dyDescent="0.25">
      <c r="A719" s="2">
        <v>44365</v>
      </c>
      <c r="B719" s="20">
        <v>2320</v>
      </c>
      <c r="C719" s="20">
        <v>422</v>
      </c>
      <c r="D719" s="20">
        <v>16385</v>
      </c>
      <c r="E719" s="17" t="s">
        <v>92</v>
      </c>
      <c r="F719" s="17" t="s">
        <v>92</v>
      </c>
      <c r="G719" s="17" t="s">
        <v>92</v>
      </c>
      <c r="H719" s="17" t="s">
        <v>92</v>
      </c>
      <c r="I719" s="39"/>
      <c r="J719" s="42"/>
      <c r="K719" s="88"/>
      <c r="L719" s="42"/>
      <c r="M719" s="43"/>
      <c r="Q719" s="2"/>
      <c r="R719" s="24"/>
      <c r="S719" s="24"/>
      <c r="T719" s="24"/>
    </row>
    <row r="720" spans="1:20" x14ac:dyDescent="0.25">
      <c r="A720" s="2">
        <v>44364</v>
      </c>
      <c r="B720" s="20">
        <v>2394</v>
      </c>
      <c r="C720" s="20">
        <v>419</v>
      </c>
      <c r="D720" s="20">
        <v>16765</v>
      </c>
      <c r="E720" s="17" t="s">
        <v>92</v>
      </c>
      <c r="F720" s="17" t="s">
        <v>92</v>
      </c>
      <c r="G720" s="17" t="s">
        <v>92</v>
      </c>
      <c r="H720" s="17" t="s">
        <v>92</v>
      </c>
      <c r="I720" s="39"/>
      <c r="J720" s="42"/>
      <c r="K720" s="88"/>
      <c r="L720" s="42"/>
      <c r="M720" s="43"/>
      <c r="Q720" s="2"/>
      <c r="R720" s="24"/>
      <c r="S720" s="24"/>
      <c r="T720" s="24"/>
    </row>
    <row r="721" spans="1:20" x14ac:dyDescent="0.25">
      <c r="A721" s="2">
        <v>44363</v>
      </c>
      <c r="B721" s="20">
        <v>2414</v>
      </c>
      <c r="C721" s="20">
        <v>420</v>
      </c>
      <c r="D721" s="20">
        <v>16500</v>
      </c>
      <c r="E721" s="17" t="s">
        <v>92</v>
      </c>
      <c r="F721" s="17" t="s">
        <v>92</v>
      </c>
      <c r="G721" s="17" t="s">
        <v>92</v>
      </c>
      <c r="H721" s="17" t="s">
        <v>92</v>
      </c>
      <c r="I721" s="39"/>
      <c r="J721" s="42"/>
      <c r="K721" s="88"/>
      <c r="L721" s="42"/>
      <c r="M721" s="43"/>
      <c r="Q721" s="2"/>
      <c r="R721" s="24"/>
      <c r="S721" s="24"/>
      <c r="T721" s="24"/>
    </row>
    <row r="722" spans="1:20" x14ac:dyDescent="0.25">
      <c r="A722" s="2">
        <v>44362</v>
      </c>
      <c r="B722" s="20">
        <v>2444</v>
      </c>
      <c r="C722" s="20">
        <v>424</v>
      </c>
      <c r="D722" s="20">
        <v>16800</v>
      </c>
      <c r="E722" s="17" t="s">
        <v>92</v>
      </c>
      <c r="F722" s="17" t="s">
        <v>92</v>
      </c>
      <c r="G722" s="17" t="s">
        <v>92</v>
      </c>
      <c r="H722" s="17" t="s">
        <v>92</v>
      </c>
      <c r="I722" s="39"/>
      <c r="J722" s="42"/>
      <c r="K722" s="88"/>
      <c r="L722" s="42"/>
      <c r="M722" s="43"/>
      <c r="Q722" s="2"/>
      <c r="R722" s="24"/>
      <c r="S722" s="24"/>
      <c r="T722" s="24"/>
    </row>
    <row r="723" spans="1:20" x14ac:dyDescent="0.25">
      <c r="A723" s="2">
        <v>44361</v>
      </c>
      <c r="B723" s="20">
        <v>2426</v>
      </c>
      <c r="C723" s="20">
        <v>424</v>
      </c>
      <c r="D723" s="20">
        <v>16630</v>
      </c>
      <c r="E723" s="17" t="s">
        <v>92</v>
      </c>
      <c r="F723" s="17" t="s">
        <v>92</v>
      </c>
      <c r="G723" s="17" t="s">
        <v>92</v>
      </c>
      <c r="H723" s="17" t="s">
        <v>92</v>
      </c>
      <c r="I723" s="39"/>
      <c r="J723" s="42"/>
      <c r="K723" s="88"/>
      <c r="L723" s="42"/>
      <c r="M723" s="43"/>
      <c r="Q723" s="2"/>
      <c r="R723" s="24"/>
      <c r="S723" s="24"/>
      <c r="T723" s="24"/>
    </row>
    <row r="724" spans="1:20" x14ac:dyDescent="0.25">
      <c r="A724" s="2">
        <v>44358</v>
      </c>
      <c r="B724" s="20">
        <v>2438</v>
      </c>
      <c r="C724" s="29">
        <v>422.5</v>
      </c>
      <c r="D724" s="20">
        <v>16560</v>
      </c>
      <c r="E724" s="17" t="s">
        <v>92</v>
      </c>
      <c r="F724" s="17" t="s">
        <v>92</v>
      </c>
      <c r="G724" s="17" t="s">
        <v>92</v>
      </c>
      <c r="H724" s="17" t="s">
        <v>92</v>
      </c>
      <c r="I724" s="39"/>
      <c r="J724" s="42"/>
      <c r="K724" s="88"/>
      <c r="L724" s="42"/>
      <c r="M724" s="43"/>
      <c r="Q724" s="2"/>
      <c r="R724" s="24"/>
      <c r="S724" s="24"/>
      <c r="T724" s="24"/>
    </row>
    <row r="725" spans="1:20" x14ac:dyDescent="0.25">
      <c r="A725" s="2">
        <v>44357</v>
      </c>
      <c r="B725" s="20">
        <v>2388</v>
      </c>
      <c r="C725" s="20">
        <v>423</v>
      </c>
      <c r="D725" s="20">
        <v>16680</v>
      </c>
      <c r="E725" s="17" t="s">
        <v>92</v>
      </c>
      <c r="F725" s="17" t="s">
        <v>92</v>
      </c>
      <c r="G725" s="17" t="s">
        <v>92</v>
      </c>
      <c r="H725" s="17" t="s">
        <v>92</v>
      </c>
      <c r="I725" s="39"/>
      <c r="J725" s="42"/>
      <c r="K725" s="88"/>
      <c r="L725" s="42"/>
      <c r="M725" s="43"/>
      <c r="Q725" s="2"/>
      <c r="R725" s="24"/>
      <c r="S725" s="24"/>
      <c r="T725" s="24"/>
    </row>
    <row r="726" spans="1:20" x14ac:dyDescent="0.25">
      <c r="A726" s="2">
        <v>44356</v>
      </c>
      <c r="B726" s="20">
        <v>2392</v>
      </c>
      <c r="C726" s="20">
        <v>413</v>
      </c>
      <c r="D726" s="20">
        <v>16705</v>
      </c>
      <c r="E726" s="17" t="s">
        <v>92</v>
      </c>
      <c r="F726" s="17" t="s">
        <v>92</v>
      </c>
      <c r="G726" s="17" t="s">
        <v>92</v>
      </c>
      <c r="H726" s="17" t="s">
        <v>92</v>
      </c>
      <c r="I726" s="39"/>
      <c r="J726" s="42"/>
      <c r="K726" s="88"/>
      <c r="L726" s="42"/>
      <c r="M726" s="43"/>
      <c r="Q726" s="2"/>
      <c r="R726" s="24"/>
      <c r="S726" s="24"/>
      <c r="T726" s="24"/>
    </row>
    <row r="727" spans="1:20" x14ac:dyDescent="0.25">
      <c r="A727" s="2">
        <v>44355</v>
      </c>
      <c r="B727" s="20">
        <v>2388</v>
      </c>
      <c r="C727" s="20">
        <v>407</v>
      </c>
      <c r="D727" s="20">
        <v>16955</v>
      </c>
      <c r="E727" s="17" t="s">
        <v>92</v>
      </c>
      <c r="F727" s="17" t="s">
        <v>92</v>
      </c>
      <c r="G727" s="17" t="s">
        <v>92</v>
      </c>
      <c r="H727" s="17" t="s">
        <v>92</v>
      </c>
      <c r="I727" s="39"/>
      <c r="J727" s="42"/>
      <c r="K727" s="88"/>
      <c r="L727" s="42"/>
      <c r="M727" s="43"/>
      <c r="Q727" s="2"/>
      <c r="R727" s="24"/>
      <c r="S727" s="24"/>
      <c r="T727" s="24"/>
    </row>
    <row r="728" spans="1:20" x14ac:dyDescent="0.25">
      <c r="A728" s="2">
        <v>44354</v>
      </c>
      <c r="B728" s="20">
        <v>2390</v>
      </c>
      <c r="C728" s="20">
        <v>408</v>
      </c>
      <c r="D728" s="20">
        <v>16605</v>
      </c>
      <c r="E728" s="17" t="s">
        <v>92</v>
      </c>
      <c r="F728" s="17" t="s">
        <v>92</v>
      </c>
      <c r="G728" s="17" t="s">
        <v>92</v>
      </c>
      <c r="H728" s="17" t="s">
        <v>92</v>
      </c>
      <c r="I728" s="39"/>
      <c r="J728" s="42"/>
      <c r="K728" s="88"/>
      <c r="L728" s="42"/>
      <c r="M728" s="43"/>
      <c r="Q728" s="2"/>
      <c r="R728" s="24"/>
      <c r="S728" s="24"/>
      <c r="T728" s="24"/>
    </row>
    <row r="729" spans="1:20" x14ac:dyDescent="0.25">
      <c r="A729" s="2">
        <v>44351</v>
      </c>
      <c r="B729" s="20">
        <v>2420</v>
      </c>
      <c r="C729" s="20">
        <v>406</v>
      </c>
      <c r="D729" s="20">
        <v>16290</v>
      </c>
      <c r="E729" s="17" t="s">
        <v>92</v>
      </c>
      <c r="F729" s="17" t="s">
        <v>92</v>
      </c>
      <c r="G729" s="17" t="s">
        <v>92</v>
      </c>
      <c r="H729" s="17" t="s">
        <v>92</v>
      </c>
      <c r="I729" s="39"/>
      <c r="J729" s="42"/>
      <c r="K729" s="88"/>
      <c r="L729" s="42"/>
      <c r="M729" s="43"/>
      <c r="Q729" s="2"/>
      <c r="R729" s="24"/>
      <c r="S729" s="24"/>
      <c r="T729" s="24"/>
    </row>
    <row r="730" spans="1:20" x14ac:dyDescent="0.25">
      <c r="A730" s="2">
        <v>44350</v>
      </c>
      <c r="B730" s="20">
        <v>2394</v>
      </c>
      <c r="C730" s="20">
        <v>406</v>
      </c>
      <c r="D730" s="20">
        <v>16025</v>
      </c>
      <c r="E730" s="17" t="s">
        <v>92</v>
      </c>
      <c r="F730" s="17" t="s">
        <v>92</v>
      </c>
      <c r="G730" s="17" t="s">
        <v>92</v>
      </c>
      <c r="H730" s="17" t="s">
        <v>92</v>
      </c>
      <c r="I730" s="39"/>
      <c r="J730" s="42"/>
      <c r="K730" s="88"/>
      <c r="L730" s="42"/>
      <c r="M730" s="43"/>
      <c r="Q730" s="2"/>
      <c r="R730" s="24"/>
      <c r="S730" s="24"/>
      <c r="T730" s="24"/>
    </row>
    <row r="731" spans="1:20" x14ac:dyDescent="0.25">
      <c r="A731" s="2">
        <v>44349</v>
      </c>
      <c r="B731" s="20">
        <v>2380</v>
      </c>
      <c r="C731" s="29">
        <v>405.5</v>
      </c>
      <c r="D731" s="20">
        <v>15720</v>
      </c>
      <c r="E731" s="17" t="s">
        <v>92</v>
      </c>
      <c r="F731" s="17" t="s">
        <v>92</v>
      </c>
      <c r="G731" s="17" t="s">
        <v>92</v>
      </c>
      <c r="H731" s="17" t="s">
        <v>92</v>
      </c>
      <c r="I731" s="39"/>
      <c r="J731" s="42"/>
      <c r="K731" s="88"/>
      <c r="L731" s="42"/>
      <c r="M731" s="43"/>
      <c r="Q731" s="2"/>
      <c r="R731" s="24"/>
      <c r="S731" s="24"/>
      <c r="T731" s="24"/>
    </row>
    <row r="732" spans="1:20" x14ac:dyDescent="0.25">
      <c r="A732" s="2">
        <v>44348</v>
      </c>
      <c r="B732" s="20">
        <v>2330</v>
      </c>
      <c r="C732" s="20">
        <v>402</v>
      </c>
      <c r="D732" s="20">
        <v>15865</v>
      </c>
      <c r="E732" s="17" t="s">
        <v>92</v>
      </c>
      <c r="F732" s="17" t="s">
        <v>92</v>
      </c>
      <c r="G732" s="17" t="s">
        <v>92</v>
      </c>
      <c r="H732" s="17" t="s">
        <v>92</v>
      </c>
      <c r="I732" s="39"/>
      <c r="J732" s="42"/>
      <c r="K732" s="88"/>
      <c r="L732" s="42"/>
      <c r="M732" s="43"/>
      <c r="Q732" s="2"/>
      <c r="R732" s="24"/>
      <c r="S732" s="24"/>
      <c r="T732" s="24"/>
    </row>
    <row r="733" spans="1:20" x14ac:dyDescent="0.25">
      <c r="A733" s="2">
        <v>44347</v>
      </c>
      <c r="B733" s="20">
        <v>2310</v>
      </c>
      <c r="C733" s="20">
        <v>403</v>
      </c>
      <c r="D733" s="20">
        <v>15615</v>
      </c>
      <c r="E733" s="17" t="s">
        <v>92</v>
      </c>
      <c r="F733" s="17" t="s">
        <v>92</v>
      </c>
      <c r="G733" s="17" t="s">
        <v>92</v>
      </c>
      <c r="H733" s="17" t="s">
        <v>92</v>
      </c>
      <c r="I733" s="39"/>
      <c r="J733" s="42"/>
      <c r="K733" s="88"/>
      <c r="L733" s="42"/>
      <c r="M733" s="43"/>
      <c r="Q733" s="2"/>
      <c r="R733" s="24"/>
      <c r="S733" s="24"/>
      <c r="T733" s="24"/>
    </row>
    <row r="734" spans="1:20" x14ac:dyDescent="0.25">
      <c r="A734" s="2">
        <v>44344</v>
      </c>
      <c r="B734" s="20">
        <v>2294</v>
      </c>
      <c r="C734" s="20">
        <v>407</v>
      </c>
      <c r="D734" s="20">
        <v>15690</v>
      </c>
      <c r="E734" s="17" t="s">
        <v>92</v>
      </c>
      <c r="F734" s="17" t="s">
        <v>92</v>
      </c>
      <c r="G734" s="17" t="s">
        <v>92</v>
      </c>
      <c r="H734" s="17" t="s">
        <v>92</v>
      </c>
      <c r="I734" s="39"/>
      <c r="J734" s="42"/>
      <c r="K734" s="88"/>
      <c r="L734" s="42"/>
      <c r="M734" s="43"/>
      <c r="Q734" s="2"/>
      <c r="R734" s="24"/>
      <c r="S734" s="24"/>
      <c r="T734" s="24"/>
    </row>
    <row r="735" spans="1:20" x14ac:dyDescent="0.25">
      <c r="A735" s="2">
        <v>44343</v>
      </c>
      <c r="B735" s="20">
        <v>2264</v>
      </c>
      <c r="C735" s="20">
        <v>404</v>
      </c>
      <c r="D735" s="20">
        <v>15520</v>
      </c>
      <c r="E735" s="17" t="s">
        <v>92</v>
      </c>
      <c r="F735" s="17" t="s">
        <v>92</v>
      </c>
      <c r="G735" s="17" t="s">
        <v>92</v>
      </c>
      <c r="H735" s="17" t="s">
        <v>92</v>
      </c>
      <c r="I735" s="39"/>
      <c r="J735" s="42"/>
      <c r="K735" s="88"/>
      <c r="L735" s="42"/>
      <c r="M735" s="43"/>
      <c r="Q735" s="2"/>
      <c r="R735" s="24"/>
      <c r="S735" s="24"/>
      <c r="T735" s="24"/>
    </row>
    <row r="736" spans="1:20" x14ac:dyDescent="0.25">
      <c r="A736" s="2">
        <v>44342</v>
      </c>
      <c r="B736" s="20">
        <v>2270</v>
      </c>
      <c r="C736" s="20">
        <v>405</v>
      </c>
      <c r="D736" s="20">
        <v>15735</v>
      </c>
      <c r="E736" s="17" t="s">
        <v>92</v>
      </c>
      <c r="F736" s="17" t="s">
        <v>92</v>
      </c>
      <c r="G736" s="17" t="s">
        <v>92</v>
      </c>
      <c r="H736" s="17" t="s">
        <v>92</v>
      </c>
      <c r="I736" s="39"/>
      <c r="J736" s="42"/>
      <c r="K736" s="88"/>
      <c r="L736" s="42"/>
      <c r="M736" s="43"/>
      <c r="Q736" s="2"/>
      <c r="R736" s="24"/>
      <c r="S736" s="24"/>
      <c r="T736" s="24"/>
    </row>
    <row r="737" spans="1:20" x14ac:dyDescent="0.25">
      <c r="A737" s="2">
        <v>44341</v>
      </c>
      <c r="B737" s="20">
        <v>2254</v>
      </c>
      <c r="C737" s="20">
        <v>402</v>
      </c>
      <c r="D737" s="20">
        <v>15475</v>
      </c>
      <c r="E737" s="17" t="s">
        <v>92</v>
      </c>
      <c r="F737" s="17" t="s">
        <v>92</v>
      </c>
      <c r="G737" s="17" t="s">
        <v>92</v>
      </c>
      <c r="H737" s="17" t="s">
        <v>92</v>
      </c>
      <c r="I737" s="39"/>
      <c r="J737" s="42"/>
      <c r="K737" s="88"/>
      <c r="L737" s="42"/>
      <c r="M737" s="43"/>
      <c r="Q737" s="2"/>
      <c r="R737" s="24"/>
      <c r="S737" s="24"/>
      <c r="T737" s="24"/>
    </row>
    <row r="738" spans="1:20" x14ac:dyDescent="0.25">
      <c r="A738" s="2">
        <v>44337</v>
      </c>
      <c r="B738" s="20">
        <v>2274</v>
      </c>
      <c r="C738" s="20">
        <v>401</v>
      </c>
      <c r="D738" s="20">
        <v>15610</v>
      </c>
      <c r="E738" s="17" t="s">
        <v>92</v>
      </c>
      <c r="F738" s="17" t="s">
        <v>92</v>
      </c>
      <c r="G738" s="17" t="s">
        <v>92</v>
      </c>
      <c r="H738" s="17" t="s">
        <v>92</v>
      </c>
      <c r="I738" s="39"/>
      <c r="J738" s="42"/>
      <c r="K738" s="88"/>
      <c r="L738" s="42"/>
      <c r="M738" s="43"/>
      <c r="Q738" s="2"/>
      <c r="R738" s="24"/>
      <c r="S738" s="24"/>
      <c r="T738" s="24"/>
    </row>
    <row r="739" spans="1:20" x14ac:dyDescent="0.25">
      <c r="A739" s="2">
        <v>44336</v>
      </c>
      <c r="B739" s="20">
        <v>2286</v>
      </c>
      <c r="C739" s="20">
        <v>407</v>
      </c>
      <c r="D739" s="20">
        <v>15490</v>
      </c>
      <c r="E739" s="17" t="s">
        <v>92</v>
      </c>
      <c r="F739" s="17" t="s">
        <v>92</v>
      </c>
      <c r="G739" s="17" t="s">
        <v>92</v>
      </c>
      <c r="H739" s="17" t="s">
        <v>92</v>
      </c>
      <c r="I739" s="39"/>
      <c r="J739" s="42"/>
      <c r="K739" s="88"/>
      <c r="L739" s="42"/>
      <c r="M739" s="43"/>
      <c r="Q739" s="2"/>
      <c r="R739" s="24"/>
      <c r="S739" s="24"/>
      <c r="T739" s="24"/>
    </row>
    <row r="740" spans="1:20" x14ac:dyDescent="0.25">
      <c r="A740" s="2">
        <v>44335</v>
      </c>
      <c r="B740" s="20">
        <v>2250</v>
      </c>
      <c r="C740" s="20">
        <v>415</v>
      </c>
      <c r="D740" s="20">
        <v>14805</v>
      </c>
      <c r="E740" s="17" t="s">
        <v>92</v>
      </c>
      <c r="F740" s="17" t="s">
        <v>92</v>
      </c>
      <c r="G740" s="17" t="s">
        <v>92</v>
      </c>
      <c r="H740" s="17" t="s">
        <v>92</v>
      </c>
      <c r="I740" s="39"/>
      <c r="J740" s="42"/>
      <c r="K740" s="88"/>
      <c r="L740" s="42"/>
      <c r="M740" s="43"/>
      <c r="Q740" s="2"/>
      <c r="R740" s="24"/>
      <c r="S740" s="24"/>
      <c r="T740" s="24"/>
    </row>
    <row r="741" spans="1:20" x14ac:dyDescent="0.25">
      <c r="A741" s="2">
        <v>44334</v>
      </c>
      <c r="B741" s="20">
        <v>2278</v>
      </c>
      <c r="C741" s="29">
        <v>412.5</v>
      </c>
      <c r="D741" s="20">
        <v>15065</v>
      </c>
      <c r="E741" s="17" t="s">
        <v>92</v>
      </c>
      <c r="F741" s="17" t="s">
        <v>92</v>
      </c>
      <c r="G741" s="17" t="s">
        <v>92</v>
      </c>
      <c r="H741" s="17" t="s">
        <v>92</v>
      </c>
      <c r="I741" s="39"/>
      <c r="J741" s="42"/>
      <c r="K741" s="88"/>
      <c r="L741" s="42"/>
      <c r="M741" s="43"/>
      <c r="Q741" s="2"/>
      <c r="R741" s="24"/>
      <c r="S741" s="24"/>
      <c r="T741" s="24"/>
    </row>
    <row r="742" spans="1:20" x14ac:dyDescent="0.25">
      <c r="A742" s="2">
        <v>44333</v>
      </c>
      <c r="B742" s="20">
        <v>2278</v>
      </c>
      <c r="C742" s="20">
        <v>412</v>
      </c>
      <c r="D742" s="20">
        <v>15045</v>
      </c>
      <c r="E742" s="17" t="s">
        <v>92</v>
      </c>
      <c r="F742" s="17" t="s">
        <v>92</v>
      </c>
      <c r="G742" s="17" t="s">
        <v>92</v>
      </c>
      <c r="H742" s="17" t="s">
        <v>92</v>
      </c>
      <c r="I742" s="39"/>
      <c r="J742" s="42"/>
      <c r="K742" s="88"/>
      <c r="L742" s="42"/>
      <c r="M742" s="43"/>
      <c r="Q742" s="2"/>
      <c r="R742" s="24"/>
      <c r="S742" s="24"/>
      <c r="T742" s="24"/>
    </row>
    <row r="743" spans="1:20" x14ac:dyDescent="0.25">
      <c r="A743" s="2">
        <v>44330</v>
      </c>
      <c r="B743" s="20">
        <v>2284</v>
      </c>
      <c r="C743" s="20">
        <v>413</v>
      </c>
      <c r="D743" s="20">
        <v>14600</v>
      </c>
      <c r="E743" s="17" t="s">
        <v>92</v>
      </c>
      <c r="F743" s="17" t="s">
        <v>92</v>
      </c>
      <c r="G743" s="17" t="s">
        <v>92</v>
      </c>
      <c r="H743" s="17" t="s">
        <v>92</v>
      </c>
      <c r="I743" s="39"/>
      <c r="J743" s="42"/>
      <c r="K743" s="88"/>
      <c r="L743" s="42"/>
      <c r="M743" s="43"/>
      <c r="Q743" s="2"/>
      <c r="R743" s="24"/>
      <c r="S743" s="24"/>
      <c r="T743" s="24"/>
    </row>
    <row r="744" spans="1:20" x14ac:dyDescent="0.25">
      <c r="A744" s="2">
        <v>44329</v>
      </c>
      <c r="B744" s="20">
        <v>2260</v>
      </c>
      <c r="C744" s="29">
        <v>414.5</v>
      </c>
      <c r="D744" s="20">
        <v>14400</v>
      </c>
      <c r="E744" s="17" t="s">
        <v>92</v>
      </c>
      <c r="F744" s="17" t="s">
        <v>92</v>
      </c>
      <c r="G744" s="17" t="s">
        <v>92</v>
      </c>
      <c r="H744" s="17" t="s">
        <v>92</v>
      </c>
      <c r="I744" s="39"/>
      <c r="J744" s="42"/>
      <c r="K744" s="88"/>
      <c r="L744" s="42"/>
      <c r="M744" s="43"/>
      <c r="Q744" s="2"/>
      <c r="R744" s="24"/>
      <c r="S744" s="24"/>
      <c r="T744" s="24"/>
    </row>
    <row r="745" spans="1:20" x14ac:dyDescent="0.25">
      <c r="A745" s="2">
        <v>44328</v>
      </c>
      <c r="B745" s="20">
        <v>2200</v>
      </c>
      <c r="C745" s="20">
        <v>411</v>
      </c>
      <c r="D745" s="20">
        <v>13980</v>
      </c>
      <c r="E745" s="17" t="s">
        <v>92</v>
      </c>
      <c r="F745" s="17" t="s">
        <v>92</v>
      </c>
      <c r="G745" s="17" t="s">
        <v>92</v>
      </c>
      <c r="H745" s="17" t="s">
        <v>92</v>
      </c>
      <c r="I745" s="39"/>
      <c r="J745" s="42"/>
      <c r="K745" s="88"/>
      <c r="L745" s="42"/>
      <c r="M745" s="43"/>
      <c r="Q745" s="2"/>
      <c r="R745" s="24"/>
      <c r="S745" s="24"/>
      <c r="T745" s="24"/>
    </row>
    <row r="746" spans="1:20" x14ac:dyDescent="0.25">
      <c r="A746" s="2">
        <v>44327</v>
      </c>
      <c r="B746" s="20">
        <v>2208</v>
      </c>
      <c r="C746" s="20">
        <v>418</v>
      </c>
      <c r="D746" s="20">
        <v>14130</v>
      </c>
      <c r="E746" s="17" t="s">
        <v>92</v>
      </c>
      <c r="F746" s="17" t="s">
        <v>92</v>
      </c>
      <c r="G746" s="17" t="s">
        <v>92</v>
      </c>
      <c r="H746" s="17" t="s">
        <v>92</v>
      </c>
      <c r="I746" s="39"/>
      <c r="J746" s="42"/>
      <c r="K746" s="88"/>
      <c r="L746" s="42"/>
      <c r="M746" s="43"/>
      <c r="Q746" s="2"/>
      <c r="R746" s="24"/>
      <c r="S746" s="24"/>
      <c r="T746" s="24"/>
    </row>
    <row r="747" spans="1:20" x14ac:dyDescent="0.25">
      <c r="A747" s="2">
        <v>44326</v>
      </c>
      <c r="B747" s="20">
        <v>2244</v>
      </c>
      <c r="C747" s="20">
        <v>418</v>
      </c>
      <c r="D747" s="20">
        <v>13925</v>
      </c>
      <c r="E747" s="17" t="s">
        <v>92</v>
      </c>
      <c r="F747" s="17" t="s">
        <v>92</v>
      </c>
      <c r="G747" s="17" t="s">
        <v>92</v>
      </c>
      <c r="H747" s="17" t="s">
        <v>92</v>
      </c>
      <c r="I747" s="39"/>
      <c r="J747" s="42"/>
      <c r="K747" s="88"/>
      <c r="L747" s="42"/>
      <c r="M747" s="43"/>
      <c r="Q747" s="2"/>
      <c r="R747" s="24"/>
      <c r="S747" s="24"/>
      <c r="T747" s="24"/>
    </row>
    <row r="748" spans="1:20" x14ac:dyDescent="0.25">
      <c r="A748" s="2">
        <v>44323</v>
      </c>
      <c r="B748" s="20">
        <v>2198</v>
      </c>
      <c r="C748" s="20">
        <v>409</v>
      </c>
      <c r="D748" s="20">
        <v>13875</v>
      </c>
      <c r="E748" s="17" t="s">
        <v>92</v>
      </c>
      <c r="F748" s="17" t="s">
        <v>92</v>
      </c>
      <c r="G748" s="17" t="s">
        <v>92</v>
      </c>
      <c r="H748" s="17" t="s">
        <v>92</v>
      </c>
      <c r="I748" s="39"/>
      <c r="J748" s="42"/>
      <c r="K748" s="88"/>
      <c r="L748" s="42"/>
      <c r="M748" s="43"/>
      <c r="Q748" s="2"/>
      <c r="R748" s="24"/>
      <c r="S748" s="24"/>
      <c r="T748" s="24"/>
    </row>
    <row r="749" spans="1:20" x14ac:dyDescent="0.25">
      <c r="A749" s="2">
        <v>44322</v>
      </c>
      <c r="B749" s="20">
        <v>2154</v>
      </c>
      <c r="C749" s="87">
        <v>410.5</v>
      </c>
      <c r="D749" s="20">
        <v>14230</v>
      </c>
      <c r="E749" s="17" t="s">
        <v>92</v>
      </c>
      <c r="F749" s="17" t="s">
        <v>92</v>
      </c>
      <c r="G749" s="17" t="s">
        <v>92</v>
      </c>
      <c r="H749" s="17" t="s">
        <v>92</v>
      </c>
      <c r="I749" s="39"/>
      <c r="J749" s="42"/>
      <c r="K749" s="88"/>
      <c r="L749" s="42"/>
      <c r="M749" s="43"/>
      <c r="Q749" s="2"/>
      <c r="R749" s="24"/>
      <c r="S749" s="24"/>
      <c r="T749" s="24"/>
    </row>
    <row r="750" spans="1:20" x14ac:dyDescent="0.25">
      <c r="A750" s="2">
        <v>44321</v>
      </c>
      <c r="B750" s="20">
        <v>2160</v>
      </c>
      <c r="C750" s="20">
        <v>410</v>
      </c>
      <c r="D750" s="20">
        <v>14115</v>
      </c>
      <c r="E750" s="17" t="s">
        <v>92</v>
      </c>
      <c r="F750" s="17" t="s">
        <v>92</v>
      </c>
      <c r="G750" s="17" t="s">
        <v>92</v>
      </c>
      <c r="H750" s="17" t="s">
        <v>92</v>
      </c>
      <c r="I750" s="39"/>
      <c r="J750" s="42"/>
      <c r="K750" s="88"/>
      <c r="L750" s="42"/>
      <c r="M750" s="43"/>
      <c r="Q750" s="2"/>
    </row>
    <row r="751" spans="1:20" x14ac:dyDescent="0.25">
      <c r="A751" s="2">
        <v>44320</v>
      </c>
      <c r="B751" s="20">
        <v>2140</v>
      </c>
      <c r="C751" s="20">
        <v>411</v>
      </c>
      <c r="D751" s="20">
        <v>13880</v>
      </c>
      <c r="E751" s="17" t="s">
        <v>92</v>
      </c>
      <c r="F751" s="17" t="s">
        <v>92</v>
      </c>
      <c r="G751" s="17" t="s">
        <v>92</v>
      </c>
      <c r="H751" s="17" t="s">
        <v>92</v>
      </c>
      <c r="I751" s="39"/>
      <c r="J751" s="42"/>
      <c r="K751" s="88"/>
      <c r="L751" s="42"/>
      <c r="M751" s="43"/>
      <c r="Q751" s="2"/>
    </row>
    <row r="752" spans="1:20" x14ac:dyDescent="0.25">
      <c r="A752" s="2">
        <v>44319</v>
      </c>
      <c r="B752" s="20">
        <v>2066</v>
      </c>
      <c r="C752" s="20">
        <v>415</v>
      </c>
      <c r="D752" s="20">
        <v>13505</v>
      </c>
      <c r="E752" s="17" t="s">
        <v>92</v>
      </c>
      <c r="F752" s="17" t="s">
        <v>92</v>
      </c>
      <c r="G752" s="17" t="s">
        <v>92</v>
      </c>
      <c r="H752" s="17" t="s">
        <v>92</v>
      </c>
      <c r="I752" s="39"/>
      <c r="J752" s="42"/>
      <c r="K752" s="88"/>
      <c r="L752" s="42"/>
      <c r="M752" s="43"/>
      <c r="Q752" s="2"/>
    </row>
    <row r="753" spans="1:17" x14ac:dyDescent="0.25">
      <c r="A753" s="2">
        <v>44316</v>
      </c>
      <c r="B753" s="20">
        <v>2070</v>
      </c>
      <c r="C753" s="20">
        <v>415</v>
      </c>
      <c r="D753" s="20">
        <v>13470</v>
      </c>
      <c r="E753" s="17" t="s">
        <v>92</v>
      </c>
      <c r="F753" s="17" t="s">
        <v>92</v>
      </c>
      <c r="G753" s="17" t="s">
        <v>92</v>
      </c>
      <c r="H753" s="17" t="s">
        <v>92</v>
      </c>
      <c r="I753" s="39"/>
      <c r="J753" s="42"/>
      <c r="K753" s="88"/>
      <c r="L753" s="42"/>
      <c r="M753" s="43"/>
      <c r="Q753" s="2"/>
    </row>
    <row r="754" spans="1:17" x14ac:dyDescent="0.25">
      <c r="A754" s="2">
        <v>44315</v>
      </c>
      <c r="B754" s="20">
        <v>2112</v>
      </c>
      <c r="C754" s="20">
        <v>416</v>
      </c>
      <c r="D754" s="20">
        <v>13510</v>
      </c>
      <c r="E754" s="17" t="s">
        <v>92</v>
      </c>
      <c r="F754" s="17" t="s">
        <v>92</v>
      </c>
      <c r="G754" s="17" t="s">
        <v>92</v>
      </c>
      <c r="H754" s="17" t="s">
        <v>92</v>
      </c>
      <c r="I754" s="39"/>
      <c r="J754" s="42"/>
      <c r="K754" s="88"/>
      <c r="L754" s="42"/>
      <c r="M754" s="43"/>
    </row>
    <row r="755" spans="1:17" x14ac:dyDescent="0.25">
      <c r="A755" s="2">
        <v>44314</v>
      </c>
      <c r="B755" s="20">
        <v>2104</v>
      </c>
      <c r="C755" s="20">
        <v>420</v>
      </c>
      <c r="D755" s="20">
        <v>13400</v>
      </c>
      <c r="E755" s="17" t="s">
        <v>92</v>
      </c>
      <c r="F755" s="17" t="s">
        <v>92</v>
      </c>
      <c r="G755" s="17" t="s">
        <v>92</v>
      </c>
      <c r="H755" s="17" t="s">
        <v>92</v>
      </c>
      <c r="I755" s="39"/>
      <c r="J755" s="42"/>
      <c r="K755" s="88"/>
      <c r="L755" s="42"/>
      <c r="M755" s="43"/>
    </row>
    <row r="756" spans="1:17" x14ac:dyDescent="0.25">
      <c r="A756" s="2">
        <v>44313</v>
      </c>
      <c r="B756" s="20">
        <v>2056</v>
      </c>
      <c r="C756" s="20">
        <v>420</v>
      </c>
      <c r="D756" s="20">
        <v>13390</v>
      </c>
      <c r="E756" s="17" t="s">
        <v>92</v>
      </c>
      <c r="F756" s="17" t="s">
        <v>92</v>
      </c>
      <c r="G756" s="17" t="s">
        <v>92</v>
      </c>
      <c r="H756" s="17" t="s">
        <v>92</v>
      </c>
      <c r="I756" s="39"/>
      <c r="J756" s="42"/>
      <c r="K756" s="88"/>
      <c r="L756" s="42"/>
      <c r="M756" s="43"/>
    </row>
    <row r="757" spans="1:17" x14ac:dyDescent="0.25">
      <c r="A757" s="2">
        <v>44312</v>
      </c>
      <c r="B757" s="20">
        <v>2060</v>
      </c>
      <c r="C757" s="20">
        <v>419</v>
      </c>
      <c r="D757" s="20">
        <v>13375</v>
      </c>
      <c r="E757" s="17" t="s">
        <v>92</v>
      </c>
      <c r="F757" s="17" t="s">
        <v>92</v>
      </c>
      <c r="G757" s="17" t="s">
        <v>92</v>
      </c>
      <c r="H757" s="17" t="s">
        <v>92</v>
      </c>
      <c r="I757" s="39"/>
      <c r="J757" s="42"/>
      <c r="K757" s="88"/>
      <c r="L757" s="42"/>
      <c r="M757" s="43"/>
    </row>
    <row r="758" spans="1:17" x14ac:dyDescent="0.25">
      <c r="A758" s="2">
        <v>44309</v>
      </c>
      <c r="B758" s="20">
        <v>2024</v>
      </c>
      <c r="C758" s="20">
        <v>415</v>
      </c>
      <c r="D758" s="20">
        <v>13200</v>
      </c>
      <c r="E758" s="17" t="s">
        <v>92</v>
      </c>
      <c r="F758" s="17" t="s">
        <v>92</v>
      </c>
      <c r="G758" s="17" t="s">
        <v>92</v>
      </c>
      <c r="H758" s="17" t="s">
        <v>92</v>
      </c>
      <c r="I758" s="39"/>
      <c r="J758" s="42"/>
      <c r="K758" s="88"/>
      <c r="L758" s="42"/>
      <c r="M758" s="43"/>
    </row>
    <row r="759" spans="1:17" x14ac:dyDescent="0.25">
      <c r="A759" s="2">
        <v>44308</v>
      </c>
      <c r="B759" s="20">
        <v>2046</v>
      </c>
      <c r="C759" s="20">
        <v>414</v>
      </c>
      <c r="D759" s="20">
        <v>13125</v>
      </c>
      <c r="E759" s="17" t="s">
        <v>92</v>
      </c>
      <c r="F759" s="17" t="s">
        <v>92</v>
      </c>
      <c r="G759" s="17" t="s">
        <v>92</v>
      </c>
      <c r="H759" s="17" t="s">
        <v>92</v>
      </c>
      <c r="I759" s="39"/>
      <c r="J759" s="42"/>
      <c r="K759" s="88"/>
      <c r="L759" s="42"/>
      <c r="M759" s="43"/>
    </row>
    <row r="760" spans="1:17" x14ac:dyDescent="0.25">
      <c r="A760" s="2">
        <v>44307</v>
      </c>
      <c r="B760" s="20">
        <v>2046</v>
      </c>
      <c r="C760" s="20">
        <v>414</v>
      </c>
      <c r="D760" s="20">
        <v>13120</v>
      </c>
      <c r="E760" s="17" t="s">
        <v>92</v>
      </c>
      <c r="F760" s="17" t="s">
        <v>92</v>
      </c>
      <c r="G760" s="17" t="s">
        <v>92</v>
      </c>
      <c r="H760" s="17" t="s">
        <v>92</v>
      </c>
      <c r="I760" s="39"/>
      <c r="J760" s="42"/>
      <c r="K760" s="88"/>
      <c r="L760" s="42"/>
      <c r="M760" s="43"/>
    </row>
    <row r="761" spans="1:17" x14ac:dyDescent="0.25">
      <c r="A761" s="2">
        <v>44306</v>
      </c>
      <c r="B761" s="20">
        <v>2044</v>
      </c>
      <c r="C761" s="20">
        <v>418</v>
      </c>
      <c r="D761" s="20">
        <v>13165</v>
      </c>
      <c r="E761" s="17"/>
      <c r="F761" s="17"/>
      <c r="G761" s="17"/>
      <c r="H761" s="14"/>
      <c r="I761" s="39"/>
      <c r="J761" s="42"/>
      <c r="K761" s="88"/>
      <c r="L761" s="42"/>
      <c r="M761" s="43"/>
    </row>
    <row r="762" spans="1:17" x14ac:dyDescent="0.25">
      <c r="A762" s="2"/>
      <c r="B762" s="31"/>
      <c r="C762" s="31"/>
      <c r="D762" s="31"/>
      <c r="E762" s="17"/>
      <c r="F762" s="17"/>
      <c r="G762" s="17"/>
      <c r="H762" s="14"/>
      <c r="I762" s="39"/>
      <c r="J762" s="42"/>
      <c r="K762" s="88"/>
      <c r="L762" s="42"/>
      <c r="M762" s="43"/>
    </row>
    <row r="763" spans="1:17" x14ac:dyDescent="0.25">
      <c r="A763" s="2"/>
      <c r="B763" s="31"/>
      <c r="C763" s="31"/>
      <c r="D763" s="31"/>
      <c r="E763" s="17"/>
      <c r="F763" s="17"/>
      <c r="G763" s="17"/>
      <c r="H763" s="14"/>
      <c r="I763" s="39"/>
      <c r="J763" s="42"/>
      <c r="K763" s="88"/>
      <c r="L763" s="42"/>
      <c r="M763" s="43"/>
    </row>
    <row r="764" spans="1:17" x14ac:dyDescent="0.25">
      <c r="A764" s="2"/>
      <c r="B764" s="31"/>
      <c r="C764" s="31"/>
      <c r="D764" s="31"/>
      <c r="E764" s="17"/>
      <c r="F764" s="17"/>
      <c r="G764" s="17"/>
      <c r="H764" s="14"/>
      <c r="I764" s="39"/>
      <c r="J764" s="42"/>
      <c r="K764" s="88"/>
      <c r="L764" s="42"/>
      <c r="M764" s="43"/>
    </row>
    <row r="765" spans="1:17" x14ac:dyDescent="0.25">
      <c r="A765" s="2"/>
      <c r="B765" s="31"/>
      <c r="C765" s="31"/>
      <c r="D765" s="31"/>
      <c r="E765" s="17"/>
      <c r="F765" s="17"/>
      <c r="G765" s="17"/>
      <c r="H765" s="14"/>
      <c r="I765" s="39"/>
      <c r="J765" s="42"/>
      <c r="K765" s="88"/>
      <c r="L765" s="42"/>
      <c r="M765" s="43"/>
    </row>
    <row r="766" spans="1:17" x14ac:dyDescent="0.25">
      <c r="A766" s="2"/>
      <c r="B766" s="31"/>
      <c r="C766" s="31"/>
      <c r="D766" s="31"/>
      <c r="E766" s="17"/>
      <c r="F766" s="17"/>
      <c r="G766" s="17"/>
      <c r="H766" s="14"/>
      <c r="I766" s="39"/>
      <c r="J766" s="42"/>
      <c r="K766" s="88"/>
      <c r="L766" s="42"/>
      <c r="M766" s="43"/>
    </row>
    <row r="767" spans="1:17" x14ac:dyDescent="0.25">
      <c r="A767" s="2"/>
      <c r="B767" s="31"/>
      <c r="C767" s="31"/>
      <c r="D767" s="31"/>
      <c r="E767" s="17"/>
      <c r="F767" s="17"/>
      <c r="G767" s="17"/>
      <c r="H767" s="14"/>
      <c r="I767" s="39"/>
      <c r="J767" s="42"/>
      <c r="K767" s="88"/>
      <c r="L767" s="42"/>
      <c r="M767" s="43"/>
    </row>
    <row r="768" spans="1:17" x14ac:dyDescent="0.25">
      <c r="A768" s="2"/>
      <c r="B768" s="31"/>
      <c r="C768" s="31"/>
      <c r="D768" s="31"/>
      <c r="E768" s="17"/>
      <c r="F768" s="17"/>
      <c r="G768" s="17"/>
      <c r="H768" s="14"/>
      <c r="I768" s="39"/>
      <c r="J768" s="42"/>
      <c r="K768" s="88"/>
      <c r="L768" s="42"/>
      <c r="M768" s="43"/>
    </row>
    <row r="769" spans="1:13" x14ac:dyDescent="0.25">
      <c r="A769" s="2"/>
      <c r="B769" s="31"/>
      <c r="C769" s="31"/>
      <c r="D769" s="31"/>
      <c r="E769" s="17"/>
      <c r="F769" s="17"/>
      <c r="G769" s="17"/>
      <c r="H769" s="14"/>
      <c r="I769" s="39"/>
      <c r="J769" s="42"/>
      <c r="K769" s="88"/>
      <c r="L769" s="42"/>
      <c r="M769" s="43"/>
    </row>
    <row r="770" spans="1:13" x14ac:dyDescent="0.25">
      <c r="A770" s="2"/>
      <c r="B770" s="31"/>
      <c r="C770" s="31"/>
      <c r="D770" s="31"/>
      <c r="E770" s="17"/>
      <c r="F770" s="17"/>
      <c r="G770" s="17"/>
      <c r="H770" s="14"/>
      <c r="I770" s="39"/>
      <c r="J770" s="42"/>
      <c r="K770" s="88"/>
      <c r="L770" s="42"/>
      <c r="M770" s="43"/>
    </row>
    <row r="771" spans="1:13" x14ac:dyDescent="0.25">
      <c r="A771" s="2"/>
      <c r="B771" s="31"/>
      <c r="C771" s="31"/>
      <c r="D771" s="31"/>
      <c r="E771" s="17"/>
      <c r="F771" s="17"/>
      <c r="G771" s="17"/>
      <c r="H771" s="14"/>
      <c r="I771" s="39"/>
      <c r="J771" s="17"/>
      <c r="K771" s="24"/>
      <c r="L771" s="17"/>
      <c r="M771" s="27"/>
    </row>
    <row r="772" spans="1:13" x14ac:dyDescent="0.25">
      <c r="A772" s="2"/>
      <c r="B772" s="31"/>
      <c r="C772" s="31"/>
      <c r="D772" s="31"/>
      <c r="E772" s="17"/>
      <c r="F772" s="17"/>
      <c r="G772" s="17"/>
      <c r="H772" s="14"/>
      <c r="I772" s="39"/>
      <c r="J772" s="17"/>
      <c r="K772" s="24"/>
      <c r="L772" s="17"/>
      <c r="M772" s="27"/>
    </row>
    <row r="773" spans="1:13" x14ac:dyDescent="0.25">
      <c r="A773" s="2"/>
      <c r="B773" s="31"/>
      <c r="C773" s="31"/>
      <c r="D773" s="31"/>
      <c r="E773" s="17"/>
      <c r="F773" s="17"/>
      <c r="G773" s="17"/>
      <c r="H773" s="14"/>
      <c r="I773" s="39"/>
      <c r="J773" s="17"/>
      <c r="K773" s="24"/>
      <c r="L773" s="17"/>
      <c r="M773" s="27"/>
    </row>
    <row r="774" spans="1:13" x14ac:dyDescent="0.25">
      <c r="A774" s="2"/>
      <c r="B774" s="31"/>
      <c r="C774" s="31"/>
      <c r="D774" s="31"/>
      <c r="E774" s="17"/>
      <c r="F774" s="17"/>
      <c r="G774" s="17"/>
      <c r="H774" s="14"/>
      <c r="I774" s="39"/>
      <c r="J774" s="17"/>
      <c r="K774" s="24"/>
      <c r="L774" s="17"/>
      <c r="M774" s="27"/>
    </row>
    <row r="775" spans="1:13" x14ac:dyDescent="0.25">
      <c r="A775" s="2"/>
      <c r="E775" s="1"/>
      <c r="F775" s="1"/>
      <c r="G775" s="1"/>
      <c r="I775" s="39"/>
      <c r="J775" s="17"/>
      <c r="K775" s="24"/>
      <c r="L775" s="17"/>
      <c r="M775" s="27"/>
    </row>
    <row r="776" spans="1:13" x14ac:dyDescent="0.25">
      <c r="A776" s="2"/>
      <c r="E776" s="1"/>
      <c r="F776" s="1"/>
      <c r="G776" s="1"/>
      <c r="I776" s="39"/>
      <c r="J776" s="17"/>
      <c r="K776" s="24"/>
      <c r="L776" s="17"/>
      <c r="M776" s="27"/>
    </row>
    <row r="777" spans="1:13" x14ac:dyDescent="0.25">
      <c r="A777" s="2"/>
      <c r="E777" s="1"/>
      <c r="F777" s="1"/>
      <c r="G777" s="1"/>
      <c r="I777" s="39"/>
      <c r="J777" s="17"/>
      <c r="K777" s="24"/>
      <c r="L777" s="17"/>
      <c r="M777" s="27"/>
    </row>
    <row r="778" spans="1:13" x14ac:dyDescent="0.25">
      <c r="A778" s="2"/>
      <c r="E778" s="1"/>
      <c r="F778" s="1"/>
      <c r="G778" s="1"/>
      <c r="I778" s="39"/>
      <c r="J778" s="17"/>
      <c r="K778" s="24"/>
      <c r="L778" s="17"/>
      <c r="M778" s="27"/>
    </row>
    <row r="779" spans="1:13" x14ac:dyDescent="0.25">
      <c r="A779" s="2"/>
      <c r="E779" s="1"/>
      <c r="F779" s="1"/>
      <c r="G779" s="1"/>
      <c r="I779" s="39"/>
      <c r="J779" s="17"/>
      <c r="K779" s="24"/>
      <c r="L779" s="17"/>
      <c r="M779" s="27"/>
    </row>
    <row r="780" spans="1:13" x14ac:dyDescent="0.25">
      <c r="A780" s="2"/>
      <c r="E780" s="1"/>
      <c r="F780" s="1"/>
      <c r="G780" s="1"/>
      <c r="I780" s="39"/>
      <c r="J780" s="17"/>
      <c r="K780" s="24"/>
      <c r="L780" s="17"/>
      <c r="M780" s="27"/>
    </row>
    <row r="781" spans="1:13" x14ac:dyDescent="0.25">
      <c r="A781" s="2"/>
      <c r="E781" s="1"/>
      <c r="F781" s="1"/>
      <c r="G781" s="1"/>
      <c r="I781" s="39"/>
      <c r="J781" s="17"/>
      <c r="K781" s="24"/>
      <c r="L781" s="17"/>
      <c r="M781" s="27"/>
    </row>
    <row r="782" spans="1:13" x14ac:dyDescent="0.25">
      <c r="A782" s="2"/>
      <c r="E782" s="1"/>
      <c r="F782" s="1"/>
      <c r="G782" s="1"/>
      <c r="I782" s="39"/>
      <c r="J782" s="17"/>
      <c r="K782" s="24"/>
      <c r="L782" s="17"/>
      <c r="M782" s="27"/>
    </row>
    <row r="783" spans="1:13" x14ac:dyDescent="0.25">
      <c r="A783" s="2"/>
      <c r="E783" s="1"/>
      <c r="F783" s="1"/>
      <c r="G783" s="1"/>
      <c r="I783" s="39"/>
      <c r="J783" s="17"/>
      <c r="K783" s="24"/>
      <c r="L783" s="17"/>
      <c r="M783" s="27"/>
    </row>
    <row r="784" spans="1:13" x14ac:dyDescent="0.25">
      <c r="A784" s="2"/>
      <c r="E784" s="1"/>
      <c r="F784" s="1"/>
      <c r="G784" s="1"/>
    </row>
    <row r="785" spans="1:7" x14ac:dyDescent="0.25">
      <c r="A785" s="2"/>
      <c r="E785" s="1"/>
      <c r="F785" s="1"/>
      <c r="G785" s="1"/>
    </row>
    <row r="786" spans="1:7" x14ac:dyDescent="0.25">
      <c r="A786" s="2"/>
      <c r="E786" s="1"/>
      <c r="F786" s="1"/>
      <c r="G786" s="1"/>
    </row>
    <row r="787" spans="1:7" x14ac:dyDescent="0.25">
      <c r="A787" s="2"/>
      <c r="E787" s="1"/>
      <c r="F787" s="1"/>
      <c r="G787" s="1"/>
    </row>
    <row r="788" spans="1:7" x14ac:dyDescent="0.25">
      <c r="A788" s="2"/>
      <c r="E788" s="1"/>
      <c r="F788" s="1"/>
      <c r="G788" s="1"/>
    </row>
    <row r="789" spans="1:7" x14ac:dyDescent="0.25">
      <c r="A789" s="2"/>
      <c r="E789" s="1"/>
      <c r="F789" s="1"/>
      <c r="G789" s="1"/>
    </row>
    <row r="790" spans="1:7" x14ac:dyDescent="0.25">
      <c r="A790" s="2"/>
      <c r="E790" s="1"/>
      <c r="F790" s="1"/>
      <c r="G790" s="1"/>
    </row>
    <row r="791" spans="1:7" x14ac:dyDescent="0.25">
      <c r="A791" s="2"/>
      <c r="E791" s="1"/>
      <c r="F791" s="1"/>
      <c r="G791" s="1"/>
    </row>
    <row r="792" spans="1:7" x14ac:dyDescent="0.25">
      <c r="A792" s="2"/>
      <c r="E792" s="1"/>
      <c r="F792" s="1"/>
      <c r="G792" s="1"/>
    </row>
    <row r="793" spans="1:7" x14ac:dyDescent="0.25">
      <c r="A793" s="2"/>
      <c r="E793" s="1"/>
      <c r="F793" s="1"/>
      <c r="G793" s="1"/>
    </row>
    <row r="794" spans="1:7" x14ac:dyDescent="0.25">
      <c r="A794" s="2"/>
      <c r="E794" s="1"/>
      <c r="F794" s="1"/>
      <c r="G794" s="1"/>
    </row>
    <row r="795" spans="1:7" x14ac:dyDescent="0.25">
      <c r="A795" s="2"/>
      <c r="E795" s="1"/>
      <c r="F795" s="1"/>
      <c r="G795" s="1"/>
    </row>
    <row r="796" spans="1:7" x14ac:dyDescent="0.25">
      <c r="A796" s="2"/>
      <c r="E796" s="1"/>
      <c r="F796" s="1"/>
      <c r="G796" s="1"/>
    </row>
    <row r="797" spans="1:7" x14ac:dyDescent="0.25">
      <c r="A797" s="2"/>
      <c r="E797" s="1"/>
      <c r="F797" s="1"/>
      <c r="G797" s="1"/>
    </row>
    <row r="798" spans="1:7" x14ac:dyDescent="0.25">
      <c r="A798" s="2"/>
      <c r="E798" s="1"/>
      <c r="F798" s="1"/>
      <c r="G798" s="1"/>
    </row>
    <row r="799" spans="1:7" x14ac:dyDescent="0.25">
      <c r="A799" s="2"/>
      <c r="E799" s="1"/>
      <c r="F799" s="1"/>
      <c r="G799" s="1"/>
    </row>
    <row r="800" spans="1:7" x14ac:dyDescent="0.25">
      <c r="A800" s="2"/>
      <c r="E800" s="1"/>
      <c r="F800" s="1"/>
      <c r="G800" s="1"/>
    </row>
    <row r="801" spans="1:7" x14ac:dyDescent="0.25">
      <c r="A801" s="2"/>
      <c r="E801" s="1"/>
      <c r="F801" s="1"/>
      <c r="G801" s="1"/>
    </row>
    <row r="802" spans="1:7" x14ac:dyDescent="0.25">
      <c r="A802" s="2"/>
      <c r="E802" s="1"/>
      <c r="F802" s="1"/>
      <c r="G802" s="1"/>
    </row>
    <row r="803" spans="1:7" x14ac:dyDescent="0.25">
      <c r="A803" s="2"/>
      <c r="E803" s="1"/>
      <c r="F803" s="1"/>
      <c r="G803" s="1"/>
    </row>
    <row r="804" spans="1:7" x14ac:dyDescent="0.25">
      <c r="A804" s="2"/>
      <c r="E804" s="1"/>
      <c r="F804" s="1"/>
      <c r="G804" s="1"/>
    </row>
    <row r="805" spans="1:7" x14ac:dyDescent="0.25">
      <c r="A805" s="2"/>
      <c r="E805" s="1"/>
      <c r="F805" s="1"/>
      <c r="G805" s="1"/>
    </row>
    <row r="806" spans="1:7" x14ac:dyDescent="0.25">
      <c r="A806" s="2"/>
      <c r="E806" s="1"/>
      <c r="F806" s="1"/>
      <c r="G806" s="1"/>
    </row>
    <row r="807" spans="1:7" x14ac:dyDescent="0.25">
      <c r="A807" s="2"/>
      <c r="E807" s="1"/>
      <c r="F807" s="1"/>
      <c r="G807" s="1"/>
    </row>
    <row r="808" spans="1:7" x14ac:dyDescent="0.25">
      <c r="A808" s="2"/>
      <c r="E808" s="1"/>
      <c r="F808" s="1"/>
      <c r="G808" s="1"/>
    </row>
    <row r="809" spans="1:7" x14ac:dyDescent="0.25">
      <c r="A809" s="2"/>
      <c r="E809" s="1"/>
      <c r="F809" s="1"/>
      <c r="G809" s="1"/>
    </row>
    <row r="810" spans="1:7" x14ac:dyDescent="0.25">
      <c r="A810" s="2"/>
      <c r="E810" s="1"/>
      <c r="F810" s="1"/>
      <c r="G810" s="1"/>
    </row>
    <row r="811" spans="1:7" x14ac:dyDescent="0.25">
      <c r="A811" s="2"/>
      <c r="E811" s="1"/>
      <c r="F811" s="1"/>
      <c r="G811" s="1"/>
    </row>
    <row r="812" spans="1:7" x14ac:dyDescent="0.25">
      <c r="A812" s="2"/>
      <c r="E812" s="1"/>
      <c r="F812" s="1"/>
      <c r="G812" s="1"/>
    </row>
    <row r="813" spans="1:7" x14ac:dyDescent="0.25">
      <c r="A813" s="2"/>
      <c r="E813" s="1"/>
      <c r="F813" s="1"/>
      <c r="G813" s="1"/>
    </row>
    <row r="814" spans="1:7" x14ac:dyDescent="0.25">
      <c r="A814" s="2"/>
      <c r="E814" s="1"/>
      <c r="F814" s="1"/>
      <c r="G814" s="1"/>
    </row>
    <row r="815" spans="1:7" x14ac:dyDescent="0.25">
      <c r="A815" s="2"/>
      <c r="E815" s="1"/>
      <c r="F815" s="1"/>
      <c r="G815" s="1"/>
    </row>
    <row r="816" spans="1:7" x14ac:dyDescent="0.25">
      <c r="A816" s="2"/>
      <c r="E816" s="1"/>
      <c r="F816" s="1"/>
      <c r="G816" s="1"/>
    </row>
    <row r="817" spans="1:7" x14ac:dyDescent="0.25">
      <c r="A817" s="2"/>
      <c r="E817" s="1"/>
      <c r="F817" s="1"/>
      <c r="G817" s="1"/>
    </row>
    <row r="818" spans="1:7" x14ac:dyDescent="0.25">
      <c r="A818" s="2"/>
      <c r="E818" s="1"/>
      <c r="F818" s="1"/>
      <c r="G818" s="1"/>
    </row>
    <row r="819" spans="1:7" x14ac:dyDescent="0.25">
      <c r="A819" s="2"/>
      <c r="E819" s="1"/>
      <c r="F819" s="1"/>
      <c r="G819" s="1"/>
    </row>
    <row r="820" spans="1:7" x14ac:dyDescent="0.25">
      <c r="A820" s="2"/>
      <c r="E820" s="1"/>
      <c r="F820" s="1"/>
      <c r="G820" s="1"/>
    </row>
    <row r="821" spans="1:7" x14ac:dyDescent="0.25">
      <c r="A821" s="2"/>
      <c r="E821" s="1"/>
      <c r="F821" s="1"/>
      <c r="G821" s="1"/>
    </row>
    <row r="822" spans="1:7" x14ac:dyDescent="0.25">
      <c r="A822" s="2"/>
      <c r="E822" s="1"/>
      <c r="F822" s="1"/>
      <c r="G822" s="1"/>
    </row>
    <row r="823" spans="1:7" x14ac:dyDescent="0.25">
      <c r="A823" s="2"/>
      <c r="E823" s="1"/>
      <c r="F823" s="1"/>
      <c r="G823" s="1"/>
    </row>
    <row r="824" spans="1:7" x14ac:dyDescent="0.25">
      <c r="A824" s="2"/>
      <c r="E824" s="1"/>
      <c r="F824" s="1"/>
      <c r="G824" s="1"/>
    </row>
    <row r="825" spans="1:7" x14ac:dyDescent="0.25">
      <c r="A825" s="2"/>
      <c r="E825" s="1"/>
      <c r="F825" s="1"/>
      <c r="G825" s="1"/>
    </row>
    <row r="826" spans="1:7" x14ac:dyDescent="0.25">
      <c r="A826" s="2"/>
      <c r="E826" s="1"/>
      <c r="F826" s="1"/>
      <c r="G826" s="1"/>
    </row>
    <row r="827" spans="1:7" x14ac:dyDescent="0.25">
      <c r="A827" s="2"/>
      <c r="E827" s="1"/>
      <c r="F827" s="1"/>
      <c r="G827" s="1"/>
    </row>
    <row r="828" spans="1:7" x14ac:dyDescent="0.25">
      <c r="A828" s="2"/>
      <c r="E828" s="1"/>
      <c r="F828" s="1"/>
      <c r="G828" s="1"/>
    </row>
    <row r="829" spans="1:7" x14ac:dyDescent="0.25">
      <c r="A829" s="2"/>
      <c r="E829" s="1"/>
      <c r="F829" s="1"/>
      <c r="G829" s="1"/>
    </row>
    <row r="830" spans="1:7" x14ac:dyDescent="0.25">
      <c r="A830" s="2"/>
      <c r="E830" s="1"/>
      <c r="F830" s="1"/>
      <c r="G830" s="1"/>
    </row>
    <row r="831" spans="1:7" x14ac:dyDescent="0.25">
      <c r="A831" s="2"/>
      <c r="E831" s="1"/>
      <c r="F831" s="1"/>
      <c r="G831" s="1"/>
    </row>
    <row r="832" spans="1:7" x14ac:dyDescent="0.25">
      <c r="A832" s="2"/>
      <c r="E832" s="1"/>
      <c r="F832" s="1"/>
      <c r="G832" s="1"/>
    </row>
    <row r="833" spans="1:7" x14ac:dyDescent="0.25">
      <c r="A833" s="2"/>
      <c r="E833" s="1"/>
      <c r="F833" s="1"/>
      <c r="G833" s="1"/>
    </row>
    <row r="834" spans="1:7" x14ac:dyDescent="0.25">
      <c r="A834" s="2"/>
      <c r="E834" s="1"/>
      <c r="F834" s="1"/>
      <c r="G834" s="1"/>
    </row>
    <row r="835" spans="1:7" x14ac:dyDescent="0.25">
      <c r="A835" s="2"/>
      <c r="E835" s="1"/>
      <c r="F835" s="1"/>
      <c r="G835" s="1"/>
    </row>
    <row r="836" spans="1:7" x14ac:dyDescent="0.25">
      <c r="A836" s="2"/>
      <c r="E836" s="1"/>
      <c r="F836" s="1"/>
      <c r="G836" s="1"/>
    </row>
    <row r="837" spans="1:7" x14ac:dyDescent="0.25">
      <c r="A837" s="2"/>
      <c r="E837" s="1"/>
      <c r="F837" s="1"/>
      <c r="G837" s="1"/>
    </row>
    <row r="838" spans="1:7" x14ac:dyDescent="0.25">
      <c r="A838" s="2"/>
      <c r="E838" s="1"/>
      <c r="F838" s="1"/>
      <c r="G838" s="1"/>
    </row>
    <row r="839" spans="1:7" x14ac:dyDescent="0.25">
      <c r="A839" s="2"/>
      <c r="E839" s="1"/>
      <c r="F839" s="1"/>
      <c r="G839" s="1"/>
    </row>
    <row r="840" spans="1:7" x14ac:dyDescent="0.25">
      <c r="A840" s="2"/>
      <c r="E840" s="1"/>
      <c r="F840" s="1"/>
      <c r="G840" s="1"/>
    </row>
    <row r="841" spans="1:7" x14ac:dyDescent="0.25">
      <c r="A841" s="2"/>
      <c r="E841" s="1"/>
      <c r="F841" s="1"/>
      <c r="G841" s="1"/>
    </row>
    <row r="842" spans="1:7" x14ac:dyDescent="0.25">
      <c r="A842" s="2"/>
      <c r="E842" s="1"/>
      <c r="F842" s="1"/>
      <c r="G842" s="1"/>
    </row>
    <row r="843" spans="1:7" x14ac:dyDescent="0.25">
      <c r="A843" s="2"/>
      <c r="E843" s="1"/>
      <c r="F843" s="1"/>
      <c r="G843" s="1"/>
    </row>
    <row r="844" spans="1:7" x14ac:dyDescent="0.25">
      <c r="A844" s="2"/>
      <c r="E844" s="1"/>
      <c r="F844" s="1"/>
      <c r="G844" s="1"/>
    </row>
    <row r="845" spans="1:7" x14ac:dyDescent="0.25">
      <c r="A845" s="2"/>
      <c r="E845" s="1"/>
      <c r="F845" s="1"/>
      <c r="G845" s="1"/>
    </row>
    <row r="846" spans="1:7" x14ac:dyDescent="0.25">
      <c r="A846" s="2"/>
      <c r="E846" s="1"/>
      <c r="F846" s="1"/>
      <c r="G846" s="1"/>
    </row>
    <row r="847" spans="1:7" x14ac:dyDescent="0.25">
      <c r="A847" s="2"/>
      <c r="E847" s="1"/>
      <c r="F847" s="1"/>
      <c r="G847" s="1"/>
    </row>
    <row r="848" spans="1:7" x14ac:dyDescent="0.25">
      <c r="A848" s="2"/>
      <c r="E848" s="1"/>
      <c r="F848" s="1"/>
      <c r="G848" s="1"/>
    </row>
    <row r="849" spans="1:7" x14ac:dyDescent="0.25">
      <c r="A849" s="2"/>
      <c r="E849" s="1"/>
      <c r="F849" s="1"/>
      <c r="G849" s="1"/>
    </row>
    <row r="850" spans="1:7" x14ac:dyDescent="0.25">
      <c r="A850" s="2"/>
      <c r="E850" s="1"/>
      <c r="F850" s="1"/>
      <c r="G850" s="1"/>
    </row>
    <row r="851" spans="1:7" x14ac:dyDescent="0.25">
      <c r="A851" s="2"/>
      <c r="E851" s="1"/>
      <c r="F851" s="1"/>
      <c r="G851" s="1"/>
    </row>
    <row r="852" spans="1:7" x14ac:dyDescent="0.25">
      <c r="A852" s="2"/>
      <c r="E852" s="1"/>
      <c r="F852" s="1"/>
      <c r="G852" s="1"/>
    </row>
    <row r="853" spans="1:7" x14ac:dyDescent="0.25">
      <c r="A853" s="2"/>
      <c r="E853" s="1"/>
      <c r="F853" s="1"/>
      <c r="G853" s="1"/>
    </row>
    <row r="854" spans="1:7" x14ac:dyDescent="0.25">
      <c r="A854" s="2"/>
      <c r="E854" s="1"/>
      <c r="F854" s="1"/>
      <c r="G854" s="1"/>
    </row>
    <row r="855" spans="1:7" x14ac:dyDescent="0.25">
      <c r="A855" s="2"/>
      <c r="E855" s="1"/>
      <c r="F855" s="1"/>
      <c r="G855" s="1"/>
    </row>
    <row r="856" spans="1:7" x14ac:dyDescent="0.25">
      <c r="A856" s="2"/>
      <c r="E856" s="1"/>
      <c r="F856" s="1"/>
      <c r="G856" s="1"/>
    </row>
    <row r="857" spans="1:7" x14ac:dyDescent="0.25">
      <c r="A857" s="2"/>
      <c r="E857" s="1"/>
      <c r="F857" s="1"/>
      <c r="G857" s="1"/>
    </row>
    <row r="858" spans="1:7" x14ac:dyDescent="0.25">
      <c r="A858" s="2"/>
      <c r="E858" s="1"/>
      <c r="F858" s="1"/>
      <c r="G858" s="1"/>
    </row>
    <row r="859" spans="1:7" x14ac:dyDescent="0.25">
      <c r="A859" s="2"/>
      <c r="E859" s="1"/>
      <c r="F859" s="1"/>
      <c r="G859" s="1"/>
    </row>
    <row r="860" spans="1:7" x14ac:dyDescent="0.25">
      <c r="A860" s="2"/>
      <c r="E860" s="1"/>
      <c r="F860" s="1"/>
      <c r="G860" s="1"/>
    </row>
    <row r="861" spans="1:7" x14ac:dyDescent="0.25">
      <c r="A861" s="2"/>
      <c r="E861" s="1"/>
      <c r="F861" s="1"/>
      <c r="G861" s="1"/>
    </row>
    <row r="862" spans="1:7" x14ac:dyDescent="0.25">
      <c r="A862" s="2"/>
      <c r="E862" s="1"/>
      <c r="F862" s="1"/>
      <c r="G862" s="1"/>
    </row>
    <row r="863" spans="1:7" x14ac:dyDescent="0.25">
      <c r="A863" s="2"/>
      <c r="E863" s="1"/>
      <c r="F863" s="1"/>
      <c r="G863" s="1"/>
    </row>
    <row r="864" spans="1:7" x14ac:dyDescent="0.25">
      <c r="A864" s="2"/>
      <c r="E864" s="1"/>
      <c r="F864" s="1"/>
      <c r="G864" s="1"/>
    </row>
    <row r="865" spans="1:7" x14ac:dyDescent="0.25">
      <c r="A865" s="2"/>
      <c r="E865" s="1"/>
      <c r="F865" s="1"/>
      <c r="G865" s="1"/>
    </row>
    <row r="866" spans="1:7" x14ac:dyDescent="0.25">
      <c r="A866" s="2"/>
      <c r="E866" s="1"/>
      <c r="F866" s="1"/>
      <c r="G866" s="1"/>
    </row>
    <row r="867" spans="1:7" x14ac:dyDescent="0.25">
      <c r="A867" s="2"/>
      <c r="E867" s="1"/>
      <c r="F867" s="1"/>
      <c r="G867" s="1"/>
    </row>
    <row r="868" spans="1:7" x14ac:dyDescent="0.25">
      <c r="A868" s="2"/>
      <c r="E868" s="1"/>
      <c r="F868" s="1"/>
      <c r="G868" s="1"/>
    </row>
    <row r="869" spans="1:7" x14ac:dyDescent="0.25">
      <c r="A869" s="2"/>
      <c r="E869" s="1"/>
      <c r="F869" s="1"/>
      <c r="G869" s="1"/>
    </row>
    <row r="870" spans="1:7" x14ac:dyDescent="0.25">
      <c r="A870" s="2"/>
      <c r="E870" s="1"/>
      <c r="F870" s="1"/>
      <c r="G870" s="1"/>
    </row>
    <row r="871" spans="1:7" x14ac:dyDescent="0.25">
      <c r="A871" s="2"/>
      <c r="E871" s="1"/>
      <c r="F871" s="1"/>
      <c r="G871" s="1"/>
    </row>
    <row r="872" spans="1:7" x14ac:dyDescent="0.25">
      <c r="A872" s="2"/>
      <c r="E872" s="1"/>
      <c r="F872" s="1"/>
      <c r="G872" s="1"/>
    </row>
    <row r="873" spans="1:7" x14ac:dyDescent="0.25">
      <c r="A873" s="2"/>
      <c r="E873" s="1"/>
      <c r="F873" s="1"/>
      <c r="G873" s="1"/>
    </row>
    <row r="874" spans="1:7" x14ac:dyDescent="0.25">
      <c r="A874" s="2"/>
      <c r="E874" s="1"/>
      <c r="F874" s="1"/>
      <c r="G874" s="1"/>
    </row>
    <row r="875" spans="1:7" x14ac:dyDescent="0.25">
      <c r="A875" s="2"/>
      <c r="E875" s="1"/>
      <c r="F875" s="1"/>
      <c r="G875" s="1"/>
    </row>
    <row r="876" spans="1:7" x14ac:dyDescent="0.25">
      <c r="A876" s="2"/>
      <c r="E876" s="1"/>
      <c r="F876" s="1"/>
      <c r="G876" s="1"/>
    </row>
    <row r="877" spans="1:7" x14ac:dyDescent="0.25">
      <c r="A877" s="2"/>
      <c r="E877" s="1"/>
      <c r="F877" s="1"/>
      <c r="G877" s="1"/>
    </row>
    <row r="878" spans="1:7" x14ac:dyDescent="0.25">
      <c r="A878" s="2"/>
      <c r="E878" s="1"/>
      <c r="F878" s="1"/>
      <c r="G878" s="1"/>
    </row>
    <row r="879" spans="1:7" x14ac:dyDescent="0.25">
      <c r="A879" s="2"/>
      <c r="E879" s="1"/>
      <c r="F879" s="1"/>
      <c r="G879" s="1"/>
    </row>
    <row r="880" spans="1:7" x14ac:dyDescent="0.25">
      <c r="A880" s="2"/>
      <c r="E880" s="1"/>
      <c r="F880" s="1"/>
      <c r="G880" s="1"/>
    </row>
    <row r="881" spans="1:7" x14ac:dyDescent="0.25">
      <c r="A881" s="2"/>
      <c r="E881" s="1"/>
      <c r="F881" s="1"/>
      <c r="G881" s="1"/>
    </row>
    <row r="882" spans="1:7" x14ac:dyDescent="0.25">
      <c r="A882" s="2"/>
      <c r="E882" s="1"/>
      <c r="F882" s="1"/>
      <c r="G882" s="1"/>
    </row>
    <row r="883" spans="1:7" x14ac:dyDescent="0.25">
      <c r="A883" s="2"/>
      <c r="E883" s="1"/>
      <c r="F883" s="1"/>
      <c r="G883" s="1"/>
    </row>
    <row r="884" spans="1:7" x14ac:dyDescent="0.25">
      <c r="A884" s="2"/>
      <c r="E884" s="1"/>
      <c r="F884" s="1"/>
      <c r="G884" s="1"/>
    </row>
    <row r="885" spans="1:7" x14ac:dyDescent="0.25">
      <c r="A885" s="2"/>
      <c r="E885" s="1"/>
      <c r="F885" s="1"/>
      <c r="G885" s="1"/>
    </row>
    <row r="886" spans="1:7" x14ac:dyDescent="0.25">
      <c r="A886" s="2"/>
      <c r="E886" s="1"/>
      <c r="F886" s="1"/>
      <c r="G886" s="1"/>
    </row>
    <row r="887" spans="1:7" x14ac:dyDescent="0.25">
      <c r="A887" s="2"/>
      <c r="E887" s="1"/>
      <c r="F887" s="1"/>
      <c r="G887" s="1"/>
    </row>
    <row r="888" spans="1:7" x14ac:dyDescent="0.25">
      <c r="A888" s="2"/>
      <c r="E888" s="1"/>
      <c r="F888" s="1"/>
      <c r="G888" s="1"/>
    </row>
    <row r="889" spans="1:7" x14ac:dyDescent="0.25">
      <c r="A889" s="2"/>
      <c r="E889" s="1"/>
      <c r="F889" s="1"/>
      <c r="G889" s="1"/>
    </row>
    <row r="890" spans="1:7" x14ac:dyDescent="0.25">
      <c r="A890" s="2"/>
      <c r="E890" s="1"/>
      <c r="F890" s="1"/>
      <c r="G890" s="1"/>
    </row>
    <row r="891" spans="1:7" x14ac:dyDescent="0.25">
      <c r="A891" s="2"/>
      <c r="E891" s="1"/>
      <c r="F891" s="1"/>
      <c r="G891" s="1"/>
    </row>
    <row r="892" spans="1:7" x14ac:dyDescent="0.25">
      <c r="A892" s="2"/>
      <c r="E892" s="1"/>
      <c r="F892" s="1"/>
      <c r="G892" s="1"/>
    </row>
    <row r="893" spans="1:7" x14ac:dyDescent="0.25">
      <c r="A893" s="2"/>
      <c r="E893" s="1"/>
      <c r="F893" s="1"/>
      <c r="G893" s="1"/>
    </row>
    <row r="894" spans="1:7" x14ac:dyDescent="0.25">
      <c r="A894" s="2"/>
      <c r="E894" s="1"/>
      <c r="F894" s="1"/>
      <c r="G894" s="1"/>
    </row>
    <row r="895" spans="1:7" x14ac:dyDescent="0.25">
      <c r="A895" s="2"/>
      <c r="E895" s="1"/>
      <c r="F895" s="1"/>
      <c r="G895" s="1"/>
    </row>
    <row r="896" spans="1:7" x14ac:dyDescent="0.25">
      <c r="A896" s="2"/>
      <c r="E896" s="1"/>
      <c r="F896" s="1"/>
      <c r="G896" s="1"/>
    </row>
    <row r="897" spans="1:7" x14ac:dyDescent="0.25">
      <c r="A897" s="2"/>
      <c r="E897" s="1"/>
      <c r="F897" s="1"/>
      <c r="G897" s="1"/>
    </row>
    <row r="898" spans="1:7" x14ac:dyDescent="0.25">
      <c r="A898" s="2"/>
      <c r="E898" s="1"/>
      <c r="F898" s="1"/>
      <c r="G898" s="1"/>
    </row>
    <row r="899" spans="1:7" x14ac:dyDescent="0.25">
      <c r="A899" s="2"/>
      <c r="E899" s="1"/>
      <c r="F899" s="1"/>
      <c r="G899" s="1"/>
    </row>
    <row r="900" spans="1:7" x14ac:dyDescent="0.25">
      <c r="A900" s="2"/>
      <c r="E900" s="1"/>
      <c r="F900" s="1"/>
      <c r="G900" s="1"/>
    </row>
    <row r="901" spans="1:7" x14ac:dyDescent="0.25">
      <c r="A901" s="2"/>
      <c r="E901" s="1"/>
      <c r="F901" s="1"/>
      <c r="G901" s="1"/>
    </row>
    <row r="902" spans="1:7" x14ac:dyDescent="0.25">
      <c r="A902" s="2"/>
      <c r="E902" s="1"/>
      <c r="F902" s="1"/>
      <c r="G902" s="1"/>
    </row>
    <row r="903" spans="1:7" x14ac:dyDescent="0.25">
      <c r="A903" s="2"/>
      <c r="E903" s="1"/>
      <c r="F903" s="1"/>
      <c r="G903" s="1"/>
    </row>
    <row r="904" spans="1:7" x14ac:dyDescent="0.25">
      <c r="A904" s="2"/>
      <c r="E904" s="1"/>
      <c r="F904" s="1"/>
      <c r="G904" s="1"/>
    </row>
    <row r="905" spans="1:7" x14ac:dyDescent="0.25">
      <c r="A905" s="2"/>
      <c r="E905" s="1"/>
      <c r="F905" s="1"/>
      <c r="G905" s="1"/>
    </row>
    <row r="906" spans="1:7" x14ac:dyDescent="0.25">
      <c r="A906" s="2"/>
      <c r="E906" s="1"/>
      <c r="F906" s="1"/>
      <c r="G906" s="1"/>
    </row>
    <row r="907" spans="1:7" x14ac:dyDescent="0.25">
      <c r="A907" s="2"/>
      <c r="E907" s="1"/>
      <c r="F907" s="1"/>
      <c r="G907" s="1"/>
    </row>
    <row r="908" spans="1:7" x14ac:dyDescent="0.25">
      <c r="A908" s="2"/>
      <c r="E908" s="1"/>
      <c r="F908" s="1"/>
      <c r="G908" s="1"/>
    </row>
    <row r="909" spans="1:7" x14ac:dyDescent="0.25">
      <c r="A909" s="2"/>
      <c r="E909" s="1"/>
      <c r="F909" s="1"/>
      <c r="G909" s="1"/>
    </row>
    <row r="910" spans="1:7" x14ac:dyDescent="0.25">
      <c r="A910" s="2"/>
      <c r="E910" s="1"/>
      <c r="F910" s="1"/>
      <c r="G910" s="1"/>
    </row>
    <row r="911" spans="1:7" x14ac:dyDescent="0.25">
      <c r="A911" s="2"/>
      <c r="E911" s="1"/>
      <c r="F911" s="1"/>
      <c r="G911" s="1"/>
    </row>
    <row r="912" spans="1:7" x14ac:dyDescent="0.25">
      <c r="A912" s="2"/>
      <c r="E912" s="1"/>
      <c r="F912" s="1"/>
      <c r="G912" s="1"/>
    </row>
    <row r="913" spans="1:7" x14ac:dyDescent="0.25">
      <c r="A913" s="2"/>
      <c r="E913" s="1"/>
      <c r="F913" s="1"/>
      <c r="G913" s="1"/>
    </row>
    <row r="914" spans="1:7" x14ac:dyDescent="0.25">
      <c r="A914" s="2"/>
      <c r="E914" s="1"/>
      <c r="F914" s="1"/>
      <c r="G914" s="1"/>
    </row>
    <row r="915" spans="1:7" x14ac:dyDescent="0.25">
      <c r="A915" s="2"/>
      <c r="E915" s="1"/>
      <c r="F915" s="1"/>
      <c r="G915" s="1"/>
    </row>
    <row r="916" spans="1:7" x14ac:dyDescent="0.25">
      <c r="A916" s="2"/>
      <c r="E916" s="1"/>
      <c r="F916" s="1"/>
      <c r="G916" s="1"/>
    </row>
    <row r="917" spans="1:7" x14ac:dyDescent="0.25">
      <c r="A917" s="2"/>
      <c r="E917" s="1"/>
      <c r="F917" s="1"/>
      <c r="G917" s="1"/>
    </row>
    <row r="918" spans="1:7" x14ac:dyDescent="0.25">
      <c r="A918" s="2"/>
      <c r="E918" s="1"/>
      <c r="F918" s="1"/>
      <c r="G918" s="1"/>
    </row>
    <row r="919" spans="1:7" x14ac:dyDescent="0.25">
      <c r="A919" s="2"/>
      <c r="E919" s="1"/>
      <c r="F919" s="1"/>
      <c r="G919" s="1"/>
    </row>
    <row r="920" spans="1:7" x14ac:dyDescent="0.25">
      <c r="A920" s="2"/>
      <c r="E920" s="1"/>
      <c r="F920" s="1"/>
      <c r="G920" s="1"/>
    </row>
    <row r="921" spans="1:7" x14ac:dyDescent="0.25">
      <c r="A921" s="2"/>
      <c r="E921" s="1"/>
      <c r="F921" s="1"/>
      <c r="G921" s="1"/>
    </row>
    <row r="922" spans="1:7" x14ac:dyDescent="0.25">
      <c r="A922" s="2"/>
      <c r="E922" s="1"/>
      <c r="F922" s="1"/>
      <c r="G922" s="1"/>
    </row>
    <row r="923" spans="1:7" x14ac:dyDescent="0.25">
      <c r="A923" s="2"/>
      <c r="E923" s="1"/>
      <c r="F923" s="1"/>
      <c r="G923" s="1"/>
    </row>
    <row r="924" spans="1:7" x14ac:dyDescent="0.25">
      <c r="A924" s="2"/>
      <c r="E924" s="1"/>
      <c r="F924" s="1"/>
      <c r="G924" s="1"/>
    </row>
    <row r="925" spans="1:7" x14ac:dyDescent="0.25">
      <c r="A925" s="2"/>
      <c r="E925" s="1"/>
      <c r="F925" s="1"/>
      <c r="G925" s="1"/>
    </row>
    <row r="926" spans="1:7" x14ac:dyDescent="0.25">
      <c r="A926" s="2"/>
      <c r="E926" s="1"/>
      <c r="F926" s="1"/>
      <c r="G926" s="1"/>
    </row>
    <row r="927" spans="1:7" x14ac:dyDescent="0.25">
      <c r="A927" s="2"/>
      <c r="E927" s="1"/>
      <c r="F927" s="1"/>
      <c r="G927" s="1"/>
    </row>
    <row r="928" spans="1:7" x14ac:dyDescent="0.25">
      <c r="A928" s="2"/>
      <c r="E928" s="1"/>
      <c r="F928" s="1"/>
      <c r="G928" s="1"/>
    </row>
    <row r="929" spans="1:7" x14ac:dyDescent="0.25">
      <c r="A929" s="2"/>
      <c r="E929" s="1"/>
      <c r="F929" s="1"/>
      <c r="G929" s="1"/>
    </row>
    <row r="930" spans="1:7" x14ac:dyDescent="0.25">
      <c r="A930" s="2"/>
      <c r="E930" s="1"/>
      <c r="F930" s="1"/>
      <c r="G930" s="1"/>
    </row>
    <row r="931" spans="1:7" x14ac:dyDescent="0.25">
      <c r="A931" s="2"/>
      <c r="E931" s="1"/>
      <c r="F931" s="1"/>
      <c r="G931" s="1"/>
    </row>
    <row r="932" spans="1:7" x14ac:dyDescent="0.25">
      <c r="A932" s="2"/>
      <c r="E932" s="1"/>
      <c r="F932" s="1"/>
      <c r="G932" s="1"/>
    </row>
    <row r="933" spans="1:7" x14ac:dyDescent="0.25">
      <c r="A933" s="2"/>
      <c r="E933" s="1"/>
      <c r="F933" s="1"/>
      <c r="G933" s="1"/>
    </row>
    <row r="934" spans="1:7" x14ac:dyDescent="0.25">
      <c r="A934" s="2"/>
      <c r="E934" s="1"/>
      <c r="F934" s="1"/>
      <c r="G934" s="1"/>
    </row>
    <row r="935" spans="1:7" x14ac:dyDescent="0.25">
      <c r="A935" s="2"/>
      <c r="E935" s="1"/>
      <c r="F935" s="1"/>
      <c r="G935" s="1"/>
    </row>
    <row r="936" spans="1:7" x14ac:dyDescent="0.25">
      <c r="A936" s="2"/>
      <c r="E936" s="1"/>
      <c r="F936" s="1"/>
      <c r="G936" s="1"/>
    </row>
    <row r="937" spans="1:7" x14ac:dyDescent="0.25">
      <c r="A937" s="2"/>
      <c r="E937" s="1"/>
      <c r="F937" s="1"/>
      <c r="G937" s="1"/>
    </row>
    <row r="938" spans="1:7" x14ac:dyDescent="0.25">
      <c r="A938" s="2"/>
      <c r="E938" s="1"/>
      <c r="F938" s="1"/>
      <c r="G938" s="1"/>
    </row>
    <row r="939" spans="1:7" x14ac:dyDescent="0.25">
      <c r="A939" s="2"/>
      <c r="E939" s="1"/>
      <c r="F939" s="1"/>
      <c r="G939" s="1"/>
    </row>
    <row r="940" spans="1:7" x14ac:dyDescent="0.25">
      <c r="A940" s="2"/>
      <c r="E940" s="1"/>
      <c r="F940" s="1"/>
      <c r="G940" s="1"/>
    </row>
    <row r="941" spans="1:7" x14ac:dyDescent="0.25">
      <c r="A941" s="2"/>
      <c r="E941" s="1"/>
      <c r="F941" s="1"/>
      <c r="G941" s="1"/>
    </row>
    <row r="942" spans="1:7" x14ac:dyDescent="0.25">
      <c r="A942" s="2"/>
      <c r="E942" s="1"/>
      <c r="F942" s="1"/>
      <c r="G942" s="1"/>
    </row>
    <row r="943" spans="1:7" x14ac:dyDescent="0.25">
      <c r="A943" s="2"/>
      <c r="E943" s="1"/>
      <c r="F943" s="1"/>
      <c r="G943" s="1"/>
    </row>
    <row r="944" spans="1:7" x14ac:dyDescent="0.25">
      <c r="A944" s="2"/>
      <c r="E944" s="1"/>
      <c r="F944" s="1"/>
      <c r="G944" s="1"/>
    </row>
    <row r="945" spans="1:7" x14ac:dyDescent="0.25">
      <c r="A945" s="2"/>
      <c r="E945" s="1"/>
      <c r="F945" s="1"/>
      <c r="G945" s="1"/>
    </row>
    <row r="946" spans="1:7" x14ac:dyDescent="0.25">
      <c r="A946" s="2"/>
      <c r="E946" s="1"/>
      <c r="F946" s="1"/>
      <c r="G946" s="1"/>
    </row>
    <row r="947" spans="1:7" x14ac:dyDescent="0.25">
      <c r="A947" s="2"/>
      <c r="E947" s="1"/>
      <c r="F947" s="1"/>
      <c r="G947" s="1"/>
    </row>
    <row r="948" spans="1:7" x14ac:dyDescent="0.25">
      <c r="A948" s="2"/>
      <c r="E948" s="1"/>
      <c r="F948" s="1"/>
      <c r="G948" s="1"/>
    </row>
    <row r="949" spans="1:7" x14ac:dyDescent="0.25">
      <c r="A949" s="2"/>
      <c r="E949" s="1"/>
      <c r="F949" s="1"/>
      <c r="G949" s="1"/>
    </row>
    <row r="950" spans="1:7" x14ac:dyDescent="0.25">
      <c r="A950" s="2"/>
      <c r="E950" s="1"/>
      <c r="F950" s="1"/>
      <c r="G950" s="1"/>
    </row>
    <row r="951" spans="1:7" x14ac:dyDescent="0.25">
      <c r="A951" s="2"/>
      <c r="E951" s="1"/>
      <c r="F951" s="1"/>
      <c r="G951" s="1"/>
    </row>
    <row r="952" spans="1:7" x14ac:dyDescent="0.25">
      <c r="A952" s="2"/>
      <c r="E952" s="1"/>
      <c r="F952" s="1"/>
      <c r="G952" s="1"/>
    </row>
    <row r="953" spans="1:7" x14ac:dyDescent="0.25">
      <c r="A953" s="2"/>
      <c r="E953" s="1"/>
      <c r="F953" s="1"/>
      <c r="G953" s="1"/>
    </row>
    <row r="954" spans="1:7" x14ac:dyDescent="0.25">
      <c r="A954" s="2"/>
      <c r="E954" s="1"/>
      <c r="F954" s="1"/>
      <c r="G954" s="1"/>
    </row>
    <row r="955" spans="1:7" x14ac:dyDescent="0.25">
      <c r="A955" s="2"/>
      <c r="E955" s="1"/>
      <c r="F955" s="1"/>
      <c r="G955" s="1"/>
    </row>
    <row r="956" spans="1:7" x14ac:dyDescent="0.25">
      <c r="A956" s="2"/>
      <c r="E956" s="1"/>
      <c r="F956" s="1"/>
      <c r="G956" s="1"/>
    </row>
    <row r="957" spans="1:7" x14ac:dyDescent="0.25">
      <c r="A957" s="2"/>
      <c r="E957" s="1"/>
      <c r="F957" s="1"/>
      <c r="G957" s="1"/>
    </row>
    <row r="958" spans="1:7" x14ac:dyDescent="0.25">
      <c r="A958" s="2"/>
      <c r="E958" s="1"/>
      <c r="F958" s="1"/>
      <c r="G958" s="1"/>
    </row>
    <row r="959" spans="1:7" x14ac:dyDescent="0.25">
      <c r="A959" s="2"/>
      <c r="E959" s="1"/>
      <c r="F959" s="1"/>
      <c r="G959" s="1"/>
    </row>
    <row r="960" spans="1:7" x14ac:dyDescent="0.25">
      <c r="A960" s="2"/>
      <c r="E960" s="1"/>
      <c r="F960" s="1"/>
      <c r="G960" s="1"/>
    </row>
    <row r="961" spans="1:7" x14ac:dyDescent="0.25">
      <c r="A961" s="2"/>
      <c r="E961" s="1"/>
      <c r="F961" s="1"/>
      <c r="G961" s="1"/>
    </row>
    <row r="962" spans="1:7" x14ac:dyDescent="0.25">
      <c r="A962" s="2"/>
      <c r="E962" s="1"/>
      <c r="F962" s="1"/>
      <c r="G962" s="1"/>
    </row>
    <row r="963" spans="1:7" x14ac:dyDescent="0.25">
      <c r="A963" s="2"/>
      <c r="E963" s="1"/>
      <c r="F963" s="1"/>
      <c r="G963" s="1"/>
    </row>
    <row r="964" spans="1:7" x14ac:dyDescent="0.25">
      <c r="A964" s="2"/>
      <c r="E964" s="1"/>
      <c r="F964" s="1"/>
      <c r="G964" s="1"/>
    </row>
    <row r="965" spans="1:7" x14ac:dyDescent="0.25">
      <c r="A965" s="2"/>
      <c r="E965" s="1"/>
      <c r="F965" s="1"/>
      <c r="G965" s="1"/>
    </row>
    <row r="966" spans="1:7" x14ac:dyDescent="0.25">
      <c r="A966" s="2"/>
      <c r="E966" s="1"/>
      <c r="F966" s="1"/>
      <c r="G966" s="1"/>
    </row>
    <row r="967" spans="1:7" x14ac:dyDescent="0.25">
      <c r="A967" s="2"/>
      <c r="E967" s="1"/>
      <c r="F967" s="1"/>
      <c r="G967" s="1"/>
    </row>
    <row r="968" spans="1:7" x14ac:dyDescent="0.25">
      <c r="A968" s="2"/>
      <c r="E968" s="1"/>
      <c r="F968" s="1"/>
      <c r="G968" s="1"/>
    </row>
    <row r="969" spans="1:7" x14ac:dyDescent="0.25">
      <c r="A969" s="2"/>
      <c r="E969" s="1"/>
      <c r="F969" s="1"/>
      <c r="G969" s="1"/>
    </row>
    <row r="970" spans="1:7" x14ac:dyDescent="0.25">
      <c r="A970" s="2"/>
      <c r="E970" s="1"/>
      <c r="F970" s="1"/>
      <c r="G970" s="1"/>
    </row>
    <row r="971" spans="1:7" x14ac:dyDescent="0.25">
      <c r="A971" s="2"/>
      <c r="E971" s="1"/>
      <c r="F971" s="1"/>
      <c r="G971" s="1"/>
    </row>
    <row r="972" spans="1:7" x14ac:dyDescent="0.25">
      <c r="A972" s="2"/>
      <c r="E972" s="1"/>
      <c r="F972" s="1"/>
      <c r="G972" s="1"/>
    </row>
    <row r="973" spans="1:7" x14ac:dyDescent="0.25">
      <c r="A973" s="2"/>
      <c r="E973" s="1"/>
      <c r="F973" s="1"/>
      <c r="G973" s="1"/>
    </row>
    <row r="974" spans="1:7" x14ac:dyDescent="0.25">
      <c r="A974" s="2"/>
      <c r="E974" s="1"/>
      <c r="F974" s="1"/>
      <c r="G974" s="1"/>
    </row>
    <row r="975" spans="1:7" x14ac:dyDescent="0.25">
      <c r="A975" s="2"/>
      <c r="E975" s="1"/>
      <c r="F975" s="1"/>
      <c r="G975" s="1"/>
    </row>
    <row r="976" spans="1:7" x14ac:dyDescent="0.25">
      <c r="A976" s="2"/>
      <c r="E976" s="1"/>
      <c r="F976" s="1"/>
      <c r="G976" s="1"/>
    </row>
    <row r="977" spans="1:7" x14ac:dyDescent="0.25">
      <c r="A977" s="2"/>
      <c r="E977" s="1"/>
      <c r="F977" s="1"/>
      <c r="G977" s="1"/>
    </row>
    <row r="978" spans="1:7" x14ac:dyDescent="0.25">
      <c r="A978" s="2"/>
      <c r="E978" s="1"/>
      <c r="F978" s="1"/>
      <c r="G978" s="1"/>
    </row>
    <row r="979" spans="1:7" x14ac:dyDescent="0.25">
      <c r="A979" s="2"/>
      <c r="E979" s="1"/>
      <c r="F979" s="1"/>
      <c r="G979" s="1"/>
    </row>
    <row r="980" spans="1:7" x14ac:dyDescent="0.25">
      <c r="A980" s="2"/>
      <c r="E980" s="1"/>
      <c r="F980" s="1"/>
      <c r="G980" s="1"/>
    </row>
    <row r="981" spans="1:7" x14ac:dyDescent="0.25">
      <c r="A981" s="2"/>
      <c r="E981" s="1"/>
      <c r="F981" s="1"/>
      <c r="G981" s="1"/>
    </row>
    <row r="982" spans="1:7" x14ac:dyDescent="0.25">
      <c r="A982" s="2"/>
      <c r="E982" s="1"/>
      <c r="F982" s="1"/>
      <c r="G982" s="1"/>
    </row>
    <row r="983" spans="1:7" x14ac:dyDescent="0.25">
      <c r="A983" s="2"/>
      <c r="E983" s="1"/>
      <c r="F983" s="1"/>
      <c r="G983" s="1"/>
    </row>
    <row r="984" spans="1:7" x14ac:dyDescent="0.25">
      <c r="A984" s="2"/>
      <c r="E984" s="1"/>
      <c r="F984" s="1"/>
      <c r="G984" s="1"/>
    </row>
    <row r="985" spans="1:7" x14ac:dyDescent="0.25">
      <c r="A985" s="2"/>
      <c r="E985" s="1"/>
      <c r="F985" s="1"/>
      <c r="G985" s="1"/>
    </row>
    <row r="986" spans="1:7" x14ac:dyDescent="0.25">
      <c r="A986" s="2"/>
      <c r="E986" s="1"/>
      <c r="F986" s="1"/>
      <c r="G986" s="1"/>
    </row>
    <row r="987" spans="1:7" x14ac:dyDescent="0.25">
      <c r="A987" s="2"/>
      <c r="E987" s="1"/>
      <c r="F987" s="1"/>
      <c r="G987" s="1"/>
    </row>
    <row r="988" spans="1:7" x14ac:dyDescent="0.25">
      <c r="A988" s="2"/>
      <c r="E988" s="1"/>
      <c r="F988" s="1"/>
      <c r="G988" s="1"/>
    </row>
    <row r="989" spans="1:7" x14ac:dyDescent="0.25">
      <c r="A989" s="2"/>
      <c r="E989" s="1"/>
      <c r="F989" s="1"/>
      <c r="G989" s="1"/>
    </row>
    <row r="990" spans="1:7" x14ac:dyDescent="0.25">
      <c r="A990" s="2"/>
      <c r="E990" s="1"/>
      <c r="F990" s="1"/>
      <c r="G990" s="1"/>
    </row>
    <row r="991" spans="1:7" x14ac:dyDescent="0.25">
      <c r="A991" s="2"/>
      <c r="E991" s="1"/>
      <c r="F991" s="1"/>
      <c r="G991" s="1"/>
    </row>
    <row r="992" spans="1:7" x14ac:dyDescent="0.25">
      <c r="A992" s="2"/>
      <c r="E992" s="1"/>
      <c r="F992" s="1"/>
      <c r="G992" s="1"/>
    </row>
    <row r="993" spans="1:7" x14ac:dyDescent="0.25">
      <c r="A993" s="2"/>
      <c r="E993" s="1"/>
      <c r="F993" s="1"/>
      <c r="G993" s="1"/>
    </row>
    <row r="994" spans="1:7" x14ac:dyDescent="0.25">
      <c r="A994" s="2"/>
      <c r="E994" s="1"/>
      <c r="F994" s="1"/>
      <c r="G994" s="1"/>
    </row>
    <row r="995" spans="1:7" x14ac:dyDescent="0.25">
      <c r="A995" s="2"/>
      <c r="E995" s="1"/>
      <c r="F995" s="1"/>
      <c r="G995" s="1"/>
    </row>
    <row r="996" spans="1:7" x14ac:dyDescent="0.25">
      <c r="A996" s="2"/>
      <c r="E996" s="1"/>
      <c r="F996" s="1"/>
      <c r="G996" s="1"/>
    </row>
    <row r="997" spans="1:7" x14ac:dyDescent="0.25">
      <c r="A997" s="2"/>
      <c r="E997" s="1"/>
      <c r="F997" s="1"/>
      <c r="G997" s="1"/>
    </row>
    <row r="998" spans="1:7" x14ac:dyDescent="0.25">
      <c r="E998" s="1"/>
      <c r="F998" s="1"/>
      <c r="G998" s="1"/>
    </row>
  </sheetData>
  <sortState xmlns:xlrd2="http://schemas.microsoft.com/office/spreadsheetml/2017/richdata2" ref="M15:M770">
    <sortCondition ref="M15:M770"/>
  </sortState>
  <mergeCells count="2">
    <mergeCell ref="E3:G3"/>
    <mergeCell ref="B3:D3"/>
  </mergeCells>
  <phoneticPr fontId="0" type="noConversion"/>
  <pageMargins left="0.75" right="0.75" top="1" bottom="1" header="0.5" footer="0.5"/>
  <pageSetup paperSize="0" orientation="portrait" horizontalDpi="0" verticalDpi="0" copies="0"/>
  <headerFooter alignWithMargins="0">
    <oddHeader>&amp;A</oddHeader>
    <oddFooter>Page &amp;P</oddFooter>
  </headerFooter>
  <drawing r:id="rId1"/>
  <legacyDrawing r:id="rId2"/>
  <oleObjects>
    <mc:AlternateContent xmlns:mc="http://schemas.openxmlformats.org/markup-compatibility/2006">
      <mc:Choice Requires="x14">
        <oleObject progId="Equation.3" shapeId="40961" r:id="rId3">
          <objectPr defaultSize="0" autoPict="0" r:id="rId4">
            <anchor moveWithCells="1" sizeWithCells="1">
              <from>
                <xdr:col>15</xdr:col>
                <xdr:colOff>107950</xdr:colOff>
                <xdr:row>0</xdr:row>
                <xdr:rowOff>127000</xdr:rowOff>
              </from>
              <to>
                <xdr:col>18</xdr:col>
                <xdr:colOff>69850</xdr:colOff>
                <xdr:row>4</xdr:row>
                <xdr:rowOff>69850</xdr:rowOff>
              </to>
            </anchor>
          </objectPr>
        </oleObject>
      </mc:Choice>
      <mc:Fallback>
        <oleObject progId="Equation.3" shapeId="40961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DB199-0207-4A60-9215-D60BD563BF2D}">
  <sheetPr codeName="Sheet2"/>
  <dimension ref="A1:T998"/>
  <sheetViews>
    <sheetView topLeftCell="D1" workbookViewId="0">
      <selection activeCell="K2" sqref="K2"/>
    </sheetView>
  </sheetViews>
  <sheetFormatPr defaultRowHeight="12.5" x14ac:dyDescent="0.25"/>
  <cols>
    <col min="1" max="1" width="11.81640625" style="11" customWidth="1"/>
    <col min="2" max="2" width="9.81640625" style="11" customWidth="1"/>
    <col min="3" max="3" width="12.1796875" style="11" customWidth="1"/>
    <col min="4" max="4" width="10.81640625" style="11" customWidth="1"/>
    <col min="5" max="5" width="12.26953125" style="11" bestFit="1" customWidth="1"/>
    <col min="6" max="6" width="10.7265625" style="11" customWidth="1"/>
    <col min="7" max="7" width="12.453125" style="11" customWidth="1"/>
    <col min="8" max="8" width="11.81640625" style="11" customWidth="1"/>
    <col min="9" max="9" width="15.7265625" style="11" customWidth="1"/>
    <col min="10" max="10" width="13.7265625" style="11" bestFit="1" customWidth="1"/>
    <col min="11" max="11" width="16.36328125" style="11" customWidth="1"/>
    <col min="12" max="12" width="12.54296875" style="11" bestFit="1" customWidth="1"/>
    <col min="13" max="13" width="16.26953125" style="11" bestFit="1" customWidth="1"/>
    <col min="14" max="14" width="16.54296875" style="11" customWidth="1"/>
    <col min="15" max="15" width="8.7265625" style="11"/>
    <col min="16" max="16" width="11.6328125" style="11" customWidth="1"/>
    <col min="17" max="17" width="10.1796875" style="11" bestFit="1" customWidth="1"/>
    <col min="18" max="16384" width="8.7265625" style="11"/>
  </cols>
  <sheetData>
    <row r="1" spans="1:20" x14ac:dyDescent="0.25">
      <c r="J1" s="13" t="s">
        <v>15</v>
      </c>
      <c r="K1" s="12">
        <f>+COUNT(H5:H760)</f>
        <v>0</v>
      </c>
      <c r="L1" s="10"/>
      <c r="M1" s="10"/>
      <c r="R1" s="13"/>
      <c r="S1" s="13"/>
    </row>
    <row r="2" spans="1:20" ht="13" x14ac:dyDescent="0.3">
      <c r="H2" s="5"/>
      <c r="I2" s="5"/>
      <c r="J2" s="11" t="s">
        <v>3</v>
      </c>
      <c r="K2" s="6">
        <v>0.99</v>
      </c>
      <c r="L2" s="12"/>
      <c r="M2" s="12"/>
      <c r="P2" s="13"/>
      <c r="Q2" s="2"/>
    </row>
    <row r="3" spans="1:20" ht="13" x14ac:dyDescent="0.3">
      <c r="A3" s="3"/>
      <c r="B3" s="106" t="s">
        <v>8</v>
      </c>
      <c r="C3" s="109"/>
      <c r="D3" s="110"/>
      <c r="E3" s="106" t="s">
        <v>7</v>
      </c>
      <c r="F3" s="107"/>
      <c r="G3" s="108"/>
      <c r="J3" s="13" t="s">
        <v>16</v>
      </c>
      <c r="K3" s="40">
        <f>+SUM(B5:D5)</f>
        <v>20987</v>
      </c>
      <c r="L3" s="12"/>
      <c r="M3" s="12"/>
      <c r="Q3" s="2"/>
    </row>
    <row r="4" spans="1:20" ht="26" x14ac:dyDescent="0.3">
      <c r="A4" s="28" t="s">
        <v>9</v>
      </c>
      <c r="B4" s="7" t="s">
        <v>0</v>
      </c>
      <c r="C4" s="8" t="s">
        <v>10</v>
      </c>
      <c r="D4" s="9" t="s">
        <v>1</v>
      </c>
      <c r="E4" s="7" t="s">
        <v>0</v>
      </c>
      <c r="F4" s="8" t="s">
        <v>10</v>
      </c>
      <c r="G4" s="9" t="s">
        <v>1</v>
      </c>
      <c r="H4" s="34" t="s">
        <v>13</v>
      </c>
      <c r="I4" s="19"/>
      <c r="J4" s="19" t="s">
        <v>11</v>
      </c>
      <c r="K4" s="12"/>
      <c r="L4" s="12"/>
      <c r="M4" s="12"/>
      <c r="Q4" s="2"/>
    </row>
    <row r="5" spans="1:20" x14ac:dyDescent="0.25">
      <c r="A5" s="2">
        <v>45400</v>
      </c>
      <c r="B5" s="20">
        <v>3020</v>
      </c>
      <c r="C5" s="20">
        <v>922</v>
      </c>
      <c r="D5" s="20">
        <v>17045</v>
      </c>
      <c r="E5" s="17" t="s">
        <v>92</v>
      </c>
      <c r="F5" s="17" t="s">
        <v>92</v>
      </c>
      <c r="G5" s="17" t="s">
        <v>92</v>
      </c>
      <c r="H5" s="17" t="s">
        <v>92</v>
      </c>
      <c r="I5" s="4"/>
      <c r="J5" s="13"/>
      <c r="Q5" s="2"/>
    </row>
    <row r="6" spans="1:20" ht="13.5" thickBot="1" x14ac:dyDescent="0.35">
      <c r="A6" s="2">
        <v>45399</v>
      </c>
      <c r="B6" s="20">
        <v>3026</v>
      </c>
      <c r="C6" s="20">
        <v>925</v>
      </c>
      <c r="D6" s="20">
        <v>17210</v>
      </c>
      <c r="E6" s="17" t="s">
        <v>92</v>
      </c>
      <c r="F6" s="17" t="s">
        <v>92</v>
      </c>
      <c r="G6" s="17" t="s">
        <v>92</v>
      </c>
      <c r="H6" s="17" t="s">
        <v>92</v>
      </c>
      <c r="I6" s="4"/>
      <c r="J6" s="15"/>
      <c r="K6" s="7" t="s">
        <v>0</v>
      </c>
      <c r="L6" s="8" t="s">
        <v>10</v>
      </c>
      <c r="M6" s="9" t="s">
        <v>1</v>
      </c>
      <c r="N6" s="19" t="s">
        <v>12</v>
      </c>
      <c r="Q6" s="2"/>
    </row>
    <row r="7" spans="1:20" ht="13" thickTop="1" x14ac:dyDescent="0.25">
      <c r="A7" s="2">
        <v>45398</v>
      </c>
      <c r="B7" s="20">
        <v>2968</v>
      </c>
      <c r="C7" s="20">
        <v>916</v>
      </c>
      <c r="D7" s="20">
        <v>17030</v>
      </c>
      <c r="E7" s="17" t="s">
        <v>92</v>
      </c>
      <c r="F7" s="17" t="s">
        <v>92</v>
      </c>
      <c r="G7" s="17" t="s">
        <v>92</v>
      </c>
      <c r="H7" s="17" t="s">
        <v>92</v>
      </c>
      <c r="I7" s="4"/>
      <c r="J7" s="11" t="s">
        <v>2</v>
      </c>
      <c r="K7" s="14"/>
      <c r="L7" s="14"/>
      <c r="M7" s="14"/>
      <c r="N7" s="14"/>
      <c r="P7" s="23"/>
      <c r="Q7" s="2"/>
    </row>
    <row r="8" spans="1:20" x14ac:dyDescent="0.25">
      <c r="A8" s="2">
        <v>45397</v>
      </c>
      <c r="B8" s="20">
        <v>3048</v>
      </c>
      <c r="C8" s="20">
        <v>920</v>
      </c>
      <c r="D8" s="20">
        <v>17700</v>
      </c>
      <c r="E8" s="17" t="s">
        <v>92</v>
      </c>
      <c r="F8" s="17" t="s">
        <v>92</v>
      </c>
      <c r="G8" s="17" t="s">
        <v>92</v>
      </c>
      <c r="H8" s="17" t="s">
        <v>92</v>
      </c>
      <c r="I8" s="4"/>
      <c r="J8" s="13" t="s">
        <v>6</v>
      </c>
      <c r="K8" s="21"/>
      <c r="L8" s="21"/>
      <c r="M8" s="21"/>
      <c r="N8" s="21"/>
      <c r="P8" s="27"/>
      <c r="Q8" s="25"/>
      <c r="R8" s="24"/>
      <c r="S8" s="24"/>
      <c r="T8" s="24"/>
    </row>
    <row r="9" spans="1:20" x14ac:dyDescent="0.25">
      <c r="A9" s="2">
        <v>45394</v>
      </c>
      <c r="B9" s="20">
        <v>3048</v>
      </c>
      <c r="C9" s="20">
        <v>915</v>
      </c>
      <c r="D9" s="20">
        <v>17600</v>
      </c>
      <c r="E9" s="17" t="s">
        <v>92</v>
      </c>
      <c r="F9" s="17" t="s">
        <v>92</v>
      </c>
      <c r="G9" s="17" t="s">
        <v>92</v>
      </c>
      <c r="H9" s="17" t="s">
        <v>92</v>
      </c>
      <c r="I9" s="4"/>
      <c r="J9" s="22" t="s">
        <v>14</v>
      </c>
      <c r="K9" s="14">
        <f>+B5/SUM($B$5:$D$5)</f>
        <v>0.14389860389765094</v>
      </c>
      <c r="L9" s="14">
        <f t="shared" ref="L9:M9" si="0">+C5/SUM($B$5:$D$5)</f>
        <v>4.3931957878686805E-2</v>
      </c>
      <c r="M9" s="14">
        <f t="shared" si="0"/>
        <v>0.81216943822366228</v>
      </c>
      <c r="P9" s="27"/>
      <c r="Q9" s="25"/>
      <c r="R9" s="24"/>
      <c r="S9" s="24"/>
      <c r="T9" s="24"/>
    </row>
    <row r="10" spans="1:20" x14ac:dyDescent="0.25">
      <c r="A10" s="2">
        <v>45393</v>
      </c>
      <c r="B10" s="20">
        <v>3030</v>
      </c>
      <c r="C10" s="20">
        <v>930</v>
      </c>
      <c r="D10" s="20">
        <v>17475</v>
      </c>
      <c r="E10" s="17" t="s">
        <v>92</v>
      </c>
      <c r="F10" s="17" t="s">
        <v>92</v>
      </c>
      <c r="G10" s="17" t="s">
        <v>92</v>
      </c>
      <c r="H10" s="17" t="s">
        <v>92</v>
      </c>
      <c r="J10" s="22" t="s">
        <v>5</v>
      </c>
      <c r="K10" s="14"/>
      <c r="L10" s="14"/>
      <c r="M10" s="14"/>
      <c r="N10" s="14"/>
      <c r="O10" s="12"/>
      <c r="P10" s="27"/>
      <c r="Q10" s="26"/>
      <c r="R10" s="24"/>
      <c r="S10" s="24"/>
      <c r="T10" s="24"/>
    </row>
    <row r="11" spans="1:20" x14ac:dyDescent="0.25">
      <c r="A11" s="2">
        <v>45392</v>
      </c>
      <c r="B11" s="20">
        <v>3020</v>
      </c>
      <c r="C11" s="20">
        <v>931</v>
      </c>
      <c r="D11" s="20">
        <v>17550</v>
      </c>
      <c r="E11" s="17" t="s">
        <v>92</v>
      </c>
      <c r="F11" s="17" t="s">
        <v>92</v>
      </c>
      <c r="G11" s="17" t="s">
        <v>92</v>
      </c>
      <c r="H11" s="17" t="s">
        <v>92</v>
      </c>
      <c r="N11" s="33"/>
      <c r="O11" s="12"/>
      <c r="P11" s="27"/>
      <c r="Q11" s="25"/>
      <c r="R11" s="24"/>
      <c r="S11" s="24"/>
      <c r="T11" s="24"/>
    </row>
    <row r="12" spans="1:20" x14ac:dyDescent="0.25">
      <c r="A12" s="2">
        <v>45391</v>
      </c>
      <c r="B12" s="20">
        <v>3054</v>
      </c>
      <c r="C12" s="20">
        <v>916</v>
      </c>
      <c r="D12" s="20">
        <v>16895</v>
      </c>
      <c r="E12" s="17" t="s">
        <v>92</v>
      </c>
      <c r="F12" s="17" t="s">
        <v>92</v>
      </c>
      <c r="G12" s="17" t="s">
        <v>92</v>
      </c>
      <c r="H12" s="17" t="s">
        <v>92</v>
      </c>
      <c r="N12" s="18"/>
      <c r="O12" s="12"/>
      <c r="P12" s="27"/>
      <c r="Q12" s="25"/>
      <c r="R12" s="24"/>
      <c r="S12" s="24"/>
      <c r="T12" s="24"/>
    </row>
    <row r="13" spans="1:20" x14ac:dyDescent="0.25">
      <c r="A13" s="2">
        <v>45390</v>
      </c>
      <c r="B13" s="20">
        <v>3066</v>
      </c>
      <c r="C13" s="20">
        <v>919</v>
      </c>
      <c r="D13" s="20">
        <v>17000</v>
      </c>
      <c r="E13" s="17" t="s">
        <v>92</v>
      </c>
      <c r="F13" s="17" t="s">
        <v>92</v>
      </c>
      <c r="G13" s="17" t="s">
        <v>92</v>
      </c>
      <c r="H13" s="17" t="s">
        <v>92</v>
      </c>
      <c r="I13" s="4"/>
      <c r="J13" s="48" t="s">
        <v>18</v>
      </c>
      <c r="K13" s="21">
        <v>0.98</v>
      </c>
      <c r="L13" s="21"/>
      <c r="M13" s="21"/>
      <c r="N13" s="18"/>
      <c r="O13" s="12"/>
      <c r="P13" s="27"/>
      <c r="Q13" s="26"/>
      <c r="R13" s="24"/>
      <c r="S13" s="24"/>
      <c r="T13" s="24"/>
    </row>
    <row r="14" spans="1:20" ht="26.5" thickBot="1" x14ac:dyDescent="0.3">
      <c r="A14" s="2">
        <v>45387</v>
      </c>
      <c r="B14" s="20">
        <v>3050</v>
      </c>
      <c r="C14" s="20">
        <v>909</v>
      </c>
      <c r="D14" s="20">
        <v>17025</v>
      </c>
      <c r="E14" s="17" t="s">
        <v>92</v>
      </c>
      <c r="F14" s="17" t="s">
        <v>92</v>
      </c>
      <c r="G14" s="17" t="s">
        <v>92</v>
      </c>
      <c r="H14" s="17" t="s">
        <v>92</v>
      </c>
      <c r="I14" s="38"/>
      <c r="J14" s="44" t="s">
        <v>17</v>
      </c>
      <c r="K14" s="45" t="s">
        <v>19</v>
      </c>
      <c r="L14" s="46" t="s">
        <v>13</v>
      </c>
      <c r="M14" s="44"/>
      <c r="N14" s="46" t="s">
        <v>19</v>
      </c>
      <c r="O14" s="46" t="s">
        <v>13</v>
      </c>
      <c r="P14" s="27"/>
      <c r="Q14" s="25"/>
      <c r="R14" s="24"/>
      <c r="S14" s="24"/>
      <c r="T14" s="24"/>
    </row>
    <row r="15" spans="1:20" ht="13" thickTop="1" x14ac:dyDescent="0.25">
      <c r="A15" s="2">
        <v>45386</v>
      </c>
      <c r="B15" s="20">
        <v>3024</v>
      </c>
      <c r="C15" s="20">
        <v>910</v>
      </c>
      <c r="D15" s="20">
        <v>17180</v>
      </c>
      <c r="E15" s="17" t="s">
        <v>92</v>
      </c>
      <c r="F15" s="17" t="s">
        <v>92</v>
      </c>
      <c r="G15" s="17" t="s">
        <v>92</v>
      </c>
      <c r="H15" s="17" t="s">
        <v>92</v>
      </c>
      <c r="I15" s="39"/>
      <c r="J15" s="47">
        <f>+K1</f>
        <v>0</v>
      </c>
      <c r="K15" s="49"/>
      <c r="L15" s="17"/>
      <c r="M15" s="27"/>
      <c r="N15" s="49"/>
      <c r="O15" s="27"/>
      <c r="P15" s="27"/>
      <c r="Q15" s="25"/>
      <c r="R15" s="24"/>
      <c r="S15" s="24"/>
      <c r="T15" s="24"/>
    </row>
    <row r="16" spans="1:20" x14ac:dyDescent="0.25">
      <c r="A16" s="2">
        <v>45385</v>
      </c>
      <c r="B16" s="20">
        <v>3014</v>
      </c>
      <c r="C16" s="20">
        <v>900</v>
      </c>
      <c r="D16" s="20">
        <v>17300</v>
      </c>
      <c r="E16" s="17" t="s">
        <v>92</v>
      </c>
      <c r="F16" s="17" t="s">
        <v>92</v>
      </c>
      <c r="G16" s="17" t="s">
        <v>92</v>
      </c>
      <c r="H16" s="17" t="s">
        <v>92</v>
      </c>
      <c r="I16" s="39"/>
      <c r="J16" s="47">
        <f>+J15-1</f>
        <v>-1</v>
      </c>
      <c r="K16" s="49"/>
      <c r="L16" s="17"/>
      <c r="M16" s="27"/>
      <c r="N16" s="49"/>
      <c r="O16" s="27"/>
      <c r="Q16" s="26"/>
      <c r="R16" s="24"/>
      <c r="S16" s="24"/>
      <c r="T16" s="24"/>
    </row>
    <row r="17" spans="1:20" x14ac:dyDescent="0.25">
      <c r="A17" s="2">
        <v>45384</v>
      </c>
      <c r="B17" s="20">
        <v>2964</v>
      </c>
      <c r="C17" s="20">
        <v>893</v>
      </c>
      <c r="D17" s="20">
        <v>16935</v>
      </c>
      <c r="E17" s="17" t="s">
        <v>92</v>
      </c>
      <c r="F17" s="17" t="s">
        <v>92</v>
      </c>
      <c r="G17" s="17" t="s">
        <v>92</v>
      </c>
      <c r="H17" s="17" t="s">
        <v>92</v>
      </c>
      <c r="I17" s="39"/>
      <c r="J17" s="47">
        <f t="shared" ref="J17:J80" si="1">+J16-1</f>
        <v>-2</v>
      </c>
      <c r="K17" s="49"/>
      <c r="L17" s="17"/>
      <c r="M17" s="27"/>
      <c r="N17" s="49"/>
      <c r="O17" s="27"/>
      <c r="Q17" s="25"/>
      <c r="R17" s="24"/>
      <c r="S17" s="24"/>
      <c r="T17" s="24"/>
    </row>
    <row r="18" spans="1:20" x14ac:dyDescent="0.25">
      <c r="A18" s="2">
        <v>45379</v>
      </c>
      <c r="B18" s="20">
        <v>2960</v>
      </c>
      <c r="C18" s="20">
        <v>897</v>
      </c>
      <c r="D18" s="20">
        <v>16800</v>
      </c>
      <c r="E18" s="17" t="s">
        <v>92</v>
      </c>
      <c r="F18" s="17" t="s">
        <v>92</v>
      </c>
      <c r="G18" s="17" t="s">
        <v>92</v>
      </c>
      <c r="H18" s="17" t="s">
        <v>92</v>
      </c>
      <c r="I18" s="39"/>
      <c r="J18" s="47">
        <f t="shared" si="1"/>
        <v>-3</v>
      </c>
      <c r="K18" s="49"/>
      <c r="L18" s="17"/>
      <c r="M18" s="27"/>
      <c r="N18" s="49"/>
      <c r="O18" s="27"/>
      <c r="Q18" s="2"/>
      <c r="R18" s="24"/>
      <c r="S18" s="24"/>
      <c r="T18" s="24"/>
    </row>
    <row r="19" spans="1:20" x14ac:dyDescent="0.25">
      <c r="A19" s="2">
        <v>45378</v>
      </c>
      <c r="B19" s="20">
        <v>2920</v>
      </c>
      <c r="C19" s="20">
        <v>890</v>
      </c>
      <c r="D19" s="20">
        <v>16600</v>
      </c>
      <c r="E19" s="17" t="s">
        <v>92</v>
      </c>
      <c r="F19" s="17" t="s">
        <v>92</v>
      </c>
      <c r="G19" s="17" t="s">
        <v>92</v>
      </c>
      <c r="H19" s="17" t="s">
        <v>92</v>
      </c>
      <c r="I19" s="39"/>
      <c r="J19" s="47">
        <f t="shared" si="1"/>
        <v>-4</v>
      </c>
      <c r="K19" s="49"/>
      <c r="L19" s="17"/>
      <c r="M19" s="27"/>
      <c r="N19" s="49"/>
      <c r="O19" s="27"/>
      <c r="Q19" s="2"/>
      <c r="R19" s="24"/>
      <c r="S19" s="24"/>
      <c r="T19" s="24"/>
    </row>
    <row r="20" spans="1:20" x14ac:dyDescent="0.25">
      <c r="A20" s="2">
        <v>45377</v>
      </c>
      <c r="B20" s="20">
        <v>2924</v>
      </c>
      <c r="C20" s="20">
        <v>890</v>
      </c>
      <c r="D20" s="20">
        <v>16705</v>
      </c>
      <c r="E20" s="17" t="s">
        <v>92</v>
      </c>
      <c r="F20" s="17" t="s">
        <v>92</v>
      </c>
      <c r="G20" s="17" t="s">
        <v>92</v>
      </c>
      <c r="H20" s="17" t="s">
        <v>92</v>
      </c>
      <c r="I20" s="39"/>
      <c r="J20" s="47">
        <f t="shared" si="1"/>
        <v>-5</v>
      </c>
      <c r="K20" s="49"/>
      <c r="L20" s="17"/>
      <c r="M20" s="27"/>
      <c r="N20" s="49"/>
      <c r="O20" s="27"/>
      <c r="Q20" s="2"/>
      <c r="R20" s="24"/>
      <c r="S20" s="24"/>
      <c r="T20" s="24"/>
    </row>
    <row r="21" spans="1:20" x14ac:dyDescent="0.25">
      <c r="A21" s="2">
        <v>45376</v>
      </c>
      <c r="B21" s="20">
        <v>2918</v>
      </c>
      <c r="C21" s="20">
        <v>892</v>
      </c>
      <c r="D21" s="20">
        <v>16850</v>
      </c>
      <c r="E21" s="17" t="s">
        <v>92</v>
      </c>
      <c r="F21" s="17" t="s">
        <v>92</v>
      </c>
      <c r="G21" s="17" t="s">
        <v>92</v>
      </c>
      <c r="H21" s="17" t="s">
        <v>92</v>
      </c>
      <c r="I21" s="39"/>
      <c r="J21" s="47">
        <f t="shared" si="1"/>
        <v>-6</v>
      </c>
      <c r="K21" s="49"/>
      <c r="L21" s="17"/>
      <c r="M21" s="27"/>
      <c r="N21" s="49"/>
      <c r="O21" s="27"/>
      <c r="Q21" s="2"/>
      <c r="R21" s="24"/>
      <c r="S21" s="24"/>
      <c r="T21" s="24"/>
    </row>
    <row r="22" spans="1:20" x14ac:dyDescent="0.25">
      <c r="A22" s="2">
        <v>45373</v>
      </c>
      <c r="B22" s="20">
        <v>2932</v>
      </c>
      <c r="C22" s="20">
        <v>890</v>
      </c>
      <c r="D22" s="20">
        <v>17000</v>
      </c>
      <c r="E22" s="17" t="s">
        <v>92</v>
      </c>
      <c r="F22" s="17" t="s">
        <v>92</v>
      </c>
      <c r="G22" s="17" t="s">
        <v>92</v>
      </c>
      <c r="H22" s="17" t="s">
        <v>92</v>
      </c>
      <c r="I22" s="39"/>
      <c r="J22" s="47">
        <f t="shared" si="1"/>
        <v>-7</v>
      </c>
      <c r="K22" s="49"/>
      <c r="L22" s="42"/>
      <c r="M22" s="43"/>
      <c r="N22" s="49"/>
      <c r="O22" s="27"/>
      <c r="Q22" s="2"/>
      <c r="R22" s="24"/>
      <c r="S22" s="24"/>
      <c r="T22" s="24"/>
    </row>
    <row r="23" spans="1:20" x14ac:dyDescent="0.25">
      <c r="A23" s="2">
        <v>45372</v>
      </c>
      <c r="B23" s="20">
        <v>2940</v>
      </c>
      <c r="C23" s="20">
        <v>901</v>
      </c>
      <c r="D23" s="20">
        <v>17195</v>
      </c>
      <c r="E23" s="17" t="s">
        <v>92</v>
      </c>
      <c r="F23" s="17" t="s">
        <v>92</v>
      </c>
      <c r="G23" s="17" t="s">
        <v>92</v>
      </c>
      <c r="H23" s="17" t="s">
        <v>92</v>
      </c>
      <c r="I23" s="39"/>
      <c r="J23" s="47">
        <f t="shared" si="1"/>
        <v>-8</v>
      </c>
      <c r="K23" s="49"/>
      <c r="L23" s="17"/>
      <c r="M23" s="27"/>
      <c r="N23" s="49"/>
      <c r="O23" s="27"/>
      <c r="Q23" s="2"/>
      <c r="R23" s="24"/>
      <c r="S23" s="24"/>
      <c r="T23" s="24"/>
    </row>
    <row r="24" spans="1:20" x14ac:dyDescent="0.25">
      <c r="A24" s="2">
        <v>45371</v>
      </c>
      <c r="B24" s="20">
        <v>2970</v>
      </c>
      <c r="C24" s="20">
        <v>891</v>
      </c>
      <c r="D24" s="20">
        <v>17245</v>
      </c>
      <c r="E24" s="17" t="s">
        <v>92</v>
      </c>
      <c r="F24" s="17" t="s">
        <v>92</v>
      </c>
      <c r="G24" s="17" t="s">
        <v>92</v>
      </c>
      <c r="H24" s="17" t="s">
        <v>92</v>
      </c>
      <c r="I24" s="39"/>
      <c r="J24" s="47">
        <f t="shared" si="1"/>
        <v>-9</v>
      </c>
      <c r="K24" s="49"/>
      <c r="L24" s="17"/>
      <c r="M24" s="27"/>
      <c r="N24" s="49"/>
      <c r="O24" s="27"/>
      <c r="Q24" s="2"/>
      <c r="R24" s="24"/>
      <c r="S24" s="24"/>
      <c r="T24" s="24"/>
    </row>
    <row r="25" spans="1:20" x14ac:dyDescent="0.25">
      <c r="A25" s="2">
        <v>45370</v>
      </c>
      <c r="B25" s="20">
        <v>2964</v>
      </c>
      <c r="C25" s="20">
        <v>890</v>
      </c>
      <c r="D25" s="20">
        <v>17270</v>
      </c>
      <c r="E25" s="17" t="s">
        <v>92</v>
      </c>
      <c r="F25" s="17" t="s">
        <v>92</v>
      </c>
      <c r="G25" s="17" t="s">
        <v>92</v>
      </c>
      <c r="H25" s="17" t="s">
        <v>92</v>
      </c>
      <c r="I25" s="39"/>
      <c r="J25" s="47">
        <f t="shared" si="1"/>
        <v>-10</v>
      </c>
      <c r="K25" s="49"/>
      <c r="L25" s="17"/>
      <c r="M25" s="27"/>
      <c r="N25" s="49"/>
      <c r="O25" s="27"/>
      <c r="Q25" s="2"/>
      <c r="R25" s="24"/>
      <c r="S25" s="24"/>
      <c r="T25" s="24"/>
    </row>
    <row r="26" spans="1:20" x14ac:dyDescent="0.25">
      <c r="A26" s="2">
        <v>45369</v>
      </c>
      <c r="B26" s="20">
        <v>2972</v>
      </c>
      <c r="C26" s="20">
        <v>898</v>
      </c>
      <c r="D26" s="20">
        <v>16895</v>
      </c>
      <c r="E26" s="17" t="s">
        <v>92</v>
      </c>
      <c r="F26" s="17" t="s">
        <v>92</v>
      </c>
      <c r="G26" s="17" t="s">
        <v>92</v>
      </c>
      <c r="H26" s="17" t="s">
        <v>92</v>
      </c>
      <c r="I26" s="39"/>
      <c r="J26" s="47">
        <f t="shared" si="1"/>
        <v>-11</v>
      </c>
      <c r="K26" s="49"/>
      <c r="L26" s="17"/>
      <c r="M26" s="27"/>
      <c r="N26" s="49"/>
      <c r="O26" s="27"/>
      <c r="Q26" s="2"/>
      <c r="R26" s="24"/>
      <c r="S26" s="24"/>
      <c r="T26" s="24"/>
    </row>
    <row r="27" spans="1:20" x14ac:dyDescent="0.25">
      <c r="A27" s="2">
        <v>45365</v>
      </c>
      <c r="B27" s="20">
        <v>2928</v>
      </c>
      <c r="C27" s="20">
        <v>893</v>
      </c>
      <c r="D27" s="20">
        <v>16785</v>
      </c>
      <c r="E27" s="17" t="s">
        <v>92</v>
      </c>
      <c r="F27" s="17" t="s">
        <v>92</v>
      </c>
      <c r="G27" s="17" t="s">
        <v>92</v>
      </c>
      <c r="H27" s="17" t="s">
        <v>92</v>
      </c>
      <c r="I27" s="39"/>
      <c r="J27" s="47">
        <f t="shared" si="1"/>
        <v>-12</v>
      </c>
      <c r="K27" s="49"/>
      <c r="L27" s="17"/>
      <c r="M27" s="27"/>
      <c r="N27" s="49"/>
      <c r="O27" s="27"/>
      <c r="Q27" s="2"/>
      <c r="R27" s="24"/>
      <c r="S27" s="24"/>
      <c r="T27" s="24"/>
    </row>
    <row r="28" spans="1:20" x14ac:dyDescent="0.25">
      <c r="A28" s="2">
        <v>45364</v>
      </c>
      <c r="B28" s="20">
        <v>2918</v>
      </c>
      <c r="C28" s="20">
        <v>899</v>
      </c>
      <c r="D28" s="20">
        <v>16915</v>
      </c>
      <c r="E28" s="17" t="s">
        <v>92</v>
      </c>
      <c r="F28" s="17" t="s">
        <v>92</v>
      </c>
      <c r="G28" s="17" t="s">
        <v>92</v>
      </c>
      <c r="H28" s="17" t="s">
        <v>92</v>
      </c>
      <c r="I28" s="39"/>
      <c r="J28" s="47">
        <f t="shared" si="1"/>
        <v>-13</v>
      </c>
      <c r="K28" s="49"/>
      <c r="L28" s="17"/>
      <c r="M28" s="27"/>
      <c r="N28" s="49"/>
      <c r="O28" s="27"/>
      <c r="Q28" s="2"/>
      <c r="R28" s="24"/>
      <c r="S28" s="24"/>
      <c r="T28" s="24"/>
    </row>
    <row r="29" spans="1:20" x14ac:dyDescent="0.25">
      <c r="A29" s="2">
        <v>45363</v>
      </c>
      <c r="B29" s="20">
        <v>2942</v>
      </c>
      <c r="C29" s="20">
        <v>890</v>
      </c>
      <c r="D29" s="20">
        <v>17350</v>
      </c>
      <c r="E29" s="17" t="s">
        <v>92</v>
      </c>
      <c r="F29" s="17" t="s">
        <v>92</v>
      </c>
      <c r="G29" s="17" t="s">
        <v>92</v>
      </c>
      <c r="H29" s="17" t="s">
        <v>92</v>
      </c>
      <c r="I29" s="39"/>
      <c r="J29" s="47">
        <f t="shared" si="1"/>
        <v>-14</v>
      </c>
      <c r="K29" s="49"/>
      <c r="L29" s="17"/>
      <c r="M29" s="27"/>
      <c r="N29" s="49"/>
      <c r="O29" s="27"/>
      <c r="Q29" s="2"/>
      <c r="R29" s="24"/>
      <c r="S29" s="24"/>
      <c r="T29" s="24"/>
    </row>
    <row r="30" spans="1:20" x14ac:dyDescent="0.25">
      <c r="A30" s="2">
        <v>45362</v>
      </c>
      <c r="B30" s="20">
        <v>2926</v>
      </c>
      <c r="C30" s="20">
        <v>879</v>
      </c>
      <c r="D30" s="20">
        <v>16860</v>
      </c>
      <c r="E30" s="17" t="s">
        <v>92</v>
      </c>
      <c r="F30" s="17" t="s">
        <v>92</v>
      </c>
      <c r="G30" s="17" t="s">
        <v>92</v>
      </c>
      <c r="H30" s="17" t="s">
        <v>92</v>
      </c>
      <c r="I30" s="39"/>
      <c r="J30" s="47">
        <f t="shared" si="1"/>
        <v>-15</v>
      </c>
      <c r="K30" s="49"/>
      <c r="L30" s="17"/>
      <c r="M30" s="27"/>
      <c r="N30" s="49"/>
      <c r="O30" s="27"/>
      <c r="Q30" s="2"/>
      <c r="R30" s="24"/>
      <c r="S30" s="24"/>
      <c r="T30" s="24"/>
    </row>
    <row r="31" spans="1:20" x14ac:dyDescent="0.25">
      <c r="A31" s="2">
        <v>45359</v>
      </c>
      <c r="B31" s="20">
        <v>2938</v>
      </c>
      <c r="C31" s="20">
        <v>886</v>
      </c>
      <c r="D31" s="20">
        <v>17085</v>
      </c>
      <c r="E31" s="17" t="s">
        <v>92</v>
      </c>
      <c r="F31" s="17" t="s">
        <v>92</v>
      </c>
      <c r="G31" s="17" t="s">
        <v>92</v>
      </c>
      <c r="H31" s="17" t="s">
        <v>92</v>
      </c>
      <c r="I31" s="39"/>
      <c r="J31" s="47">
        <f t="shared" si="1"/>
        <v>-16</v>
      </c>
      <c r="K31" s="49"/>
      <c r="L31" s="17"/>
      <c r="M31" s="27"/>
      <c r="N31" s="49"/>
      <c r="O31" s="27"/>
      <c r="Q31" s="2"/>
      <c r="R31" s="24"/>
      <c r="S31" s="24"/>
      <c r="T31" s="24"/>
    </row>
    <row r="32" spans="1:20" x14ac:dyDescent="0.25">
      <c r="A32" s="2">
        <v>45358</v>
      </c>
      <c r="B32" s="20">
        <v>2940</v>
      </c>
      <c r="C32" s="20">
        <v>879</v>
      </c>
      <c r="D32" s="20">
        <v>17250</v>
      </c>
      <c r="E32" s="17" t="s">
        <v>92</v>
      </c>
      <c r="F32" s="17" t="s">
        <v>92</v>
      </c>
      <c r="G32" s="17" t="s">
        <v>92</v>
      </c>
      <c r="H32" s="17" t="s">
        <v>92</v>
      </c>
      <c r="I32" s="39"/>
      <c r="J32" s="47">
        <f t="shared" si="1"/>
        <v>-17</v>
      </c>
      <c r="K32" s="49"/>
      <c r="L32" s="17"/>
      <c r="M32" s="27"/>
      <c r="N32" s="49"/>
      <c r="O32" s="27"/>
      <c r="Q32" s="2"/>
      <c r="R32" s="24"/>
      <c r="S32" s="24"/>
      <c r="T32" s="24"/>
    </row>
    <row r="33" spans="1:20" x14ac:dyDescent="0.25">
      <c r="A33" s="2">
        <v>45357</v>
      </c>
      <c r="B33" s="20">
        <v>2906</v>
      </c>
      <c r="C33" s="20">
        <v>850</v>
      </c>
      <c r="D33" s="20">
        <v>17300</v>
      </c>
      <c r="E33" s="17" t="s">
        <v>92</v>
      </c>
      <c r="F33" s="17" t="s">
        <v>92</v>
      </c>
      <c r="G33" s="17" t="s">
        <v>92</v>
      </c>
      <c r="H33" s="17" t="s">
        <v>92</v>
      </c>
      <c r="I33" s="39"/>
      <c r="J33" s="47">
        <f t="shared" si="1"/>
        <v>-18</v>
      </c>
      <c r="K33" s="49"/>
      <c r="L33" s="17"/>
      <c r="M33" s="27"/>
      <c r="N33" s="49"/>
      <c r="O33" s="27"/>
      <c r="Q33" s="2"/>
      <c r="R33" s="24"/>
      <c r="S33" s="24"/>
      <c r="T33" s="24"/>
    </row>
    <row r="34" spans="1:20" x14ac:dyDescent="0.25">
      <c r="A34" s="2">
        <v>45356</v>
      </c>
      <c r="B34" s="20">
        <v>2904</v>
      </c>
      <c r="C34" s="20">
        <v>850</v>
      </c>
      <c r="D34" s="20">
        <v>17265</v>
      </c>
      <c r="E34" s="17" t="s">
        <v>92</v>
      </c>
      <c r="F34" s="17" t="s">
        <v>92</v>
      </c>
      <c r="G34" s="17" t="s">
        <v>92</v>
      </c>
      <c r="H34" s="17" t="s">
        <v>92</v>
      </c>
      <c r="I34" s="39"/>
      <c r="J34" s="47">
        <f t="shared" si="1"/>
        <v>-19</v>
      </c>
      <c r="K34" s="49"/>
      <c r="L34" s="17"/>
      <c r="M34" s="27"/>
      <c r="N34" s="49"/>
      <c r="O34" s="27"/>
      <c r="Q34" s="2"/>
      <c r="R34" s="24"/>
      <c r="S34" s="24"/>
      <c r="T34" s="24"/>
    </row>
    <row r="35" spans="1:20" x14ac:dyDescent="0.25">
      <c r="A35" s="2">
        <v>45355</v>
      </c>
      <c r="B35" s="20">
        <v>2918</v>
      </c>
      <c r="C35" s="20">
        <v>848</v>
      </c>
      <c r="D35" s="20">
        <v>17515</v>
      </c>
      <c r="E35" s="17" t="s">
        <v>92</v>
      </c>
      <c r="F35" s="17" t="s">
        <v>92</v>
      </c>
      <c r="G35" s="17" t="s">
        <v>92</v>
      </c>
      <c r="H35" s="17" t="s">
        <v>92</v>
      </c>
      <c r="I35" s="39"/>
      <c r="J35" s="47">
        <f t="shared" si="1"/>
        <v>-20</v>
      </c>
      <c r="K35" s="49"/>
      <c r="L35" s="17"/>
      <c r="M35" s="27"/>
      <c r="N35" s="49"/>
      <c r="O35" s="27"/>
      <c r="Q35" s="2"/>
      <c r="R35" s="24"/>
      <c r="S35" s="24"/>
      <c r="T35" s="24"/>
    </row>
    <row r="36" spans="1:20" x14ac:dyDescent="0.25">
      <c r="A36" s="2">
        <v>45352</v>
      </c>
      <c r="B36" s="20">
        <v>2926</v>
      </c>
      <c r="C36" s="20">
        <v>843</v>
      </c>
      <c r="D36" s="20">
        <v>17425</v>
      </c>
      <c r="E36" s="17" t="s">
        <v>92</v>
      </c>
      <c r="F36" s="17" t="s">
        <v>92</v>
      </c>
      <c r="G36" s="17" t="s">
        <v>92</v>
      </c>
      <c r="H36" s="17" t="s">
        <v>92</v>
      </c>
      <c r="I36" s="39"/>
      <c r="J36" s="47">
        <f t="shared" si="1"/>
        <v>-21</v>
      </c>
      <c r="K36" s="49"/>
      <c r="L36" s="17"/>
      <c r="M36" s="27"/>
      <c r="N36" s="49"/>
      <c r="O36" s="27"/>
      <c r="Q36" s="2"/>
      <c r="R36" s="24"/>
      <c r="S36" s="24"/>
      <c r="T36" s="24"/>
    </row>
    <row r="37" spans="1:20" x14ac:dyDescent="0.25">
      <c r="A37" s="2">
        <v>45351</v>
      </c>
      <c r="B37" s="20">
        <v>2890</v>
      </c>
      <c r="C37" s="20">
        <v>824</v>
      </c>
      <c r="D37" s="20">
        <v>17415</v>
      </c>
      <c r="E37" s="17" t="s">
        <v>92</v>
      </c>
      <c r="F37" s="17" t="s">
        <v>92</v>
      </c>
      <c r="G37" s="17" t="s">
        <v>92</v>
      </c>
      <c r="H37" s="17" t="s">
        <v>92</v>
      </c>
      <c r="I37" s="39"/>
      <c r="J37" s="47">
        <f t="shared" si="1"/>
        <v>-22</v>
      </c>
      <c r="K37" s="49"/>
      <c r="L37" s="17"/>
      <c r="M37" s="27"/>
      <c r="N37" s="89"/>
      <c r="O37" s="37"/>
      <c r="Q37" s="2"/>
      <c r="R37" s="24"/>
      <c r="S37" s="24"/>
      <c r="T37" s="24"/>
    </row>
    <row r="38" spans="1:20" x14ac:dyDescent="0.25">
      <c r="A38" s="2">
        <v>45350</v>
      </c>
      <c r="B38" s="20">
        <v>2900</v>
      </c>
      <c r="C38" s="20">
        <v>839</v>
      </c>
      <c r="D38" s="20">
        <v>17265</v>
      </c>
      <c r="E38" s="17" t="s">
        <v>92</v>
      </c>
      <c r="F38" s="17" t="s">
        <v>92</v>
      </c>
      <c r="G38" s="17" t="s">
        <v>92</v>
      </c>
      <c r="H38" s="17" t="s">
        <v>92</v>
      </c>
      <c r="I38" s="39"/>
      <c r="J38" s="47">
        <f t="shared" si="1"/>
        <v>-23</v>
      </c>
      <c r="K38" s="49"/>
      <c r="L38" s="17"/>
      <c r="M38" s="27"/>
      <c r="N38" s="49"/>
      <c r="O38" s="27"/>
      <c r="Q38" s="2"/>
      <c r="R38" s="24"/>
      <c r="S38" s="24"/>
      <c r="T38" s="24"/>
    </row>
    <row r="39" spans="1:20" x14ac:dyDescent="0.25">
      <c r="A39" s="2">
        <v>45349</v>
      </c>
      <c r="B39" s="20">
        <v>2892</v>
      </c>
      <c r="C39" s="20">
        <v>839</v>
      </c>
      <c r="D39" s="20">
        <v>17085</v>
      </c>
      <c r="E39" s="17" t="s">
        <v>92</v>
      </c>
      <c r="F39" s="17" t="s">
        <v>92</v>
      </c>
      <c r="G39" s="17" t="s">
        <v>92</v>
      </c>
      <c r="H39" s="17" t="s">
        <v>92</v>
      </c>
      <c r="I39" s="39"/>
      <c r="J39" s="47">
        <f t="shared" si="1"/>
        <v>-24</v>
      </c>
      <c r="K39" s="49"/>
      <c r="L39" s="17"/>
      <c r="M39" s="27"/>
      <c r="N39" s="49"/>
      <c r="O39" s="27"/>
      <c r="Q39" s="2"/>
      <c r="R39" s="24"/>
      <c r="S39" s="24"/>
      <c r="T39" s="24"/>
    </row>
    <row r="40" spans="1:20" x14ac:dyDescent="0.25">
      <c r="A40" s="2">
        <v>45348</v>
      </c>
      <c r="B40" s="20">
        <v>2946</v>
      </c>
      <c r="C40" s="20">
        <v>832</v>
      </c>
      <c r="D40" s="20">
        <v>17235</v>
      </c>
      <c r="E40" s="17" t="s">
        <v>92</v>
      </c>
      <c r="F40" s="17" t="s">
        <v>92</v>
      </c>
      <c r="G40" s="17" t="s">
        <v>92</v>
      </c>
      <c r="H40" s="17" t="s">
        <v>92</v>
      </c>
      <c r="I40" s="39"/>
      <c r="J40" s="47">
        <f t="shared" si="1"/>
        <v>-25</v>
      </c>
      <c r="K40" s="49"/>
      <c r="L40" s="17"/>
      <c r="M40" s="27"/>
      <c r="N40" s="49"/>
      <c r="O40" s="27"/>
      <c r="Q40" s="2"/>
      <c r="R40" s="24"/>
      <c r="S40" s="24"/>
      <c r="T40" s="24"/>
    </row>
    <row r="41" spans="1:20" x14ac:dyDescent="0.25">
      <c r="A41" s="2">
        <v>45345</v>
      </c>
      <c r="B41" s="20">
        <v>2932</v>
      </c>
      <c r="C41" s="20">
        <v>833</v>
      </c>
      <c r="D41" s="20">
        <v>17400</v>
      </c>
      <c r="E41" s="17" t="s">
        <v>92</v>
      </c>
      <c r="F41" s="17" t="s">
        <v>92</v>
      </c>
      <c r="G41" s="17" t="s">
        <v>92</v>
      </c>
      <c r="H41" s="17" t="s">
        <v>92</v>
      </c>
      <c r="I41" s="39"/>
      <c r="J41" s="47">
        <f t="shared" si="1"/>
        <v>-26</v>
      </c>
      <c r="K41" s="49"/>
      <c r="L41" s="17"/>
      <c r="M41" s="27"/>
      <c r="N41" s="49"/>
      <c r="O41" s="27"/>
      <c r="Q41" s="2"/>
      <c r="R41" s="24"/>
      <c r="S41" s="24"/>
      <c r="T41" s="24"/>
    </row>
    <row r="42" spans="1:20" x14ac:dyDescent="0.25">
      <c r="A42" s="2">
        <v>45344</v>
      </c>
      <c r="B42" s="20">
        <v>2922</v>
      </c>
      <c r="C42" s="20">
        <v>805</v>
      </c>
      <c r="D42" s="20">
        <v>17520</v>
      </c>
      <c r="E42" s="17" t="s">
        <v>92</v>
      </c>
      <c r="F42" s="17" t="s">
        <v>92</v>
      </c>
      <c r="G42" s="17" t="s">
        <v>92</v>
      </c>
      <c r="H42" s="17" t="s">
        <v>92</v>
      </c>
      <c r="I42" s="39"/>
      <c r="J42" s="47">
        <f t="shared" si="1"/>
        <v>-27</v>
      </c>
      <c r="K42" s="49"/>
      <c r="L42" s="17"/>
      <c r="M42" s="27"/>
      <c r="N42" s="49"/>
      <c r="O42" s="27"/>
      <c r="Q42" s="2"/>
      <c r="R42" s="24"/>
      <c r="S42" s="24"/>
      <c r="T42" s="24"/>
    </row>
    <row r="43" spans="1:20" x14ac:dyDescent="0.25">
      <c r="A43" s="2">
        <v>45343</v>
      </c>
      <c r="B43" s="20">
        <v>2950</v>
      </c>
      <c r="C43" s="20">
        <v>816</v>
      </c>
      <c r="D43" s="20">
        <v>17445</v>
      </c>
      <c r="E43" s="17" t="s">
        <v>92</v>
      </c>
      <c r="F43" s="17" t="s">
        <v>92</v>
      </c>
      <c r="G43" s="17" t="s">
        <v>92</v>
      </c>
      <c r="H43" s="17" t="s">
        <v>92</v>
      </c>
      <c r="I43" s="39"/>
      <c r="J43" s="47">
        <f t="shared" si="1"/>
        <v>-28</v>
      </c>
      <c r="K43" s="49"/>
      <c r="L43" s="17"/>
      <c r="M43" s="27"/>
      <c r="N43" s="49"/>
      <c r="O43" s="27"/>
      <c r="Q43" s="2"/>
      <c r="R43" s="24"/>
      <c r="S43" s="24"/>
      <c r="T43" s="24"/>
    </row>
    <row r="44" spans="1:20" x14ac:dyDescent="0.25">
      <c r="A44" s="2">
        <v>45342</v>
      </c>
      <c r="B44" s="20">
        <v>2934</v>
      </c>
      <c r="C44" s="20">
        <v>793</v>
      </c>
      <c r="D44" s="20">
        <v>17320</v>
      </c>
      <c r="E44" s="17" t="s">
        <v>92</v>
      </c>
      <c r="F44" s="17" t="s">
        <v>92</v>
      </c>
      <c r="G44" s="17" t="s">
        <v>92</v>
      </c>
      <c r="H44" s="17" t="s">
        <v>92</v>
      </c>
      <c r="I44" s="39"/>
      <c r="J44" s="47">
        <f t="shared" si="1"/>
        <v>-29</v>
      </c>
      <c r="K44" s="49"/>
      <c r="L44" s="17"/>
      <c r="M44" s="27"/>
      <c r="N44" s="49"/>
      <c r="O44" s="27"/>
      <c r="Q44" s="2"/>
      <c r="R44" s="24"/>
      <c r="S44" s="24"/>
      <c r="T44" s="24"/>
    </row>
    <row r="45" spans="1:20" x14ac:dyDescent="0.25">
      <c r="A45" s="2">
        <v>45341</v>
      </c>
      <c r="B45" s="20">
        <v>2968</v>
      </c>
      <c r="C45" s="20">
        <v>784</v>
      </c>
      <c r="D45" s="20">
        <v>17260</v>
      </c>
      <c r="E45" s="17" t="s">
        <v>92</v>
      </c>
      <c r="F45" s="17" t="s">
        <v>92</v>
      </c>
      <c r="G45" s="17" t="s">
        <v>92</v>
      </c>
      <c r="H45" s="17" t="s">
        <v>92</v>
      </c>
      <c r="I45" s="39"/>
      <c r="J45" s="47">
        <f t="shared" si="1"/>
        <v>-30</v>
      </c>
      <c r="K45" s="49"/>
      <c r="L45" s="17"/>
      <c r="M45" s="27"/>
      <c r="N45" s="49"/>
      <c r="O45" s="27"/>
      <c r="Q45" s="2"/>
      <c r="R45" s="24"/>
      <c r="S45" s="24"/>
      <c r="T45" s="24"/>
    </row>
    <row r="46" spans="1:20" x14ac:dyDescent="0.25">
      <c r="A46" s="2">
        <v>45338</v>
      </c>
      <c r="B46" s="20">
        <v>2960</v>
      </c>
      <c r="C46" s="20">
        <v>770</v>
      </c>
      <c r="D46" s="20">
        <v>17225</v>
      </c>
      <c r="E46" s="17" t="s">
        <v>92</v>
      </c>
      <c r="F46" s="17" t="s">
        <v>92</v>
      </c>
      <c r="G46" s="17" t="s">
        <v>92</v>
      </c>
      <c r="H46" s="17" t="s">
        <v>92</v>
      </c>
      <c r="I46" s="39"/>
      <c r="J46" s="47">
        <f t="shared" si="1"/>
        <v>-31</v>
      </c>
      <c r="K46" s="49"/>
      <c r="L46" s="17"/>
      <c r="M46" s="27"/>
      <c r="N46" s="49"/>
      <c r="O46" s="27"/>
      <c r="Q46" s="2"/>
      <c r="R46" s="24"/>
      <c r="S46" s="24"/>
      <c r="T46" s="24"/>
    </row>
    <row r="47" spans="1:20" x14ac:dyDescent="0.25">
      <c r="A47" s="2">
        <v>45337</v>
      </c>
      <c r="B47" s="20">
        <v>2942</v>
      </c>
      <c r="C47" s="20">
        <v>768</v>
      </c>
      <c r="D47" s="20">
        <v>17355</v>
      </c>
      <c r="E47" s="17" t="s">
        <v>92</v>
      </c>
      <c r="F47" s="17" t="s">
        <v>92</v>
      </c>
      <c r="G47" s="17" t="s">
        <v>92</v>
      </c>
      <c r="H47" s="17" t="s">
        <v>92</v>
      </c>
      <c r="I47" s="39"/>
      <c r="J47" s="47">
        <f t="shared" si="1"/>
        <v>-32</v>
      </c>
      <c r="K47" s="49"/>
      <c r="L47" s="17"/>
      <c r="M47" s="27"/>
      <c r="N47" s="49"/>
      <c r="O47" s="27"/>
      <c r="Q47" s="2"/>
      <c r="R47" s="24"/>
      <c r="S47" s="24"/>
      <c r="T47" s="24"/>
    </row>
    <row r="48" spans="1:20" x14ac:dyDescent="0.25">
      <c r="A48" s="2">
        <v>45336</v>
      </c>
      <c r="B48" s="20">
        <v>2916</v>
      </c>
      <c r="C48" s="20">
        <v>762</v>
      </c>
      <c r="D48" s="20">
        <v>17040</v>
      </c>
      <c r="E48" s="17" t="s">
        <v>92</v>
      </c>
      <c r="F48" s="17" t="s">
        <v>92</v>
      </c>
      <c r="G48" s="17" t="s">
        <v>92</v>
      </c>
      <c r="H48" s="17" t="s">
        <v>92</v>
      </c>
      <c r="I48" s="39"/>
      <c r="J48" s="47">
        <f t="shared" si="1"/>
        <v>-33</v>
      </c>
      <c r="K48" s="49"/>
      <c r="L48" s="17"/>
      <c r="M48" s="27"/>
      <c r="N48" s="49"/>
      <c r="O48" s="27"/>
      <c r="Q48" s="2"/>
      <c r="R48" s="24"/>
      <c r="S48" s="24"/>
      <c r="T48" s="24"/>
    </row>
    <row r="49" spans="1:20" x14ac:dyDescent="0.25">
      <c r="A49" s="2">
        <v>45335</v>
      </c>
      <c r="B49" s="20">
        <v>2880</v>
      </c>
      <c r="C49" s="20">
        <v>771</v>
      </c>
      <c r="D49" s="20">
        <v>16970</v>
      </c>
      <c r="E49" s="17" t="s">
        <v>92</v>
      </c>
      <c r="F49" s="17" t="s">
        <v>92</v>
      </c>
      <c r="G49" s="17" t="s">
        <v>92</v>
      </c>
      <c r="H49" s="17" t="s">
        <v>92</v>
      </c>
      <c r="I49" s="39"/>
      <c r="J49" s="47">
        <f t="shared" si="1"/>
        <v>-34</v>
      </c>
      <c r="K49" s="49"/>
      <c r="L49" s="17"/>
      <c r="M49" s="27"/>
      <c r="N49" s="49"/>
      <c r="O49" s="27"/>
      <c r="Q49" s="2"/>
      <c r="R49" s="24"/>
      <c r="S49" s="24"/>
      <c r="T49" s="24"/>
    </row>
    <row r="50" spans="1:20" x14ac:dyDescent="0.25">
      <c r="A50" s="2">
        <v>45334</v>
      </c>
      <c r="B50" s="20">
        <v>2900</v>
      </c>
      <c r="C50" s="20">
        <v>777</v>
      </c>
      <c r="D50" s="20">
        <v>16690</v>
      </c>
      <c r="E50" s="17" t="s">
        <v>92</v>
      </c>
      <c r="F50" s="17" t="s">
        <v>92</v>
      </c>
      <c r="G50" s="17" t="s">
        <v>92</v>
      </c>
      <c r="H50" s="17" t="s">
        <v>92</v>
      </c>
      <c r="I50" s="39"/>
      <c r="J50" s="47">
        <f t="shared" si="1"/>
        <v>-35</v>
      </c>
      <c r="K50" s="49"/>
      <c r="L50" s="17"/>
      <c r="M50" s="27"/>
      <c r="N50" s="49"/>
      <c r="O50" s="27"/>
      <c r="Q50" s="2"/>
      <c r="R50" s="24"/>
      <c r="S50" s="24"/>
      <c r="T50" s="24"/>
    </row>
    <row r="51" spans="1:20" x14ac:dyDescent="0.25">
      <c r="A51" s="2">
        <v>45331</v>
      </c>
      <c r="B51" s="20">
        <v>2900</v>
      </c>
      <c r="C51" s="20">
        <v>765</v>
      </c>
      <c r="D51" s="20">
        <v>16850</v>
      </c>
      <c r="E51" s="17" t="s">
        <v>92</v>
      </c>
      <c r="F51" s="17" t="s">
        <v>92</v>
      </c>
      <c r="G51" s="17" t="s">
        <v>92</v>
      </c>
      <c r="H51" s="17" t="s">
        <v>92</v>
      </c>
      <c r="I51" s="39"/>
      <c r="J51" s="47">
        <f t="shared" si="1"/>
        <v>-36</v>
      </c>
      <c r="K51" s="49"/>
      <c r="L51" s="17"/>
      <c r="M51" s="27"/>
      <c r="N51" s="49"/>
      <c r="O51" s="27"/>
      <c r="Q51" s="2"/>
      <c r="R51" s="24"/>
      <c r="S51" s="24"/>
      <c r="T51" s="24"/>
    </row>
    <row r="52" spans="1:20" x14ac:dyDescent="0.25">
      <c r="A52" s="2">
        <v>45330</v>
      </c>
      <c r="B52" s="20">
        <v>2894</v>
      </c>
      <c r="C52" s="20">
        <v>770</v>
      </c>
      <c r="D52" s="20">
        <v>16505</v>
      </c>
      <c r="E52" s="17" t="s">
        <v>92</v>
      </c>
      <c r="F52" s="17" t="s">
        <v>92</v>
      </c>
      <c r="G52" s="17" t="s">
        <v>92</v>
      </c>
      <c r="H52" s="17" t="s">
        <v>92</v>
      </c>
      <c r="I52" s="39"/>
      <c r="J52" s="47">
        <f t="shared" si="1"/>
        <v>-37</v>
      </c>
      <c r="K52" s="49"/>
      <c r="L52" s="17"/>
      <c r="M52" s="27"/>
      <c r="N52" s="49"/>
      <c r="O52" s="27"/>
      <c r="Q52" s="2"/>
      <c r="R52" s="24"/>
      <c r="S52" s="24"/>
      <c r="T52" s="24"/>
    </row>
    <row r="53" spans="1:20" x14ac:dyDescent="0.25">
      <c r="A53" s="2">
        <v>45329</v>
      </c>
      <c r="B53" s="20">
        <v>2894</v>
      </c>
      <c r="C53" s="20">
        <v>769</v>
      </c>
      <c r="D53" s="20">
        <v>16540</v>
      </c>
      <c r="E53" s="17" t="s">
        <v>92</v>
      </c>
      <c r="F53" s="17" t="s">
        <v>92</v>
      </c>
      <c r="G53" s="17" t="s">
        <v>92</v>
      </c>
      <c r="H53" s="17" t="s">
        <v>92</v>
      </c>
      <c r="I53" s="39"/>
      <c r="J53" s="47">
        <f t="shared" si="1"/>
        <v>-38</v>
      </c>
      <c r="K53" s="49"/>
      <c r="L53" s="17"/>
      <c r="M53" s="27"/>
      <c r="N53" s="49"/>
      <c r="O53" s="27"/>
      <c r="Q53" s="2"/>
      <c r="R53" s="24"/>
      <c r="S53" s="24"/>
      <c r="T53" s="24"/>
    </row>
    <row r="54" spans="1:20" x14ac:dyDescent="0.25">
      <c r="A54" s="2">
        <v>45328</v>
      </c>
      <c r="B54" s="20">
        <v>2916</v>
      </c>
      <c r="C54" s="20">
        <v>770</v>
      </c>
      <c r="D54" s="20">
        <v>16900</v>
      </c>
      <c r="E54" s="17" t="s">
        <v>92</v>
      </c>
      <c r="F54" s="17" t="s">
        <v>92</v>
      </c>
      <c r="G54" s="17" t="s">
        <v>92</v>
      </c>
      <c r="H54" s="17" t="s">
        <v>92</v>
      </c>
      <c r="I54" s="39"/>
      <c r="J54" s="47">
        <f t="shared" si="1"/>
        <v>-39</v>
      </c>
      <c r="K54" s="49"/>
      <c r="L54" s="17"/>
      <c r="M54" s="27"/>
      <c r="N54" s="49"/>
      <c r="O54" s="27"/>
      <c r="Q54" s="2"/>
      <c r="R54" s="24"/>
      <c r="S54" s="24"/>
      <c r="T54" s="24"/>
    </row>
    <row r="55" spans="1:20" x14ac:dyDescent="0.25">
      <c r="A55" s="2">
        <v>45327</v>
      </c>
      <c r="B55" s="20">
        <v>2888</v>
      </c>
      <c r="C55" s="20">
        <v>787</v>
      </c>
      <c r="D55" s="20">
        <v>16985</v>
      </c>
      <c r="E55" s="17" t="s">
        <v>92</v>
      </c>
      <c r="F55" s="17" t="s">
        <v>92</v>
      </c>
      <c r="G55" s="17" t="s">
        <v>92</v>
      </c>
      <c r="H55" s="17" t="s">
        <v>92</v>
      </c>
      <c r="I55" s="39"/>
      <c r="J55" s="47">
        <f t="shared" si="1"/>
        <v>-40</v>
      </c>
      <c r="K55" s="49"/>
      <c r="L55" s="17"/>
      <c r="M55" s="27"/>
      <c r="N55" s="49"/>
      <c r="O55" s="27"/>
      <c r="Q55" s="2"/>
      <c r="R55" s="24"/>
      <c r="S55" s="24"/>
      <c r="T55" s="24"/>
    </row>
    <row r="56" spans="1:20" x14ac:dyDescent="0.25">
      <c r="A56" s="2">
        <v>45324</v>
      </c>
      <c r="B56" s="20">
        <v>2928</v>
      </c>
      <c r="C56" s="20">
        <v>777</v>
      </c>
      <c r="D56" s="20">
        <v>17065</v>
      </c>
      <c r="E56" s="17" t="s">
        <v>92</v>
      </c>
      <c r="F56" s="17" t="s">
        <v>92</v>
      </c>
      <c r="G56" s="17" t="s">
        <v>92</v>
      </c>
      <c r="H56" s="17" t="s">
        <v>92</v>
      </c>
      <c r="I56" s="39"/>
      <c r="J56" s="47">
        <f t="shared" si="1"/>
        <v>-41</v>
      </c>
      <c r="K56" s="49"/>
      <c r="L56" s="17"/>
      <c r="M56" s="27"/>
      <c r="N56" s="49"/>
      <c r="O56" s="27"/>
      <c r="Q56" s="2"/>
      <c r="R56" s="24"/>
      <c r="S56" s="24"/>
      <c r="T56" s="24"/>
    </row>
    <row r="57" spans="1:20" x14ac:dyDescent="0.25">
      <c r="A57" s="2">
        <v>45323</v>
      </c>
      <c r="B57" s="20">
        <v>2928</v>
      </c>
      <c r="C57" s="20">
        <v>779</v>
      </c>
      <c r="D57" s="20">
        <v>16985</v>
      </c>
      <c r="E57" s="17" t="s">
        <v>92</v>
      </c>
      <c r="F57" s="17" t="s">
        <v>92</v>
      </c>
      <c r="G57" s="17" t="s">
        <v>92</v>
      </c>
      <c r="H57" s="17" t="s">
        <v>92</v>
      </c>
      <c r="I57" s="39"/>
      <c r="J57" s="47">
        <f t="shared" si="1"/>
        <v>-42</v>
      </c>
      <c r="K57" s="49"/>
      <c r="L57" s="17"/>
      <c r="M57" s="27"/>
      <c r="N57" s="49"/>
      <c r="O57" s="27"/>
      <c r="Q57" s="2"/>
      <c r="R57" s="24"/>
      <c r="S57" s="24"/>
      <c r="T57" s="24"/>
    </row>
    <row r="58" spans="1:20" x14ac:dyDescent="0.25">
      <c r="A58" s="2">
        <v>45322</v>
      </c>
      <c r="B58" s="20">
        <v>2910</v>
      </c>
      <c r="C58" s="20">
        <v>769</v>
      </c>
      <c r="D58" s="20">
        <v>16450</v>
      </c>
      <c r="E58" s="17" t="s">
        <v>92</v>
      </c>
      <c r="F58" s="17" t="s">
        <v>92</v>
      </c>
      <c r="G58" s="17" t="s">
        <v>92</v>
      </c>
      <c r="H58" s="17" t="s">
        <v>92</v>
      </c>
      <c r="I58" s="39"/>
      <c r="J58" s="47">
        <f t="shared" si="1"/>
        <v>-43</v>
      </c>
      <c r="K58" s="49"/>
      <c r="L58" s="17"/>
      <c r="M58" s="27"/>
      <c r="N58" s="49"/>
      <c r="O58" s="27"/>
      <c r="Q58" s="2"/>
      <c r="R58" s="24"/>
      <c r="S58" s="24"/>
      <c r="T58" s="24"/>
    </row>
    <row r="59" spans="1:20" x14ac:dyDescent="0.25">
      <c r="A59" s="2">
        <v>45321</v>
      </c>
      <c r="B59" s="20">
        <v>2888</v>
      </c>
      <c r="C59" s="20">
        <v>745</v>
      </c>
      <c r="D59" s="20">
        <v>16385</v>
      </c>
      <c r="E59" s="17" t="s">
        <v>92</v>
      </c>
      <c r="F59" s="17" t="s">
        <v>92</v>
      </c>
      <c r="G59" s="17" t="s">
        <v>92</v>
      </c>
      <c r="H59" s="17" t="s">
        <v>92</v>
      </c>
      <c r="I59" s="39"/>
      <c r="J59" s="47">
        <f t="shared" si="1"/>
        <v>-44</v>
      </c>
      <c r="K59" s="49"/>
      <c r="L59" s="17"/>
      <c r="M59" s="27"/>
      <c r="N59" s="49"/>
      <c r="O59" s="27"/>
      <c r="Q59" s="2"/>
      <c r="R59" s="24"/>
      <c r="S59" s="24"/>
      <c r="T59" s="24"/>
    </row>
    <row r="60" spans="1:20" x14ac:dyDescent="0.25">
      <c r="A60" s="2">
        <v>45320</v>
      </c>
      <c r="B60" s="20">
        <v>2854</v>
      </c>
      <c r="C60" s="20">
        <v>757</v>
      </c>
      <c r="D60" s="20">
        <v>16550</v>
      </c>
      <c r="E60" s="17" t="s">
        <v>92</v>
      </c>
      <c r="F60" s="17" t="s">
        <v>92</v>
      </c>
      <c r="G60" s="17" t="s">
        <v>92</v>
      </c>
      <c r="H60" s="17" t="s">
        <v>92</v>
      </c>
      <c r="I60" s="39"/>
      <c r="J60" s="47">
        <f t="shared" si="1"/>
        <v>-45</v>
      </c>
      <c r="K60" s="49"/>
      <c r="L60" s="17"/>
      <c r="M60" s="27"/>
      <c r="N60" s="49"/>
      <c r="O60" s="27"/>
      <c r="Q60" s="2"/>
      <c r="R60" s="24"/>
      <c r="S60" s="24"/>
      <c r="T60" s="24"/>
    </row>
    <row r="61" spans="1:20" x14ac:dyDescent="0.25">
      <c r="A61" s="2">
        <v>45317</v>
      </c>
      <c r="B61" s="20">
        <v>2848</v>
      </c>
      <c r="C61" s="20">
        <v>777</v>
      </c>
      <c r="D61" s="20">
        <v>16895</v>
      </c>
      <c r="E61" s="17" t="s">
        <v>92</v>
      </c>
      <c r="F61" s="17" t="s">
        <v>92</v>
      </c>
      <c r="G61" s="17" t="s">
        <v>92</v>
      </c>
      <c r="H61" s="17" t="s">
        <v>92</v>
      </c>
      <c r="I61" s="39"/>
      <c r="J61" s="47">
        <f t="shared" si="1"/>
        <v>-46</v>
      </c>
      <c r="K61" s="49"/>
      <c r="L61" s="17"/>
      <c r="M61" s="27"/>
      <c r="N61" s="49"/>
      <c r="O61" s="27"/>
      <c r="Q61" s="2"/>
      <c r="R61" s="24"/>
      <c r="S61" s="24"/>
      <c r="T61" s="24"/>
    </row>
    <row r="62" spans="1:20" x14ac:dyDescent="0.25">
      <c r="A62" s="2">
        <v>45316</v>
      </c>
      <c r="B62" s="20">
        <v>2858</v>
      </c>
      <c r="C62" s="20">
        <v>780</v>
      </c>
      <c r="D62" s="20">
        <v>16990</v>
      </c>
      <c r="E62" s="17" t="s">
        <v>92</v>
      </c>
      <c r="F62" s="17" t="s">
        <v>92</v>
      </c>
      <c r="G62" s="17" t="s">
        <v>92</v>
      </c>
      <c r="H62" s="17" t="s">
        <v>92</v>
      </c>
      <c r="I62" s="39"/>
      <c r="J62" s="47">
        <f t="shared" si="1"/>
        <v>-47</v>
      </c>
      <c r="K62" s="49"/>
      <c r="L62" s="17"/>
      <c r="M62" s="27"/>
      <c r="N62" s="49"/>
      <c r="O62" s="27"/>
      <c r="Q62" s="2"/>
      <c r="R62" s="24"/>
      <c r="S62" s="24"/>
      <c r="T62" s="24"/>
    </row>
    <row r="63" spans="1:20" x14ac:dyDescent="0.25">
      <c r="A63" s="2">
        <v>45315</v>
      </c>
      <c r="B63" s="20">
        <v>2858</v>
      </c>
      <c r="C63" s="20">
        <v>766</v>
      </c>
      <c r="D63" s="20">
        <v>16735</v>
      </c>
      <c r="E63" s="17" t="s">
        <v>92</v>
      </c>
      <c r="F63" s="17" t="s">
        <v>92</v>
      </c>
      <c r="G63" s="17" t="s">
        <v>92</v>
      </c>
      <c r="H63" s="17" t="s">
        <v>92</v>
      </c>
      <c r="I63" s="39"/>
      <c r="J63" s="47">
        <f t="shared" si="1"/>
        <v>-48</v>
      </c>
      <c r="K63" s="49"/>
      <c r="L63" s="17"/>
      <c r="M63" s="27"/>
      <c r="N63" s="49"/>
      <c r="O63" s="27"/>
      <c r="Q63" s="2"/>
      <c r="R63" s="24"/>
      <c r="S63" s="24"/>
      <c r="T63" s="24"/>
    </row>
    <row r="64" spans="1:20" x14ac:dyDescent="0.25">
      <c r="A64" s="2">
        <v>45314</v>
      </c>
      <c r="B64" s="20">
        <v>2820</v>
      </c>
      <c r="C64" s="20">
        <v>768</v>
      </c>
      <c r="D64" s="20">
        <v>16800</v>
      </c>
      <c r="E64" s="17" t="s">
        <v>92</v>
      </c>
      <c r="F64" s="17" t="s">
        <v>92</v>
      </c>
      <c r="G64" s="17" t="s">
        <v>92</v>
      </c>
      <c r="H64" s="17" t="s">
        <v>92</v>
      </c>
      <c r="I64" s="39"/>
      <c r="J64" s="47">
        <f t="shared" si="1"/>
        <v>-49</v>
      </c>
      <c r="K64" s="49"/>
      <c r="L64" s="17"/>
      <c r="M64" s="27"/>
      <c r="N64" s="49"/>
      <c r="O64" s="27"/>
      <c r="Q64" s="2"/>
      <c r="R64" s="24"/>
      <c r="S64" s="24"/>
      <c r="T64" s="24"/>
    </row>
    <row r="65" spans="1:20" x14ac:dyDescent="0.25">
      <c r="A65" s="2">
        <v>45313</v>
      </c>
      <c r="B65" s="20">
        <v>2838</v>
      </c>
      <c r="C65" s="20">
        <v>790</v>
      </c>
      <c r="D65" s="20">
        <v>17150</v>
      </c>
      <c r="E65" s="17" t="s">
        <v>92</v>
      </c>
      <c r="F65" s="17" t="s">
        <v>92</v>
      </c>
      <c r="G65" s="17" t="s">
        <v>92</v>
      </c>
      <c r="H65" s="17" t="s">
        <v>92</v>
      </c>
      <c r="I65" s="39"/>
      <c r="J65" s="47">
        <f t="shared" si="1"/>
        <v>-50</v>
      </c>
      <c r="K65" s="49"/>
      <c r="L65" s="17"/>
      <c r="M65" s="27"/>
      <c r="N65" s="49"/>
      <c r="O65" s="27"/>
      <c r="Q65" s="2"/>
      <c r="R65" s="24"/>
      <c r="S65" s="24"/>
      <c r="T65" s="24"/>
    </row>
    <row r="66" spans="1:20" x14ac:dyDescent="0.25">
      <c r="A66" s="2">
        <v>45310</v>
      </c>
      <c r="B66" s="20">
        <v>2838</v>
      </c>
      <c r="C66" s="20">
        <v>765</v>
      </c>
      <c r="D66" s="20">
        <v>17210</v>
      </c>
      <c r="E66" s="17" t="s">
        <v>92</v>
      </c>
      <c r="F66" s="17" t="s">
        <v>92</v>
      </c>
      <c r="G66" s="17" t="s">
        <v>92</v>
      </c>
      <c r="H66" s="17" t="s">
        <v>92</v>
      </c>
      <c r="I66" s="39"/>
      <c r="J66" s="47">
        <f t="shared" si="1"/>
        <v>-51</v>
      </c>
      <c r="K66" s="49"/>
      <c r="L66" s="17"/>
      <c r="M66" s="27"/>
      <c r="N66" s="49"/>
      <c r="O66" s="27"/>
      <c r="Q66" s="2"/>
      <c r="R66" s="24"/>
      <c r="S66" s="24"/>
      <c r="T66" s="24"/>
    </row>
    <row r="67" spans="1:20" x14ac:dyDescent="0.25">
      <c r="A67" s="2">
        <v>45309</v>
      </c>
      <c r="B67" s="20">
        <v>2810</v>
      </c>
      <c r="C67" s="20">
        <v>751</v>
      </c>
      <c r="D67" s="20">
        <v>17015</v>
      </c>
      <c r="E67" s="17" t="s">
        <v>92</v>
      </c>
      <c r="F67" s="17" t="s">
        <v>92</v>
      </c>
      <c r="G67" s="17" t="s">
        <v>92</v>
      </c>
      <c r="H67" s="17" t="s">
        <v>92</v>
      </c>
      <c r="I67" s="39"/>
      <c r="J67" s="47">
        <f t="shared" si="1"/>
        <v>-52</v>
      </c>
      <c r="K67" s="49"/>
      <c r="L67" s="17"/>
      <c r="M67" s="27"/>
      <c r="N67" s="49"/>
      <c r="O67" s="27"/>
      <c r="Q67" s="2"/>
      <c r="R67" s="24"/>
      <c r="S67" s="24"/>
      <c r="T67" s="24"/>
    </row>
    <row r="68" spans="1:20" x14ac:dyDescent="0.25">
      <c r="A68" s="2">
        <v>45308</v>
      </c>
      <c r="B68" s="20">
        <v>2802</v>
      </c>
      <c r="C68" s="20">
        <v>739</v>
      </c>
      <c r="D68" s="20">
        <v>16710</v>
      </c>
      <c r="E68" s="17" t="s">
        <v>92</v>
      </c>
      <c r="F68" s="17" t="s">
        <v>92</v>
      </c>
      <c r="G68" s="17" t="s">
        <v>92</v>
      </c>
      <c r="H68" s="17" t="s">
        <v>92</v>
      </c>
      <c r="I68" s="39"/>
      <c r="J68" s="47">
        <f t="shared" si="1"/>
        <v>-53</v>
      </c>
      <c r="K68" s="49"/>
      <c r="L68" s="17"/>
      <c r="M68" s="27"/>
      <c r="N68" s="49"/>
      <c r="O68" s="27"/>
      <c r="Q68" s="2"/>
      <c r="R68" s="24"/>
      <c r="S68" s="24"/>
      <c r="T68" s="24"/>
    </row>
    <row r="69" spans="1:20" x14ac:dyDescent="0.25">
      <c r="A69" s="2">
        <v>45307</v>
      </c>
      <c r="B69" s="20">
        <v>2806</v>
      </c>
      <c r="C69" s="20">
        <v>769</v>
      </c>
      <c r="D69" s="20">
        <v>16825</v>
      </c>
      <c r="E69" s="17" t="s">
        <v>92</v>
      </c>
      <c r="F69" s="17" t="s">
        <v>92</v>
      </c>
      <c r="G69" s="17" t="s">
        <v>92</v>
      </c>
      <c r="H69" s="17" t="s">
        <v>92</v>
      </c>
      <c r="I69" s="39"/>
      <c r="J69" s="47">
        <f t="shared" si="1"/>
        <v>-54</v>
      </c>
      <c r="K69" s="49"/>
      <c r="L69" s="17"/>
      <c r="M69" s="27"/>
      <c r="N69" s="49"/>
      <c r="O69" s="27"/>
      <c r="Q69" s="2"/>
      <c r="R69" s="24"/>
      <c r="S69" s="24"/>
      <c r="T69" s="24"/>
    </row>
    <row r="70" spans="1:20" x14ac:dyDescent="0.25">
      <c r="A70" s="2">
        <v>45306</v>
      </c>
      <c r="B70" s="20">
        <v>2832</v>
      </c>
      <c r="C70" s="20">
        <v>751</v>
      </c>
      <c r="D70" s="20">
        <v>16980</v>
      </c>
      <c r="E70" s="17" t="s">
        <v>92</v>
      </c>
      <c r="F70" s="17" t="s">
        <v>92</v>
      </c>
      <c r="G70" s="17" t="s">
        <v>92</v>
      </c>
      <c r="H70" s="17" t="s">
        <v>92</v>
      </c>
      <c r="I70" s="39"/>
      <c r="J70" s="47">
        <f t="shared" si="1"/>
        <v>-55</v>
      </c>
      <c r="K70" s="49"/>
      <c r="L70" s="17"/>
      <c r="M70" s="27"/>
      <c r="N70" s="49"/>
      <c r="O70" s="27"/>
      <c r="Q70" s="2"/>
      <c r="R70" s="24"/>
      <c r="S70" s="24"/>
      <c r="T70" s="24"/>
    </row>
    <row r="71" spans="1:20" x14ac:dyDescent="0.25">
      <c r="A71" s="2">
        <v>45303</v>
      </c>
      <c r="B71" s="20">
        <v>2838</v>
      </c>
      <c r="C71" s="20">
        <v>731</v>
      </c>
      <c r="D71" s="20">
        <v>16930</v>
      </c>
      <c r="E71" s="17" t="s">
        <v>92</v>
      </c>
      <c r="F71" s="17" t="s">
        <v>92</v>
      </c>
      <c r="G71" s="17" t="s">
        <v>92</v>
      </c>
      <c r="H71" s="17" t="s">
        <v>92</v>
      </c>
      <c r="I71" s="39"/>
      <c r="J71" s="47">
        <f t="shared" si="1"/>
        <v>-56</v>
      </c>
      <c r="K71" s="49"/>
      <c r="L71" s="17"/>
      <c r="M71" s="27"/>
      <c r="N71" s="49"/>
      <c r="O71" s="27"/>
      <c r="Q71" s="2"/>
      <c r="R71" s="24"/>
      <c r="S71" s="24"/>
      <c r="T71" s="24"/>
    </row>
    <row r="72" spans="1:20" x14ac:dyDescent="0.25">
      <c r="A72" s="2">
        <v>45302</v>
      </c>
      <c r="B72" s="20">
        <v>2806</v>
      </c>
      <c r="C72" s="20">
        <v>720</v>
      </c>
      <c r="D72" s="20">
        <v>16820</v>
      </c>
      <c r="E72" s="17" t="s">
        <v>92</v>
      </c>
      <c r="F72" s="17" t="s">
        <v>92</v>
      </c>
      <c r="G72" s="17" t="s">
        <v>92</v>
      </c>
      <c r="H72" s="17" t="s">
        <v>92</v>
      </c>
      <c r="I72" s="39"/>
      <c r="J72" s="47">
        <f t="shared" si="1"/>
        <v>-57</v>
      </c>
      <c r="K72" s="49"/>
      <c r="L72" s="17"/>
      <c r="M72" s="27"/>
      <c r="N72" s="49"/>
      <c r="O72" s="27"/>
      <c r="Q72" s="2"/>
      <c r="R72" s="24"/>
      <c r="S72" s="24"/>
      <c r="T72" s="24"/>
    </row>
    <row r="73" spans="1:20" x14ac:dyDescent="0.25">
      <c r="A73" s="2">
        <v>45301</v>
      </c>
      <c r="B73" s="20">
        <v>2814</v>
      </c>
      <c r="C73" s="20">
        <v>718</v>
      </c>
      <c r="D73" s="20">
        <v>16700</v>
      </c>
      <c r="E73" s="17" t="s">
        <v>92</v>
      </c>
      <c r="F73" s="17" t="s">
        <v>92</v>
      </c>
      <c r="G73" s="17" t="s">
        <v>92</v>
      </c>
      <c r="H73" s="17" t="s">
        <v>92</v>
      </c>
      <c r="I73" s="39"/>
      <c r="J73" s="47">
        <f t="shared" si="1"/>
        <v>-58</v>
      </c>
      <c r="K73" s="49"/>
      <c r="L73" s="17"/>
      <c r="M73" s="27"/>
      <c r="N73" s="49"/>
      <c r="O73" s="27"/>
      <c r="Q73" s="2"/>
      <c r="R73" s="24"/>
      <c r="S73" s="24"/>
      <c r="T73" s="24"/>
    </row>
    <row r="74" spans="1:20" x14ac:dyDescent="0.25">
      <c r="A74" s="2">
        <v>45300</v>
      </c>
      <c r="B74" s="20">
        <v>2832</v>
      </c>
      <c r="C74" s="20">
        <v>683</v>
      </c>
      <c r="D74" s="20">
        <v>16180</v>
      </c>
      <c r="E74" s="17" t="s">
        <v>92</v>
      </c>
      <c r="F74" s="17" t="s">
        <v>92</v>
      </c>
      <c r="G74" s="17" t="s">
        <v>92</v>
      </c>
      <c r="H74" s="17" t="s">
        <v>92</v>
      </c>
      <c r="I74" s="39"/>
      <c r="J74" s="47">
        <f t="shared" si="1"/>
        <v>-59</v>
      </c>
      <c r="K74" s="49"/>
      <c r="L74" s="17"/>
      <c r="M74" s="27"/>
      <c r="N74" s="49"/>
      <c r="O74" s="27"/>
      <c r="Q74" s="2"/>
      <c r="R74" s="24"/>
      <c r="S74" s="24"/>
      <c r="T74" s="24"/>
    </row>
    <row r="75" spans="1:20" x14ac:dyDescent="0.25">
      <c r="A75" s="2">
        <v>45299</v>
      </c>
      <c r="B75" s="20">
        <v>2836</v>
      </c>
      <c r="C75" s="20">
        <v>680</v>
      </c>
      <c r="D75" s="20">
        <v>15950</v>
      </c>
      <c r="E75" s="17" t="s">
        <v>92</v>
      </c>
      <c r="F75" s="17" t="s">
        <v>92</v>
      </c>
      <c r="G75" s="17" t="s">
        <v>92</v>
      </c>
      <c r="H75" s="17" t="s">
        <v>92</v>
      </c>
      <c r="I75" s="39"/>
      <c r="J75" s="47">
        <f t="shared" si="1"/>
        <v>-60</v>
      </c>
      <c r="K75" s="49"/>
      <c r="L75" s="17"/>
      <c r="M75" s="27"/>
      <c r="N75" s="49"/>
      <c r="O75" s="27"/>
      <c r="Q75" s="2"/>
      <c r="R75" s="24"/>
      <c r="S75" s="24"/>
      <c r="T75" s="24"/>
    </row>
    <row r="76" spans="1:20" x14ac:dyDescent="0.25">
      <c r="A76" s="2">
        <v>45296</v>
      </c>
      <c r="B76" s="20">
        <v>2838</v>
      </c>
      <c r="C76" s="20">
        <v>685</v>
      </c>
      <c r="D76" s="20">
        <v>15880</v>
      </c>
      <c r="E76" s="17" t="s">
        <v>92</v>
      </c>
      <c r="F76" s="17" t="s">
        <v>92</v>
      </c>
      <c r="G76" s="17" t="s">
        <v>92</v>
      </c>
      <c r="H76" s="17" t="s">
        <v>92</v>
      </c>
      <c r="I76" s="39"/>
      <c r="J76" s="47">
        <f t="shared" si="1"/>
        <v>-61</v>
      </c>
      <c r="K76" s="49"/>
      <c r="L76" s="17"/>
      <c r="M76" s="27"/>
      <c r="N76" s="49"/>
      <c r="O76" s="27"/>
      <c r="Q76" s="2"/>
      <c r="R76" s="24"/>
      <c r="S76" s="24"/>
      <c r="T76" s="24"/>
    </row>
    <row r="77" spans="1:20" x14ac:dyDescent="0.25">
      <c r="A77" s="2">
        <v>45295</v>
      </c>
      <c r="B77" s="20">
        <v>2820</v>
      </c>
      <c r="C77" s="20">
        <v>672</v>
      </c>
      <c r="D77" s="20">
        <v>15600</v>
      </c>
      <c r="E77" s="17" t="s">
        <v>92</v>
      </c>
      <c r="F77" s="17" t="s">
        <v>92</v>
      </c>
      <c r="G77" s="17" t="s">
        <v>92</v>
      </c>
      <c r="H77" s="17" t="s">
        <v>92</v>
      </c>
      <c r="I77" s="39"/>
      <c r="J77" s="47">
        <f t="shared" si="1"/>
        <v>-62</v>
      </c>
      <c r="K77" s="49"/>
      <c r="L77" s="17"/>
      <c r="M77" s="27"/>
      <c r="N77" s="49"/>
      <c r="O77" s="27"/>
      <c r="Q77" s="2"/>
      <c r="R77" s="24"/>
      <c r="S77" s="24"/>
      <c r="T77" s="24"/>
    </row>
    <row r="78" spans="1:20" x14ac:dyDescent="0.25">
      <c r="A78" s="2">
        <v>45294</v>
      </c>
      <c r="B78" s="20">
        <v>2828</v>
      </c>
      <c r="C78" s="20">
        <v>675</v>
      </c>
      <c r="D78" s="20">
        <v>15605</v>
      </c>
      <c r="E78" s="17" t="s">
        <v>92</v>
      </c>
      <c r="F78" s="17" t="s">
        <v>92</v>
      </c>
      <c r="G78" s="17" t="s">
        <v>92</v>
      </c>
      <c r="H78" s="17" t="s">
        <v>92</v>
      </c>
      <c r="I78" s="39"/>
      <c r="J78" s="47">
        <f t="shared" si="1"/>
        <v>-63</v>
      </c>
      <c r="K78" s="49"/>
      <c r="L78" s="17"/>
      <c r="M78" s="27"/>
      <c r="N78" s="49"/>
      <c r="O78" s="27"/>
      <c r="Q78" s="2"/>
      <c r="R78" s="24"/>
      <c r="S78" s="24"/>
      <c r="T78" s="24"/>
    </row>
    <row r="79" spans="1:20" x14ac:dyDescent="0.25">
      <c r="A79" s="2">
        <v>45293</v>
      </c>
      <c r="B79" s="20">
        <v>2820</v>
      </c>
      <c r="C79" s="20">
        <v>678</v>
      </c>
      <c r="D79" s="20">
        <v>15750</v>
      </c>
      <c r="E79" s="17" t="s">
        <v>92</v>
      </c>
      <c r="F79" s="17" t="s">
        <v>92</v>
      </c>
      <c r="G79" s="17" t="s">
        <v>92</v>
      </c>
      <c r="H79" s="17" t="s">
        <v>92</v>
      </c>
      <c r="I79" s="39"/>
      <c r="J79" s="47">
        <f t="shared" si="1"/>
        <v>-64</v>
      </c>
      <c r="K79" s="49"/>
      <c r="L79" s="17"/>
      <c r="M79" s="27"/>
      <c r="N79" s="49"/>
      <c r="O79" s="27"/>
      <c r="Q79" s="2"/>
      <c r="R79" s="24"/>
      <c r="S79" s="24"/>
      <c r="T79" s="24"/>
    </row>
    <row r="80" spans="1:20" x14ac:dyDescent="0.25">
      <c r="A80" s="2">
        <v>45289</v>
      </c>
      <c r="B80" s="20">
        <v>2826</v>
      </c>
      <c r="C80" s="20">
        <v>682</v>
      </c>
      <c r="D80" s="20">
        <v>15800</v>
      </c>
      <c r="E80" s="17" t="s">
        <v>92</v>
      </c>
      <c r="F80" s="17" t="s">
        <v>92</v>
      </c>
      <c r="G80" s="17" t="s">
        <v>92</v>
      </c>
      <c r="H80" s="17" t="s">
        <v>92</v>
      </c>
      <c r="I80" s="39"/>
      <c r="J80" s="47">
        <f t="shared" si="1"/>
        <v>-65</v>
      </c>
      <c r="K80" s="49"/>
      <c r="L80" s="17"/>
      <c r="M80" s="27"/>
      <c r="N80" s="49"/>
      <c r="O80" s="27"/>
      <c r="Q80" s="2"/>
      <c r="R80" s="24"/>
      <c r="S80" s="24"/>
      <c r="T80" s="24"/>
    </row>
    <row r="81" spans="1:20" x14ac:dyDescent="0.25">
      <c r="A81" s="2">
        <v>45288</v>
      </c>
      <c r="B81" s="20">
        <v>2826</v>
      </c>
      <c r="C81" s="20">
        <v>675</v>
      </c>
      <c r="D81" s="20">
        <v>15890</v>
      </c>
      <c r="E81" s="17" t="s">
        <v>92</v>
      </c>
      <c r="F81" s="17" t="s">
        <v>92</v>
      </c>
      <c r="G81" s="17" t="s">
        <v>92</v>
      </c>
      <c r="H81" s="17" t="s">
        <v>92</v>
      </c>
      <c r="I81" s="39"/>
      <c r="J81" s="47">
        <f t="shared" ref="J81:J144" si="2">+J80-1</f>
        <v>-66</v>
      </c>
      <c r="K81" s="49"/>
      <c r="L81" s="17"/>
      <c r="M81" s="27"/>
      <c r="N81" s="49"/>
      <c r="O81" s="27"/>
      <c r="Q81" s="2"/>
      <c r="R81" s="24"/>
      <c r="S81" s="24"/>
      <c r="T81" s="24"/>
    </row>
    <row r="82" spans="1:20" x14ac:dyDescent="0.25">
      <c r="A82" s="2">
        <v>45287</v>
      </c>
      <c r="B82" s="20">
        <v>2818</v>
      </c>
      <c r="C82" s="20">
        <v>665</v>
      </c>
      <c r="D82" s="20">
        <v>15740</v>
      </c>
      <c r="E82" s="17" t="s">
        <v>92</v>
      </c>
      <c r="F82" s="17" t="s">
        <v>92</v>
      </c>
      <c r="G82" s="17" t="s">
        <v>92</v>
      </c>
      <c r="H82" s="17" t="s">
        <v>92</v>
      </c>
      <c r="I82" s="39"/>
      <c r="J82" s="47">
        <f t="shared" si="2"/>
        <v>-67</v>
      </c>
      <c r="K82" s="49"/>
      <c r="L82" s="17"/>
      <c r="M82" s="27"/>
      <c r="N82" s="49"/>
      <c r="O82" s="27"/>
      <c r="Q82" s="2"/>
      <c r="R82" s="24"/>
      <c r="S82" s="24"/>
      <c r="T82" s="24"/>
    </row>
    <row r="83" spans="1:20" x14ac:dyDescent="0.25">
      <c r="A83" s="2">
        <v>45282</v>
      </c>
      <c r="B83" s="20">
        <v>2822</v>
      </c>
      <c r="C83" s="20">
        <v>663</v>
      </c>
      <c r="D83" s="20">
        <v>15750</v>
      </c>
      <c r="E83" s="17" t="s">
        <v>92</v>
      </c>
      <c r="F83" s="17" t="s">
        <v>92</v>
      </c>
      <c r="G83" s="17" t="s">
        <v>92</v>
      </c>
      <c r="H83" s="17" t="s">
        <v>92</v>
      </c>
      <c r="I83" s="39"/>
      <c r="J83" s="47">
        <f t="shared" si="2"/>
        <v>-68</v>
      </c>
      <c r="K83" s="49"/>
      <c r="L83" s="17"/>
      <c r="M83" s="27"/>
      <c r="N83" s="49"/>
      <c r="O83" s="27"/>
      <c r="Q83" s="2"/>
      <c r="R83" s="24"/>
      <c r="S83" s="24"/>
      <c r="T83" s="24"/>
    </row>
    <row r="84" spans="1:20" x14ac:dyDescent="0.25">
      <c r="A84" s="2">
        <v>45281</v>
      </c>
      <c r="B84" s="20">
        <v>2830</v>
      </c>
      <c r="C84" s="20">
        <v>660</v>
      </c>
      <c r="D84" s="20">
        <v>15780</v>
      </c>
      <c r="E84" s="17" t="s">
        <v>92</v>
      </c>
      <c r="F84" s="17" t="s">
        <v>92</v>
      </c>
      <c r="G84" s="17" t="s">
        <v>92</v>
      </c>
      <c r="H84" s="17" t="s">
        <v>92</v>
      </c>
      <c r="I84" s="39"/>
      <c r="J84" s="47">
        <f t="shared" si="2"/>
        <v>-69</v>
      </c>
      <c r="K84" s="49"/>
      <c r="L84" s="17"/>
      <c r="M84" s="27"/>
      <c r="N84" s="49"/>
      <c r="O84" s="27"/>
      <c r="Q84" s="2"/>
      <c r="R84" s="24"/>
      <c r="S84" s="24"/>
      <c r="T84" s="24"/>
    </row>
    <row r="85" spans="1:20" x14ac:dyDescent="0.25">
      <c r="A85" s="2">
        <v>45280</v>
      </c>
      <c r="B85" s="20">
        <v>2834</v>
      </c>
      <c r="C85" s="20">
        <v>668</v>
      </c>
      <c r="D85" s="20">
        <v>16030</v>
      </c>
      <c r="E85" s="17" t="s">
        <v>92</v>
      </c>
      <c r="F85" s="17" t="s">
        <v>92</v>
      </c>
      <c r="G85" s="17" t="s">
        <v>92</v>
      </c>
      <c r="H85" s="17" t="s">
        <v>92</v>
      </c>
      <c r="I85" s="39"/>
      <c r="J85" s="47">
        <f t="shared" si="2"/>
        <v>-70</v>
      </c>
      <c r="K85" s="49"/>
      <c r="L85" s="17"/>
      <c r="M85" s="27"/>
      <c r="N85" s="49"/>
      <c r="O85" s="27"/>
      <c r="Q85" s="2"/>
      <c r="R85" s="24"/>
      <c r="S85" s="24"/>
      <c r="T85" s="24"/>
    </row>
    <row r="86" spans="1:20" x14ac:dyDescent="0.25">
      <c r="A86" s="2">
        <v>45279</v>
      </c>
      <c r="B86" s="20">
        <v>2830</v>
      </c>
      <c r="C86" s="20">
        <v>660</v>
      </c>
      <c r="D86" s="20">
        <v>15990</v>
      </c>
      <c r="E86" s="17" t="s">
        <v>92</v>
      </c>
      <c r="F86" s="17" t="s">
        <v>92</v>
      </c>
      <c r="G86" s="17" t="s">
        <v>92</v>
      </c>
      <c r="H86" s="17" t="s">
        <v>92</v>
      </c>
      <c r="I86" s="39"/>
      <c r="J86" s="47">
        <f t="shared" si="2"/>
        <v>-71</v>
      </c>
      <c r="K86" s="49"/>
      <c r="L86" s="17"/>
      <c r="M86" s="27"/>
      <c r="N86" s="49"/>
      <c r="O86" s="27"/>
      <c r="Q86" s="2"/>
      <c r="R86" s="24"/>
      <c r="S86" s="24"/>
      <c r="T86" s="24"/>
    </row>
    <row r="87" spans="1:20" x14ac:dyDescent="0.25">
      <c r="A87" s="2">
        <v>45278</v>
      </c>
      <c r="B87" s="20">
        <v>2818</v>
      </c>
      <c r="C87" s="20">
        <v>667</v>
      </c>
      <c r="D87" s="20">
        <v>15725</v>
      </c>
      <c r="E87" s="17" t="s">
        <v>92</v>
      </c>
      <c r="F87" s="17" t="s">
        <v>92</v>
      </c>
      <c r="G87" s="17" t="s">
        <v>92</v>
      </c>
      <c r="H87" s="17" t="s">
        <v>92</v>
      </c>
      <c r="I87" s="39"/>
      <c r="J87" s="47">
        <f t="shared" si="2"/>
        <v>-72</v>
      </c>
      <c r="K87" s="49"/>
      <c r="L87" s="17"/>
      <c r="M87" s="27"/>
      <c r="N87" s="49"/>
      <c r="O87" s="27"/>
      <c r="Q87" s="2"/>
      <c r="R87" s="24"/>
      <c r="S87" s="24"/>
      <c r="T87" s="24"/>
    </row>
    <row r="88" spans="1:20" x14ac:dyDescent="0.25">
      <c r="A88" s="2">
        <v>45275</v>
      </c>
      <c r="B88" s="20">
        <v>2832</v>
      </c>
      <c r="C88" s="20">
        <v>666</v>
      </c>
      <c r="D88" s="20">
        <v>15580</v>
      </c>
      <c r="E88" s="17" t="s">
        <v>92</v>
      </c>
      <c r="F88" s="17" t="s">
        <v>92</v>
      </c>
      <c r="G88" s="17" t="s">
        <v>92</v>
      </c>
      <c r="H88" s="17" t="s">
        <v>92</v>
      </c>
      <c r="I88" s="39"/>
      <c r="J88" s="47">
        <f t="shared" si="2"/>
        <v>-73</v>
      </c>
      <c r="K88" s="49"/>
      <c r="L88" s="17"/>
      <c r="M88" s="27"/>
      <c r="N88" s="49"/>
      <c r="O88" s="27"/>
      <c r="Q88" s="2"/>
      <c r="R88" s="24"/>
      <c r="S88" s="24"/>
      <c r="T88" s="24"/>
    </row>
    <row r="89" spans="1:20" x14ac:dyDescent="0.25">
      <c r="A89" s="2">
        <v>45274</v>
      </c>
      <c r="B89" s="20">
        <v>2816</v>
      </c>
      <c r="C89" s="20">
        <v>667</v>
      </c>
      <c r="D89" s="20">
        <v>15690</v>
      </c>
      <c r="E89" s="17" t="s">
        <v>92</v>
      </c>
      <c r="F89" s="17" t="s">
        <v>92</v>
      </c>
      <c r="G89" s="17" t="s">
        <v>92</v>
      </c>
      <c r="H89" s="17" t="s">
        <v>92</v>
      </c>
      <c r="I89" s="39"/>
      <c r="J89" s="47">
        <f t="shared" si="2"/>
        <v>-74</v>
      </c>
      <c r="K89" s="49"/>
      <c r="L89" s="17"/>
      <c r="M89" s="27"/>
      <c r="N89" s="49"/>
      <c r="O89" s="27"/>
      <c r="Q89" s="2"/>
      <c r="R89" s="24"/>
      <c r="S89" s="24"/>
      <c r="T89" s="24"/>
    </row>
    <row r="90" spans="1:20" x14ac:dyDescent="0.25">
      <c r="A90" s="2">
        <v>45273</v>
      </c>
      <c r="B90" s="20">
        <v>2796</v>
      </c>
      <c r="C90" s="20">
        <v>645</v>
      </c>
      <c r="D90" s="20">
        <v>15005</v>
      </c>
      <c r="E90" s="17" t="s">
        <v>92</v>
      </c>
      <c r="F90" s="17" t="s">
        <v>92</v>
      </c>
      <c r="G90" s="17" t="s">
        <v>92</v>
      </c>
      <c r="H90" s="17" t="s">
        <v>92</v>
      </c>
      <c r="I90" s="39"/>
      <c r="J90" s="47">
        <f t="shared" si="2"/>
        <v>-75</v>
      </c>
      <c r="K90" s="49"/>
      <c r="L90" s="17"/>
      <c r="M90" s="27"/>
      <c r="N90" s="49"/>
      <c r="O90" s="27"/>
      <c r="Q90" s="2"/>
      <c r="R90" s="24"/>
      <c r="S90" s="24"/>
      <c r="T90" s="24"/>
    </row>
    <row r="91" spans="1:20" x14ac:dyDescent="0.25">
      <c r="A91" s="2">
        <v>45272</v>
      </c>
      <c r="B91" s="20">
        <v>2804</v>
      </c>
      <c r="C91" s="20">
        <v>642</v>
      </c>
      <c r="D91" s="20">
        <v>15025</v>
      </c>
      <c r="E91" s="17" t="s">
        <v>92</v>
      </c>
      <c r="F91" s="17" t="s">
        <v>92</v>
      </c>
      <c r="G91" s="17" t="s">
        <v>92</v>
      </c>
      <c r="H91" s="17" t="s">
        <v>92</v>
      </c>
      <c r="I91" s="39"/>
      <c r="J91" s="47">
        <f t="shared" si="2"/>
        <v>-76</v>
      </c>
      <c r="K91" s="49"/>
      <c r="L91" s="17"/>
      <c r="M91" s="27"/>
      <c r="N91" s="49"/>
      <c r="O91" s="27"/>
      <c r="Q91" s="2"/>
      <c r="R91" s="24"/>
      <c r="S91" s="24"/>
      <c r="T91" s="24"/>
    </row>
    <row r="92" spans="1:20" x14ac:dyDescent="0.25">
      <c r="A92" s="2">
        <v>45271</v>
      </c>
      <c r="B92" s="20">
        <v>2756</v>
      </c>
      <c r="C92" s="20">
        <v>632</v>
      </c>
      <c r="D92" s="20">
        <v>14750</v>
      </c>
      <c r="E92" s="17" t="s">
        <v>92</v>
      </c>
      <c r="F92" s="17" t="s">
        <v>92</v>
      </c>
      <c r="G92" s="17" t="s">
        <v>92</v>
      </c>
      <c r="H92" s="17" t="s">
        <v>92</v>
      </c>
      <c r="I92" s="39"/>
      <c r="J92" s="47">
        <f t="shared" si="2"/>
        <v>-77</v>
      </c>
      <c r="K92" s="49"/>
      <c r="L92" s="17"/>
      <c r="M92" s="27"/>
      <c r="N92" s="49"/>
      <c r="O92" s="27"/>
      <c r="Q92" s="2"/>
      <c r="R92" s="24"/>
      <c r="S92" s="24"/>
      <c r="T92" s="24"/>
    </row>
    <row r="93" spans="1:20" x14ac:dyDescent="0.25">
      <c r="A93" s="2">
        <v>45268</v>
      </c>
      <c r="B93" s="20">
        <v>2766</v>
      </c>
      <c r="C93" s="20">
        <v>637</v>
      </c>
      <c r="D93" s="20">
        <v>14780</v>
      </c>
      <c r="E93" s="17" t="s">
        <v>92</v>
      </c>
      <c r="F93" s="17" t="s">
        <v>92</v>
      </c>
      <c r="G93" s="17" t="s">
        <v>92</v>
      </c>
      <c r="H93" s="17" t="s">
        <v>92</v>
      </c>
      <c r="I93" s="39"/>
      <c r="J93" s="47">
        <f t="shared" si="2"/>
        <v>-78</v>
      </c>
      <c r="K93" s="49"/>
      <c r="L93" s="17"/>
      <c r="M93" s="27"/>
      <c r="N93" s="49"/>
      <c r="O93" s="27"/>
      <c r="Q93" s="2"/>
      <c r="R93" s="24"/>
      <c r="S93" s="24"/>
      <c r="T93" s="24"/>
    </row>
    <row r="94" spans="1:20" x14ac:dyDescent="0.25">
      <c r="A94" s="2">
        <v>45267</v>
      </c>
      <c r="B94" s="20">
        <v>2804</v>
      </c>
      <c r="C94" s="20">
        <v>640</v>
      </c>
      <c r="D94" s="20">
        <v>14540</v>
      </c>
      <c r="E94" s="17" t="s">
        <v>92</v>
      </c>
      <c r="F94" s="17" t="s">
        <v>92</v>
      </c>
      <c r="G94" s="17" t="s">
        <v>92</v>
      </c>
      <c r="H94" s="17" t="s">
        <v>92</v>
      </c>
      <c r="I94" s="39"/>
      <c r="J94" s="47">
        <f t="shared" si="2"/>
        <v>-79</v>
      </c>
      <c r="K94" s="49"/>
      <c r="L94" s="17"/>
      <c r="M94" s="27"/>
      <c r="N94" s="49"/>
      <c r="O94" s="27"/>
      <c r="Q94" s="2"/>
      <c r="R94" s="24"/>
      <c r="S94" s="24"/>
      <c r="T94" s="24"/>
    </row>
    <row r="95" spans="1:20" x14ac:dyDescent="0.25">
      <c r="A95" s="2">
        <v>45266</v>
      </c>
      <c r="B95" s="20">
        <v>2810</v>
      </c>
      <c r="C95" s="20">
        <v>643</v>
      </c>
      <c r="D95" s="20">
        <v>14510</v>
      </c>
      <c r="E95" s="17" t="s">
        <v>92</v>
      </c>
      <c r="F95" s="17" t="s">
        <v>92</v>
      </c>
      <c r="G95" s="17" t="s">
        <v>92</v>
      </c>
      <c r="H95" s="17" t="s">
        <v>92</v>
      </c>
      <c r="I95" s="39"/>
      <c r="J95" s="47">
        <f t="shared" si="2"/>
        <v>-80</v>
      </c>
      <c r="K95" s="49"/>
      <c r="L95" s="17"/>
      <c r="M95" s="27"/>
      <c r="N95" s="49"/>
      <c r="O95" s="27"/>
      <c r="Q95" s="2"/>
      <c r="R95" s="24"/>
      <c r="S95" s="24"/>
      <c r="T95" s="24"/>
    </row>
    <row r="96" spans="1:20" x14ac:dyDescent="0.25">
      <c r="A96" s="2">
        <v>45265</v>
      </c>
      <c r="B96" s="20">
        <v>2820</v>
      </c>
      <c r="C96" s="20">
        <v>621</v>
      </c>
      <c r="D96" s="20">
        <v>14645</v>
      </c>
      <c r="E96" s="17" t="s">
        <v>92</v>
      </c>
      <c r="F96" s="17" t="s">
        <v>92</v>
      </c>
      <c r="G96" s="17" t="s">
        <v>92</v>
      </c>
      <c r="H96" s="17" t="s">
        <v>92</v>
      </c>
      <c r="I96" s="39"/>
      <c r="J96" s="47">
        <f t="shared" si="2"/>
        <v>-81</v>
      </c>
      <c r="K96" s="49"/>
      <c r="L96" s="17"/>
      <c r="M96" s="27"/>
      <c r="N96" s="49"/>
      <c r="O96" s="27"/>
      <c r="Q96" s="2"/>
      <c r="R96" s="24"/>
      <c r="S96" s="24"/>
      <c r="T96" s="24"/>
    </row>
    <row r="97" spans="1:20" x14ac:dyDescent="0.25">
      <c r="A97" s="2">
        <v>45264</v>
      </c>
      <c r="B97" s="20">
        <v>2792</v>
      </c>
      <c r="C97" s="20">
        <v>617</v>
      </c>
      <c r="D97" s="20">
        <v>14670</v>
      </c>
      <c r="E97" s="17" t="s">
        <v>92</v>
      </c>
      <c r="F97" s="17" t="s">
        <v>92</v>
      </c>
      <c r="G97" s="17" t="s">
        <v>92</v>
      </c>
      <c r="H97" s="17" t="s">
        <v>92</v>
      </c>
      <c r="I97" s="39"/>
      <c r="J97" s="47">
        <f t="shared" si="2"/>
        <v>-82</v>
      </c>
      <c r="K97" s="49"/>
      <c r="L97" s="17"/>
      <c r="M97" s="27"/>
      <c r="N97" s="49"/>
      <c r="O97" s="27"/>
      <c r="Q97" s="2"/>
      <c r="R97" s="24"/>
      <c r="S97" s="24"/>
      <c r="T97" s="24"/>
    </row>
    <row r="98" spans="1:20" x14ac:dyDescent="0.25">
      <c r="A98" s="2">
        <v>45261</v>
      </c>
      <c r="B98" s="20">
        <v>2780</v>
      </c>
      <c r="C98" s="20">
        <v>604</v>
      </c>
      <c r="D98" s="20">
        <v>14545</v>
      </c>
      <c r="E98" s="17" t="s">
        <v>92</v>
      </c>
      <c r="F98" s="17" t="s">
        <v>92</v>
      </c>
      <c r="G98" s="17" t="s">
        <v>92</v>
      </c>
      <c r="H98" s="17" t="s">
        <v>92</v>
      </c>
      <c r="I98" s="39"/>
      <c r="J98" s="47">
        <f t="shared" si="2"/>
        <v>-83</v>
      </c>
      <c r="K98" s="49"/>
      <c r="L98" s="17"/>
      <c r="M98" s="27"/>
      <c r="N98" s="49"/>
      <c r="O98" s="27"/>
      <c r="Q98" s="2"/>
      <c r="R98" s="24"/>
      <c r="S98" s="24"/>
      <c r="T98" s="24"/>
    </row>
    <row r="99" spans="1:20" x14ac:dyDescent="0.25">
      <c r="A99" s="2">
        <v>45260</v>
      </c>
      <c r="B99" s="20">
        <v>2780</v>
      </c>
      <c r="C99" s="20">
        <v>590</v>
      </c>
      <c r="D99" s="20">
        <v>14515</v>
      </c>
      <c r="E99" s="17" t="s">
        <v>92</v>
      </c>
      <c r="F99" s="17" t="s">
        <v>92</v>
      </c>
      <c r="G99" s="17" t="s">
        <v>92</v>
      </c>
      <c r="H99" s="17" t="s">
        <v>92</v>
      </c>
      <c r="I99" s="39"/>
      <c r="J99" s="47">
        <f t="shared" si="2"/>
        <v>-84</v>
      </c>
      <c r="K99" s="49"/>
      <c r="L99" s="17"/>
      <c r="M99" s="27"/>
      <c r="N99" s="49"/>
      <c r="O99" s="27"/>
      <c r="Q99" s="2"/>
      <c r="R99" s="24"/>
      <c r="S99" s="24"/>
      <c r="T99" s="24"/>
    </row>
    <row r="100" spans="1:20" x14ac:dyDescent="0.25">
      <c r="A100" s="2">
        <v>45259</v>
      </c>
      <c r="B100" s="20">
        <v>2780</v>
      </c>
      <c r="C100" s="20">
        <v>603</v>
      </c>
      <c r="D100" s="20">
        <v>14350</v>
      </c>
      <c r="E100" s="17" t="s">
        <v>92</v>
      </c>
      <c r="F100" s="17" t="s">
        <v>92</v>
      </c>
      <c r="G100" s="17" t="s">
        <v>92</v>
      </c>
      <c r="H100" s="17" t="s">
        <v>92</v>
      </c>
      <c r="I100" s="39"/>
      <c r="J100" s="47">
        <f t="shared" si="2"/>
        <v>-85</v>
      </c>
      <c r="K100" s="49"/>
      <c r="L100" s="17"/>
      <c r="M100" s="27"/>
      <c r="N100" s="49"/>
      <c r="O100" s="27"/>
      <c r="Q100" s="2"/>
      <c r="R100" s="24"/>
      <c r="S100" s="24"/>
      <c r="T100" s="24"/>
    </row>
    <row r="101" spans="1:20" x14ac:dyDescent="0.25">
      <c r="A101" s="2">
        <v>45258</v>
      </c>
      <c r="B101" s="20">
        <v>2796</v>
      </c>
      <c r="C101" s="20">
        <v>604</v>
      </c>
      <c r="D101" s="20">
        <v>14190</v>
      </c>
      <c r="E101" s="17" t="s">
        <v>92</v>
      </c>
      <c r="F101" s="17" t="s">
        <v>92</v>
      </c>
      <c r="G101" s="17" t="s">
        <v>92</v>
      </c>
      <c r="H101" s="17" t="s">
        <v>92</v>
      </c>
      <c r="I101" s="39"/>
      <c r="J101" s="47">
        <f t="shared" si="2"/>
        <v>-86</v>
      </c>
      <c r="K101" s="49"/>
      <c r="L101" s="17"/>
      <c r="M101" s="27"/>
      <c r="N101" s="49"/>
      <c r="O101" s="27"/>
      <c r="Q101" s="2"/>
      <c r="R101" s="24"/>
      <c r="S101" s="24"/>
      <c r="T101" s="24"/>
    </row>
    <row r="102" spans="1:20" x14ac:dyDescent="0.25">
      <c r="A102" s="2">
        <v>45257</v>
      </c>
      <c r="B102" s="20">
        <v>2770</v>
      </c>
      <c r="C102" s="20">
        <v>600</v>
      </c>
      <c r="D102" s="20">
        <v>13580</v>
      </c>
      <c r="E102" s="17" t="s">
        <v>92</v>
      </c>
      <c r="F102" s="17" t="s">
        <v>92</v>
      </c>
      <c r="G102" s="17" t="s">
        <v>92</v>
      </c>
      <c r="H102" s="17" t="s">
        <v>92</v>
      </c>
      <c r="I102" s="39"/>
      <c r="J102" s="47">
        <f t="shared" si="2"/>
        <v>-87</v>
      </c>
      <c r="K102" s="49"/>
      <c r="L102" s="17"/>
      <c r="M102" s="27"/>
      <c r="N102" s="49"/>
      <c r="O102" s="27"/>
      <c r="Q102" s="2"/>
      <c r="R102" s="24"/>
      <c r="S102" s="24"/>
      <c r="T102" s="24"/>
    </row>
    <row r="103" spans="1:20" x14ac:dyDescent="0.25">
      <c r="A103" s="2">
        <v>45254</v>
      </c>
      <c r="B103" s="20">
        <v>2730</v>
      </c>
      <c r="C103" s="20">
        <v>607</v>
      </c>
      <c r="D103" s="20">
        <v>13770</v>
      </c>
      <c r="E103" s="17" t="s">
        <v>92</v>
      </c>
      <c r="F103" s="17" t="s">
        <v>92</v>
      </c>
      <c r="G103" s="17" t="s">
        <v>92</v>
      </c>
      <c r="H103" s="17" t="s">
        <v>92</v>
      </c>
      <c r="I103" s="39"/>
      <c r="J103" s="47">
        <f t="shared" si="2"/>
        <v>-88</v>
      </c>
      <c r="K103" s="49"/>
      <c r="L103" s="17"/>
      <c r="M103" s="27"/>
      <c r="N103" s="49"/>
      <c r="O103" s="27"/>
      <c r="Q103" s="2"/>
      <c r="R103" s="24"/>
      <c r="S103" s="24"/>
      <c r="T103" s="24"/>
    </row>
    <row r="104" spans="1:20" x14ac:dyDescent="0.25">
      <c r="A104" s="2">
        <v>45253</v>
      </c>
      <c r="B104" s="20">
        <v>2748</v>
      </c>
      <c r="C104" s="20">
        <v>608</v>
      </c>
      <c r="D104" s="20">
        <v>13900</v>
      </c>
      <c r="E104" s="17" t="s">
        <v>92</v>
      </c>
      <c r="F104" s="17" t="s">
        <v>92</v>
      </c>
      <c r="G104" s="17" t="s">
        <v>92</v>
      </c>
      <c r="H104" s="17" t="s">
        <v>92</v>
      </c>
      <c r="I104" s="39"/>
      <c r="J104" s="47">
        <f t="shared" si="2"/>
        <v>-89</v>
      </c>
      <c r="K104" s="49"/>
      <c r="L104" s="17"/>
      <c r="M104" s="27"/>
      <c r="N104" s="49"/>
      <c r="O104" s="27"/>
      <c r="Q104" s="2"/>
      <c r="R104" s="24"/>
      <c r="S104" s="24"/>
      <c r="T104" s="24"/>
    </row>
    <row r="105" spans="1:20" x14ac:dyDescent="0.25">
      <c r="A105" s="2">
        <v>45252</v>
      </c>
      <c r="B105" s="20">
        <v>2792</v>
      </c>
      <c r="C105" s="20">
        <v>606</v>
      </c>
      <c r="D105" s="20">
        <v>13970</v>
      </c>
      <c r="E105" s="17" t="s">
        <v>92</v>
      </c>
      <c r="F105" s="17" t="s">
        <v>92</v>
      </c>
      <c r="G105" s="17" t="s">
        <v>92</v>
      </c>
      <c r="H105" s="17" t="s">
        <v>92</v>
      </c>
      <c r="I105" s="39"/>
      <c r="J105" s="47">
        <f t="shared" si="2"/>
        <v>-90</v>
      </c>
      <c r="K105" s="49"/>
      <c r="L105" s="17"/>
      <c r="M105" s="27"/>
      <c r="N105" s="49"/>
      <c r="O105" s="27"/>
      <c r="Q105" s="2"/>
      <c r="R105" s="24"/>
      <c r="S105" s="24"/>
      <c r="T105" s="24"/>
    </row>
    <row r="106" spans="1:20" x14ac:dyDescent="0.25">
      <c r="A106" s="2">
        <v>45251</v>
      </c>
      <c r="B106" s="20">
        <v>2780</v>
      </c>
      <c r="C106" s="20">
        <v>607</v>
      </c>
      <c r="D106" s="20">
        <v>13835</v>
      </c>
      <c r="E106" s="17" t="s">
        <v>92</v>
      </c>
      <c r="F106" s="17" t="s">
        <v>92</v>
      </c>
      <c r="G106" s="17" t="s">
        <v>92</v>
      </c>
      <c r="H106" s="17" t="s">
        <v>92</v>
      </c>
      <c r="I106" s="39"/>
      <c r="J106" s="47">
        <f t="shared" si="2"/>
        <v>-91</v>
      </c>
      <c r="K106" s="49"/>
      <c r="L106" s="17"/>
      <c r="M106" s="27"/>
      <c r="N106" s="49"/>
      <c r="O106" s="27"/>
      <c r="Q106" s="2"/>
      <c r="R106" s="24"/>
      <c r="S106" s="24"/>
      <c r="T106" s="24"/>
    </row>
    <row r="107" spans="1:20" x14ac:dyDescent="0.25">
      <c r="A107" s="2">
        <v>45250</v>
      </c>
      <c r="B107" s="20">
        <v>2810</v>
      </c>
      <c r="C107" s="20">
        <v>613</v>
      </c>
      <c r="D107" s="20">
        <v>13800</v>
      </c>
      <c r="E107" s="17" t="s">
        <v>92</v>
      </c>
      <c r="F107" s="17" t="s">
        <v>92</v>
      </c>
      <c r="G107" s="17" t="s">
        <v>92</v>
      </c>
      <c r="H107" s="17" t="s">
        <v>92</v>
      </c>
      <c r="I107" s="39"/>
      <c r="J107" s="47">
        <f t="shared" si="2"/>
        <v>-92</v>
      </c>
      <c r="K107" s="49"/>
      <c r="L107" s="17"/>
      <c r="M107" s="27"/>
      <c r="N107" s="49"/>
      <c r="O107" s="27"/>
      <c r="Q107" s="2"/>
      <c r="R107" s="24"/>
      <c r="S107" s="24"/>
      <c r="T107" s="24"/>
    </row>
    <row r="108" spans="1:20" x14ac:dyDescent="0.25">
      <c r="A108" s="2">
        <v>45247</v>
      </c>
      <c r="B108" s="20">
        <v>2812</v>
      </c>
      <c r="C108" s="20">
        <v>608</v>
      </c>
      <c r="D108" s="20">
        <v>13880</v>
      </c>
      <c r="E108" s="17" t="s">
        <v>92</v>
      </c>
      <c r="F108" s="17" t="s">
        <v>92</v>
      </c>
      <c r="G108" s="17" t="s">
        <v>92</v>
      </c>
      <c r="H108" s="17" t="s">
        <v>92</v>
      </c>
      <c r="I108" s="39"/>
      <c r="J108" s="47">
        <f t="shared" si="2"/>
        <v>-93</v>
      </c>
      <c r="K108" s="49"/>
      <c r="L108" s="17"/>
      <c r="M108" s="27"/>
      <c r="N108" s="49"/>
      <c r="O108" s="27"/>
      <c r="Q108" s="2"/>
      <c r="R108" s="24"/>
      <c r="S108" s="24"/>
      <c r="T108" s="24"/>
    </row>
    <row r="109" spans="1:20" x14ac:dyDescent="0.25">
      <c r="A109" s="2">
        <v>45246</v>
      </c>
      <c r="B109" s="20">
        <v>2862</v>
      </c>
      <c r="C109" s="20">
        <v>613</v>
      </c>
      <c r="D109" s="20">
        <v>13910</v>
      </c>
      <c r="E109" s="17" t="s">
        <v>92</v>
      </c>
      <c r="F109" s="17" t="s">
        <v>92</v>
      </c>
      <c r="G109" s="17" t="s">
        <v>92</v>
      </c>
      <c r="H109" s="17" t="s">
        <v>92</v>
      </c>
      <c r="I109" s="39"/>
      <c r="J109" s="47">
        <f t="shared" si="2"/>
        <v>-94</v>
      </c>
      <c r="K109" s="49"/>
      <c r="L109" s="17"/>
      <c r="M109" s="27"/>
      <c r="N109" s="49"/>
      <c r="O109" s="27"/>
      <c r="Q109" s="2"/>
      <c r="R109" s="24"/>
      <c r="S109" s="24"/>
      <c r="T109" s="24"/>
    </row>
    <row r="110" spans="1:20" x14ac:dyDescent="0.25">
      <c r="A110" s="2">
        <v>45245</v>
      </c>
      <c r="B110" s="20">
        <v>2876</v>
      </c>
      <c r="C110" s="20">
        <v>613</v>
      </c>
      <c r="D110" s="20">
        <v>14055</v>
      </c>
      <c r="E110" s="17" t="s">
        <v>92</v>
      </c>
      <c r="F110" s="17" t="s">
        <v>92</v>
      </c>
      <c r="G110" s="17" t="s">
        <v>92</v>
      </c>
      <c r="H110" s="17" t="s">
        <v>92</v>
      </c>
      <c r="I110" s="39"/>
      <c r="J110" s="47">
        <f t="shared" si="2"/>
        <v>-95</v>
      </c>
      <c r="K110" s="49"/>
      <c r="L110" s="17"/>
      <c r="M110" s="27"/>
      <c r="N110" s="49"/>
      <c r="O110" s="27"/>
      <c r="Q110" s="2"/>
      <c r="R110" s="24"/>
      <c r="S110" s="24"/>
      <c r="T110" s="24"/>
    </row>
    <row r="111" spans="1:20" x14ac:dyDescent="0.25">
      <c r="A111" s="2">
        <v>45244</v>
      </c>
      <c r="B111" s="20">
        <v>2840</v>
      </c>
      <c r="C111" s="20">
        <v>608</v>
      </c>
      <c r="D111" s="20">
        <v>14015</v>
      </c>
      <c r="E111" s="17" t="s">
        <v>92</v>
      </c>
      <c r="F111" s="17" t="s">
        <v>92</v>
      </c>
      <c r="G111" s="17" t="s">
        <v>92</v>
      </c>
      <c r="H111" s="17" t="s">
        <v>92</v>
      </c>
      <c r="I111" s="39"/>
      <c r="J111" s="47">
        <f t="shared" si="2"/>
        <v>-96</v>
      </c>
      <c r="K111" s="49"/>
      <c r="L111" s="17"/>
      <c r="M111" s="27"/>
      <c r="N111" s="49"/>
      <c r="O111" s="27"/>
      <c r="Q111" s="2"/>
      <c r="R111" s="24"/>
      <c r="S111" s="24"/>
      <c r="T111" s="24"/>
    </row>
    <row r="112" spans="1:20" x14ac:dyDescent="0.25">
      <c r="A112" s="2">
        <v>45243</v>
      </c>
      <c r="B112" s="20">
        <v>2834</v>
      </c>
      <c r="C112" s="20">
        <v>606</v>
      </c>
      <c r="D112" s="20">
        <v>13780</v>
      </c>
      <c r="E112" s="17" t="s">
        <v>92</v>
      </c>
      <c r="F112" s="17" t="s">
        <v>92</v>
      </c>
      <c r="G112" s="17" t="s">
        <v>92</v>
      </c>
      <c r="H112" s="17" t="s">
        <v>92</v>
      </c>
      <c r="I112" s="39"/>
      <c r="J112" s="47">
        <f t="shared" si="2"/>
        <v>-97</v>
      </c>
      <c r="K112" s="49"/>
      <c r="L112" s="17"/>
      <c r="M112" s="27"/>
      <c r="N112" s="49"/>
      <c r="O112" s="27"/>
      <c r="Q112" s="2"/>
      <c r="R112" s="24"/>
      <c r="S112" s="24"/>
      <c r="T112" s="24"/>
    </row>
    <row r="113" spans="1:20" x14ac:dyDescent="0.25">
      <c r="A113" s="2">
        <v>45240</v>
      </c>
      <c r="B113" s="20">
        <v>2844</v>
      </c>
      <c r="C113" s="20">
        <v>606</v>
      </c>
      <c r="D113" s="20">
        <v>13945</v>
      </c>
      <c r="E113" s="17" t="s">
        <v>92</v>
      </c>
      <c r="F113" s="17" t="s">
        <v>92</v>
      </c>
      <c r="G113" s="17" t="s">
        <v>92</v>
      </c>
      <c r="H113" s="17" t="s">
        <v>92</v>
      </c>
      <c r="I113" s="39"/>
      <c r="J113" s="47">
        <f t="shared" si="2"/>
        <v>-98</v>
      </c>
      <c r="K113" s="49"/>
      <c r="L113" s="17"/>
      <c r="M113" s="27"/>
      <c r="N113" s="49"/>
      <c r="O113" s="27"/>
      <c r="Q113" s="2"/>
      <c r="R113" s="24"/>
      <c r="S113" s="24"/>
      <c r="T113" s="24"/>
    </row>
    <row r="114" spans="1:20" x14ac:dyDescent="0.25">
      <c r="A114" s="2">
        <v>45239</v>
      </c>
      <c r="B114" s="20">
        <v>2856</v>
      </c>
      <c r="C114" s="20">
        <v>614</v>
      </c>
      <c r="D114" s="20">
        <v>13750</v>
      </c>
      <c r="E114" s="17" t="s">
        <v>92</v>
      </c>
      <c r="F114" s="17" t="s">
        <v>92</v>
      </c>
      <c r="G114" s="17" t="s">
        <v>92</v>
      </c>
      <c r="H114" s="17" t="s">
        <v>92</v>
      </c>
      <c r="I114" s="39"/>
      <c r="J114" s="47">
        <f t="shared" si="2"/>
        <v>-99</v>
      </c>
      <c r="K114" s="49"/>
      <c r="L114" s="17"/>
      <c r="M114" s="27"/>
      <c r="N114" s="49"/>
      <c r="O114" s="27"/>
      <c r="Q114" s="2"/>
      <c r="R114" s="24"/>
      <c r="S114" s="24"/>
      <c r="T114" s="24"/>
    </row>
    <row r="115" spans="1:20" x14ac:dyDescent="0.25">
      <c r="A115" s="2">
        <v>45238</v>
      </c>
      <c r="B115" s="20">
        <v>2874</v>
      </c>
      <c r="C115" s="20">
        <v>607</v>
      </c>
      <c r="D115" s="20">
        <v>13730</v>
      </c>
      <c r="E115" s="17" t="s">
        <v>92</v>
      </c>
      <c r="F115" s="17" t="s">
        <v>92</v>
      </c>
      <c r="G115" s="17" t="s">
        <v>92</v>
      </c>
      <c r="H115" s="17" t="s">
        <v>92</v>
      </c>
      <c r="I115" s="39"/>
      <c r="J115" s="47">
        <f t="shared" si="2"/>
        <v>-100</v>
      </c>
      <c r="K115" s="49"/>
      <c r="L115" s="17"/>
      <c r="M115" s="27"/>
      <c r="N115" s="49"/>
      <c r="O115" s="27"/>
      <c r="Q115" s="2"/>
      <c r="R115" s="24"/>
      <c r="S115" s="24"/>
      <c r="T115" s="24"/>
    </row>
    <row r="116" spans="1:20" x14ac:dyDescent="0.25">
      <c r="A116" s="2">
        <v>45237</v>
      </c>
      <c r="B116" s="20">
        <v>2924</v>
      </c>
      <c r="C116" s="20">
        <v>610</v>
      </c>
      <c r="D116" s="20">
        <v>13700</v>
      </c>
      <c r="E116" s="17" t="s">
        <v>92</v>
      </c>
      <c r="F116" s="17" t="s">
        <v>92</v>
      </c>
      <c r="G116" s="17" t="s">
        <v>92</v>
      </c>
      <c r="H116" s="17" t="s">
        <v>92</v>
      </c>
      <c r="I116" s="39"/>
      <c r="J116" s="47">
        <f t="shared" si="2"/>
        <v>-101</v>
      </c>
      <c r="K116" s="49"/>
      <c r="L116" s="17"/>
      <c r="M116" s="27"/>
      <c r="N116" s="49"/>
      <c r="O116" s="27"/>
      <c r="Q116" s="2"/>
      <c r="R116" s="24"/>
      <c r="S116" s="24"/>
      <c r="T116" s="24"/>
    </row>
    <row r="117" spans="1:20" x14ac:dyDescent="0.25">
      <c r="A117" s="2">
        <v>45236</v>
      </c>
      <c r="B117" s="20">
        <v>2914</v>
      </c>
      <c r="C117" s="20">
        <v>605</v>
      </c>
      <c r="D117" s="20">
        <v>13745</v>
      </c>
      <c r="E117" s="17" t="s">
        <v>92</v>
      </c>
      <c r="F117" s="17" t="s">
        <v>92</v>
      </c>
      <c r="G117" s="17" t="s">
        <v>92</v>
      </c>
      <c r="H117" s="17" t="s">
        <v>92</v>
      </c>
      <c r="I117" s="39"/>
      <c r="J117" s="47">
        <f t="shared" si="2"/>
        <v>-102</v>
      </c>
      <c r="K117" s="49"/>
      <c r="L117" s="17"/>
      <c r="M117" s="27"/>
      <c r="N117" s="49"/>
      <c r="O117" s="27"/>
      <c r="Q117" s="2"/>
      <c r="R117" s="24"/>
      <c r="S117" s="24"/>
      <c r="T117" s="24"/>
    </row>
    <row r="118" spans="1:20" x14ac:dyDescent="0.25">
      <c r="A118" s="2">
        <v>45233</v>
      </c>
      <c r="B118" s="20">
        <v>2900</v>
      </c>
      <c r="C118" s="20">
        <v>589</v>
      </c>
      <c r="D118" s="20">
        <v>13765</v>
      </c>
      <c r="E118" s="17" t="s">
        <v>92</v>
      </c>
      <c r="F118" s="17" t="s">
        <v>92</v>
      </c>
      <c r="G118" s="17" t="s">
        <v>92</v>
      </c>
      <c r="H118" s="17" t="s">
        <v>92</v>
      </c>
      <c r="I118" s="39"/>
      <c r="J118" s="47">
        <f t="shared" si="2"/>
        <v>-103</v>
      </c>
      <c r="K118" s="49"/>
      <c r="L118" s="17"/>
      <c r="M118" s="27"/>
      <c r="N118" s="49"/>
      <c r="O118" s="27"/>
      <c r="Q118" s="2"/>
      <c r="R118" s="24"/>
      <c r="S118" s="24"/>
      <c r="T118" s="24"/>
    </row>
    <row r="119" spans="1:20" x14ac:dyDescent="0.25">
      <c r="A119" s="2">
        <v>45232</v>
      </c>
      <c r="B119" s="20">
        <v>2892</v>
      </c>
      <c r="C119" s="20">
        <v>559</v>
      </c>
      <c r="D119" s="20">
        <v>13550</v>
      </c>
      <c r="E119" s="17" t="s">
        <v>92</v>
      </c>
      <c r="F119" s="17" t="s">
        <v>92</v>
      </c>
      <c r="G119" s="17" t="s">
        <v>92</v>
      </c>
      <c r="H119" s="17" t="s">
        <v>92</v>
      </c>
      <c r="I119" s="39"/>
      <c r="J119" s="47">
        <f t="shared" si="2"/>
        <v>-104</v>
      </c>
      <c r="K119" s="49"/>
      <c r="L119" s="17"/>
      <c r="M119" s="27"/>
      <c r="N119" s="49"/>
      <c r="O119" s="27"/>
      <c r="Q119" s="2"/>
      <c r="R119" s="24"/>
      <c r="S119" s="24"/>
      <c r="T119" s="24"/>
    </row>
    <row r="120" spans="1:20" x14ac:dyDescent="0.25">
      <c r="A120" s="2">
        <v>45230</v>
      </c>
      <c r="B120" s="20">
        <v>2876</v>
      </c>
      <c r="C120" s="20">
        <v>562</v>
      </c>
      <c r="D120" s="20">
        <v>13450</v>
      </c>
      <c r="E120" s="17" t="s">
        <v>92</v>
      </c>
      <c r="F120" s="17" t="s">
        <v>92</v>
      </c>
      <c r="G120" s="17" t="s">
        <v>92</v>
      </c>
      <c r="H120" s="17" t="s">
        <v>92</v>
      </c>
      <c r="I120" s="39"/>
      <c r="J120" s="47">
        <f t="shared" si="2"/>
        <v>-105</v>
      </c>
      <c r="K120" s="49"/>
      <c r="L120" s="17"/>
      <c r="M120" s="27"/>
      <c r="N120" s="49"/>
      <c r="O120" s="27"/>
      <c r="Q120" s="2"/>
      <c r="R120" s="24"/>
      <c r="S120" s="24"/>
      <c r="T120" s="24"/>
    </row>
    <row r="121" spans="1:20" x14ac:dyDescent="0.25">
      <c r="A121" s="2">
        <v>45229</v>
      </c>
      <c r="B121" s="20">
        <v>2896</v>
      </c>
      <c r="C121" s="20">
        <v>558</v>
      </c>
      <c r="D121" s="20">
        <v>13585</v>
      </c>
      <c r="E121" s="17" t="s">
        <v>92</v>
      </c>
      <c r="F121" s="17" t="s">
        <v>92</v>
      </c>
      <c r="G121" s="17" t="s">
        <v>92</v>
      </c>
      <c r="H121" s="17" t="s">
        <v>92</v>
      </c>
      <c r="I121" s="39"/>
      <c r="J121" s="47">
        <f t="shared" si="2"/>
        <v>-106</v>
      </c>
      <c r="K121" s="49"/>
      <c r="L121" s="17"/>
      <c r="M121" s="27"/>
      <c r="N121" s="49"/>
      <c r="O121" s="27"/>
      <c r="Q121" s="2"/>
      <c r="R121" s="24"/>
      <c r="S121" s="24"/>
      <c r="T121" s="24"/>
    </row>
    <row r="122" spans="1:20" x14ac:dyDescent="0.25">
      <c r="A122" s="2">
        <v>45226</v>
      </c>
      <c r="B122" s="20">
        <v>2874</v>
      </c>
      <c r="C122" s="20">
        <v>559</v>
      </c>
      <c r="D122" s="20">
        <v>13530</v>
      </c>
      <c r="E122" s="17" t="s">
        <v>92</v>
      </c>
      <c r="F122" s="17" t="s">
        <v>92</v>
      </c>
      <c r="G122" s="17" t="s">
        <v>92</v>
      </c>
      <c r="H122" s="17" t="s">
        <v>92</v>
      </c>
      <c r="I122" s="39"/>
      <c r="J122" s="47">
        <f t="shared" si="2"/>
        <v>-107</v>
      </c>
      <c r="K122" s="49"/>
      <c r="L122" s="17"/>
      <c r="M122" s="27"/>
      <c r="N122" s="49"/>
      <c r="O122" s="27"/>
      <c r="Q122" s="2"/>
      <c r="R122" s="24"/>
      <c r="S122" s="24"/>
      <c r="T122" s="24"/>
    </row>
    <row r="123" spans="1:20" x14ac:dyDescent="0.25">
      <c r="A123" s="2">
        <v>45225</v>
      </c>
      <c r="B123" s="20">
        <v>2882</v>
      </c>
      <c r="C123" s="20">
        <v>570</v>
      </c>
      <c r="D123" s="20">
        <v>13600</v>
      </c>
      <c r="E123" s="17" t="s">
        <v>92</v>
      </c>
      <c r="F123" s="17" t="s">
        <v>92</v>
      </c>
      <c r="G123" s="17" t="s">
        <v>92</v>
      </c>
      <c r="H123" s="17" t="s">
        <v>92</v>
      </c>
      <c r="I123" s="39"/>
      <c r="J123" s="47">
        <f t="shared" si="2"/>
        <v>-108</v>
      </c>
      <c r="K123" s="49"/>
      <c r="L123" s="17"/>
      <c r="M123" s="27"/>
      <c r="N123" s="49"/>
      <c r="O123" s="27"/>
      <c r="Q123" s="2"/>
      <c r="R123" s="24"/>
      <c r="S123" s="24"/>
      <c r="T123" s="24"/>
    </row>
    <row r="124" spans="1:20" x14ac:dyDescent="0.25">
      <c r="A124" s="2">
        <v>45224</v>
      </c>
      <c r="B124" s="20">
        <v>2870</v>
      </c>
      <c r="C124" s="20">
        <v>568</v>
      </c>
      <c r="D124" s="20">
        <v>13700</v>
      </c>
      <c r="E124" s="17" t="s">
        <v>92</v>
      </c>
      <c r="F124" s="17" t="s">
        <v>92</v>
      </c>
      <c r="G124" s="17" t="s">
        <v>92</v>
      </c>
      <c r="H124" s="17" t="s">
        <v>92</v>
      </c>
      <c r="I124" s="39"/>
      <c r="J124" s="47">
        <f t="shared" si="2"/>
        <v>-109</v>
      </c>
      <c r="K124" s="49"/>
      <c r="L124" s="17"/>
      <c r="M124" s="27"/>
      <c r="N124" s="49"/>
      <c r="O124" s="27"/>
      <c r="Q124" s="2"/>
      <c r="R124" s="24"/>
      <c r="S124" s="24"/>
      <c r="T124" s="24"/>
    </row>
    <row r="125" spans="1:20" x14ac:dyDescent="0.25">
      <c r="A125" s="2">
        <v>45223</v>
      </c>
      <c r="B125" s="20">
        <v>2868</v>
      </c>
      <c r="C125" s="20">
        <v>566</v>
      </c>
      <c r="D125" s="20">
        <v>13250</v>
      </c>
      <c r="E125" s="17" t="s">
        <v>92</v>
      </c>
      <c r="F125" s="17" t="s">
        <v>92</v>
      </c>
      <c r="G125" s="17" t="s">
        <v>92</v>
      </c>
      <c r="H125" s="17" t="s">
        <v>92</v>
      </c>
      <c r="I125" s="39"/>
      <c r="J125" s="47">
        <f t="shared" si="2"/>
        <v>-110</v>
      </c>
      <c r="K125" s="49"/>
      <c r="L125" s="17"/>
      <c r="M125" s="27"/>
      <c r="N125" s="49"/>
      <c r="O125" s="27"/>
      <c r="Q125" s="2"/>
      <c r="R125" s="24"/>
      <c r="S125" s="24"/>
      <c r="T125" s="24"/>
    </row>
    <row r="126" spans="1:20" x14ac:dyDescent="0.25">
      <c r="A126" s="2">
        <v>45219</v>
      </c>
      <c r="B126" s="20">
        <v>2900</v>
      </c>
      <c r="C126" s="20">
        <v>570</v>
      </c>
      <c r="D126" s="20">
        <v>13220</v>
      </c>
      <c r="E126" s="17" t="s">
        <v>92</v>
      </c>
      <c r="F126" s="17" t="s">
        <v>92</v>
      </c>
      <c r="G126" s="17" t="s">
        <v>92</v>
      </c>
      <c r="H126" s="17" t="s">
        <v>92</v>
      </c>
      <c r="I126" s="39"/>
      <c r="J126" s="47">
        <f t="shared" si="2"/>
        <v>-111</v>
      </c>
      <c r="K126" s="49"/>
      <c r="L126" s="17"/>
      <c r="M126" s="27"/>
      <c r="N126" s="49"/>
      <c r="O126" s="27"/>
      <c r="Q126" s="2"/>
      <c r="R126" s="24"/>
      <c r="S126" s="24"/>
      <c r="T126" s="24"/>
    </row>
    <row r="127" spans="1:20" x14ac:dyDescent="0.25">
      <c r="A127" s="2">
        <v>45218</v>
      </c>
      <c r="B127" s="20">
        <v>2892</v>
      </c>
      <c r="C127" s="20">
        <v>581</v>
      </c>
      <c r="D127" s="20">
        <v>13350</v>
      </c>
      <c r="E127" s="17" t="s">
        <v>92</v>
      </c>
      <c r="F127" s="17" t="s">
        <v>92</v>
      </c>
      <c r="G127" s="17" t="s">
        <v>92</v>
      </c>
      <c r="H127" s="17" t="s">
        <v>92</v>
      </c>
      <c r="I127" s="39"/>
      <c r="J127" s="47">
        <f t="shared" si="2"/>
        <v>-112</v>
      </c>
      <c r="K127" s="49"/>
      <c r="L127" s="17"/>
      <c r="M127" s="27"/>
      <c r="N127" s="49"/>
      <c r="O127" s="27"/>
      <c r="Q127" s="2"/>
      <c r="R127" s="24"/>
      <c r="S127" s="24"/>
      <c r="T127" s="24"/>
    </row>
    <row r="128" spans="1:20" x14ac:dyDescent="0.25">
      <c r="A128" s="2">
        <v>45217</v>
      </c>
      <c r="B128" s="20">
        <v>2898</v>
      </c>
      <c r="C128" s="20">
        <v>589</v>
      </c>
      <c r="D128" s="20">
        <v>13625</v>
      </c>
      <c r="E128" s="17" t="s">
        <v>92</v>
      </c>
      <c r="F128" s="17" t="s">
        <v>92</v>
      </c>
      <c r="G128" s="17" t="s">
        <v>92</v>
      </c>
      <c r="H128" s="17" t="s">
        <v>92</v>
      </c>
      <c r="I128" s="39"/>
      <c r="J128" s="47">
        <f t="shared" si="2"/>
        <v>-113</v>
      </c>
      <c r="K128" s="49"/>
      <c r="L128" s="17"/>
      <c r="M128" s="27"/>
      <c r="N128" s="49"/>
      <c r="O128" s="27"/>
      <c r="Q128" s="2"/>
      <c r="R128" s="24"/>
      <c r="S128" s="24"/>
      <c r="T128" s="24"/>
    </row>
    <row r="129" spans="1:20" x14ac:dyDescent="0.25">
      <c r="A129" s="2">
        <v>45216</v>
      </c>
      <c r="B129" s="20">
        <v>2930</v>
      </c>
      <c r="C129" s="20">
        <v>581</v>
      </c>
      <c r="D129" s="20">
        <v>13585</v>
      </c>
      <c r="E129" s="17" t="s">
        <v>92</v>
      </c>
      <c r="F129" s="17" t="s">
        <v>92</v>
      </c>
      <c r="G129" s="17" t="s">
        <v>92</v>
      </c>
      <c r="H129" s="17" t="s">
        <v>92</v>
      </c>
      <c r="I129" s="39"/>
      <c r="J129" s="47">
        <f t="shared" si="2"/>
        <v>-114</v>
      </c>
      <c r="K129" s="49"/>
      <c r="L129" s="17"/>
      <c r="M129" s="27"/>
      <c r="N129" s="49"/>
      <c r="O129" s="27"/>
      <c r="Q129" s="2"/>
      <c r="R129" s="24"/>
      <c r="S129" s="24"/>
      <c r="T129" s="24"/>
    </row>
    <row r="130" spans="1:20" x14ac:dyDescent="0.25">
      <c r="A130" s="2">
        <v>45215</v>
      </c>
      <c r="B130" s="20">
        <v>2842</v>
      </c>
      <c r="C130" s="20">
        <v>583</v>
      </c>
      <c r="D130" s="20">
        <v>13550</v>
      </c>
      <c r="E130" s="17" t="s">
        <v>92</v>
      </c>
      <c r="F130" s="17" t="s">
        <v>92</v>
      </c>
      <c r="G130" s="17" t="s">
        <v>92</v>
      </c>
      <c r="H130" s="17" t="s">
        <v>92</v>
      </c>
      <c r="I130" s="39"/>
      <c r="J130" s="47">
        <f t="shared" si="2"/>
        <v>-115</v>
      </c>
      <c r="K130" s="49"/>
      <c r="L130" s="17"/>
      <c r="M130" s="27"/>
      <c r="N130" s="49"/>
      <c r="O130" s="27"/>
      <c r="Q130" s="2"/>
      <c r="R130" s="24"/>
      <c r="S130" s="24"/>
      <c r="T130" s="24"/>
    </row>
    <row r="131" spans="1:20" x14ac:dyDescent="0.25">
      <c r="A131" s="2">
        <v>45212</v>
      </c>
      <c r="B131" s="20">
        <v>2800</v>
      </c>
      <c r="C131" s="20">
        <v>585</v>
      </c>
      <c r="D131" s="20">
        <v>13445</v>
      </c>
      <c r="E131" s="17" t="s">
        <v>92</v>
      </c>
      <c r="F131" s="17" t="s">
        <v>92</v>
      </c>
      <c r="G131" s="17" t="s">
        <v>92</v>
      </c>
      <c r="H131" s="17" t="s">
        <v>92</v>
      </c>
      <c r="I131" s="39"/>
      <c r="J131" s="47">
        <f t="shared" si="2"/>
        <v>-116</v>
      </c>
      <c r="K131" s="49"/>
      <c r="L131" s="17"/>
      <c r="M131" s="27"/>
      <c r="N131" s="49"/>
      <c r="O131" s="27"/>
      <c r="Q131" s="2"/>
      <c r="R131" s="24"/>
      <c r="S131" s="24"/>
      <c r="T131" s="24"/>
    </row>
    <row r="132" spans="1:20" x14ac:dyDescent="0.25">
      <c r="A132" s="2">
        <v>45211</v>
      </c>
      <c r="B132" s="20">
        <v>2766</v>
      </c>
      <c r="C132" s="20">
        <v>585</v>
      </c>
      <c r="D132" s="20">
        <v>13550</v>
      </c>
      <c r="E132" s="17" t="s">
        <v>92</v>
      </c>
      <c r="F132" s="17" t="s">
        <v>92</v>
      </c>
      <c r="G132" s="17" t="s">
        <v>92</v>
      </c>
      <c r="H132" s="17" t="s">
        <v>92</v>
      </c>
      <c r="I132" s="39"/>
      <c r="J132" s="47">
        <f t="shared" si="2"/>
        <v>-117</v>
      </c>
      <c r="K132" s="49"/>
      <c r="L132" s="17"/>
      <c r="M132" s="27"/>
      <c r="N132" s="49"/>
      <c r="O132" s="27"/>
      <c r="Q132" s="2"/>
      <c r="R132" s="24"/>
      <c r="S132" s="24"/>
      <c r="T132" s="24"/>
    </row>
    <row r="133" spans="1:20" x14ac:dyDescent="0.25">
      <c r="A133" s="2">
        <v>45210</v>
      </c>
      <c r="B133" s="20">
        <v>2780</v>
      </c>
      <c r="C133" s="20">
        <v>582</v>
      </c>
      <c r="D133" s="20">
        <v>13535</v>
      </c>
      <c r="E133" s="17" t="s">
        <v>92</v>
      </c>
      <c r="F133" s="17" t="s">
        <v>92</v>
      </c>
      <c r="G133" s="17" t="s">
        <v>92</v>
      </c>
      <c r="H133" s="17" t="s">
        <v>92</v>
      </c>
      <c r="I133" s="39"/>
      <c r="J133" s="47">
        <f t="shared" si="2"/>
        <v>-118</v>
      </c>
      <c r="K133" s="49"/>
      <c r="L133" s="17"/>
      <c r="M133" s="27"/>
      <c r="N133" s="49"/>
      <c r="O133" s="27"/>
      <c r="Q133" s="2"/>
      <c r="R133" s="24"/>
      <c r="S133" s="24"/>
      <c r="T133" s="24"/>
    </row>
    <row r="134" spans="1:20" x14ac:dyDescent="0.25">
      <c r="A134" s="2">
        <v>45209</v>
      </c>
      <c r="B134" s="20">
        <v>2800</v>
      </c>
      <c r="C134" s="20">
        <v>590</v>
      </c>
      <c r="D134" s="20">
        <v>13400</v>
      </c>
      <c r="E134" s="17" t="s">
        <v>92</v>
      </c>
      <c r="F134" s="17" t="s">
        <v>92</v>
      </c>
      <c r="G134" s="17" t="s">
        <v>92</v>
      </c>
      <c r="H134" s="17" t="s">
        <v>92</v>
      </c>
      <c r="I134" s="39"/>
      <c r="J134" s="47">
        <f t="shared" si="2"/>
        <v>-119</v>
      </c>
      <c r="K134" s="49"/>
      <c r="L134" s="17"/>
      <c r="M134" s="27"/>
      <c r="N134" s="49"/>
      <c r="O134" s="27"/>
      <c r="Q134" s="2"/>
      <c r="R134" s="24"/>
      <c r="S134" s="24"/>
      <c r="T134" s="24"/>
    </row>
    <row r="135" spans="1:20" x14ac:dyDescent="0.25">
      <c r="A135" s="2">
        <v>45208</v>
      </c>
      <c r="B135" s="20">
        <v>2774</v>
      </c>
      <c r="C135" s="20">
        <v>574</v>
      </c>
      <c r="D135" s="20">
        <v>13130</v>
      </c>
      <c r="E135" s="17" t="s">
        <v>92</v>
      </c>
      <c r="F135" s="17" t="s">
        <v>92</v>
      </c>
      <c r="G135" s="17" t="s">
        <v>92</v>
      </c>
      <c r="H135" s="17" t="s">
        <v>92</v>
      </c>
      <c r="I135" s="39"/>
      <c r="J135" s="47">
        <f t="shared" si="2"/>
        <v>-120</v>
      </c>
      <c r="K135" s="49"/>
      <c r="L135" s="17"/>
      <c r="M135" s="27"/>
      <c r="N135" s="49"/>
      <c r="O135" s="27"/>
      <c r="Q135" s="2"/>
      <c r="R135" s="24"/>
      <c r="S135" s="24"/>
      <c r="T135" s="24"/>
    </row>
    <row r="136" spans="1:20" x14ac:dyDescent="0.25">
      <c r="A136" s="2">
        <v>45205</v>
      </c>
      <c r="B136" s="20">
        <v>2744</v>
      </c>
      <c r="C136" s="20">
        <v>568</v>
      </c>
      <c r="D136" s="20">
        <v>13180</v>
      </c>
      <c r="E136" s="17" t="s">
        <v>92</v>
      </c>
      <c r="F136" s="17" t="s">
        <v>92</v>
      </c>
      <c r="G136" s="17" t="s">
        <v>92</v>
      </c>
      <c r="H136" s="17" t="s">
        <v>92</v>
      </c>
      <c r="I136" s="39"/>
      <c r="J136" s="47">
        <f t="shared" si="2"/>
        <v>-121</v>
      </c>
      <c r="K136" s="49"/>
      <c r="L136" s="17"/>
      <c r="M136" s="27"/>
      <c r="N136" s="49"/>
      <c r="O136" s="27"/>
      <c r="Q136" s="2"/>
      <c r="R136" s="24"/>
      <c r="S136" s="24"/>
      <c r="T136" s="24"/>
    </row>
    <row r="137" spans="1:20" x14ac:dyDescent="0.25">
      <c r="A137" s="2">
        <v>45204</v>
      </c>
      <c r="B137" s="20">
        <v>2790</v>
      </c>
      <c r="C137" s="20">
        <v>567</v>
      </c>
      <c r="D137" s="20">
        <v>13220</v>
      </c>
      <c r="E137" s="17" t="s">
        <v>92</v>
      </c>
      <c r="F137" s="17" t="s">
        <v>92</v>
      </c>
      <c r="G137" s="17" t="s">
        <v>92</v>
      </c>
      <c r="H137" s="17" t="s">
        <v>92</v>
      </c>
      <c r="I137" s="39"/>
      <c r="J137" s="47">
        <f t="shared" si="2"/>
        <v>-122</v>
      </c>
      <c r="K137" s="49"/>
      <c r="L137" s="17"/>
      <c r="M137" s="27"/>
      <c r="N137" s="49"/>
      <c r="O137" s="27"/>
      <c r="Q137" s="2"/>
      <c r="R137" s="24"/>
      <c r="S137" s="24"/>
      <c r="T137" s="24"/>
    </row>
    <row r="138" spans="1:20" x14ac:dyDescent="0.25">
      <c r="A138" s="2">
        <v>45203</v>
      </c>
      <c r="B138" s="20">
        <v>2764</v>
      </c>
      <c r="C138" s="20">
        <v>557</v>
      </c>
      <c r="D138" s="20">
        <v>13545</v>
      </c>
      <c r="E138" s="17" t="s">
        <v>92</v>
      </c>
      <c r="F138" s="17" t="s">
        <v>92</v>
      </c>
      <c r="G138" s="17" t="s">
        <v>92</v>
      </c>
      <c r="H138" s="17" t="s">
        <v>92</v>
      </c>
      <c r="I138" s="39"/>
      <c r="J138" s="47">
        <f t="shared" si="2"/>
        <v>-123</v>
      </c>
      <c r="K138" s="49"/>
      <c r="L138" s="17"/>
      <c r="M138" s="27"/>
      <c r="N138" s="49"/>
      <c r="O138" s="27"/>
      <c r="Q138" s="2"/>
      <c r="R138" s="24"/>
      <c r="S138" s="24"/>
      <c r="T138" s="24"/>
    </row>
    <row r="139" spans="1:20" x14ac:dyDescent="0.25">
      <c r="A139" s="2">
        <v>45202</v>
      </c>
      <c r="B139" s="20">
        <v>2766</v>
      </c>
      <c r="C139" s="20">
        <v>552</v>
      </c>
      <c r="D139" s="20">
        <v>13490</v>
      </c>
      <c r="E139" s="17" t="s">
        <v>92</v>
      </c>
      <c r="F139" s="17" t="s">
        <v>92</v>
      </c>
      <c r="G139" s="17" t="s">
        <v>92</v>
      </c>
      <c r="H139" s="17" t="s">
        <v>92</v>
      </c>
      <c r="I139" s="39"/>
      <c r="J139" s="47">
        <f t="shared" si="2"/>
        <v>-124</v>
      </c>
      <c r="K139" s="49"/>
      <c r="L139" s="17"/>
      <c r="M139" s="27"/>
      <c r="N139" s="49"/>
      <c r="O139" s="27"/>
      <c r="Q139" s="2"/>
      <c r="R139" s="24"/>
      <c r="S139" s="24"/>
      <c r="T139" s="24"/>
    </row>
    <row r="140" spans="1:20" x14ac:dyDescent="0.25">
      <c r="A140" s="2">
        <v>45201</v>
      </c>
      <c r="B140" s="20">
        <v>2764</v>
      </c>
      <c r="C140" s="20">
        <v>548</v>
      </c>
      <c r="D140" s="20">
        <v>13330</v>
      </c>
      <c r="E140" s="17" t="s">
        <v>92</v>
      </c>
      <c r="F140" s="17" t="s">
        <v>92</v>
      </c>
      <c r="G140" s="17" t="s">
        <v>92</v>
      </c>
      <c r="H140" s="17" t="s">
        <v>92</v>
      </c>
      <c r="I140" s="39"/>
      <c r="J140" s="47">
        <f t="shared" si="2"/>
        <v>-125</v>
      </c>
      <c r="K140" s="49"/>
      <c r="L140" s="17"/>
      <c r="M140" s="27"/>
      <c r="N140" s="49"/>
      <c r="O140" s="27"/>
      <c r="Q140" s="2"/>
      <c r="R140" s="24"/>
      <c r="S140" s="24"/>
      <c r="T140" s="24"/>
    </row>
    <row r="141" spans="1:20" x14ac:dyDescent="0.25">
      <c r="A141" s="2">
        <v>45198</v>
      </c>
      <c r="B141" s="20">
        <v>2794</v>
      </c>
      <c r="C141" s="20">
        <v>540</v>
      </c>
      <c r="D141" s="20">
        <v>13300</v>
      </c>
      <c r="E141" s="17" t="s">
        <v>92</v>
      </c>
      <c r="F141" s="17" t="s">
        <v>92</v>
      </c>
      <c r="G141" s="17" t="s">
        <v>92</v>
      </c>
      <c r="H141" s="17" t="s">
        <v>92</v>
      </c>
      <c r="I141" s="39"/>
      <c r="J141" s="47">
        <f t="shared" si="2"/>
        <v>-126</v>
      </c>
      <c r="K141" s="49"/>
      <c r="L141" s="17"/>
      <c r="M141" s="27"/>
      <c r="N141" s="49"/>
      <c r="O141" s="27"/>
      <c r="Q141" s="2"/>
      <c r="R141" s="24"/>
      <c r="S141" s="24"/>
      <c r="T141" s="24"/>
    </row>
    <row r="142" spans="1:20" x14ac:dyDescent="0.25">
      <c r="A142" s="2">
        <v>45197</v>
      </c>
      <c r="B142" s="20">
        <v>2780</v>
      </c>
      <c r="C142" s="20">
        <v>544</v>
      </c>
      <c r="D142" s="20">
        <v>13010</v>
      </c>
      <c r="E142" s="17" t="s">
        <v>92</v>
      </c>
      <c r="F142" s="17" t="s">
        <v>92</v>
      </c>
      <c r="G142" s="17" t="s">
        <v>92</v>
      </c>
      <c r="H142" s="17" t="s">
        <v>92</v>
      </c>
      <c r="I142" s="39"/>
      <c r="J142" s="47">
        <f t="shared" si="2"/>
        <v>-127</v>
      </c>
      <c r="K142" s="49"/>
      <c r="L142" s="17"/>
      <c r="M142" s="27"/>
      <c r="N142" s="49"/>
      <c r="O142" s="27"/>
      <c r="Q142" s="2"/>
      <c r="R142" s="24"/>
      <c r="S142" s="24"/>
      <c r="T142" s="24"/>
    </row>
    <row r="143" spans="1:20" x14ac:dyDescent="0.25">
      <c r="A143" s="2">
        <v>45196</v>
      </c>
      <c r="B143" s="20">
        <v>2794</v>
      </c>
      <c r="C143" s="20">
        <v>544</v>
      </c>
      <c r="D143" s="20">
        <v>13300</v>
      </c>
      <c r="E143" s="17" t="s">
        <v>92</v>
      </c>
      <c r="F143" s="17" t="s">
        <v>92</v>
      </c>
      <c r="G143" s="17" t="s">
        <v>92</v>
      </c>
      <c r="H143" s="17" t="s">
        <v>92</v>
      </c>
      <c r="I143" s="39"/>
      <c r="J143" s="47">
        <f t="shared" si="2"/>
        <v>-128</v>
      </c>
      <c r="K143" s="49"/>
      <c r="L143" s="17"/>
      <c r="M143" s="27"/>
      <c r="N143" s="49"/>
      <c r="O143" s="27"/>
      <c r="Q143" s="2"/>
      <c r="R143" s="24"/>
      <c r="S143" s="24"/>
      <c r="T143" s="24"/>
    </row>
    <row r="144" spans="1:20" x14ac:dyDescent="0.25">
      <c r="A144" s="2">
        <v>45195</v>
      </c>
      <c r="B144" s="20">
        <v>2760</v>
      </c>
      <c r="C144" s="20">
        <v>537</v>
      </c>
      <c r="D144" s="20">
        <v>13180</v>
      </c>
      <c r="E144" s="17" t="s">
        <v>92</v>
      </c>
      <c r="F144" s="17" t="s">
        <v>92</v>
      </c>
      <c r="G144" s="17" t="s">
        <v>92</v>
      </c>
      <c r="H144" s="17" t="s">
        <v>92</v>
      </c>
      <c r="I144" s="39"/>
      <c r="J144" s="47">
        <f t="shared" si="2"/>
        <v>-129</v>
      </c>
      <c r="K144" s="49"/>
      <c r="L144" s="17"/>
      <c r="M144" s="27"/>
      <c r="N144" s="49"/>
      <c r="O144" s="27"/>
      <c r="Q144" s="2"/>
      <c r="R144" s="24"/>
      <c r="S144" s="24"/>
      <c r="T144" s="24"/>
    </row>
    <row r="145" spans="1:20" x14ac:dyDescent="0.25">
      <c r="A145" s="2">
        <v>45194</v>
      </c>
      <c r="B145" s="20">
        <v>2774</v>
      </c>
      <c r="C145" s="20">
        <v>523</v>
      </c>
      <c r="D145" s="20">
        <v>12995</v>
      </c>
      <c r="E145" s="17" t="s">
        <v>92</v>
      </c>
      <c r="F145" s="17" t="s">
        <v>92</v>
      </c>
      <c r="G145" s="17" t="s">
        <v>92</v>
      </c>
      <c r="H145" s="17" t="s">
        <v>92</v>
      </c>
      <c r="I145" s="39"/>
      <c r="J145" s="47">
        <f t="shared" ref="J145:J208" si="3">+J144-1</f>
        <v>-130</v>
      </c>
      <c r="K145" s="49"/>
      <c r="L145" s="17"/>
      <c r="M145" s="27"/>
      <c r="N145" s="49"/>
      <c r="O145" s="27"/>
      <c r="Q145" s="2"/>
      <c r="R145" s="24"/>
      <c r="S145" s="24"/>
      <c r="T145" s="24"/>
    </row>
    <row r="146" spans="1:20" x14ac:dyDescent="0.25">
      <c r="A146" s="2">
        <v>45191</v>
      </c>
      <c r="B146" s="20">
        <v>2786</v>
      </c>
      <c r="C146" s="20">
        <v>533</v>
      </c>
      <c r="D146" s="20">
        <v>12845</v>
      </c>
      <c r="E146" s="17" t="s">
        <v>92</v>
      </c>
      <c r="F146" s="17" t="s">
        <v>92</v>
      </c>
      <c r="G146" s="17" t="s">
        <v>92</v>
      </c>
      <c r="H146" s="17" t="s">
        <v>92</v>
      </c>
      <c r="I146" s="39"/>
      <c r="J146" s="47">
        <f t="shared" si="3"/>
        <v>-131</v>
      </c>
      <c r="K146" s="49"/>
      <c r="L146" s="17"/>
      <c r="M146" s="27"/>
      <c r="N146" s="49"/>
      <c r="O146" s="27"/>
      <c r="Q146" s="2"/>
      <c r="R146" s="24"/>
      <c r="S146" s="24"/>
      <c r="T146" s="24"/>
    </row>
    <row r="147" spans="1:20" x14ac:dyDescent="0.25">
      <c r="A147" s="2">
        <v>45190</v>
      </c>
      <c r="B147" s="20">
        <v>2790</v>
      </c>
      <c r="C147" s="20">
        <v>529</v>
      </c>
      <c r="D147" s="20">
        <v>13135</v>
      </c>
      <c r="E147" s="17" t="s">
        <v>92</v>
      </c>
      <c r="F147" s="17" t="s">
        <v>92</v>
      </c>
      <c r="G147" s="17" t="s">
        <v>92</v>
      </c>
      <c r="H147" s="17" t="s">
        <v>92</v>
      </c>
      <c r="I147" s="39"/>
      <c r="J147" s="47">
        <f t="shared" si="3"/>
        <v>-132</v>
      </c>
      <c r="K147" s="49"/>
      <c r="L147" s="17"/>
      <c r="M147" s="27"/>
      <c r="N147" s="49"/>
      <c r="O147" s="27"/>
      <c r="Q147" s="2"/>
      <c r="R147" s="24"/>
      <c r="S147" s="24"/>
      <c r="T147" s="24"/>
    </row>
    <row r="148" spans="1:20" x14ac:dyDescent="0.25">
      <c r="A148" s="2">
        <v>45189</v>
      </c>
      <c r="B148" s="20">
        <v>2814</v>
      </c>
      <c r="C148" s="20">
        <v>525</v>
      </c>
      <c r="D148" s="20">
        <v>14010</v>
      </c>
      <c r="E148" s="17" t="s">
        <v>92</v>
      </c>
      <c r="F148" s="17" t="s">
        <v>92</v>
      </c>
      <c r="G148" s="17" t="s">
        <v>92</v>
      </c>
      <c r="H148" s="17" t="s">
        <v>92</v>
      </c>
      <c r="I148" s="39"/>
      <c r="J148" s="47">
        <f t="shared" si="3"/>
        <v>-133</v>
      </c>
      <c r="K148" s="49"/>
      <c r="L148" s="17"/>
      <c r="M148" s="27"/>
      <c r="N148" s="49"/>
      <c r="O148" s="27"/>
      <c r="Q148" s="2"/>
      <c r="R148" s="24"/>
      <c r="S148" s="24"/>
      <c r="T148" s="24"/>
    </row>
    <row r="149" spans="1:20" x14ac:dyDescent="0.25">
      <c r="A149" s="2">
        <v>45188</v>
      </c>
      <c r="B149" s="20">
        <v>2760</v>
      </c>
      <c r="C149" s="20">
        <v>529</v>
      </c>
      <c r="D149" s="20">
        <v>14410</v>
      </c>
      <c r="E149" s="17" t="s">
        <v>92</v>
      </c>
      <c r="F149" s="17" t="s">
        <v>92</v>
      </c>
      <c r="G149" s="17" t="s">
        <v>92</v>
      </c>
      <c r="H149" s="17" t="s">
        <v>92</v>
      </c>
      <c r="I149" s="39"/>
      <c r="J149" s="47">
        <f t="shared" si="3"/>
        <v>-134</v>
      </c>
      <c r="K149" s="49"/>
      <c r="L149" s="17"/>
      <c r="M149" s="27"/>
      <c r="N149" s="49"/>
      <c r="O149" s="27"/>
      <c r="Q149" s="2"/>
      <c r="R149" s="24"/>
      <c r="S149" s="24"/>
      <c r="T149" s="24"/>
    </row>
    <row r="150" spans="1:20" x14ac:dyDescent="0.25">
      <c r="A150" s="2">
        <v>45187</v>
      </c>
      <c r="B150" s="20">
        <v>2746</v>
      </c>
      <c r="C150" s="20">
        <v>525</v>
      </c>
      <c r="D150" s="20">
        <v>14440</v>
      </c>
      <c r="E150" s="17" t="s">
        <v>92</v>
      </c>
      <c r="F150" s="17" t="s">
        <v>92</v>
      </c>
      <c r="G150" s="17" t="s">
        <v>92</v>
      </c>
      <c r="H150" s="17" t="s">
        <v>92</v>
      </c>
      <c r="I150" s="39"/>
      <c r="J150" s="47">
        <f t="shared" si="3"/>
        <v>-135</v>
      </c>
      <c r="K150" s="49"/>
      <c r="L150" s="17"/>
      <c r="M150" s="27"/>
      <c r="N150" s="49"/>
      <c r="O150" s="27"/>
      <c r="Q150" s="2"/>
      <c r="R150" s="24"/>
      <c r="S150" s="24"/>
      <c r="T150" s="24"/>
    </row>
    <row r="151" spans="1:20" x14ac:dyDescent="0.25">
      <c r="A151" s="2">
        <v>45184</v>
      </c>
      <c r="B151" s="20">
        <v>2762</v>
      </c>
      <c r="C151" s="20">
        <v>525</v>
      </c>
      <c r="D151" s="20">
        <v>14695</v>
      </c>
      <c r="E151" s="17" t="s">
        <v>92</v>
      </c>
      <c r="F151" s="17" t="s">
        <v>92</v>
      </c>
      <c r="G151" s="17" t="s">
        <v>92</v>
      </c>
      <c r="H151" s="17" t="s">
        <v>92</v>
      </c>
      <c r="I151" s="39"/>
      <c r="J151" s="47">
        <f t="shared" si="3"/>
        <v>-136</v>
      </c>
      <c r="K151" s="49"/>
      <c r="L151" s="17"/>
      <c r="M151" s="27"/>
      <c r="N151" s="49"/>
      <c r="O151" s="27"/>
      <c r="Q151" s="2"/>
      <c r="R151" s="24"/>
      <c r="S151" s="24"/>
      <c r="T151" s="24"/>
    </row>
    <row r="152" spans="1:20" x14ac:dyDescent="0.25">
      <c r="A152" s="2">
        <v>45183</v>
      </c>
      <c r="B152" s="20">
        <v>2728</v>
      </c>
      <c r="C152" s="20">
        <v>475</v>
      </c>
      <c r="D152" s="20">
        <v>14680</v>
      </c>
      <c r="E152" s="17" t="s">
        <v>92</v>
      </c>
      <c r="F152" s="17" t="s">
        <v>92</v>
      </c>
      <c r="G152" s="17" t="s">
        <v>92</v>
      </c>
      <c r="H152" s="17" t="s">
        <v>92</v>
      </c>
      <c r="I152" s="39"/>
      <c r="J152" s="47">
        <f t="shared" si="3"/>
        <v>-137</v>
      </c>
      <c r="K152" s="49"/>
      <c r="L152" s="17"/>
      <c r="M152" s="27"/>
      <c r="N152" s="49"/>
      <c r="O152" s="27"/>
      <c r="Q152" s="2"/>
      <c r="R152" s="24"/>
      <c r="S152" s="24"/>
      <c r="T152" s="24"/>
    </row>
    <row r="153" spans="1:20" x14ac:dyDescent="0.25">
      <c r="A153" s="2">
        <v>45182</v>
      </c>
      <c r="B153" s="20">
        <v>2708</v>
      </c>
      <c r="C153" s="20">
        <v>474</v>
      </c>
      <c r="D153" s="20">
        <v>14505</v>
      </c>
      <c r="E153" s="17" t="s">
        <v>92</v>
      </c>
      <c r="F153" s="17" t="s">
        <v>92</v>
      </c>
      <c r="G153" s="17" t="s">
        <v>92</v>
      </c>
      <c r="H153" s="17" t="s">
        <v>92</v>
      </c>
      <c r="I153" s="39"/>
      <c r="J153" s="47">
        <f t="shared" si="3"/>
        <v>-138</v>
      </c>
      <c r="K153" s="49"/>
      <c r="L153" s="17"/>
      <c r="M153" s="27"/>
      <c r="N153" s="49"/>
      <c r="O153" s="27"/>
      <c r="Q153" s="2"/>
      <c r="R153" s="24"/>
      <c r="S153" s="24"/>
      <c r="T153" s="24"/>
    </row>
    <row r="154" spans="1:20" x14ac:dyDescent="0.25">
      <c r="A154" s="2">
        <v>45181</v>
      </c>
      <c r="B154" s="20">
        <v>2704</v>
      </c>
      <c r="C154" s="20">
        <v>469</v>
      </c>
      <c r="D154" s="20">
        <v>14560</v>
      </c>
      <c r="E154" s="17" t="s">
        <v>92</v>
      </c>
      <c r="F154" s="17" t="s">
        <v>92</v>
      </c>
      <c r="G154" s="17" t="s">
        <v>92</v>
      </c>
      <c r="H154" s="17" t="s">
        <v>92</v>
      </c>
      <c r="I154" s="39"/>
      <c r="J154" s="47">
        <f t="shared" si="3"/>
        <v>-139</v>
      </c>
      <c r="K154" s="49"/>
      <c r="L154" s="17"/>
      <c r="M154" s="27"/>
      <c r="N154" s="49"/>
      <c r="O154" s="27"/>
      <c r="Q154" s="2"/>
      <c r="R154" s="24"/>
      <c r="S154" s="24"/>
      <c r="T154" s="24"/>
    </row>
    <row r="155" spans="1:20" x14ac:dyDescent="0.25">
      <c r="A155" s="2">
        <v>45180</v>
      </c>
      <c r="B155" s="20">
        <v>2678</v>
      </c>
      <c r="C155" s="29">
        <v>453.5</v>
      </c>
      <c r="D155" s="20">
        <v>14500</v>
      </c>
      <c r="E155" s="17" t="s">
        <v>92</v>
      </c>
      <c r="F155" s="17" t="s">
        <v>92</v>
      </c>
      <c r="G155" s="17" t="s">
        <v>92</v>
      </c>
      <c r="H155" s="17" t="s">
        <v>92</v>
      </c>
      <c r="I155" s="39"/>
      <c r="J155" s="47">
        <f t="shared" si="3"/>
        <v>-140</v>
      </c>
      <c r="K155" s="49"/>
      <c r="L155" s="17"/>
      <c r="M155" s="27"/>
      <c r="N155" s="49"/>
      <c r="O155" s="27"/>
      <c r="Q155" s="2"/>
      <c r="R155" s="24"/>
      <c r="S155" s="24"/>
      <c r="T155" s="24"/>
    </row>
    <row r="156" spans="1:20" x14ac:dyDescent="0.25">
      <c r="A156" s="2">
        <v>45177</v>
      </c>
      <c r="B156" s="20">
        <v>2668</v>
      </c>
      <c r="C156" s="20">
        <v>450</v>
      </c>
      <c r="D156" s="20">
        <v>14340</v>
      </c>
      <c r="E156" s="17" t="s">
        <v>92</v>
      </c>
      <c r="F156" s="17" t="s">
        <v>92</v>
      </c>
      <c r="G156" s="17" t="s">
        <v>92</v>
      </c>
      <c r="H156" s="17" t="s">
        <v>92</v>
      </c>
      <c r="I156" s="39"/>
      <c r="J156" s="47">
        <f t="shared" si="3"/>
        <v>-141</v>
      </c>
      <c r="K156" s="49"/>
      <c r="L156" s="17"/>
      <c r="M156" s="27"/>
      <c r="N156" s="49"/>
      <c r="O156" s="27"/>
      <c r="Q156" s="2"/>
      <c r="R156" s="24"/>
      <c r="S156" s="24"/>
      <c r="T156" s="24"/>
    </row>
    <row r="157" spans="1:20" x14ac:dyDescent="0.25">
      <c r="A157" s="2">
        <v>45176</v>
      </c>
      <c r="B157" s="20">
        <v>2680</v>
      </c>
      <c r="C157" s="29">
        <v>448.5</v>
      </c>
      <c r="D157" s="20">
        <v>14290</v>
      </c>
      <c r="E157" s="17" t="s">
        <v>92</v>
      </c>
      <c r="F157" s="17" t="s">
        <v>92</v>
      </c>
      <c r="G157" s="17" t="s">
        <v>92</v>
      </c>
      <c r="H157" s="17" t="s">
        <v>92</v>
      </c>
      <c r="I157" s="39"/>
      <c r="J157" s="47">
        <f t="shared" si="3"/>
        <v>-142</v>
      </c>
      <c r="K157" s="49"/>
      <c r="L157" s="17"/>
      <c r="M157" s="27"/>
      <c r="N157" s="49"/>
      <c r="O157" s="27"/>
      <c r="Q157" s="2"/>
      <c r="R157" s="24"/>
      <c r="S157" s="24"/>
      <c r="T157" s="24"/>
    </row>
    <row r="158" spans="1:20" x14ac:dyDescent="0.25">
      <c r="A158" s="2">
        <v>45175</v>
      </c>
      <c r="B158" s="20">
        <v>2660</v>
      </c>
      <c r="C158" s="20">
        <v>450</v>
      </c>
      <c r="D158" s="20">
        <v>14140</v>
      </c>
      <c r="E158" s="17" t="s">
        <v>92</v>
      </c>
      <c r="F158" s="17" t="s">
        <v>92</v>
      </c>
      <c r="G158" s="17" t="s">
        <v>92</v>
      </c>
      <c r="H158" s="17" t="s">
        <v>92</v>
      </c>
      <c r="I158" s="39"/>
      <c r="J158" s="47">
        <f t="shared" si="3"/>
        <v>-143</v>
      </c>
      <c r="K158" s="49"/>
      <c r="L158" s="17"/>
      <c r="M158" s="27"/>
      <c r="N158" s="49"/>
      <c r="O158" s="27"/>
      <c r="Q158" s="2"/>
      <c r="R158" s="24"/>
      <c r="S158" s="24"/>
      <c r="T158" s="24"/>
    </row>
    <row r="159" spans="1:20" x14ac:dyDescent="0.25">
      <c r="A159" s="2">
        <v>45174</v>
      </c>
      <c r="B159" s="20">
        <v>2702</v>
      </c>
      <c r="C159" s="20">
        <v>452</v>
      </c>
      <c r="D159" s="20">
        <v>13920</v>
      </c>
      <c r="E159" s="17" t="s">
        <v>92</v>
      </c>
      <c r="F159" s="17" t="s">
        <v>92</v>
      </c>
      <c r="G159" s="17" t="s">
        <v>92</v>
      </c>
      <c r="H159" s="17" t="s">
        <v>92</v>
      </c>
      <c r="I159" s="39"/>
      <c r="J159" s="47">
        <f t="shared" si="3"/>
        <v>-144</v>
      </c>
      <c r="K159" s="49"/>
      <c r="L159" s="17"/>
      <c r="M159" s="27"/>
      <c r="N159" s="49"/>
      <c r="O159" s="27"/>
      <c r="Q159" s="2"/>
      <c r="R159" s="24"/>
      <c r="S159" s="24"/>
      <c r="T159" s="24"/>
    </row>
    <row r="160" spans="1:20" x14ac:dyDescent="0.25">
      <c r="A160" s="2">
        <v>45173</v>
      </c>
      <c r="B160" s="20">
        <v>2668</v>
      </c>
      <c r="C160" s="20">
        <v>457</v>
      </c>
      <c r="D160" s="20">
        <v>13990</v>
      </c>
      <c r="E160" s="17" t="s">
        <v>92</v>
      </c>
      <c r="F160" s="17" t="s">
        <v>92</v>
      </c>
      <c r="G160" s="17" t="s">
        <v>92</v>
      </c>
      <c r="H160" s="17" t="s">
        <v>92</v>
      </c>
      <c r="I160" s="39"/>
      <c r="J160" s="47">
        <f t="shared" si="3"/>
        <v>-145</v>
      </c>
      <c r="K160" s="49"/>
      <c r="L160" s="17"/>
      <c r="M160" s="27"/>
      <c r="N160" s="49"/>
      <c r="O160" s="27"/>
      <c r="Q160" s="2"/>
      <c r="R160" s="24"/>
      <c r="S160" s="24"/>
      <c r="T160" s="24"/>
    </row>
    <row r="161" spans="1:20" x14ac:dyDescent="0.25">
      <c r="A161" s="2">
        <v>45170</v>
      </c>
      <c r="B161" s="20">
        <v>2662</v>
      </c>
      <c r="C161" s="20">
        <v>463</v>
      </c>
      <c r="D161" s="20">
        <v>13970</v>
      </c>
      <c r="E161" s="17" t="s">
        <v>92</v>
      </c>
      <c r="F161" s="17" t="s">
        <v>92</v>
      </c>
      <c r="G161" s="17" t="s">
        <v>92</v>
      </c>
      <c r="H161" s="17" t="s">
        <v>92</v>
      </c>
      <c r="I161" s="39"/>
      <c r="J161" s="47">
        <f t="shared" si="3"/>
        <v>-146</v>
      </c>
      <c r="K161" s="49"/>
      <c r="L161" s="17"/>
      <c r="M161" s="27"/>
      <c r="N161" s="49"/>
      <c r="O161" s="27"/>
      <c r="Q161" s="2"/>
      <c r="R161" s="24"/>
      <c r="S161" s="24"/>
      <c r="T161" s="24"/>
    </row>
    <row r="162" spans="1:20" x14ac:dyDescent="0.25">
      <c r="A162" s="2">
        <v>45169</v>
      </c>
      <c r="B162" s="20">
        <v>2662</v>
      </c>
      <c r="C162" s="20">
        <v>468</v>
      </c>
      <c r="D162" s="20">
        <v>14365</v>
      </c>
      <c r="E162" s="17" t="s">
        <v>92</v>
      </c>
      <c r="F162" s="17" t="s">
        <v>92</v>
      </c>
      <c r="G162" s="17" t="s">
        <v>92</v>
      </c>
      <c r="H162" s="17" t="s">
        <v>92</v>
      </c>
      <c r="I162" s="39"/>
      <c r="J162" s="47">
        <f t="shared" si="3"/>
        <v>-147</v>
      </c>
      <c r="K162" s="49"/>
      <c r="L162" s="17"/>
      <c r="M162" s="27"/>
      <c r="N162" s="49"/>
      <c r="O162" s="27"/>
      <c r="Q162" s="2"/>
      <c r="R162" s="24"/>
      <c r="S162" s="24"/>
      <c r="T162" s="24"/>
    </row>
    <row r="163" spans="1:20" x14ac:dyDescent="0.25">
      <c r="A163" s="2">
        <v>45168</v>
      </c>
      <c r="B163" s="20">
        <v>2682</v>
      </c>
      <c r="C163" s="29">
        <v>464.5</v>
      </c>
      <c r="D163" s="20">
        <v>14580</v>
      </c>
      <c r="E163" s="17" t="s">
        <v>92</v>
      </c>
      <c r="F163" s="17" t="s">
        <v>92</v>
      </c>
      <c r="G163" s="17" t="s">
        <v>92</v>
      </c>
      <c r="H163" s="17" t="s">
        <v>92</v>
      </c>
      <c r="I163" s="39"/>
      <c r="J163" s="47">
        <f t="shared" si="3"/>
        <v>-148</v>
      </c>
      <c r="K163" s="49"/>
      <c r="L163" s="17"/>
      <c r="M163" s="27"/>
      <c r="N163" s="49"/>
      <c r="O163" s="27"/>
      <c r="Q163" s="2"/>
      <c r="R163" s="24"/>
      <c r="S163" s="24"/>
      <c r="T163" s="24"/>
    </row>
    <row r="164" spans="1:20" x14ac:dyDescent="0.25">
      <c r="A164" s="2">
        <v>45167</v>
      </c>
      <c r="B164" s="20">
        <v>2730</v>
      </c>
      <c r="C164" s="29">
        <v>461.5</v>
      </c>
      <c r="D164" s="20">
        <v>14490</v>
      </c>
      <c r="E164" s="17" t="s">
        <v>92</v>
      </c>
      <c r="F164" s="17" t="s">
        <v>92</v>
      </c>
      <c r="G164" s="17" t="s">
        <v>92</v>
      </c>
      <c r="H164" s="17" t="s">
        <v>92</v>
      </c>
      <c r="I164" s="39"/>
      <c r="J164" s="47">
        <f t="shared" si="3"/>
        <v>-149</v>
      </c>
      <c r="K164" s="49"/>
      <c r="L164" s="17"/>
      <c r="M164" s="27"/>
      <c r="N164" s="49"/>
      <c r="O164" s="27"/>
      <c r="Q164" s="2"/>
      <c r="R164" s="24"/>
      <c r="S164" s="24"/>
      <c r="T164" s="24"/>
    </row>
    <row r="165" spans="1:20" x14ac:dyDescent="0.25">
      <c r="A165" s="2">
        <v>45166</v>
      </c>
      <c r="B165" s="20">
        <v>2722</v>
      </c>
      <c r="C165" s="20">
        <v>456</v>
      </c>
      <c r="D165" s="20">
        <v>14310</v>
      </c>
      <c r="E165" s="17" t="s">
        <v>92</v>
      </c>
      <c r="F165" s="17" t="s">
        <v>92</v>
      </c>
      <c r="G165" s="17" t="s">
        <v>92</v>
      </c>
      <c r="H165" s="17" t="s">
        <v>92</v>
      </c>
      <c r="I165" s="39"/>
      <c r="J165" s="47">
        <f t="shared" si="3"/>
        <v>-150</v>
      </c>
      <c r="K165" s="49"/>
      <c r="L165" s="17"/>
      <c r="M165" s="27"/>
      <c r="N165" s="49"/>
      <c r="O165" s="27"/>
      <c r="Q165" s="2"/>
      <c r="R165" s="24"/>
      <c r="S165" s="24"/>
      <c r="T165" s="24"/>
    </row>
    <row r="166" spans="1:20" x14ac:dyDescent="0.25">
      <c r="A166" s="2">
        <v>45163</v>
      </c>
      <c r="B166" s="20">
        <v>2746</v>
      </c>
      <c r="C166" s="29">
        <v>452.5</v>
      </c>
      <c r="D166" s="20">
        <v>14305</v>
      </c>
      <c r="E166" s="17" t="s">
        <v>92</v>
      </c>
      <c r="F166" s="17" t="s">
        <v>92</v>
      </c>
      <c r="G166" s="17" t="s">
        <v>92</v>
      </c>
      <c r="H166" s="17" t="s">
        <v>92</v>
      </c>
      <c r="I166" s="39"/>
      <c r="J166" s="47">
        <f t="shared" si="3"/>
        <v>-151</v>
      </c>
      <c r="K166" s="49"/>
      <c r="L166" s="17"/>
      <c r="M166" s="27"/>
      <c r="N166" s="49"/>
      <c r="O166" s="27"/>
      <c r="Q166" s="2"/>
      <c r="R166" s="24"/>
      <c r="S166" s="24"/>
      <c r="T166" s="24"/>
    </row>
    <row r="167" spans="1:20" x14ac:dyDescent="0.25">
      <c r="A167" s="2">
        <v>45162</v>
      </c>
      <c r="B167" s="20">
        <v>2744</v>
      </c>
      <c r="C167" s="20">
        <v>459</v>
      </c>
      <c r="D167" s="20">
        <v>14500</v>
      </c>
      <c r="E167" s="17" t="s">
        <v>92</v>
      </c>
      <c r="F167" s="17" t="s">
        <v>92</v>
      </c>
      <c r="G167" s="17" t="s">
        <v>92</v>
      </c>
      <c r="H167" s="17" t="s">
        <v>92</v>
      </c>
      <c r="I167" s="39"/>
      <c r="J167" s="47">
        <f t="shared" si="3"/>
        <v>-152</v>
      </c>
      <c r="K167" s="49"/>
      <c r="L167" s="17"/>
      <c r="M167" s="27"/>
      <c r="N167" s="49"/>
      <c r="O167" s="27"/>
      <c r="Q167" s="2"/>
      <c r="R167" s="24"/>
      <c r="S167" s="24"/>
      <c r="T167" s="24"/>
    </row>
    <row r="168" spans="1:20" x14ac:dyDescent="0.25">
      <c r="A168" s="2">
        <v>45161</v>
      </c>
      <c r="B168" s="20">
        <v>2734</v>
      </c>
      <c r="C168" s="20">
        <v>445</v>
      </c>
      <c r="D168" s="20">
        <v>14380</v>
      </c>
      <c r="E168" s="17" t="s">
        <v>92</v>
      </c>
      <c r="F168" s="17" t="s">
        <v>92</v>
      </c>
      <c r="G168" s="17" t="s">
        <v>92</v>
      </c>
      <c r="H168" s="17" t="s">
        <v>92</v>
      </c>
      <c r="I168" s="39"/>
      <c r="J168" s="47">
        <f t="shared" si="3"/>
        <v>-153</v>
      </c>
      <c r="K168" s="49"/>
      <c r="L168" s="17"/>
      <c r="M168" s="27"/>
      <c r="N168" s="49"/>
      <c r="O168" s="27"/>
      <c r="Q168" s="2"/>
      <c r="R168" s="24"/>
      <c r="S168" s="24"/>
      <c r="T168" s="24"/>
    </row>
    <row r="169" spans="1:20" x14ac:dyDescent="0.25">
      <c r="A169" s="2">
        <v>45160</v>
      </c>
      <c r="B169" s="20">
        <v>2698</v>
      </c>
      <c r="C169" s="20">
        <v>442</v>
      </c>
      <c r="D169" s="20">
        <v>14295</v>
      </c>
      <c r="E169" s="17" t="s">
        <v>92</v>
      </c>
      <c r="F169" s="17" t="s">
        <v>92</v>
      </c>
      <c r="G169" s="17" t="s">
        <v>92</v>
      </c>
      <c r="H169" s="17" t="s">
        <v>92</v>
      </c>
      <c r="I169" s="39"/>
      <c r="J169" s="47">
        <f t="shared" si="3"/>
        <v>-154</v>
      </c>
      <c r="K169" s="49"/>
      <c r="L169" s="17"/>
      <c r="M169" s="27"/>
      <c r="N169" s="49"/>
      <c r="O169" s="27"/>
      <c r="Q169" s="2"/>
      <c r="R169" s="24"/>
      <c r="S169" s="24"/>
      <c r="T169" s="24"/>
    </row>
    <row r="170" spans="1:20" x14ac:dyDescent="0.25">
      <c r="A170" s="2">
        <v>45159</v>
      </c>
      <c r="B170" s="20">
        <v>2708</v>
      </c>
      <c r="C170" s="29">
        <v>437.5</v>
      </c>
      <c r="D170" s="20">
        <v>14095</v>
      </c>
      <c r="E170" s="17" t="s">
        <v>92</v>
      </c>
      <c r="F170" s="17" t="s">
        <v>92</v>
      </c>
      <c r="G170" s="17" t="s">
        <v>92</v>
      </c>
      <c r="H170" s="17" t="s">
        <v>92</v>
      </c>
      <c r="I170" s="39"/>
      <c r="J170" s="47">
        <f t="shared" si="3"/>
        <v>-155</v>
      </c>
      <c r="K170" s="49"/>
      <c r="L170" s="17"/>
      <c r="M170" s="27"/>
      <c r="N170" s="49"/>
      <c r="O170" s="27"/>
      <c r="Q170" s="2"/>
      <c r="R170" s="24"/>
      <c r="S170" s="24"/>
      <c r="T170" s="24"/>
    </row>
    <row r="171" spans="1:20" x14ac:dyDescent="0.25">
      <c r="A171" s="2">
        <v>45156</v>
      </c>
      <c r="B171" s="20">
        <v>2652</v>
      </c>
      <c r="C171" s="20">
        <v>440</v>
      </c>
      <c r="D171" s="20">
        <v>14100</v>
      </c>
      <c r="E171" s="17" t="s">
        <v>92</v>
      </c>
      <c r="F171" s="17" t="s">
        <v>92</v>
      </c>
      <c r="G171" s="17" t="s">
        <v>92</v>
      </c>
      <c r="H171" s="17" t="s">
        <v>92</v>
      </c>
      <c r="I171" s="39"/>
      <c r="J171" s="47">
        <f t="shared" si="3"/>
        <v>-156</v>
      </c>
      <c r="K171" s="49"/>
      <c r="L171" s="17"/>
      <c r="M171" s="27"/>
      <c r="N171" s="49"/>
      <c r="O171" s="27"/>
      <c r="Q171" s="2"/>
      <c r="R171" s="24"/>
      <c r="S171" s="24"/>
      <c r="T171" s="24"/>
    </row>
    <row r="172" spans="1:20" x14ac:dyDescent="0.25">
      <c r="A172" s="2">
        <v>45155</v>
      </c>
      <c r="B172" s="20">
        <v>2696</v>
      </c>
      <c r="C172" s="29">
        <v>438.5</v>
      </c>
      <c r="D172" s="20">
        <v>14100</v>
      </c>
      <c r="E172" s="17" t="s">
        <v>92</v>
      </c>
      <c r="F172" s="17" t="s">
        <v>92</v>
      </c>
      <c r="G172" s="17" t="s">
        <v>92</v>
      </c>
      <c r="H172" s="17" t="s">
        <v>92</v>
      </c>
      <c r="I172" s="39"/>
      <c r="J172" s="47">
        <f t="shared" si="3"/>
        <v>-157</v>
      </c>
      <c r="K172" s="49"/>
      <c r="L172" s="17"/>
      <c r="M172" s="27"/>
      <c r="N172" s="49"/>
      <c r="O172" s="27"/>
      <c r="Q172" s="2"/>
      <c r="R172" s="24"/>
      <c r="S172" s="24"/>
      <c r="T172" s="24"/>
    </row>
    <row r="173" spans="1:20" x14ac:dyDescent="0.25">
      <c r="A173" s="2">
        <v>45154</v>
      </c>
      <c r="B173" s="20">
        <v>2662</v>
      </c>
      <c r="C173" s="29">
        <v>438.5</v>
      </c>
      <c r="D173" s="20">
        <v>13665</v>
      </c>
      <c r="E173" s="17" t="s">
        <v>92</v>
      </c>
      <c r="F173" s="17" t="s">
        <v>92</v>
      </c>
      <c r="G173" s="17" t="s">
        <v>92</v>
      </c>
      <c r="H173" s="17" t="s">
        <v>92</v>
      </c>
      <c r="I173" s="39"/>
      <c r="J173" s="47">
        <f t="shared" si="3"/>
        <v>-158</v>
      </c>
      <c r="K173" s="49"/>
      <c r="L173" s="17"/>
      <c r="M173" s="27"/>
      <c r="N173" s="49"/>
      <c r="O173" s="27"/>
      <c r="Q173" s="2"/>
      <c r="R173" s="24"/>
      <c r="S173" s="24"/>
      <c r="T173" s="24"/>
    </row>
    <row r="174" spans="1:20" x14ac:dyDescent="0.25">
      <c r="A174" s="2">
        <v>45153</v>
      </c>
      <c r="B174" s="20">
        <v>2668</v>
      </c>
      <c r="C174" s="29">
        <v>439.5</v>
      </c>
      <c r="D174" s="20">
        <v>13765</v>
      </c>
      <c r="E174" s="17" t="s">
        <v>92</v>
      </c>
      <c r="F174" s="17" t="s">
        <v>92</v>
      </c>
      <c r="G174" s="17" t="s">
        <v>92</v>
      </c>
      <c r="H174" s="17" t="s">
        <v>92</v>
      </c>
      <c r="I174" s="39"/>
      <c r="J174" s="47">
        <f t="shared" si="3"/>
        <v>-159</v>
      </c>
      <c r="K174" s="49"/>
      <c r="L174" s="17"/>
      <c r="M174" s="27"/>
      <c r="N174" s="49"/>
      <c r="O174" s="27"/>
      <c r="Q174" s="2"/>
      <c r="R174" s="24"/>
      <c r="S174" s="24"/>
      <c r="T174" s="24"/>
    </row>
    <row r="175" spans="1:20" x14ac:dyDescent="0.25">
      <c r="A175" s="2">
        <v>45152</v>
      </c>
      <c r="B175" s="20">
        <v>2692</v>
      </c>
      <c r="C175" s="29">
        <v>442.5</v>
      </c>
      <c r="D175" s="20">
        <v>13895</v>
      </c>
      <c r="E175" s="17" t="s">
        <v>92</v>
      </c>
      <c r="F175" s="17" t="s">
        <v>92</v>
      </c>
      <c r="G175" s="17" t="s">
        <v>92</v>
      </c>
      <c r="H175" s="17" t="s">
        <v>92</v>
      </c>
      <c r="I175" s="39"/>
      <c r="J175" s="47">
        <f t="shared" si="3"/>
        <v>-160</v>
      </c>
      <c r="K175" s="49"/>
      <c r="L175" s="17"/>
      <c r="M175" s="27"/>
      <c r="N175" s="49"/>
      <c r="O175" s="27"/>
      <c r="Q175" s="2"/>
      <c r="R175" s="24"/>
      <c r="S175" s="24"/>
      <c r="T175" s="24"/>
    </row>
    <row r="176" spans="1:20" x14ac:dyDescent="0.25">
      <c r="A176" s="2">
        <v>45149</v>
      </c>
      <c r="B176" s="20">
        <v>2670</v>
      </c>
      <c r="C176" s="29">
        <v>439.5</v>
      </c>
      <c r="D176" s="20">
        <v>14085</v>
      </c>
      <c r="E176" s="17" t="s">
        <v>92</v>
      </c>
      <c r="F176" s="17" t="s">
        <v>92</v>
      </c>
      <c r="G176" s="17" t="s">
        <v>92</v>
      </c>
      <c r="H176" s="17" t="s">
        <v>92</v>
      </c>
      <c r="I176" s="39"/>
      <c r="J176" s="47">
        <f t="shared" si="3"/>
        <v>-161</v>
      </c>
      <c r="K176" s="49"/>
      <c r="L176" s="17"/>
      <c r="M176" s="27"/>
      <c r="N176" s="49"/>
      <c r="O176" s="27"/>
      <c r="Q176" s="2"/>
      <c r="R176" s="24"/>
      <c r="S176" s="24"/>
      <c r="T176" s="24"/>
    </row>
    <row r="177" spans="1:20" x14ac:dyDescent="0.25">
      <c r="A177" s="2">
        <v>45148</v>
      </c>
      <c r="B177" s="20">
        <v>2680</v>
      </c>
      <c r="C177" s="20">
        <v>442</v>
      </c>
      <c r="D177" s="20">
        <v>13945</v>
      </c>
      <c r="E177" s="17" t="s">
        <v>92</v>
      </c>
      <c r="F177" s="17" t="s">
        <v>92</v>
      </c>
      <c r="G177" s="17" t="s">
        <v>92</v>
      </c>
      <c r="H177" s="17" t="s">
        <v>92</v>
      </c>
      <c r="I177" s="39"/>
      <c r="J177" s="47">
        <f t="shared" si="3"/>
        <v>-162</v>
      </c>
      <c r="K177" s="49"/>
      <c r="L177" s="17"/>
      <c r="M177" s="27"/>
      <c r="N177" s="49"/>
      <c r="O177" s="27"/>
      <c r="Q177" s="2"/>
      <c r="R177" s="24"/>
      <c r="S177" s="24"/>
      <c r="T177" s="24"/>
    </row>
    <row r="178" spans="1:20" x14ac:dyDescent="0.25">
      <c r="A178" s="2">
        <v>45147</v>
      </c>
      <c r="B178" s="20">
        <v>2698</v>
      </c>
      <c r="C178" s="29">
        <v>441.5</v>
      </c>
      <c r="D178" s="20">
        <v>13685</v>
      </c>
      <c r="E178" s="17" t="s">
        <v>92</v>
      </c>
      <c r="F178" s="17" t="s">
        <v>92</v>
      </c>
      <c r="G178" s="17" t="s">
        <v>92</v>
      </c>
      <c r="H178" s="17" t="s">
        <v>92</v>
      </c>
      <c r="I178" s="39"/>
      <c r="J178" s="47">
        <f t="shared" si="3"/>
        <v>-163</v>
      </c>
      <c r="K178" s="49"/>
      <c r="L178" s="17"/>
      <c r="M178" s="27"/>
      <c r="N178" s="49"/>
      <c r="O178" s="27"/>
      <c r="Q178" s="2"/>
      <c r="R178" s="24"/>
      <c r="S178" s="24"/>
      <c r="T178" s="24"/>
    </row>
    <row r="179" spans="1:20" x14ac:dyDescent="0.25">
      <c r="A179" s="2">
        <v>45146</v>
      </c>
      <c r="B179" s="20">
        <v>2656</v>
      </c>
      <c r="C179" s="20">
        <v>433</v>
      </c>
      <c r="D179" s="20">
        <v>13870</v>
      </c>
      <c r="E179" s="17" t="s">
        <v>92</v>
      </c>
      <c r="F179" s="17" t="s">
        <v>92</v>
      </c>
      <c r="G179" s="17" t="s">
        <v>92</v>
      </c>
      <c r="H179" s="17" t="s">
        <v>92</v>
      </c>
      <c r="I179" s="39"/>
      <c r="J179" s="47">
        <f t="shared" si="3"/>
        <v>-164</v>
      </c>
      <c r="K179" s="49"/>
      <c r="L179" s="17"/>
      <c r="M179" s="27"/>
      <c r="N179" s="49"/>
      <c r="O179" s="27"/>
      <c r="Q179" s="2"/>
      <c r="R179" s="24"/>
      <c r="S179" s="24"/>
      <c r="T179" s="24"/>
    </row>
    <row r="180" spans="1:20" x14ac:dyDescent="0.25">
      <c r="A180" s="2">
        <v>45145</v>
      </c>
      <c r="B180" s="20">
        <v>2710</v>
      </c>
      <c r="C180" s="20">
        <v>426</v>
      </c>
      <c r="D180" s="20">
        <v>13500</v>
      </c>
      <c r="E180" s="17" t="s">
        <v>92</v>
      </c>
      <c r="F180" s="17" t="s">
        <v>92</v>
      </c>
      <c r="G180" s="17" t="s">
        <v>92</v>
      </c>
      <c r="H180" s="17" t="s">
        <v>92</v>
      </c>
      <c r="I180" s="39"/>
      <c r="J180" s="47">
        <f t="shared" si="3"/>
        <v>-165</v>
      </c>
      <c r="K180" s="49"/>
      <c r="L180" s="17"/>
      <c r="M180" s="27"/>
      <c r="N180" s="49"/>
      <c r="O180" s="27"/>
      <c r="Q180" s="2"/>
      <c r="R180" s="24"/>
      <c r="S180" s="24"/>
      <c r="T180" s="24"/>
    </row>
    <row r="181" spans="1:20" x14ac:dyDescent="0.25">
      <c r="A181" s="2">
        <v>45142</v>
      </c>
      <c r="B181" s="20">
        <v>2738</v>
      </c>
      <c r="C181" s="29">
        <v>427.5</v>
      </c>
      <c r="D181" s="20">
        <v>13275</v>
      </c>
      <c r="E181" s="17" t="s">
        <v>92</v>
      </c>
      <c r="F181" s="17" t="s">
        <v>92</v>
      </c>
      <c r="G181" s="17" t="s">
        <v>92</v>
      </c>
      <c r="H181" s="17" t="s">
        <v>92</v>
      </c>
      <c r="I181" s="39"/>
      <c r="J181" s="47">
        <f t="shared" si="3"/>
        <v>-166</v>
      </c>
      <c r="K181" s="49"/>
      <c r="L181" s="17"/>
      <c r="M181" s="27"/>
      <c r="N181" s="49"/>
      <c r="O181" s="27"/>
      <c r="Q181" s="2"/>
      <c r="R181" s="24"/>
      <c r="S181" s="24"/>
      <c r="T181" s="24"/>
    </row>
    <row r="182" spans="1:20" x14ac:dyDescent="0.25">
      <c r="A182" s="2">
        <v>45141</v>
      </c>
      <c r="B182" s="20">
        <v>2780</v>
      </c>
      <c r="C182" s="20">
        <v>427</v>
      </c>
      <c r="D182" s="20">
        <v>13130</v>
      </c>
      <c r="E182" s="17" t="s">
        <v>92</v>
      </c>
      <c r="F182" s="17" t="s">
        <v>92</v>
      </c>
      <c r="G182" s="17" t="s">
        <v>92</v>
      </c>
      <c r="H182" s="17" t="s">
        <v>92</v>
      </c>
      <c r="I182" s="39"/>
      <c r="J182" s="47">
        <f t="shared" si="3"/>
        <v>-167</v>
      </c>
      <c r="K182" s="49"/>
      <c r="L182" s="17"/>
      <c r="M182" s="27"/>
      <c r="N182" s="49"/>
      <c r="O182" s="27"/>
      <c r="Q182" s="2"/>
      <c r="R182" s="24"/>
      <c r="S182" s="24"/>
      <c r="T182" s="24"/>
    </row>
    <row r="183" spans="1:20" x14ac:dyDescent="0.25">
      <c r="A183" s="2">
        <v>45140</v>
      </c>
      <c r="B183" s="20">
        <v>2804</v>
      </c>
      <c r="C183" s="20">
        <v>424</v>
      </c>
      <c r="D183" s="20">
        <v>12925</v>
      </c>
      <c r="E183" s="17" t="s">
        <v>92</v>
      </c>
      <c r="F183" s="17" t="s">
        <v>92</v>
      </c>
      <c r="G183" s="17" t="s">
        <v>92</v>
      </c>
      <c r="H183" s="17" t="s">
        <v>92</v>
      </c>
      <c r="I183" s="39"/>
      <c r="J183" s="47">
        <f t="shared" si="3"/>
        <v>-168</v>
      </c>
      <c r="K183" s="49"/>
      <c r="L183" s="17"/>
      <c r="M183" s="27"/>
      <c r="N183" s="49"/>
      <c r="O183" s="27"/>
      <c r="Q183" s="2"/>
      <c r="R183" s="24"/>
      <c r="S183" s="24"/>
      <c r="T183" s="24"/>
    </row>
    <row r="184" spans="1:20" x14ac:dyDescent="0.25">
      <c r="A184" s="2">
        <v>45139</v>
      </c>
      <c r="B184" s="20">
        <v>2792</v>
      </c>
      <c r="C184" s="20">
        <v>423</v>
      </c>
      <c r="D184" s="20">
        <v>13000</v>
      </c>
      <c r="E184" s="17" t="s">
        <v>92</v>
      </c>
      <c r="F184" s="17" t="s">
        <v>92</v>
      </c>
      <c r="G184" s="17" t="s">
        <v>92</v>
      </c>
      <c r="H184" s="17" t="s">
        <v>92</v>
      </c>
      <c r="I184" s="39"/>
      <c r="J184" s="47">
        <f t="shared" si="3"/>
        <v>-169</v>
      </c>
      <c r="K184" s="49"/>
      <c r="L184" s="17"/>
      <c r="M184" s="27"/>
      <c r="N184" s="49"/>
      <c r="O184" s="27"/>
      <c r="Q184" s="2"/>
      <c r="R184" s="24"/>
      <c r="S184" s="24"/>
      <c r="T184" s="24"/>
    </row>
    <row r="185" spans="1:20" x14ac:dyDescent="0.25">
      <c r="A185" s="2">
        <v>45138</v>
      </c>
      <c r="B185" s="20">
        <v>2780</v>
      </c>
      <c r="C185" s="29">
        <v>418.5</v>
      </c>
      <c r="D185" s="20">
        <v>12810</v>
      </c>
      <c r="E185" s="17" t="s">
        <v>92</v>
      </c>
      <c r="F185" s="17" t="s">
        <v>92</v>
      </c>
      <c r="G185" s="17" t="s">
        <v>92</v>
      </c>
      <c r="H185" s="17" t="s">
        <v>92</v>
      </c>
      <c r="I185" s="39"/>
      <c r="J185" s="47">
        <f t="shared" si="3"/>
        <v>-170</v>
      </c>
      <c r="K185" s="49"/>
      <c r="L185" s="17"/>
      <c r="M185" s="27"/>
      <c r="N185" s="49"/>
      <c r="O185" s="27"/>
      <c r="Q185" s="2"/>
      <c r="R185" s="24"/>
      <c r="S185" s="24"/>
      <c r="T185" s="24"/>
    </row>
    <row r="186" spans="1:20" x14ac:dyDescent="0.25">
      <c r="A186" s="2">
        <v>45135</v>
      </c>
      <c r="B186" s="20">
        <v>2778</v>
      </c>
      <c r="C186" s="29">
        <v>421.5</v>
      </c>
      <c r="D186" s="20">
        <v>12900</v>
      </c>
      <c r="E186" s="17" t="s">
        <v>92</v>
      </c>
      <c r="F186" s="17" t="s">
        <v>92</v>
      </c>
      <c r="G186" s="17" t="s">
        <v>92</v>
      </c>
      <c r="H186" s="17" t="s">
        <v>92</v>
      </c>
      <c r="I186" s="39"/>
      <c r="J186" s="47">
        <f t="shared" si="3"/>
        <v>-171</v>
      </c>
      <c r="K186" s="49"/>
      <c r="L186" s="17"/>
      <c r="M186" s="27"/>
      <c r="N186" s="49"/>
      <c r="O186" s="27"/>
      <c r="Q186" s="2"/>
      <c r="R186" s="24"/>
      <c r="S186" s="24"/>
      <c r="T186" s="24"/>
    </row>
    <row r="187" spans="1:20" x14ac:dyDescent="0.25">
      <c r="A187" s="2">
        <v>45134</v>
      </c>
      <c r="B187" s="20">
        <v>2766</v>
      </c>
      <c r="C187" s="20">
        <v>419</v>
      </c>
      <c r="D187" s="20">
        <v>12835</v>
      </c>
      <c r="E187" s="17" t="s">
        <v>92</v>
      </c>
      <c r="F187" s="17" t="s">
        <v>92</v>
      </c>
      <c r="G187" s="17" t="s">
        <v>92</v>
      </c>
      <c r="H187" s="17" t="s">
        <v>92</v>
      </c>
      <c r="I187" s="39"/>
      <c r="J187" s="47">
        <f t="shared" si="3"/>
        <v>-172</v>
      </c>
      <c r="K187" s="49"/>
      <c r="L187" s="17"/>
      <c r="M187" s="27"/>
      <c r="N187" s="49"/>
      <c r="O187" s="27"/>
      <c r="Q187" s="2"/>
      <c r="R187" s="24"/>
      <c r="S187" s="24"/>
      <c r="T187" s="24"/>
    </row>
    <row r="188" spans="1:20" x14ac:dyDescent="0.25">
      <c r="A188" s="2">
        <v>45133</v>
      </c>
      <c r="B188" s="20">
        <v>2806</v>
      </c>
      <c r="C188" s="29">
        <v>413.5</v>
      </c>
      <c r="D188" s="20">
        <v>12900</v>
      </c>
      <c r="E188" s="17" t="s">
        <v>92</v>
      </c>
      <c r="F188" s="17" t="s">
        <v>92</v>
      </c>
      <c r="G188" s="17" t="s">
        <v>92</v>
      </c>
      <c r="H188" s="17" t="s">
        <v>92</v>
      </c>
      <c r="I188" s="39"/>
      <c r="J188" s="47">
        <f t="shared" si="3"/>
        <v>-173</v>
      </c>
      <c r="K188" s="49"/>
      <c r="L188" s="17"/>
      <c r="M188" s="27"/>
      <c r="N188" s="49"/>
      <c r="O188" s="27"/>
      <c r="Q188" s="2"/>
      <c r="R188" s="24"/>
      <c r="S188" s="24"/>
      <c r="T188" s="24"/>
    </row>
    <row r="189" spans="1:20" x14ac:dyDescent="0.25">
      <c r="A189" s="2">
        <v>45132</v>
      </c>
      <c r="B189" s="20">
        <v>2834</v>
      </c>
      <c r="C189" s="29">
        <v>412.5</v>
      </c>
      <c r="D189" s="20">
        <v>12970</v>
      </c>
      <c r="E189" s="17" t="s">
        <v>92</v>
      </c>
      <c r="F189" s="17" t="s">
        <v>92</v>
      </c>
      <c r="G189" s="17" t="s">
        <v>92</v>
      </c>
      <c r="H189" s="17" t="s">
        <v>92</v>
      </c>
      <c r="I189" s="39"/>
      <c r="J189" s="47">
        <f t="shared" si="3"/>
        <v>-174</v>
      </c>
      <c r="K189" s="49"/>
      <c r="L189" s="17"/>
      <c r="M189" s="27"/>
      <c r="N189" s="49"/>
      <c r="O189" s="27"/>
      <c r="Q189" s="2"/>
      <c r="R189" s="24"/>
      <c r="S189" s="24"/>
      <c r="T189" s="24"/>
    </row>
    <row r="190" spans="1:20" x14ac:dyDescent="0.25">
      <c r="A190" s="2">
        <v>45131</v>
      </c>
      <c r="B190" s="20">
        <v>2816</v>
      </c>
      <c r="C190" s="20">
        <v>416</v>
      </c>
      <c r="D190" s="20">
        <v>12845</v>
      </c>
      <c r="E190" s="17" t="s">
        <v>92</v>
      </c>
      <c r="F190" s="17" t="s">
        <v>92</v>
      </c>
      <c r="G190" s="17" t="s">
        <v>92</v>
      </c>
      <c r="H190" s="17" t="s">
        <v>92</v>
      </c>
      <c r="I190" s="39"/>
      <c r="J190" s="47">
        <f t="shared" si="3"/>
        <v>-175</v>
      </c>
      <c r="K190" s="49"/>
      <c r="L190" s="32"/>
      <c r="M190" s="27"/>
      <c r="N190" s="49"/>
      <c r="O190" s="27"/>
      <c r="Q190" s="2"/>
      <c r="R190" s="24"/>
      <c r="S190" s="24"/>
      <c r="T190" s="24"/>
    </row>
    <row r="191" spans="1:20" x14ac:dyDescent="0.25">
      <c r="A191" s="2">
        <v>45128</v>
      </c>
      <c r="B191" s="20">
        <v>2880</v>
      </c>
      <c r="C191" s="29">
        <v>412.5</v>
      </c>
      <c r="D191" s="20">
        <v>12750</v>
      </c>
      <c r="E191" s="17" t="s">
        <v>92</v>
      </c>
      <c r="F191" s="17" t="s">
        <v>92</v>
      </c>
      <c r="G191" s="17" t="s">
        <v>92</v>
      </c>
      <c r="H191" s="17" t="s">
        <v>92</v>
      </c>
      <c r="I191" s="39"/>
      <c r="J191" s="47">
        <f t="shared" si="3"/>
        <v>-176</v>
      </c>
      <c r="K191" s="49"/>
      <c r="L191" s="17"/>
      <c r="M191" s="27"/>
      <c r="N191" s="49"/>
      <c r="O191" s="27"/>
      <c r="Q191" s="2"/>
      <c r="R191" s="24"/>
      <c r="S191" s="24"/>
      <c r="T191" s="24"/>
    </row>
    <row r="192" spans="1:20" x14ac:dyDescent="0.25">
      <c r="A192" s="2">
        <v>45127</v>
      </c>
      <c r="B192" s="20">
        <v>2870</v>
      </c>
      <c r="C192" s="20">
        <v>412</v>
      </c>
      <c r="D192" s="20">
        <v>12650</v>
      </c>
      <c r="E192" s="17" t="s">
        <v>92</v>
      </c>
      <c r="F192" s="17" t="s">
        <v>92</v>
      </c>
      <c r="G192" s="17" t="s">
        <v>92</v>
      </c>
      <c r="H192" s="17" t="s">
        <v>92</v>
      </c>
      <c r="I192" s="39"/>
      <c r="J192" s="47">
        <f t="shared" si="3"/>
        <v>-177</v>
      </c>
      <c r="K192" s="49"/>
      <c r="L192" s="17"/>
      <c r="M192" s="27"/>
      <c r="N192" s="49"/>
      <c r="O192" s="27"/>
      <c r="Q192" s="2"/>
      <c r="R192" s="24"/>
      <c r="S192" s="24"/>
      <c r="T192" s="24"/>
    </row>
    <row r="193" spans="1:20" x14ac:dyDescent="0.25">
      <c r="A193" s="2">
        <v>45126</v>
      </c>
      <c r="B193" s="20">
        <v>3190</v>
      </c>
      <c r="C193" s="29">
        <v>415.5</v>
      </c>
      <c r="D193" s="20">
        <v>12500</v>
      </c>
      <c r="E193" s="17" t="s">
        <v>92</v>
      </c>
      <c r="F193" s="17" t="s">
        <v>92</v>
      </c>
      <c r="G193" s="17" t="s">
        <v>92</v>
      </c>
      <c r="H193" s="17" t="s">
        <v>92</v>
      </c>
      <c r="I193" s="39"/>
      <c r="J193" s="47">
        <f t="shared" si="3"/>
        <v>-178</v>
      </c>
      <c r="K193" s="49"/>
      <c r="L193" s="17"/>
      <c r="M193" s="27"/>
      <c r="N193" s="49"/>
      <c r="O193" s="27"/>
      <c r="Q193" s="2"/>
      <c r="R193" s="24"/>
      <c r="S193" s="24"/>
      <c r="T193" s="24"/>
    </row>
    <row r="194" spans="1:20" x14ac:dyDescent="0.25">
      <c r="A194" s="2">
        <v>45125</v>
      </c>
      <c r="B194" s="20">
        <v>3140</v>
      </c>
      <c r="C194" s="29">
        <v>417.5</v>
      </c>
      <c r="D194" s="20">
        <v>12555</v>
      </c>
      <c r="E194" s="17" t="s">
        <v>92</v>
      </c>
      <c r="F194" s="17" t="s">
        <v>92</v>
      </c>
      <c r="G194" s="17" t="s">
        <v>92</v>
      </c>
      <c r="H194" s="17" t="s">
        <v>92</v>
      </c>
      <c r="I194" s="39"/>
      <c r="J194" s="47">
        <f t="shared" si="3"/>
        <v>-179</v>
      </c>
      <c r="K194" s="49"/>
      <c r="L194" s="17"/>
      <c r="M194" s="27"/>
      <c r="N194" s="49"/>
      <c r="O194" s="27"/>
      <c r="Q194" s="2"/>
      <c r="R194" s="24"/>
      <c r="S194" s="24"/>
      <c r="T194" s="24"/>
    </row>
    <row r="195" spans="1:20" x14ac:dyDescent="0.25">
      <c r="A195" s="2">
        <v>45124</v>
      </c>
      <c r="B195" s="20">
        <v>3120</v>
      </c>
      <c r="C195" s="20">
        <v>421</v>
      </c>
      <c r="D195" s="20">
        <v>12300</v>
      </c>
      <c r="E195" s="17" t="s">
        <v>92</v>
      </c>
      <c r="F195" s="17" t="s">
        <v>92</v>
      </c>
      <c r="G195" s="17" t="s">
        <v>92</v>
      </c>
      <c r="H195" s="17" t="s">
        <v>92</v>
      </c>
      <c r="I195" s="39"/>
      <c r="J195" s="47">
        <f t="shared" si="3"/>
        <v>-180</v>
      </c>
      <c r="K195" s="49"/>
      <c r="L195" s="17"/>
      <c r="M195" s="27"/>
      <c r="N195" s="49"/>
      <c r="O195" s="27"/>
      <c r="Q195" s="2"/>
      <c r="R195" s="24"/>
      <c r="S195" s="24"/>
      <c r="T195" s="24"/>
    </row>
    <row r="196" spans="1:20" x14ac:dyDescent="0.25">
      <c r="A196" s="2">
        <v>45121</v>
      </c>
      <c r="B196" s="20">
        <v>3096</v>
      </c>
      <c r="C196" s="20">
        <v>420</v>
      </c>
      <c r="D196" s="20">
        <v>12290</v>
      </c>
      <c r="E196" s="17" t="s">
        <v>92</v>
      </c>
      <c r="F196" s="17" t="s">
        <v>92</v>
      </c>
      <c r="G196" s="17" t="s">
        <v>92</v>
      </c>
      <c r="H196" s="17" t="s">
        <v>92</v>
      </c>
      <c r="I196" s="39"/>
      <c r="J196" s="47">
        <f t="shared" si="3"/>
        <v>-181</v>
      </c>
      <c r="K196" s="49"/>
      <c r="L196" s="17"/>
      <c r="M196" s="27"/>
      <c r="N196" s="49"/>
      <c r="O196" s="27"/>
      <c r="Q196" s="2"/>
      <c r="R196" s="24"/>
      <c r="S196" s="24"/>
      <c r="T196" s="24"/>
    </row>
    <row r="197" spans="1:20" x14ac:dyDescent="0.25">
      <c r="A197" s="2">
        <v>45120</v>
      </c>
      <c r="B197" s="20">
        <v>3080</v>
      </c>
      <c r="C197" s="20">
        <v>415</v>
      </c>
      <c r="D197" s="20">
        <v>12220</v>
      </c>
      <c r="E197" s="17" t="s">
        <v>92</v>
      </c>
      <c r="F197" s="17" t="s">
        <v>92</v>
      </c>
      <c r="G197" s="17" t="s">
        <v>92</v>
      </c>
      <c r="H197" s="17" t="s">
        <v>92</v>
      </c>
      <c r="I197" s="39"/>
      <c r="J197" s="47">
        <f t="shared" si="3"/>
        <v>-182</v>
      </c>
      <c r="K197" s="49"/>
      <c r="L197" s="17"/>
      <c r="M197" s="27"/>
      <c r="N197" s="49"/>
      <c r="O197" s="27"/>
      <c r="Q197" s="2"/>
      <c r="R197" s="24"/>
      <c r="S197" s="24"/>
      <c r="T197" s="24"/>
    </row>
    <row r="198" spans="1:20" x14ac:dyDescent="0.25">
      <c r="A198" s="2">
        <v>45119</v>
      </c>
      <c r="B198" s="20">
        <v>3072</v>
      </c>
      <c r="C198" s="20">
        <v>415</v>
      </c>
      <c r="D198" s="20">
        <v>12090</v>
      </c>
      <c r="E198" s="17" t="s">
        <v>92</v>
      </c>
      <c r="F198" s="17" t="s">
        <v>92</v>
      </c>
      <c r="G198" s="17" t="s">
        <v>92</v>
      </c>
      <c r="H198" s="17" t="s">
        <v>92</v>
      </c>
      <c r="I198" s="39"/>
      <c r="J198" s="47">
        <f t="shared" si="3"/>
        <v>-183</v>
      </c>
      <c r="K198" s="49"/>
      <c r="L198" s="17"/>
      <c r="M198" s="27"/>
      <c r="N198" s="49"/>
      <c r="O198" s="27"/>
      <c r="Q198" s="2"/>
      <c r="R198" s="24"/>
      <c r="S198" s="24"/>
      <c r="T198" s="24"/>
    </row>
    <row r="199" spans="1:20" x14ac:dyDescent="0.25">
      <c r="A199" s="2">
        <v>45118</v>
      </c>
      <c r="B199" s="20">
        <v>3026</v>
      </c>
      <c r="C199" s="29">
        <v>416.5</v>
      </c>
      <c r="D199" s="20">
        <v>11950</v>
      </c>
      <c r="E199" s="17" t="s">
        <v>92</v>
      </c>
      <c r="F199" s="17" t="s">
        <v>92</v>
      </c>
      <c r="G199" s="17" t="s">
        <v>92</v>
      </c>
      <c r="H199" s="17" t="s">
        <v>92</v>
      </c>
      <c r="I199" s="39"/>
      <c r="J199" s="47">
        <f t="shared" si="3"/>
        <v>-184</v>
      </c>
      <c r="K199" s="49"/>
      <c r="L199" s="17"/>
      <c r="M199" s="27"/>
      <c r="N199" s="49"/>
      <c r="O199" s="27"/>
      <c r="Q199" s="2"/>
      <c r="R199" s="24"/>
      <c r="S199" s="24"/>
      <c r="T199" s="24"/>
    </row>
    <row r="200" spans="1:20" x14ac:dyDescent="0.25">
      <c r="A200" s="2">
        <v>45117</v>
      </c>
      <c r="B200" s="20">
        <v>3004</v>
      </c>
      <c r="C200" s="20">
        <v>414</v>
      </c>
      <c r="D200" s="20">
        <v>11860</v>
      </c>
      <c r="E200" s="17" t="s">
        <v>92</v>
      </c>
      <c r="F200" s="17" t="s">
        <v>92</v>
      </c>
      <c r="G200" s="17" t="s">
        <v>92</v>
      </c>
      <c r="H200" s="17" t="s">
        <v>92</v>
      </c>
      <c r="I200" s="39"/>
      <c r="J200" s="47">
        <f t="shared" si="3"/>
        <v>-185</v>
      </c>
      <c r="K200" s="49"/>
      <c r="L200" s="17"/>
      <c r="M200" s="27"/>
      <c r="N200" s="49"/>
      <c r="O200" s="27"/>
      <c r="Q200" s="2"/>
      <c r="R200" s="24"/>
      <c r="S200" s="24"/>
      <c r="T200" s="24"/>
    </row>
    <row r="201" spans="1:20" x14ac:dyDescent="0.25">
      <c r="A201" s="2">
        <v>45114</v>
      </c>
      <c r="B201" s="20">
        <v>3004</v>
      </c>
      <c r="C201" s="29">
        <v>413.5</v>
      </c>
      <c r="D201" s="20">
        <v>11800</v>
      </c>
      <c r="E201" s="17" t="s">
        <v>92</v>
      </c>
      <c r="F201" s="17" t="s">
        <v>92</v>
      </c>
      <c r="G201" s="17" t="s">
        <v>92</v>
      </c>
      <c r="H201" s="17" t="s">
        <v>92</v>
      </c>
      <c r="I201" s="39"/>
      <c r="J201" s="47">
        <f t="shared" si="3"/>
        <v>-186</v>
      </c>
      <c r="K201" s="49"/>
      <c r="L201" s="17"/>
      <c r="M201" s="27"/>
      <c r="N201" s="49"/>
      <c r="O201" s="27"/>
      <c r="Q201" s="2"/>
      <c r="R201" s="24"/>
      <c r="S201" s="24"/>
      <c r="T201" s="24"/>
    </row>
    <row r="202" spans="1:20" x14ac:dyDescent="0.25">
      <c r="A202" s="2">
        <v>45113</v>
      </c>
      <c r="B202" s="20">
        <v>3006</v>
      </c>
      <c r="C202" s="20">
        <v>414</v>
      </c>
      <c r="D202" s="20">
        <v>11605</v>
      </c>
      <c r="E202" s="17" t="s">
        <v>92</v>
      </c>
      <c r="F202" s="17" t="s">
        <v>92</v>
      </c>
      <c r="G202" s="17" t="s">
        <v>92</v>
      </c>
      <c r="H202" s="17" t="s">
        <v>92</v>
      </c>
      <c r="I202" s="39"/>
      <c r="J202" s="47">
        <f t="shared" si="3"/>
        <v>-187</v>
      </c>
      <c r="K202" s="49"/>
      <c r="L202" s="17"/>
      <c r="M202" s="27"/>
      <c r="N202" s="49"/>
      <c r="O202" s="27"/>
      <c r="Q202" s="2"/>
      <c r="R202" s="24"/>
      <c r="S202" s="24"/>
      <c r="T202" s="24"/>
    </row>
    <row r="203" spans="1:20" x14ac:dyDescent="0.25">
      <c r="A203" s="2">
        <v>45112</v>
      </c>
      <c r="B203" s="20">
        <v>3040</v>
      </c>
      <c r="C203" s="29">
        <v>405.5</v>
      </c>
      <c r="D203" s="20">
        <v>11795</v>
      </c>
      <c r="E203" s="17" t="s">
        <v>92</v>
      </c>
      <c r="F203" s="17" t="s">
        <v>92</v>
      </c>
      <c r="G203" s="17" t="s">
        <v>92</v>
      </c>
      <c r="H203" s="17" t="s">
        <v>92</v>
      </c>
      <c r="I203" s="39"/>
      <c r="J203" s="47">
        <f t="shared" si="3"/>
        <v>-188</v>
      </c>
      <c r="K203" s="49"/>
      <c r="L203" s="17"/>
      <c r="M203" s="27"/>
      <c r="N203" s="49"/>
      <c r="O203" s="27"/>
      <c r="Q203" s="2"/>
      <c r="R203" s="24"/>
      <c r="S203" s="24"/>
      <c r="T203" s="24"/>
    </row>
    <row r="204" spans="1:20" x14ac:dyDescent="0.25">
      <c r="A204" s="2">
        <v>45111</v>
      </c>
      <c r="B204" s="20">
        <v>3004</v>
      </c>
      <c r="C204" s="20">
        <v>407</v>
      </c>
      <c r="D204" s="20">
        <v>11990</v>
      </c>
      <c r="E204" s="17" t="s">
        <v>92</v>
      </c>
      <c r="F204" s="17" t="s">
        <v>92</v>
      </c>
      <c r="G204" s="17" t="s">
        <v>92</v>
      </c>
      <c r="H204" s="17" t="s">
        <v>92</v>
      </c>
      <c r="I204" s="39"/>
      <c r="J204" s="47">
        <f t="shared" si="3"/>
        <v>-189</v>
      </c>
      <c r="K204" s="49"/>
      <c r="L204" s="17"/>
      <c r="M204" s="27"/>
      <c r="N204" s="49"/>
      <c r="O204" s="27"/>
      <c r="Q204" s="2"/>
      <c r="R204" s="24"/>
      <c r="S204" s="24"/>
      <c r="T204" s="24"/>
    </row>
    <row r="205" spans="1:20" x14ac:dyDescent="0.25">
      <c r="A205" s="2">
        <v>45110</v>
      </c>
      <c r="B205" s="20">
        <v>2998</v>
      </c>
      <c r="C205" s="29">
        <v>405.5</v>
      </c>
      <c r="D205" s="20">
        <v>12030</v>
      </c>
      <c r="E205" s="17" t="s">
        <v>92</v>
      </c>
      <c r="F205" s="17" t="s">
        <v>92</v>
      </c>
      <c r="G205" s="17" t="s">
        <v>92</v>
      </c>
      <c r="H205" s="17" t="s">
        <v>92</v>
      </c>
      <c r="I205" s="39"/>
      <c r="J205" s="47">
        <f t="shared" si="3"/>
        <v>-190</v>
      </c>
      <c r="K205" s="49"/>
      <c r="L205" s="17"/>
      <c r="M205" s="27"/>
      <c r="N205" s="49"/>
      <c r="O205" s="27"/>
      <c r="Q205" s="2"/>
      <c r="R205" s="24"/>
      <c r="S205" s="24"/>
      <c r="T205" s="24"/>
    </row>
    <row r="206" spans="1:20" x14ac:dyDescent="0.25">
      <c r="A206" s="2">
        <v>45107</v>
      </c>
      <c r="B206" s="20">
        <v>2988</v>
      </c>
      <c r="C206" s="29">
        <v>404.5</v>
      </c>
      <c r="D206" s="20">
        <v>12130</v>
      </c>
      <c r="E206" s="17" t="s">
        <v>92</v>
      </c>
      <c r="F206" s="17" t="s">
        <v>92</v>
      </c>
      <c r="G206" s="17" t="s">
        <v>92</v>
      </c>
      <c r="H206" s="17" t="s">
        <v>92</v>
      </c>
      <c r="I206" s="39"/>
      <c r="J206" s="47">
        <f t="shared" si="3"/>
        <v>-191</v>
      </c>
      <c r="K206" s="49"/>
      <c r="L206" s="17"/>
      <c r="M206" s="27"/>
      <c r="N206" s="49"/>
      <c r="O206" s="27"/>
      <c r="Q206" s="2"/>
      <c r="R206" s="24"/>
      <c r="S206" s="24"/>
      <c r="T206" s="24"/>
    </row>
    <row r="207" spans="1:20" x14ac:dyDescent="0.25">
      <c r="A207" s="2">
        <v>45106</v>
      </c>
      <c r="B207" s="20">
        <v>2998</v>
      </c>
      <c r="C207" s="20">
        <v>410</v>
      </c>
      <c r="D207" s="20">
        <v>12080</v>
      </c>
      <c r="E207" s="17" t="s">
        <v>92</v>
      </c>
      <c r="F207" s="17" t="s">
        <v>92</v>
      </c>
      <c r="G207" s="17" t="s">
        <v>92</v>
      </c>
      <c r="H207" s="17" t="s">
        <v>92</v>
      </c>
      <c r="I207" s="39"/>
      <c r="J207" s="47">
        <f t="shared" si="3"/>
        <v>-192</v>
      </c>
      <c r="K207" s="49"/>
      <c r="L207" s="17"/>
      <c r="M207" s="27"/>
      <c r="N207" s="49"/>
      <c r="O207" s="27"/>
      <c r="Q207" s="2"/>
      <c r="R207" s="24"/>
      <c r="S207" s="24"/>
      <c r="T207" s="24"/>
    </row>
    <row r="208" spans="1:20" x14ac:dyDescent="0.25">
      <c r="A208" s="2">
        <v>45105</v>
      </c>
      <c r="B208" s="20">
        <v>2986</v>
      </c>
      <c r="C208" s="20">
        <v>405</v>
      </c>
      <c r="D208" s="20">
        <v>12040</v>
      </c>
      <c r="E208" s="17" t="s">
        <v>92</v>
      </c>
      <c r="F208" s="17" t="s">
        <v>92</v>
      </c>
      <c r="G208" s="17" t="s">
        <v>92</v>
      </c>
      <c r="H208" s="17" t="s">
        <v>92</v>
      </c>
      <c r="I208" s="39"/>
      <c r="J208" s="47">
        <f t="shared" si="3"/>
        <v>-193</v>
      </c>
      <c r="K208" s="49"/>
      <c r="L208" s="17"/>
      <c r="M208" s="27"/>
      <c r="N208" s="49"/>
      <c r="O208" s="27"/>
      <c r="Q208" s="2"/>
      <c r="R208" s="24"/>
      <c r="S208" s="24"/>
      <c r="T208" s="24"/>
    </row>
    <row r="209" spans="1:20" x14ac:dyDescent="0.25">
      <c r="A209" s="2">
        <v>45104</v>
      </c>
      <c r="B209" s="20">
        <v>2952</v>
      </c>
      <c r="C209" s="20">
        <v>408</v>
      </c>
      <c r="D209" s="20">
        <v>12085</v>
      </c>
      <c r="E209" s="17" t="s">
        <v>92</v>
      </c>
      <c r="F209" s="17" t="s">
        <v>92</v>
      </c>
      <c r="G209" s="17" t="s">
        <v>92</v>
      </c>
      <c r="H209" s="17" t="s">
        <v>92</v>
      </c>
      <c r="I209" s="39"/>
      <c r="J209" s="47">
        <f t="shared" ref="J209:J272" si="4">+J208-1</f>
        <v>-194</v>
      </c>
      <c r="K209" s="49"/>
      <c r="L209" s="17"/>
      <c r="M209" s="27"/>
      <c r="N209" s="49"/>
      <c r="O209" s="27"/>
      <c r="Q209" s="2"/>
      <c r="R209" s="24"/>
      <c r="S209" s="24"/>
      <c r="T209" s="24"/>
    </row>
    <row r="210" spans="1:20" x14ac:dyDescent="0.25">
      <c r="A210" s="2">
        <v>45103</v>
      </c>
      <c r="B210" s="20">
        <v>2986</v>
      </c>
      <c r="C210" s="20">
        <v>410</v>
      </c>
      <c r="D210" s="20">
        <v>11975</v>
      </c>
      <c r="E210" s="17" t="s">
        <v>92</v>
      </c>
      <c r="F210" s="17" t="s">
        <v>92</v>
      </c>
      <c r="G210" s="17" t="s">
        <v>92</v>
      </c>
      <c r="H210" s="17" t="s">
        <v>92</v>
      </c>
      <c r="I210" s="39"/>
      <c r="J210" s="47">
        <f t="shared" si="4"/>
        <v>-195</v>
      </c>
      <c r="K210" s="49"/>
      <c r="L210" s="17"/>
      <c r="M210" s="27"/>
      <c r="N210" s="49"/>
      <c r="O210" s="27"/>
      <c r="Q210" s="2"/>
      <c r="R210" s="24"/>
      <c r="S210" s="24"/>
      <c r="T210" s="24"/>
    </row>
    <row r="211" spans="1:20" x14ac:dyDescent="0.25">
      <c r="A211" s="2">
        <v>45100</v>
      </c>
      <c r="B211" s="20">
        <v>3018</v>
      </c>
      <c r="C211" s="29">
        <v>405.5</v>
      </c>
      <c r="D211" s="20">
        <v>12025</v>
      </c>
      <c r="E211" s="17" t="s">
        <v>92</v>
      </c>
      <c r="F211" s="17" t="s">
        <v>92</v>
      </c>
      <c r="G211" s="17" t="s">
        <v>92</v>
      </c>
      <c r="H211" s="17" t="s">
        <v>92</v>
      </c>
      <c r="I211" s="39"/>
      <c r="J211" s="47">
        <f t="shared" si="4"/>
        <v>-196</v>
      </c>
      <c r="K211" s="49"/>
      <c r="L211" s="17"/>
      <c r="M211" s="27"/>
      <c r="N211" s="49"/>
      <c r="O211" s="27"/>
      <c r="Q211" s="2"/>
      <c r="R211" s="24"/>
      <c r="S211" s="24"/>
      <c r="T211" s="24"/>
    </row>
    <row r="212" spans="1:20" x14ac:dyDescent="0.25">
      <c r="A212" s="2">
        <v>45099</v>
      </c>
      <c r="B212" s="20">
        <v>2996</v>
      </c>
      <c r="C212" s="20">
        <v>405</v>
      </c>
      <c r="D212" s="20">
        <v>12010</v>
      </c>
      <c r="E212" s="17" t="s">
        <v>92</v>
      </c>
      <c r="F212" s="17" t="s">
        <v>92</v>
      </c>
      <c r="G212" s="17" t="s">
        <v>92</v>
      </c>
      <c r="H212" s="17" t="s">
        <v>92</v>
      </c>
      <c r="I212" s="39"/>
      <c r="J212" s="47">
        <f t="shared" si="4"/>
        <v>-197</v>
      </c>
      <c r="K212" s="49"/>
      <c r="L212" s="17"/>
      <c r="M212" s="27"/>
      <c r="N212" s="49"/>
      <c r="O212" s="27"/>
      <c r="Q212" s="2"/>
      <c r="R212" s="24"/>
      <c r="S212" s="24"/>
      <c r="T212" s="24"/>
    </row>
    <row r="213" spans="1:20" x14ac:dyDescent="0.25">
      <c r="A213" s="2">
        <v>45098</v>
      </c>
      <c r="B213" s="20">
        <v>3002</v>
      </c>
      <c r="C213" s="29">
        <v>409.5</v>
      </c>
      <c r="D213" s="20">
        <v>11990</v>
      </c>
      <c r="E213" s="17" t="s">
        <v>92</v>
      </c>
      <c r="F213" s="17" t="s">
        <v>92</v>
      </c>
      <c r="G213" s="17" t="s">
        <v>92</v>
      </c>
      <c r="H213" s="17" t="s">
        <v>92</v>
      </c>
      <c r="I213" s="39"/>
      <c r="J213" s="47">
        <f t="shared" si="4"/>
        <v>-198</v>
      </c>
      <c r="K213" s="49"/>
      <c r="L213" s="17"/>
      <c r="M213" s="27"/>
      <c r="N213" s="49"/>
      <c r="O213" s="27"/>
      <c r="Q213" s="2"/>
      <c r="R213" s="24"/>
      <c r="S213" s="24"/>
      <c r="T213" s="24"/>
    </row>
    <row r="214" spans="1:20" x14ac:dyDescent="0.25">
      <c r="A214" s="2">
        <v>45097</v>
      </c>
      <c r="B214" s="20">
        <v>2992</v>
      </c>
      <c r="C214" s="29">
        <v>410.5</v>
      </c>
      <c r="D214" s="20">
        <v>11900</v>
      </c>
      <c r="E214" s="17" t="s">
        <v>92</v>
      </c>
      <c r="F214" s="17" t="s">
        <v>92</v>
      </c>
      <c r="G214" s="17" t="s">
        <v>92</v>
      </c>
      <c r="H214" s="17" t="s">
        <v>92</v>
      </c>
      <c r="I214" s="39"/>
      <c r="J214" s="47">
        <f t="shared" si="4"/>
        <v>-199</v>
      </c>
      <c r="K214" s="49"/>
      <c r="L214" s="17"/>
      <c r="M214" s="27"/>
      <c r="N214" s="49"/>
      <c r="O214" s="27"/>
      <c r="Q214" s="2"/>
      <c r="R214" s="24"/>
      <c r="S214" s="24"/>
      <c r="T214" s="24"/>
    </row>
    <row r="215" spans="1:20" x14ac:dyDescent="0.25">
      <c r="A215" s="2">
        <v>45096</v>
      </c>
      <c r="B215" s="20">
        <v>2956</v>
      </c>
      <c r="C215" s="20">
        <v>413</v>
      </c>
      <c r="D215" s="20">
        <v>11830</v>
      </c>
      <c r="E215" s="17" t="s">
        <v>92</v>
      </c>
      <c r="F215" s="17" t="s">
        <v>92</v>
      </c>
      <c r="G215" s="17" t="s">
        <v>92</v>
      </c>
      <c r="H215" s="17" t="s">
        <v>92</v>
      </c>
      <c r="I215" s="39"/>
      <c r="J215" s="47">
        <f t="shared" si="4"/>
        <v>-200</v>
      </c>
      <c r="K215" s="49"/>
      <c r="L215" s="17"/>
      <c r="M215" s="27"/>
      <c r="N215" s="49"/>
      <c r="O215" s="27"/>
      <c r="Q215" s="2"/>
      <c r="R215" s="24"/>
      <c r="S215" s="24"/>
      <c r="T215" s="24"/>
    </row>
    <row r="216" spans="1:20" x14ac:dyDescent="0.25">
      <c r="A216" s="2">
        <v>45093</v>
      </c>
      <c r="B216" s="20">
        <v>2960</v>
      </c>
      <c r="C216" s="20">
        <v>410</v>
      </c>
      <c r="D216" s="20">
        <v>12080</v>
      </c>
      <c r="E216" s="17" t="s">
        <v>92</v>
      </c>
      <c r="F216" s="17" t="s">
        <v>92</v>
      </c>
      <c r="G216" s="17" t="s">
        <v>92</v>
      </c>
      <c r="H216" s="17" t="s">
        <v>92</v>
      </c>
      <c r="I216" s="39"/>
      <c r="J216" s="47">
        <f t="shared" si="4"/>
        <v>-201</v>
      </c>
      <c r="K216" s="49"/>
      <c r="L216" s="17"/>
      <c r="M216" s="27"/>
      <c r="N216" s="49"/>
      <c r="O216" s="27"/>
      <c r="Q216" s="2"/>
      <c r="R216" s="24"/>
      <c r="S216" s="24"/>
      <c r="T216" s="24"/>
    </row>
    <row r="217" spans="1:20" x14ac:dyDescent="0.25">
      <c r="A217" s="2">
        <v>45092</v>
      </c>
      <c r="B217" s="20">
        <v>2976</v>
      </c>
      <c r="C217" s="20">
        <v>404</v>
      </c>
      <c r="D217" s="20">
        <v>12175</v>
      </c>
      <c r="E217" s="17" t="s">
        <v>92</v>
      </c>
      <c r="F217" s="17" t="s">
        <v>92</v>
      </c>
      <c r="G217" s="17" t="s">
        <v>92</v>
      </c>
      <c r="H217" s="17" t="s">
        <v>92</v>
      </c>
      <c r="I217" s="39"/>
      <c r="J217" s="47">
        <f t="shared" si="4"/>
        <v>-202</v>
      </c>
      <c r="K217" s="49"/>
      <c r="L217" s="17"/>
      <c r="M217" s="27"/>
      <c r="N217" s="49"/>
      <c r="O217" s="27"/>
      <c r="Q217" s="2"/>
      <c r="R217" s="24"/>
      <c r="S217" s="24"/>
      <c r="T217" s="24"/>
    </row>
    <row r="218" spans="1:20" x14ac:dyDescent="0.25">
      <c r="A218" s="2">
        <v>45091</v>
      </c>
      <c r="B218" s="20">
        <v>3000</v>
      </c>
      <c r="C218" s="20">
        <v>409</v>
      </c>
      <c r="D218" s="20">
        <v>11940</v>
      </c>
      <c r="E218" s="17" t="s">
        <v>92</v>
      </c>
      <c r="F218" s="17" t="s">
        <v>92</v>
      </c>
      <c r="G218" s="17" t="s">
        <v>92</v>
      </c>
      <c r="H218" s="17" t="s">
        <v>92</v>
      </c>
      <c r="I218" s="39"/>
      <c r="J218" s="47">
        <f t="shared" si="4"/>
        <v>-203</v>
      </c>
      <c r="K218" s="49"/>
      <c r="L218" s="17"/>
      <c r="M218" s="27"/>
      <c r="N218" s="49"/>
      <c r="O218" s="27"/>
      <c r="Q218" s="2"/>
      <c r="R218" s="24"/>
      <c r="S218" s="24"/>
      <c r="T218" s="24"/>
    </row>
    <row r="219" spans="1:20" x14ac:dyDescent="0.25">
      <c r="A219" s="2">
        <v>45090</v>
      </c>
      <c r="B219" s="20">
        <v>3040</v>
      </c>
      <c r="C219" s="29">
        <v>407.5</v>
      </c>
      <c r="D219" s="20">
        <v>11850</v>
      </c>
      <c r="E219" s="17" t="s">
        <v>92</v>
      </c>
      <c r="F219" s="17" t="s">
        <v>92</v>
      </c>
      <c r="G219" s="17" t="s">
        <v>92</v>
      </c>
      <c r="H219" s="17" t="s">
        <v>92</v>
      </c>
      <c r="I219" s="39"/>
      <c r="J219" s="47">
        <f t="shared" si="4"/>
        <v>-204</v>
      </c>
      <c r="K219" s="49"/>
      <c r="L219" s="17"/>
      <c r="M219" s="27"/>
      <c r="N219" s="49"/>
      <c r="O219" s="27"/>
      <c r="Q219" s="2"/>
      <c r="R219" s="24"/>
      <c r="S219" s="24"/>
      <c r="T219" s="24"/>
    </row>
    <row r="220" spans="1:20" x14ac:dyDescent="0.25">
      <c r="A220" s="2">
        <v>45089</v>
      </c>
      <c r="B220" s="20">
        <v>3040</v>
      </c>
      <c r="C220" s="20">
        <v>409</v>
      </c>
      <c r="D220" s="20">
        <v>11900</v>
      </c>
      <c r="E220" s="17" t="s">
        <v>92</v>
      </c>
      <c r="F220" s="17" t="s">
        <v>92</v>
      </c>
      <c r="G220" s="17" t="s">
        <v>92</v>
      </c>
      <c r="H220" s="17" t="s">
        <v>92</v>
      </c>
      <c r="I220" s="39"/>
      <c r="J220" s="47">
        <f t="shared" si="4"/>
        <v>-205</v>
      </c>
      <c r="K220" s="49"/>
      <c r="L220" s="17"/>
      <c r="M220" s="27"/>
      <c r="N220" s="49"/>
      <c r="O220" s="27"/>
      <c r="Q220" s="2"/>
      <c r="R220" s="24"/>
      <c r="S220" s="24"/>
      <c r="T220" s="24"/>
    </row>
    <row r="221" spans="1:20" x14ac:dyDescent="0.25">
      <c r="A221" s="2">
        <v>45086</v>
      </c>
      <c r="B221" s="20">
        <v>3000</v>
      </c>
      <c r="C221" s="29">
        <v>409.5</v>
      </c>
      <c r="D221" s="20">
        <v>11580</v>
      </c>
      <c r="E221" s="17" t="s">
        <v>92</v>
      </c>
      <c r="F221" s="17" t="s">
        <v>92</v>
      </c>
      <c r="G221" s="17" t="s">
        <v>92</v>
      </c>
      <c r="H221" s="17" t="s">
        <v>92</v>
      </c>
      <c r="I221" s="39"/>
      <c r="J221" s="47">
        <f t="shared" si="4"/>
        <v>-206</v>
      </c>
      <c r="K221" s="49"/>
      <c r="L221" s="17"/>
      <c r="M221" s="27"/>
      <c r="N221" s="49"/>
      <c r="O221" s="27"/>
      <c r="Q221" s="2"/>
      <c r="R221" s="24"/>
      <c r="S221" s="24"/>
      <c r="T221" s="24"/>
    </row>
    <row r="222" spans="1:20" x14ac:dyDescent="0.25">
      <c r="A222" s="2">
        <v>45085</v>
      </c>
      <c r="B222" s="20">
        <v>3010</v>
      </c>
      <c r="C222" s="20">
        <v>410</v>
      </c>
      <c r="D222" s="20">
        <v>11520</v>
      </c>
      <c r="E222" s="17" t="s">
        <v>92</v>
      </c>
      <c r="F222" s="17" t="s">
        <v>92</v>
      </c>
      <c r="G222" s="17" t="s">
        <v>92</v>
      </c>
      <c r="H222" s="17" t="s">
        <v>92</v>
      </c>
      <c r="I222" s="39"/>
      <c r="J222" s="47">
        <f t="shared" si="4"/>
        <v>-207</v>
      </c>
      <c r="K222" s="49"/>
      <c r="L222" s="17"/>
      <c r="M222" s="27"/>
      <c r="N222" s="49"/>
      <c r="O222" s="27"/>
      <c r="Q222" s="2"/>
      <c r="R222" s="24"/>
      <c r="S222" s="24"/>
      <c r="T222" s="24"/>
    </row>
    <row r="223" spans="1:20" x14ac:dyDescent="0.25">
      <c r="A223" s="2">
        <v>45084</v>
      </c>
      <c r="B223" s="20">
        <v>2986</v>
      </c>
      <c r="C223" s="29">
        <v>410.5</v>
      </c>
      <c r="D223" s="20">
        <v>11150</v>
      </c>
      <c r="E223" s="17" t="s">
        <v>92</v>
      </c>
      <c r="F223" s="17" t="s">
        <v>92</v>
      </c>
      <c r="G223" s="17" t="s">
        <v>92</v>
      </c>
      <c r="H223" s="17" t="s">
        <v>92</v>
      </c>
      <c r="I223" s="39"/>
      <c r="J223" s="47">
        <f t="shared" si="4"/>
        <v>-208</v>
      </c>
      <c r="K223" s="49"/>
      <c r="L223" s="17"/>
      <c r="M223" s="27"/>
      <c r="N223" s="49"/>
      <c r="O223" s="27"/>
      <c r="Q223" s="2"/>
      <c r="R223" s="24"/>
      <c r="S223" s="24"/>
      <c r="T223" s="24"/>
    </row>
    <row r="224" spans="1:20" x14ac:dyDescent="0.25">
      <c r="A224" s="2">
        <v>45083</v>
      </c>
      <c r="B224" s="20">
        <v>2972</v>
      </c>
      <c r="C224" s="20">
        <v>413</v>
      </c>
      <c r="D224" s="20">
        <v>11000</v>
      </c>
      <c r="E224" s="17" t="s">
        <v>92</v>
      </c>
      <c r="F224" s="17" t="s">
        <v>92</v>
      </c>
      <c r="G224" s="17" t="s">
        <v>92</v>
      </c>
      <c r="H224" s="17" t="s">
        <v>92</v>
      </c>
      <c r="I224" s="39"/>
      <c r="J224" s="47">
        <f t="shared" si="4"/>
        <v>-209</v>
      </c>
      <c r="K224" s="49"/>
      <c r="L224" s="17"/>
      <c r="M224" s="27"/>
      <c r="N224" s="49"/>
      <c r="O224" s="27"/>
      <c r="Q224" s="2"/>
      <c r="R224" s="24"/>
      <c r="S224" s="24"/>
      <c r="T224" s="24"/>
    </row>
    <row r="225" spans="1:20" x14ac:dyDescent="0.25">
      <c r="A225" s="2">
        <v>45082</v>
      </c>
      <c r="B225" s="20">
        <v>2956</v>
      </c>
      <c r="C225" s="20">
        <v>411</v>
      </c>
      <c r="D225" s="20">
        <v>11030</v>
      </c>
      <c r="E225" s="17" t="s">
        <v>92</v>
      </c>
      <c r="F225" s="17" t="s">
        <v>92</v>
      </c>
      <c r="G225" s="17" t="s">
        <v>92</v>
      </c>
      <c r="H225" s="17" t="s">
        <v>92</v>
      </c>
      <c r="I225" s="39"/>
      <c r="J225" s="47">
        <f t="shared" si="4"/>
        <v>-210</v>
      </c>
      <c r="K225" s="49"/>
      <c r="L225" s="17"/>
      <c r="M225" s="27"/>
      <c r="N225" s="49"/>
      <c r="O225" s="27"/>
      <c r="Q225" s="2"/>
      <c r="R225" s="24"/>
      <c r="S225" s="24"/>
      <c r="T225" s="24"/>
    </row>
    <row r="226" spans="1:20" x14ac:dyDescent="0.25">
      <c r="A226" s="2">
        <v>45079</v>
      </c>
      <c r="B226" s="20">
        <v>2906</v>
      </c>
      <c r="C226" s="20">
        <v>413</v>
      </c>
      <c r="D226" s="20">
        <v>10970</v>
      </c>
      <c r="E226" s="17" t="s">
        <v>92</v>
      </c>
      <c r="F226" s="17" t="s">
        <v>92</v>
      </c>
      <c r="G226" s="17" t="s">
        <v>92</v>
      </c>
      <c r="H226" s="17" t="s">
        <v>92</v>
      </c>
      <c r="I226" s="39"/>
      <c r="J226" s="47">
        <f t="shared" si="4"/>
        <v>-211</v>
      </c>
      <c r="K226" s="49"/>
      <c r="L226" s="17"/>
      <c r="M226" s="27"/>
      <c r="N226" s="49"/>
      <c r="O226" s="27"/>
      <c r="Q226" s="2"/>
      <c r="R226" s="24"/>
      <c r="S226" s="24"/>
      <c r="T226" s="24"/>
    </row>
    <row r="227" spans="1:20" x14ac:dyDescent="0.25">
      <c r="A227" s="2">
        <v>45078</v>
      </c>
      <c r="B227" s="20">
        <v>2830</v>
      </c>
      <c r="C227" s="20">
        <v>420</v>
      </c>
      <c r="D227" s="20">
        <v>10620</v>
      </c>
      <c r="E227" s="17" t="s">
        <v>92</v>
      </c>
      <c r="F227" s="17" t="s">
        <v>92</v>
      </c>
      <c r="G227" s="17" t="s">
        <v>92</v>
      </c>
      <c r="H227" s="17" t="s">
        <v>92</v>
      </c>
      <c r="I227" s="39"/>
      <c r="J227" s="47">
        <f t="shared" si="4"/>
        <v>-212</v>
      </c>
      <c r="K227" s="49"/>
      <c r="L227" s="17"/>
      <c r="M227" s="27"/>
      <c r="N227" s="49"/>
      <c r="O227" s="27"/>
      <c r="Q227" s="2"/>
      <c r="R227" s="24"/>
      <c r="S227" s="24"/>
      <c r="T227" s="24"/>
    </row>
    <row r="228" spans="1:20" x14ac:dyDescent="0.25">
      <c r="A228" s="2">
        <v>45077</v>
      </c>
      <c r="B228" s="20">
        <v>2820</v>
      </c>
      <c r="C228" s="20">
        <v>418</v>
      </c>
      <c r="D228" s="20">
        <v>10795</v>
      </c>
      <c r="E228" s="17" t="s">
        <v>92</v>
      </c>
      <c r="F228" s="17" t="s">
        <v>92</v>
      </c>
      <c r="G228" s="17" t="s">
        <v>92</v>
      </c>
      <c r="H228" s="17" t="s">
        <v>92</v>
      </c>
      <c r="I228" s="39"/>
      <c r="J228" s="47">
        <f t="shared" si="4"/>
        <v>-213</v>
      </c>
      <c r="K228" s="49"/>
      <c r="L228" s="17"/>
      <c r="M228" s="27"/>
      <c r="N228" s="49"/>
      <c r="O228" s="27"/>
      <c r="Q228" s="2"/>
      <c r="R228" s="24"/>
      <c r="S228" s="24"/>
      <c r="T228" s="24"/>
    </row>
    <row r="229" spans="1:20" x14ac:dyDescent="0.25">
      <c r="A229" s="2">
        <v>45076</v>
      </c>
      <c r="B229" s="20">
        <v>2836</v>
      </c>
      <c r="C229" s="20">
        <v>412</v>
      </c>
      <c r="D229" s="20">
        <v>11040</v>
      </c>
      <c r="E229" s="17" t="s">
        <v>92</v>
      </c>
      <c r="F229" s="17" t="s">
        <v>92</v>
      </c>
      <c r="G229" s="17" t="s">
        <v>92</v>
      </c>
      <c r="H229" s="17" t="s">
        <v>92</v>
      </c>
      <c r="I229" s="39"/>
      <c r="J229" s="47">
        <f t="shared" si="4"/>
        <v>-214</v>
      </c>
      <c r="K229" s="49"/>
      <c r="L229" s="17"/>
      <c r="M229" s="27"/>
      <c r="N229" s="49"/>
      <c r="O229" s="27"/>
      <c r="Q229" s="2"/>
      <c r="R229" s="24"/>
      <c r="S229" s="24"/>
      <c r="T229" s="24"/>
    </row>
    <row r="230" spans="1:20" x14ac:dyDescent="0.25">
      <c r="A230" s="2">
        <v>45072</v>
      </c>
      <c r="B230" s="20">
        <v>2866</v>
      </c>
      <c r="C230" s="20">
        <v>418</v>
      </c>
      <c r="D230" s="20">
        <v>11135</v>
      </c>
      <c r="E230" s="17" t="s">
        <v>92</v>
      </c>
      <c r="F230" s="17" t="s">
        <v>92</v>
      </c>
      <c r="G230" s="17" t="s">
        <v>92</v>
      </c>
      <c r="H230" s="17" t="s">
        <v>92</v>
      </c>
      <c r="I230" s="39"/>
      <c r="J230" s="47">
        <f t="shared" si="4"/>
        <v>-215</v>
      </c>
      <c r="K230" s="49"/>
      <c r="L230" s="17"/>
      <c r="M230" s="27"/>
      <c r="N230" s="49"/>
      <c r="O230" s="27"/>
      <c r="Q230" s="2"/>
      <c r="R230" s="24"/>
      <c r="S230" s="24"/>
      <c r="T230" s="24"/>
    </row>
    <row r="231" spans="1:20" x14ac:dyDescent="0.25">
      <c r="A231" s="2">
        <v>45071</v>
      </c>
      <c r="B231" s="20">
        <v>2830</v>
      </c>
      <c r="C231" s="29">
        <v>422.5</v>
      </c>
      <c r="D231" s="20">
        <v>11120</v>
      </c>
      <c r="E231" s="17" t="s">
        <v>92</v>
      </c>
      <c r="F231" s="17" t="s">
        <v>92</v>
      </c>
      <c r="G231" s="17" t="s">
        <v>92</v>
      </c>
      <c r="H231" s="17" t="s">
        <v>92</v>
      </c>
      <c r="I231" s="39"/>
      <c r="J231" s="47">
        <f t="shared" si="4"/>
        <v>-216</v>
      </c>
      <c r="K231" s="49"/>
      <c r="L231" s="17"/>
      <c r="M231" s="27"/>
      <c r="N231" s="49"/>
      <c r="O231" s="27"/>
      <c r="Q231" s="2"/>
      <c r="R231" s="24"/>
      <c r="S231" s="24"/>
      <c r="T231" s="24"/>
    </row>
    <row r="232" spans="1:20" x14ac:dyDescent="0.25">
      <c r="A232" s="2">
        <v>45070</v>
      </c>
      <c r="B232" s="20">
        <v>2772</v>
      </c>
      <c r="C232" s="29">
        <v>431.5</v>
      </c>
      <c r="D232" s="20">
        <v>11020</v>
      </c>
      <c r="E232" s="17" t="s">
        <v>92</v>
      </c>
      <c r="F232" s="17" t="s">
        <v>92</v>
      </c>
      <c r="G232" s="17" t="s">
        <v>92</v>
      </c>
      <c r="H232" s="17" t="s">
        <v>92</v>
      </c>
      <c r="I232" s="39"/>
      <c r="J232" s="47">
        <f t="shared" si="4"/>
        <v>-217</v>
      </c>
      <c r="K232" s="49"/>
      <c r="L232" s="17"/>
      <c r="M232" s="27"/>
      <c r="N232" s="49"/>
      <c r="O232" s="27"/>
      <c r="Q232" s="2"/>
      <c r="R232" s="24"/>
      <c r="S232" s="24"/>
      <c r="T232" s="24"/>
    </row>
    <row r="233" spans="1:20" x14ac:dyDescent="0.25">
      <c r="A233" s="2">
        <v>45069</v>
      </c>
      <c r="B233" s="20">
        <v>2778</v>
      </c>
      <c r="C233" s="20">
        <v>429</v>
      </c>
      <c r="D233" s="20">
        <v>11150</v>
      </c>
      <c r="E233" s="17" t="s">
        <v>92</v>
      </c>
      <c r="F233" s="17" t="s">
        <v>92</v>
      </c>
      <c r="G233" s="17" t="s">
        <v>92</v>
      </c>
      <c r="H233" s="17" t="s">
        <v>92</v>
      </c>
      <c r="I233" s="39"/>
      <c r="J233" s="47">
        <f t="shared" si="4"/>
        <v>-218</v>
      </c>
      <c r="K233" s="49"/>
      <c r="L233" s="17"/>
      <c r="M233" s="27"/>
      <c r="N233" s="49"/>
      <c r="O233" s="27"/>
      <c r="Q233" s="2"/>
      <c r="R233" s="24"/>
      <c r="S233" s="24"/>
      <c r="T233" s="24"/>
    </row>
    <row r="234" spans="1:20" x14ac:dyDescent="0.25">
      <c r="A234" s="2">
        <v>45068</v>
      </c>
      <c r="B234" s="20">
        <v>2802</v>
      </c>
      <c r="C234" s="29">
        <v>426.5</v>
      </c>
      <c r="D234" s="20">
        <v>11180</v>
      </c>
      <c r="E234" s="17" t="s">
        <v>92</v>
      </c>
      <c r="F234" s="17" t="s">
        <v>92</v>
      </c>
      <c r="G234" s="17" t="s">
        <v>92</v>
      </c>
      <c r="H234" s="17" t="s">
        <v>92</v>
      </c>
      <c r="I234" s="39"/>
      <c r="J234" s="47">
        <f t="shared" si="4"/>
        <v>-219</v>
      </c>
      <c r="K234" s="49"/>
      <c r="L234" s="17"/>
      <c r="M234" s="27"/>
      <c r="N234" s="49"/>
      <c r="O234" s="27"/>
      <c r="Q234" s="2"/>
      <c r="R234" s="24"/>
      <c r="S234" s="24"/>
      <c r="T234" s="24"/>
    </row>
    <row r="235" spans="1:20" x14ac:dyDescent="0.25">
      <c r="A235" s="2">
        <v>45065</v>
      </c>
      <c r="B235" s="20">
        <v>2782</v>
      </c>
      <c r="C235" s="20">
        <v>426</v>
      </c>
      <c r="D235" s="20">
        <v>11300</v>
      </c>
      <c r="E235" s="17" t="s">
        <v>92</v>
      </c>
      <c r="F235" s="17" t="s">
        <v>92</v>
      </c>
      <c r="G235" s="17" t="s">
        <v>92</v>
      </c>
      <c r="H235" s="17" t="s">
        <v>92</v>
      </c>
      <c r="I235" s="39"/>
      <c r="J235" s="47">
        <f t="shared" si="4"/>
        <v>-220</v>
      </c>
      <c r="K235" s="49"/>
      <c r="L235" s="17"/>
      <c r="M235" s="27"/>
      <c r="N235" s="49"/>
      <c r="O235" s="27"/>
      <c r="Q235" s="2"/>
      <c r="R235" s="24"/>
      <c r="S235" s="24"/>
      <c r="T235" s="24"/>
    </row>
    <row r="236" spans="1:20" x14ac:dyDescent="0.25">
      <c r="A236" s="2">
        <v>45064</v>
      </c>
      <c r="B236" s="20">
        <v>2808</v>
      </c>
      <c r="C236" s="20">
        <v>425</v>
      </c>
      <c r="D236" s="20">
        <v>11100</v>
      </c>
      <c r="E236" s="17" t="s">
        <v>92</v>
      </c>
      <c r="F236" s="17" t="s">
        <v>92</v>
      </c>
      <c r="G236" s="17" t="s">
        <v>92</v>
      </c>
      <c r="H236" s="17" t="s">
        <v>92</v>
      </c>
      <c r="I236" s="39"/>
      <c r="J236" s="47">
        <f t="shared" si="4"/>
        <v>-221</v>
      </c>
      <c r="K236" s="49"/>
      <c r="L236" s="17"/>
      <c r="M236" s="27"/>
      <c r="N236" s="49"/>
      <c r="O236" s="27"/>
      <c r="Q236" s="2"/>
      <c r="R236" s="24"/>
      <c r="S236" s="24"/>
      <c r="T236" s="24"/>
    </row>
    <row r="237" spans="1:20" x14ac:dyDescent="0.25">
      <c r="A237" s="2">
        <v>45063</v>
      </c>
      <c r="B237" s="20">
        <v>2784</v>
      </c>
      <c r="C237" s="29">
        <v>424.5</v>
      </c>
      <c r="D237" s="20">
        <v>10870</v>
      </c>
      <c r="E237" s="17" t="s">
        <v>92</v>
      </c>
      <c r="F237" s="17" t="s">
        <v>92</v>
      </c>
      <c r="G237" s="17" t="s">
        <v>92</v>
      </c>
      <c r="H237" s="17" t="s">
        <v>92</v>
      </c>
      <c r="I237" s="39"/>
      <c r="J237" s="47">
        <f t="shared" si="4"/>
        <v>-222</v>
      </c>
      <c r="K237" s="49"/>
      <c r="L237" s="17"/>
      <c r="M237" s="27"/>
      <c r="N237" s="49"/>
      <c r="O237" s="27"/>
      <c r="Q237" s="2"/>
      <c r="R237" s="24"/>
      <c r="S237" s="24"/>
      <c r="T237" s="24"/>
    </row>
    <row r="238" spans="1:20" x14ac:dyDescent="0.25">
      <c r="A238" s="2">
        <v>45062</v>
      </c>
      <c r="B238" s="20">
        <v>2756</v>
      </c>
      <c r="C238" s="29">
        <v>418.5</v>
      </c>
      <c r="D238" s="20">
        <v>10900</v>
      </c>
      <c r="E238" s="17" t="s">
        <v>92</v>
      </c>
      <c r="F238" s="17" t="s">
        <v>92</v>
      </c>
      <c r="G238" s="17" t="s">
        <v>92</v>
      </c>
      <c r="H238" s="17" t="s">
        <v>92</v>
      </c>
      <c r="I238" s="39"/>
      <c r="J238" s="47">
        <f t="shared" si="4"/>
        <v>-223</v>
      </c>
      <c r="K238" s="49"/>
      <c r="L238" s="17"/>
      <c r="M238" s="27"/>
      <c r="N238" s="49"/>
      <c r="O238" s="27"/>
      <c r="Q238" s="2"/>
      <c r="R238" s="24"/>
      <c r="S238" s="24"/>
      <c r="T238" s="24"/>
    </row>
    <row r="239" spans="1:20" x14ac:dyDescent="0.25">
      <c r="A239" s="2">
        <v>45061</v>
      </c>
      <c r="B239" s="20">
        <v>2742</v>
      </c>
      <c r="C239" s="20">
        <v>419</v>
      </c>
      <c r="D239" s="20">
        <v>10885</v>
      </c>
      <c r="E239" s="17" t="s">
        <v>92</v>
      </c>
      <c r="F239" s="17" t="s">
        <v>92</v>
      </c>
      <c r="G239" s="17" t="s">
        <v>92</v>
      </c>
      <c r="H239" s="17" t="s">
        <v>92</v>
      </c>
      <c r="I239" s="39"/>
      <c r="J239" s="47">
        <f t="shared" si="4"/>
        <v>-224</v>
      </c>
      <c r="K239" s="49"/>
      <c r="L239" s="17"/>
      <c r="M239" s="27"/>
      <c r="N239" s="49"/>
      <c r="O239" s="27"/>
      <c r="Q239" s="2"/>
      <c r="R239" s="24"/>
      <c r="S239" s="24"/>
      <c r="T239" s="24"/>
    </row>
    <row r="240" spans="1:20" x14ac:dyDescent="0.25">
      <c r="A240" s="2">
        <v>45058</v>
      </c>
      <c r="B240" s="20">
        <v>2748</v>
      </c>
      <c r="C240" s="20">
        <v>421</v>
      </c>
      <c r="D240" s="20">
        <v>10860</v>
      </c>
      <c r="E240" s="17" t="s">
        <v>92</v>
      </c>
      <c r="F240" s="17" t="s">
        <v>92</v>
      </c>
      <c r="G240" s="17" t="s">
        <v>92</v>
      </c>
      <c r="H240" s="17" t="s">
        <v>92</v>
      </c>
      <c r="I240" s="39"/>
      <c r="J240" s="47">
        <f t="shared" si="4"/>
        <v>-225</v>
      </c>
      <c r="K240" s="49"/>
      <c r="L240" s="17"/>
      <c r="M240" s="27"/>
      <c r="N240" s="49"/>
      <c r="O240" s="27"/>
      <c r="Q240" s="2"/>
      <c r="R240" s="24"/>
      <c r="S240" s="24"/>
      <c r="T240" s="24"/>
    </row>
    <row r="241" spans="1:20" x14ac:dyDescent="0.25">
      <c r="A241" s="2">
        <v>45057</v>
      </c>
      <c r="B241" s="20">
        <v>2766</v>
      </c>
      <c r="C241" s="20">
        <v>416</v>
      </c>
      <c r="D241" s="20">
        <v>10845</v>
      </c>
      <c r="E241" s="17" t="s">
        <v>92</v>
      </c>
      <c r="F241" s="17" t="s">
        <v>92</v>
      </c>
      <c r="G241" s="17" t="s">
        <v>92</v>
      </c>
      <c r="H241" s="17" t="s">
        <v>92</v>
      </c>
      <c r="I241" s="39"/>
      <c r="J241" s="47">
        <f t="shared" si="4"/>
        <v>-226</v>
      </c>
      <c r="K241" s="49"/>
      <c r="L241" s="17"/>
      <c r="M241" s="27"/>
      <c r="N241" s="49"/>
      <c r="O241" s="27"/>
      <c r="Q241" s="2"/>
      <c r="R241" s="24"/>
      <c r="S241" s="24"/>
      <c r="T241" s="24"/>
    </row>
    <row r="242" spans="1:20" x14ac:dyDescent="0.25">
      <c r="A242" s="2">
        <v>45056</v>
      </c>
      <c r="B242" s="20">
        <v>2804</v>
      </c>
      <c r="C242" s="20">
        <v>415</v>
      </c>
      <c r="D242" s="20">
        <v>10760</v>
      </c>
      <c r="E242" s="17" t="s">
        <v>92</v>
      </c>
      <c r="F242" s="17" t="s">
        <v>92</v>
      </c>
      <c r="G242" s="17" t="s">
        <v>92</v>
      </c>
      <c r="H242" s="17" t="s">
        <v>92</v>
      </c>
      <c r="I242" s="39"/>
      <c r="J242" s="47">
        <f t="shared" si="4"/>
        <v>-227</v>
      </c>
      <c r="K242" s="49"/>
      <c r="L242" s="17"/>
      <c r="M242" s="27"/>
      <c r="N242" s="49"/>
      <c r="O242" s="27"/>
      <c r="Q242" s="2"/>
      <c r="R242" s="24"/>
      <c r="S242" s="24"/>
      <c r="T242" s="24"/>
    </row>
    <row r="243" spans="1:20" x14ac:dyDescent="0.25">
      <c r="A243" s="2">
        <v>45055</v>
      </c>
      <c r="B243" s="20">
        <v>2796</v>
      </c>
      <c r="C243" s="29">
        <v>416.5</v>
      </c>
      <c r="D243" s="20">
        <v>11080</v>
      </c>
      <c r="E243" s="17" t="s">
        <v>92</v>
      </c>
      <c r="F243" s="17" t="s">
        <v>92</v>
      </c>
      <c r="G243" s="17" t="s">
        <v>92</v>
      </c>
      <c r="H243" s="17" t="s">
        <v>92</v>
      </c>
      <c r="I243" s="39"/>
      <c r="J243" s="47">
        <f t="shared" si="4"/>
        <v>-228</v>
      </c>
      <c r="K243" s="49"/>
      <c r="L243" s="17"/>
      <c r="M243" s="27"/>
      <c r="N243" s="49"/>
      <c r="O243" s="27"/>
      <c r="Q243" s="2"/>
      <c r="R243" s="24"/>
      <c r="S243" s="24"/>
      <c r="T243" s="24"/>
    </row>
    <row r="244" spans="1:20" x14ac:dyDescent="0.25">
      <c r="A244" s="2">
        <v>45054</v>
      </c>
      <c r="B244" s="20">
        <v>2766</v>
      </c>
      <c r="C244" s="20">
        <v>438</v>
      </c>
      <c r="D244" s="20">
        <v>11195</v>
      </c>
      <c r="E244" s="17" t="s">
        <v>92</v>
      </c>
      <c r="F244" s="17" t="s">
        <v>92</v>
      </c>
      <c r="G244" s="17" t="s">
        <v>92</v>
      </c>
      <c r="H244" s="17" t="s">
        <v>92</v>
      </c>
      <c r="I244" s="39"/>
      <c r="J244" s="47">
        <f t="shared" si="4"/>
        <v>-229</v>
      </c>
      <c r="K244" s="49"/>
      <c r="L244" s="17"/>
      <c r="M244" s="27"/>
      <c r="N244" s="49"/>
      <c r="O244" s="27"/>
      <c r="Q244" s="2"/>
      <c r="R244" s="24"/>
      <c r="S244" s="24"/>
      <c r="T244" s="24"/>
    </row>
    <row r="245" spans="1:20" x14ac:dyDescent="0.25">
      <c r="A245" s="2">
        <v>45051</v>
      </c>
      <c r="B245" s="20">
        <v>2780</v>
      </c>
      <c r="C245" s="20">
        <v>430</v>
      </c>
      <c r="D245" s="20">
        <v>10945</v>
      </c>
      <c r="E245" s="17" t="s">
        <v>92</v>
      </c>
      <c r="F245" s="17" t="s">
        <v>92</v>
      </c>
      <c r="G245" s="17" t="s">
        <v>92</v>
      </c>
      <c r="H245" s="17" t="s">
        <v>92</v>
      </c>
      <c r="I245" s="39"/>
      <c r="J245" s="47">
        <f t="shared" si="4"/>
        <v>-230</v>
      </c>
      <c r="K245" s="49"/>
      <c r="L245" s="17"/>
      <c r="M245" s="27"/>
      <c r="N245" s="49"/>
      <c r="O245" s="27"/>
      <c r="Q245" s="2"/>
      <c r="R245" s="24"/>
      <c r="S245" s="24"/>
      <c r="T245" s="24"/>
    </row>
    <row r="246" spans="1:20" x14ac:dyDescent="0.25">
      <c r="A246" s="2">
        <v>45050</v>
      </c>
      <c r="B246" s="20">
        <v>2800</v>
      </c>
      <c r="C246" s="20">
        <v>425</v>
      </c>
      <c r="D246" s="20">
        <v>10975</v>
      </c>
      <c r="E246" s="17" t="s">
        <v>92</v>
      </c>
      <c r="F246" s="17" t="s">
        <v>92</v>
      </c>
      <c r="G246" s="17" t="s">
        <v>92</v>
      </c>
      <c r="H246" s="17" t="s">
        <v>92</v>
      </c>
      <c r="I246" s="39"/>
      <c r="J246" s="47">
        <f t="shared" si="4"/>
        <v>-231</v>
      </c>
      <c r="K246" s="49"/>
      <c r="L246" s="17"/>
      <c r="M246" s="27"/>
      <c r="N246" s="49"/>
      <c r="O246" s="27"/>
      <c r="Q246" s="2"/>
      <c r="R246" s="24"/>
      <c r="S246" s="24"/>
      <c r="T246" s="24"/>
    </row>
    <row r="247" spans="1:20" x14ac:dyDescent="0.25">
      <c r="A247" s="2">
        <v>45049</v>
      </c>
      <c r="B247" s="20">
        <v>2806</v>
      </c>
      <c r="C247" s="20">
        <v>429</v>
      </c>
      <c r="D247" s="20">
        <v>11090</v>
      </c>
      <c r="E247" s="17" t="s">
        <v>92</v>
      </c>
      <c r="F247" s="17" t="s">
        <v>92</v>
      </c>
      <c r="G247" s="17" t="s">
        <v>92</v>
      </c>
      <c r="H247" s="17" t="s">
        <v>92</v>
      </c>
      <c r="I247" s="39"/>
      <c r="J247" s="47">
        <f t="shared" si="4"/>
        <v>-232</v>
      </c>
      <c r="K247" s="49"/>
      <c r="L247" s="17"/>
      <c r="M247" s="27"/>
      <c r="N247" s="49"/>
      <c r="O247" s="27"/>
      <c r="Q247" s="2"/>
      <c r="R247" s="24"/>
      <c r="S247" s="24"/>
      <c r="T247" s="24"/>
    </row>
    <row r="248" spans="1:20" x14ac:dyDescent="0.25">
      <c r="A248" s="2">
        <v>45048</v>
      </c>
      <c r="B248" s="20">
        <v>2750</v>
      </c>
      <c r="C248" s="20">
        <v>429</v>
      </c>
      <c r="D248" s="20">
        <v>10665</v>
      </c>
      <c r="E248" s="17" t="s">
        <v>92</v>
      </c>
      <c r="F248" s="17" t="s">
        <v>92</v>
      </c>
      <c r="G248" s="17" t="s">
        <v>92</v>
      </c>
      <c r="H248" s="17" t="s">
        <v>92</v>
      </c>
      <c r="I248" s="39"/>
      <c r="J248" s="47">
        <f t="shared" si="4"/>
        <v>-233</v>
      </c>
      <c r="K248" s="49"/>
      <c r="L248" s="17"/>
      <c r="M248" s="27"/>
      <c r="N248" s="49"/>
      <c r="O248" s="27"/>
      <c r="Q248" s="2"/>
      <c r="R248" s="24"/>
      <c r="S248" s="24"/>
      <c r="T248" s="24"/>
    </row>
    <row r="249" spans="1:20" x14ac:dyDescent="0.25">
      <c r="A249" s="2">
        <v>45044</v>
      </c>
      <c r="B249" s="20">
        <v>2742</v>
      </c>
      <c r="C249" s="20">
        <v>426</v>
      </c>
      <c r="D249" s="20">
        <v>10300</v>
      </c>
      <c r="E249" s="17" t="s">
        <v>92</v>
      </c>
      <c r="F249" s="17" t="s">
        <v>92</v>
      </c>
      <c r="G249" s="17" t="s">
        <v>92</v>
      </c>
      <c r="H249" s="17" t="s">
        <v>92</v>
      </c>
      <c r="I249" s="39"/>
      <c r="J249" s="47">
        <f t="shared" si="4"/>
        <v>-234</v>
      </c>
      <c r="K249" s="49"/>
      <c r="L249" s="17"/>
      <c r="M249" s="27"/>
      <c r="N249" s="49"/>
      <c r="O249" s="27"/>
      <c r="Q249" s="2"/>
      <c r="R249" s="24"/>
      <c r="S249" s="24"/>
      <c r="T249" s="24"/>
    </row>
    <row r="250" spans="1:20" x14ac:dyDescent="0.25">
      <c r="A250" s="2">
        <v>45043</v>
      </c>
      <c r="B250" s="20">
        <v>2734</v>
      </c>
      <c r="C250" s="20">
        <v>423</v>
      </c>
      <c r="D250" s="20">
        <v>10170</v>
      </c>
      <c r="E250" s="17" t="s">
        <v>92</v>
      </c>
      <c r="F250" s="17" t="s">
        <v>92</v>
      </c>
      <c r="G250" s="17" t="s">
        <v>92</v>
      </c>
      <c r="H250" s="17" t="s">
        <v>92</v>
      </c>
      <c r="I250" s="39"/>
      <c r="J250" s="47">
        <f t="shared" si="4"/>
        <v>-235</v>
      </c>
      <c r="K250" s="49"/>
      <c r="L250" s="17"/>
      <c r="M250" s="27"/>
      <c r="N250" s="49"/>
      <c r="O250" s="27"/>
      <c r="Q250" s="2"/>
      <c r="R250" s="24"/>
      <c r="S250" s="24"/>
      <c r="T250" s="24"/>
    </row>
    <row r="251" spans="1:20" x14ac:dyDescent="0.25">
      <c r="A251" s="2">
        <v>45042</v>
      </c>
      <c r="B251" s="20">
        <v>2628</v>
      </c>
      <c r="C251" s="20">
        <v>422</v>
      </c>
      <c r="D251" s="20">
        <v>9664</v>
      </c>
      <c r="E251" s="17" t="s">
        <v>92</v>
      </c>
      <c r="F251" s="17" t="s">
        <v>92</v>
      </c>
      <c r="G251" s="17" t="s">
        <v>92</v>
      </c>
      <c r="H251" s="17" t="s">
        <v>92</v>
      </c>
      <c r="I251" s="39"/>
      <c r="J251" s="47">
        <f t="shared" si="4"/>
        <v>-236</v>
      </c>
      <c r="K251" s="49"/>
      <c r="L251" s="17"/>
      <c r="M251" s="27"/>
      <c r="N251" s="49"/>
      <c r="O251" s="37"/>
      <c r="Q251" s="2"/>
      <c r="R251" s="24"/>
      <c r="S251" s="24"/>
      <c r="T251" s="24"/>
    </row>
    <row r="252" spans="1:20" x14ac:dyDescent="0.25">
      <c r="A252" s="2">
        <v>45041</v>
      </c>
      <c r="B252" s="20">
        <v>2616</v>
      </c>
      <c r="C252" s="20">
        <v>420</v>
      </c>
      <c r="D252" s="20">
        <v>9790</v>
      </c>
      <c r="E252" s="17" t="s">
        <v>92</v>
      </c>
      <c r="F252" s="17" t="s">
        <v>92</v>
      </c>
      <c r="G252" s="17" t="s">
        <v>92</v>
      </c>
      <c r="H252" s="17" t="s">
        <v>92</v>
      </c>
      <c r="I252" s="39"/>
      <c r="J252" s="47">
        <f t="shared" si="4"/>
        <v>-237</v>
      </c>
      <c r="K252" s="49"/>
      <c r="L252" s="17"/>
      <c r="M252" s="27"/>
      <c r="N252" s="49"/>
      <c r="O252" s="27"/>
      <c r="Q252" s="2"/>
      <c r="R252" s="24"/>
      <c r="S252" s="24"/>
      <c r="T252" s="24"/>
    </row>
    <row r="253" spans="1:20" x14ac:dyDescent="0.25">
      <c r="A253" s="2">
        <v>45040</v>
      </c>
      <c r="B253" s="20">
        <v>2648</v>
      </c>
      <c r="C253" s="20">
        <v>425</v>
      </c>
      <c r="D253" s="20">
        <v>9874</v>
      </c>
      <c r="E253" s="17" t="s">
        <v>92</v>
      </c>
      <c r="F253" s="17" t="s">
        <v>92</v>
      </c>
      <c r="G253" s="17" t="s">
        <v>92</v>
      </c>
      <c r="H253" s="17" t="s">
        <v>92</v>
      </c>
      <c r="I253" s="39"/>
      <c r="J253" s="47">
        <f t="shared" si="4"/>
        <v>-238</v>
      </c>
      <c r="K253" s="49"/>
      <c r="L253" s="17"/>
      <c r="M253" s="27"/>
      <c r="N253" s="49"/>
      <c r="O253" s="27"/>
      <c r="Q253" s="2"/>
      <c r="R253" s="24"/>
      <c r="S253" s="24"/>
      <c r="T253" s="24"/>
    </row>
    <row r="254" spans="1:20" x14ac:dyDescent="0.25">
      <c r="A254" s="2">
        <v>45037</v>
      </c>
      <c r="B254" s="20">
        <v>2708</v>
      </c>
      <c r="C254" s="20">
        <v>423</v>
      </c>
      <c r="D254" s="20">
        <v>10030</v>
      </c>
      <c r="E254" s="17" t="s">
        <v>92</v>
      </c>
      <c r="F254" s="17" t="s">
        <v>92</v>
      </c>
      <c r="G254" s="17" t="s">
        <v>92</v>
      </c>
      <c r="H254" s="17" t="s">
        <v>92</v>
      </c>
      <c r="I254" s="39"/>
      <c r="J254" s="47">
        <f t="shared" si="4"/>
        <v>-239</v>
      </c>
      <c r="K254" s="49"/>
      <c r="L254" s="17"/>
      <c r="M254" s="27"/>
      <c r="N254" s="49"/>
      <c r="O254" s="27"/>
      <c r="Q254" s="2"/>
      <c r="R254" s="24"/>
      <c r="S254" s="24"/>
      <c r="T254" s="24"/>
    </row>
    <row r="255" spans="1:20" x14ac:dyDescent="0.25">
      <c r="A255" s="2">
        <v>45036</v>
      </c>
      <c r="B255" s="20">
        <v>2680</v>
      </c>
      <c r="C255" s="20">
        <v>416</v>
      </c>
      <c r="D255" s="20">
        <v>9986</v>
      </c>
      <c r="E255" s="17" t="s">
        <v>92</v>
      </c>
      <c r="F255" s="17" t="s">
        <v>92</v>
      </c>
      <c r="G255" s="17" t="s">
        <v>92</v>
      </c>
      <c r="H255" s="17" t="s">
        <v>92</v>
      </c>
      <c r="I255" s="39"/>
      <c r="J255" s="47">
        <f t="shared" si="4"/>
        <v>-240</v>
      </c>
      <c r="K255" s="49"/>
      <c r="L255" s="17"/>
      <c r="M255" s="27"/>
      <c r="N255" s="49"/>
      <c r="O255" s="27"/>
      <c r="Q255" s="2"/>
      <c r="R255" s="24"/>
      <c r="S255" s="24"/>
      <c r="T255" s="24"/>
    </row>
    <row r="256" spans="1:20" x14ac:dyDescent="0.25">
      <c r="A256" s="2">
        <v>45035</v>
      </c>
      <c r="B256" s="20">
        <v>2670</v>
      </c>
      <c r="C256" s="20">
        <v>417</v>
      </c>
      <c r="D256" s="20">
        <v>9874</v>
      </c>
      <c r="E256" s="17" t="s">
        <v>92</v>
      </c>
      <c r="F256" s="17" t="s">
        <v>92</v>
      </c>
      <c r="G256" s="17" t="s">
        <v>92</v>
      </c>
      <c r="H256" s="17" t="s">
        <v>92</v>
      </c>
      <c r="I256" s="39"/>
      <c r="J256" s="47">
        <f t="shared" si="4"/>
        <v>-241</v>
      </c>
      <c r="K256" s="49"/>
      <c r="L256" s="17"/>
      <c r="M256" s="27"/>
      <c r="N256" s="49"/>
      <c r="O256" s="27"/>
      <c r="Q256" s="2"/>
      <c r="R256" s="24"/>
      <c r="S256" s="24"/>
      <c r="T256" s="24"/>
    </row>
    <row r="257" spans="1:20" x14ac:dyDescent="0.25">
      <c r="A257" s="2">
        <v>45034</v>
      </c>
      <c r="B257" s="20">
        <v>2714</v>
      </c>
      <c r="C257" s="20">
        <v>418</v>
      </c>
      <c r="D257" s="20">
        <v>9900</v>
      </c>
      <c r="E257" s="17" t="s">
        <v>92</v>
      </c>
      <c r="F257" s="17" t="s">
        <v>92</v>
      </c>
      <c r="G257" s="17" t="s">
        <v>92</v>
      </c>
      <c r="H257" s="17" t="s">
        <v>92</v>
      </c>
      <c r="I257" s="39"/>
      <c r="J257" s="47">
        <f t="shared" si="4"/>
        <v>-242</v>
      </c>
      <c r="K257" s="49"/>
      <c r="L257" s="17"/>
      <c r="M257" s="27"/>
      <c r="N257" s="49"/>
      <c r="O257" s="27"/>
      <c r="Q257" s="2"/>
      <c r="R257" s="24"/>
      <c r="S257" s="24"/>
      <c r="T257" s="24"/>
    </row>
    <row r="258" spans="1:20" x14ac:dyDescent="0.25">
      <c r="A258" s="2">
        <v>45033</v>
      </c>
      <c r="B258" s="20">
        <v>2714</v>
      </c>
      <c r="C258" s="20">
        <v>415</v>
      </c>
      <c r="D258" s="20">
        <v>9924</v>
      </c>
      <c r="E258" s="17" t="s">
        <v>92</v>
      </c>
      <c r="F258" s="17" t="s">
        <v>92</v>
      </c>
      <c r="G258" s="17" t="s">
        <v>92</v>
      </c>
      <c r="H258" s="17" t="s">
        <v>92</v>
      </c>
      <c r="I258" s="39"/>
      <c r="J258" s="47">
        <f t="shared" si="4"/>
        <v>-243</v>
      </c>
      <c r="K258" s="49"/>
      <c r="L258" s="17"/>
      <c r="M258" s="27"/>
      <c r="N258" s="49"/>
      <c r="O258" s="27"/>
      <c r="Q258" s="2"/>
      <c r="R258" s="24"/>
      <c r="S258" s="24"/>
      <c r="T258" s="24"/>
    </row>
    <row r="259" spans="1:20" x14ac:dyDescent="0.25">
      <c r="A259" s="2">
        <v>45030</v>
      </c>
      <c r="B259" s="20">
        <v>2698</v>
      </c>
      <c r="C259" s="20">
        <v>408</v>
      </c>
      <c r="D259" s="20">
        <v>9830</v>
      </c>
      <c r="E259" s="17" t="s">
        <v>92</v>
      </c>
      <c r="F259" s="17" t="s">
        <v>92</v>
      </c>
      <c r="G259" s="17" t="s">
        <v>92</v>
      </c>
      <c r="H259" s="17" t="s">
        <v>92</v>
      </c>
      <c r="I259" s="39"/>
      <c r="J259" s="47">
        <f t="shared" si="4"/>
        <v>-244</v>
      </c>
      <c r="K259" s="49"/>
      <c r="L259" s="17"/>
      <c r="M259" s="27"/>
      <c r="N259" s="49"/>
      <c r="O259" s="27"/>
      <c r="Q259" s="2"/>
      <c r="R259" s="24"/>
      <c r="S259" s="24"/>
      <c r="T259" s="24"/>
    </row>
    <row r="260" spans="1:20" x14ac:dyDescent="0.25">
      <c r="A260" s="2">
        <v>45029</v>
      </c>
      <c r="B260" s="20">
        <v>2612</v>
      </c>
      <c r="C260" s="20">
        <v>405</v>
      </c>
      <c r="D260" s="20">
        <v>9700</v>
      </c>
      <c r="E260" s="17" t="s">
        <v>92</v>
      </c>
      <c r="F260" s="17" t="s">
        <v>92</v>
      </c>
      <c r="G260" s="17" t="s">
        <v>92</v>
      </c>
      <c r="H260" s="17" t="s">
        <v>92</v>
      </c>
      <c r="I260" s="39"/>
      <c r="J260" s="47">
        <f t="shared" si="4"/>
        <v>-245</v>
      </c>
      <c r="K260" s="49"/>
      <c r="L260" s="17"/>
      <c r="M260" s="27"/>
      <c r="N260" s="49"/>
      <c r="O260" s="27"/>
      <c r="Q260" s="2"/>
      <c r="R260" s="24"/>
      <c r="S260" s="24"/>
      <c r="T260" s="24"/>
    </row>
    <row r="261" spans="1:20" x14ac:dyDescent="0.25">
      <c r="A261" s="2">
        <v>45028</v>
      </c>
      <c r="B261" s="20">
        <v>2658</v>
      </c>
      <c r="C261" s="20">
        <v>400</v>
      </c>
      <c r="D261" s="20">
        <v>9868</v>
      </c>
      <c r="E261" s="17" t="s">
        <v>92</v>
      </c>
      <c r="F261" s="17" t="s">
        <v>92</v>
      </c>
      <c r="G261" s="17" t="s">
        <v>92</v>
      </c>
      <c r="H261" s="17" t="s">
        <v>92</v>
      </c>
      <c r="I261" s="39"/>
      <c r="J261" s="47">
        <f t="shared" si="4"/>
        <v>-246</v>
      </c>
      <c r="K261" s="49"/>
      <c r="L261" s="17"/>
      <c r="M261" s="27"/>
      <c r="N261" s="49"/>
      <c r="O261" s="27"/>
      <c r="Q261" s="2"/>
      <c r="R261" s="24"/>
      <c r="S261" s="24"/>
      <c r="T261" s="24"/>
    </row>
    <row r="262" spans="1:20" x14ac:dyDescent="0.25">
      <c r="A262" s="2">
        <v>45027</v>
      </c>
      <c r="B262" s="20">
        <v>2710</v>
      </c>
      <c r="C262" s="20">
        <v>404</v>
      </c>
      <c r="D262" s="20">
        <v>10225</v>
      </c>
      <c r="E262" s="17" t="s">
        <v>92</v>
      </c>
      <c r="F262" s="17" t="s">
        <v>92</v>
      </c>
      <c r="G262" s="17" t="s">
        <v>92</v>
      </c>
      <c r="H262" s="17" t="s">
        <v>92</v>
      </c>
      <c r="I262" s="39"/>
      <c r="J262" s="47">
        <f t="shared" si="4"/>
        <v>-247</v>
      </c>
      <c r="K262" s="49"/>
      <c r="L262" s="17"/>
      <c r="M262" s="27"/>
      <c r="N262" s="49"/>
      <c r="O262" s="27"/>
      <c r="Q262" s="2"/>
      <c r="R262" s="24"/>
      <c r="S262" s="24"/>
      <c r="T262" s="24"/>
    </row>
    <row r="263" spans="1:20" x14ac:dyDescent="0.25">
      <c r="A263" s="2">
        <v>45022</v>
      </c>
      <c r="B263" s="20">
        <v>2714</v>
      </c>
      <c r="C263" s="29">
        <v>400.5</v>
      </c>
      <c r="D263" s="20">
        <v>10210</v>
      </c>
      <c r="E263" s="17" t="s">
        <v>92</v>
      </c>
      <c r="F263" s="17" t="s">
        <v>92</v>
      </c>
      <c r="G263" s="17" t="s">
        <v>92</v>
      </c>
      <c r="H263" s="17" t="s">
        <v>92</v>
      </c>
      <c r="I263" s="39"/>
      <c r="J263" s="47">
        <f t="shared" si="4"/>
        <v>-248</v>
      </c>
      <c r="K263" s="49"/>
      <c r="L263" s="17"/>
      <c r="M263" s="27"/>
      <c r="N263" s="49"/>
      <c r="O263" s="27"/>
      <c r="Q263" s="2"/>
      <c r="R263" s="24"/>
      <c r="S263" s="24"/>
      <c r="T263" s="24"/>
    </row>
    <row r="264" spans="1:20" x14ac:dyDescent="0.25">
      <c r="A264" s="2">
        <v>45021</v>
      </c>
      <c r="B264" s="20">
        <v>2704</v>
      </c>
      <c r="C264" s="20">
        <v>400</v>
      </c>
      <c r="D264" s="20">
        <v>10190</v>
      </c>
      <c r="E264" s="17" t="s">
        <v>92</v>
      </c>
      <c r="F264" s="17" t="s">
        <v>92</v>
      </c>
      <c r="G264" s="17" t="s">
        <v>92</v>
      </c>
      <c r="H264" s="17" t="s">
        <v>92</v>
      </c>
      <c r="I264" s="39"/>
      <c r="J264" s="47">
        <f t="shared" si="4"/>
        <v>-249</v>
      </c>
      <c r="K264" s="49"/>
      <c r="L264" s="17"/>
      <c r="M264" s="27"/>
      <c r="N264" s="49"/>
      <c r="O264" s="27"/>
      <c r="Q264" s="2"/>
      <c r="R264" s="24"/>
      <c r="S264" s="24"/>
      <c r="T264" s="24"/>
    </row>
    <row r="265" spans="1:20" x14ac:dyDescent="0.25">
      <c r="A265" s="2">
        <v>45020</v>
      </c>
      <c r="B265" s="20">
        <v>2678</v>
      </c>
      <c r="C265" s="20">
        <v>400</v>
      </c>
      <c r="D265" s="20">
        <v>10215</v>
      </c>
      <c r="E265" s="17" t="s">
        <v>92</v>
      </c>
      <c r="F265" s="17" t="s">
        <v>92</v>
      </c>
      <c r="G265" s="17" t="s">
        <v>92</v>
      </c>
      <c r="H265" s="17" t="s">
        <v>92</v>
      </c>
      <c r="I265" s="39"/>
      <c r="J265" s="47">
        <f t="shared" si="4"/>
        <v>-250</v>
      </c>
      <c r="K265" s="49"/>
      <c r="L265" s="17"/>
      <c r="M265" s="27"/>
      <c r="N265" s="49"/>
      <c r="O265" s="27"/>
      <c r="Q265" s="2"/>
      <c r="R265" s="24"/>
      <c r="S265" s="24"/>
      <c r="T265" s="24"/>
    </row>
    <row r="266" spans="1:20" x14ac:dyDescent="0.25">
      <c r="A266" s="2">
        <v>45019</v>
      </c>
      <c r="B266" s="20">
        <v>2602</v>
      </c>
      <c r="C266" s="20">
        <v>404</v>
      </c>
      <c r="D266" s="20">
        <v>10120</v>
      </c>
      <c r="E266" s="17" t="s">
        <v>92</v>
      </c>
      <c r="F266" s="17" t="s">
        <v>92</v>
      </c>
      <c r="G266" s="17" t="s">
        <v>92</v>
      </c>
      <c r="H266" s="17" t="s">
        <v>92</v>
      </c>
      <c r="I266" s="39"/>
      <c r="J266" s="47">
        <f t="shared" si="4"/>
        <v>-251</v>
      </c>
      <c r="K266" s="49"/>
      <c r="L266" s="17"/>
      <c r="M266" s="27"/>
      <c r="N266" s="49"/>
      <c r="O266" s="27"/>
      <c r="Q266" s="2"/>
      <c r="R266" s="24"/>
      <c r="S266" s="24"/>
      <c r="T266" s="24"/>
    </row>
    <row r="267" spans="1:20" x14ac:dyDescent="0.25">
      <c r="A267" s="2">
        <v>45016</v>
      </c>
      <c r="B267" s="20">
        <v>2564</v>
      </c>
      <c r="C267" s="29">
        <v>400.5</v>
      </c>
      <c r="D267" s="20">
        <v>9982</v>
      </c>
      <c r="E267" s="17" t="s">
        <v>92</v>
      </c>
      <c r="F267" s="17" t="s">
        <v>92</v>
      </c>
      <c r="G267" s="17" t="s">
        <v>92</v>
      </c>
      <c r="H267" s="17" t="s">
        <v>92</v>
      </c>
      <c r="I267" s="39"/>
      <c r="J267" s="47">
        <f t="shared" si="4"/>
        <v>-252</v>
      </c>
      <c r="K267" s="49"/>
      <c r="L267" s="17"/>
      <c r="M267" s="27"/>
      <c r="N267" s="49"/>
      <c r="O267" s="27"/>
      <c r="Q267" s="2"/>
      <c r="R267" s="24"/>
      <c r="S267" s="24"/>
      <c r="T267" s="24"/>
    </row>
    <row r="268" spans="1:20" x14ac:dyDescent="0.25">
      <c r="A268" s="2">
        <v>45015</v>
      </c>
      <c r="B268" s="20">
        <v>2500</v>
      </c>
      <c r="C268" s="20">
        <v>404</v>
      </c>
      <c r="D268" s="20">
        <v>9796</v>
      </c>
      <c r="E268" s="17" t="s">
        <v>92</v>
      </c>
      <c r="F268" s="17" t="s">
        <v>92</v>
      </c>
      <c r="G268" s="17" t="s">
        <v>92</v>
      </c>
      <c r="H268" s="17" t="s">
        <v>92</v>
      </c>
      <c r="I268" s="39"/>
      <c r="J268" s="47">
        <f t="shared" si="4"/>
        <v>-253</v>
      </c>
      <c r="K268" s="49"/>
      <c r="L268" s="17"/>
      <c r="M268" s="27"/>
      <c r="N268" s="49"/>
      <c r="O268" s="27"/>
      <c r="Q268" s="2"/>
      <c r="R268" s="24"/>
      <c r="S268" s="24"/>
      <c r="T268" s="24"/>
    </row>
    <row r="269" spans="1:20" x14ac:dyDescent="0.25">
      <c r="A269" s="2">
        <v>45014</v>
      </c>
      <c r="B269" s="20">
        <v>2554</v>
      </c>
      <c r="C269" s="20">
        <v>396</v>
      </c>
      <c r="D269" s="20">
        <v>9916</v>
      </c>
      <c r="E269" s="17" t="s">
        <v>92</v>
      </c>
      <c r="F269" s="17" t="s">
        <v>92</v>
      </c>
      <c r="G269" s="17" t="s">
        <v>92</v>
      </c>
      <c r="H269" s="17" t="s">
        <v>92</v>
      </c>
      <c r="I269" s="39"/>
      <c r="J269" s="47">
        <f t="shared" si="4"/>
        <v>-254</v>
      </c>
      <c r="K269" s="49"/>
      <c r="L269" s="17"/>
      <c r="M269" s="27"/>
      <c r="N269" s="49"/>
      <c r="O269" s="27"/>
      <c r="Q269" s="2"/>
      <c r="R269" s="24"/>
      <c r="S269" s="24"/>
      <c r="T269" s="24"/>
    </row>
    <row r="270" spans="1:20" x14ac:dyDescent="0.25">
      <c r="A270" s="2">
        <v>45013</v>
      </c>
      <c r="B270" s="20">
        <v>2542</v>
      </c>
      <c r="C270" s="20">
        <v>393</v>
      </c>
      <c r="D270" s="20">
        <v>9800</v>
      </c>
      <c r="E270" s="17" t="s">
        <v>92</v>
      </c>
      <c r="F270" s="17" t="s">
        <v>92</v>
      </c>
      <c r="G270" s="17" t="s">
        <v>92</v>
      </c>
      <c r="H270" s="17" t="s">
        <v>92</v>
      </c>
      <c r="I270" s="39"/>
      <c r="J270" s="47">
        <f t="shared" si="4"/>
        <v>-255</v>
      </c>
      <c r="K270" s="49"/>
      <c r="L270" s="17"/>
      <c r="M270" s="27"/>
      <c r="N270" s="49"/>
      <c r="O270" s="27"/>
      <c r="Q270" s="2"/>
      <c r="R270" s="24"/>
      <c r="S270" s="24"/>
      <c r="T270" s="24"/>
    </row>
    <row r="271" spans="1:20" x14ac:dyDescent="0.25">
      <c r="A271" s="2">
        <v>45012</v>
      </c>
      <c r="B271" s="20">
        <v>2492</v>
      </c>
      <c r="C271" s="20">
        <v>387</v>
      </c>
      <c r="D271" s="20">
        <v>9994</v>
      </c>
      <c r="E271" s="17" t="s">
        <v>92</v>
      </c>
      <c r="F271" s="17" t="s">
        <v>92</v>
      </c>
      <c r="G271" s="17" t="s">
        <v>92</v>
      </c>
      <c r="H271" s="17" t="s">
        <v>92</v>
      </c>
      <c r="I271" s="39"/>
      <c r="J271" s="47">
        <f t="shared" si="4"/>
        <v>-256</v>
      </c>
      <c r="K271" s="49"/>
      <c r="L271" s="17"/>
      <c r="M271" s="27"/>
      <c r="N271" s="49"/>
      <c r="O271" s="27"/>
      <c r="Q271" s="2"/>
      <c r="R271" s="24"/>
      <c r="S271" s="24"/>
      <c r="T271" s="24"/>
    </row>
    <row r="272" spans="1:20" x14ac:dyDescent="0.25">
      <c r="A272" s="2">
        <v>45009</v>
      </c>
      <c r="B272" s="20">
        <v>2474</v>
      </c>
      <c r="C272" s="20">
        <v>383</v>
      </c>
      <c r="D272" s="20">
        <v>9844</v>
      </c>
      <c r="E272" s="17" t="s">
        <v>92</v>
      </c>
      <c r="F272" s="17" t="s">
        <v>92</v>
      </c>
      <c r="G272" s="17" t="s">
        <v>92</v>
      </c>
      <c r="H272" s="17" t="s">
        <v>92</v>
      </c>
      <c r="I272" s="39"/>
      <c r="J272" s="47">
        <f t="shared" si="4"/>
        <v>-257</v>
      </c>
      <c r="K272" s="49"/>
      <c r="L272" s="17"/>
      <c r="M272" s="27"/>
      <c r="N272" s="49"/>
      <c r="O272" s="27"/>
      <c r="Q272" s="2"/>
      <c r="R272" s="24"/>
      <c r="S272" s="24"/>
      <c r="T272" s="24"/>
    </row>
    <row r="273" spans="1:20" x14ac:dyDescent="0.25">
      <c r="A273" s="2">
        <v>45008</v>
      </c>
      <c r="B273" s="20">
        <v>2546</v>
      </c>
      <c r="C273" s="20">
        <v>388</v>
      </c>
      <c r="D273" s="20">
        <v>10400</v>
      </c>
      <c r="E273" s="17" t="s">
        <v>92</v>
      </c>
      <c r="F273" s="17" t="s">
        <v>92</v>
      </c>
      <c r="G273" s="17" t="s">
        <v>92</v>
      </c>
      <c r="H273" s="17" t="s">
        <v>92</v>
      </c>
      <c r="I273" s="39"/>
      <c r="J273" s="47">
        <f t="shared" ref="J273:J336" si="5">+J272-1</f>
        <v>-258</v>
      </c>
      <c r="K273" s="49"/>
      <c r="L273" s="17"/>
      <c r="M273" s="27"/>
      <c r="N273" s="49"/>
      <c r="O273" s="27"/>
      <c r="Q273" s="2"/>
      <c r="R273" s="24"/>
      <c r="S273" s="24"/>
      <c r="T273" s="24"/>
    </row>
    <row r="274" spans="1:20" x14ac:dyDescent="0.25">
      <c r="A274" s="2">
        <v>45007</v>
      </c>
      <c r="B274" s="20">
        <v>2460</v>
      </c>
      <c r="C274" s="29">
        <v>386.5</v>
      </c>
      <c r="D274" s="20">
        <v>10060</v>
      </c>
      <c r="E274" s="17" t="s">
        <v>92</v>
      </c>
      <c r="F274" s="17" t="s">
        <v>92</v>
      </c>
      <c r="G274" s="17" t="s">
        <v>92</v>
      </c>
      <c r="H274" s="17" t="s">
        <v>92</v>
      </c>
      <c r="I274" s="39"/>
      <c r="J274" s="47">
        <f t="shared" si="5"/>
        <v>-259</v>
      </c>
      <c r="K274" s="49"/>
      <c r="L274" s="17"/>
      <c r="M274" s="27"/>
      <c r="N274" s="49"/>
      <c r="O274" s="27"/>
      <c r="Q274" s="2"/>
      <c r="R274" s="24"/>
      <c r="S274" s="24"/>
      <c r="T274" s="24"/>
    </row>
    <row r="275" spans="1:20" x14ac:dyDescent="0.25">
      <c r="A275" s="2">
        <v>45006</v>
      </c>
      <c r="B275" s="20">
        <v>2500</v>
      </c>
      <c r="C275" s="20">
        <v>383</v>
      </c>
      <c r="D275" s="20">
        <v>9908</v>
      </c>
      <c r="E275" s="17" t="s">
        <v>92</v>
      </c>
      <c r="F275" s="17" t="s">
        <v>92</v>
      </c>
      <c r="G275" s="17" t="s">
        <v>92</v>
      </c>
      <c r="H275" s="17" t="s">
        <v>92</v>
      </c>
      <c r="I275" s="39"/>
      <c r="J275" s="47">
        <f t="shared" si="5"/>
        <v>-260</v>
      </c>
      <c r="K275" s="49"/>
      <c r="L275" s="17"/>
      <c r="M275" s="27"/>
      <c r="N275" s="49"/>
      <c r="O275" s="27"/>
      <c r="Q275" s="2"/>
      <c r="R275" s="24"/>
      <c r="S275" s="24"/>
      <c r="T275" s="24"/>
    </row>
    <row r="276" spans="1:20" x14ac:dyDescent="0.25">
      <c r="A276" s="2">
        <v>45005</v>
      </c>
      <c r="B276" s="20">
        <v>2500</v>
      </c>
      <c r="C276" s="20">
        <v>382</v>
      </c>
      <c r="D276" s="20">
        <v>9482</v>
      </c>
      <c r="E276" s="17" t="s">
        <v>92</v>
      </c>
      <c r="F276" s="17" t="s">
        <v>92</v>
      </c>
      <c r="G276" s="17" t="s">
        <v>92</v>
      </c>
      <c r="H276" s="17" t="s">
        <v>92</v>
      </c>
      <c r="I276" s="39"/>
      <c r="J276" s="47">
        <f t="shared" si="5"/>
        <v>-261</v>
      </c>
      <c r="K276" s="49"/>
      <c r="L276" s="17"/>
      <c r="M276" s="27"/>
      <c r="N276" s="49"/>
      <c r="O276" s="27"/>
      <c r="Q276" s="2"/>
      <c r="R276" s="24"/>
      <c r="S276" s="24"/>
      <c r="T276" s="24"/>
    </row>
    <row r="277" spans="1:20" x14ac:dyDescent="0.25">
      <c r="A277" s="2">
        <v>45002</v>
      </c>
      <c r="B277" s="20">
        <v>2418</v>
      </c>
      <c r="C277" s="20">
        <v>385</v>
      </c>
      <c r="D277" s="20">
        <v>9490</v>
      </c>
      <c r="E277" s="17" t="s">
        <v>92</v>
      </c>
      <c r="F277" s="17" t="s">
        <v>92</v>
      </c>
      <c r="G277" s="17" t="s">
        <v>92</v>
      </c>
      <c r="H277" s="17" t="s">
        <v>92</v>
      </c>
      <c r="I277" s="39"/>
      <c r="J277" s="47">
        <f t="shared" si="5"/>
        <v>-262</v>
      </c>
      <c r="K277" s="49"/>
      <c r="L277" s="17"/>
      <c r="M277" s="27"/>
      <c r="N277" s="49"/>
      <c r="O277" s="27"/>
      <c r="Q277" s="2"/>
      <c r="R277" s="24"/>
      <c r="S277" s="24"/>
      <c r="T277" s="24"/>
    </row>
    <row r="278" spans="1:20" x14ac:dyDescent="0.25">
      <c r="A278" s="2">
        <v>45001</v>
      </c>
      <c r="B278" s="20">
        <v>2398</v>
      </c>
      <c r="C278" s="20">
        <v>382</v>
      </c>
      <c r="D278" s="20">
        <v>9496</v>
      </c>
      <c r="E278" s="17" t="s">
        <v>92</v>
      </c>
      <c r="F278" s="17" t="s">
        <v>92</v>
      </c>
      <c r="G278" s="17" t="s">
        <v>92</v>
      </c>
      <c r="H278" s="17" t="s">
        <v>92</v>
      </c>
      <c r="I278" s="39"/>
      <c r="J278" s="47">
        <f t="shared" si="5"/>
        <v>-263</v>
      </c>
      <c r="K278" s="49"/>
      <c r="L278" s="17"/>
      <c r="M278" s="27"/>
      <c r="N278" s="49"/>
      <c r="O278" s="27"/>
      <c r="Q278" s="2"/>
      <c r="R278" s="24"/>
      <c r="S278" s="24"/>
      <c r="T278" s="24"/>
    </row>
    <row r="279" spans="1:20" x14ac:dyDescent="0.25">
      <c r="A279" s="2">
        <v>44999</v>
      </c>
      <c r="B279" s="20">
        <v>2460</v>
      </c>
      <c r="C279" s="20">
        <v>387</v>
      </c>
      <c r="D279" s="20">
        <v>9900</v>
      </c>
      <c r="E279" s="17" t="s">
        <v>92</v>
      </c>
      <c r="F279" s="17" t="s">
        <v>92</v>
      </c>
      <c r="G279" s="17" t="s">
        <v>92</v>
      </c>
      <c r="H279" s="17" t="s">
        <v>92</v>
      </c>
      <c r="I279" s="39"/>
      <c r="J279" s="47">
        <f t="shared" si="5"/>
        <v>-264</v>
      </c>
      <c r="K279" s="49"/>
      <c r="L279" s="17"/>
      <c r="M279" s="27"/>
      <c r="N279" s="49"/>
      <c r="O279" s="27"/>
      <c r="Q279" s="2"/>
      <c r="R279" s="24"/>
      <c r="S279" s="24"/>
      <c r="T279" s="24"/>
    </row>
    <row r="280" spans="1:20" x14ac:dyDescent="0.25">
      <c r="A280" s="2">
        <v>44998</v>
      </c>
      <c r="B280" s="20">
        <v>2538</v>
      </c>
      <c r="C280" s="20">
        <v>388</v>
      </c>
      <c r="D280" s="20">
        <v>9700</v>
      </c>
      <c r="E280" s="17" t="s">
        <v>92</v>
      </c>
      <c r="F280" s="17" t="s">
        <v>92</v>
      </c>
      <c r="G280" s="17" t="s">
        <v>92</v>
      </c>
      <c r="H280" s="17" t="s">
        <v>92</v>
      </c>
      <c r="I280" s="39"/>
      <c r="J280" s="47">
        <f t="shared" si="5"/>
        <v>-265</v>
      </c>
      <c r="K280" s="49"/>
      <c r="L280" s="17"/>
      <c r="M280" s="27"/>
      <c r="N280" s="49"/>
      <c r="O280" s="27"/>
      <c r="Q280" s="2"/>
      <c r="R280" s="24"/>
      <c r="S280" s="24"/>
      <c r="T280" s="24"/>
    </row>
    <row r="281" spans="1:20" x14ac:dyDescent="0.25">
      <c r="A281" s="2">
        <v>44995</v>
      </c>
      <c r="B281" s="20">
        <v>2564</v>
      </c>
      <c r="C281" s="20">
        <v>392</v>
      </c>
      <c r="D281" s="20">
        <v>10250</v>
      </c>
      <c r="E281" s="17" t="s">
        <v>92</v>
      </c>
      <c r="F281" s="17" t="s">
        <v>92</v>
      </c>
      <c r="G281" s="17" t="s">
        <v>92</v>
      </c>
      <c r="H281" s="17" t="s">
        <v>92</v>
      </c>
      <c r="I281" s="39"/>
      <c r="J281" s="47">
        <f t="shared" si="5"/>
        <v>-266</v>
      </c>
      <c r="K281" s="49"/>
      <c r="L281" s="17"/>
      <c r="M281" s="27"/>
      <c r="N281" s="49"/>
      <c r="O281" s="27"/>
      <c r="Q281" s="2"/>
      <c r="R281" s="24"/>
      <c r="S281" s="24"/>
      <c r="T281" s="24"/>
    </row>
    <row r="282" spans="1:20" x14ac:dyDescent="0.25">
      <c r="A282" s="2">
        <v>44994</v>
      </c>
      <c r="B282" s="20">
        <v>2580</v>
      </c>
      <c r="C282" s="20">
        <v>391</v>
      </c>
      <c r="D282" s="20">
        <v>10060</v>
      </c>
      <c r="E282" s="17" t="s">
        <v>92</v>
      </c>
      <c r="F282" s="17" t="s">
        <v>92</v>
      </c>
      <c r="G282" s="17" t="s">
        <v>92</v>
      </c>
      <c r="H282" s="17" t="s">
        <v>92</v>
      </c>
      <c r="I282" s="39"/>
      <c r="J282" s="47">
        <f t="shared" si="5"/>
        <v>-267</v>
      </c>
      <c r="K282" s="49"/>
      <c r="L282" s="17"/>
      <c r="M282" s="27"/>
      <c r="N282" s="49"/>
      <c r="O282" s="27"/>
      <c r="Q282" s="2"/>
      <c r="R282" s="24"/>
      <c r="S282" s="24"/>
      <c r="T282" s="24"/>
    </row>
    <row r="283" spans="1:20" x14ac:dyDescent="0.25">
      <c r="A283" s="2">
        <v>44993</v>
      </c>
      <c r="B283" s="20">
        <v>2620</v>
      </c>
      <c r="C283" s="29">
        <v>392.5</v>
      </c>
      <c r="D283" s="20">
        <v>10150</v>
      </c>
      <c r="E283" s="17" t="s">
        <v>92</v>
      </c>
      <c r="F283" s="17" t="s">
        <v>92</v>
      </c>
      <c r="G283" s="17" t="s">
        <v>92</v>
      </c>
      <c r="H283" s="17" t="s">
        <v>92</v>
      </c>
      <c r="I283" s="39"/>
      <c r="J283" s="47">
        <f t="shared" si="5"/>
        <v>-268</v>
      </c>
      <c r="K283" s="49"/>
      <c r="L283" s="17"/>
      <c r="M283" s="27"/>
      <c r="N283" s="49"/>
      <c r="O283" s="27"/>
      <c r="Q283" s="2"/>
      <c r="R283" s="24"/>
      <c r="S283" s="24"/>
      <c r="T283" s="24"/>
    </row>
    <row r="284" spans="1:20" x14ac:dyDescent="0.25">
      <c r="A284" s="2">
        <v>44992</v>
      </c>
      <c r="B284" s="20">
        <v>2634</v>
      </c>
      <c r="C284" s="20">
        <v>391</v>
      </c>
      <c r="D284" s="20">
        <v>10240</v>
      </c>
      <c r="E284" s="17" t="s">
        <v>92</v>
      </c>
      <c r="F284" s="17" t="s">
        <v>92</v>
      </c>
      <c r="G284" s="17" t="s">
        <v>92</v>
      </c>
      <c r="H284" s="17" t="s">
        <v>92</v>
      </c>
      <c r="I284" s="39"/>
      <c r="J284" s="47">
        <f t="shared" si="5"/>
        <v>-269</v>
      </c>
      <c r="K284" s="49"/>
      <c r="L284" s="17"/>
      <c r="M284" s="27"/>
      <c r="N284" s="49"/>
      <c r="O284" s="27"/>
      <c r="Q284" s="2"/>
      <c r="R284" s="24"/>
      <c r="S284" s="24"/>
      <c r="T284" s="24"/>
    </row>
    <row r="285" spans="1:20" x14ac:dyDescent="0.25">
      <c r="A285" s="2">
        <v>44991</v>
      </c>
      <c r="B285" s="20">
        <v>2690</v>
      </c>
      <c r="C285" s="20">
        <v>397</v>
      </c>
      <c r="D285" s="20">
        <v>10550</v>
      </c>
      <c r="E285" s="17" t="s">
        <v>92</v>
      </c>
      <c r="F285" s="17" t="s">
        <v>92</v>
      </c>
      <c r="G285" s="17" t="s">
        <v>92</v>
      </c>
      <c r="H285" s="17" t="s">
        <v>92</v>
      </c>
      <c r="I285" s="39"/>
      <c r="J285" s="47">
        <f t="shared" si="5"/>
        <v>-270</v>
      </c>
      <c r="K285" s="49"/>
      <c r="L285" s="17"/>
      <c r="M285" s="27"/>
      <c r="N285" s="49"/>
      <c r="O285" s="27"/>
      <c r="Q285" s="2"/>
      <c r="R285" s="24"/>
      <c r="S285" s="24"/>
      <c r="T285" s="24"/>
    </row>
    <row r="286" spans="1:20" x14ac:dyDescent="0.25">
      <c r="A286" s="2">
        <v>44988</v>
      </c>
      <c r="B286" s="20">
        <v>2662</v>
      </c>
      <c r="C286" s="29">
        <v>396.5</v>
      </c>
      <c r="D286" s="20">
        <v>10550</v>
      </c>
      <c r="E286" s="17" t="s">
        <v>92</v>
      </c>
      <c r="F286" s="17" t="s">
        <v>92</v>
      </c>
      <c r="G286" s="17" t="s">
        <v>92</v>
      </c>
      <c r="H286" s="17" t="s">
        <v>92</v>
      </c>
      <c r="I286" s="39"/>
      <c r="J286" s="47">
        <f t="shared" si="5"/>
        <v>-271</v>
      </c>
      <c r="K286" s="49"/>
      <c r="L286" s="17"/>
      <c r="M286" s="27"/>
      <c r="N286" s="49"/>
      <c r="O286" s="27"/>
      <c r="Q286" s="2"/>
      <c r="R286" s="24"/>
      <c r="S286" s="24"/>
      <c r="T286" s="24"/>
    </row>
    <row r="287" spans="1:20" x14ac:dyDescent="0.25">
      <c r="A287" s="2">
        <v>44987</v>
      </c>
      <c r="B287" s="20">
        <v>2672</v>
      </c>
      <c r="C287" s="20">
        <v>394</v>
      </c>
      <c r="D287" s="20">
        <v>10605</v>
      </c>
      <c r="E287" s="17" t="s">
        <v>92</v>
      </c>
      <c r="F287" s="17" t="s">
        <v>92</v>
      </c>
      <c r="G287" s="17" t="s">
        <v>92</v>
      </c>
      <c r="H287" s="17" t="s">
        <v>92</v>
      </c>
      <c r="I287" s="39"/>
      <c r="J287" s="47">
        <f t="shared" si="5"/>
        <v>-272</v>
      </c>
      <c r="K287" s="49"/>
      <c r="L287" s="17"/>
      <c r="M287" s="27"/>
      <c r="N287" s="49"/>
      <c r="O287" s="27"/>
      <c r="Q287" s="2"/>
      <c r="R287" s="24"/>
      <c r="S287" s="24"/>
      <c r="T287" s="24"/>
    </row>
    <row r="288" spans="1:20" x14ac:dyDescent="0.25">
      <c r="A288" s="2">
        <v>44986</v>
      </c>
      <c r="B288" s="20">
        <v>2714</v>
      </c>
      <c r="C288" s="20">
        <v>392</v>
      </c>
      <c r="D288" s="20">
        <v>10740</v>
      </c>
      <c r="E288" s="17" t="s">
        <v>92</v>
      </c>
      <c r="F288" s="17" t="s">
        <v>92</v>
      </c>
      <c r="G288" s="17" t="s">
        <v>92</v>
      </c>
      <c r="H288" s="17" t="s">
        <v>92</v>
      </c>
      <c r="I288" s="39"/>
      <c r="J288" s="47">
        <f t="shared" si="5"/>
        <v>-273</v>
      </c>
      <c r="K288" s="49"/>
      <c r="L288" s="17"/>
      <c r="M288" s="27"/>
      <c r="N288" s="49"/>
      <c r="O288" s="27"/>
      <c r="Q288" s="2"/>
      <c r="R288" s="24"/>
      <c r="S288" s="24"/>
      <c r="T288" s="24"/>
    </row>
    <row r="289" spans="1:20" x14ac:dyDescent="0.25">
      <c r="A289" s="2">
        <v>44985</v>
      </c>
      <c r="B289" s="20">
        <v>2722</v>
      </c>
      <c r="C289" s="20">
        <v>391</v>
      </c>
      <c r="D289" s="20">
        <v>10865</v>
      </c>
      <c r="E289" s="17" t="s">
        <v>92</v>
      </c>
      <c r="F289" s="17" t="s">
        <v>92</v>
      </c>
      <c r="G289" s="17" t="s">
        <v>92</v>
      </c>
      <c r="H289" s="17" t="s">
        <v>92</v>
      </c>
      <c r="I289" s="39"/>
      <c r="J289" s="47">
        <f t="shared" si="5"/>
        <v>-274</v>
      </c>
      <c r="K289" s="49"/>
      <c r="L289" s="17"/>
      <c r="M289" s="27"/>
      <c r="N289" s="50"/>
      <c r="O289" s="51"/>
      <c r="Q289" s="2"/>
      <c r="R289" s="24"/>
      <c r="S289" s="24"/>
      <c r="T289" s="24"/>
    </row>
    <row r="290" spans="1:20" x14ac:dyDescent="0.25">
      <c r="A290" s="2">
        <v>44984</v>
      </c>
      <c r="B290" s="20">
        <v>2788</v>
      </c>
      <c r="C290" s="20">
        <v>396</v>
      </c>
      <c r="D290" s="20">
        <v>10650</v>
      </c>
      <c r="E290" s="17" t="s">
        <v>92</v>
      </c>
      <c r="F290" s="17" t="s">
        <v>92</v>
      </c>
      <c r="G290" s="17" t="s">
        <v>92</v>
      </c>
      <c r="H290" s="17" t="s">
        <v>92</v>
      </c>
      <c r="I290" s="39"/>
      <c r="J290" s="47">
        <f t="shared" si="5"/>
        <v>-275</v>
      </c>
      <c r="K290" s="49"/>
      <c r="L290" s="17"/>
      <c r="M290" s="27"/>
      <c r="N290" s="49"/>
      <c r="O290" s="27"/>
      <c r="Q290" s="2"/>
      <c r="R290" s="24"/>
      <c r="S290" s="24"/>
      <c r="T290" s="24"/>
    </row>
    <row r="291" spans="1:20" x14ac:dyDescent="0.25">
      <c r="A291" s="2">
        <v>44981</v>
      </c>
      <c r="B291" s="20">
        <v>2778</v>
      </c>
      <c r="C291" s="20">
        <v>403</v>
      </c>
      <c r="D291" s="20">
        <v>10800</v>
      </c>
      <c r="E291" s="17" t="s">
        <v>92</v>
      </c>
      <c r="F291" s="17" t="s">
        <v>92</v>
      </c>
      <c r="G291" s="17" t="s">
        <v>92</v>
      </c>
      <c r="H291" s="17" t="s">
        <v>92</v>
      </c>
      <c r="I291" s="39"/>
      <c r="J291" s="47">
        <f t="shared" si="5"/>
        <v>-276</v>
      </c>
      <c r="K291" s="49"/>
      <c r="L291" s="17"/>
      <c r="M291" s="27"/>
      <c r="N291" s="49"/>
      <c r="O291" s="27"/>
      <c r="Q291" s="2"/>
      <c r="R291" s="24"/>
      <c r="S291" s="24"/>
      <c r="T291" s="24"/>
    </row>
    <row r="292" spans="1:20" x14ac:dyDescent="0.25">
      <c r="A292" s="2">
        <v>44980</v>
      </c>
      <c r="B292" s="20">
        <v>2778</v>
      </c>
      <c r="C292" s="20">
        <v>394</v>
      </c>
      <c r="D292" s="20">
        <v>10855</v>
      </c>
      <c r="E292" s="17" t="s">
        <v>92</v>
      </c>
      <c r="F292" s="17" t="s">
        <v>92</v>
      </c>
      <c r="G292" s="17" t="s">
        <v>92</v>
      </c>
      <c r="H292" s="17" t="s">
        <v>92</v>
      </c>
      <c r="I292" s="39"/>
      <c r="J292" s="47">
        <f t="shared" si="5"/>
        <v>-277</v>
      </c>
      <c r="K292" s="49"/>
      <c r="L292" s="17"/>
      <c r="M292" s="27"/>
      <c r="N292" s="49"/>
      <c r="O292" s="27"/>
      <c r="Q292" s="2"/>
      <c r="R292" s="24"/>
      <c r="S292" s="24"/>
      <c r="T292" s="24"/>
    </row>
    <row r="293" spans="1:20" x14ac:dyDescent="0.25">
      <c r="A293" s="2">
        <v>44979</v>
      </c>
      <c r="B293" s="20">
        <v>2704</v>
      </c>
      <c r="C293" s="20">
        <v>377</v>
      </c>
      <c r="D293" s="20">
        <v>10870</v>
      </c>
      <c r="E293" s="17" t="s">
        <v>92</v>
      </c>
      <c r="F293" s="17" t="s">
        <v>92</v>
      </c>
      <c r="G293" s="17" t="s">
        <v>92</v>
      </c>
      <c r="H293" s="17" t="s">
        <v>92</v>
      </c>
      <c r="I293" s="39"/>
      <c r="J293" s="47">
        <f t="shared" si="5"/>
        <v>-278</v>
      </c>
      <c r="K293" s="49"/>
      <c r="L293" s="17"/>
      <c r="M293" s="27"/>
      <c r="N293" s="49"/>
      <c r="O293" s="27"/>
      <c r="Q293" s="2"/>
      <c r="R293" s="24"/>
      <c r="S293" s="24"/>
      <c r="T293" s="24"/>
    </row>
    <row r="294" spans="1:20" x14ac:dyDescent="0.25">
      <c r="A294" s="2">
        <v>44978</v>
      </c>
      <c r="B294" s="20">
        <v>2722</v>
      </c>
      <c r="C294" s="20">
        <v>377</v>
      </c>
      <c r="D294" s="20">
        <v>10840</v>
      </c>
      <c r="E294" s="17" t="s">
        <v>92</v>
      </c>
      <c r="F294" s="17" t="s">
        <v>92</v>
      </c>
      <c r="G294" s="17" t="s">
        <v>92</v>
      </c>
      <c r="H294" s="17" t="s">
        <v>92</v>
      </c>
      <c r="I294" s="39"/>
      <c r="J294" s="47">
        <f t="shared" si="5"/>
        <v>-279</v>
      </c>
      <c r="K294" s="49"/>
      <c r="L294" s="17"/>
      <c r="M294" s="27"/>
      <c r="N294" s="49"/>
      <c r="O294" s="27"/>
      <c r="Q294" s="2"/>
      <c r="R294" s="24"/>
      <c r="S294" s="24"/>
      <c r="T294" s="24"/>
    </row>
    <row r="295" spans="1:20" x14ac:dyDescent="0.25">
      <c r="A295" s="2">
        <v>44977</v>
      </c>
      <c r="B295" s="20">
        <v>2700</v>
      </c>
      <c r="C295" s="20">
        <v>376</v>
      </c>
      <c r="D295" s="20">
        <v>10810</v>
      </c>
      <c r="E295" s="17" t="s">
        <v>92</v>
      </c>
      <c r="F295" s="17" t="s">
        <v>92</v>
      </c>
      <c r="G295" s="17" t="s">
        <v>92</v>
      </c>
      <c r="H295" s="17" t="s">
        <v>92</v>
      </c>
      <c r="I295" s="39"/>
      <c r="J295" s="47">
        <f t="shared" si="5"/>
        <v>-280</v>
      </c>
      <c r="K295" s="49"/>
      <c r="L295" s="17"/>
      <c r="M295" s="27"/>
      <c r="N295" s="49"/>
      <c r="O295" s="27"/>
      <c r="Q295" s="2"/>
      <c r="R295" s="24"/>
      <c r="S295" s="24"/>
      <c r="T295" s="24"/>
    </row>
    <row r="296" spans="1:20" x14ac:dyDescent="0.25">
      <c r="A296" s="2">
        <v>44974</v>
      </c>
      <c r="B296" s="20">
        <v>2748</v>
      </c>
      <c r="C296" s="29">
        <v>361.5</v>
      </c>
      <c r="D296" s="20">
        <v>10965</v>
      </c>
      <c r="E296" s="17" t="s">
        <v>92</v>
      </c>
      <c r="F296" s="17" t="s">
        <v>92</v>
      </c>
      <c r="G296" s="17" t="s">
        <v>92</v>
      </c>
      <c r="H296" s="17" t="s">
        <v>92</v>
      </c>
      <c r="I296" s="39"/>
      <c r="J296" s="47">
        <f t="shared" si="5"/>
        <v>-281</v>
      </c>
      <c r="K296" s="49"/>
      <c r="L296" s="17"/>
      <c r="M296" s="27"/>
      <c r="N296" s="49"/>
      <c r="O296" s="27"/>
      <c r="Q296" s="2"/>
      <c r="R296" s="24"/>
      <c r="S296" s="24"/>
      <c r="T296" s="24"/>
    </row>
    <row r="297" spans="1:20" x14ac:dyDescent="0.25">
      <c r="A297" s="2">
        <v>44973</v>
      </c>
      <c r="B297" s="20">
        <v>2792</v>
      </c>
      <c r="C297" s="20">
        <v>365</v>
      </c>
      <c r="D297" s="20">
        <v>11175</v>
      </c>
      <c r="E297" s="17" t="s">
        <v>92</v>
      </c>
      <c r="F297" s="17" t="s">
        <v>92</v>
      </c>
      <c r="G297" s="17" t="s">
        <v>92</v>
      </c>
      <c r="H297" s="17" t="s">
        <v>92</v>
      </c>
      <c r="I297" s="39"/>
      <c r="J297" s="47">
        <f t="shared" si="5"/>
        <v>-282</v>
      </c>
      <c r="K297" s="49"/>
      <c r="L297" s="17"/>
      <c r="M297" s="27"/>
      <c r="N297" s="49"/>
      <c r="O297" s="27"/>
      <c r="Q297" s="2"/>
      <c r="R297" s="24"/>
      <c r="S297" s="24"/>
      <c r="T297" s="24"/>
    </row>
    <row r="298" spans="1:20" x14ac:dyDescent="0.25">
      <c r="A298" s="2">
        <v>44972</v>
      </c>
      <c r="B298" s="20">
        <v>2796</v>
      </c>
      <c r="C298" s="29">
        <v>364.5</v>
      </c>
      <c r="D298" s="20">
        <v>11270</v>
      </c>
      <c r="E298" s="17" t="s">
        <v>92</v>
      </c>
      <c r="F298" s="17" t="s">
        <v>92</v>
      </c>
      <c r="G298" s="17" t="s">
        <v>92</v>
      </c>
      <c r="H298" s="17" t="s">
        <v>92</v>
      </c>
      <c r="I298" s="39"/>
      <c r="J298" s="47">
        <f t="shared" si="5"/>
        <v>-283</v>
      </c>
      <c r="K298" s="49"/>
      <c r="L298" s="17"/>
      <c r="M298" s="27"/>
      <c r="N298" s="49"/>
      <c r="O298" s="27"/>
      <c r="Q298" s="2"/>
      <c r="R298" s="24"/>
      <c r="S298" s="24"/>
      <c r="T298" s="24"/>
    </row>
    <row r="299" spans="1:20" x14ac:dyDescent="0.25">
      <c r="A299" s="2">
        <v>44971</v>
      </c>
      <c r="B299" s="20">
        <v>2804</v>
      </c>
      <c r="C299" s="29">
        <v>361.5</v>
      </c>
      <c r="D299" s="20">
        <v>11360</v>
      </c>
      <c r="E299" s="17" t="s">
        <v>92</v>
      </c>
      <c r="F299" s="17" t="s">
        <v>92</v>
      </c>
      <c r="G299" s="17" t="s">
        <v>92</v>
      </c>
      <c r="H299" s="17" t="s">
        <v>92</v>
      </c>
      <c r="I299" s="39"/>
      <c r="J299" s="47">
        <f t="shared" si="5"/>
        <v>-284</v>
      </c>
      <c r="K299" s="49"/>
      <c r="L299" s="17"/>
      <c r="M299" s="27"/>
      <c r="N299" s="49"/>
      <c r="O299" s="27"/>
      <c r="Q299" s="2"/>
      <c r="R299" s="24"/>
      <c r="S299" s="24"/>
      <c r="T299" s="24"/>
    </row>
    <row r="300" spans="1:20" x14ac:dyDescent="0.25">
      <c r="A300" s="2">
        <v>44970</v>
      </c>
      <c r="B300" s="20">
        <v>2820</v>
      </c>
      <c r="C300" s="20">
        <v>366</v>
      </c>
      <c r="D300" s="20">
        <v>11200</v>
      </c>
      <c r="E300" s="17" t="s">
        <v>92</v>
      </c>
      <c r="F300" s="17" t="s">
        <v>92</v>
      </c>
      <c r="G300" s="17" t="s">
        <v>92</v>
      </c>
      <c r="H300" s="17" t="s">
        <v>92</v>
      </c>
      <c r="I300" s="39"/>
      <c r="J300" s="47">
        <f t="shared" si="5"/>
        <v>-285</v>
      </c>
      <c r="K300" s="49"/>
      <c r="L300" s="17"/>
      <c r="M300" s="27"/>
      <c r="N300" s="49"/>
      <c r="O300" s="27"/>
      <c r="Q300" s="2"/>
      <c r="R300" s="24"/>
      <c r="S300" s="24"/>
      <c r="T300" s="24"/>
    </row>
    <row r="301" spans="1:20" x14ac:dyDescent="0.25">
      <c r="A301" s="2">
        <v>44967</v>
      </c>
      <c r="B301" s="20">
        <v>2796</v>
      </c>
      <c r="C301" s="20">
        <v>366</v>
      </c>
      <c r="D301" s="20">
        <v>11110</v>
      </c>
      <c r="E301" s="17" t="s">
        <v>92</v>
      </c>
      <c r="F301" s="17" t="s">
        <v>92</v>
      </c>
      <c r="G301" s="17" t="s">
        <v>92</v>
      </c>
      <c r="H301" s="17" t="s">
        <v>92</v>
      </c>
      <c r="I301" s="39"/>
      <c r="J301" s="47">
        <f t="shared" si="5"/>
        <v>-286</v>
      </c>
      <c r="K301" s="49"/>
      <c r="L301" s="17"/>
      <c r="M301" s="27"/>
      <c r="N301" s="49"/>
      <c r="O301" s="27"/>
      <c r="Q301" s="2"/>
      <c r="R301" s="24"/>
      <c r="S301" s="24"/>
      <c r="T301" s="24"/>
    </row>
    <row r="302" spans="1:20" x14ac:dyDescent="0.25">
      <c r="A302" s="2">
        <v>44966</v>
      </c>
      <c r="B302" s="20">
        <v>2764</v>
      </c>
      <c r="C302" s="20">
        <v>360</v>
      </c>
      <c r="D302" s="20">
        <v>11200</v>
      </c>
      <c r="E302" s="17" t="s">
        <v>92</v>
      </c>
      <c r="F302" s="17" t="s">
        <v>92</v>
      </c>
      <c r="G302" s="17" t="s">
        <v>92</v>
      </c>
      <c r="H302" s="17" t="s">
        <v>92</v>
      </c>
      <c r="I302" s="39"/>
      <c r="J302" s="47">
        <f t="shared" si="5"/>
        <v>-287</v>
      </c>
      <c r="K302" s="49"/>
      <c r="L302" s="17"/>
      <c r="M302" s="27"/>
      <c r="N302" s="49"/>
      <c r="O302" s="27"/>
      <c r="Q302" s="2"/>
      <c r="R302" s="24"/>
      <c r="S302" s="24"/>
      <c r="T302" s="24"/>
    </row>
    <row r="303" spans="1:20" x14ac:dyDescent="0.25">
      <c r="A303" s="2">
        <v>44965</v>
      </c>
      <c r="B303" s="20">
        <v>2762</v>
      </c>
      <c r="C303" s="20">
        <v>371</v>
      </c>
      <c r="D303" s="20">
        <v>10935</v>
      </c>
      <c r="E303" s="17" t="s">
        <v>92</v>
      </c>
      <c r="F303" s="17" t="s">
        <v>92</v>
      </c>
      <c r="G303" s="17" t="s">
        <v>92</v>
      </c>
      <c r="H303" s="17" t="s">
        <v>92</v>
      </c>
      <c r="I303" s="39"/>
      <c r="J303" s="47">
        <f t="shared" si="5"/>
        <v>-288</v>
      </c>
      <c r="K303" s="49"/>
      <c r="L303" s="17"/>
      <c r="M303" s="27"/>
      <c r="N303" s="49"/>
      <c r="O303" s="27"/>
      <c r="Q303" s="2"/>
      <c r="R303" s="24"/>
      <c r="S303" s="24"/>
      <c r="T303" s="24"/>
    </row>
    <row r="304" spans="1:20" x14ac:dyDescent="0.25">
      <c r="A304" s="2">
        <v>44964</v>
      </c>
      <c r="B304" s="20">
        <v>2736</v>
      </c>
      <c r="C304" s="20">
        <v>367</v>
      </c>
      <c r="D304" s="20">
        <v>10720</v>
      </c>
      <c r="E304" s="17" t="s">
        <v>92</v>
      </c>
      <c r="F304" s="17" t="s">
        <v>92</v>
      </c>
      <c r="G304" s="17" t="s">
        <v>92</v>
      </c>
      <c r="H304" s="17" t="s">
        <v>92</v>
      </c>
      <c r="I304" s="39"/>
      <c r="J304" s="47">
        <f t="shared" si="5"/>
        <v>-289</v>
      </c>
      <c r="K304" s="49"/>
      <c r="L304" s="17"/>
      <c r="M304" s="27"/>
      <c r="N304" s="49"/>
      <c r="O304" s="27"/>
      <c r="Q304" s="2"/>
      <c r="R304" s="24"/>
      <c r="S304" s="24"/>
      <c r="T304" s="24"/>
    </row>
    <row r="305" spans="1:20" x14ac:dyDescent="0.25">
      <c r="A305" s="2">
        <v>44963</v>
      </c>
      <c r="B305" s="20">
        <v>2682</v>
      </c>
      <c r="C305" s="29">
        <v>370.5</v>
      </c>
      <c r="D305" s="20">
        <v>10565</v>
      </c>
      <c r="E305" s="17" t="s">
        <v>92</v>
      </c>
      <c r="F305" s="17" t="s">
        <v>92</v>
      </c>
      <c r="G305" s="17" t="s">
        <v>92</v>
      </c>
      <c r="H305" s="17" t="s">
        <v>92</v>
      </c>
      <c r="I305" s="39"/>
      <c r="J305" s="47">
        <f t="shared" si="5"/>
        <v>-290</v>
      </c>
      <c r="K305" s="49"/>
      <c r="L305" s="17"/>
      <c r="M305" s="27"/>
      <c r="N305" s="49"/>
      <c r="O305" s="27"/>
      <c r="Q305" s="2"/>
      <c r="R305" s="24"/>
      <c r="S305" s="24"/>
      <c r="T305" s="24"/>
    </row>
    <row r="306" spans="1:20" x14ac:dyDescent="0.25">
      <c r="A306" s="2">
        <v>44960</v>
      </c>
      <c r="B306" s="20">
        <v>2740</v>
      </c>
      <c r="C306" s="20">
        <v>376</v>
      </c>
      <c r="D306" s="20">
        <v>10725</v>
      </c>
      <c r="E306" s="17" t="s">
        <v>92</v>
      </c>
      <c r="F306" s="17" t="s">
        <v>92</v>
      </c>
      <c r="G306" s="17" t="s">
        <v>92</v>
      </c>
      <c r="H306" s="17" t="s">
        <v>92</v>
      </c>
      <c r="I306" s="39"/>
      <c r="J306" s="47">
        <f t="shared" si="5"/>
        <v>-291</v>
      </c>
      <c r="K306" s="49"/>
      <c r="L306" s="17"/>
      <c r="M306" s="27"/>
      <c r="N306" s="49"/>
      <c r="O306" s="27"/>
      <c r="Q306" s="2"/>
      <c r="R306" s="24"/>
      <c r="S306" s="24"/>
      <c r="T306" s="24"/>
    </row>
    <row r="307" spans="1:20" x14ac:dyDescent="0.25">
      <c r="A307" s="2">
        <v>44959</v>
      </c>
      <c r="B307" s="20">
        <v>2750</v>
      </c>
      <c r="C307" s="29">
        <v>383.5</v>
      </c>
      <c r="D307" s="20">
        <v>10770</v>
      </c>
      <c r="E307" s="17" t="s">
        <v>92</v>
      </c>
      <c r="F307" s="17" t="s">
        <v>92</v>
      </c>
      <c r="G307" s="17" t="s">
        <v>92</v>
      </c>
      <c r="H307" s="17" t="s">
        <v>92</v>
      </c>
      <c r="I307" s="39"/>
      <c r="J307" s="47">
        <f t="shared" si="5"/>
        <v>-292</v>
      </c>
      <c r="K307" s="49"/>
      <c r="L307" s="17"/>
      <c r="M307" s="27"/>
      <c r="N307" s="49"/>
      <c r="O307" s="27"/>
      <c r="Q307" s="2"/>
      <c r="R307" s="24"/>
      <c r="S307" s="24"/>
      <c r="T307" s="24"/>
    </row>
    <row r="308" spans="1:20" x14ac:dyDescent="0.25">
      <c r="A308" s="2">
        <v>44958</v>
      </c>
      <c r="B308" s="20">
        <v>2710</v>
      </c>
      <c r="C308" s="29">
        <v>383.5</v>
      </c>
      <c r="D308" s="20">
        <v>10630</v>
      </c>
      <c r="E308" s="17" t="s">
        <v>92</v>
      </c>
      <c r="F308" s="17" t="s">
        <v>92</v>
      </c>
      <c r="G308" s="17" t="s">
        <v>92</v>
      </c>
      <c r="H308" s="17" t="s">
        <v>92</v>
      </c>
      <c r="I308" s="39"/>
      <c r="J308" s="47">
        <f t="shared" si="5"/>
        <v>-293</v>
      </c>
      <c r="K308" s="49"/>
      <c r="L308" s="17"/>
      <c r="M308" s="27"/>
      <c r="N308" s="49"/>
      <c r="O308" s="27"/>
      <c r="Q308" s="2"/>
      <c r="R308" s="24"/>
      <c r="S308" s="24"/>
      <c r="T308" s="24"/>
    </row>
    <row r="309" spans="1:20" x14ac:dyDescent="0.25">
      <c r="A309" s="2">
        <v>44957</v>
      </c>
      <c r="B309" s="20">
        <v>2682</v>
      </c>
      <c r="C309" s="20">
        <v>382</v>
      </c>
      <c r="D309" s="20">
        <v>10825</v>
      </c>
      <c r="E309" s="17" t="s">
        <v>92</v>
      </c>
      <c r="F309" s="17" t="s">
        <v>92</v>
      </c>
      <c r="G309" s="17" t="s">
        <v>92</v>
      </c>
      <c r="H309" s="17" t="s">
        <v>92</v>
      </c>
      <c r="I309" s="39"/>
      <c r="J309" s="47">
        <f t="shared" si="5"/>
        <v>-294</v>
      </c>
      <c r="K309" s="49"/>
      <c r="L309" s="17"/>
      <c r="M309" s="27"/>
      <c r="N309" s="49"/>
      <c r="O309" s="27"/>
      <c r="Q309" s="2"/>
      <c r="R309" s="24"/>
      <c r="S309" s="24"/>
      <c r="T309" s="24"/>
    </row>
    <row r="310" spans="1:20" x14ac:dyDescent="0.25">
      <c r="A310" s="2">
        <v>44956</v>
      </c>
      <c r="B310" s="20">
        <v>2702</v>
      </c>
      <c r="C310" s="29">
        <v>371.5</v>
      </c>
      <c r="D310" s="20">
        <v>11000</v>
      </c>
      <c r="E310" s="17" t="s">
        <v>92</v>
      </c>
      <c r="F310" s="17" t="s">
        <v>92</v>
      </c>
      <c r="G310" s="17" t="s">
        <v>92</v>
      </c>
      <c r="H310" s="17" t="s">
        <v>92</v>
      </c>
      <c r="I310" s="39"/>
      <c r="J310" s="47">
        <f t="shared" si="5"/>
        <v>-295</v>
      </c>
      <c r="K310" s="49"/>
      <c r="L310" s="17"/>
      <c r="M310" s="27"/>
      <c r="N310" s="49"/>
      <c r="O310" s="27"/>
      <c r="Q310" s="2"/>
      <c r="R310" s="24"/>
      <c r="S310" s="24"/>
      <c r="T310" s="24"/>
    </row>
    <row r="311" spans="1:20" x14ac:dyDescent="0.25">
      <c r="A311" s="2">
        <v>44953</v>
      </c>
      <c r="B311" s="20">
        <v>2788</v>
      </c>
      <c r="C311" s="20">
        <v>370</v>
      </c>
      <c r="D311" s="20">
        <v>11250</v>
      </c>
      <c r="E311" s="17" t="s">
        <v>92</v>
      </c>
      <c r="F311" s="17" t="s">
        <v>92</v>
      </c>
      <c r="G311" s="17" t="s">
        <v>92</v>
      </c>
      <c r="H311" s="17" t="s">
        <v>92</v>
      </c>
      <c r="I311" s="39"/>
      <c r="J311" s="47">
        <f t="shared" si="5"/>
        <v>-296</v>
      </c>
      <c r="K311" s="49"/>
      <c r="L311" s="17"/>
      <c r="M311" s="27"/>
      <c r="N311" s="49"/>
      <c r="O311" s="27"/>
      <c r="Q311" s="2"/>
      <c r="R311" s="24"/>
      <c r="S311" s="24"/>
      <c r="T311" s="24"/>
    </row>
    <row r="312" spans="1:20" x14ac:dyDescent="0.25">
      <c r="A312" s="2">
        <v>44952</v>
      </c>
      <c r="B312" s="20">
        <v>2748</v>
      </c>
      <c r="C312" s="20">
        <v>378</v>
      </c>
      <c r="D312" s="20">
        <v>11400</v>
      </c>
      <c r="E312" s="17" t="s">
        <v>92</v>
      </c>
      <c r="F312" s="17" t="s">
        <v>92</v>
      </c>
      <c r="G312" s="17" t="s">
        <v>92</v>
      </c>
      <c r="H312" s="17" t="s">
        <v>92</v>
      </c>
      <c r="I312" s="39"/>
      <c r="J312" s="47">
        <f t="shared" si="5"/>
        <v>-297</v>
      </c>
      <c r="K312" s="49"/>
      <c r="L312" s="17"/>
      <c r="M312" s="27"/>
      <c r="N312" s="49"/>
      <c r="O312" s="27"/>
      <c r="Q312" s="2"/>
      <c r="R312" s="24"/>
      <c r="S312" s="24"/>
      <c r="T312" s="24"/>
    </row>
    <row r="313" spans="1:20" x14ac:dyDescent="0.25">
      <c r="A313" s="2">
        <v>44951</v>
      </c>
      <c r="B313" s="20">
        <v>2670</v>
      </c>
      <c r="C313" s="20">
        <v>380</v>
      </c>
      <c r="D313" s="20">
        <v>11250</v>
      </c>
      <c r="E313" s="17" t="s">
        <v>92</v>
      </c>
      <c r="F313" s="17" t="s">
        <v>92</v>
      </c>
      <c r="G313" s="17" t="s">
        <v>92</v>
      </c>
      <c r="H313" s="17" t="s">
        <v>92</v>
      </c>
      <c r="I313" s="39"/>
      <c r="J313" s="47">
        <f t="shared" si="5"/>
        <v>-298</v>
      </c>
      <c r="K313" s="49"/>
      <c r="L313" s="17"/>
      <c r="M313" s="27"/>
      <c r="N313" s="49"/>
      <c r="O313" s="27"/>
      <c r="Q313" s="2"/>
      <c r="R313" s="24"/>
      <c r="S313" s="24"/>
      <c r="T313" s="24"/>
    </row>
    <row r="314" spans="1:20" x14ac:dyDescent="0.25">
      <c r="A314" s="2">
        <v>44950</v>
      </c>
      <c r="B314" s="20">
        <v>2658</v>
      </c>
      <c r="C314" s="20">
        <v>383</v>
      </c>
      <c r="D314" s="20">
        <v>11550</v>
      </c>
      <c r="E314" s="17" t="s">
        <v>92</v>
      </c>
      <c r="F314" s="17" t="s">
        <v>92</v>
      </c>
      <c r="G314" s="17" t="s">
        <v>92</v>
      </c>
      <c r="H314" s="17" t="s">
        <v>92</v>
      </c>
      <c r="I314" s="39"/>
      <c r="J314" s="47">
        <f t="shared" si="5"/>
        <v>-299</v>
      </c>
      <c r="K314" s="49"/>
      <c r="L314" s="17"/>
      <c r="M314" s="27"/>
      <c r="N314" s="49"/>
      <c r="O314" s="27"/>
      <c r="Q314" s="2"/>
      <c r="R314" s="24"/>
      <c r="S314" s="24"/>
      <c r="T314" s="24"/>
    </row>
    <row r="315" spans="1:20" x14ac:dyDescent="0.25">
      <c r="A315" s="2">
        <v>44949</v>
      </c>
      <c r="B315" s="20">
        <v>2676</v>
      </c>
      <c r="C315" s="20">
        <v>375</v>
      </c>
      <c r="D315" s="20">
        <v>11500</v>
      </c>
      <c r="E315" s="17" t="s">
        <v>92</v>
      </c>
      <c r="F315" s="17" t="s">
        <v>92</v>
      </c>
      <c r="G315" s="17" t="s">
        <v>92</v>
      </c>
      <c r="H315" s="17" t="s">
        <v>92</v>
      </c>
      <c r="I315" s="39"/>
      <c r="J315" s="47">
        <f t="shared" si="5"/>
        <v>-300</v>
      </c>
      <c r="K315" s="49"/>
      <c r="L315" s="17"/>
      <c r="M315" s="27"/>
      <c r="N315" s="49"/>
      <c r="O315" s="27"/>
      <c r="Q315" s="2"/>
      <c r="R315" s="24"/>
      <c r="S315" s="24"/>
      <c r="T315" s="24"/>
    </row>
    <row r="316" spans="1:20" x14ac:dyDescent="0.25">
      <c r="A316" s="2">
        <v>44946</v>
      </c>
      <c r="B316" s="20">
        <v>2690</v>
      </c>
      <c r="C316" s="20">
        <v>374</v>
      </c>
      <c r="D316" s="20">
        <v>11370</v>
      </c>
      <c r="E316" s="17" t="s">
        <v>92</v>
      </c>
      <c r="F316" s="17" t="s">
        <v>92</v>
      </c>
      <c r="G316" s="17" t="s">
        <v>92</v>
      </c>
      <c r="H316" s="17" t="s">
        <v>92</v>
      </c>
      <c r="I316" s="39"/>
      <c r="J316" s="47">
        <f t="shared" si="5"/>
        <v>-301</v>
      </c>
      <c r="K316" s="49"/>
      <c r="L316" s="17"/>
      <c r="M316" s="27"/>
      <c r="N316" s="49"/>
      <c r="O316" s="27"/>
      <c r="Q316" s="2"/>
      <c r="R316" s="24"/>
      <c r="S316" s="24"/>
      <c r="T316" s="24"/>
    </row>
    <row r="317" spans="1:20" x14ac:dyDescent="0.25">
      <c r="A317" s="2">
        <v>44945</v>
      </c>
      <c r="B317" s="20">
        <v>2700</v>
      </c>
      <c r="C317" s="20">
        <v>381</v>
      </c>
      <c r="D317" s="20">
        <v>11395</v>
      </c>
      <c r="E317" s="17" t="s">
        <v>92</v>
      </c>
      <c r="F317" s="17" t="s">
        <v>92</v>
      </c>
      <c r="G317" s="17" t="s">
        <v>92</v>
      </c>
      <c r="H317" s="17" t="s">
        <v>92</v>
      </c>
      <c r="I317" s="39"/>
      <c r="J317" s="47">
        <f t="shared" si="5"/>
        <v>-302</v>
      </c>
      <c r="K317" s="49"/>
      <c r="L317" s="17"/>
      <c r="M317" s="27"/>
      <c r="N317" s="49"/>
      <c r="O317" s="27"/>
      <c r="Q317" s="2"/>
      <c r="R317" s="24"/>
      <c r="S317" s="24"/>
      <c r="T317" s="24"/>
    </row>
    <row r="318" spans="1:20" x14ac:dyDescent="0.25">
      <c r="A318" s="2">
        <v>44944</v>
      </c>
      <c r="B318" s="20">
        <v>2688</v>
      </c>
      <c r="C318" s="20">
        <v>369</v>
      </c>
      <c r="D318" s="20">
        <v>11465</v>
      </c>
      <c r="E318" s="17" t="s">
        <v>92</v>
      </c>
      <c r="F318" s="17" t="s">
        <v>92</v>
      </c>
      <c r="G318" s="17" t="s">
        <v>92</v>
      </c>
      <c r="H318" s="17" t="s">
        <v>92</v>
      </c>
      <c r="I318" s="39"/>
      <c r="J318" s="47">
        <f t="shared" si="5"/>
        <v>-303</v>
      </c>
      <c r="K318" s="49"/>
      <c r="L318" s="17"/>
      <c r="M318" s="27"/>
      <c r="N318" s="49"/>
      <c r="O318" s="27"/>
      <c r="Q318" s="2"/>
      <c r="R318" s="24"/>
      <c r="S318" s="24"/>
      <c r="T318" s="24"/>
    </row>
    <row r="319" spans="1:20" x14ac:dyDescent="0.25">
      <c r="A319" s="2">
        <v>44943</v>
      </c>
      <c r="B319" s="20">
        <v>2686</v>
      </c>
      <c r="C319" s="20">
        <v>371</v>
      </c>
      <c r="D319" s="20">
        <v>11155</v>
      </c>
      <c r="E319" s="17" t="s">
        <v>92</v>
      </c>
      <c r="F319" s="17" t="s">
        <v>92</v>
      </c>
      <c r="G319" s="17" t="s">
        <v>92</v>
      </c>
      <c r="H319" s="17" t="s">
        <v>92</v>
      </c>
      <c r="I319" s="39"/>
      <c r="J319" s="47">
        <f t="shared" si="5"/>
        <v>-304</v>
      </c>
      <c r="K319" s="49"/>
      <c r="L319" s="17"/>
      <c r="M319" s="27"/>
      <c r="N319" s="49"/>
      <c r="O319" s="27"/>
      <c r="Q319" s="2"/>
      <c r="R319" s="24"/>
      <c r="S319" s="24"/>
      <c r="T319" s="24"/>
    </row>
    <row r="320" spans="1:20" x14ac:dyDescent="0.25">
      <c r="A320" s="2">
        <v>44942</v>
      </c>
      <c r="B320" s="20">
        <v>2708</v>
      </c>
      <c r="C320" s="20">
        <v>366</v>
      </c>
      <c r="D320" s="20">
        <v>11190</v>
      </c>
      <c r="E320" s="17" t="s">
        <v>92</v>
      </c>
      <c r="F320" s="17" t="s">
        <v>92</v>
      </c>
      <c r="G320" s="17" t="s">
        <v>92</v>
      </c>
      <c r="H320" s="17" t="s">
        <v>92</v>
      </c>
      <c r="I320" s="39"/>
      <c r="J320" s="47">
        <f t="shared" si="5"/>
        <v>-305</v>
      </c>
      <c r="K320" s="49"/>
      <c r="L320" s="17"/>
      <c r="M320" s="27"/>
      <c r="N320" s="49"/>
      <c r="O320" s="27"/>
      <c r="Q320" s="2"/>
      <c r="R320" s="24"/>
      <c r="S320" s="24"/>
      <c r="T320" s="24"/>
    </row>
    <row r="321" spans="1:20" x14ac:dyDescent="0.25">
      <c r="A321" s="2">
        <v>44939</v>
      </c>
      <c r="B321" s="20">
        <v>2688</v>
      </c>
      <c r="C321" s="20">
        <v>364</v>
      </c>
      <c r="D321" s="20">
        <v>11000</v>
      </c>
      <c r="E321" s="17" t="s">
        <v>92</v>
      </c>
      <c r="F321" s="17" t="s">
        <v>92</v>
      </c>
      <c r="G321" s="17" t="s">
        <v>92</v>
      </c>
      <c r="H321" s="17" t="s">
        <v>92</v>
      </c>
      <c r="I321" s="39"/>
      <c r="J321" s="47">
        <f t="shared" si="5"/>
        <v>-306</v>
      </c>
      <c r="K321" s="49"/>
      <c r="L321" s="17"/>
      <c r="M321" s="27"/>
      <c r="N321" s="49"/>
      <c r="O321" s="27"/>
      <c r="Q321" s="2"/>
      <c r="R321" s="24"/>
      <c r="S321" s="24"/>
      <c r="T321" s="24"/>
    </row>
    <row r="322" spans="1:20" x14ac:dyDescent="0.25">
      <c r="A322" s="2">
        <v>44938</v>
      </c>
      <c r="B322" s="20">
        <v>2690</v>
      </c>
      <c r="C322" s="20">
        <v>367</v>
      </c>
      <c r="D322" s="20">
        <v>11070</v>
      </c>
      <c r="E322" s="17" t="s">
        <v>92</v>
      </c>
      <c r="F322" s="17" t="s">
        <v>92</v>
      </c>
      <c r="G322" s="17" t="s">
        <v>92</v>
      </c>
      <c r="H322" s="17" t="s">
        <v>92</v>
      </c>
      <c r="I322" s="39"/>
      <c r="J322" s="47">
        <f t="shared" si="5"/>
        <v>-307</v>
      </c>
      <c r="K322" s="49"/>
      <c r="L322" s="17"/>
      <c r="M322" s="27"/>
      <c r="N322" s="49"/>
      <c r="O322" s="27"/>
      <c r="Q322" s="2"/>
      <c r="R322" s="24"/>
      <c r="S322" s="24"/>
      <c r="T322" s="24"/>
    </row>
    <row r="323" spans="1:20" x14ac:dyDescent="0.25">
      <c r="A323" s="2">
        <v>44937</v>
      </c>
      <c r="B323" s="20">
        <v>2702</v>
      </c>
      <c r="C323" s="20">
        <v>362</v>
      </c>
      <c r="D323" s="20">
        <v>11020</v>
      </c>
      <c r="E323" s="17" t="s">
        <v>92</v>
      </c>
      <c r="F323" s="17" t="s">
        <v>92</v>
      </c>
      <c r="G323" s="17" t="s">
        <v>92</v>
      </c>
      <c r="H323" s="17" t="s">
        <v>92</v>
      </c>
      <c r="I323" s="39"/>
      <c r="J323" s="47">
        <f t="shared" si="5"/>
        <v>-308</v>
      </c>
      <c r="K323" s="49"/>
      <c r="L323" s="17"/>
      <c r="M323" s="27"/>
      <c r="N323" s="49"/>
      <c r="O323" s="27"/>
      <c r="Q323" s="2"/>
      <c r="R323" s="24"/>
      <c r="S323" s="24"/>
      <c r="T323" s="24"/>
    </row>
    <row r="324" spans="1:20" x14ac:dyDescent="0.25">
      <c r="A324" s="2">
        <v>44936</v>
      </c>
      <c r="B324" s="20">
        <v>2680</v>
      </c>
      <c r="C324" s="20">
        <v>362</v>
      </c>
      <c r="D324" s="20">
        <v>10920</v>
      </c>
      <c r="E324" s="17" t="s">
        <v>92</v>
      </c>
      <c r="F324" s="17" t="s">
        <v>92</v>
      </c>
      <c r="G324" s="17" t="s">
        <v>92</v>
      </c>
      <c r="H324" s="17" t="s">
        <v>92</v>
      </c>
      <c r="I324" s="39"/>
      <c r="J324" s="47">
        <f t="shared" si="5"/>
        <v>-309</v>
      </c>
      <c r="K324" s="49"/>
      <c r="L324" s="17"/>
      <c r="M324" s="27"/>
      <c r="N324" s="49"/>
      <c r="O324" s="27"/>
      <c r="Q324" s="2"/>
      <c r="R324" s="24"/>
      <c r="S324" s="24"/>
      <c r="T324" s="24"/>
    </row>
    <row r="325" spans="1:20" x14ac:dyDescent="0.25">
      <c r="A325" s="2">
        <v>44935</v>
      </c>
      <c r="B325" s="20">
        <v>2678</v>
      </c>
      <c r="C325" s="20">
        <v>360</v>
      </c>
      <c r="D325" s="20">
        <v>10895</v>
      </c>
      <c r="E325" s="17" t="s">
        <v>92</v>
      </c>
      <c r="F325" s="17" t="s">
        <v>92</v>
      </c>
      <c r="G325" s="17" t="s">
        <v>92</v>
      </c>
      <c r="H325" s="17" t="s">
        <v>92</v>
      </c>
      <c r="I325" s="39"/>
      <c r="J325" s="47">
        <f t="shared" si="5"/>
        <v>-310</v>
      </c>
      <c r="K325" s="49"/>
      <c r="L325" s="17"/>
      <c r="M325" s="27"/>
      <c r="N325" s="49"/>
      <c r="O325" s="27"/>
      <c r="Q325" s="2"/>
      <c r="R325" s="24"/>
      <c r="S325" s="24"/>
      <c r="T325" s="24"/>
    </row>
    <row r="326" spans="1:20" x14ac:dyDescent="0.25">
      <c r="A326" s="2">
        <v>44932</v>
      </c>
      <c r="B326" s="20">
        <v>2648</v>
      </c>
      <c r="C326" s="20">
        <v>355</v>
      </c>
      <c r="D326" s="20">
        <v>10775</v>
      </c>
      <c r="E326" s="17" t="s">
        <v>92</v>
      </c>
      <c r="F326" s="17" t="s">
        <v>92</v>
      </c>
      <c r="G326" s="17" t="s">
        <v>92</v>
      </c>
      <c r="H326" s="17" t="s">
        <v>92</v>
      </c>
      <c r="I326" s="39"/>
      <c r="J326" s="47">
        <f t="shared" si="5"/>
        <v>-311</v>
      </c>
      <c r="K326" s="49"/>
      <c r="L326" s="17"/>
      <c r="M326" s="27"/>
      <c r="N326" s="49"/>
      <c r="O326" s="27"/>
      <c r="Q326" s="2"/>
      <c r="R326" s="24"/>
      <c r="S326" s="24"/>
      <c r="T326" s="24"/>
    </row>
    <row r="327" spans="1:20" x14ac:dyDescent="0.25">
      <c r="A327" s="2">
        <v>44931</v>
      </c>
      <c r="B327" s="20">
        <v>2618</v>
      </c>
      <c r="C327" s="20">
        <v>348</v>
      </c>
      <c r="D327" s="20">
        <v>10785</v>
      </c>
      <c r="E327" s="17" t="s">
        <v>92</v>
      </c>
      <c r="F327" s="17" t="s">
        <v>92</v>
      </c>
      <c r="G327" s="17" t="s">
        <v>92</v>
      </c>
      <c r="H327" s="17" t="s">
        <v>92</v>
      </c>
      <c r="I327" s="39"/>
      <c r="J327" s="47">
        <f t="shared" si="5"/>
        <v>-312</v>
      </c>
      <c r="K327" s="49"/>
      <c r="L327" s="17"/>
      <c r="M327" s="27"/>
      <c r="N327" s="49"/>
      <c r="O327" s="27"/>
      <c r="Q327" s="2"/>
      <c r="R327" s="24"/>
      <c r="S327" s="24"/>
      <c r="T327" s="24"/>
    </row>
    <row r="328" spans="1:20" x14ac:dyDescent="0.25">
      <c r="A328" s="2">
        <v>44930</v>
      </c>
      <c r="B328" s="20">
        <v>2612</v>
      </c>
      <c r="C328" s="29">
        <v>343.5</v>
      </c>
      <c r="D328" s="20">
        <v>10680</v>
      </c>
      <c r="E328" s="17" t="s">
        <v>92</v>
      </c>
      <c r="F328" s="17" t="s">
        <v>92</v>
      </c>
      <c r="G328" s="17" t="s">
        <v>92</v>
      </c>
      <c r="H328" s="17" t="s">
        <v>92</v>
      </c>
      <c r="I328" s="39"/>
      <c r="J328" s="47">
        <f t="shared" si="5"/>
        <v>-313</v>
      </c>
      <c r="K328" s="49"/>
      <c r="L328" s="17"/>
      <c r="M328" s="27"/>
      <c r="N328" s="49"/>
      <c r="O328" s="27"/>
      <c r="Q328" s="2"/>
      <c r="R328" s="24"/>
      <c r="S328" s="24"/>
      <c r="T328" s="24"/>
    </row>
    <row r="329" spans="1:20" x14ac:dyDescent="0.25">
      <c r="A329" s="2">
        <v>44929</v>
      </c>
      <c r="B329" s="20">
        <v>2650</v>
      </c>
      <c r="C329" s="20">
        <v>345</v>
      </c>
      <c r="D329" s="20">
        <v>10430</v>
      </c>
      <c r="E329" s="17" t="s">
        <v>92</v>
      </c>
      <c r="F329" s="17" t="s">
        <v>92</v>
      </c>
      <c r="G329" s="17" t="s">
        <v>92</v>
      </c>
      <c r="H329" s="17" t="s">
        <v>92</v>
      </c>
      <c r="I329" s="39"/>
      <c r="J329" s="47">
        <f t="shared" si="5"/>
        <v>-314</v>
      </c>
      <c r="K329" s="49"/>
      <c r="L329" s="17"/>
      <c r="M329" s="27"/>
      <c r="N329" s="49"/>
      <c r="O329" s="27"/>
      <c r="Q329" s="2"/>
      <c r="R329" s="24"/>
      <c r="S329" s="24"/>
      <c r="T329" s="24"/>
    </row>
    <row r="330" spans="1:20" x14ac:dyDescent="0.25">
      <c r="A330" s="2">
        <v>44928</v>
      </c>
      <c r="B330" s="20">
        <v>2608</v>
      </c>
      <c r="C330" s="20">
        <v>337</v>
      </c>
      <c r="D330" s="20">
        <v>10090</v>
      </c>
      <c r="E330" s="17" t="s">
        <v>92</v>
      </c>
      <c r="F330" s="17" t="s">
        <v>92</v>
      </c>
      <c r="G330" s="17" t="s">
        <v>92</v>
      </c>
      <c r="H330" s="17" t="s">
        <v>92</v>
      </c>
      <c r="I330" s="39"/>
      <c r="J330" s="47">
        <f t="shared" si="5"/>
        <v>-315</v>
      </c>
      <c r="K330" s="49"/>
      <c r="L330" s="17"/>
      <c r="M330" s="27"/>
      <c r="N330" s="49"/>
      <c r="O330" s="27"/>
      <c r="Q330" s="2"/>
      <c r="R330" s="24"/>
      <c r="S330" s="24"/>
      <c r="T330" s="24"/>
    </row>
    <row r="331" spans="1:20" x14ac:dyDescent="0.25">
      <c r="A331" s="2">
        <v>44925</v>
      </c>
      <c r="B331" s="20">
        <v>2602</v>
      </c>
      <c r="C331" s="20">
        <v>339</v>
      </c>
      <c r="D331" s="20">
        <v>10110</v>
      </c>
      <c r="E331" s="17" t="s">
        <v>92</v>
      </c>
      <c r="F331" s="17" t="s">
        <v>92</v>
      </c>
      <c r="G331" s="17" t="s">
        <v>92</v>
      </c>
      <c r="H331" s="17" t="s">
        <v>92</v>
      </c>
      <c r="I331" s="39"/>
      <c r="J331" s="47">
        <f t="shared" si="5"/>
        <v>-316</v>
      </c>
      <c r="K331" s="49"/>
      <c r="L331" s="17"/>
      <c r="M331" s="27"/>
      <c r="N331" s="49"/>
      <c r="O331" s="27"/>
      <c r="Q331" s="2"/>
      <c r="R331" s="24"/>
      <c r="S331" s="24"/>
      <c r="T331" s="24"/>
    </row>
    <row r="332" spans="1:20" x14ac:dyDescent="0.25">
      <c r="A332" s="2">
        <v>44924</v>
      </c>
      <c r="B332" s="20">
        <v>2630</v>
      </c>
      <c r="C332" s="20">
        <v>338</v>
      </c>
      <c r="D332" s="20">
        <v>10180</v>
      </c>
      <c r="E332" s="17" t="s">
        <v>92</v>
      </c>
      <c r="F332" s="17" t="s">
        <v>92</v>
      </c>
      <c r="G332" s="17" t="s">
        <v>92</v>
      </c>
      <c r="H332" s="17" t="s">
        <v>92</v>
      </c>
      <c r="I332" s="39"/>
      <c r="J332" s="47">
        <f t="shared" si="5"/>
        <v>-317</v>
      </c>
      <c r="K332" s="49"/>
      <c r="L332" s="17"/>
      <c r="M332" s="27"/>
      <c r="N332" s="49"/>
      <c r="O332" s="27"/>
      <c r="Q332" s="2"/>
      <c r="R332" s="24"/>
      <c r="S332" s="24"/>
      <c r="T332" s="24"/>
    </row>
    <row r="333" spans="1:20" x14ac:dyDescent="0.25">
      <c r="A333" s="2">
        <v>44923</v>
      </c>
      <c r="B333" s="20">
        <v>2616</v>
      </c>
      <c r="C333" s="20">
        <v>345</v>
      </c>
      <c r="D333" s="20">
        <v>10280</v>
      </c>
      <c r="E333" s="17" t="s">
        <v>92</v>
      </c>
      <c r="F333" s="17" t="s">
        <v>92</v>
      </c>
      <c r="G333" s="17" t="s">
        <v>92</v>
      </c>
      <c r="H333" s="17" t="s">
        <v>92</v>
      </c>
      <c r="I333" s="39"/>
      <c r="J333" s="47">
        <f t="shared" si="5"/>
        <v>-318</v>
      </c>
      <c r="K333" s="49"/>
      <c r="L333" s="17"/>
      <c r="M333" s="27"/>
      <c r="N333" s="49"/>
      <c r="O333" s="27"/>
      <c r="Q333" s="2"/>
      <c r="R333" s="24"/>
      <c r="S333" s="24"/>
      <c r="T333" s="24"/>
    </row>
    <row r="334" spans="1:20" x14ac:dyDescent="0.25">
      <c r="A334" s="2">
        <v>44922</v>
      </c>
      <c r="B334" s="20">
        <v>2632</v>
      </c>
      <c r="C334" s="20">
        <v>345</v>
      </c>
      <c r="D334" s="20">
        <v>10295</v>
      </c>
      <c r="E334" s="17" t="s">
        <v>92</v>
      </c>
      <c r="F334" s="17" t="s">
        <v>92</v>
      </c>
      <c r="G334" s="17" t="s">
        <v>92</v>
      </c>
      <c r="H334" s="17" t="s">
        <v>92</v>
      </c>
      <c r="I334" s="39"/>
      <c r="J334" s="47">
        <f t="shared" si="5"/>
        <v>-319</v>
      </c>
      <c r="K334" s="49"/>
      <c r="L334" s="17"/>
      <c r="M334" s="27"/>
      <c r="N334" s="49"/>
      <c r="O334" s="27"/>
      <c r="Q334" s="2"/>
      <c r="R334" s="24"/>
      <c r="S334" s="24"/>
      <c r="T334" s="24"/>
    </row>
    <row r="335" spans="1:20" x14ac:dyDescent="0.25">
      <c r="A335" s="2">
        <v>44918</v>
      </c>
      <c r="B335" s="20">
        <v>2640</v>
      </c>
      <c r="C335" s="29">
        <v>347.5</v>
      </c>
      <c r="D335" s="20">
        <v>10300</v>
      </c>
      <c r="E335" s="17" t="s">
        <v>92</v>
      </c>
      <c r="F335" s="17" t="s">
        <v>92</v>
      </c>
      <c r="G335" s="17" t="s">
        <v>92</v>
      </c>
      <c r="H335" s="17" t="s">
        <v>92</v>
      </c>
      <c r="I335" s="39"/>
      <c r="J335" s="47">
        <f t="shared" si="5"/>
        <v>-320</v>
      </c>
      <c r="K335" s="49"/>
      <c r="L335" s="17"/>
      <c r="M335" s="27"/>
      <c r="N335" s="49"/>
      <c r="O335" s="27"/>
      <c r="Q335" s="2"/>
      <c r="R335" s="24"/>
      <c r="S335" s="24"/>
      <c r="T335" s="24"/>
    </row>
    <row r="336" spans="1:20" x14ac:dyDescent="0.25">
      <c r="A336" s="2">
        <v>44917</v>
      </c>
      <c r="B336" s="20">
        <v>2640</v>
      </c>
      <c r="C336" s="20">
        <v>352</v>
      </c>
      <c r="D336" s="20">
        <v>10440</v>
      </c>
      <c r="E336" s="17" t="s">
        <v>92</v>
      </c>
      <c r="F336" s="17" t="s">
        <v>92</v>
      </c>
      <c r="G336" s="17" t="s">
        <v>92</v>
      </c>
      <c r="H336" s="17" t="s">
        <v>92</v>
      </c>
      <c r="I336" s="39"/>
      <c r="J336" s="47">
        <f t="shared" si="5"/>
        <v>-321</v>
      </c>
      <c r="K336" s="49"/>
      <c r="L336" s="17"/>
      <c r="M336" s="27"/>
      <c r="N336" s="49"/>
      <c r="O336" s="27"/>
      <c r="Q336" s="2"/>
      <c r="R336" s="24"/>
      <c r="S336" s="24"/>
      <c r="T336" s="24"/>
    </row>
    <row r="337" spans="1:20" x14ac:dyDescent="0.25">
      <c r="A337" s="2">
        <v>44916</v>
      </c>
      <c r="B337" s="20">
        <v>2632</v>
      </c>
      <c r="C337" s="20">
        <v>348</v>
      </c>
      <c r="D337" s="20">
        <v>10425</v>
      </c>
      <c r="E337" s="17" t="s">
        <v>92</v>
      </c>
      <c r="F337" s="17" t="s">
        <v>92</v>
      </c>
      <c r="G337" s="17" t="s">
        <v>92</v>
      </c>
      <c r="H337" s="17" t="s">
        <v>92</v>
      </c>
      <c r="I337" s="39"/>
      <c r="J337" s="47">
        <f t="shared" ref="J337:J400" si="6">+J336-1</f>
        <v>-322</v>
      </c>
      <c r="K337" s="49"/>
      <c r="L337" s="17"/>
      <c r="M337" s="27"/>
      <c r="N337" s="49"/>
      <c r="O337" s="27"/>
      <c r="Q337" s="2"/>
      <c r="R337" s="24"/>
      <c r="S337" s="24"/>
      <c r="T337" s="24"/>
    </row>
    <row r="338" spans="1:20" x14ac:dyDescent="0.25">
      <c r="A338" s="2">
        <v>44915</v>
      </c>
      <c r="B338" s="20">
        <v>2648</v>
      </c>
      <c r="C338" s="20">
        <v>340</v>
      </c>
      <c r="D338" s="20">
        <v>10350</v>
      </c>
      <c r="E338" s="17" t="s">
        <v>92</v>
      </c>
      <c r="F338" s="17" t="s">
        <v>92</v>
      </c>
      <c r="G338" s="17" t="s">
        <v>92</v>
      </c>
      <c r="H338" s="17" t="s">
        <v>92</v>
      </c>
      <c r="I338" s="39"/>
      <c r="J338" s="47">
        <f t="shared" si="6"/>
        <v>-323</v>
      </c>
      <c r="K338" s="49"/>
      <c r="L338" s="17"/>
      <c r="M338" s="27"/>
      <c r="N338" s="49"/>
      <c r="O338" s="27"/>
      <c r="Q338" s="2"/>
      <c r="R338" s="24"/>
      <c r="S338" s="24"/>
      <c r="T338" s="24"/>
    </row>
    <row r="339" spans="1:20" x14ac:dyDescent="0.25">
      <c r="A339" s="2">
        <v>44914</v>
      </c>
      <c r="B339" s="20">
        <v>2644</v>
      </c>
      <c r="C339" s="20">
        <v>339</v>
      </c>
      <c r="D339" s="20">
        <v>10285</v>
      </c>
      <c r="E339" s="17" t="s">
        <v>92</v>
      </c>
      <c r="F339" s="17" t="s">
        <v>92</v>
      </c>
      <c r="G339" s="17" t="s">
        <v>92</v>
      </c>
      <c r="H339" s="17" t="s">
        <v>92</v>
      </c>
      <c r="I339" s="39"/>
      <c r="J339" s="47">
        <f t="shared" si="6"/>
        <v>-324</v>
      </c>
      <c r="K339" s="49"/>
      <c r="L339" s="17"/>
      <c r="M339" s="27"/>
      <c r="N339" s="49"/>
      <c r="O339" s="27"/>
      <c r="Q339" s="2"/>
      <c r="R339" s="24"/>
      <c r="S339" s="24"/>
      <c r="T339" s="24"/>
    </row>
    <row r="340" spans="1:20" x14ac:dyDescent="0.25">
      <c r="A340" s="2">
        <v>44911</v>
      </c>
      <c r="B340" s="20">
        <v>2616</v>
      </c>
      <c r="C340" s="20">
        <v>332</v>
      </c>
      <c r="D340" s="20">
        <v>10390</v>
      </c>
      <c r="E340" s="17" t="s">
        <v>92</v>
      </c>
      <c r="F340" s="17" t="s">
        <v>92</v>
      </c>
      <c r="G340" s="17" t="s">
        <v>92</v>
      </c>
      <c r="H340" s="17" t="s">
        <v>92</v>
      </c>
      <c r="I340" s="39"/>
      <c r="J340" s="47">
        <f t="shared" si="6"/>
        <v>-325</v>
      </c>
      <c r="K340" s="49"/>
      <c r="L340" s="17"/>
      <c r="M340" s="27"/>
      <c r="N340" s="49"/>
      <c r="O340" s="27"/>
      <c r="Q340" s="2"/>
      <c r="R340" s="24"/>
      <c r="S340" s="24"/>
      <c r="T340" s="24"/>
    </row>
    <row r="341" spans="1:20" x14ac:dyDescent="0.25">
      <c r="A341" s="2">
        <v>44910</v>
      </c>
      <c r="B341" s="20">
        <v>2608</v>
      </c>
      <c r="C341" s="20">
        <v>344</v>
      </c>
      <c r="D341" s="20">
        <v>10200</v>
      </c>
      <c r="E341" s="17" t="s">
        <v>92</v>
      </c>
      <c r="F341" s="17" t="s">
        <v>92</v>
      </c>
      <c r="G341" s="17" t="s">
        <v>92</v>
      </c>
      <c r="H341" s="17" t="s">
        <v>92</v>
      </c>
      <c r="I341" s="39"/>
      <c r="J341" s="47">
        <f t="shared" si="6"/>
        <v>-326</v>
      </c>
      <c r="K341" s="49"/>
      <c r="L341" s="17"/>
      <c r="M341" s="27"/>
      <c r="N341" s="49"/>
      <c r="O341" s="27"/>
      <c r="Q341" s="2"/>
      <c r="R341" s="24"/>
      <c r="S341" s="24"/>
      <c r="T341" s="24"/>
    </row>
    <row r="342" spans="1:20" x14ac:dyDescent="0.25">
      <c r="A342" s="2">
        <v>44909</v>
      </c>
      <c r="B342" s="20">
        <v>2642</v>
      </c>
      <c r="C342" s="20">
        <v>339</v>
      </c>
      <c r="D342" s="20">
        <v>10255</v>
      </c>
      <c r="E342" s="17" t="s">
        <v>92</v>
      </c>
      <c r="F342" s="17" t="s">
        <v>92</v>
      </c>
      <c r="G342" s="17" t="s">
        <v>92</v>
      </c>
      <c r="H342" s="17" t="s">
        <v>92</v>
      </c>
      <c r="I342" s="39"/>
      <c r="J342" s="47">
        <f t="shared" si="6"/>
        <v>-327</v>
      </c>
      <c r="K342" s="49"/>
      <c r="L342" s="17"/>
      <c r="M342" s="27"/>
      <c r="N342" s="49"/>
      <c r="O342" s="27"/>
      <c r="Q342" s="2"/>
      <c r="R342" s="24"/>
      <c r="S342" s="24"/>
      <c r="T342" s="24"/>
    </row>
    <row r="343" spans="1:20" x14ac:dyDescent="0.25">
      <c r="A343" s="2">
        <v>44908</v>
      </c>
      <c r="B343" s="20">
        <v>2608</v>
      </c>
      <c r="C343" s="20">
        <v>331</v>
      </c>
      <c r="D343" s="20">
        <v>10340</v>
      </c>
      <c r="E343" s="17" t="s">
        <v>92</v>
      </c>
      <c r="F343" s="17" t="s">
        <v>92</v>
      </c>
      <c r="G343" s="17" t="s">
        <v>92</v>
      </c>
      <c r="H343" s="17" t="s">
        <v>92</v>
      </c>
      <c r="I343" s="39"/>
      <c r="J343" s="47">
        <f t="shared" si="6"/>
        <v>-328</v>
      </c>
      <c r="K343" s="49"/>
      <c r="L343" s="17"/>
      <c r="M343" s="27"/>
      <c r="N343" s="49"/>
      <c r="O343" s="27"/>
      <c r="Q343" s="2"/>
      <c r="R343" s="24"/>
      <c r="S343" s="24"/>
      <c r="T343" s="24"/>
    </row>
    <row r="344" spans="1:20" x14ac:dyDescent="0.25">
      <c r="A344" s="2">
        <v>44907</v>
      </c>
      <c r="B344" s="20">
        <v>2580</v>
      </c>
      <c r="C344" s="20">
        <v>326</v>
      </c>
      <c r="D344" s="20">
        <v>9980</v>
      </c>
      <c r="E344" s="17" t="s">
        <v>92</v>
      </c>
      <c r="F344" s="17" t="s">
        <v>92</v>
      </c>
      <c r="G344" s="17" t="s">
        <v>92</v>
      </c>
      <c r="H344" s="17" t="s">
        <v>92</v>
      </c>
      <c r="I344" s="39"/>
      <c r="J344" s="47">
        <f t="shared" si="6"/>
        <v>-329</v>
      </c>
      <c r="K344" s="49"/>
      <c r="L344" s="17"/>
      <c r="M344" s="27"/>
      <c r="N344" s="49"/>
      <c r="O344" s="27"/>
      <c r="Q344" s="2"/>
      <c r="R344" s="24"/>
      <c r="S344" s="24"/>
      <c r="T344" s="24"/>
    </row>
    <row r="345" spans="1:20" x14ac:dyDescent="0.25">
      <c r="A345" s="2">
        <v>44904</v>
      </c>
      <c r="B345" s="20">
        <v>2600</v>
      </c>
      <c r="C345" s="29">
        <v>324.5</v>
      </c>
      <c r="D345" s="20">
        <v>10000</v>
      </c>
      <c r="E345" s="17" t="s">
        <v>92</v>
      </c>
      <c r="F345" s="17" t="s">
        <v>92</v>
      </c>
      <c r="G345" s="17" t="s">
        <v>92</v>
      </c>
      <c r="H345" s="17" t="s">
        <v>92</v>
      </c>
      <c r="I345" s="39"/>
      <c r="J345" s="47">
        <f t="shared" si="6"/>
        <v>-330</v>
      </c>
      <c r="K345" s="49"/>
      <c r="L345" s="17"/>
      <c r="M345" s="27"/>
      <c r="N345" s="49"/>
      <c r="O345" s="27"/>
      <c r="Q345" s="2"/>
      <c r="R345" s="24"/>
      <c r="S345" s="24"/>
      <c r="T345" s="24"/>
    </row>
    <row r="346" spans="1:20" x14ac:dyDescent="0.25">
      <c r="A346" s="2">
        <v>44903</v>
      </c>
      <c r="B346" s="20">
        <v>2598</v>
      </c>
      <c r="C346" s="20">
        <v>326</v>
      </c>
      <c r="D346" s="20">
        <v>9940</v>
      </c>
      <c r="E346" s="17" t="s">
        <v>92</v>
      </c>
      <c r="F346" s="17" t="s">
        <v>92</v>
      </c>
      <c r="G346" s="17" t="s">
        <v>92</v>
      </c>
      <c r="H346" s="17" t="s">
        <v>92</v>
      </c>
      <c r="I346" s="39"/>
      <c r="J346" s="47">
        <f t="shared" si="6"/>
        <v>-331</v>
      </c>
      <c r="K346" s="49"/>
      <c r="L346" s="17"/>
      <c r="M346" s="27"/>
      <c r="N346" s="49"/>
      <c r="O346" s="27"/>
      <c r="Q346" s="2"/>
      <c r="R346" s="24"/>
      <c r="S346" s="24"/>
      <c r="T346" s="24"/>
    </row>
    <row r="347" spans="1:20" x14ac:dyDescent="0.25">
      <c r="A347" s="2">
        <v>44902</v>
      </c>
      <c r="B347" s="20">
        <v>2746</v>
      </c>
      <c r="C347" s="20">
        <v>330</v>
      </c>
      <c r="D347" s="20">
        <v>10000</v>
      </c>
      <c r="E347" s="17" t="s">
        <v>92</v>
      </c>
      <c r="F347" s="17" t="s">
        <v>92</v>
      </c>
      <c r="G347" s="17" t="s">
        <v>92</v>
      </c>
      <c r="H347" s="17" t="s">
        <v>92</v>
      </c>
      <c r="I347" s="39"/>
      <c r="J347" s="47">
        <f t="shared" si="6"/>
        <v>-332</v>
      </c>
      <c r="K347" s="49"/>
      <c r="L347" s="17"/>
      <c r="M347" s="27"/>
      <c r="N347" s="49"/>
      <c r="O347" s="27"/>
      <c r="Q347" s="2"/>
      <c r="R347" s="24"/>
      <c r="S347" s="24"/>
      <c r="T347" s="24"/>
    </row>
    <row r="348" spans="1:20" x14ac:dyDescent="0.25">
      <c r="A348" s="2">
        <v>44901</v>
      </c>
      <c r="B348" s="20">
        <v>2818</v>
      </c>
      <c r="C348" s="20">
        <v>326</v>
      </c>
      <c r="D348" s="20">
        <v>10200</v>
      </c>
      <c r="E348" s="17" t="s">
        <v>92</v>
      </c>
      <c r="F348" s="17" t="s">
        <v>92</v>
      </c>
      <c r="G348" s="17" t="s">
        <v>92</v>
      </c>
      <c r="H348" s="17" t="s">
        <v>92</v>
      </c>
      <c r="I348" s="39"/>
      <c r="J348" s="47">
        <f t="shared" si="6"/>
        <v>-333</v>
      </c>
      <c r="K348" s="49"/>
      <c r="L348" s="17"/>
      <c r="M348" s="27"/>
      <c r="N348" s="49"/>
      <c r="O348" s="27"/>
      <c r="Q348" s="2"/>
      <c r="R348" s="24"/>
      <c r="S348" s="24"/>
      <c r="T348" s="24"/>
    </row>
    <row r="349" spans="1:20" x14ac:dyDescent="0.25">
      <c r="A349" s="2">
        <v>44900</v>
      </c>
      <c r="B349" s="20">
        <v>2760</v>
      </c>
      <c r="C349" s="29">
        <v>326.5</v>
      </c>
      <c r="D349" s="20">
        <v>10090</v>
      </c>
      <c r="E349" s="17" t="s">
        <v>92</v>
      </c>
      <c r="F349" s="17" t="s">
        <v>92</v>
      </c>
      <c r="G349" s="17" t="s">
        <v>92</v>
      </c>
      <c r="H349" s="17" t="s">
        <v>92</v>
      </c>
      <c r="I349" s="39"/>
      <c r="J349" s="47">
        <f t="shared" si="6"/>
        <v>-334</v>
      </c>
      <c r="K349" s="49"/>
      <c r="L349" s="17"/>
      <c r="M349" s="27"/>
      <c r="N349" s="49"/>
      <c r="O349" s="27"/>
      <c r="Q349" s="2"/>
      <c r="R349" s="24"/>
      <c r="S349" s="24"/>
      <c r="T349" s="24"/>
    </row>
    <row r="350" spans="1:20" x14ac:dyDescent="0.25">
      <c r="A350" s="2">
        <v>44897</v>
      </c>
      <c r="B350" s="20">
        <v>2844</v>
      </c>
      <c r="C350" s="20">
        <v>325</v>
      </c>
      <c r="D350" s="20">
        <v>10595</v>
      </c>
      <c r="E350" s="17" t="s">
        <v>92</v>
      </c>
      <c r="F350" s="17" t="s">
        <v>92</v>
      </c>
      <c r="G350" s="17" t="s">
        <v>92</v>
      </c>
      <c r="H350" s="17" t="s">
        <v>92</v>
      </c>
      <c r="I350" s="39"/>
      <c r="J350" s="47">
        <f t="shared" si="6"/>
        <v>-335</v>
      </c>
      <c r="K350" s="49"/>
      <c r="L350" s="17"/>
      <c r="M350" s="27"/>
      <c r="N350" s="49"/>
      <c r="O350" s="27"/>
      <c r="Q350" s="2"/>
      <c r="R350" s="24"/>
      <c r="S350" s="24"/>
      <c r="T350" s="24"/>
    </row>
    <row r="351" spans="1:20" x14ac:dyDescent="0.25">
      <c r="A351" s="2">
        <v>44896</v>
      </c>
      <c r="B351" s="20">
        <v>2836</v>
      </c>
      <c r="C351" s="29">
        <v>332.5</v>
      </c>
      <c r="D351" s="20">
        <v>10890</v>
      </c>
      <c r="E351" s="17" t="s">
        <v>92</v>
      </c>
      <c r="F351" s="17" t="s">
        <v>92</v>
      </c>
      <c r="G351" s="17" t="s">
        <v>92</v>
      </c>
      <c r="H351" s="17" t="s">
        <v>92</v>
      </c>
      <c r="I351" s="39"/>
      <c r="J351" s="47">
        <f t="shared" si="6"/>
        <v>-336</v>
      </c>
      <c r="K351" s="49"/>
      <c r="L351" s="17"/>
      <c r="M351" s="27"/>
      <c r="N351" s="49"/>
      <c r="O351" s="27"/>
      <c r="Q351" s="2"/>
      <c r="R351" s="24"/>
      <c r="S351" s="24"/>
      <c r="T351" s="24"/>
    </row>
    <row r="352" spans="1:20" x14ac:dyDescent="0.25">
      <c r="A352" s="2">
        <v>44895</v>
      </c>
      <c r="B352" s="20">
        <v>2820</v>
      </c>
      <c r="C352" s="20">
        <v>331</v>
      </c>
      <c r="D352" s="20">
        <v>10750</v>
      </c>
      <c r="E352" s="17" t="s">
        <v>92</v>
      </c>
      <c r="F352" s="17" t="s">
        <v>92</v>
      </c>
      <c r="G352" s="17" t="s">
        <v>92</v>
      </c>
      <c r="H352" s="17" t="s">
        <v>92</v>
      </c>
      <c r="I352" s="39"/>
      <c r="J352" s="47">
        <f t="shared" si="6"/>
        <v>-337</v>
      </c>
      <c r="K352" s="49"/>
      <c r="L352" s="17"/>
      <c r="M352" s="27"/>
      <c r="N352" s="49"/>
      <c r="O352" s="27"/>
      <c r="Q352" s="2"/>
      <c r="R352" s="24"/>
      <c r="S352" s="24"/>
      <c r="T352" s="24"/>
    </row>
    <row r="353" spans="1:20" x14ac:dyDescent="0.25">
      <c r="A353" s="2">
        <v>44894</v>
      </c>
      <c r="B353" s="20">
        <v>2790</v>
      </c>
      <c r="C353" s="20">
        <v>332</v>
      </c>
      <c r="D353" s="20">
        <v>10700</v>
      </c>
      <c r="E353" s="17" t="s">
        <v>92</v>
      </c>
      <c r="F353" s="17" t="s">
        <v>92</v>
      </c>
      <c r="G353" s="17" t="s">
        <v>92</v>
      </c>
      <c r="H353" s="17" t="s">
        <v>92</v>
      </c>
      <c r="I353" s="39"/>
      <c r="J353" s="47">
        <f t="shared" si="6"/>
        <v>-338</v>
      </c>
      <c r="K353" s="49"/>
      <c r="L353" s="17"/>
      <c r="M353" s="27"/>
      <c r="N353" s="49"/>
      <c r="O353" s="27"/>
      <c r="Q353" s="2"/>
      <c r="R353" s="24"/>
      <c r="S353" s="24"/>
      <c r="T353" s="24"/>
    </row>
    <row r="354" spans="1:20" x14ac:dyDescent="0.25">
      <c r="A354" s="2">
        <v>44893</v>
      </c>
      <c r="B354" s="20">
        <v>2720</v>
      </c>
      <c r="C354" s="20">
        <v>335</v>
      </c>
      <c r="D354" s="20">
        <v>10815</v>
      </c>
      <c r="E354" s="17" t="s">
        <v>92</v>
      </c>
      <c r="F354" s="17" t="s">
        <v>92</v>
      </c>
      <c r="G354" s="17" t="s">
        <v>92</v>
      </c>
      <c r="H354" s="17" t="s">
        <v>92</v>
      </c>
      <c r="I354" s="39"/>
      <c r="J354" s="47">
        <f t="shared" si="6"/>
        <v>-339</v>
      </c>
      <c r="K354" s="49"/>
      <c r="L354" s="17"/>
      <c r="M354" s="27"/>
      <c r="N354" s="49"/>
      <c r="O354" s="27"/>
      <c r="Q354" s="2"/>
      <c r="R354" s="24"/>
      <c r="S354" s="24"/>
      <c r="T354" s="24"/>
    </row>
    <row r="355" spans="1:20" x14ac:dyDescent="0.25">
      <c r="A355" s="2">
        <v>44890</v>
      </c>
      <c r="B355" s="20">
        <v>2768</v>
      </c>
      <c r="C355" s="29">
        <v>329.5</v>
      </c>
      <c r="D355" s="20">
        <v>10800</v>
      </c>
      <c r="E355" s="17" t="s">
        <v>92</v>
      </c>
      <c r="F355" s="17" t="s">
        <v>92</v>
      </c>
      <c r="G355" s="17" t="s">
        <v>92</v>
      </c>
      <c r="H355" s="17" t="s">
        <v>92</v>
      </c>
      <c r="I355" s="39"/>
      <c r="J355" s="47">
        <f t="shared" si="6"/>
        <v>-340</v>
      </c>
      <c r="K355" s="49"/>
      <c r="L355" s="17"/>
      <c r="M355" s="27"/>
      <c r="N355" s="49"/>
      <c r="O355" s="27"/>
      <c r="Q355" s="2"/>
      <c r="R355" s="24"/>
      <c r="S355" s="24"/>
      <c r="T355" s="24"/>
    </row>
    <row r="356" spans="1:20" x14ac:dyDescent="0.25">
      <c r="A356" s="2">
        <v>44889</v>
      </c>
      <c r="B356" s="20">
        <v>2762</v>
      </c>
      <c r="C356" s="29">
        <v>326.5</v>
      </c>
      <c r="D356" s="20">
        <v>10750</v>
      </c>
      <c r="E356" s="17" t="s">
        <v>92</v>
      </c>
      <c r="F356" s="17" t="s">
        <v>92</v>
      </c>
      <c r="G356" s="17" t="s">
        <v>92</v>
      </c>
      <c r="H356" s="17" t="s">
        <v>92</v>
      </c>
      <c r="I356" s="39"/>
      <c r="J356" s="47">
        <f t="shared" si="6"/>
        <v>-341</v>
      </c>
      <c r="K356" s="49"/>
      <c r="L356" s="17"/>
      <c r="M356" s="27"/>
      <c r="N356" s="49"/>
      <c r="O356" s="27"/>
      <c r="Q356" s="2"/>
      <c r="R356" s="24"/>
      <c r="S356" s="24"/>
      <c r="T356" s="24"/>
    </row>
    <row r="357" spans="1:20" x14ac:dyDescent="0.25">
      <c r="A357" s="2">
        <v>44888</v>
      </c>
      <c r="B357" s="20">
        <v>2740</v>
      </c>
      <c r="C357" s="20">
        <v>325</v>
      </c>
      <c r="D357" s="20">
        <v>10710</v>
      </c>
      <c r="E357" s="17" t="s">
        <v>92</v>
      </c>
      <c r="F357" s="17" t="s">
        <v>92</v>
      </c>
      <c r="G357" s="17" t="s">
        <v>92</v>
      </c>
      <c r="H357" s="17" t="s">
        <v>92</v>
      </c>
      <c r="I357" s="39"/>
      <c r="J357" s="47">
        <f t="shared" si="6"/>
        <v>-342</v>
      </c>
      <c r="K357" s="49"/>
      <c r="L357" s="17"/>
      <c r="M357" s="27"/>
      <c r="N357" s="49"/>
      <c r="O357" s="27"/>
      <c r="Q357" s="2"/>
      <c r="R357" s="24"/>
      <c r="S357" s="24"/>
      <c r="T357" s="24"/>
    </row>
    <row r="358" spans="1:20" x14ac:dyDescent="0.25">
      <c r="A358" s="2">
        <v>44887</v>
      </c>
      <c r="B358" s="20">
        <v>2770</v>
      </c>
      <c r="C358" s="20">
        <v>327</v>
      </c>
      <c r="D358" s="20">
        <v>10840</v>
      </c>
      <c r="E358" s="17" t="s">
        <v>92</v>
      </c>
      <c r="F358" s="17" t="s">
        <v>92</v>
      </c>
      <c r="G358" s="17" t="s">
        <v>92</v>
      </c>
      <c r="H358" s="17" t="s">
        <v>92</v>
      </c>
      <c r="I358" s="39"/>
      <c r="J358" s="47">
        <f t="shared" si="6"/>
        <v>-343</v>
      </c>
      <c r="K358" s="49"/>
      <c r="L358" s="17"/>
      <c r="M358" s="27"/>
      <c r="N358" s="49"/>
      <c r="O358" s="27"/>
      <c r="Q358" s="2"/>
      <c r="R358" s="24"/>
      <c r="S358" s="24"/>
      <c r="T358" s="24"/>
    </row>
    <row r="359" spans="1:20" x14ac:dyDescent="0.25">
      <c r="A359" s="2">
        <v>44886</v>
      </c>
      <c r="B359" s="20">
        <v>2698</v>
      </c>
      <c r="C359" s="29">
        <v>321.5</v>
      </c>
      <c r="D359" s="20">
        <v>10620</v>
      </c>
      <c r="E359" s="17" t="s">
        <v>92</v>
      </c>
      <c r="F359" s="17" t="s">
        <v>92</v>
      </c>
      <c r="G359" s="17" t="s">
        <v>92</v>
      </c>
      <c r="H359" s="17" t="s">
        <v>92</v>
      </c>
      <c r="I359" s="39"/>
      <c r="J359" s="47">
        <f t="shared" si="6"/>
        <v>-344</v>
      </c>
      <c r="K359" s="49"/>
      <c r="L359" s="17"/>
      <c r="M359" s="27"/>
      <c r="N359" s="49"/>
      <c r="O359" s="27"/>
      <c r="Q359" s="2"/>
      <c r="R359" s="24"/>
      <c r="S359" s="24"/>
      <c r="T359" s="24"/>
    </row>
    <row r="360" spans="1:20" x14ac:dyDescent="0.25">
      <c r="A360" s="2">
        <v>44883</v>
      </c>
      <c r="B360" s="20">
        <v>2680</v>
      </c>
      <c r="C360" s="29">
        <v>320.5</v>
      </c>
      <c r="D360" s="20">
        <v>10580</v>
      </c>
      <c r="E360" s="17" t="s">
        <v>92</v>
      </c>
      <c r="F360" s="17" t="s">
        <v>92</v>
      </c>
      <c r="G360" s="17" t="s">
        <v>92</v>
      </c>
      <c r="H360" s="17" t="s">
        <v>92</v>
      </c>
      <c r="I360" s="39"/>
      <c r="J360" s="47">
        <f t="shared" si="6"/>
        <v>-345</v>
      </c>
      <c r="K360" s="49"/>
      <c r="L360" s="17"/>
      <c r="M360" s="27"/>
      <c r="N360" s="49"/>
      <c r="O360" s="27"/>
      <c r="Q360" s="2"/>
      <c r="R360" s="24"/>
      <c r="S360" s="24"/>
      <c r="T360" s="24"/>
    </row>
    <row r="361" spans="1:20" x14ac:dyDescent="0.25">
      <c r="A361" s="2">
        <v>44882</v>
      </c>
      <c r="B361" s="20">
        <v>2652</v>
      </c>
      <c r="C361" s="20">
        <v>319</v>
      </c>
      <c r="D361" s="20">
        <v>10350</v>
      </c>
      <c r="E361" s="17" t="s">
        <v>92</v>
      </c>
      <c r="F361" s="17" t="s">
        <v>92</v>
      </c>
      <c r="G361" s="17" t="s">
        <v>92</v>
      </c>
      <c r="H361" s="17" t="s">
        <v>92</v>
      </c>
      <c r="I361" s="39"/>
      <c r="J361" s="47">
        <f t="shared" si="6"/>
        <v>-346</v>
      </c>
      <c r="K361" s="49"/>
      <c r="L361" s="17"/>
      <c r="M361" s="27"/>
      <c r="N361" s="49"/>
      <c r="O361" s="27"/>
      <c r="Q361" s="2"/>
      <c r="R361" s="24"/>
      <c r="S361" s="24"/>
      <c r="T361" s="24"/>
    </row>
    <row r="362" spans="1:20" x14ac:dyDescent="0.25">
      <c r="A362" s="2">
        <v>44881</v>
      </c>
      <c r="B362" s="20">
        <v>2606</v>
      </c>
      <c r="C362" s="20">
        <v>318</v>
      </c>
      <c r="D362" s="20">
        <v>10490</v>
      </c>
      <c r="E362" s="17" t="s">
        <v>92</v>
      </c>
      <c r="F362" s="17" t="s">
        <v>92</v>
      </c>
      <c r="G362" s="17" t="s">
        <v>92</v>
      </c>
      <c r="H362" s="17" t="s">
        <v>92</v>
      </c>
      <c r="I362" s="39"/>
      <c r="J362" s="47">
        <f t="shared" si="6"/>
        <v>-347</v>
      </c>
      <c r="K362" s="49"/>
      <c r="L362" s="17"/>
      <c r="M362" s="27"/>
      <c r="N362" s="49"/>
      <c r="O362" s="27"/>
      <c r="Q362" s="2"/>
      <c r="R362" s="24"/>
      <c r="S362" s="24"/>
      <c r="T362" s="24"/>
    </row>
    <row r="363" spans="1:20" x14ac:dyDescent="0.25">
      <c r="A363" s="2">
        <v>44880</v>
      </c>
      <c r="B363" s="20">
        <v>2618</v>
      </c>
      <c r="C363" s="20">
        <v>317</v>
      </c>
      <c r="D363" s="20">
        <v>10495</v>
      </c>
      <c r="E363" s="17" t="s">
        <v>92</v>
      </c>
      <c r="F363" s="17" t="s">
        <v>92</v>
      </c>
      <c r="G363" s="17" t="s">
        <v>92</v>
      </c>
      <c r="H363" s="17" t="s">
        <v>92</v>
      </c>
      <c r="I363" s="39"/>
      <c r="J363" s="47">
        <f t="shared" si="6"/>
        <v>-348</v>
      </c>
      <c r="K363" s="49"/>
      <c r="L363" s="17"/>
      <c r="M363" s="27"/>
      <c r="N363" s="49"/>
      <c r="O363" s="27"/>
      <c r="Q363" s="2"/>
      <c r="R363" s="24"/>
      <c r="S363" s="24"/>
      <c r="T363" s="24"/>
    </row>
    <row r="364" spans="1:20" x14ac:dyDescent="0.25">
      <c r="A364" s="2">
        <v>44879</v>
      </c>
      <c r="B364" s="20">
        <v>2644</v>
      </c>
      <c r="C364" s="20">
        <v>320</v>
      </c>
      <c r="D364" s="20">
        <v>10240</v>
      </c>
      <c r="E364" s="17" t="s">
        <v>92</v>
      </c>
      <c r="F364" s="17" t="s">
        <v>92</v>
      </c>
      <c r="G364" s="17" t="s">
        <v>92</v>
      </c>
      <c r="H364" s="17" t="s">
        <v>92</v>
      </c>
      <c r="I364" s="39"/>
      <c r="J364" s="47">
        <f t="shared" si="6"/>
        <v>-349</v>
      </c>
      <c r="K364" s="49"/>
      <c r="L364" s="17"/>
      <c r="M364" s="27"/>
      <c r="N364" s="49"/>
      <c r="O364" s="27"/>
      <c r="Q364" s="2"/>
      <c r="R364" s="24"/>
      <c r="S364" s="24"/>
      <c r="T364" s="24"/>
    </row>
    <row r="365" spans="1:20" x14ac:dyDescent="0.25">
      <c r="A365" s="2">
        <v>44876</v>
      </c>
      <c r="B365" s="20">
        <v>2622</v>
      </c>
      <c r="C365" s="29">
        <v>324.5</v>
      </c>
      <c r="D365" s="20">
        <v>10005</v>
      </c>
      <c r="E365" s="17" t="s">
        <v>92</v>
      </c>
      <c r="F365" s="17" t="s">
        <v>92</v>
      </c>
      <c r="G365" s="17" t="s">
        <v>92</v>
      </c>
      <c r="H365" s="17" t="s">
        <v>92</v>
      </c>
      <c r="I365" s="39"/>
      <c r="J365" s="47">
        <f t="shared" si="6"/>
        <v>-350</v>
      </c>
      <c r="K365" s="49"/>
      <c r="L365" s="17"/>
      <c r="M365" s="27"/>
      <c r="N365" s="49"/>
      <c r="O365" s="27"/>
      <c r="Q365" s="2"/>
      <c r="R365" s="24"/>
      <c r="S365" s="24"/>
      <c r="T365" s="24"/>
    </row>
    <row r="366" spans="1:20" x14ac:dyDescent="0.25">
      <c r="A366" s="2">
        <v>44875</v>
      </c>
      <c r="B366" s="20">
        <v>2624</v>
      </c>
      <c r="C366" s="20">
        <v>318</v>
      </c>
      <c r="D366" s="20">
        <v>9660</v>
      </c>
      <c r="E366" s="17" t="s">
        <v>92</v>
      </c>
      <c r="F366" s="17" t="s">
        <v>92</v>
      </c>
      <c r="G366" s="17" t="s">
        <v>92</v>
      </c>
      <c r="H366" s="17" t="s">
        <v>92</v>
      </c>
      <c r="I366" s="39"/>
      <c r="J366" s="47">
        <f t="shared" si="6"/>
        <v>-351</v>
      </c>
      <c r="K366" s="49"/>
      <c r="L366" s="17"/>
      <c r="M366" s="27"/>
      <c r="N366" s="49"/>
      <c r="O366" s="27"/>
      <c r="Q366" s="2"/>
      <c r="R366" s="24"/>
      <c r="S366" s="24"/>
      <c r="T366" s="24"/>
    </row>
    <row r="367" spans="1:20" x14ac:dyDescent="0.25">
      <c r="A367" s="2">
        <v>44874</v>
      </c>
      <c r="B367" s="20">
        <v>2652</v>
      </c>
      <c r="C367" s="20">
        <v>313</v>
      </c>
      <c r="D367" s="20">
        <v>9982</v>
      </c>
      <c r="E367" s="17" t="s">
        <v>92</v>
      </c>
      <c r="F367" s="17" t="s">
        <v>92</v>
      </c>
      <c r="G367" s="17" t="s">
        <v>92</v>
      </c>
      <c r="H367" s="17" t="s">
        <v>92</v>
      </c>
      <c r="I367" s="39"/>
      <c r="J367" s="47">
        <f t="shared" si="6"/>
        <v>-352</v>
      </c>
      <c r="K367" s="49"/>
      <c r="L367" s="17"/>
      <c r="M367" s="27"/>
      <c r="N367" s="49"/>
      <c r="O367" s="27"/>
      <c r="Q367" s="2"/>
      <c r="R367" s="24"/>
      <c r="S367" s="24"/>
      <c r="T367" s="24"/>
    </row>
    <row r="368" spans="1:20" x14ac:dyDescent="0.25">
      <c r="A368" s="2">
        <v>44873</v>
      </c>
      <c r="B368" s="20">
        <v>2628</v>
      </c>
      <c r="C368" s="20">
        <v>305</v>
      </c>
      <c r="D368" s="20">
        <v>9980</v>
      </c>
      <c r="E368" s="17" t="s">
        <v>92</v>
      </c>
      <c r="F368" s="17" t="s">
        <v>92</v>
      </c>
      <c r="G368" s="17" t="s">
        <v>92</v>
      </c>
      <c r="H368" s="17" t="s">
        <v>92</v>
      </c>
      <c r="I368" s="39"/>
      <c r="J368" s="47">
        <f t="shared" si="6"/>
        <v>-353</v>
      </c>
      <c r="K368" s="49"/>
      <c r="L368" s="17"/>
      <c r="M368" s="27"/>
      <c r="N368" s="49"/>
      <c r="O368" s="27"/>
      <c r="Q368" s="2"/>
      <c r="R368" s="24"/>
      <c r="S368" s="24"/>
      <c r="T368" s="24"/>
    </row>
    <row r="369" spans="1:20" x14ac:dyDescent="0.25">
      <c r="A369" s="2">
        <v>44872</v>
      </c>
      <c r="B369" s="20">
        <v>2690</v>
      </c>
      <c r="C369" s="20">
        <v>302</v>
      </c>
      <c r="D369" s="20">
        <v>9910</v>
      </c>
      <c r="E369" s="17" t="s">
        <v>92</v>
      </c>
      <c r="F369" s="17" t="s">
        <v>92</v>
      </c>
      <c r="G369" s="17" t="s">
        <v>92</v>
      </c>
      <c r="H369" s="17" t="s">
        <v>92</v>
      </c>
      <c r="I369" s="39"/>
      <c r="J369" s="47">
        <f t="shared" si="6"/>
        <v>-354</v>
      </c>
      <c r="K369" s="49"/>
      <c r="L369" s="17"/>
      <c r="M369" s="27"/>
      <c r="N369" s="49"/>
      <c r="O369" s="27"/>
      <c r="Q369" s="2"/>
      <c r="R369" s="24"/>
      <c r="S369" s="24"/>
      <c r="T369" s="24"/>
    </row>
    <row r="370" spans="1:20" x14ac:dyDescent="0.25">
      <c r="A370" s="2">
        <v>44869</v>
      </c>
      <c r="B370" s="20">
        <v>2634</v>
      </c>
      <c r="C370" s="20">
        <v>297</v>
      </c>
      <c r="D370" s="20">
        <v>9550</v>
      </c>
      <c r="E370" s="17" t="s">
        <v>92</v>
      </c>
      <c r="F370" s="17" t="s">
        <v>92</v>
      </c>
      <c r="G370" s="17" t="s">
        <v>92</v>
      </c>
      <c r="H370" s="17" t="s">
        <v>92</v>
      </c>
      <c r="I370" s="39"/>
      <c r="J370" s="47">
        <f t="shared" si="6"/>
        <v>-355</v>
      </c>
      <c r="K370" s="49"/>
      <c r="L370" s="17"/>
      <c r="M370" s="27"/>
      <c r="N370" s="49"/>
      <c r="O370" s="27"/>
      <c r="Q370" s="2"/>
      <c r="R370" s="24"/>
      <c r="S370" s="24"/>
      <c r="T370" s="24"/>
    </row>
    <row r="371" spans="1:20" x14ac:dyDescent="0.25">
      <c r="A371" s="2">
        <v>44868</v>
      </c>
      <c r="B371" s="20">
        <v>2582</v>
      </c>
      <c r="C371" s="20">
        <v>290</v>
      </c>
      <c r="D371" s="20">
        <v>9200</v>
      </c>
      <c r="E371" s="17" t="s">
        <v>92</v>
      </c>
      <c r="F371" s="17" t="s">
        <v>92</v>
      </c>
      <c r="G371" s="17" t="s">
        <v>92</v>
      </c>
      <c r="H371" s="17" t="s">
        <v>92</v>
      </c>
      <c r="I371" s="39"/>
      <c r="J371" s="47">
        <f t="shared" si="6"/>
        <v>-356</v>
      </c>
      <c r="K371" s="49"/>
      <c r="L371" s="17"/>
      <c r="M371" s="27"/>
      <c r="N371" s="49"/>
      <c r="O371" s="27"/>
      <c r="Q371" s="2"/>
      <c r="R371" s="24"/>
      <c r="S371" s="24"/>
      <c r="T371" s="24"/>
    </row>
    <row r="372" spans="1:20" x14ac:dyDescent="0.25">
      <c r="A372" s="2">
        <v>44867</v>
      </c>
      <c r="B372" s="20">
        <v>2484</v>
      </c>
      <c r="C372" s="29">
        <v>293.5</v>
      </c>
      <c r="D372" s="20">
        <v>9108</v>
      </c>
      <c r="E372" s="17" t="s">
        <v>92</v>
      </c>
      <c r="F372" s="17" t="s">
        <v>92</v>
      </c>
      <c r="G372" s="17" t="s">
        <v>92</v>
      </c>
      <c r="H372" s="17" t="s">
        <v>92</v>
      </c>
      <c r="I372" s="39"/>
      <c r="J372" s="47">
        <f t="shared" si="6"/>
        <v>-357</v>
      </c>
      <c r="K372" s="49"/>
      <c r="L372" s="17"/>
      <c r="M372" s="27"/>
      <c r="N372" s="49"/>
      <c r="O372" s="27"/>
      <c r="Q372" s="2"/>
      <c r="R372" s="24"/>
      <c r="S372" s="24"/>
      <c r="T372" s="24"/>
    </row>
    <row r="373" spans="1:20" x14ac:dyDescent="0.25">
      <c r="A373" s="2">
        <v>44862</v>
      </c>
      <c r="B373" s="20">
        <v>2484</v>
      </c>
      <c r="C373" s="20">
        <v>297</v>
      </c>
      <c r="D373" s="20">
        <v>9030</v>
      </c>
      <c r="E373" s="17" t="s">
        <v>92</v>
      </c>
      <c r="F373" s="17" t="s">
        <v>92</v>
      </c>
      <c r="G373" s="17" t="s">
        <v>92</v>
      </c>
      <c r="H373" s="17" t="s">
        <v>92</v>
      </c>
      <c r="I373" s="39"/>
      <c r="J373" s="47">
        <f t="shared" si="6"/>
        <v>-358</v>
      </c>
      <c r="K373" s="49"/>
      <c r="L373" s="17"/>
      <c r="M373" s="27"/>
      <c r="N373" s="49"/>
      <c r="O373" s="27"/>
      <c r="Q373" s="2"/>
      <c r="R373" s="24"/>
      <c r="S373" s="24"/>
      <c r="T373" s="24"/>
    </row>
    <row r="374" spans="1:20" x14ac:dyDescent="0.25">
      <c r="A374" s="2">
        <v>44861</v>
      </c>
      <c r="B374" s="20">
        <v>2480</v>
      </c>
      <c r="C374" s="29">
        <v>299.5</v>
      </c>
      <c r="D374" s="20">
        <v>8958</v>
      </c>
      <c r="E374" s="17" t="s">
        <v>92</v>
      </c>
      <c r="F374" s="17" t="s">
        <v>92</v>
      </c>
      <c r="G374" s="17" t="s">
        <v>92</v>
      </c>
      <c r="H374" s="17" t="s">
        <v>92</v>
      </c>
      <c r="I374" s="39"/>
      <c r="J374" s="47">
        <f t="shared" si="6"/>
        <v>-359</v>
      </c>
      <c r="K374" s="49"/>
      <c r="L374" s="17"/>
      <c r="M374" s="27"/>
      <c r="N374" s="49"/>
      <c r="O374" s="27"/>
      <c r="Q374" s="2"/>
      <c r="R374" s="24"/>
      <c r="S374" s="24"/>
      <c r="T374" s="24"/>
    </row>
    <row r="375" spans="1:20" x14ac:dyDescent="0.25">
      <c r="A375" s="2">
        <v>44860</v>
      </c>
      <c r="B375" s="20">
        <v>2464</v>
      </c>
      <c r="C375" s="20">
        <v>295</v>
      </c>
      <c r="D375" s="20">
        <v>8900</v>
      </c>
      <c r="E375" s="17" t="s">
        <v>92</v>
      </c>
      <c r="F375" s="17" t="s">
        <v>92</v>
      </c>
      <c r="G375" s="17" t="s">
        <v>92</v>
      </c>
      <c r="H375" s="17" t="s">
        <v>92</v>
      </c>
      <c r="I375" s="39"/>
      <c r="J375" s="47">
        <f t="shared" si="6"/>
        <v>-360</v>
      </c>
      <c r="K375" s="49"/>
      <c r="L375" s="17"/>
      <c r="M375" s="27"/>
      <c r="N375" s="49"/>
      <c r="O375" s="27"/>
      <c r="Q375" s="2"/>
      <c r="R375" s="24"/>
      <c r="S375" s="24"/>
      <c r="T375" s="24"/>
    </row>
    <row r="376" spans="1:20" x14ac:dyDescent="0.25">
      <c r="A376" s="2">
        <v>44859</v>
      </c>
      <c r="B376" s="20">
        <v>2470</v>
      </c>
      <c r="C376" s="29">
        <v>285.5</v>
      </c>
      <c r="D376" s="20">
        <v>8850</v>
      </c>
      <c r="E376" s="17" t="s">
        <v>92</v>
      </c>
      <c r="F376" s="17" t="s">
        <v>92</v>
      </c>
      <c r="G376" s="17" t="s">
        <v>92</v>
      </c>
      <c r="H376" s="17" t="s">
        <v>92</v>
      </c>
      <c r="I376" s="39"/>
      <c r="J376" s="47">
        <f t="shared" si="6"/>
        <v>-361</v>
      </c>
      <c r="K376" s="49"/>
      <c r="L376" s="17"/>
      <c r="M376" s="27"/>
      <c r="N376" s="49"/>
      <c r="O376" s="27"/>
      <c r="Q376" s="2"/>
      <c r="R376" s="24"/>
      <c r="S376" s="24"/>
      <c r="T376" s="24"/>
    </row>
    <row r="377" spans="1:20" x14ac:dyDescent="0.25">
      <c r="A377" s="2">
        <v>44858</v>
      </c>
      <c r="B377" s="20">
        <v>2450</v>
      </c>
      <c r="C377" s="20">
        <v>284</v>
      </c>
      <c r="D377" s="20">
        <v>8832</v>
      </c>
      <c r="E377" s="17" t="s">
        <v>92</v>
      </c>
      <c r="F377" s="17" t="s">
        <v>92</v>
      </c>
      <c r="G377" s="17" t="s">
        <v>92</v>
      </c>
      <c r="H377" s="17" t="s">
        <v>92</v>
      </c>
      <c r="I377" s="39"/>
      <c r="J377" s="47">
        <f t="shared" si="6"/>
        <v>-362</v>
      </c>
      <c r="K377" s="49"/>
      <c r="L377" s="17"/>
      <c r="M377" s="27"/>
      <c r="N377" s="49"/>
      <c r="O377" s="27"/>
      <c r="Q377" s="2"/>
      <c r="R377" s="24"/>
      <c r="S377" s="24"/>
      <c r="T377" s="24"/>
    </row>
    <row r="378" spans="1:20" x14ac:dyDescent="0.25">
      <c r="A378" s="2">
        <v>44855</v>
      </c>
      <c r="B378" s="20">
        <v>2446</v>
      </c>
      <c r="C378" s="29">
        <v>282.5</v>
      </c>
      <c r="D378" s="20">
        <v>8940</v>
      </c>
      <c r="E378" s="17" t="s">
        <v>92</v>
      </c>
      <c r="F378" s="17" t="s">
        <v>92</v>
      </c>
      <c r="G378" s="17" t="s">
        <v>92</v>
      </c>
      <c r="H378" s="17" t="s">
        <v>92</v>
      </c>
      <c r="I378" s="39"/>
      <c r="J378" s="47">
        <f t="shared" si="6"/>
        <v>-363</v>
      </c>
      <c r="K378" s="49"/>
      <c r="L378" s="17"/>
      <c r="M378" s="27"/>
      <c r="N378" s="49"/>
      <c r="O378" s="27"/>
      <c r="Q378" s="2"/>
      <c r="R378" s="24"/>
      <c r="S378" s="24"/>
      <c r="T378" s="24"/>
    </row>
    <row r="379" spans="1:20" x14ac:dyDescent="0.25">
      <c r="A379" s="2">
        <v>44854</v>
      </c>
      <c r="B379" s="20">
        <v>2438</v>
      </c>
      <c r="C379" s="20">
        <v>280</v>
      </c>
      <c r="D379" s="20">
        <v>8988</v>
      </c>
      <c r="E379" s="17" t="s">
        <v>92</v>
      </c>
      <c r="F379" s="17" t="s">
        <v>92</v>
      </c>
      <c r="G379" s="17" t="s">
        <v>92</v>
      </c>
      <c r="H379" s="17" t="s">
        <v>92</v>
      </c>
      <c r="I379" s="39"/>
      <c r="J379" s="47">
        <f t="shared" si="6"/>
        <v>-364</v>
      </c>
      <c r="K379" s="49"/>
      <c r="L379" s="17"/>
      <c r="M379" s="27"/>
      <c r="N379" s="49"/>
      <c r="O379" s="27"/>
      <c r="Q379" s="2"/>
      <c r="R379" s="24"/>
      <c r="S379" s="24"/>
      <c r="T379" s="24"/>
    </row>
    <row r="380" spans="1:20" x14ac:dyDescent="0.25">
      <c r="A380" s="2">
        <v>44853</v>
      </c>
      <c r="B380" s="20">
        <v>2434</v>
      </c>
      <c r="C380" s="29">
        <v>285.5</v>
      </c>
      <c r="D380" s="20">
        <v>8986</v>
      </c>
      <c r="E380" s="17" t="s">
        <v>92</v>
      </c>
      <c r="F380" s="17" t="s">
        <v>92</v>
      </c>
      <c r="G380" s="17" t="s">
        <v>92</v>
      </c>
      <c r="H380" s="17" t="s">
        <v>92</v>
      </c>
      <c r="I380" s="39"/>
      <c r="J380" s="47">
        <f t="shared" si="6"/>
        <v>-365</v>
      </c>
      <c r="K380" s="49"/>
      <c r="L380" s="17"/>
      <c r="M380" s="27"/>
      <c r="N380" s="49"/>
      <c r="O380" s="27"/>
      <c r="Q380" s="2"/>
      <c r="R380" s="24"/>
      <c r="S380" s="24"/>
      <c r="T380" s="24"/>
    </row>
    <row r="381" spans="1:20" x14ac:dyDescent="0.25">
      <c r="A381" s="2">
        <v>44852</v>
      </c>
      <c r="B381" s="20">
        <v>2468</v>
      </c>
      <c r="C381" s="20">
        <v>291</v>
      </c>
      <c r="D381" s="20">
        <v>9066</v>
      </c>
      <c r="E381" s="17" t="s">
        <v>92</v>
      </c>
      <c r="F381" s="17" t="s">
        <v>92</v>
      </c>
      <c r="G381" s="17" t="s">
        <v>92</v>
      </c>
      <c r="H381" s="17" t="s">
        <v>92</v>
      </c>
      <c r="I381" s="39"/>
      <c r="J381" s="47">
        <f t="shared" si="6"/>
        <v>-366</v>
      </c>
      <c r="K381" s="49"/>
      <c r="L381" s="17"/>
      <c r="M381" s="27"/>
      <c r="N381" s="49"/>
      <c r="O381" s="27"/>
      <c r="Q381" s="2"/>
      <c r="R381" s="24"/>
      <c r="S381" s="24"/>
      <c r="T381" s="24"/>
    </row>
    <row r="382" spans="1:20" x14ac:dyDescent="0.25">
      <c r="A382" s="2">
        <v>44851</v>
      </c>
      <c r="B382" s="20">
        <v>2458</v>
      </c>
      <c r="C382" s="29">
        <v>281.5</v>
      </c>
      <c r="D382" s="20">
        <v>8600</v>
      </c>
      <c r="E382" s="17" t="s">
        <v>92</v>
      </c>
      <c r="F382" s="17" t="s">
        <v>92</v>
      </c>
      <c r="G382" s="17" t="s">
        <v>92</v>
      </c>
      <c r="H382" s="17" t="s">
        <v>92</v>
      </c>
      <c r="I382" s="39"/>
      <c r="J382" s="47">
        <f t="shared" si="6"/>
        <v>-367</v>
      </c>
      <c r="K382" s="49"/>
      <c r="L382" s="17"/>
      <c r="M382" s="27"/>
      <c r="N382" s="49"/>
      <c r="O382" s="27"/>
      <c r="Q382" s="2"/>
      <c r="R382" s="24"/>
      <c r="S382" s="24"/>
      <c r="T382" s="24"/>
    </row>
    <row r="383" spans="1:20" x14ac:dyDescent="0.25">
      <c r="A383" s="2">
        <v>44848</v>
      </c>
      <c r="B383" s="20">
        <v>2450</v>
      </c>
      <c r="C383" s="20">
        <v>283</v>
      </c>
      <c r="D383" s="20">
        <v>8458</v>
      </c>
      <c r="E383" s="17" t="s">
        <v>92</v>
      </c>
      <c r="F383" s="17" t="s">
        <v>92</v>
      </c>
      <c r="G383" s="17" t="s">
        <v>92</v>
      </c>
      <c r="H383" s="17" t="s">
        <v>92</v>
      </c>
      <c r="I383" s="39"/>
      <c r="J383" s="47">
        <f t="shared" si="6"/>
        <v>-368</v>
      </c>
      <c r="K383" s="49"/>
      <c r="L383" s="17"/>
      <c r="M383" s="27"/>
      <c r="N383" s="49"/>
      <c r="O383" s="27"/>
      <c r="Q383" s="2"/>
      <c r="R383" s="24"/>
      <c r="S383" s="24"/>
      <c r="T383" s="24"/>
    </row>
    <row r="384" spans="1:20" x14ac:dyDescent="0.25">
      <c r="A384" s="2">
        <v>44847</v>
      </c>
      <c r="B384" s="20">
        <v>2402</v>
      </c>
      <c r="C384" s="20">
        <v>282</v>
      </c>
      <c r="D384" s="20">
        <v>8128</v>
      </c>
      <c r="E384" s="17" t="s">
        <v>92</v>
      </c>
      <c r="F384" s="17" t="s">
        <v>92</v>
      </c>
      <c r="G384" s="17" t="s">
        <v>92</v>
      </c>
      <c r="H384" s="17" t="s">
        <v>92</v>
      </c>
      <c r="I384" s="39"/>
      <c r="J384" s="47">
        <f t="shared" si="6"/>
        <v>-369</v>
      </c>
      <c r="K384" s="49"/>
      <c r="L384" s="17"/>
      <c r="M384" s="27"/>
      <c r="N384" s="49"/>
      <c r="O384" s="27"/>
      <c r="Q384" s="2"/>
      <c r="R384" s="24"/>
      <c r="S384" s="24"/>
      <c r="T384" s="24"/>
    </row>
    <row r="385" spans="1:20" x14ac:dyDescent="0.25">
      <c r="A385" s="2">
        <v>44846</v>
      </c>
      <c r="B385" s="20">
        <v>2438</v>
      </c>
      <c r="C385" s="20">
        <v>281</v>
      </c>
      <c r="D385" s="20">
        <v>8100</v>
      </c>
      <c r="E385" s="17" t="s">
        <v>92</v>
      </c>
      <c r="F385" s="17" t="s">
        <v>92</v>
      </c>
      <c r="G385" s="17" t="s">
        <v>92</v>
      </c>
      <c r="H385" s="17" t="s">
        <v>92</v>
      </c>
      <c r="I385" s="39"/>
      <c r="J385" s="47">
        <f t="shared" si="6"/>
        <v>-370</v>
      </c>
      <c r="K385" s="49"/>
      <c r="L385" s="17"/>
      <c r="M385" s="27"/>
      <c r="N385" s="49"/>
      <c r="O385" s="27"/>
      <c r="Q385" s="2"/>
      <c r="R385" s="24"/>
      <c r="S385" s="24"/>
      <c r="T385" s="24"/>
    </row>
    <row r="386" spans="1:20" x14ac:dyDescent="0.25">
      <c r="A386" s="2">
        <v>44845</v>
      </c>
      <c r="B386" s="20">
        <v>2454</v>
      </c>
      <c r="C386" s="29">
        <v>281.5</v>
      </c>
      <c r="D386" s="20">
        <v>8050</v>
      </c>
      <c r="E386" s="17" t="s">
        <v>92</v>
      </c>
      <c r="F386" s="17" t="s">
        <v>92</v>
      </c>
      <c r="G386" s="17" t="s">
        <v>92</v>
      </c>
      <c r="H386" s="17" t="s">
        <v>92</v>
      </c>
      <c r="I386" s="39"/>
      <c r="J386" s="47">
        <f t="shared" si="6"/>
        <v>-371</v>
      </c>
      <c r="K386" s="49"/>
      <c r="L386" s="17"/>
      <c r="M386" s="27"/>
      <c r="N386" s="49"/>
      <c r="O386" s="27"/>
      <c r="Q386" s="2"/>
      <c r="R386" s="24"/>
      <c r="S386" s="24"/>
      <c r="T386" s="24"/>
    </row>
    <row r="387" spans="1:20" x14ac:dyDescent="0.25">
      <c r="A387" s="2">
        <v>44844</v>
      </c>
      <c r="B387" s="20">
        <v>2470</v>
      </c>
      <c r="C387" s="29">
        <v>288.5</v>
      </c>
      <c r="D387" s="20">
        <v>8200</v>
      </c>
      <c r="E387" s="17" t="s">
        <v>92</v>
      </c>
      <c r="F387" s="17" t="s">
        <v>92</v>
      </c>
      <c r="G387" s="17" t="s">
        <v>92</v>
      </c>
      <c r="H387" s="17" t="s">
        <v>92</v>
      </c>
      <c r="I387" s="39"/>
      <c r="J387" s="47">
        <f t="shared" si="6"/>
        <v>-372</v>
      </c>
      <c r="K387" s="49"/>
      <c r="L387" s="17"/>
      <c r="M387" s="27"/>
      <c r="N387" s="49"/>
      <c r="O387" s="27"/>
      <c r="Q387" s="2"/>
      <c r="R387" s="24"/>
      <c r="S387" s="24"/>
      <c r="T387" s="24"/>
    </row>
    <row r="388" spans="1:20" x14ac:dyDescent="0.25">
      <c r="A388" s="2">
        <v>44841</v>
      </c>
      <c r="B388" s="20">
        <v>2570</v>
      </c>
      <c r="C388" s="29">
        <v>291.5</v>
      </c>
      <c r="D388" s="20">
        <v>8158</v>
      </c>
      <c r="E388" s="17" t="s">
        <v>92</v>
      </c>
      <c r="F388" s="17" t="s">
        <v>92</v>
      </c>
      <c r="G388" s="17" t="s">
        <v>92</v>
      </c>
      <c r="H388" s="17" t="s">
        <v>92</v>
      </c>
      <c r="I388" s="39"/>
      <c r="J388" s="47">
        <f t="shared" si="6"/>
        <v>-373</v>
      </c>
      <c r="K388" s="49"/>
      <c r="L388" s="17"/>
      <c r="M388" s="27"/>
      <c r="N388" s="49"/>
      <c r="O388" s="27"/>
      <c r="Q388" s="2"/>
      <c r="R388" s="24"/>
      <c r="S388" s="24"/>
      <c r="T388" s="24"/>
    </row>
    <row r="389" spans="1:20" x14ac:dyDescent="0.25">
      <c r="A389" s="2">
        <v>44840</v>
      </c>
      <c r="B389" s="20">
        <v>2642</v>
      </c>
      <c r="C389" s="20">
        <v>296</v>
      </c>
      <c r="D389" s="20">
        <v>7944</v>
      </c>
      <c r="E389" s="17" t="s">
        <v>92</v>
      </c>
      <c r="F389" s="17" t="s">
        <v>92</v>
      </c>
      <c r="G389" s="17" t="s">
        <v>92</v>
      </c>
      <c r="H389" s="17" t="s">
        <v>92</v>
      </c>
      <c r="I389" s="39"/>
      <c r="J389" s="47">
        <f t="shared" si="6"/>
        <v>-374</v>
      </c>
      <c r="K389" s="49"/>
      <c r="L389" s="17"/>
      <c r="M389" s="27"/>
      <c r="N389" s="49"/>
      <c r="O389" s="27"/>
      <c r="Q389" s="2"/>
      <c r="R389" s="24"/>
      <c r="S389" s="24"/>
      <c r="T389" s="24"/>
    </row>
    <row r="390" spans="1:20" x14ac:dyDescent="0.25">
      <c r="A390" s="2">
        <v>44839</v>
      </c>
      <c r="B390" s="20">
        <v>2648</v>
      </c>
      <c r="C390" s="20">
        <v>293</v>
      </c>
      <c r="D390" s="20">
        <v>8078</v>
      </c>
      <c r="E390" s="17" t="s">
        <v>92</v>
      </c>
      <c r="F390" s="17" t="s">
        <v>92</v>
      </c>
      <c r="G390" s="17" t="s">
        <v>92</v>
      </c>
      <c r="H390" s="17" t="s">
        <v>92</v>
      </c>
      <c r="I390" s="39"/>
      <c r="J390" s="47">
        <f t="shared" si="6"/>
        <v>-375</v>
      </c>
      <c r="K390" s="49"/>
      <c r="L390" s="17"/>
      <c r="M390" s="27"/>
      <c r="N390" s="49"/>
      <c r="O390" s="27"/>
      <c r="Q390" s="2"/>
      <c r="R390" s="24"/>
      <c r="S390" s="24"/>
      <c r="T390" s="24"/>
    </row>
    <row r="391" spans="1:20" x14ac:dyDescent="0.25">
      <c r="A391" s="2">
        <v>44838</v>
      </c>
      <c r="B391" s="20">
        <v>2624</v>
      </c>
      <c r="C391" s="20">
        <v>300</v>
      </c>
      <c r="D391" s="20">
        <v>8250</v>
      </c>
      <c r="E391" s="17" t="s">
        <v>92</v>
      </c>
      <c r="F391" s="17" t="s">
        <v>92</v>
      </c>
      <c r="G391" s="17" t="s">
        <v>92</v>
      </c>
      <c r="H391" s="17" t="s">
        <v>92</v>
      </c>
      <c r="I391" s="39"/>
      <c r="J391" s="47">
        <f t="shared" si="6"/>
        <v>-376</v>
      </c>
      <c r="K391" s="49"/>
      <c r="L391" s="17"/>
      <c r="M391" s="27"/>
      <c r="N391" s="49"/>
      <c r="O391" s="27"/>
      <c r="Q391" s="2"/>
      <c r="R391" s="24"/>
      <c r="S391" s="24"/>
      <c r="T391" s="24"/>
    </row>
    <row r="392" spans="1:20" x14ac:dyDescent="0.25">
      <c r="A392" s="2">
        <v>44837</v>
      </c>
      <c r="B392" s="20">
        <v>2466</v>
      </c>
      <c r="C392" s="20">
        <v>296</v>
      </c>
      <c r="D392" s="20">
        <v>7988</v>
      </c>
      <c r="E392" s="17" t="s">
        <v>92</v>
      </c>
      <c r="F392" s="17" t="s">
        <v>92</v>
      </c>
      <c r="G392" s="17" t="s">
        <v>92</v>
      </c>
      <c r="H392" s="17" t="s">
        <v>92</v>
      </c>
      <c r="I392" s="39"/>
      <c r="J392" s="47">
        <f t="shared" si="6"/>
        <v>-377</v>
      </c>
      <c r="K392" s="49"/>
      <c r="L392" s="17"/>
      <c r="M392" s="27"/>
      <c r="N392" s="49"/>
      <c r="O392" s="27"/>
      <c r="Q392" s="2"/>
      <c r="R392" s="24"/>
      <c r="S392" s="24"/>
      <c r="T392" s="24"/>
    </row>
    <row r="393" spans="1:20" x14ac:dyDescent="0.25">
      <c r="A393" s="2">
        <v>44834</v>
      </c>
      <c r="B393" s="20">
        <v>2406</v>
      </c>
      <c r="C393" s="29">
        <v>295.5</v>
      </c>
      <c r="D393" s="20">
        <v>7908</v>
      </c>
      <c r="E393" s="17" t="s">
        <v>92</v>
      </c>
      <c r="F393" s="17" t="s">
        <v>92</v>
      </c>
      <c r="G393" s="17" t="s">
        <v>92</v>
      </c>
      <c r="H393" s="17" t="s">
        <v>92</v>
      </c>
      <c r="I393" s="39"/>
      <c r="J393" s="47">
        <f t="shared" si="6"/>
        <v>-378</v>
      </c>
      <c r="K393" s="49"/>
      <c r="L393" s="17"/>
      <c r="M393" s="27"/>
      <c r="N393" s="49"/>
      <c r="O393" s="27"/>
      <c r="Q393" s="2"/>
      <c r="R393" s="24"/>
      <c r="S393" s="24"/>
      <c r="T393" s="24"/>
    </row>
    <row r="394" spans="1:20" x14ac:dyDescent="0.25">
      <c r="A394" s="2">
        <v>44833</v>
      </c>
      <c r="B394" s="20">
        <v>2326</v>
      </c>
      <c r="C394" s="20">
        <v>285</v>
      </c>
      <c r="D394" s="20">
        <v>7902</v>
      </c>
      <c r="E394" s="17" t="s">
        <v>92</v>
      </c>
      <c r="F394" s="17" t="s">
        <v>92</v>
      </c>
      <c r="G394" s="17" t="s">
        <v>92</v>
      </c>
      <c r="H394" s="17" t="s">
        <v>92</v>
      </c>
      <c r="I394" s="39"/>
      <c r="J394" s="47">
        <f t="shared" si="6"/>
        <v>-379</v>
      </c>
      <c r="K394" s="49"/>
      <c r="L394" s="17"/>
      <c r="M394" s="27"/>
      <c r="N394" s="49"/>
      <c r="O394" s="27"/>
      <c r="Q394" s="2"/>
      <c r="R394" s="24"/>
      <c r="S394" s="24"/>
      <c r="T394" s="24"/>
    </row>
    <row r="395" spans="1:20" x14ac:dyDescent="0.25">
      <c r="A395" s="2">
        <v>44832</v>
      </c>
      <c r="B395" s="20">
        <v>2366</v>
      </c>
      <c r="C395" s="20">
        <v>292</v>
      </c>
      <c r="D395" s="20">
        <v>8122</v>
      </c>
      <c r="E395" s="17" t="s">
        <v>92</v>
      </c>
      <c r="F395" s="17" t="s">
        <v>92</v>
      </c>
      <c r="G395" s="17" t="s">
        <v>92</v>
      </c>
      <c r="H395" s="17" t="s">
        <v>92</v>
      </c>
      <c r="I395" s="39"/>
      <c r="J395" s="47">
        <f t="shared" si="6"/>
        <v>-380</v>
      </c>
      <c r="K395" s="49"/>
      <c r="L395" s="17"/>
      <c r="M395" s="27"/>
      <c r="N395" s="49"/>
      <c r="O395" s="27"/>
      <c r="Q395" s="2"/>
      <c r="R395" s="24"/>
      <c r="S395" s="24"/>
      <c r="T395" s="24"/>
    </row>
    <row r="396" spans="1:20" x14ac:dyDescent="0.25">
      <c r="A396" s="2">
        <v>44831</v>
      </c>
      <c r="B396" s="20">
        <v>2416</v>
      </c>
      <c r="C396" s="20">
        <v>297</v>
      </c>
      <c r="D396" s="20">
        <v>8284</v>
      </c>
      <c r="E396" s="17" t="s">
        <v>92</v>
      </c>
      <c r="F396" s="17" t="s">
        <v>92</v>
      </c>
      <c r="G396" s="17" t="s">
        <v>92</v>
      </c>
      <c r="H396" s="17" t="s">
        <v>92</v>
      </c>
      <c r="I396" s="39"/>
      <c r="J396" s="47">
        <f t="shared" si="6"/>
        <v>-381</v>
      </c>
      <c r="K396" s="49"/>
      <c r="L396" s="17"/>
      <c r="M396" s="27"/>
      <c r="N396" s="49"/>
      <c r="O396" s="27"/>
      <c r="Q396" s="2"/>
      <c r="R396" s="24"/>
      <c r="S396" s="24"/>
      <c r="T396" s="24"/>
    </row>
    <row r="397" spans="1:20" x14ac:dyDescent="0.25">
      <c r="A397" s="2">
        <v>44830</v>
      </c>
      <c r="B397" s="20">
        <v>2428</v>
      </c>
      <c r="C397" s="20">
        <v>298</v>
      </c>
      <c r="D397" s="20">
        <v>8224</v>
      </c>
      <c r="E397" s="17" t="s">
        <v>92</v>
      </c>
      <c r="F397" s="17" t="s">
        <v>92</v>
      </c>
      <c r="G397" s="17" t="s">
        <v>92</v>
      </c>
      <c r="H397" s="17" t="s">
        <v>92</v>
      </c>
      <c r="I397" s="39"/>
      <c r="J397" s="47">
        <f t="shared" si="6"/>
        <v>-382</v>
      </c>
      <c r="K397" s="49"/>
      <c r="L397" s="17"/>
      <c r="M397" s="27"/>
      <c r="N397" s="49"/>
      <c r="O397" s="27"/>
      <c r="Q397" s="2"/>
      <c r="R397" s="24"/>
      <c r="S397" s="24"/>
      <c r="T397" s="24"/>
    </row>
    <row r="398" spans="1:20" x14ac:dyDescent="0.25">
      <c r="A398" s="2">
        <v>44827</v>
      </c>
      <c r="B398" s="20">
        <v>2410</v>
      </c>
      <c r="C398" s="20">
        <v>300</v>
      </c>
      <c r="D398" s="20">
        <v>8328</v>
      </c>
      <c r="E398" s="17" t="s">
        <v>92</v>
      </c>
      <c r="F398" s="17" t="s">
        <v>92</v>
      </c>
      <c r="G398" s="17" t="s">
        <v>92</v>
      </c>
      <c r="H398" s="17" t="s">
        <v>92</v>
      </c>
      <c r="I398" s="39"/>
      <c r="J398" s="47">
        <f t="shared" si="6"/>
        <v>-383</v>
      </c>
      <c r="K398" s="49"/>
      <c r="L398" s="17"/>
      <c r="M398" s="27"/>
      <c r="N398" s="49"/>
      <c r="O398" s="27"/>
      <c r="Q398" s="2"/>
      <c r="R398" s="24"/>
      <c r="S398" s="24"/>
      <c r="T398" s="24"/>
    </row>
    <row r="399" spans="1:20" x14ac:dyDescent="0.25">
      <c r="A399" s="2">
        <v>44826</v>
      </c>
      <c r="B399" s="20">
        <v>2476</v>
      </c>
      <c r="C399" s="29">
        <v>303.5</v>
      </c>
      <c r="D399" s="20">
        <v>8572</v>
      </c>
      <c r="E399" s="17" t="s">
        <v>92</v>
      </c>
      <c r="F399" s="17" t="s">
        <v>92</v>
      </c>
      <c r="G399" s="17" t="s">
        <v>92</v>
      </c>
      <c r="H399" s="17" t="s">
        <v>92</v>
      </c>
      <c r="I399" s="39"/>
      <c r="J399" s="47">
        <f t="shared" si="6"/>
        <v>-384</v>
      </c>
      <c r="K399" s="49"/>
      <c r="L399" s="17"/>
      <c r="M399" s="27"/>
      <c r="N399" s="49"/>
      <c r="O399" s="27"/>
      <c r="Q399" s="2"/>
      <c r="R399" s="24"/>
      <c r="S399" s="24"/>
      <c r="T399" s="24"/>
    </row>
    <row r="400" spans="1:20" x14ac:dyDescent="0.25">
      <c r="A400" s="2">
        <v>44825</v>
      </c>
      <c r="B400" s="20">
        <v>2500</v>
      </c>
      <c r="C400" s="29">
        <v>302.5</v>
      </c>
      <c r="D400" s="20">
        <v>8320</v>
      </c>
      <c r="E400" s="17" t="s">
        <v>92</v>
      </c>
      <c r="F400" s="17" t="s">
        <v>92</v>
      </c>
      <c r="G400" s="17" t="s">
        <v>92</v>
      </c>
      <c r="H400" s="17" t="s">
        <v>92</v>
      </c>
      <c r="I400" s="39"/>
      <c r="J400" s="47">
        <f t="shared" si="6"/>
        <v>-385</v>
      </c>
      <c r="K400" s="49"/>
      <c r="L400" s="17"/>
      <c r="M400" s="27"/>
      <c r="N400" s="49"/>
      <c r="O400" s="27"/>
      <c r="Q400" s="2"/>
      <c r="R400" s="24"/>
      <c r="S400" s="24"/>
      <c r="T400" s="24"/>
    </row>
    <row r="401" spans="1:20" x14ac:dyDescent="0.25">
      <c r="A401" s="2">
        <v>44824</v>
      </c>
      <c r="B401" s="20">
        <v>2500</v>
      </c>
      <c r="C401" s="20">
        <v>305</v>
      </c>
      <c r="D401" s="20">
        <v>8500</v>
      </c>
      <c r="E401" s="17" t="s">
        <v>92</v>
      </c>
      <c r="F401" s="17" t="s">
        <v>92</v>
      </c>
      <c r="G401" s="17" t="s">
        <v>92</v>
      </c>
      <c r="H401" s="17" t="s">
        <v>92</v>
      </c>
      <c r="I401" s="39"/>
      <c r="J401" s="47">
        <f t="shared" ref="J401:J464" si="7">+J400-1</f>
        <v>-386</v>
      </c>
      <c r="K401" s="49"/>
      <c r="L401" s="17"/>
      <c r="M401" s="27"/>
      <c r="N401" s="49"/>
      <c r="O401" s="27"/>
      <c r="Q401" s="2"/>
      <c r="R401" s="24"/>
      <c r="S401" s="24"/>
      <c r="T401" s="24"/>
    </row>
    <row r="402" spans="1:20" x14ac:dyDescent="0.25">
      <c r="A402" s="2">
        <v>44823</v>
      </c>
      <c r="B402" s="20">
        <v>2516</v>
      </c>
      <c r="C402" s="20">
        <v>302</v>
      </c>
      <c r="D402" s="20">
        <v>8800</v>
      </c>
      <c r="E402" s="17" t="s">
        <v>92</v>
      </c>
      <c r="F402" s="17" t="s">
        <v>92</v>
      </c>
      <c r="G402" s="17" t="s">
        <v>92</v>
      </c>
      <c r="H402" s="17" t="s">
        <v>92</v>
      </c>
      <c r="I402" s="39"/>
      <c r="J402" s="47">
        <f t="shared" si="7"/>
        <v>-387</v>
      </c>
      <c r="K402" s="49"/>
      <c r="L402" s="17"/>
      <c r="M402" s="27"/>
      <c r="N402" s="49"/>
      <c r="O402" s="27"/>
      <c r="Q402" s="2"/>
      <c r="R402" s="24"/>
      <c r="S402" s="24"/>
      <c r="T402" s="24"/>
    </row>
    <row r="403" spans="1:20" x14ac:dyDescent="0.25">
      <c r="A403" s="2">
        <v>44820</v>
      </c>
      <c r="B403" s="20">
        <v>2516</v>
      </c>
      <c r="C403" s="20">
        <v>305</v>
      </c>
      <c r="D403" s="20">
        <v>8658</v>
      </c>
      <c r="E403" s="17" t="s">
        <v>92</v>
      </c>
      <c r="F403" s="17" t="s">
        <v>92</v>
      </c>
      <c r="G403" s="17" t="s">
        <v>92</v>
      </c>
      <c r="H403" s="17" t="s">
        <v>92</v>
      </c>
      <c r="I403" s="39"/>
      <c r="J403" s="47">
        <f t="shared" si="7"/>
        <v>-388</v>
      </c>
      <c r="K403" s="49"/>
      <c r="L403" s="17"/>
      <c r="M403" s="27"/>
      <c r="N403" s="49"/>
      <c r="O403" s="27"/>
      <c r="Q403" s="2"/>
      <c r="R403" s="24"/>
      <c r="S403" s="24"/>
      <c r="T403" s="24"/>
    </row>
    <row r="404" spans="1:20" x14ac:dyDescent="0.25">
      <c r="A404" s="2">
        <v>44819</v>
      </c>
      <c r="B404" s="20">
        <v>2600</v>
      </c>
      <c r="C404" s="20">
        <v>303</v>
      </c>
      <c r="D404" s="20">
        <v>8630</v>
      </c>
      <c r="E404" s="17" t="s">
        <v>92</v>
      </c>
      <c r="F404" s="17" t="s">
        <v>92</v>
      </c>
      <c r="G404" s="17" t="s">
        <v>92</v>
      </c>
      <c r="H404" s="17" t="s">
        <v>92</v>
      </c>
      <c r="I404" s="39"/>
      <c r="J404" s="47">
        <f t="shared" si="7"/>
        <v>-389</v>
      </c>
      <c r="K404" s="49"/>
      <c r="L404" s="17"/>
      <c r="M404" s="27"/>
      <c r="N404" s="49"/>
      <c r="O404" s="27"/>
      <c r="Q404" s="2"/>
      <c r="R404" s="24"/>
      <c r="S404" s="24"/>
      <c r="T404" s="24"/>
    </row>
    <row r="405" spans="1:20" x14ac:dyDescent="0.25">
      <c r="A405" s="2">
        <v>44818</v>
      </c>
      <c r="B405" s="20">
        <v>2678</v>
      </c>
      <c r="C405" s="29">
        <v>308.5</v>
      </c>
      <c r="D405" s="20">
        <v>8600</v>
      </c>
      <c r="E405" s="17" t="s">
        <v>92</v>
      </c>
      <c r="F405" s="17" t="s">
        <v>92</v>
      </c>
      <c r="G405" s="17" t="s">
        <v>92</v>
      </c>
      <c r="H405" s="17" t="s">
        <v>92</v>
      </c>
      <c r="I405" s="39"/>
      <c r="J405" s="47">
        <f t="shared" si="7"/>
        <v>-390</v>
      </c>
      <c r="K405" s="49"/>
      <c r="L405" s="17"/>
      <c r="M405" s="27"/>
      <c r="N405" s="49"/>
      <c r="O405" s="27"/>
      <c r="Q405" s="2"/>
      <c r="R405" s="24"/>
      <c r="S405" s="24"/>
      <c r="T405" s="24"/>
    </row>
    <row r="406" spans="1:20" x14ac:dyDescent="0.25">
      <c r="A406" s="2">
        <v>44817</v>
      </c>
      <c r="B406" s="20">
        <v>2686</v>
      </c>
      <c r="C406" s="20">
        <v>312</v>
      </c>
      <c r="D406" s="20">
        <v>8800</v>
      </c>
      <c r="E406" s="17" t="s">
        <v>92</v>
      </c>
      <c r="F406" s="17" t="s">
        <v>92</v>
      </c>
      <c r="G406" s="17" t="s">
        <v>92</v>
      </c>
      <c r="H406" s="17" t="s">
        <v>92</v>
      </c>
      <c r="I406" s="39"/>
      <c r="J406" s="47">
        <f t="shared" si="7"/>
        <v>-391</v>
      </c>
      <c r="K406" s="49"/>
      <c r="L406" s="17"/>
      <c r="M406" s="27"/>
      <c r="N406" s="49"/>
      <c r="O406" s="27"/>
      <c r="Q406" s="2"/>
      <c r="R406" s="24"/>
      <c r="S406" s="24"/>
      <c r="T406" s="24"/>
    </row>
    <row r="407" spans="1:20" x14ac:dyDescent="0.25">
      <c r="A407" s="2">
        <v>44816</v>
      </c>
      <c r="B407" s="20">
        <v>2650</v>
      </c>
      <c r="C407" s="20">
        <v>313</v>
      </c>
      <c r="D407" s="20">
        <v>9060</v>
      </c>
      <c r="E407" s="17" t="s">
        <v>92</v>
      </c>
      <c r="F407" s="17" t="s">
        <v>92</v>
      </c>
      <c r="G407" s="17" t="s">
        <v>92</v>
      </c>
      <c r="H407" s="17" t="s">
        <v>92</v>
      </c>
      <c r="I407" s="39"/>
      <c r="J407" s="47">
        <f t="shared" si="7"/>
        <v>-392</v>
      </c>
      <c r="K407" s="49"/>
      <c r="L407" s="17"/>
      <c r="M407" s="27"/>
      <c r="N407" s="49"/>
      <c r="O407" s="27"/>
      <c r="Q407" s="2"/>
      <c r="R407" s="24"/>
      <c r="S407" s="24"/>
      <c r="T407" s="24"/>
    </row>
    <row r="408" spans="1:20" x14ac:dyDescent="0.25">
      <c r="A408" s="2">
        <v>44813</v>
      </c>
      <c r="B408" s="20">
        <v>2650</v>
      </c>
      <c r="C408" s="20">
        <v>315</v>
      </c>
      <c r="D408" s="20">
        <v>8636</v>
      </c>
      <c r="E408" s="17" t="s">
        <v>92</v>
      </c>
      <c r="F408" s="17" t="s">
        <v>92</v>
      </c>
      <c r="G408" s="17" t="s">
        <v>92</v>
      </c>
      <c r="H408" s="17" t="s">
        <v>92</v>
      </c>
      <c r="I408" s="39"/>
      <c r="J408" s="47">
        <f t="shared" si="7"/>
        <v>-393</v>
      </c>
      <c r="K408" s="49"/>
      <c r="L408" s="17"/>
      <c r="M408" s="27"/>
      <c r="N408" s="49"/>
      <c r="O408" s="27"/>
      <c r="Q408" s="2"/>
      <c r="R408" s="24"/>
      <c r="S408" s="24"/>
      <c r="T408" s="24"/>
    </row>
    <row r="409" spans="1:20" x14ac:dyDescent="0.25">
      <c r="A409" s="2">
        <v>44812</v>
      </c>
      <c r="B409" s="20">
        <v>2666</v>
      </c>
      <c r="C409" s="20">
        <v>314</v>
      </c>
      <c r="D409" s="20">
        <v>8608</v>
      </c>
      <c r="E409" s="17" t="s">
        <v>92</v>
      </c>
      <c r="F409" s="17" t="s">
        <v>92</v>
      </c>
      <c r="G409" s="17" t="s">
        <v>92</v>
      </c>
      <c r="H409" s="17" t="s">
        <v>92</v>
      </c>
      <c r="I409" s="39"/>
      <c r="J409" s="47">
        <f t="shared" si="7"/>
        <v>-394</v>
      </c>
      <c r="K409" s="49"/>
      <c r="L409" s="17"/>
      <c r="M409" s="27"/>
      <c r="N409" s="49"/>
      <c r="O409" s="27"/>
      <c r="Q409" s="2"/>
      <c r="R409" s="24"/>
      <c r="S409" s="24"/>
      <c r="T409" s="24"/>
    </row>
    <row r="410" spans="1:20" x14ac:dyDescent="0.25">
      <c r="A410" s="2">
        <v>44811</v>
      </c>
      <c r="B410" s="20">
        <v>2684</v>
      </c>
      <c r="C410" s="20">
        <v>323</v>
      </c>
      <c r="D410" s="20">
        <v>8680</v>
      </c>
      <c r="E410" s="17" t="s">
        <v>92</v>
      </c>
      <c r="F410" s="17" t="s">
        <v>92</v>
      </c>
      <c r="G410" s="17" t="s">
        <v>92</v>
      </c>
      <c r="H410" s="17" t="s">
        <v>92</v>
      </c>
      <c r="I410" s="39"/>
      <c r="J410" s="47">
        <f t="shared" si="7"/>
        <v>-395</v>
      </c>
      <c r="K410" s="49"/>
      <c r="L410" s="17"/>
      <c r="M410" s="27"/>
      <c r="N410" s="49"/>
      <c r="O410" s="27"/>
      <c r="Q410" s="2"/>
      <c r="R410" s="24"/>
      <c r="S410" s="24"/>
      <c r="T410" s="24"/>
    </row>
    <row r="411" spans="1:20" x14ac:dyDescent="0.25">
      <c r="A411" s="2">
        <v>44810</v>
      </c>
      <c r="B411" s="20">
        <v>2700</v>
      </c>
      <c r="C411" s="29">
        <v>323.5</v>
      </c>
      <c r="D411" s="20">
        <v>8436</v>
      </c>
      <c r="E411" s="17" t="s">
        <v>92</v>
      </c>
      <c r="F411" s="17" t="s">
        <v>92</v>
      </c>
      <c r="G411" s="17" t="s">
        <v>92</v>
      </c>
      <c r="H411" s="17" t="s">
        <v>92</v>
      </c>
      <c r="I411" s="39"/>
      <c r="J411" s="47">
        <f t="shared" si="7"/>
        <v>-396</v>
      </c>
      <c r="K411" s="49"/>
      <c r="L411" s="17"/>
      <c r="M411" s="27"/>
      <c r="N411" s="49"/>
      <c r="O411" s="27"/>
      <c r="Q411" s="2"/>
      <c r="R411" s="24"/>
      <c r="S411" s="24"/>
      <c r="T411" s="24"/>
    </row>
    <row r="412" spans="1:20" x14ac:dyDescent="0.25">
      <c r="A412" s="2">
        <v>44809</v>
      </c>
      <c r="B412" s="20">
        <v>2694</v>
      </c>
      <c r="C412" s="29">
        <v>323.5</v>
      </c>
      <c r="D412" s="20">
        <v>8450</v>
      </c>
      <c r="E412" s="17" t="s">
        <v>92</v>
      </c>
      <c r="F412" s="17" t="s">
        <v>92</v>
      </c>
      <c r="G412" s="17" t="s">
        <v>92</v>
      </c>
      <c r="H412" s="17" t="s">
        <v>92</v>
      </c>
      <c r="I412" s="39"/>
      <c r="J412" s="47">
        <f t="shared" si="7"/>
        <v>-397</v>
      </c>
      <c r="K412" s="49"/>
      <c r="L412" s="17"/>
      <c r="M412" s="27"/>
      <c r="N412" s="49"/>
      <c r="O412" s="27"/>
      <c r="Q412" s="2"/>
      <c r="R412" s="24"/>
      <c r="S412" s="24"/>
      <c r="T412" s="24"/>
    </row>
    <row r="413" spans="1:20" x14ac:dyDescent="0.25">
      <c r="A413" s="2">
        <v>44806</v>
      </c>
      <c r="B413" s="20">
        <v>2754</v>
      </c>
      <c r="C413" s="29">
        <v>334.5</v>
      </c>
      <c r="D413" s="20">
        <v>8504</v>
      </c>
      <c r="E413" s="17" t="s">
        <v>92</v>
      </c>
      <c r="F413" s="17" t="s">
        <v>92</v>
      </c>
      <c r="G413" s="17" t="s">
        <v>92</v>
      </c>
      <c r="H413" s="17" t="s">
        <v>92</v>
      </c>
      <c r="I413" s="39"/>
      <c r="J413" s="47">
        <f t="shared" si="7"/>
        <v>-398</v>
      </c>
      <c r="K413" s="49"/>
      <c r="L413" s="17"/>
      <c r="M413" s="27"/>
      <c r="N413" s="49"/>
      <c r="O413" s="27"/>
      <c r="Q413" s="2"/>
      <c r="R413" s="24"/>
      <c r="S413" s="24"/>
      <c r="T413" s="24"/>
    </row>
    <row r="414" spans="1:20" x14ac:dyDescent="0.25">
      <c r="A414" s="2">
        <v>44805</v>
      </c>
      <c r="B414" s="20">
        <v>2724</v>
      </c>
      <c r="C414" s="20">
        <v>330</v>
      </c>
      <c r="D414" s="20">
        <v>8438</v>
      </c>
      <c r="E414" s="17" t="s">
        <v>92</v>
      </c>
      <c r="F414" s="17" t="s">
        <v>92</v>
      </c>
      <c r="G414" s="17" t="s">
        <v>92</v>
      </c>
      <c r="H414" s="17" t="s">
        <v>92</v>
      </c>
      <c r="I414" s="39"/>
      <c r="J414" s="47">
        <f t="shared" si="7"/>
        <v>-399</v>
      </c>
      <c r="K414" s="49"/>
      <c r="L414" s="17"/>
      <c r="M414" s="27"/>
      <c r="N414" s="49"/>
      <c r="O414" s="27"/>
      <c r="Q414" s="2"/>
      <c r="R414" s="24"/>
      <c r="S414" s="24"/>
      <c r="T414" s="24"/>
    </row>
    <row r="415" spans="1:20" x14ac:dyDescent="0.25">
      <c r="A415" s="2">
        <v>44804</v>
      </c>
      <c r="B415" s="20">
        <v>2750</v>
      </c>
      <c r="C415" s="20">
        <v>338</v>
      </c>
      <c r="D415" s="20">
        <v>8492</v>
      </c>
      <c r="E415" s="17" t="s">
        <v>92</v>
      </c>
      <c r="F415" s="17" t="s">
        <v>92</v>
      </c>
      <c r="G415" s="17" t="s">
        <v>92</v>
      </c>
      <c r="H415" s="17" t="s">
        <v>92</v>
      </c>
      <c r="I415" s="39"/>
      <c r="J415" s="47">
        <f t="shared" si="7"/>
        <v>-400</v>
      </c>
      <c r="K415" s="49"/>
      <c r="L415" s="17"/>
      <c r="M415" s="27"/>
      <c r="N415" s="49"/>
      <c r="O415" s="27"/>
      <c r="Q415" s="2"/>
      <c r="R415" s="24"/>
      <c r="S415" s="24"/>
      <c r="T415" s="24"/>
    </row>
    <row r="416" spans="1:20" x14ac:dyDescent="0.25">
      <c r="A416" s="2">
        <v>44803</v>
      </c>
      <c r="B416" s="20">
        <v>2794</v>
      </c>
      <c r="C416" s="20">
        <v>334</v>
      </c>
      <c r="D416" s="20">
        <v>8618</v>
      </c>
      <c r="E416" s="17" t="s">
        <v>92</v>
      </c>
      <c r="F416" s="17" t="s">
        <v>92</v>
      </c>
      <c r="G416" s="17" t="s">
        <v>92</v>
      </c>
      <c r="H416" s="17" t="s">
        <v>92</v>
      </c>
      <c r="I416" s="39"/>
      <c r="J416" s="47">
        <f t="shared" si="7"/>
        <v>-401</v>
      </c>
      <c r="K416" s="49"/>
      <c r="L416" s="17"/>
      <c r="M416" s="27"/>
      <c r="N416" s="49"/>
      <c r="O416" s="27"/>
      <c r="Q416" s="2"/>
      <c r="R416" s="24"/>
      <c r="S416" s="24"/>
      <c r="T416" s="24"/>
    </row>
    <row r="417" spans="1:20" x14ac:dyDescent="0.25">
      <c r="A417" s="2">
        <v>44802</v>
      </c>
      <c r="B417" s="20">
        <v>2760</v>
      </c>
      <c r="C417" s="20">
        <v>336</v>
      </c>
      <c r="D417" s="20">
        <v>8900</v>
      </c>
      <c r="E417" s="17" t="s">
        <v>92</v>
      </c>
      <c r="F417" s="17" t="s">
        <v>92</v>
      </c>
      <c r="G417" s="17" t="s">
        <v>92</v>
      </c>
      <c r="H417" s="17" t="s">
        <v>92</v>
      </c>
      <c r="I417" s="39"/>
      <c r="J417" s="47">
        <f t="shared" si="7"/>
        <v>-402</v>
      </c>
      <c r="K417" s="49"/>
      <c r="L417" s="17"/>
      <c r="M417" s="27"/>
      <c r="N417" s="49"/>
      <c r="O417" s="27"/>
      <c r="Q417" s="2"/>
      <c r="R417" s="24"/>
      <c r="S417" s="24"/>
      <c r="T417" s="24"/>
    </row>
    <row r="418" spans="1:20" x14ac:dyDescent="0.25">
      <c r="A418" s="2">
        <v>44799</v>
      </c>
      <c r="B418" s="20">
        <v>2808</v>
      </c>
      <c r="C418" s="20">
        <v>338</v>
      </c>
      <c r="D418" s="20">
        <v>9180</v>
      </c>
      <c r="E418" s="17" t="s">
        <v>92</v>
      </c>
      <c r="F418" s="17" t="s">
        <v>92</v>
      </c>
      <c r="G418" s="17" t="s">
        <v>92</v>
      </c>
      <c r="H418" s="17" t="s">
        <v>92</v>
      </c>
      <c r="I418" s="39"/>
      <c r="J418" s="47">
        <f t="shared" si="7"/>
        <v>-403</v>
      </c>
      <c r="K418" s="49"/>
      <c r="L418" s="17"/>
      <c r="M418" s="27"/>
      <c r="N418" s="49"/>
      <c r="O418" s="27"/>
      <c r="Q418" s="2"/>
      <c r="R418" s="24"/>
      <c r="S418" s="24"/>
      <c r="T418" s="24"/>
    </row>
    <row r="419" spans="1:20" x14ac:dyDescent="0.25">
      <c r="A419" s="2">
        <v>44798</v>
      </c>
      <c r="B419" s="20">
        <v>2832</v>
      </c>
      <c r="C419" s="20">
        <v>344</v>
      </c>
      <c r="D419" s="20">
        <v>9214</v>
      </c>
      <c r="E419" s="17" t="s">
        <v>92</v>
      </c>
      <c r="F419" s="17" t="s">
        <v>92</v>
      </c>
      <c r="G419" s="17" t="s">
        <v>92</v>
      </c>
      <c r="H419" s="17" t="s">
        <v>92</v>
      </c>
      <c r="I419" s="39"/>
      <c r="J419" s="47">
        <f t="shared" si="7"/>
        <v>-404</v>
      </c>
      <c r="K419" s="49"/>
      <c r="L419" s="17"/>
      <c r="M419" s="27"/>
      <c r="N419" s="49"/>
      <c r="O419" s="27"/>
      <c r="Q419" s="2"/>
      <c r="R419" s="24"/>
      <c r="S419" s="24"/>
      <c r="T419" s="24"/>
    </row>
    <row r="420" spans="1:20" x14ac:dyDescent="0.25">
      <c r="A420" s="2">
        <v>44797</v>
      </c>
      <c r="B420" s="20">
        <v>2800</v>
      </c>
      <c r="C420" s="20">
        <v>337</v>
      </c>
      <c r="D420" s="20">
        <v>9182</v>
      </c>
      <c r="E420" s="17" t="s">
        <v>92</v>
      </c>
      <c r="F420" s="17" t="s">
        <v>92</v>
      </c>
      <c r="G420" s="17" t="s">
        <v>92</v>
      </c>
      <c r="H420" s="17" t="s">
        <v>92</v>
      </c>
      <c r="I420" s="39"/>
      <c r="J420" s="47">
        <f t="shared" si="7"/>
        <v>-405</v>
      </c>
      <c r="K420" s="49"/>
      <c r="L420" s="17"/>
      <c r="M420" s="27"/>
      <c r="N420" s="49"/>
      <c r="O420" s="27"/>
      <c r="Q420" s="2"/>
      <c r="R420" s="24"/>
      <c r="S420" s="24"/>
      <c r="T420" s="24"/>
    </row>
    <row r="421" spans="1:20" x14ac:dyDescent="0.25">
      <c r="A421" s="2">
        <v>44796</v>
      </c>
      <c r="B421" s="20">
        <v>2802</v>
      </c>
      <c r="C421" s="29">
        <v>333.5</v>
      </c>
      <c r="D421" s="20">
        <v>9172</v>
      </c>
      <c r="E421" s="17" t="s">
        <v>92</v>
      </c>
      <c r="F421" s="17" t="s">
        <v>92</v>
      </c>
      <c r="G421" s="17" t="s">
        <v>92</v>
      </c>
      <c r="H421" s="17" t="s">
        <v>92</v>
      </c>
      <c r="I421" s="39"/>
      <c r="J421" s="47">
        <f t="shared" si="7"/>
        <v>-406</v>
      </c>
      <c r="K421" s="49"/>
      <c r="L421" s="17"/>
      <c r="M421" s="27"/>
      <c r="N421" s="49"/>
      <c r="O421" s="27"/>
      <c r="Q421" s="2"/>
      <c r="R421" s="24"/>
      <c r="S421" s="24"/>
      <c r="T421" s="24"/>
    </row>
    <row r="422" spans="1:20" x14ac:dyDescent="0.25">
      <c r="A422" s="2">
        <v>44795</v>
      </c>
      <c r="B422" s="20">
        <v>2804</v>
      </c>
      <c r="C422" s="20">
        <v>330</v>
      </c>
      <c r="D422" s="20">
        <v>8984</v>
      </c>
      <c r="E422" s="17" t="s">
        <v>92</v>
      </c>
      <c r="F422" s="17" t="s">
        <v>92</v>
      </c>
      <c r="G422" s="17" t="s">
        <v>92</v>
      </c>
      <c r="H422" s="17" t="s">
        <v>92</v>
      </c>
      <c r="I422" s="39"/>
      <c r="J422" s="47">
        <f t="shared" si="7"/>
        <v>-407</v>
      </c>
      <c r="K422" s="49"/>
      <c r="L422" s="17"/>
      <c r="M422" s="27"/>
      <c r="N422" s="49"/>
      <c r="O422" s="27"/>
      <c r="Q422" s="2"/>
      <c r="R422" s="24"/>
      <c r="S422" s="24"/>
      <c r="T422" s="24"/>
    </row>
    <row r="423" spans="1:20" x14ac:dyDescent="0.25">
      <c r="A423" s="2">
        <v>44792</v>
      </c>
      <c r="B423" s="20">
        <v>2834</v>
      </c>
      <c r="C423" s="20">
        <v>325</v>
      </c>
      <c r="D423" s="20">
        <v>9148</v>
      </c>
      <c r="E423" s="17" t="s">
        <v>92</v>
      </c>
      <c r="F423" s="17" t="s">
        <v>92</v>
      </c>
      <c r="G423" s="17" t="s">
        <v>92</v>
      </c>
      <c r="H423" s="17" t="s">
        <v>92</v>
      </c>
      <c r="I423" s="39"/>
      <c r="J423" s="47">
        <f t="shared" si="7"/>
        <v>-408</v>
      </c>
      <c r="K423" s="49"/>
      <c r="L423" s="17"/>
      <c r="M423" s="27"/>
      <c r="N423" s="49"/>
      <c r="O423" s="27"/>
      <c r="Q423" s="2"/>
      <c r="R423" s="24"/>
      <c r="S423" s="24"/>
      <c r="T423" s="24"/>
    </row>
    <row r="424" spans="1:20" x14ac:dyDescent="0.25">
      <c r="A424" s="2">
        <v>44791</v>
      </c>
      <c r="B424" s="20">
        <v>2810</v>
      </c>
      <c r="C424" s="20">
        <v>327</v>
      </c>
      <c r="D424" s="20">
        <v>9216</v>
      </c>
      <c r="E424" s="17" t="s">
        <v>92</v>
      </c>
      <c r="F424" s="17" t="s">
        <v>92</v>
      </c>
      <c r="G424" s="17" t="s">
        <v>92</v>
      </c>
      <c r="H424" s="17" t="s">
        <v>92</v>
      </c>
      <c r="I424" s="39"/>
      <c r="J424" s="47">
        <f t="shared" si="7"/>
        <v>-409</v>
      </c>
      <c r="K424" s="49"/>
      <c r="L424" s="17"/>
      <c r="M424" s="27"/>
      <c r="N424" s="49"/>
      <c r="O424" s="27"/>
      <c r="Q424" s="2"/>
      <c r="R424" s="24"/>
      <c r="S424" s="24"/>
      <c r="T424" s="24"/>
    </row>
    <row r="425" spans="1:20" x14ac:dyDescent="0.25">
      <c r="A425" s="2">
        <v>44790</v>
      </c>
      <c r="B425" s="20">
        <v>2862</v>
      </c>
      <c r="C425" s="20">
        <v>320</v>
      </c>
      <c r="D425" s="20">
        <v>8990</v>
      </c>
      <c r="E425" s="17" t="s">
        <v>92</v>
      </c>
      <c r="F425" s="17" t="s">
        <v>92</v>
      </c>
      <c r="G425" s="17" t="s">
        <v>92</v>
      </c>
      <c r="H425" s="17" t="s">
        <v>92</v>
      </c>
      <c r="I425" s="39"/>
      <c r="J425" s="47">
        <f t="shared" si="7"/>
        <v>-410</v>
      </c>
      <c r="K425" s="49"/>
      <c r="L425" s="17"/>
      <c r="M425" s="27"/>
      <c r="N425" s="49"/>
      <c r="O425" s="27"/>
      <c r="Q425" s="2"/>
      <c r="R425" s="24"/>
      <c r="S425" s="24"/>
      <c r="T425" s="24"/>
    </row>
    <row r="426" spans="1:20" x14ac:dyDescent="0.25">
      <c r="A426" s="2">
        <v>44789</v>
      </c>
      <c r="B426" s="20">
        <v>2916</v>
      </c>
      <c r="C426" s="20">
        <v>320</v>
      </c>
      <c r="D426" s="20">
        <v>9212</v>
      </c>
      <c r="E426" s="17" t="s">
        <v>92</v>
      </c>
      <c r="F426" s="17" t="s">
        <v>92</v>
      </c>
      <c r="G426" s="17" t="s">
        <v>92</v>
      </c>
      <c r="H426" s="17" t="s">
        <v>92</v>
      </c>
      <c r="I426" s="39"/>
      <c r="J426" s="47">
        <f t="shared" si="7"/>
        <v>-411</v>
      </c>
      <c r="K426" s="49"/>
      <c r="L426" s="17"/>
      <c r="M426" s="27"/>
      <c r="N426" s="49"/>
      <c r="O426" s="27"/>
      <c r="Q426" s="2"/>
      <c r="R426" s="24"/>
      <c r="S426" s="24"/>
      <c r="T426" s="24"/>
    </row>
    <row r="427" spans="1:20" x14ac:dyDescent="0.25">
      <c r="A427" s="2">
        <v>44788</v>
      </c>
      <c r="B427" s="20">
        <v>2886</v>
      </c>
      <c r="C427" s="20">
        <v>319</v>
      </c>
      <c r="D427" s="20">
        <v>8976</v>
      </c>
      <c r="E427" s="17" t="s">
        <v>92</v>
      </c>
      <c r="F427" s="17" t="s">
        <v>92</v>
      </c>
      <c r="G427" s="17" t="s">
        <v>92</v>
      </c>
      <c r="H427" s="17" t="s">
        <v>92</v>
      </c>
      <c r="I427" s="39"/>
      <c r="J427" s="47">
        <f t="shared" si="7"/>
        <v>-412</v>
      </c>
      <c r="K427" s="49"/>
      <c r="L427" s="17"/>
      <c r="M427" s="27"/>
      <c r="N427" s="49"/>
      <c r="O427" s="27"/>
      <c r="Q427" s="2"/>
      <c r="R427" s="24"/>
      <c r="S427" s="24"/>
      <c r="T427" s="24"/>
    </row>
    <row r="428" spans="1:20" x14ac:dyDescent="0.25">
      <c r="A428" s="2">
        <v>44785</v>
      </c>
      <c r="B428" s="20">
        <v>2886</v>
      </c>
      <c r="C428" s="20">
        <v>321</v>
      </c>
      <c r="D428" s="20">
        <v>9358</v>
      </c>
      <c r="E428" s="17" t="s">
        <v>92</v>
      </c>
      <c r="F428" s="17" t="s">
        <v>92</v>
      </c>
      <c r="G428" s="17" t="s">
        <v>92</v>
      </c>
      <c r="H428" s="17" t="s">
        <v>92</v>
      </c>
      <c r="I428" s="39"/>
      <c r="J428" s="47">
        <f t="shared" si="7"/>
        <v>-413</v>
      </c>
      <c r="K428" s="49"/>
      <c r="L428" s="17"/>
      <c r="M428" s="27"/>
      <c r="N428" s="49"/>
      <c r="O428" s="27"/>
      <c r="Q428" s="2"/>
      <c r="R428" s="24"/>
      <c r="S428" s="24"/>
      <c r="T428" s="24"/>
    </row>
    <row r="429" spans="1:20" x14ac:dyDescent="0.25">
      <c r="A429" s="2">
        <v>44784</v>
      </c>
      <c r="B429" s="20">
        <v>2954</v>
      </c>
      <c r="C429" s="29">
        <v>318.5</v>
      </c>
      <c r="D429" s="20">
        <v>9520</v>
      </c>
      <c r="E429" s="17" t="s">
        <v>92</v>
      </c>
      <c r="F429" s="17" t="s">
        <v>92</v>
      </c>
      <c r="G429" s="17" t="s">
        <v>92</v>
      </c>
      <c r="H429" s="17" t="s">
        <v>92</v>
      </c>
      <c r="I429" s="39"/>
      <c r="J429" s="47">
        <f t="shared" si="7"/>
        <v>-414</v>
      </c>
      <c r="K429" s="49"/>
      <c r="L429" s="17"/>
      <c r="M429" s="27"/>
      <c r="N429" s="49"/>
      <c r="O429" s="27"/>
      <c r="Q429" s="2"/>
      <c r="R429" s="24"/>
      <c r="S429" s="24"/>
      <c r="T429" s="24"/>
    </row>
    <row r="430" spans="1:20" x14ac:dyDescent="0.25">
      <c r="A430" s="2">
        <v>44783</v>
      </c>
      <c r="B430" s="20">
        <v>2948</v>
      </c>
      <c r="C430" s="20">
        <v>322</v>
      </c>
      <c r="D430" s="20">
        <v>9370</v>
      </c>
      <c r="E430" s="17" t="s">
        <v>92</v>
      </c>
      <c r="F430" s="17" t="s">
        <v>92</v>
      </c>
      <c r="G430" s="17" t="s">
        <v>92</v>
      </c>
      <c r="H430" s="17" t="s">
        <v>92</v>
      </c>
      <c r="I430" s="39"/>
      <c r="J430" s="47">
        <f t="shared" si="7"/>
        <v>-415</v>
      </c>
      <c r="K430" s="49"/>
      <c r="L430" s="17"/>
      <c r="M430" s="27"/>
      <c r="N430" s="49"/>
      <c r="O430" s="27"/>
      <c r="Q430" s="2"/>
      <c r="R430" s="24"/>
      <c r="S430" s="24"/>
      <c r="T430" s="24"/>
    </row>
    <row r="431" spans="1:20" x14ac:dyDescent="0.25">
      <c r="A431" s="2">
        <v>44782</v>
      </c>
      <c r="B431" s="20">
        <v>2814</v>
      </c>
      <c r="C431" s="20">
        <v>314</v>
      </c>
      <c r="D431" s="20">
        <v>8918</v>
      </c>
      <c r="E431" s="17" t="s">
        <v>92</v>
      </c>
      <c r="F431" s="17" t="s">
        <v>92</v>
      </c>
      <c r="G431" s="17" t="s">
        <v>92</v>
      </c>
      <c r="H431" s="17" t="s">
        <v>92</v>
      </c>
      <c r="I431" s="39"/>
      <c r="J431" s="47">
        <f t="shared" si="7"/>
        <v>-416</v>
      </c>
      <c r="K431" s="49"/>
      <c r="L431" s="17"/>
      <c r="M431" s="27"/>
      <c r="N431" s="49"/>
      <c r="O431" s="27"/>
      <c r="Q431" s="2"/>
      <c r="R431" s="24"/>
      <c r="S431" s="24"/>
      <c r="T431" s="24"/>
    </row>
    <row r="432" spans="1:20" x14ac:dyDescent="0.25">
      <c r="A432" s="2">
        <v>44781</v>
      </c>
      <c r="B432" s="20">
        <v>2936</v>
      </c>
      <c r="C432" s="20">
        <v>316</v>
      </c>
      <c r="D432" s="20">
        <v>9290</v>
      </c>
      <c r="E432" s="17" t="s">
        <v>92</v>
      </c>
      <c r="F432" s="17" t="s">
        <v>92</v>
      </c>
      <c r="G432" s="17" t="s">
        <v>92</v>
      </c>
      <c r="H432" s="17" t="s">
        <v>92</v>
      </c>
      <c r="I432" s="39"/>
      <c r="J432" s="47">
        <f t="shared" si="7"/>
        <v>-417</v>
      </c>
      <c r="K432" s="49"/>
      <c r="L432" s="17"/>
      <c r="M432" s="27"/>
      <c r="N432" s="49"/>
      <c r="O432" s="27"/>
      <c r="Q432" s="2"/>
      <c r="R432" s="24"/>
      <c r="S432" s="24"/>
      <c r="T432" s="24"/>
    </row>
    <row r="433" spans="1:20" x14ac:dyDescent="0.25">
      <c r="A433" s="2">
        <v>44778</v>
      </c>
      <c r="B433" s="20">
        <v>2900</v>
      </c>
      <c r="C433" s="20">
        <v>315</v>
      </c>
      <c r="D433" s="20">
        <v>8930</v>
      </c>
      <c r="E433" s="17" t="s">
        <v>92</v>
      </c>
      <c r="F433" s="17" t="s">
        <v>92</v>
      </c>
      <c r="G433" s="17" t="s">
        <v>92</v>
      </c>
      <c r="H433" s="17" t="s">
        <v>92</v>
      </c>
      <c r="I433" s="39"/>
      <c r="J433" s="47">
        <f t="shared" si="7"/>
        <v>-418</v>
      </c>
      <c r="K433" s="49"/>
      <c r="L433" s="17"/>
      <c r="M433" s="27"/>
      <c r="N433" s="49"/>
      <c r="O433" s="27"/>
      <c r="Q433" s="2"/>
      <c r="R433" s="24"/>
      <c r="S433" s="24"/>
      <c r="T433" s="24"/>
    </row>
    <row r="434" spans="1:20" x14ac:dyDescent="0.25">
      <c r="A434" s="2">
        <v>44777</v>
      </c>
      <c r="B434" s="20">
        <v>3000</v>
      </c>
      <c r="C434" s="20">
        <v>308</v>
      </c>
      <c r="D434" s="20">
        <v>8636</v>
      </c>
      <c r="E434" s="17" t="s">
        <v>92</v>
      </c>
      <c r="F434" s="17" t="s">
        <v>92</v>
      </c>
      <c r="G434" s="17" t="s">
        <v>92</v>
      </c>
      <c r="H434" s="17" t="s">
        <v>92</v>
      </c>
      <c r="I434" s="39"/>
      <c r="J434" s="47">
        <f t="shared" si="7"/>
        <v>-419</v>
      </c>
      <c r="K434" s="49"/>
      <c r="L434" s="17"/>
      <c r="M434" s="27"/>
      <c r="N434" s="49"/>
      <c r="O434" s="27"/>
      <c r="Q434" s="2"/>
      <c r="R434" s="24"/>
      <c r="S434" s="24"/>
      <c r="T434" s="24"/>
    </row>
    <row r="435" spans="1:20" x14ac:dyDescent="0.25">
      <c r="A435" s="2">
        <v>44776</v>
      </c>
      <c r="B435" s="20">
        <v>2936</v>
      </c>
      <c r="C435" s="20">
        <v>312</v>
      </c>
      <c r="D435" s="20">
        <v>8510</v>
      </c>
      <c r="E435" s="17" t="s">
        <v>92</v>
      </c>
      <c r="F435" s="17" t="s">
        <v>92</v>
      </c>
      <c r="G435" s="17" t="s">
        <v>92</v>
      </c>
      <c r="H435" s="17" t="s">
        <v>92</v>
      </c>
      <c r="I435" s="39"/>
      <c r="J435" s="47">
        <f t="shared" si="7"/>
        <v>-420</v>
      </c>
      <c r="K435" s="49"/>
      <c r="L435" s="17"/>
      <c r="M435" s="27"/>
      <c r="N435" s="49"/>
      <c r="O435" s="27"/>
      <c r="Q435" s="2"/>
      <c r="R435" s="24"/>
      <c r="S435" s="24"/>
      <c r="T435" s="24"/>
    </row>
    <row r="436" spans="1:20" x14ac:dyDescent="0.25">
      <c r="A436" s="2">
        <v>44775</v>
      </c>
      <c r="B436" s="20">
        <v>2888</v>
      </c>
      <c r="C436" s="20">
        <v>312</v>
      </c>
      <c r="D436" s="20">
        <v>8346</v>
      </c>
      <c r="E436" s="17" t="s">
        <v>92</v>
      </c>
      <c r="F436" s="17" t="s">
        <v>92</v>
      </c>
      <c r="G436" s="17" t="s">
        <v>92</v>
      </c>
      <c r="H436" s="17" t="s">
        <v>92</v>
      </c>
      <c r="I436" s="39"/>
      <c r="J436" s="47">
        <f t="shared" si="7"/>
        <v>-421</v>
      </c>
      <c r="K436" s="49"/>
      <c r="L436" s="17"/>
      <c r="M436" s="27"/>
      <c r="N436" s="49"/>
      <c r="O436" s="27"/>
      <c r="Q436" s="2"/>
      <c r="R436" s="24"/>
      <c r="S436" s="24"/>
      <c r="T436" s="24"/>
    </row>
    <row r="437" spans="1:20" x14ac:dyDescent="0.25">
      <c r="A437" s="2">
        <v>44774</v>
      </c>
      <c r="B437" s="20">
        <v>2910</v>
      </c>
      <c r="C437" s="20">
        <v>313</v>
      </c>
      <c r="D437" s="20">
        <v>8380</v>
      </c>
      <c r="E437" s="17" t="s">
        <v>92</v>
      </c>
      <c r="F437" s="17" t="s">
        <v>92</v>
      </c>
      <c r="G437" s="17" t="s">
        <v>92</v>
      </c>
      <c r="H437" s="17" t="s">
        <v>92</v>
      </c>
      <c r="I437" s="39"/>
      <c r="J437" s="47">
        <f t="shared" si="7"/>
        <v>-422</v>
      </c>
      <c r="K437" s="49"/>
      <c r="L437" s="17"/>
      <c r="M437" s="27"/>
      <c r="N437" s="49"/>
      <c r="O437" s="27"/>
      <c r="Q437" s="2"/>
      <c r="R437" s="24"/>
      <c r="S437" s="24"/>
      <c r="T437" s="24"/>
    </row>
    <row r="438" spans="1:20" x14ac:dyDescent="0.25">
      <c r="A438" s="2">
        <v>44771</v>
      </c>
      <c r="B438" s="20">
        <v>2906</v>
      </c>
      <c r="C438" s="29">
        <v>312.5</v>
      </c>
      <c r="D438" s="20">
        <v>8120</v>
      </c>
      <c r="E438" s="17" t="s">
        <v>92</v>
      </c>
      <c r="F438" s="17" t="s">
        <v>92</v>
      </c>
      <c r="G438" s="17" t="s">
        <v>92</v>
      </c>
      <c r="H438" s="17" t="s">
        <v>92</v>
      </c>
      <c r="I438" s="39"/>
      <c r="J438" s="47">
        <f t="shared" si="7"/>
        <v>-423</v>
      </c>
      <c r="K438" s="49"/>
      <c r="L438" s="17"/>
      <c r="M438" s="27"/>
      <c r="N438" s="49"/>
      <c r="O438" s="27"/>
      <c r="Q438" s="2"/>
      <c r="R438" s="24"/>
      <c r="S438" s="24"/>
      <c r="T438" s="24"/>
    </row>
    <row r="439" spans="1:20" x14ac:dyDescent="0.25">
      <c r="A439" s="2">
        <v>44770</v>
      </c>
      <c r="B439" s="20">
        <v>2880</v>
      </c>
      <c r="C439" s="20">
        <v>310</v>
      </c>
      <c r="D439" s="20">
        <v>7906</v>
      </c>
      <c r="E439" s="17" t="s">
        <v>92</v>
      </c>
      <c r="F439" s="17" t="s">
        <v>92</v>
      </c>
      <c r="G439" s="17" t="s">
        <v>92</v>
      </c>
      <c r="H439" s="17" t="s">
        <v>92</v>
      </c>
      <c r="I439" s="39"/>
      <c r="J439" s="47">
        <f t="shared" si="7"/>
        <v>-424</v>
      </c>
      <c r="K439" s="49"/>
      <c r="L439" s="17"/>
      <c r="M439" s="27"/>
      <c r="N439" s="49"/>
      <c r="O439" s="27"/>
      <c r="Q439" s="2"/>
      <c r="R439" s="24"/>
      <c r="S439" s="24"/>
      <c r="T439" s="24"/>
    </row>
    <row r="440" spans="1:20" x14ac:dyDescent="0.25">
      <c r="A440" s="2">
        <v>44769</v>
      </c>
      <c r="B440" s="20">
        <v>2830</v>
      </c>
      <c r="C440" s="29">
        <v>315.5</v>
      </c>
      <c r="D440" s="20">
        <v>7902</v>
      </c>
      <c r="E440" s="17" t="s">
        <v>92</v>
      </c>
      <c r="F440" s="17" t="s">
        <v>92</v>
      </c>
      <c r="G440" s="17" t="s">
        <v>92</v>
      </c>
      <c r="H440" s="17" t="s">
        <v>92</v>
      </c>
      <c r="I440" s="39"/>
      <c r="J440" s="47">
        <f t="shared" si="7"/>
        <v>-425</v>
      </c>
      <c r="K440" s="49"/>
      <c r="L440" s="17"/>
      <c r="M440" s="27"/>
      <c r="N440" s="49"/>
      <c r="O440" s="27"/>
      <c r="Q440" s="2"/>
      <c r="R440" s="24"/>
      <c r="S440" s="24"/>
      <c r="T440" s="24"/>
    </row>
    <row r="441" spans="1:20" x14ac:dyDescent="0.25">
      <c r="A441" s="2">
        <v>44768</v>
      </c>
      <c r="B441" s="20">
        <v>2794</v>
      </c>
      <c r="C441" s="20">
        <v>318</v>
      </c>
      <c r="D441" s="20">
        <v>7854</v>
      </c>
      <c r="E441" s="17" t="s">
        <v>92</v>
      </c>
      <c r="F441" s="17" t="s">
        <v>92</v>
      </c>
      <c r="G441" s="17" t="s">
        <v>92</v>
      </c>
      <c r="H441" s="17" t="s">
        <v>92</v>
      </c>
      <c r="I441" s="39"/>
      <c r="J441" s="47">
        <f t="shared" si="7"/>
        <v>-426</v>
      </c>
      <c r="K441" s="49"/>
      <c r="L441" s="17"/>
      <c r="M441" s="27"/>
      <c r="N441" s="49"/>
      <c r="O441" s="27"/>
      <c r="Q441" s="2"/>
      <c r="R441" s="24"/>
      <c r="S441" s="24"/>
      <c r="T441" s="24"/>
    </row>
    <row r="442" spans="1:20" x14ac:dyDescent="0.25">
      <c r="A442" s="2">
        <v>44767</v>
      </c>
      <c r="B442" s="20">
        <v>2840</v>
      </c>
      <c r="C442" s="20">
        <v>320</v>
      </c>
      <c r="D442" s="20">
        <v>8158</v>
      </c>
      <c r="E442" s="17" t="s">
        <v>92</v>
      </c>
      <c r="F442" s="17" t="s">
        <v>92</v>
      </c>
      <c r="G442" s="17" t="s">
        <v>92</v>
      </c>
      <c r="H442" s="17" t="s">
        <v>92</v>
      </c>
      <c r="I442" s="39"/>
      <c r="J442" s="47">
        <f t="shared" si="7"/>
        <v>-427</v>
      </c>
      <c r="K442" s="49"/>
      <c r="L442" s="17"/>
      <c r="M442" s="27"/>
      <c r="N442" s="49"/>
      <c r="O442" s="27"/>
      <c r="Q442" s="2"/>
      <c r="R442" s="24"/>
      <c r="S442" s="24"/>
      <c r="T442" s="24"/>
    </row>
    <row r="443" spans="1:20" x14ac:dyDescent="0.25">
      <c r="A443" s="2">
        <v>44764</v>
      </c>
      <c r="B443" s="20">
        <v>2928</v>
      </c>
      <c r="C443" s="29">
        <v>324.5</v>
      </c>
      <c r="D443" s="20">
        <v>8142</v>
      </c>
      <c r="E443" s="17" t="s">
        <v>92</v>
      </c>
      <c r="F443" s="17" t="s">
        <v>92</v>
      </c>
      <c r="G443" s="17" t="s">
        <v>92</v>
      </c>
      <c r="H443" s="17" t="s">
        <v>92</v>
      </c>
      <c r="I443" s="39"/>
      <c r="J443" s="47">
        <f t="shared" si="7"/>
        <v>-428</v>
      </c>
      <c r="K443" s="49"/>
      <c r="L443" s="17"/>
      <c r="M443" s="27"/>
      <c r="N443" s="49"/>
      <c r="O443" s="27"/>
      <c r="Q443" s="2"/>
      <c r="R443" s="24"/>
      <c r="S443" s="24"/>
      <c r="T443" s="24"/>
    </row>
    <row r="444" spans="1:20" x14ac:dyDescent="0.25">
      <c r="A444" s="2">
        <v>44763</v>
      </c>
      <c r="B444" s="20">
        <v>2888</v>
      </c>
      <c r="C444" s="20">
        <v>323</v>
      </c>
      <c r="D444" s="20">
        <v>8040</v>
      </c>
      <c r="E444" s="17" t="s">
        <v>92</v>
      </c>
      <c r="F444" s="17" t="s">
        <v>92</v>
      </c>
      <c r="G444" s="17" t="s">
        <v>92</v>
      </c>
      <c r="H444" s="17" t="s">
        <v>92</v>
      </c>
      <c r="I444" s="39"/>
      <c r="J444" s="47">
        <f t="shared" si="7"/>
        <v>-429</v>
      </c>
      <c r="K444" s="49"/>
      <c r="L444" s="17"/>
      <c r="M444" s="27"/>
      <c r="N444" s="49"/>
      <c r="O444" s="27"/>
      <c r="Q444" s="2"/>
      <c r="R444" s="24"/>
      <c r="S444" s="24"/>
      <c r="T444" s="24"/>
    </row>
    <row r="445" spans="1:20" x14ac:dyDescent="0.25">
      <c r="A445" s="2">
        <v>44762</v>
      </c>
      <c r="B445" s="20">
        <v>2784</v>
      </c>
      <c r="C445" s="20">
        <v>319</v>
      </c>
      <c r="D445" s="20">
        <v>8002</v>
      </c>
      <c r="E445" s="17" t="s">
        <v>92</v>
      </c>
      <c r="F445" s="17" t="s">
        <v>92</v>
      </c>
      <c r="G445" s="17" t="s">
        <v>92</v>
      </c>
      <c r="H445" s="17" t="s">
        <v>92</v>
      </c>
      <c r="I445" s="39"/>
      <c r="J445" s="47">
        <f t="shared" si="7"/>
        <v>-430</v>
      </c>
      <c r="K445" s="49"/>
      <c r="L445" s="17"/>
      <c r="M445" s="27"/>
      <c r="N445" s="49"/>
      <c r="O445" s="27"/>
      <c r="Q445" s="2"/>
      <c r="R445" s="24"/>
      <c r="S445" s="24"/>
      <c r="T445" s="24"/>
    </row>
    <row r="446" spans="1:20" x14ac:dyDescent="0.25">
      <c r="A446" s="2">
        <v>44761</v>
      </c>
      <c r="B446" s="20">
        <v>3042</v>
      </c>
      <c r="C446" s="29">
        <v>311.5</v>
      </c>
      <c r="D446" s="20">
        <v>7990</v>
      </c>
      <c r="E446" s="17" t="s">
        <v>92</v>
      </c>
      <c r="F446" s="17" t="s">
        <v>92</v>
      </c>
      <c r="G446" s="17" t="s">
        <v>92</v>
      </c>
      <c r="H446" s="17" t="s">
        <v>92</v>
      </c>
      <c r="I446" s="39"/>
      <c r="J446" s="47">
        <f t="shared" si="7"/>
        <v>-431</v>
      </c>
      <c r="K446" s="49"/>
      <c r="L446" s="17"/>
      <c r="M446" s="27"/>
      <c r="N446" s="49"/>
      <c r="O446" s="27"/>
      <c r="Q446" s="2"/>
      <c r="R446" s="24"/>
      <c r="S446" s="24"/>
      <c r="T446" s="24"/>
    </row>
    <row r="447" spans="1:20" x14ac:dyDescent="0.25">
      <c r="A447" s="2">
        <v>44760</v>
      </c>
      <c r="B447" s="20">
        <v>3020</v>
      </c>
      <c r="C447" s="29">
        <v>314.5</v>
      </c>
      <c r="D447" s="20">
        <v>8054</v>
      </c>
      <c r="E447" s="17" t="s">
        <v>92</v>
      </c>
      <c r="F447" s="17" t="s">
        <v>92</v>
      </c>
      <c r="G447" s="17" t="s">
        <v>92</v>
      </c>
      <c r="H447" s="17" t="s">
        <v>92</v>
      </c>
      <c r="I447" s="39"/>
      <c r="J447" s="47">
        <f t="shared" si="7"/>
        <v>-432</v>
      </c>
      <c r="K447" s="49"/>
      <c r="L447" s="17"/>
      <c r="M447" s="27"/>
      <c r="N447" s="49"/>
      <c r="O447" s="27"/>
      <c r="Q447" s="2"/>
      <c r="R447" s="24"/>
      <c r="S447" s="24"/>
      <c r="T447" s="24"/>
    </row>
    <row r="448" spans="1:20" x14ac:dyDescent="0.25">
      <c r="A448" s="2">
        <v>44757</v>
      </c>
      <c r="B448" s="20">
        <v>2944</v>
      </c>
      <c r="C448" s="20">
        <v>305</v>
      </c>
      <c r="D448" s="20">
        <v>8124</v>
      </c>
      <c r="E448" s="17" t="s">
        <v>92</v>
      </c>
      <c r="F448" s="17" t="s">
        <v>92</v>
      </c>
      <c r="G448" s="17" t="s">
        <v>92</v>
      </c>
      <c r="H448" s="17" t="s">
        <v>92</v>
      </c>
      <c r="I448" s="39"/>
      <c r="J448" s="47">
        <f t="shared" si="7"/>
        <v>-433</v>
      </c>
      <c r="K448" s="49"/>
      <c r="L448" s="17"/>
      <c r="M448" s="27"/>
      <c r="N448" s="49"/>
      <c r="O448" s="27"/>
      <c r="Q448" s="2"/>
      <c r="R448" s="24"/>
      <c r="S448" s="24"/>
      <c r="T448" s="24"/>
    </row>
    <row r="449" spans="1:20" x14ac:dyDescent="0.25">
      <c r="A449" s="2">
        <v>44756</v>
      </c>
      <c r="B449" s="20">
        <v>2900</v>
      </c>
      <c r="C449" s="20">
        <v>300</v>
      </c>
      <c r="D449" s="20">
        <v>8000</v>
      </c>
      <c r="E449" s="17" t="s">
        <v>92</v>
      </c>
      <c r="F449" s="17" t="s">
        <v>92</v>
      </c>
      <c r="G449" s="17" t="s">
        <v>92</v>
      </c>
      <c r="H449" s="17" t="s">
        <v>92</v>
      </c>
      <c r="I449" s="39"/>
      <c r="J449" s="47">
        <f t="shared" si="7"/>
        <v>-434</v>
      </c>
      <c r="K449" s="49"/>
      <c r="L449" s="17"/>
      <c r="M449" s="27"/>
      <c r="N449" s="49"/>
      <c r="O449" s="27"/>
      <c r="Q449" s="2"/>
      <c r="R449" s="24"/>
      <c r="S449" s="24"/>
      <c r="T449" s="24"/>
    </row>
    <row r="450" spans="1:20" x14ac:dyDescent="0.25">
      <c r="A450" s="2">
        <v>44755</v>
      </c>
      <c r="B450" s="20">
        <v>2838</v>
      </c>
      <c r="C450" s="20">
        <v>314</v>
      </c>
      <c r="D450" s="20">
        <v>8000</v>
      </c>
      <c r="E450" s="17" t="s">
        <v>92</v>
      </c>
      <c r="F450" s="17" t="s">
        <v>92</v>
      </c>
      <c r="G450" s="17" t="s">
        <v>92</v>
      </c>
      <c r="H450" s="17" t="s">
        <v>92</v>
      </c>
      <c r="I450" s="39"/>
      <c r="J450" s="47">
        <f t="shared" si="7"/>
        <v>-435</v>
      </c>
      <c r="K450" s="49"/>
      <c r="L450" s="17"/>
      <c r="M450" s="27"/>
      <c r="N450" s="49"/>
      <c r="O450" s="27"/>
      <c r="Q450" s="2"/>
      <c r="R450" s="24"/>
      <c r="S450" s="24"/>
      <c r="T450" s="24"/>
    </row>
    <row r="451" spans="1:20" x14ac:dyDescent="0.25">
      <c r="A451" s="2">
        <v>44754</v>
      </c>
      <c r="B451" s="20">
        <v>2846</v>
      </c>
      <c r="C451" s="20">
        <v>317</v>
      </c>
      <c r="D451" s="20">
        <v>8000</v>
      </c>
      <c r="E451" s="17" t="s">
        <v>92</v>
      </c>
      <c r="F451" s="17" t="s">
        <v>92</v>
      </c>
      <c r="G451" s="17" t="s">
        <v>92</v>
      </c>
      <c r="H451" s="17" t="s">
        <v>92</v>
      </c>
      <c r="I451" s="39"/>
      <c r="J451" s="47">
        <f t="shared" si="7"/>
        <v>-436</v>
      </c>
      <c r="K451" s="49"/>
      <c r="L451" s="17"/>
      <c r="M451" s="27"/>
      <c r="N451" s="49"/>
      <c r="O451" s="27"/>
      <c r="Q451" s="2"/>
      <c r="R451" s="24"/>
      <c r="S451" s="24"/>
      <c r="T451" s="24"/>
    </row>
    <row r="452" spans="1:20" x14ac:dyDescent="0.25">
      <c r="A452" s="2">
        <v>44753</v>
      </c>
      <c r="B452" s="20">
        <v>2872</v>
      </c>
      <c r="C452" s="20">
        <v>329</v>
      </c>
      <c r="D452" s="20">
        <v>8158</v>
      </c>
      <c r="E452" s="17" t="s">
        <v>92</v>
      </c>
      <c r="F452" s="17" t="s">
        <v>92</v>
      </c>
      <c r="G452" s="17" t="s">
        <v>92</v>
      </c>
      <c r="H452" s="17" t="s">
        <v>92</v>
      </c>
      <c r="I452" s="39"/>
      <c r="J452" s="47">
        <f t="shared" si="7"/>
        <v>-437</v>
      </c>
      <c r="K452" s="49"/>
      <c r="L452" s="17"/>
      <c r="M452" s="27"/>
      <c r="N452" s="49"/>
      <c r="O452" s="27"/>
      <c r="Q452" s="2"/>
      <c r="R452" s="24"/>
      <c r="S452" s="24"/>
      <c r="T452" s="24"/>
    </row>
    <row r="453" spans="1:20" x14ac:dyDescent="0.25">
      <c r="A453" s="2">
        <v>44750</v>
      </c>
      <c r="B453" s="20">
        <v>2914</v>
      </c>
      <c r="C453" s="20">
        <v>328</v>
      </c>
      <c r="D453" s="20">
        <v>8470</v>
      </c>
      <c r="E453" s="17" t="s">
        <v>92</v>
      </c>
      <c r="F453" s="17" t="s">
        <v>92</v>
      </c>
      <c r="G453" s="17" t="s">
        <v>92</v>
      </c>
      <c r="H453" s="17" t="s">
        <v>92</v>
      </c>
      <c r="I453" s="39"/>
      <c r="J453" s="47">
        <f t="shared" si="7"/>
        <v>-438</v>
      </c>
      <c r="K453" s="49"/>
      <c r="L453" s="17"/>
      <c r="M453" s="27"/>
      <c r="N453" s="49"/>
      <c r="O453" s="27"/>
      <c r="Q453" s="2"/>
      <c r="R453" s="24"/>
      <c r="S453" s="24"/>
      <c r="T453" s="24"/>
    </row>
    <row r="454" spans="1:20" x14ac:dyDescent="0.25">
      <c r="A454" s="2">
        <v>44749</v>
      </c>
      <c r="B454" s="20">
        <v>2888</v>
      </c>
      <c r="C454" s="29">
        <v>330.5</v>
      </c>
      <c r="D454" s="20">
        <v>8380</v>
      </c>
      <c r="E454" s="17" t="s">
        <v>92</v>
      </c>
      <c r="F454" s="17" t="s">
        <v>92</v>
      </c>
      <c r="G454" s="17" t="s">
        <v>92</v>
      </c>
      <c r="H454" s="17" t="s">
        <v>92</v>
      </c>
      <c r="I454" s="39"/>
      <c r="J454" s="47">
        <f t="shared" si="7"/>
        <v>-439</v>
      </c>
      <c r="K454" s="49"/>
      <c r="L454" s="17"/>
      <c r="M454" s="27"/>
      <c r="N454" s="49"/>
      <c r="O454" s="27"/>
      <c r="Q454" s="2"/>
      <c r="R454" s="24"/>
      <c r="S454" s="24"/>
      <c r="T454" s="24"/>
    </row>
    <row r="455" spans="1:20" x14ac:dyDescent="0.25">
      <c r="A455" s="2">
        <v>44748</v>
      </c>
      <c r="B455" s="20">
        <v>2902</v>
      </c>
      <c r="C455" s="20">
        <v>320</v>
      </c>
      <c r="D455" s="20">
        <v>8158</v>
      </c>
      <c r="E455" s="17" t="s">
        <v>92</v>
      </c>
      <c r="F455" s="17" t="s">
        <v>92</v>
      </c>
      <c r="G455" s="17" t="s">
        <v>92</v>
      </c>
      <c r="H455" s="17" t="s">
        <v>92</v>
      </c>
      <c r="I455" s="39"/>
      <c r="J455" s="47">
        <f t="shared" si="7"/>
        <v>-440</v>
      </c>
      <c r="K455" s="49"/>
      <c r="L455" s="17"/>
      <c r="M455" s="27"/>
      <c r="N455" s="49"/>
      <c r="O455" s="27"/>
      <c r="Q455" s="2"/>
      <c r="R455" s="24"/>
      <c r="S455" s="24"/>
      <c r="T455" s="24"/>
    </row>
    <row r="456" spans="1:20" x14ac:dyDescent="0.25">
      <c r="A456" s="2">
        <v>44747</v>
      </c>
      <c r="B456" s="20">
        <v>2932</v>
      </c>
      <c r="C456" s="20">
        <v>325</v>
      </c>
      <c r="D456" s="20">
        <v>8152</v>
      </c>
      <c r="E456" s="17" t="s">
        <v>92</v>
      </c>
      <c r="F456" s="17" t="s">
        <v>92</v>
      </c>
      <c r="G456" s="17" t="s">
        <v>92</v>
      </c>
      <c r="H456" s="17" t="s">
        <v>92</v>
      </c>
      <c r="I456" s="39"/>
      <c r="J456" s="47">
        <f t="shared" si="7"/>
        <v>-441</v>
      </c>
      <c r="K456" s="49"/>
      <c r="L456" s="17"/>
      <c r="M456" s="27"/>
      <c r="N456" s="49"/>
      <c r="O456" s="27"/>
      <c r="Q456" s="2"/>
      <c r="R456" s="24"/>
      <c r="S456" s="24"/>
      <c r="T456" s="24"/>
    </row>
    <row r="457" spans="1:20" x14ac:dyDescent="0.25">
      <c r="A457" s="2">
        <v>44746</v>
      </c>
      <c r="B457" s="20">
        <v>2950</v>
      </c>
      <c r="C457" s="20">
        <v>333</v>
      </c>
      <c r="D457" s="20">
        <v>8534</v>
      </c>
      <c r="E457" s="17" t="s">
        <v>92</v>
      </c>
      <c r="F457" s="17" t="s">
        <v>92</v>
      </c>
      <c r="G457" s="17" t="s">
        <v>92</v>
      </c>
      <c r="H457" s="17" t="s">
        <v>92</v>
      </c>
      <c r="I457" s="39"/>
      <c r="J457" s="47">
        <f t="shared" si="7"/>
        <v>-442</v>
      </c>
      <c r="K457" s="49"/>
      <c r="L457" s="17"/>
      <c r="M457" s="27"/>
      <c r="N457" s="49"/>
      <c r="O457" s="52"/>
      <c r="Q457" s="2"/>
      <c r="R457" s="24"/>
      <c r="S457" s="24"/>
      <c r="T457" s="24"/>
    </row>
    <row r="458" spans="1:20" x14ac:dyDescent="0.25">
      <c r="A458" s="2">
        <v>44743</v>
      </c>
      <c r="B458" s="20">
        <v>2912</v>
      </c>
      <c r="C458" s="20">
        <v>322</v>
      </c>
      <c r="D458" s="20">
        <v>8390</v>
      </c>
      <c r="E458" s="17" t="s">
        <v>92</v>
      </c>
      <c r="F458" s="17" t="s">
        <v>92</v>
      </c>
      <c r="G458" s="17" t="s">
        <v>92</v>
      </c>
      <c r="H458" s="17" t="s">
        <v>92</v>
      </c>
      <c r="I458" s="39"/>
      <c r="J458" s="47">
        <f t="shared" si="7"/>
        <v>-443</v>
      </c>
      <c r="K458" s="49"/>
      <c r="L458" s="17"/>
      <c r="M458" s="27"/>
      <c r="N458" s="49"/>
      <c r="O458" s="27"/>
      <c r="Q458" s="2"/>
      <c r="R458" s="24"/>
      <c r="S458" s="24"/>
      <c r="T458" s="24"/>
    </row>
    <row r="459" spans="1:20" x14ac:dyDescent="0.25">
      <c r="A459" s="2">
        <v>44742</v>
      </c>
      <c r="B459" s="20">
        <v>2918</v>
      </c>
      <c r="C459" s="20">
        <v>320</v>
      </c>
      <c r="D459" s="20">
        <v>8422</v>
      </c>
      <c r="E459" s="17" t="s">
        <v>92</v>
      </c>
      <c r="F459" s="17" t="s">
        <v>92</v>
      </c>
      <c r="G459" s="17" t="s">
        <v>92</v>
      </c>
      <c r="H459" s="17" t="s">
        <v>92</v>
      </c>
      <c r="I459" s="39"/>
      <c r="J459" s="47">
        <f t="shared" si="7"/>
        <v>-444</v>
      </c>
      <c r="K459" s="49"/>
      <c r="L459" s="17"/>
      <c r="M459" s="27"/>
      <c r="N459" s="49"/>
      <c r="O459" s="27"/>
      <c r="Q459" s="2"/>
      <c r="R459" s="24"/>
      <c r="S459" s="24"/>
      <c r="T459" s="24"/>
    </row>
    <row r="460" spans="1:20" x14ac:dyDescent="0.25">
      <c r="A460" s="2">
        <v>44741</v>
      </c>
      <c r="B460" s="20">
        <v>2970</v>
      </c>
      <c r="C460" s="20">
        <v>318</v>
      </c>
      <c r="D460" s="20">
        <v>8488</v>
      </c>
      <c r="E460" s="17" t="s">
        <v>92</v>
      </c>
      <c r="F460" s="17" t="s">
        <v>92</v>
      </c>
      <c r="G460" s="17" t="s">
        <v>92</v>
      </c>
      <c r="H460" s="17" t="s">
        <v>92</v>
      </c>
      <c r="I460" s="39"/>
      <c r="J460" s="47">
        <f t="shared" si="7"/>
        <v>-445</v>
      </c>
      <c r="K460" s="49"/>
      <c r="L460" s="17"/>
      <c r="M460" s="27"/>
      <c r="N460" s="49"/>
      <c r="O460" s="27"/>
      <c r="Q460" s="2"/>
      <c r="R460" s="24"/>
      <c r="S460" s="24"/>
      <c r="T460" s="24"/>
    </row>
    <row r="461" spans="1:20" x14ac:dyDescent="0.25">
      <c r="A461" s="2">
        <v>44740</v>
      </c>
      <c r="B461" s="20">
        <v>2992</v>
      </c>
      <c r="C461" s="29">
        <v>325.5</v>
      </c>
      <c r="D461" s="20">
        <v>8750</v>
      </c>
      <c r="E461" s="17" t="s">
        <v>92</v>
      </c>
      <c r="F461" s="17" t="s">
        <v>92</v>
      </c>
      <c r="G461" s="17" t="s">
        <v>92</v>
      </c>
      <c r="H461" s="17" t="s">
        <v>92</v>
      </c>
      <c r="I461" s="39"/>
      <c r="J461" s="47">
        <f t="shared" si="7"/>
        <v>-446</v>
      </c>
      <c r="K461" s="49"/>
      <c r="L461" s="17"/>
      <c r="M461" s="27"/>
      <c r="N461" s="49"/>
      <c r="O461" s="27"/>
      <c r="Q461" s="2"/>
      <c r="R461" s="24"/>
      <c r="S461" s="24"/>
      <c r="T461" s="24"/>
    </row>
    <row r="462" spans="1:20" x14ac:dyDescent="0.25">
      <c r="A462" s="2">
        <v>44739</v>
      </c>
      <c r="B462" s="20">
        <v>2912</v>
      </c>
      <c r="C462" s="20">
        <v>328</v>
      </c>
      <c r="D462" s="20">
        <v>8418</v>
      </c>
      <c r="E462" s="17" t="s">
        <v>92</v>
      </c>
      <c r="F462" s="17" t="s">
        <v>92</v>
      </c>
      <c r="G462" s="17" t="s">
        <v>92</v>
      </c>
      <c r="H462" s="17" t="s">
        <v>92</v>
      </c>
      <c r="I462" s="39"/>
      <c r="J462" s="47">
        <f t="shared" si="7"/>
        <v>-447</v>
      </c>
      <c r="K462" s="49"/>
      <c r="L462" s="17"/>
      <c r="M462" s="27"/>
      <c r="N462" s="49"/>
      <c r="O462" s="27"/>
      <c r="Q462" s="2"/>
      <c r="R462" s="24"/>
      <c r="S462" s="24"/>
      <c r="T462" s="24"/>
    </row>
    <row r="463" spans="1:20" x14ac:dyDescent="0.25">
      <c r="A463" s="2">
        <v>44736</v>
      </c>
      <c r="B463" s="20">
        <v>2926</v>
      </c>
      <c r="C463" s="29">
        <v>331.5</v>
      </c>
      <c r="D463" s="20">
        <v>8400</v>
      </c>
      <c r="E463" s="17" t="s">
        <v>92</v>
      </c>
      <c r="F463" s="17" t="s">
        <v>92</v>
      </c>
      <c r="G463" s="17" t="s">
        <v>92</v>
      </c>
      <c r="H463" s="17" t="s">
        <v>92</v>
      </c>
      <c r="I463" s="39"/>
      <c r="J463" s="47">
        <f t="shared" si="7"/>
        <v>-448</v>
      </c>
      <c r="K463" s="49"/>
      <c r="L463" s="17"/>
      <c r="M463" s="27"/>
      <c r="N463" s="49"/>
      <c r="O463" s="27"/>
      <c r="Q463" s="2"/>
      <c r="R463" s="24"/>
      <c r="S463" s="24"/>
      <c r="T463" s="24"/>
    </row>
    <row r="464" spans="1:20" x14ac:dyDescent="0.25">
      <c r="A464" s="2">
        <v>44735</v>
      </c>
      <c r="B464" s="20">
        <v>2930</v>
      </c>
      <c r="C464" s="29">
        <v>335.5</v>
      </c>
      <c r="D464" s="20">
        <v>8354</v>
      </c>
      <c r="E464" s="17" t="s">
        <v>92</v>
      </c>
      <c r="F464" s="17" t="s">
        <v>92</v>
      </c>
      <c r="G464" s="17" t="s">
        <v>92</v>
      </c>
      <c r="H464" s="17" t="s">
        <v>92</v>
      </c>
      <c r="I464" s="39"/>
      <c r="J464" s="47">
        <f t="shared" si="7"/>
        <v>-449</v>
      </c>
      <c r="K464" s="49"/>
      <c r="L464" s="17"/>
      <c r="M464" s="27"/>
      <c r="N464" s="49"/>
      <c r="O464" s="27"/>
      <c r="Q464" s="2"/>
      <c r="R464" s="24"/>
      <c r="S464" s="24"/>
      <c r="T464" s="24"/>
    </row>
    <row r="465" spans="1:20" x14ac:dyDescent="0.25">
      <c r="A465" s="2">
        <v>44734</v>
      </c>
      <c r="B465" s="20">
        <v>2914</v>
      </c>
      <c r="C465" s="20">
        <v>335</v>
      </c>
      <c r="D465" s="20">
        <v>8530</v>
      </c>
      <c r="E465" s="17" t="s">
        <v>92</v>
      </c>
      <c r="F465" s="17" t="s">
        <v>92</v>
      </c>
      <c r="G465" s="17" t="s">
        <v>92</v>
      </c>
      <c r="H465" s="17" t="s">
        <v>92</v>
      </c>
      <c r="I465" s="39"/>
      <c r="J465" s="47">
        <f t="shared" ref="J465:J528" si="8">+J464-1</f>
        <v>-450</v>
      </c>
      <c r="K465" s="49"/>
      <c r="L465" s="17"/>
      <c r="M465" s="27"/>
      <c r="N465" s="49"/>
      <c r="O465" s="27"/>
      <c r="Q465" s="2"/>
      <c r="R465" s="24"/>
      <c r="S465" s="24"/>
      <c r="T465" s="24"/>
    </row>
    <row r="466" spans="1:20" x14ac:dyDescent="0.25">
      <c r="A466" s="2">
        <v>44733</v>
      </c>
      <c r="B466" s="20">
        <v>3030</v>
      </c>
      <c r="C466" s="20">
        <v>342</v>
      </c>
      <c r="D466" s="20">
        <v>8760</v>
      </c>
      <c r="E466" s="17" t="s">
        <v>92</v>
      </c>
      <c r="F466" s="17" t="s">
        <v>92</v>
      </c>
      <c r="G466" s="17" t="s">
        <v>92</v>
      </c>
      <c r="H466" s="17" t="s">
        <v>92</v>
      </c>
      <c r="I466" s="39"/>
      <c r="J466" s="47">
        <f t="shared" si="8"/>
        <v>-451</v>
      </c>
      <c r="K466" s="49"/>
      <c r="L466" s="17"/>
      <c r="M466" s="27"/>
      <c r="N466" s="49"/>
      <c r="O466" s="27"/>
      <c r="Q466" s="2"/>
      <c r="R466" s="24"/>
      <c r="S466" s="24"/>
      <c r="T466" s="24"/>
    </row>
    <row r="467" spans="1:20" x14ac:dyDescent="0.25">
      <c r="A467" s="2">
        <v>44732</v>
      </c>
      <c r="B467" s="20">
        <v>2900</v>
      </c>
      <c r="C467" s="20">
        <v>343</v>
      </c>
      <c r="D467" s="20">
        <v>8584</v>
      </c>
      <c r="E467" s="17" t="s">
        <v>92</v>
      </c>
      <c r="F467" s="17" t="s">
        <v>92</v>
      </c>
      <c r="G467" s="17" t="s">
        <v>92</v>
      </c>
      <c r="H467" s="17" t="s">
        <v>92</v>
      </c>
      <c r="I467" s="39"/>
      <c r="J467" s="47">
        <f t="shared" si="8"/>
        <v>-452</v>
      </c>
      <c r="K467" s="49"/>
      <c r="L467" s="17"/>
      <c r="M467" s="27"/>
      <c r="N467" s="49"/>
      <c r="O467" s="27"/>
      <c r="Q467" s="2"/>
      <c r="R467" s="24"/>
      <c r="S467" s="24"/>
      <c r="T467" s="24"/>
    </row>
    <row r="468" spans="1:20" x14ac:dyDescent="0.25">
      <c r="A468" s="2">
        <v>44729</v>
      </c>
      <c r="B468" s="20">
        <v>2892</v>
      </c>
      <c r="C468" s="20">
        <v>339</v>
      </c>
      <c r="D468" s="20">
        <v>8458</v>
      </c>
      <c r="E468" s="17" t="s">
        <v>92</v>
      </c>
      <c r="F468" s="17" t="s">
        <v>92</v>
      </c>
      <c r="G468" s="17" t="s">
        <v>92</v>
      </c>
      <c r="H468" s="17" t="s">
        <v>92</v>
      </c>
      <c r="I468" s="39"/>
      <c r="J468" s="47">
        <f t="shared" si="8"/>
        <v>-453</v>
      </c>
      <c r="K468" s="49"/>
      <c r="L468" s="17"/>
      <c r="M468" s="27"/>
      <c r="N468" s="49"/>
      <c r="O468" s="27"/>
      <c r="Q468" s="2"/>
      <c r="R468" s="24"/>
      <c r="S468" s="24"/>
      <c r="T468" s="24"/>
    </row>
    <row r="469" spans="1:20" x14ac:dyDescent="0.25">
      <c r="A469" s="2">
        <v>44728</v>
      </c>
      <c r="B469" s="20">
        <v>2900</v>
      </c>
      <c r="C469" s="29">
        <v>335.5</v>
      </c>
      <c r="D469" s="20">
        <v>8502</v>
      </c>
      <c r="E469" s="17" t="s">
        <v>92</v>
      </c>
      <c r="F469" s="17" t="s">
        <v>92</v>
      </c>
      <c r="G469" s="17" t="s">
        <v>92</v>
      </c>
      <c r="H469" s="17" t="s">
        <v>92</v>
      </c>
      <c r="I469" s="39"/>
      <c r="J469" s="47">
        <f t="shared" si="8"/>
        <v>-454</v>
      </c>
      <c r="K469" s="49"/>
      <c r="L469" s="17"/>
      <c r="M469" s="27"/>
      <c r="N469" s="49"/>
      <c r="O469" s="27"/>
      <c r="Q469" s="2"/>
      <c r="R469" s="24"/>
      <c r="S469" s="24"/>
      <c r="T469" s="24"/>
    </row>
    <row r="470" spans="1:20" x14ac:dyDescent="0.25">
      <c r="A470" s="2">
        <v>44727</v>
      </c>
      <c r="B470" s="20">
        <v>2900</v>
      </c>
      <c r="C470" s="20">
        <v>341</v>
      </c>
      <c r="D470" s="20">
        <v>8510</v>
      </c>
      <c r="E470" s="17" t="s">
        <v>92</v>
      </c>
      <c r="F470" s="17" t="s">
        <v>92</v>
      </c>
      <c r="G470" s="17" t="s">
        <v>92</v>
      </c>
      <c r="H470" s="17" t="s">
        <v>92</v>
      </c>
      <c r="I470" s="39"/>
      <c r="J470" s="47">
        <f t="shared" si="8"/>
        <v>-455</v>
      </c>
      <c r="K470" s="49"/>
      <c r="L470" s="17"/>
      <c r="M470" s="27"/>
      <c r="N470" s="49"/>
      <c r="O470" s="27"/>
      <c r="Q470" s="2"/>
      <c r="R470" s="24"/>
      <c r="S470" s="24"/>
      <c r="T470" s="24"/>
    </row>
    <row r="471" spans="1:20" x14ac:dyDescent="0.25">
      <c r="A471" s="2">
        <v>44726</v>
      </c>
      <c r="B471" s="20">
        <v>2794</v>
      </c>
      <c r="C471" s="20">
        <v>345</v>
      </c>
      <c r="D471" s="20">
        <v>8450</v>
      </c>
      <c r="E471" s="17" t="s">
        <v>92</v>
      </c>
      <c r="F471" s="17" t="s">
        <v>92</v>
      </c>
      <c r="G471" s="17" t="s">
        <v>92</v>
      </c>
      <c r="H471" s="17" t="s">
        <v>92</v>
      </c>
      <c r="I471" s="39"/>
      <c r="J471" s="47">
        <f t="shared" si="8"/>
        <v>-456</v>
      </c>
      <c r="K471" s="49"/>
      <c r="L471" s="17"/>
      <c r="M471" s="27"/>
      <c r="N471" s="49"/>
      <c r="O471" s="27"/>
      <c r="Q471" s="2"/>
      <c r="R471" s="24"/>
      <c r="S471" s="24"/>
      <c r="T471" s="24"/>
    </row>
    <row r="472" spans="1:20" x14ac:dyDescent="0.25">
      <c r="A472" s="2">
        <v>44725</v>
      </c>
      <c r="B472" s="20">
        <v>2622</v>
      </c>
      <c r="C472" s="20">
        <v>343</v>
      </c>
      <c r="D472" s="20">
        <v>8450</v>
      </c>
      <c r="E472" s="17" t="s">
        <v>92</v>
      </c>
      <c r="F472" s="17" t="s">
        <v>92</v>
      </c>
      <c r="G472" s="17" t="s">
        <v>92</v>
      </c>
      <c r="H472" s="17" t="s">
        <v>92</v>
      </c>
      <c r="I472" s="39"/>
      <c r="J472" s="47">
        <f t="shared" si="8"/>
        <v>-457</v>
      </c>
      <c r="K472" s="49"/>
      <c r="L472" s="17"/>
      <c r="M472" s="27"/>
      <c r="N472" s="49"/>
      <c r="O472" s="27"/>
      <c r="Q472" s="2"/>
      <c r="R472" s="24"/>
      <c r="S472" s="24"/>
      <c r="T472" s="24"/>
    </row>
    <row r="473" spans="1:20" x14ac:dyDescent="0.25">
      <c r="A473" s="2">
        <v>44722</v>
      </c>
      <c r="B473" s="20">
        <v>2662</v>
      </c>
      <c r="C473" s="20">
        <v>358</v>
      </c>
      <c r="D473" s="20">
        <v>8762</v>
      </c>
      <c r="E473" s="17" t="s">
        <v>92</v>
      </c>
      <c r="F473" s="17" t="s">
        <v>92</v>
      </c>
      <c r="G473" s="17" t="s">
        <v>92</v>
      </c>
      <c r="H473" s="17" t="s">
        <v>92</v>
      </c>
      <c r="I473" s="39"/>
      <c r="J473" s="47">
        <f t="shared" si="8"/>
        <v>-458</v>
      </c>
      <c r="K473" s="49"/>
      <c r="L473" s="17"/>
      <c r="M473" s="27"/>
      <c r="N473" s="49"/>
      <c r="O473" s="27"/>
      <c r="Q473" s="2"/>
      <c r="R473" s="24"/>
      <c r="S473" s="24"/>
      <c r="T473" s="24"/>
    </row>
    <row r="474" spans="1:20" x14ac:dyDescent="0.25">
      <c r="A474" s="2">
        <v>44721</v>
      </c>
      <c r="B474" s="20">
        <v>2746</v>
      </c>
      <c r="C474" s="20">
        <v>367</v>
      </c>
      <c r="D474" s="20">
        <v>8900</v>
      </c>
      <c r="E474" s="17" t="s">
        <v>92</v>
      </c>
      <c r="F474" s="17" t="s">
        <v>92</v>
      </c>
      <c r="G474" s="17" t="s">
        <v>92</v>
      </c>
      <c r="H474" s="17" t="s">
        <v>92</v>
      </c>
      <c r="I474" s="39"/>
      <c r="J474" s="47">
        <f t="shared" si="8"/>
        <v>-459</v>
      </c>
      <c r="K474" s="49"/>
      <c r="L474" s="17"/>
      <c r="M474" s="27"/>
      <c r="N474" s="49"/>
      <c r="O474" s="27"/>
      <c r="Q474" s="2"/>
      <c r="R474" s="24"/>
      <c r="S474" s="24"/>
      <c r="T474" s="24"/>
    </row>
    <row r="475" spans="1:20" x14ac:dyDescent="0.25">
      <c r="A475" s="2">
        <v>44720</v>
      </c>
      <c r="B475" s="20">
        <v>2802</v>
      </c>
      <c r="C475" s="20">
        <v>369</v>
      </c>
      <c r="D475" s="20">
        <v>9002</v>
      </c>
      <c r="E475" s="17" t="s">
        <v>92</v>
      </c>
      <c r="F475" s="17" t="s">
        <v>92</v>
      </c>
      <c r="G475" s="17" t="s">
        <v>92</v>
      </c>
      <c r="H475" s="17" t="s">
        <v>92</v>
      </c>
      <c r="I475" s="39"/>
      <c r="J475" s="47">
        <f t="shared" si="8"/>
        <v>-460</v>
      </c>
      <c r="K475" s="49"/>
      <c r="L475" s="17"/>
      <c r="M475" s="27"/>
      <c r="N475" s="49"/>
      <c r="O475" s="27"/>
      <c r="Q475" s="2"/>
      <c r="R475" s="24"/>
      <c r="S475" s="24"/>
      <c r="T475" s="24"/>
    </row>
    <row r="476" spans="1:20" x14ac:dyDescent="0.25">
      <c r="A476" s="2">
        <v>44719</v>
      </c>
      <c r="B476" s="20">
        <v>2798</v>
      </c>
      <c r="C476" s="29">
        <v>368.5</v>
      </c>
      <c r="D476" s="20">
        <v>9050</v>
      </c>
      <c r="E476" s="17" t="s">
        <v>92</v>
      </c>
      <c r="F476" s="17" t="s">
        <v>92</v>
      </c>
      <c r="G476" s="17" t="s">
        <v>92</v>
      </c>
      <c r="H476" s="17" t="s">
        <v>92</v>
      </c>
      <c r="I476" s="39"/>
      <c r="J476" s="47">
        <f t="shared" si="8"/>
        <v>-461</v>
      </c>
      <c r="K476" s="49"/>
      <c r="L476" s="17"/>
      <c r="M476" s="27"/>
      <c r="N476" s="49"/>
      <c r="O476" s="27"/>
      <c r="Q476" s="2"/>
      <c r="R476" s="24"/>
      <c r="S476" s="24"/>
      <c r="T476" s="24"/>
    </row>
    <row r="477" spans="1:20" x14ac:dyDescent="0.25">
      <c r="A477" s="2">
        <v>44715</v>
      </c>
      <c r="B477" s="20">
        <v>2842</v>
      </c>
      <c r="C477" s="29">
        <v>377.5</v>
      </c>
      <c r="D477" s="20">
        <v>9314</v>
      </c>
      <c r="E477" s="17" t="s">
        <v>92</v>
      </c>
      <c r="F477" s="17" t="s">
        <v>92</v>
      </c>
      <c r="G477" s="17" t="s">
        <v>92</v>
      </c>
      <c r="H477" s="17" t="s">
        <v>92</v>
      </c>
      <c r="I477" s="39"/>
      <c r="J477" s="47">
        <f t="shared" si="8"/>
        <v>-462</v>
      </c>
      <c r="K477" s="49"/>
      <c r="L477" s="17"/>
      <c r="M477" s="27"/>
      <c r="N477" s="49"/>
      <c r="O477" s="27"/>
      <c r="Q477" s="2"/>
      <c r="R477" s="24"/>
      <c r="S477" s="24"/>
      <c r="T477" s="24"/>
    </row>
    <row r="478" spans="1:20" x14ac:dyDescent="0.25">
      <c r="A478" s="2">
        <v>44714</v>
      </c>
      <c r="B478" s="20">
        <v>2798</v>
      </c>
      <c r="C478" s="20">
        <v>380</v>
      </c>
      <c r="D478" s="20">
        <v>9194</v>
      </c>
      <c r="E478" s="17" t="s">
        <v>92</v>
      </c>
      <c r="F478" s="17" t="s">
        <v>92</v>
      </c>
      <c r="G478" s="17" t="s">
        <v>92</v>
      </c>
      <c r="H478" s="17" t="s">
        <v>92</v>
      </c>
      <c r="I478" s="39"/>
      <c r="J478" s="47">
        <f t="shared" si="8"/>
        <v>-463</v>
      </c>
      <c r="K478" s="49"/>
      <c r="L478" s="17"/>
      <c r="M478" s="27"/>
      <c r="N478" s="49"/>
      <c r="O478" s="27"/>
      <c r="Q478" s="2"/>
      <c r="R478" s="24"/>
      <c r="S478" s="24"/>
      <c r="T478" s="24"/>
    </row>
    <row r="479" spans="1:20" x14ac:dyDescent="0.25">
      <c r="A479" s="2">
        <v>44713</v>
      </c>
      <c r="B479" s="20">
        <v>2770</v>
      </c>
      <c r="C479" s="20">
        <v>382</v>
      </c>
      <c r="D479" s="20">
        <v>9156</v>
      </c>
      <c r="E479" s="17" t="s">
        <v>92</v>
      </c>
      <c r="F479" s="17" t="s">
        <v>92</v>
      </c>
      <c r="G479" s="17" t="s">
        <v>92</v>
      </c>
      <c r="H479" s="17" t="s">
        <v>92</v>
      </c>
      <c r="I479" s="39"/>
      <c r="J479" s="47">
        <f t="shared" si="8"/>
        <v>-464</v>
      </c>
      <c r="K479" s="49"/>
      <c r="L479" s="17"/>
      <c r="M479" s="27"/>
      <c r="N479" s="49"/>
      <c r="O479" s="27"/>
      <c r="Q479" s="2"/>
      <c r="R479" s="24"/>
      <c r="S479" s="24"/>
      <c r="T479" s="24"/>
    </row>
    <row r="480" spans="1:20" x14ac:dyDescent="0.25">
      <c r="A480" s="2">
        <v>44712</v>
      </c>
      <c r="B480" s="20">
        <v>2658</v>
      </c>
      <c r="C480" s="20">
        <v>377</v>
      </c>
      <c r="D480" s="20">
        <v>8818</v>
      </c>
      <c r="E480" s="17" t="s">
        <v>92</v>
      </c>
      <c r="F480" s="17" t="s">
        <v>92</v>
      </c>
      <c r="G480" s="17" t="s">
        <v>92</v>
      </c>
      <c r="H480" s="17" t="s">
        <v>92</v>
      </c>
      <c r="I480" s="39"/>
      <c r="J480" s="47">
        <f t="shared" si="8"/>
        <v>-465</v>
      </c>
      <c r="K480" s="49"/>
      <c r="L480" s="17"/>
      <c r="M480" s="27"/>
      <c r="N480" s="49"/>
      <c r="O480" s="27"/>
      <c r="Q480" s="2"/>
      <c r="R480" s="24"/>
      <c r="S480" s="24"/>
      <c r="T480" s="24"/>
    </row>
    <row r="481" spans="1:20" x14ac:dyDescent="0.25">
      <c r="A481" s="2">
        <v>44711</v>
      </c>
      <c r="B481" s="20">
        <v>2516</v>
      </c>
      <c r="C481" s="20">
        <v>379</v>
      </c>
      <c r="D481" s="20">
        <v>8800</v>
      </c>
      <c r="E481" s="17" t="s">
        <v>92</v>
      </c>
      <c r="F481" s="17" t="s">
        <v>92</v>
      </c>
      <c r="G481" s="17" t="s">
        <v>92</v>
      </c>
      <c r="H481" s="17" t="s">
        <v>92</v>
      </c>
      <c r="I481" s="39"/>
      <c r="J481" s="47">
        <f t="shared" si="8"/>
        <v>-466</v>
      </c>
      <c r="K481" s="49"/>
      <c r="L481" s="17"/>
      <c r="M481" s="27"/>
      <c r="N481" s="49"/>
      <c r="O481" s="27"/>
      <c r="Q481" s="2"/>
      <c r="R481" s="24"/>
      <c r="S481" s="24"/>
      <c r="T481" s="24"/>
    </row>
    <row r="482" spans="1:20" x14ac:dyDescent="0.25">
      <c r="A482" s="2">
        <v>44708</v>
      </c>
      <c r="B482" s="20">
        <v>2560</v>
      </c>
      <c r="C482" s="20">
        <v>373</v>
      </c>
      <c r="D482" s="20">
        <v>8530</v>
      </c>
      <c r="E482" s="17" t="s">
        <v>92</v>
      </c>
      <c r="F482" s="17" t="s">
        <v>92</v>
      </c>
      <c r="G482" s="17" t="s">
        <v>92</v>
      </c>
      <c r="H482" s="17" t="s">
        <v>92</v>
      </c>
      <c r="I482" s="39"/>
      <c r="J482" s="47">
        <f t="shared" si="8"/>
        <v>-467</v>
      </c>
      <c r="K482" s="49"/>
      <c r="L482" s="17"/>
      <c r="M482" s="27"/>
      <c r="N482" s="49"/>
      <c r="O482" s="27"/>
      <c r="Q482" s="2"/>
      <c r="R482" s="24"/>
      <c r="S482" s="24"/>
      <c r="T482" s="24"/>
    </row>
    <row r="483" spans="1:20" x14ac:dyDescent="0.25">
      <c r="A483" s="2">
        <v>44707</v>
      </c>
      <c r="B483" s="20">
        <v>2504</v>
      </c>
      <c r="C483" s="20">
        <v>387</v>
      </c>
      <c r="D483" s="20">
        <v>9010</v>
      </c>
      <c r="E483" s="17" t="s">
        <v>92</v>
      </c>
      <c r="F483" s="17" t="s">
        <v>92</v>
      </c>
      <c r="G483" s="17" t="s">
        <v>92</v>
      </c>
      <c r="H483" s="17" t="s">
        <v>92</v>
      </c>
      <c r="I483" s="39"/>
      <c r="J483" s="47">
        <f t="shared" si="8"/>
        <v>-468</v>
      </c>
      <c r="K483" s="49"/>
      <c r="L483" s="17"/>
      <c r="M483" s="27"/>
      <c r="N483" s="49"/>
      <c r="O483" s="27"/>
      <c r="Q483" s="2"/>
      <c r="R483" s="24"/>
      <c r="S483" s="24"/>
      <c r="T483" s="24"/>
    </row>
    <row r="484" spans="1:20" x14ac:dyDescent="0.25">
      <c r="A484" s="2">
        <v>44706</v>
      </c>
      <c r="B484" s="20">
        <v>2756</v>
      </c>
      <c r="C484" s="20">
        <v>405</v>
      </c>
      <c r="D484" s="20">
        <v>9812</v>
      </c>
      <c r="E484" s="17" t="s">
        <v>92</v>
      </c>
      <c r="F484" s="17" t="s">
        <v>92</v>
      </c>
      <c r="G484" s="17" t="s">
        <v>92</v>
      </c>
      <c r="H484" s="17" t="s">
        <v>92</v>
      </c>
      <c r="I484" s="39"/>
      <c r="J484" s="47">
        <f t="shared" si="8"/>
        <v>-469</v>
      </c>
      <c r="K484" s="49"/>
      <c r="L484" s="17"/>
      <c r="M484" s="27"/>
      <c r="N484" s="49"/>
      <c r="O484" s="27"/>
      <c r="Q484" s="2"/>
      <c r="R484" s="24"/>
      <c r="S484" s="24"/>
      <c r="T484" s="24"/>
    </row>
    <row r="485" spans="1:20" x14ac:dyDescent="0.25">
      <c r="A485" s="2">
        <v>44705</v>
      </c>
      <c r="B485" s="20">
        <v>2872</v>
      </c>
      <c r="C485" s="20">
        <v>419</v>
      </c>
      <c r="D485" s="20">
        <v>10295</v>
      </c>
      <c r="E485" s="17" t="s">
        <v>92</v>
      </c>
      <c r="F485" s="17" t="s">
        <v>92</v>
      </c>
      <c r="G485" s="17" t="s">
        <v>92</v>
      </c>
      <c r="H485" s="17" t="s">
        <v>92</v>
      </c>
      <c r="I485" s="39"/>
      <c r="J485" s="47">
        <f t="shared" si="8"/>
        <v>-470</v>
      </c>
      <c r="K485" s="49"/>
      <c r="L485" s="17"/>
      <c r="M485" s="27"/>
      <c r="N485" s="49"/>
      <c r="O485" s="27"/>
      <c r="Q485" s="2"/>
      <c r="R485" s="24"/>
      <c r="S485" s="24"/>
      <c r="T485" s="24"/>
    </row>
    <row r="486" spans="1:20" x14ac:dyDescent="0.25">
      <c r="A486" s="2">
        <v>44704</v>
      </c>
      <c r="B486" s="20">
        <v>2842</v>
      </c>
      <c r="C486" s="20">
        <v>411</v>
      </c>
      <c r="D486" s="20">
        <v>10465</v>
      </c>
      <c r="E486" s="17" t="s">
        <v>92</v>
      </c>
      <c r="F486" s="17" t="s">
        <v>92</v>
      </c>
      <c r="G486" s="17" t="s">
        <v>92</v>
      </c>
      <c r="H486" s="17" t="s">
        <v>92</v>
      </c>
      <c r="I486" s="39"/>
      <c r="J486" s="47">
        <f t="shared" si="8"/>
        <v>-471</v>
      </c>
      <c r="K486" s="49"/>
      <c r="L486" s="17"/>
      <c r="M486" s="27"/>
      <c r="N486" s="49"/>
      <c r="O486" s="27"/>
      <c r="Q486" s="2"/>
      <c r="R486" s="24"/>
      <c r="S486" s="24"/>
      <c r="T486" s="24"/>
    </row>
    <row r="487" spans="1:20" x14ac:dyDescent="0.25">
      <c r="A487" s="2">
        <v>44701</v>
      </c>
      <c r="B487" s="20">
        <v>2700</v>
      </c>
      <c r="C487" s="20">
        <v>409</v>
      </c>
      <c r="D487" s="20">
        <v>9904</v>
      </c>
      <c r="E487" s="17" t="s">
        <v>92</v>
      </c>
      <c r="F487" s="17" t="s">
        <v>92</v>
      </c>
      <c r="G487" s="17" t="s">
        <v>92</v>
      </c>
      <c r="H487" s="17" t="s">
        <v>92</v>
      </c>
      <c r="I487" s="39"/>
      <c r="J487" s="47">
        <f t="shared" si="8"/>
        <v>-472</v>
      </c>
      <c r="K487" s="49"/>
      <c r="L487" s="17"/>
      <c r="M487" s="27"/>
      <c r="N487" s="49"/>
      <c r="O487" s="27"/>
      <c r="Q487" s="2"/>
      <c r="R487" s="24"/>
      <c r="S487" s="24"/>
      <c r="T487" s="24"/>
    </row>
    <row r="488" spans="1:20" x14ac:dyDescent="0.25">
      <c r="A488" s="2">
        <v>44700</v>
      </c>
      <c r="B488" s="20">
        <v>2716</v>
      </c>
      <c r="C488" s="20">
        <v>410</v>
      </c>
      <c r="D488" s="20">
        <v>10290</v>
      </c>
      <c r="E488" s="17" t="s">
        <v>92</v>
      </c>
      <c r="F488" s="17" t="s">
        <v>92</v>
      </c>
      <c r="G488" s="17" t="s">
        <v>92</v>
      </c>
      <c r="H488" s="17" t="s">
        <v>92</v>
      </c>
      <c r="I488" s="39"/>
      <c r="J488" s="47">
        <f t="shared" si="8"/>
        <v>-473</v>
      </c>
      <c r="K488" s="49"/>
      <c r="L488" s="17"/>
      <c r="M488" s="27"/>
      <c r="N488" s="49"/>
      <c r="O488" s="27"/>
      <c r="Q488" s="2"/>
      <c r="R488" s="24"/>
      <c r="S488" s="24"/>
      <c r="T488" s="24"/>
    </row>
    <row r="489" spans="1:20" x14ac:dyDescent="0.25">
      <c r="A489" s="2">
        <v>44699</v>
      </c>
      <c r="B489" s="20">
        <v>2870</v>
      </c>
      <c r="C489" s="20">
        <v>410</v>
      </c>
      <c r="D489" s="20">
        <v>10775</v>
      </c>
      <c r="E489" s="17" t="s">
        <v>92</v>
      </c>
      <c r="F489" s="17" t="s">
        <v>92</v>
      </c>
      <c r="G489" s="17" t="s">
        <v>92</v>
      </c>
      <c r="H489" s="17" t="s">
        <v>92</v>
      </c>
      <c r="I489" s="39"/>
      <c r="J489" s="47">
        <f t="shared" si="8"/>
        <v>-474</v>
      </c>
      <c r="K489" s="49"/>
      <c r="L489" s="17"/>
      <c r="M489" s="27"/>
      <c r="N489" s="49"/>
      <c r="O489" s="27"/>
      <c r="Q489" s="2"/>
      <c r="R489" s="24"/>
      <c r="S489" s="24"/>
      <c r="T489" s="24"/>
    </row>
    <row r="490" spans="1:20" x14ac:dyDescent="0.25">
      <c r="A490" s="2">
        <v>44698</v>
      </c>
      <c r="B490" s="20">
        <v>2834</v>
      </c>
      <c r="C490" s="20">
        <v>410</v>
      </c>
      <c r="D490" s="20">
        <v>10580</v>
      </c>
      <c r="E490" s="17" t="s">
        <v>92</v>
      </c>
      <c r="F490" s="17" t="s">
        <v>92</v>
      </c>
      <c r="G490" s="17" t="s">
        <v>92</v>
      </c>
      <c r="H490" s="17" t="s">
        <v>92</v>
      </c>
      <c r="I490" s="39"/>
      <c r="J490" s="47">
        <f t="shared" si="8"/>
        <v>-475</v>
      </c>
      <c r="K490" s="49"/>
      <c r="L490" s="17"/>
      <c r="M490" s="27"/>
      <c r="N490" s="49"/>
      <c r="O490" s="27"/>
      <c r="Q490" s="2"/>
      <c r="R490" s="24"/>
      <c r="S490" s="24"/>
      <c r="T490" s="24"/>
    </row>
    <row r="491" spans="1:20" x14ac:dyDescent="0.25">
      <c r="A491" s="2">
        <v>44697</v>
      </c>
      <c r="B491" s="20">
        <v>2800</v>
      </c>
      <c r="C491" s="20">
        <v>412</v>
      </c>
      <c r="D491" s="20">
        <v>10505</v>
      </c>
      <c r="E491" s="17" t="s">
        <v>92</v>
      </c>
      <c r="F491" s="17" t="s">
        <v>92</v>
      </c>
      <c r="G491" s="17" t="s">
        <v>92</v>
      </c>
      <c r="H491" s="17" t="s">
        <v>92</v>
      </c>
      <c r="I491" s="39"/>
      <c r="J491" s="47">
        <f t="shared" si="8"/>
        <v>-476</v>
      </c>
      <c r="K491" s="49"/>
      <c r="L491" s="17"/>
      <c r="M491" s="27"/>
      <c r="N491" s="49"/>
      <c r="O491" s="27"/>
      <c r="Q491" s="2"/>
      <c r="R491" s="24"/>
      <c r="S491" s="24"/>
      <c r="T491" s="24"/>
    </row>
    <row r="492" spans="1:20" x14ac:dyDescent="0.25">
      <c r="A492" s="2">
        <v>44694</v>
      </c>
      <c r="B492" s="20">
        <v>2828</v>
      </c>
      <c r="C492" s="29">
        <v>399.5</v>
      </c>
      <c r="D492" s="20">
        <v>10300</v>
      </c>
      <c r="E492" s="17" t="s">
        <v>92</v>
      </c>
      <c r="F492" s="17" t="s">
        <v>92</v>
      </c>
      <c r="G492" s="17" t="s">
        <v>92</v>
      </c>
      <c r="H492" s="17" t="s">
        <v>92</v>
      </c>
      <c r="I492" s="39"/>
      <c r="J492" s="47">
        <f t="shared" si="8"/>
        <v>-477</v>
      </c>
      <c r="K492" s="49"/>
      <c r="L492" s="17"/>
      <c r="M492" s="27"/>
      <c r="N492" s="49"/>
      <c r="O492" s="27"/>
      <c r="Q492" s="2"/>
      <c r="R492" s="24"/>
      <c r="S492" s="24"/>
      <c r="T492" s="24"/>
    </row>
    <row r="493" spans="1:20" x14ac:dyDescent="0.25">
      <c r="A493" s="2">
        <v>44693</v>
      </c>
      <c r="B493" s="20">
        <v>2740</v>
      </c>
      <c r="C493" s="20">
        <v>395</v>
      </c>
      <c r="D493" s="20">
        <v>9820</v>
      </c>
      <c r="E493" s="17" t="s">
        <v>92</v>
      </c>
      <c r="F493" s="17" t="s">
        <v>92</v>
      </c>
      <c r="G493" s="17" t="s">
        <v>92</v>
      </c>
      <c r="H493" s="17" t="s">
        <v>92</v>
      </c>
      <c r="I493" s="39"/>
      <c r="J493" s="47">
        <f t="shared" si="8"/>
        <v>-478</v>
      </c>
      <c r="K493" s="49"/>
      <c r="L493" s="17"/>
      <c r="M493" s="27"/>
      <c r="N493" s="49"/>
      <c r="O493" s="27"/>
      <c r="Q493" s="2"/>
      <c r="R493" s="24"/>
      <c r="S493" s="24"/>
      <c r="T493" s="24"/>
    </row>
    <row r="494" spans="1:20" x14ac:dyDescent="0.25">
      <c r="A494" s="2">
        <v>44692</v>
      </c>
      <c r="B494" s="20">
        <v>2792</v>
      </c>
      <c r="C494" s="20">
        <v>396</v>
      </c>
      <c r="D494" s="20">
        <v>10185</v>
      </c>
      <c r="E494" s="17" t="s">
        <v>92</v>
      </c>
      <c r="F494" s="17" t="s">
        <v>92</v>
      </c>
      <c r="G494" s="17" t="s">
        <v>92</v>
      </c>
      <c r="H494" s="17" t="s">
        <v>92</v>
      </c>
      <c r="I494" s="39"/>
      <c r="J494" s="47">
        <f t="shared" si="8"/>
        <v>-479</v>
      </c>
      <c r="K494" s="49"/>
      <c r="L494" s="17"/>
      <c r="M494" s="27"/>
      <c r="N494" s="49"/>
      <c r="O494" s="27"/>
      <c r="Q494" s="2"/>
      <c r="R494" s="24"/>
      <c r="S494" s="24"/>
      <c r="T494" s="24"/>
    </row>
    <row r="495" spans="1:20" x14ac:dyDescent="0.25">
      <c r="A495" s="2">
        <v>44691</v>
      </c>
      <c r="B495" s="20">
        <v>2770</v>
      </c>
      <c r="C495" s="29">
        <v>399.5</v>
      </c>
      <c r="D495" s="20">
        <v>10000</v>
      </c>
      <c r="E495" s="17" t="s">
        <v>92</v>
      </c>
      <c r="F495" s="17" t="s">
        <v>92</v>
      </c>
      <c r="G495" s="17" t="s">
        <v>92</v>
      </c>
      <c r="H495" s="17" t="s">
        <v>92</v>
      </c>
      <c r="I495" s="39"/>
      <c r="J495" s="47">
        <f t="shared" si="8"/>
        <v>-480</v>
      </c>
      <c r="K495" s="49"/>
      <c r="L495" s="17"/>
      <c r="M495" s="27"/>
      <c r="N495" s="49"/>
      <c r="O495" s="27"/>
      <c r="Q495" s="2"/>
      <c r="R495" s="24"/>
      <c r="S495" s="24"/>
      <c r="T495" s="24"/>
    </row>
    <row r="496" spans="1:20" x14ac:dyDescent="0.25">
      <c r="A496" s="2">
        <v>44690</v>
      </c>
      <c r="B496" s="20">
        <v>2878</v>
      </c>
      <c r="C496" s="29">
        <v>395.5</v>
      </c>
      <c r="D496" s="20">
        <v>10325</v>
      </c>
      <c r="E496" s="17" t="s">
        <v>92</v>
      </c>
      <c r="F496" s="17" t="s">
        <v>92</v>
      </c>
      <c r="G496" s="17" t="s">
        <v>92</v>
      </c>
      <c r="H496" s="17" t="s">
        <v>92</v>
      </c>
      <c r="I496" s="39"/>
      <c r="J496" s="47">
        <f t="shared" si="8"/>
        <v>-481</v>
      </c>
      <c r="K496" s="49"/>
      <c r="L496" s="17"/>
      <c r="M496" s="27"/>
      <c r="N496" s="49"/>
      <c r="O496" s="27"/>
      <c r="Q496" s="2"/>
      <c r="R496" s="24"/>
      <c r="S496" s="24"/>
      <c r="T496" s="24"/>
    </row>
    <row r="497" spans="1:20" x14ac:dyDescent="0.25">
      <c r="A497" s="2">
        <v>44687</v>
      </c>
      <c r="B497" s="20">
        <v>2928</v>
      </c>
      <c r="C497" s="20">
        <v>400</v>
      </c>
      <c r="D497" s="20">
        <v>10250</v>
      </c>
      <c r="E497" s="17" t="s">
        <v>92</v>
      </c>
      <c r="F497" s="17" t="s">
        <v>92</v>
      </c>
      <c r="G497" s="17" t="s">
        <v>92</v>
      </c>
      <c r="H497" s="17" t="s">
        <v>92</v>
      </c>
      <c r="I497" s="39"/>
      <c r="J497" s="47">
        <f t="shared" si="8"/>
        <v>-482</v>
      </c>
      <c r="K497" s="49"/>
      <c r="L497" s="17"/>
      <c r="M497" s="27"/>
      <c r="N497" s="49"/>
      <c r="O497" s="27"/>
      <c r="Q497" s="2"/>
      <c r="R497" s="24"/>
      <c r="S497" s="24"/>
      <c r="T497" s="24"/>
    </row>
    <row r="498" spans="1:20" x14ac:dyDescent="0.25">
      <c r="A498" s="2">
        <v>44686</v>
      </c>
      <c r="B498" s="20">
        <v>2990</v>
      </c>
      <c r="C498" s="20">
        <v>389</v>
      </c>
      <c r="D498" s="20">
        <v>10500</v>
      </c>
      <c r="E498" s="17" t="s">
        <v>92</v>
      </c>
      <c r="F498" s="17" t="s">
        <v>92</v>
      </c>
      <c r="G498" s="17" t="s">
        <v>92</v>
      </c>
      <c r="H498" s="17" t="s">
        <v>92</v>
      </c>
      <c r="I498" s="39"/>
      <c r="J498" s="47">
        <f t="shared" si="8"/>
        <v>-483</v>
      </c>
      <c r="K498" s="49"/>
      <c r="L498" s="17"/>
      <c r="M498" s="27"/>
      <c r="N498" s="49"/>
      <c r="O498" s="27"/>
      <c r="Q498" s="2"/>
      <c r="R498" s="24"/>
      <c r="S498" s="24"/>
      <c r="T498" s="24"/>
    </row>
    <row r="499" spans="1:20" x14ac:dyDescent="0.25">
      <c r="A499" s="2">
        <v>44685</v>
      </c>
      <c r="B499" s="20">
        <v>3028</v>
      </c>
      <c r="C499" s="20">
        <v>387</v>
      </c>
      <c r="D499" s="20">
        <v>10700</v>
      </c>
      <c r="E499" s="17" t="s">
        <v>92</v>
      </c>
      <c r="F499" s="17" t="s">
        <v>92</v>
      </c>
      <c r="G499" s="17" t="s">
        <v>92</v>
      </c>
      <c r="H499" s="17" t="s">
        <v>92</v>
      </c>
      <c r="I499" s="39"/>
      <c r="J499" s="47">
        <f t="shared" si="8"/>
        <v>-484</v>
      </c>
      <c r="K499" s="49"/>
      <c r="L499" s="17"/>
      <c r="M499" s="27"/>
      <c r="N499" s="49"/>
      <c r="O499" s="27"/>
      <c r="Q499" s="2"/>
      <c r="R499" s="24"/>
      <c r="S499" s="24"/>
      <c r="T499" s="24"/>
    </row>
    <row r="500" spans="1:20" x14ac:dyDescent="0.25">
      <c r="A500" s="2">
        <v>44684</v>
      </c>
      <c r="B500" s="20">
        <v>3032</v>
      </c>
      <c r="C500" s="20">
        <v>385</v>
      </c>
      <c r="D500" s="20">
        <v>11000</v>
      </c>
      <c r="E500" s="17" t="s">
        <v>92</v>
      </c>
      <c r="F500" s="17" t="s">
        <v>92</v>
      </c>
      <c r="G500" s="17" t="s">
        <v>92</v>
      </c>
      <c r="H500" s="17" t="s">
        <v>92</v>
      </c>
      <c r="I500" s="39"/>
      <c r="J500" s="47">
        <f t="shared" si="8"/>
        <v>-485</v>
      </c>
      <c r="K500" s="49"/>
      <c r="L500" s="17"/>
      <c r="M500" s="27"/>
      <c r="N500" s="49"/>
      <c r="O500" s="27"/>
      <c r="Q500" s="2"/>
      <c r="R500" s="24"/>
      <c r="S500" s="24"/>
      <c r="T500" s="24"/>
    </row>
    <row r="501" spans="1:20" x14ac:dyDescent="0.25">
      <c r="A501" s="2">
        <v>44683</v>
      </c>
      <c r="B501" s="20">
        <v>2910</v>
      </c>
      <c r="C501" s="20">
        <v>384</v>
      </c>
      <c r="D501" s="20">
        <v>10700</v>
      </c>
      <c r="E501" s="17" t="s">
        <v>92</v>
      </c>
      <c r="F501" s="17" t="s">
        <v>92</v>
      </c>
      <c r="G501" s="17" t="s">
        <v>92</v>
      </c>
      <c r="H501" s="17" t="s">
        <v>92</v>
      </c>
      <c r="I501" s="39"/>
      <c r="J501" s="47">
        <f t="shared" si="8"/>
        <v>-486</v>
      </c>
      <c r="K501" s="49"/>
      <c r="L501" s="17"/>
      <c r="M501" s="27"/>
      <c r="N501" s="49"/>
      <c r="O501" s="27"/>
      <c r="Q501" s="2"/>
      <c r="R501" s="24"/>
      <c r="S501" s="24"/>
      <c r="T501" s="24"/>
    </row>
    <row r="502" spans="1:20" x14ac:dyDescent="0.25">
      <c r="A502" s="2">
        <v>44680</v>
      </c>
      <c r="B502" s="20">
        <v>3058</v>
      </c>
      <c r="C502" s="29">
        <v>388.5</v>
      </c>
      <c r="D502" s="20">
        <v>10800</v>
      </c>
      <c r="E502" s="17" t="s">
        <v>92</v>
      </c>
      <c r="F502" s="17" t="s">
        <v>92</v>
      </c>
      <c r="G502" s="17" t="s">
        <v>92</v>
      </c>
      <c r="H502" s="17" t="s">
        <v>92</v>
      </c>
      <c r="I502" s="39"/>
      <c r="J502" s="47">
        <f t="shared" si="8"/>
        <v>-487</v>
      </c>
      <c r="K502" s="49"/>
      <c r="L502" s="17"/>
      <c r="M502" s="27"/>
      <c r="N502" s="49"/>
      <c r="O502" s="27"/>
      <c r="Q502" s="2"/>
      <c r="R502" s="24"/>
      <c r="S502" s="24"/>
      <c r="T502" s="24"/>
    </row>
    <row r="503" spans="1:20" x14ac:dyDescent="0.25">
      <c r="A503" s="2">
        <v>44679</v>
      </c>
      <c r="B503" s="20">
        <v>3070</v>
      </c>
      <c r="C503" s="29">
        <v>387.5</v>
      </c>
      <c r="D503" s="20">
        <v>11030</v>
      </c>
      <c r="E503" s="17" t="s">
        <v>92</v>
      </c>
      <c r="F503" s="17" t="s">
        <v>92</v>
      </c>
      <c r="G503" s="17" t="s">
        <v>92</v>
      </c>
      <c r="H503" s="17" t="s">
        <v>92</v>
      </c>
      <c r="I503" s="39"/>
      <c r="J503" s="47">
        <f t="shared" si="8"/>
        <v>-488</v>
      </c>
      <c r="K503" s="49"/>
      <c r="L503" s="17"/>
      <c r="M503" s="27"/>
      <c r="N503" s="49"/>
      <c r="O503" s="27"/>
      <c r="Q503" s="2"/>
      <c r="R503" s="24"/>
      <c r="S503" s="24"/>
      <c r="T503" s="24"/>
    </row>
    <row r="504" spans="1:20" x14ac:dyDescent="0.25">
      <c r="A504" s="2">
        <v>44678</v>
      </c>
      <c r="B504" s="20">
        <v>2980</v>
      </c>
      <c r="C504" s="20">
        <v>400</v>
      </c>
      <c r="D504" s="20">
        <v>10610</v>
      </c>
      <c r="E504" s="17" t="s">
        <v>92</v>
      </c>
      <c r="F504" s="17" t="s">
        <v>92</v>
      </c>
      <c r="G504" s="17" t="s">
        <v>92</v>
      </c>
      <c r="H504" s="17" t="s">
        <v>92</v>
      </c>
      <c r="I504" s="39"/>
      <c r="J504" s="47">
        <f t="shared" si="8"/>
        <v>-489</v>
      </c>
      <c r="K504" s="49"/>
      <c r="L504" s="17"/>
      <c r="M504" s="27"/>
      <c r="N504" s="49"/>
      <c r="O504" s="27"/>
      <c r="Q504" s="2"/>
      <c r="R504" s="24"/>
      <c r="S504" s="24"/>
      <c r="T504" s="24"/>
    </row>
    <row r="505" spans="1:20" x14ac:dyDescent="0.25">
      <c r="A505" s="2">
        <v>44677</v>
      </c>
      <c r="B505" s="20">
        <v>3000</v>
      </c>
      <c r="C505" s="29">
        <v>402.5</v>
      </c>
      <c r="D505" s="20">
        <v>10435</v>
      </c>
      <c r="E505" s="17" t="s">
        <v>92</v>
      </c>
      <c r="F505" s="17" t="s">
        <v>92</v>
      </c>
      <c r="G505" s="17" t="s">
        <v>92</v>
      </c>
      <c r="H505" s="17" t="s">
        <v>92</v>
      </c>
      <c r="I505" s="39"/>
      <c r="J505" s="47">
        <f t="shared" si="8"/>
        <v>-490</v>
      </c>
      <c r="K505" s="49"/>
      <c r="L505" s="17"/>
      <c r="M505" s="27"/>
      <c r="N505" s="49"/>
      <c r="O505" s="27"/>
      <c r="Q505" s="2"/>
      <c r="R505" s="24"/>
      <c r="S505" s="24"/>
      <c r="T505" s="24"/>
    </row>
    <row r="506" spans="1:20" x14ac:dyDescent="0.25">
      <c r="A506" s="2">
        <v>44676</v>
      </c>
      <c r="B506" s="20">
        <v>3010</v>
      </c>
      <c r="C506" s="29">
        <v>391.5</v>
      </c>
      <c r="D506" s="20">
        <v>10590</v>
      </c>
      <c r="E506" s="17" t="s">
        <v>92</v>
      </c>
      <c r="F506" s="17" t="s">
        <v>92</v>
      </c>
      <c r="G506" s="17" t="s">
        <v>92</v>
      </c>
      <c r="H506" s="17" t="s">
        <v>92</v>
      </c>
      <c r="I506" s="39"/>
      <c r="J506" s="47">
        <f t="shared" si="8"/>
        <v>-491</v>
      </c>
      <c r="K506" s="49"/>
      <c r="L506" s="17"/>
      <c r="M506" s="27"/>
      <c r="N506" s="49"/>
      <c r="O506" s="27"/>
      <c r="Q506" s="2"/>
      <c r="R506" s="24"/>
      <c r="S506" s="24"/>
      <c r="T506" s="24"/>
    </row>
    <row r="507" spans="1:20" x14ac:dyDescent="0.25">
      <c r="A507" s="2">
        <v>44673</v>
      </c>
      <c r="B507" s="20">
        <v>3060</v>
      </c>
      <c r="C507" s="20">
        <v>389</v>
      </c>
      <c r="D507" s="20">
        <v>10890</v>
      </c>
      <c r="E507" s="17" t="s">
        <v>92</v>
      </c>
      <c r="F507" s="17" t="s">
        <v>92</v>
      </c>
      <c r="G507" s="17" t="s">
        <v>92</v>
      </c>
      <c r="H507" s="17" t="s">
        <v>92</v>
      </c>
      <c r="I507" s="39"/>
      <c r="J507" s="47">
        <f t="shared" si="8"/>
        <v>-492</v>
      </c>
      <c r="K507" s="49"/>
      <c r="L507" s="17"/>
      <c r="M507" s="27"/>
      <c r="N507" s="49"/>
      <c r="O507" s="27"/>
      <c r="Q507" s="2"/>
      <c r="R507" s="24"/>
      <c r="S507" s="24"/>
      <c r="T507" s="24"/>
    </row>
    <row r="508" spans="1:20" x14ac:dyDescent="0.25">
      <c r="A508" s="2">
        <v>44672</v>
      </c>
      <c r="B508" s="20">
        <v>3104</v>
      </c>
      <c r="C508" s="20">
        <v>395</v>
      </c>
      <c r="D508" s="20">
        <v>10690</v>
      </c>
      <c r="E508" s="17" t="s">
        <v>92</v>
      </c>
      <c r="F508" s="17" t="s">
        <v>92</v>
      </c>
      <c r="G508" s="17" t="s">
        <v>92</v>
      </c>
      <c r="H508" s="17" t="s">
        <v>92</v>
      </c>
      <c r="I508" s="39"/>
      <c r="J508" s="47">
        <f t="shared" si="8"/>
        <v>-493</v>
      </c>
      <c r="K508" s="49"/>
      <c r="L508" s="17"/>
      <c r="M508" s="27"/>
      <c r="N508" s="49"/>
      <c r="O508" s="27"/>
      <c r="Q508" s="2"/>
      <c r="R508" s="24"/>
      <c r="S508" s="24"/>
      <c r="T508" s="24"/>
    </row>
    <row r="509" spans="1:20" x14ac:dyDescent="0.25">
      <c r="A509" s="2">
        <v>44671</v>
      </c>
      <c r="B509" s="20">
        <v>3156</v>
      </c>
      <c r="C509" s="20">
        <v>390</v>
      </c>
      <c r="D509" s="20">
        <v>10440</v>
      </c>
      <c r="E509" s="17" t="s">
        <v>92</v>
      </c>
      <c r="F509" s="17" t="s">
        <v>92</v>
      </c>
      <c r="G509" s="17" t="s">
        <v>92</v>
      </c>
      <c r="H509" s="17" t="s">
        <v>92</v>
      </c>
      <c r="I509" s="39"/>
      <c r="J509" s="47">
        <f t="shared" si="8"/>
        <v>-494</v>
      </c>
      <c r="K509" s="49"/>
      <c r="L509" s="17"/>
      <c r="M509" s="27"/>
      <c r="N509" s="49"/>
      <c r="O509" s="27"/>
      <c r="Q509" s="2"/>
      <c r="R509" s="24"/>
      <c r="S509" s="24"/>
      <c r="T509" s="24"/>
    </row>
    <row r="510" spans="1:20" x14ac:dyDescent="0.25">
      <c r="A510" s="2">
        <v>44670</v>
      </c>
      <c r="B510" s="20">
        <v>3072</v>
      </c>
      <c r="C510" s="20">
        <v>390</v>
      </c>
      <c r="D510" s="20">
        <v>10475</v>
      </c>
      <c r="E510" s="17" t="s">
        <v>92</v>
      </c>
      <c r="F510" s="17" t="s">
        <v>92</v>
      </c>
      <c r="G510" s="17" t="s">
        <v>92</v>
      </c>
      <c r="H510" s="17" t="s">
        <v>92</v>
      </c>
      <c r="I510" s="39"/>
      <c r="J510" s="47">
        <f t="shared" si="8"/>
        <v>-495</v>
      </c>
      <c r="K510" s="49"/>
      <c r="L510" s="17"/>
      <c r="M510" s="27"/>
      <c r="N510" s="49"/>
      <c r="O510" s="27"/>
      <c r="Q510" s="2"/>
      <c r="R510" s="24"/>
      <c r="S510" s="24"/>
      <c r="T510" s="24"/>
    </row>
    <row r="511" spans="1:20" x14ac:dyDescent="0.25">
      <c r="A511" s="2">
        <v>44665</v>
      </c>
      <c r="B511" s="20">
        <v>3000</v>
      </c>
      <c r="C511" s="20">
        <v>387</v>
      </c>
      <c r="D511" s="20">
        <v>10700</v>
      </c>
      <c r="E511" s="17" t="s">
        <v>92</v>
      </c>
      <c r="F511" s="17" t="s">
        <v>92</v>
      </c>
      <c r="G511" s="17" t="s">
        <v>92</v>
      </c>
      <c r="H511" s="17" t="s">
        <v>92</v>
      </c>
      <c r="I511" s="39"/>
      <c r="J511" s="47">
        <f t="shared" si="8"/>
        <v>-496</v>
      </c>
      <c r="K511" s="49"/>
      <c r="L511" s="17"/>
      <c r="M511" s="27"/>
      <c r="N511" s="49"/>
      <c r="O511" s="27"/>
      <c r="Q511" s="2"/>
      <c r="R511" s="24"/>
      <c r="S511" s="24"/>
      <c r="T511" s="24"/>
    </row>
    <row r="512" spans="1:20" x14ac:dyDescent="0.25">
      <c r="A512" s="2">
        <v>44664</v>
      </c>
      <c r="B512" s="20">
        <v>2888</v>
      </c>
      <c r="C512" s="20">
        <v>387</v>
      </c>
      <c r="D512" s="20">
        <v>10820</v>
      </c>
      <c r="E512" s="17" t="s">
        <v>92</v>
      </c>
      <c r="F512" s="17" t="s">
        <v>92</v>
      </c>
      <c r="G512" s="17" t="s">
        <v>92</v>
      </c>
      <c r="H512" s="17" t="s">
        <v>92</v>
      </c>
      <c r="I512" s="39"/>
      <c r="J512" s="47">
        <f t="shared" si="8"/>
        <v>-497</v>
      </c>
      <c r="K512" s="49"/>
      <c r="L512" s="17"/>
      <c r="M512" s="27"/>
      <c r="N512" s="49"/>
      <c r="O512" s="27"/>
      <c r="Q512" s="2"/>
      <c r="R512" s="24"/>
      <c r="S512" s="24"/>
      <c r="T512" s="24"/>
    </row>
    <row r="513" spans="1:20" x14ac:dyDescent="0.25">
      <c r="A513" s="2">
        <v>44663</v>
      </c>
      <c r="B513" s="20">
        <v>2800</v>
      </c>
      <c r="C513" s="20">
        <v>382</v>
      </c>
      <c r="D513" s="20">
        <v>10560</v>
      </c>
      <c r="E513" s="17" t="s">
        <v>92</v>
      </c>
      <c r="F513" s="17" t="s">
        <v>92</v>
      </c>
      <c r="G513" s="17" t="s">
        <v>92</v>
      </c>
      <c r="H513" s="17" t="s">
        <v>92</v>
      </c>
      <c r="I513" s="39"/>
      <c r="J513" s="47">
        <f t="shared" si="8"/>
        <v>-498</v>
      </c>
      <c r="K513" s="49"/>
      <c r="L513" s="17"/>
      <c r="M513" s="27"/>
      <c r="N513" s="49"/>
      <c r="O513" s="27"/>
      <c r="Q513" s="2"/>
      <c r="R513" s="24"/>
      <c r="S513" s="24"/>
      <c r="T513" s="24"/>
    </row>
    <row r="514" spans="1:20" x14ac:dyDescent="0.25">
      <c r="A514" s="2">
        <v>44662</v>
      </c>
      <c r="B514" s="20">
        <v>2800</v>
      </c>
      <c r="C514" s="20">
        <v>394</v>
      </c>
      <c r="D514" s="20">
        <v>10680</v>
      </c>
      <c r="E514" s="17" t="s">
        <v>92</v>
      </c>
      <c r="F514" s="17" t="s">
        <v>92</v>
      </c>
      <c r="G514" s="17" t="s">
        <v>92</v>
      </c>
      <c r="H514" s="17" t="s">
        <v>92</v>
      </c>
      <c r="I514" s="39"/>
      <c r="J514" s="47">
        <f t="shared" si="8"/>
        <v>-499</v>
      </c>
      <c r="K514" s="49"/>
      <c r="L514" s="17"/>
      <c r="M514" s="27"/>
      <c r="N514" s="49"/>
      <c r="O514" s="27"/>
      <c r="Q514" s="2"/>
      <c r="R514" s="24"/>
      <c r="S514" s="24"/>
      <c r="T514" s="24"/>
    </row>
    <row r="515" spans="1:20" x14ac:dyDescent="0.25">
      <c r="A515" s="2">
        <v>44659</v>
      </c>
      <c r="B515" s="20">
        <v>2784</v>
      </c>
      <c r="C515" s="29">
        <v>397.5</v>
      </c>
      <c r="D515" s="20">
        <v>10865</v>
      </c>
      <c r="E515" s="17" t="s">
        <v>92</v>
      </c>
      <c r="F515" s="17" t="s">
        <v>92</v>
      </c>
      <c r="G515" s="17" t="s">
        <v>92</v>
      </c>
      <c r="H515" s="17" t="s">
        <v>92</v>
      </c>
      <c r="I515" s="39"/>
      <c r="J515" s="47">
        <f t="shared" si="8"/>
        <v>-500</v>
      </c>
      <c r="K515" s="49"/>
      <c r="L515" s="17"/>
      <c r="M515" s="27"/>
      <c r="N515" s="49"/>
      <c r="O515" s="27"/>
      <c r="Q515" s="2"/>
      <c r="R515" s="24"/>
      <c r="S515" s="24"/>
      <c r="T515" s="24"/>
    </row>
    <row r="516" spans="1:20" x14ac:dyDescent="0.25">
      <c r="A516" s="2">
        <v>44658</v>
      </c>
      <c r="B516" s="20">
        <v>2750</v>
      </c>
      <c r="C516" s="20">
        <v>398</v>
      </c>
      <c r="D516" s="20">
        <v>10880</v>
      </c>
      <c r="E516" s="17" t="s">
        <v>92</v>
      </c>
      <c r="F516" s="17" t="s">
        <v>92</v>
      </c>
      <c r="G516" s="17" t="s">
        <v>92</v>
      </c>
      <c r="H516" s="17" t="s">
        <v>92</v>
      </c>
      <c r="I516" s="39"/>
      <c r="J516" s="47">
        <f t="shared" si="8"/>
        <v>-501</v>
      </c>
      <c r="K516" s="49"/>
      <c r="L516" s="17"/>
      <c r="M516" s="27"/>
      <c r="N516" s="49"/>
      <c r="O516" s="27"/>
      <c r="Q516" s="2"/>
      <c r="R516" s="24"/>
      <c r="S516" s="24"/>
      <c r="T516" s="24"/>
    </row>
    <row r="517" spans="1:20" x14ac:dyDescent="0.25">
      <c r="A517" s="2">
        <v>44657</v>
      </c>
      <c r="B517" s="20">
        <v>2744</v>
      </c>
      <c r="C517" s="29">
        <v>398.5</v>
      </c>
      <c r="D517" s="20">
        <v>10700</v>
      </c>
      <c r="E517" s="17" t="s">
        <v>92</v>
      </c>
      <c r="F517" s="17" t="s">
        <v>92</v>
      </c>
      <c r="G517" s="17" t="s">
        <v>92</v>
      </c>
      <c r="H517" s="17" t="s">
        <v>92</v>
      </c>
      <c r="I517" s="39"/>
      <c r="J517" s="47">
        <f t="shared" si="8"/>
        <v>-502</v>
      </c>
      <c r="K517" s="49"/>
      <c r="L517" s="17"/>
      <c r="M517" s="27"/>
      <c r="N517" s="49"/>
      <c r="O517" s="27"/>
      <c r="Q517" s="2"/>
      <c r="R517" s="24"/>
      <c r="S517" s="24"/>
      <c r="T517" s="24"/>
    </row>
    <row r="518" spans="1:20" x14ac:dyDescent="0.25">
      <c r="A518" s="2">
        <v>44656</v>
      </c>
      <c r="B518" s="20">
        <v>2850</v>
      </c>
      <c r="C518" s="20">
        <v>398</v>
      </c>
      <c r="D518" s="20">
        <v>11735</v>
      </c>
      <c r="E518" s="17" t="s">
        <v>92</v>
      </c>
      <c r="F518" s="17" t="s">
        <v>92</v>
      </c>
      <c r="G518" s="17" t="s">
        <v>92</v>
      </c>
      <c r="H518" s="17" t="s">
        <v>92</v>
      </c>
      <c r="I518" s="39"/>
      <c r="J518" s="47">
        <f t="shared" si="8"/>
        <v>-503</v>
      </c>
      <c r="K518" s="49"/>
      <c r="L518" s="17"/>
      <c r="M518" s="27"/>
      <c r="N518" s="49"/>
      <c r="O518" s="27"/>
      <c r="Q518" s="2"/>
      <c r="R518" s="24"/>
      <c r="S518" s="24"/>
      <c r="T518" s="24"/>
    </row>
    <row r="519" spans="1:20" x14ac:dyDescent="0.25">
      <c r="A519" s="2">
        <v>44655</v>
      </c>
      <c r="B519" s="20">
        <v>2940</v>
      </c>
      <c r="C519" s="20">
        <v>405</v>
      </c>
      <c r="D519" s="20">
        <v>12330</v>
      </c>
      <c r="E519" s="17" t="s">
        <v>92</v>
      </c>
      <c r="F519" s="17" t="s">
        <v>92</v>
      </c>
      <c r="G519" s="17" t="s">
        <v>92</v>
      </c>
      <c r="H519" s="17" t="s">
        <v>92</v>
      </c>
      <c r="I519" s="39"/>
      <c r="J519" s="47">
        <f t="shared" si="8"/>
        <v>-504</v>
      </c>
      <c r="K519" s="49"/>
      <c r="L519" s="17"/>
      <c r="M519" s="27"/>
      <c r="N519" s="49"/>
      <c r="O519" s="27"/>
      <c r="Q519" s="2"/>
      <c r="R519" s="24"/>
      <c r="S519" s="24"/>
      <c r="T519" s="24"/>
    </row>
    <row r="520" spans="1:20" x14ac:dyDescent="0.25">
      <c r="A520" s="2">
        <v>44652</v>
      </c>
      <c r="B520" s="20">
        <v>2908</v>
      </c>
      <c r="C520" s="20">
        <v>406</v>
      </c>
      <c r="D520" s="20">
        <v>12235</v>
      </c>
      <c r="E520" s="17" t="s">
        <v>92</v>
      </c>
      <c r="F520" s="17" t="s">
        <v>92</v>
      </c>
      <c r="G520" s="17" t="s">
        <v>92</v>
      </c>
      <c r="H520" s="17" t="s">
        <v>92</v>
      </c>
      <c r="I520" s="39"/>
      <c r="J520" s="47">
        <f t="shared" si="8"/>
        <v>-505</v>
      </c>
      <c r="K520" s="49"/>
      <c r="L520" s="17"/>
      <c r="M520" s="27"/>
      <c r="N520" s="49"/>
      <c r="O520" s="27"/>
      <c r="Q520" s="2"/>
      <c r="R520" s="24"/>
      <c r="S520" s="24"/>
      <c r="T520" s="24"/>
    </row>
    <row r="521" spans="1:20" x14ac:dyDescent="0.25">
      <c r="A521" s="2">
        <v>44651</v>
      </c>
      <c r="B521" s="20">
        <v>2930</v>
      </c>
      <c r="C521" s="20">
        <v>404</v>
      </c>
      <c r="D521" s="20">
        <v>12145</v>
      </c>
      <c r="E521" s="17" t="s">
        <v>92</v>
      </c>
      <c r="F521" s="17" t="s">
        <v>92</v>
      </c>
      <c r="G521" s="17" t="s">
        <v>92</v>
      </c>
      <c r="H521" s="17" t="s">
        <v>92</v>
      </c>
      <c r="I521" s="39"/>
      <c r="J521" s="47">
        <f t="shared" si="8"/>
        <v>-506</v>
      </c>
      <c r="K521" s="49"/>
      <c r="L521" s="17"/>
      <c r="M521" s="27"/>
      <c r="N521" s="49"/>
      <c r="O521" s="27"/>
      <c r="Q521" s="2"/>
      <c r="R521" s="24"/>
      <c r="S521" s="24"/>
      <c r="T521" s="24"/>
    </row>
    <row r="522" spans="1:20" x14ac:dyDescent="0.25">
      <c r="A522" s="2">
        <v>44650</v>
      </c>
      <c r="B522" s="20">
        <v>2950</v>
      </c>
      <c r="C522" s="20">
        <v>407</v>
      </c>
      <c r="D522" s="20">
        <v>12640</v>
      </c>
      <c r="E522" s="17" t="s">
        <v>92</v>
      </c>
      <c r="F522" s="17" t="s">
        <v>92</v>
      </c>
      <c r="G522" s="17" t="s">
        <v>92</v>
      </c>
      <c r="H522" s="17" t="s">
        <v>92</v>
      </c>
      <c r="I522" s="39"/>
      <c r="J522" s="47">
        <f t="shared" si="8"/>
        <v>-507</v>
      </c>
      <c r="K522" s="49"/>
      <c r="L522" s="17"/>
      <c r="M522" s="27"/>
      <c r="N522" s="49"/>
      <c r="O522" s="27"/>
      <c r="Q522" s="2"/>
      <c r="R522" s="24"/>
      <c r="S522" s="24"/>
      <c r="T522" s="24"/>
    </row>
    <row r="523" spans="1:20" x14ac:dyDescent="0.25">
      <c r="A523" s="2">
        <v>44649</v>
      </c>
      <c r="B523" s="20">
        <v>2894</v>
      </c>
      <c r="C523" s="20">
        <v>405</v>
      </c>
      <c r="D523" s="20">
        <v>13200</v>
      </c>
      <c r="E523" s="17" t="s">
        <v>92</v>
      </c>
      <c r="F523" s="17" t="s">
        <v>92</v>
      </c>
      <c r="G523" s="17" t="s">
        <v>92</v>
      </c>
      <c r="H523" s="17" t="s">
        <v>92</v>
      </c>
      <c r="I523" s="39"/>
      <c r="J523" s="47">
        <f t="shared" si="8"/>
        <v>-508</v>
      </c>
      <c r="K523" s="49"/>
      <c r="L523" s="17"/>
      <c r="M523" s="27"/>
      <c r="N523" s="49"/>
      <c r="O523" s="27"/>
      <c r="Q523" s="2"/>
      <c r="R523" s="24"/>
      <c r="S523" s="24"/>
      <c r="T523" s="24"/>
    </row>
    <row r="524" spans="1:20" x14ac:dyDescent="0.25">
      <c r="A524" s="2">
        <v>44648</v>
      </c>
      <c r="B524" s="20">
        <v>2802</v>
      </c>
      <c r="C524" s="20">
        <v>405</v>
      </c>
      <c r="D524" s="20">
        <v>12030</v>
      </c>
      <c r="E524" s="17" t="s">
        <v>92</v>
      </c>
      <c r="F524" s="17" t="s">
        <v>92</v>
      </c>
      <c r="G524" s="17" t="s">
        <v>92</v>
      </c>
      <c r="H524" s="17" t="s">
        <v>92</v>
      </c>
      <c r="I524" s="39"/>
      <c r="J524" s="47">
        <f t="shared" si="8"/>
        <v>-509</v>
      </c>
      <c r="K524" s="49"/>
      <c r="L524" s="17"/>
      <c r="M524" s="27"/>
      <c r="N524" s="49"/>
      <c r="O524" s="27"/>
      <c r="Q524" s="2"/>
      <c r="R524" s="24"/>
      <c r="S524" s="24"/>
      <c r="T524" s="24"/>
    </row>
    <row r="525" spans="1:20" x14ac:dyDescent="0.25">
      <c r="A525" s="2">
        <v>44645</v>
      </c>
      <c r="B525" s="20">
        <v>2810</v>
      </c>
      <c r="C525" s="20">
        <v>403</v>
      </c>
      <c r="D525" s="20">
        <v>11700</v>
      </c>
      <c r="E525" s="17" t="s">
        <v>92</v>
      </c>
      <c r="F525" s="17" t="s">
        <v>92</v>
      </c>
      <c r="G525" s="17" t="s">
        <v>92</v>
      </c>
      <c r="H525" s="17" t="s">
        <v>92</v>
      </c>
      <c r="I525" s="39"/>
      <c r="J525" s="47">
        <f t="shared" si="8"/>
        <v>-510</v>
      </c>
      <c r="K525" s="49"/>
      <c r="L525" s="17"/>
      <c r="M525" s="27"/>
      <c r="N525" s="49"/>
      <c r="O525" s="27"/>
      <c r="Q525" s="2"/>
      <c r="R525" s="24"/>
      <c r="S525" s="24"/>
      <c r="T525" s="24"/>
    </row>
    <row r="526" spans="1:20" x14ac:dyDescent="0.25">
      <c r="A526" s="2">
        <v>44644</v>
      </c>
      <c r="B526" s="20">
        <v>2790</v>
      </c>
      <c r="C526" s="20">
        <v>405</v>
      </c>
      <c r="D526" s="20">
        <v>11810</v>
      </c>
      <c r="E526" s="17" t="s">
        <v>92</v>
      </c>
      <c r="F526" s="17" t="s">
        <v>92</v>
      </c>
      <c r="G526" s="17" t="s">
        <v>92</v>
      </c>
      <c r="H526" s="17" t="s">
        <v>92</v>
      </c>
      <c r="I526" s="39"/>
      <c r="J526" s="47">
        <f t="shared" si="8"/>
        <v>-511</v>
      </c>
      <c r="K526" s="49"/>
      <c r="L526" s="17"/>
      <c r="M526" s="27"/>
      <c r="N526" s="49"/>
      <c r="O526" s="27"/>
      <c r="Q526" s="2"/>
      <c r="R526" s="24"/>
      <c r="S526" s="24"/>
      <c r="T526" s="24"/>
    </row>
    <row r="527" spans="1:20" x14ac:dyDescent="0.25">
      <c r="A527" s="2">
        <v>44643</v>
      </c>
      <c r="B527" s="20">
        <v>2800</v>
      </c>
      <c r="C527" s="29">
        <v>401.5</v>
      </c>
      <c r="D527" s="20">
        <v>12335</v>
      </c>
      <c r="E527" s="17" t="s">
        <v>92</v>
      </c>
      <c r="F527" s="17" t="s">
        <v>92</v>
      </c>
      <c r="G527" s="17" t="s">
        <v>92</v>
      </c>
      <c r="H527" s="17" t="s">
        <v>92</v>
      </c>
      <c r="I527" s="39"/>
      <c r="J527" s="47">
        <f t="shared" si="8"/>
        <v>-512</v>
      </c>
      <c r="K527" s="49"/>
      <c r="L527" s="17"/>
      <c r="M527" s="27"/>
      <c r="N527" s="49"/>
      <c r="O527" s="27"/>
      <c r="Q527" s="2"/>
      <c r="R527" s="24"/>
      <c r="S527" s="24"/>
      <c r="T527" s="24"/>
    </row>
    <row r="528" spans="1:20" x14ac:dyDescent="0.25">
      <c r="A528" s="2">
        <v>44642</v>
      </c>
      <c r="B528" s="20">
        <v>2650</v>
      </c>
      <c r="C528" s="20">
        <v>411</v>
      </c>
      <c r="D528" s="20">
        <v>12595</v>
      </c>
      <c r="E528" s="17" t="s">
        <v>92</v>
      </c>
      <c r="F528" s="17" t="s">
        <v>92</v>
      </c>
      <c r="G528" s="17" t="s">
        <v>92</v>
      </c>
      <c r="H528" s="17" t="s">
        <v>92</v>
      </c>
      <c r="I528" s="39"/>
      <c r="J528" s="47">
        <f t="shared" si="8"/>
        <v>-513</v>
      </c>
      <c r="K528" s="49"/>
      <c r="L528" s="17"/>
      <c r="M528" s="27"/>
      <c r="N528" s="49"/>
      <c r="O528" s="27"/>
      <c r="Q528" s="2"/>
      <c r="R528" s="24"/>
      <c r="S528" s="24"/>
      <c r="T528" s="24"/>
    </row>
    <row r="529" spans="1:20" x14ac:dyDescent="0.25">
      <c r="A529" s="2">
        <v>44641</v>
      </c>
      <c r="B529" s="20">
        <v>2634</v>
      </c>
      <c r="C529" s="20">
        <v>401</v>
      </c>
      <c r="D529" s="20">
        <v>12620</v>
      </c>
      <c r="E529" s="17" t="s">
        <v>92</v>
      </c>
      <c r="F529" s="17" t="s">
        <v>92</v>
      </c>
      <c r="G529" s="17" t="s">
        <v>92</v>
      </c>
      <c r="H529" s="17" t="s">
        <v>92</v>
      </c>
      <c r="I529" s="39"/>
      <c r="J529" s="47">
        <f t="shared" ref="J529:J592" si="9">+J528-1</f>
        <v>-514</v>
      </c>
      <c r="K529" s="49"/>
      <c r="L529" s="17"/>
      <c r="M529" s="27"/>
      <c r="N529" s="49"/>
      <c r="O529" s="27"/>
      <c r="Q529" s="2"/>
      <c r="R529" s="24"/>
      <c r="S529" s="24"/>
      <c r="T529" s="24"/>
    </row>
    <row r="530" spans="1:20" x14ac:dyDescent="0.25">
      <c r="A530" s="2">
        <v>44638</v>
      </c>
      <c r="B530" s="20">
        <v>2560</v>
      </c>
      <c r="C530" s="20">
        <v>405</v>
      </c>
      <c r="D530" s="20">
        <v>12660</v>
      </c>
      <c r="E530" s="17" t="s">
        <v>92</v>
      </c>
      <c r="F530" s="17" t="s">
        <v>92</v>
      </c>
      <c r="G530" s="17" t="s">
        <v>92</v>
      </c>
      <c r="H530" s="17" t="s">
        <v>92</v>
      </c>
      <c r="I530" s="39"/>
      <c r="J530" s="47">
        <f t="shared" si="9"/>
        <v>-515</v>
      </c>
      <c r="K530" s="49"/>
      <c r="L530" s="17"/>
      <c r="M530" s="27"/>
      <c r="N530" s="49"/>
      <c r="O530" s="27"/>
      <c r="Q530" s="2"/>
      <c r="R530" s="24"/>
      <c r="S530" s="24"/>
      <c r="T530" s="24"/>
    </row>
    <row r="531" spans="1:20" x14ac:dyDescent="0.25">
      <c r="A531" s="2">
        <v>44637</v>
      </c>
      <c r="B531" s="20">
        <v>2646</v>
      </c>
      <c r="C531" s="20">
        <v>397</v>
      </c>
      <c r="D531" s="20">
        <v>12805</v>
      </c>
      <c r="E531" s="17" t="s">
        <v>92</v>
      </c>
      <c r="F531" s="17" t="s">
        <v>92</v>
      </c>
      <c r="G531" s="17" t="s">
        <v>92</v>
      </c>
      <c r="H531" s="17" t="s">
        <v>92</v>
      </c>
      <c r="I531" s="39"/>
      <c r="J531" s="47">
        <f t="shared" si="9"/>
        <v>-516</v>
      </c>
      <c r="K531" s="49"/>
      <c r="L531" s="17"/>
      <c r="M531" s="27"/>
      <c r="N531" s="49"/>
      <c r="O531" s="27"/>
      <c r="Q531" s="2"/>
      <c r="R531" s="24"/>
      <c r="S531" s="24"/>
      <c r="T531" s="24"/>
    </row>
    <row r="532" spans="1:20" x14ac:dyDescent="0.25">
      <c r="A532" s="2">
        <v>44636</v>
      </c>
      <c r="B532" s="20">
        <v>2640</v>
      </c>
      <c r="C532" s="20">
        <v>397</v>
      </c>
      <c r="D532" s="20">
        <v>12660</v>
      </c>
      <c r="E532" s="17" t="s">
        <v>92</v>
      </c>
      <c r="F532" s="17" t="s">
        <v>92</v>
      </c>
      <c r="G532" s="17" t="s">
        <v>92</v>
      </c>
      <c r="H532" s="17" t="s">
        <v>92</v>
      </c>
      <c r="I532" s="39"/>
      <c r="J532" s="47">
        <f t="shared" si="9"/>
        <v>-517</v>
      </c>
      <c r="K532" s="49"/>
      <c r="L532" s="17"/>
      <c r="M532" s="27"/>
      <c r="N532" s="49"/>
      <c r="O532" s="27"/>
      <c r="Q532" s="2"/>
      <c r="R532" s="24"/>
      <c r="S532" s="24"/>
      <c r="T532" s="24"/>
    </row>
    <row r="533" spans="1:20" x14ac:dyDescent="0.25">
      <c r="A533" s="2">
        <v>44631</v>
      </c>
      <c r="B533" s="20">
        <v>2590</v>
      </c>
      <c r="C533" s="20">
        <v>394</v>
      </c>
      <c r="D533" s="20">
        <v>12045</v>
      </c>
      <c r="E533" s="17" t="s">
        <v>92</v>
      </c>
      <c r="F533" s="17" t="s">
        <v>92</v>
      </c>
      <c r="G533" s="17" t="s">
        <v>92</v>
      </c>
      <c r="H533" s="17" t="s">
        <v>92</v>
      </c>
      <c r="I533" s="39"/>
      <c r="J533" s="47">
        <f t="shared" si="9"/>
        <v>-518</v>
      </c>
      <c r="K533" s="49"/>
      <c r="L533" s="17"/>
      <c r="M533" s="27"/>
      <c r="N533" s="49"/>
      <c r="O533" s="27"/>
      <c r="Q533" s="2"/>
      <c r="R533" s="24"/>
      <c r="S533" s="24"/>
      <c r="T533" s="24"/>
    </row>
    <row r="534" spans="1:20" x14ac:dyDescent="0.25">
      <c r="A534" s="2">
        <v>44630</v>
      </c>
      <c r="B534" s="20">
        <v>2554</v>
      </c>
      <c r="C534" s="20">
        <v>394</v>
      </c>
      <c r="D534" s="20">
        <v>11540</v>
      </c>
      <c r="E534" s="17" t="s">
        <v>92</v>
      </c>
      <c r="F534" s="17" t="s">
        <v>92</v>
      </c>
      <c r="G534" s="17" t="s">
        <v>92</v>
      </c>
      <c r="H534" s="17" t="s">
        <v>92</v>
      </c>
      <c r="I534" s="39"/>
      <c r="J534" s="47">
        <f t="shared" si="9"/>
        <v>-519</v>
      </c>
      <c r="K534" s="49"/>
      <c r="L534" s="17"/>
      <c r="M534" s="27"/>
      <c r="N534" s="49"/>
      <c r="O534" s="27"/>
      <c r="Q534" s="2"/>
      <c r="R534" s="24"/>
      <c r="S534" s="24"/>
      <c r="T534" s="24"/>
    </row>
    <row r="535" spans="1:20" x14ac:dyDescent="0.25">
      <c r="A535" s="2">
        <v>44629</v>
      </c>
      <c r="B535" s="20">
        <v>2644</v>
      </c>
      <c r="C535" s="20">
        <v>398</v>
      </c>
      <c r="D535" s="20">
        <v>11980</v>
      </c>
      <c r="E535" s="17" t="s">
        <v>92</v>
      </c>
      <c r="F535" s="17" t="s">
        <v>92</v>
      </c>
      <c r="G535" s="17" t="s">
        <v>92</v>
      </c>
      <c r="H535" s="17" t="s">
        <v>92</v>
      </c>
      <c r="I535" s="39"/>
      <c r="J535" s="47">
        <f t="shared" si="9"/>
        <v>-520</v>
      </c>
      <c r="K535" s="49"/>
      <c r="L535" s="17"/>
      <c r="M535" s="27"/>
      <c r="N535" s="49"/>
      <c r="O535" s="27"/>
      <c r="Q535" s="2"/>
      <c r="R535" s="24"/>
      <c r="S535" s="24"/>
      <c r="T535" s="24"/>
    </row>
    <row r="536" spans="1:20" x14ac:dyDescent="0.25">
      <c r="A536" s="2">
        <v>44628</v>
      </c>
      <c r="B536" s="20">
        <v>2640</v>
      </c>
      <c r="C536" s="29">
        <v>402.5</v>
      </c>
      <c r="D536" s="20">
        <v>11000</v>
      </c>
      <c r="E536" s="17" t="s">
        <v>92</v>
      </c>
      <c r="F536" s="17" t="s">
        <v>92</v>
      </c>
      <c r="G536" s="17" t="s">
        <v>92</v>
      </c>
      <c r="H536" s="17" t="s">
        <v>92</v>
      </c>
      <c r="I536" s="39"/>
      <c r="J536" s="47">
        <f t="shared" si="9"/>
        <v>-521</v>
      </c>
      <c r="K536" s="49"/>
      <c r="L536" s="17"/>
      <c r="M536" s="27"/>
      <c r="N536" s="49"/>
      <c r="O536" s="27"/>
      <c r="Q536" s="2"/>
      <c r="R536" s="24"/>
      <c r="S536" s="24"/>
      <c r="T536" s="24"/>
    </row>
    <row r="537" spans="1:20" x14ac:dyDescent="0.25">
      <c r="A537" s="2">
        <v>44627</v>
      </c>
      <c r="B537" s="20">
        <v>2604</v>
      </c>
      <c r="C537" s="20">
        <v>400</v>
      </c>
      <c r="D537" s="20">
        <v>10015</v>
      </c>
      <c r="E537" s="17" t="s">
        <v>92</v>
      </c>
      <c r="F537" s="17" t="s">
        <v>92</v>
      </c>
      <c r="G537" s="17" t="s">
        <v>92</v>
      </c>
      <c r="H537" s="17" t="s">
        <v>92</v>
      </c>
      <c r="I537" s="39"/>
      <c r="J537" s="47">
        <f t="shared" si="9"/>
        <v>-522</v>
      </c>
      <c r="K537" s="49"/>
      <c r="L537" s="17"/>
      <c r="M537" s="27"/>
      <c r="N537" s="49"/>
      <c r="O537" s="27"/>
      <c r="Q537" s="2"/>
      <c r="R537" s="24"/>
      <c r="S537" s="24"/>
      <c r="T537" s="24"/>
    </row>
    <row r="538" spans="1:20" x14ac:dyDescent="0.25">
      <c r="A538" s="2">
        <v>44624</v>
      </c>
      <c r="B538" s="20">
        <v>2512</v>
      </c>
      <c r="C538" s="29">
        <v>399.5</v>
      </c>
      <c r="D538" s="20">
        <v>10415</v>
      </c>
      <c r="E538" s="17" t="s">
        <v>92</v>
      </c>
      <c r="F538" s="17" t="s">
        <v>92</v>
      </c>
      <c r="G538" s="17" t="s">
        <v>92</v>
      </c>
      <c r="H538" s="17" t="s">
        <v>92</v>
      </c>
      <c r="I538" s="39"/>
      <c r="J538" s="47">
        <f t="shared" si="9"/>
        <v>-523</v>
      </c>
      <c r="K538" s="49"/>
      <c r="L538" s="17"/>
      <c r="M538" s="27"/>
      <c r="N538" s="49"/>
      <c r="O538" s="27"/>
      <c r="Q538" s="2"/>
      <c r="R538" s="24"/>
      <c r="S538" s="24"/>
      <c r="T538" s="24"/>
    </row>
    <row r="539" spans="1:20" x14ac:dyDescent="0.25">
      <c r="A539" s="2">
        <v>44623</v>
      </c>
      <c r="B539" s="20">
        <v>2500</v>
      </c>
      <c r="C539" s="29">
        <v>402.5</v>
      </c>
      <c r="D539" s="20">
        <v>11000</v>
      </c>
      <c r="E539" s="17" t="s">
        <v>92</v>
      </c>
      <c r="F539" s="17" t="s">
        <v>92</v>
      </c>
      <c r="G539" s="17" t="s">
        <v>92</v>
      </c>
      <c r="H539" s="17" t="s">
        <v>92</v>
      </c>
      <c r="I539" s="39"/>
      <c r="J539" s="47">
        <f t="shared" si="9"/>
        <v>-524</v>
      </c>
      <c r="K539" s="49"/>
      <c r="L539" s="17"/>
      <c r="M539" s="27"/>
      <c r="N539" s="49"/>
      <c r="O539" s="27"/>
      <c r="Q539" s="2"/>
      <c r="R539" s="24"/>
      <c r="S539" s="24"/>
      <c r="T539" s="24"/>
    </row>
    <row r="540" spans="1:20" x14ac:dyDescent="0.25">
      <c r="A540" s="2">
        <v>44622</v>
      </c>
      <c r="B540" s="20">
        <v>2448</v>
      </c>
      <c r="C540" s="29">
        <v>403.5</v>
      </c>
      <c r="D540" s="20">
        <v>10120</v>
      </c>
      <c r="E540" s="17" t="s">
        <v>92</v>
      </c>
      <c r="F540" s="17" t="s">
        <v>92</v>
      </c>
      <c r="G540" s="17" t="s">
        <v>92</v>
      </c>
      <c r="H540" s="17" t="s">
        <v>92</v>
      </c>
      <c r="I540" s="39"/>
      <c r="J540" s="47">
        <f t="shared" si="9"/>
        <v>-525</v>
      </c>
      <c r="K540" s="49"/>
      <c r="L540" s="17"/>
      <c r="M540" s="27"/>
      <c r="N540" s="49"/>
      <c r="O540" s="27"/>
      <c r="Q540" s="2"/>
      <c r="R540" s="24"/>
      <c r="S540" s="24"/>
      <c r="T540" s="24"/>
    </row>
    <row r="541" spans="1:20" x14ac:dyDescent="0.25">
      <c r="A541" s="2">
        <v>44621</v>
      </c>
      <c r="B541" s="20">
        <v>2444</v>
      </c>
      <c r="C541" s="20">
        <v>404</v>
      </c>
      <c r="D541" s="20">
        <v>10005</v>
      </c>
      <c r="E541" s="17" t="s">
        <v>92</v>
      </c>
      <c r="F541" s="17" t="s">
        <v>92</v>
      </c>
      <c r="G541" s="17" t="s">
        <v>92</v>
      </c>
      <c r="H541" s="17" t="s">
        <v>92</v>
      </c>
      <c r="I541" s="39"/>
      <c r="J541" s="47">
        <f t="shared" si="9"/>
        <v>-526</v>
      </c>
      <c r="K541" s="49"/>
      <c r="L541" s="17"/>
      <c r="M541" s="27"/>
      <c r="N541" s="49"/>
      <c r="O541" s="27"/>
      <c r="Q541" s="2"/>
      <c r="R541" s="24"/>
      <c r="S541" s="24"/>
      <c r="T541" s="24"/>
    </row>
    <row r="542" spans="1:20" x14ac:dyDescent="0.25">
      <c r="A542" s="2">
        <v>44620</v>
      </c>
      <c r="B542" s="20">
        <v>2590</v>
      </c>
      <c r="C542" s="29">
        <v>416.5</v>
      </c>
      <c r="D542" s="20">
        <v>12750</v>
      </c>
      <c r="E542" s="17" t="s">
        <v>92</v>
      </c>
      <c r="F542" s="17" t="s">
        <v>92</v>
      </c>
      <c r="G542" s="17" t="s">
        <v>92</v>
      </c>
      <c r="H542" s="17" t="s">
        <v>92</v>
      </c>
      <c r="I542" s="39"/>
      <c r="J542" s="47">
        <f t="shared" si="9"/>
        <v>-527</v>
      </c>
      <c r="K542" s="49"/>
      <c r="L542" s="17"/>
      <c r="M542" s="27"/>
      <c r="N542" s="49"/>
      <c r="O542" s="27"/>
      <c r="Q542" s="2"/>
      <c r="R542" s="24"/>
      <c r="S542" s="24"/>
      <c r="T542" s="24"/>
    </row>
    <row r="543" spans="1:20" x14ac:dyDescent="0.25">
      <c r="A543" s="2">
        <v>44617</v>
      </c>
      <c r="B543" s="20">
        <v>2460</v>
      </c>
      <c r="C543" s="20">
        <v>425</v>
      </c>
      <c r="D543" s="20">
        <v>14750</v>
      </c>
      <c r="E543" s="17" t="s">
        <v>92</v>
      </c>
      <c r="F543" s="17" t="s">
        <v>92</v>
      </c>
      <c r="G543" s="17" t="s">
        <v>92</v>
      </c>
      <c r="H543" s="17" t="s">
        <v>92</v>
      </c>
      <c r="I543" s="39"/>
      <c r="J543" s="47">
        <f t="shared" si="9"/>
        <v>-528</v>
      </c>
      <c r="K543" s="49"/>
      <c r="L543" s="17"/>
      <c r="M543" s="27"/>
      <c r="N543" s="49"/>
      <c r="O543" s="27"/>
      <c r="Q543" s="2"/>
      <c r="R543" s="24"/>
      <c r="S543" s="24"/>
      <c r="T543" s="24"/>
    </row>
    <row r="544" spans="1:20" x14ac:dyDescent="0.25">
      <c r="A544" s="2">
        <v>44616</v>
      </c>
      <c r="B544" s="20">
        <v>2340</v>
      </c>
      <c r="C544" s="20">
        <v>425</v>
      </c>
      <c r="D544" s="20">
        <v>13010</v>
      </c>
      <c r="E544" s="17" t="s">
        <v>92</v>
      </c>
      <c r="F544" s="17" t="s">
        <v>92</v>
      </c>
      <c r="G544" s="17" t="s">
        <v>92</v>
      </c>
      <c r="H544" s="17" t="s">
        <v>92</v>
      </c>
      <c r="I544" s="39"/>
      <c r="J544" s="47">
        <f t="shared" si="9"/>
        <v>-529</v>
      </c>
      <c r="K544" s="49"/>
      <c r="L544" s="17"/>
      <c r="M544" s="27"/>
      <c r="N544" s="49"/>
      <c r="O544" s="27"/>
      <c r="Q544" s="2"/>
      <c r="R544" s="24"/>
      <c r="S544" s="24"/>
      <c r="T544" s="24"/>
    </row>
    <row r="545" spans="1:20" x14ac:dyDescent="0.25">
      <c r="A545" s="2">
        <v>44615</v>
      </c>
      <c r="B545" s="20">
        <v>2522</v>
      </c>
      <c r="C545" s="20">
        <v>434</v>
      </c>
      <c r="D545" s="20">
        <v>15250</v>
      </c>
      <c r="E545" s="17" t="s">
        <v>92</v>
      </c>
      <c r="F545" s="17" t="s">
        <v>92</v>
      </c>
      <c r="G545" s="17" t="s">
        <v>92</v>
      </c>
      <c r="H545" s="17" t="s">
        <v>92</v>
      </c>
      <c r="I545" s="39"/>
      <c r="J545" s="47">
        <f t="shared" si="9"/>
        <v>-530</v>
      </c>
      <c r="K545" s="49"/>
      <c r="L545" s="17"/>
      <c r="M545" s="27"/>
      <c r="N545" s="49"/>
      <c r="O545" s="27"/>
      <c r="Q545" s="2"/>
      <c r="R545" s="24"/>
      <c r="S545" s="24"/>
      <c r="T545" s="24"/>
    </row>
    <row r="546" spans="1:20" x14ac:dyDescent="0.25">
      <c r="A546" s="2">
        <v>44614</v>
      </c>
      <c r="B546" s="20">
        <v>2562</v>
      </c>
      <c r="C546" s="20">
        <v>423</v>
      </c>
      <c r="D546" s="20">
        <v>15430</v>
      </c>
      <c r="E546" s="17" t="s">
        <v>92</v>
      </c>
      <c r="F546" s="17" t="s">
        <v>92</v>
      </c>
      <c r="G546" s="17" t="s">
        <v>92</v>
      </c>
      <c r="H546" s="17" t="s">
        <v>92</v>
      </c>
      <c r="I546" s="39"/>
      <c r="J546" s="47">
        <f t="shared" si="9"/>
        <v>-531</v>
      </c>
      <c r="K546" s="49"/>
      <c r="L546" s="17"/>
      <c r="M546" s="27"/>
      <c r="N546" s="49"/>
      <c r="O546" s="27"/>
      <c r="Q546" s="2"/>
      <c r="R546" s="24"/>
      <c r="S546" s="24"/>
      <c r="T546" s="24"/>
    </row>
    <row r="547" spans="1:20" x14ac:dyDescent="0.25">
      <c r="A547" s="2">
        <v>44613</v>
      </c>
      <c r="B547" s="20">
        <v>2558</v>
      </c>
      <c r="C547" s="20">
        <v>431</v>
      </c>
      <c r="D547" s="20">
        <v>15860</v>
      </c>
      <c r="E547" s="17" t="s">
        <v>92</v>
      </c>
      <c r="F547" s="17" t="s">
        <v>92</v>
      </c>
      <c r="G547" s="17" t="s">
        <v>92</v>
      </c>
      <c r="H547" s="17" t="s">
        <v>92</v>
      </c>
      <c r="I547" s="39"/>
      <c r="J547" s="47">
        <f t="shared" si="9"/>
        <v>-532</v>
      </c>
      <c r="K547" s="49"/>
      <c r="L547" s="17"/>
      <c r="M547" s="27"/>
      <c r="N547" s="49"/>
      <c r="O547" s="27"/>
      <c r="Q547" s="2"/>
      <c r="R547" s="24"/>
      <c r="S547" s="24"/>
      <c r="T547" s="24"/>
    </row>
    <row r="548" spans="1:20" x14ac:dyDescent="0.25">
      <c r="A548" s="2">
        <v>44610</v>
      </c>
      <c r="B548" s="20">
        <v>2614</v>
      </c>
      <c r="C548" s="20">
        <v>433</v>
      </c>
      <c r="D548" s="20">
        <v>16600</v>
      </c>
      <c r="E548" s="17" t="s">
        <v>92</v>
      </c>
      <c r="F548" s="17" t="s">
        <v>92</v>
      </c>
      <c r="G548" s="17" t="s">
        <v>92</v>
      </c>
      <c r="H548" s="17" t="s">
        <v>92</v>
      </c>
      <c r="I548" s="39"/>
      <c r="J548" s="47">
        <f t="shared" si="9"/>
        <v>-533</v>
      </c>
      <c r="K548" s="49"/>
      <c r="L548" s="17"/>
      <c r="M548" s="27"/>
      <c r="N548" s="49"/>
      <c r="O548" s="27"/>
      <c r="Q548" s="2"/>
      <c r="R548" s="24"/>
      <c r="S548" s="24"/>
      <c r="T548" s="24"/>
    </row>
    <row r="549" spans="1:20" x14ac:dyDescent="0.25">
      <c r="A549" s="2">
        <v>44609</v>
      </c>
      <c r="B549" s="20">
        <v>2652</v>
      </c>
      <c r="C549" s="20">
        <v>433</v>
      </c>
      <c r="D549" s="20">
        <v>17165</v>
      </c>
      <c r="E549" s="17" t="s">
        <v>92</v>
      </c>
      <c r="F549" s="17" t="s">
        <v>92</v>
      </c>
      <c r="G549" s="17" t="s">
        <v>92</v>
      </c>
      <c r="H549" s="17" t="s">
        <v>92</v>
      </c>
      <c r="I549" s="39"/>
      <c r="J549" s="47">
        <f t="shared" si="9"/>
        <v>-534</v>
      </c>
      <c r="K549" s="49"/>
      <c r="L549" s="17"/>
      <c r="M549" s="27"/>
      <c r="N549" s="49"/>
      <c r="O549" s="27"/>
      <c r="Q549" s="2"/>
      <c r="R549" s="24"/>
      <c r="S549" s="24"/>
      <c r="T549" s="24"/>
    </row>
    <row r="550" spans="1:20" x14ac:dyDescent="0.25">
      <c r="A550" s="2">
        <v>44608</v>
      </c>
      <c r="B550" s="20">
        <v>2662</v>
      </c>
      <c r="C550" s="20">
        <v>437</v>
      </c>
      <c r="D550" s="20">
        <v>17465</v>
      </c>
      <c r="E550" s="17" t="s">
        <v>92</v>
      </c>
      <c r="F550" s="17" t="s">
        <v>92</v>
      </c>
      <c r="G550" s="17" t="s">
        <v>92</v>
      </c>
      <c r="H550" s="17" t="s">
        <v>92</v>
      </c>
      <c r="I550" s="39"/>
      <c r="J550" s="47">
        <f t="shared" si="9"/>
        <v>-535</v>
      </c>
      <c r="K550" s="49"/>
      <c r="L550" s="17"/>
      <c r="M550" s="27"/>
      <c r="N550" s="49"/>
      <c r="O550" s="27"/>
      <c r="Q550" s="2"/>
      <c r="R550" s="24"/>
      <c r="S550" s="24"/>
      <c r="T550" s="24"/>
    </row>
    <row r="551" spans="1:20" x14ac:dyDescent="0.25">
      <c r="A551" s="2">
        <v>44607</v>
      </c>
      <c r="B551" s="20">
        <v>2648</v>
      </c>
      <c r="C551" s="29">
        <v>433.5</v>
      </c>
      <c r="D551" s="20">
        <v>17355</v>
      </c>
      <c r="E551" s="17" t="s">
        <v>92</v>
      </c>
      <c r="F551" s="17" t="s">
        <v>92</v>
      </c>
      <c r="G551" s="17" t="s">
        <v>92</v>
      </c>
      <c r="H551" s="17" t="s">
        <v>92</v>
      </c>
      <c r="I551" s="39"/>
      <c r="J551" s="47">
        <f t="shared" si="9"/>
        <v>-536</v>
      </c>
      <c r="K551" s="49"/>
      <c r="L551" s="17"/>
      <c r="M551" s="27"/>
      <c r="N551" s="49"/>
      <c r="O551" s="27"/>
      <c r="Q551" s="2"/>
      <c r="R551" s="24"/>
      <c r="S551" s="24"/>
      <c r="T551" s="24"/>
    </row>
    <row r="552" spans="1:20" x14ac:dyDescent="0.25">
      <c r="A552" s="2">
        <v>44606</v>
      </c>
      <c r="B552" s="20">
        <v>2648</v>
      </c>
      <c r="C552" s="29">
        <v>431.5</v>
      </c>
      <c r="D552" s="20">
        <v>17405</v>
      </c>
      <c r="E552" s="17" t="s">
        <v>92</v>
      </c>
      <c r="F552" s="17" t="s">
        <v>92</v>
      </c>
      <c r="G552" s="17" t="s">
        <v>92</v>
      </c>
      <c r="H552" s="17" t="s">
        <v>92</v>
      </c>
      <c r="I552" s="39"/>
      <c r="J552" s="47">
        <f t="shared" si="9"/>
        <v>-537</v>
      </c>
      <c r="K552" s="49"/>
      <c r="L552" s="17"/>
      <c r="M552" s="27"/>
      <c r="N552" s="49"/>
      <c r="O552" s="27"/>
      <c r="Q552" s="2"/>
      <c r="R552" s="24"/>
      <c r="S552" s="24"/>
      <c r="T552" s="24"/>
    </row>
    <row r="553" spans="1:20" x14ac:dyDescent="0.25">
      <c r="A553" s="2">
        <v>44603</v>
      </c>
      <c r="B553" s="20">
        <v>2670</v>
      </c>
      <c r="C553" s="20">
        <v>435</v>
      </c>
      <c r="D553" s="20">
        <v>17800</v>
      </c>
      <c r="E553" s="17" t="s">
        <v>92</v>
      </c>
      <c r="F553" s="17" t="s">
        <v>92</v>
      </c>
      <c r="G553" s="17" t="s">
        <v>92</v>
      </c>
      <c r="H553" s="17" t="s">
        <v>92</v>
      </c>
      <c r="I553" s="39"/>
      <c r="J553" s="47">
        <f t="shared" si="9"/>
        <v>-538</v>
      </c>
      <c r="K553" s="49"/>
      <c r="L553" s="17"/>
      <c r="M553" s="27"/>
      <c r="N553" s="49"/>
      <c r="O553" s="27"/>
      <c r="Q553" s="2"/>
      <c r="R553" s="24"/>
      <c r="S553" s="24"/>
      <c r="T553" s="24"/>
    </row>
    <row r="554" spans="1:20" x14ac:dyDescent="0.25">
      <c r="A554" s="2">
        <v>44602</v>
      </c>
      <c r="B554" s="20">
        <v>2670</v>
      </c>
      <c r="C554" s="20">
        <v>433</v>
      </c>
      <c r="D554" s="20">
        <v>18150</v>
      </c>
      <c r="E554" s="17" t="s">
        <v>92</v>
      </c>
      <c r="F554" s="17" t="s">
        <v>92</v>
      </c>
      <c r="G554" s="17" t="s">
        <v>92</v>
      </c>
      <c r="H554" s="17" t="s">
        <v>92</v>
      </c>
      <c r="I554" s="39"/>
      <c r="J554" s="47">
        <f t="shared" si="9"/>
        <v>-539</v>
      </c>
      <c r="K554" s="49"/>
      <c r="L554" s="17"/>
      <c r="M554" s="27"/>
      <c r="N554" s="49"/>
      <c r="O554" s="27"/>
      <c r="Q554" s="2"/>
      <c r="R554" s="24"/>
      <c r="S554" s="24"/>
      <c r="T554" s="24"/>
    </row>
    <row r="555" spans="1:20" x14ac:dyDescent="0.25">
      <c r="A555" s="2">
        <v>44601</v>
      </c>
      <c r="B555" s="20">
        <v>2702</v>
      </c>
      <c r="C555" s="20">
        <v>429</v>
      </c>
      <c r="D555" s="20">
        <v>18280</v>
      </c>
      <c r="E555" s="17" t="s">
        <v>92</v>
      </c>
      <c r="F555" s="17" t="s">
        <v>92</v>
      </c>
      <c r="G555" s="17" t="s">
        <v>92</v>
      </c>
      <c r="H555" s="17" t="s">
        <v>92</v>
      </c>
      <c r="I555" s="39"/>
      <c r="J555" s="47">
        <f t="shared" si="9"/>
        <v>-540</v>
      </c>
      <c r="K555" s="49"/>
      <c r="L555" s="17"/>
      <c r="M555" s="27"/>
      <c r="N555" s="49"/>
      <c r="O555" s="27"/>
      <c r="Q555" s="2"/>
      <c r="R555" s="24"/>
      <c r="S555" s="24"/>
      <c r="T555" s="24"/>
    </row>
    <row r="556" spans="1:20" x14ac:dyDescent="0.25">
      <c r="A556" s="2">
        <v>44600</v>
      </c>
      <c r="B556" s="20">
        <v>2710</v>
      </c>
      <c r="C556" s="20">
        <v>422</v>
      </c>
      <c r="D556" s="20">
        <v>18030</v>
      </c>
      <c r="E556" s="17" t="s">
        <v>92</v>
      </c>
      <c r="F556" s="17" t="s">
        <v>92</v>
      </c>
      <c r="G556" s="17" t="s">
        <v>92</v>
      </c>
      <c r="H556" s="17" t="s">
        <v>92</v>
      </c>
      <c r="I556" s="39"/>
      <c r="J556" s="47">
        <f t="shared" si="9"/>
        <v>-541</v>
      </c>
      <c r="K556" s="49"/>
      <c r="L556" s="17"/>
      <c r="M556" s="27"/>
      <c r="N556" s="49"/>
      <c r="O556" s="27"/>
      <c r="Q556" s="2"/>
      <c r="R556" s="24"/>
      <c r="S556" s="24"/>
      <c r="T556" s="24"/>
    </row>
    <row r="557" spans="1:20" x14ac:dyDescent="0.25">
      <c r="A557" s="2">
        <v>44599</v>
      </c>
      <c r="B557" s="20">
        <v>2662</v>
      </c>
      <c r="C557" s="20">
        <v>421</v>
      </c>
      <c r="D557" s="20">
        <v>17910</v>
      </c>
      <c r="E557" s="17" t="s">
        <v>92</v>
      </c>
      <c r="F557" s="17" t="s">
        <v>92</v>
      </c>
      <c r="G557" s="17" t="s">
        <v>92</v>
      </c>
      <c r="H557" s="17" t="s">
        <v>92</v>
      </c>
      <c r="I557" s="39"/>
      <c r="J557" s="47">
        <f t="shared" si="9"/>
        <v>-542</v>
      </c>
      <c r="K557" s="49"/>
      <c r="L557" s="17"/>
      <c r="M557" s="27"/>
      <c r="N557" s="49"/>
      <c r="O557" s="27"/>
      <c r="Q557" s="2"/>
      <c r="R557" s="24"/>
      <c r="S557" s="24"/>
      <c r="T557" s="24"/>
    </row>
    <row r="558" spans="1:20" x14ac:dyDescent="0.25">
      <c r="A558" s="2">
        <v>44596</v>
      </c>
      <c r="B558" s="20">
        <v>2678</v>
      </c>
      <c r="C558" s="29">
        <v>419.5</v>
      </c>
      <c r="D558" s="20">
        <v>17430</v>
      </c>
      <c r="E558" s="17" t="s">
        <v>92</v>
      </c>
      <c r="F558" s="17" t="s">
        <v>92</v>
      </c>
      <c r="G558" s="17" t="s">
        <v>92</v>
      </c>
      <c r="H558" s="17" t="s">
        <v>92</v>
      </c>
      <c r="I558" s="39"/>
      <c r="J558" s="47">
        <f t="shared" si="9"/>
        <v>-543</v>
      </c>
      <c r="K558" s="49"/>
      <c r="L558" s="17"/>
      <c r="M558" s="27"/>
      <c r="N558" s="49"/>
      <c r="O558" s="27"/>
      <c r="Q558" s="2"/>
      <c r="R558" s="24"/>
      <c r="S558" s="24"/>
      <c r="T558" s="24"/>
    </row>
    <row r="559" spans="1:20" x14ac:dyDescent="0.25">
      <c r="A559" s="2">
        <v>44595</v>
      </c>
      <c r="B559" s="20">
        <v>2682</v>
      </c>
      <c r="C559" s="20">
        <v>422</v>
      </c>
      <c r="D559" s="20">
        <v>17650</v>
      </c>
      <c r="E559" s="17" t="s">
        <v>92</v>
      </c>
      <c r="F559" s="17" t="s">
        <v>92</v>
      </c>
      <c r="G559" s="17" t="s">
        <v>92</v>
      </c>
      <c r="H559" s="17" t="s">
        <v>92</v>
      </c>
      <c r="I559" s="39"/>
      <c r="J559" s="47">
        <f t="shared" si="9"/>
        <v>-544</v>
      </c>
      <c r="K559" s="49"/>
      <c r="L559" s="17"/>
      <c r="M559" s="27"/>
      <c r="N559" s="49"/>
      <c r="O559" s="27"/>
      <c r="Q559" s="2"/>
      <c r="R559" s="24"/>
      <c r="S559" s="24"/>
      <c r="T559" s="24"/>
    </row>
    <row r="560" spans="1:20" x14ac:dyDescent="0.25">
      <c r="A560" s="2">
        <v>44594</v>
      </c>
      <c r="B560" s="20">
        <v>2710</v>
      </c>
      <c r="C560" s="20">
        <v>418</v>
      </c>
      <c r="D560" s="20">
        <v>18070</v>
      </c>
      <c r="E560" s="17" t="s">
        <v>92</v>
      </c>
      <c r="F560" s="17" t="s">
        <v>92</v>
      </c>
      <c r="G560" s="17" t="s">
        <v>92</v>
      </c>
      <c r="H560" s="17" t="s">
        <v>92</v>
      </c>
      <c r="I560" s="39"/>
      <c r="J560" s="47">
        <f t="shared" si="9"/>
        <v>-545</v>
      </c>
      <c r="K560" s="49"/>
      <c r="L560" s="17"/>
      <c r="M560" s="27"/>
      <c r="N560" s="49"/>
      <c r="O560" s="27"/>
      <c r="Q560" s="2"/>
      <c r="R560" s="24"/>
      <c r="S560" s="24"/>
      <c r="T560" s="24"/>
    </row>
    <row r="561" spans="1:20" x14ac:dyDescent="0.25">
      <c r="A561" s="2">
        <v>44593</v>
      </c>
      <c r="B561" s="20">
        <v>2700</v>
      </c>
      <c r="C561" s="20">
        <v>420</v>
      </c>
      <c r="D561" s="20">
        <v>18110</v>
      </c>
      <c r="E561" s="17" t="s">
        <v>92</v>
      </c>
      <c r="F561" s="17" t="s">
        <v>92</v>
      </c>
      <c r="G561" s="17" t="s">
        <v>92</v>
      </c>
      <c r="H561" s="17" t="s">
        <v>92</v>
      </c>
      <c r="I561" s="39"/>
      <c r="J561" s="47">
        <f t="shared" si="9"/>
        <v>-546</v>
      </c>
      <c r="K561" s="49"/>
      <c r="L561" s="17"/>
      <c r="M561" s="27"/>
      <c r="N561" s="49"/>
      <c r="O561" s="27"/>
      <c r="Q561" s="2"/>
      <c r="R561" s="24"/>
      <c r="S561" s="24"/>
      <c r="T561" s="24"/>
    </row>
    <row r="562" spans="1:20" x14ac:dyDescent="0.25">
      <c r="A562" s="2">
        <v>44592</v>
      </c>
      <c r="B562" s="20">
        <v>2750</v>
      </c>
      <c r="C562" s="29">
        <v>419.5</v>
      </c>
      <c r="D562" s="20">
        <v>18300</v>
      </c>
      <c r="E562" s="17" t="s">
        <v>92</v>
      </c>
      <c r="F562" s="17" t="s">
        <v>92</v>
      </c>
      <c r="G562" s="17" t="s">
        <v>92</v>
      </c>
      <c r="H562" s="17" t="s">
        <v>92</v>
      </c>
      <c r="I562" s="39"/>
      <c r="J562" s="47">
        <f t="shared" si="9"/>
        <v>-547</v>
      </c>
      <c r="K562" s="49"/>
      <c r="L562" s="17"/>
      <c r="M562" s="27"/>
      <c r="N562" s="49"/>
      <c r="O562" s="27"/>
      <c r="Q562" s="2"/>
      <c r="R562" s="24"/>
      <c r="S562" s="24"/>
      <c r="T562" s="24"/>
    </row>
    <row r="563" spans="1:20" x14ac:dyDescent="0.25">
      <c r="A563" s="2">
        <v>44589</v>
      </c>
      <c r="B563" s="20">
        <v>2728</v>
      </c>
      <c r="C563" s="20">
        <v>421</v>
      </c>
      <c r="D563" s="20">
        <v>17980</v>
      </c>
      <c r="E563" s="17" t="s">
        <v>92</v>
      </c>
      <c r="F563" s="17" t="s">
        <v>92</v>
      </c>
      <c r="G563" s="17" t="s">
        <v>92</v>
      </c>
      <c r="H563" s="17" t="s">
        <v>92</v>
      </c>
      <c r="I563" s="39"/>
      <c r="J563" s="47">
        <f t="shared" si="9"/>
        <v>-548</v>
      </c>
      <c r="K563" s="49"/>
      <c r="L563" s="17"/>
      <c r="M563" s="27"/>
      <c r="N563" s="49"/>
      <c r="O563" s="27"/>
      <c r="Q563" s="2"/>
      <c r="R563" s="24"/>
      <c r="S563" s="24"/>
      <c r="T563" s="24"/>
    </row>
    <row r="564" spans="1:20" x14ac:dyDescent="0.25">
      <c r="A564" s="2">
        <v>44588</v>
      </c>
      <c r="B564" s="20">
        <v>2750</v>
      </c>
      <c r="C564" s="29">
        <v>418.5</v>
      </c>
      <c r="D564" s="20">
        <v>17850</v>
      </c>
      <c r="E564" s="17" t="s">
        <v>92</v>
      </c>
      <c r="F564" s="17" t="s">
        <v>92</v>
      </c>
      <c r="G564" s="17" t="s">
        <v>92</v>
      </c>
      <c r="H564" s="17" t="s">
        <v>92</v>
      </c>
      <c r="I564" s="39"/>
      <c r="J564" s="47">
        <f t="shared" si="9"/>
        <v>-549</v>
      </c>
      <c r="K564" s="49"/>
      <c r="L564" s="17"/>
      <c r="M564" s="27"/>
      <c r="N564" s="49"/>
      <c r="O564" s="27"/>
      <c r="Q564" s="2"/>
      <c r="R564" s="24"/>
      <c r="S564" s="24"/>
      <c r="T564" s="24"/>
    </row>
    <row r="565" spans="1:20" x14ac:dyDescent="0.25">
      <c r="A565" s="2">
        <v>44587</v>
      </c>
      <c r="B565" s="20">
        <v>2670</v>
      </c>
      <c r="C565" s="20">
        <v>421</v>
      </c>
      <c r="D565" s="20">
        <v>17455</v>
      </c>
      <c r="E565" s="17" t="s">
        <v>92</v>
      </c>
      <c r="F565" s="17" t="s">
        <v>92</v>
      </c>
      <c r="G565" s="17" t="s">
        <v>92</v>
      </c>
      <c r="H565" s="17" t="s">
        <v>92</v>
      </c>
      <c r="I565" s="39"/>
      <c r="J565" s="47">
        <f t="shared" si="9"/>
        <v>-550</v>
      </c>
      <c r="K565" s="49"/>
      <c r="L565" s="17"/>
      <c r="M565" s="27"/>
      <c r="N565" s="49"/>
      <c r="O565" s="27"/>
      <c r="Q565" s="2"/>
      <c r="R565" s="24"/>
      <c r="S565" s="24"/>
      <c r="T565" s="24"/>
    </row>
    <row r="566" spans="1:20" x14ac:dyDescent="0.25">
      <c r="A566" s="2">
        <v>44586</v>
      </c>
      <c r="B566" s="20">
        <v>2660</v>
      </c>
      <c r="C566" s="20">
        <v>422</v>
      </c>
      <c r="D566" s="20">
        <v>16940</v>
      </c>
      <c r="E566" s="17" t="s">
        <v>92</v>
      </c>
      <c r="F566" s="17" t="s">
        <v>92</v>
      </c>
      <c r="G566" s="17" t="s">
        <v>92</v>
      </c>
      <c r="H566" s="17" t="s">
        <v>92</v>
      </c>
      <c r="I566" s="39"/>
      <c r="J566" s="47">
        <f t="shared" si="9"/>
        <v>-551</v>
      </c>
      <c r="K566" s="49"/>
      <c r="L566" s="17"/>
      <c r="M566" s="27"/>
      <c r="N566" s="49"/>
      <c r="O566" s="27"/>
      <c r="Q566" s="2"/>
      <c r="R566" s="24"/>
      <c r="S566" s="24"/>
      <c r="T566" s="24"/>
    </row>
    <row r="567" spans="1:20" x14ac:dyDescent="0.25">
      <c r="A567" s="2">
        <v>44585</v>
      </c>
      <c r="B567" s="20">
        <v>2620</v>
      </c>
      <c r="C567" s="29">
        <v>416.5</v>
      </c>
      <c r="D567" s="20">
        <v>17140</v>
      </c>
      <c r="E567" s="17" t="s">
        <v>92</v>
      </c>
      <c r="F567" s="17" t="s">
        <v>92</v>
      </c>
      <c r="G567" s="17" t="s">
        <v>92</v>
      </c>
      <c r="H567" s="17" t="s">
        <v>92</v>
      </c>
      <c r="I567" s="39"/>
      <c r="J567" s="47">
        <f t="shared" si="9"/>
        <v>-552</v>
      </c>
      <c r="K567" s="49"/>
      <c r="L567" s="17"/>
      <c r="M567" s="27"/>
      <c r="N567" s="49"/>
      <c r="O567" s="27"/>
      <c r="Q567" s="2"/>
      <c r="R567" s="24"/>
      <c r="S567" s="24"/>
      <c r="T567" s="24"/>
    </row>
    <row r="568" spans="1:20" x14ac:dyDescent="0.25">
      <c r="A568" s="2">
        <v>44582</v>
      </c>
      <c r="B568" s="20">
        <v>2684</v>
      </c>
      <c r="C568" s="20">
        <v>422</v>
      </c>
      <c r="D568" s="20">
        <v>17300</v>
      </c>
      <c r="E568" s="17" t="s">
        <v>92</v>
      </c>
      <c r="F568" s="17" t="s">
        <v>92</v>
      </c>
      <c r="G568" s="17" t="s">
        <v>92</v>
      </c>
      <c r="H568" s="17" t="s">
        <v>92</v>
      </c>
      <c r="I568" s="39"/>
      <c r="J568" s="47">
        <f t="shared" si="9"/>
        <v>-553</v>
      </c>
      <c r="K568" s="49"/>
      <c r="L568" s="17"/>
      <c r="M568" s="27"/>
      <c r="N568" s="49"/>
      <c r="O568" s="27"/>
      <c r="Q568" s="2"/>
      <c r="R568" s="24"/>
      <c r="S568" s="24"/>
      <c r="T568" s="24"/>
    </row>
    <row r="569" spans="1:20" x14ac:dyDescent="0.25">
      <c r="A569" s="2">
        <v>44581</v>
      </c>
      <c r="B569" s="20">
        <v>2652</v>
      </c>
      <c r="C569" s="29">
        <v>424.5</v>
      </c>
      <c r="D569" s="20">
        <v>17690</v>
      </c>
      <c r="E569" s="17" t="s">
        <v>92</v>
      </c>
      <c r="F569" s="17" t="s">
        <v>92</v>
      </c>
      <c r="G569" s="17" t="s">
        <v>92</v>
      </c>
      <c r="H569" s="17" t="s">
        <v>92</v>
      </c>
      <c r="I569" s="39"/>
      <c r="J569" s="47">
        <f t="shared" si="9"/>
        <v>-554</v>
      </c>
      <c r="K569" s="49"/>
      <c r="L569" s="17"/>
      <c r="M569" s="27"/>
      <c r="N569" s="49"/>
      <c r="O569" s="27"/>
      <c r="Q569" s="2"/>
      <c r="R569" s="24"/>
      <c r="S569" s="24"/>
      <c r="T569" s="24"/>
    </row>
    <row r="570" spans="1:20" x14ac:dyDescent="0.25">
      <c r="A570" s="2">
        <v>44580</v>
      </c>
      <c r="B570" s="20">
        <v>2660</v>
      </c>
      <c r="C570" s="20">
        <v>426</v>
      </c>
      <c r="D570" s="20">
        <v>17980</v>
      </c>
      <c r="E570" s="17" t="s">
        <v>92</v>
      </c>
      <c r="F570" s="17" t="s">
        <v>92</v>
      </c>
      <c r="G570" s="17" t="s">
        <v>92</v>
      </c>
      <c r="H570" s="17" t="s">
        <v>92</v>
      </c>
      <c r="I570" s="39"/>
      <c r="J570" s="47">
        <f t="shared" si="9"/>
        <v>-555</v>
      </c>
      <c r="K570" s="49"/>
      <c r="L570" s="17"/>
      <c r="M570" s="27"/>
      <c r="N570" s="49"/>
      <c r="O570" s="27"/>
      <c r="Q570" s="2"/>
      <c r="R570" s="24"/>
      <c r="S570" s="24"/>
      <c r="T570" s="24"/>
    </row>
    <row r="571" spans="1:20" x14ac:dyDescent="0.25">
      <c r="A571" s="2">
        <v>44579</v>
      </c>
      <c r="B571" s="20">
        <v>2624</v>
      </c>
      <c r="C571" s="29">
        <v>421.5</v>
      </c>
      <c r="D571" s="20">
        <v>17745</v>
      </c>
      <c r="E571" s="17" t="s">
        <v>92</v>
      </c>
      <c r="F571" s="17" t="s">
        <v>92</v>
      </c>
      <c r="G571" s="17" t="s">
        <v>92</v>
      </c>
      <c r="H571" s="17" t="s">
        <v>92</v>
      </c>
      <c r="I571" s="39"/>
      <c r="J571" s="47">
        <f t="shared" si="9"/>
        <v>-556</v>
      </c>
      <c r="K571" s="49"/>
      <c r="L571" s="17"/>
      <c r="M571" s="27"/>
      <c r="N571" s="49"/>
      <c r="O571" s="27"/>
      <c r="Q571" s="2"/>
      <c r="R571" s="24"/>
      <c r="S571" s="24"/>
      <c r="T571" s="24"/>
    </row>
    <row r="572" spans="1:20" x14ac:dyDescent="0.25">
      <c r="A572" s="2">
        <v>44578</v>
      </c>
      <c r="B572" s="20">
        <v>2668</v>
      </c>
      <c r="C572" s="20">
        <v>419</v>
      </c>
      <c r="D572" s="20">
        <v>18120</v>
      </c>
      <c r="E572" s="17" t="s">
        <v>92</v>
      </c>
      <c r="F572" s="17" t="s">
        <v>92</v>
      </c>
      <c r="G572" s="17" t="s">
        <v>92</v>
      </c>
      <c r="H572" s="17" t="s">
        <v>92</v>
      </c>
      <c r="I572" s="39"/>
      <c r="J572" s="47">
        <f t="shared" si="9"/>
        <v>-557</v>
      </c>
      <c r="K572" s="49"/>
      <c r="L572" s="17"/>
      <c r="M572" s="27"/>
      <c r="N572" s="49"/>
      <c r="O572" s="27"/>
      <c r="Q572" s="2"/>
      <c r="R572" s="24"/>
      <c r="S572" s="24"/>
      <c r="T572" s="24"/>
    </row>
    <row r="573" spans="1:20" x14ac:dyDescent="0.25">
      <c r="A573" s="2">
        <v>44575</v>
      </c>
      <c r="B573" s="20">
        <v>2652</v>
      </c>
      <c r="C573" s="20">
        <v>417</v>
      </c>
      <c r="D573" s="20">
        <v>17610</v>
      </c>
      <c r="E573" s="17" t="s">
        <v>92</v>
      </c>
      <c r="F573" s="17" t="s">
        <v>92</v>
      </c>
      <c r="G573" s="17" t="s">
        <v>92</v>
      </c>
      <c r="H573" s="17" t="s">
        <v>92</v>
      </c>
      <c r="I573" s="39"/>
      <c r="J573" s="47">
        <f t="shared" si="9"/>
        <v>-558</v>
      </c>
      <c r="K573" s="49"/>
      <c r="L573" s="17"/>
      <c r="M573" s="27"/>
      <c r="N573" s="49"/>
      <c r="O573" s="27"/>
      <c r="Q573" s="2"/>
      <c r="R573" s="24"/>
      <c r="S573" s="24"/>
      <c r="T573" s="24"/>
    </row>
    <row r="574" spans="1:20" x14ac:dyDescent="0.25">
      <c r="A574" s="2">
        <v>44574</v>
      </c>
      <c r="B574" s="20">
        <v>2686</v>
      </c>
      <c r="C574" s="20">
        <v>417</v>
      </c>
      <c r="D574" s="20">
        <v>18215</v>
      </c>
      <c r="E574" s="17" t="s">
        <v>92</v>
      </c>
      <c r="F574" s="17" t="s">
        <v>92</v>
      </c>
      <c r="G574" s="17" t="s">
        <v>92</v>
      </c>
      <c r="H574" s="17" t="s">
        <v>92</v>
      </c>
      <c r="I574" s="39"/>
      <c r="J574" s="47">
        <f t="shared" si="9"/>
        <v>-559</v>
      </c>
      <c r="K574" s="49"/>
      <c r="L574" s="17"/>
      <c r="M574" s="27"/>
      <c r="N574" s="49"/>
      <c r="O574" s="27"/>
      <c r="Q574" s="2"/>
      <c r="R574" s="24"/>
      <c r="S574" s="24"/>
      <c r="T574" s="24"/>
    </row>
    <row r="575" spans="1:20" x14ac:dyDescent="0.25">
      <c r="A575" s="2">
        <v>44573</v>
      </c>
      <c r="B575" s="20">
        <v>2690</v>
      </c>
      <c r="C575" s="29">
        <v>416.5</v>
      </c>
      <c r="D575" s="20">
        <v>18600</v>
      </c>
      <c r="E575" s="17" t="s">
        <v>92</v>
      </c>
      <c r="F575" s="17" t="s">
        <v>92</v>
      </c>
      <c r="G575" s="17" t="s">
        <v>92</v>
      </c>
      <c r="H575" s="17" t="s">
        <v>92</v>
      </c>
      <c r="I575" s="39"/>
      <c r="J575" s="47">
        <f t="shared" si="9"/>
        <v>-560</v>
      </c>
      <c r="K575" s="49"/>
      <c r="L575" s="17"/>
      <c r="M575" s="27"/>
      <c r="N575" s="49"/>
      <c r="O575" s="27"/>
      <c r="Q575" s="2"/>
      <c r="R575" s="24"/>
      <c r="S575" s="24"/>
      <c r="T575" s="24"/>
    </row>
    <row r="576" spans="1:20" x14ac:dyDescent="0.25">
      <c r="A576" s="2">
        <v>44572</v>
      </c>
      <c r="B576" s="20">
        <v>2648</v>
      </c>
      <c r="C576" s="20">
        <v>418</v>
      </c>
      <c r="D576" s="20">
        <v>18090</v>
      </c>
      <c r="E576" s="17" t="s">
        <v>92</v>
      </c>
      <c r="F576" s="17" t="s">
        <v>92</v>
      </c>
      <c r="G576" s="17" t="s">
        <v>92</v>
      </c>
      <c r="H576" s="17" t="s">
        <v>92</v>
      </c>
      <c r="I576" s="39"/>
      <c r="J576" s="47">
        <f t="shared" si="9"/>
        <v>-561</v>
      </c>
      <c r="K576" s="49"/>
      <c r="L576" s="17"/>
      <c r="M576" s="27"/>
      <c r="N576" s="49"/>
      <c r="O576" s="27"/>
      <c r="Q576" s="2"/>
      <c r="R576" s="24"/>
      <c r="S576" s="24"/>
      <c r="T576" s="24"/>
    </row>
    <row r="577" spans="1:20" x14ac:dyDescent="0.25">
      <c r="A577" s="2">
        <v>44571</v>
      </c>
      <c r="B577" s="20">
        <v>2636</v>
      </c>
      <c r="C577" s="20">
        <v>418</v>
      </c>
      <c r="D577" s="20">
        <v>17310</v>
      </c>
      <c r="E577" s="17" t="s">
        <v>92</v>
      </c>
      <c r="F577" s="17" t="s">
        <v>92</v>
      </c>
      <c r="G577" s="17" t="s">
        <v>92</v>
      </c>
      <c r="H577" s="17" t="s">
        <v>92</v>
      </c>
      <c r="I577" s="39"/>
      <c r="J577" s="47">
        <f t="shared" si="9"/>
        <v>-562</v>
      </c>
      <c r="K577" s="49"/>
      <c r="L577" s="17"/>
      <c r="M577" s="27"/>
      <c r="N577" s="49"/>
      <c r="O577" s="27"/>
      <c r="Q577" s="2"/>
      <c r="R577" s="24"/>
      <c r="S577" s="24"/>
      <c r="T577" s="24"/>
    </row>
    <row r="578" spans="1:20" x14ac:dyDescent="0.25">
      <c r="A578" s="2">
        <v>44568</v>
      </c>
      <c r="B578" s="20">
        <v>2600</v>
      </c>
      <c r="C578" s="20">
        <v>416</v>
      </c>
      <c r="D578" s="20">
        <v>17190</v>
      </c>
      <c r="E578" s="17" t="s">
        <v>92</v>
      </c>
      <c r="F578" s="17" t="s">
        <v>92</v>
      </c>
      <c r="G578" s="17" t="s">
        <v>92</v>
      </c>
      <c r="H578" s="17" t="s">
        <v>92</v>
      </c>
      <c r="I578" s="39"/>
      <c r="J578" s="47">
        <f t="shared" si="9"/>
        <v>-563</v>
      </c>
      <c r="K578" s="49"/>
      <c r="L578" s="17"/>
      <c r="M578" s="27"/>
      <c r="N578" s="49"/>
      <c r="O578" s="27"/>
      <c r="Q578" s="2"/>
      <c r="R578" s="24"/>
      <c r="S578" s="24"/>
      <c r="T578" s="24"/>
    </row>
    <row r="579" spans="1:20" x14ac:dyDescent="0.25">
      <c r="A579" s="2">
        <v>44567</v>
      </c>
      <c r="B579" s="20">
        <v>2610</v>
      </c>
      <c r="C579" s="20">
        <v>418</v>
      </c>
      <c r="D579" s="20">
        <v>16910</v>
      </c>
      <c r="E579" s="17" t="s">
        <v>92</v>
      </c>
      <c r="F579" s="17" t="s">
        <v>92</v>
      </c>
      <c r="G579" s="17" t="s">
        <v>92</v>
      </c>
      <c r="H579" s="17" t="s">
        <v>92</v>
      </c>
      <c r="I579" s="39"/>
      <c r="J579" s="47">
        <f t="shared" si="9"/>
        <v>-564</v>
      </c>
      <c r="K579" s="49"/>
      <c r="L579" s="17"/>
      <c r="M579" s="27"/>
      <c r="N579" s="49"/>
      <c r="O579" s="27"/>
      <c r="Q579" s="2"/>
      <c r="R579" s="24"/>
      <c r="S579" s="24"/>
      <c r="T579" s="24"/>
    </row>
    <row r="580" spans="1:20" x14ac:dyDescent="0.25">
      <c r="A580" s="2">
        <v>44566</v>
      </c>
      <c r="B580" s="20">
        <v>2618</v>
      </c>
      <c r="C580" s="20">
        <v>416</v>
      </c>
      <c r="D580" s="20">
        <v>17115</v>
      </c>
      <c r="E580" s="17" t="s">
        <v>92</v>
      </c>
      <c r="F580" s="17" t="s">
        <v>92</v>
      </c>
      <c r="G580" s="17" t="s">
        <v>92</v>
      </c>
      <c r="H580" s="17" t="s">
        <v>92</v>
      </c>
      <c r="I580" s="39"/>
      <c r="J580" s="47">
        <f t="shared" si="9"/>
        <v>-565</v>
      </c>
      <c r="K580" s="49"/>
      <c r="L580" s="17"/>
      <c r="M580" s="27"/>
      <c r="N580" s="49"/>
      <c r="O580" s="27"/>
      <c r="Q580" s="2"/>
      <c r="R580" s="24"/>
      <c r="S580" s="24"/>
      <c r="T580" s="24"/>
    </row>
    <row r="581" spans="1:20" x14ac:dyDescent="0.25">
      <c r="A581" s="2">
        <v>44565</v>
      </c>
      <c r="B581" s="20">
        <v>2600</v>
      </c>
      <c r="C581" s="29">
        <v>420.5</v>
      </c>
      <c r="D581" s="20">
        <v>16835</v>
      </c>
      <c r="E581" s="17" t="s">
        <v>92</v>
      </c>
      <c r="F581" s="17" t="s">
        <v>92</v>
      </c>
      <c r="G581" s="17" t="s">
        <v>92</v>
      </c>
      <c r="H581" s="17" t="s">
        <v>92</v>
      </c>
      <c r="I581" s="39"/>
      <c r="J581" s="47">
        <f t="shared" si="9"/>
        <v>-566</v>
      </c>
      <c r="K581" s="49"/>
      <c r="L581" s="17"/>
      <c r="M581" s="27"/>
      <c r="N581" s="49"/>
      <c r="O581" s="27"/>
      <c r="Q581" s="2"/>
      <c r="R581" s="24"/>
      <c r="S581" s="24"/>
      <c r="T581" s="24"/>
    </row>
    <row r="582" spans="1:20" x14ac:dyDescent="0.25">
      <c r="A582" s="2">
        <v>44564</v>
      </c>
      <c r="B582" s="20">
        <v>2584</v>
      </c>
      <c r="C582" s="20">
        <v>418</v>
      </c>
      <c r="D582" s="20">
        <v>17035</v>
      </c>
      <c r="E582" s="17" t="s">
        <v>92</v>
      </c>
      <c r="F582" s="17" t="s">
        <v>92</v>
      </c>
      <c r="G582" s="17" t="s">
        <v>92</v>
      </c>
      <c r="H582" s="17" t="s">
        <v>92</v>
      </c>
      <c r="I582" s="39"/>
      <c r="J582" s="47">
        <f t="shared" si="9"/>
        <v>-567</v>
      </c>
      <c r="K582" s="49"/>
      <c r="L582" s="17"/>
      <c r="M582" s="27"/>
      <c r="N582" s="49"/>
      <c r="O582" s="27"/>
      <c r="Q582" s="2"/>
      <c r="R582" s="24"/>
      <c r="S582" s="24"/>
      <c r="T582" s="24"/>
    </row>
    <row r="583" spans="1:20" x14ac:dyDescent="0.25">
      <c r="A583" s="2">
        <v>44560</v>
      </c>
      <c r="B583" s="20">
        <v>2520</v>
      </c>
      <c r="C583" s="29">
        <v>411.5</v>
      </c>
      <c r="D583" s="20">
        <v>16600</v>
      </c>
      <c r="E583" s="17" t="s">
        <v>92</v>
      </c>
      <c r="F583" s="17" t="s">
        <v>92</v>
      </c>
      <c r="G583" s="17" t="s">
        <v>92</v>
      </c>
      <c r="H583" s="17" t="s">
        <v>92</v>
      </c>
      <c r="I583" s="39"/>
      <c r="J583" s="47">
        <f t="shared" si="9"/>
        <v>-568</v>
      </c>
      <c r="K583" s="49"/>
      <c r="L583" s="17"/>
      <c r="M583" s="27"/>
      <c r="N583" s="49"/>
      <c r="O583" s="27"/>
      <c r="Q583" s="2"/>
      <c r="R583" s="24"/>
      <c r="S583" s="24"/>
      <c r="T583" s="24"/>
    </row>
    <row r="584" spans="1:20" x14ac:dyDescent="0.25">
      <c r="A584" s="2">
        <v>44559</v>
      </c>
      <c r="B584" s="20">
        <v>2500</v>
      </c>
      <c r="C584" s="29">
        <v>410.5</v>
      </c>
      <c r="D584" s="20">
        <v>16420</v>
      </c>
      <c r="E584" s="17" t="s">
        <v>92</v>
      </c>
      <c r="F584" s="17" t="s">
        <v>92</v>
      </c>
      <c r="G584" s="17" t="s">
        <v>92</v>
      </c>
      <c r="H584" s="17" t="s">
        <v>92</v>
      </c>
      <c r="I584" s="39"/>
      <c r="J584" s="47">
        <f t="shared" si="9"/>
        <v>-569</v>
      </c>
      <c r="K584" s="49"/>
      <c r="L584" s="17"/>
      <c r="M584" s="27"/>
      <c r="N584" s="49"/>
      <c r="O584" s="27"/>
      <c r="Q584" s="2"/>
      <c r="R584" s="24"/>
      <c r="S584" s="24"/>
      <c r="T584" s="24"/>
    </row>
    <row r="585" spans="1:20" x14ac:dyDescent="0.25">
      <c r="A585" s="2">
        <v>44558</v>
      </c>
      <c r="B585" s="20">
        <v>2440</v>
      </c>
      <c r="C585" s="29">
        <v>409.5</v>
      </c>
      <c r="D585" s="20">
        <v>16205</v>
      </c>
      <c r="E585" s="17" t="s">
        <v>92</v>
      </c>
      <c r="F585" s="17" t="s">
        <v>92</v>
      </c>
      <c r="G585" s="17" t="s">
        <v>92</v>
      </c>
      <c r="H585" s="17" t="s">
        <v>92</v>
      </c>
      <c r="I585" s="39"/>
      <c r="J585" s="47">
        <f t="shared" si="9"/>
        <v>-570</v>
      </c>
      <c r="K585" s="49"/>
      <c r="L585" s="17"/>
      <c r="M585" s="27"/>
      <c r="N585" s="49"/>
      <c r="O585" s="27"/>
      <c r="Q585" s="2"/>
      <c r="R585" s="24"/>
      <c r="S585" s="24"/>
      <c r="T585" s="24"/>
    </row>
    <row r="586" spans="1:20" x14ac:dyDescent="0.25">
      <c r="A586" s="2">
        <v>44557</v>
      </c>
      <c r="B586" s="20">
        <v>2454</v>
      </c>
      <c r="C586" s="20">
        <v>406</v>
      </c>
      <c r="D586" s="20">
        <v>16150</v>
      </c>
      <c r="E586" s="17" t="s">
        <v>92</v>
      </c>
      <c r="F586" s="17" t="s">
        <v>92</v>
      </c>
      <c r="G586" s="17" t="s">
        <v>92</v>
      </c>
      <c r="H586" s="17" t="s">
        <v>92</v>
      </c>
      <c r="I586" s="39"/>
      <c r="J586" s="47">
        <f t="shared" si="9"/>
        <v>-571</v>
      </c>
      <c r="K586" s="49"/>
      <c r="L586" s="17"/>
      <c r="M586" s="27"/>
      <c r="N586" s="49"/>
      <c r="O586" s="27"/>
      <c r="Q586" s="2"/>
      <c r="R586" s="24"/>
      <c r="S586" s="24"/>
      <c r="T586" s="24"/>
    </row>
    <row r="587" spans="1:20" x14ac:dyDescent="0.25">
      <c r="A587" s="2">
        <v>44553</v>
      </c>
      <c r="B587" s="20">
        <v>2470</v>
      </c>
      <c r="C587" s="20">
        <v>408</v>
      </c>
      <c r="D587" s="20">
        <v>16040</v>
      </c>
      <c r="E587" s="17" t="s">
        <v>92</v>
      </c>
      <c r="F587" s="17" t="s">
        <v>92</v>
      </c>
      <c r="G587" s="17" t="s">
        <v>92</v>
      </c>
      <c r="H587" s="17" t="s">
        <v>92</v>
      </c>
      <c r="I587" s="39"/>
      <c r="J587" s="47">
        <f t="shared" si="9"/>
        <v>-572</v>
      </c>
      <c r="K587" s="49"/>
      <c r="L587" s="17"/>
      <c r="M587" s="27"/>
      <c r="N587" s="49"/>
      <c r="O587" s="27"/>
      <c r="Q587" s="2"/>
      <c r="R587" s="24"/>
      <c r="S587" s="24"/>
      <c r="T587" s="24"/>
    </row>
    <row r="588" spans="1:20" x14ac:dyDescent="0.25">
      <c r="A588" s="2">
        <v>44552</v>
      </c>
      <c r="B588" s="20">
        <v>2470</v>
      </c>
      <c r="C588" s="20">
        <v>412</v>
      </c>
      <c r="D588" s="20">
        <v>15600</v>
      </c>
      <c r="E588" s="17" t="s">
        <v>92</v>
      </c>
      <c r="F588" s="17" t="s">
        <v>92</v>
      </c>
      <c r="G588" s="17" t="s">
        <v>92</v>
      </c>
      <c r="H588" s="17" t="s">
        <v>92</v>
      </c>
      <c r="I588" s="39"/>
      <c r="J588" s="47">
        <f t="shared" si="9"/>
        <v>-573</v>
      </c>
      <c r="K588" s="49"/>
      <c r="L588" s="17"/>
      <c r="M588" s="27"/>
      <c r="N588" s="49"/>
      <c r="O588" s="27"/>
      <c r="Q588" s="2"/>
      <c r="R588" s="24"/>
      <c r="S588" s="24"/>
      <c r="T588" s="24"/>
    </row>
    <row r="589" spans="1:20" x14ac:dyDescent="0.25">
      <c r="A589" s="2">
        <v>44551</v>
      </c>
      <c r="B589" s="20">
        <v>2440</v>
      </c>
      <c r="C589" s="20">
        <v>407</v>
      </c>
      <c r="D589" s="20">
        <v>16880</v>
      </c>
      <c r="E589" s="17" t="s">
        <v>92</v>
      </c>
      <c r="F589" s="17" t="s">
        <v>92</v>
      </c>
      <c r="G589" s="17" t="s">
        <v>92</v>
      </c>
      <c r="H589" s="17" t="s">
        <v>92</v>
      </c>
      <c r="I589" s="39"/>
      <c r="J589" s="47">
        <f t="shared" si="9"/>
        <v>-574</v>
      </c>
      <c r="K589" s="49"/>
      <c r="L589" s="17"/>
      <c r="M589" s="27"/>
      <c r="N589" s="49"/>
      <c r="O589" s="27"/>
      <c r="Q589" s="2"/>
      <c r="R589" s="24"/>
      <c r="S589" s="24"/>
      <c r="T589" s="24"/>
    </row>
    <row r="590" spans="1:20" x14ac:dyDescent="0.25">
      <c r="A590" s="2">
        <v>44550</v>
      </c>
      <c r="B590" s="20">
        <v>2438</v>
      </c>
      <c r="C590" s="29">
        <v>413.5</v>
      </c>
      <c r="D590" s="20">
        <v>16805</v>
      </c>
      <c r="E590" s="17" t="s">
        <v>92</v>
      </c>
      <c r="F590" s="17" t="s">
        <v>92</v>
      </c>
      <c r="G590" s="17" t="s">
        <v>92</v>
      </c>
      <c r="H590" s="17" t="s">
        <v>92</v>
      </c>
      <c r="I590" s="39"/>
      <c r="J590" s="47">
        <f t="shared" si="9"/>
        <v>-575</v>
      </c>
      <c r="K590" s="49"/>
      <c r="L590" s="17"/>
      <c r="M590" s="27"/>
      <c r="N590" s="49"/>
      <c r="O590" s="27"/>
      <c r="Q590" s="2"/>
      <c r="R590" s="24"/>
      <c r="S590" s="24"/>
      <c r="T590" s="24"/>
    </row>
    <row r="591" spans="1:20" x14ac:dyDescent="0.25">
      <c r="A591" s="2">
        <v>44547</v>
      </c>
      <c r="B591" s="20">
        <v>2450</v>
      </c>
      <c r="C591" s="29">
        <v>409.5</v>
      </c>
      <c r="D591" s="20">
        <v>17200</v>
      </c>
      <c r="E591" s="17" t="s">
        <v>92</v>
      </c>
      <c r="F591" s="17" t="s">
        <v>92</v>
      </c>
      <c r="G591" s="17" t="s">
        <v>92</v>
      </c>
      <c r="H591" s="17" t="s">
        <v>92</v>
      </c>
      <c r="I591" s="39"/>
      <c r="J591" s="47">
        <f t="shared" si="9"/>
        <v>-576</v>
      </c>
      <c r="K591" s="49"/>
      <c r="L591" s="17"/>
      <c r="M591" s="27"/>
      <c r="N591" s="49"/>
      <c r="O591" s="27"/>
      <c r="Q591" s="2"/>
      <c r="R591" s="24"/>
      <c r="S591" s="24"/>
      <c r="T591" s="24"/>
    </row>
    <row r="592" spans="1:20" x14ac:dyDescent="0.25">
      <c r="A592" s="2">
        <v>44546</v>
      </c>
      <c r="B592" s="20">
        <v>2440</v>
      </c>
      <c r="C592" s="29">
        <v>407.5</v>
      </c>
      <c r="D592" s="20">
        <v>17025</v>
      </c>
      <c r="E592" s="17" t="s">
        <v>92</v>
      </c>
      <c r="F592" s="17" t="s">
        <v>92</v>
      </c>
      <c r="G592" s="17" t="s">
        <v>92</v>
      </c>
      <c r="H592" s="17" t="s">
        <v>92</v>
      </c>
      <c r="I592" s="39"/>
      <c r="J592" s="47">
        <f t="shared" si="9"/>
        <v>-577</v>
      </c>
      <c r="K592" s="49"/>
      <c r="L592" s="17"/>
      <c r="M592" s="27"/>
      <c r="N592" s="49"/>
      <c r="O592" s="27"/>
      <c r="Q592" s="2"/>
      <c r="R592" s="24"/>
      <c r="S592" s="24"/>
      <c r="T592" s="24"/>
    </row>
    <row r="593" spans="1:20" x14ac:dyDescent="0.25">
      <c r="A593" s="2">
        <v>44545</v>
      </c>
      <c r="B593" s="20">
        <v>2420</v>
      </c>
      <c r="C593" s="29">
        <v>401.5</v>
      </c>
      <c r="D593" s="20">
        <v>16845</v>
      </c>
      <c r="E593" s="17" t="s">
        <v>92</v>
      </c>
      <c r="F593" s="17" t="s">
        <v>92</v>
      </c>
      <c r="G593" s="17" t="s">
        <v>92</v>
      </c>
      <c r="H593" s="17" t="s">
        <v>92</v>
      </c>
      <c r="I593" s="39"/>
      <c r="J593" s="47">
        <f t="shared" ref="J593:J656" si="10">+J592-1</f>
        <v>-578</v>
      </c>
      <c r="K593" s="49"/>
      <c r="L593" s="17"/>
      <c r="M593" s="27"/>
      <c r="N593" s="49"/>
      <c r="O593" s="27"/>
      <c r="Q593" s="2"/>
      <c r="R593" s="24"/>
      <c r="S593" s="24"/>
      <c r="T593" s="24"/>
    </row>
    <row r="594" spans="1:20" x14ac:dyDescent="0.25">
      <c r="A594" s="2">
        <v>44544</v>
      </c>
      <c r="B594" s="20">
        <v>2430</v>
      </c>
      <c r="C594" s="20">
        <v>406</v>
      </c>
      <c r="D594" s="20">
        <v>16895</v>
      </c>
      <c r="E594" s="17" t="s">
        <v>92</v>
      </c>
      <c r="F594" s="17" t="s">
        <v>92</v>
      </c>
      <c r="G594" s="17" t="s">
        <v>92</v>
      </c>
      <c r="H594" s="17" t="s">
        <v>92</v>
      </c>
      <c r="I594" s="39"/>
      <c r="J594" s="47">
        <f t="shared" si="10"/>
        <v>-579</v>
      </c>
      <c r="K594" s="49"/>
      <c r="L594" s="17"/>
      <c r="M594" s="27"/>
      <c r="N594" s="49"/>
      <c r="O594" s="27"/>
      <c r="Q594" s="2"/>
      <c r="R594" s="24"/>
      <c r="S594" s="24"/>
      <c r="T594" s="24"/>
    </row>
    <row r="595" spans="1:20" x14ac:dyDescent="0.25">
      <c r="A595" s="2">
        <v>44543</v>
      </c>
      <c r="B595" s="20">
        <v>2422</v>
      </c>
      <c r="C595" s="20">
        <v>407</v>
      </c>
      <c r="D595" s="20">
        <v>17155</v>
      </c>
      <c r="E595" s="17" t="s">
        <v>92</v>
      </c>
      <c r="F595" s="17" t="s">
        <v>92</v>
      </c>
      <c r="G595" s="17" t="s">
        <v>92</v>
      </c>
      <c r="H595" s="17" t="s">
        <v>92</v>
      </c>
      <c r="I595" s="39"/>
      <c r="J595" s="47">
        <f t="shared" si="10"/>
        <v>-580</v>
      </c>
      <c r="K595" s="49"/>
      <c r="L595" s="17"/>
      <c r="M595" s="27"/>
      <c r="N595" s="49"/>
      <c r="O595" s="27"/>
      <c r="Q595" s="2"/>
      <c r="R595" s="24"/>
      <c r="S595" s="24"/>
      <c r="T595" s="24"/>
    </row>
    <row r="596" spans="1:20" x14ac:dyDescent="0.25">
      <c r="A596" s="2">
        <v>44540</v>
      </c>
      <c r="B596" s="20">
        <v>2446</v>
      </c>
      <c r="C596" s="20">
        <v>411</v>
      </c>
      <c r="D596" s="20">
        <v>17445</v>
      </c>
      <c r="E596" s="17" t="s">
        <v>92</v>
      </c>
      <c r="F596" s="17" t="s">
        <v>92</v>
      </c>
      <c r="G596" s="17" t="s">
        <v>92</v>
      </c>
      <c r="H596" s="17" t="s">
        <v>92</v>
      </c>
      <c r="I596" s="39"/>
      <c r="J596" s="47">
        <f t="shared" si="10"/>
        <v>-581</v>
      </c>
      <c r="K596" s="49"/>
      <c r="L596" s="17"/>
      <c r="M596" s="27"/>
      <c r="N596" s="49"/>
      <c r="O596" s="27"/>
      <c r="Q596" s="2"/>
      <c r="R596" s="24"/>
      <c r="S596" s="24"/>
      <c r="T596" s="24"/>
    </row>
    <row r="597" spans="1:20" x14ac:dyDescent="0.25">
      <c r="A597" s="2">
        <v>44539</v>
      </c>
      <c r="B597" s="20">
        <v>2456</v>
      </c>
      <c r="C597" s="20">
        <v>414</v>
      </c>
      <c r="D597" s="20">
        <v>17465</v>
      </c>
      <c r="E597" s="17" t="s">
        <v>92</v>
      </c>
      <c r="F597" s="17" t="s">
        <v>92</v>
      </c>
      <c r="G597" s="17" t="s">
        <v>92</v>
      </c>
      <c r="H597" s="17" t="s">
        <v>92</v>
      </c>
      <c r="I597" s="39"/>
      <c r="J597" s="47">
        <f t="shared" si="10"/>
        <v>-582</v>
      </c>
      <c r="K597" s="49"/>
      <c r="L597" s="17"/>
      <c r="M597" s="27"/>
      <c r="N597" s="49"/>
      <c r="O597" s="27"/>
      <c r="Q597" s="2"/>
      <c r="R597" s="24"/>
      <c r="S597" s="24"/>
      <c r="T597" s="24"/>
    </row>
    <row r="598" spans="1:20" x14ac:dyDescent="0.25">
      <c r="A598" s="2">
        <v>44538</v>
      </c>
      <c r="B598" s="20">
        <v>2454</v>
      </c>
      <c r="C598" s="20">
        <v>408</v>
      </c>
      <c r="D598" s="20">
        <v>17550</v>
      </c>
      <c r="E598" s="17" t="s">
        <v>92</v>
      </c>
      <c r="F598" s="17" t="s">
        <v>92</v>
      </c>
      <c r="G598" s="17" t="s">
        <v>92</v>
      </c>
      <c r="H598" s="17" t="s">
        <v>92</v>
      </c>
      <c r="I598" s="39"/>
      <c r="J598" s="47">
        <f t="shared" si="10"/>
        <v>-583</v>
      </c>
      <c r="K598" s="49"/>
      <c r="L598" s="17"/>
      <c r="M598" s="27"/>
      <c r="N598" s="49"/>
      <c r="O598" s="27"/>
      <c r="Q598" s="2"/>
      <c r="R598" s="24"/>
      <c r="S598" s="24"/>
      <c r="T598" s="24"/>
    </row>
    <row r="599" spans="1:20" x14ac:dyDescent="0.25">
      <c r="A599" s="2">
        <v>44537</v>
      </c>
      <c r="B599" s="20">
        <v>2456</v>
      </c>
      <c r="C599" s="20">
        <v>408</v>
      </c>
      <c r="D599" s="20">
        <v>17580</v>
      </c>
      <c r="E599" s="17" t="s">
        <v>92</v>
      </c>
      <c r="F599" s="17" t="s">
        <v>92</v>
      </c>
      <c r="G599" s="17" t="s">
        <v>92</v>
      </c>
      <c r="H599" s="17" t="s">
        <v>92</v>
      </c>
      <c r="I599" s="39"/>
      <c r="J599" s="47">
        <f t="shared" si="10"/>
        <v>-584</v>
      </c>
      <c r="K599" s="49"/>
      <c r="L599" s="17"/>
      <c r="M599" s="27"/>
      <c r="N599" s="49"/>
      <c r="O599" s="27"/>
      <c r="Q599" s="2"/>
      <c r="R599" s="24"/>
      <c r="S599" s="24"/>
      <c r="T599" s="24"/>
    </row>
    <row r="600" spans="1:20" x14ac:dyDescent="0.25">
      <c r="A600" s="2">
        <v>44536</v>
      </c>
      <c r="B600" s="20">
        <v>2434</v>
      </c>
      <c r="C600" s="20">
        <v>408</v>
      </c>
      <c r="D600" s="20">
        <v>17285</v>
      </c>
      <c r="E600" s="17" t="s">
        <v>92</v>
      </c>
      <c r="F600" s="17" t="s">
        <v>92</v>
      </c>
      <c r="G600" s="17" t="s">
        <v>92</v>
      </c>
      <c r="H600" s="17" t="s">
        <v>92</v>
      </c>
      <c r="I600" s="39"/>
      <c r="J600" s="47">
        <f t="shared" si="10"/>
        <v>-585</v>
      </c>
      <c r="K600" s="49"/>
      <c r="L600" s="17"/>
      <c r="M600" s="27"/>
      <c r="N600" s="49"/>
      <c r="O600" s="27"/>
      <c r="Q600" s="2"/>
      <c r="R600" s="24"/>
      <c r="S600" s="24"/>
      <c r="T600" s="24"/>
    </row>
    <row r="601" spans="1:20" x14ac:dyDescent="0.25">
      <c r="A601" s="2">
        <v>44533</v>
      </c>
      <c r="B601" s="20">
        <v>2410</v>
      </c>
      <c r="C601" s="20">
        <v>414</v>
      </c>
      <c r="D601" s="20">
        <v>17380</v>
      </c>
      <c r="E601" s="17" t="s">
        <v>92</v>
      </c>
      <c r="F601" s="17" t="s">
        <v>92</v>
      </c>
      <c r="G601" s="17" t="s">
        <v>92</v>
      </c>
      <c r="H601" s="17" t="s">
        <v>92</v>
      </c>
      <c r="I601" s="39"/>
      <c r="J601" s="47">
        <f t="shared" si="10"/>
        <v>-586</v>
      </c>
      <c r="K601" s="49"/>
      <c r="L601" s="17"/>
      <c r="M601" s="27"/>
      <c r="N601" s="49"/>
      <c r="O601" s="27"/>
      <c r="Q601" s="2"/>
      <c r="R601" s="24"/>
      <c r="S601" s="24"/>
      <c r="T601" s="24"/>
    </row>
    <row r="602" spans="1:20" x14ac:dyDescent="0.25">
      <c r="A602" s="2">
        <v>44532</v>
      </c>
      <c r="B602" s="20">
        <v>2434</v>
      </c>
      <c r="C602" s="20">
        <v>416</v>
      </c>
      <c r="D602" s="20">
        <v>17595</v>
      </c>
      <c r="E602" s="17" t="s">
        <v>92</v>
      </c>
      <c r="F602" s="17" t="s">
        <v>92</v>
      </c>
      <c r="G602" s="17" t="s">
        <v>92</v>
      </c>
      <c r="H602" s="17" t="s">
        <v>92</v>
      </c>
      <c r="I602" s="39"/>
      <c r="J602" s="47">
        <f t="shared" si="10"/>
        <v>-587</v>
      </c>
      <c r="K602" s="49"/>
      <c r="L602" s="17"/>
      <c r="M602" s="27"/>
      <c r="N602" s="49"/>
      <c r="O602" s="27"/>
      <c r="Q602" s="2"/>
      <c r="R602" s="24"/>
      <c r="S602" s="24"/>
      <c r="T602" s="24"/>
    </row>
    <row r="603" spans="1:20" x14ac:dyDescent="0.25">
      <c r="A603" s="2">
        <v>44531</v>
      </c>
      <c r="B603" s="20">
        <v>2446</v>
      </c>
      <c r="C603" s="20">
        <v>418</v>
      </c>
      <c r="D603" s="20">
        <v>17890</v>
      </c>
      <c r="E603" s="17" t="s">
        <v>92</v>
      </c>
      <c r="F603" s="17" t="s">
        <v>92</v>
      </c>
      <c r="G603" s="17" t="s">
        <v>92</v>
      </c>
      <c r="H603" s="17" t="s">
        <v>92</v>
      </c>
      <c r="I603" s="39"/>
      <c r="J603" s="47">
        <f t="shared" si="10"/>
        <v>-588</v>
      </c>
      <c r="K603" s="49"/>
      <c r="L603" s="17"/>
      <c r="M603" s="27"/>
      <c r="N603" s="49"/>
      <c r="O603" s="27"/>
      <c r="Q603" s="2"/>
      <c r="R603" s="24"/>
      <c r="S603" s="24"/>
      <c r="T603" s="24"/>
    </row>
    <row r="604" spans="1:20" x14ac:dyDescent="0.25">
      <c r="A604" s="2">
        <v>44530</v>
      </c>
      <c r="B604" s="20">
        <v>2416</v>
      </c>
      <c r="C604" s="29">
        <v>413.5</v>
      </c>
      <c r="D604" s="20">
        <v>17790</v>
      </c>
      <c r="E604" s="17" t="s">
        <v>92</v>
      </c>
      <c r="F604" s="17" t="s">
        <v>92</v>
      </c>
      <c r="G604" s="17" t="s">
        <v>92</v>
      </c>
      <c r="H604" s="17" t="s">
        <v>92</v>
      </c>
      <c r="I604" s="39"/>
      <c r="J604" s="47">
        <f t="shared" si="10"/>
        <v>-589</v>
      </c>
      <c r="K604" s="49"/>
      <c r="L604" s="17"/>
      <c r="M604" s="27"/>
      <c r="N604" s="49"/>
      <c r="O604" s="27"/>
      <c r="Q604" s="2"/>
      <c r="R604" s="24"/>
      <c r="S604" s="24"/>
      <c r="T604" s="24"/>
    </row>
    <row r="605" spans="1:20" x14ac:dyDescent="0.25">
      <c r="A605" s="2">
        <v>44529</v>
      </c>
      <c r="B605" s="20">
        <v>2440</v>
      </c>
      <c r="C605" s="20">
        <v>422</v>
      </c>
      <c r="D605" s="20">
        <v>17735</v>
      </c>
      <c r="E605" s="17" t="s">
        <v>92</v>
      </c>
      <c r="F605" s="17" t="s">
        <v>92</v>
      </c>
      <c r="G605" s="17" t="s">
        <v>92</v>
      </c>
      <c r="H605" s="17" t="s">
        <v>92</v>
      </c>
      <c r="I605" s="39"/>
      <c r="J605" s="47">
        <f t="shared" si="10"/>
        <v>-590</v>
      </c>
      <c r="K605" s="49"/>
      <c r="L605" s="17"/>
      <c r="M605" s="27"/>
      <c r="N605" s="49"/>
      <c r="O605" s="27"/>
      <c r="Q605" s="2"/>
      <c r="R605" s="24"/>
      <c r="S605" s="24"/>
      <c r="T605" s="24"/>
    </row>
    <row r="606" spans="1:20" x14ac:dyDescent="0.25">
      <c r="A606" s="2">
        <v>44526</v>
      </c>
      <c r="B606" s="20">
        <v>2450</v>
      </c>
      <c r="C606" s="20">
        <v>422</v>
      </c>
      <c r="D606" s="20">
        <v>17135</v>
      </c>
      <c r="E606" s="17" t="s">
        <v>92</v>
      </c>
      <c r="F606" s="17" t="s">
        <v>92</v>
      </c>
      <c r="G606" s="17" t="s">
        <v>92</v>
      </c>
      <c r="H606" s="17" t="s">
        <v>92</v>
      </c>
      <c r="I606" s="39"/>
      <c r="J606" s="47">
        <f t="shared" si="10"/>
        <v>-591</v>
      </c>
      <c r="K606" s="49"/>
      <c r="L606" s="17"/>
      <c r="M606" s="27"/>
      <c r="N606" s="49"/>
      <c r="O606" s="27"/>
      <c r="Q606" s="2"/>
      <c r="R606" s="24"/>
      <c r="S606" s="24"/>
      <c r="T606" s="24"/>
    </row>
    <row r="607" spans="1:20" x14ac:dyDescent="0.25">
      <c r="A607" s="2">
        <v>44525</v>
      </c>
      <c r="B607" s="20">
        <v>2474</v>
      </c>
      <c r="C607" s="20">
        <v>429</v>
      </c>
      <c r="D607" s="20">
        <v>17965</v>
      </c>
      <c r="E607" s="17" t="s">
        <v>92</v>
      </c>
      <c r="F607" s="17" t="s">
        <v>92</v>
      </c>
      <c r="G607" s="17" t="s">
        <v>92</v>
      </c>
      <c r="H607" s="17" t="s">
        <v>92</v>
      </c>
      <c r="I607" s="39"/>
      <c r="J607" s="47">
        <f t="shared" si="10"/>
        <v>-592</v>
      </c>
      <c r="K607" s="49"/>
      <c r="L607" s="17"/>
      <c r="M607" s="27"/>
      <c r="N607" s="49"/>
      <c r="O607" s="27"/>
      <c r="Q607" s="2"/>
      <c r="R607" s="24"/>
      <c r="S607" s="24"/>
      <c r="T607" s="24"/>
    </row>
    <row r="608" spans="1:20" x14ac:dyDescent="0.25">
      <c r="A608" s="2">
        <v>44524</v>
      </c>
      <c r="B608" s="20">
        <v>2538</v>
      </c>
      <c r="C608" s="20">
        <v>429</v>
      </c>
      <c r="D608" s="20">
        <v>17900</v>
      </c>
      <c r="E608" s="17" t="s">
        <v>92</v>
      </c>
      <c r="F608" s="17" t="s">
        <v>92</v>
      </c>
      <c r="G608" s="17" t="s">
        <v>92</v>
      </c>
      <c r="H608" s="17" t="s">
        <v>92</v>
      </c>
      <c r="I608" s="39"/>
      <c r="J608" s="47">
        <f t="shared" si="10"/>
        <v>-593</v>
      </c>
      <c r="K608" s="49"/>
      <c r="L608" s="17"/>
      <c r="M608" s="27"/>
      <c r="N608" s="49"/>
      <c r="O608" s="27"/>
      <c r="Q608" s="2"/>
      <c r="R608" s="24"/>
      <c r="S608" s="24"/>
      <c r="T608" s="24"/>
    </row>
    <row r="609" spans="1:20" x14ac:dyDescent="0.25">
      <c r="A609" s="2">
        <v>44523</v>
      </c>
      <c r="B609" s="20">
        <v>2546</v>
      </c>
      <c r="C609" s="20">
        <v>430</v>
      </c>
      <c r="D609" s="20">
        <v>17080</v>
      </c>
      <c r="E609" s="17" t="s">
        <v>92</v>
      </c>
      <c r="F609" s="17" t="s">
        <v>92</v>
      </c>
      <c r="G609" s="17" t="s">
        <v>92</v>
      </c>
      <c r="H609" s="17" t="s">
        <v>92</v>
      </c>
      <c r="I609" s="39"/>
      <c r="J609" s="47">
        <f t="shared" si="10"/>
        <v>-594</v>
      </c>
      <c r="K609" s="49"/>
      <c r="L609" s="17"/>
      <c r="M609" s="27"/>
      <c r="N609" s="49"/>
      <c r="O609" s="27"/>
      <c r="Q609" s="2"/>
      <c r="R609" s="24"/>
      <c r="S609" s="24"/>
      <c r="T609" s="24"/>
    </row>
    <row r="610" spans="1:20" x14ac:dyDescent="0.25">
      <c r="A610" s="2">
        <v>44522</v>
      </c>
      <c r="B610" s="20">
        <v>2430</v>
      </c>
      <c r="C610" s="20">
        <v>431</v>
      </c>
      <c r="D610" s="20">
        <v>16905</v>
      </c>
      <c r="E610" s="17" t="s">
        <v>92</v>
      </c>
      <c r="F610" s="17" t="s">
        <v>92</v>
      </c>
      <c r="G610" s="17" t="s">
        <v>92</v>
      </c>
      <c r="H610" s="17" t="s">
        <v>92</v>
      </c>
      <c r="I610" s="39"/>
      <c r="J610" s="47">
        <f t="shared" si="10"/>
        <v>-595</v>
      </c>
      <c r="K610" s="49"/>
      <c r="L610" s="17"/>
      <c r="M610" s="27"/>
      <c r="N610" s="49"/>
      <c r="O610" s="27"/>
      <c r="Q610" s="2"/>
      <c r="R610" s="24"/>
      <c r="S610" s="24"/>
      <c r="T610" s="24"/>
    </row>
    <row r="611" spans="1:20" x14ac:dyDescent="0.25">
      <c r="A611" s="2">
        <v>44519</v>
      </c>
      <c r="B611" s="20">
        <v>2436</v>
      </c>
      <c r="C611" s="20">
        <v>432</v>
      </c>
      <c r="D611" s="20">
        <v>17820</v>
      </c>
      <c r="E611" s="17" t="s">
        <v>92</v>
      </c>
      <c r="F611" s="17" t="s">
        <v>92</v>
      </c>
      <c r="G611" s="17" t="s">
        <v>92</v>
      </c>
      <c r="H611" s="17" t="s">
        <v>92</v>
      </c>
      <c r="I611" s="39"/>
      <c r="J611" s="47">
        <f t="shared" si="10"/>
        <v>-596</v>
      </c>
      <c r="K611" s="49"/>
      <c r="L611" s="17"/>
      <c r="M611" s="27"/>
      <c r="N611" s="49"/>
      <c r="O611" s="27"/>
      <c r="Q611" s="2"/>
      <c r="R611" s="24"/>
      <c r="S611" s="24"/>
      <c r="T611" s="24"/>
    </row>
    <row r="612" spans="1:20" x14ac:dyDescent="0.25">
      <c r="A612" s="2">
        <v>44518</v>
      </c>
      <c r="B612" s="20">
        <v>2518</v>
      </c>
      <c r="C612" s="29">
        <v>433.5</v>
      </c>
      <c r="D612" s="20">
        <v>17990</v>
      </c>
      <c r="E612" s="17" t="s">
        <v>92</v>
      </c>
      <c r="F612" s="17" t="s">
        <v>92</v>
      </c>
      <c r="G612" s="17" t="s">
        <v>92</v>
      </c>
      <c r="H612" s="17" t="s">
        <v>92</v>
      </c>
      <c r="I612" s="39"/>
      <c r="J612" s="47">
        <f t="shared" si="10"/>
        <v>-597</v>
      </c>
      <c r="K612" s="49"/>
      <c r="L612" s="17"/>
      <c r="M612" s="27"/>
      <c r="N612" s="49"/>
      <c r="O612" s="27"/>
      <c r="Q612" s="2"/>
      <c r="R612" s="24"/>
      <c r="S612" s="24"/>
      <c r="T612" s="24"/>
    </row>
    <row r="613" spans="1:20" x14ac:dyDescent="0.25">
      <c r="A613" s="2">
        <v>44517</v>
      </c>
      <c r="B613" s="20">
        <v>2508</v>
      </c>
      <c r="C613" s="20">
        <v>434</v>
      </c>
      <c r="D613" s="20">
        <v>17625</v>
      </c>
      <c r="E613" s="17" t="s">
        <v>92</v>
      </c>
      <c r="F613" s="17" t="s">
        <v>92</v>
      </c>
      <c r="G613" s="17" t="s">
        <v>92</v>
      </c>
      <c r="H613" s="17" t="s">
        <v>92</v>
      </c>
      <c r="I613" s="39"/>
      <c r="J613" s="47">
        <f t="shared" si="10"/>
        <v>-598</v>
      </c>
      <c r="K613" s="49"/>
      <c r="L613" s="17"/>
      <c r="M613" s="27"/>
      <c r="N613" s="49"/>
      <c r="O613" s="27"/>
      <c r="Q613" s="2"/>
      <c r="R613" s="24"/>
      <c r="S613" s="24"/>
      <c r="T613" s="24"/>
    </row>
    <row r="614" spans="1:20" x14ac:dyDescent="0.25">
      <c r="A614" s="2">
        <v>44516</v>
      </c>
      <c r="B614" s="20">
        <v>2502</v>
      </c>
      <c r="C614" s="29">
        <v>435.5</v>
      </c>
      <c r="D614" s="20">
        <v>17785</v>
      </c>
      <c r="E614" s="17" t="s">
        <v>92</v>
      </c>
      <c r="F614" s="17" t="s">
        <v>92</v>
      </c>
      <c r="G614" s="17" t="s">
        <v>92</v>
      </c>
      <c r="H614" s="17" t="s">
        <v>92</v>
      </c>
      <c r="I614" s="39"/>
      <c r="J614" s="47">
        <f t="shared" si="10"/>
        <v>-599</v>
      </c>
      <c r="K614" s="49"/>
      <c r="L614" s="17"/>
      <c r="M614" s="27"/>
      <c r="N614" s="49"/>
      <c r="O614" s="27"/>
      <c r="Q614" s="2"/>
      <c r="R614" s="24"/>
      <c r="S614" s="24"/>
      <c r="T614" s="24"/>
    </row>
    <row r="615" spans="1:20" x14ac:dyDescent="0.25">
      <c r="A615" s="2">
        <v>44515</v>
      </c>
      <c r="B615" s="20">
        <v>2516</v>
      </c>
      <c r="C615" s="20">
        <v>432</v>
      </c>
      <c r="D615" s="20">
        <v>17700</v>
      </c>
      <c r="E615" s="17" t="s">
        <v>92</v>
      </c>
      <c r="F615" s="17" t="s">
        <v>92</v>
      </c>
      <c r="G615" s="17" t="s">
        <v>92</v>
      </c>
      <c r="H615" s="17" t="s">
        <v>92</v>
      </c>
      <c r="I615" s="39"/>
      <c r="J615" s="47">
        <f t="shared" si="10"/>
        <v>-600</v>
      </c>
      <c r="K615" s="49"/>
      <c r="L615" s="17"/>
      <c r="M615" s="27"/>
      <c r="N615" s="49"/>
      <c r="O615" s="27"/>
      <c r="Q615" s="2"/>
      <c r="R615" s="24"/>
      <c r="S615" s="24"/>
      <c r="T615" s="24"/>
    </row>
    <row r="616" spans="1:20" x14ac:dyDescent="0.25">
      <c r="A616" s="2">
        <v>44512</v>
      </c>
      <c r="B616" s="20">
        <v>2468</v>
      </c>
      <c r="C616" s="20">
        <v>436</v>
      </c>
      <c r="D616" s="20">
        <v>18250</v>
      </c>
      <c r="E616" s="17" t="s">
        <v>92</v>
      </c>
      <c r="F616" s="17" t="s">
        <v>92</v>
      </c>
      <c r="G616" s="17" t="s">
        <v>92</v>
      </c>
      <c r="H616" s="17" t="s">
        <v>92</v>
      </c>
      <c r="I616" s="39"/>
      <c r="J616" s="47">
        <f t="shared" si="10"/>
        <v>-601</v>
      </c>
      <c r="K616" s="49"/>
      <c r="L616" s="17"/>
      <c r="M616" s="27"/>
      <c r="N616" s="49"/>
      <c r="O616" s="27"/>
      <c r="Q616" s="2"/>
      <c r="R616" s="24"/>
      <c r="S616" s="24"/>
      <c r="T616" s="24"/>
    </row>
    <row r="617" spans="1:20" x14ac:dyDescent="0.25">
      <c r="A617" s="2">
        <v>44511</v>
      </c>
      <c r="B617" s="20">
        <v>2550</v>
      </c>
      <c r="C617" s="20">
        <v>434</v>
      </c>
      <c r="D617" s="20">
        <v>18470</v>
      </c>
      <c r="E617" s="17" t="s">
        <v>92</v>
      </c>
      <c r="F617" s="17" t="s">
        <v>92</v>
      </c>
      <c r="G617" s="17" t="s">
        <v>92</v>
      </c>
      <c r="H617" s="17" t="s">
        <v>92</v>
      </c>
      <c r="I617" s="39"/>
      <c r="J617" s="47">
        <f t="shared" si="10"/>
        <v>-602</v>
      </c>
      <c r="K617" s="49"/>
      <c r="L617" s="17"/>
      <c r="M617" s="27"/>
      <c r="N617" s="49"/>
      <c r="O617" s="27"/>
      <c r="Q617" s="2"/>
      <c r="R617" s="24"/>
      <c r="S617" s="24"/>
      <c r="T617" s="24"/>
    </row>
    <row r="618" spans="1:20" x14ac:dyDescent="0.25">
      <c r="A618" s="2">
        <v>44510</v>
      </c>
      <c r="B618" s="20">
        <v>2678</v>
      </c>
      <c r="C618" s="29">
        <v>437.5</v>
      </c>
      <c r="D618" s="20">
        <v>18110</v>
      </c>
      <c r="E618" s="17" t="s">
        <v>92</v>
      </c>
      <c r="F618" s="17" t="s">
        <v>92</v>
      </c>
      <c r="G618" s="17" t="s">
        <v>92</v>
      </c>
      <c r="H618" s="17" t="s">
        <v>92</v>
      </c>
      <c r="I618" s="39"/>
      <c r="J618" s="47">
        <f t="shared" si="10"/>
        <v>-603</v>
      </c>
      <c r="K618" s="49"/>
      <c r="L618" s="17"/>
      <c r="M618" s="27"/>
      <c r="N618" s="49"/>
      <c r="O618" s="27"/>
      <c r="Q618" s="2"/>
      <c r="R618" s="24"/>
      <c r="S618" s="24"/>
      <c r="T618" s="24"/>
    </row>
    <row r="619" spans="1:20" x14ac:dyDescent="0.25">
      <c r="A619" s="2">
        <v>44509</v>
      </c>
      <c r="B619" s="20">
        <v>2724</v>
      </c>
      <c r="C619" s="20">
        <v>434</v>
      </c>
      <c r="D619" s="20">
        <v>18460</v>
      </c>
      <c r="E619" s="17" t="s">
        <v>92</v>
      </c>
      <c r="F619" s="17" t="s">
        <v>92</v>
      </c>
      <c r="G619" s="17" t="s">
        <v>92</v>
      </c>
      <c r="H619" s="17" t="s">
        <v>92</v>
      </c>
      <c r="I619" s="39"/>
      <c r="J619" s="47">
        <f t="shared" si="10"/>
        <v>-604</v>
      </c>
      <c r="K619" s="49"/>
      <c r="L619" s="17"/>
      <c r="M619" s="27"/>
      <c r="N619" s="49"/>
      <c r="O619" s="27"/>
      <c r="Q619" s="2"/>
      <c r="R619" s="24"/>
      <c r="S619" s="24"/>
      <c r="T619" s="24"/>
    </row>
    <row r="620" spans="1:20" x14ac:dyDescent="0.25">
      <c r="A620" s="2">
        <v>44508</v>
      </c>
      <c r="B620" s="20">
        <v>2700</v>
      </c>
      <c r="C620" s="29">
        <v>433.5</v>
      </c>
      <c r="D620" s="20">
        <v>18510</v>
      </c>
      <c r="E620" s="17" t="s">
        <v>92</v>
      </c>
      <c r="F620" s="17" t="s">
        <v>92</v>
      </c>
      <c r="G620" s="17" t="s">
        <v>92</v>
      </c>
      <c r="H620" s="17" t="s">
        <v>92</v>
      </c>
      <c r="I620" s="39"/>
      <c r="J620" s="47">
        <f t="shared" si="10"/>
        <v>-605</v>
      </c>
      <c r="K620" s="49"/>
      <c r="L620" s="17"/>
      <c r="M620" s="27"/>
      <c r="N620" s="49"/>
      <c r="O620" s="27"/>
      <c r="Q620" s="2"/>
      <c r="R620" s="24"/>
      <c r="S620" s="24"/>
      <c r="T620" s="24"/>
    </row>
    <row r="621" spans="1:20" x14ac:dyDescent="0.25">
      <c r="A621" s="2">
        <v>44505</v>
      </c>
      <c r="B621" s="20">
        <v>2756</v>
      </c>
      <c r="C621" s="29">
        <v>437.5</v>
      </c>
      <c r="D621" s="20">
        <v>18945</v>
      </c>
      <c r="E621" s="17" t="s">
        <v>92</v>
      </c>
      <c r="F621" s="17" t="s">
        <v>92</v>
      </c>
      <c r="G621" s="17" t="s">
        <v>92</v>
      </c>
      <c r="H621" s="17" t="s">
        <v>92</v>
      </c>
      <c r="I621" s="39"/>
      <c r="J621" s="47">
        <f t="shared" si="10"/>
        <v>-606</v>
      </c>
      <c r="K621" s="49"/>
      <c r="L621" s="17"/>
      <c r="M621" s="27"/>
      <c r="N621" s="49"/>
      <c r="O621" s="27"/>
      <c r="Q621" s="2"/>
      <c r="R621" s="24"/>
      <c r="S621" s="24"/>
      <c r="T621" s="24"/>
    </row>
    <row r="622" spans="1:20" x14ac:dyDescent="0.25">
      <c r="A622" s="2">
        <v>44504</v>
      </c>
      <c r="B622" s="20">
        <v>2794</v>
      </c>
      <c r="C622" s="20">
        <v>435</v>
      </c>
      <c r="D622" s="20">
        <v>19400</v>
      </c>
      <c r="E622" s="17" t="s">
        <v>92</v>
      </c>
      <c r="F622" s="17" t="s">
        <v>92</v>
      </c>
      <c r="G622" s="17" t="s">
        <v>92</v>
      </c>
      <c r="H622" s="17" t="s">
        <v>92</v>
      </c>
      <c r="I622" s="39"/>
      <c r="J622" s="47">
        <f t="shared" si="10"/>
        <v>-607</v>
      </c>
      <c r="K622" s="49"/>
      <c r="L622" s="17"/>
      <c r="M622" s="27"/>
      <c r="N622" s="49"/>
      <c r="O622" s="27"/>
      <c r="Q622" s="2"/>
      <c r="R622" s="24"/>
      <c r="S622" s="24"/>
      <c r="T622" s="24"/>
    </row>
    <row r="623" spans="1:20" x14ac:dyDescent="0.25">
      <c r="A623" s="2">
        <v>44503</v>
      </c>
      <c r="B623" s="20">
        <v>2730</v>
      </c>
      <c r="C623" s="20">
        <v>435</v>
      </c>
      <c r="D623" s="20">
        <v>18785</v>
      </c>
      <c r="E623" s="17" t="s">
        <v>92</v>
      </c>
      <c r="F623" s="17" t="s">
        <v>92</v>
      </c>
      <c r="G623" s="17" t="s">
        <v>92</v>
      </c>
      <c r="H623" s="17" t="s">
        <v>92</v>
      </c>
      <c r="I623" s="39"/>
      <c r="J623" s="47">
        <f t="shared" si="10"/>
        <v>-608</v>
      </c>
      <c r="K623" s="49"/>
      <c r="L623" s="17"/>
      <c r="M623" s="27"/>
      <c r="N623" s="49"/>
      <c r="O623" s="27"/>
      <c r="Q623" s="2"/>
      <c r="R623" s="24"/>
      <c r="S623" s="24"/>
      <c r="T623" s="24"/>
    </row>
    <row r="624" spans="1:20" x14ac:dyDescent="0.25">
      <c r="A624" s="2">
        <v>44502</v>
      </c>
      <c r="B624" s="20">
        <v>2676</v>
      </c>
      <c r="C624" s="20">
        <v>430</v>
      </c>
      <c r="D624" s="20">
        <v>18600</v>
      </c>
      <c r="E624" s="17" t="s">
        <v>92</v>
      </c>
      <c r="F624" s="17" t="s">
        <v>92</v>
      </c>
      <c r="G624" s="17" t="s">
        <v>92</v>
      </c>
      <c r="H624" s="17" t="s">
        <v>92</v>
      </c>
      <c r="I624" s="39"/>
      <c r="J624" s="47">
        <f t="shared" si="10"/>
        <v>-609</v>
      </c>
      <c r="K624" s="49"/>
      <c r="L624" s="17"/>
      <c r="M624" s="27"/>
      <c r="N624" s="49"/>
      <c r="O624" s="27"/>
      <c r="Q624" s="2"/>
      <c r="R624" s="24"/>
      <c r="S624" s="24"/>
      <c r="T624" s="24"/>
    </row>
    <row r="625" spans="1:20" x14ac:dyDescent="0.25">
      <c r="A625" s="2">
        <v>44498</v>
      </c>
      <c r="B625" s="20">
        <v>2660</v>
      </c>
      <c r="C625" s="20">
        <v>429</v>
      </c>
      <c r="D625" s="20">
        <v>18695</v>
      </c>
      <c r="E625" s="17" t="s">
        <v>92</v>
      </c>
      <c r="F625" s="17" t="s">
        <v>92</v>
      </c>
      <c r="G625" s="17" t="s">
        <v>92</v>
      </c>
      <c r="H625" s="17" t="s">
        <v>92</v>
      </c>
      <c r="I625" s="39"/>
      <c r="J625" s="47">
        <f t="shared" si="10"/>
        <v>-610</v>
      </c>
      <c r="K625" s="49"/>
      <c r="L625" s="17"/>
      <c r="M625" s="27"/>
      <c r="N625" s="49"/>
      <c r="O625" s="27"/>
      <c r="Q625" s="2"/>
      <c r="R625" s="24"/>
      <c r="S625" s="24"/>
      <c r="T625" s="24"/>
    </row>
    <row r="626" spans="1:20" x14ac:dyDescent="0.25">
      <c r="A626" s="2">
        <v>44497</v>
      </c>
      <c r="B626" s="20">
        <v>2654</v>
      </c>
      <c r="C626" s="29">
        <v>426.5</v>
      </c>
      <c r="D626" s="20">
        <v>18550</v>
      </c>
      <c r="E626" s="17" t="s">
        <v>92</v>
      </c>
      <c r="F626" s="17" t="s">
        <v>92</v>
      </c>
      <c r="G626" s="17" t="s">
        <v>92</v>
      </c>
      <c r="H626" s="17" t="s">
        <v>92</v>
      </c>
      <c r="I626" s="39"/>
      <c r="J626" s="47">
        <f t="shared" si="10"/>
        <v>-611</v>
      </c>
      <c r="K626" s="49"/>
      <c r="L626" s="17"/>
      <c r="M626" s="27"/>
      <c r="N626" s="49"/>
      <c r="O626" s="27"/>
      <c r="Q626" s="2"/>
      <c r="R626" s="24"/>
      <c r="S626" s="24"/>
      <c r="T626" s="24"/>
    </row>
    <row r="627" spans="1:20" x14ac:dyDescent="0.25">
      <c r="A627" s="2">
        <v>44496</v>
      </c>
      <c r="B627" s="20">
        <v>2730</v>
      </c>
      <c r="C627" s="20">
        <v>425</v>
      </c>
      <c r="D627" s="20">
        <v>19025</v>
      </c>
      <c r="E627" s="17" t="s">
        <v>92</v>
      </c>
      <c r="F627" s="17" t="s">
        <v>92</v>
      </c>
      <c r="G627" s="17" t="s">
        <v>92</v>
      </c>
      <c r="H627" s="17" t="s">
        <v>92</v>
      </c>
      <c r="I627" s="39"/>
      <c r="J627" s="47">
        <f t="shared" si="10"/>
        <v>-612</v>
      </c>
      <c r="K627" s="49"/>
      <c r="L627" s="17"/>
      <c r="M627" s="27"/>
      <c r="N627" s="49"/>
      <c r="O627" s="27"/>
      <c r="Q627" s="2"/>
      <c r="R627" s="24"/>
      <c r="S627" s="24"/>
      <c r="T627" s="24"/>
    </row>
    <row r="628" spans="1:20" x14ac:dyDescent="0.25">
      <c r="A628" s="2">
        <v>44495</v>
      </c>
      <c r="B628" s="20">
        <v>2746</v>
      </c>
      <c r="C628" s="29">
        <v>428.5</v>
      </c>
      <c r="D628" s="20">
        <v>19250</v>
      </c>
      <c r="E628" s="17" t="s">
        <v>92</v>
      </c>
      <c r="F628" s="17" t="s">
        <v>92</v>
      </c>
      <c r="G628" s="17" t="s">
        <v>92</v>
      </c>
      <c r="H628" s="17" t="s">
        <v>92</v>
      </c>
      <c r="I628" s="39"/>
      <c r="J628" s="47">
        <f t="shared" si="10"/>
        <v>-613</v>
      </c>
      <c r="K628" s="49"/>
      <c r="L628" s="17"/>
      <c r="M628" s="27"/>
      <c r="N628" s="49"/>
      <c r="O628" s="27"/>
      <c r="Q628" s="2"/>
      <c r="R628" s="24"/>
      <c r="S628" s="24"/>
      <c r="T628" s="24"/>
    </row>
    <row r="629" spans="1:20" x14ac:dyDescent="0.25">
      <c r="A629" s="2">
        <v>44494</v>
      </c>
      <c r="B629" s="20">
        <v>2748</v>
      </c>
      <c r="C629" s="20">
        <v>430</v>
      </c>
      <c r="D629" s="20">
        <v>18825</v>
      </c>
      <c r="E629" s="17" t="s">
        <v>92</v>
      </c>
      <c r="F629" s="17" t="s">
        <v>92</v>
      </c>
      <c r="G629" s="17" t="s">
        <v>92</v>
      </c>
      <c r="H629" s="17" t="s">
        <v>92</v>
      </c>
      <c r="I629" s="39"/>
      <c r="J629" s="47">
        <f t="shared" si="10"/>
        <v>-614</v>
      </c>
      <c r="K629" s="49"/>
      <c r="L629" s="17"/>
      <c r="M629" s="27"/>
      <c r="N629" s="49"/>
      <c r="O629" s="27"/>
      <c r="Q629" s="2"/>
      <c r="R629" s="24"/>
      <c r="S629" s="24"/>
      <c r="T629" s="24"/>
    </row>
    <row r="630" spans="1:20" x14ac:dyDescent="0.25">
      <c r="A630" s="2">
        <v>44491</v>
      </c>
      <c r="B630" s="20">
        <v>2770</v>
      </c>
      <c r="C630" s="20">
        <v>431</v>
      </c>
      <c r="D630" s="20">
        <v>18985</v>
      </c>
      <c r="E630" s="17" t="s">
        <v>92</v>
      </c>
      <c r="F630" s="17" t="s">
        <v>92</v>
      </c>
      <c r="G630" s="17" t="s">
        <v>92</v>
      </c>
      <c r="H630" s="17" t="s">
        <v>92</v>
      </c>
      <c r="I630" s="39"/>
      <c r="J630" s="47">
        <f t="shared" si="10"/>
        <v>-615</v>
      </c>
      <c r="K630" s="49"/>
      <c r="L630" s="17"/>
      <c r="M630" s="27"/>
      <c r="N630" s="49"/>
      <c r="O630" s="27"/>
      <c r="Q630" s="2"/>
      <c r="R630" s="24"/>
      <c r="S630" s="24"/>
      <c r="T630" s="24"/>
    </row>
    <row r="631" spans="1:20" x14ac:dyDescent="0.25">
      <c r="A631" s="2">
        <v>44490</v>
      </c>
      <c r="B631" s="20">
        <v>2760</v>
      </c>
      <c r="C631" s="20">
        <v>425</v>
      </c>
      <c r="D631" s="20">
        <v>18990</v>
      </c>
      <c r="E631" s="17" t="s">
        <v>92</v>
      </c>
      <c r="F631" s="17" t="s">
        <v>92</v>
      </c>
      <c r="G631" s="17" t="s">
        <v>92</v>
      </c>
      <c r="H631" s="17" t="s">
        <v>92</v>
      </c>
      <c r="I631" s="39"/>
      <c r="J631" s="47">
        <f t="shared" si="10"/>
        <v>-616</v>
      </c>
      <c r="K631" s="49"/>
      <c r="L631" s="17"/>
      <c r="M631" s="27"/>
      <c r="N631" s="49"/>
      <c r="O631" s="27"/>
      <c r="Q631" s="2"/>
      <c r="R631" s="24"/>
      <c r="S631" s="24"/>
      <c r="T631" s="24"/>
    </row>
    <row r="632" spans="1:20" x14ac:dyDescent="0.25">
      <c r="A632" s="2">
        <v>44489</v>
      </c>
      <c r="B632" s="20">
        <v>2720</v>
      </c>
      <c r="C632" s="20">
        <v>431</v>
      </c>
      <c r="D632" s="20">
        <v>18640</v>
      </c>
      <c r="E632" s="17" t="s">
        <v>92</v>
      </c>
      <c r="F632" s="17" t="s">
        <v>92</v>
      </c>
      <c r="G632" s="17" t="s">
        <v>92</v>
      </c>
      <c r="H632" s="17" t="s">
        <v>92</v>
      </c>
      <c r="I632" s="39"/>
      <c r="J632" s="47">
        <f t="shared" si="10"/>
        <v>-617</v>
      </c>
      <c r="K632" s="49"/>
      <c r="L632" s="17"/>
      <c r="M632" s="27"/>
      <c r="N632" s="49"/>
      <c r="O632" s="27"/>
      <c r="Q632" s="2"/>
      <c r="R632" s="24"/>
      <c r="S632" s="24"/>
      <c r="T632" s="24"/>
    </row>
    <row r="633" spans="1:20" x14ac:dyDescent="0.25">
      <c r="A633" s="2">
        <v>44488</v>
      </c>
      <c r="B633" s="20">
        <v>2728</v>
      </c>
      <c r="C633" s="20">
        <v>426</v>
      </c>
      <c r="D633" s="20">
        <v>18750</v>
      </c>
      <c r="E633" s="17" t="s">
        <v>92</v>
      </c>
      <c r="F633" s="17" t="s">
        <v>92</v>
      </c>
      <c r="G633" s="17" t="s">
        <v>92</v>
      </c>
      <c r="H633" s="17" t="s">
        <v>92</v>
      </c>
      <c r="I633" s="39"/>
      <c r="J633" s="47">
        <f t="shared" si="10"/>
        <v>-618</v>
      </c>
      <c r="K633" s="49"/>
      <c r="L633" s="17"/>
      <c r="M633" s="27"/>
      <c r="N633" s="49"/>
      <c r="O633" s="27"/>
      <c r="Q633" s="2"/>
      <c r="R633" s="24"/>
      <c r="S633" s="24"/>
      <c r="T633" s="24"/>
    </row>
    <row r="634" spans="1:20" x14ac:dyDescent="0.25">
      <c r="A634" s="2">
        <v>44487</v>
      </c>
      <c r="B634" s="20">
        <v>2720</v>
      </c>
      <c r="C634" s="20">
        <v>425</v>
      </c>
      <c r="D634" s="20">
        <v>19045</v>
      </c>
      <c r="E634" s="17" t="s">
        <v>92</v>
      </c>
      <c r="F634" s="17" t="s">
        <v>92</v>
      </c>
      <c r="G634" s="17" t="s">
        <v>92</v>
      </c>
      <c r="H634" s="17" t="s">
        <v>92</v>
      </c>
      <c r="I634" s="39"/>
      <c r="J634" s="47">
        <f t="shared" si="10"/>
        <v>-619</v>
      </c>
      <c r="K634" s="49"/>
      <c r="L634" s="17"/>
      <c r="M634" s="27"/>
      <c r="N634" s="49"/>
      <c r="O634" s="27"/>
      <c r="Q634" s="2"/>
      <c r="R634" s="24"/>
      <c r="S634" s="24"/>
      <c r="T634" s="24"/>
    </row>
    <row r="635" spans="1:20" x14ac:dyDescent="0.25">
      <c r="A635" s="2">
        <v>44484</v>
      </c>
      <c r="B635" s="20">
        <v>2738</v>
      </c>
      <c r="C635" s="20">
        <v>427</v>
      </c>
      <c r="D635" s="20">
        <v>19000</v>
      </c>
      <c r="E635" s="17" t="s">
        <v>92</v>
      </c>
      <c r="F635" s="17" t="s">
        <v>92</v>
      </c>
      <c r="G635" s="17" t="s">
        <v>92</v>
      </c>
      <c r="H635" s="17" t="s">
        <v>92</v>
      </c>
      <c r="I635" s="39"/>
      <c r="J635" s="47">
        <f t="shared" si="10"/>
        <v>-620</v>
      </c>
      <c r="K635" s="49"/>
      <c r="L635" s="17"/>
      <c r="M635" s="27"/>
      <c r="N635" s="49"/>
      <c r="O635" s="27"/>
      <c r="Q635" s="2"/>
      <c r="R635" s="24"/>
      <c r="S635" s="24"/>
      <c r="T635" s="24"/>
    </row>
    <row r="636" spans="1:20" x14ac:dyDescent="0.25">
      <c r="A636" s="2">
        <v>44483</v>
      </c>
      <c r="B636" s="20">
        <v>2768</v>
      </c>
      <c r="C636" s="20">
        <v>425</v>
      </c>
      <c r="D636" s="20">
        <v>19140</v>
      </c>
      <c r="E636" s="17" t="s">
        <v>92</v>
      </c>
      <c r="F636" s="17" t="s">
        <v>92</v>
      </c>
      <c r="G636" s="17" t="s">
        <v>92</v>
      </c>
      <c r="H636" s="17" t="s">
        <v>92</v>
      </c>
      <c r="I636" s="39"/>
      <c r="J636" s="47">
        <f t="shared" si="10"/>
        <v>-621</v>
      </c>
      <c r="K636" s="49"/>
      <c r="L636" s="17"/>
      <c r="M636" s="27"/>
      <c r="N636" s="49"/>
      <c r="O636" s="27"/>
      <c r="Q636" s="2"/>
      <c r="R636" s="24"/>
      <c r="S636" s="24"/>
      <c r="T636" s="24"/>
    </row>
    <row r="637" spans="1:20" x14ac:dyDescent="0.25">
      <c r="A637" s="2">
        <v>44482</v>
      </c>
      <c r="B637" s="20">
        <v>2694</v>
      </c>
      <c r="C637" s="20">
        <v>425</v>
      </c>
      <c r="D637" s="20">
        <v>19070</v>
      </c>
      <c r="E637" s="17" t="s">
        <v>92</v>
      </c>
      <c r="F637" s="17" t="s">
        <v>92</v>
      </c>
      <c r="G637" s="17" t="s">
        <v>92</v>
      </c>
      <c r="H637" s="17" t="s">
        <v>92</v>
      </c>
      <c r="I637" s="39"/>
      <c r="J637" s="47">
        <f t="shared" si="10"/>
        <v>-622</v>
      </c>
      <c r="K637" s="49"/>
      <c r="L637" s="17"/>
      <c r="M637" s="27"/>
      <c r="N637" s="49"/>
      <c r="O637" s="27"/>
      <c r="Q637" s="2"/>
      <c r="R637" s="24"/>
      <c r="S637" s="24"/>
      <c r="T637" s="24"/>
    </row>
    <row r="638" spans="1:20" x14ac:dyDescent="0.25">
      <c r="A638" s="2">
        <v>44481</v>
      </c>
      <c r="B638" s="20">
        <v>2740</v>
      </c>
      <c r="C638" s="20">
        <v>425</v>
      </c>
      <c r="D638" s="20">
        <v>18855</v>
      </c>
      <c r="E638" s="17" t="s">
        <v>92</v>
      </c>
      <c r="F638" s="17" t="s">
        <v>92</v>
      </c>
      <c r="G638" s="17" t="s">
        <v>92</v>
      </c>
      <c r="H638" s="17" t="s">
        <v>92</v>
      </c>
      <c r="I638" s="39"/>
      <c r="J638" s="47">
        <f t="shared" si="10"/>
        <v>-623</v>
      </c>
      <c r="K638" s="49"/>
      <c r="L638" s="17"/>
      <c r="M638" s="27"/>
      <c r="N638" s="49"/>
      <c r="O638" s="27"/>
      <c r="Q638" s="2"/>
      <c r="R638" s="24"/>
      <c r="S638" s="24"/>
      <c r="T638" s="24"/>
    </row>
    <row r="639" spans="1:20" x14ac:dyDescent="0.25">
      <c r="A639" s="2">
        <v>44480</v>
      </c>
      <c r="B639" s="20">
        <v>2708</v>
      </c>
      <c r="C639" s="20">
        <v>425</v>
      </c>
      <c r="D639" s="20">
        <v>18780</v>
      </c>
      <c r="E639" s="17" t="s">
        <v>92</v>
      </c>
      <c r="F639" s="17" t="s">
        <v>92</v>
      </c>
      <c r="G639" s="17" t="s">
        <v>92</v>
      </c>
      <c r="H639" s="17" t="s">
        <v>92</v>
      </c>
      <c r="I639" s="39"/>
      <c r="J639" s="47">
        <f t="shared" si="10"/>
        <v>-624</v>
      </c>
      <c r="K639" s="49"/>
      <c r="L639" s="17"/>
      <c r="M639" s="27"/>
      <c r="N639" s="49"/>
      <c r="O639" s="27"/>
      <c r="Q639" s="2"/>
      <c r="R639" s="24"/>
      <c r="S639" s="24"/>
      <c r="T639" s="24"/>
    </row>
    <row r="640" spans="1:20" x14ac:dyDescent="0.25">
      <c r="A640" s="2">
        <v>44477</v>
      </c>
      <c r="B640" s="20">
        <v>2684</v>
      </c>
      <c r="C640" s="20">
        <v>424</v>
      </c>
      <c r="D640" s="20">
        <v>18590</v>
      </c>
      <c r="E640" s="17" t="s">
        <v>92</v>
      </c>
      <c r="F640" s="17" t="s">
        <v>92</v>
      </c>
      <c r="G640" s="17" t="s">
        <v>92</v>
      </c>
      <c r="H640" s="17" t="s">
        <v>92</v>
      </c>
      <c r="I640" s="39"/>
      <c r="J640" s="47">
        <f t="shared" si="10"/>
        <v>-625</v>
      </c>
      <c r="K640" s="49"/>
      <c r="L640" s="17"/>
      <c r="M640" s="27"/>
      <c r="N640" s="49"/>
      <c r="O640" s="27"/>
      <c r="Q640" s="2"/>
      <c r="R640" s="24"/>
      <c r="S640" s="24"/>
      <c r="T640" s="24"/>
    </row>
    <row r="641" spans="1:20" x14ac:dyDescent="0.25">
      <c r="A641" s="2">
        <v>44476</v>
      </c>
      <c r="B641" s="20">
        <v>2680</v>
      </c>
      <c r="C641" s="20">
        <v>425</v>
      </c>
      <c r="D641" s="20">
        <v>18595</v>
      </c>
      <c r="E641" s="17" t="s">
        <v>92</v>
      </c>
      <c r="F641" s="17" t="s">
        <v>92</v>
      </c>
      <c r="G641" s="17" t="s">
        <v>92</v>
      </c>
      <c r="H641" s="17" t="s">
        <v>92</v>
      </c>
      <c r="I641" s="39"/>
      <c r="J641" s="47">
        <f t="shared" si="10"/>
        <v>-626</v>
      </c>
      <c r="K641" s="49"/>
      <c r="L641" s="17"/>
      <c r="M641" s="27"/>
      <c r="N641" s="49"/>
      <c r="O641" s="27"/>
      <c r="Q641" s="2"/>
      <c r="R641" s="24"/>
      <c r="S641" s="24"/>
      <c r="T641" s="24"/>
    </row>
    <row r="642" spans="1:20" x14ac:dyDescent="0.25">
      <c r="A642" s="2">
        <v>44475</v>
      </c>
      <c r="B642" s="20">
        <v>2688</v>
      </c>
      <c r="C642" s="29">
        <v>424.5</v>
      </c>
      <c r="D642" s="20">
        <v>18345</v>
      </c>
      <c r="E642" s="17" t="s">
        <v>92</v>
      </c>
      <c r="F642" s="17" t="s">
        <v>92</v>
      </c>
      <c r="G642" s="17" t="s">
        <v>92</v>
      </c>
      <c r="H642" s="17" t="s">
        <v>92</v>
      </c>
      <c r="I642" s="39"/>
      <c r="J642" s="47">
        <f t="shared" si="10"/>
        <v>-627</v>
      </c>
      <c r="K642" s="49"/>
      <c r="L642" s="17"/>
      <c r="M642" s="27"/>
      <c r="N642" s="49"/>
      <c r="O642" s="27"/>
      <c r="Q642" s="2"/>
      <c r="R642" s="24"/>
      <c r="S642" s="24"/>
      <c r="T642" s="24"/>
    </row>
    <row r="643" spans="1:20" x14ac:dyDescent="0.25">
      <c r="A643" s="2">
        <v>44474</v>
      </c>
      <c r="B643" s="20">
        <v>2660</v>
      </c>
      <c r="C643" s="20">
        <v>422</v>
      </c>
      <c r="D643" s="20">
        <v>18420</v>
      </c>
      <c r="E643" s="17" t="s">
        <v>92</v>
      </c>
      <c r="F643" s="17" t="s">
        <v>92</v>
      </c>
      <c r="G643" s="17" t="s">
        <v>92</v>
      </c>
      <c r="H643" s="17" t="s">
        <v>92</v>
      </c>
      <c r="I643" s="39"/>
      <c r="J643" s="47">
        <f t="shared" si="10"/>
        <v>-628</v>
      </c>
      <c r="K643" s="49"/>
      <c r="L643" s="17"/>
      <c r="M643" s="27"/>
      <c r="N643" s="49"/>
      <c r="O643" s="27"/>
      <c r="Q643" s="2"/>
      <c r="R643" s="24"/>
      <c r="S643" s="24"/>
      <c r="T643" s="24"/>
    </row>
    <row r="644" spans="1:20" x14ac:dyDescent="0.25">
      <c r="A644" s="2">
        <v>44473</v>
      </c>
      <c r="B644" s="20">
        <v>2606</v>
      </c>
      <c r="C644" s="20">
        <v>425</v>
      </c>
      <c r="D644" s="20">
        <v>18490</v>
      </c>
      <c r="E644" s="17" t="s">
        <v>92</v>
      </c>
      <c r="F644" s="17" t="s">
        <v>92</v>
      </c>
      <c r="G644" s="17" t="s">
        <v>92</v>
      </c>
      <c r="H644" s="17" t="s">
        <v>92</v>
      </c>
      <c r="I644" s="39"/>
      <c r="J644" s="47">
        <f t="shared" si="10"/>
        <v>-629</v>
      </c>
      <c r="K644" s="49"/>
      <c r="L644" s="17"/>
      <c r="M644" s="27"/>
      <c r="N644" s="49"/>
      <c r="O644" s="27"/>
      <c r="Q644" s="2"/>
      <c r="R644" s="24"/>
      <c r="S644" s="24"/>
      <c r="T644" s="24"/>
    </row>
    <row r="645" spans="1:20" x14ac:dyDescent="0.25">
      <c r="A645" s="2">
        <v>44470</v>
      </c>
      <c r="B645" s="20">
        <v>2594</v>
      </c>
      <c r="C645" s="29">
        <v>421.5</v>
      </c>
      <c r="D645" s="20">
        <v>18680</v>
      </c>
      <c r="E645" s="17" t="s">
        <v>92</v>
      </c>
      <c r="F645" s="17" t="s">
        <v>92</v>
      </c>
      <c r="G645" s="17" t="s">
        <v>92</v>
      </c>
      <c r="H645" s="17" t="s">
        <v>92</v>
      </c>
      <c r="I645" s="39"/>
      <c r="J645" s="47">
        <f t="shared" si="10"/>
        <v>-630</v>
      </c>
      <c r="K645" s="49"/>
      <c r="L645" s="17"/>
      <c r="M645" s="27"/>
      <c r="N645" s="49"/>
      <c r="O645" s="27"/>
      <c r="Q645" s="2"/>
      <c r="R645" s="24"/>
      <c r="S645" s="24"/>
      <c r="T645" s="24"/>
    </row>
    <row r="646" spans="1:20" x14ac:dyDescent="0.25">
      <c r="A646" s="2">
        <v>44469</v>
      </c>
      <c r="B646" s="20">
        <v>2584</v>
      </c>
      <c r="C646" s="29">
        <v>423.5</v>
      </c>
      <c r="D646" s="20">
        <v>18200</v>
      </c>
      <c r="E646" s="17" t="s">
        <v>92</v>
      </c>
      <c r="F646" s="17" t="s">
        <v>92</v>
      </c>
      <c r="G646" s="17" t="s">
        <v>92</v>
      </c>
      <c r="H646" s="17" t="s">
        <v>92</v>
      </c>
      <c r="I646" s="39"/>
      <c r="J646" s="47">
        <f t="shared" si="10"/>
        <v>-631</v>
      </c>
      <c r="K646" s="49"/>
      <c r="L646" s="17"/>
      <c r="M646" s="27"/>
      <c r="N646" s="49"/>
      <c r="O646" s="27"/>
      <c r="Q646" s="2"/>
      <c r="R646" s="24"/>
      <c r="S646" s="24"/>
      <c r="T646" s="24"/>
    </row>
    <row r="647" spans="1:20" x14ac:dyDescent="0.25">
      <c r="A647" s="2">
        <v>44468</v>
      </c>
      <c r="B647" s="20">
        <v>2538</v>
      </c>
      <c r="C647" s="20">
        <v>422</v>
      </c>
      <c r="D647" s="20">
        <v>17770</v>
      </c>
      <c r="E647" s="17" t="s">
        <v>92</v>
      </c>
      <c r="F647" s="17" t="s">
        <v>92</v>
      </c>
      <c r="G647" s="17" t="s">
        <v>92</v>
      </c>
      <c r="H647" s="17" t="s">
        <v>92</v>
      </c>
      <c r="I647" s="39"/>
      <c r="J647" s="47">
        <f t="shared" si="10"/>
        <v>-632</v>
      </c>
      <c r="K647" s="49"/>
      <c r="L647" s="17"/>
      <c r="M647" s="27"/>
      <c r="N647" s="49"/>
      <c r="O647" s="27"/>
      <c r="Q647" s="2"/>
      <c r="R647" s="24"/>
      <c r="S647" s="24"/>
      <c r="T647" s="24"/>
    </row>
    <row r="648" spans="1:20" x14ac:dyDescent="0.25">
      <c r="A648" s="2">
        <v>44467</v>
      </c>
      <c r="B648" s="20">
        <v>2476</v>
      </c>
      <c r="C648" s="29">
        <v>425.5</v>
      </c>
      <c r="D648" s="20">
        <v>17555</v>
      </c>
      <c r="E648" s="17" t="s">
        <v>92</v>
      </c>
      <c r="F648" s="17" t="s">
        <v>92</v>
      </c>
      <c r="G648" s="17" t="s">
        <v>92</v>
      </c>
      <c r="H648" s="17" t="s">
        <v>92</v>
      </c>
      <c r="I648" s="39"/>
      <c r="J648" s="47">
        <f t="shared" si="10"/>
        <v>-633</v>
      </c>
      <c r="K648" s="49"/>
      <c r="L648" s="17"/>
      <c r="M648" s="27"/>
      <c r="N648" s="49"/>
      <c r="O648" s="27"/>
      <c r="Q648" s="2"/>
      <c r="R648" s="24"/>
      <c r="S648" s="24"/>
      <c r="T648" s="24"/>
    </row>
    <row r="649" spans="1:20" x14ac:dyDescent="0.25">
      <c r="A649" s="2">
        <v>44466</v>
      </c>
      <c r="B649" s="20">
        <v>2462</v>
      </c>
      <c r="C649" s="20">
        <v>428</v>
      </c>
      <c r="D649" s="20">
        <v>17565</v>
      </c>
      <c r="E649" s="17" t="s">
        <v>92</v>
      </c>
      <c r="F649" s="17" t="s">
        <v>92</v>
      </c>
      <c r="G649" s="17" t="s">
        <v>92</v>
      </c>
      <c r="H649" s="17" t="s">
        <v>92</v>
      </c>
      <c r="I649" s="39"/>
      <c r="J649" s="47">
        <f t="shared" si="10"/>
        <v>-634</v>
      </c>
      <c r="K649" s="49"/>
      <c r="L649" s="17"/>
      <c r="M649" s="27"/>
      <c r="N649" s="49"/>
      <c r="O649" s="27"/>
      <c r="Q649" s="2"/>
      <c r="R649" s="24"/>
      <c r="S649" s="24"/>
      <c r="T649" s="24"/>
    </row>
    <row r="650" spans="1:20" x14ac:dyDescent="0.25">
      <c r="A650" s="2">
        <v>44463</v>
      </c>
      <c r="B650" s="20">
        <v>2460</v>
      </c>
      <c r="C650" s="29">
        <v>424.5</v>
      </c>
      <c r="D650" s="20">
        <v>17500</v>
      </c>
      <c r="E650" s="17" t="s">
        <v>92</v>
      </c>
      <c r="F650" s="17" t="s">
        <v>92</v>
      </c>
      <c r="G650" s="17" t="s">
        <v>92</v>
      </c>
      <c r="H650" s="17" t="s">
        <v>92</v>
      </c>
      <c r="I650" s="39"/>
      <c r="J650" s="47">
        <f t="shared" si="10"/>
        <v>-635</v>
      </c>
      <c r="K650" s="49"/>
      <c r="L650" s="17"/>
      <c r="M650" s="27"/>
      <c r="N650" s="49"/>
      <c r="O650" s="27"/>
      <c r="Q650" s="2"/>
      <c r="R650" s="24"/>
      <c r="S650" s="24"/>
      <c r="T650" s="24"/>
    </row>
    <row r="651" spans="1:20" x14ac:dyDescent="0.25">
      <c r="A651" s="2">
        <v>44462</v>
      </c>
      <c r="B651" s="20">
        <v>2446</v>
      </c>
      <c r="C651" s="20">
        <v>427</v>
      </c>
      <c r="D651" s="20">
        <v>17895</v>
      </c>
      <c r="E651" s="17" t="s">
        <v>92</v>
      </c>
      <c r="F651" s="17" t="s">
        <v>92</v>
      </c>
      <c r="G651" s="17" t="s">
        <v>92</v>
      </c>
      <c r="H651" s="17" t="s">
        <v>92</v>
      </c>
      <c r="I651" s="39"/>
      <c r="J651" s="47">
        <f t="shared" si="10"/>
        <v>-636</v>
      </c>
      <c r="K651" s="49"/>
      <c r="L651" s="17"/>
      <c r="M651" s="27"/>
      <c r="N651" s="49"/>
      <c r="O651" s="27"/>
      <c r="Q651" s="2"/>
      <c r="R651" s="24"/>
      <c r="S651" s="24"/>
      <c r="T651" s="24"/>
    </row>
    <row r="652" spans="1:20" x14ac:dyDescent="0.25">
      <c r="A652" s="2">
        <v>44461</v>
      </c>
      <c r="B652" s="20">
        <v>2410</v>
      </c>
      <c r="C652" s="20">
        <v>428</v>
      </c>
      <c r="D652" s="20">
        <v>17650</v>
      </c>
      <c r="E652" s="17" t="s">
        <v>92</v>
      </c>
      <c r="F652" s="17" t="s">
        <v>92</v>
      </c>
      <c r="G652" s="17" t="s">
        <v>92</v>
      </c>
      <c r="H652" s="17" t="s">
        <v>92</v>
      </c>
      <c r="I652" s="39"/>
      <c r="J652" s="47">
        <f t="shared" si="10"/>
        <v>-637</v>
      </c>
      <c r="K652" s="49"/>
      <c r="L652" s="17"/>
      <c r="M652" s="27"/>
      <c r="N652" s="49"/>
      <c r="O652" s="27"/>
      <c r="Q652" s="2"/>
      <c r="R652" s="24"/>
      <c r="S652" s="24"/>
      <c r="T652" s="24"/>
    </row>
    <row r="653" spans="1:20" x14ac:dyDescent="0.25">
      <c r="A653" s="2">
        <v>44460</v>
      </c>
      <c r="B653" s="20">
        <v>2364</v>
      </c>
      <c r="C653" s="29">
        <v>428.5</v>
      </c>
      <c r="D653" s="20">
        <v>17390</v>
      </c>
      <c r="E653" s="17" t="s">
        <v>92</v>
      </c>
      <c r="F653" s="17" t="s">
        <v>92</v>
      </c>
      <c r="G653" s="17" t="s">
        <v>92</v>
      </c>
      <c r="H653" s="17" t="s">
        <v>92</v>
      </c>
      <c r="I653" s="39"/>
      <c r="J653" s="47">
        <f t="shared" si="10"/>
        <v>-638</v>
      </c>
      <c r="K653" s="49"/>
      <c r="L653" s="17"/>
      <c r="M653" s="27"/>
      <c r="N653" s="49"/>
      <c r="O653" s="27"/>
      <c r="Q653" s="2"/>
      <c r="R653" s="24"/>
      <c r="S653" s="24"/>
      <c r="T653" s="24"/>
    </row>
    <row r="654" spans="1:20" x14ac:dyDescent="0.25">
      <c r="A654" s="2">
        <v>44459</v>
      </c>
      <c r="B654" s="20">
        <v>2378</v>
      </c>
      <c r="C654" s="29">
        <v>423.5</v>
      </c>
      <c r="D654" s="20">
        <v>17530</v>
      </c>
      <c r="E654" s="17" t="s">
        <v>92</v>
      </c>
      <c r="F654" s="17" t="s">
        <v>92</v>
      </c>
      <c r="G654" s="17" t="s">
        <v>92</v>
      </c>
      <c r="H654" s="17" t="s">
        <v>92</v>
      </c>
      <c r="I654" s="39"/>
      <c r="J654" s="47">
        <f t="shared" si="10"/>
        <v>-639</v>
      </c>
      <c r="K654" s="49"/>
      <c r="L654" s="17"/>
      <c r="M654" s="27"/>
      <c r="N654" s="49"/>
      <c r="O654" s="27"/>
      <c r="Q654" s="2"/>
      <c r="R654" s="24"/>
      <c r="S654" s="24"/>
      <c r="T654" s="24"/>
    </row>
    <row r="655" spans="1:20" x14ac:dyDescent="0.25">
      <c r="A655" s="2">
        <v>44456</v>
      </c>
      <c r="B655" s="20">
        <v>2436</v>
      </c>
      <c r="C655" s="20">
        <v>427</v>
      </c>
      <c r="D655" s="20">
        <v>18110</v>
      </c>
      <c r="E655" s="17" t="s">
        <v>92</v>
      </c>
      <c r="F655" s="17" t="s">
        <v>92</v>
      </c>
      <c r="G655" s="17" t="s">
        <v>92</v>
      </c>
      <c r="H655" s="17" t="s">
        <v>92</v>
      </c>
      <c r="I655" s="39"/>
      <c r="J655" s="47">
        <f t="shared" si="10"/>
        <v>-640</v>
      </c>
      <c r="K655" s="49"/>
      <c r="L655" s="17"/>
      <c r="M655" s="27"/>
      <c r="N655" s="49"/>
      <c r="O655" s="27"/>
      <c r="Q655" s="2"/>
      <c r="R655" s="24"/>
      <c r="S655" s="24"/>
      <c r="T655" s="24"/>
    </row>
    <row r="656" spans="1:20" x14ac:dyDescent="0.25">
      <c r="A656" s="2">
        <v>44455</v>
      </c>
      <c r="B656" s="20">
        <v>2438</v>
      </c>
      <c r="C656" s="20">
        <v>436</v>
      </c>
      <c r="D656" s="20">
        <v>18285</v>
      </c>
      <c r="E656" s="17" t="s">
        <v>92</v>
      </c>
      <c r="F656" s="17" t="s">
        <v>92</v>
      </c>
      <c r="G656" s="17" t="s">
        <v>92</v>
      </c>
      <c r="H656" s="17" t="s">
        <v>92</v>
      </c>
      <c r="I656" s="39"/>
      <c r="J656" s="47">
        <f t="shared" si="10"/>
        <v>-641</v>
      </c>
      <c r="K656" s="49"/>
      <c r="L656" s="17"/>
      <c r="M656" s="27"/>
      <c r="N656" s="49"/>
      <c r="O656" s="27"/>
      <c r="Q656" s="2"/>
      <c r="R656" s="24"/>
      <c r="S656" s="24"/>
      <c r="T656" s="24"/>
    </row>
    <row r="657" spans="1:20" x14ac:dyDescent="0.25">
      <c r="A657" s="2">
        <v>44454</v>
      </c>
      <c r="B657" s="20">
        <v>2444</v>
      </c>
      <c r="C657" s="20">
        <v>436</v>
      </c>
      <c r="D657" s="20">
        <v>18290</v>
      </c>
      <c r="E657" s="17" t="s">
        <v>92</v>
      </c>
      <c r="F657" s="17" t="s">
        <v>92</v>
      </c>
      <c r="G657" s="17" t="s">
        <v>92</v>
      </c>
      <c r="H657" s="17" t="s">
        <v>92</v>
      </c>
      <c r="I657" s="39"/>
      <c r="J657" s="47">
        <f t="shared" ref="J657:J720" si="11">+J656-1</f>
        <v>-642</v>
      </c>
      <c r="K657" s="49"/>
      <c r="L657" s="17"/>
      <c r="M657" s="27"/>
      <c r="N657" s="49"/>
      <c r="O657" s="27"/>
      <c r="Q657" s="2"/>
      <c r="R657" s="24"/>
      <c r="S657" s="24"/>
      <c r="T657" s="24"/>
    </row>
    <row r="658" spans="1:20" x14ac:dyDescent="0.25">
      <c r="A658" s="2">
        <v>44453</v>
      </c>
      <c r="B658" s="20">
        <v>2396</v>
      </c>
      <c r="C658" s="20">
        <v>432</v>
      </c>
      <c r="D658" s="20">
        <v>18400</v>
      </c>
      <c r="E658" s="17" t="s">
        <v>92</v>
      </c>
      <c r="F658" s="17" t="s">
        <v>92</v>
      </c>
      <c r="G658" s="17" t="s">
        <v>92</v>
      </c>
      <c r="H658" s="17" t="s">
        <v>92</v>
      </c>
      <c r="I658" s="39"/>
      <c r="J658" s="47">
        <f t="shared" si="11"/>
        <v>-643</v>
      </c>
      <c r="K658" s="49"/>
      <c r="L658" s="17"/>
      <c r="M658" s="27"/>
      <c r="N658" s="49"/>
      <c r="O658" s="27"/>
      <c r="Q658" s="2"/>
      <c r="R658" s="24"/>
      <c r="S658" s="24"/>
      <c r="T658" s="24"/>
    </row>
    <row r="659" spans="1:20" x14ac:dyDescent="0.25">
      <c r="A659" s="2">
        <v>44452</v>
      </c>
      <c r="B659" s="20">
        <v>2398</v>
      </c>
      <c r="C659" s="29">
        <v>431.5</v>
      </c>
      <c r="D659" s="20">
        <v>18710</v>
      </c>
      <c r="E659" s="17" t="s">
        <v>92</v>
      </c>
      <c r="F659" s="17" t="s">
        <v>92</v>
      </c>
      <c r="G659" s="17" t="s">
        <v>92</v>
      </c>
      <c r="H659" s="17" t="s">
        <v>92</v>
      </c>
      <c r="I659" s="39"/>
      <c r="J659" s="47">
        <f t="shared" si="11"/>
        <v>-644</v>
      </c>
      <c r="K659" s="49"/>
      <c r="L659" s="17"/>
      <c r="M659" s="27"/>
      <c r="N659" s="49"/>
      <c r="O659" s="27"/>
      <c r="Q659" s="2"/>
      <c r="R659" s="24"/>
      <c r="S659" s="24"/>
      <c r="T659" s="24"/>
    </row>
    <row r="660" spans="1:20" x14ac:dyDescent="0.25">
      <c r="A660" s="2">
        <v>44449</v>
      </c>
      <c r="B660" s="20">
        <v>2400</v>
      </c>
      <c r="C660" s="20">
        <v>434</v>
      </c>
      <c r="D660" s="20">
        <v>18700</v>
      </c>
      <c r="E660" s="17" t="s">
        <v>92</v>
      </c>
      <c r="F660" s="17" t="s">
        <v>92</v>
      </c>
      <c r="G660" s="17" t="s">
        <v>92</v>
      </c>
      <c r="H660" s="17" t="s">
        <v>92</v>
      </c>
      <c r="I660" s="39"/>
      <c r="J660" s="47">
        <f t="shared" si="11"/>
        <v>-645</v>
      </c>
      <c r="K660" s="49"/>
      <c r="L660" s="17"/>
      <c r="M660" s="27"/>
      <c r="N660" s="49"/>
      <c r="O660" s="27"/>
      <c r="Q660" s="2"/>
      <c r="R660" s="24"/>
      <c r="S660" s="24"/>
      <c r="T660" s="24"/>
    </row>
    <row r="661" spans="1:20" x14ac:dyDescent="0.25">
      <c r="A661" s="2">
        <v>44448</v>
      </c>
      <c r="B661" s="20">
        <v>2400</v>
      </c>
      <c r="C661" s="20">
        <v>436</v>
      </c>
      <c r="D661" s="20">
        <v>18750</v>
      </c>
      <c r="E661" s="17" t="s">
        <v>92</v>
      </c>
      <c r="F661" s="17" t="s">
        <v>92</v>
      </c>
      <c r="G661" s="17" t="s">
        <v>92</v>
      </c>
      <c r="H661" s="17" t="s">
        <v>92</v>
      </c>
      <c r="I661" s="39"/>
      <c r="J661" s="47">
        <f t="shared" si="11"/>
        <v>-646</v>
      </c>
      <c r="K661" s="49"/>
      <c r="L661" s="17"/>
      <c r="M661" s="27"/>
      <c r="N661" s="49"/>
      <c r="O661" s="27"/>
      <c r="Q661" s="2"/>
      <c r="R661" s="24"/>
      <c r="S661" s="24"/>
      <c r="T661" s="24"/>
    </row>
    <row r="662" spans="1:20" x14ac:dyDescent="0.25">
      <c r="A662" s="2">
        <v>44447</v>
      </c>
      <c r="B662" s="20">
        <v>2408</v>
      </c>
      <c r="C662" s="20">
        <v>435</v>
      </c>
      <c r="D662" s="20">
        <v>18420</v>
      </c>
      <c r="E662" s="17" t="s">
        <v>92</v>
      </c>
      <c r="F662" s="17" t="s">
        <v>92</v>
      </c>
      <c r="G662" s="17" t="s">
        <v>92</v>
      </c>
      <c r="H662" s="17" t="s">
        <v>92</v>
      </c>
      <c r="I662" s="39"/>
      <c r="J662" s="47">
        <f t="shared" si="11"/>
        <v>-647</v>
      </c>
      <c r="K662" s="49"/>
      <c r="L662" s="17"/>
      <c r="M662" s="27"/>
      <c r="N662" s="49"/>
      <c r="O662" s="27"/>
      <c r="Q662" s="2"/>
      <c r="R662" s="24"/>
      <c r="S662" s="24"/>
      <c r="T662" s="24"/>
    </row>
    <row r="663" spans="1:20" x14ac:dyDescent="0.25">
      <c r="A663" s="2">
        <v>44446</v>
      </c>
      <c r="B663" s="20">
        <v>2400</v>
      </c>
      <c r="C663" s="20">
        <v>438</v>
      </c>
      <c r="D663" s="20">
        <v>18395</v>
      </c>
      <c r="E663" s="17" t="s">
        <v>92</v>
      </c>
      <c r="F663" s="17" t="s">
        <v>92</v>
      </c>
      <c r="G663" s="17" t="s">
        <v>92</v>
      </c>
      <c r="H663" s="17" t="s">
        <v>92</v>
      </c>
      <c r="I663" s="39"/>
      <c r="J663" s="47">
        <f t="shared" si="11"/>
        <v>-648</v>
      </c>
      <c r="K663" s="49"/>
      <c r="L663" s="17"/>
      <c r="M663" s="27"/>
      <c r="N663" s="49"/>
      <c r="O663" s="27"/>
      <c r="Q663" s="2"/>
      <c r="R663" s="24"/>
      <c r="S663" s="24"/>
      <c r="T663" s="24"/>
    </row>
    <row r="664" spans="1:20" x14ac:dyDescent="0.25">
      <c r="A664" s="2">
        <v>44445</v>
      </c>
      <c r="B664" s="20">
        <v>2410</v>
      </c>
      <c r="C664" s="20">
        <v>434</v>
      </c>
      <c r="D664" s="20">
        <v>18340</v>
      </c>
      <c r="E664" s="17" t="s">
        <v>92</v>
      </c>
      <c r="F664" s="17" t="s">
        <v>92</v>
      </c>
      <c r="G664" s="17" t="s">
        <v>92</v>
      </c>
      <c r="H664" s="17" t="s">
        <v>92</v>
      </c>
      <c r="I664" s="39"/>
      <c r="J664" s="47">
        <f t="shared" si="11"/>
        <v>-649</v>
      </c>
      <c r="K664" s="49"/>
      <c r="L664" s="17"/>
      <c r="M664" s="27"/>
      <c r="N664" s="49"/>
      <c r="O664" s="27"/>
      <c r="Q664" s="2"/>
      <c r="R664" s="24"/>
      <c r="S664" s="24"/>
      <c r="T664" s="24"/>
    </row>
    <row r="665" spans="1:20" x14ac:dyDescent="0.25">
      <c r="A665" s="2">
        <v>44442</v>
      </c>
      <c r="B665" s="20">
        <v>2420</v>
      </c>
      <c r="C665" s="20">
        <v>438</v>
      </c>
      <c r="D665" s="20">
        <v>18010</v>
      </c>
      <c r="E665" s="17" t="s">
        <v>92</v>
      </c>
      <c r="F665" s="17" t="s">
        <v>92</v>
      </c>
      <c r="G665" s="17" t="s">
        <v>92</v>
      </c>
      <c r="H665" s="17" t="s">
        <v>92</v>
      </c>
      <c r="I665" s="39"/>
      <c r="J665" s="47">
        <f t="shared" si="11"/>
        <v>-650</v>
      </c>
      <c r="K665" s="49"/>
      <c r="L665" s="17"/>
      <c r="M665" s="27"/>
      <c r="N665" s="49"/>
      <c r="O665" s="27"/>
      <c r="Q665" s="2"/>
      <c r="R665" s="24"/>
      <c r="S665" s="24"/>
      <c r="T665" s="24"/>
    </row>
    <row r="666" spans="1:20" x14ac:dyDescent="0.25">
      <c r="A666" s="2">
        <v>44441</v>
      </c>
      <c r="B666" s="20">
        <v>2410</v>
      </c>
      <c r="C666" s="20">
        <v>438</v>
      </c>
      <c r="D666" s="20">
        <v>17855</v>
      </c>
      <c r="E666" s="17" t="s">
        <v>92</v>
      </c>
      <c r="F666" s="17" t="s">
        <v>92</v>
      </c>
      <c r="G666" s="17" t="s">
        <v>92</v>
      </c>
      <c r="H666" s="17" t="s">
        <v>92</v>
      </c>
      <c r="I666" s="39"/>
      <c r="J666" s="47">
        <f t="shared" si="11"/>
        <v>-651</v>
      </c>
      <c r="K666" s="49"/>
      <c r="L666" s="17"/>
      <c r="M666" s="27"/>
      <c r="N666" s="49"/>
      <c r="O666" s="27"/>
      <c r="Q666" s="2"/>
      <c r="R666" s="24"/>
      <c r="S666" s="24"/>
      <c r="T666" s="24"/>
    </row>
    <row r="667" spans="1:20" x14ac:dyDescent="0.25">
      <c r="A667" s="2">
        <v>44440</v>
      </c>
      <c r="B667" s="20">
        <v>2424</v>
      </c>
      <c r="C667" s="20">
        <v>434</v>
      </c>
      <c r="D667" s="20">
        <v>17820</v>
      </c>
      <c r="E667" s="17" t="s">
        <v>92</v>
      </c>
      <c r="F667" s="17" t="s">
        <v>92</v>
      </c>
      <c r="G667" s="17" t="s">
        <v>92</v>
      </c>
      <c r="H667" s="17" t="s">
        <v>92</v>
      </c>
      <c r="I667" s="39"/>
      <c r="J667" s="47">
        <f t="shared" si="11"/>
        <v>-652</v>
      </c>
      <c r="K667" s="49"/>
      <c r="L667" s="17"/>
      <c r="M667" s="27"/>
      <c r="N667" s="49"/>
      <c r="O667" s="27"/>
      <c r="Q667" s="2"/>
      <c r="R667" s="24"/>
      <c r="S667" s="24"/>
      <c r="T667" s="24"/>
    </row>
    <row r="668" spans="1:20" x14ac:dyDescent="0.25">
      <c r="A668" s="2">
        <v>44439</v>
      </c>
      <c r="B668" s="20">
        <v>2424</v>
      </c>
      <c r="C668" s="20">
        <v>431</v>
      </c>
      <c r="D668" s="20">
        <v>17850</v>
      </c>
      <c r="E668" s="17" t="s">
        <v>92</v>
      </c>
      <c r="F668" s="17" t="s">
        <v>92</v>
      </c>
      <c r="G668" s="17" t="s">
        <v>92</v>
      </c>
      <c r="H668" s="17" t="s">
        <v>92</v>
      </c>
      <c r="I668" s="39"/>
      <c r="J668" s="47">
        <f t="shared" si="11"/>
        <v>-653</v>
      </c>
      <c r="K668" s="49"/>
      <c r="L668" s="17"/>
      <c r="M668" s="27"/>
      <c r="N668" s="49"/>
      <c r="O668" s="27"/>
      <c r="Q668" s="2"/>
      <c r="R668" s="24"/>
      <c r="S668" s="24"/>
      <c r="T668" s="24"/>
    </row>
    <row r="669" spans="1:20" x14ac:dyDescent="0.25">
      <c r="A669" s="2">
        <v>44438</v>
      </c>
      <c r="B669" s="20">
        <v>2420</v>
      </c>
      <c r="C669" s="29">
        <v>436.5</v>
      </c>
      <c r="D669" s="20">
        <v>17740</v>
      </c>
      <c r="E669" s="17" t="s">
        <v>92</v>
      </c>
      <c r="F669" s="17" t="s">
        <v>92</v>
      </c>
      <c r="G669" s="17" t="s">
        <v>92</v>
      </c>
      <c r="H669" s="17" t="s">
        <v>92</v>
      </c>
      <c r="I669" s="39"/>
      <c r="J669" s="47">
        <f t="shared" si="11"/>
        <v>-654</v>
      </c>
      <c r="K669" s="49"/>
      <c r="L669" s="17"/>
      <c r="M669" s="27"/>
      <c r="N669" s="49"/>
      <c r="O669" s="27"/>
      <c r="Q669" s="2"/>
      <c r="R669" s="24"/>
      <c r="S669" s="24"/>
      <c r="T669" s="24"/>
    </row>
    <row r="670" spans="1:20" x14ac:dyDescent="0.25">
      <c r="A670" s="2">
        <v>44435</v>
      </c>
      <c r="B670" s="20">
        <v>2398</v>
      </c>
      <c r="C670" s="20">
        <v>435</v>
      </c>
      <c r="D670" s="20">
        <v>17475</v>
      </c>
      <c r="E670" s="17" t="s">
        <v>92</v>
      </c>
      <c r="F670" s="17" t="s">
        <v>92</v>
      </c>
      <c r="G670" s="17" t="s">
        <v>92</v>
      </c>
      <c r="H670" s="17" t="s">
        <v>92</v>
      </c>
      <c r="I670" s="39"/>
      <c r="J670" s="47">
        <f t="shared" si="11"/>
        <v>-655</v>
      </c>
      <c r="K670" s="49"/>
      <c r="L670" s="17"/>
      <c r="M670" s="27"/>
      <c r="N670" s="49"/>
      <c r="O670" s="27"/>
      <c r="Q670" s="2"/>
      <c r="R670" s="24"/>
      <c r="S670" s="24"/>
      <c r="T670" s="24"/>
    </row>
    <row r="671" spans="1:20" x14ac:dyDescent="0.25">
      <c r="A671" s="2">
        <v>44434</v>
      </c>
      <c r="B671" s="20">
        <v>2372</v>
      </c>
      <c r="C671" s="29">
        <v>431.5</v>
      </c>
      <c r="D671" s="20">
        <v>17115</v>
      </c>
      <c r="E671" s="17" t="s">
        <v>92</v>
      </c>
      <c r="F671" s="17" t="s">
        <v>92</v>
      </c>
      <c r="G671" s="17" t="s">
        <v>92</v>
      </c>
      <c r="H671" s="17" t="s">
        <v>92</v>
      </c>
      <c r="I671" s="39"/>
      <c r="J671" s="47">
        <f t="shared" si="11"/>
        <v>-656</v>
      </c>
      <c r="K671" s="49"/>
      <c r="L671" s="17"/>
      <c r="M671" s="27"/>
      <c r="N671" s="49"/>
      <c r="O671" s="27"/>
      <c r="Q671" s="2"/>
      <c r="R671" s="24"/>
      <c r="S671" s="24"/>
      <c r="T671" s="24"/>
    </row>
    <row r="672" spans="1:20" x14ac:dyDescent="0.25">
      <c r="A672" s="2">
        <v>44433</v>
      </c>
      <c r="B672" s="20">
        <v>2406</v>
      </c>
      <c r="C672" s="29">
        <v>430.5</v>
      </c>
      <c r="D672" s="20">
        <v>17235</v>
      </c>
      <c r="E672" s="17" t="s">
        <v>92</v>
      </c>
      <c r="F672" s="17" t="s">
        <v>92</v>
      </c>
      <c r="G672" s="17" t="s">
        <v>92</v>
      </c>
      <c r="H672" s="17" t="s">
        <v>92</v>
      </c>
      <c r="I672" s="39"/>
      <c r="J672" s="47">
        <f t="shared" si="11"/>
        <v>-657</v>
      </c>
      <c r="K672" s="49"/>
      <c r="L672" s="17"/>
      <c r="M672" s="27"/>
      <c r="N672" s="49"/>
      <c r="O672" s="27"/>
      <c r="Q672" s="2"/>
      <c r="R672" s="24"/>
      <c r="S672" s="24"/>
      <c r="T672" s="24"/>
    </row>
    <row r="673" spans="1:20" x14ac:dyDescent="0.25">
      <c r="A673" s="2">
        <v>44432</v>
      </c>
      <c r="B673" s="20">
        <v>2400</v>
      </c>
      <c r="C673" s="29">
        <v>434.5</v>
      </c>
      <c r="D673" s="20">
        <v>17600</v>
      </c>
      <c r="E673" s="17" t="s">
        <v>92</v>
      </c>
      <c r="F673" s="17" t="s">
        <v>92</v>
      </c>
      <c r="G673" s="17" t="s">
        <v>92</v>
      </c>
      <c r="H673" s="17" t="s">
        <v>92</v>
      </c>
      <c r="I673" s="39"/>
      <c r="J673" s="47">
        <f t="shared" si="11"/>
        <v>-658</v>
      </c>
      <c r="K673" s="49"/>
      <c r="L673" s="17"/>
      <c r="M673" s="27"/>
      <c r="N673" s="49"/>
      <c r="O673" s="27"/>
      <c r="Q673" s="2"/>
      <c r="R673" s="24"/>
      <c r="S673" s="24"/>
      <c r="T673" s="24"/>
    </row>
    <row r="674" spans="1:20" x14ac:dyDescent="0.25">
      <c r="A674" s="2">
        <v>44431</v>
      </c>
      <c r="B674" s="20">
        <v>2406</v>
      </c>
      <c r="C674" s="29">
        <v>430.5</v>
      </c>
      <c r="D674" s="20">
        <v>17790</v>
      </c>
      <c r="E674" s="17" t="s">
        <v>92</v>
      </c>
      <c r="F674" s="17" t="s">
        <v>92</v>
      </c>
      <c r="G674" s="17" t="s">
        <v>92</v>
      </c>
      <c r="H674" s="17" t="s">
        <v>92</v>
      </c>
      <c r="I674" s="39"/>
      <c r="J674" s="47">
        <f t="shared" si="11"/>
        <v>-659</v>
      </c>
      <c r="K674" s="49"/>
      <c r="L674" s="17"/>
      <c r="M674" s="27"/>
      <c r="N674" s="49"/>
      <c r="O674" s="27"/>
      <c r="Q674" s="2"/>
      <c r="R674" s="24"/>
      <c r="S674" s="24"/>
      <c r="T674" s="24"/>
    </row>
    <row r="675" spans="1:20" x14ac:dyDescent="0.25">
      <c r="A675" s="2">
        <v>44427</v>
      </c>
      <c r="B675" s="20">
        <v>2362</v>
      </c>
      <c r="C675" s="20">
        <v>431</v>
      </c>
      <c r="D675" s="20">
        <v>17740</v>
      </c>
      <c r="E675" s="17" t="s">
        <v>92</v>
      </c>
      <c r="F675" s="17" t="s">
        <v>92</v>
      </c>
      <c r="G675" s="17" t="s">
        <v>92</v>
      </c>
      <c r="H675" s="17" t="s">
        <v>92</v>
      </c>
      <c r="I675" s="39"/>
      <c r="J675" s="47">
        <f t="shared" si="11"/>
        <v>-660</v>
      </c>
      <c r="K675" s="49"/>
      <c r="L675" s="17"/>
      <c r="M675" s="27"/>
      <c r="N675" s="49"/>
      <c r="O675" s="27"/>
      <c r="Q675" s="2"/>
      <c r="R675" s="24"/>
      <c r="S675" s="24"/>
      <c r="T675" s="24"/>
    </row>
    <row r="676" spans="1:20" x14ac:dyDescent="0.25">
      <c r="A676" s="2">
        <v>44426</v>
      </c>
      <c r="B676" s="20">
        <v>2408</v>
      </c>
      <c r="C676" s="20">
        <v>434</v>
      </c>
      <c r="D676" s="20">
        <v>18000</v>
      </c>
      <c r="E676" s="17" t="s">
        <v>92</v>
      </c>
      <c r="F676" s="17" t="s">
        <v>92</v>
      </c>
      <c r="G676" s="17" t="s">
        <v>92</v>
      </c>
      <c r="H676" s="17" t="s">
        <v>92</v>
      </c>
      <c r="I676" s="39"/>
      <c r="J676" s="47">
        <f t="shared" si="11"/>
        <v>-661</v>
      </c>
      <c r="K676" s="49"/>
      <c r="L676" s="17"/>
      <c r="M676" s="27"/>
      <c r="N676" s="49"/>
      <c r="O676" s="27"/>
      <c r="Q676" s="2"/>
      <c r="R676" s="24"/>
      <c r="S676" s="24"/>
      <c r="T676" s="24"/>
    </row>
    <row r="677" spans="1:20" x14ac:dyDescent="0.25">
      <c r="A677" s="2">
        <v>44425</v>
      </c>
      <c r="B677" s="20">
        <v>2414</v>
      </c>
      <c r="C677" s="20">
        <v>430</v>
      </c>
      <c r="D677" s="20">
        <v>17520</v>
      </c>
      <c r="E677" s="17" t="s">
        <v>92</v>
      </c>
      <c r="F677" s="17" t="s">
        <v>92</v>
      </c>
      <c r="G677" s="17" t="s">
        <v>92</v>
      </c>
      <c r="H677" s="17" t="s">
        <v>92</v>
      </c>
      <c r="I677" s="39"/>
      <c r="J677" s="47">
        <f t="shared" si="11"/>
        <v>-662</v>
      </c>
      <c r="K677" s="49"/>
      <c r="L677" s="17"/>
      <c r="M677" s="27"/>
      <c r="N677" s="49"/>
      <c r="O677" s="27"/>
      <c r="Q677" s="2"/>
      <c r="R677" s="24"/>
      <c r="S677" s="24"/>
      <c r="T677" s="24"/>
    </row>
    <row r="678" spans="1:20" x14ac:dyDescent="0.25">
      <c r="A678" s="2">
        <v>44424</v>
      </c>
      <c r="B678" s="20">
        <v>2390</v>
      </c>
      <c r="C678" s="20">
        <v>434</v>
      </c>
      <c r="D678" s="20">
        <v>16680</v>
      </c>
      <c r="E678" s="17" t="s">
        <v>92</v>
      </c>
      <c r="F678" s="17" t="s">
        <v>92</v>
      </c>
      <c r="G678" s="17" t="s">
        <v>92</v>
      </c>
      <c r="H678" s="17" t="s">
        <v>92</v>
      </c>
      <c r="I678" s="39"/>
      <c r="J678" s="47">
        <f t="shared" si="11"/>
        <v>-663</v>
      </c>
      <c r="K678" s="49"/>
      <c r="L678" s="17"/>
      <c r="M678" s="27"/>
      <c r="N678" s="49"/>
      <c r="O678" s="27"/>
      <c r="Q678" s="2"/>
      <c r="R678" s="24"/>
      <c r="S678" s="24"/>
      <c r="T678" s="24"/>
    </row>
    <row r="679" spans="1:20" x14ac:dyDescent="0.25">
      <c r="A679" s="2">
        <v>44421</v>
      </c>
      <c r="B679" s="20">
        <v>2430</v>
      </c>
      <c r="C679" s="20">
        <v>436</v>
      </c>
      <c r="D679" s="20">
        <v>16680</v>
      </c>
      <c r="E679" s="17" t="s">
        <v>92</v>
      </c>
      <c r="F679" s="17" t="s">
        <v>92</v>
      </c>
      <c r="G679" s="17" t="s">
        <v>92</v>
      </c>
      <c r="H679" s="17" t="s">
        <v>92</v>
      </c>
      <c r="I679" s="39"/>
      <c r="J679" s="47">
        <f t="shared" si="11"/>
        <v>-664</v>
      </c>
      <c r="K679" s="49"/>
      <c r="L679" s="17"/>
      <c r="M679" s="27"/>
      <c r="N679" s="49"/>
      <c r="O679" s="27"/>
      <c r="Q679" s="2"/>
      <c r="R679" s="24"/>
      <c r="S679" s="24"/>
      <c r="T679" s="24"/>
    </row>
    <row r="680" spans="1:20" x14ac:dyDescent="0.25">
      <c r="A680" s="2">
        <v>44420</v>
      </c>
      <c r="B680" s="20">
        <v>2430</v>
      </c>
      <c r="C680" s="20">
        <v>435</v>
      </c>
      <c r="D680" s="20">
        <v>16665</v>
      </c>
      <c r="E680" s="17" t="s">
        <v>92</v>
      </c>
      <c r="F680" s="17" t="s">
        <v>92</v>
      </c>
      <c r="G680" s="17" t="s">
        <v>92</v>
      </c>
      <c r="H680" s="17" t="s">
        <v>92</v>
      </c>
      <c r="I680" s="39"/>
      <c r="J680" s="47">
        <f t="shared" si="11"/>
        <v>-665</v>
      </c>
      <c r="K680" s="49"/>
      <c r="L680" s="17"/>
      <c r="M680" s="27"/>
      <c r="N680" s="49"/>
      <c r="O680" s="27"/>
      <c r="Q680" s="2"/>
      <c r="R680" s="24"/>
      <c r="S680" s="24"/>
      <c r="T680" s="24"/>
    </row>
    <row r="681" spans="1:20" x14ac:dyDescent="0.25">
      <c r="A681" s="2">
        <v>44419</v>
      </c>
      <c r="B681" s="20">
        <v>2446</v>
      </c>
      <c r="C681" s="29">
        <v>430.5</v>
      </c>
      <c r="D681" s="20">
        <v>16650</v>
      </c>
      <c r="E681" s="17" t="s">
        <v>92</v>
      </c>
      <c r="F681" s="17" t="s">
        <v>92</v>
      </c>
      <c r="G681" s="17" t="s">
        <v>92</v>
      </c>
      <c r="H681" s="17" t="s">
        <v>92</v>
      </c>
      <c r="I681" s="39"/>
      <c r="J681" s="47">
        <f t="shared" si="11"/>
        <v>-666</v>
      </c>
      <c r="K681" s="49"/>
      <c r="L681" s="17"/>
      <c r="M681" s="27"/>
      <c r="N681" s="49"/>
      <c r="O681" s="27"/>
      <c r="Q681" s="2"/>
      <c r="R681" s="24"/>
      <c r="S681" s="24"/>
      <c r="T681" s="24"/>
    </row>
    <row r="682" spans="1:20" x14ac:dyDescent="0.25">
      <c r="A682" s="2">
        <v>44418</v>
      </c>
      <c r="B682" s="20">
        <v>2402</v>
      </c>
      <c r="C682" s="29">
        <v>425.5</v>
      </c>
      <c r="D682" s="20">
        <v>16450</v>
      </c>
      <c r="E682" s="17" t="s">
        <v>92</v>
      </c>
      <c r="F682" s="17" t="s">
        <v>92</v>
      </c>
      <c r="G682" s="17" t="s">
        <v>92</v>
      </c>
      <c r="H682" s="17" t="s">
        <v>92</v>
      </c>
      <c r="I682" s="39"/>
      <c r="J682" s="47">
        <f t="shared" si="11"/>
        <v>-667</v>
      </c>
      <c r="K682" s="49"/>
      <c r="L682" s="17"/>
      <c r="M682" s="27"/>
      <c r="N682" s="49"/>
      <c r="O682" s="27"/>
      <c r="Q682" s="2"/>
      <c r="R682" s="24"/>
      <c r="S682" s="24"/>
      <c r="T682" s="24"/>
    </row>
    <row r="683" spans="1:20" x14ac:dyDescent="0.25">
      <c r="A683" s="2">
        <v>44417</v>
      </c>
      <c r="B683" s="20">
        <v>2498</v>
      </c>
      <c r="C683" s="29">
        <v>423.5</v>
      </c>
      <c r="D683" s="20">
        <v>16395</v>
      </c>
      <c r="E683" s="17" t="s">
        <v>92</v>
      </c>
      <c r="F683" s="17" t="s">
        <v>92</v>
      </c>
      <c r="G683" s="17" t="s">
        <v>92</v>
      </c>
      <c r="H683" s="17" t="s">
        <v>92</v>
      </c>
      <c r="I683" s="39"/>
      <c r="J683" s="47">
        <f t="shared" si="11"/>
        <v>-668</v>
      </c>
      <c r="K683" s="49"/>
      <c r="L683" s="17"/>
      <c r="M683" s="27"/>
      <c r="N683" s="49"/>
      <c r="O683" s="27"/>
      <c r="Q683" s="2"/>
      <c r="R683" s="24"/>
      <c r="S683" s="24"/>
      <c r="T683" s="24"/>
    </row>
    <row r="684" spans="1:20" x14ac:dyDescent="0.25">
      <c r="A684" s="2">
        <v>44414</v>
      </c>
      <c r="B684" s="20">
        <v>2528</v>
      </c>
      <c r="C684" s="29">
        <v>422.5</v>
      </c>
      <c r="D684" s="20">
        <v>16570</v>
      </c>
      <c r="E684" s="17" t="s">
        <v>92</v>
      </c>
      <c r="F684" s="17" t="s">
        <v>92</v>
      </c>
      <c r="G684" s="17" t="s">
        <v>92</v>
      </c>
      <c r="H684" s="17" t="s">
        <v>92</v>
      </c>
      <c r="I684" s="39"/>
      <c r="J684" s="47">
        <f t="shared" si="11"/>
        <v>-669</v>
      </c>
      <c r="K684" s="49"/>
      <c r="L684" s="17"/>
      <c r="M684" s="27"/>
      <c r="N684" s="49"/>
      <c r="O684" s="27"/>
      <c r="Q684" s="2"/>
      <c r="R684" s="24"/>
      <c r="S684" s="24"/>
      <c r="T684" s="24"/>
    </row>
    <row r="685" spans="1:20" x14ac:dyDescent="0.25">
      <c r="A685" s="2">
        <v>44413</v>
      </c>
      <c r="B685" s="20">
        <v>2490</v>
      </c>
      <c r="C685" s="29">
        <v>422.5</v>
      </c>
      <c r="D685" s="20">
        <v>16500</v>
      </c>
      <c r="E685" s="17" t="s">
        <v>92</v>
      </c>
      <c r="F685" s="17" t="s">
        <v>92</v>
      </c>
      <c r="G685" s="17" t="s">
        <v>92</v>
      </c>
      <c r="H685" s="17" t="s">
        <v>92</v>
      </c>
      <c r="I685" s="39"/>
      <c r="J685" s="47">
        <f t="shared" si="11"/>
        <v>-670</v>
      </c>
      <c r="K685" s="49"/>
      <c r="L685" s="17"/>
      <c r="M685" s="27"/>
      <c r="N685" s="49"/>
      <c r="O685" s="27"/>
      <c r="Q685" s="2"/>
      <c r="R685" s="24"/>
      <c r="S685" s="24"/>
      <c r="T685" s="24"/>
    </row>
    <row r="686" spans="1:20" x14ac:dyDescent="0.25">
      <c r="A686" s="2">
        <v>44412</v>
      </c>
      <c r="B686" s="20">
        <v>2490</v>
      </c>
      <c r="C686" s="20">
        <v>423</v>
      </c>
      <c r="D686" s="20">
        <v>16500</v>
      </c>
      <c r="E686" s="17" t="s">
        <v>92</v>
      </c>
      <c r="F686" s="17" t="s">
        <v>92</v>
      </c>
      <c r="G686" s="17" t="s">
        <v>92</v>
      </c>
      <c r="H686" s="17" t="s">
        <v>92</v>
      </c>
      <c r="I686" s="39"/>
      <c r="J686" s="47">
        <f t="shared" si="11"/>
        <v>-671</v>
      </c>
      <c r="K686" s="49"/>
      <c r="L686" s="17"/>
      <c r="M686" s="27"/>
      <c r="N686" s="49"/>
      <c r="O686" s="27"/>
      <c r="Q686" s="2"/>
      <c r="R686" s="24"/>
      <c r="S686" s="24"/>
      <c r="T686" s="24"/>
    </row>
    <row r="687" spans="1:20" x14ac:dyDescent="0.25">
      <c r="A687" s="2">
        <v>44411</v>
      </c>
      <c r="B687" s="20">
        <v>2422</v>
      </c>
      <c r="C687" s="29">
        <v>424.5</v>
      </c>
      <c r="D687" s="20">
        <v>16555</v>
      </c>
      <c r="E687" s="17" t="s">
        <v>92</v>
      </c>
      <c r="F687" s="17" t="s">
        <v>92</v>
      </c>
      <c r="G687" s="17" t="s">
        <v>92</v>
      </c>
      <c r="H687" s="17" t="s">
        <v>92</v>
      </c>
      <c r="I687" s="39"/>
      <c r="J687" s="47">
        <f t="shared" si="11"/>
        <v>-672</v>
      </c>
      <c r="K687" s="49"/>
      <c r="L687" s="17"/>
      <c r="M687" s="27"/>
      <c r="N687" s="49"/>
      <c r="O687" s="27"/>
      <c r="Q687" s="2"/>
      <c r="R687" s="24"/>
      <c r="S687" s="24"/>
      <c r="T687" s="24"/>
    </row>
    <row r="688" spans="1:20" x14ac:dyDescent="0.25">
      <c r="A688" s="2">
        <v>44410</v>
      </c>
      <c r="B688" s="20">
        <v>2404</v>
      </c>
      <c r="C688" s="29">
        <v>425.5</v>
      </c>
      <c r="D688" s="20">
        <v>16650</v>
      </c>
      <c r="E688" s="17" t="s">
        <v>92</v>
      </c>
      <c r="F688" s="17" t="s">
        <v>92</v>
      </c>
      <c r="G688" s="17" t="s">
        <v>92</v>
      </c>
      <c r="H688" s="17" t="s">
        <v>92</v>
      </c>
      <c r="I688" s="39"/>
      <c r="J688" s="47">
        <f t="shared" si="11"/>
        <v>-673</v>
      </c>
      <c r="K688" s="49"/>
      <c r="L688" s="17"/>
      <c r="M688" s="27"/>
      <c r="N688" s="49"/>
      <c r="O688" s="27"/>
      <c r="Q688" s="2"/>
      <c r="R688" s="24"/>
      <c r="S688" s="24"/>
      <c r="T688" s="24"/>
    </row>
    <row r="689" spans="1:20" x14ac:dyDescent="0.25">
      <c r="A689" s="2">
        <v>44407</v>
      </c>
      <c r="B689" s="20">
        <v>2410</v>
      </c>
      <c r="C689" s="20">
        <v>428</v>
      </c>
      <c r="D689" s="20">
        <v>16310</v>
      </c>
      <c r="E689" s="17" t="s">
        <v>92</v>
      </c>
      <c r="F689" s="17" t="s">
        <v>92</v>
      </c>
      <c r="G689" s="17" t="s">
        <v>92</v>
      </c>
      <c r="H689" s="17" t="s">
        <v>92</v>
      </c>
      <c r="I689" s="39"/>
      <c r="J689" s="47">
        <f t="shared" si="11"/>
        <v>-674</v>
      </c>
      <c r="K689" s="49"/>
      <c r="L689" s="17"/>
      <c r="M689" s="27"/>
      <c r="N689" s="49"/>
      <c r="O689" s="27"/>
      <c r="Q689" s="2"/>
      <c r="R689" s="24"/>
      <c r="S689" s="24"/>
      <c r="T689" s="24"/>
    </row>
    <row r="690" spans="1:20" x14ac:dyDescent="0.25">
      <c r="A690" s="2">
        <v>44406</v>
      </c>
      <c r="B690" s="20">
        <v>2384</v>
      </c>
      <c r="C690" s="20">
        <v>429</v>
      </c>
      <c r="D690" s="20">
        <v>16320</v>
      </c>
      <c r="E690" s="17" t="s">
        <v>92</v>
      </c>
      <c r="F690" s="17" t="s">
        <v>92</v>
      </c>
      <c r="G690" s="17" t="s">
        <v>92</v>
      </c>
      <c r="H690" s="17" t="s">
        <v>92</v>
      </c>
      <c r="I690" s="39"/>
      <c r="J690" s="47">
        <f t="shared" si="11"/>
        <v>-675</v>
      </c>
      <c r="K690" s="49"/>
      <c r="L690" s="17"/>
      <c r="M690" s="27"/>
      <c r="N690" s="49"/>
      <c r="O690" s="27"/>
      <c r="Q690" s="2"/>
      <c r="R690" s="24"/>
      <c r="S690" s="24"/>
      <c r="T690" s="24"/>
    </row>
    <row r="691" spans="1:20" x14ac:dyDescent="0.25">
      <c r="A691" s="2">
        <v>44405</v>
      </c>
      <c r="B691" s="20">
        <v>2386</v>
      </c>
      <c r="C691" s="29">
        <v>422.5</v>
      </c>
      <c r="D691" s="20">
        <v>15900</v>
      </c>
      <c r="E691" s="17" t="s">
        <v>92</v>
      </c>
      <c r="F691" s="17" t="s">
        <v>92</v>
      </c>
      <c r="G691" s="17" t="s">
        <v>92</v>
      </c>
      <c r="H691" s="17" t="s">
        <v>92</v>
      </c>
      <c r="I691" s="39"/>
      <c r="J691" s="47">
        <f t="shared" si="11"/>
        <v>-676</v>
      </c>
      <c r="K691" s="49"/>
      <c r="L691" s="17"/>
      <c r="M691" s="27"/>
      <c r="N691" s="49"/>
      <c r="O691" s="27"/>
      <c r="Q691" s="2"/>
      <c r="R691" s="24"/>
      <c r="S691" s="24"/>
      <c r="T691" s="24"/>
    </row>
    <row r="692" spans="1:20" x14ac:dyDescent="0.25">
      <c r="A692" s="2">
        <v>44404</v>
      </c>
      <c r="B692" s="20">
        <v>2338</v>
      </c>
      <c r="C692" s="29">
        <v>426.5</v>
      </c>
      <c r="D692" s="20">
        <v>15680</v>
      </c>
      <c r="E692" s="17" t="s">
        <v>92</v>
      </c>
      <c r="F692" s="17" t="s">
        <v>92</v>
      </c>
      <c r="G692" s="17" t="s">
        <v>92</v>
      </c>
      <c r="H692" s="17" t="s">
        <v>92</v>
      </c>
      <c r="I692" s="39"/>
      <c r="J692" s="47">
        <f t="shared" si="11"/>
        <v>-677</v>
      </c>
      <c r="K692" s="49"/>
      <c r="L692" s="17"/>
      <c r="M692" s="27"/>
      <c r="N692" s="49"/>
      <c r="O692" s="27"/>
      <c r="Q692" s="2"/>
      <c r="R692" s="24"/>
      <c r="S692" s="24"/>
      <c r="T692" s="24"/>
    </row>
    <row r="693" spans="1:20" x14ac:dyDescent="0.25">
      <c r="A693" s="2">
        <v>44403</v>
      </c>
      <c r="B693" s="20">
        <v>2348</v>
      </c>
      <c r="C693" s="20">
        <v>425</v>
      </c>
      <c r="D693" s="20">
        <v>15625</v>
      </c>
      <c r="E693" s="17" t="s">
        <v>92</v>
      </c>
      <c r="F693" s="17" t="s">
        <v>92</v>
      </c>
      <c r="G693" s="17" t="s">
        <v>92</v>
      </c>
      <c r="H693" s="17" t="s">
        <v>92</v>
      </c>
      <c r="I693" s="39"/>
      <c r="J693" s="47">
        <f t="shared" si="11"/>
        <v>-678</v>
      </c>
      <c r="K693" s="49"/>
      <c r="L693" s="17"/>
      <c r="M693" s="27"/>
      <c r="N693" s="49"/>
      <c r="O693" s="27"/>
      <c r="Q693" s="2"/>
      <c r="R693" s="24"/>
      <c r="S693" s="24"/>
      <c r="T693" s="24"/>
    </row>
    <row r="694" spans="1:20" x14ac:dyDescent="0.25">
      <c r="A694" s="2">
        <v>44400</v>
      </c>
      <c r="B694" s="20">
        <v>2370</v>
      </c>
      <c r="C694" s="20">
        <v>426</v>
      </c>
      <c r="D694" s="20">
        <v>15870</v>
      </c>
      <c r="E694" s="17" t="s">
        <v>92</v>
      </c>
      <c r="F694" s="17" t="s">
        <v>92</v>
      </c>
      <c r="G694" s="17" t="s">
        <v>92</v>
      </c>
      <c r="H694" s="17" t="s">
        <v>92</v>
      </c>
      <c r="I694" s="39"/>
      <c r="J694" s="47">
        <f t="shared" si="11"/>
        <v>-679</v>
      </c>
      <c r="K694" s="49"/>
      <c r="L694" s="17"/>
      <c r="M694" s="27"/>
      <c r="N694" s="49"/>
      <c r="O694" s="27"/>
      <c r="Q694" s="2"/>
      <c r="R694" s="24"/>
      <c r="S694" s="24"/>
      <c r="T694" s="24"/>
    </row>
    <row r="695" spans="1:20" x14ac:dyDescent="0.25">
      <c r="A695" s="2">
        <v>44399</v>
      </c>
      <c r="B695" s="20">
        <v>2388</v>
      </c>
      <c r="C695" s="20">
        <v>428</v>
      </c>
      <c r="D695" s="20">
        <v>15880</v>
      </c>
      <c r="E695" s="17" t="s">
        <v>92</v>
      </c>
      <c r="F695" s="17" t="s">
        <v>92</v>
      </c>
      <c r="G695" s="17" t="s">
        <v>92</v>
      </c>
      <c r="H695" s="17" t="s">
        <v>92</v>
      </c>
      <c r="I695" s="39"/>
      <c r="J695" s="47">
        <f t="shared" si="11"/>
        <v>-680</v>
      </c>
      <c r="K695" s="49"/>
      <c r="L695" s="17"/>
      <c r="M695" s="27"/>
      <c r="N695" s="49"/>
      <c r="O695" s="27"/>
      <c r="Q695" s="2"/>
      <c r="R695" s="24"/>
      <c r="S695" s="24"/>
      <c r="T695" s="24"/>
    </row>
    <row r="696" spans="1:20" x14ac:dyDescent="0.25">
      <c r="A696" s="2">
        <v>44398</v>
      </c>
      <c r="B696" s="20">
        <v>2356</v>
      </c>
      <c r="C696" s="20">
        <v>427</v>
      </c>
      <c r="D696" s="20">
        <v>15960</v>
      </c>
      <c r="E696" s="17" t="s">
        <v>92</v>
      </c>
      <c r="F696" s="17" t="s">
        <v>92</v>
      </c>
      <c r="G696" s="17" t="s">
        <v>92</v>
      </c>
      <c r="H696" s="17" t="s">
        <v>92</v>
      </c>
      <c r="I696" s="39"/>
      <c r="J696" s="47">
        <f t="shared" si="11"/>
        <v>-681</v>
      </c>
      <c r="K696" s="49"/>
      <c r="L696" s="17"/>
      <c r="M696" s="27"/>
      <c r="N696" s="49"/>
      <c r="O696" s="27"/>
      <c r="Q696" s="2"/>
      <c r="R696" s="24"/>
      <c r="S696" s="24"/>
      <c r="T696" s="24"/>
    </row>
    <row r="697" spans="1:20" x14ac:dyDescent="0.25">
      <c r="A697" s="2">
        <v>44397</v>
      </c>
      <c r="B697" s="20">
        <v>2308</v>
      </c>
      <c r="C697" s="29">
        <v>429.5</v>
      </c>
      <c r="D697" s="20">
        <v>16010</v>
      </c>
      <c r="E697" s="17" t="s">
        <v>92</v>
      </c>
      <c r="F697" s="17" t="s">
        <v>92</v>
      </c>
      <c r="G697" s="17" t="s">
        <v>92</v>
      </c>
      <c r="H697" s="17" t="s">
        <v>92</v>
      </c>
      <c r="I697" s="39"/>
      <c r="J697" s="47">
        <f t="shared" si="11"/>
        <v>-682</v>
      </c>
      <c r="K697" s="49"/>
      <c r="L697" s="17"/>
      <c r="M697" s="27"/>
      <c r="N697" s="49"/>
      <c r="O697" s="27"/>
      <c r="Q697" s="2"/>
      <c r="R697" s="24"/>
      <c r="S697" s="24"/>
      <c r="T697" s="24"/>
    </row>
    <row r="698" spans="1:20" x14ac:dyDescent="0.25">
      <c r="A698" s="2">
        <v>44396</v>
      </c>
      <c r="B698" s="20">
        <v>2302</v>
      </c>
      <c r="C698" s="20">
        <v>430</v>
      </c>
      <c r="D698" s="20">
        <v>16010</v>
      </c>
      <c r="E698" s="17" t="s">
        <v>92</v>
      </c>
      <c r="F698" s="17" t="s">
        <v>92</v>
      </c>
      <c r="G698" s="17" t="s">
        <v>92</v>
      </c>
      <c r="H698" s="17" t="s">
        <v>92</v>
      </c>
      <c r="I698" s="39"/>
      <c r="J698" s="47">
        <f t="shared" si="11"/>
        <v>-683</v>
      </c>
      <c r="K698" s="49"/>
      <c r="L698" s="17"/>
      <c r="M698" s="27"/>
      <c r="N698" s="49"/>
      <c r="O698" s="27"/>
      <c r="Q698" s="2"/>
      <c r="R698" s="24"/>
      <c r="S698" s="24"/>
      <c r="T698" s="24"/>
    </row>
    <row r="699" spans="1:20" x14ac:dyDescent="0.25">
      <c r="A699" s="2">
        <v>44393</v>
      </c>
      <c r="B699" s="20">
        <v>2394</v>
      </c>
      <c r="C699" s="20">
        <v>426</v>
      </c>
      <c r="D699" s="20">
        <v>16050</v>
      </c>
      <c r="E699" s="17" t="s">
        <v>92</v>
      </c>
      <c r="F699" s="17" t="s">
        <v>92</v>
      </c>
      <c r="G699" s="17" t="s">
        <v>92</v>
      </c>
      <c r="H699" s="17" t="s">
        <v>92</v>
      </c>
      <c r="I699" s="39"/>
      <c r="J699" s="47">
        <f t="shared" si="11"/>
        <v>-684</v>
      </c>
      <c r="K699" s="49"/>
      <c r="L699" s="17"/>
      <c r="M699" s="27"/>
      <c r="N699" s="49"/>
      <c r="O699" s="27"/>
      <c r="Q699" s="2"/>
      <c r="R699" s="24"/>
      <c r="S699" s="24"/>
      <c r="T699" s="24"/>
    </row>
    <row r="700" spans="1:20" x14ac:dyDescent="0.25">
      <c r="A700" s="2">
        <v>44392</v>
      </c>
      <c r="B700" s="20">
        <v>2390</v>
      </c>
      <c r="C700" s="20">
        <v>427</v>
      </c>
      <c r="D700" s="20">
        <v>15800</v>
      </c>
      <c r="E700" s="17" t="s">
        <v>92</v>
      </c>
      <c r="F700" s="17" t="s">
        <v>92</v>
      </c>
      <c r="G700" s="17" t="s">
        <v>92</v>
      </c>
      <c r="H700" s="17" t="s">
        <v>92</v>
      </c>
      <c r="I700" s="39"/>
      <c r="J700" s="47">
        <f t="shared" si="11"/>
        <v>-685</v>
      </c>
      <c r="K700" s="49"/>
      <c r="L700" s="17"/>
      <c r="M700" s="27"/>
      <c r="N700" s="49"/>
      <c r="O700" s="27"/>
      <c r="Q700" s="2"/>
      <c r="R700" s="24"/>
      <c r="S700" s="24"/>
      <c r="T700" s="24"/>
    </row>
    <row r="701" spans="1:20" x14ac:dyDescent="0.25">
      <c r="A701" s="2">
        <v>44391</v>
      </c>
      <c r="B701" s="20">
        <v>2402</v>
      </c>
      <c r="C701" s="20">
        <v>424</v>
      </c>
      <c r="D701" s="20">
        <v>15570</v>
      </c>
      <c r="E701" s="17" t="s">
        <v>92</v>
      </c>
      <c r="F701" s="17" t="s">
        <v>92</v>
      </c>
      <c r="G701" s="17" t="s">
        <v>92</v>
      </c>
      <c r="H701" s="17" t="s">
        <v>92</v>
      </c>
      <c r="I701" s="39"/>
      <c r="J701" s="47">
        <f t="shared" si="11"/>
        <v>-686</v>
      </c>
      <c r="K701" s="49"/>
      <c r="L701" s="17"/>
      <c r="M701" s="27"/>
      <c r="N701" s="49"/>
      <c r="O701" s="27"/>
      <c r="Q701" s="2"/>
      <c r="R701" s="24"/>
      <c r="S701" s="24"/>
      <c r="T701" s="24"/>
    </row>
    <row r="702" spans="1:20" x14ac:dyDescent="0.25">
      <c r="A702" s="2">
        <v>44390</v>
      </c>
      <c r="B702" s="20">
        <v>2416</v>
      </c>
      <c r="C702" s="20">
        <v>426</v>
      </c>
      <c r="D702" s="20">
        <v>15710</v>
      </c>
      <c r="E702" s="17" t="s">
        <v>92</v>
      </c>
      <c r="F702" s="17" t="s">
        <v>92</v>
      </c>
      <c r="G702" s="17" t="s">
        <v>92</v>
      </c>
      <c r="H702" s="17" t="s">
        <v>92</v>
      </c>
      <c r="I702" s="39"/>
      <c r="J702" s="47">
        <f t="shared" si="11"/>
        <v>-687</v>
      </c>
      <c r="K702" s="49"/>
      <c r="L702" s="17"/>
      <c r="M702" s="27"/>
      <c r="N702" s="49"/>
      <c r="O702" s="27"/>
      <c r="Q702" s="2"/>
      <c r="R702" s="24"/>
      <c r="S702" s="24"/>
      <c r="T702" s="24"/>
    </row>
    <row r="703" spans="1:20" x14ac:dyDescent="0.25">
      <c r="A703" s="2">
        <v>44389</v>
      </c>
      <c r="B703" s="20">
        <v>2364</v>
      </c>
      <c r="C703" s="20">
        <v>425</v>
      </c>
      <c r="D703" s="20">
        <v>16005</v>
      </c>
      <c r="E703" s="17" t="s">
        <v>92</v>
      </c>
      <c r="F703" s="17" t="s">
        <v>92</v>
      </c>
      <c r="G703" s="17" t="s">
        <v>92</v>
      </c>
      <c r="H703" s="17" t="s">
        <v>92</v>
      </c>
      <c r="I703" s="39"/>
      <c r="J703" s="47">
        <f t="shared" si="11"/>
        <v>-688</v>
      </c>
      <c r="K703" s="49"/>
      <c r="L703" s="17"/>
      <c r="M703" s="27"/>
      <c r="N703" s="49"/>
      <c r="O703" s="27"/>
      <c r="Q703" s="2"/>
      <c r="R703" s="24"/>
      <c r="S703" s="24"/>
      <c r="T703" s="24"/>
    </row>
    <row r="704" spans="1:20" x14ac:dyDescent="0.25">
      <c r="A704" s="2">
        <v>44386</v>
      </c>
      <c r="B704" s="20">
        <v>2378</v>
      </c>
      <c r="C704" s="29">
        <v>421.5</v>
      </c>
      <c r="D704" s="20">
        <v>16185</v>
      </c>
      <c r="E704" s="17" t="s">
        <v>92</v>
      </c>
      <c r="F704" s="17" t="s">
        <v>92</v>
      </c>
      <c r="G704" s="17" t="s">
        <v>92</v>
      </c>
      <c r="H704" s="17" t="s">
        <v>92</v>
      </c>
      <c r="I704" s="39"/>
      <c r="J704" s="47">
        <f t="shared" si="11"/>
        <v>-689</v>
      </c>
      <c r="K704" s="49"/>
      <c r="L704" s="17"/>
      <c r="M704" s="27"/>
      <c r="N704" s="49"/>
      <c r="O704" s="27"/>
      <c r="Q704" s="2"/>
      <c r="R704" s="24"/>
      <c r="S704" s="24"/>
      <c r="T704" s="24"/>
    </row>
    <row r="705" spans="1:20" x14ac:dyDescent="0.25">
      <c r="A705" s="2">
        <v>44385</v>
      </c>
      <c r="B705" s="20">
        <v>2368</v>
      </c>
      <c r="C705" s="20">
        <v>426</v>
      </c>
      <c r="D705" s="20">
        <v>15785</v>
      </c>
      <c r="E705" s="17" t="s">
        <v>92</v>
      </c>
      <c r="F705" s="17" t="s">
        <v>92</v>
      </c>
      <c r="G705" s="17" t="s">
        <v>92</v>
      </c>
      <c r="H705" s="17" t="s">
        <v>92</v>
      </c>
      <c r="I705" s="39"/>
      <c r="J705" s="47">
        <f t="shared" si="11"/>
        <v>-690</v>
      </c>
      <c r="K705" s="49"/>
      <c r="L705" s="17"/>
      <c r="M705" s="27"/>
      <c r="N705" s="49"/>
      <c r="O705" s="27"/>
      <c r="Q705" s="2"/>
      <c r="R705" s="24"/>
      <c r="S705" s="24"/>
      <c r="T705" s="24"/>
    </row>
    <row r="706" spans="1:20" x14ac:dyDescent="0.25">
      <c r="A706" s="2">
        <v>44384</v>
      </c>
      <c r="B706" s="20">
        <v>2402</v>
      </c>
      <c r="C706" s="20">
        <v>425</v>
      </c>
      <c r="D706" s="20">
        <v>15750</v>
      </c>
      <c r="E706" s="17" t="s">
        <v>92</v>
      </c>
      <c r="F706" s="17" t="s">
        <v>92</v>
      </c>
      <c r="G706" s="17" t="s">
        <v>92</v>
      </c>
      <c r="H706" s="17" t="s">
        <v>92</v>
      </c>
      <c r="I706" s="39"/>
      <c r="J706" s="47">
        <f t="shared" si="11"/>
        <v>-691</v>
      </c>
      <c r="K706" s="49"/>
      <c r="L706" s="17"/>
      <c r="M706" s="27"/>
      <c r="N706" s="49"/>
      <c r="O706" s="27"/>
      <c r="Q706" s="2"/>
      <c r="R706" s="24"/>
      <c r="S706" s="24"/>
      <c r="T706" s="24"/>
    </row>
    <row r="707" spans="1:20" x14ac:dyDescent="0.25">
      <c r="A707" s="2">
        <v>44383</v>
      </c>
      <c r="B707" s="20">
        <v>2398</v>
      </c>
      <c r="C707" s="29">
        <v>426.5</v>
      </c>
      <c r="D707" s="20">
        <v>15815</v>
      </c>
      <c r="E707" s="17" t="s">
        <v>92</v>
      </c>
      <c r="F707" s="17" t="s">
        <v>92</v>
      </c>
      <c r="G707" s="17" t="s">
        <v>92</v>
      </c>
      <c r="H707" s="17" t="s">
        <v>92</v>
      </c>
      <c r="I707" s="39"/>
      <c r="J707" s="47">
        <f t="shared" si="11"/>
        <v>-692</v>
      </c>
      <c r="K707" s="49"/>
      <c r="L707" s="17"/>
      <c r="M707" s="27"/>
      <c r="N707" s="49"/>
      <c r="O707" s="27"/>
      <c r="Q707" s="2"/>
      <c r="R707" s="24"/>
      <c r="S707" s="24"/>
      <c r="T707" s="24"/>
    </row>
    <row r="708" spans="1:20" x14ac:dyDescent="0.25">
      <c r="A708" s="2">
        <v>44382</v>
      </c>
      <c r="B708" s="20">
        <v>2378</v>
      </c>
      <c r="C708" s="20">
        <v>425</v>
      </c>
      <c r="D708" s="20">
        <v>15960</v>
      </c>
      <c r="E708" s="17" t="s">
        <v>92</v>
      </c>
      <c r="F708" s="17" t="s">
        <v>92</v>
      </c>
      <c r="G708" s="17" t="s">
        <v>92</v>
      </c>
      <c r="H708" s="17" t="s">
        <v>92</v>
      </c>
      <c r="I708" s="39"/>
      <c r="J708" s="47">
        <f t="shared" si="11"/>
        <v>-693</v>
      </c>
      <c r="K708" s="49"/>
      <c r="L708" s="17"/>
      <c r="M708" s="27"/>
      <c r="N708" s="49"/>
      <c r="O708" s="27"/>
      <c r="Q708" s="2"/>
      <c r="R708" s="24"/>
      <c r="S708" s="24"/>
      <c r="T708" s="24"/>
    </row>
    <row r="709" spans="1:20" x14ac:dyDescent="0.25">
      <c r="A709" s="2">
        <v>44379</v>
      </c>
      <c r="B709" s="20">
        <v>2380</v>
      </c>
      <c r="C709" s="20">
        <v>424</v>
      </c>
      <c r="D709" s="20">
        <v>16090</v>
      </c>
      <c r="E709" s="17" t="s">
        <v>92</v>
      </c>
      <c r="F709" s="17" t="s">
        <v>92</v>
      </c>
      <c r="G709" s="17" t="s">
        <v>92</v>
      </c>
      <c r="H709" s="17" t="s">
        <v>92</v>
      </c>
      <c r="I709" s="39"/>
      <c r="J709" s="47">
        <f t="shared" si="11"/>
        <v>-694</v>
      </c>
      <c r="K709" s="49"/>
      <c r="L709" s="17"/>
      <c r="M709" s="27"/>
      <c r="N709" s="49"/>
      <c r="O709" s="27"/>
      <c r="Q709" s="2"/>
      <c r="R709" s="24"/>
      <c r="S709" s="24"/>
      <c r="T709" s="24"/>
    </row>
    <row r="710" spans="1:20" x14ac:dyDescent="0.25">
      <c r="A710" s="2">
        <v>44378</v>
      </c>
      <c r="B710" s="20">
        <v>2374</v>
      </c>
      <c r="C710" s="20">
        <v>430</v>
      </c>
      <c r="D710" s="20">
        <v>16290</v>
      </c>
      <c r="E710" s="17" t="s">
        <v>92</v>
      </c>
      <c r="F710" s="17" t="s">
        <v>92</v>
      </c>
      <c r="G710" s="17" t="s">
        <v>92</v>
      </c>
      <c r="H710" s="17" t="s">
        <v>92</v>
      </c>
      <c r="I710" s="39"/>
      <c r="J710" s="47">
        <f t="shared" si="11"/>
        <v>-695</v>
      </c>
      <c r="K710" s="49"/>
      <c r="L710" s="17"/>
      <c r="M710" s="27"/>
      <c r="N710" s="49"/>
      <c r="O710" s="27"/>
      <c r="Q710" s="2"/>
      <c r="R710" s="24"/>
      <c r="S710" s="24"/>
      <c r="T710" s="24"/>
    </row>
    <row r="711" spans="1:20" x14ac:dyDescent="0.25">
      <c r="A711" s="2">
        <v>44377</v>
      </c>
      <c r="B711" s="20">
        <v>2358</v>
      </c>
      <c r="C711" s="20">
        <v>427</v>
      </c>
      <c r="D711" s="20">
        <v>15955</v>
      </c>
      <c r="E711" s="17" t="s">
        <v>92</v>
      </c>
      <c r="F711" s="17" t="s">
        <v>92</v>
      </c>
      <c r="G711" s="17" t="s">
        <v>92</v>
      </c>
      <c r="H711" s="17" t="s">
        <v>92</v>
      </c>
      <c r="I711" s="39"/>
      <c r="J711" s="47">
        <f t="shared" si="11"/>
        <v>-696</v>
      </c>
      <c r="K711" s="49"/>
      <c r="L711" s="17"/>
      <c r="M711" s="27"/>
      <c r="N711" s="49"/>
      <c r="O711" s="27"/>
      <c r="Q711" s="2"/>
      <c r="R711" s="24"/>
      <c r="S711" s="24"/>
      <c r="T711" s="24"/>
    </row>
    <row r="712" spans="1:20" x14ac:dyDescent="0.25">
      <c r="A712" s="2">
        <v>44376</v>
      </c>
      <c r="B712" s="20">
        <v>2376</v>
      </c>
      <c r="C712" s="20">
        <v>427</v>
      </c>
      <c r="D712" s="20">
        <v>16275</v>
      </c>
      <c r="E712" s="17" t="s">
        <v>92</v>
      </c>
      <c r="F712" s="17" t="s">
        <v>92</v>
      </c>
      <c r="G712" s="17" t="s">
        <v>92</v>
      </c>
      <c r="H712" s="17" t="s">
        <v>92</v>
      </c>
      <c r="I712" s="39"/>
      <c r="J712" s="47">
        <f t="shared" si="11"/>
        <v>-697</v>
      </c>
      <c r="K712" s="49"/>
      <c r="L712" s="17"/>
      <c r="M712" s="27"/>
      <c r="N712" s="49"/>
      <c r="O712" s="27"/>
      <c r="Q712" s="2"/>
      <c r="R712" s="24"/>
      <c r="S712" s="24"/>
      <c r="T712" s="24"/>
    </row>
    <row r="713" spans="1:20" x14ac:dyDescent="0.25">
      <c r="A713" s="2">
        <v>44375</v>
      </c>
      <c r="B713" s="20">
        <v>2400</v>
      </c>
      <c r="C713" s="20">
        <v>425</v>
      </c>
      <c r="D713" s="20">
        <v>16500</v>
      </c>
      <c r="E713" s="17" t="s">
        <v>92</v>
      </c>
      <c r="F713" s="17" t="s">
        <v>92</v>
      </c>
      <c r="G713" s="17" t="s">
        <v>92</v>
      </c>
      <c r="H713" s="17" t="s">
        <v>92</v>
      </c>
      <c r="I713" s="39"/>
      <c r="J713" s="47">
        <f t="shared" si="11"/>
        <v>-698</v>
      </c>
      <c r="K713" s="49"/>
      <c r="L713" s="17"/>
      <c r="M713" s="27"/>
      <c r="N713" s="49"/>
      <c r="O713" s="27"/>
      <c r="Q713" s="2"/>
      <c r="R713" s="24"/>
      <c r="S713" s="24"/>
      <c r="T713" s="24"/>
    </row>
    <row r="714" spans="1:20" x14ac:dyDescent="0.25">
      <c r="A714" s="2">
        <v>44372</v>
      </c>
      <c r="B714" s="20">
        <v>2398</v>
      </c>
      <c r="C714" s="20">
        <v>424</v>
      </c>
      <c r="D714" s="20">
        <v>16750</v>
      </c>
      <c r="E714" s="17" t="s">
        <v>92</v>
      </c>
      <c r="F714" s="17" t="s">
        <v>92</v>
      </c>
      <c r="G714" s="17" t="s">
        <v>92</v>
      </c>
      <c r="H714" s="17" t="s">
        <v>92</v>
      </c>
      <c r="I714" s="39"/>
      <c r="J714" s="47">
        <f t="shared" si="11"/>
        <v>-699</v>
      </c>
      <c r="K714" s="49"/>
      <c r="L714" s="17"/>
      <c r="M714" s="27"/>
      <c r="N714" s="49"/>
      <c r="O714" s="27"/>
      <c r="Q714" s="2"/>
      <c r="R714" s="24"/>
      <c r="S714" s="24"/>
      <c r="T714" s="24"/>
    </row>
    <row r="715" spans="1:20" x14ac:dyDescent="0.25">
      <c r="A715" s="2">
        <v>44371</v>
      </c>
      <c r="B715" s="20">
        <v>2400</v>
      </c>
      <c r="C715" s="20">
        <v>424</v>
      </c>
      <c r="D715" s="20">
        <v>16670</v>
      </c>
      <c r="E715" s="17" t="s">
        <v>92</v>
      </c>
      <c r="F715" s="17" t="s">
        <v>92</v>
      </c>
      <c r="G715" s="17" t="s">
        <v>92</v>
      </c>
      <c r="H715" s="17" t="s">
        <v>92</v>
      </c>
      <c r="I715" s="39"/>
      <c r="J715" s="47">
        <f t="shared" si="11"/>
        <v>-700</v>
      </c>
      <c r="K715" s="49"/>
      <c r="L715" s="17"/>
      <c r="M715" s="27"/>
      <c r="N715" s="49"/>
      <c r="O715" s="27"/>
      <c r="Q715" s="2"/>
      <c r="R715" s="24"/>
      <c r="S715" s="24"/>
      <c r="T715" s="24"/>
    </row>
    <row r="716" spans="1:20" x14ac:dyDescent="0.25">
      <c r="A716" s="2">
        <v>44370</v>
      </c>
      <c r="B716" s="20">
        <v>2404</v>
      </c>
      <c r="C716" s="20">
        <v>425</v>
      </c>
      <c r="D716" s="20">
        <v>16580</v>
      </c>
      <c r="E716" s="17" t="s">
        <v>92</v>
      </c>
      <c r="F716" s="17" t="s">
        <v>92</v>
      </c>
      <c r="G716" s="17" t="s">
        <v>92</v>
      </c>
      <c r="H716" s="17" t="s">
        <v>92</v>
      </c>
      <c r="I716" s="39"/>
      <c r="J716" s="47">
        <f t="shared" si="11"/>
        <v>-701</v>
      </c>
      <c r="K716" s="49"/>
      <c r="L716" s="17"/>
      <c r="M716" s="27"/>
      <c r="N716" s="49"/>
      <c r="O716" s="27"/>
      <c r="Q716" s="2"/>
      <c r="R716" s="24"/>
      <c r="S716" s="24"/>
      <c r="T716" s="24"/>
    </row>
    <row r="717" spans="1:20" x14ac:dyDescent="0.25">
      <c r="A717" s="2">
        <v>44369</v>
      </c>
      <c r="B717" s="20">
        <v>2378</v>
      </c>
      <c r="C717" s="20">
        <v>425</v>
      </c>
      <c r="D717" s="20">
        <v>16315</v>
      </c>
      <c r="E717" s="17" t="s">
        <v>92</v>
      </c>
      <c r="F717" s="17" t="s">
        <v>92</v>
      </c>
      <c r="G717" s="17" t="s">
        <v>92</v>
      </c>
      <c r="H717" s="17" t="s">
        <v>92</v>
      </c>
      <c r="I717" s="39"/>
      <c r="J717" s="47">
        <f t="shared" si="11"/>
        <v>-702</v>
      </c>
      <c r="K717" s="49"/>
      <c r="L717" s="17"/>
      <c r="M717" s="27"/>
      <c r="N717" s="49"/>
      <c r="O717" s="27"/>
      <c r="Q717" s="2"/>
      <c r="R717" s="24"/>
      <c r="S717" s="24"/>
      <c r="T717" s="24"/>
    </row>
    <row r="718" spans="1:20" x14ac:dyDescent="0.25">
      <c r="A718" s="2">
        <v>44368</v>
      </c>
      <c r="B718" s="20">
        <v>2340</v>
      </c>
      <c r="C718" s="29">
        <v>424.5</v>
      </c>
      <c r="D718" s="20">
        <v>16500</v>
      </c>
      <c r="E718" s="17" t="s">
        <v>92</v>
      </c>
      <c r="F718" s="17" t="s">
        <v>92</v>
      </c>
      <c r="G718" s="17" t="s">
        <v>92</v>
      </c>
      <c r="H718" s="17" t="s">
        <v>92</v>
      </c>
      <c r="I718" s="39"/>
      <c r="J718" s="47">
        <f t="shared" si="11"/>
        <v>-703</v>
      </c>
      <c r="K718" s="49"/>
      <c r="L718" s="17"/>
      <c r="M718" s="27"/>
      <c r="N718" s="49"/>
      <c r="O718" s="27"/>
      <c r="Q718" s="2"/>
      <c r="R718" s="24"/>
      <c r="S718" s="24"/>
      <c r="T718" s="24"/>
    </row>
    <row r="719" spans="1:20" x14ac:dyDescent="0.25">
      <c r="A719" s="2">
        <v>44365</v>
      </c>
      <c r="B719" s="20">
        <v>2320</v>
      </c>
      <c r="C719" s="20">
        <v>422</v>
      </c>
      <c r="D719" s="20">
        <v>16385</v>
      </c>
      <c r="E719" s="17" t="s">
        <v>92</v>
      </c>
      <c r="F719" s="17" t="s">
        <v>92</v>
      </c>
      <c r="G719" s="17" t="s">
        <v>92</v>
      </c>
      <c r="H719" s="17" t="s">
        <v>92</v>
      </c>
      <c r="I719" s="39"/>
      <c r="J719" s="47">
        <f t="shared" si="11"/>
        <v>-704</v>
      </c>
      <c r="K719" s="49"/>
      <c r="L719" s="17"/>
      <c r="M719" s="27"/>
      <c r="N719" s="49"/>
      <c r="O719" s="27"/>
      <c r="Q719" s="2"/>
      <c r="R719" s="24"/>
      <c r="S719" s="24"/>
      <c r="T719" s="24"/>
    </row>
    <row r="720" spans="1:20" x14ac:dyDescent="0.25">
      <c r="A720" s="2">
        <v>44364</v>
      </c>
      <c r="B720" s="20">
        <v>2394</v>
      </c>
      <c r="C720" s="20">
        <v>419</v>
      </c>
      <c r="D720" s="20">
        <v>16765</v>
      </c>
      <c r="E720" s="17" t="s">
        <v>92</v>
      </c>
      <c r="F720" s="17" t="s">
        <v>92</v>
      </c>
      <c r="G720" s="17" t="s">
        <v>92</v>
      </c>
      <c r="H720" s="17" t="s">
        <v>92</v>
      </c>
      <c r="I720" s="39"/>
      <c r="J720" s="47">
        <f t="shared" si="11"/>
        <v>-705</v>
      </c>
      <c r="K720" s="49"/>
      <c r="L720" s="17"/>
      <c r="M720" s="27"/>
      <c r="N720" s="49"/>
      <c r="O720" s="27"/>
      <c r="Q720" s="2"/>
      <c r="R720" s="24"/>
      <c r="S720" s="24"/>
      <c r="T720" s="24"/>
    </row>
    <row r="721" spans="1:20" x14ac:dyDescent="0.25">
      <c r="A721" s="2">
        <v>44363</v>
      </c>
      <c r="B721" s="20">
        <v>2414</v>
      </c>
      <c r="C721" s="20">
        <v>420</v>
      </c>
      <c r="D721" s="20">
        <v>16500</v>
      </c>
      <c r="E721" s="17" t="s">
        <v>92</v>
      </c>
      <c r="F721" s="17" t="s">
        <v>92</v>
      </c>
      <c r="G721" s="17" t="s">
        <v>92</v>
      </c>
      <c r="H721" s="17" t="s">
        <v>92</v>
      </c>
      <c r="I721" s="39"/>
      <c r="J721" s="47">
        <f t="shared" ref="J721:J770" si="12">+J720-1</f>
        <v>-706</v>
      </c>
      <c r="K721" s="49"/>
      <c r="L721" s="17"/>
      <c r="M721" s="27"/>
      <c r="N721" s="49"/>
      <c r="O721" s="27"/>
      <c r="Q721" s="2"/>
      <c r="R721" s="24"/>
      <c r="S721" s="24"/>
      <c r="T721" s="24"/>
    </row>
    <row r="722" spans="1:20" x14ac:dyDescent="0.25">
      <c r="A722" s="2">
        <v>44362</v>
      </c>
      <c r="B722" s="20">
        <v>2444</v>
      </c>
      <c r="C722" s="20">
        <v>424</v>
      </c>
      <c r="D722" s="20">
        <v>16800</v>
      </c>
      <c r="E722" s="17" t="s">
        <v>92</v>
      </c>
      <c r="F722" s="17" t="s">
        <v>92</v>
      </c>
      <c r="G722" s="17" t="s">
        <v>92</v>
      </c>
      <c r="H722" s="17" t="s">
        <v>92</v>
      </c>
      <c r="I722" s="39"/>
      <c r="J722" s="47">
        <f t="shared" si="12"/>
        <v>-707</v>
      </c>
      <c r="K722" s="49"/>
      <c r="L722" s="17"/>
      <c r="M722" s="27"/>
      <c r="N722" s="49"/>
      <c r="O722" s="27"/>
      <c r="Q722" s="2"/>
      <c r="R722" s="24"/>
      <c r="S722" s="24"/>
      <c r="T722" s="24"/>
    </row>
    <row r="723" spans="1:20" x14ac:dyDescent="0.25">
      <c r="A723" s="2">
        <v>44361</v>
      </c>
      <c r="B723" s="20">
        <v>2426</v>
      </c>
      <c r="C723" s="20">
        <v>424</v>
      </c>
      <c r="D723" s="20">
        <v>16630</v>
      </c>
      <c r="E723" s="17" t="s">
        <v>92</v>
      </c>
      <c r="F723" s="17" t="s">
        <v>92</v>
      </c>
      <c r="G723" s="17" t="s">
        <v>92</v>
      </c>
      <c r="H723" s="17" t="s">
        <v>92</v>
      </c>
      <c r="I723" s="39"/>
      <c r="J723" s="47">
        <f t="shared" si="12"/>
        <v>-708</v>
      </c>
      <c r="K723" s="49"/>
      <c r="L723" s="17"/>
      <c r="M723" s="27"/>
      <c r="N723" s="49"/>
      <c r="O723" s="27"/>
      <c r="Q723" s="2"/>
      <c r="R723" s="24"/>
      <c r="S723" s="24"/>
      <c r="T723" s="24"/>
    </row>
    <row r="724" spans="1:20" x14ac:dyDescent="0.25">
      <c r="A724" s="2">
        <v>44358</v>
      </c>
      <c r="B724" s="20">
        <v>2438</v>
      </c>
      <c r="C724" s="29">
        <v>422.5</v>
      </c>
      <c r="D724" s="20">
        <v>16560</v>
      </c>
      <c r="E724" s="17" t="s">
        <v>92</v>
      </c>
      <c r="F724" s="17" t="s">
        <v>92</v>
      </c>
      <c r="G724" s="17" t="s">
        <v>92</v>
      </c>
      <c r="H724" s="17" t="s">
        <v>92</v>
      </c>
      <c r="I724" s="39"/>
      <c r="J724" s="47">
        <f t="shared" si="12"/>
        <v>-709</v>
      </c>
      <c r="K724" s="49"/>
      <c r="L724" s="17"/>
      <c r="M724" s="27"/>
      <c r="N724" s="49"/>
      <c r="O724" s="27"/>
      <c r="Q724" s="2"/>
      <c r="R724" s="24"/>
      <c r="S724" s="24"/>
      <c r="T724" s="24"/>
    </row>
    <row r="725" spans="1:20" x14ac:dyDescent="0.25">
      <c r="A725" s="2">
        <v>44357</v>
      </c>
      <c r="B725" s="20">
        <v>2388</v>
      </c>
      <c r="C725" s="20">
        <v>423</v>
      </c>
      <c r="D725" s="20">
        <v>16680</v>
      </c>
      <c r="E725" s="17" t="s">
        <v>92</v>
      </c>
      <c r="F725" s="17" t="s">
        <v>92</v>
      </c>
      <c r="G725" s="17" t="s">
        <v>92</v>
      </c>
      <c r="H725" s="17" t="s">
        <v>92</v>
      </c>
      <c r="I725" s="39"/>
      <c r="J725" s="47">
        <f t="shared" si="12"/>
        <v>-710</v>
      </c>
      <c r="K725" s="49"/>
      <c r="L725" s="17"/>
      <c r="M725" s="27"/>
      <c r="N725" s="49"/>
      <c r="O725" s="27"/>
      <c r="Q725" s="2"/>
      <c r="R725" s="24"/>
      <c r="S725" s="24"/>
      <c r="T725" s="24"/>
    </row>
    <row r="726" spans="1:20" x14ac:dyDescent="0.25">
      <c r="A726" s="2">
        <v>44356</v>
      </c>
      <c r="B726" s="20">
        <v>2392</v>
      </c>
      <c r="C726" s="20">
        <v>413</v>
      </c>
      <c r="D726" s="20">
        <v>16705</v>
      </c>
      <c r="E726" s="17" t="s">
        <v>92</v>
      </c>
      <c r="F726" s="17" t="s">
        <v>92</v>
      </c>
      <c r="G726" s="17" t="s">
        <v>92</v>
      </c>
      <c r="H726" s="17" t="s">
        <v>92</v>
      </c>
      <c r="I726" s="39"/>
      <c r="J726" s="47">
        <f t="shared" si="12"/>
        <v>-711</v>
      </c>
      <c r="K726" s="49"/>
      <c r="L726" s="17"/>
      <c r="M726" s="27"/>
      <c r="N726" s="49"/>
      <c r="O726" s="27"/>
      <c r="Q726" s="2"/>
      <c r="R726" s="24"/>
      <c r="S726" s="24"/>
      <c r="T726" s="24"/>
    </row>
    <row r="727" spans="1:20" x14ac:dyDescent="0.25">
      <c r="A727" s="2">
        <v>44355</v>
      </c>
      <c r="B727" s="20">
        <v>2388</v>
      </c>
      <c r="C727" s="20">
        <v>407</v>
      </c>
      <c r="D727" s="20">
        <v>16955</v>
      </c>
      <c r="E727" s="17" t="s">
        <v>92</v>
      </c>
      <c r="F727" s="17" t="s">
        <v>92</v>
      </c>
      <c r="G727" s="17" t="s">
        <v>92</v>
      </c>
      <c r="H727" s="17" t="s">
        <v>92</v>
      </c>
      <c r="I727" s="39"/>
      <c r="J727" s="47">
        <f t="shared" si="12"/>
        <v>-712</v>
      </c>
      <c r="K727" s="49"/>
      <c r="L727" s="17"/>
      <c r="M727" s="27"/>
      <c r="N727" s="49"/>
      <c r="O727" s="27"/>
      <c r="Q727" s="2"/>
      <c r="R727" s="24"/>
      <c r="S727" s="24"/>
      <c r="T727" s="24"/>
    </row>
    <row r="728" spans="1:20" x14ac:dyDescent="0.25">
      <c r="A728" s="2">
        <v>44354</v>
      </c>
      <c r="B728" s="20">
        <v>2390</v>
      </c>
      <c r="C728" s="20">
        <v>408</v>
      </c>
      <c r="D728" s="20">
        <v>16605</v>
      </c>
      <c r="E728" s="17" t="s">
        <v>92</v>
      </c>
      <c r="F728" s="17" t="s">
        <v>92</v>
      </c>
      <c r="G728" s="17" t="s">
        <v>92</v>
      </c>
      <c r="H728" s="17" t="s">
        <v>92</v>
      </c>
      <c r="I728" s="39"/>
      <c r="J728" s="47">
        <f t="shared" si="12"/>
        <v>-713</v>
      </c>
      <c r="K728" s="49"/>
      <c r="L728" s="17"/>
      <c r="M728" s="27"/>
      <c r="N728" s="49"/>
      <c r="O728" s="27"/>
      <c r="Q728" s="2"/>
      <c r="R728" s="24"/>
      <c r="S728" s="24"/>
      <c r="T728" s="24"/>
    </row>
    <row r="729" spans="1:20" x14ac:dyDescent="0.25">
      <c r="A729" s="2">
        <v>44351</v>
      </c>
      <c r="B729" s="20">
        <v>2420</v>
      </c>
      <c r="C729" s="20">
        <v>406</v>
      </c>
      <c r="D729" s="20">
        <v>16290</v>
      </c>
      <c r="E729" s="17" t="s">
        <v>92</v>
      </c>
      <c r="F729" s="17" t="s">
        <v>92</v>
      </c>
      <c r="G729" s="17" t="s">
        <v>92</v>
      </c>
      <c r="H729" s="17" t="s">
        <v>92</v>
      </c>
      <c r="I729" s="39"/>
      <c r="J729" s="47">
        <f t="shared" si="12"/>
        <v>-714</v>
      </c>
      <c r="K729" s="49"/>
      <c r="L729" s="17"/>
      <c r="M729" s="27"/>
      <c r="N729" s="49"/>
      <c r="O729" s="27"/>
      <c r="Q729" s="2"/>
      <c r="R729" s="24"/>
      <c r="S729" s="24"/>
      <c r="T729" s="24"/>
    </row>
    <row r="730" spans="1:20" x14ac:dyDescent="0.25">
      <c r="A730" s="2">
        <v>44350</v>
      </c>
      <c r="B730" s="20">
        <v>2394</v>
      </c>
      <c r="C730" s="20">
        <v>406</v>
      </c>
      <c r="D730" s="20">
        <v>16025</v>
      </c>
      <c r="E730" s="17" t="s">
        <v>92</v>
      </c>
      <c r="F730" s="17" t="s">
        <v>92</v>
      </c>
      <c r="G730" s="17" t="s">
        <v>92</v>
      </c>
      <c r="H730" s="17" t="s">
        <v>92</v>
      </c>
      <c r="I730" s="39"/>
      <c r="J730" s="47">
        <f t="shared" si="12"/>
        <v>-715</v>
      </c>
      <c r="K730" s="49"/>
      <c r="L730" s="17"/>
      <c r="M730" s="27"/>
      <c r="N730" s="49"/>
      <c r="O730" s="27"/>
      <c r="Q730" s="2"/>
      <c r="R730" s="24"/>
      <c r="S730" s="24"/>
      <c r="T730" s="24"/>
    </row>
    <row r="731" spans="1:20" x14ac:dyDescent="0.25">
      <c r="A731" s="2">
        <v>44349</v>
      </c>
      <c r="B731" s="20">
        <v>2380</v>
      </c>
      <c r="C731" s="29">
        <v>405.5</v>
      </c>
      <c r="D731" s="20">
        <v>15720</v>
      </c>
      <c r="E731" s="17" t="s">
        <v>92</v>
      </c>
      <c r="F731" s="17" t="s">
        <v>92</v>
      </c>
      <c r="G731" s="17" t="s">
        <v>92</v>
      </c>
      <c r="H731" s="17" t="s">
        <v>92</v>
      </c>
      <c r="I731" s="39"/>
      <c r="J731" s="47">
        <f t="shared" si="12"/>
        <v>-716</v>
      </c>
      <c r="K731" s="49"/>
      <c r="L731" s="17"/>
      <c r="M731" s="27"/>
      <c r="N731" s="49"/>
      <c r="O731" s="27"/>
      <c r="Q731" s="2"/>
      <c r="R731" s="24"/>
      <c r="S731" s="24"/>
      <c r="T731" s="24"/>
    </row>
    <row r="732" spans="1:20" x14ac:dyDescent="0.25">
      <c r="A732" s="2">
        <v>44348</v>
      </c>
      <c r="B732" s="20">
        <v>2330</v>
      </c>
      <c r="C732" s="20">
        <v>402</v>
      </c>
      <c r="D732" s="20">
        <v>15865</v>
      </c>
      <c r="E732" s="17" t="s">
        <v>92</v>
      </c>
      <c r="F732" s="17" t="s">
        <v>92</v>
      </c>
      <c r="G732" s="17" t="s">
        <v>92</v>
      </c>
      <c r="H732" s="17" t="s">
        <v>92</v>
      </c>
      <c r="I732" s="39"/>
      <c r="J732" s="47">
        <f t="shared" si="12"/>
        <v>-717</v>
      </c>
      <c r="K732" s="49"/>
      <c r="L732" s="17"/>
      <c r="M732" s="27"/>
      <c r="N732" s="49"/>
      <c r="O732" s="27"/>
      <c r="Q732" s="2"/>
      <c r="R732" s="24"/>
      <c r="S732" s="24"/>
      <c r="T732" s="24"/>
    </row>
    <row r="733" spans="1:20" x14ac:dyDescent="0.25">
      <c r="A733" s="2">
        <v>44347</v>
      </c>
      <c r="B733" s="20">
        <v>2310</v>
      </c>
      <c r="C733" s="20">
        <v>403</v>
      </c>
      <c r="D733" s="20">
        <v>15615</v>
      </c>
      <c r="E733" s="17" t="s">
        <v>92</v>
      </c>
      <c r="F733" s="17" t="s">
        <v>92</v>
      </c>
      <c r="G733" s="17" t="s">
        <v>92</v>
      </c>
      <c r="H733" s="17" t="s">
        <v>92</v>
      </c>
      <c r="I733" s="39"/>
      <c r="J733" s="47">
        <f t="shared" si="12"/>
        <v>-718</v>
      </c>
      <c r="K733" s="49"/>
      <c r="L733" s="17"/>
      <c r="M733" s="27"/>
      <c r="N733" s="49"/>
      <c r="O733" s="27"/>
      <c r="Q733" s="2"/>
      <c r="R733" s="24"/>
      <c r="S733" s="24"/>
      <c r="T733" s="24"/>
    </row>
    <row r="734" spans="1:20" x14ac:dyDescent="0.25">
      <c r="A734" s="2">
        <v>44344</v>
      </c>
      <c r="B734" s="20">
        <v>2294</v>
      </c>
      <c r="C734" s="20">
        <v>407</v>
      </c>
      <c r="D734" s="20">
        <v>15690</v>
      </c>
      <c r="E734" s="17" t="s">
        <v>92</v>
      </c>
      <c r="F734" s="17" t="s">
        <v>92</v>
      </c>
      <c r="G734" s="17" t="s">
        <v>92</v>
      </c>
      <c r="H734" s="17" t="s">
        <v>92</v>
      </c>
      <c r="I734" s="39"/>
      <c r="J734" s="47">
        <f t="shared" si="12"/>
        <v>-719</v>
      </c>
      <c r="K734" s="49"/>
      <c r="L734" s="17"/>
      <c r="M734" s="27"/>
      <c r="N734" s="49"/>
      <c r="O734" s="27"/>
      <c r="Q734" s="2"/>
      <c r="R734" s="24"/>
      <c r="S734" s="24"/>
      <c r="T734" s="24"/>
    </row>
    <row r="735" spans="1:20" x14ac:dyDescent="0.25">
      <c r="A735" s="2">
        <v>44343</v>
      </c>
      <c r="B735" s="20">
        <v>2264</v>
      </c>
      <c r="C735" s="20">
        <v>404</v>
      </c>
      <c r="D735" s="20">
        <v>15520</v>
      </c>
      <c r="E735" s="17" t="s">
        <v>92</v>
      </c>
      <c r="F735" s="17" t="s">
        <v>92</v>
      </c>
      <c r="G735" s="17" t="s">
        <v>92</v>
      </c>
      <c r="H735" s="17" t="s">
        <v>92</v>
      </c>
      <c r="I735" s="39"/>
      <c r="J735" s="47">
        <f t="shared" si="12"/>
        <v>-720</v>
      </c>
      <c r="K735" s="49"/>
      <c r="L735" s="17"/>
      <c r="M735" s="27"/>
      <c r="N735" s="49"/>
      <c r="O735" s="27"/>
      <c r="Q735" s="2"/>
      <c r="R735" s="24"/>
      <c r="S735" s="24"/>
      <c r="T735" s="24"/>
    </row>
    <row r="736" spans="1:20" x14ac:dyDescent="0.25">
      <c r="A736" s="2">
        <v>44342</v>
      </c>
      <c r="B736" s="20">
        <v>2270</v>
      </c>
      <c r="C736" s="20">
        <v>405</v>
      </c>
      <c r="D736" s="20">
        <v>15735</v>
      </c>
      <c r="E736" s="17" t="s">
        <v>92</v>
      </c>
      <c r="F736" s="17" t="s">
        <v>92</v>
      </c>
      <c r="G736" s="17" t="s">
        <v>92</v>
      </c>
      <c r="H736" s="17" t="s">
        <v>92</v>
      </c>
      <c r="I736" s="39"/>
      <c r="J736" s="47">
        <f t="shared" si="12"/>
        <v>-721</v>
      </c>
      <c r="K736" s="49"/>
      <c r="L736" s="17"/>
      <c r="M736" s="27"/>
      <c r="N736" s="49"/>
      <c r="O736" s="27"/>
      <c r="Q736" s="2"/>
      <c r="R736" s="24"/>
      <c r="S736" s="24"/>
      <c r="T736" s="24"/>
    </row>
    <row r="737" spans="1:20" x14ac:dyDescent="0.25">
      <c r="A737" s="2">
        <v>44341</v>
      </c>
      <c r="B737" s="20">
        <v>2254</v>
      </c>
      <c r="C737" s="20">
        <v>402</v>
      </c>
      <c r="D737" s="20">
        <v>15475</v>
      </c>
      <c r="E737" s="17" t="s">
        <v>92</v>
      </c>
      <c r="F737" s="17" t="s">
        <v>92</v>
      </c>
      <c r="G737" s="17" t="s">
        <v>92</v>
      </c>
      <c r="H737" s="17" t="s">
        <v>92</v>
      </c>
      <c r="I737" s="39"/>
      <c r="J737" s="47">
        <f t="shared" si="12"/>
        <v>-722</v>
      </c>
      <c r="K737" s="49"/>
      <c r="L737" s="17"/>
      <c r="M737" s="27"/>
      <c r="N737" s="49"/>
      <c r="O737" s="27"/>
      <c r="Q737" s="2"/>
      <c r="R737" s="24"/>
      <c r="S737" s="24"/>
      <c r="T737" s="24"/>
    </row>
    <row r="738" spans="1:20" x14ac:dyDescent="0.25">
      <c r="A738" s="2">
        <v>44337</v>
      </c>
      <c r="B738" s="20">
        <v>2274</v>
      </c>
      <c r="C738" s="20">
        <v>401</v>
      </c>
      <c r="D738" s="20">
        <v>15610</v>
      </c>
      <c r="E738" s="17" t="s">
        <v>92</v>
      </c>
      <c r="F738" s="17" t="s">
        <v>92</v>
      </c>
      <c r="G738" s="17" t="s">
        <v>92</v>
      </c>
      <c r="H738" s="17" t="s">
        <v>92</v>
      </c>
      <c r="I738" s="39"/>
      <c r="J738" s="47">
        <f t="shared" si="12"/>
        <v>-723</v>
      </c>
      <c r="K738" s="49"/>
      <c r="L738" s="17"/>
      <c r="M738" s="27"/>
      <c r="N738" s="49"/>
      <c r="O738" s="27"/>
      <c r="Q738" s="2"/>
      <c r="R738" s="24"/>
      <c r="S738" s="24"/>
      <c r="T738" s="24"/>
    </row>
    <row r="739" spans="1:20" x14ac:dyDescent="0.25">
      <c r="A739" s="2">
        <v>44336</v>
      </c>
      <c r="B739" s="20">
        <v>2286</v>
      </c>
      <c r="C739" s="20">
        <v>407</v>
      </c>
      <c r="D739" s="20">
        <v>15490</v>
      </c>
      <c r="E739" s="17" t="s">
        <v>92</v>
      </c>
      <c r="F739" s="17" t="s">
        <v>92</v>
      </c>
      <c r="G739" s="17" t="s">
        <v>92</v>
      </c>
      <c r="H739" s="17" t="s">
        <v>92</v>
      </c>
      <c r="I739" s="39"/>
      <c r="J739" s="47">
        <f t="shared" si="12"/>
        <v>-724</v>
      </c>
      <c r="K739" s="49"/>
      <c r="L739" s="17"/>
      <c r="M739" s="27"/>
      <c r="N739" s="49"/>
      <c r="O739" s="27"/>
      <c r="Q739" s="2"/>
      <c r="R739" s="24"/>
      <c r="S739" s="24"/>
      <c r="T739" s="24"/>
    </row>
    <row r="740" spans="1:20" x14ac:dyDescent="0.25">
      <c r="A740" s="2">
        <v>44335</v>
      </c>
      <c r="B740" s="20">
        <v>2250</v>
      </c>
      <c r="C740" s="20">
        <v>415</v>
      </c>
      <c r="D740" s="20">
        <v>14805</v>
      </c>
      <c r="E740" s="17" t="s">
        <v>92</v>
      </c>
      <c r="F740" s="17" t="s">
        <v>92</v>
      </c>
      <c r="G740" s="17" t="s">
        <v>92</v>
      </c>
      <c r="H740" s="17" t="s">
        <v>92</v>
      </c>
      <c r="I740" s="39"/>
      <c r="J740" s="47">
        <f t="shared" si="12"/>
        <v>-725</v>
      </c>
      <c r="K740" s="49"/>
      <c r="L740" s="17"/>
      <c r="M740" s="27"/>
      <c r="N740" s="49"/>
      <c r="O740" s="27"/>
      <c r="Q740" s="2"/>
      <c r="R740" s="24"/>
      <c r="S740" s="24"/>
      <c r="T740" s="24"/>
    </row>
    <row r="741" spans="1:20" x14ac:dyDescent="0.25">
      <c r="A741" s="2">
        <v>44334</v>
      </c>
      <c r="B741" s="20">
        <v>2278</v>
      </c>
      <c r="C741" s="29">
        <v>412.5</v>
      </c>
      <c r="D741" s="20">
        <v>15065</v>
      </c>
      <c r="E741" s="17" t="s">
        <v>92</v>
      </c>
      <c r="F741" s="17" t="s">
        <v>92</v>
      </c>
      <c r="G741" s="17" t="s">
        <v>92</v>
      </c>
      <c r="H741" s="17" t="s">
        <v>92</v>
      </c>
      <c r="I741" s="39"/>
      <c r="J741" s="47">
        <f t="shared" si="12"/>
        <v>-726</v>
      </c>
      <c r="K741" s="49"/>
      <c r="L741" s="17"/>
      <c r="M741" s="27"/>
      <c r="N741" s="49"/>
      <c r="O741" s="27"/>
      <c r="Q741" s="2"/>
      <c r="R741" s="24"/>
      <c r="S741" s="24"/>
      <c r="T741" s="24"/>
    </row>
    <row r="742" spans="1:20" x14ac:dyDescent="0.25">
      <c r="A742" s="2">
        <v>44333</v>
      </c>
      <c r="B742" s="20">
        <v>2278</v>
      </c>
      <c r="C742" s="20">
        <v>412</v>
      </c>
      <c r="D742" s="20">
        <v>15045</v>
      </c>
      <c r="E742" s="17" t="s">
        <v>92</v>
      </c>
      <c r="F742" s="17" t="s">
        <v>92</v>
      </c>
      <c r="G742" s="17" t="s">
        <v>92</v>
      </c>
      <c r="H742" s="17" t="s">
        <v>92</v>
      </c>
      <c r="I742" s="39"/>
      <c r="J742" s="47">
        <f t="shared" si="12"/>
        <v>-727</v>
      </c>
      <c r="K742" s="49"/>
      <c r="L742" s="17"/>
      <c r="M742" s="27"/>
      <c r="N742" s="49"/>
      <c r="O742" s="27"/>
      <c r="Q742" s="2"/>
      <c r="R742" s="24"/>
      <c r="S742" s="24"/>
      <c r="T742" s="24"/>
    </row>
    <row r="743" spans="1:20" x14ac:dyDescent="0.25">
      <c r="A743" s="2">
        <v>44330</v>
      </c>
      <c r="B743" s="20">
        <v>2284</v>
      </c>
      <c r="C743" s="20">
        <v>413</v>
      </c>
      <c r="D743" s="20">
        <v>14600</v>
      </c>
      <c r="E743" s="17" t="s">
        <v>92</v>
      </c>
      <c r="F743" s="17" t="s">
        <v>92</v>
      </c>
      <c r="G743" s="17" t="s">
        <v>92</v>
      </c>
      <c r="H743" s="17" t="s">
        <v>92</v>
      </c>
      <c r="I743" s="39"/>
      <c r="J743" s="47">
        <f t="shared" si="12"/>
        <v>-728</v>
      </c>
      <c r="K743" s="49"/>
      <c r="L743" s="17"/>
      <c r="M743" s="27"/>
      <c r="N743" s="49"/>
      <c r="O743" s="27"/>
      <c r="Q743" s="2"/>
      <c r="R743" s="24"/>
      <c r="S743" s="24"/>
      <c r="T743" s="24"/>
    </row>
    <row r="744" spans="1:20" x14ac:dyDescent="0.25">
      <c r="A744" s="2">
        <v>44329</v>
      </c>
      <c r="B744" s="20">
        <v>2260</v>
      </c>
      <c r="C744" s="29">
        <v>414.5</v>
      </c>
      <c r="D744" s="20">
        <v>14400</v>
      </c>
      <c r="E744" s="17" t="s">
        <v>92</v>
      </c>
      <c r="F744" s="17" t="s">
        <v>92</v>
      </c>
      <c r="G744" s="17" t="s">
        <v>92</v>
      </c>
      <c r="H744" s="17" t="s">
        <v>92</v>
      </c>
      <c r="I744" s="39"/>
      <c r="J744" s="47">
        <f t="shared" si="12"/>
        <v>-729</v>
      </c>
      <c r="K744" s="49"/>
      <c r="L744" s="17"/>
      <c r="M744" s="27"/>
      <c r="N744" s="49"/>
      <c r="O744" s="27"/>
      <c r="Q744" s="2"/>
      <c r="R744" s="24"/>
      <c r="S744" s="24"/>
      <c r="T744" s="24"/>
    </row>
    <row r="745" spans="1:20" x14ac:dyDescent="0.25">
      <c r="A745" s="2">
        <v>44328</v>
      </c>
      <c r="B745" s="20">
        <v>2200</v>
      </c>
      <c r="C745" s="20">
        <v>411</v>
      </c>
      <c r="D745" s="20">
        <v>13980</v>
      </c>
      <c r="E745" s="17" t="s">
        <v>92</v>
      </c>
      <c r="F745" s="17" t="s">
        <v>92</v>
      </c>
      <c r="G745" s="17" t="s">
        <v>92</v>
      </c>
      <c r="H745" s="17" t="s">
        <v>92</v>
      </c>
      <c r="I745" s="39"/>
      <c r="J745" s="47">
        <f t="shared" si="12"/>
        <v>-730</v>
      </c>
      <c r="K745" s="49"/>
      <c r="L745" s="17"/>
      <c r="M745" s="27"/>
      <c r="N745" s="49"/>
      <c r="O745" s="27"/>
      <c r="Q745" s="2"/>
      <c r="R745" s="24"/>
      <c r="S745" s="24"/>
      <c r="T745" s="24"/>
    </row>
    <row r="746" spans="1:20" x14ac:dyDescent="0.25">
      <c r="A746" s="2">
        <v>44327</v>
      </c>
      <c r="B746" s="20">
        <v>2208</v>
      </c>
      <c r="C746" s="20">
        <v>418</v>
      </c>
      <c r="D746" s="20">
        <v>14130</v>
      </c>
      <c r="E746" s="17" t="s">
        <v>92</v>
      </c>
      <c r="F746" s="17" t="s">
        <v>92</v>
      </c>
      <c r="G746" s="17" t="s">
        <v>92</v>
      </c>
      <c r="H746" s="17" t="s">
        <v>92</v>
      </c>
      <c r="I746" s="39"/>
      <c r="J746" s="47">
        <f t="shared" si="12"/>
        <v>-731</v>
      </c>
      <c r="K746" s="49"/>
      <c r="L746" s="17"/>
      <c r="M746" s="27"/>
      <c r="N746" s="49"/>
      <c r="O746" s="27"/>
      <c r="Q746" s="2"/>
      <c r="R746" s="24"/>
      <c r="S746" s="24"/>
      <c r="T746" s="24"/>
    </row>
    <row r="747" spans="1:20" x14ac:dyDescent="0.25">
      <c r="A747" s="2">
        <v>44326</v>
      </c>
      <c r="B747" s="20">
        <v>2244</v>
      </c>
      <c r="C747" s="20">
        <v>418</v>
      </c>
      <c r="D747" s="20">
        <v>13925</v>
      </c>
      <c r="E747" s="17" t="s">
        <v>92</v>
      </c>
      <c r="F747" s="17" t="s">
        <v>92</v>
      </c>
      <c r="G747" s="17" t="s">
        <v>92</v>
      </c>
      <c r="H747" s="17" t="s">
        <v>92</v>
      </c>
      <c r="I747" s="39"/>
      <c r="J747" s="47">
        <f t="shared" si="12"/>
        <v>-732</v>
      </c>
      <c r="K747" s="49"/>
      <c r="L747" s="17"/>
      <c r="M747" s="27"/>
      <c r="N747" s="49"/>
      <c r="O747" s="27"/>
      <c r="Q747" s="2"/>
      <c r="R747" s="24"/>
      <c r="S747" s="24"/>
      <c r="T747" s="24"/>
    </row>
    <row r="748" spans="1:20" x14ac:dyDescent="0.25">
      <c r="A748" s="2">
        <v>44323</v>
      </c>
      <c r="B748" s="20">
        <v>2198</v>
      </c>
      <c r="C748" s="20">
        <v>409</v>
      </c>
      <c r="D748" s="20">
        <v>13875</v>
      </c>
      <c r="E748" s="17" t="s">
        <v>92</v>
      </c>
      <c r="F748" s="17" t="s">
        <v>92</v>
      </c>
      <c r="G748" s="17" t="s">
        <v>92</v>
      </c>
      <c r="H748" s="17" t="s">
        <v>92</v>
      </c>
      <c r="I748" s="39"/>
      <c r="J748" s="47">
        <f t="shared" si="12"/>
        <v>-733</v>
      </c>
      <c r="K748" s="49"/>
      <c r="L748" s="17"/>
      <c r="M748" s="27"/>
      <c r="N748" s="49"/>
      <c r="O748" s="27"/>
      <c r="Q748" s="2"/>
      <c r="R748" s="24"/>
      <c r="S748" s="24"/>
      <c r="T748" s="24"/>
    </row>
    <row r="749" spans="1:20" x14ac:dyDescent="0.25">
      <c r="A749" s="2">
        <v>44322</v>
      </c>
      <c r="B749" s="20">
        <v>2154</v>
      </c>
      <c r="C749" s="87">
        <v>410.5</v>
      </c>
      <c r="D749" s="20">
        <v>14230</v>
      </c>
      <c r="E749" s="17" t="s">
        <v>92</v>
      </c>
      <c r="F749" s="17" t="s">
        <v>92</v>
      </c>
      <c r="G749" s="17" t="s">
        <v>92</v>
      </c>
      <c r="H749" s="17" t="s">
        <v>92</v>
      </c>
      <c r="I749" s="39"/>
      <c r="J749" s="47">
        <f t="shared" si="12"/>
        <v>-734</v>
      </c>
      <c r="K749" s="49"/>
      <c r="L749" s="17"/>
      <c r="M749" s="27"/>
      <c r="N749" s="49"/>
      <c r="O749" s="27"/>
      <c r="Q749" s="2"/>
      <c r="R749" s="24"/>
      <c r="S749" s="24"/>
      <c r="T749" s="24"/>
    </row>
    <row r="750" spans="1:20" x14ac:dyDescent="0.25">
      <c r="A750" s="2">
        <v>44321</v>
      </c>
      <c r="B750" s="20">
        <v>2160</v>
      </c>
      <c r="C750" s="20">
        <v>410</v>
      </c>
      <c r="D750" s="20">
        <v>14115</v>
      </c>
      <c r="E750" s="17" t="s">
        <v>92</v>
      </c>
      <c r="F750" s="17" t="s">
        <v>92</v>
      </c>
      <c r="G750" s="17" t="s">
        <v>92</v>
      </c>
      <c r="H750" s="17" t="s">
        <v>92</v>
      </c>
      <c r="I750" s="39"/>
      <c r="J750" s="47">
        <f t="shared" si="12"/>
        <v>-735</v>
      </c>
      <c r="K750" s="49"/>
      <c r="L750" s="17"/>
      <c r="M750" s="27"/>
      <c r="N750" s="49"/>
      <c r="O750" s="27"/>
      <c r="Q750" s="2"/>
    </row>
    <row r="751" spans="1:20" x14ac:dyDescent="0.25">
      <c r="A751" s="2">
        <v>44320</v>
      </c>
      <c r="B751" s="20">
        <v>2140</v>
      </c>
      <c r="C751" s="20">
        <v>411</v>
      </c>
      <c r="D751" s="20">
        <v>13880</v>
      </c>
      <c r="E751" s="17" t="s">
        <v>92</v>
      </c>
      <c r="F751" s="17" t="s">
        <v>92</v>
      </c>
      <c r="G751" s="17" t="s">
        <v>92</v>
      </c>
      <c r="H751" s="17" t="s">
        <v>92</v>
      </c>
      <c r="I751" s="39"/>
      <c r="J751" s="47">
        <f t="shared" si="12"/>
        <v>-736</v>
      </c>
      <c r="K751" s="49"/>
      <c r="L751" s="17"/>
      <c r="M751" s="27"/>
      <c r="N751" s="49"/>
      <c r="O751" s="27"/>
      <c r="Q751" s="2"/>
    </row>
    <row r="752" spans="1:20" x14ac:dyDescent="0.25">
      <c r="A752" s="2">
        <v>44319</v>
      </c>
      <c r="B752" s="20">
        <v>2066</v>
      </c>
      <c r="C752" s="20">
        <v>415</v>
      </c>
      <c r="D752" s="20">
        <v>13505</v>
      </c>
      <c r="E752" s="17" t="s">
        <v>92</v>
      </c>
      <c r="F752" s="17" t="s">
        <v>92</v>
      </c>
      <c r="G752" s="17" t="s">
        <v>92</v>
      </c>
      <c r="H752" s="17" t="s">
        <v>92</v>
      </c>
      <c r="I752" s="39"/>
      <c r="J752" s="47">
        <f t="shared" si="12"/>
        <v>-737</v>
      </c>
      <c r="K752" s="49"/>
      <c r="L752" s="17"/>
      <c r="M752" s="27"/>
      <c r="N752" s="49"/>
      <c r="O752" s="27"/>
      <c r="Q752" s="2"/>
    </row>
    <row r="753" spans="1:17" x14ac:dyDescent="0.25">
      <c r="A753" s="2">
        <v>44316</v>
      </c>
      <c r="B753" s="20">
        <v>2070</v>
      </c>
      <c r="C753" s="20">
        <v>415</v>
      </c>
      <c r="D753" s="20">
        <v>13470</v>
      </c>
      <c r="E753" s="17" t="s">
        <v>92</v>
      </c>
      <c r="F753" s="17" t="s">
        <v>92</v>
      </c>
      <c r="G753" s="17" t="s">
        <v>92</v>
      </c>
      <c r="H753" s="17" t="s">
        <v>92</v>
      </c>
      <c r="I753" s="39"/>
      <c r="J753" s="47">
        <f t="shared" si="12"/>
        <v>-738</v>
      </c>
      <c r="K753" s="49"/>
      <c r="L753" s="17"/>
      <c r="M753" s="27"/>
      <c r="N753" s="49"/>
      <c r="O753" s="27"/>
      <c r="Q753" s="2"/>
    </row>
    <row r="754" spans="1:17" x14ac:dyDescent="0.25">
      <c r="A754" s="2">
        <v>44315</v>
      </c>
      <c r="B754" s="20">
        <v>2112</v>
      </c>
      <c r="C754" s="20">
        <v>416</v>
      </c>
      <c r="D754" s="20">
        <v>13510</v>
      </c>
      <c r="E754" s="17" t="s">
        <v>92</v>
      </c>
      <c r="F754" s="17" t="s">
        <v>92</v>
      </c>
      <c r="G754" s="17" t="s">
        <v>92</v>
      </c>
      <c r="H754" s="17" t="s">
        <v>92</v>
      </c>
      <c r="I754" s="39"/>
      <c r="J754" s="47">
        <f t="shared" si="12"/>
        <v>-739</v>
      </c>
      <c r="K754" s="49"/>
      <c r="L754" s="17"/>
      <c r="M754" s="27"/>
      <c r="N754" s="49"/>
      <c r="O754" s="27"/>
    </row>
    <row r="755" spans="1:17" x14ac:dyDescent="0.25">
      <c r="A755" s="2">
        <v>44314</v>
      </c>
      <c r="B755" s="20">
        <v>2104</v>
      </c>
      <c r="C755" s="20">
        <v>420</v>
      </c>
      <c r="D755" s="20">
        <v>13400</v>
      </c>
      <c r="E755" s="17" t="s">
        <v>92</v>
      </c>
      <c r="F755" s="17" t="s">
        <v>92</v>
      </c>
      <c r="G755" s="17" t="s">
        <v>92</v>
      </c>
      <c r="H755" s="17" t="s">
        <v>92</v>
      </c>
      <c r="I755" s="39"/>
      <c r="J755" s="47">
        <f t="shared" si="12"/>
        <v>-740</v>
      </c>
      <c r="K755" s="49"/>
      <c r="L755" s="17"/>
      <c r="M755" s="27"/>
      <c r="N755" s="49"/>
      <c r="O755" s="27"/>
    </row>
    <row r="756" spans="1:17" x14ac:dyDescent="0.25">
      <c r="A756" s="2">
        <v>44313</v>
      </c>
      <c r="B756" s="20">
        <v>2056</v>
      </c>
      <c r="C756" s="20">
        <v>420</v>
      </c>
      <c r="D756" s="20">
        <v>13390</v>
      </c>
      <c r="E756" s="17" t="s">
        <v>92</v>
      </c>
      <c r="F756" s="17" t="s">
        <v>92</v>
      </c>
      <c r="G756" s="17" t="s">
        <v>92</v>
      </c>
      <c r="H756" s="17" t="s">
        <v>92</v>
      </c>
      <c r="I756" s="39"/>
      <c r="J756" s="47">
        <f t="shared" si="12"/>
        <v>-741</v>
      </c>
      <c r="K756" s="49"/>
      <c r="L756" s="17"/>
      <c r="M756" s="27"/>
      <c r="N756" s="49"/>
      <c r="O756" s="27"/>
    </row>
    <row r="757" spans="1:17" x14ac:dyDescent="0.25">
      <c r="A757" s="2">
        <v>44312</v>
      </c>
      <c r="B757" s="20">
        <v>2060</v>
      </c>
      <c r="C757" s="20">
        <v>419</v>
      </c>
      <c r="D757" s="20">
        <v>13375</v>
      </c>
      <c r="E757" s="17" t="s">
        <v>92</v>
      </c>
      <c r="F757" s="17" t="s">
        <v>92</v>
      </c>
      <c r="G757" s="17" t="s">
        <v>92</v>
      </c>
      <c r="H757" s="17" t="s">
        <v>92</v>
      </c>
      <c r="I757" s="39"/>
      <c r="J757" s="47">
        <f t="shared" si="12"/>
        <v>-742</v>
      </c>
      <c r="K757" s="49"/>
      <c r="L757" s="17"/>
      <c r="M757" s="27"/>
      <c r="N757" s="49"/>
      <c r="O757" s="27"/>
    </row>
    <row r="758" spans="1:17" x14ac:dyDescent="0.25">
      <c r="A758" s="2">
        <v>44309</v>
      </c>
      <c r="B758" s="20">
        <v>2024</v>
      </c>
      <c r="C758" s="20">
        <v>415</v>
      </c>
      <c r="D758" s="20">
        <v>13200</v>
      </c>
      <c r="E758" s="17" t="s">
        <v>92</v>
      </c>
      <c r="F758" s="17" t="s">
        <v>92</v>
      </c>
      <c r="G758" s="17" t="s">
        <v>92</v>
      </c>
      <c r="H758" s="17" t="s">
        <v>92</v>
      </c>
      <c r="I758" s="39"/>
      <c r="J758" s="47">
        <f t="shared" si="12"/>
        <v>-743</v>
      </c>
      <c r="K758" s="49"/>
      <c r="L758" s="17"/>
      <c r="M758" s="27"/>
      <c r="N758" s="49"/>
      <c r="O758" s="27"/>
    </row>
    <row r="759" spans="1:17" x14ac:dyDescent="0.25">
      <c r="A759" s="2">
        <v>44308</v>
      </c>
      <c r="B759" s="20">
        <v>2046</v>
      </c>
      <c r="C759" s="20">
        <v>414</v>
      </c>
      <c r="D759" s="20">
        <v>13125</v>
      </c>
      <c r="E759" s="17" t="s">
        <v>92</v>
      </c>
      <c r="F759" s="17" t="s">
        <v>92</v>
      </c>
      <c r="G759" s="17" t="s">
        <v>92</v>
      </c>
      <c r="H759" s="17" t="s">
        <v>92</v>
      </c>
      <c r="I759" s="39"/>
      <c r="J759" s="47">
        <f t="shared" si="12"/>
        <v>-744</v>
      </c>
      <c r="K759" s="49"/>
      <c r="L759" s="17"/>
      <c r="M759" s="27"/>
      <c r="N759" s="49"/>
      <c r="O759" s="27"/>
    </row>
    <row r="760" spans="1:17" x14ac:dyDescent="0.25">
      <c r="A760" s="2">
        <v>44307</v>
      </c>
      <c r="B760" s="20">
        <v>2046</v>
      </c>
      <c r="C760" s="20">
        <v>414</v>
      </c>
      <c r="D760" s="20">
        <v>13120</v>
      </c>
      <c r="E760" s="17" t="s">
        <v>92</v>
      </c>
      <c r="F760" s="17" t="s">
        <v>92</v>
      </c>
      <c r="G760" s="17" t="s">
        <v>92</v>
      </c>
      <c r="H760" s="17" t="s">
        <v>92</v>
      </c>
      <c r="I760" s="39"/>
      <c r="J760" s="47">
        <f t="shared" si="12"/>
        <v>-745</v>
      </c>
      <c r="K760" s="49"/>
      <c r="L760" s="17"/>
      <c r="M760" s="27"/>
      <c r="N760" s="49"/>
      <c r="O760" s="27"/>
    </row>
    <row r="761" spans="1:17" x14ac:dyDescent="0.25">
      <c r="A761" s="2">
        <v>44306</v>
      </c>
      <c r="B761" s="20">
        <v>2044</v>
      </c>
      <c r="C761" s="20">
        <v>418</v>
      </c>
      <c r="D761" s="20">
        <v>13165</v>
      </c>
      <c r="E761" s="17"/>
      <c r="F761" s="17"/>
      <c r="G761" s="17"/>
      <c r="H761" s="14"/>
      <c r="I761" s="39"/>
      <c r="J761" s="47">
        <f t="shared" si="12"/>
        <v>-746</v>
      </c>
      <c r="K761" s="49"/>
      <c r="L761" s="17"/>
      <c r="M761" s="27"/>
      <c r="N761" s="49"/>
      <c r="O761" s="27"/>
    </row>
    <row r="762" spans="1:17" x14ac:dyDescent="0.25">
      <c r="A762" s="2"/>
      <c r="B762" s="31"/>
      <c r="C762" s="31"/>
      <c r="D762" s="31"/>
      <c r="E762" s="17"/>
      <c r="F762" s="17"/>
      <c r="G762" s="17"/>
      <c r="H762" s="14"/>
      <c r="I762" s="39"/>
      <c r="J762" s="47">
        <f t="shared" si="12"/>
        <v>-747</v>
      </c>
      <c r="K762" s="49"/>
      <c r="L762" s="17"/>
      <c r="M762" s="27"/>
      <c r="N762" s="49"/>
      <c r="O762" s="27"/>
    </row>
    <row r="763" spans="1:17" x14ac:dyDescent="0.25">
      <c r="A763" s="2"/>
      <c r="B763" s="31"/>
      <c r="C763" s="31"/>
      <c r="D763" s="31"/>
      <c r="E763" s="17"/>
      <c r="F763" s="17"/>
      <c r="G763" s="17"/>
      <c r="H763" s="14"/>
      <c r="I763" s="39"/>
      <c r="J763" s="47">
        <f t="shared" si="12"/>
        <v>-748</v>
      </c>
      <c r="K763" s="49"/>
      <c r="L763" s="17"/>
      <c r="M763" s="27"/>
      <c r="N763" s="49"/>
      <c r="O763" s="27"/>
    </row>
    <row r="764" spans="1:17" x14ac:dyDescent="0.25">
      <c r="A764" s="2"/>
      <c r="B764" s="31"/>
      <c r="C764" s="31"/>
      <c r="D764" s="31"/>
      <c r="E764" s="17"/>
      <c r="F764" s="17"/>
      <c r="G764" s="17"/>
      <c r="H764" s="14"/>
      <c r="I764" s="39"/>
      <c r="J764" s="47">
        <f t="shared" si="12"/>
        <v>-749</v>
      </c>
      <c r="K764" s="49"/>
      <c r="L764" s="17"/>
      <c r="M764" s="27"/>
      <c r="N764" s="49"/>
      <c r="O764" s="27"/>
    </row>
    <row r="765" spans="1:17" x14ac:dyDescent="0.25">
      <c r="A765" s="2"/>
      <c r="B765" s="31"/>
      <c r="C765" s="31"/>
      <c r="D765" s="31"/>
      <c r="E765" s="17"/>
      <c r="F765" s="17"/>
      <c r="G765" s="17"/>
      <c r="H765" s="14"/>
      <c r="I765" s="39"/>
      <c r="J765" s="47">
        <f t="shared" si="12"/>
        <v>-750</v>
      </c>
      <c r="K765" s="49"/>
      <c r="L765" s="17"/>
      <c r="M765" s="27"/>
      <c r="N765" s="49"/>
      <c r="O765" s="27"/>
    </row>
    <row r="766" spans="1:17" x14ac:dyDescent="0.25">
      <c r="A766" s="2"/>
      <c r="B766" s="31"/>
      <c r="C766" s="31"/>
      <c r="D766" s="31"/>
      <c r="E766" s="17"/>
      <c r="F766" s="17"/>
      <c r="G766" s="17"/>
      <c r="H766" s="14"/>
      <c r="I766" s="39"/>
      <c r="J766" s="47">
        <f t="shared" si="12"/>
        <v>-751</v>
      </c>
      <c r="K766" s="49"/>
      <c r="L766" s="17"/>
      <c r="M766" s="27"/>
      <c r="N766" s="49"/>
      <c r="O766" s="27"/>
    </row>
    <row r="767" spans="1:17" x14ac:dyDescent="0.25">
      <c r="A767" s="2"/>
      <c r="B767" s="31"/>
      <c r="C767" s="31"/>
      <c r="D767" s="31"/>
      <c r="E767" s="17"/>
      <c r="F767" s="17"/>
      <c r="G767" s="17"/>
      <c r="H767" s="14"/>
      <c r="I767" s="39"/>
      <c r="J767" s="47">
        <f t="shared" si="12"/>
        <v>-752</v>
      </c>
      <c r="K767" s="49"/>
      <c r="L767" s="17"/>
      <c r="M767" s="27"/>
      <c r="N767" s="49"/>
      <c r="O767" s="27"/>
    </row>
    <row r="768" spans="1:17" x14ac:dyDescent="0.25">
      <c r="A768" s="2"/>
      <c r="B768" s="31"/>
      <c r="C768" s="31"/>
      <c r="D768" s="31"/>
      <c r="E768" s="17"/>
      <c r="F768" s="17"/>
      <c r="G768" s="17"/>
      <c r="H768" s="14"/>
      <c r="I768" s="39"/>
      <c r="J768" s="47">
        <f t="shared" si="12"/>
        <v>-753</v>
      </c>
      <c r="K768" s="49"/>
      <c r="L768" s="17"/>
      <c r="M768" s="27"/>
      <c r="N768" s="49"/>
      <c r="O768" s="27"/>
    </row>
    <row r="769" spans="1:15" x14ac:dyDescent="0.25">
      <c r="A769" s="2"/>
      <c r="B769" s="31"/>
      <c r="C769" s="31"/>
      <c r="D769" s="31"/>
      <c r="E769" s="17"/>
      <c r="F769" s="17"/>
      <c r="G769" s="17"/>
      <c r="H769" s="14"/>
      <c r="I769" s="39"/>
      <c r="J769" s="47">
        <f t="shared" si="12"/>
        <v>-754</v>
      </c>
      <c r="K769" s="49"/>
      <c r="L769" s="17"/>
      <c r="M769" s="27"/>
      <c r="N769" s="49"/>
      <c r="O769" s="27"/>
    </row>
    <row r="770" spans="1:15" x14ac:dyDescent="0.25">
      <c r="A770" s="2"/>
      <c r="B770" s="31"/>
      <c r="C770" s="31"/>
      <c r="D770" s="31"/>
      <c r="E770" s="17"/>
      <c r="F770" s="17"/>
      <c r="G770" s="17"/>
      <c r="H770" s="14"/>
      <c r="I770" s="39"/>
      <c r="J770" s="47">
        <f t="shared" si="12"/>
        <v>-755</v>
      </c>
      <c r="K770" s="49"/>
      <c r="L770" s="17"/>
      <c r="M770" s="27"/>
      <c r="N770" s="49"/>
      <c r="O770" s="27"/>
    </row>
    <row r="771" spans="1:15" x14ac:dyDescent="0.25">
      <c r="A771" s="2"/>
      <c r="B771" s="31"/>
      <c r="C771" s="31"/>
      <c r="D771" s="31"/>
      <c r="E771" s="17"/>
      <c r="F771" s="17"/>
      <c r="G771" s="17"/>
      <c r="H771" s="14"/>
      <c r="I771" s="39"/>
      <c r="J771" s="47"/>
      <c r="K771" s="49"/>
      <c r="L771" s="17"/>
      <c r="M771" s="27"/>
      <c r="N771" s="49"/>
      <c r="O771" s="27"/>
    </row>
    <row r="772" spans="1:15" x14ac:dyDescent="0.25">
      <c r="A772" s="2"/>
      <c r="B772" s="31"/>
      <c r="C772" s="31"/>
      <c r="D772" s="31"/>
      <c r="E772" s="17"/>
      <c r="F772" s="17"/>
      <c r="G772" s="17"/>
      <c r="H772" s="14"/>
      <c r="I772" s="39"/>
      <c r="J772" s="47"/>
      <c r="K772" s="49"/>
      <c r="L772" s="17"/>
      <c r="M772" s="27"/>
      <c r="N772" s="49"/>
      <c r="O772" s="27"/>
    </row>
    <row r="773" spans="1:15" x14ac:dyDescent="0.25">
      <c r="A773" s="2"/>
      <c r="B773" s="31"/>
      <c r="C773" s="31"/>
      <c r="D773" s="31"/>
      <c r="E773" s="17"/>
      <c r="F773" s="17"/>
      <c r="G773" s="17"/>
      <c r="H773" s="14"/>
      <c r="I773" s="39"/>
      <c r="J773" s="47"/>
      <c r="K773" s="49"/>
      <c r="L773" s="17"/>
      <c r="M773" s="27"/>
      <c r="N773" s="49"/>
      <c r="O773" s="27"/>
    </row>
    <row r="774" spans="1:15" x14ac:dyDescent="0.25">
      <c r="A774" s="2"/>
      <c r="B774" s="31"/>
      <c r="C774" s="31"/>
      <c r="D774" s="31"/>
      <c r="E774" s="17"/>
      <c r="F774" s="17"/>
      <c r="G774" s="17"/>
      <c r="H774" s="14"/>
      <c r="I774" s="39"/>
      <c r="J774" s="47"/>
      <c r="K774" s="49"/>
      <c r="L774" s="17"/>
      <c r="M774" s="27"/>
      <c r="N774" s="49"/>
      <c r="O774" s="27"/>
    </row>
    <row r="775" spans="1:15" x14ac:dyDescent="0.25">
      <c r="A775" s="2"/>
      <c r="E775" s="1"/>
      <c r="F775" s="1"/>
      <c r="G775" s="1"/>
      <c r="I775" s="39"/>
      <c r="J775" s="47"/>
      <c r="K775" s="49"/>
      <c r="L775" s="17"/>
      <c r="M775" s="27"/>
      <c r="N775" s="49"/>
      <c r="O775" s="27"/>
    </row>
    <row r="776" spans="1:15" x14ac:dyDescent="0.25">
      <c r="A776" s="2"/>
      <c r="E776" s="1"/>
      <c r="F776" s="1"/>
      <c r="G776" s="1"/>
      <c r="I776" s="39"/>
      <c r="J776" s="47"/>
      <c r="K776" s="49"/>
      <c r="L776" s="17"/>
      <c r="M776" s="27"/>
      <c r="N776" s="49"/>
      <c r="O776" s="27"/>
    </row>
    <row r="777" spans="1:15" x14ac:dyDescent="0.25">
      <c r="A777" s="2"/>
      <c r="E777" s="1"/>
      <c r="F777" s="1"/>
      <c r="G777" s="1"/>
      <c r="I777" s="39"/>
      <c r="J777" s="47"/>
      <c r="K777" s="49"/>
      <c r="L777" s="17"/>
      <c r="M777" s="27"/>
      <c r="N777" s="49"/>
      <c r="O777" s="27"/>
    </row>
    <row r="778" spans="1:15" x14ac:dyDescent="0.25">
      <c r="A778" s="2"/>
      <c r="E778" s="1"/>
      <c r="F778" s="1"/>
      <c r="G778" s="1"/>
      <c r="I778" s="39"/>
      <c r="J778" s="47"/>
      <c r="K778" s="49"/>
      <c r="L778" s="17"/>
      <c r="M778" s="27"/>
      <c r="N778" s="49"/>
      <c r="O778" s="27"/>
    </row>
    <row r="779" spans="1:15" x14ac:dyDescent="0.25">
      <c r="A779" s="2"/>
      <c r="E779" s="1"/>
      <c r="F779" s="1"/>
      <c r="G779" s="1"/>
      <c r="I779" s="39"/>
      <c r="J779" s="47"/>
      <c r="K779" s="49"/>
      <c r="L779" s="17"/>
      <c r="M779" s="27"/>
      <c r="N779" s="49"/>
      <c r="O779" s="27"/>
    </row>
    <row r="780" spans="1:15" x14ac:dyDescent="0.25">
      <c r="A780" s="2"/>
      <c r="E780" s="1"/>
      <c r="F780" s="1"/>
      <c r="G780" s="1"/>
      <c r="I780" s="39"/>
      <c r="J780" s="47"/>
      <c r="K780" s="49"/>
      <c r="L780" s="17"/>
      <c r="M780" s="27"/>
      <c r="N780" s="49"/>
      <c r="O780" s="27"/>
    </row>
    <row r="781" spans="1:15" x14ac:dyDescent="0.25">
      <c r="A781" s="2"/>
      <c r="E781" s="1"/>
      <c r="F781" s="1"/>
      <c r="G781" s="1"/>
      <c r="I781" s="39"/>
      <c r="J781" s="47"/>
      <c r="K781" s="49"/>
      <c r="L781" s="17"/>
      <c r="M781" s="27"/>
      <c r="N781" s="49"/>
      <c r="O781" s="27"/>
    </row>
    <row r="782" spans="1:15" x14ac:dyDescent="0.25">
      <c r="A782" s="2"/>
      <c r="E782" s="1"/>
      <c r="F782" s="1"/>
      <c r="G782" s="1"/>
      <c r="I782" s="39"/>
      <c r="J782" s="47"/>
      <c r="K782" s="49"/>
      <c r="L782" s="17"/>
      <c r="M782" s="27"/>
      <c r="N782" s="49"/>
      <c r="O782" s="27"/>
    </row>
    <row r="783" spans="1:15" x14ac:dyDescent="0.25">
      <c r="A783" s="2"/>
      <c r="E783" s="1"/>
      <c r="F783" s="1"/>
      <c r="G783" s="1"/>
      <c r="I783" s="39"/>
      <c r="J783" s="47"/>
      <c r="K783" s="49"/>
      <c r="L783" s="17"/>
      <c r="M783" s="27"/>
      <c r="N783" s="49"/>
      <c r="O783" s="27"/>
    </row>
    <row r="784" spans="1:15" x14ac:dyDescent="0.25">
      <c r="A784" s="2"/>
      <c r="E784" s="1"/>
      <c r="F784" s="1"/>
      <c r="G784" s="1"/>
      <c r="J784" s="47"/>
    </row>
    <row r="785" spans="1:10" x14ac:dyDescent="0.25">
      <c r="A785" s="2"/>
      <c r="E785" s="1"/>
      <c r="F785" s="1"/>
      <c r="G785" s="1"/>
      <c r="J785" s="47"/>
    </row>
    <row r="786" spans="1:10" x14ac:dyDescent="0.25">
      <c r="A786" s="2"/>
      <c r="E786" s="1"/>
      <c r="F786" s="1"/>
      <c r="G786" s="1"/>
      <c r="J786" s="47"/>
    </row>
    <row r="787" spans="1:10" x14ac:dyDescent="0.25">
      <c r="A787" s="2"/>
      <c r="E787" s="1"/>
      <c r="F787" s="1"/>
      <c r="G787" s="1"/>
      <c r="J787" s="47"/>
    </row>
    <row r="788" spans="1:10" x14ac:dyDescent="0.25">
      <c r="A788" s="2"/>
      <c r="E788" s="1"/>
      <c r="F788" s="1"/>
      <c r="G788" s="1"/>
      <c r="J788" s="47"/>
    </row>
    <row r="789" spans="1:10" x14ac:dyDescent="0.25">
      <c r="A789" s="2"/>
      <c r="E789" s="1"/>
      <c r="F789" s="1"/>
      <c r="G789" s="1"/>
      <c r="J789" s="47"/>
    </row>
    <row r="790" spans="1:10" x14ac:dyDescent="0.25">
      <c r="A790" s="2"/>
      <c r="E790" s="1"/>
      <c r="F790" s="1"/>
      <c r="G790" s="1"/>
      <c r="J790" s="47"/>
    </row>
    <row r="791" spans="1:10" x14ac:dyDescent="0.25">
      <c r="A791" s="2"/>
      <c r="E791" s="1"/>
      <c r="F791" s="1"/>
      <c r="G791" s="1"/>
      <c r="J791" s="47"/>
    </row>
    <row r="792" spans="1:10" x14ac:dyDescent="0.25">
      <c r="A792" s="2"/>
      <c r="E792" s="1"/>
      <c r="F792" s="1"/>
      <c r="G792" s="1"/>
      <c r="J792" s="47"/>
    </row>
    <row r="793" spans="1:10" x14ac:dyDescent="0.25">
      <c r="A793" s="2"/>
      <c r="E793" s="1"/>
      <c r="F793" s="1"/>
      <c r="G793" s="1"/>
      <c r="J793" s="47"/>
    </row>
    <row r="794" spans="1:10" x14ac:dyDescent="0.25">
      <c r="A794" s="2"/>
      <c r="E794" s="1"/>
      <c r="F794" s="1"/>
      <c r="G794" s="1"/>
      <c r="J794" s="47"/>
    </row>
    <row r="795" spans="1:10" x14ac:dyDescent="0.25">
      <c r="A795" s="2"/>
      <c r="E795" s="1"/>
      <c r="F795" s="1"/>
      <c r="G795" s="1"/>
      <c r="J795" s="47"/>
    </row>
    <row r="796" spans="1:10" x14ac:dyDescent="0.25">
      <c r="A796" s="2"/>
      <c r="E796" s="1"/>
      <c r="F796" s="1"/>
      <c r="G796" s="1"/>
      <c r="J796" s="47"/>
    </row>
    <row r="797" spans="1:10" x14ac:dyDescent="0.25">
      <c r="A797" s="2"/>
      <c r="E797" s="1"/>
      <c r="F797" s="1"/>
      <c r="G797" s="1"/>
      <c r="J797" s="47"/>
    </row>
    <row r="798" spans="1:10" x14ac:dyDescent="0.25">
      <c r="A798" s="2"/>
      <c r="E798" s="1"/>
      <c r="F798" s="1"/>
      <c r="G798" s="1"/>
      <c r="J798" s="47"/>
    </row>
    <row r="799" spans="1:10" x14ac:dyDescent="0.25">
      <c r="A799" s="2"/>
      <c r="E799" s="1"/>
      <c r="F799" s="1"/>
      <c r="G799" s="1"/>
      <c r="J799" s="47"/>
    </row>
    <row r="800" spans="1:10" x14ac:dyDescent="0.25">
      <c r="A800" s="2"/>
      <c r="E800" s="1"/>
      <c r="F800" s="1"/>
      <c r="G800" s="1"/>
      <c r="J800" s="47"/>
    </row>
    <row r="801" spans="1:10" x14ac:dyDescent="0.25">
      <c r="A801" s="2"/>
      <c r="E801" s="1"/>
      <c r="F801" s="1"/>
      <c r="G801" s="1"/>
      <c r="J801" s="47"/>
    </row>
    <row r="802" spans="1:10" x14ac:dyDescent="0.25">
      <c r="A802" s="2"/>
      <c r="E802" s="1"/>
      <c r="F802" s="1"/>
      <c r="G802" s="1"/>
      <c r="J802" s="47"/>
    </row>
    <row r="803" spans="1:10" x14ac:dyDescent="0.25">
      <c r="A803" s="2"/>
      <c r="E803" s="1"/>
      <c r="F803" s="1"/>
      <c r="G803" s="1"/>
      <c r="J803" s="47"/>
    </row>
    <row r="804" spans="1:10" x14ac:dyDescent="0.25">
      <c r="A804" s="2"/>
      <c r="E804" s="1"/>
      <c r="F804" s="1"/>
      <c r="G804" s="1"/>
      <c r="J804" s="47"/>
    </row>
    <row r="805" spans="1:10" x14ac:dyDescent="0.25">
      <c r="A805" s="2"/>
      <c r="E805" s="1"/>
      <c r="F805" s="1"/>
      <c r="G805" s="1"/>
      <c r="J805" s="47"/>
    </row>
    <row r="806" spans="1:10" x14ac:dyDescent="0.25">
      <c r="A806" s="2"/>
      <c r="E806" s="1"/>
      <c r="F806" s="1"/>
      <c r="G806" s="1"/>
      <c r="J806" s="47"/>
    </row>
    <row r="807" spans="1:10" x14ac:dyDescent="0.25">
      <c r="A807" s="2"/>
      <c r="E807" s="1"/>
      <c r="F807" s="1"/>
      <c r="G807" s="1"/>
      <c r="J807" s="47"/>
    </row>
    <row r="808" spans="1:10" x14ac:dyDescent="0.25">
      <c r="A808" s="2"/>
      <c r="E808" s="1"/>
      <c r="F808" s="1"/>
      <c r="G808" s="1"/>
      <c r="J808" s="47"/>
    </row>
    <row r="809" spans="1:10" x14ac:dyDescent="0.25">
      <c r="A809" s="2"/>
      <c r="E809" s="1"/>
      <c r="F809" s="1"/>
      <c r="G809" s="1"/>
      <c r="J809" s="47"/>
    </row>
    <row r="810" spans="1:10" x14ac:dyDescent="0.25">
      <c r="A810" s="2"/>
      <c r="E810" s="1"/>
      <c r="F810" s="1"/>
      <c r="G810" s="1"/>
      <c r="J810" s="47"/>
    </row>
    <row r="811" spans="1:10" x14ac:dyDescent="0.25">
      <c r="A811" s="2"/>
      <c r="E811" s="1"/>
      <c r="F811" s="1"/>
      <c r="G811" s="1"/>
      <c r="J811" s="47"/>
    </row>
    <row r="812" spans="1:10" x14ac:dyDescent="0.25">
      <c r="A812" s="2"/>
      <c r="E812" s="1"/>
      <c r="F812" s="1"/>
      <c r="G812" s="1"/>
      <c r="J812" s="47"/>
    </row>
    <row r="813" spans="1:10" x14ac:dyDescent="0.25">
      <c r="A813" s="2"/>
      <c r="E813" s="1"/>
      <c r="F813" s="1"/>
      <c r="G813" s="1"/>
      <c r="J813" s="47"/>
    </row>
    <row r="814" spans="1:10" x14ac:dyDescent="0.25">
      <c r="A814" s="2"/>
      <c r="E814" s="1"/>
      <c r="F814" s="1"/>
      <c r="G814" s="1"/>
      <c r="J814" s="47"/>
    </row>
    <row r="815" spans="1:10" x14ac:dyDescent="0.25">
      <c r="A815" s="2"/>
      <c r="E815" s="1"/>
      <c r="F815" s="1"/>
      <c r="G815" s="1"/>
    </row>
    <row r="816" spans="1:10" x14ac:dyDescent="0.25">
      <c r="A816" s="2"/>
      <c r="E816" s="1"/>
      <c r="F816" s="1"/>
      <c r="G816" s="1"/>
    </row>
    <row r="817" spans="1:7" x14ac:dyDescent="0.25">
      <c r="A817" s="2"/>
      <c r="E817" s="1"/>
      <c r="F817" s="1"/>
      <c r="G817" s="1"/>
    </row>
    <row r="818" spans="1:7" x14ac:dyDescent="0.25">
      <c r="A818" s="2"/>
      <c r="E818" s="1"/>
      <c r="F818" s="1"/>
      <c r="G818" s="1"/>
    </row>
    <row r="819" spans="1:7" x14ac:dyDescent="0.25">
      <c r="A819" s="2"/>
      <c r="E819" s="1"/>
      <c r="F819" s="1"/>
      <c r="G819" s="1"/>
    </row>
    <row r="820" spans="1:7" x14ac:dyDescent="0.25">
      <c r="A820" s="2"/>
      <c r="E820" s="1"/>
      <c r="F820" s="1"/>
      <c r="G820" s="1"/>
    </row>
    <row r="821" spans="1:7" x14ac:dyDescent="0.25">
      <c r="A821" s="2"/>
      <c r="E821" s="1"/>
      <c r="F821" s="1"/>
      <c r="G821" s="1"/>
    </row>
    <row r="822" spans="1:7" x14ac:dyDescent="0.25">
      <c r="A822" s="2"/>
      <c r="E822" s="1"/>
      <c r="F822" s="1"/>
      <c r="G822" s="1"/>
    </row>
    <row r="823" spans="1:7" x14ac:dyDescent="0.25">
      <c r="A823" s="2"/>
      <c r="E823" s="1"/>
      <c r="F823" s="1"/>
      <c r="G823" s="1"/>
    </row>
    <row r="824" spans="1:7" x14ac:dyDescent="0.25">
      <c r="A824" s="2"/>
      <c r="E824" s="1"/>
      <c r="F824" s="1"/>
      <c r="G824" s="1"/>
    </row>
    <row r="825" spans="1:7" x14ac:dyDescent="0.25">
      <c r="A825" s="2"/>
      <c r="E825" s="1"/>
      <c r="F825" s="1"/>
      <c r="G825" s="1"/>
    </row>
    <row r="826" spans="1:7" x14ac:dyDescent="0.25">
      <c r="A826" s="2"/>
      <c r="E826" s="1"/>
      <c r="F826" s="1"/>
      <c r="G826" s="1"/>
    </row>
    <row r="827" spans="1:7" x14ac:dyDescent="0.25">
      <c r="A827" s="2"/>
      <c r="E827" s="1"/>
      <c r="F827" s="1"/>
      <c r="G827" s="1"/>
    </row>
    <row r="828" spans="1:7" x14ac:dyDescent="0.25">
      <c r="A828" s="2"/>
      <c r="E828" s="1"/>
      <c r="F828" s="1"/>
      <c r="G828" s="1"/>
    </row>
    <row r="829" spans="1:7" x14ac:dyDescent="0.25">
      <c r="A829" s="2"/>
      <c r="E829" s="1"/>
      <c r="F829" s="1"/>
      <c r="G829" s="1"/>
    </row>
    <row r="830" spans="1:7" x14ac:dyDescent="0.25">
      <c r="A830" s="2"/>
      <c r="E830" s="1"/>
      <c r="F830" s="1"/>
      <c r="G830" s="1"/>
    </row>
    <row r="831" spans="1:7" x14ac:dyDescent="0.25">
      <c r="A831" s="2"/>
      <c r="E831" s="1"/>
      <c r="F831" s="1"/>
      <c r="G831" s="1"/>
    </row>
    <row r="832" spans="1:7" x14ac:dyDescent="0.25">
      <c r="A832" s="2"/>
      <c r="E832" s="1"/>
      <c r="F832" s="1"/>
      <c r="G832" s="1"/>
    </row>
    <row r="833" spans="1:7" x14ac:dyDescent="0.25">
      <c r="A833" s="2"/>
      <c r="E833" s="1"/>
      <c r="F833" s="1"/>
      <c r="G833" s="1"/>
    </row>
    <row r="834" spans="1:7" x14ac:dyDescent="0.25">
      <c r="A834" s="2"/>
      <c r="E834" s="1"/>
      <c r="F834" s="1"/>
      <c r="G834" s="1"/>
    </row>
    <row r="835" spans="1:7" x14ac:dyDescent="0.25">
      <c r="A835" s="2"/>
      <c r="E835" s="1"/>
      <c r="F835" s="1"/>
      <c r="G835" s="1"/>
    </row>
    <row r="836" spans="1:7" x14ac:dyDescent="0.25">
      <c r="A836" s="2"/>
      <c r="E836" s="1"/>
      <c r="F836" s="1"/>
      <c r="G836" s="1"/>
    </row>
    <row r="837" spans="1:7" x14ac:dyDescent="0.25">
      <c r="A837" s="2"/>
      <c r="E837" s="1"/>
      <c r="F837" s="1"/>
      <c r="G837" s="1"/>
    </row>
    <row r="838" spans="1:7" x14ac:dyDescent="0.25">
      <c r="A838" s="2"/>
      <c r="E838" s="1"/>
      <c r="F838" s="1"/>
      <c r="G838" s="1"/>
    </row>
    <row r="839" spans="1:7" x14ac:dyDescent="0.25">
      <c r="A839" s="2"/>
      <c r="E839" s="1"/>
      <c r="F839" s="1"/>
      <c r="G839" s="1"/>
    </row>
    <row r="840" spans="1:7" x14ac:dyDescent="0.25">
      <c r="A840" s="2"/>
      <c r="E840" s="1"/>
      <c r="F840" s="1"/>
      <c r="G840" s="1"/>
    </row>
    <row r="841" spans="1:7" x14ac:dyDescent="0.25">
      <c r="A841" s="2"/>
      <c r="E841" s="1"/>
      <c r="F841" s="1"/>
      <c r="G841" s="1"/>
    </row>
    <row r="842" spans="1:7" x14ac:dyDescent="0.25">
      <c r="A842" s="2"/>
      <c r="E842" s="1"/>
      <c r="F842" s="1"/>
      <c r="G842" s="1"/>
    </row>
    <row r="843" spans="1:7" x14ac:dyDescent="0.25">
      <c r="A843" s="2"/>
      <c r="E843" s="1"/>
      <c r="F843" s="1"/>
      <c r="G843" s="1"/>
    </row>
    <row r="844" spans="1:7" x14ac:dyDescent="0.25">
      <c r="A844" s="2"/>
      <c r="E844" s="1"/>
      <c r="F844" s="1"/>
      <c r="G844" s="1"/>
    </row>
    <row r="845" spans="1:7" x14ac:dyDescent="0.25">
      <c r="A845" s="2"/>
      <c r="E845" s="1"/>
      <c r="F845" s="1"/>
      <c r="G845" s="1"/>
    </row>
    <row r="846" spans="1:7" x14ac:dyDescent="0.25">
      <c r="A846" s="2"/>
      <c r="E846" s="1"/>
      <c r="F846" s="1"/>
      <c r="G846" s="1"/>
    </row>
    <row r="847" spans="1:7" x14ac:dyDescent="0.25">
      <c r="A847" s="2"/>
      <c r="E847" s="1"/>
      <c r="F847" s="1"/>
      <c r="G847" s="1"/>
    </row>
    <row r="848" spans="1:7" x14ac:dyDescent="0.25">
      <c r="A848" s="2"/>
      <c r="E848" s="1"/>
      <c r="F848" s="1"/>
      <c r="G848" s="1"/>
    </row>
    <row r="849" spans="1:7" x14ac:dyDescent="0.25">
      <c r="A849" s="2"/>
      <c r="E849" s="1"/>
      <c r="F849" s="1"/>
      <c r="G849" s="1"/>
    </row>
    <row r="850" spans="1:7" x14ac:dyDescent="0.25">
      <c r="A850" s="2"/>
      <c r="E850" s="1"/>
      <c r="F850" s="1"/>
      <c r="G850" s="1"/>
    </row>
    <row r="851" spans="1:7" x14ac:dyDescent="0.25">
      <c r="A851" s="2"/>
      <c r="E851" s="1"/>
      <c r="F851" s="1"/>
      <c r="G851" s="1"/>
    </row>
    <row r="852" spans="1:7" x14ac:dyDescent="0.25">
      <c r="A852" s="2"/>
      <c r="E852" s="1"/>
      <c r="F852" s="1"/>
      <c r="G852" s="1"/>
    </row>
    <row r="853" spans="1:7" x14ac:dyDescent="0.25">
      <c r="A853" s="2"/>
      <c r="E853" s="1"/>
      <c r="F853" s="1"/>
      <c r="G853" s="1"/>
    </row>
    <row r="854" spans="1:7" x14ac:dyDescent="0.25">
      <c r="A854" s="2"/>
      <c r="E854" s="1"/>
      <c r="F854" s="1"/>
      <c r="G854" s="1"/>
    </row>
    <row r="855" spans="1:7" x14ac:dyDescent="0.25">
      <c r="A855" s="2"/>
      <c r="E855" s="1"/>
      <c r="F855" s="1"/>
      <c r="G855" s="1"/>
    </row>
    <row r="856" spans="1:7" x14ac:dyDescent="0.25">
      <c r="A856" s="2"/>
      <c r="E856" s="1"/>
      <c r="F856" s="1"/>
      <c r="G856" s="1"/>
    </row>
    <row r="857" spans="1:7" x14ac:dyDescent="0.25">
      <c r="A857" s="2"/>
      <c r="E857" s="1"/>
      <c r="F857" s="1"/>
      <c r="G857" s="1"/>
    </row>
    <row r="858" spans="1:7" x14ac:dyDescent="0.25">
      <c r="A858" s="2"/>
      <c r="E858" s="1"/>
      <c r="F858" s="1"/>
      <c r="G858" s="1"/>
    </row>
    <row r="859" spans="1:7" x14ac:dyDescent="0.25">
      <c r="A859" s="2"/>
      <c r="E859" s="1"/>
      <c r="F859" s="1"/>
      <c r="G859" s="1"/>
    </row>
    <row r="860" spans="1:7" x14ac:dyDescent="0.25">
      <c r="A860" s="2"/>
      <c r="E860" s="1"/>
      <c r="F860" s="1"/>
      <c r="G860" s="1"/>
    </row>
    <row r="861" spans="1:7" x14ac:dyDescent="0.25">
      <c r="A861" s="2"/>
      <c r="E861" s="1"/>
      <c r="F861" s="1"/>
      <c r="G861" s="1"/>
    </row>
    <row r="862" spans="1:7" x14ac:dyDescent="0.25">
      <c r="A862" s="2"/>
      <c r="E862" s="1"/>
      <c r="F862" s="1"/>
      <c r="G862" s="1"/>
    </row>
    <row r="863" spans="1:7" x14ac:dyDescent="0.25">
      <c r="A863" s="2"/>
      <c r="E863" s="1"/>
      <c r="F863" s="1"/>
      <c r="G863" s="1"/>
    </row>
    <row r="864" spans="1:7" x14ac:dyDescent="0.25">
      <c r="A864" s="2"/>
      <c r="E864" s="1"/>
      <c r="F864" s="1"/>
      <c r="G864" s="1"/>
    </row>
    <row r="865" spans="1:7" x14ac:dyDescent="0.25">
      <c r="A865" s="2"/>
      <c r="E865" s="1"/>
      <c r="F865" s="1"/>
      <c r="G865" s="1"/>
    </row>
    <row r="866" spans="1:7" x14ac:dyDescent="0.25">
      <c r="A866" s="2"/>
      <c r="E866" s="1"/>
      <c r="F866" s="1"/>
      <c r="G866" s="1"/>
    </row>
    <row r="867" spans="1:7" x14ac:dyDescent="0.25">
      <c r="A867" s="2"/>
      <c r="E867" s="1"/>
      <c r="F867" s="1"/>
      <c r="G867" s="1"/>
    </row>
    <row r="868" spans="1:7" x14ac:dyDescent="0.25">
      <c r="A868" s="2"/>
      <c r="E868" s="1"/>
      <c r="F868" s="1"/>
      <c r="G868" s="1"/>
    </row>
    <row r="869" spans="1:7" x14ac:dyDescent="0.25">
      <c r="A869" s="2"/>
      <c r="E869" s="1"/>
      <c r="F869" s="1"/>
      <c r="G869" s="1"/>
    </row>
    <row r="870" spans="1:7" x14ac:dyDescent="0.25">
      <c r="A870" s="2"/>
      <c r="E870" s="1"/>
      <c r="F870" s="1"/>
      <c r="G870" s="1"/>
    </row>
    <row r="871" spans="1:7" x14ac:dyDescent="0.25">
      <c r="A871" s="2"/>
      <c r="E871" s="1"/>
      <c r="F871" s="1"/>
      <c r="G871" s="1"/>
    </row>
    <row r="872" spans="1:7" x14ac:dyDescent="0.25">
      <c r="A872" s="2"/>
      <c r="E872" s="1"/>
      <c r="F872" s="1"/>
      <c r="G872" s="1"/>
    </row>
    <row r="873" spans="1:7" x14ac:dyDescent="0.25">
      <c r="A873" s="2"/>
      <c r="E873" s="1"/>
      <c r="F873" s="1"/>
      <c r="G873" s="1"/>
    </row>
    <row r="874" spans="1:7" x14ac:dyDescent="0.25">
      <c r="A874" s="2"/>
      <c r="E874" s="1"/>
      <c r="F874" s="1"/>
      <c r="G874" s="1"/>
    </row>
    <row r="875" spans="1:7" x14ac:dyDescent="0.25">
      <c r="A875" s="2"/>
      <c r="E875" s="1"/>
      <c r="F875" s="1"/>
      <c r="G875" s="1"/>
    </row>
    <row r="876" spans="1:7" x14ac:dyDescent="0.25">
      <c r="A876" s="2"/>
      <c r="E876" s="1"/>
      <c r="F876" s="1"/>
      <c r="G876" s="1"/>
    </row>
    <row r="877" spans="1:7" x14ac:dyDescent="0.25">
      <c r="A877" s="2"/>
      <c r="E877" s="1"/>
      <c r="F877" s="1"/>
      <c r="G877" s="1"/>
    </row>
    <row r="878" spans="1:7" x14ac:dyDescent="0.25">
      <c r="A878" s="2"/>
      <c r="E878" s="1"/>
      <c r="F878" s="1"/>
      <c r="G878" s="1"/>
    </row>
    <row r="879" spans="1:7" x14ac:dyDescent="0.25">
      <c r="A879" s="2"/>
      <c r="E879" s="1"/>
      <c r="F879" s="1"/>
      <c r="G879" s="1"/>
    </row>
    <row r="880" spans="1:7" x14ac:dyDescent="0.25">
      <c r="A880" s="2"/>
      <c r="E880" s="1"/>
      <c r="F880" s="1"/>
      <c r="G880" s="1"/>
    </row>
    <row r="881" spans="1:7" x14ac:dyDescent="0.25">
      <c r="A881" s="2"/>
      <c r="E881" s="1"/>
      <c r="F881" s="1"/>
      <c r="G881" s="1"/>
    </row>
    <row r="882" spans="1:7" x14ac:dyDescent="0.25">
      <c r="A882" s="2"/>
      <c r="E882" s="1"/>
      <c r="F882" s="1"/>
      <c r="G882" s="1"/>
    </row>
    <row r="883" spans="1:7" x14ac:dyDescent="0.25">
      <c r="A883" s="2"/>
      <c r="E883" s="1"/>
      <c r="F883" s="1"/>
      <c r="G883" s="1"/>
    </row>
    <row r="884" spans="1:7" x14ac:dyDescent="0.25">
      <c r="A884" s="2"/>
      <c r="E884" s="1"/>
      <c r="F884" s="1"/>
      <c r="G884" s="1"/>
    </row>
    <row r="885" spans="1:7" x14ac:dyDescent="0.25">
      <c r="A885" s="2"/>
      <c r="E885" s="1"/>
      <c r="F885" s="1"/>
      <c r="G885" s="1"/>
    </row>
    <row r="886" spans="1:7" x14ac:dyDescent="0.25">
      <c r="A886" s="2"/>
      <c r="E886" s="1"/>
      <c r="F886" s="1"/>
      <c r="G886" s="1"/>
    </row>
    <row r="887" spans="1:7" x14ac:dyDescent="0.25">
      <c r="A887" s="2"/>
      <c r="E887" s="1"/>
      <c r="F887" s="1"/>
      <c r="G887" s="1"/>
    </row>
    <row r="888" spans="1:7" x14ac:dyDescent="0.25">
      <c r="A888" s="2"/>
      <c r="E888" s="1"/>
      <c r="F888" s="1"/>
      <c r="G888" s="1"/>
    </row>
    <row r="889" spans="1:7" x14ac:dyDescent="0.25">
      <c r="A889" s="2"/>
      <c r="E889" s="1"/>
      <c r="F889" s="1"/>
      <c r="G889" s="1"/>
    </row>
    <row r="890" spans="1:7" x14ac:dyDescent="0.25">
      <c r="A890" s="2"/>
      <c r="E890" s="1"/>
      <c r="F890" s="1"/>
      <c r="G890" s="1"/>
    </row>
    <row r="891" spans="1:7" x14ac:dyDescent="0.25">
      <c r="A891" s="2"/>
      <c r="E891" s="1"/>
      <c r="F891" s="1"/>
      <c r="G891" s="1"/>
    </row>
    <row r="892" spans="1:7" x14ac:dyDescent="0.25">
      <c r="A892" s="2"/>
      <c r="E892" s="1"/>
      <c r="F892" s="1"/>
      <c r="G892" s="1"/>
    </row>
    <row r="893" spans="1:7" x14ac:dyDescent="0.25">
      <c r="A893" s="2"/>
      <c r="E893" s="1"/>
      <c r="F893" s="1"/>
      <c r="G893" s="1"/>
    </row>
    <row r="894" spans="1:7" x14ac:dyDescent="0.25">
      <c r="A894" s="2"/>
      <c r="E894" s="1"/>
      <c r="F894" s="1"/>
      <c r="G894" s="1"/>
    </row>
    <row r="895" spans="1:7" x14ac:dyDescent="0.25">
      <c r="A895" s="2"/>
      <c r="E895" s="1"/>
      <c r="F895" s="1"/>
      <c r="G895" s="1"/>
    </row>
    <row r="896" spans="1:7" x14ac:dyDescent="0.25">
      <c r="A896" s="2"/>
      <c r="E896" s="1"/>
      <c r="F896" s="1"/>
      <c r="G896" s="1"/>
    </row>
    <row r="897" spans="1:7" x14ac:dyDescent="0.25">
      <c r="A897" s="2"/>
      <c r="E897" s="1"/>
      <c r="F897" s="1"/>
      <c r="G897" s="1"/>
    </row>
    <row r="898" spans="1:7" x14ac:dyDescent="0.25">
      <c r="A898" s="2"/>
      <c r="E898" s="1"/>
      <c r="F898" s="1"/>
      <c r="G898" s="1"/>
    </row>
    <row r="899" spans="1:7" x14ac:dyDescent="0.25">
      <c r="A899" s="2"/>
      <c r="E899" s="1"/>
      <c r="F899" s="1"/>
      <c r="G899" s="1"/>
    </row>
    <row r="900" spans="1:7" x14ac:dyDescent="0.25">
      <c r="A900" s="2"/>
      <c r="E900" s="1"/>
      <c r="F900" s="1"/>
      <c r="G900" s="1"/>
    </row>
    <row r="901" spans="1:7" x14ac:dyDescent="0.25">
      <c r="A901" s="2"/>
      <c r="E901" s="1"/>
      <c r="F901" s="1"/>
      <c r="G901" s="1"/>
    </row>
    <row r="902" spans="1:7" x14ac:dyDescent="0.25">
      <c r="A902" s="2"/>
      <c r="E902" s="1"/>
      <c r="F902" s="1"/>
      <c r="G902" s="1"/>
    </row>
    <row r="903" spans="1:7" x14ac:dyDescent="0.25">
      <c r="A903" s="2"/>
      <c r="E903" s="1"/>
      <c r="F903" s="1"/>
      <c r="G903" s="1"/>
    </row>
    <row r="904" spans="1:7" x14ac:dyDescent="0.25">
      <c r="A904" s="2"/>
      <c r="E904" s="1"/>
      <c r="F904" s="1"/>
      <c r="G904" s="1"/>
    </row>
    <row r="905" spans="1:7" x14ac:dyDescent="0.25">
      <c r="A905" s="2"/>
      <c r="E905" s="1"/>
      <c r="F905" s="1"/>
      <c r="G905" s="1"/>
    </row>
    <row r="906" spans="1:7" x14ac:dyDescent="0.25">
      <c r="A906" s="2"/>
      <c r="E906" s="1"/>
      <c r="F906" s="1"/>
      <c r="G906" s="1"/>
    </row>
    <row r="907" spans="1:7" x14ac:dyDescent="0.25">
      <c r="A907" s="2"/>
      <c r="E907" s="1"/>
      <c r="F907" s="1"/>
      <c r="G907" s="1"/>
    </row>
    <row r="908" spans="1:7" x14ac:dyDescent="0.25">
      <c r="A908" s="2"/>
      <c r="E908" s="1"/>
      <c r="F908" s="1"/>
      <c r="G908" s="1"/>
    </row>
    <row r="909" spans="1:7" x14ac:dyDescent="0.25">
      <c r="A909" s="2"/>
      <c r="E909" s="1"/>
      <c r="F909" s="1"/>
      <c r="G909" s="1"/>
    </row>
    <row r="910" spans="1:7" x14ac:dyDescent="0.25">
      <c r="A910" s="2"/>
      <c r="E910" s="1"/>
      <c r="F910" s="1"/>
      <c r="G910" s="1"/>
    </row>
    <row r="911" spans="1:7" x14ac:dyDescent="0.25">
      <c r="A911" s="2"/>
      <c r="E911" s="1"/>
      <c r="F911" s="1"/>
      <c r="G911" s="1"/>
    </row>
    <row r="912" spans="1:7" x14ac:dyDescent="0.25">
      <c r="A912" s="2"/>
      <c r="E912" s="1"/>
      <c r="F912" s="1"/>
      <c r="G912" s="1"/>
    </row>
    <row r="913" spans="1:7" x14ac:dyDescent="0.25">
      <c r="A913" s="2"/>
      <c r="E913" s="1"/>
      <c r="F913" s="1"/>
      <c r="G913" s="1"/>
    </row>
    <row r="914" spans="1:7" x14ac:dyDescent="0.25">
      <c r="A914" s="2"/>
      <c r="E914" s="1"/>
      <c r="F914" s="1"/>
      <c r="G914" s="1"/>
    </row>
    <row r="915" spans="1:7" x14ac:dyDescent="0.25">
      <c r="A915" s="2"/>
      <c r="E915" s="1"/>
      <c r="F915" s="1"/>
      <c r="G915" s="1"/>
    </row>
    <row r="916" spans="1:7" x14ac:dyDescent="0.25">
      <c r="A916" s="2"/>
      <c r="E916" s="1"/>
      <c r="F916" s="1"/>
      <c r="G916" s="1"/>
    </row>
    <row r="917" spans="1:7" x14ac:dyDescent="0.25">
      <c r="A917" s="2"/>
      <c r="E917" s="1"/>
      <c r="F917" s="1"/>
      <c r="G917" s="1"/>
    </row>
    <row r="918" spans="1:7" x14ac:dyDescent="0.25">
      <c r="A918" s="2"/>
      <c r="E918" s="1"/>
      <c r="F918" s="1"/>
      <c r="G918" s="1"/>
    </row>
    <row r="919" spans="1:7" x14ac:dyDescent="0.25">
      <c r="A919" s="2"/>
      <c r="E919" s="1"/>
      <c r="F919" s="1"/>
      <c r="G919" s="1"/>
    </row>
    <row r="920" spans="1:7" x14ac:dyDescent="0.25">
      <c r="A920" s="2"/>
      <c r="E920" s="1"/>
      <c r="F920" s="1"/>
      <c r="G920" s="1"/>
    </row>
    <row r="921" spans="1:7" x14ac:dyDescent="0.25">
      <c r="A921" s="2"/>
      <c r="E921" s="1"/>
      <c r="F921" s="1"/>
      <c r="G921" s="1"/>
    </row>
    <row r="922" spans="1:7" x14ac:dyDescent="0.25">
      <c r="A922" s="2"/>
      <c r="E922" s="1"/>
      <c r="F922" s="1"/>
      <c r="G922" s="1"/>
    </row>
    <row r="923" spans="1:7" x14ac:dyDescent="0.25">
      <c r="A923" s="2"/>
      <c r="E923" s="1"/>
      <c r="F923" s="1"/>
      <c r="G923" s="1"/>
    </row>
    <row r="924" spans="1:7" x14ac:dyDescent="0.25">
      <c r="A924" s="2"/>
      <c r="E924" s="1"/>
      <c r="F924" s="1"/>
      <c r="G924" s="1"/>
    </row>
    <row r="925" spans="1:7" x14ac:dyDescent="0.25">
      <c r="A925" s="2"/>
      <c r="E925" s="1"/>
      <c r="F925" s="1"/>
      <c r="G925" s="1"/>
    </row>
    <row r="926" spans="1:7" x14ac:dyDescent="0.25">
      <c r="A926" s="2"/>
      <c r="E926" s="1"/>
      <c r="F926" s="1"/>
      <c r="G926" s="1"/>
    </row>
    <row r="927" spans="1:7" x14ac:dyDescent="0.25">
      <c r="A927" s="2"/>
      <c r="E927" s="1"/>
      <c r="F927" s="1"/>
      <c r="G927" s="1"/>
    </row>
    <row r="928" spans="1:7" x14ac:dyDescent="0.25">
      <c r="A928" s="2"/>
      <c r="E928" s="1"/>
      <c r="F928" s="1"/>
      <c r="G928" s="1"/>
    </row>
    <row r="929" spans="1:7" x14ac:dyDescent="0.25">
      <c r="A929" s="2"/>
      <c r="E929" s="1"/>
      <c r="F929" s="1"/>
      <c r="G929" s="1"/>
    </row>
    <row r="930" spans="1:7" x14ac:dyDescent="0.25">
      <c r="A930" s="2"/>
      <c r="E930" s="1"/>
      <c r="F930" s="1"/>
      <c r="G930" s="1"/>
    </row>
    <row r="931" spans="1:7" x14ac:dyDescent="0.25">
      <c r="A931" s="2"/>
      <c r="E931" s="1"/>
      <c r="F931" s="1"/>
      <c r="G931" s="1"/>
    </row>
    <row r="932" spans="1:7" x14ac:dyDescent="0.25">
      <c r="A932" s="2"/>
      <c r="E932" s="1"/>
      <c r="F932" s="1"/>
      <c r="G932" s="1"/>
    </row>
    <row r="933" spans="1:7" x14ac:dyDescent="0.25">
      <c r="A933" s="2"/>
      <c r="E933" s="1"/>
      <c r="F933" s="1"/>
      <c r="G933" s="1"/>
    </row>
    <row r="934" spans="1:7" x14ac:dyDescent="0.25">
      <c r="A934" s="2"/>
      <c r="E934" s="1"/>
      <c r="F934" s="1"/>
      <c r="G934" s="1"/>
    </row>
    <row r="935" spans="1:7" x14ac:dyDescent="0.25">
      <c r="A935" s="2"/>
      <c r="E935" s="1"/>
      <c r="F935" s="1"/>
      <c r="G935" s="1"/>
    </row>
    <row r="936" spans="1:7" x14ac:dyDescent="0.25">
      <c r="A936" s="2"/>
      <c r="E936" s="1"/>
      <c r="F936" s="1"/>
      <c r="G936" s="1"/>
    </row>
    <row r="937" spans="1:7" x14ac:dyDescent="0.25">
      <c r="A937" s="2"/>
      <c r="E937" s="1"/>
      <c r="F937" s="1"/>
      <c r="G937" s="1"/>
    </row>
    <row r="938" spans="1:7" x14ac:dyDescent="0.25">
      <c r="A938" s="2"/>
      <c r="E938" s="1"/>
      <c r="F938" s="1"/>
      <c r="G938" s="1"/>
    </row>
    <row r="939" spans="1:7" x14ac:dyDescent="0.25">
      <c r="A939" s="2"/>
      <c r="E939" s="1"/>
      <c r="F939" s="1"/>
      <c r="G939" s="1"/>
    </row>
    <row r="940" spans="1:7" x14ac:dyDescent="0.25">
      <c r="A940" s="2"/>
      <c r="E940" s="1"/>
      <c r="F940" s="1"/>
      <c r="G940" s="1"/>
    </row>
    <row r="941" spans="1:7" x14ac:dyDescent="0.25">
      <c r="A941" s="2"/>
      <c r="E941" s="1"/>
      <c r="F941" s="1"/>
      <c r="G941" s="1"/>
    </row>
    <row r="942" spans="1:7" x14ac:dyDescent="0.25">
      <c r="A942" s="2"/>
      <c r="E942" s="1"/>
      <c r="F942" s="1"/>
      <c r="G942" s="1"/>
    </row>
    <row r="943" spans="1:7" x14ac:dyDescent="0.25">
      <c r="A943" s="2"/>
      <c r="E943" s="1"/>
      <c r="F943" s="1"/>
      <c r="G943" s="1"/>
    </row>
    <row r="944" spans="1:7" x14ac:dyDescent="0.25">
      <c r="A944" s="2"/>
      <c r="E944" s="1"/>
      <c r="F944" s="1"/>
      <c r="G944" s="1"/>
    </row>
    <row r="945" spans="1:7" x14ac:dyDescent="0.25">
      <c r="A945" s="2"/>
      <c r="E945" s="1"/>
      <c r="F945" s="1"/>
      <c r="G945" s="1"/>
    </row>
    <row r="946" spans="1:7" x14ac:dyDescent="0.25">
      <c r="A946" s="2"/>
      <c r="E946" s="1"/>
      <c r="F946" s="1"/>
      <c r="G946" s="1"/>
    </row>
    <row r="947" spans="1:7" x14ac:dyDescent="0.25">
      <c r="A947" s="2"/>
      <c r="E947" s="1"/>
      <c r="F947" s="1"/>
      <c r="G947" s="1"/>
    </row>
    <row r="948" spans="1:7" x14ac:dyDescent="0.25">
      <c r="A948" s="2"/>
      <c r="E948" s="1"/>
      <c r="F948" s="1"/>
      <c r="G948" s="1"/>
    </row>
    <row r="949" spans="1:7" x14ac:dyDescent="0.25">
      <c r="A949" s="2"/>
      <c r="E949" s="1"/>
      <c r="F949" s="1"/>
      <c r="G949" s="1"/>
    </row>
    <row r="950" spans="1:7" x14ac:dyDescent="0.25">
      <c r="A950" s="2"/>
      <c r="E950" s="1"/>
      <c r="F950" s="1"/>
      <c r="G950" s="1"/>
    </row>
    <row r="951" spans="1:7" x14ac:dyDescent="0.25">
      <c r="A951" s="2"/>
      <c r="E951" s="1"/>
      <c r="F951" s="1"/>
      <c r="G951" s="1"/>
    </row>
    <row r="952" spans="1:7" x14ac:dyDescent="0.25">
      <c r="A952" s="2"/>
      <c r="E952" s="1"/>
      <c r="F952" s="1"/>
      <c r="G952" s="1"/>
    </row>
    <row r="953" spans="1:7" x14ac:dyDescent="0.25">
      <c r="A953" s="2"/>
      <c r="E953" s="1"/>
      <c r="F953" s="1"/>
      <c r="G953" s="1"/>
    </row>
    <row r="954" spans="1:7" x14ac:dyDescent="0.25">
      <c r="A954" s="2"/>
      <c r="E954" s="1"/>
      <c r="F954" s="1"/>
      <c r="G954" s="1"/>
    </row>
    <row r="955" spans="1:7" x14ac:dyDescent="0.25">
      <c r="A955" s="2"/>
      <c r="E955" s="1"/>
      <c r="F955" s="1"/>
      <c r="G955" s="1"/>
    </row>
    <row r="956" spans="1:7" x14ac:dyDescent="0.25">
      <c r="A956" s="2"/>
      <c r="E956" s="1"/>
      <c r="F956" s="1"/>
      <c r="G956" s="1"/>
    </row>
    <row r="957" spans="1:7" x14ac:dyDescent="0.25">
      <c r="A957" s="2"/>
      <c r="E957" s="1"/>
      <c r="F957" s="1"/>
      <c r="G957" s="1"/>
    </row>
    <row r="958" spans="1:7" x14ac:dyDescent="0.25">
      <c r="A958" s="2"/>
      <c r="E958" s="1"/>
      <c r="F958" s="1"/>
      <c r="G958" s="1"/>
    </row>
    <row r="959" spans="1:7" x14ac:dyDescent="0.25">
      <c r="A959" s="2"/>
      <c r="E959" s="1"/>
      <c r="F959" s="1"/>
      <c r="G959" s="1"/>
    </row>
    <row r="960" spans="1:7" x14ac:dyDescent="0.25">
      <c r="A960" s="2"/>
      <c r="E960" s="1"/>
      <c r="F960" s="1"/>
      <c r="G960" s="1"/>
    </row>
    <row r="961" spans="1:7" x14ac:dyDescent="0.25">
      <c r="A961" s="2"/>
      <c r="E961" s="1"/>
      <c r="F961" s="1"/>
      <c r="G961" s="1"/>
    </row>
    <row r="962" spans="1:7" x14ac:dyDescent="0.25">
      <c r="A962" s="2"/>
      <c r="E962" s="1"/>
      <c r="F962" s="1"/>
      <c r="G962" s="1"/>
    </row>
    <row r="963" spans="1:7" x14ac:dyDescent="0.25">
      <c r="A963" s="2"/>
      <c r="E963" s="1"/>
      <c r="F963" s="1"/>
      <c r="G963" s="1"/>
    </row>
    <row r="964" spans="1:7" x14ac:dyDescent="0.25">
      <c r="A964" s="2"/>
      <c r="E964" s="1"/>
      <c r="F964" s="1"/>
      <c r="G964" s="1"/>
    </row>
    <row r="965" spans="1:7" x14ac:dyDescent="0.25">
      <c r="A965" s="2"/>
      <c r="E965" s="1"/>
      <c r="F965" s="1"/>
      <c r="G965" s="1"/>
    </row>
    <row r="966" spans="1:7" x14ac:dyDescent="0.25">
      <c r="A966" s="2"/>
      <c r="E966" s="1"/>
      <c r="F966" s="1"/>
      <c r="G966" s="1"/>
    </row>
    <row r="967" spans="1:7" x14ac:dyDescent="0.25">
      <c r="A967" s="2"/>
      <c r="E967" s="1"/>
      <c r="F967" s="1"/>
      <c r="G967" s="1"/>
    </row>
    <row r="968" spans="1:7" x14ac:dyDescent="0.25">
      <c r="A968" s="2"/>
      <c r="E968" s="1"/>
      <c r="F968" s="1"/>
      <c r="G968" s="1"/>
    </row>
    <row r="969" spans="1:7" x14ac:dyDescent="0.25">
      <c r="A969" s="2"/>
      <c r="E969" s="1"/>
      <c r="F969" s="1"/>
      <c r="G969" s="1"/>
    </row>
    <row r="970" spans="1:7" x14ac:dyDescent="0.25">
      <c r="A970" s="2"/>
      <c r="E970" s="1"/>
      <c r="F970" s="1"/>
      <c r="G970" s="1"/>
    </row>
    <row r="971" spans="1:7" x14ac:dyDescent="0.25">
      <c r="A971" s="2"/>
      <c r="E971" s="1"/>
      <c r="F971" s="1"/>
      <c r="G971" s="1"/>
    </row>
    <row r="972" spans="1:7" x14ac:dyDescent="0.25">
      <c r="A972" s="2"/>
      <c r="E972" s="1"/>
      <c r="F972" s="1"/>
      <c r="G972" s="1"/>
    </row>
    <row r="973" spans="1:7" x14ac:dyDescent="0.25">
      <c r="A973" s="2"/>
      <c r="E973" s="1"/>
      <c r="F973" s="1"/>
      <c r="G973" s="1"/>
    </row>
    <row r="974" spans="1:7" x14ac:dyDescent="0.25">
      <c r="A974" s="2"/>
      <c r="E974" s="1"/>
      <c r="F974" s="1"/>
      <c r="G974" s="1"/>
    </row>
    <row r="975" spans="1:7" x14ac:dyDescent="0.25">
      <c r="A975" s="2"/>
      <c r="E975" s="1"/>
      <c r="F975" s="1"/>
      <c r="G975" s="1"/>
    </row>
    <row r="976" spans="1:7" x14ac:dyDescent="0.25">
      <c r="A976" s="2"/>
      <c r="E976" s="1"/>
      <c r="F976" s="1"/>
      <c r="G976" s="1"/>
    </row>
    <row r="977" spans="1:7" x14ac:dyDescent="0.25">
      <c r="A977" s="2"/>
      <c r="E977" s="1"/>
      <c r="F977" s="1"/>
      <c r="G977" s="1"/>
    </row>
    <row r="978" spans="1:7" x14ac:dyDescent="0.25">
      <c r="A978" s="2"/>
      <c r="E978" s="1"/>
      <c r="F978" s="1"/>
      <c r="G978" s="1"/>
    </row>
    <row r="979" spans="1:7" x14ac:dyDescent="0.25">
      <c r="A979" s="2"/>
      <c r="E979" s="1"/>
      <c r="F979" s="1"/>
      <c r="G979" s="1"/>
    </row>
    <row r="980" spans="1:7" x14ac:dyDescent="0.25">
      <c r="A980" s="2"/>
      <c r="E980" s="1"/>
      <c r="F980" s="1"/>
      <c r="G980" s="1"/>
    </row>
    <row r="981" spans="1:7" x14ac:dyDescent="0.25">
      <c r="A981" s="2"/>
      <c r="E981" s="1"/>
      <c r="F981" s="1"/>
      <c r="G981" s="1"/>
    </row>
    <row r="982" spans="1:7" x14ac:dyDescent="0.25">
      <c r="A982" s="2"/>
      <c r="E982" s="1"/>
      <c r="F982" s="1"/>
      <c r="G982" s="1"/>
    </row>
    <row r="983" spans="1:7" x14ac:dyDescent="0.25">
      <c r="A983" s="2"/>
      <c r="E983" s="1"/>
      <c r="F983" s="1"/>
      <c r="G983" s="1"/>
    </row>
    <row r="984" spans="1:7" x14ac:dyDescent="0.25">
      <c r="A984" s="2"/>
      <c r="E984" s="1"/>
      <c r="F984" s="1"/>
      <c r="G984" s="1"/>
    </row>
    <row r="985" spans="1:7" x14ac:dyDescent="0.25">
      <c r="A985" s="2"/>
      <c r="E985" s="1"/>
      <c r="F985" s="1"/>
      <c r="G985" s="1"/>
    </row>
    <row r="986" spans="1:7" x14ac:dyDescent="0.25">
      <c r="A986" s="2"/>
      <c r="E986" s="1"/>
      <c r="F986" s="1"/>
      <c r="G986" s="1"/>
    </row>
    <row r="987" spans="1:7" x14ac:dyDescent="0.25">
      <c r="A987" s="2"/>
      <c r="E987" s="1"/>
      <c r="F987" s="1"/>
      <c r="G987" s="1"/>
    </row>
    <row r="988" spans="1:7" x14ac:dyDescent="0.25">
      <c r="A988" s="2"/>
      <c r="E988" s="1"/>
      <c r="F988" s="1"/>
      <c r="G988" s="1"/>
    </row>
    <row r="989" spans="1:7" x14ac:dyDescent="0.25">
      <c r="A989" s="2"/>
      <c r="E989" s="1"/>
      <c r="F989" s="1"/>
      <c r="G989" s="1"/>
    </row>
    <row r="990" spans="1:7" x14ac:dyDescent="0.25">
      <c r="A990" s="2"/>
      <c r="E990" s="1"/>
      <c r="F990" s="1"/>
      <c r="G990" s="1"/>
    </row>
    <row r="991" spans="1:7" x14ac:dyDescent="0.25">
      <c r="A991" s="2"/>
      <c r="E991" s="1"/>
      <c r="F991" s="1"/>
      <c r="G991" s="1"/>
    </row>
    <row r="992" spans="1:7" x14ac:dyDescent="0.25">
      <c r="A992" s="2"/>
      <c r="E992" s="1"/>
      <c r="F992" s="1"/>
      <c r="G992" s="1"/>
    </row>
    <row r="993" spans="1:7" x14ac:dyDescent="0.25">
      <c r="A993" s="2"/>
      <c r="E993" s="1"/>
      <c r="F993" s="1"/>
      <c r="G993" s="1"/>
    </row>
    <row r="994" spans="1:7" x14ac:dyDescent="0.25">
      <c r="A994" s="2"/>
      <c r="E994" s="1"/>
      <c r="F994" s="1"/>
      <c r="G994" s="1"/>
    </row>
    <row r="995" spans="1:7" x14ac:dyDescent="0.25">
      <c r="A995" s="2"/>
      <c r="E995" s="1"/>
      <c r="F995" s="1"/>
      <c r="G995" s="1"/>
    </row>
    <row r="996" spans="1:7" x14ac:dyDescent="0.25">
      <c r="A996" s="2"/>
      <c r="E996" s="1"/>
      <c r="F996" s="1"/>
      <c r="G996" s="1"/>
    </row>
    <row r="997" spans="1:7" x14ac:dyDescent="0.25">
      <c r="A997" s="2"/>
      <c r="E997" s="1"/>
      <c r="F997" s="1"/>
      <c r="G997" s="1"/>
    </row>
    <row r="998" spans="1:7" x14ac:dyDescent="0.25">
      <c r="E998" s="1"/>
      <c r="F998" s="1"/>
      <c r="G998" s="1"/>
    </row>
  </sheetData>
  <sortState xmlns:xlrd2="http://schemas.microsoft.com/office/spreadsheetml/2017/richdata2" ref="N15:O770">
    <sortCondition ref="O15:O770"/>
  </sortState>
  <mergeCells count="2">
    <mergeCell ref="B3:D3"/>
    <mergeCell ref="E3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D1D9-0790-4FF8-87C1-400574E0643A}">
  <sheetPr codeName="Sheet3"/>
  <dimension ref="A1:K772"/>
  <sheetViews>
    <sheetView workbookViewId="0">
      <selection activeCell="H3" sqref="H3:J6"/>
    </sheetView>
  </sheetViews>
  <sheetFormatPr defaultRowHeight="12.5" x14ac:dyDescent="0.25"/>
  <cols>
    <col min="1" max="1" width="16.1796875" customWidth="1"/>
    <col min="2" max="2" width="12.08984375" bestFit="1" customWidth="1"/>
    <col min="3" max="3" width="9.90625" customWidth="1"/>
    <col min="4" max="4" width="12.08984375" bestFit="1" customWidth="1"/>
    <col min="6" max="6" width="9.90625" bestFit="1" customWidth="1"/>
    <col min="9" max="9" width="12.1796875" customWidth="1"/>
  </cols>
  <sheetData>
    <row r="1" spans="1:11" s="11" customFormat="1" ht="13.5" thickBot="1" x14ac:dyDescent="0.35">
      <c r="A1" s="58" t="s">
        <v>12</v>
      </c>
      <c r="G1" s="59" t="s">
        <v>24</v>
      </c>
    </row>
    <row r="2" spans="1:11" ht="13.5" thickBot="1" x14ac:dyDescent="0.35">
      <c r="A2" s="55"/>
      <c r="B2" s="55" t="s">
        <v>0</v>
      </c>
      <c r="C2" s="55" t="s">
        <v>10</v>
      </c>
      <c r="D2" s="55" t="s">
        <v>1</v>
      </c>
      <c r="H2" s="36" t="s">
        <v>0</v>
      </c>
      <c r="I2" s="36" t="s">
        <v>10</v>
      </c>
      <c r="J2" s="36" t="s">
        <v>1</v>
      </c>
    </row>
    <row r="3" spans="1:11" ht="13" thickTop="1" x14ac:dyDescent="0.25">
      <c r="A3" s="53" t="s">
        <v>0</v>
      </c>
      <c r="B3" s="53" t="e">
        <f>VARP('1_Hist_sim'!$E$5:$E$760)</f>
        <v>#DIV/0!</v>
      </c>
      <c r="C3" s="53" t="e">
        <f>+B4</f>
        <v>#DIV/0!</v>
      </c>
      <c r="D3" s="53" t="e">
        <f>+B5</f>
        <v>#DIV/0!</v>
      </c>
      <c r="F3" s="16"/>
      <c r="G3" s="60" t="s">
        <v>25</v>
      </c>
      <c r="H3" s="27"/>
      <c r="I3" s="27"/>
      <c r="J3" s="27"/>
    </row>
    <row r="4" spans="1:11" x14ac:dyDescent="0.25">
      <c r="A4" s="53" t="s">
        <v>10</v>
      </c>
      <c r="B4" s="53" t="e">
        <f>+_xlfn.COVARIANCE.S('1_Hist_sim'!E5:E760,'1_Hist_sim'!F5:F760)</f>
        <v>#DIV/0!</v>
      </c>
      <c r="C4" s="53" t="e">
        <f>VARP('1_Hist_sim'!$F$5:$F$760)</f>
        <v>#DIV/0!</v>
      </c>
      <c r="D4" s="53" t="e">
        <f>+C5</f>
        <v>#DIV/0!</v>
      </c>
      <c r="F4" s="16"/>
      <c r="G4" s="61" t="s">
        <v>23</v>
      </c>
      <c r="H4" s="27"/>
      <c r="I4" s="27"/>
      <c r="J4" s="27"/>
      <c r="K4" s="12"/>
    </row>
    <row r="5" spans="1:11" ht="13" thickBot="1" x14ac:dyDescent="0.3">
      <c r="A5" s="54" t="s">
        <v>1</v>
      </c>
      <c r="B5" s="54" t="e">
        <f>+_xlfn.COVARIANCE.S('1_Hist_sim'!E5:E760,'1_Hist_sim'!G5:G760)</f>
        <v>#DIV/0!</v>
      </c>
      <c r="C5" s="54" t="e">
        <f>+_xlfn.COVARIANCE.S('1_Hist_sim'!F5:F760,'1_Hist_sim'!G5:G760)</f>
        <v>#DIV/0!</v>
      </c>
      <c r="D5" s="54" t="e">
        <f>VARP('1_Hist_sim'!$G$5:$G$760)</f>
        <v>#DIV/0!</v>
      </c>
      <c r="F5" s="16"/>
      <c r="G5" s="62" t="s">
        <v>26</v>
      </c>
      <c r="H5" s="27"/>
      <c r="I5" s="27"/>
      <c r="J5" s="27"/>
      <c r="K5" s="12"/>
    </row>
    <row r="6" spans="1:11" x14ac:dyDescent="0.25">
      <c r="A6" s="2"/>
      <c r="B6" s="20"/>
      <c r="C6" s="20"/>
      <c r="D6" s="20"/>
      <c r="F6" s="16"/>
      <c r="G6" s="30" t="s">
        <v>5</v>
      </c>
      <c r="H6" s="27"/>
      <c r="I6" s="27"/>
      <c r="J6" s="27"/>
      <c r="K6" s="12"/>
    </row>
    <row r="7" spans="1:11" x14ac:dyDescent="0.25">
      <c r="A7" s="30" t="s">
        <v>20</v>
      </c>
      <c r="B7" s="56"/>
      <c r="C7" s="56"/>
      <c r="D7" s="56"/>
      <c r="F7" s="16"/>
      <c r="G7" s="12"/>
      <c r="H7" s="17"/>
      <c r="I7" s="17"/>
      <c r="J7" s="17"/>
      <c r="K7" s="12"/>
    </row>
    <row r="8" spans="1:11" x14ac:dyDescent="0.25">
      <c r="A8" s="2"/>
      <c r="B8" s="20"/>
      <c r="C8" s="20"/>
      <c r="D8" s="20"/>
      <c r="F8" s="16"/>
      <c r="G8" s="12"/>
      <c r="H8" s="17"/>
      <c r="I8" s="17"/>
      <c r="J8" s="17"/>
      <c r="K8" s="12"/>
    </row>
    <row r="9" spans="1:11" x14ac:dyDescent="0.25">
      <c r="A9" s="30" t="s">
        <v>14</v>
      </c>
      <c r="B9" s="57">
        <f>+'1_Hist_sim'!K9</f>
        <v>0</v>
      </c>
      <c r="C9" s="57">
        <f>+'1_Hist_sim'!L9</f>
        <v>0</v>
      </c>
      <c r="D9" s="57">
        <f>+'1_Hist_sim'!M9</f>
        <v>0</v>
      </c>
      <c r="E9" s="57"/>
      <c r="G9" s="13"/>
      <c r="H9" s="14"/>
      <c r="I9" s="14"/>
      <c r="J9" s="14"/>
    </row>
    <row r="10" spans="1:11" x14ac:dyDescent="0.25">
      <c r="A10" s="2"/>
      <c r="B10" s="20"/>
      <c r="C10" s="20"/>
      <c r="D10" s="20"/>
      <c r="G10" s="13"/>
      <c r="H10" s="21"/>
      <c r="I10" s="21"/>
      <c r="J10" s="21"/>
    </row>
    <row r="11" spans="1:11" x14ac:dyDescent="0.25">
      <c r="A11" s="2"/>
      <c r="B11" s="20"/>
      <c r="C11" s="29"/>
      <c r="D11" s="20"/>
      <c r="G11" s="22"/>
      <c r="H11" s="14"/>
      <c r="I11" s="14"/>
      <c r="J11" s="14"/>
    </row>
    <row r="12" spans="1:11" x14ac:dyDescent="0.25">
      <c r="A12" s="30" t="s">
        <v>21</v>
      </c>
      <c r="B12" s="57"/>
      <c r="C12" s="20"/>
      <c r="D12" s="20"/>
      <c r="G12" s="22"/>
      <c r="H12" s="21"/>
      <c r="I12" s="21"/>
      <c r="J12" s="21"/>
    </row>
    <row r="13" spans="1:11" x14ac:dyDescent="0.25">
      <c r="A13" s="30" t="s">
        <v>22</v>
      </c>
      <c r="B13" s="57"/>
      <c r="C13" s="29"/>
      <c r="D13" s="20"/>
    </row>
    <row r="14" spans="1:11" x14ac:dyDescent="0.25">
      <c r="A14" s="30" t="s">
        <v>23</v>
      </c>
      <c r="B14" s="57"/>
      <c r="C14" s="20"/>
      <c r="D14" s="20"/>
    </row>
    <row r="15" spans="1:11" x14ac:dyDescent="0.25">
      <c r="A15" s="2"/>
      <c r="B15" s="20"/>
      <c r="C15" s="20"/>
      <c r="D15" s="20"/>
    </row>
    <row r="16" spans="1:11" x14ac:dyDescent="0.25">
      <c r="A16" s="30" t="s">
        <v>4</v>
      </c>
      <c r="B16" s="57"/>
      <c r="C16" s="29"/>
      <c r="D16" s="20"/>
    </row>
    <row r="17" spans="1:4" x14ac:dyDescent="0.25">
      <c r="A17" s="30" t="s">
        <v>5</v>
      </c>
      <c r="B17" s="57"/>
      <c r="C17" s="20"/>
      <c r="D17" s="20"/>
    </row>
    <row r="18" spans="1:4" x14ac:dyDescent="0.25">
      <c r="A18" s="2"/>
      <c r="B18" s="20"/>
      <c r="C18" s="29"/>
      <c r="D18" s="20"/>
    </row>
    <row r="19" spans="1:4" x14ac:dyDescent="0.25">
      <c r="A19" s="2"/>
      <c r="B19" s="20"/>
      <c r="C19" s="20"/>
      <c r="D19" s="20"/>
    </row>
    <row r="20" spans="1:4" x14ac:dyDescent="0.25">
      <c r="A20" s="2"/>
      <c r="B20" s="20"/>
      <c r="C20" s="29"/>
      <c r="D20" s="20"/>
    </row>
    <row r="21" spans="1:4" x14ac:dyDescent="0.25">
      <c r="A21" s="2"/>
      <c r="B21" s="20"/>
      <c r="C21" s="20"/>
      <c r="D21" s="20"/>
    </row>
    <row r="22" spans="1:4" x14ac:dyDescent="0.25">
      <c r="A22" s="2"/>
      <c r="B22" s="20"/>
      <c r="C22" s="20"/>
      <c r="D22" s="20"/>
    </row>
    <row r="23" spans="1:4" x14ac:dyDescent="0.25">
      <c r="A23" s="2"/>
      <c r="B23" s="20"/>
      <c r="C23" s="20"/>
      <c r="D23" s="20"/>
    </row>
    <row r="24" spans="1:4" x14ac:dyDescent="0.25">
      <c r="A24" s="2"/>
      <c r="B24" s="20"/>
      <c r="C24" s="29"/>
      <c r="D24" s="20"/>
    </row>
    <row r="25" spans="1:4" x14ac:dyDescent="0.25">
      <c r="A25" s="2"/>
      <c r="B25" s="20"/>
      <c r="C25" s="20"/>
      <c r="D25" s="20"/>
    </row>
    <row r="26" spans="1:4" x14ac:dyDescent="0.25">
      <c r="A26" s="2"/>
      <c r="B26" s="20"/>
      <c r="C26" s="20"/>
      <c r="D26" s="20"/>
    </row>
    <row r="27" spans="1:4" x14ac:dyDescent="0.25">
      <c r="A27" s="2"/>
      <c r="B27" s="20"/>
      <c r="C27" s="20"/>
      <c r="D27" s="20"/>
    </row>
    <row r="28" spans="1:4" x14ac:dyDescent="0.25">
      <c r="A28" s="2"/>
      <c r="B28" s="20"/>
      <c r="C28" s="20"/>
      <c r="D28" s="20"/>
    </row>
    <row r="29" spans="1:4" x14ac:dyDescent="0.25">
      <c r="A29" s="2"/>
      <c r="B29" s="20"/>
      <c r="C29" s="20"/>
      <c r="D29" s="20"/>
    </row>
    <row r="30" spans="1:4" x14ac:dyDescent="0.25">
      <c r="A30" s="2"/>
      <c r="B30" s="20"/>
      <c r="C30" s="29"/>
      <c r="D30" s="20"/>
    </row>
    <row r="31" spans="1:4" x14ac:dyDescent="0.25">
      <c r="A31" s="2"/>
      <c r="B31" s="20"/>
      <c r="C31" s="20"/>
      <c r="D31" s="20"/>
    </row>
    <row r="32" spans="1:4" x14ac:dyDescent="0.25">
      <c r="A32" s="2"/>
      <c r="B32" s="20"/>
      <c r="C32" s="29"/>
      <c r="D32" s="20"/>
    </row>
    <row r="33" spans="1:4" x14ac:dyDescent="0.25">
      <c r="A33" s="2"/>
      <c r="B33" s="20"/>
      <c r="C33" s="29"/>
      <c r="D33" s="20"/>
    </row>
    <row r="34" spans="1:4" x14ac:dyDescent="0.25">
      <c r="A34" s="2"/>
      <c r="B34" s="20"/>
      <c r="C34" s="29"/>
      <c r="D34" s="20"/>
    </row>
    <row r="35" spans="1:4" x14ac:dyDescent="0.25">
      <c r="A35" s="2"/>
      <c r="B35" s="20"/>
      <c r="C35" s="20"/>
      <c r="D35" s="20"/>
    </row>
    <row r="36" spans="1:4" x14ac:dyDescent="0.25">
      <c r="A36" s="2"/>
      <c r="B36" s="20"/>
      <c r="C36" s="20"/>
      <c r="D36" s="20"/>
    </row>
    <row r="37" spans="1:4" x14ac:dyDescent="0.25">
      <c r="A37" s="2"/>
      <c r="B37" s="20"/>
      <c r="C37" s="20"/>
      <c r="D37" s="20"/>
    </row>
    <row r="38" spans="1:4" x14ac:dyDescent="0.25">
      <c r="A38" s="2"/>
      <c r="B38" s="20"/>
      <c r="C38" s="20"/>
      <c r="D38" s="20"/>
    </row>
    <row r="39" spans="1:4" x14ac:dyDescent="0.25">
      <c r="A39" s="2"/>
      <c r="B39" s="20"/>
      <c r="C39" s="29"/>
      <c r="D39" s="20"/>
    </row>
    <row r="40" spans="1:4" x14ac:dyDescent="0.25">
      <c r="A40" s="2"/>
      <c r="B40" s="20"/>
      <c r="C40" s="29"/>
      <c r="D40" s="20"/>
    </row>
    <row r="41" spans="1:4" x14ac:dyDescent="0.25">
      <c r="A41" s="2"/>
      <c r="B41" s="20"/>
      <c r="C41" s="29"/>
      <c r="D41" s="20"/>
    </row>
    <row r="42" spans="1:4" x14ac:dyDescent="0.25">
      <c r="A42" s="2"/>
      <c r="B42" s="20"/>
      <c r="C42" s="29"/>
      <c r="D42" s="20"/>
    </row>
    <row r="43" spans="1:4" x14ac:dyDescent="0.25">
      <c r="A43" s="2"/>
      <c r="B43" s="20"/>
      <c r="C43" s="20"/>
      <c r="D43" s="20"/>
    </row>
    <row r="44" spans="1:4" x14ac:dyDescent="0.25">
      <c r="A44" s="2"/>
      <c r="B44" s="20"/>
      <c r="C44" s="20"/>
      <c r="D44" s="20"/>
    </row>
    <row r="45" spans="1:4" x14ac:dyDescent="0.25">
      <c r="A45" s="2"/>
      <c r="B45" s="20"/>
      <c r="C45" s="20"/>
      <c r="D45" s="20"/>
    </row>
    <row r="46" spans="1:4" x14ac:dyDescent="0.25">
      <c r="A46" s="2"/>
      <c r="B46" s="20"/>
      <c r="C46" s="20"/>
      <c r="D46" s="20"/>
    </row>
    <row r="47" spans="1:4" x14ac:dyDescent="0.25">
      <c r="A47" s="2"/>
      <c r="B47" s="20"/>
      <c r="C47" s="20"/>
      <c r="D47" s="20"/>
    </row>
    <row r="48" spans="1:4" x14ac:dyDescent="0.25">
      <c r="A48" s="2"/>
      <c r="B48" s="20"/>
      <c r="C48" s="20"/>
      <c r="D48" s="20"/>
    </row>
    <row r="49" spans="1:4" x14ac:dyDescent="0.25">
      <c r="A49" s="2"/>
      <c r="B49" s="20"/>
      <c r="C49" s="20"/>
      <c r="D49" s="20"/>
    </row>
    <row r="50" spans="1:4" x14ac:dyDescent="0.25">
      <c r="A50" s="2"/>
      <c r="B50" s="20"/>
      <c r="C50" s="20"/>
      <c r="D50" s="20"/>
    </row>
    <row r="51" spans="1:4" x14ac:dyDescent="0.25">
      <c r="A51" s="2"/>
      <c r="B51" s="20"/>
      <c r="C51" s="20"/>
      <c r="D51" s="20"/>
    </row>
    <row r="52" spans="1:4" x14ac:dyDescent="0.25">
      <c r="A52" s="2"/>
      <c r="B52" s="20"/>
      <c r="C52" s="20"/>
      <c r="D52" s="20"/>
    </row>
    <row r="53" spans="1:4" x14ac:dyDescent="0.25">
      <c r="A53" s="2"/>
      <c r="B53" s="20"/>
      <c r="C53" s="29"/>
      <c r="D53" s="20"/>
    </row>
    <row r="54" spans="1:4" x14ac:dyDescent="0.25">
      <c r="A54" s="2"/>
      <c r="B54" s="20"/>
      <c r="C54" s="20"/>
      <c r="D54" s="20"/>
    </row>
    <row r="55" spans="1:4" x14ac:dyDescent="0.25">
      <c r="A55" s="2"/>
      <c r="B55" s="20"/>
      <c r="C55" s="20"/>
      <c r="D55" s="20"/>
    </row>
    <row r="56" spans="1:4" x14ac:dyDescent="0.25">
      <c r="A56" s="2"/>
      <c r="B56" s="20"/>
      <c r="C56" s="20"/>
      <c r="D56" s="20"/>
    </row>
    <row r="57" spans="1:4" x14ac:dyDescent="0.25">
      <c r="A57" s="2"/>
      <c r="B57" s="20"/>
      <c r="C57" s="20"/>
      <c r="D57" s="20"/>
    </row>
    <row r="58" spans="1:4" x14ac:dyDescent="0.25">
      <c r="A58" s="2"/>
      <c r="B58" s="20"/>
      <c r="C58" s="20"/>
      <c r="D58" s="20"/>
    </row>
    <row r="59" spans="1:4" x14ac:dyDescent="0.25">
      <c r="A59" s="2"/>
      <c r="B59" s="20"/>
      <c r="C59" s="20"/>
      <c r="D59" s="20"/>
    </row>
    <row r="60" spans="1:4" x14ac:dyDescent="0.25">
      <c r="A60" s="2"/>
      <c r="B60" s="20"/>
      <c r="C60" s="20"/>
      <c r="D60" s="20"/>
    </row>
    <row r="61" spans="1:4" x14ac:dyDescent="0.25">
      <c r="A61" s="2"/>
      <c r="B61" s="20"/>
      <c r="C61" s="29"/>
      <c r="D61" s="20"/>
    </row>
    <row r="62" spans="1:4" x14ac:dyDescent="0.25">
      <c r="A62" s="2"/>
      <c r="B62" s="20"/>
      <c r="C62" s="20"/>
      <c r="D62" s="20"/>
    </row>
    <row r="63" spans="1:4" x14ac:dyDescent="0.25">
      <c r="A63" s="2"/>
      <c r="B63" s="20"/>
      <c r="C63" s="29"/>
      <c r="D63" s="20"/>
    </row>
    <row r="64" spans="1:4" x14ac:dyDescent="0.25">
      <c r="A64" s="2"/>
      <c r="B64" s="20"/>
      <c r="C64" s="20"/>
      <c r="D64" s="20"/>
    </row>
    <row r="65" spans="1:4" x14ac:dyDescent="0.25">
      <c r="A65" s="2"/>
      <c r="B65" s="20"/>
      <c r="C65" s="20"/>
      <c r="D65" s="20"/>
    </row>
    <row r="66" spans="1:4" x14ac:dyDescent="0.25">
      <c r="A66" s="2"/>
      <c r="B66" s="20"/>
      <c r="C66" s="20"/>
      <c r="D66" s="20"/>
    </row>
    <row r="67" spans="1:4" x14ac:dyDescent="0.25">
      <c r="A67" s="2"/>
      <c r="B67" s="20"/>
      <c r="C67" s="29"/>
      <c r="D67" s="20"/>
    </row>
    <row r="68" spans="1:4" x14ac:dyDescent="0.25">
      <c r="A68" s="2"/>
      <c r="B68" s="20"/>
      <c r="C68" s="20"/>
      <c r="D68" s="20"/>
    </row>
    <row r="69" spans="1:4" x14ac:dyDescent="0.25">
      <c r="A69" s="2"/>
      <c r="B69" s="20"/>
      <c r="C69" s="29"/>
      <c r="D69" s="20"/>
    </row>
    <row r="70" spans="1:4" x14ac:dyDescent="0.25">
      <c r="A70" s="2"/>
      <c r="B70" s="20"/>
      <c r="C70" s="29"/>
      <c r="D70" s="20"/>
    </row>
    <row r="71" spans="1:4" x14ac:dyDescent="0.25">
      <c r="A71" s="2"/>
      <c r="B71" s="20"/>
      <c r="C71" s="20"/>
      <c r="D71" s="20"/>
    </row>
    <row r="72" spans="1:4" x14ac:dyDescent="0.25">
      <c r="A72" s="2"/>
      <c r="B72" s="20"/>
      <c r="C72" s="20"/>
      <c r="D72" s="20"/>
    </row>
    <row r="73" spans="1:4" x14ac:dyDescent="0.25">
      <c r="A73" s="2"/>
      <c r="B73" s="20"/>
      <c r="C73" s="20"/>
      <c r="D73" s="20"/>
    </row>
    <row r="74" spans="1:4" x14ac:dyDescent="0.25">
      <c r="A74" s="2"/>
      <c r="B74" s="20"/>
      <c r="C74" s="20"/>
      <c r="D74" s="20"/>
    </row>
    <row r="75" spans="1:4" x14ac:dyDescent="0.25">
      <c r="A75" s="2"/>
      <c r="B75" s="20"/>
      <c r="C75" s="29"/>
      <c r="D75" s="20"/>
    </row>
    <row r="76" spans="1:4" x14ac:dyDescent="0.25">
      <c r="A76" s="2"/>
      <c r="B76" s="20"/>
      <c r="C76" s="20"/>
      <c r="D76" s="20"/>
    </row>
    <row r="77" spans="1:4" x14ac:dyDescent="0.25">
      <c r="A77" s="2"/>
      <c r="B77" s="20"/>
      <c r="C77" s="29"/>
      <c r="D77" s="20"/>
    </row>
    <row r="78" spans="1:4" x14ac:dyDescent="0.25">
      <c r="A78" s="2"/>
      <c r="B78" s="20"/>
      <c r="C78" s="20"/>
      <c r="D78" s="20"/>
    </row>
    <row r="79" spans="1:4" x14ac:dyDescent="0.25">
      <c r="A79" s="2"/>
      <c r="B79" s="20"/>
      <c r="C79" s="20"/>
      <c r="D79" s="20"/>
    </row>
    <row r="80" spans="1:4" x14ac:dyDescent="0.25">
      <c r="A80" s="2"/>
      <c r="B80" s="20"/>
      <c r="C80" s="20"/>
      <c r="D80" s="20"/>
    </row>
    <row r="81" spans="1:4" x14ac:dyDescent="0.25">
      <c r="A81" s="2"/>
      <c r="B81" s="20"/>
      <c r="C81" s="20"/>
      <c r="D81" s="20"/>
    </row>
    <row r="82" spans="1:4" x14ac:dyDescent="0.25">
      <c r="A82" s="2"/>
      <c r="B82" s="20"/>
      <c r="C82" s="20"/>
      <c r="D82" s="20"/>
    </row>
    <row r="83" spans="1:4" x14ac:dyDescent="0.25">
      <c r="A83" s="2"/>
      <c r="B83" s="20"/>
      <c r="C83" s="20"/>
      <c r="D83" s="20"/>
    </row>
    <row r="84" spans="1:4" x14ac:dyDescent="0.25">
      <c r="A84" s="2"/>
      <c r="B84" s="20"/>
      <c r="C84" s="20"/>
      <c r="D84" s="20"/>
    </row>
    <row r="85" spans="1:4" x14ac:dyDescent="0.25">
      <c r="A85" s="2"/>
      <c r="B85" s="20"/>
      <c r="C85" s="20"/>
      <c r="D85" s="20"/>
    </row>
    <row r="86" spans="1:4" x14ac:dyDescent="0.25">
      <c r="A86" s="2"/>
      <c r="B86" s="20"/>
      <c r="C86" s="20"/>
      <c r="D86" s="20"/>
    </row>
    <row r="87" spans="1:4" x14ac:dyDescent="0.25">
      <c r="A87" s="2"/>
      <c r="B87" s="20"/>
      <c r="C87" s="20"/>
      <c r="D87" s="20"/>
    </row>
    <row r="88" spans="1:4" x14ac:dyDescent="0.25">
      <c r="A88" s="2"/>
      <c r="B88" s="20"/>
      <c r="C88" s="20"/>
      <c r="D88" s="20"/>
    </row>
    <row r="89" spans="1:4" x14ac:dyDescent="0.25">
      <c r="A89" s="2"/>
      <c r="B89" s="20"/>
      <c r="C89" s="20"/>
      <c r="D89" s="20"/>
    </row>
    <row r="90" spans="1:4" x14ac:dyDescent="0.25">
      <c r="A90" s="2"/>
      <c r="B90" s="20"/>
      <c r="C90" s="20"/>
      <c r="D90" s="20"/>
    </row>
    <row r="91" spans="1:4" x14ac:dyDescent="0.25">
      <c r="A91" s="2"/>
      <c r="B91" s="20"/>
      <c r="C91" s="29"/>
      <c r="D91" s="20"/>
    </row>
    <row r="92" spans="1:4" x14ac:dyDescent="0.25">
      <c r="A92" s="2"/>
      <c r="B92" s="20"/>
      <c r="C92" s="20"/>
      <c r="D92" s="20"/>
    </row>
    <row r="93" spans="1:4" x14ac:dyDescent="0.25">
      <c r="A93" s="2"/>
      <c r="B93" s="20"/>
      <c r="C93" s="20"/>
      <c r="D93" s="20"/>
    </row>
    <row r="94" spans="1:4" x14ac:dyDescent="0.25">
      <c r="A94" s="2"/>
      <c r="B94" s="20"/>
      <c r="C94" s="29"/>
      <c r="D94" s="20"/>
    </row>
    <row r="95" spans="1:4" x14ac:dyDescent="0.25">
      <c r="A95" s="2"/>
      <c r="B95" s="20"/>
      <c r="C95" s="29"/>
      <c r="D95" s="20"/>
    </row>
    <row r="96" spans="1:4" x14ac:dyDescent="0.25">
      <c r="A96" s="2"/>
      <c r="B96" s="20"/>
      <c r="C96" s="20"/>
      <c r="D96" s="20"/>
    </row>
    <row r="97" spans="1:4" x14ac:dyDescent="0.25">
      <c r="A97" s="2"/>
      <c r="B97" s="20"/>
      <c r="C97" s="29"/>
      <c r="D97" s="20"/>
    </row>
    <row r="98" spans="1:4" x14ac:dyDescent="0.25">
      <c r="A98" s="2"/>
      <c r="B98" s="20"/>
      <c r="C98" s="20"/>
      <c r="D98" s="20"/>
    </row>
    <row r="99" spans="1:4" x14ac:dyDescent="0.25">
      <c r="A99" s="2"/>
      <c r="B99" s="20"/>
      <c r="C99" s="29"/>
      <c r="D99" s="20"/>
    </row>
    <row r="100" spans="1:4" x14ac:dyDescent="0.25">
      <c r="A100" s="2"/>
      <c r="B100" s="20"/>
      <c r="C100" s="20"/>
      <c r="D100" s="20"/>
    </row>
    <row r="101" spans="1:4" x14ac:dyDescent="0.25">
      <c r="A101" s="2"/>
      <c r="B101" s="20"/>
      <c r="C101" s="20"/>
      <c r="D101" s="20"/>
    </row>
    <row r="102" spans="1:4" x14ac:dyDescent="0.25">
      <c r="A102" s="2"/>
      <c r="B102" s="20"/>
      <c r="C102" s="29"/>
      <c r="D102" s="20"/>
    </row>
    <row r="103" spans="1:4" x14ac:dyDescent="0.25">
      <c r="A103" s="2"/>
      <c r="B103" s="20"/>
      <c r="C103" s="29"/>
      <c r="D103" s="20"/>
    </row>
    <row r="104" spans="1:4" x14ac:dyDescent="0.25">
      <c r="A104" s="2"/>
      <c r="B104" s="20"/>
      <c r="C104" s="20"/>
      <c r="D104" s="20"/>
    </row>
    <row r="105" spans="1:4" x14ac:dyDescent="0.25">
      <c r="A105" s="2"/>
      <c r="B105" s="20"/>
      <c r="C105" s="20"/>
      <c r="D105" s="20"/>
    </row>
    <row r="106" spans="1:4" x14ac:dyDescent="0.25">
      <c r="A106" s="2"/>
      <c r="B106" s="20"/>
      <c r="C106" s="20"/>
      <c r="D106" s="20"/>
    </row>
    <row r="107" spans="1:4" x14ac:dyDescent="0.25">
      <c r="A107" s="2"/>
      <c r="B107" s="20"/>
      <c r="C107" s="20"/>
      <c r="D107" s="20"/>
    </row>
    <row r="108" spans="1:4" x14ac:dyDescent="0.25">
      <c r="A108" s="2"/>
      <c r="B108" s="20"/>
      <c r="C108" s="29"/>
      <c r="D108" s="20"/>
    </row>
    <row r="109" spans="1:4" x14ac:dyDescent="0.25">
      <c r="A109" s="2"/>
      <c r="B109" s="20"/>
      <c r="C109" s="20"/>
      <c r="D109" s="20"/>
    </row>
    <row r="110" spans="1:4" x14ac:dyDescent="0.25">
      <c r="A110" s="2"/>
      <c r="B110" s="20"/>
      <c r="C110" s="20"/>
      <c r="D110" s="20"/>
    </row>
    <row r="111" spans="1:4" x14ac:dyDescent="0.25">
      <c r="A111" s="2"/>
      <c r="B111" s="20"/>
      <c r="C111" s="20"/>
      <c r="D111" s="20"/>
    </row>
    <row r="112" spans="1:4" x14ac:dyDescent="0.25">
      <c r="A112" s="2"/>
      <c r="B112" s="20"/>
      <c r="C112" s="20"/>
      <c r="D112" s="20"/>
    </row>
    <row r="113" spans="1:4" x14ac:dyDescent="0.25">
      <c r="A113" s="2"/>
      <c r="B113" s="20"/>
      <c r="C113" s="20"/>
      <c r="D113" s="20"/>
    </row>
    <row r="114" spans="1:4" x14ac:dyDescent="0.25">
      <c r="A114" s="2"/>
      <c r="B114" s="20"/>
      <c r="C114" s="20"/>
      <c r="D114" s="20"/>
    </row>
    <row r="115" spans="1:4" x14ac:dyDescent="0.25">
      <c r="A115" s="2"/>
      <c r="B115" s="20"/>
      <c r="C115" s="20"/>
      <c r="D115" s="20"/>
    </row>
    <row r="116" spans="1:4" x14ac:dyDescent="0.25">
      <c r="A116" s="2"/>
      <c r="B116" s="20"/>
      <c r="C116" s="20"/>
      <c r="D116" s="20"/>
    </row>
    <row r="117" spans="1:4" x14ac:dyDescent="0.25">
      <c r="A117" s="2"/>
      <c r="B117" s="20"/>
      <c r="C117" s="20"/>
      <c r="D117" s="20"/>
    </row>
    <row r="118" spans="1:4" x14ac:dyDescent="0.25">
      <c r="A118" s="2"/>
      <c r="B118" s="20"/>
      <c r="C118" s="29"/>
      <c r="D118" s="20"/>
    </row>
    <row r="119" spans="1:4" x14ac:dyDescent="0.25">
      <c r="A119" s="2"/>
      <c r="B119" s="20"/>
      <c r="C119" s="20"/>
      <c r="D119" s="20"/>
    </row>
    <row r="120" spans="1:4" x14ac:dyDescent="0.25">
      <c r="A120" s="2"/>
      <c r="B120" s="20"/>
      <c r="C120" s="29"/>
      <c r="D120" s="20"/>
    </row>
    <row r="121" spans="1:4" x14ac:dyDescent="0.25">
      <c r="A121" s="2"/>
      <c r="B121" s="20"/>
      <c r="C121" s="29"/>
      <c r="D121" s="20"/>
    </row>
    <row r="122" spans="1:4" x14ac:dyDescent="0.25">
      <c r="A122" s="2"/>
      <c r="B122" s="20"/>
      <c r="C122" s="29"/>
      <c r="D122" s="20"/>
    </row>
    <row r="123" spans="1:4" x14ac:dyDescent="0.25">
      <c r="A123" s="2"/>
      <c r="B123" s="20"/>
      <c r="C123" s="29"/>
      <c r="D123" s="20"/>
    </row>
    <row r="124" spans="1:4" x14ac:dyDescent="0.25">
      <c r="A124" s="2"/>
      <c r="B124" s="20"/>
      <c r="C124" s="20"/>
      <c r="D124" s="20"/>
    </row>
    <row r="125" spans="1:4" x14ac:dyDescent="0.25">
      <c r="A125" s="2"/>
      <c r="B125" s="20"/>
      <c r="C125" s="20"/>
      <c r="D125" s="20"/>
    </row>
    <row r="126" spans="1:4" x14ac:dyDescent="0.25">
      <c r="A126" s="2"/>
      <c r="B126" s="20"/>
      <c r="C126" s="20"/>
      <c r="D126" s="20"/>
    </row>
    <row r="127" spans="1:4" x14ac:dyDescent="0.25">
      <c r="A127" s="2"/>
      <c r="B127" s="20"/>
      <c r="C127" s="20"/>
      <c r="D127" s="20"/>
    </row>
    <row r="128" spans="1:4" x14ac:dyDescent="0.25">
      <c r="A128" s="2"/>
      <c r="B128" s="20"/>
      <c r="C128" s="20"/>
      <c r="D128" s="20"/>
    </row>
    <row r="129" spans="1:4" x14ac:dyDescent="0.25">
      <c r="A129" s="2"/>
      <c r="B129" s="20"/>
      <c r="C129" s="20"/>
      <c r="D129" s="20"/>
    </row>
    <row r="130" spans="1:4" x14ac:dyDescent="0.25">
      <c r="A130" s="2"/>
      <c r="B130" s="20"/>
      <c r="C130" s="29"/>
      <c r="D130" s="20"/>
    </row>
    <row r="131" spans="1:4" x14ac:dyDescent="0.25">
      <c r="A131" s="2"/>
      <c r="B131" s="20"/>
      <c r="C131" s="29"/>
      <c r="D131" s="20"/>
    </row>
    <row r="132" spans="1:4" x14ac:dyDescent="0.25">
      <c r="A132" s="2"/>
      <c r="B132" s="20"/>
      <c r="C132" s="29"/>
      <c r="D132" s="20"/>
    </row>
    <row r="133" spans="1:4" x14ac:dyDescent="0.25">
      <c r="A133" s="2"/>
      <c r="B133" s="20"/>
      <c r="C133" s="29"/>
      <c r="D133" s="20"/>
    </row>
    <row r="134" spans="1:4" x14ac:dyDescent="0.25">
      <c r="A134" s="2"/>
      <c r="B134" s="20"/>
      <c r="C134" s="29"/>
      <c r="D134" s="20"/>
    </row>
    <row r="135" spans="1:4" x14ac:dyDescent="0.25">
      <c r="A135" s="2"/>
      <c r="B135" s="20"/>
      <c r="C135" s="20"/>
      <c r="D135" s="20"/>
    </row>
    <row r="136" spans="1:4" x14ac:dyDescent="0.25">
      <c r="A136" s="2"/>
      <c r="B136" s="20"/>
      <c r="C136" s="29"/>
      <c r="D136" s="20"/>
    </row>
    <row r="137" spans="1:4" x14ac:dyDescent="0.25">
      <c r="A137" s="2"/>
      <c r="B137" s="20"/>
      <c r="C137" s="29"/>
      <c r="D137" s="20"/>
    </row>
    <row r="138" spans="1:4" x14ac:dyDescent="0.25">
      <c r="A138" s="2"/>
      <c r="B138" s="20"/>
      <c r="C138" s="20"/>
      <c r="D138" s="20"/>
    </row>
    <row r="139" spans="1:4" x14ac:dyDescent="0.25">
      <c r="A139" s="2"/>
      <c r="B139" s="20"/>
      <c r="C139" s="20"/>
      <c r="D139" s="20"/>
    </row>
    <row r="140" spans="1:4" x14ac:dyDescent="0.25">
      <c r="A140" s="2"/>
      <c r="B140" s="20"/>
      <c r="C140" s="29"/>
      <c r="D140" s="20"/>
    </row>
    <row r="141" spans="1:4" x14ac:dyDescent="0.25">
      <c r="A141" s="2"/>
      <c r="B141" s="20"/>
      <c r="C141" s="29"/>
      <c r="D141" s="20"/>
    </row>
    <row r="142" spans="1:4" x14ac:dyDescent="0.25">
      <c r="A142" s="2"/>
      <c r="B142" s="20"/>
      <c r="C142" s="20"/>
      <c r="D142" s="20"/>
    </row>
    <row r="143" spans="1:4" x14ac:dyDescent="0.25">
      <c r="A143" s="2"/>
      <c r="B143" s="20"/>
      <c r="C143" s="20"/>
      <c r="D143" s="20"/>
    </row>
    <row r="144" spans="1:4" x14ac:dyDescent="0.25">
      <c r="A144" s="2"/>
      <c r="B144" s="20"/>
      <c r="C144" s="20"/>
      <c r="D144" s="20"/>
    </row>
    <row r="145" spans="1:4" x14ac:dyDescent="0.25">
      <c r="A145" s="2"/>
      <c r="B145" s="20"/>
      <c r="C145" s="20"/>
      <c r="D145" s="20"/>
    </row>
    <row r="146" spans="1:4" x14ac:dyDescent="0.25">
      <c r="A146" s="2"/>
      <c r="B146" s="20"/>
      <c r="C146" s="29"/>
      <c r="D146" s="20"/>
    </row>
    <row r="147" spans="1:4" x14ac:dyDescent="0.25">
      <c r="A147" s="2"/>
      <c r="B147" s="20"/>
      <c r="C147" s="20"/>
      <c r="D147" s="20"/>
    </row>
    <row r="148" spans="1:4" x14ac:dyDescent="0.25">
      <c r="A148" s="2"/>
      <c r="B148" s="20"/>
      <c r="C148" s="20"/>
      <c r="D148" s="20"/>
    </row>
    <row r="149" spans="1:4" x14ac:dyDescent="0.25">
      <c r="A149" s="2"/>
      <c r="B149" s="20"/>
      <c r="C149" s="20"/>
      <c r="D149" s="20"/>
    </row>
    <row r="150" spans="1:4" x14ac:dyDescent="0.25">
      <c r="A150" s="2"/>
      <c r="B150" s="20"/>
      <c r="C150" s="20"/>
      <c r="D150" s="20"/>
    </row>
    <row r="151" spans="1:4" x14ac:dyDescent="0.25">
      <c r="A151" s="2"/>
      <c r="B151" s="20"/>
      <c r="C151" s="20"/>
      <c r="D151" s="20"/>
    </row>
    <row r="152" spans="1:4" x14ac:dyDescent="0.25">
      <c r="A152" s="2"/>
      <c r="B152" s="20"/>
      <c r="C152" s="20"/>
      <c r="D152" s="20"/>
    </row>
    <row r="153" spans="1:4" x14ac:dyDescent="0.25">
      <c r="A153" s="2"/>
      <c r="B153" s="20"/>
      <c r="C153" s="29"/>
      <c r="D153" s="20"/>
    </row>
    <row r="154" spans="1:4" x14ac:dyDescent="0.25">
      <c r="A154" s="2"/>
      <c r="B154" s="20"/>
      <c r="C154" s="20"/>
      <c r="D154" s="20"/>
    </row>
    <row r="155" spans="1:4" x14ac:dyDescent="0.25">
      <c r="A155" s="2"/>
      <c r="B155" s="20"/>
      <c r="C155" s="20"/>
      <c r="D155" s="20"/>
    </row>
    <row r="156" spans="1:4" x14ac:dyDescent="0.25">
      <c r="A156" s="2"/>
      <c r="B156" s="20"/>
      <c r="C156" s="29"/>
      <c r="D156" s="20"/>
    </row>
    <row r="157" spans="1:4" x14ac:dyDescent="0.25">
      <c r="A157" s="2"/>
      <c r="B157" s="20"/>
      <c r="C157" s="20"/>
      <c r="D157" s="20"/>
    </row>
    <row r="158" spans="1:4" x14ac:dyDescent="0.25">
      <c r="A158" s="2"/>
      <c r="B158" s="20"/>
      <c r="C158" s="20"/>
      <c r="D158" s="20"/>
    </row>
    <row r="159" spans="1:4" x14ac:dyDescent="0.25">
      <c r="A159" s="2"/>
      <c r="B159" s="20"/>
      <c r="C159" s="20"/>
      <c r="D159" s="20"/>
    </row>
    <row r="160" spans="1:4" x14ac:dyDescent="0.25">
      <c r="A160" s="2"/>
      <c r="B160" s="20"/>
      <c r="C160" s="20"/>
      <c r="D160" s="20"/>
    </row>
    <row r="161" spans="1:4" x14ac:dyDescent="0.25">
      <c r="A161" s="2"/>
      <c r="B161" s="20"/>
      <c r="C161" s="20"/>
      <c r="D161" s="20"/>
    </row>
    <row r="162" spans="1:4" x14ac:dyDescent="0.25">
      <c r="A162" s="2"/>
      <c r="B162" s="20"/>
      <c r="C162" s="20"/>
      <c r="D162" s="20"/>
    </row>
    <row r="163" spans="1:4" x14ac:dyDescent="0.25">
      <c r="A163" s="2"/>
      <c r="B163" s="20"/>
      <c r="C163" s="20"/>
      <c r="D163" s="20"/>
    </row>
    <row r="164" spans="1:4" x14ac:dyDescent="0.25">
      <c r="A164" s="2"/>
      <c r="B164" s="20"/>
      <c r="C164" s="20"/>
      <c r="D164" s="20"/>
    </row>
    <row r="165" spans="1:4" x14ac:dyDescent="0.25">
      <c r="A165" s="2"/>
      <c r="B165" s="20"/>
      <c r="C165" s="20"/>
      <c r="D165" s="20"/>
    </row>
    <row r="166" spans="1:4" x14ac:dyDescent="0.25">
      <c r="A166" s="2"/>
      <c r="B166" s="20"/>
      <c r="C166" s="20"/>
      <c r="D166" s="20"/>
    </row>
    <row r="167" spans="1:4" x14ac:dyDescent="0.25">
      <c r="A167" s="2"/>
      <c r="B167" s="20"/>
      <c r="C167" s="29"/>
      <c r="D167" s="20"/>
    </row>
    <row r="168" spans="1:4" x14ac:dyDescent="0.25">
      <c r="A168" s="2"/>
      <c r="B168" s="20"/>
      <c r="C168" s="20"/>
      <c r="D168" s="20"/>
    </row>
    <row r="169" spans="1:4" x14ac:dyDescent="0.25">
      <c r="A169" s="2"/>
      <c r="B169" s="20"/>
      <c r="C169" s="20"/>
      <c r="D169" s="20"/>
    </row>
    <row r="170" spans="1:4" x14ac:dyDescent="0.25">
      <c r="A170" s="2"/>
      <c r="B170" s="20"/>
      <c r="C170" s="20"/>
      <c r="D170" s="20"/>
    </row>
    <row r="171" spans="1:4" x14ac:dyDescent="0.25">
      <c r="A171" s="2"/>
      <c r="B171" s="20"/>
      <c r="C171" s="20"/>
      <c r="D171" s="20"/>
    </row>
    <row r="172" spans="1:4" x14ac:dyDescent="0.25">
      <c r="A172" s="2"/>
      <c r="B172" s="20"/>
      <c r="C172" s="20"/>
      <c r="D172" s="20"/>
    </row>
    <row r="173" spans="1:4" x14ac:dyDescent="0.25">
      <c r="A173" s="2"/>
      <c r="B173" s="20"/>
      <c r="C173" s="29"/>
      <c r="D173" s="20"/>
    </row>
    <row r="174" spans="1:4" x14ac:dyDescent="0.25">
      <c r="A174" s="2"/>
      <c r="B174" s="20"/>
      <c r="C174" s="20"/>
      <c r="D174" s="20"/>
    </row>
    <row r="175" spans="1:4" x14ac:dyDescent="0.25">
      <c r="A175" s="2"/>
      <c r="B175" s="20"/>
      <c r="C175" s="20"/>
      <c r="D175" s="20"/>
    </row>
    <row r="176" spans="1:4" x14ac:dyDescent="0.25">
      <c r="A176" s="2"/>
      <c r="B176" s="20"/>
      <c r="C176" s="20"/>
      <c r="D176" s="20"/>
    </row>
    <row r="177" spans="1:4" x14ac:dyDescent="0.25">
      <c r="A177" s="2"/>
      <c r="B177" s="20"/>
      <c r="C177" s="20"/>
      <c r="D177" s="20"/>
    </row>
    <row r="178" spans="1:4" x14ac:dyDescent="0.25">
      <c r="A178" s="2"/>
      <c r="B178" s="20"/>
      <c r="C178" s="20"/>
      <c r="D178" s="20"/>
    </row>
    <row r="179" spans="1:4" x14ac:dyDescent="0.25">
      <c r="A179" s="2"/>
      <c r="B179" s="20"/>
      <c r="C179" s="20"/>
      <c r="D179" s="20"/>
    </row>
    <row r="180" spans="1:4" x14ac:dyDescent="0.25">
      <c r="A180" s="2"/>
      <c r="B180" s="20"/>
      <c r="C180" s="29"/>
      <c r="D180" s="20"/>
    </row>
    <row r="181" spans="1:4" x14ac:dyDescent="0.25">
      <c r="A181" s="2"/>
      <c r="B181" s="20"/>
      <c r="C181" s="20"/>
      <c r="D181" s="20"/>
    </row>
    <row r="182" spans="1:4" x14ac:dyDescent="0.25">
      <c r="A182" s="2"/>
      <c r="B182" s="20"/>
      <c r="C182" s="20"/>
      <c r="D182" s="20"/>
    </row>
    <row r="183" spans="1:4" x14ac:dyDescent="0.25">
      <c r="A183" s="2"/>
      <c r="B183" s="20"/>
      <c r="C183" s="20"/>
      <c r="D183" s="20"/>
    </row>
    <row r="184" spans="1:4" x14ac:dyDescent="0.25">
      <c r="A184" s="2"/>
      <c r="B184" s="20"/>
      <c r="C184" s="20"/>
      <c r="D184" s="20"/>
    </row>
    <row r="185" spans="1:4" x14ac:dyDescent="0.25">
      <c r="A185" s="2"/>
      <c r="B185" s="20"/>
      <c r="C185" s="20"/>
      <c r="D185" s="20"/>
    </row>
    <row r="186" spans="1:4" x14ac:dyDescent="0.25">
      <c r="A186" s="2"/>
      <c r="B186" s="20"/>
      <c r="C186" s="20"/>
      <c r="D186" s="20"/>
    </row>
    <row r="187" spans="1:4" x14ac:dyDescent="0.25">
      <c r="A187" s="2"/>
      <c r="B187" s="20"/>
      <c r="C187" s="20"/>
      <c r="D187" s="20"/>
    </row>
    <row r="188" spans="1:4" x14ac:dyDescent="0.25">
      <c r="A188" s="2"/>
      <c r="B188" s="20"/>
      <c r="C188" s="20"/>
      <c r="D188" s="20"/>
    </row>
    <row r="189" spans="1:4" x14ac:dyDescent="0.25">
      <c r="A189" s="2"/>
      <c r="B189" s="20"/>
      <c r="C189" s="20"/>
      <c r="D189" s="20"/>
    </row>
    <row r="190" spans="1:4" x14ac:dyDescent="0.25">
      <c r="A190" s="2"/>
      <c r="B190" s="20"/>
      <c r="C190" s="29"/>
      <c r="D190" s="20"/>
    </row>
    <row r="191" spans="1:4" x14ac:dyDescent="0.25">
      <c r="A191" s="2"/>
      <c r="B191" s="20"/>
      <c r="C191" s="20"/>
      <c r="D191" s="20"/>
    </row>
    <row r="192" spans="1:4" x14ac:dyDescent="0.25">
      <c r="A192" s="2"/>
      <c r="B192" s="20"/>
      <c r="C192" s="20"/>
      <c r="D192" s="20"/>
    </row>
    <row r="193" spans="1:4" x14ac:dyDescent="0.25">
      <c r="A193" s="2"/>
      <c r="B193" s="20"/>
      <c r="C193" s="29"/>
      <c r="D193" s="20"/>
    </row>
    <row r="194" spans="1:4" x14ac:dyDescent="0.25">
      <c r="A194" s="2"/>
      <c r="B194" s="20"/>
      <c r="C194" s="20"/>
      <c r="D194" s="20"/>
    </row>
    <row r="195" spans="1:4" x14ac:dyDescent="0.25">
      <c r="A195" s="2"/>
      <c r="B195" s="20"/>
      <c r="C195" s="20"/>
      <c r="D195" s="20"/>
    </row>
    <row r="196" spans="1:4" x14ac:dyDescent="0.25">
      <c r="A196" s="2"/>
      <c r="B196" s="20"/>
      <c r="C196" s="20"/>
      <c r="D196" s="20"/>
    </row>
    <row r="197" spans="1:4" x14ac:dyDescent="0.25">
      <c r="A197" s="2"/>
      <c r="B197" s="20"/>
      <c r="C197" s="20"/>
      <c r="D197" s="20"/>
    </row>
    <row r="198" spans="1:4" x14ac:dyDescent="0.25">
      <c r="A198" s="2"/>
      <c r="B198" s="20"/>
      <c r="C198" s="29"/>
      <c r="D198" s="20"/>
    </row>
    <row r="199" spans="1:4" x14ac:dyDescent="0.25">
      <c r="A199" s="2"/>
      <c r="B199" s="20"/>
      <c r="C199" s="20"/>
      <c r="D199" s="20"/>
    </row>
    <row r="200" spans="1:4" x14ac:dyDescent="0.25">
      <c r="A200" s="2"/>
      <c r="B200" s="20"/>
      <c r="C200" s="20"/>
      <c r="D200" s="20"/>
    </row>
    <row r="201" spans="1:4" x14ac:dyDescent="0.25">
      <c r="A201" s="2"/>
      <c r="B201" s="20"/>
      <c r="C201" s="20"/>
      <c r="D201" s="20"/>
    </row>
    <row r="202" spans="1:4" x14ac:dyDescent="0.25">
      <c r="A202" s="2"/>
      <c r="B202" s="20"/>
      <c r="C202" s="20"/>
      <c r="D202" s="20"/>
    </row>
    <row r="203" spans="1:4" x14ac:dyDescent="0.25">
      <c r="A203" s="2"/>
      <c r="B203" s="20"/>
      <c r="C203" s="20"/>
      <c r="D203" s="20"/>
    </row>
    <row r="204" spans="1:4" x14ac:dyDescent="0.25">
      <c r="A204" s="2"/>
      <c r="B204" s="20"/>
      <c r="C204" s="20"/>
      <c r="D204" s="20"/>
    </row>
    <row r="205" spans="1:4" x14ac:dyDescent="0.25">
      <c r="A205" s="2"/>
      <c r="B205" s="20"/>
      <c r="C205" s="20"/>
      <c r="D205" s="20"/>
    </row>
    <row r="206" spans="1:4" x14ac:dyDescent="0.25">
      <c r="A206" s="2"/>
      <c r="B206" s="20"/>
      <c r="C206" s="20"/>
      <c r="D206" s="20"/>
    </row>
    <row r="207" spans="1:4" x14ac:dyDescent="0.25">
      <c r="A207" s="2"/>
      <c r="B207" s="20"/>
      <c r="C207" s="20"/>
      <c r="D207" s="20"/>
    </row>
    <row r="208" spans="1:4" x14ac:dyDescent="0.25">
      <c r="A208" s="2"/>
      <c r="B208" s="20"/>
      <c r="C208" s="20"/>
      <c r="D208" s="20"/>
    </row>
    <row r="209" spans="1:4" x14ac:dyDescent="0.25">
      <c r="A209" s="2"/>
      <c r="B209" s="20"/>
      <c r="C209" s="20"/>
      <c r="D209" s="20"/>
    </row>
    <row r="210" spans="1:4" x14ac:dyDescent="0.25">
      <c r="A210" s="2"/>
      <c r="B210" s="20"/>
      <c r="C210" s="20"/>
      <c r="D210" s="20"/>
    </row>
    <row r="211" spans="1:4" x14ac:dyDescent="0.25">
      <c r="A211" s="2"/>
      <c r="B211" s="20"/>
      <c r="C211" s="20"/>
      <c r="D211" s="20"/>
    </row>
    <row r="212" spans="1:4" x14ac:dyDescent="0.25">
      <c r="A212" s="2"/>
      <c r="B212" s="20"/>
      <c r="C212" s="20"/>
      <c r="D212" s="20"/>
    </row>
    <row r="213" spans="1:4" x14ac:dyDescent="0.25">
      <c r="A213" s="2"/>
      <c r="B213" s="20"/>
      <c r="C213" s="20"/>
      <c r="D213" s="20"/>
    </row>
    <row r="214" spans="1:4" x14ac:dyDescent="0.25">
      <c r="A214" s="2"/>
      <c r="B214" s="20"/>
      <c r="C214" s="20"/>
      <c r="D214" s="20"/>
    </row>
    <row r="215" spans="1:4" x14ac:dyDescent="0.25">
      <c r="A215" s="2"/>
      <c r="B215" s="20"/>
      <c r="C215" s="20"/>
      <c r="D215" s="20"/>
    </row>
    <row r="216" spans="1:4" x14ac:dyDescent="0.25">
      <c r="A216" s="2"/>
      <c r="B216" s="20"/>
      <c r="C216" s="20"/>
      <c r="D216" s="20"/>
    </row>
    <row r="217" spans="1:4" x14ac:dyDescent="0.25">
      <c r="A217" s="2"/>
      <c r="B217" s="20"/>
      <c r="C217" s="20"/>
      <c r="D217" s="20"/>
    </row>
    <row r="218" spans="1:4" x14ac:dyDescent="0.25">
      <c r="A218" s="2"/>
      <c r="B218" s="20"/>
      <c r="C218" s="20"/>
      <c r="D218" s="20"/>
    </row>
    <row r="219" spans="1:4" x14ac:dyDescent="0.25">
      <c r="A219" s="2"/>
      <c r="B219" s="20"/>
      <c r="C219" s="29"/>
      <c r="D219" s="20"/>
    </row>
    <row r="220" spans="1:4" x14ac:dyDescent="0.25">
      <c r="A220" s="2"/>
      <c r="B220" s="20"/>
      <c r="C220" s="20"/>
      <c r="D220" s="20"/>
    </row>
    <row r="221" spans="1:4" x14ac:dyDescent="0.25">
      <c r="A221" s="2"/>
      <c r="B221" s="20"/>
      <c r="C221" s="20"/>
      <c r="D221" s="20"/>
    </row>
    <row r="222" spans="1:4" x14ac:dyDescent="0.25">
      <c r="A222" s="2"/>
      <c r="B222" s="20"/>
      <c r="C222" s="20"/>
      <c r="D222" s="20"/>
    </row>
    <row r="223" spans="1:4" x14ac:dyDescent="0.25">
      <c r="A223" s="2"/>
      <c r="B223" s="20"/>
      <c r="C223" s="20"/>
      <c r="D223" s="20"/>
    </row>
    <row r="224" spans="1:4" x14ac:dyDescent="0.25">
      <c r="A224" s="2"/>
      <c r="B224" s="20"/>
      <c r="C224" s="20"/>
      <c r="D224" s="20"/>
    </row>
    <row r="225" spans="1:4" x14ac:dyDescent="0.25">
      <c r="A225" s="2"/>
      <c r="B225" s="20"/>
      <c r="C225" s="29"/>
      <c r="D225" s="20"/>
    </row>
    <row r="226" spans="1:4" x14ac:dyDescent="0.25">
      <c r="A226" s="2"/>
      <c r="B226" s="20"/>
      <c r="C226" s="20"/>
      <c r="D226" s="20"/>
    </row>
    <row r="227" spans="1:4" x14ac:dyDescent="0.25">
      <c r="A227" s="2"/>
      <c r="B227" s="20"/>
      <c r="C227" s="29"/>
      <c r="D227" s="20"/>
    </row>
    <row r="228" spans="1:4" x14ac:dyDescent="0.25">
      <c r="A228" s="2"/>
      <c r="B228" s="20"/>
      <c r="C228" s="20"/>
      <c r="D228" s="20"/>
    </row>
    <row r="229" spans="1:4" x14ac:dyDescent="0.25">
      <c r="A229" s="2"/>
      <c r="B229" s="20"/>
      <c r="C229" s="20"/>
      <c r="D229" s="20"/>
    </row>
    <row r="230" spans="1:4" x14ac:dyDescent="0.25">
      <c r="A230" s="2"/>
      <c r="B230" s="20"/>
      <c r="C230" s="20"/>
      <c r="D230" s="20"/>
    </row>
    <row r="231" spans="1:4" x14ac:dyDescent="0.25">
      <c r="A231" s="2"/>
      <c r="B231" s="20"/>
      <c r="C231" s="20"/>
      <c r="D231" s="20"/>
    </row>
    <row r="232" spans="1:4" x14ac:dyDescent="0.25">
      <c r="A232" s="2"/>
      <c r="B232" s="20"/>
      <c r="C232" s="29"/>
      <c r="D232" s="20"/>
    </row>
    <row r="233" spans="1:4" x14ac:dyDescent="0.25">
      <c r="A233" s="2"/>
      <c r="B233" s="20"/>
      <c r="C233" s="20"/>
      <c r="D233" s="20"/>
    </row>
    <row r="234" spans="1:4" x14ac:dyDescent="0.25">
      <c r="A234" s="2"/>
      <c r="B234" s="20"/>
      <c r="C234" s="20"/>
      <c r="D234" s="20"/>
    </row>
    <row r="235" spans="1:4" x14ac:dyDescent="0.25">
      <c r="A235" s="2"/>
      <c r="B235" s="20"/>
      <c r="C235" s="20"/>
      <c r="D235" s="20"/>
    </row>
    <row r="236" spans="1:4" x14ac:dyDescent="0.25">
      <c r="A236" s="2"/>
      <c r="B236" s="20"/>
      <c r="C236" s="20"/>
      <c r="D236" s="20"/>
    </row>
    <row r="237" spans="1:4" x14ac:dyDescent="0.25">
      <c r="A237" s="2"/>
      <c r="B237" s="20"/>
      <c r="C237" s="20"/>
      <c r="D237" s="20"/>
    </row>
    <row r="238" spans="1:4" x14ac:dyDescent="0.25">
      <c r="A238" s="2"/>
      <c r="B238" s="20"/>
      <c r="C238" s="20"/>
      <c r="D238" s="20"/>
    </row>
    <row r="239" spans="1:4" x14ac:dyDescent="0.25">
      <c r="A239" s="2"/>
      <c r="B239" s="20"/>
      <c r="C239" s="20"/>
      <c r="D239" s="20"/>
    </row>
    <row r="240" spans="1:4" x14ac:dyDescent="0.25">
      <c r="A240" s="2"/>
      <c r="B240" s="20"/>
      <c r="C240" s="20"/>
      <c r="D240" s="20"/>
    </row>
    <row r="241" spans="1:4" x14ac:dyDescent="0.25">
      <c r="A241" s="2"/>
      <c r="B241" s="20"/>
      <c r="C241" s="20"/>
      <c r="D241" s="20"/>
    </row>
    <row r="242" spans="1:4" x14ac:dyDescent="0.25">
      <c r="A242" s="2"/>
      <c r="B242" s="20"/>
      <c r="C242" s="20"/>
      <c r="D242" s="20"/>
    </row>
    <row r="243" spans="1:4" x14ac:dyDescent="0.25">
      <c r="A243" s="2"/>
      <c r="B243" s="20"/>
      <c r="C243" s="20"/>
      <c r="D243" s="20"/>
    </row>
    <row r="244" spans="1:4" x14ac:dyDescent="0.25">
      <c r="A244" s="2"/>
      <c r="B244" s="20"/>
      <c r="C244" s="20"/>
      <c r="D244" s="20"/>
    </row>
    <row r="245" spans="1:4" x14ac:dyDescent="0.25">
      <c r="A245" s="2"/>
      <c r="B245" s="20"/>
      <c r="C245" s="29"/>
      <c r="D245" s="20"/>
    </row>
    <row r="246" spans="1:4" x14ac:dyDescent="0.25">
      <c r="A246" s="2"/>
      <c r="B246" s="20"/>
      <c r="C246" s="20"/>
      <c r="D246" s="20"/>
    </row>
    <row r="247" spans="1:4" x14ac:dyDescent="0.25">
      <c r="A247" s="2"/>
      <c r="B247" s="20"/>
      <c r="C247" s="29"/>
      <c r="D247" s="20"/>
    </row>
    <row r="248" spans="1:4" x14ac:dyDescent="0.25">
      <c r="A248" s="2"/>
      <c r="B248" s="20"/>
      <c r="C248" s="20"/>
      <c r="D248" s="20"/>
    </row>
    <row r="249" spans="1:4" x14ac:dyDescent="0.25">
      <c r="A249" s="2"/>
      <c r="B249" s="20"/>
      <c r="C249" s="20"/>
      <c r="D249" s="20"/>
    </row>
    <row r="250" spans="1:4" x14ac:dyDescent="0.25">
      <c r="A250" s="2"/>
      <c r="B250" s="20"/>
      <c r="C250" s="20"/>
      <c r="D250" s="20"/>
    </row>
    <row r="251" spans="1:4" x14ac:dyDescent="0.25">
      <c r="A251" s="2"/>
      <c r="B251" s="20"/>
      <c r="C251" s="20"/>
      <c r="D251" s="20"/>
    </row>
    <row r="252" spans="1:4" x14ac:dyDescent="0.25">
      <c r="A252" s="2"/>
      <c r="B252" s="20"/>
      <c r="C252" s="20"/>
      <c r="D252" s="20"/>
    </row>
    <row r="253" spans="1:4" x14ac:dyDescent="0.25">
      <c r="A253" s="2"/>
      <c r="B253" s="20"/>
      <c r="C253" s="20"/>
      <c r="D253" s="20"/>
    </row>
    <row r="254" spans="1:4" x14ac:dyDescent="0.25">
      <c r="A254" s="2"/>
      <c r="B254" s="20"/>
      <c r="C254" s="20"/>
      <c r="D254" s="20"/>
    </row>
    <row r="255" spans="1:4" x14ac:dyDescent="0.25">
      <c r="A255" s="2"/>
      <c r="B255" s="20"/>
      <c r="C255" s="20"/>
      <c r="D255" s="20"/>
    </row>
    <row r="256" spans="1:4" x14ac:dyDescent="0.25">
      <c r="A256" s="2"/>
      <c r="B256" s="20"/>
      <c r="C256" s="20"/>
      <c r="D256" s="20"/>
    </row>
    <row r="257" spans="1:4" x14ac:dyDescent="0.25">
      <c r="A257" s="2"/>
      <c r="B257" s="20"/>
      <c r="C257" s="20"/>
      <c r="D257" s="20"/>
    </row>
    <row r="258" spans="1:4" x14ac:dyDescent="0.25">
      <c r="A258" s="2"/>
      <c r="B258" s="20"/>
      <c r="C258" s="20"/>
      <c r="D258" s="20"/>
    </row>
    <row r="259" spans="1:4" x14ac:dyDescent="0.25">
      <c r="A259" s="2"/>
      <c r="B259" s="20"/>
      <c r="C259" s="29"/>
      <c r="D259" s="20"/>
    </row>
    <row r="260" spans="1:4" x14ac:dyDescent="0.25">
      <c r="A260" s="2"/>
      <c r="B260" s="20"/>
      <c r="C260" s="29"/>
      <c r="D260" s="20"/>
    </row>
    <row r="261" spans="1:4" x14ac:dyDescent="0.25">
      <c r="A261" s="2"/>
      <c r="B261" s="20"/>
      <c r="C261" s="20"/>
      <c r="D261" s="20"/>
    </row>
    <row r="262" spans="1:4" x14ac:dyDescent="0.25">
      <c r="A262" s="2"/>
      <c r="B262" s="20"/>
      <c r="C262" s="29"/>
      <c r="D262" s="20"/>
    </row>
    <row r="263" spans="1:4" x14ac:dyDescent="0.25">
      <c r="A263" s="2"/>
      <c r="B263" s="20"/>
      <c r="C263" s="29"/>
      <c r="D263" s="20"/>
    </row>
    <row r="264" spans="1:4" x14ac:dyDescent="0.25">
      <c r="A264" s="2"/>
      <c r="B264" s="20"/>
      <c r="C264" s="29"/>
      <c r="D264" s="20"/>
    </row>
    <row r="265" spans="1:4" x14ac:dyDescent="0.25">
      <c r="A265" s="2"/>
      <c r="B265" s="20"/>
      <c r="C265" s="20"/>
      <c r="D265" s="20"/>
    </row>
    <row r="266" spans="1:4" x14ac:dyDescent="0.25">
      <c r="A266" s="2"/>
      <c r="B266" s="20"/>
      <c r="C266" s="20"/>
      <c r="D266" s="20"/>
    </row>
    <row r="267" spans="1:4" x14ac:dyDescent="0.25">
      <c r="A267" s="2"/>
      <c r="B267" s="20"/>
      <c r="C267" s="20"/>
      <c r="D267" s="20"/>
    </row>
    <row r="268" spans="1:4" x14ac:dyDescent="0.25">
      <c r="A268" s="2"/>
      <c r="B268" s="20"/>
      <c r="C268" s="20"/>
      <c r="D268" s="20"/>
    </row>
    <row r="269" spans="1:4" x14ac:dyDescent="0.25">
      <c r="A269" s="2"/>
      <c r="B269" s="20"/>
      <c r="C269" s="29"/>
      <c r="D269" s="20"/>
    </row>
    <row r="270" spans="1:4" x14ac:dyDescent="0.25">
      <c r="A270" s="2"/>
      <c r="B270" s="20"/>
      <c r="C270" s="29"/>
      <c r="D270" s="20"/>
    </row>
    <row r="271" spans="1:4" x14ac:dyDescent="0.25">
      <c r="A271" s="2"/>
      <c r="B271" s="20"/>
      <c r="C271" s="20"/>
      <c r="D271" s="20"/>
    </row>
    <row r="272" spans="1:4" x14ac:dyDescent="0.25">
      <c r="A272" s="2"/>
      <c r="B272" s="20"/>
      <c r="C272" s="29"/>
      <c r="D272" s="20"/>
    </row>
    <row r="273" spans="1:4" x14ac:dyDescent="0.25">
      <c r="A273" s="2"/>
      <c r="B273" s="20"/>
      <c r="C273" s="20"/>
      <c r="D273" s="20"/>
    </row>
    <row r="274" spans="1:4" x14ac:dyDescent="0.25">
      <c r="A274" s="2"/>
      <c r="B274" s="20"/>
      <c r="C274" s="20"/>
      <c r="D274" s="20"/>
    </row>
    <row r="275" spans="1:4" x14ac:dyDescent="0.25">
      <c r="A275" s="2"/>
      <c r="B275" s="20"/>
      <c r="C275" s="20"/>
      <c r="D275" s="20"/>
    </row>
    <row r="276" spans="1:4" x14ac:dyDescent="0.25">
      <c r="A276" s="2"/>
      <c r="B276" s="20"/>
      <c r="C276" s="29"/>
      <c r="D276" s="20"/>
    </row>
    <row r="277" spans="1:4" x14ac:dyDescent="0.25">
      <c r="A277" s="2"/>
      <c r="B277" s="20"/>
      <c r="C277" s="29"/>
      <c r="D277" s="20"/>
    </row>
    <row r="278" spans="1:4" x14ac:dyDescent="0.25">
      <c r="A278" s="2"/>
      <c r="B278" s="20"/>
      <c r="C278" s="29"/>
      <c r="D278" s="20"/>
    </row>
    <row r="279" spans="1:4" x14ac:dyDescent="0.25">
      <c r="A279" s="2"/>
      <c r="B279" s="20"/>
      <c r="C279" s="20"/>
      <c r="D279" s="20"/>
    </row>
    <row r="280" spans="1:4" x14ac:dyDescent="0.25">
      <c r="A280" s="2"/>
      <c r="B280" s="20"/>
      <c r="C280" s="29"/>
      <c r="D280" s="20"/>
    </row>
    <row r="281" spans="1:4" x14ac:dyDescent="0.25">
      <c r="A281" s="2"/>
      <c r="B281" s="20"/>
      <c r="C281" s="29"/>
      <c r="D281" s="20"/>
    </row>
    <row r="282" spans="1:4" x14ac:dyDescent="0.25">
      <c r="A282" s="2"/>
      <c r="B282" s="20"/>
      <c r="C282" s="29"/>
      <c r="D282" s="20"/>
    </row>
    <row r="283" spans="1:4" x14ac:dyDescent="0.25">
      <c r="A283" s="2"/>
      <c r="B283" s="20"/>
      <c r="C283" s="20"/>
      <c r="D283" s="20"/>
    </row>
    <row r="284" spans="1:4" x14ac:dyDescent="0.25">
      <c r="A284" s="2"/>
      <c r="B284" s="20"/>
      <c r="C284" s="20"/>
      <c r="D284" s="20"/>
    </row>
    <row r="285" spans="1:4" x14ac:dyDescent="0.25">
      <c r="A285" s="2"/>
      <c r="B285" s="20"/>
      <c r="C285" s="29"/>
      <c r="D285" s="20"/>
    </row>
    <row r="286" spans="1:4" x14ac:dyDescent="0.25">
      <c r="A286" s="2"/>
      <c r="B286" s="20"/>
      <c r="C286" s="20"/>
      <c r="D286" s="20"/>
    </row>
    <row r="287" spans="1:4" x14ac:dyDescent="0.25">
      <c r="A287" s="2"/>
      <c r="B287" s="20"/>
      <c r="C287" s="20"/>
      <c r="D287" s="20"/>
    </row>
    <row r="288" spans="1:4" x14ac:dyDescent="0.25">
      <c r="A288" s="2"/>
      <c r="B288" s="20"/>
      <c r="C288" s="20"/>
      <c r="D288" s="20"/>
    </row>
    <row r="289" spans="1:4" x14ac:dyDescent="0.25">
      <c r="A289" s="2"/>
      <c r="B289" s="20"/>
      <c r="C289" s="20"/>
      <c r="D289" s="20"/>
    </row>
    <row r="290" spans="1:4" x14ac:dyDescent="0.25">
      <c r="A290" s="2"/>
      <c r="B290" s="20"/>
      <c r="C290" s="29"/>
      <c r="D290" s="20"/>
    </row>
    <row r="291" spans="1:4" x14ac:dyDescent="0.25">
      <c r="A291" s="2"/>
      <c r="B291" s="20"/>
      <c r="C291" s="20"/>
      <c r="D291" s="20"/>
    </row>
    <row r="292" spans="1:4" x14ac:dyDescent="0.25">
      <c r="A292" s="2"/>
      <c r="B292" s="20"/>
      <c r="C292" s="29"/>
      <c r="D292" s="20"/>
    </row>
    <row r="293" spans="1:4" x14ac:dyDescent="0.25">
      <c r="A293" s="2"/>
      <c r="B293" s="20"/>
      <c r="C293" s="29"/>
      <c r="D293" s="20"/>
    </row>
    <row r="294" spans="1:4" x14ac:dyDescent="0.25">
      <c r="A294" s="2"/>
      <c r="B294" s="20"/>
      <c r="C294" s="20"/>
      <c r="D294" s="20"/>
    </row>
    <row r="295" spans="1:4" x14ac:dyDescent="0.25">
      <c r="A295" s="2"/>
      <c r="B295" s="20"/>
      <c r="C295" s="29"/>
      <c r="D295" s="20"/>
    </row>
    <row r="296" spans="1:4" x14ac:dyDescent="0.25">
      <c r="A296" s="2"/>
      <c r="B296" s="20"/>
      <c r="C296" s="20"/>
      <c r="D296" s="20"/>
    </row>
    <row r="297" spans="1:4" x14ac:dyDescent="0.25">
      <c r="A297" s="2"/>
      <c r="B297" s="20"/>
      <c r="C297" s="20"/>
      <c r="D297" s="20"/>
    </row>
    <row r="298" spans="1:4" x14ac:dyDescent="0.25">
      <c r="A298" s="2"/>
      <c r="B298" s="20"/>
      <c r="C298" s="20"/>
      <c r="D298" s="20"/>
    </row>
    <row r="299" spans="1:4" x14ac:dyDescent="0.25">
      <c r="A299" s="2"/>
      <c r="B299" s="20"/>
      <c r="C299" s="29"/>
      <c r="D299" s="20"/>
    </row>
    <row r="300" spans="1:4" x14ac:dyDescent="0.25">
      <c r="A300" s="2"/>
      <c r="B300" s="20"/>
      <c r="C300" s="29"/>
      <c r="D300" s="20"/>
    </row>
    <row r="301" spans="1:4" x14ac:dyDescent="0.25">
      <c r="A301" s="2"/>
      <c r="B301" s="20"/>
      <c r="C301" s="20"/>
      <c r="D301" s="20"/>
    </row>
    <row r="302" spans="1:4" x14ac:dyDescent="0.25">
      <c r="A302" s="2"/>
      <c r="B302" s="20"/>
      <c r="C302" s="20"/>
      <c r="D302" s="20"/>
    </row>
    <row r="303" spans="1:4" x14ac:dyDescent="0.25">
      <c r="A303" s="2"/>
      <c r="B303" s="20"/>
      <c r="C303" s="20"/>
      <c r="D303" s="20"/>
    </row>
    <row r="304" spans="1:4" x14ac:dyDescent="0.25">
      <c r="A304" s="2"/>
      <c r="B304" s="20"/>
      <c r="C304" s="20"/>
      <c r="D304" s="20"/>
    </row>
    <row r="305" spans="1:4" x14ac:dyDescent="0.25">
      <c r="A305" s="2"/>
      <c r="B305" s="20"/>
      <c r="C305" s="20"/>
      <c r="D305" s="20"/>
    </row>
    <row r="306" spans="1:4" x14ac:dyDescent="0.25">
      <c r="A306" s="2"/>
      <c r="B306" s="20"/>
      <c r="C306" s="20"/>
      <c r="D306" s="20"/>
    </row>
    <row r="307" spans="1:4" x14ac:dyDescent="0.25">
      <c r="A307" s="2"/>
      <c r="B307" s="20"/>
      <c r="C307" s="20"/>
      <c r="D307" s="20"/>
    </row>
    <row r="308" spans="1:4" x14ac:dyDescent="0.25">
      <c r="A308" s="2"/>
      <c r="B308" s="20"/>
      <c r="C308" s="20"/>
      <c r="D308" s="20"/>
    </row>
    <row r="309" spans="1:4" x14ac:dyDescent="0.25">
      <c r="A309" s="2"/>
      <c r="B309" s="20"/>
      <c r="C309" s="20"/>
      <c r="D309" s="20"/>
    </row>
    <row r="310" spans="1:4" x14ac:dyDescent="0.25">
      <c r="A310" s="2"/>
      <c r="B310" s="20"/>
      <c r="C310" s="29"/>
      <c r="D310" s="20"/>
    </row>
    <row r="311" spans="1:4" x14ac:dyDescent="0.25">
      <c r="A311" s="2"/>
      <c r="B311" s="20"/>
      <c r="C311" s="29"/>
      <c r="D311" s="20"/>
    </row>
    <row r="312" spans="1:4" x14ac:dyDescent="0.25">
      <c r="A312" s="2"/>
      <c r="B312" s="20"/>
      <c r="C312" s="29"/>
      <c r="D312" s="20"/>
    </row>
    <row r="313" spans="1:4" x14ac:dyDescent="0.25">
      <c r="A313" s="2"/>
      <c r="B313" s="20"/>
      <c r="C313" s="20"/>
      <c r="D313" s="20"/>
    </row>
    <row r="314" spans="1:4" x14ac:dyDescent="0.25">
      <c r="A314" s="2"/>
      <c r="B314" s="20"/>
      <c r="C314" s="20"/>
      <c r="D314" s="20"/>
    </row>
    <row r="315" spans="1:4" x14ac:dyDescent="0.25">
      <c r="A315" s="2"/>
      <c r="B315" s="20"/>
      <c r="C315" s="20"/>
      <c r="D315" s="20"/>
    </row>
    <row r="316" spans="1:4" x14ac:dyDescent="0.25">
      <c r="A316" s="2"/>
      <c r="B316" s="20"/>
      <c r="C316" s="20"/>
      <c r="D316" s="20"/>
    </row>
    <row r="317" spans="1:4" x14ac:dyDescent="0.25">
      <c r="A317" s="2"/>
      <c r="B317" s="20"/>
      <c r="C317" s="29"/>
      <c r="D317" s="20"/>
    </row>
    <row r="318" spans="1:4" x14ac:dyDescent="0.25">
      <c r="A318" s="2"/>
      <c r="B318" s="20"/>
      <c r="C318" s="20"/>
      <c r="D318" s="20"/>
    </row>
    <row r="319" spans="1:4" x14ac:dyDescent="0.25">
      <c r="A319" s="2"/>
      <c r="B319" s="20"/>
      <c r="C319" s="29"/>
      <c r="D319" s="20"/>
    </row>
    <row r="320" spans="1:4" x14ac:dyDescent="0.25">
      <c r="A320" s="2"/>
      <c r="B320" s="20"/>
      <c r="C320" s="20"/>
      <c r="D320" s="20"/>
    </row>
    <row r="321" spans="1:4" x14ac:dyDescent="0.25">
      <c r="A321" s="2"/>
      <c r="B321" s="20"/>
      <c r="C321" s="20"/>
      <c r="D321" s="20"/>
    </row>
    <row r="322" spans="1:4" x14ac:dyDescent="0.25">
      <c r="A322" s="2"/>
      <c r="B322" s="20"/>
      <c r="C322" s="29"/>
      <c r="D322" s="20"/>
    </row>
    <row r="323" spans="1:4" x14ac:dyDescent="0.25">
      <c r="A323" s="2"/>
      <c r="B323" s="20"/>
      <c r="C323" s="20"/>
      <c r="D323" s="20"/>
    </row>
    <row r="324" spans="1:4" x14ac:dyDescent="0.25">
      <c r="A324" s="2"/>
      <c r="B324" s="20"/>
      <c r="C324" s="20"/>
      <c r="D324" s="20"/>
    </row>
    <row r="325" spans="1:4" x14ac:dyDescent="0.25">
      <c r="A325" s="2"/>
      <c r="B325" s="20"/>
      <c r="C325" s="20"/>
      <c r="D325" s="20"/>
    </row>
    <row r="326" spans="1:4" x14ac:dyDescent="0.25">
      <c r="A326" s="2"/>
      <c r="B326" s="20"/>
      <c r="C326" s="29"/>
      <c r="D326" s="20"/>
    </row>
    <row r="327" spans="1:4" x14ac:dyDescent="0.25">
      <c r="A327" s="2"/>
      <c r="B327" s="20"/>
      <c r="C327" s="20"/>
      <c r="D327" s="20"/>
    </row>
    <row r="328" spans="1:4" x14ac:dyDescent="0.25">
      <c r="A328" s="2"/>
      <c r="B328" s="20"/>
      <c r="C328" s="29"/>
      <c r="D328" s="20"/>
    </row>
    <row r="329" spans="1:4" x14ac:dyDescent="0.25">
      <c r="A329" s="2"/>
      <c r="B329" s="20"/>
      <c r="C329" s="20"/>
      <c r="D329" s="20"/>
    </row>
    <row r="330" spans="1:4" x14ac:dyDescent="0.25">
      <c r="A330" s="2"/>
      <c r="B330" s="20"/>
      <c r="C330" s="29"/>
      <c r="D330" s="20"/>
    </row>
    <row r="331" spans="1:4" x14ac:dyDescent="0.25">
      <c r="A331" s="2"/>
      <c r="B331" s="20"/>
      <c r="C331" s="29"/>
      <c r="D331" s="20"/>
    </row>
    <row r="332" spans="1:4" x14ac:dyDescent="0.25">
      <c r="A332" s="2"/>
      <c r="B332" s="20"/>
      <c r="C332" s="20"/>
      <c r="D332" s="20"/>
    </row>
    <row r="333" spans="1:4" x14ac:dyDescent="0.25">
      <c r="A333" s="2"/>
      <c r="B333" s="20"/>
      <c r="C333" s="20"/>
      <c r="D333" s="20"/>
    </row>
    <row r="334" spans="1:4" x14ac:dyDescent="0.25">
      <c r="A334" s="2"/>
      <c r="B334" s="20"/>
      <c r="C334" s="20"/>
      <c r="D334" s="20"/>
    </row>
    <row r="335" spans="1:4" x14ac:dyDescent="0.25">
      <c r="A335" s="2"/>
      <c r="B335" s="20"/>
      <c r="C335" s="20"/>
      <c r="D335" s="20"/>
    </row>
    <row r="336" spans="1:4" x14ac:dyDescent="0.25">
      <c r="A336" s="2"/>
      <c r="B336" s="20"/>
      <c r="C336" s="20"/>
      <c r="D336" s="20"/>
    </row>
    <row r="337" spans="1:4" x14ac:dyDescent="0.25">
      <c r="A337" s="2"/>
      <c r="B337" s="20"/>
      <c r="C337" s="20"/>
      <c r="D337" s="20"/>
    </row>
    <row r="338" spans="1:4" x14ac:dyDescent="0.25">
      <c r="A338" s="2"/>
      <c r="B338" s="20"/>
      <c r="C338" s="20"/>
      <c r="D338" s="20"/>
    </row>
    <row r="339" spans="1:4" x14ac:dyDescent="0.25">
      <c r="A339" s="2"/>
      <c r="B339" s="20"/>
      <c r="C339" s="20"/>
      <c r="D339" s="20"/>
    </row>
    <row r="340" spans="1:4" x14ac:dyDescent="0.25">
      <c r="A340" s="2"/>
      <c r="B340" s="20"/>
      <c r="C340" s="20"/>
      <c r="D340" s="20"/>
    </row>
    <row r="341" spans="1:4" x14ac:dyDescent="0.25">
      <c r="A341" s="2"/>
      <c r="B341" s="20"/>
      <c r="C341" s="20"/>
      <c r="D341" s="20"/>
    </row>
    <row r="342" spans="1:4" x14ac:dyDescent="0.25">
      <c r="A342" s="2"/>
      <c r="B342" s="20"/>
      <c r="C342" s="20"/>
      <c r="D342" s="20"/>
    </row>
    <row r="343" spans="1:4" x14ac:dyDescent="0.25">
      <c r="A343" s="2"/>
      <c r="B343" s="20"/>
      <c r="C343" s="20"/>
      <c r="D343" s="20"/>
    </row>
    <row r="344" spans="1:4" x14ac:dyDescent="0.25">
      <c r="A344" s="2"/>
      <c r="B344" s="20"/>
      <c r="C344" s="29"/>
      <c r="D344" s="20"/>
    </row>
    <row r="345" spans="1:4" x14ac:dyDescent="0.25">
      <c r="A345" s="2"/>
      <c r="B345" s="20"/>
      <c r="C345" s="20"/>
      <c r="D345" s="20"/>
    </row>
    <row r="346" spans="1:4" x14ac:dyDescent="0.25">
      <c r="A346" s="2"/>
      <c r="B346" s="20"/>
      <c r="C346" s="20"/>
      <c r="D346" s="20"/>
    </row>
    <row r="347" spans="1:4" x14ac:dyDescent="0.25">
      <c r="A347" s="2"/>
      <c r="B347" s="20"/>
      <c r="C347" s="20"/>
      <c r="D347" s="20"/>
    </row>
    <row r="348" spans="1:4" x14ac:dyDescent="0.25">
      <c r="A348" s="2"/>
      <c r="B348" s="20"/>
      <c r="C348" s="29"/>
      <c r="D348" s="20"/>
    </row>
    <row r="349" spans="1:4" x14ac:dyDescent="0.25">
      <c r="A349" s="2"/>
      <c r="B349" s="20"/>
      <c r="C349" s="20"/>
      <c r="D349" s="20"/>
    </row>
    <row r="350" spans="1:4" x14ac:dyDescent="0.25">
      <c r="A350" s="2"/>
      <c r="B350" s="20"/>
      <c r="C350" s="20"/>
      <c r="D350" s="20"/>
    </row>
    <row r="351" spans="1:4" x14ac:dyDescent="0.25">
      <c r="A351" s="2"/>
      <c r="B351" s="20"/>
      <c r="C351" s="20"/>
      <c r="D351" s="20"/>
    </row>
    <row r="352" spans="1:4" x14ac:dyDescent="0.25">
      <c r="A352" s="2"/>
      <c r="B352" s="20"/>
      <c r="C352" s="20"/>
      <c r="D352" s="20"/>
    </row>
    <row r="353" spans="1:4" x14ac:dyDescent="0.25">
      <c r="A353" s="2"/>
      <c r="B353" s="20"/>
      <c r="C353" s="20"/>
      <c r="D353" s="20"/>
    </row>
    <row r="354" spans="1:4" x14ac:dyDescent="0.25">
      <c r="A354" s="2"/>
      <c r="B354" s="20"/>
      <c r="C354" s="20"/>
      <c r="D354" s="20"/>
    </row>
    <row r="355" spans="1:4" x14ac:dyDescent="0.25">
      <c r="A355" s="2"/>
      <c r="B355" s="20"/>
      <c r="C355" s="20"/>
      <c r="D355" s="20"/>
    </row>
    <row r="356" spans="1:4" x14ac:dyDescent="0.25">
      <c r="A356" s="2"/>
      <c r="B356" s="20"/>
      <c r="C356" s="20"/>
      <c r="D356" s="20"/>
    </row>
    <row r="357" spans="1:4" x14ac:dyDescent="0.25">
      <c r="A357" s="2"/>
      <c r="B357" s="20"/>
      <c r="C357" s="20"/>
      <c r="D357" s="20"/>
    </row>
    <row r="358" spans="1:4" x14ac:dyDescent="0.25">
      <c r="A358" s="2"/>
      <c r="B358" s="20"/>
      <c r="C358" s="20"/>
      <c r="D358" s="20"/>
    </row>
    <row r="359" spans="1:4" x14ac:dyDescent="0.25">
      <c r="A359" s="2"/>
      <c r="B359" s="20"/>
      <c r="C359" s="20"/>
      <c r="D359" s="20"/>
    </row>
    <row r="360" spans="1:4" x14ac:dyDescent="0.25">
      <c r="A360" s="2"/>
      <c r="B360" s="20"/>
      <c r="C360" s="29"/>
      <c r="D360" s="20"/>
    </row>
    <row r="361" spans="1:4" x14ac:dyDescent="0.25">
      <c r="A361" s="2"/>
      <c r="B361" s="20"/>
      <c r="C361" s="20"/>
      <c r="D361" s="20"/>
    </row>
    <row r="362" spans="1:4" x14ac:dyDescent="0.25">
      <c r="A362" s="2"/>
      <c r="B362" s="20"/>
      <c r="C362" s="20"/>
      <c r="D362" s="20"/>
    </row>
    <row r="363" spans="1:4" x14ac:dyDescent="0.25">
      <c r="A363" s="2"/>
      <c r="B363" s="20"/>
      <c r="C363" s="20"/>
      <c r="D363" s="20"/>
    </row>
    <row r="364" spans="1:4" x14ac:dyDescent="0.25">
      <c r="A364" s="2"/>
      <c r="B364" s="20"/>
      <c r="C364" s="20"/>
      <c r="D364" s="20"/>
    </row>
    <row r="365" spans="1:4" x14ac:dyDescent="0.25">
      <c r="A365" s="2"/>
      <c r="B365" s="20"/>
      <c r="C365" s="20"/>
      <c r="D365" s="20"/>
    </row>
    <row r="366" spans="1:4" x14ac:dyDescent="0.25">
      <c r="A366" s="2"/>
      <c r="B366" s="20"/>
      <c r="C366" s="20"/>
      <c r="D366" s="20"/>
    </row>
    <row r="367" spans="1:4" x14ac:dyDescent="0.25">
      <c r="A367" s="2"/>
      <c r="B367" s="20"/>
      <c r="C367" s="29"/>
      <c r="D367" s="20"/>
    </row>
    <row r="368" spans="1:4" x14ac:dyDescent="0.25">
      <c r="A368" s="2"/>
      <c r="B368" s="20"/>
      <c r="C368" s="20"/>
      <c r="D368" s="20"/>
    </row>
    <row r="369" spans="1:4" x14ac:dyDescent="0.25">
      <c r="A369" s="2"/>
      <c r="B369" s="20"/>
      <c r="C369" s="20"/>
      <c r="D369" s="20"/>
    </row>
    <row r="370" spans="1:4" x14ac:dyDescent="0.25">
      <c r="A370" s="2"/>
      <c r="B370" s="20"/>
      <c r="C370" s="20"/>
      <c r="D370" s="20"/>
    </row>
    <row r="371" spans="1:4" x14ac:dyDescent="0.25">
      <c r="A371" s="2"/>
      <c r="B371" s="20"/>
      <c r="C371" s="29"/>
      <c r="D371" s="20"/>
    </row>
    <row r="372" spans="1:4" x14ac:dyDescent="0.25">
      <c r="A372" s="2"/>
      <c r="B372" s="20"/>
      <c r="C372" s="20"/>
      <c r="D372" s="20"/>
    </row>
    <row r="373" spans="1:4" x14ac:dyDescent="0.25">
      <c r="A373" s="2"/>
      <c r="B373" s="20"/>
      <c r="C373" s="20"/>
      <c r="D373" s="20"/>
    </row>
    <row r="374" spans="1:4" x14ac:dyDescent="0.25">
      <c r="A374" s="2"/>
      <c r="B374" s="20"/>
      <c r="C374" s="20"/>
      <c r="D374" s="20"/>
    </row>
    <row r="375" spans="1:4" x14ac:dyDescent="0.25">
      <c r="A375" s="2"/>
      <c r="B375" s="20"/>
      <c r="C375" s="20"/>
      <c r="D375" s="20"/>
    </row>
    <row r="376" spans="1:4" x14ac:dyDescent="0.25">
      <c r="A376" s="2"/>
      <c r="B376" s="20"/>
      <c r="C376" s="29"/>
      <c r="D376" s="20"/>
    </row>
    <row r="377" spans="1:4" x14ac:dyDescent="0.25">
      <c r="A377" s="2"/>
      <c r="B377" s="20"/>
      <c r="C377" s="20"/>
      <c r="D377" s="20"/>
    </row>
    <row r="378" spans="1:4" x14ac:dyDescent="0.25">
      <c r="A378" s="2"/>
      <c r="B378" s="20"/>
      <c r="C378" s="20"/>
      <c r="D378" s="20"/>
    </row>
    <row r="379" spans="1:4" x14ac:dyDescent="0.25">
      <c r="A379" s="2"/>
      <c r="B379" s="20"/>
      <c r="C379" s="20"/>
      <c r="D379" s="20"/>
    </row>
    <row r="380" spans="1:4" x14ac:dyDescent="0.25">
      <c r="A380" s="2"/>
      <c r="B380" s="20"/>
      <c r="C380" s="20"/>
      <c r="D380" s="20"/>
    </row>
    <row r="381" spans="1:4" x14ac:dyDescent="0.25">
      <c r="A381" s="2"/>
      <c r="B381" s="20"/>
      <c r="C381" s="20"/>
      <c r="D381" s="20"/>
    </row>
    <row r="382" spans="1:4" x14ac:dyDescent="0.25">
      <c r="A382" s="2"/>
      <c r="B382" s="20"/>
      <c r="C382" s="20"/>
      <c r="D382" s="20"/>
    </row>
    <row r="383" spans="1:4" x14ac:dyDescent="0.25">
      <c r="A383" s="2"/>
      <c r="B383" s="20"/>
      <c r="C383" s="29"/>
      <c r="D383" s="20"/>
    </row>
    <row r="384" spans="1:4" x14ac:dyDescent="0.25">
      <c r="A384" s="2"/>
      <c r="B384" s="20"/>
      <c r="C384" s="20"/>
      <c r="D384" s="20"/>
    </row>
    <row r="385" spans="1:4" x14ac:dyDescent="0.25">
      <c r="A385" s="2"/>
      <c r="B385" s="20"/>
      <c r="C385" s="20"/>
      <c r="D385" s="20"/>
    </row>
    <row r="386" spans="1:4" x14ac:dyDescent="0.25">
      <c r="A386" s="2"/>
      <c r="B386" s="20"/>
      <c r="C386" s="29"/>
      <c r="D386" s="20"/>
    </row>
    <row r="387" spans="1:4" x14ac:dyDescent="0.25">
      <c r="A387" s="2"/>
      <c r="B387" s="20"/>
      <c r="C387" s="20"/>
      <c r="D387" s="20"/>
    </row>
    <row r="388" spans="1:4" x14ac:dyDescent="0.25">
      <c r="A388" s="2"/>
      <c r="B388" s="20"/>
      <c r="C388" s="20"/>
      <c r="D388" s="20"/>
    </row>
    <row r="389" spans="1:4" x14ac:dyDescent="0.25">
      <c r="A389" s="2"/>
      <c r="B389" s="20"/>
      <c r="C389" s="20"/>
      <c r="D389" s="20"/>
    </row>
    <row r="390" spans="1:4" x14ac:dyDescent="0.25">
      <c r="A390" s="2"/>
      <c r="B390" s="20"/>
      <c r="C390" s="20"/>
      <c r="D390" s="20"/>
    </row>
    <row r="391" spans="1:4" x14ac:dyDescent="0.25">
      <c r="A391" s="2"/>
      <c r="B391" s="20"/>
      <c r="C391" s="20"/>
      <c r="D391" s="20"/>
    </row>
    <row r="392" spans="1:4" x14ac:dyDescent="0.25">
      <c r="A392" s="2"/>
      <c r="B392" s="20"/>
      <c r="C392" s="20"/>
      <c r="D392" s="20"/>
    </row>
    <row r="393" spans="1:4" x14ac:dyDescent="0.25">
      <c r="A393" s="2"/>
      <c r="B393" s="20"/>
      <c r="C393" s="20"/>
      <c r="D393" s="20"/>
    </row>
    <row r="394" spans="1:4" x14ac:dyDescent="0.25">
      <c r="A394" s="2"/>
      <c r="B394" s="20"/>
      <c r="C394" s="20"/>
      <c r="D394" s="20"/>
    </row>
    <row r="395" spans="1:4" x14ac:dyDescent="0.25">
      <c r="A395" s="2"/>
      <c r="B395" s="20"/>
      <c r="C395" s="20"/>
      <c r="D395" s="20"/>
    </row>
    <row r="396" spans="1:4" x14ac:dyDescent="0.25">
      <c r="A396" s="2"/>
      <c r="B396" s="20"/>
      <c r="C396" s="20"/>
      <c r="D396" s="20"/>
    </row>
    <row r="397" spans="1:4" x14ac:dyDescent="0.25">
      <c r="A397" s="2"/>
      <c r="B397" s="20"/>
      <c r="C397" s="29"/>
      <c r="D397" s="20"/>
    </row>
    <row r="398" spans="1:4" x14ac:dyDescent="0.25">
      <c r="A398" s="2"/>
      <c r="B398" s="20"/>
      <c r="C398" s="29"/>
      <c r="D398" s="20"/>
    </row>
    <row r="399" spans="1:4" x14ac:dyDescent="0.25">
      <c r="A399" s="2"/>
      <c r="B399" s="20"/>
      <c r="C399" s="20"/>
      <c r="D399" s="20"/>
    </row>
    <row r="400" spans="1:4" x14ac:dyDescent="0.25">
      <c r="A400" s="2"/>
      <c r="B400" s="20"/>
      <c r="C400" s="20"/>
      <c r="D400" s="20"/>
    </row>
    <row r="401" spans="1:4" x14ac:dyDescent="0.25">
      <c r="A401" s="2"/>
      <c r="B401" s="20"/>
      <c r="C401" s="20"/>
      <c r="D401" s="20"/>
    </row>
    <row r="402" spans="1:4" x14ac:dyDescent="0.25">
      <c r="A402" s="2"/>
      <c r="B402" s="20"/>
      <c r="C402" s="29"/>
      <c r="D402" s="20"/>
    </row>
    <row r="403" spans="1:4" x14ac:dyDescent="0.25">
      <c r="A403" s="2"/>
      <c r="B403" s="20"/>
      <c r="C403" s="29"/>
      <c r="D403" s="20"/>
    </row>
    <row r="404" spans="1:4" x14ac:dyDescent="0.25">
      <c r="A404" s="2"/>
      <c r="B404" s="20"/>
      <c r="C404" s="20"/>
      <c r="D404" s="20"/>
    </row>
    <row r="405" spans="1:4" x14ac:dyDescent="0.25">
      <c r="A405" s="2"/>
      <c r="B405" s="20"/>
      <c r="C405" s="20"/>
      <c r="D405" s="20"/>
    </row>
    <row r="406" spans="1:4" x14ac:dyDescent="0.25">
      <c r="A406" s="2"/>
      <c r="B406" s="20"/>
      <c r="C406" s="20"/>
      <c r="D406" s="20"/>
    </row>
    <row r="407" spans="1:4" x14ac:dyDescent="0.25">
      <c r="A407" s="2"/>
      <c r="B407" s="20"/>
      <c r="C407" s="20"/>
      <c r="D407" s="20"/>
    </row>
    <row r="408" spans="1:4" x14ac:dyDescent="0.25">
      <c r="A408" s="2"/>
      <c r="B408" s="20"/>
      <c r="C408" s="29"/>
      <c r="D408" s="20"/>
    </row>
    <row r="409" spans="1:4" x14ac:dyDescent="0.25">
      <c r="A409" s="2"/>
      <c r="B409" s="20"/>
      <c r="C409" s="20"/>
      <c r="D409" s="20"/>
    </row>
    <row r="410" spans="1:4" x14ac:dyDescent="0.25">
      <c r="A410" s="2"/>
      <c r="B410" s="20"/>
      <c r="C410" s="20"/>
      <c r="D410" s="20"/>
    </row>
    <row r="411" spans="1:4" x14ac:dyDescent="0.25">
      <c r="A411" s="2"/>
      <c r="B411" s="20"/>
      <c r="C411" s="20"/>
      <c r="D411" s="20"/>
    </row>
    <row r="412" spans="1:4" x14ac:dyDescent="0.25">
      <c r="A412" s="2"/>
      <c r="B412" s="20"/>
      <c r="C412" s="20"/>
      <c r="D412" s="20"/>
    </row>
    <row r="413" spans="1:4" x14ac:dyDescent="0.25">
      <c r="A413" s="2"/>
      <c r="B413" s="20"/>
      <c r="C413" s="20"/>
      <c r="D413" s="20"/>
    </row>
    <row r="414" spans="1:4" x14ac:dyDescent="0.25">
      <c r="A414" s="2"/>
      <c r="B414" s="20"/>
      <c r="C414" s="20"/>
      <c r="D414" s="20"/>
    </row>
    <row r="415" spans="1:4" x14ac:dyDescent="0.25">
      <c r="A415" s="2"/>
      <c r="B415" s="20"/>
      <c r="C415" s="29"/>
      <c r="D415" s="20"/>
    </row>
    <row r="416" spans="1:4" x14ac:dyDescent="0.25">
      <c r="A416" s="2"/>
      <c r="B416" s="20"/>
      <c r="C416" s="20"/>
      <c r="D416" s="20"/>
    </row>
    <row r="417" spans="1:4" x14ac:dyDescent="0.25">
      <c r="A417" s="2"/>
      <c r="B417" s="20"/>
      <c r="C417" s="29"/>
      <c r="D417" s="20"/>
    </row>
    <row r="418" spans="1:4" x14ac:dyDescent="0.25">
      <c r="A418" s="2"/>
      <c r="B418" s="20"/>
      <c r="C418" s="20"/>
      <c r="D418" s="20"/>
    </row>
    <row r="419" spans="1:4" x14ac:dyDescent="0.25">
      <c r="A419" s="2"/>
      <c r="B419" s="20"/>
      <c r="C419" s="20"/>
      <c r="D419" s="20"/>
    </row>
    <row r="420" spans="1:4" x14ac:dyDescent="0.25">
      <c r="A420" s="2"/>
      <c r="B420" s="20"/>
      <c r="C420" s="20"/>
      <c r="D420" s="20"/>
    </row>
    <row r="421" spans="1:4" x14ac:dyDescent="0.25">
      <c r="A421" s="2"/>
      <c r="B421" s="20"/>
      <c r="C421" s="20"/>
      <c r="D421" s="20"/>
    </row>
    <row r="422" spans="1:4" x14ac:dyDescent="0.25">
      <c r="A422" s="2"/>
      <c r="B422" s="20"/>
      <c r="C422" s="20"/>
      <c r="D422" s="20"/>
    </row>
    <row r="423" spans="1:4" x14ac:dyDescent="0.25">
      <c r="A423" s="2"/>
      <c r="B423" s="20"/>
      <c r="C423" s="20"/>
      <c r="D423" s="20"/>
    </row>
    <row r="424" spans="1:4" x14ac:dyDescent="0.25">
      <c r="A424" s="2"/>
      <c r="B424" s="20"/>
      <c r="C424" s="29"/>
      <c r="D424" s="20"/>
    </row>
    <row r="425" spans="1:4" x14ac:dyDescent="0.25">
      <c r="A425" s="2"/>
      <c r="B425" s="20"/>
      <c r="C425" s="20"/>
      <c r="D425" s="20"/>
    </row>
    <row r="426" spans="1:4" x14ac:dyDescent="0.25">
      <c r="A426" s="2"/>
      <c r="B426" s="20"/>
      <c r="C426" s="29"/>
      <c r="D426" s="20"/>
    </row>
    <row r="427" spans="1:4" x14ac:dyDescent="0.25">
      <c r="A427" s="2"/>
      <c r="B427" s="20"/>
      <c r="C427" s="20"/>
      <c r="D427" s="20"/>
    </row>
    <row r="428" spans="1:4" x14ac:dyDescent="0.25">
      <c r="A428" s="2"/>
      <c r="B428" s="20"/>
      <c r="C428" s="20"/>
      <c r="D428" s="20"/>
    </row>
    <row r="429" spans="1:4" x14ac:dyDescent="0.25">
      <c r="A429" s="2"/>
      <c r="B429" s="20"/>
      <c r="C429" s="29"/>
      <c r="D429" s="20"/>
    </row>
    <row r="430" spans="1:4" x14ac:dyDescent="0.25">
      <c r="A430" s="2"/>
      <c r="B430" s="20"/>
      <c r="C430" s="20"/>
      <c r="D430" s="20"/>
    </row>
    <row r="431" spans="1:4" x14ac:dyDescent="0.25">
      <c r="A431" s="2"/>
      <c r="B431" s="20"/>
      <c r="C431" s="20"/>
      <c r="D431" s="20"/>
    </row>
    <row r="432" spans="1:4" x14ac:dyDescent="0.25">
      <c r="A432" s="2"/>
      <c r="B432" s="20"/>
      <c r="C432" s="29"/>
      <c r="D432" s="20"/>
    </row>
    <row r="433" spans="1:4" x14ac:dyDescent="0.25">
      <c r="A433" s="2"/>
      <c r="B433" s="20"/>
      <c r="C433" s="29"/>
      <c r="D433" s="20"/>
    </row>
    <row r="434" spans="1:4" x14ac:dyDescent="0.25">
      <c r="A434" s="2"/>
      <c r="B434" s="20"/>
      <c r="C434" s="20"/>
      <c r="D434" s="20"/>
    </row>
    <row r="435" spans="1:4" x14ac:dyDescent="0.25">
      <c r="A435" s="2"/>
      <c r="B435" s="20"/>
      <c r="C435" s="20"/>
      <c r="D435" s="20"/>
    </row>
    <row r="436" spans="1:4" x14ac:dyDescent="0.25">
      <c r="A436" s="2"/>
      <c r="B436" s="20"/>
      <c r="C436" s="20"/>
      <c r="D436" s="20"/>
    </row>
    <row r="437" spans="1:4" x14ac:dyDescent="0.25">
      <c r="A437" s="2"/>
      <c r="B437" s="20"/>
      <c r="C437" s="29"/>
      <c r="D437" s="20"/>
    </row>
    <row r="438" spans="1:4" x14ac:dyDescent="0.25">
      <c r="A438" s="2"/>
      <c r="B438" s="20"/>
      <c r="C438" s="20"/>
      <c r="D438" s="20"/>
    </row>
    <row r="439" spans="1:4" x14ac:dyDescent="0.25">
      <c r="A439" s="2"/>
      <c r="B439" s="20"/>
      <c r="C439" s="20"/>
      <c r="D439" s="20"/>
    </row>
    <row r="440" spans="1:4" x14ac:dyDescent="0.25">
      <c r="A440" s="2"/>
      <c r="B440" s="20"/>
      <c r="C440" s="29"/>
      <c r="D440" s="20"/>
    </row>
    <row r="441" spans="1:4" x14ac:dyDescent="0.25">
      <c r="A441" s="2"/>
      <c r="B441" s="20"/>
      <c r="C441" s="20"/>
      <c r="D441" s="20"/>
    </row>
    <row r="442" spans="1:4" x14ac:dyDescent="0.25">
      <c r="A442" s="2"/>
      <c r="B442" s="20"/>
      <c r="C442" s="20"/>
      <c r="D442" s="20"/>
    </row>
    <row r="443" spans="1:4" x14ac:dyDescent="0.25">
      <c r="A443" s="2"/>
      <c r="B443" s="20"/>
      <c r="C443" s="20"/>
      <c r="D443" s="20"/>
    </row>
    <row r="444" spans="1:4" x14ac:dyDescent="0.25">
      <c r="A444" s="2"/>
      <c r="B444" s="20"/>
      <c r="C444" s="20"/>
      <c r="D444" s="20"/>
    </row>
    <row r="445" spans="1:4" x14ac:dyDescent="0.25">
      <c r="A445" s="2"/>
      <c r="B445" s="20"/>
      <c r="C445" s="20"/>
      <c r="D445" s="20"/>
    </row>
    <row r="446" spans="1:4" x14ac:dyDescent="0.25">
      <c r="A446" s="2"/>
      <c r="B446" s="20"/>
      <c r="C446" s="20"/>
      <c r="D446" s="20"/>
    </row>
    <row r="447" spans="1:4" x14ac:dyDescent="0.25">
      <c r="A447" s="2"/>
      <c r="B447" s="20"/>
      <c r="C447" s="20"/>
      <c r="D447" s="20"/>
    </row>
    <row r="448" spans="1:4" x14ac:dyDescent="0.25">
      <c r="A448" s="2"/>
      <c r="B448" s="20"/>
      <c r="C448" s="29"/>
      <c r="D448" s="20"/>
    </row>
    <row r="449" spans="1:4" x14ac:dyDescent="0.25">
      <c r="A449" s="2"/>
      <c r="B449" s="20"/>
      <c r="C449" s="20"/>
      <c r="D449" s="20"/>
    </row>
    <row r="450" spans="1:4" x14ac:dyDescent="0.25">
      <c r="A450" s="2"/>
      <c r="B450" s="20"/>
      <c r="C450" s="20"/>
      <c r="D450" s="20"/>
    </row>
    <row r="451" spans="1:4" x14ac:dyDescent="0.25">
      <c r="A451" s="2"/>
      <c r="B451" s="20"/>
      <c r="C451" s="20"/>
      <c r="D451" s="20"/>
    </row>
    <row r="452" spans="1:4" x14ac:dyDescent="0.25">
      <c r="A452" s="2"/>
      <c r="B452" s="20"/>
      <c r="C452" s="20"/>
      <c r="D452" s="20"/>
    </row>
    <row r="453" spans="1:4" x14ac:dyDescent="0.25">
      <c r="A453" s="2"/>
      <c r="B453" s="20"/>
      <c r="C453" s="20"/>
      <c r="D453" s="20"/>
    </row>
    <row r="454" spans="1:4" x14ac:dyDescent="0.25">
      <c r="A454" s="2"/>
      <c r="B454" s="20"/>
      <c r="C454" s="20"/>
      <c r="D454" s="20"/>
    </row>
    <row r="455" spans="1:4" x14ac:dyDescent="0.25">
      <c r="A455" s="2"/>
      <c r="B455" s="20"/>
      <c r="C455" s="20"/>
      <c r="D455" s="20"/>
    </row>
    <row r="456" spans="1:4" x14ac:dyDescent="0.25">
      <c r="A456" s="2"/>
      <c r="B456" s="20"/>
      <c r="C456" s="20"/>
      <c r="D456" s="20"/>
    </row>
    <row r="457" spans="1:4" x14ac:dyDescent="0.25">
      <c r="A457" s="2"/>
      <c r="B457" s="20"/>
      <c r="C457" s="20"/>
      <c r="D457" s="20"/>
    </row>
    <row r="458" spans="1:4" x14ac:dyDescent="0.25">
      <c r="A458" s="2"/>
      <c r="B458" s="20"/>
      <c r="C458" s="20"/>
      <c r="D458" s="20"/>
    </row>
    <row r="459" spans="1:4" x14ac:dyDescent="0.25">
      <c r="A459" s="2"/>
      <c r="B459" s="20"/>
      <c r="C459" s="29"/>
      <c r="D459" s="20"/>
    </row>
    <row r="460" spans="1:4" x14ac:dyDescent="0.25">
      <c r="A460" s="2"/>
      <c r="B460" s="20"/>
      <c r="C460" s="29"/>
      <c r="D460" s="20"/>
    </row>
    <row r="461" spans="1:4" x14ac:dyDescent="0.25">
      <c r="A461" s="2"/>
      <c r="B461" s="20"/>
      <c r="C461" s="20"/>
      <c r="D461" s="20"/>
    </row>
    <row r="462" spans="1:4" x14ac:dyDescent="0.25">
      <c r="A462" s="2"/>
      <c r="B462" s="20"/>
      <c r="C462" s="20"/>
      <c r="D462" s="20"/>
    </row>
    <row r="463" spans="1:4" x14ac:dyDescent="0.25">
      <c r="A463" s="2"/>
      <c r="B463" s="20"/>
      <c r="C463" s="20"/>
      <c r="D463" s="20"/>
    </row>
    <row r="464" spans="1:4" x14ac:dyDescent="0.25">
      <c r="A464" s="2"/>
      <c r="B464" s="20"/>
      <c r="C464" s="20"/>
      <c r="D464" s="20"/>
    </row>
    <row r="465" spans="1:4" x14ac:dyDescent="0.25">
      <c r="A465" s="2"/>
      <c r="B465" s="20"/>
      <c r="C465" s="20"/>
      <c r="D465" s="20"/>
    </row>
    <row r="466" spans="1:4" x14ac:dyDescent="0.25">
      <c r="A466" s="2"/>
      <c r="B466" s="20"/>
      <c r="C466" s="20"/>
      <c r="D466" s="20"/>
    </row>
    <row r="467" spans="1:4" x14ac:dyDescent="0.25">
      <c r="A467" s="2"/>
      <c r="B467" s="20"/>
      <c r="C467" s="20"/>
      <c r="D467" s="20"/>
    </row>
    <row r="468" spans="1:4" x14ac:dyDescent="0.25">
      <c r="A468" s="2"/>
      <c r="B468" s="20"/>
      <c r="C468" s="20"/>
      <c r="D468" s="20"/>
    </row>
    <row r="469" spans="1:4" x14ac:dyDescent="0.25">
      <c r="A469" s="2"/>
      <c r="B469" s="20"/>
      <c r="C469" s="20"/>
      <c r="D469" s="20"/>
    </row>
    <row r="470" spans="1:4" x14ac:dyDescent="0.25">
      <c r="A470" s="2"/>
      <c r="B470" s="20"/>
      <c r="C470" s="20"/>
      <c r="D470" s="20"/>
    </row>
    <row r="471" spans="1:4" x14ac:dyDescent="0.25">
      <c r="A471" s="2"/>
      <c r="B471" s="20"/>
      <c r="C471" s="29"/>
      <c r="D471" s="20"/>
    </row>
    <row r="472" spans="1:4" x14ac:dyDescent="0.25">
      <c r="A472" s="2"/>
      <c r="B472" s="20"/>
      <c r="C472" s="29"/>
      <c r="D472" s="20"/>
    </row>
    <row r="473" spans="1:4" x14ac:dyDescent="0.25">
      <c r="A473" s="2"/>
      <c r="B473" s="20"/>
      <c r="C473" s="20"/>
      <c r="D473" s="20"/>
    </row>
    <row r="474" spans="1:4" x14ac:dyDescent="0.25">
      <c r="A474" s="2"/>
      <c r="B474" s="20"/>
      <c r="C474" s="20"/>
      <c r="D474" s="20"/>
    </row>
    <row r="475" spans="1:4" x14ac:dyDescent="0.25">
      <c r="A475" s="2"/>
      <c r="B475" s="20"/>
      <c r="C475" s="20"/>
      <c r="D475" s="20"/>
    </row>
    <row r="476" spans="1:4" x14ac:dyDescent="0.25">
      <c r="A476" s="2"/>
      <c r="B476" s="20"/>
      <c r="C476" s="20"/>
      <c r="D476" s="20"/>
    </row>
    <row r="477" spans="1:4" x14ac:dyDescent="0.25">
      <c r="A477" s="2"/>
      <c r="B477" s="20"/>
      <c r="C477" s="29"/>
      <c r="D477" s="20"/>
    </row>
    <row r="478" spans="1:4" x14ac:dyDescent="0.25">
      <c r="A478" s="2"/>
      <c r="B478" s="20"/>
      <c r="C478" s="20"/>
      <c r="D478" s="20"/>
    </row>
    <row r="479" spans="1:4" x14ac:dyDescent="0.25">
      <c r="A479" s="2"/>
      <c r="B479" s="20"/>
      <c r="C479" s="20"/>
      <c r="D479" s="20"/>
    </row>
    <row r="480" spans="1:4" x14ac:dyDescent="0.25">
      <c r="A480" s="2"/>
      <c r="B480" s="20"/>
      <c r="C480" s="20"/>
      <c r="D480" s="20"/>
    </row>
    <row r="481" spans="1:4" x14ac:dyDescent="0.25">
      <c r="A481" s="2"/>
      <c r="B481" s="20"/>
      <c r="C481" s="20"/>
      <c r="D481" s="20"/>
    </row>
    <row r="482" spans="1:4" x14ac:dyDescent="0.25">
      <c r="A482" s="2"/>
      <c r="B482" s="20"/>
      <c r="C482" s="20"/>
      <c r="D482" s="20"/>
    </row>
    <row r="483" spans="1:4" x14ac:dyDescent="0.25">
      <c r="A483" s="2"/>
      <c r="B483" s="20"/>
      <c r="C483" s="20"/>
      <c r="D483" s="20"/>
    </row>
    <row r="484" spans="1:4" x14ac:dyDescent="0.25">
      <c r="A484" s="2"/>
      <c r="B484" s="20"/>
      <c r="C484" s="29"/>
      <c r="D484" s="20"/>
    </row>
    <row r="485" spans="1:4" x14ac:dyDescent="0.25">
      <c r="A485" s="2"/>
      <c r="B485" s="20"/>
      <c r="C485" s="20"/>
      <c r="D485" s="20"/>
    </row>
    <row r="486" spans="1:4" x14ac:dyDescent="0.25">
      <c r="A486" s="2"/>
      <c r="B486" s="20"/>
      <c r="C486" s="20"/>
      <c r="D486" s="20"/>
    </row>
    <row r="487" spans="1:4" x14ac:dyDescent="0.25">
      <c r="A487" s="2"/>
      <c r="B487" s="20"/>
      <c r="C487" s="20"/>
      <c r="D487" s="20"/>
    </row>
    <row r="488" spans="1:4" x14ac:dyDescent="0.25">
      <c r="A488" s="2"/>
      <c r="B488" s="20"/>
      <c r="C488" s="20"/>
      <c r="D488" s="20"/>
    </row>
    <row r="489" spans="1:4" x14ac:dyDescent="0.25">
      <c r="A489" s="2"/>
      <c r="B489" s="20"/>
      <c r="C489" s="29"/>
      <c r="D489" s="20"/>
    </row>
    <row r="490" spans="1:4" x14ac:dyDescent="0.25">
      <c r="A490" s="2"/>
      <c r="B490" s="20"/>
      <c r="C490" s="20"/>
      <c r="D490" s="20"/>
    </row>
    <row r="491" spans="1:4" x14ac:dyDescent="0.25">
      <c r="A491" s="2"/>
      <c r="B491" s="20"/>
      <c r="C491" s="20"/>
      <c r="D491" s="20"/>
    </row>
    <row r="492" spans="1:4" x14ac:dyDescent="0.25">
      <c r="A492" s="2"/>
      <c r="B492" s="20"/>
      <c r="C492" s="20"/>
      <c r="D492" s="20"/>
    </row>
    <row r="493" spans="1:4" x14ac:dyDescent="0.25">
      <c r="A493" s="2"/>
      <c r="B493" s="20"/>
      <c r="C493" s="20"/>
      <c r="D493" s="20"/>
    </row>
    <row r="494" spans="1:4" x14ac:dyDescent="0.25">
      <c r="A494" s="2"/>
      <c r="B494" s="20"/>
      <c r="C494" s="20"/>
      <c r="D494" s="20"/>
    </row>
    <row r="495" spans="1:4" x14ac:dyDescent="0.25">
      <c r="A495" s="2"/>
      <c r="B495" s="20"/>
      <c r="C495" s="20"/>
      <c r="D495" s="20"/>
    </row>
    <row r="496" spans="1:4" x14ac:dyDescent="0.25">
      <c r="A496" s="2"/>
      <c r="B496" s="20"/>
      <c r="C496" s="20"/>
      <c r="D496" s="20"/>
    </row>
    <row r="497" spans="1:4" x14ac:dyDescent="0.25">
      <c r="A497" s="2"/>
      <c r="B497" s="20"/>
      <c r="C497" s="29"/>
      <c r="D497" s="20"/>
    </row>
    <row r="498" spans="1:4" x14ac:dyDescent="0.25">
      <c r="A498" s="2"/>
      <c r="B498" s="20"/>
      <c r="C498" s="29"/>
      <c r="D498" s="20"/>
    </row>
    <row r="499" spans="1:4" x14ac:dyDescent="0.25">
      <c r="A499" s="2"/>
      <c r="B499" s="20"/>
      <c r="C499" s="20"/>
      <c r="D499" s="20"/>
    </row>
    <row r="500" spans="1:4" x14ac:dyDescent="0.25">
      <c r="A500" s="2"/>
      <c r="B500" s="20"/>
      <c r="C500" s="29"/>
      <c r="D500" s="20"/>
    </row>
    <row r="501" spans="1:4" x14ac:dyDescent="0.25">
      <c r="A501" s="2"/>
      <c r="B501" s="20"/>
      <c r="C501" s="20"/>
      <c r="D501" s="20"/>
    </row>
    <row r="502" spans="1:4" x14ac:dyDescent="0.25">
      <c r="A502" s="2"/>
      <c r="B502" s="20"/>
      <c r="C502" s="20"/>
      <c r="D502" s="20"/>
    </row>
    <row r="503" spans="1:4" x14ac:dyDescent="0.25">
      <c r="A503" s="2"/>
      <c r="B503" s="20"/>
      <c r="C503" s="20"/>
      <c r="D503" s="20"/>
    </row>
    <row r="504" spans="1:4" x14ac:dyDescent="0.25">
      <c r="A504" s="2"/>
      <c r="B504" s="20"/>
      <c r="C504" s="20"/>
      <c r="D504" s="20"/>
    </row>
    <row r="505" spans="1:4" x14ac:dyDescent="0.25">
      <c r="A505" s="2"/>
      <c r="B505" s="20"/>
      <c r="C505" s="20"/>
      <c r="D505" s="20"/>
    </row>
    <row r="506" spans="1:4" x14ac:dyDescent="0.25">
      <c r="A506" s="2"/>
      <c r="B506" s="20"/>
      <c r="C506" s="20"/>
      <c r="D506" s="20"/>
    </row>
    <row r="507" spans="1:4" x14ac:dyDescent="0.25">
      <c r="A507" s="2"/>
      <c r="B507" s="20"/>
      <c r="C507" s="20"/>
      <c r="D507" s="20"/>
    </row>
    <row r="508" spans="1:4" x14ac:dyDescent="0.25">
      <c r="A508" s="2"/>
      <c r="B508" s="20"/>
      <c r="C508" s="20"/>
      <c r="D508" s="20"/>
    </row>
    <row r="509" spans="1:4" x14ac:dyDescent="0.25">
      <c r="A509" s="2"/>
      <c r="B509" s="20"/>
      <c r="C509" s="20"/>
      <c r="D509" s="20"/>
    </row>
    <row r="510" spans="1:4" x14ac:dyDescent="0.25">
      <c r="A510" s="2"/>
      <c r="B510" s="20"/>
      <c r="C510" s="20"/>
      <c r="D510" s="20"/>
    </row>
    <row r="511" spans="1:4" x14ac:dyDescent="0.25">
      <c r="A511" s="2"/>
      <c r="B511" s="20"/>
      <c r="C511" s="20"/>
      <c r="D511" s="20"/>
    </row>
    <row r="512" spans="1:4" x14ac:dyDescent="0.25">
      <c r="A512" s="2"/>
      <c r="B512" s="20"/>
      <c r="C512" s="20"/>
      <c r="D512" s="20"/>
    </row>
    <row r="513" spans="1:4" x14ac:dyDescent="0.25">
      <c r="A513" s="2"/>
      <c r="B513" s="20"/>
      <c r="C513" s="20"/>
      <c r="D513" s="20"/>
    </row>
    <row r="514" spans="1:4" x14ac:dyDescent="0.25">
      <c r="A514" s="2"/>
      <c r="B514" s="20"/>
      <c r="C514" s="20"/>
      <c r="D514" s="20"/>
    </row>
    <row r="515" spans="1:4" x14ac:dyDescent="0.25">
      <c r="A515" s="2"/>
      <c r="B515" s="20"/>
      <c r="C515" s="20"/>
      <c r="D515" s="20"/>
    </row>
    <row r="516" spans="1:4" x14ac:dyDescent="0.25">
      <c r="A516" s="2"/>
      <c r="B516" s="20"/>
      <c r="C516" s="29"/>
      <c r="D516" s="20"/>
    </row>
    <row r="517" spans="1:4" x14ac:dyDescent="0.25">
      <c r="A517" s="2"/>
      <c r="B517" s="20"/>
      <c r="C517" s="29"/>
      <c r="D517" s="20"/>
    </row>
    <row r="518" spans="1:4" x14ac:dyDescent="0.25">
      <c r="A518" s="2"/>
      <c r="B518" s="20"/>
      <c r="C518" s="20"/>
      <c r="D518" s="20"/>
    </row>
    <row r="519" spans="1:4" x14ac:dyDescent="0.25">
      <c r="A519" s="2"/>
      <c r="B519" s="20"/>
      <c r="C519" s="29"/>
      <c r="D519" s="20"/>
    </row>
    <row r="520" spans="1:4" x14ac:dyDescent="0.25">
      <c r="A520" s="2"/>
      <c r="B520" s="20"/>
      <c r="C520" s="20"/>
      <c r="D520" s="20"/>
    </row>
    <row r="521" spans="1:4" x14ac:dyDescent="0.25">
      <c r="A521" s="2"/>
      <c r="B521" s="20"/>
      <c r="C521" s="20"/>
      <c r="D521" s="20"/>
    </row>
    <row r="522" spans="1:4" x14ac:dyDescent="0.25">
      <c r="A522" s="2"/>
      <c r="B522" s="20"/>
      <c r="C522" s="29"/>
      <c r="D522" s="20"/>
    </row>
    <row r="523" spans="1:4" x14ac:dyDescent="0.25">
      <c r="A523" s="2"/>
      <c r="B523" s="20"/>
      <c r="C523" s="20"/>
      <c r="D523" s="20"/>
    </row>
    <row r="524" spans="1:4" x14ac:dyDescent="0.25">
      <c r="A524" s="2"/>
      <c r="B524" s="20"/>
      <c r="C524" s="20"/>
      <c r="D524" s="20"/>
    </row>
    <row r="525" spans="1:4" x14ac:dyDescent="0.25">
      <c r="A525" s="2"/>
      <c r="B525" s="20"/>
      <c r="C525" s="20"/>
      <c r="D525" s="20"/>
    </row>
    <row r="526" spans="1:4" x14ac:dyDescent="0.25">
      <c r="A526" s="2"/>
      <c r="B526" s="20"/>
      <c r="C526" s="29"/>
      <c r="D526" s="20"/>
    </row>
    <row r="527" spans="1:4" x14ac:dyDescent="0.25">
      <c r="A527" s="2"/>
      <c r="B527" s="20"/>
      <c r="C527" s="20"/>
      <c r="D527" s="20"/>
    </row>
    <row r="528" spans="1:4" x14ac:dyDescent="0.25">
      <c r="A528" s="2"/>
      <c r="B528" s="20"/>
      <c r="C528" s="20"/>
      <c r="D528" s="20"/>
    </row>
    <row r="529" spans="1:4" x14ac:dyDescent="0.25">
      <c r="A529" s="2"/>
      <c r="B529" s="20"/>
      <c r="C529" s="20"/>
      <c r="D529" s="20"/>
    </row>
    <row r="530" spans="1:4" x14ac:dyDescent="0.25">
      <c r="A530" s="2"/>
      <c r="B530" s="20"/>
      <c r="C530" s="29"/>
      <c r="D530" s="20"/>
    </row>
    <row r="531" spans="1:4" x14ac:dyDescent="0.25">
      <c r="A531" s="2"/>
      <c r="B531" s="20"/>
      <c r="C531" s="20"/>
      <c r="D531" s="20"/>
    </row>
    <row r="532" spans="1:4" x14ac:dyDescent="0.25">
      <c r="A532" s="2"/>
      <c r="B532" s="20"/>
      <c r="C532" s="20"/>
      <c r="D532" s="20"/>
    </row>
    <row r="533" spans="1:4" x14ac:dyDescent="0.25">
      <c r="A533" s="2"/>
      <c r="B533" s="20"/>
      <c r="C533" s="29"/>
      <c r="D533" s="20"/>
    </row>
    <row r="534" spans="1:4" x14ac:dyDescent="0.25">
      <c r="A534" s="2"/>
      <c r="B534" s="20"/>
      <c r="C534" s="20"/>
      <c r="D534" s="20"/>
    </row>
    <row r="535" spans="1:4" x14ac:dyDescent="0.25">
      <c r="A535" s="2"/>
      <c r="B535" s="20"/>
      <c r="C535" s="20"/>
      <c r="D535" s="20"/>
    </row>
    <row r="536" spans="1:4" x14ac:dyDescent="0.25">
      <c r="A536" s="2"/>
      <c r="B536" s="20"/>
      <c r="C536" s="20"/>
      <c r="D536" s="20"/>
    </row>
    <row r="537" spans="1:4" x14ac:dyDescent="0.25">
      <c r="A537" s="2"/>
      <c r="B537" s="20"/>
      <c r="C537" s="29"/>
      <c r="D537" s="20"/>
    </row>
    <row r="538" spans="1:4" x14ac:dyDescent="0.25">
      <c r="A538" s="2"/>
      <c r="B538" s="20"/>
      <c r="C538" s="29"/>
      <c r="D538" s="20"/>
    </row>
    <row r="539" spans="1:4" x14ac:dyDescent="0.25">
      <c r="A539" s="2"/>
      <c r="B539" s="20"/>
      <c r="C539" s="20"/>
      <c r="D539" s="20"/>
    </row>
    <row r="540" spans="1:4" x14ac:dyDescent="0.25">
      <c r="A540" s="2"/>
      <c r="B540" s="20"/>
      <c r="C540" s="29"/>
      <c r="D540" s="20"/>
    </row>
    <row r="541" spans="1:4" x14ac:dyDescent="0.25">
      <c r="A541" s="2"/>
      <c r="B541" s="20"/>
      <c r="C541" s="20"/>
      <c r="D541" s="20"/>
    </row>
    <row r="542" spans="1:4" x14ac:dyDescent="0.25">
      <c r="A542" s="2"/>
      <c r="B542" s="20"/>
      <c r="C542" s="20"/>
      <c r="D542" s="20"/>
    </row>
    <row r="543" spans="1:4" x14ac:dyDescent="0.25">
      <c r="A543" s="2"/>
      <c r="B543" s="20"/>
      <c r="C543" s="29"/>
      <c r="D543" s="20"/>
    </row>
    <row r="544" spans="1:4" x14ac:dyDescent="0.25">
      <c r="A544" s="2"/>
      <c r="B544" s="20"/>
      <c r="C544" s="29"/>
      <c r="D544" s="20"/>
    </row>
    <row r="545" spans="1:4" x14ac:dyDescent="0.25">
      <c r="A545" s="2"/>
      <c r="B545" s="20"/>
      <c r="C545" s="20"/>
      <c r="D545" s="20"/>
    </row>
    <row r="546" spans="1:4" x14ac:dyDescent="0.25">
      <c r="A546" s="2"/>
      <c r="B546" s="20"/>
      <c r="C546" s="20"/>
      <c r="D546" s="20"/>
    </row>
    <row r="547" spans="1:4" x14ac:dyDescent="0.25">
      <c r="A547" s="2"/>
      <c r="B547" s="20"/>
      <c r="C547" s="20"/>
      <c r="D547" s="20"/>
    </row>
    <row r="548" spans="1:4" x14ac:dyDescent="0.25">
      <c r="A548" s="2"/>
      <c r="B548" s="20"/>
      <c r="C548" s="29"/>
      <c r="D548" s="20"/>
    </row>
    <row r="549" spans="1:4" x14ac:dyDescent="0.25">
      <c r="A549" s="2"/>
      <c r="B549" s="20"/>
      <c r="C549" s="20"/>
      <c r="D549" s="20"/>
    </row>
    <row r="550" spans="1:4" x14ac:dyDescent="0.25">
      <c r="A550" s="2"/>
      <c r="B550" s="20"/>
      <c r="C550" s="20"/>
      <c r="D550" s="20"/>
    </row>
    <row r="551" spans="1:4" x14ac:dyDescent="0.25">
      <c r="A551" s="2"/>
      <c r="B551" s="20"/>
      <c r="C551" s="20"/>
      <c r="D551" s="20"/>
    </row>
    <row r="552" spans="1:4" x14ac:dyDescent="0.25">
      <c r="A552" s="2"/>
      <c r="B552" s="20"/>
      <c r="C552" s="20"/>
      <c r="D552" s="20"/>
    </row>
    <row r="553" spans="1:4" x14ac:dyDescent="0.25">
      <c r="A553" s="2"/>
      <c r="B553" s="20"/>
      <c r="C553" s="20"/>
      <c r="D553" s="20"/>
    </row>
    <row r="554" spans="1:4" x14ac:dyDescent="0.25">
      <c r="A554" s="2"/>
      <c r="B554" s="20"/>
      <c r="C554" s="20"/>
      <c r="D554" s="20"/>
    </row>
    <row r="555" spans="1:4" x14ac:dyDescent="0.25">
      <c r="A555" s="2"/>
      <c r="B555" s="20"/>
      <c r="C555" s="20"/>
      <c r="D555" s="20"/>
    </row>
    <row r="556" spans="1:4" x14ac:dyDescent="0.25">
      <c r="A556" s="2"/>
      <c r="B556" s="20"/>
      <c r="C556" s="20"/>
      <c r="D556" s="20"/>
    </row>
    <row r="557" spans="1:4" x14ac:dyDescent="0.25">
      <c r="A557" s="2"/>
      <c r="B557" s="20"/>
      <c r="C557" s="29"/>
      <c r="D557" s="20"/>
    </row>
    <row r="558" spans="1:4" x14ac:dyDescent="0.25">
      <c r="A558" s="2"/>
      <c r="B558" s="20"/>
      <c r="C558" s="20"/>
      <c r="D558" s="20"/>
    </row>
    <row r="559" spans="1:4" x14ac:dyDescent="0.25">
      <c r="A559" s="2"/>
      <c r="B559" s="20"/>
      <c r="C559" s="20"/>
      <c r="D559" s="20"/>
    </row>
    <row r="560" spans="1:4" x14ac:dyDescent="0.25">
      <c r="A560" s="2"/>
      <c r="B560" s="20"/>
      <c r="C560" s="20"/>
      <c r="D560" s="20"/>
    </row>
    <row r="561" spans="1:4" x14ac:dyDescent="0.25">
      <c r="A561" s="2"/>
      <c r="B561" s="20"/>
      <c r="C561" s="20"/>
      <c r="D561" s="20"/>
    </row>
    <row r="562" spans="1:4" x14ac:dyDescent="0.25">
      <c r="A562" s="2"/>
      <c r="B562" s="20"/>
      <c r="C562" s="20"/>
      <c r="D562" s="20"/>
    </row>
    <row r="563" spans="1:4" x14ac:dyDescent="0.25">
      <c r="A563" s="2"/>
      <c r="B563" s="20"/>
      <c r="C563" s="20"/>
      <c r="D563" s="20"/>
    </row>
    <row r="564" spans="1:4" x14ac:dyDescent="0.25">
      <c r="A564" s="2"/>
      <c r="B564" s="20"/>
      <c r="C564" s="20"/>
      <c r="D564" s="20"/>
    </row>
    <row r="565" spans="1:4" x14ac:dyDescent="0.25">
      <c r="A565" s="2"/>
      <c r="B565" s="20"/>
      <c r="C565" s="29"/>
      <c r="D565" s="20"/>
    </row>
    <row r="566" spans="1:4" x14ac:dyDescent="0.25">
      <c r="A566" s="2"/>
      <c r="B566" s="20"/>
      <c r="C566" s="20"/>
      <c r="D566" s="20"/>
    </row>
    <row r="567" spans="1:4" x14ac:dyDescent="0.25">
      <c r="A567" s="2"/>
      <c r="B567" s="20"/>
      <c r="C567" s="29"/>
      <c r="D567" s="20"/>
    </row>
    <row r="568" spans="1:4" x14ac:dyDescent="0.25">
      <c r="A568" s="2"/>
      <c r="B568" s="20"/>
      <c r="C568" s="20"/>
      <c r="D568" s="20"/>
    </row>
    <row r="569" spans="1:4" x14ac:dyDescent="0.25">
      <c r="A569" s="2"/>
      <c r="B569" s="20"/>
      <c r="C569" s="20"/>
      <c r="D569" s="20"/>
    </row>
    <row r="570" spans="1:4" x14ac:dyDescent="0.25">
      <c r="A570" s="2"/>
      <c r="B570" s="20"/>
      <c r="C570" s="20"/>
      <c r="D570" s="20"/>
    </row>
    <row r="571" spans="1:4" x14ac:dyDescent="0.25">
      <c r="A571" s="2"/>
      <c r="B571" s="20"/>
      <c r="C571" s="20"/>
      <c r="D571" s="20"/>
    </row>
    <row r="572" spans="1:4" x14ac:dyDescent="0.25">
      <c r="A572" s="2"/>
      <c r="B572" s="20"/>
      <c r="C572" s="20"/>
      <c r="D572" s="20"/>
    </row>
    <row r="573" spans="1:4" x14ac:dyDescent="0.25">
      <c r="A573" s="2"/>
      <c r="B573" s="20"/>
      <c r="C573" s="29"/>
      <c r="D573" s="20"/>
    </row>
    <row r="574" spans="1:4" x14ac:dyDescent="0.25">
      <c r="A574" s="2"/>
      <c r="B574" s="20"/>
      <c r="C574" s="20"/>
      <c r="D574" s="20"/>
    </row>
    <row r="575" spans="1:4" x14ac:dyDescent="0.25">
      <c r="A575" s="2"/>
      <c r="B575" s="20"/>
      <c r="C575" s="20"/>
      <c r="D575" s="20"/>
    </row>
    <row r="576" spans="1:4" x14ac:dyDescent="0.25">
      <c r="A576" s="2"/>
      <c r="B576" s="20"/>
      <c r="C576" s="20"/>
      <c r="D576" s="20"/>
    </row>
    <row r="577" spans="1:4" x14ac:dyDescent="0.25">
      <c r="A577" s="2"/>
      <c r="B577" s="20"/>
      <c r="C577" s="29"/>
      <c r="D577" s="20"/>
    </row>
    <row r="578" spans="1:4" x14ac:dyDescent="0.25">
      <c r="A578" s="2"/>
      <c r="B578" s="20"/>
      <c r="C578" s="29"/>
      <c r="D578" s="20"/>
    </row>
    <row r="579" spans="1:4" x14ac:dyDescent="0.25">
      <c r="A579" s="2"/>
      <c r="B579" s="20"/>
      <c r="C579" s="20"/>
      <c r="D579" s="20"/>
    </row>
    <row r="580" spans="1:4" x14ac:dyDescent="0.25">
      <c r="A580" s="2"/>
      <c r="B580" s="20"/>
      <c r="C580" s="29"/>
      <c r="D580" s="20"/>
    </row>
    <row r="581" spans="1:4" x14ac:dyDescent="0.25">
      <c r="A581" s="2"/>
      <c r="B581" s="20"/>
      <c r="C581" s="20"/>
      <c r="D581" s="20"/>
    </row>
    <row r="582" spans="1:4" x14ac:dyDescent="0.25">
      <c r="A582" s="2"/>
      <c r="B582" s="20"/>
      <c r="C582" s="20"/>
      <c r="D582" s="20"/>
    </row>
    <row r="583" spans="1:4" x14ac:dyDescent="0.25">
      <c r="A583" s="2"/>
      <c r="B583" s="20"/>
      <c r="C583" s="20"/>
      <c r="D583" s="20"/>
    </row>
    <row r="584" spans="1:4" x14ac:dyDescent="0.25">
      <c r="A584" s="2"/>
      <c r="B584" s="20"/>
      <c r="C584" s="20"/>
      <c r="D584" s="20"/>
    </row>
    <row r="585" spans="1:4" x14ac:dyDescent="0.25">
      <c r="A585" s="2"/>
      <c r="B585" s="20"/>
      <c r="C585" s="20"/>
      <c r="D585" s="20"/>
    </row>
    <row r="586" spans="1:4" x14ac:dyDescent="0.25">
      <c r="A586" s="2"/>
      <c r="B586" s="20"/>
      <c r="C586" s="20"/>
      <c r="D586" s="20"/>
    </row>
    <row r="587" spans="1:4" x14ac:dyDescent="0.25">
      <c r="A587" s="2"/>
      <c r="B587" s="20"/>
      <c r="C587" s="20"/>
      <c r="D587" s="20"/>
    </row>
    <row r="588" spans="1:4" x14ac:dyDescent="0.25">
      <c r="A588" s="2"/>
      <c r="B588" s="20"/>
      <c r="C588" s="20"/>
      <c r="D588" s="20"/>
    </row>
    <row r="589" spans="1:4" x14ac:dyDescent="0.25">
      <c r="A589" s="2"/>
      <c r="B589" s="20"/>
      <c r="C589" s="29"/>
      <c r="D589" s="20"/>
    </row>
    <row r="590" spans="1:4" x14ac:dyDescent="0.25">
      <c r="A590" s="2"/>
      <c r="B590" s="20"/>
      <c r="C590" s="29"/>
      <c r="D590" s="20"/>
    </row>
    <row r="591" spans="1:4" x14ac:dyDescent="0.25">
      <c r="A591" s="2"/>
      <c r="B591" s="20"/>
      <c r="C591" s="20"/>
      <c r="D591" s="20"/>
    </row>
    <row r="592" spans="1:4" x14ac:dyDescent="0.25">
      <c r="A592" s="2"/>
      <c r="B592" s="20"/>
      <c r="C592" s="20"/>
      <c r="D592" s="20"/>
    </row>
    <row r="593" spans="1:4" x14ac:dyDescent="0.25">
      <c r="A593" s="2"/>
      <c r="B593" s="20"/>
      <c r="C593" s="20"/>
      <c r="D593" s="20"/>
    </row>
    <row r="594" spans="1:4" x14ac:dyDescent="0.25">
      <c r="A594" s="2"/>
      <c r="B594" s="20"/>
      <c r="C594" s="20"/>
      <c r="D594" s="20"/>
    </row>
    <row r="595" spans="1:4" x14ac:dyDescent="0.25">
      <c r="A595" s="2"/>
      <c r="B595" s="20"/>
      <c r="C595" s="20"/>
      <c r="D595" s="20"/>
    </row>
    <row r="596" spans="1:4" x14ac:dyDescent="0.25">
      <c r="A596" s="2"/>
      <c r="B596" s="20"/>
      <c r="C596" s="29"/>
      <c r="D596" s="20"/>
    </row>
    <row r="597" spans="1:4" x14ac:dyDescent="0.25">
      <c r="A597" s="2"/>
      <c r="B597" s="20"/>
      <c r="C597" s="20"/>
      <c r="D597" s="20"/>
    </row>
    <row r="598" spans="1:4" x14ac:dyDescent="0.25">
      <c r="A598" s="2"/>
      <c r="B598" s="20"/>
      <c r="C598" s="20"/>
      <c r="D598" s="20"/>
    </row>
    <row r="599" spans="1:4" x14ac:dyDescent="0.25">
      <c r="A599" s="2"/>
      <c r="B599" s="20"/>
      <c r="C599" s="29"/>
      <c r="D599" s="20"/>
    </row>
    <row r="600" spans="1:4" x14ac:dyDescent="0.25">
      <c r="A600" s="2"/>
      <c r="B600" s="20"/>
      <c r="C600" s="20"/>
      <c r="D600" s="20"/>
    </row>
    <row r="601" spans="1:4" x14ac:dyDescent="0.25">
      <c r="A601" s="2"/>
      <c r="B601" s="20"/>
      <c r="C601" s="20"/>
      <c r="D601" s="20"/>
    </row>
    <row r="602" spans="1:4" x14ac:dyDescent="0.25">
      <c r="A602" s="2"/>
      <c r="B602" s="20"/>
      <c r="C602" s="20"/>
      <c r="D602" s="20"/>
    </row>
    <row r="603" spans="1:4" x14ac:dyDescent="0.25">
      <c r="A603" s="2"/>
      <c r="B603" s="20"/>
      <c r="C603" s="20"/>
      <c r="D603" s="20"/>
    </row>
    <row r="604" spans="1:4" x14ac:dyDescent="0.25">
      <c r="A604" s="2"/>
      <c r="B604" s="20"/>
      <c r="C604" s="20"/>
      <c r="D604" s="20"/>
    </row>
    <row r="605" spans="1:4" x14ac:dyDescent="0.25">
      <c r="A605" s="2"/>
      <c r="B605" s="20"/>
      <c r="C605" s="20"/>
      <c r="D605" s="20"/>
    </row>
    <row r="606" spans="1:4" x14ac:dyDescent="0.25">
      <c r="A606" s="2"/>
      <c r="B606" s="20"/>
      <c r="C606" s="29"/>
      <c r="D606" s="20"/>
    </row>
    <row r="607" spans="1:4" x14ac:dyDescent="0.25">
      <c r="A607" s="2"/>
      <c r="B607" s="20"/>
      <c r="C607" s="29"/>
      <c r="D607" s="20"/>
    </row>
    <row r="608" spans="1:4" x14ac:dyDescent="0.25">
      <c r="A608" s="2"/>
      <c r="B608" s="20"/>
      <c r="C608" s="20"/>
      <c r="D608" s="20"/>
    </row>
    <row r="609" spans="1:4" x14ac:dyDescent="0.25">
      <c r="A609" s="2"/>
      <c r="B609" s="20"/>
      <c r="C609" s="29"/>
      <c r="D609" s="20"/>
    </row>
    <row r="610" spans="1:4" x14ac:dyDescent="0.25">
      <c r="A610" s="2"/>
      <c r="B610" s="20"/>
      <c r="C610" s="20"/>
      <c r="D610" s="20"/>
    </row>
    <row r="611" spans="1:4" x14ac:dyDescent="0.25">
      <c r="A611" s="2"/>
      <c r="B611" s="20"/>
      <c r="C611" s="20"/>
      <c r="D611" s="20"/>
    </row>
    <row r="612" spans="1:4" x14ac:dyDescent="0.25">
      <c r="A612" s="2"/>
      <c r="B612" s="20"/>
      <c r="C612" s="20"/>
      <c r="D612" s="20"/>
    </row>
    <row r="613" spans="1:4" x14ac:dyDescent="0.25">
      <c r="A613" s="2"/>
      <c r="B613" s="20"/>
      <c r="C613" s="20"/>
      <c r="D613" s="20"/>
    </row>
    <row r="614" spans="1:4" x14ac:dyDescent="0.25">
      <c r="A614" s="2"/>
      <c r="B614" s="20"/>
      <c r="C614" s="20"/>
      <c r="D614" s="20"/>
    </row>
    <row r="615" spans="1:4" x14ac:dyDescent="0.25">
      <c r="A615" s="2"/>
      <c r="B615" s="20"/>
      <c r="C615" s="20"/>
      <c r="D615" s="20"/>
    </row>
    <row r="616" spans="1:4" x14ac:dyDescent="0.25">
      <c r="A616" s="2"/>
      <c r="B616" s="20"/>
      <c r="C616" s="20"/>
      <c r="D616" s="20"/>
    </row>
    <row r="617" spans="1:4" x14ac:dyDescent="0.25">
      <c r="A617" s="2"/>
      <c r="B617" s="20"/>
      <c r="C617" s="29"/>
      <c r="D617" s="20"/>
    </row>
    <row r="618" spans="1:4" x14ac:dyDescent="0.25">
      <c r="A618" s="2"/>
      <c r="B618" s="20"/>
      <c r="C618" s="20"/>
      <c r="D618" s="20"/>
    </row>
    <row r="619" spans="1:4" x14ac:dyDescent="0.25">
      <c r="A619" s="2"/>
      <c r="B619" s="20"/>
      <c r="C619" s="20"/>
      <c r="D619" s="20"/>
    </row>
    <row r="620" spans="1:4" x14ac:dyDescent="0.25">
      <c r="A620" s="2"/>
      <c r="B620" s="20"/>
      <c r="C620" s="20"/>
      <c r="D620" s="20"/>
    </row>
    <row r="621" spans="1:4" x14ac:dyDescent="0.25">
      <c r="A621" s="2"/>
      <c r="B621" s="20"/>
      <c r="C621" s="20"/>
      <c r="D621" s="20"/>
    </row>
    <row r="622" spans="1:4" x14ac:dyDescent="0.25">
      <c r="A622" s="2"/>
      <c r="B622" s="20"/>
      <c r="C622" s="20"/>
      <c r="D622" s="20"/>
    </row>
    <row r="623" spans="1:4" x14ac:dyDescent="0.25">
      <c r="A623" s="2"/>
      <c r="B623" s="20"/>
      <c r="C623" s="20"/>
      <c r="D623" s="20"/>
    </row>
    <row r="624" spans="1:4" x14ac:dyDescent="0.25">
      <c r="A624" s="2"/>
      <c r="B624" s="20"/>
      <c r="C624" s="20"/>
      <c r="D624" s="20"/>
    </row>
    <row r="625" spans="1:4" x14ac:dyDescent="0.25">
      <c r="A625" s="2"/>
      <c r="B625" s="20"/>
      <c r="C625" s="20"/>
      <c r="D625" s="20"/>
    </row>
    <row r="626" spans="1:4" x14ac:dyDescent="0.25">
      <c r="A626" s="2"/>
      <c r="B626" s="20"/>
      <c r="C626" s="20"/>
      <c r="D626" s="20"/>
    </row>
    <row r="627" spans="1:4" x14ac:dyDescent="0.25">
      <c r="A627" s="2"/>
      <c r="B627" s="20"/>
      <c r="C627" s="20"/>
      <c r="D627" s="20"/>
    </row>
    <row r="628" spans="1:4" x14ac:dyDescent="0.25">
      <c r="A628" s="2"/>
      <c r="B628" s="20"/>
      <c r="C628" s="20"/>
      <c r="D628" s="20"/>
    </row>
    <row r="629" spans="1:4" x14ac:dyDescent="0.25">
      <c r="A629" s="2"/>
      <c r="B629" s="20"/>
      <c r="C629" s="20"/>
      <c r="D629" s="20"/>
    </row>
    <row r="630" spans="1:4" x14ac:dyDescent="0.25">
      <c r="A630" s="2"/>
      <c r="B630" s="20"/>
      <c r="C630" s="20"/>
      <c r="D630" s="20"/>
    </row>
    <row r="631" spans="1:4" x14ac:dyDescent="0.25">
      <c r="A631" s="2"/>
      <c r="B631" s="20"/>
      <c r="C631" s="29"/>
      <c r="D631" s="20"/>
    </row>
    <row r="632" spans="1:4" x14ac:dyDescent="0.25">
      <c r="A632" s="2"/>
      <c r="B632" s="20"/>
      <c r="C632" s="29"/>
      <c r="D632" s="20"/>
    </row>
    <row r="633" spans="1:4" x14ac:dyDescent="0.25">
      <c r="A633" s="2"/>
      <c r="B633" s="20"/>
      <c r="C633" s="29"/>
      <c r="D633" s="20"/>
    </row>
    <row r="634" spans="1:4" x14ac:dyDescent="0.25">
      <c r="A634" s="2"/>
      <c r="B634" s="20"/>
      <c r="C634" s="20"/>
      <c r="D634" s="20"/>
    </row>
    <row r="635" spans="1:4" x14ac:dyDescent="0.25">
      <c r="A635" s="2"/>
      <c r="B635" s="20"/>
      <c r="C635" s="29"/>
      <c r="D635" s="20"/>
    </row>
    <row r="636" spans="1:4" x14ac:dyDescent="0.25">
      <c r="A636" s="2"/>
      <c r="B636" s="20"/>
      <c r="C636" s="20"/>
      <c r="D636" s="20"/>
    </row>
    <row r="637" spans="1:4" x14ac:dyDescent="0.25">
      <c r="A637" s="2"/>
      <c r="B637" s="20"/>
      <c r="C637" s="20"/>
      <c r="D637" s="20"/>
    </row>
    <row r="638" spans="1:4" x14ac:dyDescent="0.25">
      <c r="A638" s="2"/>
      <c r="B638" s="20"/>
      <c r="C638" s="20"/>
      <c r="D638" s="20"/>
    </row>
    <row r="639" spans="1:4" x14ac:dyDescent="0.25">
      <c r="A639" s="2"/>
      <c r="B639" s="20"/>
      <c r="C639" s="29"/>
      <c r="D639" s="20"/>
    </row>
    <row r="640" spans="1:4" x14ac:dyDescent="0.25">
      <c r="A640" s="2"/>
      <c r="B640" s="20"/>
      <c r="C640" s="20"/>
      <c r="D640" s="20"/>
    </row>
    <row r="641" spans="1:4" x14ac:dyDescent="0.25">
      <c r="A641" s="2"/>
      <c r="B641" s="20"/>
      <c r="C641" s="20"/>
      <c r="D641" s="20"/>
    </row>
    <row r="642" spans="1:4" x14ac:dyDescent="0.25">
      <c r="A642" s="2"/>
      <c r="B642" s="20"/>
      <c r="C642" s="29"/>
      <c r="D642" s="20"/>
    </row>
    <row r="643" spans="1:4" x14ac:dyDescent="0.25">
      <c r="A643" s="2"/>
      <c r="B643" s="20"/>
      <c r="C643" s="29"/>
      <c r="D643" s="20"/>
    </row>
    <row r="644" spans="1:4" x14ac:dyDescent="0.25">
      <c r="A644" s="2"/>
      <c r="B644" s="20"/>
      <c r="C644" s="20"/>
      <c r="D644" s="20"/>
    </row>
    <row r="645" spans="1:4" x14ac:dyDescent="0.25">
      <c r="A645" s="2"/>
      <c r="B645" s="20"/>
      <c r="C645" s="20"/>
      <c r="D645" s="20"/>
    </row>
    <row r="646" spans="1:4" x14ac:dyDescent="0.25">
      <c r="A646" s="2"/>
      <c r="B646" s="20"/>
      <c r="C646" s="20"/>
      <c r="D646" s="20"/>
    </row>
    <row r="647" spans="1:4" x14ac:dyDescent="0.25">
      <c r="A647" s="2"/>
      <c r="B647" s="20"/>
      <c r="C647" s="29"/>
      <c r="D647" s="20"/>
    </row>
    <row r="648" spans="1:4" x14ac:dyDescent="0.25">
      <c r="A648" s="2"/>
      <c r="B648" s="20"/>
      <c r="C648" s="20"/>
      <c r="D648" s="20"/>
    </row>
    <row r="649" spans="1:4" x14ac:dyDescent="0.25">
      <c r="A649" s="2"/>
      <c r="B649" s="20"/>
      <c r="C649" s="20"/>
      <c r="D649" s="20"/>
    </row>
    <row r="650" spans="1:4" x14ac:dyDescent="0.25">
      <c r="A650" s="2"/>
      <c r="B650" s="20"/>
      <c r="C650" s="20"/>
      <c r="D650" s="20"/>
    </row>
    <row r="651" spans="1:4" x14ac:dyDescent="0.25">
      <c r="A651" s="2"/>
      <c r="B651" s="20"/>
      <c r="C651" s="29"/>
      <c r="D651" s="20"/>
    </row>
    <row r="652" spans="1:4" x14ac:dyDescent="0.25">
      <c r="A652" s="2"/>
      <c r="B652" s="20"/>
      <c r="C652" s="29"/>
      <c r="D652" s="20"/>
    </row>
    <row r="653" spans="1:4" x14ac:dyDescent="0.25">
      <c r="A653" s="2"/>
      <c r="B653" s="20"/>
      <c r="C653" s="20"/>
      <c r="D653" s="20"/>
    </row>
    <row r="654" spans="1:4" x14ac:dyDescent="0.25">
      <c r="A654" s="2"/>
      <c r="B654" s="20"/>
      <c r="C654" s="29"/>
      <c r="D654" s="20"/>
    </row>
    <row r="655" spans="1:4" x14ac:dyDescent="0.25">
      <c r="A655" s="2"/>
      <c r="B655" s="20"/>
      <c r="C655" s="20"/>
      <c r="D655" s="20"/>
    </row>
    <row r="656" spans="1:4" x14ac:dyDescent="0.25">
      <c r="A656" s="2"/>
      <c r="B656" s="20"/>
      <c r="C656" s="29"/>
      <c r="D656" s="20"/>
    </row>
    <row r="657" spans="1:4" x14ac:dyDescent="0.25">
      <c r="A657" s="2"/>
      <c r="B657" s="20"/>
      <c r="C657" s="29"/>
      <c r="D657" s="20"/>
    </row>
    <row r="658" spans="1:4" x14ac:dyDescent="0.25">
      <c r="A658" s="2"/>
      <c r="B658" s="20"/>
      <c r="C658" s="20"/>
      <c r="D658" s="20"/>
    </row>
    <row r="659" spans="1:4" x14ac:dyDescent="0.25">
      <c r="A659" s="2"/>
      <c r="B659" s="20"/>
      <c r="C659" s="20"/>
      <c r="D659" s="20"/>
    </row>
    <row r="660" spans="1:4" x14ac:dyDescent="0.25">
      <c r="A660" s="2"/>
      <c r="B660" s="20"/>
      <c r="C660" s="29"/>
      <c r="D660" s="20"/>
    </row>
    <row r="661" spans="1:4" x14ac:dyDescent="0.25">
      <c r="A661" s="2"/>
      <c r="B661" s="20"/>
      <c r="C661" s="20"/>
      <c r="D661" s="20"/>
    </row>
    <row r="662" spans="1:4" x14ac:dyDescent="0.25">
      <c r="A662" s="2"/>
      <c r="B662" s="20"/>
      <c r="C662" s="20"/>
      <c r="D662" s="20"/>
    </row>
    <row r="663" spans="1:4" x14ac:dyDescent="0.25">
      <c r="A663" s="2"/>
      <c r="B663" s="20"/>
      <c r="C663" s="29"/>
      <c r="D663" s="20"/>
    </row>
    <row r="664" spans="1:4" x14ac:dyDescent="0.25">
      <c r="A664" s="2"/>
      <c r="B664" s="20"/>
      <c r="C664" s="20"/>
      <c r="D664" s="20"/>
    </row>
    <row r="665" spans="1:4" x14ac:dyDescent="0.25">
      <c r="A665" s="2"/>
      <c r="B665" s="20"/>
      <c r="C665" s="29"/>
      <c r="D665" s="20"/>
    </row>
    <row r="666" spans="1:4" x14ac:dyDescent="0.25">
      <c r="A666" s="2"/>
      <c r="B666" s="20"/>
      <c r="C666" s="20"/>
      <c r="D666" s="20"/>
    </row>
    <row r="667" spans="1:4" x14ac:dyDescent="0.25">
      <c r="A667" s="2"/>
      <c r="B667" s="20"/>
      <c r="C667" s="20"/>
      <c r="D667" s="20"/>
    </row>
    <row r="668" spans="1:4" x14ac:dyDescent="0.25">
      <c r="A668" s="2"/>
      <c r="B668" s="20"/>
      <c r="C668" s="20"/>
      <c r="D668" s="20"/>
    </row>
    <row r="669" spans="1:4" x14ac:dyDescent="0.25">
      <c r="A669" s="2"/>
      <c r="B669" s="20"/>
      <c r="C669" s="29"/>
      <c r="D669" s="20"/>
    </row>
    <row r="670" spans="1:4" x14ac:dyDescent="0.25">
      <c r="A670" s="2"/>
      <c r="B670" s="20"/>
      <c r="C670" s="20"/>
      <c r="D670" s="20"/>
    </row>
    <row r="671" spans="1:4" x14ac:dyDescent="0.25">
      <c r="A671" s="2"/>
      <c r="B671" s="20"/>
      <c r="C671" s="20"/>
      <c r="D671" s="20"/>
    </row>
    <row r="672" spans="1:4" x14ac:dyDescent="0.25">
      <c r="A672" s="2"/>
      <c r="B672" s="20"/>
      <c r="C672" s="29"/>
      <c r="D672" s="20"/>
    </row>
    <row r="673" spans="1:4" x14ac:dyDescent="0.25">
      <c r="A673" s="2"/>
      <c r="B673" s="20"/>
      <c r="C673" s="20"/>
      <c r="D673" s="20"/>
    </row>
    <row r="674" spans="1:4" x14ac:dyDescent="0.25">
      <c r="A674" s="2"/>
      <c r="B674" s="20"/>
      <c r="C674" s="20"/>
      <c r="D674" s="20"/>
    </row>
    <row r="675" spans="1:4" x14ac:dyDescent="0.25">
      <c r="A675" s="2"/>
      <c r="B675" s="20"/>
      <c r="C675" s="29"/>
      <c r="D675" s="20"/>
    </row>
    <row r="676" spans="1:4" x14ac:dyDescent="0.25">
      <c r="A676" s="2"/>
      <c r="B676" s="20"/>
      <c r="C676" s="20"/>
      <c r="D676" s="20"/>
    </row>
    <row r="677" spans="1:4" x14ac:dyDescent="0.25">
      <c r="A677" s="2"/>
      <c r="B677" s="20"/>
      <c r="C677" s="20"/>
      <c r="D677" s="20"/>
    </row>
    <row r="678" spans="1:4" x14ac:dyDescent="0.25">
      <c r="A678" s="2"/>
      <c r="B678" s="20"/>
      <c r="C678" s="20"/>
      <c r="D678" s="20"/>
    </row>
    <row r="679" spans="1:4" x14ac:dyDescent="0.25">
      <c r="A679" s="2"/>
      <c r="B679" s="20"/>
      <c r="C679" s="20"/>
      <c r="D679" s="20"/>
    </row>
    <row r="680" spans="1:4" x14ac:dyDescent="0.25">
      <c r="A680" s="2"/>
      <c r="B680" s="20"/>
      <c r="C680" s="20"/>
      <c r="D680" s="20"/>
    </row>
    <row r="681" spans="1:4" x14ac:dyDescent="0.25">
      <c r="A681" s="2"/>
      <c r="B681" s="20"/>
      <c r="C681" s="29"/>
      <c r="D681" s="20"/>
    </row>
    <row r="682" spans="1:4" x14ac:dyDescent="0.25">
      <c r="A682" s="2"/>
      <c r="B682" s="20"/>
      <c r="C682" s="20"/>
      <c r="D682" s="20"/>
    </row>
    <row r="683" spans="1:4" x14ac:dyDescent="0.25">
      <c r="A683" s="2"/>
      <c r="B683" s="20"/>
      <c r="C683" s="20"/>
      <c r="D683" s="20"/>
    </row>
    <row r="684" spans="1:4" x14ac:dyDescent="0.25">
      <c r="A684" s="2"/>
      <c r="B684" s="20"/>
      <c r="C684" s="20"/>
      <c r="D684" s="20"/>
    </row>
    <row r="685" spans="1:4" x14ac:dyDescent="0.25">
      <c r="A685" s="2"/>
      <c r="B685" s="20"/>
      <c r="C685" s="20"/>
      <c r="D685" s="20"/>
    </row>
    <row r="686" spans="1:4" x14ac:dyDescent="0.25">
      <c r="A686" s="2"/>
      <c r="B686" s="20"/>
      <c r="C686" s="20"/>
      <c r="D686" s="20"/>
    </row>
    <row r="687" spans="1:4" x14ac:dyDescent="0.25">
      <c r="A687" s="2"/>
      <c r="B687" s="20"/>
      <c r="C687" s="20"/>
      <c r="D687" s="20"/>
    </row>
    <row r="688" spans="1:4" x14ac:dyDescent="0.25">
      <c r="A688" s="2"/>
      <c r="B688" s="20"/>
      <c r="C688" s="29"/>
      <c r="D688" s="20"/>
    </row>
    <row r="689" spans="1:4" x14ac:dyDescent="0.25">
      <c r="A689" s="2"/>
      <c r="B689" s="20"/>
      <c r="C689" s="20"/>
      <c r="D689" s="20"/>
    </row>
    <row r="690" spans="1:4" x14ac:dyDescent="0.25">
      <c r="A690" s="2"/>
      <c r="B690" s="20"/>
      <c r="C690" s="20"/>
      <c r="D690" s="20"/>
    </row>
    <row r="691" spans="1:4" x14ac:dyDescent="0.25">
      <c r="A691" s="2"/>
      <c r="B691" s="20"/>
      <c r="C691" s="20"/>
      <c r="D691" s="20"/>
    </row>
    <row r="692" spans="1:4" x14ac:dyDescent="0.25">
      <c r="A692" s="2"/>
      <c r="B692" s="20"/>
      <c r="C692" s="20"/>
      <c r="D692" s="20"/>
    </row>
    <row r="693" spans="1:4" x14ac:dyDescent="0.25">
      <c r="A693" s="2"/>
      <c r="B693" s="20"/>
      <c r="C693" s="20"/>
      <c r="D693" s="20"/>
    </row>
    <row r="694" spans="1:4" x14ac:dyDescent="0.25">
      <c r="A694" s="2"/>
      <c r="B694" s="20"/>
      <c r="C694" s="20"/>
      <c r="D694" s="20"/>
    </row>
    <row r="695" spans="1:4" x14ac:dyDescent="0.25">
      <c r="A695" s="2"/>
      <c r="B695" s="20"/>
      <c r="C695" s="20"/>
      <c r="D695" s="20"/>
    </row>
    <row r="696" spans="1:4" x14ac:dyDescent="0.25">
      <c r="A696" s="2"/>
      <c r="B696" s="20"/>
      <c r="C696" s="20"/>
      <c r="D696" s="20"/>
    </row>
    <row r="697" spans="1:4" x14ac:dyDescent="0.25">
      <c r="A697" s="2"/>
      <c r="B697" s="20"/>
      <c r="C697" s="29"/>
      <c r="D697" s="20"/>
    </row>
    <row r="698" spans="1:4" x14ac:dyDescent="0.25">
      <c r="A698" s="2"/>
      <c r="B698" s="20"/>
      <c r="C698" s="20"/>
      <c r="D698" s="20"/>
    </row>
    <row r="699" spans="1:4" x14ac:dyDescent="0.25">
      <c r="A699" s="2"/>
      <c r="B699" s="20"/>
      <c r="C699" s="20"/>
      <c r="D699" s="20"/>
    </row>
    <row r="700" spans="1:4" x14ac:dyDescent="0.25">
      <c r="A700" s="2"/>
      <c r="B700" s="20"/>
      <c r="C700" s="20"/>
      <c r="D700" s="20"/>
    </row>
    <row r="701" spans="1:4" x14ac:dyDescent="0.25">
      <c r="A701" s="2"/>
      <c r="B701" s="20"/>
      <c r="C701" s="20"/>
      <c r="D701" s="20"/>
    </row>
    <row r="702" spans="1:4" x14ac:dyDescent="0.25">
      <c r="A702" s="2"/>
      <c r="B702" s="20"/>
      <c r="C702" s="20"/>
      <c r="D702" s="20"/>
    </row>
    <row r="703" spans="1:4" x14ac:dyDescent="0.25">
      <c r="A703" s="2"/>
      <c r="B703" s="20"/>
      <c r="C703" s="20"/>
      <c r="D703" s="20"/>
    </row>
    <row r="704" spans="1:4" x14ac:dyDescent="0.25">
      <c r="A704" s="2"/>
      <c r="B704" s="20"/>
      <c r="C704" s="20"/>
      <c r="D704" s="20"/>
    </row>
    <row r="705" spans="1:4" x14ac:dyDescent="0.25">
      <c r="A705" s="2"/>
      <c r="B705" s="20"/>
      <c r="C705" s="20"/>
      <c r="D705" s="20"/>
    </row>
    <row r="706" spans="1:4" x14ac:dyDescent="0.25">
      <c r="A706" s="2"/>
      <c r="B706" s="20"/>
      <c r="C706" s="20"/>
      <c r="D706" s="20"/>
    </row>
    <row r="707" spans="1:4" x14ac:dyDescent="0.25">
      <c r="A707" s="2"/>
      <c r="B707" s="20"/>
      <c r="C707" s="20"/>
      <c r="D707" s="20"/>
    </row>
    <row r="708" spans="1:4" x14ac:dyDescent="0.25">
      <c r="A708" s="2"/>
      <c r="B708" s="20"/>
      <c r="C708" s="29"/>
      <c r="D708" s="20"/>
    </row>
    <row r="709" spans="1:4" x14ac:dyDescent="0.25">
      <c r="A709" s="2"/>
      <c r="B709" s="20"/>
      <c r="C709" s="20"/>
      <c r="D709" s="20"/>
    </row>
    <row r="710" spans="1:4" x14ac:dyDescent="0.25">
      <c r="A710" s="2"/>
      <c r="B710" s="20"/>
      <c r="C710" s="20"/>
      <c r="D710" s="20"/>
    </row>
    <row r="711" spans="1:4" x14ac:dyDescent="0.25">
      <c r="A711" s="2"/>
      <c r="B711" s="20"/>
      <c r="C711" s="20"/>
      <c r="D711" s="20"/>
    </row>
    <row r="712" spans="1:4" x14ac:dyDescent="0.25">
      <c r="A712" s="2"/>
      <c r="B712" s="20"/>
      <c r="C712" s="20"/>
      <c r="D712" s="20"/>
    </row>
    <row r="713" spans="1:4" x14ac:dyDescent="0.25">
      <c r="A713" s="2"/>
      <c r="B713" s="20"/>
      <c r="C713" s="29"/>
      <c r="D713" s="20"/>
    </row>
    <row r="714" spans="1:4" x14ac:dyDescent="0.25">
      <c r="A714" s="2"/>
      <c r="B714" s="20"/>
      <c r="C714" s="20"/>
      <c r="D714" s="20"/>
    </row>
    <row r="715" spans="1:4" x14ac:dyDescent="0.25">
      <c r="A715" s="2"/>
      <c r="B715" s="20"/>
      <c r="C715" s="20"/>
      <c r="D715" s="20"/>
    </row>
    <row r="716" spans="1:4" x14ac:dyDescent="0.25">
      <c r="A716" s="2"/>
      <c r="B716" s="20"/>
      <c r="C716" s="29"/>
      <c r="D716" s="20"/>
    </row>
    <row r="717" spans="1:4" x14ac:dyDescent="0.25">
      <c r="A717" s="2"/>
      <c r="B717" s="20"/>
      <c r="C717" s="29"/>
      <c r="D717" s="20"/>
    </row>
    <row r="718" spans="1:4" x14ac:dyDescent="0.25">
      <c r="A718" s="2"/>
      <c r="B718" s="20"/>
      <c r="C718" s="29"/>
      <c r="D718" s="20"/>
    </row>
    <row r="719" spans="1:4" x14ac:dyDescent="0.25">
      <c r="A719" s="2"/>
      <c r="B719" s="20"/>
      <c r="C719" s="20"/>
      <c r="D719" s="20"/>
    </row>
    <row r="720" spans="1:4" x14ac:dyDescent="0.25">
      <c r="A720" s="2"/>
      <c r="B720" s="20"/>
      <c r="C720" s="20"/>
      <c r="D720" s="20"/>
    </row>
    <row r="721" spans="1:4" x14ac:dyDescent="0.25">
      <c r="A721" s="2"/>
      <c r="B721" s="20"/>
      <c r="C721" s="20"/>
      <c r="D721" s="20"/>
    </row>
    <row r="722" spans="1:4" x14ac:dyDescent="0.25">
      <c r="A722" s="2"/>
      <c r="B722" s="20"/>
      <c r="C722" s="20"/>
      <c r="D722" s="20"/>
    </row>
    <row r="723" spans="1:4" x14ac:dyDescent="0.25">
      <c r="A723" s="2"/>
      <c r="B723" s="20"/>
      <c r="C723" s="20"/>
      <c r="D723" s="20"/>
    </row>
    <row r="724" spans="1:4" x14ac:dyDescent="0.25">
      <c r="A724" s="2"/>
      <c r="B724" s="20"/>
      <c r="C724" s="20"/>
      <c r="D724" s="20"/>
    </row>
    <row r="725" spans="1:4" x14ac:dyDescent="0.25">
      <c r="A725" s="2"/>
      <c r="B725" s="20"/>
      <c r="C725" s="20"/>
      <c r="D725" s="20"/>
    </row>
    <row r="726" spans="1:4" x14ac:dyDescent="0.25">
      <c r="A726" s="2"/>
      <c r="B726" s="20"/>
      <c r="C726" s="29"/>
      <c r="D726" s="20"/>
    </row>
    <row r="727" spans="1:4" x14ac:dyDescent="0.25">
      <c r="A727" s="2"/>
      <c r="B727" s="20"/>
      <c r="C727" s="29"/>
      <c r="D727" s="20"/>
    </row>
    <row r="728" spans="1:4" x14ac:dyDescent="0.25">
      <c r="A728" s="2"/>
      <c r="B728" s="20"/>
      <c r="C728" s="20"/>
      <c r="D728" s="20"/>
    </row>
    <row r="729" spans="1:4" x14ac:dyDescent="0.25">
      <c r="A729" s="2"/>
      <c r="B729" s="20"/>
      <c r="C729" s="29"/>
      <c r="D729" s="20"/>
    </row>
    <row r="730" spans="1:4" x14ac:dyDescent="0.25">
      <c r="A730" s="2"/>
      <c r="B730" s="20"/>
      <c r="C730" s="20"/>
      <c r="D730" s="20"/>
    </row>
    <row r="731" spans="1:4" x14ac:dyDescent="0.25">
      <c r="A731" s="2"/>
      <c r="B731" s="20"/>
      <c r="C731" s="20"/>
      <c r="D731" s="20"/>
    </row>
    <row r="732" spans="1:4" x14ac:dyDescent="0.25">
      <c r="A732" s="2"/>
      <c r="B732" s="20"/>
      <c r="C732" s="29"/>
      <c r="D732" s="20"/>
    </row>
    <row r="733" spans="1:4" x14ac:dyDescent="0.25">
      <c r="A733" s="2"/>
      <c r="B733" s="20"/>
      <c r="C733" s="20"/>
      <c r="D733" s="20"/>
    </row>
    <row r="734" spans="1:4" x14ac:dyDescent="0.25">
      <c r="A734" s="2"/>
      <c r="B734" s="20"/>
      <c r="C734" s="29"/>
      <c r="D734" s="20"/>
    </row>
    <row r="735" spans="1:4" x14ac:dyDescent="0.25">
      <c r="A735" s="2"/>
      <c r="B735" s="20"/>
      <c r="C735" s="20"/>
      <c r="D735" s="20"/>
    </row>
    <row r="736" spans="1:4" x14ac:dyDescent="0.25">
      <c r="A736" s="2"/>
      <c r="B736" s="20"/>
      <c r="C736" s="29"/>
      <c r="D736" s="20"/>
    </row>
    <row r="737" spans="1:4" x14ac:dyDescent="0.25">
      <c r="A737" s="2"/>
      <c r="B737" s="20"/>
      <c r="C737" s="29"/>
      <c r="D737" s="20"/>
    </row>
    <row r="738" spans="1:4" x14ac:dyDescent="0.25">
      <c r="A738" s="2"/>
      <c r="B738" s="20"/>
      <c r="C738" s="20"/>
      <c r="D738" s="20"/>
    </row>
    <row r="739" spans="1:4" x14ac:dyDescent="0.25">
      <c r="A739" s="2"/>
      <c r="B739" s="20"/>
      <c r="C739" s="29"/>
      <c r="D739" s="20"/>
    </row>
    <row r="740" spans="1:4" x14ac:dyDescent="0.25">
      <c r="A740" s="2"/>
      <c r="B740" s="20"/>
      <c r="C740" s="20"/>
      <c r="D740" s="20"/>
    </row>
    <row r="741" spans="1:4" x14ac:dyDescent="0.25">
      <c r="A741" s="2"/>
      <c r="B741" s="20"/>
      <c r="C741" s="20"/>
      <c r="D741" s="20"/>
    </row>
    <row r="742" spans="1:4" x14ac:dyDescent="0.25">
      <c r="A742" s="2"/>
      <c r="B742" s="20"/>
      <c r="C742" s="29"/>
      <c r="D742" s="20"/>
    </row>
    <row r="743" spans="1:4" x14ac:dyDescent="0.25">
      <c r="A743" s="2"/>
      <c r="B743" s="20"/>
      <c r="C743" s="20"/>
      <c r="D743" s="20"/>
    </row>
    <row r="744" spans="1:4" x14ac:dyDescent="0.25">
      <c r="A744" s="2"/>
      <c r="B744" s="20"/>
      <c r="C744" s="29"/>
      <c r="D744" s="20"/>
    </row>
    <row r="745" spans="1:4" x14ac:dyDescent="0.25">
      <c r="A745" s="2"/>
      <c r="B745" s="20"/>
      <c r="C745" s="20"/>
      <c r="D745" s="20"/>
    </row>
    <row r="746" spans="1:4" x14ac:dyDescent="0.25">
      <c r="A746" s="2"/>
      <c r="B746" s="20"/>
      <c r="C746" s="20"/>
      <c r="D746" s="20"/>
    </row>
    <row r="747" spans="1:4" x14ac:dyDescent="0.25">
      <c r="A747" s="2"/>
      <c r="B747" s="20"/>
      <c r="C747" s="29"/>
      <c r="D747" s="20"/>
    </row>
    <row r="748" spans="1:4" x14ac:dyDescent="0.25">
      <c r="A748" s="2"/>
      <c r="B748" s="20"/>
      <c r="C748" s="20"/>
      <c r="D748" s="20"/>
    </row>
    <row r="749" spans="1:4" x14ac:dyDescent="0.25">
      <c r="A749" s="2"/>
      <c r="B749" s="20"/>
      <c r="C749" s="20"/>
      <c r="D749" s="20"/>
    </row>
    <row r="750" spans="1:4" x14ac:dyDescent="0.25">
      <c r="A750" s="2"/>
      <c r="B750" s="20"/>
      <c r="C750" s="29"/>
      <c r="D750" s="20"/>
    </row>
    <row r="751" spans="1:4" x14ac:dyDescent="0.25">
      <c r="A751" s="2"/>
      <c r="B751" s="20"/>
      <c r="C751" s="20"/>
      <c r="D751" s="20"/>
    </row>
    <row r="752" spans="1:4" x14ac:dyDescent="0.25">
      <c r="A752" s="2"/>
      <c r="B752" s="20"/>
      <c r="C752" s="20"/>
      <c r="D752" s="20"/>
    </row>
    <row r="753" spans="1:4" x14ac:dyDescent="0.25">
      <c r="A753" s="2"/>
      <c r="B753" s="20"/>
      <c r="C753" s="29"/>
      <c r="D753" s="20"/>
    </row>
    <row r="754" spans="1:4" x14ac:dyDescent="0.25">
      <c r="A754" s="2"/>
      <c r="B754" s="20"/>
      <c r="C754" s="20"/>
      <c r="D754" s="20"/>
    </row>
    <row r="755" spans="1:4" x14ac:dyDescent="0.25">
      <c r="A755" s="2"/>
      <c r="B755" s="20"/>
      <c r="C755" s="29"/>
      <c r="D755" s="20"/>
    </row>
    <row r="756" spans="1:4" x14ac:dyDescent="0.25">
      <c r="A756" s="2"/>
      <c r="B756" s="20"/>
      <c r="C756" s="20"/>
      <c r="D756" s="20"/>
    </row>
    <row r="757" spans="1:4" x14ac:dyDescent="0.25">
      <c r="A757" s="2"/>
      <c r="B757" s="20"/>
      <c r="C757" s="20"/>
      <c r="D757" s="20"/>
    </row>
    <row r="758" spans="1:4" x14ac:dyDescent="0.25">
      <c r="A758" s="2"/>
      <c r="B758" s="20"/>
      <c r="C758" s="20"/>
      <c r="D758" s="20"/>
    </row>
    <row r="759" spans="1:4" x14ac:dyDescent="0.25">
      <c r="A759" s="2"/>
      <c r="B759" s="20"/>
      <c r="C759" s="20"/>
      <c r="D759" s="20"/>
    </row>
    <row r="760" spans="1:4" x14ac:dyDescent="0.25">
      <c r="A760" s="2"/>
      <c r="B760" s="20"/>
      <c r="C760" s="20"/>
      <c r="D760" s="20"/>
    </row>
    <row r="761" spans="1:4" x14ac:dyDescent="0.25">
      <c r="A761" s="2"/>
      <c r="B761" s="20"/>
      <c r="C761" s="29"/>
      <c r="D761" s="20"/>
    </row>
    <row r="762" spans="1:4" x14ac:dyDescent="0.25">
      <c r="A762" s="2"/>
      <c r="B762" s="20"/>
      <c r="C762" s="29"/>
      <c r="D762" s="20"/>
    </row>
    <row r="763" spans="1:4" x14ac:dyDescent="0.25">
      <c r="A763" s="2"/>
      <c r="B763" s="20"/>
      <c r="C763" s="20"/>
      <c r="D763" s="20"/>
    </row>
    <row r="764" spans="1:4" x14ac:dyDescent="0.25">
      <c r="A764" s="2"/>
      <c r="B764" s="20"/>
      <c r="C764" s="29"/>
      <c r="D764" s="20"/>
    </row>
    <row r="765" spans="1:4" x14ac:dyDescent="0.25">
      <c r="A765" s="2"/>
      <c r="B765" s="20"/>
      <c r="C765" s="29"/>
      <c r="D765" s="20"/>
    </row>
    <row r="766" spans="1:4" x14ac:dyDescent="0.25">
      <c r="A766" s="2"/>
      <c r="B766" s="20"/>
      <c r="C766" s="29"/>
      <c r="D766" s="20"/>
    </row>
    <row r="767" spans="1:4" x14ac:dyDescent="0.25">
      <c r="A767" s="2"/>
      <c r="B767" s="20"/>
      <c r="C767" s="29"/>
      <c r="D767" s="20"/>
    </row>
    <row r="768" spans="1:4" x14ac:dyDescent="0.25">
      <c r="A768" s="2"/>
      <c r="B768" s="20"/>
      <c r="C768" s="20"/>
      <c r="D768" s="20"/>
    </row>
    <row r="769" spans="1:4" x14ac:dyDescent="0.25">
      <c r="A769" s="2"/>
      <c r="B769" s="20"/>
      <c r="C769" s="20"/>
      <c r="D769" s="20"/>
    </row>
    <row r="770" spans="1:4" x14ac:dyDescent="0.25">
      <c r="A770" s="2"/>
      <c r="B770" s="20"/>
      <c r="C770" s="20"/>
      <c r="D770" s="20"/>
    </row>
    <row r="771" spans="1:4" x14ac:dyDescent="0.25">
      <c r="A771" s="2"/>
      <c r="B771" s="20"/>
      <c r="C771" s="20"/>
      <c r="D771" s="20"/>
    </row>
    <row r="772" spans="1:4" x14ac:dyDescent="0.25">
      <c r="A772" s="2"/>
      <c r="B772" s="20"/>
      <c r="C772" s="20"/>
      <c r="D772" s="20"/>
    </row>
  </sheetData>
  <sortState xmlns:xlrd2="http://schemas.microsoft.com/office/spreadsheetml/2017/richdata2" ref="A3:D772">
    <sortCondition descending="1" ref="A3:A77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5D26B-DBD6-4E42-A2A3-04E852980079}">
  <sheetPr codeName="Sheet4"/>
  <dimension ref="A1:M1247"/>
  <sheetViews>
    <sheetView topLeftCell="A9" workbookViewId="0">
      <selection activeCell="M11" sqref="M11"/>
    </sheetView>
  </sheetViews>
  <sheetFormatPr defaultColWidth="9.1796875" defaultRowHeight="12.5" x14ac:dyDescent="0.25"/>
  <cols>
    <col min="1" max="1" width="12" style="63" customWidth="1"/>
    <col min="2" max="2" width="13.81640625" style="63" customWidth="1"/>
    <col min="3" max="3" width="11" style="68" customWidth="1"/>
    <col min="4" max="4" width="13.7265625" style="63" bestFit="1" customWidth="1"/>
    <col min="5" max="5" width="9.453125" style="63" customWidth="1"/>
    <col min="6" max="6" width="10.7265625" style="63" customWidth="1"/>
    <col min="7" max="7" width="11.54296875" style="66" customWidth="1"/>
    <col min="8" max="8" width="9.1796875" style="63"/>
    <col min="9" max="9" width="4.453125" style="63" customWidth="1"/>
    <col min="10" max="16384" width="9.1796875" style="63"/>
  </cols>
  <sheetData>
    <row r="1" spans="1:13" ht="13" x14ac:dyDescent="0.3">
      <c r="C1" s="64"/>
      <c r="D1" s="65"/>
      <c r="E1" s="65"/>
    </row>
    <row r="2" spans="1:13" ht="13" x14ac:dyDescent="0.3">
      <c r="C2" s="64"/>
      <c r="D2" s="65"/>
      <c r="E2" s="65"/>
      <c r="F2" s="65"/>
      <c r="G2" s="67" t="s">
        <v>27</v>
      </c>
      <c r="J2" s="68"/>
    </row>
    <row r="3" spans="1:13" ht="13.5" thickBot="1" x14ac:dyDescent="0.35">
      <c r="A3" s="69" t="s">
        <v>9</v>
      </c>
      <c r="B3" s="69" t="s">
        <v>8</v>
      </c>
      <c r="C3" s="69" t="s">
        <v>28</v>
      </c>
      <c r="D3" s="70" t="s">
        <v>29</v>
      </c>
      <c r="E3" s="70" t="s">
        <v>30</v>
      </c>
      <c r="F3" s="70" t="s">
        <v>31</v>
      </c>
      <c r="G3" s="71" t="s">
        <v>32</v>
      </c>
      <c r="H3" s="72"/>
      <c r="J3" s="68"/>
    </row>
    <row r="4" spans="1:13" ht="13" thickTop="1" x14ac:dyDescent="0.25">
      <c r="A4" s="2">
        <v>45400</v>
      </c>
      <c r="B4" s="20">
        <v>3020</v>
      </c>
      <c r="C4" s="14" t="s">
        <v>92</v>
      </c>
      <c r="D4" s="14" t="s">
        <v>92</v>
      </c>
      <c r="E4" s="14" t="s">
        <v>92</v>
      </c>
      <c r="F4" s="14" t="s">
        <v>92</v>
      </c>
      <c r="G4" s="72"/>
      <c r="H4" s="68"/>
    </row>
    <row r="5" spans="1:13" x14ac:dyDescent="0.25">
      <c r="A5" s="2">
        <v>45399</v>
      </c>
      <c r="B5" s="20">
        <v>3026</v>
      </c>
      <c r="C5" s="14" t="s">
        <v>92</v>
      </c>
      <c r="D5" s="14" t="s">
        <v>92</v>
      </c>
      <c r="E5" s="14" t="s">
        <v>92</v>
      </c>
      <c r="F5" s="14" t="s">
        <v>92</v>
      </c>
      <c r="G5" s="14" t="s">
        <v>92</v>
      </c>
    </row>
    <row r="6" spans="1:13" x14ac:dyDescent="0.25">
      <c r="A6" s="2">
        <v>45398</v>
      </c>
      <c r="B6" s="20">
        <v>2968</v>
      </c>
      <c r="C6" s="14" t="s">
        <v>92</v>
      </c>
      <c r="D6" s="14" t="s">
        <v>92</v>
      </c>
      <c r="E6" s="14" t="s">
        <v>92</v>
      </c>
      <c r="F6" s="14" t="s">
        <v>92</v>
      </c>
      <c r="G6" s="14" t="s">
        <v>92</v>
      </c>
    </row>
    <row r="7" spans="1:13" x14ac:dyDescent="0.25">
      <c r="A7" s="2">
        <v>45397</v>
      </c>
      <c r="B7" s="20">
        <v>3048</v>
      </c>
      <c r="C7" s="14" t="s">
        <v>92</v>
      </c>
      <c r="D7" s="14" t="s">
        <v>92</v>
      </c>
      <c r="E7" s="14" t="s">
        <v>92</v>
      </c>
      <c r="F7" s="14" t="s">
        <v>92</v>
      </c>
      <c r="G7" s="14" t="s">
        <v>92</v>
      </c>
      <c r="K7" s="63" t="s">
        <v>33</v>
      </c>
      <c r="L7" s="63">
        <v>0.99</v>
      </c>
    </row>
    <row r="8" spans="1:13" ht="13" x14ac:dyDescent="0.3">
      <c r="A8" s="2">
        <v>45394</v>
      </c>
      <c r="B8" s="20">
        <v>3048</v>
      </c>
      <c r="C8" s="14" t="s">
        <v>92</v>
      </c>
      <c r="D8" s="14" t="s">
        <v>92</v>
      </c>
      <c r="E8" s="14" t="s">
        <v>92</v>
      </c>
      <c r="F8" s="14" t="s">
        <v>92</v>
      </c>
      <c r="G8" s="14" t="s">
        <v>92</v>
      </c>
      <c r="K8" s="63" t="s">
        <v>34</v>
      </c>
      <c r="L8" s="74">
        <f>NORMSINV(1-L7)</f>
        <v>-2.3263478740408408</v>
      </c>
    </row>
    <row r="9" spans="1:13" x14ac:dyDescent="0.25">
      <c r="A9" s="2">
        <v>45393</v>
      </c>
      <c r="B9" s="20">
        <v>3030</v>
      </c>
      <c r="C9" s="14" t="s">
        <v>92</v>
      </c>
      <c r="D9" s="14" t="s">
        <v>92</v>
      </c>
      <c r="E9" s="14" t="s">
        <v>92</v>
      </c>
      <c r="F9" s="14" t="s">
        <v>92</v>
      </c>
      <c r="G9" s="14" t="s">
        <v>92</v>
      </c>
    </row>
    <row r="10" spans="1:13" x14ac:dyDescent="0.25">
      <c r="A10" s="2">
        <v>45392</v>
      </c>
      <c r="B10" s="20">
        <v>3020</v>
      </c>
      <c r="C10" s="14" t="s">
        <v>92</v>
      </c>
      <c r="D10" s="14" t="s">
        <v>92</v>
      </c>
      <c r="E10" s="14" t="s">
        <v>92</v>
      </c>
      <c r="F10" s="14" t="s">
        <v>92</v>
      </c>
      <c r="G10" s="14" t="s">
        <v>92</v>
      </c>
    </row>
    <row r="11" spans="1:13" x14ac:dyDescent="0.25">
      <c r="A11" s="2">
        <v>45391</v>
      </c>
      <c r="B11" s="20">
        <v>3054</v>
      </c>
      <c r="C11" s="14" t="s">
        <v>92</v>
      </c>
      <c r="D11" s="14" t="s">
        <v>92</v>
      </c>
      <c r="E11" s="14" t="s">
        <v>92</v>
      </c>
      <c r="F11" s="14" t="s">
        <v>92</v>
      </c>
      <c r="G11" s="14" t="s">
        <v>92</v>
      </c>
      <c r="K11" s="63" t="s">
        <v>35</v>
      </c>
      <c r="M11" s="75"/>
    </row>
    <row r="12" spans="1:13" x14ac:dyDescent="0.25">
      <c r="A12" s="2">
        <v>45390</v>
      </c>
      <c r="B12" s="20">
        <v>3066</v>
      </c>
      <c r="C12" s="14" t="s">
        <v>92</v>
      </c>
      <c r="D12" s="14" t="s">
        <v>92</v>
      </c>
      <c r="E12" s="14" t="s">
        <v>92</v>
      </c>
      <c r="F12" s="14" t="s">
        <v>92</v>
      </c>
      <c r="G12" s="14" t="s">
        <v>92</v>
      </c>
    </row>
    <row r="13" spans="1:13" x14ac:dyDescent="0.25">
      <c r="A13" s="2">
        <v>45387</v>
      </c>
      <c r="B13" s="20">
        <v>3050</v>
      </c>
      <c r="C13" s="14" t="s">
        <v>92</v>
      </c>
      <c r="D13" s="14" t="s">
        <v>92</v>
      </c>
      <c r="E13" s="14" t="s">
        <v>92</v>
      </c>
      <c r="F13" s="14" t="s">
        <v>92</v>
      </c>
      <c r="G13" s="14" t="s">
        <v>92</v>
      </c>
    </row>
    <row r="14" spans="1:13" x14ac:dyDescent="0.25">
      <c r="A14" s="2">
        <v>45386</v>
      </c>
      <c r="B14" s="20">
        <v>3024</v>
      </c>
      <c r="C14" s="14" t="s">
        <v>92</v>
      </c>
      <c r="D14" s="14" t="s">
        <v>92</v>
      </c>
      <c r="E14" s="14" t="s">
        <v>92</v>
      </c>
      <c r="F14" s="14" t="s">
        <v>92</v>
      </c>
      <c r="G14" s="14" t="s">
        <v>92</v>
      </c>
      <c r="K14" s="63" t="s">
        <v>36</v>
      </c>
    </row>
    <row r="15" spans="1:13" x14ac:dyDescent="0.25">
      <c r="A15" s="2">
        <v>45385</v>
      </c>
      <c r="B15" s="20">
        <v>3014</v>
      </c>
      <c r="C15" s="14" t="s">
        <v>92</v>
      </c>
      <c r="D15" s="14" t="s">
        <v>92</v>
      </c>
      <c r="E15" s="14" t="s">
        <v>92</v>
      </c>
      <c r="F15" s="14" t="s">
        <v>92</v>
      </c>
      <c r="G15" s="14" t="s">
        <v>92</v>
      </c>
    </row>
    <row r="16" spans="1:13" x14ac:dyDescent="0.25">
      <c r="A16" s="2">
        <v>45384</v>
      </c>
      <c r="B16" s="20">
        <v>2964</v>
      </c>
      <c r="C16" s="14" t="s">
        <v>92</v>
      </c>
      <c r="D16" s="14" t="s">
        <v>92</v>
      </c>
      <c r="E16" s="14" t="s">
        <v>92</v>
      </c>
      <c r="F16" s="14" t="s">
        <v>92</v>
      </c>
      <c r="G16" s="14" t="s">
        <v>92</v>
      </c>
    </row>
    <row r="17" spans="1:12" x14ac:dyDescent="0.25">
      <c r="A17" s="2">
        <v>45379</v>
      </c>
      <c r="B17" s="20">
        <v>2960</v>
      </c>
      <c r="C17" s="14" t="s">
        <v>92</v>
      </c>
      <c r="D17" s="14" t="s">
        <v>92</v>
      </c>
      <c r="E17" s="14" t="s">
        <v>92</v>
      </c>
      <c r="F17" s="14" t="s">
        <v>92</v>
      </c>
      <c r="G17" s="14" t="s">
        <v>92</v>
      </c>
    </row>
    <row r="18" spans="1:12" x14ac:dyDescent="0.25">
      <c r="A18" s="2">
        <v>45378</v>
      </c>
      <c r="B18" s="20">
        <v>2920</v>
      </c>
      <c r="C18" s="14" t="s">
        <v>92</v>
      </c>
      <c r="D18" s="14" t="s">
        <v>92</v>
      </c>
      <c r="E18" s="14" t="s">
        <v>92</v>
      </c>
      <c r="F18" s="14" t="s">
        <v>92</v>
      </c>
      <c r="G18" s="14" t="s">
        <v>92</v>
      </c>
    </row>
    <row r="19" spans="1:12" x14ac:dyDescent="0.25">
      <c r="A19" s="2">
        <v>45377</v>
      </c>
      <c r="B19" s="20">
        <v>2924</v>
      </c>
      <c r="C19" s="14" t="s">
        <v>92</v>
      </c>
      <c r="D19" s="14" t="s">
        <v>92</v>
      </c>
      <c r="E19" s="14" t="s">
        <v>92</v>
      </c>
      <c r="F19" s="14" t="s">
        <v>92</v>
      </c>
      <c r="G19" s="14" t="s">
        <v>92</v>
      </c>
      <c r="K19" s="63" t="s">
        <v>37</v>
      </c>
      <c r="L19" s="63" t="e">
        <f>-2*LN(((L7)^(H2-H3))*(1-L7)^H3)+2*LN(((1-H3/H2)^(H2-H3))*(H3/H2)^H3)</f>
        <v>#DIV/0!</v>
      </c>
    </row>
    <row r="20" spans="1:12" x14ac:dyDescent="0.25">
      <c r="A20" s="2">
        <v>45376</v>
      </c>
      <c r="B20" s="20">
        <v>2918</v>
      </c>
      <c r="C20" s="14" t="s">
        <v>92</v>
      </c>
      <c r="D20" s="14" t="s">
        <v>92</v>
      </c>
      <c r="E20" s="14" t="s">
        <v>92</v>
      </c>
      <c r="F20" s="14" t="s">
        <v>92</v>
      </c>
      <c r="G20" s="14" t="s">
        <v>92</v>
      </c>
    </row>
    <row r="21" spans="1:12" x14ac:dyDescent="0.25">
      <c r="A21" s="2">
        <v>45373</v>
      </c>
      <c r="B21" s="20">
        <v>2932</v>
      </c>
      <c r="C21" s="14" t="s">
        <v>92</v>
      </c>
      <c r="D21" s="14" t="s">
        <v>92</v>
      </c>
      <c r="E21" s="14" t="s">
        <v>92</v>
      </c>
      <c r="F21" s="14" t="s">
        <v>92</v>
      </c>
      <c r="G21" s="14" t="s">
        <v>92</v>
      </c>
      <c r="K21" s="63" t="s">
        <v>38</v>
      </c>
      <c r="L21" s="63">
        <f>+_xlfn.CHISQ.INV.RT(5%,1)</f>
        <v>3.8414588206941236</v>
      </c>
    </row>
    <row r="22" spans="1:12" x14ac:dyDescent="0.25">
      <c r="A22" s="2">
        <v>45372</v>
      </c>
      <c r="B22" s="20">
        <v>2940</v>
      </c>
      <c r="C22" s="14" t="s">
        <v>92</v>
      </c>
      <c r="D22" s="14" t="s">
        <v>92</v>
      </c>
      <c r="E22" s="14" t="s">
        <v>92</v>
      </c>
      <c r="F22" s="14" t="s">
        <v>92</v>
      </c>
      <c r="G22" s="14" t="s">
        <v>92</v>
      </c>
    </row>
    <row r="23" spans="1:12" x14ac:dyDescent="0.25">
      <c r="A23" s="2">
        <v>45371</v>
      </c>
      <c r="B23" s="20">
        <v>2970</v>
      </c>
      <c r="C23" s="14" t="s">
        <v>92</v>
      </c>
      <c r="D23" s="14" t="s">
        <v>92</v>
      </c>
      <c r="E23" s="14" t="s">
        <v>92</v>
      </c>
      <c r="F23" s="14" t="s">
        <v>92</v>
      </c>
      <c r="G23" s="14" t="s">
        <v>92</v>
      </c>
    </row>
    <row r="24" spans="1:12" x14ac:dyDescent="0.25">
      <c r="A24" s="2">
        <v>45370</v>
      </c>
      <c r="B24" s="20">
        <v>2964</v>
      </c>
      <c r="C24" s="14" t="s">
        <v>92</v>
      </c>
      <c r="D24" s="14" t="s">
        <v>92</v>
      </c>
      <c r="E24" s="14" t="s">
        <v>92</v>
      </c>
      <c r="F24" s="14" t="s">
        <v>92</v>
      </c>
      <c r="G24" s="14" t="s">
        <v>92</v>
      </c>
    </row>
    <row r="25" spans="1:12" x14ac:dyDescent="0.25">
      <c r="A25" s="2">
        <v>45369</v>
      </c>
      <c r="B25" s="20">
        <v>2972</v>
      </c>
      <c r="C25" s="14" t="s">
        <v>92</v>
      </c>
      <c r="D25" s="14" t="s">
        <v>92</v>
      </c>
      <c r="E25" s="14" t="s">
        <v>92</v>
      </c>
      <c r="F25" s="14" t="s">
        <v>92</v>
      </c>
      <c r="G25" s="14" t="s">
        <v>92</v>
      </c>
    </row>
    <row r="26" spans="1:12" x14ac:dyDescent="0.25">
      <c r="A26" s="2">
        <v>45365</v>
      </c>
      <c r="B26" s="20">
        <v>2928</v>
      </c>
      <c r="C26" s="14" t="s">
        <v>92</v>
      </c>
      <c r="D26" s="14" t="s">
        <v>92</v>
      </c>
      <c r="E26" s="14" t="s">
        <v>92</v>
      </c>
      <c r="F26" s="14" t="s">
        <v>92</v>
      </c>
      <c r="G26" s="14" t="s">
        <v>92</v>
      </c>
    </row>
    <row r="27" spans="1:12" x14ac:dyDescent="0.25">
      <c r="A27" s="2">
        <v>45364</v>
      </c>
      <c r="B27" s="20">
        <v>2918</v>
      </c>
      <c r="C27" s="14" t="s">
        <v>92</v>
      </c>
      <c r="D27" s="14" t="s">
        <v>92</v>
      </c>
      <c r="E27" s="14" t="s">
        <v>92</v>
      </c>
      <c r="F27" s="14" t="s">
        <v>92</v>
      </c>
      <c r="G27" s="14" t="s">
        <v>92</v>
      </c>
    </row>
    <row r="28" spans="1:12" x14ac:dyDescent="0.25">
      <c r="A28" s="2">
        <v>45363</v>
      </c>
      <c r="B28" s="20">
        <v>2942</v>
      </c>
      <c r="C28" s="14" t="s">
        <v>92</v>
      </c>
      <c r="D28" s="14" t="s">
        <v>92</v>
      </c>
      <c r="E28" s="14" t="s">
        <v>92</v>
      </c>
      <c r="F28" s="14" t="s">
        <v>92</v>
      </c>
      <c r="G28" s="14" t="s">
        <v>92</v>
      </c>
    </row>
    <row r="29" spans="1:12" x14ac:dyDescent="0.25">
      <c r="A29" s="2">
        <v>45362</v>
      </c>
      <c r="B29" s="20">
        <v>2926</v>
      </c>
      <c r="C29" s="14" t="s">
        <v>92</v>
      </c>
      <c r="D29" s="14" t="s">
        <v>92</v>
      </c>
      <c r="E29" s="14" t="s">
        <v>92</v>
      </c>
      <c r="F29" s="14" t="s">
        <v>92</v>
      </c>
      <c r="G29" s="14" t="s">
        <v>92</v>
      </c>
    </row>
    <row r="30" spans="1:12" x14ac:dyDescent="0.25">
      <c r="A30" s="2">
        <v>45359</v>
      </c>
      <c r="B30" s="20">
        <v>2938</v>
      </c>
      <c r="C30" s="14" t="s">
        <v>92</v>
      </c>
      <c r="D30" s="14" t="s">
        <v>92</v>
      </c>
      <c r="E30" s="14" t="s">
        <v>92</v>
      </c>
      <c r="F30" s="14" t="s">
        <v>92</v>
      </c>
      <c r="G30" s="14" t="s">
        <v>92</v>
      </c>
    </row>
    <row r="31" spans="1:12" x14ac:dyDescent="0.25">
      <c r="A31" s="2">
        <v>45358</v>
      </c>
      <c r="B31" s="20">
        <v>2940</v>
      </c>
      <c r="C31" s="14" t="s">
        <v>92</v>
      </c>
      <c r="D31" s="14" t="s">
        <v>92</v>
      </c>
      <c r="E31" s="14" t="s">
        <v>92</v>
      </c>
      <c r="F31" s="14" t="s">
        <v>92</v>
      </c>
      <c r="G31" s="14" t="s">
        <v>92</v>
      </c>
    </row>
    <row r="32" spans="1:12" x14ac:dyDescent="0.25">
      <c r="A32" s="2">
        <v>45357</v>
      </c>
      <c r="B32" s="20">
        <v>2906</v>
      </c>
      <c r="C32" s="14" t="s">
        <v>92</v>
      </c>
      <c r="D32" s="14" t="s">
        <v>92</v>
      </c>
      <c r="E32" s="14" t="s">
        <v>92</v>
      </c>
      <c r="F32" s="14" t="s">
        <v>92</v>
      </c>
      <c r="G32" s="14" t="s">
        <v>92</v>
      </c>
    </row>
    <row r="33" spans="1:7" x14ac:dyDescent="0.25">
      <c r="A33" s="2">
        <v>45356</v>
      </c>
      <c r="B33" s="20">
        <v>2904</v>
      </c>
      <c r="C33" s="14" t="s">
        <v>92</v>
      </c>
      <c r="D33" s="14" t="s">
        <v>92</v>
      </c>
      <c r="E33" s="14" t="s">
        <v>92</v>
      </c>
      <c r="F33" s="14" t="s">
        <v>92</v>
      </c>
      <c r="G33" s="14" t="s">
        <v>92</v>
      </c>
    </row>
    <row r="34" spans="1:7" x14ac:dyDescent="0.25">
      <c r="A34" s="2">
        <v>45355</v>
      </c>
      <c r="B34" s="20">
        <v>2918</v>
      </c>
      <c r="C34" s="14" t="s">
        <v>92</v>
      </c>
      <c r="D34" s="14" t="s">
        <v>92</v>
      </c>
      <c r="E34" s="14" t="s">
        <v>92</v>
      </c>
      <c r="F34" s="14" t="s">
        <v>92</v>
      </c>
      <c r="G34" s="14" t="s">
        <v>92</v>
      </c>
    </row>
    <row r="35" spans="1:7" x14ac:dyDescent="0.25">
      <c r="A35" s="2">
        <v>45352</v>
      </c>
      <c r="B35" s="20">
        <v>2926</v>
      </c>
      <c r="C35" s="14" t="s">
        <v>92</v>
      </c>
      <c r="D35" s="14" t="s">
        <v>92</v>
      </c>
      <c r="E35" s="14" t="s">
        <v>92</v>
      </c>
      <c r="F35" s="14" t="s">
        <v>92</v>
      </c>
      <c r="G35" s="14" t="s">
        <v>92</v>
      </c>
    </row>
    <row r="36" spans="1:7" x14ac:dyDescent="0.25">
      <c r="A36" s="2">
        <v>45351</v>
      </c>
      <c r="B36" s="20">
        <v>2890</v>
      </c>
      <c r="C36" s="14" t="s">
        <v>92</v>
      </c>
      <c r="D36" s="14" t="s">
        <v>92</v>
      </c>
      <c r="E36" s="14" t="s">
        <v>92</v>
      </c>
      <c r="F36" s="14" t="s">
        <v>92</v>
      </c>
      <c r="G36" s="14" t="s">
        <v>92</v>
      </c>
    </row>
    <row r="37" spans="1:7" x14ac:dyDescent="0.25">
      <c r="A37" s="2">
        <v>45350</v>
      </c>
      <c r="B37" s="20">
        <v>2900</v>
      </c>
      <c r="C37" s="14" t="s">
        <v>92</v>
      </c>
      <c r="D37" s="14" t="s">
        <v>92</v>
      </c>
      <c r="E37" s="14" t="s">
        <v>92</v>
      </c>
      <c r="F37" s="14" t="s">
        <v>92</v>
      </c>
      <c r="G37" s="14" t="s">
        <v>92</v>
      </c>
    </row>
    <row r="38" spans="1:7" x14ac:dyDescent="0.25">
      <c r="A38" s="2">
        <v>45349</v>
      </c>
      <c r="B38" s="20">
        <v>2892</v>
      </c>
      <c r="C38" s="14" t="s">
        <v>92</v>
      </c>
      <c r="D38" s="14" t="s">
        <v>92</v>
      </c>
      <c r="E38" s="14" t="s">
        <v>92</v>
      </c>
      <c r="F38" s="14" t="s">
        <v>92</v>
      </c>
      <c r="G38" s="14" t="s">
        <v>92</v>
      </c>
    </row>
    <row r="39" spans="1:7" x14ac:dyDescent="0.25">
      <c r="A39" s="2">
        <v>45348</v>
      </c>
      <c r="B39" s="20">
        <v>2946</v>
      </c>
      <c r="C39" s="14" t="s">
        <v>92</v>
      </c>
      <c r="D39" s="14" t="s">
        <v>92</v>
      </c>
      <c r="E39" s="14" t="s">
        <v>92</v>
      </c>
      <c r="F39" s="14" t="s">
        <v>92</v>
      </c>
      <c r="G39" s="14" t="s">
        <v>92</v>
      </c>
    </row>
    <row r="40" spans="1:7" x14ac:dyDescent="0.25">
      <c r="A40" s="2">
        <v>45345</v>
      </c>
      <c r="B40" s="20">
        <v>2932</v>
      </c>
      <c r="C40" s="14" t="s">
        <v>92</v>
      </c>
      <c r="D40" s="14" t="s">
        <v>92</v>
      </c>
      <c r="E40" s="14" t="s">
        <v>92</v>
      </c>
      <c r="F40" s="14" t="s">
        <v>92</v>
      </c>
      <c r="G40" s="14" t="s">
        <v>92</v>
      </c>
    </row>
    <row r="41" spans="1:7" x14ac:dyDescent="0.25">
      <c r="A41" s="2">
        <v>45344</v>
      </c>
      <c r="B41" s="20">
        <v>2922</v>
      </c>
      <c r="C41" s="14" t="s">
        <v>92</v>
      </c>
      <c r="D41" s="14" t="s">
        <v>92</v>
      </c>
      <c r="E41" s="14" t="s">
        <v>92</v>
      </c>
      <c r="F41" s="14" t="s">
        <v>92</v>
      </c>
      <c r="G41" s="14" t="s">
        <v>92</v>
      </c>
    </row>
    <row r="42" spans="1:7" x14ac:dyDescent="0.25">
      <c r="A42" s="2">
        <v>45343</v>
      </c>
      <c r="B42" s="20">
        <v>2950</v>
      </c>
      <c r="C42" s="14" t="s">
        <v>92</v>
      </c>
      <c r="D42" s="14" t="s">
        <v>92</v>
      </c>
      <c r="E42" s="14" t="s">
        <v>92</v>
      </c>
      <c r="F42" s="14" t="s">
        <v>92</v>
      </c>
      <c r="G42" s="14" t="s">
        <v>92</v>
      </c>
    </row>
    <row r="43" spans="1:7" x14ac:dyDescent="0.25">
      <c r="A43" s="2">
        <v>45342</v>
      </c>
      <c r="B43" s="20">
        <v>2934</v>
      </c>
      <c r="C43" s="14" t="s">
        <v>92</v>
      </c>
      <c r="D43" s="14" t="s">
        <v>92</v>
      </c>
      <c r="E43" s="14" t="s">
        <v>92</v>
      </c>
      <c r="F43" s="14" t="s">
        <v>92</v>
      </c>
      <c r="G43" s="14" t="s">
        <v>92</v>
      </c>
    </row>
    <row r="44" spans="1:7" x14ac:dyDescent="0.25">
      <c r="A44" s="2">
        <v>45341</v>
      </c>
      <c r="B44" s="20">
        <v>2968</v>
      </c>
      <c r="C44" s="14" t="s">
        <v>92</v>
      </c>
      <c r="D44" s="14" t="s">
        <v>92</v>
      </c>
      <c r="E44" s="14" t="s">
        <v>92</v>
      </c>
      <c r="F44" s="14" t="s">
        <v>92</v>
      </c>
      <c r="G44" s="14" t="s">
        <v>92</v>
      </c>
    </row>
    <row r="45" spans="1:7" x14ac:dyDescent="0.25">
      <c r="A45" s="2">
        <v>45338</v>
      </c>
      <c r="B45" s="20">
        <v>2960</v>
      </c>
      <c r="C45" s="14" t="s">
        <v>92</v>
      </c>
      <c r="D45" s="14" t="s">
        <v>92</v>
      </c>
      <c r="E45" s="14" t="s">
        <v>92</v>
      </c>
      <c r="F45" s="14" t="s">
        <v>92</v>
      </c>
      <c r="G45" s="14" t="s">
        <v>92</v>
      </c>
    </row>
    <row r="46" spans="1:7" x14ac:dyDescent="0.25">
      <c r="A46" s="2">
        <v>45337</v>
      </c>
      <c r="B46" s="20">
        <v>2942</v>
      </c>
      <c r="C46" s="14" t="s">
        <v>92</v>
      </c>
      <c r="D46" s="14" t="s">
        <v>92</v>
      </c>
      <c r="E46" s="14" t="s">
        <v>92</v>
      </c>
      <c r="F46" s="14" t="s">
        <v>92</v>
      </c>
      <c r="G46" s="14" t="s">
        <v>92</v>
      </c>
    </row>
    <row r="47" spans="1:7" x14ac:dyDescent="0.25">
      <c r="A47" s="2">
        <v>45336</v>
      </c>
      <c r="B47" s="20">
        <v>2916</v>
      </c>
      <c r="C47" s="14" t="s">
        <v>92</v>
      </c>
      <c r="D47" s="14" t="s">
        <v>92</v>
      </c>
      <c r="E47" s="14" t="s">
        <v>92</v>
      </c>
      <c r="F47" s="14" t="s">
        <v>92</v>
      </c>
      <c r="G47" s="14" t="s">
        <v>92</v>
      </c>
    </row>
    <row r="48" spans="1:7" x14ac:dyDescent="0.25">
      <c r="A48" s="2">
        <v>45335</v>
      </c>
      <c r="B48" s="20">
        <v>2880</v>
      </c>
      <c r="C48" s="14" t="s">
        <v>92</v>
      </c>
      <c r="D48" s="14" t="s">
        <v>92</v>
      </c>
      <c r="E48" s="14" t="s">
        <v>92</v>
      </c>
      <c r="F48" s="14" t="s">
        <v>92</v>
      </c>
      <c r="G48" s="14" t="s">
        <v>92</v>
      </c>
    </row>
    <row r="49" spans="1:7" x14ac:dyDescent="0.25">
      <c r="A49" s="2">
        <v>45334</v>
      </c>
      <c r="B49" s="20">
        <v>2900</v>
      </c>
      <c r="C49" s="14" t="s">
        <v>92</v>
      </c>
      <c r="D49" s="14" t="s">
        <v>92</v>
      </c>
      <c r="E49" s="14" t="s">
        <v>92</v>
      </c>
      <c r="F49" s="14" t="s">
        <v>92</v>
      </c>
      <c r="G49" s="14" t="s">
        <v>92</v>
      </c>
    </row>
    <row r="50" spans="1:7" x14ac:dyDescent="0.25">
      <c r="A50" s="2">
        <v>45331</v>
      </c>
      <c r="B50" s="20">
        <v>2900</v>
      </c>
      <c r="C50" s="14" t="s">
        <v>92</v>
      </c>
      <c r="D50" s="14" t="s">
        <v>92</v>
      </c>
      <c r="E50" s="14" t="s">
        <v>92</v>
      </c>
      <c r="F50" s="14" t="s">
        <v>92</v>
      </c>
      <c r="G50" s="14" t="s">
        <v>92</v>
      </c>
    </row>
    <row r="51" spans="1:7" x14ac:dyDescent="0.25">
      <c r="A51" s="2">
        <v>45330</v>
      </c>
      <c r="B51" s="20">
        <v>2894</v>
      </c>
      <c r="C51" s="14" t="s">
        <v>92</v>
      </c>
      <c r="D51" s="14" t="s">
        <v>92</v>
      </c>
      <c r="E51" s="14" t="s">
        <v>92</v>
      </c>
      <c r="F51" s="14" t="s">
        <v>92</v>
      </c>
      <c r="G51" s="14" t="s">
        <v>92</v>
      </c>
    </row>
    <row r="52" spans="1:7" x14ac:dyDescent="0.25">
      <c r="A52" s="2">
        <v>45329</v>
      </c>
      <c r="B52" s="20">
        <v>2894</v>
      </c>
      <c r="C52" s="14" t="s">
        <v>92</v>
      </c>
      <c r="D52" s="14" t="s">
        <v>92</v>
      </c>
      <c r="E52" s="14" t="s">
        <v>92</v>
      </c>
      <c r="F52" s="14" t="s">
        <v>92</v>
      </c>
      <c r="G52" s="14" t="s">
        <v>92</v>
      </c>
    </row>
    <row r="53" spans="1:7" x14ac:dyDescent="0.25">
      <c r="A53" s="2">
        <v>45328</v>
      </c>
      <c r="B53" s="20">
        <v>2916</v>
      </c>
      <c r="C53" s="14" t="s">
        <v>92</v>
      </c>
      <c r="D53" s="14" t="s">
        <v>92</v>
      </c>
      <c r="E53" s="14" t="s">
        <v>92</v>
      </c>
      <c r="F53" s="14" t="s">
        <v>92</v>
      </c>
      <c r="G53" s="14" t="s">
        <v>92</v>
      </c>
    </row>
    <row r="54" spans="1:7" x14ac:dyDescent="0.25">
      <c r="A54" s="2">
        <v>45327</v>
      </c>
      <c r="B54" s="20">
        <v>2888</v>
      </c>
      <c r="C54" s="14" t="s">
        <v>92</v>
      </c>
      <c r="D54" s="14" t="s">
        <v>92</v>
      </c>
      <c r="E54" s="14" t="s">
        <v>92</v>
      </c>
      <c r="F54" s="14" t="s">
        <v>92</v>
      </c>
      <c r="G54" s="14" t="s">
        <v>92</v>
      </c>
    </row>
    <row r="55" spans="1:7" x14ac:dyDescent="0.25">
      <c r="A55" s="2">
        <v>45324</v>
      </c>
      <c r="B55" s="20">
        <v>2928</v>
      </c>
      <c r="C55" s="14" t="s">
        <v>92</v>
      </c>
      <c r="D55" s="14" t="s">
        <v>92</v>
      </c>
      <c r="E55" s="14" t="s">
        <v>92</v>
      </c>
      <c r="F55" s="14" t="s">
        <v>92</v>
      </c>
      <c r="G55" s="14" t="s">
        <v>92</v>
      </c>
    </row>
    <row r="56" spans="1:7" x14ac:dyDescent="0.25">
      <c r="A56" s="2">
        <v>45323</v>
      </c>
      <c r="B56" s="20">
        <v>2928</v>
      </c>
      <c r="C56" s="14" t="s">
        <v>92</v>
      </c>
      <c r="D56" s="14" t="s">
        <v>92</v>
      </c>
      <c r="E56" s="14" t="s">
        <v>92</v>
      </c>
      <c r="F56" s="14" t="s">
        <v>92</v>
      </c>
      <c r="G56" s="14" t="s">
        <v>92</v>
      </c>
    </row>
    <row r="57" spans="1:7" x14ac:dyDescent="0.25">
      <c r="A57" s="2">
        <v>45322</v>
      </c>
      <c r="B57" s="20">
        <v>2910</v>
      </c>
      <c r="C57" s="14" t="s">
        <v>92</v>
      </c>
      <c r="D57" s="14" t="s">
        <v>92</v>
      </c>
      <c r="E57" s="14" t="s">
        <v>92</v>
      </c>
      <c r="F57" s="14" t="s">
        <v>92</v>
      </c>
      <c r="G57" s="14" t="s">
        <v>92</v>
      </c>
    </row>
    <row r="58" spans="1:7" x14ac:dyDescent="0.25">
      <c r="A58" s="2">
        <v>45321</v>
      </c>
      <c r="B58" s="20">
        <v>2888</v>
      </c>
      <c r="C58" s="14" t="s">
        <v>92</v>
      </c>
      <c r="D58" s="14" t="s">
        <v>92</v>
      </c>
      <c r="E58" s="14" t="s">
        <v>92</v>
      </c>
      <c r="F58" s="14" t="s">
        <v>92</v>
      </c>
      <c r="G58" s="14" t="s">
        <v>92</v>
      </c>
    </row>
    <row r="59" spans="1:7" x14ac:dyDescent="0.25">
      <c r="A59" s="2">
        <v>45320</v>
      </c>
      <c r="B59" s="20">
        <v>2854</v>
      </c>
      <c r="C59" s="14" t="s">
        <v>92</v>
      </c>
      <c r="D59" s="14" t="s">
        <v>92</v>
      </c>
      <c r="E59" s="14" t="s">
        <v>92</v>
      </c>
      <c r="F59" s="14" t="s">
        <v>92</v>
      </c>
      <c r="G59" s="14" t="s">
        <v>92</v>
      </c>
    </row>
    <row r="60" spans="1:7" x14ac:dyDescent="0.25">
      <c r="A60" s="2">
        <v>45317</v>
      </c>
      <c r="B60" s="20">
        <v>2848</v>
      </c>
      <c r="C60" s="14" t="s">
        <v>92</v>
      </c>
      <c r="D60" s="14" t="s">
        <v>92</v>
      </c>
      <c r="E60" s="14" t="s">
        <v>92</v>
      </c>
      <c r="F60" s="14" t="s">
        <v>92</v>
      </c>
      <c r="G60" s="14" t="s">
        <v>92</v>
      </c>
    </row>
    <row r="61" spans="1:7" x14ac:dyDescent="0.25">
      <c r="A61" s="2">
        <v>45316</v>
      </c>
      <c r="B61" s="20">
        <v>2858</v>
      </c>
      <c r="C61" s="14" t="s">
        <v>92</v>
      </c>
      <c r="D61" s="14" t="s">
        <v>92</v>
      </c>
      <c r="E61" s="14" t="s">
        <v>92</v>
      </c>
      <c r="F61" s="14" t="s">
        <v>92</v>
      </c>
      <c r="G61" s="14" t="s">
        <v>92</v>
      </c>
    </row>
    <row r="62" spans="1:7" x14ac:dyDescent="0.25">
      <c r="A62" s="2">
        <v>45315</v>
      </c>
      <c r="B62" s="20">
        <v>2858</v>
      </c>
      <c r="C62" s="14" t="s">
        <v>92</v>
      </c>
      <c r="D62" s="14" t="s">
        <v>92</v>
      </c>
      <c r="E62" s="14" t="s">
        <v>92</v>
      </c>
      <c r="F62" s="14" t="s">
        <v>92</v>
      </c>
      <c r="G62" s="14" t="s">
        <v>92</v>
      </c>
    </row>
    <row r="63" spans="1:7" x14ac:dyDescent="0.25">
      <c r="A63" s="2">
        <v>45314</v>
      </c>
      <c r="B63" s="20">
        <v>2820</v>
      </c>
      <c r="C63" s="14" t="s">
        <v>92</v>
      </c>
      <c r="D63" s="14" t="s">
        <v>92</v>
      </c>
      <c r="E63" s="14" t="s">
        <v>92</v>
      </c>
      <c r="F63" s="14" t="s">
        <v>92</v>
      </c>
      <c r="G63" s="14" t="s">
        <v>92</v>
      </c>
    </row>
    <row r="64" spans="1:7" x14ac:dyDescent="0.25">
      <c r="A64" s="2">
        <v>45313</v>
      </c>
      <c r="B64" s="20">
        <v>2838</v>
      </c>
      <c r="C64" s="14" t="s">
        <v>92</v>
      </c>
      <c r="D64" s="14" t="s">
        <v>92</v>
      </c>
      <c r="E64" s="14" t="s">
        <v>92</v>
      </c>
      <c r="F64" s="14" t="s">
        <v>92</v>
      </c>
      <c r="G64" s="14" t="s">
        <v>92</v>
      </c>
    </row>
    <row r="65" spans="1:7" x14ac:dyDescent="0.25">
      <c r="A65" s="2">
        <v>45310</v>
      </c>
      <c r="B65" s="20">
        <v>2838</v>
      </c>
      <c r="C65" s="14" t="s">
        <v>92</v>
      </c>
      <c r="D65" s="14" t="s">
        <v>92</v>
      </c>
      <c r="E65" s="14" t="s">
        <v>92</v>
      </c>
      <c r="F65" s="14" t="s">
        <v>92</v>
      </c>
      <c r="G65" s="14" t="s">
        <v>92</v>
      </c>
    </row>
    <row r="66" spans="1:7" x14ac:dyDescent="0.25">
      <c r="A66" s="2">
        <v>45309</v>
      </c>
      <c r="B66" s="20">
        <v>2810</v>
      </c>
      <c r="C66" s="14" t="s">
        <v>92</v>
      </c>
      <c r="D66" s="14" t="s">
        <v>92</v>
      </c>
      <c r="E66" s="14" t="s">
        <v>92</v>
      </c>
      <c r="F66" s="14" t="s">
        <v>92</v>
      </c>
      <c r="G66" s="14" t="s">
        <v>92</v>
      </c>
    </row>
    <row r="67" spans="1:7" x14ac:dyDescent="0.25">
      <c r="A67" s="2">
        <v>45308</v>
      </c>
      <c r="B67" s="20">
        <v>2802</v>
      </c>
      <c r="C67" s="14" t="s">
        <v>92</v>
      </c>
      <c r="D67" s="14" t="s">
        <v>92</v>
      </c>
      <c r="E67" s="14" t="s">
        <v>92</v>
      </c>
      <c r="F67" s="14" t="s">
        <v>92</v>
      </c>
      <c r="G67" s="14" t="s">
        <v>92</v>
      </c>
    </row>
    <row r="68" spans="1:7" x14ac:dyDescent="0.25">
      <c r="A68" s="2">
        <v>45307</v>
      </c>
      <c r="B68" s="20">
        <v>2806</v>
      </c>
      <c r="C68" s="14" t="s">
        <v>92</v>
      </c>
      <c r="D68" s="14" t="s">
        <v>92</v>
      </c>
      <c r="E68" s="14" t="s">
        <v>92</v>
      </c>
      <c r="F68" s="14" t="s">
        <v>92</v>
      </c>
      <c r="G68" s="14" t="s">
        <v>92</v>
      </c>
    </row>
    <row r="69" spans="1:7" x14ac:dyDescent="0.25">
      <c r="A69" s="2">
        <v>45306</v>
      </c>
      <c r="B69" s="20">
        <v>2832</v>
      </c>
      <c r="C69" s="14" t="s">
        <v>92</v>
      </c>
      <c r="D69" s="14" t="s">
        <v>92</v>
      </c>
      <c r="E69" s="14" t="s">
        <v>92</v>
      </c>
      <c r="F69" s="14" t="s">
        <v>92</v>
      </c>
      <c r="G69" s="14" t="s">
        <v>92</v>
      </c>
    </row>
    <row r="70" spans="1:7" x14ac:dyDescent="0.25">
      <c r="A70" s="2">
        <v>45303</v>
      </c>
      <c r="B70" s="20">
        <v>2838</v>
      </c>
      <c r="C70" s="14" t="s">
        <v>92</v>
      </c>
      <c r="D70" s="14" t="s">
        <v>92</v>
      </c>
      <c r="E70" s="14" t="s">
        <v>92</v>
      </c>
      <c r="F70" s="14" t="s">
        <v>92</v>
      </c>
      <c r="G70" s="14" t="s">
        <v>92</v>
      </c>
    </row>
    <row r="71" spans="1:7" x14ac:dyDescent="0.25">
      <c r="A71" s="2">
        <v>45302</v>
      </c>
      <c r="B71" s="20">
        <v>2806</v>
      </c>
      <c r="C71" s="14" t="s">
        <v>92</v>
      </c>
      <c r="D71" s="14" t="s">
        <v>92</v>
      </c>
      <c r="E71" s="14" t="s">
        <v>92</v>
      </c>
      <c r="F71" s="14" t="s">
        <v>92</v>
      </c>
      <c r="G71" s="14" t="s">
        <v>92</v>
      </c>
    </row>
    <row r="72" spans="1:7" x14ac:dyDescent="0.25">
      <c r="A72" s="2">
        <v>45301</v>
      </c>
      <c r="B72" s="20">
        <v>2814</v>
      </c>
      <c r="C72" s="14" t="s">
        <v>92</v>
      </c>
      <c r="D72" s="14" t="s">
        <v>92</v>
      </c>
      <c r="E72" s="14" t="s">
        <v>92</v>
      </c>
      <c r="F72" s="14" t="s">
        <v>92</v>
      </c>
      <c r="G72" s="14" t="s">
        <v>92</v>
      </c>
    </row>
    <row r="73" spans="1:7" x14ac:dyDescent="0.25">
      <c r="A73" s="2">
        <v>45300</v>
      </c>
      <c r="B73" s="20">
        <v>2832</v>
      </c>
      <c r="C73" s="14" t="s">
        <v>92</v>
      </c>
      <c r="D73" s="14" t="s">
        <v>92</v>
      </c>
      <c r="E73" s="14" t="s">
        <v>92</v>
      </c>
      <c r="F73" s="14" t="s">
        <v>92</v>
      </c>
      <c r="G73" s="14" t="s">
        <v>92</v>
      </c>
    </row>
    <row r="74" spans="1:7" x14ac:dyDescent="0.25">
      <c r="A74" s="2">
        <v>45299</v>
      </c>
      <c r="B74" s="20">
        <v>2836</v>
      </c>
      <c r="C74" s="14" t="s">
        <v>92</v>
      </c>
      <c r="D74" s="14" t="s">
        <v>92</v>
      </c>
      <c r="E74" s="14" t="s">
        <v>92</v>
      </c>
      <c r="F74" s="14" t="s">
        <v>92</v>
      </c>
      <c r="G74" s="14" t="s">
        <v>92</v>
      </c>
    </row>
    <row r="75" spans="1:7" x14ac:dyDescent="0.25">
      <c r="A75" s="2">
        <v>45296</v>
      </c>
      <c r="B75" s="20">
        <v>2838</v>
      </c>
      <c r="C75" s="14" t="s">
        <v>92</v>
      </c>
      <c r="D75" s="14" t="s">
        <v>92</v>
      </c>
      <c r="E75" s="14" t="s">
        <v>92</v>
      </c>
      <c r="F75" s="14" t="s">
        <v>92</v>
      </c>
      <c r="G75" s="14" t="s">
        <v>92</v>
      </c>
    </row>
    <row r="76" spans="1:7" x14ac:dyDescent="0.25">
      <c r="A76" s="2">
        <v>45295</v>
      </c>
      <c r="B76" s="20">
        <v>2820</v>
      </c>
      <c r="C76" s="14" t="s">
        <v>92</v>
      </c>
      <c r="D76" s="14" t="s">
        <v>92</v>
      </c>
      <c r="E76" s="14" t="s">
        <v>92</v>
      </c>
      <c r="F76" s="14" t="s">
        <v>92</v>
      </c>
      <c r="G76" s="14" t="s">
        <v>92</v>
      </c>
    </row>
    <row r="77" spans="1:7" x14ac:dyDescent="0.25">
      <c r="A77" s="2">
        <v>45294</v>
      </c>
      <c r="B77" s="20">
        <v>2828</v>
      </c>
      <c r="C77" s="14" t="s">
        <v>92</v>
      </c>
      <c r="D77" s="14" t="s">
        <v>92</v>
      </c>
      <c r="E77" s="14" t="s">
        <v>92</v>
      </c>
      <c r="F77" s="14" t="s">
        <v>92</v>
      </c>
      <c r="G77" s="14" t="s">
        <v>92</v>
      </c>
    </row>
    <row r="78" spans="1:7" x14ac:dyDescent="0.25">
      <c r="A78" s="2">
        <v>45293</v>
      </c>
      <c r="B78" s="20">
        <v>2820</v>
      </c>
      <c r="C78" s="14" t="s">
        <v>92</v>
      </c>
      <c r="D78" s="14" t="s">
        <v>92</v>
      </c>
      <c r="E78" s="14" t="s">
        <v>92</v>
      </c>
      <c r="F78" s="14" t="s">
        <v>92</v>
      </c>
      <c r="G78" s="14" t="s">
        <v>92</v>
      </c>
    </row>
    <row r="79" spans="1:7" x14ac:dyDescent="0.25">
      <c r="A79" s="2">
        <v>45289</v>
      </c>
      <c r="B79" s="20">
        <v>2826</v>
      </c>
      <c r="C79" s="14" t="s">
        <v>92</v>
      </c>
      <c r="D79" s="14" t="s">
        <v>92</v>
      </c>
      <c r="E79" s="14" t="s">
        <v>92</v>
      </c>
      <c r="F79" s="14" t="s">
        <v>92</v>
      </c>
      <c r="G79" s="14" t="s">
        <v>92</v>
      </c>
    </row>
    <row r="80" spans="1:7" x14ac:dyDescent="0.25">
      <c r="A80" s="2">
        <v>45288</v>
      </c>
      <c r="B80" s="20">
        <v>2826</v>
      </c>
      <c r="C80" s="14" t="s">
        <v>92</v>
      </c>
      <c r="D80" s="14" t="s">
        <v>92</v>
      </c>
      <c r="E80" s="14" t="s">
        <v>92</v>
      </c>
      <c r="F80" s="14" t="s">
        <v>92</v>
      </c>
      <c r="G80" s="14" t="s">
        <v>92</v>
      </c>
    </row>
    <row r="81" spans="1:7" x14ac:dyDescent="0.25">
      <c r="A81" s="2">
        <v>45287</v>
      </c>
      <c r="B81" s="20">
        <v>2818</v>
      </c>
      <c r="C81" s="14" t="s">
        <v>92</v>
      </c>
      <c r="D81" s="14" t="s">
        <v>92</v>
      </c>
      <c r="E81" s="14" t="s">
        <v>92</v>
      </c>
      <c r="F81" s="14" t="s">
        <v>92</v>
      </c>
      <c r="G81" s="14" t="s">
        <v>92</v>
      </c>
    </row>
    <row r="82" spans="1:7" x14ac:dyDescent="0.25">
      <c r="A82" s="2">
        <v>45282</v>
      </c>
      <c r="B82" s="20">
        <v>2822</v>
      </c>
      <c r="C82" s="14" t="s">
        <v>92</v>
      </c>
      <c r="D82" s="14" t="s">
        <v>92</v>
      </c>
      <c r="E82" s="14" t="s">
        <v>92</v>
      </c>
      <c r="F82" s="14" t="s">
        <v>92</v>
      </c>
      <c r="G82" s="14" t="s">
        <v>92</v>
      </c>
    </row>
    <row r="83" spans="1:7" x14ac:dyDescent="0.25">
      <c r="A83" s="2">
        <v>45281</v>
      </c>
      <c r="B83" s="20">
        <v>2830</v>
      </c>
      <c r="C83" s="14" t="s">
        <v>92</v>
      </c>
      <c r="D83" s="14" t="s">
        <v>92</v>
      </c>
      <c r="E83" s="14" t="s">
        <v>92</v>
      </c>
      <c r="F83" s="14" t="s">
        <v>92</v>
      </c>
      <c r="G83" s="14" t="s">
        <v>92</v>
      </c>
    </row>
    <row r="84" spans="1:7" x14ac:dyDescent="0.25">
      <c r="A84" s="2">
        <v>45280</v>
      </c>
      <c r="B84" s="20">
        <v>2834</v>
      </c>
      <c r="C84" s="14" t="s">
        <v>92</v>
      </c>
      <c r="D84" s="14" t="s">
        <v>92</v>
      </c>
      <c r="E84" s="14" t="s">
        <v>92</v>
      </c>
      <c r="F84" s="14" t="s">
        <v>92</v>
      </c>
      <c r="G84" s="14" t="s">
        <v>92</v>
      </c>
    </row>
    <row r="85" spans="1:7" x14ac:dyDescent="0.25">
      <c r="A85" s="2">
        <v>45279</v>
      </c>
      <c r="B85" s="20">
        <v>2830</v>
      </c>
      <c r="C85" s="14" t="s">
        <v>92</v>
      </c>
      <c r="D85" s="14" t="s">
        <v>92</v>
      </c>
      <c r="E85" s="14" t="s">
        <v>92</v>
      </c>
      <c r="F85" s="14" t="s">
        <v>92</v>
      </c>
      <c r="G85" s="14" t="s">
        <v>92</v>
      </c>
    </row>
    <row r="86" spans="1:7" x14ac:dyDescent="0.25">
      <c r="A86" s="2">
        <v>45278</v>
      </c>
      <c r="B86" s="20">
        <v>2818</v>
      </c>
      <c r="C86" s="14" t="s">
        <v>92</v>
      </c>
      <c r="D86" s="14" t="s">
        <v>92</v>
      </c>
      <c r="E86" s="14" t="s">
        <v>92</v>
      </c>
      <c r="F86" s="14" t="s">
        <v>92</v>
      </c>
      <c r="G86" s="14" t="s">
        <v>92</v>
      </c>
    </row>
    <row r="87" spans="1:7" x14ac:dyDescent="0.25">
      <c r="A87" s="2">
        <v>45275</v>
      </c>
      <c r="B87" s="20">
        <v>2832</v>
      </c>
      <c r="C87" s="14" t="s">
        <v>92</v>
      </c>
      <c r="D87" s="14" t="s">
        <v>92</v>
      </c>
      <c r="E87" s="14" t="s">
        <v>92</v>
      </c>
      <c r="F87" s="14" t="s">
        <v>92</v>
      </c>
      <c r="G87" s="14" t="s">
        <v>92</v>
      </c>
    </row>
    <row r="88" spans="1:7" x14ac:dyDescent="0.25">
      <c r="A88" s="2">
        <v>45274</v>
      </c>
      <c r="B88" s="20">
        <v>2816</v>
      </c>
      <c r="C88" s="14" t="s">
        <v>92</v>
      </c>
      <c r="D88" s="14" t="s">
        <v>92</v>
      </c>
      <c r="E88" s="14" t="s">
        <v>92</v>
      </c>
      <c r="F88" s="14" t="s">
        <v>92</v>
      </c>
      <c r="G88" s="14" t="s">
        <v>92</v>
      </c>
    </row>
    <row r="89" spans="1:7" x14ac:dyDescent="0.25">
      <c r="A89" s="2">
        <v>45273</v>
      </c>
      <c r="B89" s="20">
        <v>2796</v>
      </c>
      <c r="C89" s="14" t="s">
        <v>92</v>
      </c>
      <c r="D89" s="14" t="s">
        <v>92</v>
      </c>
      <c r="E89" s="14" t="s">
        <v>92</v>
      </c>
      <c r="F89" s="14" t="s">
        <v>92</v>
      </c>
      <c r="G89" s="14" t="s">
        <v>92</v>
      </c>
    </row>
    <row r="90" spans="1:7" x14ac:dyDescent="0.25">
      <c r="A90" s="2">
        <v>45272</v>
      </c>
      <c r="B90" s="20">
        <v>2804</v>
      </c>
      <c r="C90" s="14" t="s">
        <v>92</v>
      </c>
      <c r="D90" s="14" t="s">
        <v>92</v>
      </c>
      <c r="E90" s="14" t="s">
        <v>92</v>
      </c>
      <c r="F90" s="14" t="s">
        <v>92</v>
      </c>
      <c r="G90" s="14" t="s">
        <v>92</v>
      </c>
    </row>
    <row r="91" spans="1:7" x14ac:dyDescent="0.25">
      <c r="A91" s="2">
        <v>45271</v>
      </c>
      <c r="B91" s="20">
        <v>2756</v>
      </c>
      <c r="C91" s="14" t="s">
        <v>92</v>
      </c>
      <c r="D91" s="14" t="s">
        <v>92</v>
      </c>
      <c r="E91" s="14" t="s">
        <v>92</v>
      </c>
      <c r="F91" s="14" t="s">
        <v>92</v>
      </c>
      <c r="G91" s="14" t="s">
        <v>92</v>
      </c>
    </row>
    <row r="92" spans="1:7" x14ac:dyDescent="0.25">
      <c r="A92" s="2">
        <v>45268</v>
      </c>
      <c r="B92" s="20">
        <v>2766</v>
      </c>
      <c r="C92" s="14" t="s">
        <v>92</v>
      </c>
      <c r="D92" s="14" t="s">
        <v>92</v>
      </c>
      <c r="E92" s="14" t="s">
        <v>92</v>
      </c>
      <c r="F92" s="14" t="s">
        <v>92</v>
      </c>
      <c r="G92" s="14" t="s">
        <v>92</v>
      </c>
    </row>
    <row r="93" spans="1:7" x14ac:dyDescent="0.25">
      <c r="A93" s="2">
        <v>45267</v>
      </c>
      <c r="B93" s="20">
        <v>2804</v>
      </c>
      <c r="C93" s="14" t="s">
        <v>92</v>
      </c>
      <c r="D93" s="14" t="s">
        <v>92</v>
      </c>
      <c r="E93" s="14" t="s">
        <v>92</v>
      </c>
      <c r="F93" s="14" t="s">
        <v>92</v>
      </c>
      <c r="G93" s="14" t="s">
        <v>92</v>
      </c>
    </row>
    <row r="94" spans="1:7" x14ac:dyDescent="0.25">
      <c r="A94" s="2">
        <v>45266</v>
      </c>
      <c r="B94" s="20">
        <v>2810</v>
      </c>
      <c r="C94" s="14" t="s">
        <v>92</v>
      </c>
      <c r="D94" s="14" t="s">
        <v>92</v>
      </c>
      <c r="E94" s="14" t="s">
        <v>92</v>
      </c>
      <c r="F94" s="14" t="s">
        <v>92</v>
      </c>
      <c r="G94" s="14" t="s">
        <v>92</v>
      </c>
    </row>
    <row r="95" spans="1:7" x14ac:dyDescent="0.25">
      <c r="A95" s="2">
        <v>45265</v>
      </c>
      <c r="B95" s="20">
        <v>2820</v>
      </c>
      <c r="C95" s="14" t="s">
        <v>92</v>
      </c>
      <c r="D95" s="14" t="s">
        <v>92</v>
      </c>
      <c r="E95" s="14" t="s">
        <v>92</v>
      </c>
      <c r="F95" s="14" t="s">
        <v>92</v>
      </c>
      <c r="G95" s="14" t="s">
        <v>92</v>
      </c>
    </row>
    <row r="96" spans="1:7" x14ac:dyDescent="0.25">
      <c r="A96" s="2">
        <v>45264</v>
      </c>
      <c r="B96" s="20">
        <v>2792</v>
      </c>
      <c r="C96" s="14" t="s">
        <v>92</v>
      </c>
      <c r="D96" s="14" t="s">
        <v>92</v>
      </c>
      <c r="E96" s="14" t="s">
        <v>92</v>
      </c>
      <c r="F96" s="14" t="s">
        <v>92</v>
      </c>
      <c r="G96" s="14" t="s">
        <v>92</v>
      </c>
    </row>
    <row r="97" spans="1:7" x14ac:dyDescent="0.25">
      <c r="A97" s="2">
        <v>45261</v>
      </c>
      <c r="B97" s="20">
        <v>2780</v>
      </c>
      <c r="C97" s="14" t="s">
        <v>92</v>
      </c>
      <c r="D97" s="14" t="s">
        <v>92</v>
      </c>
      <c r="E97" s="14" t="s">
        <v>92</v>
      </c>
      <c r="F97" s="14" t="s">
        <v>92</v>
      </c>
      <c r="G97" s="14" t="s">
        <v>92</v>
      </c>
    </row>
    <row r="98" spans="1:7" x14ac:dyDescent="0.25">
      <c r="A98" s="2">
        <v>45260</v>
      </c>
      <c r="B98" s="20">
        <v>2780</v>
      </c>
      <c r="C98" s="14" t="s">
        <v>92</v>
      </c>
      <c r="D98" s="14" t="s">
        <v>92</v>
      </c>
      <c r="E98" s="14" t="s">
        <v>92</v>
      </c>
      <c r="F98" s="14" t="s">
        <v>92</v>
      </c>
      <c r="G98" s="14" t="s">
        <v>92</v>
      </c>
    </row>
    <row r="99" spans="1:7" x14ac:dyDescent="0.25">
      <c r="A99" s="2">
        <v>45259</v>
      </c>
      <c r="B99" s="20">
        <v>2780</v>
      </c>
      <c r="C99" s="14" t="s">
        <v>92</v>
      </c>
      <c r="D99" s="14" t="s">
        <v>92</v>
      </c>
      <c r="E99" s="14" t="s">
        <v>92</v>
      </c>
      <c r="F99" s="14" t="s">
        <v>92</v>
      </c>
      <c r="G99" s="14" t="s">
        <v>92</v>
      </c>
    </row>
    <row r="100" spans="1:7" x14ac:dyDescent="0.25">
      <c r="A100" s="2">
        <v>45258</v>
      </c>
      <c r="B100" s="20">
        <v>2796</v>
      </c>
      <c r="C100" s="14" t="s">
        <v>92</v>
      </c>
      <c r="D100" s="14" t="s">
        <v>92</v>
      </c>
      <c r="E100" s="14" t="s">
        <v>92</v>
      </c>
      <c r="F100" s="14" t="s">
        <v>92</v>
      </c>
      <c r="G100" s="14" t="s">
        <v>92</v>
      </c>
    </row>
    <row r="101" spans="1:7" x14ac:dyDescent="0.25">
      <c r="A101" s="2">
        <v>45257</v>
      </c>
      <c r="B101" s="20">
        <v>2770</v>
      </c>
      <c r="C101" s="14" t="s">
        <v>92</v>
      </c>
      <c r="D101" s="14" t="s">
        <v>92</v>
      </c>
      <c r="E101" s="14" t="s">
        <v>92</v>
      </c>
      <c r="F101" s="14" t="s">
        <v>92</v>
      </c>
      <c r="G101" s="14" t="s">
        <v>92</v>
      </c>
    </row>
    <row r="102" spans="1:7" x14ac:dyDescent="0.25">
      <c r="A102" s="2">
        <v>45254</v>
      </c>
      <c r="B102" s="20">
        <v>2730</v>
      </c>
      <c r="C102" s="14" t="s">
        <v>92</v>
      </c>
      <c r="D102" s="14" t="s">
        <v>92</v>
      </c>
      <c r="E102" s="14" t="s">
        <v>92</v>
      </c>
      <c r="F102" s="14" t="s">
        <v>92</v>
      </c>
      <c r="G102" s="14" t="s">
        <v>92</v>
      </c>
    </row>
    <row r="103" spans="1:7" x14ac:dyDescent="0.25">
      <c r="A103" s="2">
        <v>45253</v>
      </c>
      <c r="B103" s="20">
        <v>2748</v>
      </c>
      <c r="C103" s="14" t="s">
        <v>92</v>
      </c>
      <c r="D103" s="14" t="s">
        <v>92</v>
      </c>
      <c r="E103" s="14" t="s">
        <v>92</v>
      </c>
      <c r="F103" s="14" t="s">
        <v>92</v>
      </c>
      <c r="G103" s="14" t="s">
        <v>92</v>
      </c>
    </row>
    <row r="104" spans="1:7" x14ac:dyDescent="0.25">
      <c r="A104" s="2">
        <v>45252</v>
      </c>
      <c r="B104" s="20">
        <v>2792</v>
      </c>
      <c r="C104" s="14" t="s">
        <v>92</v>
      </c>
      <c r="D104" s="14" t="s">
        <v>92</v>
      </c>
      <c r="E104" s="14" t="s">
        <v>92</v>
      </c>
      <c r="F104" s="14" t="s">
        <v>92</v>
      </c>
      <c r="G104" s="14" t="s">
        <v>92</v>
      </c>
    </row>
    <row r="105" spans="1:7" x14ac:dyDescent="0.25">
      <c r="A105" s="2">
        <v>45251</v>
      </c>
      <c r="B105" s="20">
        <v>2780</v>
      </c>
      <c r="C105" s="14" t="s">
        <v>92</v>
      </c>
      <c r="D105" s="14" t="s">
        <v>92</v>
      </c>
      <c r="E105" s="14" t="s">
        <v>92</v>
      </c>
      <c r="F105" s="14" t="s">
        <v>92</v>
      </c>
      <c r="G105" s="14" t="s">
        <v>92</v>
      </c>
    </row>
    <row r="106" spans="1:7" x14ac:dyDescent="0.25">
      <c r="A106" s="2">
        <v>45250</v>
      </c>
      <c r="B106" s="20">
        <v>2810</v>
      </c>
      <c r="C106" s="14" t="s">
        <v>92</v>
      </c>
      <c r="D106" s="14" t="s">
        <v>92</v>
      </c>
      <c r="E106" s="14" t="s">
        <v>92</v>
      </c>
      <c r="F106" s="14" t="s">
        <v>92</v>
      </c>
      <c r="G106" s="14" t="s">
        <v>92</v>
      </c>
    </row>
    <row r="107" spans="1:7" x14ac:dyDescent="0.25">
      <c r="A107" s="2">
        <v>45247</v>
      </c>
      <c r="B107" s="20">
        <v>2812</v>
      </c>
      <c r="C107" s="14" t="s">
        <v>92</v>
      </c>
      <c r="D107" s="14" t="s">
        <v>92</v>
      </c>
      <c r="E107" s="14" t="s">
        <v>92</v>
      </c>
      <c r="F107" s="14" t="s">
        <v>92</v>
      </c>
      <c r="G107" s="14" t="s">
        <v>92</v>
      </c>
    </row>
    <row r="108" spans="1:7" x14ac:dyDescent="0.25">
      <c r="A108" s="2">
        <v>45246</v>
      </c>
      <c r="B108" s="20">
        <v>2862</v>
      </c>
      <c r="C108" s="14" t="s">
        <v>92</v>
      </c>
      <c r="D108" s="14" t="s">
        <v>92</v>
      </c>
      <c r="E108" s="14" t="s">
        <v>92</v>
      </c>
      <c r="F108" s="14" t="s">
        <v>92</v>
      </c>
      <c r="G108" s="14" t="s">
        <v>92</v>
      </c>
    </row>
    <row r="109" spans="1:7" x14ac:dyDescent="0.25">
      <c r="A109" s="2">
        <v>45245</v>
      </c>
      <c r="B109" s="20">
        <v>2876</v>
      </c>
      <c r="C109" s="14" t="s">
        <v>92</v>
      </c>
      <c r="D109" s="14" t="s">
        <v>92</v>
      </c>
      <c r="E109" s="14" t="s">
        <v>92</v>
      </c>
      <c r="F109" s="14" t="s">
        <v>92</v>
      </c>
      <c r="G109" s="14" t="s">
        <v>92</v>
      </c>
    </row>
    <row r="110" spans="1:7" x14ac:dyDescent="0.25">
      <c r="A110" s="2">
        <v>45244</v>
      </c>
      <c r="B110" s="20">
        <v>2840</v>
      </c>
      <c r="C110" s="14" t="s">
        <v>92</v>
      </c>
      <c r="D110" s="14" t="s">
        <v>92</v>
      </c>
      <c r="E110" s="14" t="s">
        <v>92</v>
      </c>
      <c r="F110" s="14" t="s">
        <v>92</v>
      </c>
      <c r="G110" s="14" t="s">
        <v>92</v>
      </c>
    </row>
    <row r="111" spans="1:7" x14ac:dyDescent="0.25">
      <c r="A111" s="2">
        <v>45243</v>
      </c>
      <c r="B111" s="20">
        <v>2834</v>
      </c>
      <c r="C111" s="14" t="s">
        <v>92</v>
      </c>
      <c r="D111" s="14" t="s">
        <v>92</v>
      </c>
      <c r="E111" s="14" t="s">
        <v>92</v>
      </c>
      <c r="F111" s="14" t="s">
        <v>92</v>
      </c>
      <c r="G111" s="14" t="s">
        <v>92</v>
      </c>
    </row>
    <row r="112" spans="1:7" x14ac:dyDescent="0.25">
      <c r="A112" s="2">
        <v>45240</v>
      </c>
      <c r="B112" s="20">
        <v>2844</v>
      </c>
      <c r="C112" s="14" t="s">
        <v>92</v>
      </c>
      <c r="D112" s="14" t="s">
        <v>92</v>
      </c>
      <c r="E112" s="14" t="s">
        <v>92</v>
      </c>
      <c r="F112" s="14" t="s">
        <v>92</v>
      </c>
      <c r="G112" s="14" t="s">
        <v>92</v>
      </c>
    </row>
    <row r="113" spans="1:7" x14ac:dyDescent="0.25">
      <c r="A113" s="2">
        <v>45239</v>
      </c>
      <c r="B113" s="20">
        <v>2856</v>
      </c>
      <c r="C113" s="14" t="s">
        <v>92</v>
      </c>
      <c r="D113" s="14" t="s">
        <v>92</v>
      </c>
      <c r="E113" s="14" t="s">
        <v>92</v>
      </c>
      <c r="F113" s="14" t="s">
        <v>92</v>
      </c>
      <c r="G113" s="14" t="s">
        <v>92</v>
      </c>
    </row>
    <row r="114" spans="1:7" x14ac:dyDescent="0.25">
      <c r="A114" s="2">
        <v>45238</v>
      </c>
      <c r="B114" s="20">
        <v>2874</v>
      </c>
      <c r="C114" s="14" t="s">
        <v>92</v>
      </c>
      <c r="D114" s="14" t="s">
        <v>92</v>
      </c>
      <c r="E114" s="14" t="s">
        <v>92</v>
      </c>
      <c r="F114" s="14" t="s">
        <v>92</v>
      </c>
      <c r="G114" s="14" t="s">
        <v>92</v>
      </c>
    </row>
    <row r="115" spans="1:7" x14ac:dyDescent="0.25">
      <c r="A115" s="2">
        <v>45237</v>
      </c>
      <c r="B115" s="20">
        <v>2924</v>
      </c>
      <c r="C115" s="14" t="s">
        <v>92</v>
      </c>
      <c r="D115" s="14" t="s">
        <v>92</v>
      </c>
      <c r="E115" s="14" t="s">
        <v>92</v>
      </c>
      <c r="F115" s="14" t="s">
        <v>92</v>
      </c>
      <c r="G115" s="14" t="s">
        <v>92</v>
      </c>
    </row>
    <row r="116" spans="1:7" x14ac:dyDescent="0.25">
      <c r="A116" s="2">
        <v>45236</v>
      </c>
      <c r="B116" s="20">
        <v>2914</v>
      </c>
      <c r="C116" s="14" t="s">
        <v>92</v>
      </c>
      <c r="D116" s="14" t="s">
        <v>92</v>
      </c>
      <c r="E116" s="14" t="s">
        <v>92</v>
      </c>
      <c r="F116" s="14" t="s">
        <v>92</v>
      </c>
      <c r="G116" s="14" t="s">
        <v>92</v>
      </c>
    </row>
    <row r="117" spans="1:7" x14ac:dyDescent="0.25">
      <c r="A117" s="2">
        <v>45233</v>
      </c>
      <c r="B117" s="20">
        <v>2900</v>
      </c>
      <c r="C117" s="14" t="s">
        <v>92</v>
      </c>
      <c r="D117" s="14" t="s">
        <v>92</v>
      </c>
      <c r="E117" s="14" t="s">
        <v>92</v>
      </c>
      <c r="F117" s="14" t="s">
        <v>92</v>
      </c>
      <c r="G117" s="14" t="s">
        <v>92</v>
      </c>
    </row>
    <row r="118" spans="1:7" x14ac:dyDescent="0.25">
      <c r="A118" s="2">
        <v>45232</v>
      </c>
      <c r="B118" s="20">
        <v>2892</v>
      </c>
      <c r="C118" s="14" t="s">
        <v>92</v>
      </c>
      <c r="D118" s="14" t="s">
        <v>92</v>
      </c>
      <c r="E118" s="14" t="s">
        <v>92</v>
      </c>
      <c r="F118" s="14" t="s">
        <v>92</v>
      </c>
      <c r="G118" s="14" t="s">
        <v>92</v>
      </c>
    </row>
    <row r="119" spans="1:7" x14ac:dyDescent="0.25">
      <c r="A119" s="2">
        <v>45230</v>
      </c>
      <c r="B119" s="20">
        <v>2876</v>
      </c>
      <c r="C119" s="14" t="s">
        <v>92</v>
      </c>
      <c r="D119" s="14" t="s">
        <v>92</v>
      </c>
      <c r="E119" s="14" t="s">
        <v>92</v>
      </c>
      <c r="F119" s="14" t="s">
        <v>92</v>
      </c>
      <c r="G119" s="14" t="s">
        <v>92</v>
      </c>
    </row>
    <row r="120" spans="1:7" x14ac:dyDescent="0.25">
      <c r="A120" s="2">
        <v>45229</v>
      </c>
      <c r="B120" s="20">
        <v>2896</v>
      </c>
      <c r="C120" s="14" t="s">
        <v>92</v>
      </c>
      <c r="D120" s="14" t="s">
        <v>92</v>
      </c>
      <c r="E120" s="14" t="s">
        <v>92</v>
      </c>
      <c r="F120" s="14" t="s">
        <v>92</v>
      </c>
      <c r="G120" s="14" t="s">
        <v>92</v>
      </c>
    </row>
    <row r="121" spans="1:7" x14ac:dyDescent="0.25">
      <c r="A121" s="2">
        <v>45226</v>
      </c>
      <c r="B121" s="20">
        <v>2874</v>
      </c>
      <c r="C121" s="14" t="s">
        <v>92</v>
      </c>
      <c r="D121" s="14" t="s">
        <v>92</v>
      </c>
      <c r="E121" s="14" t="s">
        <v>92</v>
      </c>
      <c r="F121" s="14" t="s">
        <v>92</v>
      </c>
      <c r="G121" s="14" t="s">
        <v>92</v>
      </c>
    </row>
    <row r="122" spans="1:7" x14ac:dyDescent="0.25">
      <c r="A122" s="2">
        <v>45225</v>
      </c>
      <c r="B122" s="20">
        <v>2882</v>
      </c>
      <c r="C122" s="14" t="s">
        <v>92</v>
      </c>
      <c r="D122" s="14" t="s">
        <v>92</v>
      </c>
      <c r="E122" s="14" t="s">
        <v>92</v>
      </c>
      <c r="F122" s="14" t="s">
        <v>92</v>
      </c>
      <c r="G122" s="14" t="s">
        <v>92</v>
      </c>
    </row>
    <row r="123" spans="1:7" x14ac:dyDescent="0.25">
      <c r="A123" s="2">
        <v>45224</v>
      </c>
      <c r="B123" s="20">
        <v>2870</v>
      </c>
      <c r="C123" s="14" t="s">
        <v>92</v>
      </c>
      <c r="D123" s="14" t="s">
        <v>92</v>
      </c>
      <c r="E123" s="14" t="s">
        <v>92</v>
      </c>
      <c r="F123" s="14" t="s">
        <v>92</v>
      </c>
      <c r="G123" s="14" t="s">
        <v>92</v>
      </c>
    </row>
    <row r="124" spans="1:7" x14ac:dyDescent="0.25">
      <c r="A124" s="2">
        <v>45223</v>
      </c>
      <c r="B124" s="20">
        <v>2868</v>
      </c>
      <c r="C124" s="14" t="s">
        <v>92</v>
      </c>
      <c r="D124" s="14" t="s">
        <v>92</v>
      </c>
      <c r="E124" s="14" t="s">
        <v>92</v>
      </c>
      <c r="F124" s="14" t="s">
        <v>92</v>
      </c>
      <c r="G124" s="14" t="s">
        <v>92</v>
      </c>
    </row>
    <row r="125" spans="1:7" x14ac:dyDescent="0.25">
      <c r="A125" s="2">
        <v>45219</v>
      </c>
      <c r="B125" s="20">
        <v>2900</v>
      </c>
      <c r="C125" s="14" t="s">
        <v>92</v>
      </c>
      <c r="D125" s="14" t="s">
        <v>92</v>
      </c>
      <c r="E125" s="14" t="s">
        <v>92</v>
      </c>
      <c r="F125" s="14" t="s">
        <v>92</v>
      </c>
      <c r="G125" s="14" t="s">
        <v>92</v>
      </c>
    </row>
    <row r="126" spans="1:7" x14ac:dyDescent="0.25">
      <c r="A126" s="2">
        <v>45218</v>
      </c>
      <c r="B126" s="20">
        <v>2892</v>
      </c>
      <c r="C126" s="14" t="s">
        <v>92</v>
      </c>
      <c r="D126" s="14" t="s">
        <v>92</v>
      </c>
      <c r="E126" s="14" t="s">
        <v>92</v>
      </c>
      <c r="F126" s="14" t="s">
        <v>92</v>
      </c>
      <c r="G126" s="14" t="s">
        <v>92</v>
      </c>
    </row>
    <row r="127" spans="1:7" x14ac:dyDescent="0.25">
      <c r="A127" s="2">
        <v>45217</v>
      </c>
      <c r="B127" s="20">
        <v>2898</v>
      </c>
      <c r="C127" s="14" t="s">
        <v>92</v>
      </c>
      <c r="D127" s="14" t="s">
        <v>92</v>
      </c>
      <c r="E127" s="14" t="s">
        <v>92</v>
      </c>
      <c r="F127" s="14" t="s">
        <v>92</v>
      </c>
      <c r="G127" s="14" t="s">
        <v>92</v>
      </c>
    </row>
    <row r="128" spans="1:7" x14ac:dyDescent="0.25">
      <c r="A128" s="2">
        <v>45216</v>
      </c>
      <c r="B128" s="20">
        <v>2930</v>
      </c>
      <c r="C128" s="14" t="s">
        <v>92</v>
      </c>
      <c r="D128" s="14" t="s">
        <v>92</v>
      </c>
      <c r="E128" s="14" t="s">
        <v>92</v>
      </c>
      <c r="F128" s="14" t="s">
        <v>92</v>
      </c>
      <c r="G128" s="14" t="s">
        <v>92</v>
      </c>
    </row>
    <row r="129" spans="1:7" x14ac:dyDescent="0.25">
      <c r="A129" s="2">
        <v>45215</v>
      </c>
      <c r="B129" s="20">
        <v>2842</v>
      </c>
      <c r="C129" s="14" t="s">
        <v>92</v>
      </c>
      <c r="D129" s="14" t="s">
        <v>92</v>
      </c>
      <c r="E129" s="14" t="s">
        <v>92</v>
      </c>
      <c r="F129" s="14" t="s">
        <v>92</v>
      </c>
      <c r="G129" s="14" t="s">
        <v>92</v>
      </c>
    </row>
    <row r="130" spans="1:7" x14ac:dyDescent="0.25">
      <c r="A130" s="2">
        <v>45212</v>
      </c>
      <c r="B130" s="20">
        <v>2800</v>
      </c>
      <c r="C130" s="14" t="s">
        <v>92</v>
      </c>
      <c r="D130" s="14" t="s">
        <v>92</v>
      </c>
      <c r="E130" s="14" t="s">
        <v>92</v>
      </c>
      <c r="F130" s="14" t="s">
        <v>92</v>
      </c>
      <c r="G130" s="14" t="s">
        <v>92</v>
      </c>
    </row>
    <row r="131" spans="1:7" x14ac:dyDescent="0.25">
      <c r="A131" s="2">
        <v>45211</v>
      </c>
      <c r="B131" s="20">
        <v>2766</v>
      </c>
      <c r="C131" s="14" t="s">
        <v>92</v>
      </c>
      <c r="D131" s="14" t="s">
        <v>92</v>
      </c>
      <c r="E131" s="14" t="s">
        <v>92</v>
      </c>
      <c r="F131" s="14" t="s">
        <v>92</v>
      </c>
      <c r="G131" s="14" t="s">
        <v>92</v>
      </c>
    </row>
    <row r="132" spans="1:7" x14ac:dyDescent="0.25">
      <c r="A132" s="2">
        <v>45210</v>
      </c>
      <c r="B132" s="20">
        <v>2780</v>
      </c>
      <c r="C132" s="14" t="s">
        <v>92</v>
      </c>
      <c r="D132" s="14" t="s">
        <v>92</v>
      </c>
      <c r="E132" s="14" t="s">
        <v>92</v>
      </c>
      <c r="F132" s="14" t="s">
        <v>92</v>
      </c>
      <c r="G132" s="14" t="s">
        <v>92</v>
      </c>
    </row>
    <row r="133" spans="1:7" x14ac:dyDescent="0.25">
      <c r="A133" s="2">
        <v>45209</v>
      </c>
      <c r="B133" s="20">
        <v>2800</v>
      </c>
      <c r="C133" s="14" t="s">
        <v>92</v>
      </c>
      <c r="D133" s="14" t="s">
        <v>92</v>
      </c>
      <c r="E133" s="14" t="s">
        <v>92</v>
      </c>
      <c r="F133" s="14" t="s">
        <v>92</v>
      </c>
      <c r="G133" s="14" t="s">
        <v>92</v>
      </c>
    </row>
    <row r="134" spans="1:7" x14ac:dyDescent="0.25">
      <c r="A134" s="2">
        <v>45208</v>
      </c>
      <c r="B134" s="20">
        <v>2774</v>
      </c>
      <c r="C134" s="14" t="s">
        <v>92</v>
      </c>
      <c r="D134" s="14" t="s">
        <v>92</v>
      </c>
      <c r="E134" s="14" t="s">
        <v>92</v>
      </c>
      <c r="F134" s="14" t="s">
        <v>92</v>
      </c>
      <c r="G134" s="14" t="s">
        <v>92</v>
      </c>
    </row>
    <row r="135" spans="1:7" x14ac:dyDescent="0.25">
      <c r="A135" s="2">
        <v>45205</v>
      </c>
      <c r="B135" s="20">
        <v>2744</v>
      </c>
      <c r="C135" s="14" t="s">
        <v>92</v>
      </c>
      <c r="D135" s="14" t="s">
        <v>92</v>
      </c>
      <c r="E135" s="14" t="s">
        <v>92</v>
      </c>
      <c r="F135" s="14" t="s">
        <v>92</v>
      </c>
      <c r="G135" s="14" t="s">
        <v>92</v>
      </c>
    </row>
    <row r="136" spans="1:7" x14ac:dyDescent="0.25">
      <c r="A136" s="2">
        <v>45204</v>
      </c>
      <c r="B136" s="20">
        <v>2790</v>
      </c>
      <c r="C136" s="14" t="s">
        <v>92</v>
      </c>
      <c r="D136" s="14" t="s">
        <v>92</v>
      </c>
      <c r="E136" s="14" t="s">
        <v>92</v>
      </c>
      <c r="F136" s="14" t="s">
        <v>92</v>
      </c>
      <c r="G136" s="14" t="s">
        <v>92</v>
      </c>
    </row>
    <row r="137" spans="1:7" x14ac:dyDescent="0.25">
      <c r="A137" s="2">
        <v>45203</v>
      </c>
      <c r="B137" s="20">
        <v>2764</v>
      </c>
      <c r="C137" s="14" t="s">
        <v>92</v>
      </c>
      <c r="D137" s="14" t="s">
        <v>92</v>
      </c>
      <c r="E137" s="14" t="s">
        <v>92</v>
      </c>
      <c r="F137" s="14" t="s">
        <v>92</v>
      </c>
      <c r="G137" s="14" t="s">
        <v>92</v>
      </c>
    </row>
    <row r="138" spans="1:7" x14ac:dyDescent="0.25">
      <c r="A138" s="2">
        <v>45202</v>
      </c>
      <c r="B138" s="20">
        <v>2766</v>
      </c>
      <c r="C138" s="14" t="s">
        <v>92</v>
      </c>
      <c r="D138" s="14" t="s">
        <v>92</v>
      </c>
      <c r="E138" s="14" t="s">
        <v>92</v>
      </c>
      <c r="F138" s="14" t="s">
        <v>92</v>
      </c>
      <c r="G138" s="14" t="s">
        <v>92</v>
      </c>
    </row>
    <row r="139" spans="1:7" x14ac:dyDescent="0.25">
      <c r="A139" s="2">
        <v>45201</v>
      </c>
      <c r="B139" s="20">
        <v>2764</v>
      </c>
      <c r="C139" s="14" t="s">
        <v>92</v>
      </c>
      <c r="D139" s="14" t="s">
        <v>92</v>
      </c>
      <c r="E139" s="14" t="s">
        <v>92</v>
      </c>
      <c r="F139" s="14" t="s">
        <v>92</v>
      </c>
      <c r="G139" s="14" t="s">
        <v>92</v>
      </c>
    </row>
    <row r="140" spans="1:7" x14ac:dyDescent="0.25">
      <c r="A140" s="2">
        <v>45198</v>
      </c>
      <c r="B140" s="20">
        <v>2794</v>
      </c>
      <c r="C140" s="14" t="s">
        <v>92</v>
      </c>
      <c r="D140" s="14" t="s">
        <v>92</v>
      </c>
      <c r="E140" s="14" t="s">
        <v>92</v>
      </c>
      <c r="F140" s="14" t="s">
        <v>92</v>
      </c>
      <c r="G140" s="14" t="s">
        <v>92</v>
      </c>
    </row>
    <row r="141" spans="1:7" x14ac:dyDescent="0.25">
      <c r="A141" s="2">
        <v>45197</v>
      </c>
      <c r="B141" s="20">
        <v>2780</v>
      </c>
      <c r="C141" s="14" t="s">
        <v>92</v>
      </c>
      <c r="D141" s="14" t="s">
        <v>92</v>
      </c>
      <c r="E141" s="14" t="s">
        <v>92</v>
      </c>
      <c r="F141" s="14" t="s">
        <v>92</v>
      </c>
      <c r="G141" s="14" t="s">
        <v>92</v>
      </c>
    </row>
    <row r="142" spans="1:7" x14ac:dyDescent="0.25">
      <c r="A142" s="2">
        <v>45196</v>
      </c>
      <c r="B142" s="20">
        <v>2794</v>
      </c>
      <c r="C142" s="14" t="s">
        <v>92</v>
      </c>
      <c r="D142" s="14" t="s">
        <v>92</v>
      </c>
      <c r="E142" s="14" t="s">
        <v>92</v>
      </c>
      <c r="F142" s="14" t="s">
        <v>92</v>
      </c>
      <c r="G142" s="14" t="s">
        <v>92</v>
      </c>
    </row>
    <row r="143" spans="1:7" x14ac:dyDescent="0.25">
      <c r="A143" s="2">
        <v>45195</v>
      </c>
      <c r="B143" s="20">
        <v>2760</v>
      </c>
      <c r="C143" s="14" t="s">
        <v>92</v>
      </c>
      <c r="D143" s="14" t="s">
        <v>92</v>
      </c>
      <c r="E143" s="14" t="s">
        <v>92</v>
      </c>
      <c r="F143" s="14" t="s">
        <v>92</v>
      </c>
      <c r="G143" s="14" t="s">
        <v>92</v>
      </c>
    </row>
    <row r="144" spans="1:7" x14ac:dyDescent="0.25">
      <c r="A144" s="2">
        <v>45194</v>
      </c>
      <c r="B144" s="20">
        <v>2774</v>
      </c>
      <c r="C144" s="14" t="s">
        <v>92</v>
      </c>
      <c r="D144" s="14" t="s">
        <v>92</v>
      </c>
      <c r="E144" s="14" t="s">
        <v>92</v>
      </c>
      <c r="F144" s="14" t="s">
        <v>92</v>
      </c>
      <c r="G144" s="14" t="s">
        <v>92</v>
      </c>
    </row>
    <row r="145" spans="1:7" x14ac:dyDescent="0.25">
      <c r="A145" s="2">
        <v>45191</v>
      </c>
      <c r="B145" s="20">
        <v>2786</v>
      </c>
      <c r="C145" s="14" t="s">
        <v>92</v>
      </c>
      <c r="D145" s="14" t="s">
        <v>92</v>
      </c>
      <c r="E145" s="14" t="s">
        <v>92</v>
      </c>
      <c r="F145" s="14" t="s">
        <v>92</v>
      </c>
      <c r="G145" s="14" t="s">
        <v>92</v>
      </c>
    </row>
    <row r="146" spans="1:7" x14ac:dyDescent="0.25">
      <c r="A146" s="2">
        <v>45190</v>
      </c>
      <c r="B146" s="20">
        <v>2790</v>
      </c>
      <c r="C146" s="14" t="s">
        <v>92</v>
      </c>
      <c r="D146" s="14" t="s">
        <v>92</v>
      </c>
      <c r="E146" s="14" t="s">
        <v>92</v>
      </c>
      <c r="F146" s="14" t="s">
        <v>92</v>
      </c>
      <c r="G146" s="14" t="s">
        <v>92</v>
      </c>
    </row>
    <row r="147" spans="1:7" x14ac:dyDescent="0.25">
      <c r="A147" s="2">
        <v>45189</v>
      </c>
      <c r="B147" s="20">
        <v>2814</v>
      </c>
      <c r="C147" s="14" t="s">
        <v>92</v>
      </c>
      <c r="D147" s="14" t="s">
        <v>92</v>
      </c>
      <c r="E147" s="14" t="s">
        <v>92</v>
      </c>
      <c r="F147" s="14" t="s">
        <v>92</v>
      </c>
      <c r="G147" s="14" t="s">
        <v>92</v>
      </c>
    </row>
    <row r="148" spans="1:7" x14ac:dyDescent="0.25">
      <c r="A148" s="2">
        <v>45188</v>
      </c>
      <c r="B148" s="20">
        <v>2760</v>
      </c>
      <c r="C148" s="14" t="s">
        <v>92</v>
      </c>
      <c r="D148" s="14" t="s">
        <v>92</v>
      </c>
      <c r="E148" s="14" t="s">
        <v>92</v>
      </c>
      <c r="F148" s="14" t="s">
        <v>92</v>
      </c>
      <c r="G148" s="14" t="s">
        <v>92</v>
      </c>
    </row>
    <row r="149" spans="1:7" x14ac:dyDescent="0.25">
      <c r="A149" s="2">
        <v>45187</v>
      </c>
      <c r="B149" s="20">
        <v>2746</v>
      </c>
      <c r="C149" s="14" t="s">
        <v>92</v>
      </c>
      <c r="D149" s="14" t="s">
        <v>92</v>
      </c>
      <c r="E149" s="14" t="s">
        <v>92</v>
      </c>
      <c r="F149" s="14" t="s">
        <v>92</v>
      </c>
      <c r="G149" s="14" t="s">
        <v>92</v>
      </c>
    </row>
    <row r="150" spans="1:7" x14ac:dyDescent="0.25">
      <c r="A150" s="2">
        <v>45184</v>
      </c>
      <c r="B150" s="20">
        <v>2762</v>
      </c>
      <c r="C150" s="14" t="s">
        <v>92</v>
      </c>
      <c r="D150" s="14" t="s">
        <v>92</v>
      </c>
      <c r="E150" s="14" t="s">
        <v>92</v>
      </c>
      <c r="F150" s="14" t="s">
        <v>92</v>
      </c>
      <c r="G150" s="14" t="s">
        <v>92</v>
      </c>
    </row>
    <row r="151" spans="1:7" x14ac:dyDescent="0.25">
      <c r="A151" s="2">
        <v>45183</v>
      </c>
      <c r="B151" s="20">
        <v>2728</v>
      </c>
      <c r="C151" s="14" t="s">
        <v>92</v>
      </c>
      <c r="D151" s="14" t="s">
        <v>92</v>
      </c>
      <c r="E151" s="14" t="s">
        <v>92</v>
      </c>
      <c r="F151" s="14" t="s">
        <v>92</v>
      </c>
      <c r="G151" s="14" t="s">
        <v>92</v>
      </c>
    </row>
    <row r="152" spans="1:7" x14ac:dyDescent="0.25">
      <c r="A152" s="2">
        <v>45182</v>
      </c>
      <c r="B152" s="20">
        <v>2708</v>
      </c>
      <c r="C152" s="14" t="s">
        <v>92</v>
      </c>
      <c r="D152" s="14" t="s">
        <v>92</v>
      </c>
      <c r="E152" s="14" t="s">
        <v>92</v>
      </c>
      <c r="F152" s="14" t="s">
        <v>92</v>
      </c>
      <c r="G152" s="14" t="s">
        <v>92</v>
      </c>
    </row>
    <row r="153" spans="1:7" x14ac:dyDescent="0.25">
      <c r="A153" s="2">
        <v>45181</v>
      </c>
      <c r="B153" s="20">
        <v>2704</v>
      </c>
      <c r="C153" s="14" t="s">
        <v>92</v>
      </c>
      <c r="D153" s="14" t="s">
        <v>92</v>
      </c>
      <c r="E153" s="14" t="s">
        <v>92</v>
      </c>
      <c r="F153" s="14" t="s">
        <v>92</v>
      </c>
      <c r="G153" s="14" t="s">
        <v>92</v>
      </c>
    </row>
    <row r="154" spans="1:7" x14ac:dyDescent="0.25">
      <c r="A154" s="2">
        <v>45180</v>
      </c>
      <c r="B154" s="20">
        <v>2678</v>
      </c>
      <c r="C154" s="14" t="s">
        <v>92</v>
      </c>
      <c r="D154" s="14" t="s">
        <v>92</v>
      </c>
      <c r="E154" s="14" t="s">
        <v>92</v>
      </c>
      <c r="F154" s="14" t="s">
        <v>92</v>
      </c>
      <c r="G154" s="14" t="s">
        <v>92</v>
      </c>
    </row>
    <row r="155" spans="1:7" x14ac:dyDescent="0.25">
      <c r="A155" s="2">
        <v>45177</v>
      </c>
      <c r="B155" s="20">
        <v>2668</v>
      </c>
      <c r="C155" s="14" t="s">
        <v>92</v>
      </c>
      <c r="D155" s="14" t="s">
        <v>92</v>
      </c>
      <c r="E155" s="14" t="s">
        <v>92</v>
      </c>
      <c r="F155" s="14" t="s">
        <v>92</v>
      </c>
      <c r="G155" s="14" t="s">
        <v>92</v>
      </c>
    </row>
    <row r="156" spans="1:7" x14ac:dyDescent="0.25">
      <c r="A156" s="2">
        <v>45176</v>
      </c>
      <c r="B156" s="20">
        <v>2680</v>
      </c>
      <c r="C156" s="14" t="s">
        <v>92</v>
      </c>
      <c r="D156" s="14" t="s">
        <v>92</v>
      </c>
      <c r="E156" s="14" t="s">
        <v>92</v>
      </c>
      <c r="F156" s="14" t="s">
        <v>92</v>
      </c>
      <c r="G156" s="14" t="s">
        <v>92</v>
      </c>
    </row>
    <row r="157" spans="1:7" x14ac:dyDescent="0.25">
      <c r="A157" s="2">
        <v>45175</v>
      </c>
      <c r="B157" s="20">
        <v>2660</v>
      </c>
      <c r="C157" s="14" t="s">
        <v>92</v>
      </c>
      <c r="D157" s="14" t="s">
        <v>92</v>
      </c>
      <c r="E157" s="14" t="s">
        <v>92</v>
      </c>
      <c r="F157" s="14" t="s">
        <v>92</v>
      </c>
      <c r="G157" s="14" t="s">
        <v>92</v>
      </c>
    </row>
    <row r="158" spans="1:7" x14ac:dyDescent="0.25">
      <c r="A158" s="2">
        <v>45174</v>
      </c>
      <c r="B158" s="20">
        <v>2702</v>
      </c>
      <c r="C158" s="14" t="s">
        <v>92</v>
      </c>
      <c r="D158" s="14" t="s">
        <v>92</v>
      </c>
      <c r="E158" s="14" t="s">
        <v>92</v>
      </c>
      <c r="F158" s="14" t="s">
        <v>92</v>
      </c>
      <c r="G158" s="14" t="s">
        <v>92</v>
      </c>
    </row>
    <row r="159" spans="1:7" x14ac:dyDescent="0.25">
      <c r="A159" s="2">
        <v>45173</v>
      </c>
      <c r="B159" s="20">
        <v>2668</v>
      </c>
      <c r="C159" s="14" t="s">
        <v>92</v>
      </c>
      <c r="D159" s="14" t="s">
        <v>92</v>
      </c>
      <c r="E159" s="14" t="s">
        <v>92</v>
      </c>
      <c r="F159" s="14" t="s">
        <v>92</v>
      </c>
      <c r="G159" s="14" t="s">
        <v>92</v>
      </c>
    </row>
    <row r="160" spans="1:7" x14ac:dyDescent="0.25">
      <c r="A160" s="2">
        <v>45170</v>
      </c>
      <c r="B160" s="20">
        <v>2662</v>
      </c>
      <c r="C160" s="14" t="s">
        <v>92</v>
      </c>
      <c r="D160" s="14" t="s">
        <v>92</v>
      </c>
      <c r="E160" s="14" t="s">
        <v>92</v>
      </c>
      <c r="F160" s="14" t="s">
        <v>92</v>
      </c>
      <c r="G160" s="14" t="s">
        <v>92</v>
      </c>
    </row>
    <row r="161" spans="1:7" x14ac:dyDescent="0.25">
      <c r="A161" s="2">
        <v>45169</v>
      </c>
      <c r="B161" s="20">
        <v>2662</v>
      </c>
      <c r="C161" s="14" t="s">
        <v>92</v>
      </c>
      <c r="D161" s="14" t="s">
        <v>92</v>
      </c>
      <c r="E161" s="14" t="s">
        <v>92</v>
      </c>
      <c r="F161" s="14" t="s">
        <v>92</v>
      </c>
      <c r="G161" s="14" t="s">
        <v>92</v>
      </c>
    </row>
    <row r="162" spans="1:7" x14ac:dyDescent="0.25">
      <c r="A162" s="2">
        <v>45168</v>
      </c>
      <c r="B162" s="20">
        <v>2682</v>
      </c>
      <c r="C162" s="14" t="s">
        <v>92</v>
      </c>
      <c r="D162" s="14" t="s">
        <v>92</v>
      </c>
      <c r="E162" s="14" t="s">
        <v>92</v>
      </c>
      <c r="F162" s="14" t="s">
        <v>92</v>
      </c>
      <c r="G162" s="14" t="s">
        <v>92</v>
      </c>
    </row>
    <row r="163" spans="1:7" x14ac:dyDescent="0.25">
      <c r="A163" s="2">
        <v>45167</v>
      </c>
      <c r="B163" s="20">
        <v>2730</v>
      </c>
      <c r="C163" s="14" t="s">
        <v>92</v>
      </c>
      <c r="D163" s="14" t="s">
        <v>92</v>
      </c>
      <c r="E163" s="14" t="s">
        <v>92</v>
      </c>
      <c r="F163" s="14" t="s">
        <v>92</v>
      </c>
      <c r="G163" s="14" t="s">
        <v>92</v>
      </c>
    </row>
    <row r="164" spans="1:7" x14ac:dyDescent="0.25">
      <c r="A164" s="2">
        <v>45166</v>
      </c>
      <c r="B164" s="20">
        <v>2722</v>
      </c>
      <c r="C164" s="14" t="s">
        <v>92</v>
      </c>
      <c r="D164" s="14" t="s">
        <v>92</v>
      </c>
      <c r="E164" s="14" t="s">
        <v>92</v>
      </c>
      <c r="F164" s="14" t="s">
        <v>92</v>
      </c>
      <c r="G164" s="14" t="s">
        <v>92</v>
      </c>
    </row>
    <row r="165" spans="1:7" x14ac:dyDescent="0.25">
      <c r="A165" s="2">
        <v>45163</v>
      </c>
      <c r="B165" s="20">
        <v>2746</v>
      </c>
      <c r="C165" s="14" t="s">
        <v>92</v>
      </c>
      <c r="D165" s="14" t="s">
        <v>92</v>
      </c>
      <c r="E165" s="14" t="s">
        <v>92</v>
      </c>
      <c r="F165" s="14" t="s">
        <v>92</v>
      </c>
      <c r="G165" s="14" t="s">
        <v>92</v>
      </c>
    </row>
    <row r="166" spans="1:7" x14ac:dyDescent="0.25">
      <c r="A166" s="2">
        <v>45162</v>
      </c>
      <c r="B166" s="20">
        <v>2744</v>
      </c>
      <c r="C166" s="14" t="s">
        <v>92</v>
      </c>
      <c r="D166" s="14" t="s">
        <v>92</v>
      </c>
      <c r="E166" s="14" t="s">
        <v>92</v>
      </c>
      <c r="F166" s="14" t="s">
        <v>92</v>
      </c>
      <c r="G166" s="14" t="s">
        <v>92</v>
      </c>
    </row>
    <row r="167" spans="1:7" x14ac:dyDescent="0.25">
      <c r="A167" s="2">
        <v>45161</v>
      </c>
      <c r="B167" s="20">
        <v>2734</v>
      </c>
      <c r="C167" s="14" t="s">
        <v>92</v>
      </c>
      <c r="D167" s="14" t="s">
        <v>92</v>
      </c>
      <c r="E167" s="14" t="s">
        <v>92</v>
      </c>
      <c r="F167" s="14" t="s">
        <v>92</v>
      </c>
      <c r="G167" s="14" t="s">
        <v>92</v>
      </c>
    </row>
    <row r="168" spans="1:7" x14ac:dyDescent="0.25">
      <c r="A168" s="2">
        <v>45160</v>
      </c>
      <c r="B168" s="20">
        <v>2698</v>
      </c>
      <c r="C168" s="14" t="s">
        <v>92</v>
      </c>
      <c r="D168" s="14" t="s">
        <v>92</v>
      </c>
      <c r="E168" s="14" t="s">
        <v>92</v>
      </c>
      <c r="F168" s="14" t="s">
        <v>92</v>
      </c>
      <c r="G168" s="14" t="s">
        <v>92</v>
      </c>
    </row>
    <row r="169" spans="1:7" x14ac:dyDescent="0.25">
      <c r="A169" s="2">
        <v>45159</v>
      </c>
      <c r="B169" s="20">
        <v>2708</v>
      </c>
      <c r="C169" s="14" t="s">
        <v>92</v>
      </c>
      <c r="D169" s="14" t="s">
        <v>92</v>
      </c>
      <c r="E169" s="14" t="s">
        <v>92</v>
      </c>
      <c r="F169" s="14" t="s">
        <v>92</v>
      </c>
      <c r="G169" s="14" t="s">
        <v>92</v>
      </c>
    </row>
    <row r="170" spans="1:7" x14ac:dyDescent="0.25">
      <c r="A170" s="2">
        <v>45156</v>
      </c>
      <c r="B170" s="20">
        <v>2652</v>
      </c>
      <c r="C170" s="14" t="s">
        <v>92</v>
      </c>
      <c r="D170" s="14" t="s">
        <v>92</v>
      </c>
      <c r="E170" s="14" t="s">
        <v>92</v>
      </c>
      <c r="F170" s="14" t="s">
        <v>92</v>
      </c>
      <c r="G170" s="14" t="s">
        <v>92</v>
      </c>
    </row>
    <row r="171" spans="1:7" x14ac:dyDescent="0.25">
      <c r="A171" s="2">
        <v>45155</v>
      </c>
      <c r="B171" s="20">
        <v>2696</v>
      </c>
      <c r="C171" s="14" t="s">
        <v>92</v>
      </c>
      <c r="D171" s="14" t="s">
        <v>92</v>
      </c>
      <c r="E171" s="14" t="s">
        <v>92</v>
      </c>
      <c r="F171" s="14" t="s">
        <v>92</v>
      </c>
      <c r="G171" s="14" t="s">
        <v>92</v>
      </c>
    </row>
    <row r="172" spans="1:7" x14ac:dyDescent="0.25">
      <c r="A172" s="2">
        <v>45154</v>
      </c>
      <c r="B172" s="20">
        <v>2662</v>
      </c>
      <c r="C172" s="14" t="s">
        <v>92</v>
      </c>
      <c r="D172" s="14" t="s">
        <v>92</v>
      </c>
      <c r="E172" s="14" t="s">
        <v>92</v>
      </c>
      <c r="F172" s="14" t="s">
        <v>92</v>
      </c>
      <c r="G172" s="14" t="s">
        <v>92</v>
      </c>
    </row>
    <row r="173" spans="1:7" x14ac:dyDescent="0.25">
      <c r="A173" s="2">
        <v>45153</v>
      </c>
      <c r="B173" s="20">
        <v>2668</v>
      </c>
      <c r="C173" s="14" t="s">
        <v>92</v>
      </c>
      <c r="D173" s="14" t="s">
        <v>92</v>
      </c>
      <c r="E173" s="14" t="s">
        <v>92</v>
      </c>
      <c r="F173" s="14" t="s">
        <v>92</v>
      </c>
      <c r="G173" s="14" t="s">
        <v>92</v>
      </c>
    </row>
    <row r="174" spans="1:7" x14ac:dyDescent="0.25">
      <c r="A174" s="2">
        <v>45152</v>
      </c>
      <c r="B174" s="20">
        <v>2692</v>
      </c>
      <c r="C174" s="14" t="s">
        <v>92</v>
      </c>
      <c r="D174" s="14" t="s">
        <v>92</v>
      </c>
      <c r="E174" s="14" t="s">
        <v>92</v>
      </c>
      <c r="F174" s="14" t="s">
        <v>92</v>
      </c>
      <c r="G174" s="14" t="s">
        <v>92</v>
      </c>
    </row>
    <row r="175" spans="1:7" x14ac:dyDescent="0.25">
      <c r="A175" s="2">
        <v>45149</v>
      </c>
      <c r="B175" s="20">
        <v>2670</v>
      </c>
      <c r="C175" s="14" t="s">
        <v>92</v>
      </c>
      <c r="D175" s="14" t="s">
        <v>92</v>
      </c>
      <c r="E175" s="14" t="s">
        <v>92</v>
      </c>
      <c r="F175" s="14" t="s">
        <v>92</v>
      </c>
      <c r="G175" s="14" t="s">
        <v>92</v>
      </c>
    </row>
    <row r="176" spans="1:7" x14ac:dyDescent="0.25">
      <c r="A176" s="2">
        <v>45148</v>
      </c>
      <c r="B176" s="20">
        <v>2680</v>
      </c>
      <c r="C176" s="14" t="s">
        <v>92</v>
      </c>
      <c r="D176" s="14" t="s">
        <v>92</v>
      </c>
      <c r="E176" s="14" t="s">
        <v>92</v>
      </c>
      <c r="F176" s="14" t="s">
        <v>92</v>
      </c>
      <c r="G176" s="14" t="s">
        <v>92</v>
      </c>
    </row>
    <row r="177" spans="1:7" x14ac:dyDescent="0.25">
      <c r="A177" s="2">
        <v>45147</v>
      </c>
      <c r="B177" s="20">
        <v>2698</v>
      </c>
      <c r="C177" s="14" t="s">
        <v>92</v>
      </c>
      <c r="D177" s="14" t="s">
        <v>92</v>
      </c>
      <c r="E177" s="14" t="s">
        <v>92</v>
      </c>
      <c r="F177" s="14" t="s">
        <v>92</v>
      </c>
      <c r="G177" s="14" t="s">
        <v>92</v>
      </c>
    </row>
    <row r="178" spans="1:7" x14ac:dyDescent="0.25">
      <c r="A178" s="2">
        <v>45146</v>
      </c>
      <c r="B178" s="20">
        <v>2656</v>
      </c>
      <c r="C178" s="14" t="s">
        <v>92</v>
      </c>
      <c r="D178" s="14" t="s">
        <v>92</v>
      </c>
      <c r="E178" s="14" t="s">
        <v>92</v>
      </c>
      <c r="F178" s="14" t="s">
        <v>92</v>
      </c>
      <c r="G178" s="14" t="s">
        <v>92</v>
      </c>
    </row>
    <row r="179" spans="1:7" x14ac:dyDescent="0.25">
      <c r="A179" s="2">
        <v>45145</v>
      </c>
      <c r="B179" s="20">
        <v>2710</v>
      </c>
      <c r="C179" s="14" t="s">
        <v>92</v>
      </c>
      <c r="D179" s="14" t="s">
        <v>92</v>
      </c>
      <c r="E179" s="14" t="s">
        <v>92</v>
      </c>
      <c r="F179" s="14" t="s">
        <v>92</v>
      </c>
      <c r="G179" s="14" t="s">
        <v>92</v>
      </c>
    </row>
    <row r="180" spans="1:7" x14ac:dyDescent="0.25">
      <c r="A180" s="2">
        <v>45142</v>
      </c>
      <c r="B180" s="20">
        <v>2738</v>
      </c>
      <c r="C180" s="14" t="s">
        <v>92</v>
      </c>
      <c r="D180" s="14" t="s">
        <v>92</v>
      </c>
      <c r="E180" s="14" t="s">
        <v>92</v>
      </c>
      <c r="F180" s="14" t="s">
        <v>92</v>
      </c>
      <c r="G180" s="14" t="s">
        <v>92</v>
      </c>
    </row>
    <row r="181" spans="1:7" x14ac:dyDescent="0.25">
      <c r="A181" s="2">
        <v>45141</v>
      </c>
      <c r="B181" s="20">
        <v>2780</v>
      </c>
      <c r="C181" s="14" t="s">
        <v>92</v>
      </c>
      <c r="D181" s="14" t="s">
        <v>92</v>
      </c>
      <c r="E181" s="14" t="s">
        <v>92</v>
      </c>
      <c r="F181" s="14" t="s">
        <v>92</v>
      </c>
      <c r="G181" s="14" t="s">
        <v>92</v>
      </c>
    </row>
    <row r="182" spans="1:7" x14ac:dyDescent="0.25">
      <c r="A182" s="2">
        <v>45140</v>
      </c>
      <c r="B182" s="20">
        <v>2804</v>
      </c>
      <c r="C182" s="14" t="s">
        <v>92</v>
      </c>
      <c r="D182" s="14" t="s">
        <v>92</v>
      </c>
      <c r="E182" s="14" t="s">
        <v>92</v>
      </c>
      <c r="F182" s="14" t="s">
        <v>92</v>
      </c>
      <c r="G182" s="14" t="s">
        <v>92</v>
      </c>
    </row>
    <row r="183" spans="1:7" x14ac:dyDescent="0.25">
      <c r="A183" s="2">
        <v>45139</v>
      </c>
      <c r="B183" s="20">
        <v>2792</v>
      </c>
      <c r="C183" s="14" t="s">
        <v>92</v>
      </c>
      <c r="D183" s="14" t="s">
        <v>92</v>
      </c>
      <c r="E183" s="14" t="s">
        <v>92</v>
      </c>
      <c r="F183" s="14" t="s">
        <v>92</v>
      </c>
      <c r="G183" s="14" t="s">
        <v>92</v>
      </c>
    </row>
    <row r="184" spans="1:7" x14ac:dyDescent="0.25">
      <c r="A184" s="2">
        <v>45138</v>
      </c>
      <c r="B184" s="20">
        <v>2780</v>
      </c>
      <c r="C184" s="14" t="s">
        <v>92</v>
      </c>
      <c r="D184" s="14" t="s">
        <v>92</v>
      </c>
      <c r="E184" s="14" t="s">
        <v>92</v>
      </c>
      <c r="F184" s="14" t="s">
        <v>92</v>
      </c>
      <c r="G184" s="14" t="s">
        <v>92</v>
      </c>
    </row>
    <row r="185" spans="1:7" x14ac:dyDescent="0.25">
      <c r="A185" s="2">
        <v>45135</v>
      </c>
      <c r="B185" s="20">
        <v>2778</v>
      </c>
      <c r="C185" s="14" t="s">
        <v>92</v>
      </c>
      <c r="D185" s="14" t="s">
        <v>92</v>
      </c>
      <c r="E185" s="14" t="s">
        <v>92</v>
      </c>
      <c r="F185" s="14" t="s">
        <v>92</v>
      </c>
      <c r="G185" s="14" t="s">
        <v>92</v>
      </c>
    </row>
    <row r="186" spans="1:7" x14ac:dyDescent="0.25">
      <c r="A186" s="2">
        <v>45134</v>
      </c>
      <c r="B186" s="20">
        <v>2766</v>
      </c>
      <c r="C186" s="14" t="s">
        <v>92</v>
      </c>
      <c r="D186" s="14" t="s">
        <v>92</v>
      </c>
      <c r="E186" s="14" t="s">
        <v>92</v>
      </c>
      <c r="F186" s="14" t="s">
        <v>92</v>
      </c>
      <c r="G186" s="14" t="s">
        <v>92</v>
      </c>
    </row>
    <row r="187" spans="1:7" x14ac:dyDescent="0.25">
      <c r="A187" s="2">
        <v>45133</v>
      </c>
      <c r="B187" s="20">
        <v>2806</v>
      </c>
      <c r="C187" s="14" t="s">
        <v>92</v>
      </c>
      <c r="D187" s="14" t="s">
        <v>92</v>
      </c>
      <c r="E187" s="14" t="s">
        <v>92</v>
      </c>
      <c r="F187" s="14" t="s">
        <v>92</v>
      </c>
      <c r="G187" s="14" t="s">
        <v>92</v>
      </c>
    </row>
    <row r="188" spans="1:7" x14ac:dyDescent="0.25">
      <c r="A188" s="2">
        <v>45132</v>
      </c>
      <c r="B188" s="20">
        <v>2834</v>
      </c>
      <c r="C188" s="14" t="s">
        <v>92</v>
      </c>
      <c r="D188" s="14" t="s">
        <v>92</v>
      </c>
      <c r="E188" s="14" t="s">
        <v>92</v>
      </c>
      <c r="F188" s="14" t="s">
        <v>92</v>
      </c>
      <c r="G188" s="14" t="s">
        <v>92</v>
      </c>
    </row>
    <row r="189" spans="1:7" x14ac:dyDescent="0.25">
      <c r="A189" s="2">
        <v>45131</v>
      </c>
      <c r="B189" s="20">
        <v>2816</v>
      </c>
      <c r="C189" s="14" t="s">
        <v>92</v>
      </c>
      <c r="D189" s="14" t="s">
        <v>92</v>
      </c>
      <c r="E189" s="14" t="s">
        <v>92</v>
      </c>
      <c r="F189" s="14" t="s">
        <v>92</v>
      </c>
      <c r="G189" s="14" t="s">
        <v>92</v>
      </c>
    </row>
    <row r="190" spans="1:7" x14ac:dyDescent="0.25">
      <c r="A190" s="2">
        <v>45128</v>
      </c>
      <c r="B190" s="20">
        <v>2880</v>
      </c>
      <c r="C190" s="14" t="s">
        <v>92</v>
      </c>
      <c r="D190" s="14" t="s">
        <v>92</v>
      </c>
      <c r="E190" s="14" t="s">
        <v>92</v>
      </c>
      <c r="F190" s="14" t="s">
        <v>92</v>
      </c>
      <c r="G190" s="14" t="s">
        <v>92</v>
      </c>
    </row>
    <row r="191" spans="1:7" x14ac:dyDescent="0.25">
      <c r="A191" s="2">
        <v>45127</v>
      </c>
      <c r="B191" s="20">
        <v>2870</v>
      </c>
      <c r="C191" s="14" t="s">
        <v>92</v>
      </c>
      <c r="D191" s="14" t="s">
        <v>92</v>
      </c>
      <c r="E191" s="14" t="s">
        <v>92</v>
      </c>
      <c r="F191" s="14" t="s">
        <v>92</v>
      </c>
      <c r="G191" s="14" t="s">
        <v>92</v>
      </c>
    </row>
    <row r="192" spans="1:7" x14ac:dyDescent="0.25">
      <c r="A192" s="2">
        <v>45126</v>
      </c>
      <c r="B192" s="20">
        <v>3190</v>
      </c>
      <c r="C192" s="14" t="s">
        <v>92</v>
      </c>
      <c r="D192" s="14" t="s">
        <v>92</v>
      </c>
      <c r="E192" s="14" t="s">
        <v>92</v>
      </c>
      <c r="F192" s="14" t="s">
        <v>92</v>
      </c>
      <c r="G192" s="14" t="s">
        <v>92</v>
      </c>
    </row>
    <row r="193" spans="1:7" x14ac:dyDescent="0.25">
      <c r="A193" s="2">
        <v>45125</v>
      </c>
      <c r="B193" s="20">
        <v>3140</v>
      </c>
      <c r="C193" s="14" t="s">
        <v>92</v>
      </c>
      <c r="D193" s="14" t="s">
        <v>92</v>
      </c>
      <c r="E193" s="14" t="s">
        <v>92</v>
      </c>
      <c r="F193" s="14" t="s">
        <v>92</v>
      </c>
      <c r="G193" s="14" t="s">
        <v>92</v>
      </c>
    </row>
    <row r="194" spans="1:7" x14ac:dyDescent="0.25">
      <c r="A194" s="2">
        <v>45124</v>
      </c>
      <c r="B194" s="20">
        <v>3120</v>
      </c>
      <c r="C194" s="14" t="s">
        <v>92</v>
      </c>
      <c r="D194" s="14" t="s">
        <v>92</v>
      </c>
      <c r="E194" s="14" t="s">
        <v>92</v>
      </c>
      <c r="F194" s="14" t="s">
        <v>92</v>
      </c>
      <c r="G194" s="14" t="s">
        <v>92</v>
      </c>
    </row>
    <row r="195" spans="1:7" x14ac:dyDescent="0.25">
      <c r="A195" s="2">
        <v>45121</v>
      </c>
      <c r="B195" s="20">
        <v>3096</v>
      </c>
      <c r="C195" s="14" t="s">
        <v>92</v>
      </c>
      <c r="D195" s="14" t="s">
        <v>92</v>
      </c>
      <c r="E195" s="14" t="s">
        <v>92</v>
      </c>
      <c r="F195" s="14" t="s">
        <v>92</v>
      </c>
      <c r="G195" s="14" t="s">
        <v>92</v>
      </c>
    </row>
    <row r="196" spans="1:7" x14ac:dyDescent="0.25">
      <c r="A196" s="2">
        <v>45120</v>
      </c>
      <c r="B196" s="20">
        <v>3080</v>
      </c>
      <c r="C196" s="14" t="s">
        <v>92</v>
      </c>
      <c r="D196" s="14" t="s">
        <v>92</v>
      </c>
      <c r="E196" s="14" t="s">
        <v>92</v>
      </c>
      <c r="F196" s="14" t="s">
        <v>92</v>
      </c>
      <c r="G196" s="14" t="s">
        <v>92</v>
      </c>
    </row>
    <row r="197" spans="1:7" x14ac:dyDescent="0.25">
      <c r="A197" s="2">
        <v>45119</v>
      </c>
      <c r="B197" s="20">
        <v>3072</v>
      </c>
      <c r="C197" s="14" t="s">
        <v>92</v>
      </c>
      <c r="D197" s="14" t="s">
        <v>92</v>
      </c>
      <c r="E197" s="14" t="s">
        <v>92</v>
      </c>
      <c r="F197" s="14" t="s">
        <v>92</v>
      </c>
      <c r="G197" s="14" t="s">
        <v>92</v>
      </c>
    </row>
    <row r="198" spans="1:7" x14ac:dyDescent="0.25">
      <c r="A198" s="2">
        <v>45118</v>
      </c>
      <c r="B198" s="20">
        <v>3026</v>
      </c>
      <c r="C198" s="14" t="s">
        <v>92</v>
      </c>
      <c r="D198" s="14" t="s">
        <v>92</v>
      </c>
      <c r="E198" s="14" t="s">
        <v>92</v>
      </c>
      <c r="F198" s="14" t="s">
        <v>92</v>
      </c>
      <c r="G198" s="14" t="s">
        <v>92</v>
      </c>
    </row>
    <row r="199" spans="1:7" x14ac:dyDescent="0.25">
      <c r="A199" s="2">
        <v>45117</v>
      </c>
      <c r="B199" s="20">
        <v>3004</v>
      </c>
      <c r="C199" s="14" t="s">
        <v>92</v>
      </c>
      <c r="D199" s="14" t="s">
        <v>92</v>
      </c>
      <c r="E199" s="14" t="s">
        <v>92</v>
      </c>
      <c r="F199" s="14" t="s">
        <v>92</v>
      </c>
      <c r="G199" s="14" t="s">
        <v>92</v>
      </c>
    </row>
    <row r="200" spans="1:7" x14ac:dyDescent="0.25">
      <c r="A200" s="2">
        <v>45114</v>
      </c>
      <c r="B200" s="20">
        <v>3004</v>
      </c>
      <c r="C200" s="14" t="s">
        <v>92</v>
      </c>
      <c r="D200" s="14" t="s">
        <v>92</v>
      </c>
      <c r="E200" s="14" t="s">
        <v>92</v>
      </c>
      <c r="F200" s="14" t="s">
        <v>92</v>
      </c>
      <c r="G200" s="14" t="s">
        <v>92</v>
      </c>
    </row>
    <row r="201" spans="1:7" x14ac:dyDescent="0.25">
      <c r="A201" s="2">
        <v>45113</v>
      </c>
      <c r="B201" s="20">
        <v>3006</v>
      </c>
      <c r="C201" s="14" t="s">
        <v>92</v>
      </c>
      <c r="D201" s="14" t="s">
        <v>92</v>
      </c>
      <c r="E201" s="14" t="s">
        <v>92</v>
      </c>
      <c r="F201" s="14" t="s">
        <v>92</v>
      </c>
      <c r="G201" s="14" t="s">
        <v>92</v>
      </c>
    </row>
    <row r="202" spans="1:7" x14ac:dyDescent="0.25">
      <c r="A202" s="2">
        <v>45112</v>
      </c>
      <c r="B202" s="20">
        <v>3040</v>
      </c>
      <c r="C202" s="14" t="s">
        <v>92</v>
      </c>
      <c r="D202" s="14" t="s">
        <v>92</v>
      </c>
      <c r="E202" s="14" t="s">
        <v>92</v>
      </c>
      <c r="F202" s="14" t="s">
        <v>92</v>
      </c>
      <c r="G202" s="14" t="s">
        <v>92</v>
      </c>
    </row>
    <row r="203" spans="1:7" x14ac:dyDescent="0.25">
      <c r="A203" s="2">
        <v>45111</v>
      </c>
      <c r="B203" s="20">
        <v>3004</v>
      </c>
      <c r="C203" s="14" t="s">
        <v>92</v>
      </c>
      <c r="D203" s="14" t="s">
        <v>92</v>
      </c>
      <c r="E203" s="14" t="s">
        <v>92</v>
      </c>
      <c r="F203" s="14" t="s">
        <v>92</v>
      </c>
      <c r="G203" s="14" t="s">
        <v>92</v>
      </c>
    </row>
    <row r="204" spans="1:7" x14ac:dyDescent="0.25">
      <c r="A204" s="2">
        <v>45110</v>
      </c>
      <c r="B204" s="20">
        <v>2998</v>
      </c>
      <c r="C204" s="14" t="s">
        <v>92</v>
      </c>
      <c r="D204" s="14" t="s">
        <v>92</v>
      </c>
      <c r="E204" s="14" t="s">
        <v>92</v>
      </c>
      <c r="F204" s="14" t="s">
        <v>92</v>
      </c>
      <c r="G204" s="14" t="s">
        <v>92</v>
      </c>
    </row>
    <row r="205" spans="1:7" x14ac:dyDescent="0.25">
      <c r="A205" s="2">
        <v>45107</v>
      </c>
      <c r="B205" s="20">
        <v>2988</v>
      </c>
      <c r="C205" s="14" t="s">
        <v>92</v>
      </c>
      <c r="D205" s="14" t="s">
        <v>92</v>
      </c>
      <c r="E205" s="14" t="s">
        <v>92</v>
      </c>
      <c r="F205" s="14" t="s">
        <v>92</v>
      </c>
      <c r="G205" s="14" t="s">
        <v>92</v>
      </c>
    </row>
    <row r="206" spans="1:7" x14ac:dyDescent="0.25">
      <c r="A206" s="2">
        <v>45106</v>
      </c>
      <c r="B206" s="20">
        <v>2998</v>
      </c>
      <c r="C206" s="14" t="s">
        <v>92</v>
      </c>
      <c r="D206" s="14" t="s">
        <v>92</v>
      </c>
      <c r="E206" s="14" t="s">
        <v>92</v>
      </c>
      <c r="F206" s="14" t="s">
        <v>92</v>
      </c>
      <c r="G206" s="14" t="s">
        <v>92</v>
      </c>
    </row>
    <row r="207" spans="1:7" x14ac:dyDescent="0.25">
      <c r="A207" s="2">
        <v>45105</v>
      </c>
      <c r="B207" s="20">
        <v>2986</v>
      </c>
      <c r="C207" s="14" t="s">
        <v>92</v>
      </c>
      <c r="D207" s="14" t="s">
        <v>92</v>
      </c>
      <c r="E207" s="14" t="s">
        <v>92</v>
      </c>
      <c r="F207" s="14" t="s">
        <v>92</v>
      </c>
      <c r="G207" s="14" t="s">
        <v>92</v>
      </c>
    </row>
    <row r="208" spans="1:7" x14ac:dyDescent="0.25">
      <c r="A208" s="2">
        <v>45104</v>
      </c>
      <c r="B208" s="20">
        <v>2952</v>
      </c>
      <c r="C208" s="14" t="s">
        <v>92</v>
      </c>
      <c r="D208" s="14" t="s">
        <v>92</v>
      </c>
      <c r="E208" s="14" t="s">
        <v>92</v>
      </c>
      <c r="F208" s="14" t="s">
        <v>92</v>
      </c>
      <c r="G208" s="14" t="s">
        <v>92</v>
      </c>
    </row>
    <row r="209" spans="1:7" x14ac:dyDescent="0.25">
      <c r="A209" s="2">
        <v>45103</v>
      </c>
      <c r="B209" s="20">
        <v>2986</v>
      </c>
      <c r="C209" s="14" t="s">
        <v>92</v>
      </c>
      <c r="D209" s="14" t="s">
        <v>92</v>
      </c>
      <c r="E209" s="14" t="s">
        <v>92</v>
      </c>
      <c r="F209" s="14" t="s">
        <v>92</v>
      </c>
      <c r="G209" s="14" t="s">
        <v>92</v>
      </c>
    </row>
    <row r="210" spans="1:7" x14ac:dyDescent="0.25">
      <c r="A210" s="2">
        <v>45100</v>
      </c>
      <c r="B210" s="20">
        <v>3018</v>
      </c>
      <c r="C210" s="14" t="s">
        <v>92</v>
      </c>
      <c r="D210" s="14" t="s">
        <v>92</v>
      </c>
      <c r="E210" s="14" t="s">
        <v>92</v>
      </c>
      <c r="F210" s="14" t="s">
        <v>92</v>
      </c>
      <c r="G210" s="14" t="s">
        <v>92</v>
      </c>
    </row>
    <row r="211" spans="1:7" x14ac:dyDescent="0.25">
      <c r="A211" s="2">
        <v>45099</v>
      </c>
      <c r="B211" s="20">
        <v>2996</v>
      </c>
      <c r="C211" s="14" t="s">
        <v>92</v>
      </c>
      <c r="D211" s="14" t="s">
        <v>92</v>
      </c>
      <c r="E211" s="14" t="s">
        <v>92</v>
      </c>
      <c r="F211" s="14" t="s">
        <v>92</v>
      </c>
      <c r="G211" s="14" t="s">
        <v>92</v>
      </c>
    </row>
    <row r="212" spans="1:7" x14ac:dyDescent="0.25">
      <c r="A212" s="2">
        <v>45098</v>
      </c>
      <c r="B212" s="20">
        <v>3002</v>
      </c>
      <c r="C212" s="14" t="s">
        <v>92</v>
      </c>
      <c r="D212" s="14" t="s">
        <v>92</v>
      </c>
      <c r="E212" s="14" t="s">
        <v>92</v>
      </c>
      <c r="F212" s="14" t="s">
        <v>92</v>
      </c>
      <c r="G212" s="14" t="s">
        <v>92</v>
      </c>
    </row>
    <row r="213" spans="1:7" x14ac:dyDescent="0.25">
      <c r="A213" s="2">
        <v>45097</v>
      </c>
      <c r="B213" s="20">
        <v>2992</v>
      </c>
      <c r="C213" s="14" t="s">
        <v>92</v>
      </c>
      <c r="D213" s="14" t="s">
        <v>92</v>
      </c>
      <c r="E213" s="14" t="s">
        <v>92</v>
      </c>
      <c r="F213" s="14" t="s">
        <v>92</v>
      </c>
      <c r="G213" s="14" t="s">
        <v>92</v>
      </c>
    </row>
    <row r="214" spans="1:7" x14ac:dyDescent="0.25">
      <c r="A214" s="2">
        <v>45096</v>
      </c>
      <c r="B214" s="20">
        <v>2956</v>
      </c>
      <c r="C214" s="14" t="s">
        <v>92</v>
      </c>
      <c r="D214" s="14" t="s">
        <v>92</v>
      </c>
      <c r="E214" s="14" t="s">
        <v>92</v>
      </c>
      <c r="F214" s="14" t="s">
        <v>92</v>
      </c>
      <c r="G214" s="14" t="s">
        <v>92</v>
      </c>
    </row>
    <row r="215" spans="1:7" x14ac:dyDescent="0.25">
      <c r="A215" s="2">
        <v>45093</v>
      </c>
      <c r="B215" s="20">
        <v>2960</v>
      </c>
      <c r="C215" s="14" t="s">
        <v>92</v>
      </c>
      <c r="D215" s="14" t="s">
        <v>92</v>
      </c>
      <c r="E215" s="14" t="s">
        <v>92</v>
      </c>
      <c r="F215" s="14" t="s">
        <v>92</v>
      </c>
      <c r="G215" s="14" t="s">
        <v>92</v>
      </c>
    </row>
    <row r="216" spans="1:7" x14ac:dyDescent="0.25">
      <c r="A216" s="2">
        <v>45092</v>
      </c>
      <c r="B216" s="20">
        <v>2976</v>
      </c>
      <c r="C216" s="14" t="s">
        <v>92</v>
      </c>
      <c r="D216" s="14" t="s">
        <v>92</v>
      </c>
      <c r="E216" s="14" t="s">
        <v>92</v>
      </c>
      <c r="F216" s="14" t="s">
        <v>92</v>
      </c>
      <c r="G216" s="14" t="s">
        <v>92</v>
      </c>
    </row>
    <row r="217" spans="1:7" x14ac:dyDescent="0.25">
      <c r="A217" s="2">
        <v>45091</v>
      </c>
      <c r="B217" s="20">
        <v>3000</v>
      </c>
      <c r="C217" s="14" t="s">
        <v>92</v>
      </c>
      <c r="D217" s="14" t="s">
        <v>92</v>
      </c>
      <c r="E217" s="14" t="s">
        <v>92</v>
      </c>
      <c r="F217" s="14" t="s">
        <v>92</v>
      </c>
      <c r="G217" s="14" t="s">
        <v>92</v>
      </c>
    </row>
    <row r="218" spans="1:7" x14ac:dyDescent="0.25">
      <c r="A218" s="2">
        <v>45090</v>
      </c>
      <c r="B218" s="20">
        <v>3040</v>
      </c>
      <c r="C218" s="14" t="s">
        <v>92</v>
      </c>
      <c r="D218" s="14" t="s">
        <v>92</v>
      </c>
      <c r="E218" s="14" t="s">
        <v>92</v>
      </c>
      <c r="F218" s="14" t="s">
        <v>92</v>
      </c>
      <c r="G218" s="14" t="s">
        <v>92</v>
      </c>
    </row>
    <row r="219" spans="1:7" x14ac:dyDescent="0.25">
      <c r="A219" s="2">
        <v>45089</v>
      </c>
      <c r="B219" s="20">
        <v>3040</v>
      </c>
      <c r="C219" s="14" t="s">
        <v>92</v>
      </c>
      <c r="D219" s="14" t="s">
        <v>92</v>
      </c>
      <c r="E219" s="14" t="s">
        <v>92</v>
      </c>
      <c r="F219" s="14" t="s">
        <v>92</v>
      </c>
      <c r="G219" s="14" t="s">
        <v>92</v>
      </c>
    </row>
    <row r="220" spans="1:7" x14ac:dyDescent="0.25">
      <c r="A220" s="2">
        <v>45086</v>
      </c>
      <c r="B220" s="20">
        <v>3000</v>
      </c>
      <c r="C220" s="14" t="s">
        <v>92</v>
      </c>
      <c r="D220" s="14" t="s">
        <v>92</v>
      </c>
      <c r="E220" s="14" t="s">
        <v>92</v>
      </c>
      <c r="F220" s="14" t="s">
        <v>92</v>
      </c>
      <c r="G220" s="14" t="s">
        <v>92</v>
      </c>
    </row>
    <row r="221" spans="1:7" x14ac:dyDescent="0.25">
      <c r="A221" s="2">
        <v>45085</v>
      </c>
      <c r="B221" s="20">
        <v>3010</v>
      </c>
      <c r="C221" s="14" t="s">
        <v>92</v>
      </c>
      <c r="D221" s="14" t="s">
        <v>92</v>
      </c>
      <c r="E221" s="14" t="s">
        <v>92</v>
      </c>
      <c r="F221" s="14" t="s">
        <v>92</v>
      </c>
      <c r="G221" s="14" t="s">
        <v>92</v>
      </c>
    </row>
    <row r="222" spans="1:7" x14ac:dyDescent="0.25">
      <c r="A222" s="2">
        <v>45084</v>
      </c>
      <c r="B222" s="20">
        <v>2986</v>
      </c>
      <c r="C222" s="14" t="s">
        <v>92</v>
      </c>
      <c r="D222" s="14" t="s">
        <v>92</v>
      </c>
      <c r="E222" s="14" t="s">
        <v>92</v>
      </c>
      <c r="F222" s="14" t="s">
        <v>92</v>
      </c>
      <c r="G222" s="14" t="s">
        <v>92</v>
      </c>
    </row>
    <row r="223" spans="1:7" x14ac:dyDescent="0.25">
      <c r="A223" s="2">
        <v>45083</v>
      </c>
      <c r="B223" s="20">
        <v>2972</v>
      </c>
      <c r="C223" s="14" t="s">
        <v>92</v>
      </c>
      <c r="D223" s="14" t="s">
        <v>92</v>
      </c>
      <c r="E223" s="14" t="s">
        <v>92</v>
      </c>
      <c r="F223" s="14" t="s">
        <v>92</v>
      </c>
      <c r="G223" s="14" t="s">
        <v>92</v>
      </c>
    </row>
    <row r="224" spans="1:7" x14ac:dyDescent="0.25">
      <c r="A224" s="2">
        <v>45082</v>
      </c>
      <c r="B224" s="20">
        <v>2956</v>
      </c>
      <c r="C224" s="14" t="s">
        <v>92</v>
      </c>
      <c r="D224" s="14" t="s">
        <v>92</v>
      </c>
      <c r="E224" s="14" t="s">
        <v>92</v>
      </c>
      <c r="F224" s="14" t="s">
        <v>92</v>
      </c>
      <c r="G224" s="14" t="s">
        <v>92</v>
      </c>
    </row>
    <row r="225" spans="1:7" x14ac:dyDescent="0.25">
      <c r="A225" s="2">
        <v>45079</v>
      </c>
      <c r="B225" s="20">
        <v>2906</v>
      </c>
      <c r="C225" s="14" t="s">
        <v>92</v>
      </c>
      <c r="D225" s="14" t="s">
        <v>92</v>
      </c>
      <c r="E225" s="14" t="s">
        <v>92</v>
      </c>
      <c r="F225" s="14" t="s">
        <v>92</v>
      </c>
      <c r="G225" s="14" t="s">
        <v>92</v>
      </c>
    </row>
    <row r="226" spans="1:7" x14ac:dyDescent="0.25">
      <c r="A226" s="2">
        <v>45078</v>
      </c>
      <c r="B226" s="20">
        <v>2830</v>
      </c>
      <c r="C226" s="14" t="s">
        <v>92</v>
      </c>
      <c r="D226" s="14" t="s">
        <v>92</v>
      </c>
      <c r="E226" s="14" t="s">
        <v>92</v>
      </c>
      <c r="F226" s="14" t="s">
        <v>92</v>
      </c>
      <c r="G226" s="14" t="s">
        <v>92</v>
      </c>
    </row>
    <row r="227" spans="1:7" x14ac:dyDescent="0.25">
      <c r="A227" s="2">
        <v>45077</v>
      </c>
      <c r="B227" s="20">
        <v>2820</v>
      </c>
      <c r="C227" s="14" t="s">
        <v>92</v>
      </c>
      <c r="D227" s="14" t="s">
        <v>92</v>
      </c>
      <c r="E227" s="14" t="s">
        <v>92</v>
      </c>
      <c r="F227" s="14" t="s">
        <v>92</v>
      </c>
      <c r="G227" s="14" t="s">
        <v>92</v>
      </c>
    </row>
    <row r="228" spans="1:7" x14ac:dyDescent="0.25">
      <c r="A228" s="2">
        <v>45076</v>
      </c>
      <c r="B228" s="20">
        <v>2836</v>
      </c>
      <c r="C228" s="14" t="s">
        <v>92</v>
      </c>
      <c r="D228" s="14" t="s">
        <v>92</v>
      </c>
      <c r="E228" s="14" t="s">
        <v>92</v>
      </c>
      <c r="F228" s="14" t="s">
        <v>92</v>
      </c>
      <c r="G228" s="14" t="s">
        <v>92</v>
      </c>
    </row>
    <row r="229" spans="1:7" x14ac:dyDescent="0.25">
      <c r="A229" s="2">
        <v>45072</v>
      </c>
      <c r="B229" s="20">
        <v>2866</v>
      </c>
      <c r="C229" s="14" t="s">
        <v>92</v>
      </c>
      <c r="D229" s="14" t="s">
        <v>92</v>
      </c>
      <c r="E229" s="14" t="s">
        <v>92</v>
      </c>
      <c r="F229" s="14" t="s">
        <v>92</v>
      </c>
      <c r="G229" s="14" t="s">
        <v>92</v>
      </c>
    </row>
    <row r="230" spans="1:7" x14ac:dyDescent="0.25">
      <c r="A230" s="2">
        <v>45071</v>
      </c>
      <c r="B230" s="20">
        <v>2830</v>
      </c>
      <c r="C230" s="14" t="s">
        <v>92</v>
      </c>
      <c r="D230" s="14" t="s">
        <v>92</v>
      </c>
      <c r="E230" s="14" t="s">
        <v>92</v>
      </c>
      <c r="F230" s="14" t="s">
        <v>92</v>
      </c>
      <c r="G230" s="14" t="s">
        <v>92</v>
      </c>
    </row>
    <row r="231" spans="1:7" x14ac:dyDescent="0.25">
      <c r="A231" s="2">
        <v>45070</v>
      </c>
      <c r="B231" s="20">
        <v>2772</v>
      </c>
      <c r="C231" s="14" t="s">
        <v>92</v>
      </c>
      <c r="D231" s="14" t="s">
        <v>92</v>
      </c>
      <c r="E231" s="14" t="s">
        <v>92</v>
      </c>
      <c r="F231" s="14" t="s">
        <v>92</v>
      </c>
      <c r="G231" s="14" t="s">
        <v>92</v>
      </c>
    </row>
    <row r="232" spans="1:7" x14ac:dyDescent="0.25">
      <c r="A232" s="2">
        <v>45069</v>
      </c>
      <c r="B232" s="20">
        <v>2778</v>
      </c>
      <c r="C232" s="14" t="s">
        <v>92</v>
      </c>
      <c r="D232" s="14" t="s">
        <v>92</v>
      </c>
      <c r="E232" s="14" t="s">
        <v>92</v>
      </c>
      <c r="F232" s="14" t="s">
        <v>92</v>
      </c>
      <c r="G232" s="14" t="s">
        <v>92</v>
      </c>
    </row>
    <row r="233" spans="1:7" x14ac:dyDescent="0.25">
      <c r="A233" s="2">
        <v>45068</v>
      </c>
      <c r="B233" s="20">
        <v>2802</v>
      </c>
      <c r="C233" s="14" t="s">
        <v>92</v>
      </c>
      <c r="D233" s="14" t="s">
        <v>92</v>
      </c>
      <c r="E233" s="14" t="s">
        <v>92</v>
      </c>
      <c r="F233" s="14" t="s">
        <v>92</v>
      </c>
      <c r="G233" s="14" t="s">
        <v>92</v>
      </c>
    </row>
    <row r="234" spans="1:7" x14ac:dyDescent="0.25">
      <c r="A234" s="2">
        <v>45065</v>
      </c>
      <c r="B234" s="20">
        <v>2782</v>
      </c>
      <c r="C234" s="14" t="s">
        <v>92</v>
      </c>
      <c r="D234" s="14" t="s">
        <v>92</v>
      </c>
      <c r="E234" s="14" t="s">
        <v>92</v>
      </c>
      <c r="F234" s="14" t="s">
        <v>92</v>
      </c>
      <c r="G234" s="14" t="s">
        <v>92</v>
      </c>
    </row>
    <row r="235" spans="1:7" x14ac:dyDescent="0.25">
      <c r="A235" s="2">
        <v>45064</v>
      </c>
      <c r="B235" s="20">
        <v>2808</v>
      </c>
      <c r="C235" s="14" t="s">
        <v>92</v>
      </c>
      <c r="D235" s="14" t="s">
        <v>92</v>
      </c>
      <c r="E235" s="14" t="s">
        <v>92</v>
      </c>
      <c r="F235" s="14" t="s">
        <v>92</v>
      </c>
      <c r="G235" s="14" t="s">
        <v>92</v>
      </c>
    </row>
    <row r="236" spans="1:7" x14ac:dyDescent="0.25">
      <c r="A236" s="2">
        <v>45063</v>
      </c>
      <c r="B236" s="20">
        <v>2784</v>
      </c>
      <c r="C236" s="14" t="s">
        <v>92</v>
      </c>
      <c r="D236" s="14" t="s">
        <v>92</v>
      </c>
      <c r="E236" s="14" t="s">
        <v>92</v>
      </c>
      <c r="F236" s="14" t="s">
        <v>92</v>
      </c>
      <c r="G236" s="14" t="s">
        <v>92</v>
      </c>
    </row>
    <row r="237" spans="1:7" x14ac:dyDescent="0.25">
      <c r="A237" s="2">
        <v>45062</v>
      </c>
      <c r="B237" s="20">
        <v>2756</v>
      </c>
      <c r="C237" s="14" t="s">
        <v>92</v>
      </c>
      <c r="D237" s="14" t="s">
        <v>92</v>
      </c>
      <c r="E237" s="14" t="s">
        <v>92</v>
      </c>
      <c r="F237" s="14" t="s">
        <v>92</v>
      </c>
      <c r="G237" s="14" t="s">
        <v>92</v>
      </c>
    </row>
    <row r="238" spans="1:7" x14ac:dyDescent="0.25">
      <c r="A238" s="2">
        <v>45061</v>
      </c>
      <c r="B238" s="20">
        <v>2742</v>
      </c>
      <c r="C238" s="14" t="s">
        <v>92</v>
      </c>
      <c r="D238" s="14" t="s">
        <v>92</v>
      </c>
      <c r="E238" s="14" t="s">
        <v>92</v>
      </c>
      <c r="F238" s="14" t="s">
        <v>92</v>
      </c>
      <c r="G238" s="14" t="s">
        <v>92</v>
      </c>
    </row>
    <row r="239" spans="1:7" x14ac:dyDescent="0.25">
      <c r="A239" s="2">
        <v>45058</v>
      </c>
      <c r="B239" s="20">
        <v>2748</v>
      </c>
      <c r="C239" s="14" t="s">
        <v>92</v>
      </c>
      <c r="D239" s="14" t="s">
        <v>92</v>
      </c>
      <c r="E239" s="14" t="s">
        <v>92</v>
      </c>
      <c r="F239" s="14" t="s">
        <v>92</v>
      </c>
      <c r="G239" s="14" t="s">
        <v>92</v>
      </c>
    </row>
    <row r="240" spans="1:7" x14ac:dyDescent="0.25">
      <c r="A240" s="2">
        <v>45057</v>
      </c>
      <c r="B240" s="20">
        <v>2766</v>
      </c>
      <c r="C240" s="14" t="s">
        <v>92</v>
      </c>
      <c r="D240" s="14" t="s">
        <v>92</v>
      </c>
      <c r="E240" s="14" t="s">
        <v>92</v>
      </c>
      <c r="F240" s="14" t="s">
        <v>92</v>
      </c>
      <c r="G240" s="14" t="s">
        <v>92</v>
      </c>
    </row>
    <row r="241" spans="1:7" x14ac:dyDescent="0.25">
      <c r="A241" s="2">
        <v>45056</v>
      </c>
      <c r="B241" s="20">
        <v>2804</v>
      </c>
      <c r="C241" s="14" t="s">
        <v>92</v>
      </c>
      <c r="D241" s="14" t="s">
        <v>92</v>
      </c>
      <c r="E241" s="14" t="s">
        <v>92</v>
      </c>
      <c r="F241" s="14" t="s">
        <v>92</v>
      </c>
      <c r="G241" s="14" t="s">
        <v>92</v>
      </c>
    </row>
    <row r="242" spans="1:7" x14ac:dyDescent="0.25">
      <c r="A242" s="2">
        <v>45055</v>
      </c>
      <c r="B242" s="20">
        <v>2796</v>
      </c>
      <c r="C242" s="14" t="s">
        <v>92</v>
      </c>
      <c r="D242" s="14" t="s">
        <v>92</v>
      </c>
      <c r="E242" s="14" t="s">
        <v>92</v>
      </c>
      <c r="F242" s="14" t="s">
        <v>92</v>
      </c>
      <c r="G242" s="14" t="s">
        <v>92</v>
      </c>
    </row>
    <row r="243" spans="1:7" x14ac:dyDescent="0.25">
      <c r="A243" s="2">
        <v>45054</v>
      </c>
      <c r="B243" s="20">
        <v>2766</v>
      </c>
      <c r="C243" s="14" t="s">
        <v>92</v>
      </c>
      <c r="D243" s="14" t="s">
        <v>92</v>
      </c>
      <c r="E243" s="14" t="s">
        <v>92</v>
      </c>
      <c r="F243" s="14" t="s">
        <v>92</v>
      </c>
      <c r="G243" s="14" t="s">
        <v>92</v>
      </c>
    </row>
    <row r="244" spans="1:7" x14ac:dyDescent="0.25">
      <c r="A244" s="2">
        <v>45051</v>
      </c>
      <c r="B244" s="20">
        <v>2780</v>
      </c>
      <c r="C244" s="14" t="s">
        <v>92</v>
      </c>
      <c r="D244" s="14" t="s">
        <v>92</v>
      </c>
      <c r="E244" s="14" t="s">
        <v>92</v>
      </c>
      <c r="F244" s="14" t="s">
        <v>92</v>
      </c>
      <c r="G244" s="14" t="s">
        <v>92</v>
      </c>
    </row>
    <row r="245" spans="1:7" x14ac:dyDescent="0.25">
      <c r="A245" s="2">
        <v>45050</v>
      </c>
      <c r="B245" s="20">
        <v>2800</v>
      </c>
      <c r="C245" s="14" t="s">
        <v>92</v>
      </c>
      <c r="D245" s="14" t="s">
        <v>92</v>
      </c>
      <c r="E245" s="14" t="s">
        <v>92</v>
      </c>
      <c r="F245" s="14" t="s">
        <v>92</v>
      </c>
      <c r="G245" s="14" t="s">
        <v>92</v>
      </c>
    </row>
    <row r="246" spans="1:7" x14ac:dyDescent="0.25">
      <c r="A246" s="2">
        <v>45049</v>
      </c>
      <c r="B246" s="20">
        <v>2806</v>
      </c>
      <c r="C246" s="14" t="s">
        <v>92</v>
      </c>
      <c r="D246" s="14" t="s">
        <v>92</v>
      </c>
      <c r="E246" s="14" t="s">
        <v>92</v>
      </c>
      <c r="F246" s="14" t="s">
        <v>92</v>
      </c>
      <c r="G246" s="14" t="s">
        <v>92</v>
      </c>
    </row>
    <row r="247" spans="1:7" x14ac:dyDescent="0.25">
      <c r="A247" s="2">
        <v>45048</v>
      </c>
      <c r="B247" s="20">
        <v>2750</v>
      </c>
      <c r="C247" s="14" t="s">
        <v>92</v>
      </c>
      <c r="D247" s="14" t="s">
        <v>92</v>
      </c>
      <c r="E247" s="14" t="s">
        <v>92</v>
      </c>
      <c r="F247" s="14" t="s">
        <v>92</v>
      </c>
      <c r="G247" s="14" t="s">
        <v>92</v>
      </c>
    </row>
    <row r="248" spans="1:7" x14ac:dyDescent="0.25">
      <c r="A248" s="2">
        <v>45044</v>
      </c>
      <c r="B248" s="20">
        <v>2742</v>
      </c>
      <c r="C248" s="14" t="s">
        <v>92</v>
      </c>
      <c r="D248" s="14" t="s">
        <v>92</v>
      </c>
      <c r="E248" s="14" t="s">
        <v>92</v>
      </c>
      <c r="F248" s="14" t="s">
        <v>92</v>
      </c>
      <c r="G248" s="14" t="s">
        <v>92</v>
      </c>
    </row>
    <row r="249" spans="1:7" x14ac:dyDescent="0.25">
      <c r="A249" s="2">
        <v>45043</v>
      </c>
      <c r="B249" s="20">
        <v>2734</v>
      </c>
      <c r="C249" s="14" t="s">
        <v>92</v>
      </c>
      <c r="D249" s="14" t="s">
        <v>92</v>
      </c>
      <c r="E249" s="14" t="s">
        <v>92</v>
      </c>
      <c r="F249" s="14" t="s">
        <v>92</v>
      </c>
      <c r="G249" s="14" t="s">
        <v>92</v>
      </c>
    </row>
    <row r="250" spans="1:7" x14ac:dyDescent="0.25">
      <c r="A250" s="2">
        <v>45042</v>
      </c>
      <c r="B250" s="20">
        <v>2628</v>
      </c>
      <c r="C250" s="14" t="s">
        <v>92</v>
      </c>
      <c r="D250" s="14" t="s">
        <v>92</v>
      </c>
      <c r="E250" s="14" t="s">
        <v>92</v>
      </c>
      <c r="F250" s="14" t="s">
        <v>92</v>
      </c>
      <c r="G250" s="14" t="s">
        <v>92</v>
      </c>
    </row>
    <row r="251" spans="1:7" x14ac:dyDescent="0.25">
      <c r="A251" s="2">
        <v>45041</v>
      </c>
      <c r="B251" s="20">
        <v>2616</v>
      </c>
      <c r="C251" s="14" t="s">
        <v>92</v>
      </c>
      <c r="D251" s="14" t="s">
        <v>92</v>
      </c>
      <c r="E251" s="14" t="s">
        <v>92</v>
      </c>
      <c r="F251" s="14" t="s">
        <v>92</v>
      </c>
      <c r="G251" s="14" t="s">
        <v>92</v>
      </c>
    </row>
    <row r="252" spans="1:7" x14ac:dyDescent="0.25">
      <c r="A252" s="2">
        <v>45040</v>
      </c>
      <c r="B252" s="20">
        <v>2648</v>
      </c>
      <c r="C252" s="14" t="s">
        <v>92</v>
      </c>
      <c r="D252" s="14" t="s">
        <v>92</v>
      </c>
      <c r="E252" s="14" t="s">
        <v>92</v>
      </c>
      <c r="F252" s="14" t="s">
        <v>92</v>
      </c>
      <c r="G252" s="14" t="s">
        <v>92</v>
      </c>
    </row>
    <row r="253" spans="1:7" x14ac:dyDescent="0.25">
      <c r="A253" s="2">
        <v>45037</v>
      </c>
      <c r="B253" s="20">
        <v>2708</v>
      </c>
      <c r="C253" s="14" t="s">
        <v>92</v>
      </c>
      <c r="D253" s="14" t="s">
        <v>92</v>
      </c>
      <c r="E253" s="14" t="s">
        <v>92</v>
      </c>
      <c r="F253" s="14" t="s">
        <v>92</v>
      </c>
      <c r="G253" s="14" t="s">
        <v>92</v>
      </c>
    </row>
    <row r="254" spans="1:7" x14ac:dyDescent="0.25">
      <c r="A254" s="2">
        <v>45036</v>
      </c>
      <c r="B254" s="20">
        <v>2680</v>
      </c>
      <c r="C254" s="14" t="s">
        <v>92</v>
      </c>
      <c r="D254" s="14" t="s">
        <v>92</v>
      </c>
      <c r="E254" s="14" t="s">
        <v>92</v>
      </c>
      <c r="F254" s="14" t="s">
        <v>92</v>
      </c>
      <c r="G254" s="14" t="s">
        <v>92</v>
      </c>
    </row>
    <row r="255" spans="1:7" x14ac:dyDescent="0.25">
      <c r="A255" s="2">
        <v>45035</v>
      </c>
      <c r="B255" s="20">
        <v>2670</v>
      </c>
      <c r="C255" s="14" t="s">
        <v>92</v>
      </c>
      <c r="D255" s="14" t="s">
        <v>92</v>
      </c>
      <c r="E255" s="14" t="s">
        <v>92</v>
      </c>
      <c r="F255" s="14" t="s">
        <v>92</v>
      </c>
      <c r="G255" s="14" t="s">
        <v>92</v>
      </c>
    </row>
    <row r="256" spans="1:7" x14ac:dyDescent="0.25">
      <c r="A256" s="2">
        <v>45034</v>
      </c>
      <c r="B256" s="20">
        <v>2714</v>
      </c>
      <c r="C256" s="14" t="s">
        <v>92</v>
      </c>
      <c r="D256" s="14" t="s">
        <v>92</v>
      </c>
      <c r="E256" s="14" t="s">
        <v>92</v>
      </c>
      <c r="F256" s="14" t="s">
        <v>92</v>
      </c>
      <c r="G256" s="14" t="s">
        <v>92</v>
      </c>
    </row>
    <row r="257" spans="1:7" x14ac:dyDescent="0.25">
      <c r="A257" s="2">
        <v>45033</v>
      </c>
      <c r="B257" s="20">
        <v>2714</v>
      </c>
      <c r="C257" s="14" t="s">
        <v>92</v>
      </c>
      <c r="D257" s="14" t="s">
        <v>92</v>
      </c>
      <c r="E257" s="14" t="s">
        <v>92</v>
      </c>
      <c r="F257" s="14" t="s">
        <v>92</v>
      </c>
      <c r="G257" s="14" t="s">
        <v>92</v>
      </c>
    </row>
    <row r="258" spans="1:7" x14ac:dyDescent="0.25">
      <c r="A258" s="2">
        <v>45030</v>
      </c>
      <c r="B258" s="20">
        <v>2698</v>
      </c>
      <c r="C258" s="14" t="s">
        <v>92</v>
      </c>
      <c r="D258" s="14" t="s">
        <v>92</v>
      </c>
      <c r="E258" s="14" t="s">
        <v>92</v>
      </c>
      <c r="F258" s="14" t="s">
        <v>92</v>
      </c>
      <c r="G258" s="14" t="s">
        <v>92</v>
      </c>
    </row>
    <row r="259" spans="1:7" x14ac:dyDescent="0.25">
      <c r="A259" s="2">
        <v>45029</v>
      </c>
      <c r="B259" s="20">
        <v>2612</v>
      </c>
      <c r="C259" s="14" t="s">
        <v>92</v>
      </c>
      <c r="D259" s="14" t="s">
        <v>92</v>
      </c>
      <c r="E259" s="14" t="s">
        <v>92</v>
      </c>
      <c r="F259" s="14" t="s">
        <v>92</v>
      </c>
      <c r="G259" s="14" t="s">
        <v>92</v>
      </c>
    </row>
    <row r="260" spans="1:7" x14ac:dyDescent="0.25">
      <c r="A260" s="2">
        <v>45028</v>
      </c>
      <c r="B260" s="20">
        <v>2658</v>
      </c>
      <c r="C260" s="14" t="s">
        <v>92</v>
      </c>
      <c r="D260" s="14" t="s">
        <v>92</v>
      </c>
      <c r="E260" s="14" t="s">
        <v>92</v>
      </c>
      <c r="F260" s="14" t="s">
        <v>92</v>
      </c>
      <c r="G260" s="14" t="s">
        <v>92</v>
      </c>
    </row>
    <row r="261" spans="1:7" x14ac:dyDescent="0.25">
      <c r="A261" s="2">
        <v>45027</v>
      </c>
      <c r="B261" s="20">
        <v>2710</v>
      </c>
      <c r="C261" s="14" t="s">
        <v>92</v>
      </c>
      <c r="D261" s="14" t="s">
        <v>92</v>
      </c>
      <c r="E261" s="14" t="s">
        <v>92</v>
      </c>
      <c r="F261" s="14" t="s">
        <v>92</v>
      </c>
      <c r="G261" s="14" t="s">
        <v>92</v>
      </c>
    </row>
    <row r="262" spans="1:7" x14ac:dyDescent="0.25">
      <c r="A262" s="2">
        <v>45022</v>
      </c>
      <c r="B262" s="20">
        <v>2714</v>
      </c>
      <c r="C262" s="14" t="s">
        <v>92</v>
      </c>
      <c r="D262" s="14" t="s">
        <v>92</v>
      </c>
      <c r="E262" s="14" t="s">
        <v>92</v>
      </c>
      <c r="F262" s="14" t="s">
        <v>92</v>
      </c>
      <c r="G262" s="14" t="s">
        <v>92</v>
      </c>
    </row>
    <row r="263" spans="1:7" x14ac:dyDescent="0.25">
      <c r="A263" s="2">
        <v>45021</v>
      </c>
      <c r="B263" s="20">
        <v>2704</v>
      </c>
      <c r="C263" s="14" t="s">
        <v>92</v>
      </c>
      <c r="D263" s="14" t="s">
        <v>92</v>
      </c>
      <c r="E263" s="14" t="s">
        <v>92</v>
      </c>
      <c r="F263" s="14" t="s">
        <v>92</v>
      </c>
      <c r="G263" s="14" t="s">
        <v>92</v>
      </c>
    </row>
    <row r="264" spans="1:7" x14ac:dyDescent="0.25">
      <c r="A264" s="2">
        <v>45020</v>
      </c>
      <c r="B264" s="20">
        <v>2678</v>
      </c>
      <c r="C264" s="14" t="s">
        <v>92</v>
      </c>
      <c r="D264" s="14" t="s">
        <v>92</v>
      </c>
      <c r="E264" s="14" t="s">
        <v>92</v>
      </c>
      <c r="F264" s="14" t="s">
        <v>92</v>
      </c>
      <c r="G264" s="14" t="s">
        <v>92</v>
      </c>
    </row>
    <row r="265" spans="1:7" x14ac:dyDescent="0.25">
      <c r="A265" s="2">
        <v>45019</v>
      </c>
      <c r="B265" s="20">
        <v>2602</v>
      </c>
      <c r="C265" s="14" t="s">
        <v>92</v>
      </c>
      <c r="D265" s="14" t="s">
        <v>92</v>
      </c>
      <c r="E265" s="14" t="s">
        <v>92</v>
      </c>
      <c r="F265" s="14" t="s">
        <v>92</v>
      </c>
      <c r="G265" s="14" t="s">
        <v>92</v>
      </c>
    </row>
    <row r="266" spans="1:7" x14ac:dyDescent="0.25">
      <c r="A266" s="2">
        <v>45016</v>
      </c>
      <c r="B266" s="20">
        <v>2564</v>
      </c>
      <c r="C266" s="14" t="s">
        <v>92</v>
      </c>
      <c r="D266" s="14" t="s">
        <v>92</v>
      </c>
      <c r="E266" s="14" t="s">
        <v>92</v>
      </c>
      <c r="F266" s="14" t="s">
        <v>92</v>
      </c>
      <c r="G266" s="14" t="s">
        <v>92</v>
      </c>
    </row>
    <row r="267" spans="1:7" x14ac:dyDescent="0.25">
      <c r="A267" s="2">
        <v>45015</v>
      </c>
      <c r="B267" s="20">
        <v>2500</v>
      </c>
      <c r="C267" s="14" t="s">
        <v>92</v>
      </c>
      <c r="D267" s="14" t="s">
        <v>92</v>
      </c>
      <c r="E267" s="14" t="s">
        <v>92</v>
      </c>
      <c r="F267" s="14" t="s">
        <v>92</v>
      </c>
      <c r="G267" s="14" t="s">
        <v>92</v>
      </c>
    </row>
    <row r="268" spans="1:7" x14ac:dyDescent="0.25">
      <c r="A268" s="2">
        <v>45014</v>
      </c>
      <c r="B268" s="20">
        <v>2554</v>
      </c>
      <c r="C268" s="14" t="s">
        <v>92</v>
      </c>
      <c r="D268" s="14" t="s">
        <v>92</v>
      </c>
      <c r="E268" s="14" t="s">
        <v>92</v>
      </c>
      <c r="F268" s="14" t="s">
        <v>92</v>
      </c>
      <c r="G268" s="14" t="s">
        <v>92</v>
      </c>
    </row>
    <row r="269" spans="1:7" x14ac:dyDescent="0.25">
      <c r="A269" s="2">
        <v>45013</v>
      </c>
      <c r="B269" s="20">
        <v>2542</v>
      </c>
      <c r="C269" s="14" t="s">
        <v>92</v>
      </c>
      <c r="D269" s="14" t="s">
        <v>92</v>
      </c>
      <c r="E269" s="14" t="s">
        <v>92</v>
      </c>
      <c r="F269" s="14" t="s">
        <v>92</v>
      </c>
      <c r="G269" s="14" t="s">
        <v>92</v>
      </c>
    </row>
    <row r="270" spans="1:7" x14ac:dyDescent="0.25">
      <c r="A270" s="2">
        <v>45012</v>
      </c>
      <c r="B270" s="20">
        <v>2492</v>
      </c>
      <c r="C270" s="14" t="s">
        <v>92</v>
      </c>
      <c r="D270" s="14" t="s">
        <v>92</v>
      </c>
      <c r="E270" s="14" t="s">
        <v>92</v>
      </c>
      <c r="F270" s="14" t="s">
        <v>92</v>
      </c>
      <c r="G270" s="14" t="s">
        <v>92</v>
      </c>
    </row>
    <row r="271" spans="1:7" x14ac:dyDescent="0.25">
      <c r="A271" s="2">
        <v>45009</v>
      </c>
      <c r="B271" s="20">
        <v>2474</v>
      </c>
      <c r="C271" s="14" t="s">
        <v>92</v>
      </c>
      <c r="D271" s="14" t="s">
        <v>92</v>
      </c>
      <c r="E271" s="14" t="s">
        <v>92</v>
      </c>
      <c r="F271" s="14" t="s">
        <v>92</v>
      </c>
      <c r="G271" s="14" t="s">
        <v>92</v>
      </c>
    </row>
    <row r="272" spans="1:7" x14ac:dyDescent="0.25">
      <c r="A272" s="2">
        <v>45008</v>
      </c>
      <c r="B272" s="20">
        <v>2546</v>
      </c>
      <c r="C272" s="14" t="s">
        <v>92</v>
      </c>
      <c r="D272" s="14" t="s">
        <v>92</v>
      </c>
      <c r="E272" s="14" t="s">
        <v>92</v>
      </c>
      <c r="F272" s="14" t="s">
        <v>92</v>
      </c>
      <c r="G272" s="14" t="s">
        <v>92</v>
      </c>
    </row>
    <row r="273" spans="1:7" x14ac:dyDescent="0.25">
      <c r="A273" s="2">
        <v>45007</v>
      </c>
      <c r="B273" s="20">
        <v>2460</v>
      </c>
      <c r="C273" s="14" t="s">
        <v>92</v>
      </c>
      <c r="D273" s="14" t="s">
        <v>92</v>
      </c>
      <c r="E273" s="14" t="s">
        <v>92</v>
      </c>
      <c r="F273" s="14" t="s">
        <v>92</v>
      </c>
      <c r="G273" s="14" t="s">
        <v>92</v>
      </c>
    </row>
    <row r="274" spans="1:7" x14ac:dyDescent="0.25">
      <c r="A274" s="2">
        <v>45006</v>
      </c>
      <c r="B274" s="20">
        <v>2500</v>
      </c>
      <c r="C274" s="14" t="s">
        <v>92</v>
      </c>
      <c r="D274" s="14" t="s">
        <v>92</v>
      </c>
      <c r="E274" s="14" t="s">
        <v>92</v>
      </c>
      <c r="F274" s="14" t="s">
        <v>92</v>
      </c>
      <c r="G274" s="14" t="s">
        <v>92</v>
      </c>
    </row>
    <row r="275" spans="1:7" x14ac:dyDescent="0.25">
      <c r="A275" s="2">
        <v>45005</v>
      </c>
      <c r="B275" s="20">
        <v>2500</v>
      </c>
      <c r="C275" s="14" t="s">
        <v>92</v>
      </c>
      <c r="D275" s="14" t="s">
        <v>92</v>
      </c>
      <c r="E275" s="14" t="s">
        <v>92</v>
      </c>
      <c r="F275" s="14" t="s">
        <v>92</v>
      </c>
      <c r="G275" s="14" t="s">
        <v>92</v>
      </c>
    </row>
    <row r="276" spans="1:7" x14ac:dyDescent="0.25">
      <c r="A276" s="2">
        <v>45002</v>
      </c>
      <c r="B276" s="20">
        <v>2418</v>
      </c>
      <c r="C276" s="14" t="s">
        <v>92</v>
      </c>
      <c r="D276" s="14" t="s">
        <v>92</v>
      </c>
      <c r="E276" s="14" t="s">
        <v>92</v>
      </c>
      <c r="F276" s="14" t="s">
        <v>92</v>
      </c>
      <c r="G276" s="14" t="s">
        <v>92</v>
      </c>
    </row>
    <row r="277" spans="1:7" x14ac:dyDescent="0.25">
      <c r="A277" s="2">
        <v>45001</v>
      </c>
      <c r="B277" s="20">
        <v>2398</v>
      </c>
      <c r="C277" s="14" t="s">
        <v>92</v>
      </c>
      <c r="D277" s="14" t="s">
        <v>92</v>
      </c>
      <c r="E277" s="14" t="s">
        <v>92</v>
      </c>
      <c r="F277" s="14" t="s">
        <v>92</v>
      </c>
      <c r="G277" s="14" t="s">
        <v>92</v>
      </c>
    </row>
    <row r="278" spans="1:7" x14ac:dyDescent="0.25">
      <c r="A278" s="2">
        <v>44999</v>
      </c>
      <c r="B278" s="20">
        <v>2460</v>
      </c>
      <c r="C278" s="14" t="s">
        <v>92</v>
      </c>
      <c r="D278" s="14" t="s">
        <v>92</v>
      </c>
      <c r="E278" s="14" t="s">
        <v>92</v>
      </c>
      <c r="F278" s="14" t="s">
        <v>92</v>
      </c>
      <c r="G278" s="14" t="s">
        <v>92</v>
      </c>
    </row>
    <row r="279" spans="1:7" x14ac:dyDescent="0.25">
      <c r="A279" s="2">
        <v>44998</v>
      </c>
      <c r="B279" s="20">
        <v>2538</v>
      </c>
      <c r="C279" s="14" t="s">
        <v>92</v>
      </c>
      <c r="D279" s="14" t="s">
        <v>92</v>
      </c>
      <c r="E279" s="14" t="s">
        <v>92</v>
      </c>
      <c r="F279" s="14" t="s">
        <v>92</v>
      </c>
      <c r="G279" s="14" t="s">
        <v>92</v>
      </c>
    </row>
    <row r="280" spans="1:7" x14ac:dyDescent="0.25">
      <c r="A280" s="2">
        <v>44995</v>
      </c>
      <c r="B280" s="20">
        <v>2564</v>
      </c>
      <c r="C280" s="14" t="s">
        <v>92</v>
      </c>
      <c r="D280" s="14" t="s">
        <v>92</v>
      </c>
      <c r="E280" s="14" t="s">
        <v>92</v>
      </c>
      <c r="F280" s="14" t="s">
        <v>92</v>
      </c>
      <c r="G280" s="14" t="s">
        <v>92</v>
      </c>
    </row>
    <row r="281" spans="1:7" x14ac:dyDescent="0.25">
      <c r="A281" s="2">
        <v>44994</v>
      </c>
      <c r="B281" s="20">
        <v>2580</v>
      </c>
      <c r="C281" s="14" t="s">
        <v>92</v>
      </c>
      <c r="D281" s="14" t="s">
        <v>92</v>
      </c>
      <c r="E281" s="14" t="s">
        <v>92</v>
      </c>
      <c r="F281" s="14" t="s">
        <v>92</v>
      </c>
      <c r="G281" s="14" t="s">
        <v>92</v>
      </c>
    </row>
    <row r="282" spans="1:7" x14ac:dyDescent="0.25">
      <c r="A282" s="2">
        <v>44993</v>
      </c>
      <c r="B282" s="20">
        <v>2620</v>
      </c>
      <c r="C282" s="14" t="s">
        <v>92</v>
      </c>
      <c r="D282" s="14" t="s">
        <v>92</v>
      </c>
      <c r="E282" s="14" t="s">
        <v>92</v>
      </c>
      <c r="F282" s="14" t="s">
        <v>92</v>
      </c>
      <c r="G282" s="14" t="s">
        <v>92</v>
      </c>
    </row>
    <row r="283" spans="1:7" x14ac:dyDescent="0.25">
      <c r="A283" s="2">
        <v>44992</v>
      </c>
      <c r="B283" s="20">
        <v>2634</v>
      </c>
      <c r="C283" s="14" t="s">
        <v>92</v>
      </c>
      <c r="D283" s="14" t="s">
        <v>92</v>
      </c>
      <c r="E283" s="14" t="s">
        <v>92</v>
      </c>
      <c r="F283" s="14" t="s">
        <v>92</v>
      </c>
      <c r="G283" s="14" t="s">
        <v>92</v>
      </c>
    </row>
    <row r="284" spans="1:7" x14ac:dyDescent="0.25">
      <c r="A284" s="2">
        <v>44991</v>
      </c>
      <c r="B284" s="20">
        <v>2690</v>
      </c>
      <c r="C284" s="14" t="s">
        <v>92</v>
      </c>
      <c r="D284" s="14" t="s">
        <v>92</v>
      </c>
      <c r="E284" s="14" t="s">
        <v>92</v>
      </c>
      <c r="F284" s="14" t="s">
        <v>92</v>
      </c>
      <c r="G284" s="14" t="s">
        <v>92</v>
      </c>
    </row>
    <row r="285" spans="1:7" x14ac:dyDescent="0.25">
      <c r="A285" s="2">
        <v>44988</v>
      </c>
      <c r="B285" s="20">
        <v>2662</v>
      </c>
      <c r="C285" s="14" t="s">
        <v>92</v>
      </c>
      <c r="D285" s="14" t="s">
        <v>92</v>
      </c>
      <c r="E285" s="14" t="s">
        <v>92</v>
      </c>
      <c r="F285" s="14" t="s">
        <v>92</v>
      </c>
      <c r="G285" s="14" t="s">
        <v>92</v>
      </c>
    </row>
    <row r="286" spans="1:7" x14ac:dyDescent="0.25">
      <c r="A286" s="2">
        <v>44987</v>
      </c>
      <c r="B286" s="20">
        <v>2672</v>
      </c>
      <c r="C286" s="14" t="s">
        <v>92</v>
      </c>
      <c r="D286" s="14" t="s">
        <v>92</v>
      </c>
      <c r="E286" s="14" t="s">
        <v>92</v>
      </c>
      <c r="F286" s="14" t="s">
        <v>92</v>
      </c>
      <c r="G286" s="14" t="s">
        <v>92</v>
      </c>
    </row>
    <row r="287" spans="1:7" x14ac:dyDescent="0.25">
      <c r="A287" s="2">
        <v>44986</v>
      </c>
      <c r="B287" s="20">
        <v>2714</v>
      </c>
      <c r="C287" s="14" t="s">
        <v>92</v>
      </c>
      <c r="D287" s="14" t="s">
        <v>92</v>
      </c>
      <c r="E287" s="14" t="s">
        <v>92</v>
      </c>
      <c r="F287" s="14" t="s">
        <v>92</v>
      </c>
      <c r="G287" s="14" t="s">
        <v>92</v>
      </c>
    </row>
    <row r="288" spans="1:7" x14ac:dyDescent="0.25">
      <c r="A288" s="2">
        <v>44985</v>
      </c>
      <c r="B288" s="20">
        <v>2722</v>
      </c>
      <c r="C288" s="14" t="s">
        <v>92</v>
      </c>
      <c r="D288" s="14" t="s">
        <v>92</v>
      </c>
      <c r="E288" s="14" t="s">
        <v>92</v>
      </c>
      <c r="F288" s="14" t="s">
        <v>92</v>
      </c>
      <c r="G288" s="14" t="s">
        <v>92</v>
      </c>
    </row>
    <row r="289" spans="1:7" x14ac:dyDescent="0.25">
      <c r="A289" s="2">
        <v>44984</v>
      </c>
      <c r="B289" s="20">
        <v>2788</v>
      </c>
      <c r="C289" s="14" t="s">
        <v>92</v>
      </c>
      <c r="D289" s="14" t="s">
        <v>92</v>
      </c>
      <c r="E289" s="14" t="s">
        <v>92</v>
      </c>
      <c r="F289" s="14" t="s">
        <v>92</v>
      </c>
      <c r="G289" s="14" t="s">
        <v>92</v>
      </c>
    </row>
    <row r="290" spans="1:7" x14ac:dyDescent="0.25">
      <c r="A290" s="2">
        <v>44981</v>
      </c>
      <c r="B290" s="20">
        <v>2778</v>
      </c>
      <c r="C290" s="14" t="s">
        <v>92</v>
      </c>
      <c r="D290" s="14" t="s">
        <v>92</v>
      </c>
      <c r="E290" s="14" t="s">
        <v>92</v>
      </c>
      <c r="F290" s="14" t="s">
        <v>92</v>
      </c>
      <c r="G290" s="14" t="s">
        <v>92</v>
      </c>
    </row>
    <row r="291" spans="1:7" x14ac:dyDescent="0.25">
      <c r="A291" s="2">
        <v>44980</v>
      </c>
      <c r="B291" s="20">
        <v>2778</v>
      </c>
      <c r="C291" s="14" t="s">
        <v>92</v>
      </c>
      <c r="D291" s="14" t="s">
        <v>92</v>
      </c>
      <c r="E291" s="14" t="s">
        <v>92</v>
      </c>
      <c r="F291" s="14" t="s">
        <v>92</v>
      </c>
      <c r="G291" s="14" t="s">
        <v>92</v>
      </c>
    </row>
    <row r="292" spans="1:7" x14ac:dyDescent="0.25">
      <c r="A292" s="2">
        <v>44979</v>
      </c>
      <c r="B292" s="20">
        <v>2704</v>
      </c>
      <c r="C292" s="14" t="s">
        <v>92</v>
      </c>
      <c r="D292" s="14" t="s">
        <v>92</v>
      </c>
      <c r="E292" s="14" t="s">
        <v>92</v>
      </c>
      <c r="F292" s="14" t="s">
        <v>92</v>
      </c>
      <c r="G292" s="14" t="s">
        <v>92</v>
      </c>
    </row>
    <row r="293" spans="1:7" x14ac:dyDescent="0.25">
      <c r="A293" s="2">
        <v>44978</v>
      </c>
      <c r="B293" s="20">
        <v>2722</v>
      </c>
      <c r="C293" s="14" t="s">
        <v>92</v>
      </c>
      <c r="D293" s="14" t="s">
        <v>92</v>
      </c>
      <c r="E293" s="14" t="s">
        <v>92</v>
      </c>
      <c r="F293" s="14" t="s">
        <v>92</v>
      </c>
      <c r="G293" s="14" t="s">
        <v>92</v>
      </c>
    </row>
    <row r="294" spans="1:7" x14ac:dyDescent="0.25">
      <c r="A294" s="2">
        <v>44977</v>
      </c>
      <c r="B294" s="20">
        <v>2700</v>
      </c>
      <c r="C294" s="14" t="s">
        <v>92</v>
      </c>
      <c r="D294" s="14" t="s">
        <v>92</v>
      </c>
      <c r="E294" s="14" t="s">
        <v>92</v>
      </c>
      <c r="F294" s="14" t="s">
        <v>92</v>
      </c>
      <c r="G294" s="14" t="s">
        <v>92</v>
      </c>
    </row>
    <row r="295" spans="1:7" x14ac:dyDescent="0.25">
      <c r="A295" s="2">
        <v>44974</v>
      </c>
      <c r="B295" s="20">
        <v>2748</v>
      </c>
      <c r="C295" s="14" t="s">
        <v>92</v>
      </c>
      <c r="D295" s="14" t="s">
        <v>92</v>
      </c>
      <c r="E295" s="14" t="s">
        <v>92</v>
      </c>
      <c r="F295" s="14" t="s">
        <v>92</v>
      </c>
      <c r="G295" s="14" t="s">
        <v>92</v>
      </c>
    </row>
    <row r="296" spans="1:7" x14ac:dyDescent="0.25">
      <c r="A296" s="2">
        <v>44973</v>
      </c>
      <c r="B296" s="20">
        <v>2792</v>
      </c>
      <c r="C296" s="14" t="s">
        <v>92</v>
      </c>
      <c r="D296" s="14" t="s">
        <v>92</v>
      </c>
      <c r="E296" s="14" t="s">
        <v>92</v>
      </c>
      <c r="F296" s="14" t="s">
        <v>92</v>
      </c>
      <c r="G296" s="14" t="s">
        <v>92</v>
      </c>
    </row>
    <row r="297" spans="1:7" x14ac:dyDescent="0.25">
      <c r="A297" s="2">
        <v>44972</v>
      </c>
      <c r="B297" s="20">
        <v>2796</v>
      </c>
      <c r="C297" s="14" t="s">
        <v>92</v>
      </c>
      <c r="D297" s="14" t="s">
        <v>92</v>
      </c>
      <c r="E297" s="14" t="s">
        <v>92</v>
      </c>
      <c r="F297" s="14" t="s">
        <v>92</v>
      </c>
      <c r="G297" s="14" t="s">
        <v>92</v>
      </c>
    </row>
    <row r="298" spans="1:7" x14ac:dyDescent="0.25">
      <c r="A298" s="2">
        <v>44971</v>
      </c>
      <c r="B298" s="20">
        <v>2804</v>
      </c>
      <c r="C298" s="14" t="s">
        <v>92</v>
      </c>
      <c r="D298" s="14" t="s">
        <v>92</v>
      </c>
      <c r="E298" s="14" t="s">
        <v>92</v>
      </c>
      <c r="F298" s="14" t="s">
        <v>92</v>
      </c>
      <c r="G298" s="14" t="s">
        <v>92</v>
      </c>
    </row>
    <row r="299" spans="1:7" x14ac:dyDescent="0.25">
      <c r="A299" s="2">
        <v>44970</v>
      </c>
      <c r="B299" s="20">
        <v>2820</v>
      </c>
      <c r="C299" s="14" t="s">
        <v>92</v>
      </c>
      <c r="D299" s="14" t="s">
        <v>92</v>
      </c>
      <c r="E299" s="14" t="s">
        <v>92</v>
      </c>
      <c r="F299" s="14" t="s">
        <v>92</v>
      </c>
      <c r="G299" s="14" t="s">
        <v>92</v>
      </c>
    </row>
    <row r="300" spans="1:7" x14ac:dyDescent="0.25">
      <c r="A300" s="2">
        <v>44967</v>
      </c>
      <c r="B300" s="20">
        <v>2796</v>
      </c>
      <c r="C300" s="14" t="s">
        <v>92</v>
      </c>
      <c r="D300" s="14" t="s">
        <v>92</v>
      </c>
      <c r="E300" s="14" t="s">
        <v>92</v>
      </c>
      <c r="F300" s="14" t="s">
        <v>92</v>
      </c>
      <c r="G300" s="14" t="s">
        <v>92</v>
      </c>
    </row>
    <row r="301" spans="1:7" x14ac:dyDescent="0.25">
      <c r="A301" s="2">
        <v>44966</v>
      </c>
      <c r="B301" s="20">
        <v>2764</v>
      </c>
      <c r="C301" s="14" t="s">
        <v>92</v>
      </c>
      <c r="D301" s="14" t="s">
        <v>92</v>
      </c>
      <c r="E301" s="14" t="s">
        <v>92</v>
      </c>
      <c r="F301" s="14" t="s">
        <v>92</v>
      </c>
      <c r="G301" s="14" t="s">
        <v>92</v>
      </c>
    </row>
    <row r="302" spans="1:7" x14ac:dyDescent="0.25">
      <c r="A302" s="2">
        <v>44965</v>
      </c>
      <c r="B302" s="20">
        <v>2762</v>
      </c>
      <c r="C302" s="14" t="s">
        <v>92</v>
      </c>
      <c r="D302" s="14" t="s">
        <v>92</v>
      </c>
      <c r="E302" s="14" t="s">
        <v>92</v>
      </c>
      <c r="F302" s="14" t="s">
        <v>92</v>
      </c>
      <c r="G302" s="14" t="s">
        <v>92</v>
      </c>
    </row>
    <row r="303" spans="1:7" x14ac:dyDescent="0.25">
      <c r="A303" s="2">
        <v>44964</v>
      </c>
      <c r="B303" s="20">
        <v>2736</v>
      </c>
      <c r="C303" s="14" t="s">
        <v>92</v>
      </c>
      <c r="D303" s="14" t="s">
        <v>92</v>
      </c>
      <c r="E303" s="14" t="s">
        <v>92</v>
      </c>
      <c r="F303" s="14" t="s">
        <v>92</v>
      </c>
      <c r="G303" s="14" t="s">
        <v>92</v>
      </c>
    </row>
    <row r="304" spans="1:7" x14ac:dyDescent="0.25">
      <c r="A304" s="2">
        <v>44963</v>
      </c>
      <c r="B304" s="20">
        <v>2682</v>
      </c>
      <c r="C304" s="14" t="s">
        <v>92</v>
      </c>
      <c r="D304" s="14" t="s">
        <v>92</v>
      </c>
      <c r="E304" s="14" t="s">
        <v>92</v>
      </c>
      <c r="F304" s="14" t="s">
        <v>92</v>
      </c>
      <c r="G304" s="14" t="s">
        <v>92</v>
      </c>
    </row>
    <row r="305" spans="1:7" x14ac:dyDescent="0.25">
      <c r="A305" s="2">
        <v>44960</v>
      </c>
      <c r="B305" s="20">
        <v>2740</v>
      </c>
      <c r="C305" s="14" t="s">
        <v>92</v>
      </c>
      <c r="D305" s="14" t="s">
        <v>92</v>
      </c>
      <c r="E305" s="14" t="s">
        <v>92</v>
      </c>
      <c r="F305" s="14" t="s">
        <v>92</v>
      </c>
      <c r="G305" s="14" t="s">
        <v>92</v>
      </c>
    </row>
    <row r="306" spans="1:7" x14ac:dyDescent="0.25">
      <c r="A306" s="2">
        <v>44959</v>
      </c>
      <c r="B306" s="20">
        <v>2750</v>
      </c>
      <c r="C306" s="14" t="s">
        <v>92</v>
      </c>
      <c r="D306" s="14" t="s">
        <v>92</v>
      </c>
      <c r="E306" s="14" t="s">
        <v>92</v>
      </c>
      <c r="F306" s="14" t="s">
        <v>92</v>
      </c>
      <c r="G306" s="14" t="s">
        <v>92</v>
      </c>
    </row>
    <row r="307" spans="1:7" x14ac:dyDescent="0.25">
      <c r="A307" s="2">
        <v>44958</v>
      </c>
      <c r="B307" s="20">
        <v>2710</v>
      </c>
      <c r="C307" s="14" t="s">
        <v>92</v>
      </c>
      <c r="D307" s="14" t="s">
        <v>92</v>
      </c>
      <c r="E307" s="14" t="s">
        <v>92</v>
      </c>
      <c r="F307" s="14" t="s">
        <v>92</v>
      </c>
      <c r="G307" s="14" t="s">
        <v>92</v>
      </c>
    </row>
    <row r="308" spans="1:7" x14ac:dyDescent="0.25">
      <c r="A308" s="2">
        <v>44957</v>
      </c>
      <c r="B308" s="20">
        <v>2682</v>
      </c>
      <c r="C308" s="14" t="s">
        <v>92</v>
      </c>
      <c r="D308" s="14" t="s">
        <v>92</v>
      </c>
      <c r="E308" s="14" t="s">
        <v>92</v>
      </c>
      <c r="F308" s="14" t="s">
        <v>92</v>
      </c>
      <c r="G308" s="14" t="s">
        <v>92</v>
      </c>
    </row>
    <row r="309" spans="1:7" x14ac:dyDescent="0.25">
      <c r="A309" s="2">
        <v>44956</v>
      </c>
      <c r="B309" s="20">
        <v>2702</v>
      </c>
      <c r="C309" s="14" t="s">
        <v>92</v>
      </c>
      <c r="D309" s="14" t="s">
        <v>92</v>
      </c>
      <c r="E309" s="14" t="s">
        <v>92</v>
      </c>
      <c r="F309" s="14" t="s">
        <v>92</v>
      </c>
      <c r="G309" s="14" t="s">
        <v>92</v>
      </c>
    </row>
    <row r="310" spans="1:7" x14ac:dyDescent="0.25">
      <c r="A310" s="2">
        <v>44953</v>
      </c>
      <c r="B310" s="20">
        <v>2788</v>
      </c>
      <c r="C310" s="14" t="s">
        <v>92</v>
      </c>
      <c r="D310" s="14" t="s">
        <v>92</v>
      </c>
      <c r="E310" s="14" t="s">
        <v>92</v>
      </c>
      <c r="F310" s="14" t="s">
        <v>92</v>
      </c>
      <c r="G310" s="14" t="s">
        <v>92</v>
      </c>
    </row>
    <row r="311" spans="1:7" x14ac:dyDescent="0.25">
      <c r="A311" s="2">
        <v>44952</v>
      </c>
      <c r="B311" s="20">
        <v>2748</v>
      </c>
      <c r="C311" s="14" t="s">
        <v>92</v>
      </c>
      <c r="D311" s="14" t="s">
        <v>92</v>
      </c>
      <c r="E311" s="14" t="s">
        <v>92</v>
      </c>
      <c r="F311" s="14" t="s">
        <v>92</v>
      </c>
      <c r="G311" s="14" t="s">
        <v>92</v>
      </c>
    </row>
    <row r="312" spans="1:7" x14ac:dyDescent="0.25">
      <c r="A312" s="2">
        <v>44951</v>
      </c>
      <c r="B312" s="20">
        <v>2670</v>
      </c>
      <c r="C312" s="14" t="s">
        <v>92</v>
      </c>
      <c r="D312" s="14" t="s">
        <v>92</v>
      </c>
      <c r="E312" s="14" t="s">
        <v>92</v>
      </c>
      <c r="F312" s="14" t="s">
        <v>92</v>
      </c>
      <c r="G312" s="14" t="s">
        <v>92</v>
      </c>
    </row>
    <row r="313" spans="1:7" x14ac:dyDescent="0.25">
      <c r="A313" s="2">
        <v>44950</v>
      </c>
      <c r="B313" s="20">
        <v>2658</v>
      </c>
      <c r="C313" s="14" t="s">
        <v>92</v>
      </c>
      <c r="D313" s="14" t="s">
        <v>92</v>
      </c>
      <c r="E313" s="14" t="s">
        <v>92</v>
      </c>
      <c r="F313" s="14" t="s">
        <v>92</v>
      </c>
      <c r="G313" s="14" t="s">
        <v>92</v>
      </c>
    </row>
    <row r="314" spans="1:7" x14ac:dyDescent="0.25">
      <c r="A314" s="2">
        <v>44949</v>
      </c>
      <c r="B314" s="20">
        <v>2676</v>
      </c>
      <c r="C314" s="14" t="s">
        <v>92</v>
      </c>
      <c r="D314" s="14" t="s">
        <v>92</v>
      </c>
      <c r="E314" s="14" t="s">
        <v>92</v>
      </c>
      <c r="F314" s="14" t="s">
        <v>92</v>
      </c>
      <c r="G314" s="14" t="s">
        <v>92</v>
      </c>
    </row>
    <row r="315" spans="1:7" x14ac:dyDescent="0.25">
      <c r="A315" s="2">
        <v>44946</v>
      </c>
      <c r="B315" s="20">
        <v>2690</v>
      </c>
      <c r="C315" s="14" t="s">
        <v>92</v>
      </c>
      <c r="D315" s="14" t="s">
        <v>92</v>
      </c>
      <c r="E315" s="14" t="s">
        <v>92</v>
      </c>
      <c r="F315" s="14" t="s">
        <v>92</v>
      </c>
      <c r="G315" s="14" t="s">
        <v>92</v>
      </c>
    </row>
    <row r="316" spans="1:7" x14ac:dyDescent="0.25">
      <c r="A316" s="2">
        <v>44945</v>
      </c>
      <c r="B316" s="20">
        <v>2700</v>
      </c>
      <c r="C316" s="14" t="s">
        <v>92</v>
      </c>
      <c r="D316" s="14" t="s">
        <v>92</v>
      </c>
      <c r="E316" s="14" t="s">
        <v>92</v>
      </c>
      <c r="F316" s="14" t="s">
        <v>92</v>
      </c>
      <c r="G316" s="14" t="s">
        <v>92</v>
      </c>
    </row>
    <row r="317" spans="1:7" x14ac:dyDescent="0.25">
      <c r="A317" s="2">
        <v>44944</v>
      </c>
      <c r="B317" s="20">
        <v>2688</v>
      </c>
      <c r="C317" s="14" t="s">
        <v>92</v>
      </c>
      <c r="D317" s="14" t="s">
        <v>92</v>
      </c>
      <c r="E317" s="14" t="s">
        <v>92</v>
      </c>
      <c r="F317" s="14" t="s">
        <v>92</v>
      </c>
      <c r="G317" s="14" t="s">
        <v>92</v>
      </c>
    </row>
    <row r="318" spans="1:7" x14ac:dyDescent="0.25">
      <c r="A318" s="2">
        <v>44943</v>
      </c>
      <c r="B318" s="20">
        <v>2686</v>
      </c>
      <c r="C318" s="14" t="s">
        <v>92</v>
      </c>
      <c r="D318" s="14" t="s">
        <v>92</v>
      </c>
      <c r="E318" s="14" t="s">
        <v>92</v>
      </c>
      <c r="F318" s="14" t="s">
        <v>92</v>
      </c>
      <c r="G318" s="14" t="s">
        <v>92</v>
      </c>
    </row>
    <row r="319" spans="1:7" x14ac:dyDescent="0.25">
      <c r="A319" s="2">
        <v>44942</v>
      </c>
      <c r="B319" s="20">
        <v>2708</v>
      </c>
      <c r="C319" s="14" t="s">
        <v>92</v>
      </c>
      <c r="D319" s="14" t="s">
        <v>92</v>
      </c>
      <c r="E319" s="14" t="s">
        <v>92</v>
      </c>
      <c r="F319" s="14" t="s">
        <v>92</v>
      </c>
      <c r="G319" s="14" t="s">
        <v>92</v>
      </c>
    </row>
    <row r="320" spans="1:7" x14ac:dyDescent="0.25">
      <c r="A320" s="2">
        <v>44939</v>
      </c>
      <c r="B320" s="20">
        <v>2688</v>
      </c>
      <c r="C320" s="14" t="s">
        <v>92</v>
      </c>
      <c r="D320" s="14" t="s">
        <v>92</v>
      </c>
      <c r="E320" s="14" t="s">
        <v>92</v>
      </c>
      <c r="F320" s="14" t="s">
        <v>92</v>
      </c>
      <c r="G320" s="14" t="s">
        <v>92</v>
      </c>
    </row>
    <row r="321" spans="1:7" x14ac:dyDescent="0.25">
      <c r="A321" s="2">
        <v>44938</v>
      </c>
      <c r="B321" s="20">
        <v>2690</v>
      </c>
      <c r="C321" s="14" t="s">
        <v>92</v>
      </c>
      <c r="D321" s="14" t="s">
        <v>92</v>
      </c>
      <c r="E321" s="14" t="s">
        <v>92</v>
      </c>
      <c r="F321" s="14" t="s">
        <v>92</v>
      </c>
      <c r="G321" s="14" t="s">
        <v>92</v>
      </c>
    </row>
    <row r="322" spans="1:7" x14ac:dyDescent="0.25">
      <c r="A322" s="2">
        <v>44937</v>
      </c>
      <c r="B322" s="20">
        <v>2702</v>
      </c>
      <c r="C322" s="14" t="s">
        <v>92</v>
      </c>
      <c r="D322" s="14" t="s">
        <v>92</v>
      </c>
      <c r="E322" s="14" t="s">
        <v>92</v>
      </c>
      <c r="F322" s="14" t="s">
        <v>92</v>
      </c>
      <c r="G322" s="14" t="s">
        <v>92</v>
      </c>
    </row>
    <row r="323" spans="1:7" x14ac:dyDescent="0.25">
      <c r="A323" s="2">
        <v>44936</v>
      </c>
      <c r="B323" s="20">
        <v>2680</v>
      </c>
      <c r="C323" s="14" t="s">
        <v>92</v>
      </c>
      <c r="D323" s="14" t="s">
        <v>92</v>
      </c>
      <c r="E323" s="14" t="s">
        <v>92</v>
      </c>
      <c r="F323" s="14" t="s">
        <v>92</v>
      </c>
      <c r="G323" s="14" t="s">
        <v>92</v>
      </c>
    </row>
    <row r="324" spans="1:7" x14ac:dyDescent="0.25">
      <c r="A324" s="2">
        <v>44935</v>
      </c>
      <c r="B324" s="20">
        <v>2678</v>
      </c>
      <c r="C324" s="14" t="s">
        <v>92</v>
      </c>
      <c r="D324" s="14" t="s">
        <v>92</v>
      </c>
      <c r="E324" s="14" t="s">
        <v>92</v>
      </c>
      <c r="F324" s="14" t="s">
        <v>92</v>
      </c>
      <c r="G324" s="14" t="s">
        <v>92</v>
      </c>
    </row>
    <row r="325" spans="1:7" x14ac:dyDescent="0.25">
      <c r="A325" s="2">
        <v>44932</v>
      </c>
      <c r="B325" s="20">
        <v>2648</v>
      </c>
      <c r="C325" s="14" t="s">
        <v>92</v>
      </c>
      <c r="D325" s="14" t="s">
        <v>92</v>
      </c>
      <c r="E325" s="14" t="s">
        <v>92</v>
      </c>
      <c r="F325" s="14" t="s">
        <v>92</v>
      </c>
      <c r="G325" s="14" t="s">
        <v>92</v>
      </c>
    </row>
    <row r="326" spans="1:7" x14ac:dyDescent="0.25">
      <c r="A326" s="2">
        <v>44931</v>
      </c>
      <c r="B326" s="20">
        <v>2618</v>
      </c>
      <c r="C326" s="14" t="s">
        <v>92</v>
      </c>
      <c r="D326" s="14" t="s">
        <v>92</v>
      </c>
      <c r="E326" s="14" t="s">
        <v>92</v>
      </c>
      <c r="F326" s="14" t="s">
        <v>92</v>
      </c>
      <c r="G326" s="14" t="s">
        <v>92</v>
      </c>
    </row>
    <row r="327" spans="1:7" x14ac:dyDescent="0.25">
      <c r="A327" s="2">
        <v>44930</v>
      </c>
      <c r="B327" s="20">
        <v>2612</v>
      </c>
      <c r="C327" s="14" t="s">
        <v>92</v>
      </c>
      <c r="D327" s="14" t="s">
        <v>92</v>
      </c>
      <c r="E327" s="14" t="s">
        <v>92</v>
      </c>
      <c r="F327" s="14" t="s">
        <v>92</v>
      </c>
      <c r="G327" s="14" t="s">
        <v>92</v>
      </c>
    </row>
    <row r="328" spans="1:7" x14ac:dyDescent="0.25">
      <c r="A328" s="2">
        <v>44929</v>
      </c>
      <c r="B328" s="20">
        <v>2650</v>
      </c>
      <c r="C328" s="14" t="s">
        <v>92</v>
      </c>
      <c r="D328" s="14" t="s">
        <v>92</v>
      </c>
      <c r="E328" s="14" t="s">
        <v>92</v>
      </c>
      <c r="F328" s="14" t="s">
        <v>92</v>
      </c>
      <c r="G328" s="14" t="s">
        <v>92</v>
      </c>
    </row>
    <row r="329" spans="1:7" x14ac:dyDescent="0.25">
      <c r="A329" s="2">
        <v>44928</v>
      </c>
      <c r="B329" s="20">
        <v>2608</v>
      </c>
      <c r="C329" s="14" t="s">
        <v>92</v>
      </c>
      <c r="D329" s="14" t="s">
        <v>92</v>
      </c>
      <c r="E329" s="14" t="s">
        <v>92</v>
      </c>
      <c r="F329" s="14" t="s">
        <v>92</v>
      </c>
      <c r="G329" s="14" t="s">
        <v>92</v>
      </c>
    </row>
    <row r="330" spans="1:7" x14ac:dyDescent="0.25">
      <c r="A330" s="2">
        <v>44925</v>
      </c>
      <c r="B330" s="20">
        <v>2602</v>
      </c>
      <c r="C330" s="14" t="s">
        <v>92</v>
      </c>
      <c r="D330" s="14" t="s">
        <v>92</v>
      </c>
      <c r="E330" s="14" t="s">
        <v>92</v>
      </c>
      <c r="F330" s="14" t="s">
        <v>92</v>
      </c>
      <c r="G330" s="14" t="s">
        <v>92</v>
      </c>
    </row>
    <row r="331" spans="1:7" x14ac:dyDescent="0.25">
      <c r="A331" s="2">
        <v>44924</v>
      </c>
      <c r="B331" s="20">
        <v>2630</v>
      </c>
      <c r="C331" s="14" t="s">
        <v>92</v>
      </c>
      <c r="D331" s="14" t="s">
        <v>92</v>
      </c>
      <c r="E331" s="14" t="s">
        <v>92</v>
      </c>
      <c r="F331" s="14" t="s">
        <v>92</v>
      </c>
      <c r="G331" s="14" t="s">
        <v>92</v>
      </c>
    </row>
    <row r="332" spans="1:7" x14ac:dyDescent="0.25">
      <c r="A332" s="2">
        <v>44923</v>
      </c>
      <c r="B332" s="20">
        <v>2616</v>
      </c>
      <c r="C332" s="14" t="s">
        <v>92</v>
      </c>
      <c r="D332" s="14" t="s">
        <v>92</v>
      </c>
      <c r="E332" s="14" t="s">
        <v>92</v>
      </c>
      <c r="F332" s="14" t="s">
        <v>92</v>
      </c>
      <c r="G332" s="14" t="s">
        <v>92</v>
      </c>
    </row>
    <row r="333" spans="1:7" x14ac:dyDescent="0.25">
      <c r="A333" s="2">
        <v>44922</v>
      </c>
      <c r="B333" s="20">
        <v>2632</v>
      </c>
      <c r="C333" s="14" t="s">
        <v>92</v>
      </c>
      <c r="D333" s="14" t="s">
        <v>92</v>
      </c>
      <c r="E333" s="14" t="s">
        <v>92</v>
      </c>
      <c r="F333" s="14" t="s">
        <v>92</v>
      </c>
      <c r="G333" s="14" t="s">
        <v>92</v>
      </c>
    </row>
    <row r="334" spans="1:7" x14ac:dyDescent="0.25">
      <c r="A334" s="2">
        <v>44918</v>
      </c>
      <c r="B334" s="20">
        <v>2640</v>
      </c>
      <c r="C334" s="14" t="s">
        <v>92</v>
      </c>
      <c r="D334" s="14" t="s">
        <v>92</v>
      </c>
      <c r="E334" s="14" t="s">
        <v>92</v>
      </c>
      <c r="F334" s="14" t="s">
        <v>92</v>
      </c>
      <c r="G334" s="14" t="s">
        <v>92</v>
      </c>
    </row>
    <row r="335" spans="1:7" x14ac:dyDescent="0.25">
      <c r="A335" s="2">
        <v>44917</v>
      </c>
      <c r="B335" s="20">
        <v>2640</v>
      </c>
      <c r="C335" s="14" t="s">
        <v>92</v>
      </c>
      <c r="D335" s="14" t="s">
        <v>92</v>
      </c>
      <c r="E335" s="14" t="s">
        <v>92</v>
      </c>
      <c r="F335" s="14" t="s">
        <v>92</v>
      </c>
      <c r="G335" s="14" t="s">
        <v>92</v>
      </c>
    </row>
    <row r="336" spans="1:7" x14ac:dyDescent="0.25">
      <c r="A336" s="2">
        <v>44916</v>
      </c>
      <c r="B336" s="20">
        <v>2632</v>
      </c>
      <c r="C336" s="14" t="s">
        <v>92</v>
      </c>
      <c r="D336" s="14" t="s">
        <v>92</v>
      </c>
      <c r="E336" s="14" t="s">
        <v>92</v>
      </c>
      <c r="F336" s="14" t="s">
        <v>92</v>
      </c>
      <c r="G336" s="14" t="s">
        <v>92</v>
      </c>
    </row>
    <row r="337" spans="1:7" x14ac:dyDescent="0.25">
      <c r="A337" s="2">
        <v>44915</v>
      </c>
      <c r="B337" s="20">
        <v>2648</v>
      </c>
      <c r="C337" s="14" t="s">
        <v>92</v>
      </c>
      <c r="D337" s="14" t="s">
        <v>92</v>
      </c>
      <c r="E337" s="14" t="s">
        <v>92</v>
      </c>
      <c r="F337" s="14" t="s">
        <v>92</v>
      </c>
      <c r="G337" s="14" t="s">
        <v>92</v>
      </c>
    </row>
    <row r="338" spans="1:7" x14ac:dyDescent="0.25">
      <c r="A338" s="2">
        <v>44914</v>
      </c>
      <c r="B338" s="20">
        <v>2644</v>
      </c>
      <c r="C338" s="14" t="s">
        <v>92</v>
      </c>
      <c r="D338" s="14" t="s">
        <v>92</v>
      </c>
      <c r="E338" s="14" t="s">
        <v>92</v>
      </c>
      <c r="F338" s="14" t="s">
        <v>92</v>
      </c>
      <c r="G338" s="14" t="s">
        <v>92</v>
      </c>
    </row>
    <row r="339" spans="1:7" x14ac:dyDescent="0.25">
      <c r="A339" s="2">
        <v>44911</v>
      </c>
      <c r="B339" s="20">
        <v>2616</v>
      </c>
      <c r="C339" s="14" t="s">
        <v>92</v>
      </c>
      <c r="D339" s="14" t="s">
        <v>92</v>
      </c>
      <c r="E339" s="14" t="s">
        <v>92</v>
      </c>
      <c r="F339" s="14" t="s">
        <v>92</v>
      </c>
      <c r="G339" s="14" t="s">
        <v>92</v>
      </c>
    </row>
    <row r="340" spans="1:7" x14ac:dyDescent="0.25">
      <c r="A340" s="2">
        <v>44910</v>
      </c>
      <c r="B340" s="20">
        <v>2608</v>
      </c>
      <c r="C340" s="14" t="s">
        <v>92</v>
      </c>
      <c r="D340" s="14" t="s">
        <v>92</v>
      </c>
      <c r="E340" s="14" t="s">
        <v>92</v>
      </c>
      <c r="F340" s="14" t="s">
        <v>92</v>
      </c>
      <c r="G340" s="14" t="s">
        <v>92</v>
      </c>
    </row>
    <row r="341" spans="1:7" x14ac:dyDescent="0.25">
      <c r="A341" s="2">
        <v>44909</v>
      </c>
      <c r="B341" s="20">
        <v>2642</v>
      </c>
      <c r="C341" s="14" t="s">
        <v>92</v>
      </c>
      <c r="D341" s="14" t="s">
        <v>92</v>
      </c>
      <c r="E341" s="14" t="s">
        <v>92</v>
      </c>
      <c r="F341" s="14" t="s">
        <v>92</v>
      </c>
      <c r="G341" s="14" t="s">
        <v>92</v>
      </c>
    </row>
    <row r="342" spans="1:7" x14ac:dyDescent="0.25">
      <c r="A342" s="2">
        <v>44908</v>
      </c>
      <c r="B342" s="20">
        <v>2608</v>
      </c>
      <c r="C342" s="14" t="s">
        <v>92</v>
      </c>
      <c r="D342" s="14" t="s">
        <v>92</v>
      </c>
      <c r="E342" s="14" t="s">
        <v>92</v>
      </c>
      <c r="F342" s="14" t="s">
        <v>92</v>
      </c>
      <c r="G342" s="14" t="s">
        <v>92</v>
      </c>
    </row>
    <row r="343" spans="1:7" x14ac:dyDescent="0.25">
      <c r="A343" s="2">
        <v>44907</v>
      </c>
      <c r="B343" s="20">
        <v>2580</v>
      </c>
      <c r="C343" s="14" t="s">
        <v>92</v>
      </c>
      <c r="D343" s="14" t="s">
        <v>92</v>
      </c>
      <c r="E343" s="14" t="s">
        <v>92</v>
      </c>
      <c r="F343" s="14" t="s">
        <v>92</v>
      </c>
      <c r="G343" s="14" t="s">
        <v>92</v>
      </c>
    </row>
    <row r="344" spans="1:7" x14ac:dyDescent="0.25">
      <c r="A344" s="2">
        <v>44904</v>
      </c>
      <c r="B344" s="20">
        <v>2600</v>
      </c>
      <c r="C344" s="14" t="s">
        <v>92</v>
      </c>
      <c r="D344" s="14" t="s">
        <v>92</v>
      </c>
      <c r="E344" s="14" t="s">
        <v>92</v>
      </c>
      <c r="F344" s="14" t="s">
        <v>92</v>
      </c>
      <c r="G344" s="14" t="s">
        <v>92</v>
      </c>
    </row>
    <row r="345" spans="1:7" x14ac:dyDescent="0.25">
      <c r="A345" s="2">
        <v>44903</v>
      </c>
      <c r="B345" s="20">
        <v>2598</v>
      </c>
      <c r="C345" s="14" t="s">
        <v>92</v>
      </c>
      <c r="D345" s="14" t="s">
        <v>92</v>
      </c>
      <c r="E345" s="14" t="s">
        <v>92</v>
      </c>
      <c r="F345" s="14" t="s">
        <v>92</v>
      </c>
      <c r="G345" s="14" t="s">
        <v>92</v>
      </c>
    </row>
    <row r="346" spans="1:7" x14ac:dyDescent="0.25">
      <c r="A346" s="2">
        <v>44902</v>
      </c>
      <c r="B346" s="20">
        <v>2746</v>
      </c>
      <c r="C346" s="14" t="s">
        <v>92</v>
      </c>
      <c r="D346" s="14" t="s">
        <v>92</v>
      </c>
      <c r="E346" s="14" t="s">
        <v>92</v>
      </c>
      <c r="F346" s="14" t="s">
        <v>92</v>
      </c>
      <c r="G346" s="14" t="s">
        <v>92</v>
      </c>
    </row>
    <row r="347" spans="1:7" x14ac:dyDescent="0.25">
      <c r="A347" s="2">
        <v>44901</v>
      </c>
      <c r="B347" s="20">
        <v>2818</v>
      </c>
      <c r="C347" s="14" t="s">
        <v>92</v>
      </c>
      <c r="D347" s="14" t="s">
        <v>92</v>
      </c>
      <c r="E347" s="14" t="s">
        <v>92</v>
      </c>
      <c r="F347" s="14" t="s">
        <v>92</v>
      </c>
      <c r="G347" s="14" t="s">
        <v>92</v>
      </c>
    </row>
    <row r="348" spans="1:7" x14ac:dyDescent="0.25">
      <c r="A348" s="2">
        <v>44900</v>
      </c>
      <c r="B348" s="20">
        <v>2760</v>
      </c>
      <c r="C348" s="14" t="s">
        <v>92</v>
      </c>
      <c r="D348" s="14" t="s">
        <v>92</v>
      </c>
      <c r="E348" s="14" t="s">
        <v>92</v>
      </c>
      <c r="F348" s="14" t="s">
        <v>92</v>
      </c>
      <c r="G348" s="14" t="s">
        <v>92</v>
      </c>
    </row>
    <row r="349" spans="1:7" x14ac:dyDescent="0.25">
      <c r="A349" s="2">
        <v>44897</v>
      </c>
      <c r="B349" s="20">
        <v>2844</v>
      </c>
      <c r="C349" s="14" t="s">
        <v>92</v>
      </c>
      <c r="D349" s="14" t="s">
        <v>92</v>
      </c>
      <c r="E349" s="14" t="s">
        <v>92</v>
      </c>
      <c r="F349" s="14" t="s">
        <v>92</v>
      </c>
      <c r="G349" s="14" t="s">
        <v>92</v>
      </c>
    </row>
    <row r="350" spans="1:7" x14ac:dyDescent="0.25">
      <c r="A350" s="2">
        <v>44896</v>
      </c>
      <c r="B350" s="20">
        <v>2836</v>
      </c>
      <c r="C350" s="14" t="s">
        <v>92</v>
      </c>
      <c r="D350" s="14" t="s">
        <v>92</v>
      </c>
      <c r="E350" s="14" t="s">
        <v>92</v>
      </c>
      <c r="F350" s="14" t="s">
        <v>92</v>
      </c>
      <c r="G350" s="14" t="s">
        <v>92</v>
      </c>
    </row>
    <row r="351" spans="1:7" x14ac:dyDescent="0.25">
      <c r="A351" s="2">
        <v>44895</v>
      </c>
      <c r="B351" s="20">
        <v>2820</v>
      </c>
      <c r="C351" s="14" t="s">
        <v>92</v>
      </c>
      <c r="D351" s="14" t="s">
        <v>92</v>
      </c>
      <c r="E351" s="14" t="s">
        <v>92</v>
      </c>
      <c r="F351" s="14" t="s">
        <v>92</v>
      </c>
      <c r="G351" s="14" t="s">
        <v>92</v>
      </c>
    </row>
    <row r="352" spans="1:7" x14ac:dyDescent="0.25">
      <c r="A352" s="2">
        <v>44894</v>
      </c>
      <c r="B352" s="20">
        <v>2790</v>
      </c>
      <c r="C352" s="14" t="s">
        <v>92</v>
      </c>
      <c r="D352" s="14" t="s">
        <v>92</v>
      </c>
      <c r="E352" s="14" t="s">
        <v>92</v>
      </c>
      <c r="F352" s="14" t="s">
        <v>92</v>
      </c>
      <c r="G352" s="14" t="s">
        <v>92</v>
      </c>
    </row>
    <row r="353" spans="1:7" x14ac:dyDescent="0.25">
      <c r="A353" s="2">
        <v>44893</v>
      </c>
      <c r="B353" s="20">
        <v>2720</v>
      </c>
      <c r="C353" s="14" t="s">
        <v>92</v>
      </c>
      <c r="D353" s="14" t="s">
        <v>92</v>
      </c>
      <c r="E353" s="14" t="s">
        <v>92</v>
      </c>
      <c r="F353" s="14" t="s">
        <v>92</v>
      </c>
      <c r="G353" s="14" t="s">
        <v>92</v>
      </c>
    </row>
    <row r="354" spans="1:7" x14ac:dyDescent="0.25">
      <c r="A354" s="2">
        <v>44890</v>
      </c>
      <c r="B354" s="20">
        <v>2768</v>
      </c>
      <c r="C354" s="14" t="s">
        <v>92</v>
      </c>
      <c r="D354" s="14" t="s">
        <v>92</v>
      </c>
      <c r="E354" s="14" t="s">
        <v>92</v>
      </c>
      <c r="F354" s="14" t="s">
        <v>92</v>
      </c>
      <c r="G354" s="14" t="s">
        <v>92</v>
      </c>
    </row>
    <row r="355" spans="1:7" x14ac:dyDescent="0.25">
      <c r="A355" s="2">
        <v>44889</v>
      </c>
      <c r="B355" s="20">
        <v>2762</v>
      </c>
      <c r="C355" s="14" t="s">
        <v>92</v>
      </c>
      <c r="D355" s="14" t="s">
        <v>92</v>
      </c>
      <c r="E355" s="14" t="s">
        <v>92</v>
      </c>
      <c r="F355" s="14" t="s">
        <v>92</v>
      </c>
      <c r="G355" s="14" t="s">
        <v>92</v>
      </c>
    </row>
    <row r="356" spans="1:7" x14ac:dyDescent="0.25">
      <c r="A356" s="2">
        <v>44888</v>
      </c>
      <c r="B356" s="20">
        <v>2740</v>
      </c>
      <c r="C356" s="14" t="s">
        <v>92</v>
      </c>
      <c r="D356" s="14" t="s">
        <v>92</v>
      </c>
      <c r="E356" s="14" t="s">
        <v>92</v>
      </c>
      <c r="F356" s="14" t="s">
        <v>92</v>
      </c>
      <c r="G356" s="14" t="s">
        <v>92</v>
      </c>
    </row>
    <row r="357" spans="1:7" x14ac:dyDescent="0.25">
      <c r="A357" s="2">
        <v>44887</v>
      </c>
      <c r="B357" s="20">
        <v>2770</v>
      </c>
      <c r="C357" s="14" t="s">
        <v>92</v>
      </c>
      <c r="D357" s="14" t="s">
        <v>92</v>
      </c>
      <c r="E357" s="14" t="s">
        <v>92</v>
      </c>
      <c r="F357" s="14" t="s">
        <v>92</v>
      </c>
      <c r="G357" s="14" t="s">
        <v>92</v>
      </c>
    </row>
    <row r="358" spans="1:7" x14ac:dyDescent="0.25">
      <c r="A358" s="2">
        <v>44886</v>
      </c>
      <c r="B358" s="20">
        <v>2698</v>
      </c>
      <c r="C358" s="14" t="s">
        <v>92</v>
      </c>
      <c r="D358" s="14" t="s">
        <v>92</v>
      </c>
      <c r="E358" s="14" t="s">
        <v>92</v>
      </c>
      <c r="F358" s="14" t="s">
        <v>92</v>
      </c>
      <c r="G358" s="14" t="s">
        <v>92</v>
      </c>
    </row>
    <row r="359" spans="1:7" x14ac:dyDescent="0.25">
      <c r="A359" s="2">
        <v>44883</v>
      </c>
      <c r="B359" s="20">
        <v>2680</v>
      </c>
      <c r="C359" s="14" t="s">
        <v>92</v>
      </c>
      <c r="D359" s="14" t="s">
        <v>92</v>
      </c>
      <c r="E359" s="14" t="s">
        <v>92</v>
      </c>
      <c r="F359" s="14" t="s">
        <v>92</v>
      </c>
      <c r="G359" s="14" t="s">
        <v>92</v>
      </c>
    </row>
    <row r="360" spans="1:7" x14ac:dyDescent="0.25">
      <c r="A360" s="2">
        <v>44882</v>
      </c>
      <c r="B360" s="20">
        <v>2652</v>
      </c>
      <c r="C360" s="14" t="s">
        <v>92</v>
      </c>
      <c r="D360" s="14" t="s">
        <v>92</v>
      </c>
      <c r="E360" s="14" t="s">
        <v>92</v>
      </c>
      <c r="F360" s="14" t="s">
        <v>92</v>
      </c>
      <c r="G360" s="14" t="s">
        <v>92</v>
      </c>
    </row>
    <row r="361" spans="1:7" x14ac:dyDescent="0.25">
      <c r="A361" s="2">
        <v>44881</v>
      </c>
      <c r="B361" s="20">
        <v>2606</v>
      </c>
      <c r="C361" s="14" t="s">
        <v>92</v>
      </c>
      <c r="D361" s="14" t="s">
        <v>92</v>
      </c>
      <c r="E361" s="14" t="s">
        <v>92</v>
      </c>
      <c r="F361" s="14" t="s">
        <v>92</v>
      </c>
      <c r="G361" s="14" t="s">
        <v>92</v>
      </c>
    </row>
    <row r="362" spans="1:7" x14ac:dyDescent="0.25">
      <c r="A362" s="2">
        <v>44880</v>
      </c>
      <c r="B362" s="20">
        <v>2618</v>
      </c>
      <c r="C362" s="14" t="s">
        <v>92</v>
      </c>
      <c r="D362" s="14" t="s">
        <v>92</v>
      </c>
      <c r="E362" s="14" t="s">
        <v>92</v>
      </c>
      <c r="F362" s="14" t="s">
        <v>92</v>
      </c>
      <c r="G362" s="14" t="s">
        <v>92</v>
      </c>
    </row>
    <row r="363" spans="1:7" x14ac:dyDescent="0.25">
      <c r="A363" s="2">
        <v>44879</v>
      </c>
      <c r="B363" s="20">
        <v>2644</v>
      </c>
      <c r="C363" s="14" t="s">
        <v>92</v>
      </c>
      <c r="D363" s="14" t="s">
        <v>92</v>
      </c>
      <c r="E363" s="14" t="s">
        <v>92</v>
      </c>
      <c r="F363" s="14" t="s">
        <v>92</v>
      </c>
      <c r="G363" s="14" t="s">
        <v>92</v>
      </c>
    </row>
    <row r="364" spans="1:7" x14ac:dyDescent="0.25">
      <c r="A364" s="2">
        <v>44876</v>
      </c>
      <c r="B364" s="20">
        <v>2622</v>
      </c>
      <c r="C364" s="14" t="s">
        <v>92</v>
      </c>
      <c r="D364" s="14" t="s">
        <v>92</v>
      </c>
      <c r="E364" s="14" t="s">
        <v>92</v>
      </c>
      <c r="F364" s="14" t="s">
        <v>92</v>
      </c>
      <c r="G364" s="14" t="s">
        <v>92</v>
      </c>
    </row>
    <row r="365" spans="1:7" x14ac:dyDescent="0.25">
      <c r="A365" s="2">
        <v>44875</v>
      </c>
      <c r="B365" s="20">
        <v>2624</v>
      </c>
      <c r="C365" s="14" t="s">
        <v>92</v>
      </c>
      <c r="D365" s="14" t="s">
        <v>92</v>
      </c>
      <c r="E365" s="14" t="s">
        <v>92</v>
      </c>
      <c r="F365" s="14" t="s">
        <v>92</v>
      </c>
      <c r="G365" s="14" t="s">
        <v>92</v>
      </c>
    </row>
    <row r="366" spans="1:7" x14ac:dyDescent="0.25">
      <c r="A366" s="2">
        <v>44874</v>
      </c>
      <c r="B366" s="20">
        <v>2652</v>
      </c>
      <c r="C366" s="14" t="s">
        <v>92</v>
      </c>
      <c r="D366" s="14" t="s">
        <v>92</v>
      </c>
      <c r="E366" s="14" t="s">
        <v>92</v>
      </c>
      <c r="F366" s="14" t="s">
        <v>92</v>
      </c>
      <c r="G366" s="14" t="s">
        <v>92</v>
      </c>
    </row>
    <row r="367" spans="1:7" x14ac:dyDescent="0.25">
      <c r="A367" s="2">
        <v>44873</v>
      </c>
      <c r="B367" s="20">
        <v>2628</v>
      </c>
      <c r="C367" s="14" t="s">
        <v>92</v>
      </c>
      <c r="D367" s="14" t="s">
        <v>92</v>
      </c>
      <c r="E367" s="14" t="s">
        <v>92</v>
      </c>
      <c r="F367" s="14" t="s">
        <v>92</v>
      </c>
      <c r="G367" s="14" t="s">
        <v>92</v>
      </c>
    </row>
    <row r="368" spans="1:7" x14ac:dyDescent="0.25">
      <c r="A368" s="2">
        <v>44872</v>
      </c>
      <c r="B368" s="20">
        <v>2690</v>
      </c>
      <c r="C368" s="14" t="s">
        <v>92</v>
      </c>
      <c r="D368" s="14" t="s">
        <v>92</v>
      </c>
      <c r="E368" s="14" t="s">
        <v>92</v>
      </c>
      <c r="F368" s="14" t="s">
        <v>92</v>
      </c>
      <c r="G368" s="14" t="s">
        <v>92</v>
      </c>
    </row>
    <row r="369" spans="1:7" x14ac:dyDescent="0.25">
      <c r="A369" s="2">
        <v>44869</v>
      </c>
      <c r="B369" s="20">
        <v>2634</v>
      </c>
      <c r="C369" s="14" t="s">
        <v>92</v>
      </c>
      <c r="D369" s="14" t="s">
        <v>92</v>
      </c>
      <c r="E369" s="14" t="s">
        <v>92</v>
      </c>
      <c r="F369" s="14" t="s">
        <v>92</v>
      </c>
      <c r="G369" s="14" t="s">
        <v>92</v>
      </c>
    </row>
    <row r="370" spans="1:7" x14ac:dyDescent="0.25">
      <c r="A370" s="2">
        <v>44868</v>
      </c>
      <c r="B370" s="20">
        <v>2582</v>
      </c>
      <c r="C370" s="14" t="s">
        <v>92</v>
      </c>
      <c r="D370" s="14" t="s">
        <v>92</v>
      </c>
      <c r="E370" s="14" t="s">
        <v>92</v>
      </c>
      <c r="F370" s="14" t="s">
        <v>92</v>
      </c>
      <c r="G370" s="14" t="s">
        <v>92</v>
      </c>
    </row>
    <row r="371" spans="1:7" x14ac:dyDescent="0.25">
      <c r="A371" s="2">
        <v>44867</v>
      </c>
      <c r="B371" s="20">
        <v>2484</v>
      </c>
      <c r="C371" s="14" t="s">
        <v>92</v>
      </c>
      <c r="D371" s="14" t="s">
        <v>92</v>
      </c>
      <c r="E371" s="14" t="s">
        <v>92</v>
      </c>
      <c r="F371" s="14" t="s">
        <v>92</v>
      </c>
      <c r="G371" s="14" t="s">
        <v>92</v>
      </c>
    </row>
    <row r="372" spans="1:7" x14ac:dyDescent="0.25">
      <c r="A372" s="2">
        <v>44862</v>
      </c>
      <c r="B372" s="20">
        <v>2484</v>
      </c>
      <c r="C372" s="14" t="s">
        <v>92</v>
      </c>
      <c r="D372" s="14" t="s">
        <v>92</v>
      </c>
      <c r="E372" s="14" t="s">
        <v>92</v>
      </c>
      <c r="F372" s="14" t="s">
        <v>92</v>
      </c>
      <c r="G372" s="14" t="s">
        <v>92</v>
      </c>
    </row>
    <row r="373" spans="1:7" x14ac:dyDescent="0.25">
      <c r="A373" s="2">
        <v>44861</v>
      </c>
      <c r="B373" s="20">
        <v>2480</v>
      </c>
      <c r="C373" s="14" t="s">
        <v>92</v>
      </c>
      <c r="D373" s="14" t="s">
        <v>92</v>
      </c>
      <c r="E373" s="14" t="s">
        <v>92</v>
      </c>
      <c r="F373" s="14" t="s">
        <v>92</v>
      </c>
      <c r="G373" s="14" t="s">
        <v>92</v>
      </c>
    </row>
    <row r="374" spans="1:7" x14ac:dyDescent="0.25">
      <c r="A374" s="2">
        <v>44860</v>
      </c>
      <c r="B374" s="20">
        <v>2464</v>
      </c>
      <c r="C374" s="14" t="s">
        <v>92</v>
      </c>
      <c r="D374" s="14" t="s">
        <v>92</v>
      </c>
      <c r="E374" s="14" t="s">
        <v>92</v>
      </c>
      <c r="F374" s="14" t="s">
        <v>92</v>
      </c>
      <c r="G374" s="14" t="s">
        <v>92</v>
      </c>
    </row>
    <row r="375" spans="1:7" x14ac:dyDescent="0.25">
      <c r="A375" s="2">
        <v>44859</v>
      </c>
      <c r="B375" s="20">
        <v>2470</v>
      </c>
      <c r="C375" s="14" t="s">
        <v>92</v>
      </c>
      <c r="D375" s="14" t="s">
        <v>92</v>
      </c>
      <c r="E375" s="14" t="s">
        <v>92</v>
      </c>
      <c r="F375" s="14" t="s">
        <v>92</v>
      </c>
      <c r="G375" s="14" t="s">
        <v>92</v>
      </c>
    </row>
    <row r="376" spans="1:7" x14ac:dyDescent="0.25">
      <c r="A376" s="2">
        <v>44858</v>
      </c>
      <c r="B376" s="20">
        <v>2450</v>
      </c>
      <c r="C376" s="14" t="s">
        <v>92</v>
      </c>
      <c r="D376" s="14" t="s">
        <v>92</v>
      </c>
      <c r="E376" s="14" t="s">
        <v>92</v>
      </c>
      <c r="F376" s="14" t="s">
        <v>92</v>
      </c>
      <c r="G376" s="14" t="s">
        <v>92</v>
      </c>
    </row>
    <row r="377" spans="1:7" x14ac:dyDescent="0.25">
      <c r="A377" s="2">
        <v>44855</v>
      </c>
      <c r="B377" s="20">
        <v>2446</v>
      </c>
      <c r="C377" s="14" t="s">
        <v>92</v>
      </c>
      <c r="D377" s="14" t="s">
        <v>92</v>
      </c>
      <c r="E377" s="14" t="s">
        <v>92</v>
      </c>
      <c r="F377" s="14" t="s">
        <v>92</v>
      </c>
      <c r="G377" s="14" t="s">
        <v>92</v>
      </c>
    </row>
    <row r="378" spans="1:7" x14ac:dyDescent="0.25">
      <c r="A378" s="2">
        <v>44854</v>
      </c>
      <c r="B378" s="20">
        <v>2438</v>
      </c>
      <c r="C378" s="14" t="s">
        <v>92</v>
      </c>
      <c r="D378" s="14" t="s">
        <v>92</v>
      </c>
      <c r="E378" s="14" t="s">
        <v>92</v>
      </c>
      <c r="F378" s="14" t="s">
        <v>92</v>
      </c>
      <c r="G378" s="14" t="s">
        <v>92</v>
      </c>
    </row>
    <row r="379" spans="1:7" x14ac:dyDescent="0.25">
      <c r="A379" s="2">
        <v>44853</v>
      </c>
      <c r="B379" s="20">
        <v>2434</v>
      </c>
      <c r="C379" s="14" t="s">
        <v>92</v>
      </c>
      <c r="D379" s="14" t="s">
        <v>92</v>
      </c>
      <c r="E379" s="14" t="s">
        <v>92</v>
      </c>
      <c r="F379" s="14" t="s">
        <v>92</v>
      </c>
      <c r="G379" s="14" t="s">
        <v>92</v>
      </c>
    </row>
    <row r="380" spans="1:7" x14ac:dyDescent="0.25">
      <c r="A380" s="2">
        <v>44852</v>
      </c>
      <c r="B380" s="20">
        <v>2468</v>
      </c>
      <c r="C380" s="14" t="s">
        <v>92</v>
      </c>
      <c r="D380" s="14" t="s">
        <v>92</v>
      </c>
      <c r="E380" s="14" t="s">
        <v>92</v>
      </c>
      <c r="F380" s="14" t="s">
        <v>92</v>
      </c>
      <c r="G380" s="14" t="s">
        <v>92</v>
      </c>
    </row>
    <row r="381" spans="1:7" x14ac:dyDescent="0.25">
      <c r="A381" s="2">
        <v>44851</v>
      </c>
      <c r="B381" s="20">
        <v>2458</v>
      </c>
      <c r="C381" s="14" t="s">
        <v>92</v>
      </c>
      <c r="D381" s="14" t="s">
        <v>92</v>
      </c>
      <c r="E381" s="14" t="s">
        <v>92</v>
      </c>
      <c r="F381" s="14" t="s">
        <v>92</v>
      </c>
      <c r="G381" s="14" t="s">
        <v>92</v>
      </c>
    </row>
    <row r="382" spans="1:7" x14ac:dyDescent="0.25">
      <c r="A382" s="2">
        <v>44848</v>
      </c>
      <c r="B382" s="20">
        <v>2450</v>
      </c>
      <c r="C382" s="14" t="s">
        <v>92</v>
      </c>
      <c r="D382" s="14" t="s">
        <v>92</v>
      </c>
      <c r="E382" s="14" t="s">
        <v>92</v>
      </c>
      <c r="F382" s="14" t="s">
        <v>92</v>
      </c>
      <c r="G382" s="14" t="s">
        <v>92</v>
      </c>
    </row>
    <row r="383" spans="1:7" x14ac:dyDescent="0.25">
      <c r="A383" s="2">
        <v>44847</v>
      </c>
      <c r="B383" s="20">
        <v>2402</v>
      </c>
      <c r="C383" s="14" t="s">
        <v>92</v>
      </c>
      <c r="D383" s="14" t="s">
        <v>92</v>
      </c>
      <c r="E383" s="14" t="s">
        <v>92</v>
      </c>
      <c r="F383" s="14" t="s">
        <v>92</v>
      </c>
      <c r="G383" s="14" t="s">
        <v>92</v>
      </c>
    </row>
    <row r="384" spans="1:7" x14ac:dyDescent="0.25">
      <c r="A384" s="2">
        <v>44846</v>
      </c>
      <c r="B384" s="20">
        <v>2438</v>
      </c>
      <c r="C384" s="14" t="s">
        <v>92</v>
      </c>
      <c r="D384" s="14" t="s">
        <v>92</v>
      </c>
      <c r="E384" s="14" t="s">
        <v>92</v>
      </c>
      <c r="F384" s="14" t="s">
        <v>92</v>
      </c>
      <c r="G384" s="14" t="s">
        <v>92</v>
      </c>
    </row>
    <row r="385" spans="1:7" x14ac:dyDescent="0.25">
      <c r="A385" s="2">
        <v>44845</v>
      </c>
      <c r="B385" s="20">
        <v>2454</v>
      </c>
      <c r="C385" s="14" t="s">
        <v>92</v>
      </c>
      <c r="D385" s="14" t="s">
        <v>92</v>
      </c>
      <c r="E385" s="14" t="s">
        <v>92</v>
      </c>
      <c r="F385" s="14" t="s">
        <v>92</v>
      </c>
      <c r="G385" s="14" t="s">
        <v>92</v>
      </c>
    </row>
    <row r="386" spans="1:7" x14ac:dyDescent="0.25">
      <c r="A386" s="2">
        <v>44844</v>
      </c>
      <c r="B386" s="20">
        <v>2470</v>
      </c>
      <c r="C386" s="14" t="s">
        <v>92</v>
      </c>
      <c r="D386" s="14" t="s">
        <v>92</v>
      </c>
      <c r="E386" s="14" t="s">
        <v>92</v>
      </c>
      <c r="F386" s="14" t="s">
        <v>92</v>
      </c>
      <c r="G386" s="14" t="s">
        <v>92</v>
      </c>
    </row>
    <row r="387" spans="1:7" x14ac:dyDescent="0.25">
      <c r="A387" s="2">
        <v>44841</v>
      </c>
      <c r="B387" s="20">
        <v>2570</v>
      </c>
      <c r="C387" s="14" t="s">
        <v>92</v>
      </c>
      <c r="D387" s="14" t="s">
        <v>92</v>
      </c>
      <c r="E387" s="14" t="s">
        <v>92</v>
      </c>
      <c r="F387" s="14" t="s">
        <v>92</v>
      </c>
      <c r="G387" s="14" t="s">
        <v>92</v>
      </c>
    </row>
    <row r="388" spans="1:7" x14ac:dyDescent="0.25">
      <c r="A388" s="2">
        <v>44840</v>
      </c>
      <c r="B388" s="20">
        <v>2642</v>
      </c>
      <c r="C388" s="14" t="s">
        <v>92</v>
      </c>
      <c r="D388" s="14" t="s">
        <v>92</v>
      </c>
      <c r="E388" s="14" t="s">
        <v>92</v>
      </c>
      <c r="F388" s="14" t="s">
        <v>92</v>
      </c>
      <c r="G388" s="14" t="s">
        <v>92</v>
      </c>
    </row>
    <row r="389" spans="1:7" x14ac:dyDescent="0.25">
      <c r="A389" s="2">
        <v>44839</v>
      </c>
      <c r="B389" s="20">
        <v>2648</v>
      </c>
      <c r="C389" s="14" t="s">
        <v>92</v>
      </c>
      <c r="D389" s="14" t="s">
        <v>92</v>
      </c>
      <c r="E389" s="14" t="s">
        <v>92</v>
      </c>
      <c r="F389" s="14" t="s">
        <v>92</v>
      </c>
      <c r="G389" s="14" t="s">
        <v>92</v>
      </c>
    </row>
    <row r="390" spans="1:7" x14ac:dyDescent="0.25">
      <c r="A390" s="2">
        <v>44838</v>
      </c>
      <c r="B390" s="20">
        <v>2624</v>
      </c>
      <c r="C390" s="14" t="s">
        <v>92</v>
      </c>
      <c r="D390" s="14" t="s">
        <v>92</v>
      </c>
      <c r="E390" s="14" t="s">
        <v>92</v>
      </c>
      <c r="F390" s="14" t="s">
        <v>92</v>
      </c>
      <c r="G390" s="14" t="s">
        <v>92</v>
      </c>
    </row>
    <row r="391" spans="1:7" x14ac:dyDescent="0.25">
      <c r="A391" s="2">
        <v>44837</v>
      </c>
      <c r="B391" s="20">
        <v>2466</v>
      </c>
      <c r="C391" s="14" t="s">
        <v>92</v>
      </c>
      <c r="D391" s="14" t="s">
        <v>92</v>
      </c>
      <c r="E391" s="14" t="s">
        <v>92</v>
      </c>
      <c r="F391" s="14" t="s">
        <v>92</v>
      </c>
      <c r="G391" s="14" t="s">
        <v>92</v>
      </c>
    </row>
    <row r="392" spans="1:7" x14ac:dyDescent="0.25">
      <c r="A392" s="2">
        <v>44834</v>
      </c>
      <c r="B392" s="20">
        <v>2406</v>
      </c>
      <c r="C392" s="14" t="s">
        <v>92</v>
      </c>
      <c r="D392" s="14" t="s">
        <v>92</v>
      </c>
      <c r="E392" s="14" t="s">
        <v>92</v>
      </c>
      <c r="F392" s="14" t="s">
        <v>92</v>
      </c>
      <c r="G392" s="14" t="s">
        <v>92</v>
      </c>
    </row>
    <row r="393" spans="1:7" x14ac:dyDescent="0.25">
      <c r="A393" s="2">
        <v>44833</v>
      </c>
      <c r="B393" s="20">
        <v>2326</v>
      </c>
      <c r="C393" s="14" t="s">
        <v>92</v>
      </c>
      <c r="D393" s="14" t="s">
        <v>92</v>
      </c>
      <c r="E393" s="14" t="s">
        <v>92</v>
      </c>
      <c r="F393" s="14" t="s">
        <v>92</v>
      </c>
      <c r="G393" s="14" t="s">
        <v>92</v>
      </c>
    </row>
    <row r="394" spans="1:7" x14ac:dyDescent="0.25">
      <c r="A394" s="2">
        <v>44832</v>
      </c>
      <c r="B394" s="20">
        <v>2366</v>
      </c>
      <c r="C394" s="14" t="s">
        <v>92</v>
      </c>
      <c r="D394" s="14" t="s">
        <v>92</v>
      </c>
      <c r="E394" s="14" t="s">
        <v>92</v>
      </c>
      <c r="F394" s="14" t="s">
        <v>92</v>
      </c>
      <c r="G394" s="14" t="s">
        <v>92</v>
      </c>
    </row>
    <row r="395" spans="1:7" x14ac:dyDescent="0.25">
      <c r="A395" s="2">
        <v>44831</v>
      </c>
      <c r="B395" s="20">
        <v>2416</v>
      </c>
      <c r="C395" s="14" t="s">
        <v>92</v>
      </c>
      <c r="D395" s="14" t="s">
        <v>92</v>
      </c>
      <c r="E395" s="14" t="s">
        <v>92</v>
      </c>
      <c r="F395" s="14" t="s">
        <v>92</v>
      </c>
      <c r="G395" s="14" t="s">
        <v>92</v>
      </c>
    </row>
    <row r="396" spans="1:7" x14ac:dyDescent="0.25">
      <c r="A396" s="2">
        <v>44830</v>
      </c>
      <c r="B396" s="20">
        <v>2428</v>
      </c>
      <c r="C396" s="14" t="s">
        <v>92</v>
      </c>
      <c r="D396" s="14" t="s">
        <v>92</v>
      </c>
      <c r="E396" s="14" t="s">
        <v>92</v>
      </c>
      <c r="F396" s="14" t="s">
        <v>92</v>
      </c>
      <c r="G396" s="14" t="s">
        <v>92</v>
      </c>
    </row>
    <row r="397" spans="1:7" x14ac:dyDescent="0.25">
      <c r="A397" s="2">
        <v>44827</v>
      </c>
      <c r="B397" s="20">
        <v>2410</v>
      </c>
      <c r="C397" s="14" t="s">
        <v>92</v>
      </c>
      <c r="D397" s="14" t="s">
        <v>92</v>
      </c>
      <c r="E397" s="14" t="s">
        <v>92</v>
      </c>
      <c r="F397" s="14" t="s">
        <v>92</v>
      </c>
      <c r="G397" s="14" t="s">
        <v>92</v>
      </c>
    </row>
    <row r="398" spans="1:7" x14ac:dyDescent="0.25">
      <c r="A398" s="2">
        <v>44826</v>
      </c>
      <c r="B398" s="20">
        <v>2476</v>
      </c>
      <c r="C398" s="14" t="s">
        <v>92</v>
      </c>
      <c r="D398" s="14" t="s">
        <v>92</v>
      </c>
      <c r="E398" s="14" t="s">
        <v>92</v>
      </c>
      <c r="F398" s="14" t="s">
        <v>92</v>
      </c>
      <c r="G398" s="14" t="s">
        <v>92</v>
      </c>
    </row>
    <row r="399" spans="1:7" x14ac:dyDescent="0.25">
      <c r="A399" s="2">
        <v>44825</v>
      </c>
      <c r="B399" s="20">
        <v>2500</v>
      </c>
      <c r="C399" s="14" t="s">
        <v>92</v>
      </c>
      <c r="D399" s="14" t="s">
        <v>92</v>
      </c>
      <c r="E399" s="14" t="s">
        <v>92</v>
      </c>
      <c r="F399" s="14" t="s">
        <v>92</v>
      </c>
      <c r="G399" s="14" t="s">
        <v>92</v>
      </c>
    </row>
    <row r="400" spans="1:7" x14ac:dyDescent="0.25">
      <c r="A400" s="2">
        <v>44824</v>
      </c>
      <c r="B400" s="20">
        <v>2500</v>
      </c>
      <c r="C400" s="14" t="s">
        <v>92</v>
      </c>
      <c r="D400" s="14" t="s">
        <v>92</v>
      </c>
      <c r="E400" s="14" t="s">
        <v>92</v>
      </c>
      <c r="F400" s="14" t="s">
        <v>92</v>
      </c>
      <c r="G400" s="14" t="s">
        <v>92</v>
      </c>
    </row>
    <row r="401" spans="1:7" x14ac:dyDescent="0.25">
      <c r="A401" s="2">
        <v>44823</v>
      </c>
      <c r="B401" s="20">
        <v>2516</v>
      </c>
      <c r="C401" s="14" t="s">
        <v>92</v>
      </c>
      <c r="D401" s="14" t="s">
        <v>92</v>
      </c>
      <c r="E401" s="14" t="s">
        <v>92</v>
      </c>
      <c r="F401" s="14" t="s">
        <v>92</v>
      </c>
      <c r="G401" s="14" t="s">
        <v>92</v>
      </c>
    </row>
    <row r="402" spans="1:7" x14ac:dyDescent="0.25">
      <c r="A402" s="2">
        <v>44820</v>
      </c>
      <c r="B402" s="20">
        <v>2516</v>
      </c>
      <c r="C402" s="14" t="s">
        <v>92</v>
      </c>
      <c r="D402" s="14" t="s">
        <v>92</v>
      </c>
      <c r="E402" s="14" t="s">
        <v>92</v>
      </c>
      <c r="F402" s="14" t="s">
        <v>92</v>
      </c>
      <c r="G402" s="14" t="s">
        <v>92</v>
      </c>
    </row>
    <row r="403" spans="1:7" x14ac:dyDescent="0.25">
      <c r="A403" s="2">
        <v>44819</v>
      </c>
      <c r="B403" s="20">
        <v>2600</v>
      </c>
      <c r="C403" s="14" t="s">
        <v>92</v>
      </c>
      <c r="D403" s="14" t="s">
        <v>92</v>
      </c>
      <c r="E403" s="14" t="s">
        <v>92</v>
      </c>
      <c r="F403" s="14" t="s">
        <v>92</v>
      </c>
      <c r="G403" s="14" t="s">
        <v>92</v>
      </c>
    </row>
    <row r="404" spans="1:7" x14ac:dyDescent="0.25">
      <c r="A404" s="2">
        <v>44818</v>
      </c>
      <c r="B404" s="20">
        <v>2678</v>
      </c>
      <c r="C404" s="14" t="s">
        <v>92</v>
      </c>
      <c r="D404" s="14" t="s">
        <v>92</v>
      </c>
      <c r="E404" s="14" t="s">
        <v>92</v>
      </c>
      <c r="F404" s="14" t="s">
        <v>92</v>
      </c>
      <c r="G404" s="14" t="s">
        <v>92</v>
      </c>
    </row>
    <row r="405" spans="1:7" x14ac:dyDescent="0.25">
      <c r="A405" s="2">
        <v>44817</v>
      </c>
      <c r="B405" s="20">
        <v>2686</v>
      </c>
      <c r="C405" s="14" t="s">
        <v>92</v>
      </c>
      <c r="D405" s="14" t="s">
        <v>92</v>
      </c>
      <c r="E405" s="14" t="s">
        <v>92</v>
      </c>
      <c r="F405" s="14" t="s">
        <v>92</v>
      </c>
      <c r="G405" s="14" t="s">
        <v>92</v>
      </c>
    </row>
    <row r="406" spans="1:7" x14ac:dyDescent="0.25">
      <c r="A406" s="2">
        <v>44816</v>
      </c>
      <c r="B406" s="20">
        <v>2650</v>
      </c>
      <c r="C406" s="14" t="s">
        <v>92</v>
      </c>
      <c r="D406" s="14" t="s">
        <v>92</v>
      </c>
      <c r="E406" s="14" t="s">
        <v>92</v>
      </c>
      <c r="F406" s="14" t="s">
        <v>92</v>
      </c>
      <c r="G406" s="14" t="s">
        <v>92</v>
      </c>
    </row>
    <row r="407" spans="1:7" x14ac:dyDescent="0.25">
      <c r="A407" s="2">
        <v>44813</v>
      </c>
      <c r="B407" s="20">
        <v>2650</v>
      </c>
      <c r="C407" s="14" t="s">
        <v>92</v>
      </c>
      <c r="D407" s="14" t="s">
        <v>92</v>
      </c>
      <c r="E407" s="14" t="s">
        <v>92</v>
      </c>
      <c r="F407" s="14" t="s">
        <v>92</v>
      </c>
      <c r="G407" s="14" t="s">
        <v>92</v>
      </c>
    </row>
    <row r="408" spans="1:7" x14ac:dyDescent="0.25">
      <c r="A408" s="2">
        <v>44812</v>
      </c>
      <c r="B408" s="20">
        <v>2666</v>
      </c>
      <c r="C408" s="14" t="s">
        <v>92</v>
      </c>
      <c r="D408" s="14" t="s">
        <v>92</v>
      </c>
      <c r="E408" s="14" t="s">
        <v>92</v>
      </c>
      <c r="F408" s="14" t="s">
        <v>92</v>
      </c>
      <c r="G408" s="14" t="s">
        <v>92</v>
      </c>
    </row>
    <row r="409" spans="1:7" x14ac:dyDescent="0.25">
      <c r="A409" s="2">
        <v>44811</v>
      </c>
      <c r="B409" s="20">
        <v>2684</v>
      </c>
      <c r="C409" s="14" t="s">
        <v>92</v>
      </c>
      <c r="D409" s="14" t="s">
        <v>92</v>
      </c>
      <c r="E409" s="14" t="s">
        <v>92</v>
      </c>
      <c r="F409" s="14" t="s">
        <v>92</v>
      </c>
      <c r="G409" s="14" t="s">
        <v>92</v>
      </c>
    </row>
    <row r="410" spans="1:7" x14ac:dyDescent="0.25">
      <c r="A410" s="2">
        <v>44810</v>
      </c>
      <c r="B410" s="20">
        <v>2700</v>
      </c>
      <c r="C410" s="14" t="s">
        <v>92</v>
      </c>
      <c r="D410" s="14" t="s">
        <v>92</v>
      </c>
      <c r="E410" s="14" t="s">
        <v>92</v>
      </c>
      <c r="F410" s="14" t="s">
        <v>92</v>
      </c>
      <c r="G410" s="14" t="s">
        <v>92</v>
      </c>
    </row>
    <row r="411" spans="1:7" x14ac:dyDescent="0.25">
      <c r="A411" s="2">
        <v>44809</v>
      </c>
      <c r="B411" s="20">
        <v>2694</v>
      </c>
      <c r="C411" s="14" t="s">
        <v>92</v>
      </c>
      <c r="D411" s="14" t="s">
        <v>92</v>
      </c>
      <c r="E411" s="14" t="s">
        <v>92</v>
      </c>
      <c r="F411" s="14" t="s">
        <v>92</v>
      </c>
      <c r="G411" s="14" t="s">
        <v>92</v>
      </c>
    </row>
    <row r="412" spans="1:7" x14ac:dyDescent="0.25">
      <c r="A412" s="2">
        <v>44806</v>
      </c>
      <c r="B412" s="20">
        <v>2754</v>
      </c>
      <c r="C412" s="14" t="s">
        <v>92</v>
      </c>
      <c r="D412" s="14" t="s">
        <v>92</v>
      </c>
      <c r="E412" s="14" t="s">
        <v>92</v>
      </c>
      <c r="F412" s="14" t="s">
        <v>92</v>
      </c>
      <c r="G412" s="14" t="s">
        <v>92</v>
      </c>
    </row>
    <row r="413" spans="1:7" x14ac:dyDescent="0.25">
      <c r="A413" s="2">
        <v>44805</v>
      </c>
      <c r="B413" s="20">
        <v>2724</v>
      </c>
      <c r="C413" s="14" t="s">
        <v>92</v>
      </c>
      <c r="D413" s="14" t="s">
        <v>92</v>
      </c>
      <c r="E413" s="14" t="s">
        <v>92</v>
      </c>
      <c r="F413" s="14" t="s">
        <v>92</v>
      </c>
      <c r="G413" s="14" t="s">
        <v>92</v>
      </c>
    </row>
    <row r="414" spans="1:7" x14ac:dyDescent="0.25">
      <c r="A414" s="2">
        <v>44804</v>
      </c>
      <c r="B414" s="20">
        <v>2750</v>
      </c>
      <c r="C414" s="14" t="s">
        <v>92</v>
      </c>
      <c r="D414" s="14" t="s">
        <v>92</v>
      </c>
      <c r="E414" s="14" t="s">
        <v>92</v>
      </c>
      <c r="F414" s="14" t="s">
        <v>92</v>
      </c>
      <c r="G414" s="14" t="s">
        <v>92</v>
      </c>
    </row>
    <row r="415" spans="1:7" x14ac:dyDescent="0.25">
      <c r="A415" s="2">
        <v>44803</v>
      </c>
      <c r="B415" s="20">
        <v>2794</v>
      </c>
      <c r="C415" s="14" t="s">
        <v>92</v>
      </c>
      <c r="D415" s="14" t="s">
        <v>92</v>
      </c>
      <c r="E415" s="14" t="s">
        <v>92</v>
      </c>
      <c r="F415" s="14" t="s">
        <v>92</v>
      </c>
      <c r="G415" s="14" t="s">
        <v>92</v>
      </c>
    </row>
    <row r="416" spans="1:7" x14ac:dyDescent="0.25">
      <c r="A416" s="2">
        <v>44802</v>
      </c>
      <c r="B416" s="20">
        <v>2760</v>
      </c>
      <c r="C416" s="14" t="s">
        <v>92</v>
      </c>
      <c r="D416" s="14" t="s">
        <v>92</v>
      </c>
      <c r="E416" s="14" t="s">
        <v>92</v>
      </c>
      <c r="F416" s="14" t="s">
        <v>92</v>
      </c>
      <c r="G416" s="14" t="s">
        <v>92</v>
      </c>
    </row>
    <row r="417" spans="1:7" x14ac:dyDescent="0.25">
      <c r="A417" s="2">
        <v>44799</v>
      </c>
      <c r="B417" s="20">
        <v>2808</v>
      </c>
      <c r="C417" s="14" t="s">
        <v>92</v>
      </c>
      <c r="D417" s="14" t="s">
        <v>92</v>
      </c>
      <c r="E417" s="14" t="s">
        <v>92</v>
      </c>
      <c r="F417" s="14" t="s">
        <v>92</v>
      </c>
      <c r="G417" s="14" t="s">
        <v>92</v>
      </c>
    </row>
    <row r="418" spans="1:7" x14ac:dyDescent="0.25">
      <c r="A418" s="2">
        <v>44798</v>
      </c>
      <c r="B418" s="20">
        <v>2832</v>
      </c>
      <c r="C418" s="14" t="s">
        <v>92</v>
      </c>
      <c r="D418" s="14" t="s">
        <v>92</v>
      </c>
      <c r="E418" s="14" t="s">
        <v>92</v>
      </c>
      <c r="F418" s="14" t="s">
        <v>92</v>
      </c>
      <c r="G418" s="14" t="s">
        <v>92</v>
      </c>
    </row>
    <row r="419" spans="1:7" x14ac:dyDescent="0.25">
      <c r="A419" s="2">
        <v>44797</v>
      </c>
      <c r="B419" s="20">
        <v>2800</v>
      </c>
      <c r="C419" s="14" t="s">
        <v>92</v>
      </c>
      <c r="D419" s="14" t="s">
        <v>92</v>
      </c>
      <c r="E419" s="14" t="s">
        <v>92</v>
      </c>
      <c r="F419" s="14" t="s">
        <v>92</v>
      </c>
      <c r="G419" s="14" t="s">
        <v>92</v>
      </c>
    </row>
    <row r="420" spans="1:7" x14ac:dyDescent="0.25">
      <c r="A420" s="2">
        <v>44796</v>
      </c>
      <c r="B420" s="20">
        <v>2802</v>
      </c>
      <c r="C420" s="14" t="s">
        <v>92</v>
      </c>
      <c r="D420" s="14" t="s">
        <v>92</v>
      </c>
      <c r="E420" s="14" t="s">
        <v>92</v>
      </c>
      <c r="F420" s="14" t="s">
        <v>92</v>
      </c>
      <c r="G420" s="14" t="s">
        <v>92</v>
      </c>
    </row>
    <row r="421" spans="1:7" x14ac:dyDescent="0.25">
      <c r="A421" s="2">
        <v>44795</v>
      </c>
      <c r="B421" s="20">
        <v>2804</v>
      </c>
      <c r="C421" s="14" t="s">
        <v>92</v>
      </c>
      <c r="D421" s="14" t="s">
        <v>92</v>
      </c>
      <c r="E421" s="14" t="s">
        <v>92</v>
      </c>
      <c r="F421" s="14" t="s">
        <v>92</v>
      </c>
      <c r="G421" s="14" t="s">
        <v>92</v>
      </c>
    </row>
    <row r="422" spans="1:7" x14ac:dyDescent="0.25">
      <c r="A422" s="2">
        <v>44792</v>
      </c>
      <c r="B422" s="20">
        <v>2834</v>
      </c>
      <c r="C422" s="14" t="s">
        <v>92</v>
      </c>
      <c r="D422" s="14" t="s">
        <v>92</v>
      </c>
      <c r="E422" s="14" t="s">
        <v>92</v>
      </c>
      <c r="F422" s="14" t="s">
        <v>92</v>
      </c>
      <c r="G422" s="14" t="s">
        <v>92</v>
      </c>
    </row>
    <row r="423" spans="1:7" x14ac:dyDescent="0.25">
      <c r="A423" s="2">
        <v>44791</v>
      </c>
      <c r="B423" s="20">
        <v>2810</v>
      </c>
      <c r="C423" s="14" t="s">
        <v>92</v>
      </c>
      <c r="D423" s="14" t="s">
        <v>92</v>
      </c>
      <c r="E423" s="14" t="s">
        <v>92</v>
      </c>
      <c r="F423" s="14" t="s">
        <v>92</v>
      </c>
      <c r="G423" s="14" t="s">
        <v>92</v>
      </c>
    </row>
    <row r="424" spans="1:7" x14ac:dyDescent="0.25">
      <c r="A424" s="2">
        <v>44790</v>
      </c>
      <c r="B424" s="20">
        <v>2862</v>
      </c>
      <c r="C424" s="14" t="s">
        <v>92</v>
      </c>
      <c r="D424" s="14" t="s">
        <v>92</v>
      </c>
      <c r="E424" s="14" t="s">
        <v>92</v>
      </c>
      <c r="F424" s="14" t="s">
        <v>92</v>
      </c>
      <c r="G424" s="14" t="s">
        <v>92</v>
      </c>
    </row>
    <row r="425" spans="1:7" x14ac:dyDescent="0.25">
      <c r="A425" s="2">
        <v>44789</v>
      </c>
      <c r="B425" s="20">
        <v>2916</v>
      </c>
      <c r="C425" s="14" t="s">
        <v>92</v>
      </c>
      <c r="D425" s="14" t="s">
        <v>92</v>
      </c>
      <c r="E425" s="14" t="s">
        <v>92</v>
      </c>
      <c r="F425" s="14" t="s">
        <v>92</v>
      </c>
      <c r="G425" s="14" t="s">
        <v>92</v>
      </c>
    </row>
    <row r="426" spans="1:7" x14ac:dyDescent="0.25">
      <c r="A426" s="2">
        <v>44788</v>
      </c>
      <c r="B426" s="20">
        <v>2886</v>
      </c>
      <c r="C426" s="14" t="s">
        <v>92</v>
      </c>
      <c r="D426" s="14" t="s">
        <v>92</v>
      </c>
      <c r="E426" s="14" t="s">
        <v>92</v>
      </c>
      <c r="F426" s="14" t="s">
        <v>92</v>
      </c>
      <c r="G426" s="14" t="s">
        <v>92</v>
      </c>
    </row>
    <row r="427" spans="1:7" x14ac:dyDescent="0.25">
      <c r="A427" s="2">
        <v>44785</v>
      </c>
      <c r="B427" s="20">
        <v>2886</v>
      </c>
      <c r="C427" s="14" t="s">
        <v>92</v>
      </c>
      <c r="D427" s="14" t="s">
        <v>92</v>
      </c>
      <c r="E427" s="14" t="s">
        <v>92</v>
      </c>
      <c r="F427" s="14" t="s">
        <v>92</v>
      </c>
      <c r="G427" s="14" t="s">
        <v>92</v>
      </c>
    </row>
    <row r="428" spans="1:7" x14ac:dyDescent="0.25">
      <c r="A428" s="2">
        <v>44784</v>
      </c>
      <c r="B428" s="20">
        <v>2954</v>
      </c>
      <c r="C428" s="14" t="s">
        <v>92</v>
      </c>
      <c r="D428" s="14" t="s">
        <v>92</v>
      </c>
      <c r="E428" s="14" t="s">
        <v>92</v>
      </c>
      <c r="F428" s="14" t="s">
        <v>92</v>
      </c>
      <c r="G428" s="14" t="s">
        <v>92</v>
      </c>
    </row>
    <row r="429" spans="1:7" x14ac:dyDescent="0.25">
      <c r="A429" s="2">
        <v>44783</v>
      </c>
      <c r="B429" s="20">
        <v>2948</v>
      </c>
      <c r="C429" s="14" t="s">
        <v>92</v>
      </c>
      <c r="D429" s="14" t="s">
        <v>92</v>
      </c>
      <c r="E429" s="14" t="s">
        <v>92</v>
      </c>
      <c r="F429" s="14" t="s">
        <v>92</v>
      </c>
      <c r="G429" s="14" t="s">
        <v>92</v>
      </c>
    </row>
    <row r="430" spans="1:7" x14ac:dyDescent="0.25">
      <c r="A430" s="2">
        <v>44782</v>
      </c>
      <c r="B430" s="20">
        <v>2814</v>
      </c>
      <c r="C430" s="14" t="s">
        <v>92</v>
      </c>
      <c r="D430" s="14" t="s">
        <v>92</v>
      </c>
      <c r="E430" s="14" t="s">
        <v>92</v>
      </c>
      <c r="F430" s="14" t="s">
        <v>92</v>
      </c>
      <c r="G430" s="14" t="s">
        <v>92</v>
      </c>
    </row>
    <row r="431" spans="1:7" x14ac:dyDescent="0.25">
      <c r="A431" s="2">
        <v>44781</v>
      </c>
      <c r="B431" s="20">
        <v>2936</v>
      </c>
      <c r="C431" s="14" t="s">
        <v>92</v>
      </c>
      <c r="D431" s="14" t="s">
        <v>92</v>
      </c>
      <c r="E431" s="14" t="s">
        <v>92</v>
      </c>
      <c r="F431" s="14" t="s">
        <v>92</v>
      </c>
      <c r="G431" s="14" t="s">
        <v>92</v>
      </c>
    </row>
    <row r="432" spans="1:7" x14ac:dyDescent="0.25">
      <c r="A432" s="2">
        <v>44778</v>
      </c>
      <c r="B432" s="20">
        <v>2900</v>
      </c>
      <c r="C432" s="14" t="s">
        <v>92</v>
      </c>
      <c r="D432" s="14" t="s">
        <v>92</v>
      </c>
      <c r="E432" s="14" t="s">
        <v>92</v>
      </c>
      <c r="F432" s="14" t="s">
        <v>92</v>
      </c>
      <c r="G432" s="14" t="s">
        <v>92</v>
      </c>
    </row>
    <row r="433" spans="1:7" x14ac:dyDescent="0.25">
      <c r="A433" s="2">
        <v>44777</v>
      </c>
      <c r="B433" s="20">
        <v>3000</v>
      </c>
      <c r="C433" s="14" t="s">
        <v>92</v>
      </c>
      <c r="D433" s="14" t="s">
        <v>92</v>
      </c>
      <c r="E433" s="14" t="s">
        <v>92</v>
      </c>
      <c r="F433" s="14" t="s">
        <v>92</v>
      </c>
      <c r="G433" s="14" t="s">
        <v>92</v>
      </c>
    </row>
    <row r="434" spans="1:7" x14ac:dyDescent="0.25">
      <c r="A434" s="2">
        <v>44776</v>
      </c>
      <c r="B434" s="20">
        <v>2936</v>
      </c>
      <c r="C434" s="14" t="s">
        <v>92</v>
      </c>
      <c r="D434" s="14" t="s">
        <v>92</v>
      </c>
      <c r="E434" s="14" t="s">
        <v>92</v>
      </c>
      <c r="F434" s="14" t="s">
        <v>92</v>
      </c>
      <c r="G434" s="14" t="s">
        <v>92</v>
      </c>
    </row>
    <row r="435" spans="1:7" x14ac:dyDescent="0.25">
      <c r="A435" s="2">
        <v>44775</v>
      </c>
      <c r="B435" s="20">
        <v>2888</v>
      </c>
      <c r="C435" s="14" t="s">
        <v>92</v>
      </c>
      <c r="D435" s="14" t="s">
        <v>92</v>
      </c>
      <c r="E435" s="14" t="s">
        <v>92</v>
      </c>
      <c r="F435" s="14" t="s">
        <v>92</v>
      </c>
      <c r="G435" s="14" t="s">
        <v>92</v>
      </c>
    </row>
    <row r="436" spans="1:7" x14ac:dyDescent="0.25">
      <c r="A436" s="2">
        <v>44774</v>
      </c>
      <c r="B436" s="20">
        <v>2910</v>
      </c>
      <c r="C436" s="14" t="s">
        <v>92</v>
      </c>
      <c r="D436" s="14" t="s">
        <v>92</v>
      </c>
      <c r="E436" s="14" t="s">
        <v>92</v>
      </c>
      <c r="F436" s="14" t="s">
        <v>92</v>
      </c>
      <c r="G436" s="14" t="s">
        <v>92</v>
      </c>
    </row>
    <row r="437" spans="1:7" x14ac:dyDescent="0.25">
      <c r="A437" s="2">
        <v>44771</v>
      </c>
      <c r="B437" s="20">
        <v>2906</v>
      </c>
      <c r="C437" s="14" t="s">
        <v>92</v>
      </c>
      <c r="D437" s="14" t="s">
        <v>92</v>
      </c>
      <c r="E437" s="14" t="s">
        <v>92</v>
      </c>
      <c r="F437" s="14" t="s">
        <v>92</v>
      </c>
      <c r="G437" s="14" t="s">
        <v>92</v>
      </c>
    </row>
    <row r="438" spans="1:7" x14ac:dyDescent="0.25">
      <c r="A438" s="2">
        <v>44770</v>
      </c>
      <c r="B438" s="20">
        <v>2880</v>
      </c>
      <c r="C438" s="14" t="s">
        <v>92</v>
      </c>
      <c r="D438" s="14" t="s">
        <v>92</v>
      </c>
      <c r="E438" s="14" t="s">
        <v>92</v>
      </c>
      <c r="F438" s="14" t="s">
        <v>92</v>
      </c>
      <c r="G438" s="14" t="s">
        <v>92</v>
      </c>
    </row>
    <row r="439" spans="1:7" x14ac:dyDescent="0.25">
      <c r="A439" s="2">
        <v>44769</v>
      </c>
      <c r="B439" s="20">
        <v>2830</v>
      </c>
      <c r="C439" s="14" t="s">
        <v>92</v>
      </c>
      <c r="D439" s="14" t="s">
        <v>92</v>
      </c>
      <c r="E439" s="14" t="s">
        <v>92</v>
      </c>
      <c r="F439" s="14" t="s">
        <v>92</v>
      </c>
      <c r="G439" s="14" t="s">
        <v>92</v>
      </c>
    </row>
    <row r="440" spans="1:7" x14ac:dyDescent="0.25">
      <c r="A440" s="2">
        <v>44768</v>
      </c>
      <c r="B440" s="20">
        <v>2794</v>
      </c>
      <c r="C440" s="14" t="s">
        <v>92</v>
      </c>
      <c r="D440" s="14" t="s">
        <v>92</v>
      </c>
      <c r="E440" s="14" t="s">
        <v>92</v>
      </c>
      <c r="F440" s="14" t="s">
        <v>92</v>
      </c>
      <c r="G440" s="14" t="s">
        <v>92</v>
      </c>
    </row>
    <row r="441" spans="1:7" x14ac:dyDescent="0.25">
      <c r="A441" s="2">
        <v>44767</v>
      </c>
      <c r="B441" s="20">
        <v>2840</v>
      </c>
      <c r="C441" s="14" t="s">
        <v>92</v>
      </c>
      <c r="D441" s="14" t="s">
        <v>92</v>
      </c>
      <c r="E441" s="14" t="s">
        <v>92</v>
      </c>
      <c r="F441" s="14" t="s">
        <v>92</v>
      </c>
      <c r="G441" s="14" t="s">
        <v>92</v>
      </c>
    </row>
    <row r="442" spans="1:7" x14ac:dyDescent="0.25">
      <c r="A442" s="2">
        <v>44764</v>
      </c>
      <c r="B442" s="20">
        <v>2928</v>
      </c>
      <c r="C442" s="14" t="s">
        <v>92</v>
      </c>
      <c r="D442" s="14" t="s">
        <v>92</v>
      </c>
      <c r="E442" s="14" t="s">
        <v>92</v>
      </c>
      <c r="F442" s="14" t="s">
        <v>92</v>
      </c>
      <c r="G442" s="14" t="s">
        <v>92</v>
      </c>
    </row>
    <row r="443" spans="1:7" x14ac:dyDescent="0.25">
      <c r="A443" s="2">
        <v>44763</v>
      </c>
      <c r="B443" s="20">
        <v>2888</v>
      </c>
      <c r="C443" s="14" t="s">
        <v>92</v>
      </c>
      <c r="D443" s="14" t="s">
        <v>92</v>
      </c>
      <c r="E443" s="14" t="s">
        <v>92</v>
      </c>
      <c r="F443" s="14" t="s">
        <v>92</v>
      </c>
      <c r="G443" s="14" t="s">
        <v>92</v>
      </c>
    </row>
    <row r="444" spans="1:7" x14ac:dyDescent="0.25">
      <c r="A444" s="2">
        <v>44762</v>
      </c>
      <c r="B444" s="20">
        <v>2784</v>
      </c>
      <c r="C444" s="14" t="s">
        <v>92</v>
      </c>
      <c r="D444" s="14" t="s">
        <v>92</v>
      </c>
      <c r="E444" s="14" t="s">
        <v>92</v>
      </c>
      <c r="F444" s="14" t="s">
        <v>92</v>
      </c>
      <c r="G444" s="14" t="s">
        <v>92</v>
      </c>
    </row>
    <row r="445" spans="1:7" x14ac:dyDescent="0.25">
      <c r="A445" s="2">
        <v>44761</v>
      </c>
      <c r="B445" s="20">
        <v>3042</v>
      </c>
      <c r="C445" s="14" t="s">
        <v>92</v>
      </c>
      <c r="D445" s="14" t="s">
        <v>92</v>
      </c>
      <c r="E445" s="14" t="s">
        <v>92</v>
      </c>
      <c r="F445" s="14" t="s">
        <v>92</v>
      </c>
      <c r="G445" s="14" t="s">
        <v>92</v>
      </c>
    </row>
    <row r="446" spans="1:7" x14ac:dyDescent="0.25">
      <c r="A446" s="2">
        <v>44760</v>
      </c>
      <c r="B446" s="20">
        <v>3020</v>
      </c>
      <c r="C446" s="14" t="s">
        <v>92</v>
      </c>
      <c r="D446" s="14" t="s">
        <v>92</v>
      </c>
      <c r="E446" s="14" t="s">
        <v>92</v>
      </c>
      <c r="F446" s="14" t="s">
        <v>92</v>
      </c>
      <c r="G446" s="14" t="s">
        <v>92</v>
      </c>
    </row>
    <row r="447" spans="1:7" x14ac:dyDescent="0.25">
      <c r="A447" s="2">
        <v>44757</v>
      </c>
      <c r="B447" s="20">
        <v>2944</v>
      </c>
      <c r="C447" s="14" t="s">
        <v>92</v>
      </c>
      <c r="D447" s="14" t="s">
        <v>92</v>
      </c>
      <c r="E447" s="14" t="s">
        <v>92</v>
      </c>
      <c r="F447" s="14" t="s">
        <v>92</v>
      </c>
      <c r="G447" s="14" t="s">
        <v>92</v>
      </c>
    </row>
    <row r="448" spans="1:7" x14ac:dyDescent="0.25">
      <c r="A448" s="2">
        <v>44756</v>
      </c>
      <c r="B448" s="20">
        <v>2900</v>
      </c>
      <c r="C448" s="14" t="s">
        <v>92</v>
      </c>
      <c r="D448" s="14" t="s">
        <v>92</v>
      </c>
      <c r="E448" s="14" t="s">
        <v>92</v>
      </c>
      <c r="F448" s="14" t="s">
        <v>92</v>
      </c>
      <c r="G448" s="14" t="s">
        <v>92</v>
      </c>
    </row>
    <row r="449" spans="1:7" x14ac:dyDescent="0.25">
      <c r="A449" s="2">
        <v>44755</v>
      </c>
      <c r="B449" s="20">
        <v>2838</v>
      </c>
      <c r="C449" s="14" t="s">
        <v>92</v>
      </c>
      <c r="D449" s="14" t="s">
        <v>92</v>
      </c>
      <c r="E449" s="14" t="s">
        <v>92</v>
      </c>
      <c r="F449" s="14" t="s">
        <v>92</v>
      </c>
      <c r="G449" s="14" t="s">
        <v>92</v>
      </c>
    </row>
    <row r="450" spans="1:7" x14ac:dyDescent="0.25">
      <c r="A450" s="2">
        <v>44754</v>
      </c>
      <c r="B450" s="20">
        <v>2846</v>
      </c>
      <c r="C450" s="14" t="s">
        <v>92</v>
      </c>
      <c r="D450" s="14" t="s">
        <v>92</v>
      </c>
      <c r="E450" s="14" t="s">
        <v>92</v>
      </c>
      <c r="F450" s="14" t="s">
        <v>92</v>
      </c>
      <c r="G450" s="14" t="s">
        <v>92</v>
      </c>
    </row>
    <row r="451" spans="1:7" x14ac:dyDescent="0.25">
      <c r="A451" s="2">
        <v>44753</v>
      </c>
      <c r="B451" s="20">
        <v>2872</v>
      </c>
      <c r="C451" s="14" t="s">
        <v>92</v>
      </c>
      <c r="D451" s="14" t="s">
        <v>92</v>
      </c>
      <c r="E451" s="14" t="s">
        <v>92</v>
      </c>
      <c r="F451" s="14" t="s">
        <v>92</v>
      </c>
      <c r="G451" s="14" t="s">
        <v>92</v>
      </c>
    </row>
    <row r="452" spans="1:7" x14ac:dyDescent="0.25">
      <c r="A452" s="2">
        <v>44750</v>
      </c>
      <c r="B452" s="20">
        <v>2914</v>
      </c>
      <c r="C452" s="14" t="s">
        <v>92</v>
      </c>
      <c r="D452" s="14" t="s">
        <v>92</v>
      </c>
      <c r="E452" s="14" t="s">
        <v>92</v>
      </c>
      <c r="F452" s="14" t="s">
        <v>92</v>
      </c>
      <c r="G452" s="14" t="s">
        <v>92</v>
      </c>
    </row>
    <row r="453" spans="1:7" x14ac:dyDescent="0.25">
      <c r="A453" s="2">
        <v>44749</v>
      </c>
      <c r="B453" s="20">
        <v>2888</v>
      </c>
      <c r="C453" s="14" t="s">
        <v>92</v>
      </c>
      <c r="D453" s="14" t="s">
        <v>92</v>
      </c>
      <c r="E453" s="14" t="s">
        <v>92</v>
      </c>
      <c r="F453" s="14" t="s">
        <v>92</v>
      </c>
      <c r="G453" s="14" t="s">
        <v>92</v>
      </c>
    </row>
    <row r="454" spans="1:7" x14ac:dyDescent="0.25">
      <c r="A454" s="2">
        <v>44748</v>
      </c>
      <c r="B454" s="20">
        <v>2902</v>
      </c>
      <c r="C454" s="14" t="s">
        <v>92</v>
      </c>
      <c r="D454" s="14" t="s">
        <v>92</v>
      </c>
      <c r="E454" s="14" t="s">
        <v>92</v>
      </c>
      <c r="F454" s="14" t="s">
        <v>92</v>
      </c>
      <c r="G454" s="14" t="s">
        <v>92</v>
      </c>
    </row>
    <row r="455" spans="1:7" x14ac:dyDescent="0.25">
      <c r="A455" s="2">
        <v>44747</v>
      </c>
      <c r="B455" s="20">
        <v>2932</v>
      </c>
      <c r="C455" s="14" t="s">
        <v>92</v>
      </c>
      <c r="D455" s="14" t="s">
        <v>92</v>
      </c>
      <c r="E455" s="14" t="s">
        <v>92</v>
      </c>
      <c r="F455" s="14" t="s">
        <v>92</v>
      </c>
      <c r="G455" s="14" t="s">
        <v>92</v>
      </c>
    </row>
    <row r="456" spans="1:7" x14ac:dyDescent="0.25">
      <c r="A456" s="2">
        <v>44746</v>
      </c>
      <c r="B456" s="20">
        <v>2950</v>
      </c>
      <c r="C456" s="14" t="s">
        <v>92</v>
      </c>
      <c r="D456" s="14" t="s">
        <v>92</v>
      </c>
      <c r="E456" s="14" t="s">
        <v>92</v>
      </c>
      <c r="F456" s="14" t="s">
        <v>92</v>
      </c>
      <c r="G456" s="14" t="s">
        <v>92</v>
      </c>
    </row>
    <row r="457" spans="1:7" x14ac:dyDescent="0.25">
      <c r="A457" s="2">
        <v>44743</v>
      </c>
      <c r="B457" s="20">
        <v>2912</v>
      </c>
      <c r="C457" s="14" t="s">
        <v>92</v>
      </c>
      <c r="D457" s="14" t="s">
        <v>92</v>
      </c>
      <c r="E457" s="14" t="s">
        <v>92</v>
      </c>
      <c r="F457" s="14" t="s">
        <v>92</v>
      </c>
      <c r="G457" s="14" t="s">
        <v>92</v>
      </c>
    </row>
    <row r="458" spans="1:7" x14ac:dyDescent="0.25">
      <c r="A458" s="2">
        <v>44742</v>
      </c>
      <c r="B458" s="20">
        <v>2918</v>
      </c>
      <c r="C458" s="14" t="s">
        <v>92</v>
      </c>
      <c r="D458" s="14" t="s">
        <v>92</v>
      </c>
      <c r="E458" s="14" t="s">
        <v>92</v>
      </c>
      <c r="F458" s="14" t="s">
        <v>92</v>
      </c>
      <c r="G458" s="14" t="s">
        <v>92</v>
      </c>
    </row>
    <row r="459" spans="1:7" x14ac:dyDescent="0.25">
      <c r="A459" s="2">
        <v>44741</v>
      </c>
      <c r="B459" s="20">
        <v>2970</v>
      </c>
      <c r="C459" s="14" t="s">
        <v>92</v>
      </c>
      <c r="D459" s="14" t="s">
        <v>92</v>
      </c>
      <c r="E459" s="14" t="s">
        <v>92</v>
      </c>
      <c r="F459" s="14" t="s">
        <v>92</v>
      </c>
      <c r="G459" s="14" t="s">
        <v>92</v>
      </c>
    </row>
    <row r="460" spans="1:7" x14ac:dyDescent="0.25">
      <c r="A460" s="2">
        <v>44740</v>
      </c>
      <c r="B460" s="20">
        <v>2992</v>
      </c>
      <c r="C460" s="14" t="s">
        <v>92</v>
      </c>
      <c r="D460" s="14" t="s">
        <v>92</v>
      </c>
      <c r="E460" s="14" t="s">
        <v>92</v>
      </c>
      <c r="F460" s="14" t="s">
        <v>92</v>
      </c>
      <c r="G460" s="14" t="s">
        <v>92</v>
      </c>
    </row>
    <row r="461" spans="1:7" x14ac:dyDescent="0.25">
      <c r="A461" s="2">
        <v>44739</v>
      </c>
      <c r="B461" s="20">
        <v>2912</v>
      </c>
      <c r="C461" s="14" t="s">
        <v>92</v>
      </c>
      <c r="D461" s="14" t="s">
        <v>92</v>
      </c>
      <c r="E461" s="14" t="s">
        <v>92</v>
      </c>
      <c r="F461" s="14" t="s">
        <v>92</v>
      </c>
      <c r="G461" s="14" t="s">
        <v>92</v>
      </c>
    </row>
    <row r="462" spans="1:7" x14ac:dyDescent="0.25">
      <c r="A462" s="2">
        <v>44736</v>
      </c>
      <c r="B462" s="20">
        <v>2926</v>
      </c>
      <c r="C462" s="14" t="s">
        <v>92</v>
      </c>
      <c r="D462" s="14" t="s">
        <v>92</v>
      </c>
      <c r="E462" s="14" t="s">
        <v>92</v>
      </c>
      <c r="F462" s="14" t="s">
        <v>92</v>
      </c>
      <c r="G462" s="14" t="s">
        <v>92</v>
      </c>
    </row>
    <row r="463" spans="1:7" x14ac:dyDescent="0.25">
      <c r="A463" s="2">
        <v>44735</v>
      </c>
      <c r="B463" s="20">
        <v>2930</v>
      </c>
      <c r="C463" s="14" t="s">
        <v>92</v>
      </c>
      <c r="D463" s="14" t="s">
        <v>92</v>
      </c>
      <c r="E463" s="14" t="s">
        <v>92</v>
      </c>
      <c r="F463" s="14" t="s">
        <v>92</v>
      </c>
      <c r="G463" s="14" t="s">
        <v>92</v>
      </c>
    </row>
    <row r="464" spans="1:7" x14ac:dyDescent="0.25">
      <c r="A464" s="2">
        <v>44734</v>
      </c>
      <c r="B464" s="20">
        <v>2914</v>
      </c>
      <c r="C464" s="14" t="s">
        <v>92</v>
      </c>
      <c r="D464" s="14" t="s">
        <v>92</v>
      </c>
      <c r="E464" s="14" t="s">
        <v>92</v>
      </c>
      <c r="F464" s="14" t="s">
        <v>92</v>
      </c>
      <c r="G464" s="14" t="s">
        <v>92</v>
      </c>
    </row>
    <row r="465" spans="1:7" x14ac:dyDescent="0.25">
      <c r="A465" s="2">
        <v>44733</v>
      </c>
      <c r="B465" s="20">
        <v>3030</v>
      </c>
      <c r="C465" s="14" t="s">
        <v>92</v>
      </c>
      <c r="D465" s="14" t="s">
        <v>92</v>
      </c>
      <c r="E465" s="14" t="s">
        <v>92</v>
      </c>
      <c r="F465" s="14" t="s">
        <v>92</v>
      </c>
      <c r="G465" s="14" t="s">
        <v>92</v>
      </c>
    </row>
    <row r="466" spans="1:7" x14ac:dyDescent="0.25">
      <c r="A466" s="2">
        <v>44732</v>
      </c>
      <c r="B466" s="20">
        <v>2900</v>
      </c>
      <c r="C466" s="14" t="s">
        <v>92</v>
      </c>
      <c r="D466" s="14" t="s">
        <v>92</v>
      </c>
      <c r="E466" s="14" t="s">
        <v>92</v>
      </c>
      <c r="F466" s="14" t="s">
        <v>92</v>
      </c>
      <c r="G466" s="14" t="s">
        <v>92</v>
      </c>
    </row>
    <row r="467" spans="1:7" x14ac:dyDescent="0.25">
      <c r="A467" s="2">
        <v>44729</v>
      </c>
      <c r="B467" s="20">
        <v>2892</v>
      </c>
      <c r="C467" s="14" t="s">
        <v>92</v>
      </c>
      <c r="D467" s="14" t="s">
        <v>92</v>
      </c>
      <c r="E467" s="14" t="s">
        <v>92</v>
      </c>
      <c r="F467" s="14" t="s">
        <v>92</v>
      </c>
      <c r="G467" s="14" t="s">
        <v>92</v>
      </c>
    </row>
    <row r="468" spans="1:7" x14ac:dyDescent="0.25">
      <c r="A468" s="2">
        <v>44728</v>
      </c>
      <c r="B468" s="20">
        <v>2900</v>
      </c>
      <c r="C468" s="14" t="s">
        <v>92</v>
      </c>
      <c r="D468" s="14" t="s">
        <v>92</v>
      </c>
      <c r="E468" s="14" t="s">
        <v>92</v>
      </c>
      <c r="F468" s="14" t="s">
        <v>92</v>
      </c>
      <c r="G468" s="14" t="s">
        <v>92</v>
      </c>
    </row>
    <row r="469" spans="1:7" x14ac:dyDescent="0.25">
      <c r="A469" s="2">
        <v>44727</v>
      </c>
      <c r="B469" s="20">
        <v>2900</v>
      </c>
      <c r="C469" s="14" t="s">
        <v>92</v>
      </c>
      <c r="D469" s="14" t="s">
        <v>92</v>
      </c>
      <c r="E469" s="14" t="s">
        <v>92</v>
      </c>
      <c r="F469" s="14" t="s">
        <v>92</v>
      </c>
      <c r="G469" s="14" t="s">
        <v>92</v>
      </c>
    </row>
    <row r="470" spans="1:7" x14ac:dyDescent="0.25">
      <c r="A470" s="2">
        <v>44726</v>
      </c>
      <c r="B470" s="20">
        <v>2794</v>
      </c>
      <c r="C470" s="14" t="s">
        <v>92</v>
      </c>
      <c r="D470" s="14" t="s">
        <v>92</v>
      </c>
      <c r="E470" s="14" t="s">
        <v>92</v>
      </c>
      <c r="F470" s="14" t="s">
        <v>92</v>
      </c>
      <c r="G470" s="14" t="s">
        <v>92</v>
      </c>
    </row>
    <row r="471" spans="1:7" x14ac:dyDescent="0.25">
      <c r="A471" s="2">
        <v>44725</v>
      </c>
      <c r="B471" s="20">
        <v>2622</v>
      </c>
      <c r="C471" s="14" t="s">
        <v>92</v>
      </c>
      <c r="D471" s="14" t="s">
        <v>92</v>
      </c>
      <c r="E471" s="14" t="s">
        <v>92</v>
      </c>
      <c r="F471" s="14" t="s">
        <v>92</v>
      </c>
      <c r="G471" s="14" t="s">
        <v>92</v>
      </c>
    </row>
    <row r="472" spans="1:7" x14ac:dyDescent="0.25">
      <c r="A472" s="2">
        <v>44722</v>
      </c>
      <c r="B472" s="20">
        <v>2662</v>
      </c>
      <c r="C472" s="14" t="s">
        <v>92</v>
      </c>
      <c r="D472" s="14" t="s">
        <v>92</v>
      </c>
      <c r="E472" s="14" t="s">
        <v>92</v>
      </c>
      <c r="F472" s="14" t="s">
        <v>92</v>
      </c>
      <c r="G472" s="14" t="s">
        <v>92</v>
      </c>
    </row>
    <row r="473" spans="1:7" x14ac:dyDescent="0.25">
      <c r="A473" s="2">
        <v>44721</v>
      </c>
      <c r="B473" s="20">
        <v>2746</v>
      </c>
      <c r="C473" s="14" t="s">
        <v>92</v>
      </c>
      <c r="D473" s="14" t="s">
        <v>92</v>
      </c>
      <c r="E473" s="14" t="s">
        <v>92</v>
      </c>
      <c r="F473" s="14" t="s">
        <v>92</v>
      </c>
      <c r="G473" s="14" t="s">
        <v>92</v>
      </c>
    </row>
    <row r="474" spans="1:7" x14ac:dyDescent="0.25">
      <c r="A474" s="2">
        <v>44720</v>
      </c>
      <c r="B474" s="20">
        <v>2802</v>
      </c>
      <c r="C474" s="14" t="s">
        <v>92</v>
      </c>
      <c r="D474" s="14" t="s">
        <v>92</v>
      </c>
      <c r="E474" s="14" t="s">
        <v>92</v>
      </c>
      <c r="F474" s="14" t="s">
        <v>92</v>
      </c>
      <c r="G474" s="14" t="s">
        <v>92</v>
      </c>
    </row>
    <row r="475" spans="1:7" x14ac:dyDescent="0.25">
      <c r="A475" s="2">
        <v>44719</v>
      </c>
      <c r="B475" s="20">
        <v>2798</v>
      </c>
      <c r="C475" s="14" t="s">
        <v>92</v>
      </c>
      <c r="D475" s="14" t="s">
        <v>92</v>
      </c>
      <c r="E475" s="14" t="s">
        <v>92</v>
      </c>
      <c r="F475" s="14" t="s">
        <v>92</v>
      </c>
      <c r="G475" s="14" t="s">
        <v>92</v>
      </c>
    </row>
    <row r="476" spans="1:7" x14ac:dyDescent="0.25">
      <c r="A476" s="2">
        <v>44715</v>
      </c>
      <c r="B476" s="20">
        <v>2842</v>
      </c>
      <c r="C476" s="14" t="s">
        <v>92</v>
      </c>
      <c r="D476" s="14" t="s">
        <v>92</v>
      </c>
      <c r="E476" s="14" t="s">
        <v>92</v>
      </c>
      <c r="F476" s="14" t="s">
        <v>92</v>
      </c>
      <c r="G476" s="14" t="s">
        <v>92</v>
      </c>
    </row>
    <row r="477" spans="1:7" x14ac:dyDescent="0.25">
      <c r="A477" s="2">
        <v>44714</v>
      </c>
      <c r="B477" s="20">
        <v>2798</v>
      </c>
      <c r="C477" s="14" t="s">
        <v>92</v>
      </c>
      <c r="D477" s="14" t="s">
        <v>92</v>
      </c>
      <c r="E477" s="14" t="s">
        <v>92</v>
      </c>
      <c r="F477" s="14" t="s">
        <v>92</v>
      </c>
      <c r="G477" s="14" t="s">
        <v>92</v>
      </c>
    </row>
    <row r="478" spans="1:7" x14ac:dyDescent="0.25">
      <c r="A478" s="2">
        <v>44713</v>
      </c>
      <c r="B478" s="20">
        <v>2770</v>
      </c>
      <c r="C478" s="14" t="s">
        <v>92</v>
      </c>
      <c r="D478" s="14" t="s">
        <v>92</v>
      </c>
      <c r="E478" s="14" t="s">
        <v>92</v>
      </c>
      <c r="F478" s="14" t="s">
        <v>92</v>
      </c>
      <c r="G478" s="14" t="s">
        <v>92</v>
      </c>
    </row>
    <row r="479" spans="1:7" x14ac:dyDescent="0.25">
      <c r="A479" s="2">
        <v>44712</v>
      </c>
      <c r="B479" s="20">
        <v>2658</v>
      </c>
      <c r="C479" s="14" t="s">
        <v>92</v>
      </c>
      <c r="D479" s="14" t="s">
        <v>92</v>
      </c>
      <c r="E479" s="14" t="s">
        <v>92</v>
      </c>
      <c r="F479" s="14" t="s">
        <v>92</v>
      </c>
      <c r="G479" s="14" t="s">
        <v>92</v>
      </c>
    </row>
    <row r="480" spans="1:7" x14ac:dyDescent="0.25">
      <c r="A480" s="2">
        <v>44711</v>
      </c>
      <c r="B480" s="20">
        <v>2516</v>
      </c>
      <c r="C480" s="14" t="s">
        <v>92</v>
      </c>
      <c r="D480" s="14" t="s">
        <v>92</v>
      </c>
      <c r="E480" s="14" t="s">
        <v>92</v>
      </c>
      <c r="F480" s="14" t="s">
        <v>92</v>
      </c>
      <c r="G480" s="14" t="s">
        <v>92</v>
      </c>
    </row>
    <row r="481" spans="1:7" x14ac:dyDescent="0.25">
      <c r="A481" s="2">
        <v>44708</v>
      </c>
      <c r="B481" s="20">
        <v>2560</v>
      </c>
      <c r="C481" s="14" t="s">
        <v>92</v>
      </c>
      <c r="D481" s="14" t="s">
        <v>92</v>
      </c>
      <c r="E481" s="14" t="s">
        <v>92</v>
      </c>
      <c r="F481" s="14" t="s">
        <v>92</v>
      </c>
      <c r="G481" s="14" t="s">
        <v>92</v>
      </c>
    </row>
    <row r="482" spans="1:7" x14ac:dyDescent="0.25">
      <c r="A482" s="2">
        <v>44707</v>
      </c>
      <c r="B482" s="20">
        <v>2504</v>
      </c>
      <c r="C482" s="14" t="s">
        <v>92</v>
      </c>
      <c r="D482" s="14" t="s">
        <v>92</v>
      </c>
      <c r="E482" s="14" t="s">
        <v>92</v>
      </c>
      <c r="F482" s="14" t="s">
        <v>92</v>
      </c>
      <c r="G482" s="14" t="s">
        <v>92</v>
      </c>
    </row>
    <row r="483" spans="1:7" x14ac:dyDescent="0.25">
      <c r="A483" s="2">
        <v>44706</v>
      </c>
      <c r="B483" s="20">
        <v>2756</v>
      </c>
      <c r="C483" s="14" t="s">
        <v>92</v>
      </c>
      <c r="D483" s="14" t="s">
        <v>92</v>
      </c>
      <c r="E483" s="14" t="s">
        <v>92</v>
      </c>
      <c r="F483" s="14" t="s">
        <v>92</v>
      </c>
      <c r="G483" s="14" t="s">
        <v>92</v>
      </c>
    </row>
    <row r="484" spans="1:7" x14ac:dyDescent="0.25">
      <c r="A484" s="2">
        <v>44705</v>
      </c>
      <c r="B484" s="20">
        <v>2872</v>
      </c>
      <c r="C484" s="14" t="s">
        <v>92</v>
      </c>
      <c r="D484" s="14" t="s">
        <v>92</v>
      </c>
      <c r="E484" s="14" t="s">
        <v>92</v>
      </c>
      <c r="F484" s="14" t="s">
        <v>92</v>
      </c>
      <c r="G484" s="14" t="s">
        <v>92</v>
      </c>
    </row>
    <row r="485" spans="1:7" x14ac:dyDescent="0.25">
      <c r="A485" s="2">
        <v>44704</v>
      </c>
      <c r="B485" s="20">
        <v>2842</v>
      </c>
      <c r="C485" s="14" t="s">
        <v>92</v>
      </c>
      <c r="D485" s="14" t="s">
        <v>92</v>
      </c>
      <c r="E485" s="14" t="s">
        <v>92</v>
      </c>
      <c r="F485" s="14" t="s">
        <v>92</v>
      </c>
      <c r="G485" s="14" t="s">
        <v>92</v>
      </c>
    </row>
    <row r="486" spans="1:7" x14ac:dyDescent="0.25">
      <c r="A486" s="2">
        <v>44701</v>
      </c>
      <c r="B486" s="20">
        <v>2700</v>
      </c>
      <c r="C486" s="14" t="s">
        <v>92</v>
      </c>
      <c r="D486" s="14" t="s">
        <v>92</v>
      </c>
      <c r="E486" s="14" t="s">
        <v>92</v>
      </c>
      <c r="F486" s="14" t="s">
        <v>92</v>
      </c>
      <c r="G486" s="14" t="s">
        <v>92</v>
      </c>
    </row>
    <row r="487" spans="1:7" x14ac:dyDescent="0.25">
      <c r="A487" s="2">
        <v>44700</v>
      </c>
      <c r="B487" s="20">
        <v>2716</v>
      </c>
      <c r="C487" s="14" t="s">
        <v>92</v>
      </c>
      <c r="D487" s="14" t="s">
        <v>92</v>
      </c>
      <c r="E487" s="14" t="s">
        <v>92</v>
      </c>
      <c r="F487" s="14" t="s">
        <v>92</v>
      </c>
      <c r="G487" s="14" t="s">
        <v>92</v>
      </c>
    </row>
    <row r="488" spans="1:7" x14ac:dyDescent="0.25">
      <c r="A488" s="2">
        <v>44699</v>
      </c>
      <c r="B488" s="20">
        <v>2870</v>
      </c>
      <c r="C488" s="14" t="s">
        <v>92</v>
      </c>
      <c r="D488" s="14" t="s">
        <v>92</v>
      </c>
      <c r="E488" s="14" t="s">
        <v>92</v>
      </c>
      <c r="F488" s="14" t="s">
        <v>92</v>
      </c>
      <c r="G488" s="14" t="s">
        <v>92</v>
      </c>
    </row>
    <row r="489" spans="1:7" x14ac:dyDescent="0.25">
      <c r="A489" s="2">
        <v>44698</v>
      </c>
      <c r="B489" s="20">
        <v>2834</v>
      </c>
      <c r="C489" s="14" t="s">
        <v>92</v>
      </c>
      <c r="D489" s="14" t="s">
        <v>92</v>
      </c>
      <c r="E489" s="14" t="s">
        <v>92</v>
      </c>
      <c r="F489" s="14" t="s">
        <v>92</v>
      </c>
      <c r="G489" s="14" t="s">
        <v>92</v>
      </c>
    </row>
    <row r="490" spans="1:7" x14ac:dyDescent="0.25">
      <c r="A490" s="2">
        <v>44697</v>
      </c>
      <c r="B490" s="20">
        <v>2800</v>
      </c>
      <c r="C490" s="14" t="s">
        <v>92</v>
      </c>
      <c r="D490" s="14" t="s">
        <v>92</v>
      </c>
      <c r="E490" s="14" t="s">
        <v>92</v>
      </c>
      <c r="F490" s="14" t="s">
        <v>92</v>
      </c>
      <c r="G490" s="14" t="s">
        <v>92</v>
      </c>
    </row>
    <row r="491" spans="1:7" x14ac:dyDescent="0.25">
      <c r="A491" s="2">
        <v>44694</v>
      </c>
      <c r="B491" s="20">
        <v>2828</v>
      </c>
      <c r="C491" s="14" t="s">
        <v>92</v>
      </c>
      <c r="D491" s="14" t="s">
        <v>92</v>
      </c>
      <c r="E491" s="14" t="s">
        <v>92</v>
      </c>
      <c r="F491" s="14" t="s">
        <v>92</v>
      </c>
      <c r="G491" s="14" t="s">
        <v>92</v>
      </c>
    </row>
    <row r="492" spans="1:7" x14ac:dyDescent="0.25">
      <c r="A492" s="2">
        <v>44693</v>
      </c>
      <c r="B492" s="20">
        <v>2740</v>
      </c>
      <c r="C492" s="14" t="s">
        <v>92</v>
      </c>
      <c r="D492" s="14" t="s">
        <v>92</v>
      </c>
      <c r="E492" s="14" t="s">
        <v>92</v>
      </c>
      <c r="F492" s="14" t="s">
        <v>92</v>
      </c>
      <c r="G492" s="14" t="s">
        <v>92</v>
      </c>
    </row>
    <row r="493" spans="1:7" x14ac:dyDescent="0.25">
      <c r="A493" s="2">
        <v>44692</v>
      </c>
      <c r="B493" s="20">
        <v>2792</v>
      </c>
      <c r="C493" s="14" t="s">
        <v>92</v>
      </c>
      <c r="D493" s="14" t="s">
        <v>92</v>
      </c>
      <c r="E493" s="14" t="s">
        <v>92</v>
      </c>
      <c r="F493" s="14" t="s">
        <v>92</v>
      </c>
      <c r="G493" s="14" t="s">
        <v>92</v>
      </c>
    </row>
    <row r="494" spans="1:7" x14ac:dyDescent="0.25">
      <c r="A494" s="2">
        <v>44691</v>
      </c>
      <c r="B494" s="20">
        <v>2770</v>
      </c>
      <c r="C494" s="14" t="s">
        <v>92</v>
      </c>
      <c r="D494" s="14" t="s">
        <v>92</v>
      </c>
      <c r="E494" s="14" t="s">
        <v>92</v>
      </c>
      <c r="F494" s="14" t="s">
        <v>92</v>
      </c>
      <c r="G494" s="14" t="s">
        <v>92</v>
      </c>
    </row>
    <row r="495" spans="1:7" x14ac:dyDescent="0.25">
      <c r="A495" s="2">
        <v>44690</v>
      </c>
      <c r="B495" s="20">
        <v>2878</v>
      </c>
      <c r="C495" s="14" t="s">
        <v>92</v>
      </c>
      <c r="D495" s="14" t="s">
        <v>92</v>
      </c>
      <c r="E495" s="14" t="s">
        <v>92</v>
      </c>
      <c r="F495" s="14" t="s">
        <v>92</v>
      </c>
      <c r="G495" s="14" t="s">
        <v>92</v>
      </c>
    </row>
    <row r="496" spans="1:7" x14ac:dyDescent="0.25">
      <c r="A496" s="2">
        <v>44687</v>
      </c>
      <c r="B496" s="20">
        <v>2928</v>
      </c>
      <c r="C496" s="14" t="s">
        <v>92</v>
      </c>
      <c r="D496" s="14" t="s">
        <v>92</v>
      </c>
      <c r="E496" s="14" t="s">
        <v>92</v>
      </c>
      <c r="F496" s="14" t="s">
        <v>92</v>
      </c>
      <c r="G496" s="14" t="s">
        <v>92</v>
      </c>
    </row>
    <row r="497" spans="1:7" x14ac:dyDescent="0.25">
      <c r="A497" s="2">
        <v>44686</v>
      </c>
      <c r="B497" s="20">
        <v>2990</v>
      </c>
      <c r="C497" s="14" t="s">
        <v>92</v>
      </c>
      <c r="D497" s="14" t="s">
        <v>92</v>
      </c>
      <c r="E497" s="14" t="s">
        <v>92</v>
      </c>
      <c r="F497" s="14" t="s">
        <v>92</v>
      </c>
      <c r="G497" s="14" t="s">
        <v>92</v>
      </c>
    </row>
    <row r="498" spans="1:7" x14ac:dyDescent="0.25">
      <c r="A498" s="2">
        <v>44685</v>
      </c>
      <c r="B498" s="20">
        <v>3028</v>
      </c>
      <c r="C498" s="14" t="s">
        <v>92</v>
      </c>
      <c r="D498" s="14" t="s">
        <v>92</v>
      </c>
      <c r="E498" s="14" t="s">
        <v>92</v>
      </c>
      <c r="F498" s="14" t="s">
        <v>92</v>
      </c>
      <c r="G498" s="14" t="s">
        <v>92</v>
      </c>
    </row>
    <row r="499" spans="1:7" x14ac:dyDescent="0.25">
      <c r="A499" s="2">
        <v>44684</v>
      </c>
      <c r="B499" s="20">
        <v>3032</v>
      </c>
      <c r="C499" s="14" t="s">
        <v>92</v>
      </c>
      <c r="D499" s="14" t="s">
        <v>92</v>
      </c>
      <c r="E499" s="14" t="s">
        <v>92</v>
      </c>
      <c r="F499" s="14" t="s">
        <v>92</v>
      </c>
      <c r="G499" s="14" t="s">
        <v>92</v>
      </c>
    </row>
    <row r="500" spans="1:7" x14ac:dyDescent="0.25">
      <c r="A500" s="2">
        <v>44683</v>
      </c>
      <c r="B500" s="20">
        <v>2910</v>
      </c>
      <c r="C500" s="14" t="s">
        <v>92</v>
      </c>
      <c r="D500" s="14" t="s">
        <v>92</v>
      </c>
      <c r="E500" s="14" t="s">
        <v>92</v>
      </c>
      <c r="F500" s="14" t="s">
        <v>92</v>
      </c>
      <c r="G500" s="14" t="s">
        <v>92</v>
      </c>
    </row>
    <row r="501" spans="1:7" x14ac:dyDescent="0.25">
      <c r="A501" s="2">
        <v>44680</v>
      </c>
      <c r="B501" s="20">
        <v>3058</v>
      </c>
      <c r="C501" s="14" t="s">
        <v>92</v>
      </c>
      <c r="D501" s="14" t="s">
        <v>92</v>
      </c>
      <c r="E501" s="14" t="s">
        <v>92</v>
      </c>
      <c r="F501" s="14" t="s">
        <v>92</v>
      </c>
      <c r="G501" s="14" t="s">
        <v>92</v>
      </c>
    </row>
    <row r="502" spans="1:7" x14ac:dyDescent="0.25">
      <c r="A502" s="2">
        <v>44679</v>
      </c>
      <c r="B502" s="20">
        <v>3070</v>
      </c>
      <c r="C502" s="14" t="s">
        <v>92</v>
      </c>
      <c r="D502" s="14" t="s">
        <v>92</v>
      </c>
      <c r="E502" s="14" t="s">
        <v>92</v>
      </c>
      <c r="F502" s="14" t="s">
        <v>92</v>
      </c>
      <c r="G502" s="14" t="s">
        <v>92</v>
      </c>
    </row>
    <row r="503" spans="1:7" x14ac:dyDescent="0.25">
      <c r="A503" s="2">
        <v>44678</v>
      </c>
      <c r="B503" s="20">
        <v>2980</v>
      </c>
      <c r="C503" s="14" t="s">
        <v>92</v>
      </c>
      <c r="D503" s="14" t="s">
        <v>92</v>
      </c>
      <c r="E503" s="14" t="s">
        <v>92</v>
      </c>
      <c r="F503" s="14" t="s">
        <v>92</v>
      </c>
      <c r="G503" s="14" t="s">
        <v>92</v>
      </c>
    </row>
    <row r="504" spans="1:7" x14ac:dyDescent="0.25">
      <c r="A504" s="2">
        <v>44677</v>
      </c>
      <c r="B504" s="20">
        <v>3000</v>
      </c>
      <c r="C504" s="14" t="s">
        <v>92</v>
      </c>
      <c r="D504" s="14" t="s">
        <v>92</v>
      </c>
      <c r="E504" s="14" t="s">
        <v>92</v>
      </c>
      <c r="F504" s="14" t="s">
        <v>92</v>
      </c>
      <c r="G504" s="14" t="s">
        <v>92</v>
      </c>
    </row>
    <row r="505" spans="1:7" x14ac:dyDescent="0.25">
      <c r="A505" s="2">
        <v>44676</v>
      </c>
      <c r="B505" s="20">
        <v>3010</v>
      </c>
      <c r="C505" s="14" t="s">
        <v>92</v>
      </c>
      <c r="D505" s="14" t="s">
        <v>92</v>
      </c>
      <c r="E505" s="14" t="s">
        <v>92</v>
      </c>
      <c r="F505" s="14" t="s">
        <v>92</v>
      </c>
      <c r="G505" s="14" t="s">
        <v>92</v>
      </c>
    </row>
    <row r="506" spans="1:7" x14ac:dyDescent="0.25">
      <c r="A506" s="2">
        <v>44673</v>
      </c>
      <c r="B506" s="20">
        <v>3060</v>
      </c>
      <c r="C506" s="14" t="s">
        <v>92</v>
      </c>
      <c r="D506" s="14" t="s">
        <v>92</v>
      </c>
      <c r="E506" s="14" t="s">
        <v>92</v>
      </c>
      <c r="F506" s="14" t="s">
        <v>92</v>
      </c>
      <c r="G506" s="14" t="s">
        <v>92</v>
      </c>
    </row>
    <row r="507" spans="1:7" x14ac:dyDescent="0.25">
      <c r="A507" s="2">
        <v>44672</v>
      </c>
      <c r="B507" s="20">
        <v>3104</v>
      </c>
      <c r="C507" s="14" t="s">
        <v>92</v>
      </c>
      <c r="D507" s="14" t="s">
        <v>92</v>
      </c>
      <c r="E507" s="14" t="s">
        <v>92</v>
      </c>
      <c r="F507" s="14" t="s">
        <v>92</v>
      </c>
      <c r="G507" s="14" t="s">
        <v>92</v>
      </c>
    </row>
    <row r="508" spans="1:7" x14ac:dyDescent="0.25">
      <c r="A508" s="2">
        <v>44671</v>
      </c>
      <c r="B508" s="20">
        <v>3156</v>
      </c>
      <c r="C508" s="14" t="s">
        <v>92</v>
      </c>
      <c r="D508" s="14" t="s">
        <v>92</v>
      </c>
      <c r="E508" s="14" t="s">
        <v>92</v>
      </c>
      <c r="F508" s="14" t="s">
        <v>92</v>
      </c>
      <c r="G508" s="14" t="s">
        <v>92</v>
      </c>
    </row>
    <row r="509" spans="1:7" x14ac:dyDescent="0.25">
      <c r="A509" s="2">
        <v>44670</v>
      </c>
      <c r="B509" s="20">
        <v>3072</v>
      </c>
      <c r="C509" s="14" t="s">
        <v>92</v>
      </c>
      <c r="D509" s="14" t="s">
        <v>92</v>
      </c>
      <c r="E509" s="14" t="s">
        <v>92</v>
      </c>
      <c r="F509" s="14" t="s">
        <v>92</v>
      </c>
      <c r="G509" s="14" t="s">
        <v>92</v>
      </c>
    </row>
    <row r="510" spans="1:7" x14ac:dyDescent="0.25">
      <c r="A510" s="2">
        <v>44665</v>
      </c>
      <c r="B510" s="20">
        <v>3000</v>
      </c>
      <c r="C510" s="14" t="s">
        <v>92</v>
      </c>
      <c r="D510" s="14" t="s">
        <v>92</v>
      </c>
      <c r="E510" s="14" t="s">
        <v>92</v>
      </c>
      <c r="F510" s="14" t="s">
        <v>92</v>
      </c>
      <c r="G510" s="14" t="s">
        <v>92</v>
      </c>
    </row>
    <row r="511" spans="1:7" x14ac:dyDescent="0.25">
      <c r="A511" s="2">
        <v>44664</v>
      </c>
      <c r="B511" s="20">
        <v>2888</v>
      </c>
      <c r="C511" s="14" t="s">
        <v>92</v>
      </c>
      <c r="D511" s="68"/>
      <c r="E511" s="68"/>
      <c r="F511" s="68"/>
      <c r="G511" s="72"/>
    </row>
    <row r="512" spans="1:7" x14ac:dyDescent="0.25">
      <c r="A512" s="2">
        <v>44663</v>
      </c>
      <c r="B512" s="20">
        <v>2800</v>
      </c>
      <c r="C512" s="14" t="s">
        <v>92</v>
      </c>
      <c r="D512" s="68"/>
      <c r="E512" s="68"/>
      <c r="F512" s="68"/>
      <c r="G512" s="72"/>
    </row>
    <row r="513" spans="1:7" x14ac:dyDescent="0.25">
      <c r="A513" s="2">
        <v>44662</v>
      </c>
      <c r="B513" s="20">
        <v>2800</v>
      </c>
      <c r="C513" s="14" t="s">
        <v>92</v>
      </c>
      <c r="D513" s="68"/>
      <c r="E513" s="68"/>
      <c r="F513" s="68"/>
      <c r="G513" s="72"/>
    </row>
    <row r="514" spans="1:7" x14ac:dyDescent="0.25">
      <c r="A514" s="2">
        <v>44659</v>
      </c>
      <c r="B514" s="20">
        <v>2784</v>
      </c>
      <c r="C514" s="14" t="s">
        <v>92</v>
      </c>
      <c r="D514" s="68"/>
      <c r="E514" s="68"/>
      <c r="F514" s="68"/>
      <c r="G514" s="72"/>
    </row>
    <row r="515" spans="1:7" x14ac:dyDescent="0.25">
      <c r="A515" s="2">
        <v>44658</v>
      </c>
      <c r="B515" s="20">
        <v>2750</v>
      </c>
      <c r="C515" s="14" t="s">
        <v>92</v>
      </c>
      <c r="D515" s="68"/>
      <c r="E515" s="68"/>
      <c r="F515" s="68"/>
      <c r="G515" s="72"/>
    </row>
    <row r="516" spans="1:7" x14ac:dyDescent="0.25">
      <c r="A516" s="2">
        <v>44657</v>
      </c>
      <c r="B516" s="20">
        <v>2744</v>
      </c>
      <c r="C516" s="14" t="s">
        <v>92</v>
      </c>
      <c r="D516" s="68"/>
      <c r="E516" s="68"/>
      <c r="F516" s="68"/>
      <c r="G516" s="72"/>
    </row>
    <row r="517" spans="1:7" x14ac:dyDescent="0.25">
      <c r="A517" s="2">
        <v>44656</v>
      </c>
      <c r="B517" s="20">
        <v>2850</v>
      </c>
      <c r="C517" s="14" t="s">
        <v>92</v>
      </c>
      <c r="D517" s="68"/>
      <c r="E517" s="68"/>
      <c r="F517" s="68"/>
      <c r="G517" s="72"/>
    </row>
    <row r="518" spans="1:7" x14ac:dyDescent="0.25">
      <c r="A518" s="2">
        <v>44655</v>
      </c>
      <c r="B518" s="20">
        <v>2940</v>
      </c>
      <c r="C518" s="14" t="s">
        <v>92</v>
      </c>
      <c r="D518" s="68"/>
      <c r="E518" s="68"/>
      <c r="F518" s="68"/>
      <c r="G518" s="72"/>
    </row>
    <row r="519" spans="1:7" x14ac:dyDescent="0.25">
      <c r="A519" s="2">
        <v>44652</v>
      </c>
      <c r="B519" s="20">
        <v>2908</v>
      </c>
      <c r="C519" s="14" t="s">
        <v>92</v>
      </c>
      <c r="D519" s="68"/>
      <c r="E519" s="68"/>
      <c r="F519" s="68"/>
      <c r="G519" s="72"/>
    </row>
    <row r="520" spans="1:7" x14ac:dyDescent="0.25">
      <c r="A520" s="2">
        <v>44651</v>
      </c>
      <c r="B520" s="20">
        <v>2930</v>
      </c>
      <c r="C520" s="14" t="s">
        <v>92</v>
      </c>
      <c r="D520" s="68"/>
      <c r="E520" s="68"/>
      <c r="F520" s="68"/>
      <c r="G520" s="72"/>
    </row>
    <row r="521" spans="1:7" x14ac:dyDescent="0.25">
      <c r="A521" s="2">
        <v>44650</v>
      </c>
      <c r="B521" s="20">
        <v>2950</v>
      </c>
      <c r="C521" s="14" t="s">
        <v>92</v>
      </c>
      <c r="D521" s="68"/>
      <c r="E521" s="68"/>
      <c r="F521" s="68"/>
      <c r="G521" s="72"/>
    </row>
    <row r="522" spans="1:7" x14ac:dyDescent="0.25">
      <c r="A522" s="2">
        <v>44649</v>
      </c>
      <c r="B522" s="20">
        <v>2894</v>
      </c>
      <c r="C522" s="14" t="s">
        <v>92</v>
      </c>
      <c r="D522" s="68"/>
      <c r="E522" s="68"/>
      <c r="F522" s="68"/>
      <c r="G522" s="72"/>
    </row>
    <row r="523" spans="1:7" x14ac:dyDescent="0.25">
      <c r="A523" s="2">
        <v>44648</v>
      </c>
      <c r="B523" s="20">
        <v>2802</v>
      </c>
      <c r="C523" s="14" t="s">
        <v>92</v>
      </c>
      <c r="D523" s="68"/>
      <c r="E523" s="68"/>
      <c r="F523" s="68"/>
      <c r="G523" s="72"/>
    </row>
    <row r="524" spans="1:7" x14ac:dyDescent="0.25">
      <c r="A524" s="2">
        <v>44645</v>
      </c>
      <c r="B524" s="20">
        <v>2810</v>
      </c>
      <c r="C524" s="14" t="s">
        <v>92</v>
      </c>
      <c r="D524" s="68"/>
      <c r="E524" s="68"/>
      <c r="F524" s="68"/>
      <c r="G524" s="72"/>
    </row>
    <row r="525" spans="1:7" x14ac:dyDescent="0.25">
      <c r="A525" s="2">
        <v>44644</v>
      </c>
      <c r="B525" s="20">
        <v>2790</v>
      </c>
      <c r="C525" s="14" t="s">
        <v>92</v>
      </c>
      <c r="D525" s="68"/>
      <c r="E525" s="68"/>
      <c r="F525" s="68"/>
      <c r="G525" s="72"/>
    </row>
    <row r="526" spans="1:7" x14ac:dyDescent="0.25">
      <c r="A526" s="2">
        <v>44643</v>
      </c>
      <c r="B526" s="20">
        <v>2800</v>
      </c>
      <c r="C526" s="14" t="s">
        <v>92</v>
      </c>
      <c r="D526" s="68"/>
      <c r="E526" s="68"/>
      <c r="F526" s="68"/>
      <c r="G526" s="72"/>
    </row>
    <row r="527" spans="1:7" x14ac:dyDescent="0.25">
      <c r="A527" s="2">
        <v>44642</v>
      </c>
      <c r="B527" s="20">
        <v>2650</v>
      </c>
      <c r="C527" s="14" t="s">
        <v>92</v>
      </c>
      <c r="D527" s="68"/>
      <c r="E527" s="68"/>
      <c r="F527" s="68"/>
      <c r="G527" s="72"/>
    </row>
    <row r="528" spans="1:7" x14ac:dyDescent="0.25">
      <c r="A528" s="2">
        <v>44641</v>
      </c>
      <c r="B528" s="20">
        <v>2634</v>
      </c>
      <c r="C528" s="14" t="s">
        <v>92</v>
      </c>
      <c r="D528" s="68"/>
      <c r="E528" s="68"/>
      <c r="F528" s="68"/>
      <c r="G528" s="72"/>
    </row>
    <row r="529" spans="1:7" x14ac:dyDescent="0.25">
      <c r="A529" s="2">
        <v>44638</v>
      </c>
      <c r="B529" s="20">
        <v>2560</v>
      </c>
      <c r="C529" s="14" t="s">
        <v>92</v>
      </c>
      <c r="D529" s="68"/>
      <c r="E529" s="68"/>
      <c r="F529" s="68"/>
      <c r="G529" s="72"/>
    </row>
    <row r="530" spans="1:7" x14ac:dyDescent="0.25">
      <c r="A530" s="2">
        <v>44637</v>
      </c>
      <c r="B530" s="20">
        <v>2646</v>
      </c>
      <c r="C530" s="14" t="s">
        <v>92</v>
      </c>
      <c r="D530" s="68"/>
      <c r="E530" s="68"/>
      <c r="F530" s="68"/>
      <c r="G530" s="72"/>
    </row>
    <row r="531" spans="1:7" x14ac:dyDescent="0.25">
      <c r="A531" s="2">
        <v>44636</v>
      </c>
      <c r="B531" s="20">
        <v>2640</v>
      </c>
      <c r="C531" s="14" t="s">
        <v>92</v>
      </c>
      <c r="D531" s="68"/>
      <c r="E531" s="68"/>
      <c r="F531" s="68"/>
      <c r="G531" s="72"/>
    </row>
    <row r="532" spans="1:7" x14ac:dyDescent="0.25">
      <c r="A532" s="2">
        <v>44631</v>
      </c>
      <c r="B532" s="20">
        <v>2590</v>
      </c>
      <c r="C532" s="14" t="s">
        <v>92</v>
      </c>
      <c r="D532" s="68"/>
      <c r="E532" s="68"/>
      <c r="F532" s="68"/>
      <c r="G532" s="72"/>
    </row>
    <row r="533" spans="1:7" x14ac:dyDescent="0.25">
      <c r="A533" s="2">
        <v>44630</v>
      </c>
      <c r="B533" s="20">
        <v>2554</v>
      </c>
      <c r="C533" s="14" t="s">
        <v>92</v>
      </c>
      <c r="D533" s="68"/>
      <c r="E533" s="68"/>
      <c r="F533" s="68"/>
      <c r="G533" s="72"/>
    </row>
    <row r="534" spans="1:7" x14ac:dyDescent="0.25">
      <c r="A534" s="2">
        <v>44629</v>
      </c>
      <c r="B534" s="20">
        <v>2644</v>
      </c>
      <c r="C534" s="14" t="s">
        <v>92</v>
      </c>
      <c r="D534" s="68"/>
      <c r="E534" s="68"/>
      <c r="F534" s="68"/>
      <c r="G534" s="72"/>
    </row>
    <row r="535" spans="1:7" x14ac:dyDescent="0.25">
      <c r="A535" s="2">
        <v>44628</v>
      </c>
      <c r="B535" s="20">
        <v>2640</v>
      </c>
      <c r="C535" s="14" t="s">
        <v>92</v>
      </c>
      <c r="D535" s="68"/>
      <c r="E535" s="68"/>
      <c r="F535" s="68"/>
      <c r="G535" s="72"/>
    </row>
    <row r="536" spans="1:7" x14ac:dyDescent="0.25">
      <c r="A536" s="2">
        <v>44627</v>
      </c>
      <c r="B536" s="20">
        <v>2604</v>
      </c>
      <c r="C536" s="14" t="s">
        <v>92</v>
      </c>
      <c r="D536" s="68"/>
      <c r="E536" s="68"/>
      <c r="F536" s="68"/>
      <c r="G536" s="72"/>
    </row>
    <row r="537" spans="1:7" x14ac:dyDescent="0.25">
      <c r="A537" s="2">
        <v>44624</v>
      </c>
      <c r="B537" s="20">
        <v>2512</v>
      </c>
      <c r="C537" s="14" t="s">
        <v>92</v>
      </c>
      <c r="D537" s="68"/>
      <c r="E537" s="68"/>
      <c r="F537" s="68"/>
      <c r="G537" s="72"/>
    </row>
    <row r="538" spans="1:7" x14ac:dyDescent="0.25">
      <c r="A538" s="2">
        <v>44623</v>
      </c>
      <c r="B538" s="20">
        <v>2500</v>
      </c>
      <c r="C538" s="14" t="s">
        <v>92</v>
      </c>
      <c r="D538" s="68"/>
      <c r="E538" s="68"/>
      <c r="F538" s="68"/>
      <c r="G538" s="72"/>
    </row>
    <row r="539" spans="1:7" x14ac:dyDescent="0.25">
      <c r="A539" s="2">
        <v>44622</v>
      </c>
      <c r="B539" s="20">
        <v>2448</v>
      </c>
      <c r="C539" s="14" t="s">
        <v>92</v>
      </c>
      <c r="D539" s="68"/>
      <c r="E539" s="68"/>
      <c r="F539" s="68"/>
      <c r="G539" s="72"/>
    </row>
    <row r="540" spans="1:7" x14ac:dyDescent="0.25">
      <c r="A540" s="2">
        <v>44621</v>
      </c>
      <c r="B540" s="20">
        <v>2444</v>
      </c>
      <c r="C540" s="14" t="s">
        <v>92</v>
      </c>
      <c r="D540" s="68"/>
      <c r="E540" s="68"/>
      <c r="F540" s="68"/>
      <c r="G540" s="72"/>
    </row>
    <row r="541" spans="1:7" x14ac:dyDescent="0.25">
      <c r="A541" s="2">
        <v>44620</v>
      </c>
      <c r="B541" s="20">
        <v>2590</v>
      </c>
      <c r="C541" s="14" t="s">
        <v>92</v>
      </c>
      <c r="D541" s="68"/>
      <c r="E541" s="68"/>
      <c r="F541" s="68"/>
      <c r="G541" s="72"/>
    </row>
    <row r="542" spans="1:7" x14ac:dyDescent="0.25">
      <c r="A542" s="2">
        <v>44617</v>
      </c>
      <c r="B542" s="20">
        <v>2460</v>
      </c>
      <c r="C542" s="14" t="s">
        <v>92</v>
      </c>
      <c r="D542" s="68"/>
      <c r="E542" s="68"/>
      <c r="F542" s="68"/>
      <c r="G542" s="72"/>
    </row>
    <row r="543" spans="1:7" x14ac:dyDescent="0.25">
      <c r="A543" s="2">
        <v>44616</v>
      </c>
      <c r="B543" s="20">
        <v>2340</v>
      </c>
      <c r="C543" s="14" t="s">
        <v>92</v>
      </c>
      <c r="D543" s="68"/>
      <c r="E543" s="68"/>
      <c r="F543" s="68"/>
      <c r="G543" s="72"/>
    </row>
    <row r="544" spans="1:7" x14ac:dyDescent="0.25">
      <c r="A544" s="2">
        <v>44615</v>
      </c>
      <c r="B544" s="20">
        <v>2522</v>
      </c>
      <c r="C544" s="14" t="s">
        <v>92</v>
      </c>
      <c r="D544" s="68"/>
      <c r="E544" s="68"/>
      <c r="F544" s="68"/>
      <c r="G544" s="72"/>
    </row>
    <row r="545" spans="1:7" x14ac:dyDescent="0.25">
      <c r="A545" s="2">
        <v>44614</v>
      </c>
      <c r="B545" s="20">
        <v>2562</v>
      </c>
      <c r="C545" s="14" t="s">
        <v>92</v>
      </c>
      <c r="D545" s="68"/>
      <c r="E545" s="68"/>
      <c r="F545" s="68"/>
      <c r="G545" s="72"/>
    </row>
    <row r="546" spans="1:7" x14ac:dyDescent="0.25">
      <c r="A546" s="2">
        <v>44613</v>
      </c>
      <c r="B546" s="20">
        <v>2558</v>
      </c>
      <c r="C546" s="14" t="s">
        <v>92</v>
      </c>
      <c r="D546" s="68"/>
      <c r="E546" s="68"/>
      <c r="F546" s="68"/>
      <c r="G546" s="72"/>
    </row>
    <row r="547" spans="1:7" x14ac:dyDescent="0.25">
      <c r="A547" s="2">
        <v>44610</v>
      </c>
      <c r="B547" s="20">
        <v>2614</v>
      </c>
      <c r="C547" s="14" t="s">
        <v>92</v>
      </c>
      <c r="D547" s="68"/>
      <c r="E547" s="68"/>
      <c r="F547" s="68"/>
      <c r="G547" s="72"/>
    </row>
    <row r="548" spans="1:7" x14ac:dyDescent="0.25">
      <c r="A548" s="2">
        <v>44609</v>
      </c>
      <c r="B548" s="20">
        <v>2652</v>
      </c>
      <c r="C548" s="14" t="s">
        <v>92</v>
      </c>
      <c r="D548" s="68"/>
      <c r="E548" s="68"/>
      <c r="F548" s="68"/>
      <c r="G548" s="72"/>
    </row>
    <row r="549" spans="1:7" x14ac:dyDescent="0.25">
      <c r="A549" s="2">
        <v>44608</v>
      </c>
      <c r="B549" s="20">
        <v>2662</v>
      </c>
      <c r="C549" s="14" t="s">
        <v>92</v>
      </c>
      <c r="D549" s="68"/>
      <c r="E549" s="68"/>
      <c r="F549" s="68"/>
      <c r="G549" s="72"/>
    </row>
    <row r="550" spans="1:7" x14ac:dyDescent="0.25">
      <c r="A550" s="2">
        <v>44607</v>
      </c>
      <c r="B550" s="20">
        <v>2648</v>
      </c>
      <c r="C550" s="14" t="s">
        <v>92</v>
      </c>
      <c r="D550" s="68"/>
      <c r="E550" s="68"/>
      <c r="F550" s="68"/>
      <c r="G550" s="72"/>
    </row>
    <row r="551" spans="1:7" x14ac:dyDescent="0.25">
      <c r="A551" s="2">
        <v>44606</v>
      </c>
      <c r="B551" s="20">
        <v>2648</v>
      </c>
      <c r="C551" s="14" t="s">
        <v>92</v>
      </c>
      <c r="D551" s="68"/>
      <c r="E551" s="68"/>
      <c r="F551" s="68"/>
      <c r="G551" s="72"/>
    </row>
    <row r="552" spans="1:7" x14ac:dyDescent="0.25">
      <c r="A552" s="2">
        <v>44603</v>
      </c>
      <c r="B552" s="20">
        <v>2670</v>
      </c>
      <c r="C552" s="14" t="s">
        <v>92</v>
      </c>
      <c r="D552" s="68"/>
      <c r="E552" s="68"/>
      <c r="F552" s="68"/>
      <c r="G552" s="72"/>
    </row>
    <row r="553" spans="1:7" x14ac:dyDescent="0.25">
      <c r="A553" s="2">
        <v>44602</v>
      </c>
      <c r="B553" s="20">
        <v>2670</v>
      </c>
      <c r="C553" s="14" t="s">
        <v>92</v>
      </c>
      <c r="D553" s="68"/>
      <c r="E553" s="68"/>
      <c r="F553" s="68"/>
      <c r="G553" s="72"/>
    </row>
    <row r="554" spans="1:7" x14ac:dyDescent="0.25">
      <c r="A554" s="2">
        <v>44601</v>
      </c>
      <c r="B554" s="20">
        <v>2702</v>
      </c>
      <c r="C554" s="14" t="s">
        <v>92</v>
      </c>
      <c r="D554" s="68"/>
      <c r="E554" s="68"/>
      <c r="F554" s="68"/>
      <c r="G554" s="72"/>
    </row>
    <row r="555" spans="1:7" x14ac:dyDescent="0.25">
      <c r="A555" s="2">
        <v>44600</v>
      </c>
      <c r="B555" s="20">
        <v>2710</v>
      </c>
      <c r="C555" s="14" t="s">
        <v>92</v>
      </c>
      <c r="D555" s="68"/>
      <c r="E555" s="68"/>
      <c r="F555" s="68"/>
      <c r="G555" s="72"/>
    </row>
    <row r="556" spans="1:7" x14ac:dyDescent="0.25">
      <c r="A556" s="2">
        <v>44599</v>
      </c>
      <c r="B556" s="20">
        <v>2662</v>
      </c>
      <c r="C556" s="14" t="s">
        <v>92</v>
      </c>
      <c r="D556" s="68"/>
      <c r="E556" s="68"/>
      <c r="F556" s="68"/>
      <c r="G556" s="72"/>
    </row>
    <row r="557" spans="1:7" x14ac:dyDescent="0.25">
      <c r="A557" s="2">
        <v>44596</v>
      </c>
      <c r="B557" s="20">
        <v>2678</v>
      </c>
      <c r="C557" s="14" t="s">
        <v>92</v>
      </c>
      <c r="D557" s="68"/>
      <c r="E557" s="68"/>
      <c r="F557" s="68"/>
      <c r="G557" s="72"/>
    </row>
    <row r="558" spans="1:7" x14ac:dyDescent="0.25">
      <c r="A558" s="2">
        <v>44595</v>
      </c>
      <c r="B558" s="20">
        <v>2682</v>
      </c>
      <c r="C558" s="14" t="s">
        <v>92</v>
      </c>
      <c r="D558" s="68"/>
      <c r="E558" s="68"/>
      <c r="F558" s="68"/>
      <c r="G558" s="72"/>
    </row>
    <row r="559" spans="1:7" x14ac:dyDescent="0.25">
      <c r="A559" s="2">
        <v>44594</v>
      </c>
      <c r="B559" s="20">
        <v>2710</v>
      </c>
      <c r="C559" s="14" t="s">
        <v>92</v>
      </c>
      <c r="D559" s="68"/>
      <c r="E559" s="68"/>
      <c r="F559" s="68"/>
      <c r="G559" s="72"/>
    </row>
    <row r="560" spans="1:7" x14ac:dyDescent="0.25">
      <c r="A560" s="2">
        <v>44593</v>
      </c>
      <c r="B560" s="20">
        <v>2700</v>
      </c>
      <c r="C560" s="14" t="s">
        <v>92</v>
      </c>
      <c r="D560" s="68"/>
      <c r="E560" s="68"/>
      <c r="F560" s="68"/>
      <c r="G560" s="72"/>
    </row>
    <row r="561" spans="1:7" x14ac:dyDescent="0.25">
      <c r="A561" s="2">
        <v>44592</v>
      </c>
      <c r="B561" s="20">
        <v>2750</v>
      </c>
      <c r="C561" s="14" t="s">
        <v>92</v>
      </c>
      <c r="D561" s="68"/>
      <c r="E561" s="68"/>
      <c r="F561" s="68"/>
      <c r="G561" s="72"/>
    </row>
    <row r="562" spans="1:7" x14ac:dyDescent="0.25">
      <c r="A562" s="2">
        <v>44589</v>
      </c>
      <c r="B562" s="20">
        <v>2728</v>
      </c>
      <c r="C562" s="14" t="s">
        <v>92</v>
      </c>
      <c r="D562" s="68"/>
      <c r="E562" s="68"/>
      <c r="F562" s="68"/>
      <c r="G562" s="72"/>
    </row>
    <row r="563" spans="1:7" x14ac:dyDescent="0.25">
      <c r="A563" s="2">
        <v>44588</v>
      </c>
      <c r="B563" s="20">
        <v>2750</v>
      </c>
      <c r="C563" s="14" t="s">
        <v>92</v>
      </c>
      <c r="D563" s="68"/>
      <c r="E563" s="68"/>
      <c r="F563" s="68"/>
      <c r="G563" s="72"/>
    </row>
    <row r="564" spans="1:7" x14ac:dyDescent="0.25">
      <c r="A564" s="2">
        <v>44587</v>
      </c>
      <c r="B564" s="20">
        <v>2670</v>
      </c>
      <c r="C564" s="14" t="s">
        <v>92</v>
      </c>
      <c r="D564" s="68"/>
      <c r="E564" s="68"/>
      <c r="F564" s="68"/>
      <c r="G564" s="72"/>
    </row>
    <row r="565" spans="1:7" x14ac:dyDescent="0.25">
      <c r="A565" s="2">
        <v>44586</v>
      </c>
      <c r="B565" s="20">
        <v>2660</v>
      </c>
      <c r="C565" s="14" t="s">
        <v>92</v>
      </c>
      <c r="D565" s="68"/>
      <c r="E565" s="68"/>
      <c r="F565" s="68"/>
      <c r="G565" s="72"/>
    </row>
    <row r="566" spans="1:7" x14ac:dyDescent="0.25">
      <c r="A566" s="2">
        <v>44585</v>
      </c>
      <c r="B566" s="20">
        <v>2620</v>
      </c>
      <c r="C566" s="14" t="s">
        <v>92</v>
      </c>
      <c r="D566" s="68"/>
      <c r="E566" s="68"/>
      <c r="F566" s="68"/>
      <c r="G566" s="72"/>
    </row>
    <row r="567" spans="1:7" x14ac:dyDescent="0.25">
      <c r="A567" s="2">
        <v>44582</v>
      </c>
      <c r="B567" s="20">
        <v>2684</v>
      </c>
      <c r="C567" s="14" t="s">
        <v>92</v>
      </c>
      <c r="D567" s="68"/>
      <c r="E567" s="68"/>
      <c r="F567" s="68"/>
      <c r="G567" s="72"/>
    </row>
    <row r="568" spans="1:7" x14ac:dyDescent="0.25">
      <c r="A568" s="2">
        <v>44581</v>
      </c>
      <c r="B568" s="20">
        <v>2652</v>
      </c>
      <c r="C568" s="14" t="s">
        <v>92</v>
      </c>
      <c r="D568" s="68"/>
      <c r="E568" s="68"/>
      <c r="F568" s="68"/>
      <c r="G568" s="72"/>
    </row>
    <row r="569" spans="1:7" x14ac:dyDescent="0.25">
      <c r="A569" s="2">
        <v>44580</v>
      </c>
      <c r="B569" s="20">
        <v>2660</v>
      </c>
      <c r="C569" s="14" t="s">
        <v>92</v>
      </c>
      <c r="D569" s="68"/>
      <c r="E569" s="68"/>
      <c r="F569" s="68"/>
      <c r="G569" s="72"/>
    </row>
    <row r="570" spans="1:7" x14ac:dyDescent="0.25">
      <c r="A570" s="2">
        <v>44579</v>
      </c>
      <c r="B570" s="20">
        <v>2624</v>
      </c>
      <c r="C570" s="14" t="s">
        <v>92</v>
      </c>
      <c r="D570" s="68"/>
      <c r="E570" s="68"/>
      <c r="F570" s="68"/>
      <c r="G570" s="72"/>
    </row>
    <row r="571" spans="1:7" x14ac:dyDescent="0.25">
      <c r="A571" s="2">
        <v>44578</v>
      </c>
      <c r="B571" s="20">
        <v>2668</v>
      </c>
      <c r="C571" s="14" t="s">
        <v>92</v>
      </c>
      <c r="D571" s="68"/>
      <c r="E571" s="68"/>
      <c r="F571" s="68"/>
      <c r="G571" s="72"/>
    </row>
    <row r="572" spans="1:7" x14ac:dyDescent="0.25">
      <c r="A572" s="2">
        <v>44575</v>
      </c>
      <c r="B572" s="20">
        <v>2652</v>
      </c>
      <c r="C572" s="14" t="s">
        <v>92</v>
      </c>
      <c r="D572" s="68"/>
      <c r="E572" s="68"/>
      <c r="F572" s="68"/>
      <c r="G572" s="72"/>
    </row>
    <row r="573" spans="1:7" x14ac:dyDescent="0.25">
      <c r="A573" s="2">
        <v>44574</v>
      </c>
      <c r="B573" s="20">
        <v>2686</v>
      </c>
      <c r="C573" s="14" t="s">
        <v>92</v>
      </c>
      <c r="D573" s="68"/>
      <c r="E573" s="68"/>
      <c r="F573" s="68"/>
      <c r="G573" s="72"/>
    </row>
    <row r="574" spans="1:7" x14ac:dyDescent="0.25">
      <c r="A574" s="2">
        <v>44573</v>
      </c>
      <c r="B574" s="20">
        <v>2690</v>
      </c>
      <c r="C574" s="14" t="s">
        <v>92</v>
      </c>
      <c r="D574" s="68"/>
      <c r="E574" s="68"/>
      <c r="F574" s="68"/>
      <c r="G574" s="72"/>
    </row>
    <row r="575" spans="1:7" x14ac:dyDescent="0.25">
      <c r="A575" s="2">
        <v>44572</v>
      </c>
      <c r="B575" s="20">
        <v>2648</v>
      </c>
      <c r="C575" s="14" t="s">
        <v>92</v>
      </c>
      <c r="D575" s="68"/>
      <c r="E575" s="68"/>
      <c r="F575" s="68"/>
      <c r="G575" s="72"/>
    </row>
    <row r="576" spans="1:7" x14ac:dyDescent="0.25">
      <c r="A576" s="2">
        <v>44571</v>
      </c>
      <c r="B576" s="20">
        <v>2636</v>
      </c>
      <c r="C576" s="14" t="s">
        <v>92</v>
      </c>
      <c r="D576" s="68"/>
      <c r="E576" s="68"/>
      <c r="F576" s="68"/>
      <c r="G576" s="72"/>
    </row>
    <row r="577" spans="1:7" x14ac:dyDescent="0.25">
      <c r="A577" s="2">
        <v>44568</v>
      </c>
      <c r="B577" s="20">
        <v>2600</v>
      </c>
      <c r="C577" s="14" t="s">
        <v>92</v>
      </c>
      <c r="D577" s="68"/>
      <c r="E577" s="68"/>
      <c r="F577" s="68"/>
      <c r="G577" s="72"/>
    </row>
    <row r="578" spans="1:7" x14ac:dyDescent="0.25">
      <c r="A578" s="2">
        <v>44567</v>
      </c>
      <c r="B578" s="20">
        <v>2610</v>
      </c>
      <c r="C578" s="14" t="s">
        <v>92</v>
      </c>
      <c r="D578" s="68"/>
      <c r="E578" s="68"/>
      <c r="F578" s="68"/>
      <c r="G578" s="72"/>
    </row>
    <row r="579" spans="1:7" x14ac:dyDescent="0.25">
      <c r="A579" s="2">
        <v>44566</v>
      </c>
      <c r="B579" s="20">
        <v>2618</v>
      </c>
      <c r="C579" s="14" t="s">
        <v>92</v>
      </c>
      <c r="D579" s="68"/>
      <c r="E579" s="68"/>
      <c r="F579" s="68"/>
      <c r="G579" s="72"/>
    </row>
    <row r="580" spans="1:7" x14ac:dyDescent="0.25">
      <c r="A580" s="2">
        <v>44565</v>
      </c>
      <c r="B580" s="20">
        <v>2600</v>
      </c>
      <c r="C580" s="14" t="s">
        <v>92</v>
      </c>
      <c r="D580" s="68"/>
      <c r="E580" s="68"/>
      <c r="F580" s="68"/>
      <c r="G580" s="72"/>
    </row>
    <row r="581" spans="1:7" x14ac:dyDescent="0.25">
      <c r="A581" s="2">
        <v>44564</v>
      </c>
      <c r="B581" s="20">
        <v>2584</v>
      </c>
      <c r="C581" s="14" t="s">
        <v>92</v>
      </c>
      <c r="D581" s="68"/>
      <c r="E581" s="68"/>
      <c r="F581" s="68"/>
      <c r="G581" s="72"/>
    </row>
    <row r="582" spans="1:7" x14ac:dyDescent="0.25">
      <c r="A582" s="2">
        <v>44560</v>
      </c>
      <c r="B582" s="20">
        <v>2520</v>
      </c>
      <c r="C582" s="14" t="s">
        <v>92</v>
      </c>
      <c r="D582" s="68"/>
      <c r="E582" s="68"/>
      <c r="F582" s="68"/>
      <c r="G582" s="72"/>
    </row>
    <row r="583" spans="1:7" x14ac:dyDescent="0.25">
      <c r="A583" s="2">
        <v>44559</v>
      </c>
      <c r="B583" s="20">
        <v>2500</v>
      </c>
      <c r="C583" s="14" t="s">
        <v>92</v>
      </c>
      <c r="D583" s="68"/>
      <c r="E583" s="68"/>
      <c r="F583" s="68"/>
      <c r="G583" s="72"/>
    </row>
    <row r="584" spans="1:7" x14ac:dyDescent="0.25">
      <c r="A584" s="2">
        <v>44558</v>
      </c>
      <c r="B584" s="20">
        <v>2440</v>
      </c>
      <c r="C584" s="14" t="s">
        <v>92</v>
      </c>
      <c r="D584" s="68"/>
      <c r="E584" s="68"/>
      <c r="F584" s="68"/>
      <c r="G584" s="72"/>
    </row>
    <row r="585" spans="1:7" x14ac:dyDescent="0.25">
      <c r="A585" s="2">
        <v>44557</v>
      </c>
      <c r="B585" s="20">
        <v>2454</v>
      </c>
      <c r="C585" s="14" t="s">
        <v>92</v>
      </c>
      <c r="D585" s="68"/>
      <c r="E585" s="68"/>
      <c r="F585" s="68"/>
      <c r="G585" s="72"/>
    </row>
    <row r="586" spans="1:7" x14ac:dyDescent="0.25">
      <c r="A586" s="2">
        <v>44553</v>
      </c>
      <c r="B586" s="20">
        <v>2470</v>
      </c>
      <c r="C586" s="14" t="s">
        <v>92</v>
      </c>
      <c r="D586" s="68"/>
      <c r="E586" s="68"/>
      <c r="F586" s="68"/>
      <c r="G586" s="72"/>
    </row>
    <row r="587" spans="1:7" x14ac:dyDescent="0.25">
      <c r="A587" s="2">
        <v>44552</v>
      </c>
      <c r="B587" s="20">
        <v>2470</v>
      </c>
      <c r="C587" s="14" t="s">
        <v>92</v>
      </c>
      <c r="D587" s="68"/>
      <c r="E587" s="68"/>
      <c r="F587" s="68"/>
      <c r="G587" s="72"/>
    </row>
    <row r="588" spans="1:7" x14ac:dyDescent="0.25">
      <c r="A588" s="2">
        <v>44551</v>
      </c>
      <c r="B588" s="20">
        <v>2440</v>
      </c>
      <c r="C588" s="14" t="s">
        <v>92</v>
      </c>
      <c r="D588" s="68"/>
      <c r="E588" s="68"/>
      <c r="F588" s="68"/>
      <c r="G588" s="72"/>
    </row>
    <row r="589" spans="1:7" x14ac:dyDescent="0.25">
      <c r="A589" s="2">
        <v>44550</v>
      </c>
      <c r="B589" s="20">
        <v>2438</v>
      </c>
      <c r="C589" s="14" t="s">
        <v>92</v>
      </c>
      <c r="D589" s="68"/>
      <c r="E589" s="68"/>
      <c r="F589" s="68"/>
      <c r="G589" s="72"/>
    </row>
    <row r="590" spans="1:7" x14ac:dyDescent="0.25">
      <c r="A590" s="2">
        <v>44547</v>
      </c>
      <c r="B590" s="20">
        <v>2450</v>
      </c>
      <c r="C590" s="14" t="s">
        <v>92</v>
      </c>
      <c r="D590" s="68"/>
      <c r="E590" s="68"/>
      <c r="F590" s="68"/>
      <c r="G590" s="72"/>
    </row>
    <row r="591" spans="1:7" x14ac:dyDescent="0.25">
      <c r="A591" s="2">
        <v>44546</v>
      </c>
      <c r="B591" s="20">
        <v>2440</v>
      </c>
      <c r="C591" s="14" t="s">
        <v>92</v>
      </c>
      <c r="D591" s="68"/>
      <c r="E591" s="68"/>
      <c r="F591" s="68"/>
      <c r="G591" s="72"/>
    </row>
    <row r="592" spans="1:7" x14ac:dyDescent="0.25">
      <c r="A592" s="2">
        <v>44545</v>
      </c>
      <c r="B592" s="20">
        <v>2420</v>
      </c>
      <c r="C592" s="14" t="s">
        <v>92</v>
      </c>
      <c r="D592" s="68"/>
      <c r="E592" s="68"/>
      <c r="F592" s="68"/>
      <c r="G592" s="72"/>
    </row>
    <row r="593" spans="1:7" x14ac:dyDescent="0.25">
      <c r="A593" s="2">
        <v>44544</v>
      </c>
      <c r="B593" s="20">
        <v>2430</v>
      </c>
      <c r="C593" s="14" t="s">
        <v>92</v>
      </c>
      <c r="D593" s="68"/>
      <c r="E593" s="68"/>
      <c r="F593" s="68"/>
      <c r="G593" s="72"/>
    </row>
    <row r="594" spans="1:7" x14ac:dyDescent="0.25">
      <c r="A594" s="2">
        <v>44543</v>
      </c>
      <c r="B594" s="20">
        <v>2422</v>
      </c>
      <c r="C594" s="14" t="s">
        <v>92</v>
      </c>
      <c r="D594" s="68"/>
      <c r="E594" s="68"/>
      <c r="F594" s="68"/>
      <c r="G594" s="72"/>
    </row>
    <row r="595" spans="1:7" x14ac:dyDescent="0.25">
      <c r="A595" s="2">
        <v>44540</v>
      </c>
      <c r="B595" s="20">
        <v>2446</v>
      </c>
      <c r="C595" s="14" t="s">
        <v>92</v>
      </c>
      <c r="D595" s="68"/>
      <c r="E595" s="68"/>
      <c r="F595" s="68"/>
      <c r="G595" s="72"/>
    </row>
    <row r="596" spans="1:7" x14ac:dyDescent="0.25">
      <c r="A596" s="2">
        <v>44539</v>
      </c>
      <c r="B596" s="20">
        <v>2456</v>
      </c>
      <c r="C596" s="14" t="s">
        <v>92</v>
      </c>
      <c r="D596" s="68"/>
      <c r="E596" s="68"/>
      <c r="F596" s="68"/>
      <c r="G596" s="72"/>
    </row>
    <row r="597" spans="1:7" x14ac:dyDescent="0.25">
      <c r="A597" s="2">
        <v>44538</v>
      </c>
      <c r="B597" s="20">
        <v>2454</v>
      </c>
      <c r="C597" s="14" t="s">
        <v>92</v>
      </c>
      <c r="D597" s="68"/>
      <c r="E597" s="68"/>
      <c r="F597" s="68"/>
      <c r="G597" s="72"/>
    </row>
    <row r="598" spans="1:7" x14ac:dyDescent="0.25">
      <c r="A598" s="2">
        <v>44537</v>
      </c>
      <c r="B598" s="20">
        <v>2456</v>
      </c>
      <c r="C598" s="14" t="s">
        <v>92</v>
      </c>
      <c r="D598" s="68"/>
      <c r="E598" s="68"/>
      <c r="F598" s="68"/>
      <c r="G598" s="72"/>
    </row>
    <row r="599" spans="1:7" x14ac:dyDescent="0.25">
      <c r="A599" s="2">
        <v>44536</v>
      </c>
      <c r="B599" s="20">
        <v>2434</v>
      </c>
      <c r="C599" s="14" t="s">
        <v>92</v>
      </c>
      <c r="D599" s="68"/>
      <c r="E599" s="68"/>
      <c r="F599" s="68"/>
      <c r="G599" s="72"/>
    </row>
    <row r="600" spans="1:7" x14ac:dyDescent="0.25">
      <c r="A600" s="2">
        <v>44533</v>
      </c>
      <c r="B600" s="20">
        <v>2410</v>
      </c>
      <c r="C600" s="14" t="s">
        <v>92</v>
      </c>
      <c r="D600" s="68"/>
      <c r="E600" s="68"/>
      <c r="F600" s="68"/>
      <c r="G600" s="72"/>
    </row>
    <row r="601" spans="1:7" x14ac:dyDescent="0.25">
      <c r="A601" s="2">
        <v>44532</v>
      </c>
      <c r="B601" s="20">
        <v>2434</v>
      </c>
      <c r="C601" s="14" t="s">
        <v>92</v>
      </c>
      <c r="D601" s="68"/>
      <c r="E601" s="68"/>
      <c r="F601" s="68"/>
      <c r="G601" s="72"/>
    </row>
    <row r="602" spans="1:7" x14ac:dyDescent="0.25">
      <c r="A602" s="2">
        <v>44531</v>
      </c>
      <c r="B602" s="20">
        <v>2446</v>
      </c>
      <c r="C602" s="14" t="s">
        <v>92</v>
      </c>
      <c r="D602" s="68"/>
      <c r="E602" s="68"/>
      <c r="F602" s="68"/>
      <c r="G602" s="72"/>
    </row>
    <row r="603" spans="1:7" x14ac:dyDescent="0.25">
      <c r="A603" s="2">
        <v>44530</v>
      </c>
      <c r="B603" s="20">
        <v>2416</v>
      </c>
      <c r="C603" s="14" t="s">
        <v>92</v>
      </c>
      <c r="D603" s="68"/>
      <c r="E603" s="68"/>
      <c r="F603" s="68"/>
      <c r="G603" s="72"/>
    </row>
    <row r="604" spans="1:7" x14ac:dyDescent="0.25">
      <c r="A604" s="2">
        <v>44529</v>
      </c>
      <c r="B604" s="20">
        <v>2440</v>
      </c>
      <c r="C604" s="14" t="s">
        <v>92</v>
      </c>
      <c r="D604" s="68"/>
      <c r="E604" s="68"/>
      <c r="F604" s="68"/>
      <c r="G604" s="72"/>
    </row>
    <row r="605" spans="1:7" x14ac:dyDescent="0.25">
      <c r="A605" s="2">
        <v>44526</v>
      </c>
      <c r="B605" s="20">
        <v>2450</v>
      </c>
      <c r="C605" s="14" t="s">
        <v>92</v>
      </c>
      <c r="D605" s="68"/>
      <c r="E605" s="68"/>
      <c r="F605" s="68"/>
      <c r="G605" s="72"/>
    </row>
    <row r="606" spans="1:7" x14ac:dyDescent="0.25">
      <c r="A606" s="2">
        <v>44525</v>
      </c>
      <c r="B606" s="20">
        <v>2474</v>
      </c>
      <c r="C606" s="14" t="s">
        <v>92</v>
      </c>
      <c r="D606" s="68"/>
      <c r="E606" s="68"/>
      <c r="F606" s="68"/>
      <c r="G606" s="72"/>
    </row>
    <row r="607" spans="1:7" x14ac:dyDescent="0.25">
      <c r="A607" s="2">
        <v>44524</v>
      </c>
      <c r="B607" s="20">
        <v>2538</v>
      </c>
      <c r="C607" s="14" t="s">
        <v>92</v>
      </c>
      <c r="D607" s="68"/>
      <c r="E607" s="68"/>
      <c r="F607" s="68"/>
      <c r="G607" s="72"/>
    </row>
    <row r="608" spans="1:7" x14ac:dyDescent="0.25">
      <c r="A608" s="2">
        <v>44523</v>
      </c>
      <c r="B608" s="20">
        <v>2546</v>
      </c>
      <c r="C608" s="14" t="s">
        <v>92</v>
      </c>
      <c r="D608" s="68"/>
      <c r="E608" s="68"/>
      <c r="F608" s="68"/>
      <c r="G608" s="72"/>
    </row>
    <row r="609" spans="1:7" x14ac:dyDescent="0.25">
      <c r="A609" s="2">
        <v>44522</v>
      </c>
      <c r="B609" s="20">
        <v>2430</v>
      </c>
      <c r="C609" s="14" t="s">
        <v>92</v>
      </c>
      <c r="D609" s="68"/>
      <c r="E609" s="68"/>
      <c r="F609" s="68"/>
      <c r="G609" s="72"/>
    </row>
    <row r="610" spans="1:7" x14ac:dyDescent="0.25">
      <c r="A610" s="2">
        <v>44519</v>
      </c>
      <c r="B610" s="20">
        <v>2436</v>
      </c>
      <c r="C610" s="14" t="s">
        <v>92</v>
      </c>
      <c r="D610" s="68"/>
      <c r="E610" s="68"/>
      <c r="F610" s="68"/>
      <c r="G610" s="72"/>
    </row>
    <row r="611" spans="1:7" x14ac:dyDescent="0.25">
      <c r="A611" s="2">
        <v>44518</v>
      </c>
      <c r="B611" s="20">
        <v>2518</v>
      </c>
      <c r="C611" s="14" t="s">
        <v>92</v>
      </c>
      <c r="D611" s="68"/>
      <c r="E611" s="68"/>
      <c r="F611" s="68"/>
      <c r="G611" s="72"/>
    </row>
    <row r="612" spans="1:7" x14ac:dyDescent="0.25">
      <c r="A612" s="2">
        <v>44517</v>
      </c>
      <c r="B612" s="20">
        <v>2508</v>
      </c>
      <c r="C612" s="14" t="s">
        <v>92</v>
      </c>
      <c r="D612" s="68"/>
      <c r="E612" s="68"/>
      <c r="F612" s="68"/>
      <c r="G612" s="72"/>
    </row>
    <row r="613" spans="1:7" x14ac:dyDescent="0.25">
      <c r="A613" s="2">
        <v>44516</v>
      </c>
      <c r="B613" s="20">
        <v>2502</v>
      </c>
      <c r="C613" s="14" t="s">
        <v>92</v>
      </c>
      <c r="D613" s="68"/>
      <c r="E613" s="68"/>
      <c r="F613" s="68"/>
      <c r="G613" s="72"/>
    </row>
    <row r="614" spans="1:7" x14ac:dyDescent="0.25">
      <c r="A614" s="2">
        <v>44515</v>
      </c>
      <c r="B614" s="20">
        <v>2516</v>
      </c>
      <c r="C614" s="14" t="s">
        <v>92</v>
      </c>
      <c r="D614" s="68"/>
      <c r="E614" s="68"/>
      <c r="F614" s="68"/>
      <c r="G614" s="72"/>
    </row>
    <row r="615" spans="1:7" x14ac:dyDescent="0.25">
      <c r="A615" s="2">
        <v>44512</v>
      </c>
      <c r="B615" s="20">
        <v>2468</v>
      </c>
      <c r="C615" s="14" t="s">
        <v>92</v>
      </c>
      <c r="D615" s="68"/>
      <c r="E615" s="68"/>
      <c r="F615" s="68"/>
      <c r="G615" s="72"/>
    </row>
    <row r="616" spans="1:7" x14ac:dyDescent="0.25">
      <c r="A616" s="2">
        <v>44511</v>
      </c>
      <c r="B616" s="20">
        <v>2550</v>
      </c>
      <c r="C616" s="14" t="s">
        <v>92</v>
      </c>
      <c r="D616" s="68"/>
      <c r="E616" s="68"/>
      <c r="F616" s="68"/>
      <c r="G616" s="72"/>
    </row>
    <row r="617" spans="1:7" x14ac:dyDescent="0.25">
      <c r="A617" s="2">
        <v>44510</v>
      </c>
      <c r="B617" s="20">
        <v>2678</v>
      </c>
      <c r="C617" s="14" t="s">
        <v>92</v>
      </c>
      <c r="D617" s="68"/>
      <c r="E617" s="68"/>
      <c r="F617" s="68"/>
      <c r="G617" s="72"/>
    </row>
    <row r="618" spans="1:7" x14ac:dyDescent="0.25">
      <c r="A618" s="2">
        <v>44509</v>
      </c>
      <c r="B618" s="20">
        <v>2724</v>
      </c>
      <c r="C618" s="14" t="s">
        <v>92</v>
      </c>
      <c r="D618" s="68"/>
      <c r="E618" s="68"/>
      <c r="F618" s="68"/>
      <c r="G618" s="72"/>
    </row>
    <row r="619" spans="1:7" x14ac:dyDescent="0.25">
      <c r="A619" s="2">
        <v>44508</v>
      </c>
      <c r="B619" s="20">
        <v>2700</v>
      </c>
      <c r="C619" s="14" t="s">
        <v>92</v>
      </c>
      <c r="D619" s="68"/>
      <c r="E619" s="68"/>
      <c r="F619" s="68"/>
      <c r="G619" s="72"/>
    </row>
    <row r="620" spans="1:7" x14ac:dyDescent="0.25">
      <c r="A620" s="2">
        <v>44505</v>
      </c>
      <c r="B620" s="20">
        <v>2756</v>
      </c>
      <c r="C620" s="14" t="s">
        <v>92</v>
      </c>
      <c r="D620" s="68"/>
      <c r="E620" s="68"/>
      <c r="F620" s="68"/>
      <c r="G620" s="72"/>
    </row>
    <row r="621" spans="1:7" x14ac:dyDescent="0.25">
      <c r="A621" s="2">
        <v>44504</v>
      </c>
      <c r="B621" s="20">
        <v>2794</v>
      </c>
      <c r="C621" s="14" t="s">
        <v>92</v>
      </c>
      <c r="D621" s="68"/>
      <c r="E621" s="68"/>
      <c r="F621" s="68"/>
      <c r="G621" s="72"/>
    </row>
    <row r="622" spans="1:7" x14ac:dyDescent="0.25">
      <c r="A622" s="2">
        <v>44503</v>
      </c>
      <c r="B622" s="20">
        <v>2730</v>
      </c>
      <c r="C622" s="14" t="s">
        <v>92</v>
      </c>
      <c r="D622" s="68"/>
      <c r="E622" s="68"/>
      <c r="F622" s="68"/>
      <c r="G622" s="72"/>
    </row>
    <row r="623" spans="1:7" x14ac:dyDescent="0.25">
      <c r="A623" s="2">
        <v>44502</v>
      </c>
      <c r="B623" s="20">
        <v>2676</v>
      </c>
      <c r="C623" s="14" t="s">
        <v>92</v>
      </c>
      <c r="D623" s="68"/>
      <c r="E623" s="68"/>
      <c r="F623" s="68"/>
      <c r="G623" s="72"/>
    </row>
    <row r="624" spans="1:7" x14ac:dyDescent="0.25">
      <c r="A624" s="2">
        <v>44498</v>
      </c>
      <c r="B624" s="20">
        <v>2660</v>
      </c>
      <c r="C624" s="14" t="s">
        <v>92</v>
      </c>
      <c r="D624" s="68"/>
      <c r="E624" s="68"/>
      <c r="F624" s="68"/>
      <c r="G624" s="72"/>
    </row>
    <row r="625" spans="1:7" x14ac:dyDescent="0.25">
      <c r="A625" s="2">
        <v>44497</v>
      </c>
      <c r="B625" s="20">
        <v>2654</v>
      </c>
      <c r="C625" s="14" t="s">
        <v>92</v>
      </c>
      <c r="D625" s="68"/>
      <c r="E625" s="68"/>
      <c r="F625" s="68"/>
      <c r="G625" s="72"/>
    </row>
    <row r="626" spans="1:7" x14ac:dyDescent="0.25">
      <c r="A626" s="2">
        <v>44496</v>
      </c>
      <c r="B626" s="20">
        <v>2730</v>
      </c>
      <c r="C626" s="14" t="s">
        <v>92</v>
      </c>
      <c r="D626" s="68"/>
      <c r="E626" s="68"/>
      <c r="F626" s="68"/>
      <c r="G626" s="72"/>
    </row>
    <row r="627" spans="1:7" x14ac:dyDescent="0.25">
      <c r="A627" s="2">
        <v>44495</v>
      </c>
      <c r="B627" s="20">
        <v>2746</v>
      </c>
      <c r="C627" s="14" t="s">
        <v>92</v>
      </c>
      <c r="D627" s="68"/>
      <c r="E627" s="68"/>
      <c r="F627" s="68"/>
      <c r="G627" s="72"/>
    </row>
    <row r="628" spans="1:7" x14ac:dyDescent="0.25">
      <c r="A628" s="2">
        <v>44494</v>
      </c>
      <c r="B628" s="20">
        <v>2748</v>
      </c>
      <c r="C628" s="14" t="s">
        <v>92</v>
      </c>
      <c r="D628" s="68"/>
      <c r="E628" s="68"/>
      <c r="F628" s="68"/>
      <c r="G628" s="72"/>
    </row>
    <row r="629" spans="1:7" x14ac:dyDescent="0.25">
      <c r="A629" s="2">
        <v>44491</v>
      </c>
      <c r="B629" s="20">
        <v>2770</v>
      </c>
      <c r="C629" s="14" t="s">
        <v>92</v>
      </c>
      <c r="D629" s="68"/>
      <c r="E629" s="68"/>
      <c r="F629" s="68"/>
      <c r="G629" s="72"/>
    </row>
    <row r="630" spans="1:7" x14ac:dyDescent="0.25">
      <c r="A630" s="2">
        <v>44490</v>
      </c>
      <c r="B630" s="20">
        <v>2760</v>
      </c>
      <c r="C630" s="14" t="s">
        <v>92</v>
      </c>
      <c r="D630" s="68"/>
      <c r="E630" s="68"/>
      <c r="F630" s="68"/>
      <c r="G630" s="72"/>
    </row>
    <row r="631" spans="1:7" x14ac:dyDescent="0.25">
      <c r="A631" s="2">
        <v>44489</v>
      </c>
      <c r="B631" s="20">
        <v>2720</v>
      </c>
      <c r="C631" s="14" t="s">
        <v>92</v>
      </c>
      <c r="D631" s="68"/>
      <c r="E631" s="68"/>
      <c r="F631" s="68"/>
      <c r="G631" s="72"/>
    </row>
    <row r="632" spans="1:7" x14ac:dyDescent="0.25">
      <c r="A632" s="2">
        <v>44488</v>
      </c>
      <c r="B632" s="20">
        <v>2728</v>
      </c>
      <c r="C632" s="14" t="s">
        <v>92</v>
      </c>
      <c r="D632" s="68"/>
      <c r="E632" s="68"/>
      <c r="F632" s="68"/>
      <c r="G632" s="72"/>
    </row>
    <row r="633" spans="1:7" x14ac:dyDescent="0.25">
      <c r="A633" s="2">
        <v>44487</v>
      </c>
      <c r="B633" s="20">
        <v>2720</v>
      </c>
      <c r="C633" s="14" t="s">
        <v>92</v>
      </c>
      <c r="D633" s="68"/>
      <c r="E633" s="68"/>
      <c r="F633" s="68"/>
      <c r="G633" s="72"/>
    </row>
    <row r="634" spans="1:7" x14ac:dyDescent="0.25">
      <c r="A634" s="2">
        <v>44484</v>
      </c>
      <c r="B634" s="20">
        <v>2738</v>
      </c>
      <c r="C634" s="14" t="s">
        <v>92</v>
      </c>
      <c r="D634" s="68"/>
      <c r="E634" s="68"/>
      <c r="F634" s="68"/>
      <c r="G634" s="72"/>
    </row>
    <row r="635" spans="1:7" x14ac:dyDescent="0.25">
      <c r="A635" s="2">
        <v>44483</v>
      </c>
      <c r="B635" s="20">
        <v>2768</v>
      </c>
      <c r="C635" s="14" t="s">
        <v>92</v>
      </c>
      <c r="D635" s="68"/>
      <c r="E635" s="68"/>
      <c r="F635" s="68"/>
      <c r="G635" s="72"/>
    </row>
    <row r="636" spans="1:7" x14ac:dyDescent="0.25">
      <c r="A636" s="2">
        <v>44482</v>
      </c>
      <c r="B636" s="20">
        <v>2694</v>
      </c>
      <c r="C636" s="14" t="s">
        <v>92</v>
      </c>
      <c r="D636" s="68"/>
      <c r="E636" s="68"/>
      <c r="F636" s="68"/>
      <c r="G636" s="72"/>
    </row>
    <row r="637" spans="1:7" x14ac:dyDescent="0.25">
      <c r="A637" s="2">
        <v>44481</v>
      </c>
      <c r="B637" s="20">
        <v>2740</v>
      </c>
      <c r="C637" s="14" t="s">
        <v>92</v>
      </c>
      <c r="D637" s="68"/>
      <c r="E637" s="68"/>
      <c r="F637" s="68"/>
      <c r="G637" s="72"/>
    </row>
    <row r="638" spans="1:7" x14ac:dyDescent="0.25">
      <c r="A638" s="2">
        <v>44480</v>
      </c>
      <c r="B638" s="20">
        <v>2708</v>
      </c>
      <c r="C638" s="14" t="s">
        <v>92</v>
      </c>
      <c r="D638" s="68"/>
      <c r="E638" s="68"/>
      <c r="F638" s="68"/>
      <c r="G638" s="72"/>
    </row>
    <row r="639" spans="1:7" x14ac:dyDescent="0.25">
      <c r="A639" s="2">
        <v>44477</v>
      </c>
      <c r="B639" s="20">
        <v>2684</v>
      </c>
      <c r="C639" s="14" t="s">
        <v>92</v>
      </c>
      <c r="D639" s="68"/>
      <c r="E639" s="68"/>
      <c r="F639" s="68"/>
      <c r="G639" s="72"/>
    </row>
    <row r="640" spans="1:7" x14ac:dyDescent="0.25">
      <c r="A640" s="2">
        <v>44476</v>
      </c>
      <c r="B640" s="20">
        <v>2680</v>
      </c>
      <c r="C640" s="14" t="s">
        <v>92</v>
      </c>
      <c r="D640" s="68"/>
      <c r="E640" s="68"/>
      <c r="F640" s="68"/>
      <c r="G640" s="72"/>
    </row>
    <row r="641" spans="1:7" x14ac:dyDescent="0.25">
      <c r="A641" s="2">
        <v>44475</v>
      </c>
      <c r="B641" s="20">
        <v>2688</v>
      </c>
      <c r="C641" s="14" t="s">
        <v>92</v>
      </c>
      <c r="D641" s="68"/>
      <c r="E641" s="68"/>
      <c r="F641" s="68"/>
      <c r="G641" s="72"/>
    </row>
    <row r="642" spans="1:7" x14ac:dyDescent="0.25">
      <c r="A642" s="2">
        <v>44474</v>
      </c>
      <c r="B642" s="20">
        <v>2660</v>
      </c>
      <c r="C642" s="14" t="s">
        <v>92</v>
      </c>
      <c r="D642" s="68"/>
      <c r="E642" s="68"/>
      <c r="F642" s="68"/>
      <c r="G642" s="72"/>
    </row>
    <row r="643" spans="1:7" x14ac:dyDescent="0.25">
      <c r="A643" s="2">
        <v>44473</v>
      </c>
      <c r="B643" s="20">
        <v>2606</v>
      </c>
      <c r="C643" s="14" t="s">
        <v>92</v>
      </c>
      <c r="D643" s="68"/>
      <c r="E643" s="68"/>
      <c r="F643" s="68"/>
      <c r="G643" s="72"/>
    </row>
    <row r="644" spans="1:7" x14ac:dyDescent="0.25">
      <c r="A644" s="2">
        <v>44470</v>
      </c>
      <c r="B644" s="20">
        <v>2594</v>
      </c>
      <c r="C644" s="14" t="s">
        <v>92</v>
      </c>
      <c r="D644" s="68"/>
      <c r="E644" s="68"/>
      <c r="F644" s="68"/>
      <c r="G644" s="72"/>
    </row>
    <row r="645" spans="1:7" x14ac:dyDescent="0.25">
      <c r="A645" s="2">
        <v>44469</v>
      </c>
      <c r="B645" s="20">
        <v>2584</v>
      </c>
      <c r="C645" s="14" t="s">
        <v>92</v>
      </c>
      <c r="D645" s="68"/>
      <c r="E645" s="68"/>
      <c r="F645" s="68"/>
      <c r="G645" s="72"/>
    </row>
    <row r="646" spans="1:7" x14ac:dyDescent="0.25">
      <c r="A646" s="2">
        <v>44468</v>
      </c>
      <c r="B646" s="20">
        <v>2538</v>
      </c>
      <c r="C646" s="14" t="s">
        <v>92</v>
      </c>
      <c r="D646" s="68"/>
      <c r="E646" s="68"/>
      <c r="F646" s="68"/>
      <c r="G646" s="72"/>
    </row>
    <row r="647" spans="1:7" x14ac:dyDescent="0.25">
      <c r="A647" s="2">
        <v>44467</v>
      </c>
      <c r="B647" s="20">
        <v>2476</v>
      </c>
      <c r="C647" s="14" t="s">
        <v>92</v>
      </c>
      <c r="D647" s="68"/>
      <c r="E647" s="68"/>
      <c r="F647" s="68"/>
      <c r="G647" s="72"/>
    </row>
    <row r="648" spans="1:7" x14ac:dyDescent="0.25">
      <c r="A648" s="2">
        <v>44466</v>
      </c>
      <c r="B648" s="20">
        <v>2462</v>
      </c>
      <c r="C648" s="14" t="s">
        <v>92</v>
      </c>
      <c r="D648" s="68"/>
      <c r="E648" s="68"/>
      <c r="F648" s="68"/>
      <c r="G648" s="72"/>
    </row>
    <row r="649" spans="1:7" x14ac:dyDescent="0.25">
      <c r="A649" s="2">
        <v>44463</v>
      </c>
      <c r="B649" s="20">
        <v>2460</v>
      </c>
      <c r="C649" s="14" t="s">
        <v>92</v>
      </c>
      <c r="D649" s="68"/>
      <c r="E649" s="68"/>
      <c r="F649" s="68"/>
      <c r="G649" s="72"/>
    </row>
    <row r="650" spans="1:7" x14ac:dyDescent="0.25">
      <c r="A650" s="2">
        <v>44462</v>
      </c>
      <c r="B650" s="20">
        <v>2446</v>
      </c>
      <c r="C650" s="14" t="s">
        <v>92</v>
      </c>
      <c r="D650" s="68"/>
      <c r="E650" s="68"/>
      <c r="F650" s="68"/>
      <c r="G650" s="72"/>
    </row>
    <row r="651" spans="1:7" x14ac:dyDescent="0.25">
      <c r="A651" s="2">
        <v>44461</v>
      </c>
      <c r="B651" s="20">
        <v>2410</v>
      </c>
      <c r="C651" s="14" t="s">
        <v>92</v>
      </c>
      <c r="D651" s="68"/>
      <c r="E651" s="68"/>
      <c r="F651" s="68"/>
      <c r="G651" s="72"/>
    </row>
    <row r="652" spans="1:7" x14ac:dyDescent="0.25">
      <c r="A652" s="2">
        <v>44460</v>
      </c>
      <c r="B652" s="20">
        <v>2364</v>
      </c>
      <c r="C652" s="14" t="s">
        <v>92</v>
      </c>
      <c r="D652" s="68"/>
      <c r="E652" s="68"/>
      <c r="F652" s="68"/>
      <c r="G652" s="72"/>
    </row>
    <row r="653" spans="1:7" x14ac:dyDescent="0.25">
      <c r="A653" s="2">
        <v>44459</v>
      </c>
      <c r="B653" s="20">
        <v>2378</v>
      </c>
      <c r="C653" s="14" t="s">
        <v>92</v>
      </c>
      <c r="D653" s="68"/>
      <c r="E653" s="68"/>
      <c r="F653" s="68"/>
      <c r="G653" s="72"/>
    </row>
    <row r="654" spans="1:7" x14ac:dyDescent="0.25">
      <c r="A654" s="2">
        <v>44456</v>
      </c>
      <c r="B654" s="20">
        <v>2436</v>
      </c>
      <c r="C654" s="14" t="s">
        <v>92</v>
      </c>
      <c r="D654" s="68"/>
      <c r="E654" s="68"/>
      <c r="F654" s="68"/>
      <c r="G654" s="72"/>
    </row>
    <row r="655" spans="1:7" x14ac:dyDescent="0.25">
      <c r="A655" s="2">
        <v>44455</v>
      </c>
      <c r="B655" s="20">
        <v>2438</v>
      </c>
      <c r="C655" s="14" t="s">
        <v>92</v>
      </c>
      <c r="D655" s="68"/>
      <c r="E655" s="68"/>
      <c r="F655" s="68"/>
      <c r="G655" s="72"/>
    </row>
    <row r="656" spans="1:7" x14ac:dyDescent="0.25">
      <c r="A656" s="2">
        <v>44454</v>
      </c>
      <c r="B656" s="20">
        <v>2444</v>
      </c>
      <c r="C656" s="14" t="s">
        <v>92</v>
      </c>
      <c r="D656" s="68"/>
      <c r="E656" s="68"/>
      <c r="F656" s="68"/>
      <c r="G656" s="72"/>
    </row>
    <row r="657" spans="1:7" x14ac:dyDescent="0.25">
      <c r="A657" s="2">
        <v>44453</v>
      </c>
      <c r="B657" s="20">
        <v>2396</v>
      </c>
      <c r="C657" s="14" t="s">
        <v>92</v>
      </c>
      <c r="D657" s="68"/>
      <c r="E657" s="68"/>
      <c r="F657" s="68"/>
      <c r="G657" s="72"/>
    </row>
    <row r="658" spans="1:7" x14ac:dyDescent="0.25">
      <c r="A658" s="2">
        <v>44452</v>
      </c>
      <c r="B658" s="20">
        <v>2398</v>
      </c>
      <c r="C658" s="14" t="s">
        <v>92</v>
      </c>
      <c r="D658" s="68"/>
      <c r="E658" s="68"/>
      <c r="F658" s="68"/>
      <c r="G658" s="72"/>
    </row>
    <row r="659" spans="1:7" x14ac:dyDescent="0.25">
      <c r="A659" s="2">
        <v>44449</v>
      </c>
      <c r="B659" s="20">
        <v>2400</v>
      </c>
      <c r="C659" s="14" t="s">
        <v>92</v>
      </c>
      <c r="D659" s="68"/>
      <c r="E659" s="68"/>
      <c r="F659" s="68"/>
      <c r="G659" s="72"/>
    </row>
    <row r="660" spans="1:7" x14ac:dyDescent="0.25">
      <c r="A660" s="2">
        <v>44448</v>
      </c>
      <c r="B660" s="20">
        <v>2400</v>
      </c>
      <c r="C660" s="14" t="s">
        <v>92</v>
      </c>
      <c r="D660" s="68"/>
      <c r="E660" s="68"/>
      <c r="F660" s="68"/>
      <c r="G660" s="72"/>
    </row>
    <row r="661" spans="1:7" x14ac:dyDescent="0.25">
      <c r="A661" s="2">
        <v>44447</v>
      </c>
      <c r="B661" s="20">
        <v>2408</v>
      </c>
      <c r="C661" s="14" t="s">
        <v>92</v>
      </c>
      <c r="D661" s="68"/>
      <c r="E661" s="68"/>
      <c r="F661" s="68"/>
      <c r="G661" s="72"/>
    </row>
    <row r="662" spans="1:7" x14ac:dyDescent="0.25">
      <c r="A662" s="2">
        <v>44446</v>
      </c>
      <c r="B662" s="20">
        <v>2400</v>
      </c>
      <c r="C662" s="14" t="s">
        <v>92</v>
      </c>
      <c r="D662" s="68"/>
      <c r="E662" s="68"/>
      <c r="F662" s="68"/>
      <c r="G662" s="72"/>
    </row>
    <row r="663" spans="1:7" x14ac:dyDescent="0.25">
      <c r="A663" s="2">
        <v>44445</v>
      </c>
      <c r="B663" s="20">
        <v>2410</v>
      </c>
      <c r="C663" s="14" t="s">
        <v>92</v>
      </c>
      <c r="D663" s="68"/>
      <c r="E663" s="68"/>
      <c r="F663" s="68"/>
      <c r="G663" s="72"/>
    </row>
    <row r="664" spans="1:7" x14ac:dyDescent="0.25">
      <c r="A664" s="2">
        <v>44442</v>
      </c>
      <c r="B664" s="20">
        <v>2420</v>
      </c>
      <c r="C664" s="14" t="s">
        <v>92</v>
      </c>
      <c r="D664" s="68"/>
      <c r="E664" s="68"/>
      <c r="F664" s="68"/>
      <c r="G664" s="72"/>
    </row>
    <row r="665" spans="1:7" x14ac:dyDescent="0.25">
      <c r="A665" s="2">
        <v>44441</v>
      </c>
      <c r="B665" s="20">
        <v>2410</v>
      </c>
      <c r="C665" s="14" t="s">
        <v>92</v>
      </c>
      <c r="D665" s="68"/>
      <c r="E665" s="68"/>
      <c r="F665" s="68"/>
      <c r="G665" s="72"/>
    </row>
    <row r="666" spans="1:7" x14ac:dyDescent="0.25">
      <c r="A666" s="2">
        <v>44440</v>
      </c>
      <c r="B666" s="20">
        <v>2424</v>
      </c>
      <c r="C666" s="14" t="s">
        <v>92</v>
      </c>
      <c r="D666" s="68"/>
      <c r="E666" s="68"/>
      <c r="F666" s="68"/>
      <c r="G666" s="72"/>
    </row>
    <row r="667" spans="1:7" x14ac:dyDescent="0.25">
      <c r="A667" s="2">
        <v>44439</v>
      </c>
      <c r="B667" s="20">
        <v>2424</v>
      </c>
      <c r="C667" s="14" t="s">
        <v>92</v>
      </c>
      <c r="D667" s="68"/>
      <c r="E667" s="68"/>
      <c r="F667" s="68"/>
      <c r="G667" s="72"/>
    </row>
    <row r="668" spans="1:7" x14ac:dyDescent="0.25">
      <c r="A668" s="2">
        <v>44438</v>
      </c>
      <c r="B668" s="20">
        <v>2420</v>
      </c>
      <c r="C668" s="14" t="s">
        <v>92</v>
      </c>
      <c r="D668" s="68"/>
      <c r="E668" s="68"/>
      <c r="F668" s="68"/>
      <c r="G668" s="72"/>
    </row>
    <row r="669" spans="1:7" x14ac:dyDescent="0.25">
      <c r="A669" s="2">
        <v>44435</v>
      </c>
      <c r="B669" s="20">
        <v>2398</v>
      </c>
      <c r="C669" s="14" t="s">
        <v>92</v>
      </c>
      <c r="D669" s="68"/>
      <c r="E669" s="68"/>
      <c r="F669" s="68"/>
      <c r="G669" s="72"/>
    </row>
    <row r="670" spans="1:7" x14ac:dyDescent="0.25">
      <c r="A670" s="2">
        <v>44434</v>
      </c>
      <c r="B670" s="20">
        <v>2372</v>
      </c>
      <c r="C670" s="14" t="s">
        <v>92</v>
      </c>
      <c r="D670" s="68"/>
      <c r="E670" s="68"/>
      <c r="F670" s="68"/>
      <c r="G670" s="72"/>
    </row>
    <row r="671" spans="1:7" x14ac:dyDescent="0.25">
      <c r="A671" s="2">
        <v>44433</v>
      </c>
      <c r="B671" s="20">
        <v>2406</v>
      </c>
      <c r="C671" s="14" t="s">
        <v>92</v>
      </c>
      <c r="D671" s="68"/>
      <c r="E671" s="68"/>
      <c r="F671" s="68"/>
      <c r="G671" s="72"/>
    </row>
    <row r="672" spans="1:7" x14ac:dyDescent="0.25">
      <c r="A672" s="2">
        <v>44432</v>
      </c>
      <c r="B672" s="20">
        <v>2400</v>
      </c>
      <c r="C672" s="14" t="s">
        <v>92</v>
      </c>
      <c r="D672" s="68"/>
      <c r="E672" s="68"/>
      <c r="F672" s="68"/>
      <c r="G672" s="72"/>
    </row>
    <row r="673" spans="1:7" x14ac:dyDescent="0.25">
      <c r="A673" s="2">
        <v>44431</v>
      </c>
      <c r="B673" s="20">
        <v>2406</v>
      </c>
      <c r="C673" s="14" t="s">
        <v>92</v>
      </c>
      <c r="D673" s="68"/>
      <c r="E673" s="68"/>
      <c r="F673" s="68"/>
      <c r="G673" s="72"/>
    </row>
    <row r="674" spans="1:7" x14ac:dyDescent="0.25">
      <c r="A674" s="2">
        <v>44427</v>
      </c>
      <c r="B674" s="20">
        <v>2362</v>
      </c>
      <c r="C674" s="14" t="s">
        <v>92</v>
      </c>
      <c r="D674" s="68"/>
      <c r="E674" s="68"/>
      <c r="F674" s="68"/>
      <c r="G674" s="72"/>
    </row>
    <row r="675" spans="1:7" x14ac:dyDescent="0.25">
      <c r="A675" s="2">
        <v>44426</v>
      </c>
      <c r="B675" s="20">
        <v>2408</v>
      </c>
      <c r="C675" s="14" t="s">
        <v>92</v>
      </c>
      <c r="D675" s="68"/>
      <c r="E675" s="68"/>
      <c r="F675" s="68"/>
      <c r="G675" s="72"/>
    </row>
    <row r="676" spans="1:7" x14ac:dyDescent="0.25">
      <c r="A676" s="2">
        <v>44425</v>
      </c>
      <c r="B676" s="20">
        <v>2414</v>
      </c>
      <c r="C676" s="14" t="s">
        <v>92</v>
      </c>
      <c r="D676" s="68"/>
      <c r="E676" s="68"/>
      <c r="F676" s="68"/>
      <c r="G676" s="72"/>
    </row>
    <row r="677" spans="1:7" x14ac:dyDescent="0.25">
      <c r="A677" s="2">
        <v>44424</v>
      </c>
      <c r="B677" s="20">
        <v>2390</v>
      </c>
      <c r="C677" s="14" t="s">
        <v>92</v>
      </c>
      <c r="D677" s="68"/>
      <c r="E677" s="68"/>
      <c r="F677" s="68"/>
      <c r="G677" s="72"/>
    </row>
    <row r="678" spans="1:7" x14ac:dyDescent="0.25">
      <c r="A678" s="2">
        <v>44421</v>
      </c>
      <c r="B678" s="20">
        <v>2430</v>
      </c>
      <c r="C678" s="14" t="s">
        <v>92</v>
      </c>
      <c r="D678" s="68"/>
      <c r="E678" s="68"/>
      <c r="F678" s="68"/>
      <c r="G678" s="72"/>
    </row>
    <row r="679" spans="1:7" x14ac:dyDescent="0.25">
      <c r="A679" s="2">
        <v>44420</v>
      </c>
      <c r="B679" s="20">
        <v>2430</v>
      </c>
      <c r="C679" s="14" t="s">
        <v>92</v>
      </c>
      <c r="D679" s="68"/>
      <c r="E679" s="68"/>
      <c r="F679" s="68"/>
      <c r="G679" s="72"/>
    </row>
    <row r="680" spans="1:7" x14ac:dyDescent="0.25">
      <c r="A680" s="2">
        <v>44419</v>
      </c>
      <c r="B680" s="20">
        <v>2446</v>
      </c>
      <c r="C680" s="14" t="s">
        <v>92</v>
      </c>
      <c r="D680" s="68"/>
      <c r="E680" s="68"/>
      <c r="F680" s="68"/>
      <c r="G680" s="72"/>
    </row>
    <row r="681" spans="1:7" x14ac:dyDescent="0.25">
      <c r="A681" s="2">
        <v>44418</v>
      </c>
      <c r="B681" s="20">
        <v>2402</v>
      </c>
      <c r="C681" s="14" t="s">
        <v>92</v>
      </c>
      <c r="D681" s="68"/>
      <c r="E681" s="68"/>
      <c r="F681" s="68"/>
      <c r="G681" s="72"/>
    </row>
    <row r="682" spans="1:7" x14ac:dyDescent="0.25">
      <c r="A682" s="2">
        <v>44417</v>
      </c>
      <c r="B682" s="20">
        <v>2498</v>
      </c>
      <c r="C682" s="14" t="s">
        <v>92</v>
      </c>
      <c r="D682" s="68"/>
      <c r="E682" s="68"/>
      <c r="F682" s="68"/>
      <c r="G682" s="72"/>
    </row>
    <row r="683" spans="1:7" x14ac:dyDescent="0.25">
      <c r="A683" s="2">
        <v>44414</v>
      </c>
      <c r="B683" s="20">
        <v>2528</v>
      </c>
      <c r="C683" s="14" t="s">
        <v>92</v>
      </c>
      <c r="D683" s="68"/>
      <c r="E683" s="68"/>
      <c r="F683" s="68"/>
      <c r="G683" s="72"/>
    </row>
    <row r="684" spans="1:7" x14ac:dyDescent="0.25">
      <c r="A684" s="2">
        <v>44413</v>
      </c>
      <c r="B684" s="20">
        <v>2490</v>
      </c>
      <c r="C684" s="14" t="s">
        <v>92</v>
      </c>
      <c r="D684" s="68"/>
      <c r="E684" s="68"/>
      <c r="F684" s="68"/>
      <c r="G684" s="72"/>
    </row>
    <row r="685" spans="1:7" x14ac:dyDescent="0.25">
      <c r="A685" s="2">
        <v>44412</v>
      </c>
      <c r="B685" s="20">
        <v>2490</v>
      </c>
      <c r="C685" s="14" t="s">
        <v>92</v>
      </c>
      <c r="D685" s="68"/>
      <c r="E685" s="68"/>
      <c r="F685" s="68"/>
      <c r="G685" s="72"/>
    </row>
    <row r="686" spans="1:7" x14ac:dyDescent="0.25">
      <c r="A686" s="2">
        <v>44411</v>
      </c>
      <c r="B686" s="20">
        <v>2422</v>
      </c>
      <c r="C686" s="14" t="s">
        <v>92</v>
      </c>
      <c r="D686" s="68"/>
      <c r="E686" s="68"/>
      <c r="F686" s="68"/>
      <c r="G686" s="72"/>
    </row>
    <row r="687" spans="1:7" x14ac:dyDescent="0.25">
      <c r="A687" s="2">
        <v>44410</v>
      </c>
      <c r="B687" s="20">
        <v>2404</v>
      </c>
      <c r="C687" s="14" t="s">
        <v>92</v>
      </c>
      <c r="D687" s="68"/>
      <c r="E687" s="68"/>
      <c r="F687" s="68"/>
      <c r="G687" s="72"/>
    </row>
    <row r="688" spans="1:7" x14ac:dyDescent="0.25">
      <c r="A688" s="2">
        <v>44407</v>
      </c>
      <c r="B688" s="20">
        <v>2410</v>
      </c>
      <c r="C688" s="14" t="s">
        <v>92</v>
      </c>
      <c r="D688" s="68"/>
      <c r="E688" s="68"/>
      <c r="F688" s="68"/>
      <c r="G688" s="72"/>
    </row>
    <row r="689" spans="1:7" x14ac:dyDescent="0.25">
      <c r="A689" s="2">
        <v>44406</v>
      </c>
      <c r="B689" s="20">
        <v>2384</v>
      </c>
      <c r="C689" s="14" t="s">
        <v>92</v>
      </c>
      <c r="D689" s="68"/>
      <c r="E689" s="68"/>
      <c r="F689" s="68"/>
      <c r="G689" s="72"/>
    </row>
    <row r="690" spans="1:7" x14ac:dyDescent="0.25">
      <c r="A690" s="2">
        <v>44405</v>
      </c>
      <c r="B690" s="20">
        <v>2386</v>
      </c>
      <c r="C690" s="14" t="s">
        <v>92</v>
      </c>
      <c r="D690" s="68"/>
      <c r="E690" s="68"/>
      <c r="F690" s="68"/>
      <c r="G690" s="72"/>
    </row>
    <row r="691" spans="1:7" x14ac:dyDescent="0.25">
      <c r="A691" s="2">
        <v>44404</v>
      </c>
      <c r="B691" s="20">
        <v>2338</v>
      </c>
      <c r="C691" s="14" t="s">
        <v>92</v>
      </c>
      <c r="D691" s="68"/>
      <c r="E691" s="68"/>
      <c r="F691" s="68"/>
      <c r="G691" s="72"/>
    </row>
    <row r="692" spans="1:7" x14ac:dyDescent="0.25">
      <c r="A692" s="2">
        <v>44403</v>
      </c>
      <c r="B692" s="20">
        <v>2348</v>
      </c>
      <c r="C692" s="14" t="s">
        <v>92</v>
      </c>
      <c r="D692" s="68"/>
      <c r="E692" s="68"/>
      <c r="F692" s="68"/>
      <c r="G692" s="72"/>
    </row>
    <row r="693" spans="1:7" x14ac:dyDescent="0.25">
      <c r="A693" s="2">
        <v>44400</v>
      </c>
      <c r="B693" s="20">
        <v>2370</v>
      </c>
      <c r="C693" s="14" t="s">
        <v>92</v>
      </c>
      <c r="D693" s="68"/>
      <c r="E693" s="68"/>
      <c r="F693" s="68"/>
      <c r="G693" s="72"/>
    </row>
    <row r="694" spans="1:7" x14ac:dyDescent="0.25">
      <c r="A694" s="2">
        <v>44399</v>
      </c>
      <c r="B694" s="20">
        <v>2388</v>
      </c>
      <c r="C694" s="14" t="s">
        <v>92</v>
      </c>
      <c r="D694" s="68"/>
      <c r="E694" s="68"/>
      <c r="F694" s="68"/>
      <c r="G694" s="72"/>
    </row>
    <row r="695" spans="1:7" x14ac:dyDescent="0.25">
      <c r="A695" s="2">
        <v>44398</v>
      </c>
      <c r="B695" s="20">
        <v>2356</v>
      </c>
      <c r="C695" s="14" t="s">
        <v>92</v>
      </c>
      <c r="D695" s="68"/>
      <c r="E695" s="68"/>
      <c r="F695" s="68"/>
      <c r="G695" s="72"/>
    </row>
    <row r="696" spans="1:7" x14ac:dyDescent="0.25">
      <c r="A696" s="2">
        <v>44397</v>
      </c>
      <c r="B696" s="20">
        <v>2308</v>
      </c>
      <c r="C696" s="14" t="s">
        <v>92</v>
      </c>
      <c r="D696" s="68"/>
      <c r="E696" s="68"/>
      <c r="F696" s="68"/>
      <c r="G696" s="72"/>
    </row>
    <row r="697" spans="1:7" x14ac:dyDescent="0.25">
      <c r="A697" s="2">
        <v>44396</v>
      </c>
      <c r="B697" s="20">
        <v>2302</v>
      </c>
      <c r="C697" s="14" t="s">
        <v>92</v>
      </c>
      <c r="D697" s="68"/>
      <c r="E697" s="68"/>
      <c r="F697" s="68"/>
      <c r="G697" s="72"/>
    </row>
    <row r="698" spans="1:7" x14ac:dyDescent="0.25">
      <c r="A698" s="2">
        <v>44393</v>
      </c>
      <c r="B698" s="20">
        <v>2394</v>
      </c>
      <c r="C698" s="14" t="s">
        <v>92</v>
      </c>
      <c r="D698" s="68"/>
      <c r="E698" s="68"/>
      <c r="F698" s="68"/>
      <c r="G698" s="72"/>
    </row>
    <row r="699" spans="1:7" x14ac:dyDescent="0.25">
      <c r="A699" s="2">
        <v>44392</v>
      </c>
      <c r="B699" s="20">
        <v>2390</v>
      </c>
      <c r="C699" s="14" t="s">
        <v>92</v>
      </c>
      <c r="D699" s="68"/>
      <c r="E699" s="68"/>
      <c r="F699" s="68"/>
      <c r="G699" s="72"/>
    </row>
    <row r="700" spans="1:7" x14ac:dyDescent="0.25">
      <c r="A700" s="2">
        <v>44391</v>
      </c>
      <c r="B700" s="20">
        <v>2402</v>
      </c>
      <c r="C700" s="14" t="s">
        <v>92</v>
      </c>
      <c r="D700" s="68"/>
      <c r="E700" s="68"/>
      <c r="F700" s="68"/>
      <c r="G700" s="72"/>
    </row>
    <row r="701" spans="1:7" x14ac:dyDescent="0.25">
      <c r="A701" s="2">
        <v>44390</v>
      </c>
      <c r="B701" s="20">
        <v>2416</v>
      </c>
      <c r="C701" s="14" t="s">
        <v>92</v>
      </c>
      <c r="D701" s="68"/>
      <c r="E701" s="68"/>
      <c r="F701" s="68"/>
      <c r="G701" s="72"/>
    </row>
    <row r="702" spans="1:7" x14ac:dyDescent="0.25">
      <c r="A702" s="2">
        <v>44389</v>
      </c>
      <c r="B702" s="20">
        <v>2364</v>
      </c>
      <c r="C702" s="14" t="s">
        <v>92</v>
      </c>
      <c r="D702" s="68"/>
      <c r="E702" s="68"/>
      <c r="F702" s="68"/>
      <c r="G702" s="72"/>
    </row>
    <row r="703" spans="1:7" x14ac:dyDescent="0.25">
      <c r="A703" s="2">
        <v>44386</v>
      </c>
      <c r="B703" s="20">
        <v>2378</v>
      </c>
      <c r="C703" s="14" t="s">
        <v>92</v>
      </c>
      <c r="D703" s="68"/>
      <c r="E703" s="68"/>
      <c r="F703" s="68"/>
      <c r="G703" s="72"/>
    </row>
    <row r="704" spans="1:7" x14ac:dyDescent="0.25">
      <c r="A704" s="2">
        <v>44385</v>
      </c>
      <c r="B704" s="20">
        <v>2368</v>
      </c>
      <c r="C704" s="14" t="s">
        <v>92</v>
      </c>
      <c r="D704" s="68"/>
      <c r="E704" s="68"/>
      <c r="F704" s="68"/>
      <c r="G704" s="72"/>
    </row>
    <row r="705" spans="1:7" x14ac:dyDescent="0.25">
      <c r="A705" s="2">
        <v>44384</v>
      </c>
      <c r="B705" s="20">
        <v>2402</v>
      </c>
      <c r="C705" s="14" t="s">
        <v>92</v>
      </c>
      <c r="D705" s="68"/>
      <c r="E705" s="68"/>
      <c r="F705" s="68"/>
      <c r="G705" s="72"/>
    </row>
    <row r="706" spans="1:7" x14ac:dyDescent="0.25">
      <c r="A706" s="2">
        <v>44383</v>
      </c>
      <c r="B706" s="20">
        <v>2398</v>
      </c>
      <c r="C706" s="14" t="s">
        <v>92</v>
      </c>
      <c r="D706" s="68"/>
      <c r="E706" s="68"/>
      <c r="F706" s="68"/>
      <c r="G706" s="72"/>
    </row>
    <row r="707" spans="1:7" x14ac:dyDescent="0.25">
      <c r="A707" s="2">
        <v>44382</v>
      </c>
      <c r="B707" s="20">
        <v>2378</v>
      </c>
      <c r="C707" s="14" t="s">
        <v>92</v>
      </c>
      <c r="D707" s="68"/>
      <c r="E707" s="68"/>
      <c r="F707" s="68"/>
      <c r="G707" s="72"/>
    </row>
    <row r="708" spans="1:7" x14ac:dyDescent="0.25">
      <c r="A708" s="2">
        <v>44379</v>
      </c>
      <c r="B708" s="20">
        <v>2380</v>
      </c>
      <c r="C708" s="14" t="s">
        <v>92</v>
      </c>
      <c r="D708" s="68"/>
      <c r="E708" s="68"/>
      <c r="F708" s="68"/>
      <c r="G708" s="72"/>
    </row>
    <row r="709" spans="1:7" x14ac:dyDescent="0.25">
      <c r="A709" s="2">
        <v>44378</v>
      </c>
      <c r="B709" s="20">
        <v>2374</v>
      </c>
      <c r="C709" s="14" t="s">
        <v>92</v>
      </c>
      <c r="D709" s="68"/>
      <c r="E709" s="68"/>
      <c r="F709" s="68"/>
      <c r="G709" s="72"/>
    </row>
    <row r="710" spans="1:7" x14ac:dyDescent="0.25">
      <c r="A710" s="2">
        <v>44377</v>
      </c>
      <c r="B710" s="20">
        <v>2358</v>
      </c>
      <c r="C710" s="14" t="s">
        <v>92</v>
      </c>
      <c r="D710" s="68"/>
      <c r="E710" s="68"/>
      <c r="F710" s="68"/>
      <c r="G710" s="72"/>
    </row>
    <row r="711" spans="1:7" x14ac:dyDescent="0.25">
      <c r="A711" s="2">
        <v>44376</v>
      </c>
      <c r="B711" s="20">
        <v>2376</v>
      </c>
      <c r="C711" s="14" t="s">
        <v>92</v>
      </c>
      <c r="D711" s="68"/>
      <c r="E711" s="68"/>
      <c r="F711" s="68"/>
      <c r="G711" s="72"/>
    </row>
    <row r="712" spans="1:7" x14ac:dyDescent="0.25">
      <c r="A712" s="2">
        <v>44375</v>
      </c>
      <c r="B712" s="20">
        <v>2400</v>
      </c>
      <c r="C712" s="14" t="s">
        <v>92</v>
      </c>
      <c r="D712" s="68"/>
      <c r="E712" s="68"/>
      <c r="F712" s="68"/>
      <c r="G712" s="72"/>
    </row>
    <row r="713" spans="1:7" x14ac:dyDescent="0.25">
      <c r="A713" s="2">
        <v>44372</v>
      </c>
      <c r="B713" s="20">
        <v>2398</v>
      </c>
      <c r="C713" s="14" t="s">
        <v>92</v>
      </c>
      <c r="D713" s="68"/>
      <c r="E713" s="68"/>
      <c r="F713" s="68"/>
      <c r="G713" s="72"/>
    </row>
    <row r="714" spans="1:7" x14ac:dyDescent="0.25">
      <c r="A714" s="2">
        <v>44371</v>
      </c>
      <c r="B714" s="20">
        <v>2400</v>
      </c>
      <c r="C714" s="14" t="s">
        <v>92</v>
      </c>
      <c r="D714" s="68"/>
      <c r="E714" s="68"/>
      <c r="F714" s="68"/>
      <c r="G714" s="72"/>
    </row>
    <row r="715" spans="1:7" x14ac:dyDescent="0.25">
      <c r="A715" s="2">
        <v>44370</v>
      </c>
      <c r="B715" s="20">
        <v>2404</v>
      </c>
      <c r="C715" s="14" t="s">
        <v>92</v>
      </c>
      <c r="D715" s="68"/>
      <c r="E715" s="68"/>
      <c r="F715" s="68"/>
      <c r="G715" s="72"/>
    </row>
    <row r="716" spans="1:7" x14ac:dyDescent="0.25">
      <c r="A716" s="2">
        <v>44369</v>
      </c>
      <c r="B716" s="20">
        <v>2378</v>
      </c>
      <c r="C716" s="14" t="s">
        <v>92</v>
      </c>
      <c r="D716" s="68"/>
      <c r="E716" s="68"/>
      <c r="F716" s="68"/>
      <c r="G716" s="72"/>
    </row>
    <row r="717" spans="1:7" x14ac:dyDescent="0.25">
      <c r="A717" s="2">
        <v>44368</v>
      </c>
      <c r="B717" s="20">
        <v>2340</v>
      </c>
      <c r="C717" s="14" t="s">
        <v>92</v>
      </c>
      <c r="D717" s="68"/>
      <c r="E717" s="68"/>
      <c r="F717" s="68"/>
      <c r="G717" s="72"/>
    </row>
    <row r="718" spans="1:7" x14ac:dyDescent="0.25">
      <c r="A718" s="2">
        <v>44365</v>
      </c>
      <c r="B718" s="20">
        <v>2320</v>
      </c>
      <c r="C718" s="14" t="s">
        <v>92</v>
      </c>
      <c r="D718" s="68"/>
      <c r="E718" s="68"/>
      <c r="F718" s="68"/>
      <c r="G718" s="72"/>
    </row>
    <row r="719" spans="1:7" x14ac:dyDescent="0.25">
      <c r="A719" s="2">
        <v>44364</v>
      </c>
      <c r="B719" s="20">
        <v>2394</v>
      </c>
      <c r="C719" s="14" t="s">
        <v>92</v>
      </c>
      <c r="D719" s="68"/>
      <c r="E719" s="68"/>
      <c r="F719" s="68"/>
      <c r="G719" s="72"/>
    </row>
    <row r="720" spans="1:7" x14ac:dyDescent="0.25">
      <c r="A720" s="2">
        <v>44363</v>
      </c>
      <c r="B720" s="20">
        <v>2414</v>
      </c>
      <c r="C720" s="14" t="s">
        <v>92</v>
      </c>
      <c r="D720" s="68"/>
      <c r="E720" s="68"/>
      <c r="F720" s="68"/>
      <c r="G720" s="72"/>
    </row>
    <row r="721" spans="1:7" x14ac:dyDescent="0.25">
      <c r="A721" s="2">
        <v>44362</v>
      </c>
      <c r="B721" s="20">
        <v>2444</v>
      </c>
      <c r="C721" s="14" t="s">
        <v>92</v>
      </c>
      <c r="D721" s="68"/>
      <c r="E721" s="68"/>
      <c r="F721" s="68"/>
      <c r="G721" s="72"/>
    </row>
    <row r="722" spans="1:7" x14ac:dyDescent="0.25">
      <c r="A722" s="2">
        <v>44361</v>
      </c>
      <c r="B722" s="20">
        <v>2426</v>
      </c>
      <c r="C722" s="14" t="s">
        <v>92</v>
      </c>
      <c r="D722" s="68"/>
      <c r="E722" s="68"/>
      <c r="F722" s="68"/>
      <c r="G722" s="72"/>
    </row>
    <row r="723" spans="1:7" x14ac:dyDescent="0.25">
      <c r="A723" s="2">
        <v>44358</v>
      </c>
      <c r="B723" s="20">
        <v>2438</v>
      </c>
      <c r="C723" s="14" t="s">
        <v>92</v>
      </c>
      <c r="D723" s="68"/>
      <c r="E723" s="68"/>
      <c r="F723" s="68"/>
      <c r="G723" s="72"/>
    </row>
    <row r="724" spans="1:7" x14ac:dyDescent="0.25">
      <c r="A724" s="2">
        <v>44357</v>
      </c>
      <c r="B724" s="20">
        <v>2388</v>
      </c>
      <c r="C724" s="14" t="s">
        <v>92</v>
      </c>
      <c r="D724" s="68"/>
      <c r="E724" s="68"/>
      <c r="F724" s="68"/>
      <c r="G724" s="72"/>
    </row>
    <row r="725" spans="1:7" x14ac:dyDescent="0.25">
      <c r="A725" s="2">
        <v>44356</v>
      </c>
      <c r="B725" s="20">
        <v>2392</v>
      </c>
      <c r="C725" s="14" t="s">
        <v>92</v>
      </c>
      <c r="D725" s="68"/>
      <c r="E725" s="68"/>
      <c r="F725" s="68"/>
      <c r="G725" s="72"/>
    </row>
    <row r="726" spans="1:7" x14ac:dyDescent="0.25">
      <c r="A726" s="2">
        <v>44355</v>
      </c>
      <c r="B726" s="20">
        <v>2388</v>
      </c>
      <c r="C726" s="14" t="s">
        <v>92</v>
      </c>
      <c r="D726" s="68"/>
      <c r="E726" s="68"/>
      <c r="F726" s="68"/>
      <c r="G726" s="72"/>
    </row>
    <row r="727" spans="1:7" x14ac:dyDescent="0.25">
      <c r="A727" s="2">
        <v>44354</v>
      </c>
      <c r="B727" s="20">
        <v>2390</v>
      </c>
      <c r="C727" s="14" t="s">
        <v>92</v>
      </c>
      <c r="D727" s="68"/>
      <c r="E727" s="68"/>
      <c r="F727" s="68"/>
      <c r="G727" s="72"/>
    </row>
    <row r="728" spans="1:7" x14ac:dyDescent="0.25">
      <c r="A728" s="2">
        <v>44351</v>
      </c>
      <c r="B728" s="20">
        <v>2420</v>
      </c>
      <c r="C728" s="14" t="s">
        <v>92</v>
      </c>
      <c r="D728" s="68"/>
      <c r="E728" s="68"/>
      <c r="F728" s="68"/>
      <c r="G728" s="72"/>
    </row>
    <row r="729" spans="1:7" x14ac:dyDescent="0.25">
      <c r="A729" s="2">
        <v>44350</v>
      </c>
      <c r="B729" s="20">
        <v>2394</v>
      </c>
      <c r="C729" s="14" t="s">
        <v>92</v>
      </c>
      <c r="D729" s="68"/>
      <c r="E729" s="68"/>
      <c r="F729" s="68"/>
      <c r="G729" s="72"/>
    </row>
    <row r="730" spans="1:7" x14ac:dyDescent="0.25">
      <c r="A730" s="2">
        <v>44349</v>
      </c>
      <c r="B730" s="20">
        <v>2380</v>
      </c>
      <c r="C730" s="14" t="s">
        <v>92</v>
      </c>
      <c r="D730" s="68"/>
      <c r="E730" s="68"/>
      <c r="F730" s="68"/>
      <c r="G730" s="72"/>
    </row>
    <row r="731" spans="1:7" x14ac:dyDescent="0.25">
      <c r="A731" s="2">
        <v>44348</v>
      </c>
      <c r="B731" s="20">
        <v>2330</v>
      </c>
      <c r="C731" s="14" t="s">
        <v>92</v>
      </c>
      <c r="D731" s="68"/>
      <c r="E731" s="68"/>
      <c r="F731" s="68"/>
      <c r="G731" s="72"/>
    </row>
    <row r="732" spans="1:7" x14ac:dyDescent="0.25">
      <c r="A732" s="2">
        <v>44347</v>
      </c>
      <c r="B732" s="20">
        <v>2310</v>
      </c>
      <c r="C732" s="14" t="s">
        <v>92</v>
      </c>
      <c r="D732" s="68"/>
      <c r="E732" s="68"/>
      <c r="F732" s="68"/>
      <c r="G732" s="72"/>
    </row>
    <row r="733" spans="1:7" x14ac:dyDescent="0.25">
      <c r="A733" s="2">
        <v>44344</v>
      </c>
      <c r="B733" s="20">
        <v>2294</v>
      </c>
      <c r="C733" s="14" t="s">
        <v>92</v>
      </c>
      <c r="D733" s="68"/>
      <c r="E733" s="68"/>
      <c r="F733" s="68"/>
      <c r="G733" s="72"/>
    </row>
    <row r="734" spans="1:7" x14ac:dyDescent="0.25">
      <c r="A734" s="2">
        <v>44343</v>
      </c>
      <c r="B734" s="20">
        <v>2264</v>
      </c>
      <c r="C734" s="14" t="s">
        <v>92</v>
      </c>
      <c r="D734" s="68"/>
      <c r="E734" s="68"/>
      <c r="F734" s="68"/>
      <c r="G734" s="72"/>
    </row>
    <row r="735" spans="1:7" x14ac:dyDescent="0.25">
      <c r="A735" s="2">
        <v>44342</v>
      </c>
      <c r="B735" s="20">
        <v>2270</v>
      </c>
      <c r="C735" s="14" t="s">
        <v>92</v>
      </c>
      <c r="D735" s="68"/>
      <c r="E735" s="68"/>
      <c r="F735" s="68"/>
      <c r="G735" s="72"/>
    </row>
    <row r="736" spans="1:7" x14ac:dyDescent="0.25">
      <c r="A736" s="2">
        <v>44341</v>
      </c>
      <c r="B736" s="20">
        <v>2254</v>
      </c>
      <c r="C736" s="14" t="s">
        <v>92</v>
      </c>
      <c r="D736" s="68"/>
      <c r="E736" s="68"/>
      <c r="F736" s="68"/>
      <c r="G736" s="72"/>
    </row>
    <row r="737" spans="1:7" x14ac:dyDescent="0.25">
      <c r="A737" s="2">
        <v>44337</v>
      </c>
      <c r="B737" s="20">
        <v>2274</v>
      </c>
      <c r="C737" s="14" t="s">
        <v>92</v>
      </c>
      <c r="D737" s="68"/>
      <c r="E737" s="68"/>
      <c r="F737" s="68"/>
      <c r="G737" s="72"/>
    </row>
    <row r="738" spans="1:7" x14ac:dyDescent="0.25">
      <c r="A738" s="2">
        <v>44336</v>
      </c>
      <c r="B738" s="20">
        <v>2286</v>
      </c>
      <c r="C738" s="14" t="s">
        <v>92</v>
      </c>
      <c r="D738" s="68"/>
      <c r="E738" s="68"/>
      <c r="F738" s="68"/>
      <c r="G738" s="72"/>
    </row>
    <row r="739" spans="1:7" x14ac:dyDescent="0.25">
      <c r="A739" s="2">
        <v>44335</v>
      </c>
      <c r="B739" s="20">
        <v>2250</v>
      </c>
      <c r="C739" s="14" t="s">
        <v>92</v>
      </c>
      <c r="D739" s="68"/>
      <c r="E739" s="68"/>
      <c r="F739" s="68"/>
      <c r="G739" s="72"/>
    </row>
    <row r="740" spans="1:7" x14ac:dyDescent="0.25">
      <c r="A740" s="2">
        <v>44334</v>
      </c>
      <c r="B740" s="20">
        <v>2278</v>
      </c>
      <c r="C740" s="14" t="s">
        <v>92</v>
      </c>
      <c r="D740" s="68"/>
      <c r="E740" s="68"/>
      <c r="F740" s="68"/>
      <c r="G740" s="72"/>
    </row>
    <row r="741" spans="1:7" x14ac:dyDescent="0.25">
      <c r="A741" s="2">
        <v>44333</v>
      </c>
      <c r="B741" s="20">
        <v>2278</v>
      </c>
      <c r="C741" s="14" t="s">
        <v>92</v>
      </c>
      <c r="D741" s="68"/>
      <c r="E741" s="68"/>
      <c r="F741" s="68"/>
      <c r="G741" s="72"/>
    </row>
    <row r="742" spans="1:7" x14ac:dyDescent="0.25">
      <c r="A742" s="2">
        <v>44330</v>
      </c>
      <c r="B742" s="20">
        <v>2284</v>
      </c>
      <c r="C742" s="14" t="s">
        <v>92</v>
      </c>
      <c r="D742" s="68"/>
      <c r="E742" s="68"/>
      <c r="F742" s="68"/>
      <c r="G742" s="72"/>
    </row>
    <row r="743" spans="1:7" x14ac:dyDescent="0.25">
      <c r="A743" s="2">
        <v>44329</v>
      </c>
      <c r="B743" s="20">
        <v>2260</v>
      </c>
      <c r="C743" s="14" t="s">
        <v>92</v>
      </c>
      <c r="D743" s="68"/>
      <c r="E743" s="68"/>
      <c r="F743" s="68"/>
      <c r="G743" s="72"/>
    </row>
    <row r="744" spans="1:7" x14ac:dyDescent="0.25">
      <c r="A744" s="2">
        <v>44328</v>
      </c>
      <c r="B744" s="20">
        <v>2200</v>
      </c>
      <c r="C744" s="14" t="s">
        <v>92</v>
      </c>
      <c r="D744" s="68"/>
      <c r="E744" s="68"/>
      <c r="F744" s="68"/>
      <c r="G744" s="72"/>
    </row>
    <row r="745" spans="1:7" x14ac:dyDescent="0.25">
      <c r="A745" s="2">
        <v>44327</v>
      </c>
      <c r="B745" s="20">
        <v>2208</v>
      </c>
      <c r="C745" s="14" t="s">
        <v>92</v>
      </c>
      <c r="D745" s="68"/>
      <c r="E745" s="68"/>
      <c r="F745" s="68"/>
      <c r="G745" s="72"/>
    </row>
    <row r="746" spans="1:7" x14ac:dyDescent="0.25">
      <c r="A746" s="2">
        <v>44326</v>
      </c>
      <c r="B746" s="20">
        <v>2244</v>
      </c>
      <c r="C746" s="14" t="s">
        <v>92</v>
      </c>
      <c r="D746" s="68"/>
      <c r="E746" s="68"/>
      <c r="F746" s="68"/>
      <c r="G746" s="72"/>
    </row>
    <row r="747" spans="1:7" x14ac:dyDescent="0.25">
      <c r="A747" s="2">
        <v>44323</v>
      </c>
      <c r="B747" s="20">
        <v>2198</v>
      </c>
      <c r="C747" s="14" t="s">
        <v>92</v>
      </c>
      <c r="D747" s="68"/>
      <c r="E747" s="68"/>
      <c r="F747" s="68"/>
      <c r="G747" s="72"/>
    </row>
    <row r="748" spans="1:7" x14ac:dyDescent="0.25">
      <c r="A748" s="2">
        <v>44322</v>
      </c>
      <c r="B748" s="20">
        <v>2154</v>
      </c>
      <c r="C748" s="14" t="s">
        <v>92</v>
      </c>
      <c r="D748" s="68"/>
      <c r="E748" s="68"/>
      <c r="F748" s="68"/>
      <c r="G748" s="72"/>
    </row>
    <row r="749" spans="1:7" x14ac:dyDescent="0.25">
      <c r="A749" s="2">
        <v>44321</v>
      </c>
      <c r="B749" s="20">
        <v>2160</v>
      </c>
      <c r="C749" s="14" t="s">
        <v>92</v>
      </c>
      <c r="D749" s="68"/>
      <c r="E749" s="68"/>
      <c r="F749" s="68"/>
      <c r="G749" s="72"/>
    </row>
    <row r="750" spans="1:7" x14ac:dyDescent="0.25">
      <c r="A750" s="2">
        <v>44320</v>
      </c>
      <c r="B750" s="20">
        <v>2140</v>
      </c>
      <c r="C750" s="14" t="s">
        <v>92</v>
      </c>
      <c r="D750" s="68"/>
      <c r="E750" s="68"/>
      <c r="F750" s="68"/>
      <c r="G750" s="72"/>
    </row>
    <row r="751" spans="1:7" x14ac:dyDescent="0.25">
      <c r="A751" s="2">
        <v>44319</v>
      </c>
      <c r="B751" s="20">
        <v>2066</v>
      </c>
      <c r="C751" s="14" t="s">
        <v>92</v>
      </c>
      <c r="D751" s="68"/>
      <c r="E751" s="68"/>
      <c r="F751" s="68"/>
      <c r="G751" s="72"/>
    </row>
    <row r="752" spans="1:7" x14ac:dyDescent="0.25">
      <c r="A752" s="2">
        <v>44316</v>
      </c>
      <c r="B752" s="20">
        <v>2070</v>
      </c>
      <c r="C752" s="14" t="s">
        <v>92</v>
      </c>
      <c r="D752" s="68"/>
      <c r="E752" s="68"/>
      <c r="F752" s="68"/>
      <c r="G752" s="72"/>
    </row>
    <row r="753" spans="1:7" x14ac:dyDescent="0.25">
      <c r="A753" s="2">
        <v>44315</v>
      </c>
      <c r="B753" s="20">
        <v>2112</v>
      </c>
      <c r="C753" s="14" t="s">
        <v>92</v>
      </c>
      <c r="D753" s="68"/>
      <c r="E753" s="68"/>
      <c r="F753" s="68"/>
      <c r="G753" s="72"/>
    </row>
    <row r="754" spans="1:7" x14ac:dyDescent="0.25">
      <c r="A754" s="2">
        <v>44314</v>
      </c>
      <c r="B754" s="20">
        <v>2104</v>
      </c>
      <c r="C754" s="14" t="s">
        <v>92</v>
      </c>
      <c r="D754" s="68"/>
      <c r="E754" s="68"/>
      <c r="F754" s="68"/>
      <c r="G754" s="72"/>
    </row>
    <row r="755" spans="1:7" x14ac:dyDescent="0.25">
      <c r="A755" s="2">
        <v>44313</v>
      </c>
      <c r="B755" s="20">
        <v>2056</v>
      </c>
      <c r="C755" s="14" t="s">
        <v>92</v>
      </c>
      <c r="D755" s="68"/>
      <c r="E755" s="68"/>
      <c r="F755" s="68"/>
      <c r="G755" s="72"/>
    </row>
    <row r="756" spans="1:7" x14ac:dyDescent="0.25">
      <c r="A756" s="2">
        <v>44312</v>
      </c>
      <c r="B756" s="20">
        <v>2060</v>
      </c>
      <c r="C756" s="14" t="s">
        <v>92</v>
      </c>
      <c r="D756" s="68"/>
      <c r="E756" s="68"/>
      <c r="F756" s="68"/>
      <c r="G756" s="72"/>
    </row>
    <row r="757" spans="1:7" x14ac:dyDescent="0.25">
      <c r="A757" s="2">
        <v>44309</v>
      </c>
      <c r="B757" s="20">
        <v>2024</v>
      </c>
      <c r="C757" s="14" t="s">
        <v>92</v>
      </c>
      <c r="D757" s="68"/>
      <c r="E757" s="68"/>
      <c r="F757" s="68"/>
      <c r="G757" s="72"/>
    </row>
    <row r="758" spans="1:7" x14ac:dyDescent="0.25">
      <c r="A758" s="2">
        <v>44308</v>
      </c>
      <c r="B758" s="20">
        <v>2046</v>
      </c>
      <c r="C758" s="14" t="s">
        <v>92</v>
      </c>
      <c r="D758" s="68"/>
      <c r="E758" s="68"/>
      <c r="F758" s="68"/>
      <c r="G758" s="72"/>
    </row>
    <row r="759" spans="1:7" x14ac:dyDescent="0.25">
      <c r="A759" s="2">
        <v>44307</v>
      </c>
      <c r="B759" s="20">
        <v>2046</v>
      </c>
      <c r="C759" s="14" t="s">
        <v>92</v>
      </c>
      <c r="D759" s="68"/>
      <c r="E759" s="68"/>
      <c r="F759" s="68"/>
      <c r="G759" s="72"/>
    </row>
    <row r="760" spans="1:7" x14ac:dyDescent="0.25">
      <c r="A760" s="2">
        <v>44306</v>
      </c>
      <c r="B760" s="20">
        <v>2044</v>
      </c>
      <c r="C760" s="14"/>
      <c r="D760" s="68"/>
      <c r="E760" s="68"/>
      <c r="F760" s="68"/>
      <c r="G760" s="72"/>
    </row>
    <row r="761" spans="1:7" x14ac:dyDescent="0.25">
      <c r="A761" s="73"/>
      <c r="B761" s="31"/>
      <c r="D761" s="68"/>
      <c r="E761" s="68"/>
      <c r="F761" s="68"/>
      <c r="G761" s="72"/>
    </row>
    <row r="762" spans="1:7" x14ac:dyDescent="0.25">
      <c r="A762" s="73"/>
      <c r="B762" s="31"/>
      <c r="D762" s="68"/>
      <c r="E762" s="68"/>
      <c r="F762" s="68"/>
      <c r="G762" s="72"/>
    </row>
    <row r="763" spans="1:7" x14ac:dyDescent="0.25">
      <c r="A763" s="73"/>
      <c r="B763" s="31"/>
      <c r="D763" s="68"/>
      <c r="E763" s="68"/>
      <c r="F763" s="68"/>
      <c r="G763" s="72"/>
    </row>
    <row r="764" spans="1:7" x14ac:dyDescent="0.25">
      <c r="A764" s="73"/>
      <c r="B764" s="31"/>
      <c r="D764" s="68"/>
      <c r="E764" s="68"/>
      <c r="F764" s="68"/>
      <c r="G764" s="72"/>
    </row>
    <row r="765" spans="1:7" x14ac:dyDescent="0.25">
      <c r="A765" s="73"/>
      <c r="B765" s="31"/>
      <c r="D765" s="68"/>
      <c r="E765" s="68"/>
      <c r="F765" s="68"/>
      <c r="G765" s="72"/>
    </row>
    <row r="766" spans="1:7" x14ac:dyDescent="0.25">
      <c r="A766" s="73"/>
      <c r="B766" s="31"/>
      <c r="D766" s="68"/>
      <c r="E766" s="68"/>
      <c r="F766" s="68"/>
      <c r="G766" s="72"/>
    </row>
    <row r="767" spans="1:7" x14ac:dyDescent="0.25">
      <c r="A767" s="73"/>
      <c r="B767" s="31"/>
      <c r="D767" s="68"/>
      <c r="E767" s="68"/>
      <c r="F767" s="68"/>
      <c r="G767" s="72"/>
    </row>
    <row r="768" spans="1:7" x14ac:dyDescent="0.25">
      <c r="A768" s="73"/>
      <c r="B768" s="31"/>
      <c r="D768" s="68"/>
      <c r="E768" s="68"/>
      <c r="F768" s="68"/>
      <c r="G768" s="72"/>
    </row>
    <row r="769" spans="1:7" x14ac:dyDescent="0.25">
      <c r="A769" s="73"/>
      <c r="B769" s="31"/>
      <c r="D769" s="68"/>
      <c r="E769" s="68"/>
      <c r="F769" s="68"/>
      <c r="G769" s="72"/>
    </row>
    <row r="770" spans="1:7" x14ac:dyDescent="0.25">
      <c r="A770" s="73"/>
      <c r="B770" s="31"/>
      <c r="D770" s="68"/>
      <c r="E770" s="68"/>
      <c r="F770" s="68"/>
      <c r="G770" s="72"/>
    </row>
    <row r="771" spans="1:7" x14ac:dyDescent="0.25">
      <c r="A771" s="73"/>
      <c r="B771" s="31"/>
      <c r="D771" s="68"/>
      <c r="E771" s="68"/>
      <c r="F771" s="68"/>
      <c r="G771" s="72"/>
    </row>
    <row r="772" spans="1:7" x14ac:dyDescent="0.25">
      <c r="A772" s="73"/>
      <c r="B772" s="31"/>
      <c r="D772" s="68"/>
      <c r="E772" s="68"/>
      <c r="F772" s="68"/>
      <c r="G772" s="72"/>
    </row>
    <row r="773" spans="1:7" x14ac:dyDescent="0.25">
      <c r="A773" s="73"/>
      <c r="B773" s="31"/>
      <c r="D773" s="68"/>
      <c r="E773" s="68"/>
      <c r="F773" s="68"/>
      <c r="G773" s="72"/>
    </row>
    <row r="774" spans="1:7" x14ac:dyDescent="0.25">
      <c r="A774" s="76"/>
      <c r="B774" s="77"/>
      <c r="D774" s="68"/>
      <c r="E774" s="68"/>
      <c r="F774" s="68"/>
      <c r="G774" s="72"/>
    </row>
    <row r="775" spans="1:7" x14ac:dyDescent="0.25">
      <c r="A775" s="76"/>
      <c r="B775" s="77"/>
      <c r="D775" s="68"/>
      <c r="E775" s="68"/>
      <c r="F775" s="68"/>
      <c r="G775" s="72"/>
    </row>
    <row r="776" spans="1:7" x14ac:dyDescent="0.25">
      <c r="A776" s="76"/>
      <c r="B776" s="77"/>
      <c r="D776" s="68"/>
      <c r="E776" s="68"/>
      <c r="F776" s="68"/>
      <c r="G776" s="72"/>
    </row>
    <row r="777" spans="1:7" x14ac:dyDescent="0.25">
      <c r="A777" s="76"/>
      <c r="B777" s="77"/>
      <c r="D777" s="68"/>
      <c r="E777" s="68"/>
      <c r="F777" s="68"/>
      <c r="G777" s="72"/>
    </row>
    <row r="778" spans="1:7" x14ac:dyDescent="0.25">
      <c r="A778" s="76"/>
      <c r="B778" s="77"/>
      <c r="D778" s="68"/>
      <c r="E778" s="68"/>
      <c r="F778" s="68"/>
      <c r="G778" s="72"/>
    </row>
    <row r="779" spans="1:7" x14ac:dyDescent="0.25">
      <c r="A779" s="76"/>
      <c r="B779" s="77"/>
      <c r="D779" s="68"/>
      <c r="E779" s="68"/>
      <c r="F779" s="68"/>
      <c r="G779" s="72"/>
    </row>
    <row r="780" spans="1:7" x14ac:dyDescent="0.25">
      <c r="A780" s="76"/>
      <c r="B780" s="77"/>
      <c r="D780" s="68"/>
      <c r="E780" s="68"/>
      <c r="F780" s="68"/>
      <c r="G780" s="72"/>
    </row>
    <row r="781" spans="1:7" x14ac:dyDescent="0.25">
      <c r="A781" s="76"/>
      <c r="B781" s="77"/>
      <c r="D781" s="68"/>
      <c r="E781" s="68"/>
      <c r="F781" s="68"/>
      <c r="G781" s="72"/>
    </row>
    <row r="782" spans="1:7" x14ac:dyDescent="0.25">
      <c r="A782" s="76"/>
      <c r="B782" s="77"/>
      <c r="D782" s="68"/>
      <c r="E782" s="68"/>
      <c r="F782" s="68"/>
      <c r="G782" s="72"/>
    </row>
    <row r="783" spans="1:7" x14ac:dyDescent="0.25">
      <c r="A783" s="76"/>
      <c r="B783" s="77"/>
      <c r="D783" s="68"/>
      <c r="E783" s="68"/>
      <c r="F783" s="68"/>
      <c r="G783" s="72"/>
    </row>
    <row r="784" spans="1:7" x14ac:dyDescent="0.25">
      <c r="A784" s="76"/>
      <c r="B784" s="77"/>
      <c r="D784" s="68"/>
      <c r="E784" s="68"/>
      <c r="F784" s="68"/>
      <c r="G784" s="72"/>
    </row>
    <row r="785" spans="1:7" x14ac:dyDescent="0.25">
      <c r="A785" s="76"/>
      <c r="B785" s="77"/>
      <c r="D785" s="68"/>
      <c r="E785" s="68"/>
      <c r="F785" s="68"/>
      <c r="G785" s="72"/>
    </row>
    <row r="786" spans="1:7" x14ac:dyDescent="0.25">
      <c r="A786" s="76"/>
      <c r="B786" s="77"/>
      <c r="D786" s="68"/>
      <c r="E786" s="68"/>
      <c r="F786" s="68"/>
      <c r="G786" s="72"/>
    </row>
    <row r="787" spans="1:7" x14ac:dyDescent="0.25">
      <c r="A787" s="76"/>
      <c r="B787" s="77"/>
      <c r="D787" s="68"/>
      <c r="E787" s="68"/>
      <c r="F787" s="68"/>
      <c r="G787" s="72"/>
    </row>
    <row r="788" spans="1:7" x14ac:dyDescent="0.25">
      <c r="A788" s="76"/>
      <c r="B788" s="77"/>
      <c r="D788" s="68"/>
      <c r="E788" s="68"/>
      <c r="F788" s="68"/>
      <c r="G788" s="72"/>
    </row>
    <row r="789" spans="1:7" x14ac:dyDescent="0.25">
      <c r="A789" s="76"/>
      <c r="B789" s="77"/>
      <c r="D789" s="68"/>
      <c r="E789" s="68"/>
      <c r="F789" s="68"/>
      <c r="G789" s="72"/>
    </row>
    <row r="790" spans="1:7" x14ac:dyDescent="0.25">
      <c r="A790" s="76"/>
      <c r="B790" s="77"/>
      <c r="D790" s="68"/>
      <c r="E790" s="68"/>
      <c r="F790" s="68"/>
      <c r="G790" s="72"/>
    </row>
    <row r="791" spans="1:7" x14ac:dyDescent="0.25">
      <c r="A791" s="76"/>
      <c r="B791" s="77"/>
      <c r="D791" s="68"/>
      <c r="E791" s="68"/>
      <c r="F791" s="68"/>
      <c r="G791" s="72"/>
    </row>
    <row r="792" spans="1:7" x14ac:dyDescent="0.25">
      <c r="A792" s="76"/>
      <c r="B792" s="77"/>
      <c r="D792" s="68"/>
      <c r="E792" s="68"/>
      <c r="F792" s="68"/>
      <c r="G792" s="72"/>
    </row>
    <row r="793" spans="1:7" x14ac:dyDescent="0.25">
      <c r="A793" s="76"/>
      <c r="B793" s="77"/>
      <c r="D793" s="68"/>
      <c r="E793" s="68"/>
      <c r="F793" s="68"/>
      <c r="G793" s="72"/>
    </row>
    <row r="794" spans="1:7" x14ac:dyDescent="0.25">
      <c r="A794" s="76"/>
      <c r="B794" s="77"/>
      <c r="D794" s="68"/>
      <c r="E794" s="68"/>
      <c r="F794" s="68"/>
      <c r="G794" s="72"/>
    </row>
    <row r="795" spans="1:7" x14ac:dyDescent="0.25">
      <c r="A795" s="76"/>
      <c r="B795" s="77"/>
      <c r="D795" s="68"/>
      <c r="E795" s="68"/>
      <c r="F795" s="68"/>
      <c r="G795" s="72"/>
    </row>
    <row r="796" spans="1:7" x14ac:dyDescent="0.25">
      <c r="A796" s="76"/>
      <c r="B796" s="77"/>
      <c r="D796" s="68"/>
      <c r="E796" s="68"/>
      <c r="F796" s="68"/>
      <c r="G796" s="72"/>
    </row>
    <row r="797" spans="1:7" x14ac:dyDescent="0.25">
      <c r="A797" s="76"/>
      <c r="B797" s="77"/>
      <c r="D797" s="68"/>
      <c r="E797" s="68"/>
      <c r="F797" s="68"/>
      <c r="G797" s="72"/>
    </row>
    <row r="798" spans="1:7" x14ac:dyDescent="0.25">
      <c r="A798" s="76"/>
      <c r="B798" s="77"/>
      <c r="D798" s="68"/>
      <c r="E798" s="68"/>
      <c r="F798" s="68"/>
      <c r="G798" s="72"/>
    </row>
    <row r="799" spans="1:7" x14ac:dyDescent="0.25">
      <c r="A799" s="76"/>
      <c r="B799" s="77"/>
      <c r="D799" s="68"/>
      <c r="E799" s="68"/>
      <c r="F799" s="68"/>
      <c r="G799" s="72"/>
    </row>
    <row r="800" spans="1:7" x14ac:dyDescent="0.25">
      <c r="A800" s="76"/>
      <c r="B800" s="77"/>
      <c r="D800" s="68"/>
      <c r="E800" s="68"/>
      <c r="F800" s="68"/>
      <c r="G800" s="72"/>
    </row>
    <row r="801" spans="1:7" x14ac:dyDescent="0.25">
      <c r="A801" s="76"/>
      <c r="B801" s="77"/>
      <c r="D801" s="68"/>
      <c r="E801" s="68"/>
      <c r="F801" s="68"/>
      <c r="G801" s="72"/>
    </row>
    <row r="802" spans="1:7" x14ac:dyDescent="0.25">
      <c r="A802" s="76"/>
      <c r="B802" s="77"/>
      <c r="D802" s="68"/>
      <c r="E802" s="68"/>
      <c r="F802" s="68"/>
      <c r="G802" s="72"/>
    </row>
    <row r="803" spans="1:7" x14ac:dyDescent="0.25">
      <c r="A803" s="76"/>
      <c r="B803" s="77"/>
      <c r="D803" s="68"/>
      <c r="E803" s="68"/>
      <c r="F803" s="68"/>
      <c r="G803" s="72"/>
    </row>
    <row r="804" spans="1:7" x14ac:dyDescent="0.25">
      <c r="A804" s="76"/>
      <c r="B804" s="77"/>
      <c r="D804" s="68"/>
      <c r="E804" s="68"/>
      <c r="F804" s="68"/>
      <c r="G804" s="72"/>
    </row>
    <row r="805" spans="1:7" x14ac:dyDescent="0.25">
      <c r="A805" s="76"/>
      <c r="B805" s="77"/>
      <c r="D805" s="68"/>
      <c r="E805" s="68"/>
      <c r="F805" s="68"/>
      <c r="G805" s="72"/>
    </row>
    <row r="806" spans="1:7" x14ac:dyDescent="0.25">
      <c r="A806" s="76"/>
      <c r="B806" s="77"/>
      <c r="D806" s="68"/>
      <c r="E806" s="68"/>
      <c r="F806" s="68"/>
      <c r="G806" s="72"/>
    </row>
    <row r="807" spans="1:7" x14ac:dyDescent="0.25">
      <c r="A807" s="76"/>
      <c r="B807" s="77"/>
      <c r="D807" s="68"/>
      <c r="E807" s="68"/>
      <c r="F807" s="68"/>
      <c r="G807" s="72"/>
    </row>
    <row r="808" spans="1:7" x14ac:dyDescent="0.25">
      <c r="A808" s="76"/>
      <c r="B808" s="77"/>
      <c r="D808" s="68"/>
      <c r="E808" s="68"/>
      <c r="F808" s="68"/>
      <c r="G808" s="72"/>
    </row>
    <row r="809" spans="1:7" x14ac:dyDescent="0.25">
      <c r="A809" s="76"/>
      <c r="B809" s="77"/>
      <c r="D809" s="68"/>
      <c r="E809" s="68"/>
      <c r="F809" s="68"/>
      <c r="G809" s="72"/>
    </row>
    <row r="810" spans="1:7" x14ac:dyDescent="0.25">
      <c r="A810" s="76"/>
      <c r="B810" s="77"/>
      <c r="D810" s="68"/>
      <c r="E810" s="68"/>
      <c r="F810" s="68"/>
      <c r="G810" s="72"/>
    </row>
    <row r="811" spans="1:7" x14ac:dyDescent="0.25">
      <c r="A811" s="76"/>
      <c r="B811" s="77"/>
      <c r="D811" s="68"/>
      <c r="E811" s="68"/>
      <c r="F811" s="68"/>
      <c r="G811" s="72"/>
    </row>
    <row r="812" spans="1:7" x14ac:dyDescent="0.25">
      <c r="A812" s="76"/>
      <c r="B812" s="77"/>
      <c r="D812" s="68"/>
      <c r="E812" s="68"/>
      <c r="F812" s="68"/>
      <c r="G812" s="72"/>
    </row>
    <row r="813" spans="1:7" x14ac:dyDescent="0.25">
      <c r="A813" s="76"/>
      <c r="B813" s="77"/>
      <c r="D813" s="68"/>
      <c r="E813" s="68"/>
      <c r="F813" s="68"/>
      <c r="G813" s="72"/>
    </row>
    <row r="814" spans="1:7" x14ac:dyDescent="0.25">
      <c r="A814" s="76"/>
      <c r="B814" s="77"/>
      <c r="D814" s="68"/>
      <c r="E814" s="68"/>
      <c r="F814" s="68"/>
      <c r="G814" s="72"/>
    </row>
    <row r="815" spans="1:7" x14ac:dyDescent="0.25">
      <c r="A815" s="76"/>
      <c r="B815" s="77"/>
      <c r="D815" s="68"/>
      <c r="E815" s="68"/>
      <c r="F815" s="68"/>
      <c r="G815" s="72"/>
    </row>
    <row r="816" spans="1:7" x14ac:dyDescent="0.25">
      <c r="A816" s="76"/>
      <c r="B816" s="77"/>
      <c r="D816" s="68"/>
      <c r="E816" s="68"/>
      <c r="F816" s="68"/>
      <c r="G816" s="72"/>
    </row>
    <row r="817" spans="1:7" x14ac:dyDescent="0.25">
      <c r="A817" s="76"/>
      <c r="B817" s="77"/>
      <c r="D817" s="68"/>
      <c r="E817" s="68"/>
      <c r="F817" s="68"/>
      <c r="G817" s="72"/>
    </row>
    <row r="818" spans="1:7" x14ac:dyDescent="0.25">
      <c r="A818" s="76"/>
      <c r="B818" s="77"/>
      <c r="D818" s="68"/>
      <c r="E818" s="68"/>
      <c r="F818" s="68"/>
      <c r="G818" s="72"/>
    </row>
    <row r="819" spans="1:7" x14ac:dyDescent="0.25">
      <c r="A819" s="76"/>
      <c r="B819" s="77"/>
      <c r="D819" s="68"/>
      <c r="E819" s="68"/>
      <c r="F819" s="68"/>
      <c r="G819" s="72"/>
    </row>
    <row r="820" spans="1:7" x14ac:dyDescent="0.25">
      <c r="A820" s="76"/>
      <c r="B820" s="77"/>
      <c r="D820" s="68"/>
      <c r="E820" s="68"/>
      <c r="F820" s="68"/>
      <c r="G820" s="72"/>
    </row>
    <row r="821" spans="1:7" x14ac:dyDescent="0.25">
      <c r="A821" s="76"/>
      <c r="B821" s="77"/>
      <c r="D821" s="68"/>
      <c r="E821" s="68"/>
      <c r="F821" s="68"/>
      <c r="G821" s="72"/>
    </row>
    <row r="822" spans="1:7" x14ac:dyDescent="0.25">
      <c r="A822" s="76"/>
      <c r="B822" s="77"/>
      <c r="D822" s="68"/>
      <c r="E822" s="68"/>
      <c r="F822" s="68"/>
      <c r="G822" s="72"/>
    </row>
    <row r="823" spans="1:7" x14ac:dyDescent="0.25">
      <c r="A823" s="76"/>
      <c r="B823" s="77"/>
      <c r="D823" s="68"/>
      <c r="E823" s="68"/>
      <c r="F823" s="68"/>
      <c r="G823" s="72"/>
    </row>
    <row r="824" spans="1:7" x14ac:dyDescent="0.25">
      <c r="A824" s="76"/>
      <c r="B824" s="77"/>
      <c r="D824" s="68"/>
      <c r="E824" s="68"/>
      <c r="F824" s="68"/>
      <c r="G824" s="72"/>
    </row>
    <row r="825" spans="1:7" x14ac:dyDescent="0.25">
      <c r="A825" s="76"/>
      <c r="B825" s="77"/>
      <c r="D825" s="68"/>
      <c r="E825" s="68"/>
      <c r="F825" s="68"/>
      <c r="G825" s="72"/>
    </row>
    <row r="826" spans="1:7" x14ac:dyDescent="0.25">
      <c r="A826" s="76"/>
      <c r="B826" s="77"/>
      <c r="D826" s="68"/>
      <c r="E826" s="68"/>
      <c r="F826" s="68"/>
      <c r="G826" s="72"/>
    </row>
    <row r="827" spans="1:7" x14ac:dyDescent="0.25">
      <c r="A827" s="76"/>
      <c r="B827" s="77"/>
      <c r="D827" s="68"/>
      <c r="E827" s="68"/>
      <c r="F827" s="68"/>
      <c r="G827" s="72"/>
    </row>
    <row r="828" spans="1:7" x14ac:dyDescent="0.25">
      <c r="A828" s="76"/>
      <c r="B828" s="77"/>
      <c r="D828" s="68"/>
      <c r="E828" s="68"/>
      <c r="F828" s="68"/>
      <c r="G828" s="72"/>
    </row>
    <row r="829" spans="1:7" x14ac:dyDescent="0.25">
      <c r="A829" s="76"/>
      <c r="B829" s="77"/>
      <c r="D829" s="68"/>
      <c r="E829" s="68"/>
      <c r="F829" s="68"/>
      <c r="G829" s="72"/>
    </row>
    <row r="830" spans="1:7" x14ac:dyDescent="0.25">
      <c r="A830" s="76"/>
      <c r="B830" s="77"/>
      <c r="D830" s="68"/>
      <c r="E830" s="68"/>
      <c r="F830" s="68"/>
      <c r="G830" s="72"/>
    </row>
    <row r="831" spans="1:7" x14ac:dyDescent="0.25">
      <c r="A831" s="76"/>
      <c r="B831" s="77"/>
      <c r="D831" s="68"/>
      <c r="E831" s="68"/>
      <c r="F831" s="68"/>
      <c r="G831" s="72"/>
    </row>
    <row r="832" spans="1:7" x14ac:dyDescent="0.25">
      <c r="A832" s="76"/>
      <c r="B832" s="77"/>
      <c r="D832" s="68"/>
      <c r="E832" s="68"/>
      <c r="F832" s="68"/>
      <c r="G832" s="72"/>
    </row>
    <row r="833" spans="1:7" x14ac:dyDescent="0.25">
      <c r="A833" s="76"/>
      <c r="B833" s="77"/>
      <c r="D833" s="68"/>
      <c r="E833" s="68"/>
      <c r="F833" s="68"/>
      <c r="G833" s="72"/>
    </row>
    <row r="834" spans="1:7" x14ac:dyDescent="0.25">
      <c r="A834" s="76"/>
      <c r="B834" s="77"/>
      <c r="D834" s="68"/>
      <c r="E834" s="68"/>
      <c r="F834" s="68"/>
      <c r="G834" s="72"/>
    </row>
    <row r="835" spans="1:7" x14ac:dyDescent="0.25">
      <c r="A835" s="76"/>
      <c r="B835" s="77"/>
      <c r="D835" s="68"/>
      <c r="E835" s="68"/>
      <c r="F835" s="68"/>
      <c r="G835" s="72"/>
    </row>
    <row r="836" spans="1:7" x14ac:dyDescent="0.25">
      <c r="A836" s="76"/>
      <c r="B836" s="77"/>
      <c r="D836" s="68"/>
      <c r="E836" s="68"/>
      <c r="F836" s="68"/>
      <c r="G836" s="72"/>
    </row>
    <row r="837" spans="1:7" x14ac:dyDescent="0.25">
      <c r="A837" s="76"/>
      <c r="B837" s="77"/>
      <c r="D837" s="68"/>
      <c r="E837" s="68"/>
      <c r="F837" s="68"/>
      <c r="G837" s="72"/>
    </row>
    <row r="838" spans="1:7" x14ac:dyDescent="0.25">
      <c r="A838" s="76"/>
      <c r="B838" s="77"/>
      <c r="D838" s="68"/>
      <c r="E838" s="68"/>
      <c r="F838" s="68"/>
      <c r="G838" s="72"/>
    </row>
    <row r="839" spans="1:7" x14ac:dyDescent="0.25">
      <c r="A839" s="76"/>
      <c r="B839" s="77"/>
      <c r="D839" s="68"/>
      <c r="E839" s="68"/>
      <c r="F839" s="68"/>
      <c r="G839" s="72"/>
    </row>
    <row r="840" spans="1:7" x14ac:dyDescent="0.25">
      <c r="A840" s="76"/>
      <c r="B840" s="77"/>
      <c r="D840" s="68"/>
      <c r="E840" s="68"/>
      <c r="F840" s="68"/>
      <c r="G840" s="72"/>
    </row>
    <row r="841" spans="1:7" x14ac:dyDescent="0.25">
      <c r="A841" s="76"/>
      <c r="B841" s="77"/>
      <c r="D841" s="68"/>
      <c r="E841" s="68"/>
      <c r="F841" s="68"/>
      <c r="G841" s="72"/>
    </row>
    <row r="842" spans="1:7" x14ac:dyDescent="0.25">
      <c r="A842" s="76"/>
      <c r="B842" s="77"/>
      <c r="D842" s="68"/>
      <c r="E842" s="68"/>
      <c r="F842" s="68"/>
      <c r="G842" s="72"/>
    </row>
    <row r="843" spans="1:7" x14ac:dyDescent="0.25">
      <c r="A843" s="76"/>
      <c r="B843" s="77"/>
      <c r="D843" s="68"/>
      <c r="E843" s="68"/>
      <c r="F843" s="68"/>
      <c r="G843" s="72"/>
    </row>
    <row r="844" spans="1:7" x14ac:dyDescent="0.25">
      <c r="A844" s="76"/>
      <c r="B844" s="77"/>
      <c r="D844" s="68"/>
      <c r="E844" s="68"/>
      <c r="F844" s="68"/>
      <c r="G844" s="72"/>
    </row>
    <row r="845" spans="1:7" x14ac:dyDescent="0.25">
      <c r="A845" s="76"/>
      <c r="B845" s="77"/>
      <c r="D845" s="68"/>
      <c r="E845" s="68"/>
      <c r="F845" s="68"/>
      <c r="G845" s="72"/>
    </row>
    <row r="846" spans="1:7" x14ac:dyDescent="0.25">
      <c r="A846" s="76"/>
      <c r="B846" s="77"/>
      <c r="D846" s="68"/>
      <c r="E846" s="68"/>
      <c r="F846" s="68"/>
      <c r="G846" s="72"/>
    </row>
    <row r="847" spans="1:7" x14ac:dyDescent="0.25">
      <c r="A847" s="76"/>
      <c r="B847" s="77"/>
      <c r="D847" s="68"/>
      <c r="E847" s="68"/>
      <c r="F847" s="68"/>
      <c r="G847" s="72"/>
    </row>
    <row r="848" spans="1:7" x14ac:dyDescent="0.25">
      <c r="A848" s="76"/>
      <c r="B848" s="77"/>
      <c r="D848" s="68"/>
      <c r="E848" s="68"/>
      <c r="F848" s="68"/>
      <c r="G848" s="72"/>
    </row>
    <row r="849" spans="1:7" x14ac:dyDescent="0.25">
      <c r="A849" s="76"/>
      <c r="B849" s="77"/>
      <c r="D849" s="68"/>
      <c r="E849" s="68"/>
      <c r="F849" s="68"/>
      <c r="G849" s="72"/>
    </row>
    <row r="850" spans="1:7" x14ac:dyDescent="0.25">
      <c r="A850" s="76"/>
      <c r="B850" s="77"/>
      <c r="D850" s="68"/>
      <c r="E850" s="68"/>
      <c r="F850" s="68"/>
      <c r="G850" s="72"/>
    </row>
    <row r="851" spans="1:7" x14ac:dyDescent="0.25">
      <c r="A851" s="76"/>
      <c r="B851" s="77"/>
      <c r="D851" s="68"/>
      <c r="E851" s="68"/>
      <c r="F851" s="68"/>
      <c r="G851" s="72"/>
    </row>
    <row r="852" spans="1:7" x14ac:dyDescent="0.25">
      <c r="A852" s="76"/>
      <c r="B852" s="77"/>
      <c r="D852" s="68"/>
      <c r="E852" s="68"/>
      <c r="F852" s="68"/>
      <c r="G852" s="72"/>
    </row>
    <row r="853" spans="1:7" x14ac:dyDescent="0.25">
      <c r="A853" s="76"/>
      <c r="B853" s="77"/>
      <c r="D853" s="68"/>
      <c r="E853" s="68"/>
      <c r="F853" s="68"/>
      <c r="G853" s="72"/>
    </row>
    <row r="854" spans="1:7" x14ac:dyDescent="0.25">
      <c r="A854" s="76"/>
      <c r="B854" s="77"/>
      <c r="D854" s="68"/>
      <c r="E854" s="68"/>
      <c r="F854" s="68"/>
      <c r="G854" s="72"/>
    </row>
    <row r="855" spans="1:7" x14ac:dyDescent="0.25">
      <c r="A855" s="76"/>
      <c r="B855" s="77"/>
      <c r="D855" s="68"/>
      <c r="E855" s="68"/>
      <c r="F855" s="68"/>
      <c r="G855" s="72"/>
    </row>
    <row r="856" spans="1:7" x14ac:dyDescent="0.25">
      <c r="A856" s="76"/>
      <c r="B856" s="77"/>
      <c r="D856" s="68"/>
      <c r="E856" s="68"/>
      <c r="F856" s="68"/>
      <c r="G856" s="72"/>
    </row>
    <row r="857" spans="1:7" x14ac:dyDescent="0.25">
      <c r="A857" s="76"/>
      <c r="B857" s="77"/>
      <c r="D857" s="68"/>
      <c r="E857" s="68"/>
      <c r="F857" s="68"/>
      <c r="G857" s="72"/>
    </row>
    <row r="858" spans="1:7" x14ac:dyDescent="0.25">
      <c r="A858" s="76"/>
      <c r="B858" s="77"/>
      <c r="D858" s="68"/>
      <c r="E858" s="68"/>
      <c r="F858" s="68"/>
      <c r="G858" s="72"/>
    </row>
    <row r="859" spans="1:7" x14ac:dyDescent="0.25">
      <c r="A859" s="76"/>
      <c r="B859" s="77"/>
      <c r="D859" s="68"/>
      <c r="E859" s="68"/>
      <c r="F859" s="68"/>
      <c r="G859" s="72"/>
    </row>
    <row r="860" spans="1:7" x14ac:dyDescent="0.25">
      <c r="A860" s="76"/>
      <c r="B860" s="77"/>
      <c r="D860" s="68"/>
      <c r="E860" s="68"/>
      <c r="F860" s="68"/>
      <c r="G860" s="72"/>
    </row>
    <row r="861" spans="1:7" x14ac:dyDescent="0.25">
      <c r="A861" s="76"/>
      <c r="B861" s="77"/>
      <c r="D861" s="68"/>
      <c r="E861" s="68"/>
      <c r="F861" s="68"/>
      <c r="G861" s="72"/>
    </row>
    <row r="862" spans="1:7" x14ac:dyDescent="0.25">
      <c r="A862" s="76"/>
      <c r="B862" s="77"/>
      <c r="D862" s="68"/>
      <c r="E862" s="68"/>
      <c r="F862" s="68"/>
      <c r="G862" s="72"/>
    </row>
    <row r="863" spans="1:7" x14ac:dyDescent="0.25">
      <c r="A863" s="76"/>
      <c r="B863" s="77"/>
      <c r="D863" s="68"/>
      <c r="E863" s="68"/>
      <c r="F863" s="68"/>
      <c r="G863" s="72"/>
    </row>
    <row r="864" spans="1:7" x14ac:dyDescent="0.25">
      <c r="A864" s="76"/>
      <c r="B864" s="77"/>
      <c r="D864" s="68"/>
      <c r="E864" s="68"/>
      <c r="F864" s="68"/>
      <c r="G864" s="72"/>
    </row>
    <row r="865" spans="1:7" x14ac:dyDescent="0.25">
      <c r="A865" s="76"/>
      <c r="B865" s="77"/>
      <c r="D865" s="68"/>
      <c r="E865" s="68"/>
      <c r="F865" s="68"/>
      <c r="G865" s="72"/>
    </row>
    <row r="866" spans="1:7" x14ac:dyDescent="0.25">
      <c r="A866" s="76"/>
      <c r="B866" s="77"/>
      <c r="D866" s="68"/>
      <c r="E866" s="68"/>
      <c r="F866" s="68"/>
      <c r="G866" s="72"/>
    </row>
    <row r="867" spans="1:7" x14ac:dyDescent="0.25">
      <c r="A867" s="76"/>
      <c r="B867" s="77"/>
      <c r="D867" s="68"/>
      <c r="E867" s="68"/>
      <c r="F867" s="68"/>
      <c r="G867" s="72"/>
    </row>
    <row r="868" spans="1:7" x14ac:dyDescent="0.25">
      <c r="A868" s="76"/>
      <c r="B868" s="77"/>
      <c r="D868" s="68"/>
      <c r="E868" s="68"/>
      <c r="F868" s="68"/>
      <c r="G868" s="72"/>
    </row>
    <row r="869" spans="1:7" x14ac:dyDescent="0.25">
      <c r="A869" s="76"/>
      <c r="B869" s="77"/>
      <c r="D869" s="68"/>
      <c r="E869" s="68"/>
      <c r="F869" s="68"/>
      <c r="G869" s="72"/>
    </row>
    <row r="870" spans="1:7" x14ac:dyDescent="0.25">
      <c r="A870" s="76"/>
      <c r="B870" s="77"/>
      <c r="D870" s="68"/>
      <c r="E870" s="68"/>
      <c r="F870" s="68"/>
      <c r="G870" s="72"/>
    </row>
    <row r="871" spans="1:7" x14ac:dyDescent="0.25">
      <c r="A871" s="76"/>
      <c r="B871" s="77"/>
      <c r="D871" s="68"/>
      <c r="E871" s="68"/>
      <c r="F871" s="68"/>
      <c r="G871" s="72"/>
    </row>
    <row r="872" spans="1:7" x14ac:dyDescent="0.25">
      <c r="A872" s="76"/>
      <c r="B872" s="77"/>
      <c r="D872" s="68"/>
      <c r="E872" s="68"/>
      <c r="F872" s="68"/>
      <c r="G872" s="72"/>
    </row>
    <row r="873" spans="1:7" x14ac:dyDescent="0.25">
      <c r="A873" s="76"/>
      <c r="B873" s="77"/>
      <c r="D873" s="68"/>
      <c r="E873" s="68"/>
      <c r="F873" s="68"/>
      <c r="G873" s="72"/>
    </row>
    <row r="874" spans="1:7" x14ac:dyDescent="0.25">
      <c r="A874" s="76"/>
      <c r="B874" s="77"/>
      <c r="D874" s="68"/>
      <c r="E874" s="68"/>
      <c r="F874" s="68"/>
      <c r="G874" s="72"/>
    </row>
    <row r="875" spans="1:7" x14ac:dyDescent="0.25">
      <c r="A875" s="76"/>
      <c r="B875" s="77"/>
      <c r="D875" s="68"/>
      <c r="E875" s="68"/>
      <c r="F875" s="68"/>
      <c r="G875" s="72"/>
    </row>
    <row r="876" spans="1:7" x14ac:dyDescent="0.25">
      <c r="A876" s="76"/>
      <c r="B876" s="77"/>
      <c r="D876" s="68"/>
      <c r="E876" s="68"/>
      <c r="F876" s="68"/>
      <c r="G876" s="72"/>
    </row>
    <row r="877" spans="1:7" x14ac:dyDescent="0.25">
      <c r="A877" s="76"/>
      <c r="B877" s="77"/>
      <c r="D877" s="68"/>
      <c r="E877" s="68"/>
      <c r="F877" s="68"/>
      <c r="G877" s="72"/>
    </row>
    <row r="878" spans="1:7" x14ac:dyDescent="0.25">
      <c r="A878" s="76"/>
      <c r="B878" s="77"/>
      <c r="D878" s="68"/>
      <c r="E878" s="68"/>
      <c r="F878" s="68"/>
      <c r="G878" s="72"/>
    </row>
    <row r="879" spans="1:7" x14ac:dyDescent="0.25">
      <c r="A879" s="76"/>
      <c r="B879" s="77"/>
      <c r="D879" s="68"/>
      <c r="E879" s="68"/>
      <c r="F879" s="68"/>
      <c r="G879" s="72"/>
    </row>
    <row r="880" spans="1:7" x14ac:dyDescent="0.25">
      <c r="A880" s="76"/>
      <c r="B880" s="77"/>
      <c r="D880" s="68"/>
      <c r="E880" s="68"/>
      <c r="F880" s="68"/>
      <c r="G880" s="72"/>
    </row>
    <row r="881" spans="1:7" x14ac:dyDescent="0.25">
      <c r="A881" s="76"/>
      <c r="B881" s="77"/>
      <c r="D881" s="68"/>
      <c r="E881" s="68"/>
      <c r="F881" s="68"/>
      <c r="G881" s="72"/>
    </row>
    <row r="882" spans="1:7" x14ac:dyDescent="0.25">
      <c r="A882" s="76"/>
      <c r="B882" s="77"/>
      <c r="D882" s="68"/>
      <c r="E882" s="68"/>
      <c r="F882" s="68"/>
      <c r="G882" s="72"/>
    </row>
    <row r="883" spans="1:7" x14ac:dyDescent="0.25">
      <c r="A883" s="76"/>
      <c r="B883" s="77"/>
      <c r="D883" s="68"/>
      <c r="E883" s="68"/>
      <c r="F883" s="68"/>
      <c r="G883" s="72"/>
    </row>
    <row r="884" spans="1:7" x14ac:dyDescent="0.25">
      <c r="A884" s="76"/>
      <c r="B884" s="77"/>
      <c r="D884" s="68"/>
      <c r="E884" s="68"/>
      <c r="F884" s="68"/>
      <c r="G884" s="72"/>
    </row>
    <row r="885" spans="1:7" x14ac:dyDescent="0.25">
      <c r="A885" s="76"/>
      <c r="B885" s="77"/>
      <c r="D885" s="68"/>
      <c r="E885" s="68"/>
      <c r="F885" s="68"/>
      <c r="G885" s="72"/>
    </row>
    <row r="886" spans="1:7" x14ac:dyDescent="0.25">
      <c r="A886" s="76"/>
      <c r="B886" s="77"/>
      <c r="D886" s="68"/>
      <c r="E886" s="68"/>
      <c r="F886" s="68"/>
      <c r="G886" s="72"/>
    </row>
    <row r="887" spans="1:7" x14ac:dyDescent="0.25">
      <c r="A887" s="76"/>
      <c r="B887" s="77"/>
      <c r="D887" s="68"/>
      <c r="E887" s="68"/>
      <c r="F887" s="68"/>
      <c r="G887" s="72"/>
    </row>
    <row r="888" spans="1:7" x14ac:dyDescent="0.25">
      <c r="A888" s="76"/>
      <c r="B888" s="77"/>
      <c r="D888" s="68"/>
      <c r="E888" s="68"/>
      <c r="F888" s="68"/>
      <c r="G888" s="72"/>
    </row>
    <row r="889" spans="1:7" x14ac:dyDescent="0.25">
      <c r="A889" s="76"/>
      <c r="B889" s="77"/>
      <c r="D889" s="68"/>
      <c r="E889" s="68"/>
      <c r="F889" s="68"/>
      <c r="G889" s="72"/>
    </row>
    <row r="890" spans="1:7" x14ac:dyDescent="0.25">
      <c r="A890" s="76"/>
      <c r="B890" s="77"/>
      <c r="D890" s="68"/>
      <c r="E890" s="68"/>
      <c r="F890" s="68"/>
      <c r="G890" s="72"/>
    </row>
    <row r="891" spans="1:7" x14ac:dyDescent="0.25">
      <c r="A891" s="76"/>
      <c r="B891" s="77"/>
      <c r="D891" s="68"/>
      <c r="E891" s="68"/>
      <c r="F891" s="68"/>
      <c r="G891" s="72"/>
    </row>
    <row r="892" spans="1:7" x14ac:dyDescent="0.25">
      <c r="A892" s="76"/>
      <c r="B892" s="77"/>
      <c r="D892" s="68"/>
      <c r="E892" s="68"/>
      <c r="F892" s="68"/>
      <c r="G892" s="72"/>
    </row>
    <row r="893" spans="1:7" x14ac:dyDescent="0.25">
      <c r="A893" s="76"/>
      <c r="B893" s="77"/>
      <c r="D893" s="68"/>
      <c r="E893" s="68"/>
      <c r="F893" s="68"/>
      <c r="G893" s="72"/>
    </row>
    <row r="894" spans="1:7" x14ac:dyDescent="0.25">
      <c r="A894" s="76"/>
      <c r="B894" s="77"/>
      <c r="D894" s="68"/>
      <c r="E894" s="68"/>
      <c r="F894" s="68"/>
      <c r="G894" s="72"/>
    </row>
    <row r="895" spans="1:7" x14ac:dyDescent="0.25">
      <c r="A895" s="76"/>
      <c r="B895" s="77"/>
      <c r="D895" s="68"/>
      <c r="E895" s="68"/>
      <c r="F895" s="68"/>
      <c r="G895" s="72"/>
    </row>
    <row r="896" spans="1:7" x14ac:dyDescent="0.25">
      <c r="A896" s="76"/>
      <c r="B896" s="77"/>
      <c r="D896" s="68"/>
      <c r="E896" s="68"/>
      <c r="F896" s="68"/>
      <c r="G896" s="72"/>
    </row>
    <row r="897" spans="1:7" x14ac:dyDescent="0.25">
      <c r="A897" s="76"/>
      <c r="B897" s="77"/>
      <c r="D897" s="68"/>
      <c r="E897" s="68"/>
      <c r="F897" s="68"/>
      <c r="G897" s="72"/>
    </row>
    <row r="898" spans="1:7" x14ac:dyDescent="0.25">
      <c r="A898" s="76"/>
      <c r="B898" s="77"/>
      <c r="D898" s="68"/>
      <c r="E898" s="68"/>
      <c r="F898" s="68"/>
      <c r="G898" s="72"/>
    </row>
    <row r="899" spans="1:7" x14ac:dyDescent="0.25">
      <c r="A899" s="76"/>
      <c r="B899" s="77"/>
      <c r="D899" s="68"/>
      <c r="E899" s="68"/>
      <c r="F899" s="68"/>
      <c r="G899" s="72"/>
    </row>
    <row r="900" spans="1:7" x14ac:dyDescent="0.25">
      <c r="A900" s="76"/>
      <c r="B900" s="77"/>
      <c r="D900" s="68"/>
      <c r="E900" s="68"/>
      <c r="F900" s="68"/>
      <c r="G900" s="72"/>
    </row>
    <row r="901" spans="1:7" x14ac:dyDescent="0.25">
      <c r="A901" s="76"/>
      <c r="B901" s="77"/>
      <c r="D901" s="68"/>
      <c r="E901" s="68"/>
      <c r="F901" s="68"/>
      <c r="G901" s="72"/>
    </row>
    <row r="902" spans="1:7" x14ac:dyDescent="0.25">
      <c r="A902" s="76"/>
      <c r="B902" s="77"/>
      <c r="D902" s="68"/>
      <c r="E902" s="68"/>
      <c r="F902" s="68"/>
      <c r="G902" s="72"/>
    </row>
    <row r="903" spans="1:7" x14ac:dyDescent="0.25">
      <c r="A903" s="76"/>
      <c r="B903" s="77"/>
      <c r="D903" s="68"/>
      <c r="E903" s="68"/>
      <c r="F903" s="68"/>
      <c r="G903" s="72"/>
    </row>
    <row r="904" spans="1:7" x14ac:dyDescent="0.25">
      <c r="A904" s="76"/>
      <c r="B904" s="77"/>
      <c r="D904" s="68"/>
      <c r="E904" s="68"/>
      <c r="F904" s="68"/>
      <c r="G904" s="72"/>
    </row>
    <row r="905" spans="1:7" x14ac:dyDescent="0.25">
      <c r="A905" s="76"/>
      <c r="B905" s="77"/>
      <c r="D905" s="68"/>
      <c r="E905" s="68"/>
      <c r="F905" s="68"/>
      <c r="G905" s="72"/>
    </row>
    <row r="906" spans="1:7" x14ac:dyDescent="0.25">
      <c r="A906" s="76"/>
      <c r="B906" s="77"/>
      <c r="D906" s="68"/>
      <c r="E906" s="68"/>
      <c r="F906" s="68"/>
      <c r="G906" s="72"/>
    </row>
    <row r="907" spans="1:7" x14ac:dyDescent="0.25">
      <c r="A907" s="76"/>
      <c r="B907" s="77"/>
      <c r="D907" s="68"/>
      <c r="E907" s="68"/>
      <c r="F907" s="68"/>
      <c r="G907" s="72"/>
    </row>
    <row r="908" spans="1:7" x14ac:dyDescent="0.25">
      <c r="A908" s="76"/>
      <c r="B908" s="77"/>
      <c r="D908" s="68"/>
      <c r="E908" s="68"/>
      <c r="F908" s="68"/>
      <c r="G908" s="72"/>
    </row>
    <row r="909" spans="1:7" x14ac:dyDescent="0.25">
      <c r="A909" s="76"/>
      <c r="B909" s="77"/>
      <c r="D909" s="68"/>
      <c r="E909" s="68"/>
      <c r="F909" s="68"/>
      <c r="G909" s="72"/>
    </row>
    <row r="910" spans="1:7" x14ac:dyDescent="0.25">
      <c r="A910" s="76"/>
      <c r="B910" s="77"/>
      <c r="D910" s="68"/>
      <c r="E910" s="68"/>
      <c r="F910" s="68"/>
      <c r="G910" s="72"/>
    </row>
    <row r="911" spans="1:7" x14ac:dyDescent="0.25">
      <c r="A911" s="76"/>
      <c r="B911" s="77"/>
      <c r="D911" s="68"/>
      <c r="E911" s="68"/>
      <c r="F911" s="68"/>
      <c r="G911" s="72"/>
    </row>
    <row r="912" spans="1:7" x14ac:dyDescent="0.25">
      <c r="A912" s="76"/>
      <c r="B912" s="77"/>
      <c r="D912" s="68"/>
      <c r="E912" s="68"/>
      <c r="F912" s="68"/>
      <c r="G912" s="72"/>
    </row>
    <row r="913" spans="1:7" x14ac:dyDescent="0.25">
      <c r="A913" s="76"/>
      <c r="B913" s="77"/>
      <c r="D913" s="68"/>
      <c r="E913" s="68"/>
      <c r="F913" s="68"/>
      <c r="G913" s="72"/>
    </row>
    <row r="914" spans="1:7" x14ac:dyDescent="0.25">
      <c r="A914" s="76"/>
      <c r="B914" s="77"/>
      <c r="D914" s="68"/>
      <c r="E914" s="68"/>
      <c r="F914" s="68"/>
      <c r="G914" s="72"/>
    </row>
    <row r="915" spans="1:7" x14ac:dyDescent="0.25">
      <c r="A915" s="76"/>
      <c r="B915" s="77"/>
      <c r="D915" s="68"/>
      <c r="E915" s="68"/>
      <c r="F915" s="68"/>
      <c r="G915" s="72"/>
    </row>
    <row r="916" spans="1:7" x14ac:dyDescent="0.25">
      <c r="A916" s="76"/>
      <c r="B916" s="77"/>
      <c r="D916" s="68"/>
      <c r="E916" s="68"/>
      <c r="F916" s="68"/>
      <c r="G916" s="72"/>
    </row>
    <row r="917" spans="1:7" x14ac:dyDescent="0.25">
      <c r="A917" s="76"/>
      <c r="B917" s="77"/>
      <c r="D917" s="68"/>
      <c r="E917" s="68"/>
      <c r="F917" s="68"/>
      <c r="G917" s="72"/>
    </row>
    <row r="918" spans="1:7" x14ac:dyDescent="0.25">
      <c r="A918" s="76"/>
      <c r="B918" s="77"/>
      <c r="D918" s="68"/>
      <c r="E918" s="68"/>
      <c r="F918" s="68"/>
      <c r="G918" s="72"/>
    </row>
    <row r="919" spans="1:7" x14ac:dyDescent="0.25">
      <c r="A919" s="76"/>
      <c r="B919" s="77"/>
      <c r="D919" s="68"/>
      <c r="E919" s="68"/>
      <c r="F919" s="68"/>
      <c r="G919" s="72"/>
    </row>
    <row r="920" spans="1:7" x14ac:dyDescent="0.25">
      <c r="A920" s="76"/>
      <c r="B920" s="77"/>
      <c r="D920" s="68"/>
      <c r="E920" s="68"/>
      <c r="F920" s="68"/>
      <c r="G920" s="72"/>
    </row>
    <row r="921" spans="1:7" x14ac:dyDescent="0.25">
      <c r="A921" s="76"/>
      <c r="B921" s="77"/>
      <c r="D921" s="68"/>
      <c r="E921" s="68"/>
      <c r="F921" s="68"/>
      <c r="G921" s="72"/>
    </row>
    <row r="922" spans="1:7" x14ac:dyDescent="0.25">
      <c r="A922" s="76"/>
      <c r="B922" s="77"/>
      <c r="D922" s="68"/>
      <c r="E922" s="68"/>
      <c r="F922" s="68"/>
      <c r="G922" s="72"/>
    </row>
    <row r="923" spans="1:7" x14ac:dyDescent="0.25">
      <c r="A923" s="76"/>
      <c r="B923" s="77"/>
      <c r="D923" s="68"/>
      <c r="E923" s="68"/>
      <c r="F923" s="68"/>
      <c r="G923" s="72"/>
    </row>
    <row r="924" spans="1:7" x14ac:dyDescent="0.25">
      <c r="A924" s="76"/>
      <c r="B924" s="77"/>
      <c r="D924" s="68"/>
      <c r="E924" s="68"/>
      <c r="F924" s="68"/>
      <c r="G924" s="72"/>
    </row>
    <row r="925" spans="1:7" x14ac:dyDescent="0.25">
      <c r="A925" s="76"/>
      <c r="B925" s="77"/>
      <c r="D925" s="68"/>
      <c r="E925" s="68"/>
      <c r="F925" s="68"/>
      <c r="G925" s="72"/>
    </row>
    <row r="926" spans="1:7" x14ac:dyDescent="0.25">
      <c r="A926" s="76"/>
      <c r="B926" s="77"/>
      <c r="D926" s="68"/>
      <c r="E926" s="68"/>
      <c r="F926" s="68"/>
      <c r="G926" s="72"/>
    </row>
    <row r="927" spans="1:7" x14ac:dyDescent="0.25">
      <c r="A927" s="76"/>
      <c r="B927" s="77"/>
      <c r="D927" s="68"/>
      <c r="E927" s="68"/>
      <c r="F927" s="68"/>
      <c r="G927" s="72"/>
    </row>
    <row r="928" spans="1:7" x14ac:dyDescent="0.25">
      <c r="A928" s="76"/>
      <c r="B928" s="77"/>
      <c r="D928" s="68"/>
      <c r="E928" s="68"/>
      <c r="F928" s="68"/>
      <c r="G928" s="72"/>
    </row>
    <row r="929" spans="1:7" x14ac:dyDescent="0.25">
      <c r="A929" s="76"/>
      <c r="B929" s="77"/>
      <c r="D929" s="68"/>
      <c r="E929" s="68"/>
      <c r="F929" s="68"/>
      <c r="G929" s="72"/>
    </row>
    <row r="930" spans="1:7" x14ac:dyDescent="0.25">
      <c r="A930" s="76"/>
      <c r="B930" s="77"/>
      <c r="D930" s="68"/>
      <c r="E930" s="68"/>
      <c r="F930" s="68"/>
      <c r="G930" s="72"/>
    </row>
    <row r="931" spans="1:7" x14ac:dyDescent="0.25">
      <c r="A931" s="76"/>
      <c r="B931" s="77"/>
      <c r="D931" s="68"/>
      <c r="E931" s="68"/>
      <c r="F931" s="68"/>
      <c r="G931" s="72"/>
    </row>
    <row r="932" spans="1:7" x14ac:dyDescent="0.25">
      <c r="A932" s="76"/>
      <c r="B932" s="77"/>
      <c r="D932" s="68"/>
      <c r="E932" s="68"/>
      <c r="F932" s="68"/>
      <c r="G932" s="72"/>
    </row>
    <row r="933" spans="1:7" x14ac:dyDescent="0.25">
      <c r="A933" s="76"/>
      <c r="B933" s="77"/>
      <c r="D933" s="68"/>
      <c r="E933" s="68"/>
      <c r="F933" s="68"/>
      <c r="G933" s="72"/>
    </row>
    <row r="934" spans="1:7" x14ac:dyDescent="0.25">
      <c r="A934" s="76"/>
      <c r="B934" s="77"/>
      <c r="D934" s="68"/>
      <c r="E934" s="68"/>
      <c r="F934" s="68"/>
      <c r="G934" s="72"/>
    </row>
    <row r="935" spans="1:7" x14ac:dyDescent="0.25">
      <c r="A935" s="76"/>
      <c r="B935" s="77"/>
      <c r="D935" s="68"/>
      <c r="E935" s="68"/>
      <c r="F935" s="68"/>
      <c r="G935" s="72"/>
    </row>
    <row r="936" spans="1:7" x14ac:dyDescent="0.25">
      <c r="A936" s="76"/>
      <c r="B936" s="77"/>
      <c r="D936" s="68"/>
      <c r="E936" s="68"/>
      <c r="F936" s="68"/>
      <c r="G936" s="72"/>
    </row>
    <row r="937" spans="1:7" x14ac:dyDescent="0.25">
      <c r="A937" s="76"/>
      <c r="B937" s="77"/>
      <c r="D937" s="68"/>
      <c r="E937" s="68"/>
      <c r="F937" s="68"/>
      <c r="G937" s="72"/>
    </row>
    <row r="938" spans="1:7" x14ac:dyDescent="0.25">
      <c r="A938" s="76"/>
      <c r="B938" s="77"/>
      <c r="D938" s="68"/>
      <c r="E938" s="68"/>
      <c r="F938" s="68"/>
      <c r="G938" s="72"/>
    </row>
    <row r="939" spans="1:7" x14ac:dyDescent="0.25">
      <c r="A939" s="76"/>
      <c r="B939" s="77"/>
      <c r="D939" s="68"/>
      <c r="E939" s="68"/>
      <c r="F939" s="68"/>
      <c r="G939" s="72"/>
    </row>
    <row r="940" spans="1:7" x14ac:dyDescent="0.25">
      <c r="A940" s="76"/>
      <c r="B940" s="77"/>
      <c r="D940" s="68"/>
      <c r="E940" s="68"/>
      <c r="F940" s="68"/>
      <c r="G940" s="72"/>
    </row>
    <row r="941" spans="1:7" x14ac:dyDescent="0.25">
      <c r="A941" s="76"/>
      <c r="B941" s="77"/>
      <c r="D941" s="68"/>
      <c r="E941" s="68"/>
      <c r="F941" s="68"/>
      <c r="G941" s="72"/>
    </row>
    <row r="942" spans="1:7" x14ac:dyDescent="0.25">
      <c r="A942" s="76"/>
      <c r="B942" s="77"/>
      <c r="D942" s="68"/>
      <c r="E942" s="68"/>
      <c r="F942" s="68"/>
      <c r="G942" s="72"/>
    </row>
    <row r="943" spans="1:7" x14ac:dyDescent="0.25">
      <c r="A943" s="76"/>
      <c r="B943" s="77"/>
      <c r="D943" s="68"/>
      <c r="E943" s="68"/>
      <c r="F943" s="68"/>
      <c r="G943" s="72"/>
    </row>
    <row r="944" spans="1:7" x14ac:dyDescent="0.25">
      <c r="A944" s="76"/>
      <c r="B944" s="77"/>
      <c r="D944" s="68"/>
      <c r="E944" s="68"/>
      <c r="F944" s="68"/>
      <c r="G944" s="72"/>
    </row>
    <row r="945" spans="1:7" x14ac:dyDescent="0.25">
      <c r="A945" s="76"/>
      <c r="B945" s="77"/>
      <c r="D945" s="68"/>
      <c r="E945" s="68"/>
      <c r="F945" s="68"/>
      <c r="G945" s="72"/>
    </row>
    <row r="946" spans="1:7" x14ac:dyDescent="0.25">
      <c r="A946" s="76"/>
      <c r="B946" s="77"/>
      <c r="D946" s="68"/>
      <c r="E946" s="68"/>
      <c r="F946" s="68"/>
      <c r="G946" s="72"/>
    </row>
    <row r="947" spans="1:7" x14ac:dyDescent="0.25">
      <c r="A947" s="76"/>
      <c r="B947" s="77"/>
      <c r="D947" s="68"/>
      <c r="E947" s="68"/>
      <c r="F947" s="68"/>
      <c r="G947" s="72"/>
    </row>
    <row r="948" spans="1:7" x14ac:dyDescent="0.25">
      <c r="A948" s="76"/>
      <c r="B948" s="77"/>
      <c r="D948" s="68"/>
      <c r="E948" s="68"/>
      <c r="F948" s="68"/>
      <c r="G948" s="72"/>
    </row>
    <row r="949" spans="1:7" x14ac:dyDescent="0.25">
      <c r="A949" s="76"/>
      <c r="B949" s="77"/>
      <c r="D949" s="68"/>
      <c r="E949" s="68"/>
      <c r="F949" s="68"/>
      <c r="G949" s="72"/>
    </row>
    <row r="950" spans="1:7" x14ac:dyDescent="0.25">
      <c r="A950" s="76"/>
      <c r="B950" s="77"/>
      <c r="D950" s="68"/>
      <c r="E950" s="68"/>
      <c r="F950" s="68"/>
      <c r="G950" s="72"/>
    </row>
    <row r="951" spans="1:7" x14ac:dyDescent="0.25">
      <c r="A951" s="76"/>
      <c r="B951" s="77"/>
      <c r="D951" s="68"/>
      <c r="E951" s="68"/>
      <c r="F951" s="68"/>
      <c r="G951" s="72"/>
    </row>
    <row r="952" spans="1:7" x14ac:dyDescent="0.25">
      <c r="A952" s="76"/>
      <c r="B952" s="77"/>
      <c r="D952" s="68"/>
      <c r="E952" s="68"/>
      <c r="F952" s="68"/>
      <c r="G952" s="72"/>
    </row>
    <row r="953" spans="1:7" x14ac:dyDescent="0.25">
      <c r="A953" s="76"/>
      <c r="B953" s="77"/>
      <c r="D953" s="68"/>
      <c r="E953" s="68"/>
      <c r="F953" s="68"/>
      <c r="G953" s="72"/>
    </row>
    <row r="954" spans="1:7" x14ac:dyDescent="0.25">
      <c r="A954" s="76"/>
      <c r="B954" s="77"/>
      <c r="D954" s="68"/>
      <c r="E954" s="68"/>
      <c r="F954" s="68"/>
      <c r="G954" s="72"/>
    </row>
    <row r="955" spans="1:7" x14ac:dyDescent="0.25">
      <c r="A955" s="76"/>
      <c r="B955" s="77"/>
      <c r="D955" s="68"/>
      <c r="E955" s="68"/>
      <c r="F955" s="68"/>
      <c r="G955" s="72"/>
    </row>
    <row r="956" spans="1:7" x14ac:dyDescent="0.25">
      <c r="A956" s="76"/>
      <c r="B956" s="77"/>
      <c r="D956" s="68"/>
      <c r="E956" s="68"/>
      <c r="F956" s="68"/>
      <c r="G956" s="72"/>
    </row>
    <row r="957" spans="1:7" x14ac:dyDescent="0.25">
      <c r="A957" s="76"/>
      <c r="B957" s="77"/>
      <c r="D957" s="68"/>
      <c r="E957" s="68"/>
      <c r="F957" s="68"/>
      <c r="G957" s="72"/>
    </row>
    <row r="958" spans="1:7" x14ac:dyDescent="0.25">
      <c r="A958" s="76"/>
      <c r="B958" s="77"/>
      <c r="D958" s="68"/>
      <c r="E958" s="68"/>
      <c r="F958" s="68"/>
      <c r="G958" s="72"/>
    </row>
    <row r="959" spans="1:7" x14ac:dyDescent="0.25">
      <c r="A959" s="76"/>
      <c r="B959" s="77"/>
      <c r="D959" s="68"/>
      <c r="E959" s="68"/>
      <c r="F959" s="68"/>
      <c r="G959" s="72"/>
    </row>
    <row r="960" spans="1:7" x14ac:dyDescent="0.25">
      <c r="A960" s="76"/>
      <c r="B960" s="77"/>
      <c r="D960" s="68"/>
      <c r="E960" s="68"/>
      <c r="F960" s="68"/>
      <c r="G960" s="72"/>
    </row>
    <row r="961" spans="1:7" x14ac:dyDescent="0.25">
      <c r="A961" s="76"/>
      <c r="B961" s="77"/>
      <c r="D961" s="68"/>
      <c r="E961" s="68"/>
      <c r="F961" s="68"/>
      <c r="G961" s="72"/>
    </row>
    <row r="962" spans="1:7" x14ac:dyDescent="0.25">
      <c r="A962" s="76"/>
      <c r="B962" s="77"/>
      <c r="D962" s="68"/>
      <c r="E962" s="68"/>
      <c r="F962" s="68"/>
      <c r="G962" s="72"/>
    </row>
    <row r="963" spans="1:7" x14ac:dyDescent="0.25">
      <c r="A963" s="76"/>
      <c r="B963" s="77"/>
      <c r="D963" s="68"/>
      <c r="E963" s="68"/>
      <c r="F963" s="68"/>
      <c r="G963" s="72"/>
    </row>
    <row r="964" spans="1:7" x14ac:dyDescent="0.25">
      <c r="A964" s="76"/>
      <c r="B964" s="77"/>
      <c r="D964" s="68"/>
      <c r="E964" s="68"/>
      <c r="F964" s="68"/>
      <c r="G964" s="72"/>
    </row>
    <row r="965" spans="1:7" x14ac:dyDescent="0.25">
      <c r="A965" s="76"/>
      <c r="B965" s="77"/>
      <c r="D965" s="68"/>
      <c r="E965" s="68"/>
      <c r="F965" s="68"/>
      <c r="G965" s="72"/>
    </row>
    <row r="966" spans="1:7" x14ac:dyDescent="0.25">
      <c r="A966" s="76"/>
      <c r="B966" s="77"/>
      <c r="D966" s="68"/>
      <c r="E966" s="68"/>
      <c r="F966" s="68"/>
      <c r="G966" s="72"/>
    </row>
    <row r="967" spans="1:7" x14ac:dyDescent="0.25">
      <c r="A967" s="76"/>
      <c r="B967" s="77"/>
      <c r="D967" s="68"/>
      <c r="E967" s="68"/>
      <c r="F967" s="68"/>
      <c r="G967" s="72"/>
    </row>
    <row r="968" spans="1:7" x14ac:dyDescent="0.25">
      <c r="A968" s="76"/>
      <c r="B968" s="77"/>
      <c r="D968" s="68"/>
      <c r="E968" s="68"/>
      <c r="F968" s="68"/>
      <c r="G968" s="72"/>
    </row>
    <row r="969" spans="1:7" x14ac:dyDescent="0.25">
      <c r="A969" s="76"/>
      <c r="B969" s="77"/>
      <c r="D969" s="68"/>
      <c r="E969" s="68"/>
      <c r="F969" s="68"/>
      <c r="G969" s="72"/>
    </row>
    <row r="970" spans="1:7" x14ac:dyDescent="0.25">
      <c r="A970" s="76"/>
      <c r="B970" s="77"/>
      <c r="D970" s="68"/>
      <c r="E970" s="68"/>
      <c r="F970" s="68"/>
      <c r="G970" s="72"/>
    </row>
    <row r="971" spans="1:7" x14ac:dyDescent="0.25">
      <c r="A971" s="76"/>
      <c r="B971" s="77"/>
      <c r="D971" s="68"/>
      <c r="E971" s="68"/>
      <c r="F971" s="68"/>
      <c r="G971" s="72"/>
    </row>
    <row r="972" spans="1:7" x14ac:dyDescent="0.25">
      <c r="A972" s="76"/>
      <c r="B972" s="77"/>
      <c r="D972" s="68"/>
      <c r="E972" s="68"/>
      <c r="F972" s="68"/>
      <c r="G972" s="72"/>
    </row>
    <row r="973" spans="1:7" x14ac:dyDescent="0.25">
      <c r="A973" s="76"/>
      <c r="B973" s="77"/>
      <c r="D973" s="68"/>
      <c r="E973" s="68"/>
      <c r="F973" s="68"/>
      <c r="G973" s="72"/>
    </row>
    <row r="974" spans="1:7" x14ac:dyDescent="0.25">
      <c r="A974" s="76"/>
      <c r="B974" s="77"/>
      <c r="D974" s="68"/>
      <c r="E974" s="68"/>
      <c r="F974" s="68"/>
      <c r="G974" s="72"/>
    </row>
    <row r="975" spans="1:7" x14ac:dyDescent="0.25">
      <c r="A975" s="76"/>
      <c r="B975" s="77"/>
      <c r="D975" s="68"/>
      <c r="E975" s="68"/>
      <c r="F975" s="68"/>
      <c r="G975" s="72"/>
    </row>
    <row r="976" spans="1:7" x14ac:dyDescent="0.25">
      <c r="A976" s="76"/>
      <c r="B976" s="77"/>
      <c r="D976" s="68"/>
      <c r="E976" s="68"/>
      <c r="F976" s="68"/>
      <c r="G976" s="72"/>
    </row>
    <row r="977" spans="1:7" x14ac:dyDescent="0.25">
      <c r="A977" s="76"/>
      <c r="B977" s="77"/>
      <c r="D977" s="68"/>
      <c r="E977" s="68"/>
      <c r="F977" s="68"/>
      <c r="G977" s="72"/>
    </row>
    <row r="978" spans="1:7" x14ac:dyDescent="0.25">
      <c r="A978" s="76"/>
      <c r="B978" s="77"/>
      <c r="D978" s="68"/>
      <c r="E978" s="68"/>
      <c r="F978" s="68"/>
      <c r="G978" s="72"/>
    </row>
    <row r="979" spans="1:7" x14ac:dyDescent="0.25">
      <c r="A979" s="76"/>
      <c r="B979" s="77"/>
      <c r="D979" s="68"/>
      <c r="E979" s="68"/>
      <c r="F979" s="68"/>
      <c r="G979" s="72"/>
    </row>
    <row r="980" spans="1:7" x14ac:dyDescent="0.25">
      <c r="A980" s="76"/>
      <c r="B980" s="77"/>
      <c r="D980" s="68"/>
      <c r="E980" s="68"/>
      <c r="F980" s="68"/>
      <c r="G980" s="72"/>
    </row>
    <row r="981" spans="1:7" x14ac:dyDescent="0.25">
      <c r="A981" s="76"/>
      <c r="B981" s="77"/>
      <c r="D981" s="68"/>
      <c r="E981" s="68"/>
      <c r="F981" s="68"/>
      <c r="G981" s="72"/>
    </row>
    <row r="982" spans="1:7" x14ac:dyDescent="0.25">
      <c r="A982" s="76"/>
      <c r="B982" s="77"/>
      <c r="D982" s="68"/>
      <c r="E982" s="68"/>
      <c r="F982" s="68"/>
      <c r="G982" s="72"/>
    </row>
    <row r="983" spans="1:7" x14ac:dyDescent="0.25">
      <c r="A983" s="76"/>
      <c r="B983" s="77"/>
      <c r="D983" s="68"/>
      <c r="E983" s="68"/>
      <c r="F983" s="68"/>
      <c r="G983" s="72"/>
    </row>
    <row r="984" spans="1:7" x14ac:dyDescent="0.25">
      <c r="A984" s="76"/>
      <c r="B984" s="77"/>
      <c r="D984" s="68"/>
      <c r="E984" s="68"/>
      <c r="F984" s="68"/>
      <c r="G984" s="72"/>
    </row>
    <row r="985" spans="1:7" x14ac:dyDescent="0.25">
      <c r="A985" s="76"/>
      <c r="B985" s="77"/>
      <c r="D985" s="68"/>
      <c r="E985" s="68"/>
      <c r="F985" s="68"/>
      <c r="G985" s="72"/>
    </row>
    <row r="986" spans="1:7" x14ac:dyDescent="0.25">
      <c r="A986" s="76"/>
      <c r="B986" s="77"/>
      <c r="D986" s="68"/>
      <c r="E986" s="68"/>
      <c r="F986" s="68"/>
      <c r="G986" s="72"/>
    </row>
    <row r="987" spans="1:7" x14ac:dyDescent="0.25">
      <c r="A987" s="76"/>
      <c r="B987" s="77"/>
      <c r="D987" s="68"/>
      <c r="E987" s="68"/>
      <c r="F987" s="68"/>
      <c r="G987" s="72"/>
    </row>
    <row r="988" spans="1:7" x14ac:dyDescent="0.25">
      <c r="A988" s="76"/>
      <c r="B988" s="77"/>
      <c r="D988" s="68"/>
      <c r="E988" s="68"/>
      <c r="F988" s="68"/>
      <c r="G988" s="72"/>
    </row>
    <row r="989" spans="1:7" x14ac:dyDescent="0.25">
      <c r="A989" s="76"/>
      <c r="B989" s="77"/>
      <c r="D989" s="68"/>
      <c r="E989" s="68"/>
      <c r="F989" s="68"/>
      <c r="G989" s="72"/>
    </row>
    <row r="990" spans="1:7" x14ac:dyDescent="0.25">
      <c r="A990" s="76"/>
      <c r="B990" s="77"/>
      <c r="D990" s="68"/>
      <c r="E990" s="68"/>
      <c r="F990" s="68"/>
      <c r="G990" s="72"/>
    </row>
    <row r="991" spans="1:7" x14ac:dyDescent="0.25">
      <c r="A991" s="76"/>
      <c r="B991" s="77"/>
      <c r="D991" s="68"/>
      <c r="E991" s="68"/>
      <c r="F991" s="68"/>
      <c r="G991" s="72"/>
    </row>
    <row r="992" spans="1:7" x14ac:dyDescent="0.25">
      <c r="A992" s="76"/>
      <c r="B992" s="77"/>
      <c r="D992" s="68"/>
      <c r="E992" s="68"/>
      <c r="F992" s="68"/>
      <c r="G992" s="72"/>
    </row>
    <row r="993" spans="1:7" x14ac:dyDescent="0.25">
      <c r="A993" s="76"/>
      <c r="B993" s="77"/>
      <c r="D993" s="68"/>
      <c r="E993" s="68"/>
      <c r="F993" s="68"/>
      <c r="G993" s="72"/>
    </row>
    <row r="994" spans="1:7" x14ac:dyDescent="0.25">
      <c r="A994" s="76"/>
      <c r="B994" s="77"/>
      <c r="D994" s="68"/>
      <c r="E994" s="68"/>
      <c r="F994" s="68"/>
      <c r="G994" s="72"/>
    </row>
    <row r="995" spans="1:7" x14ac:dyDescent="0.25">
      <c r="A995" s="76"/>
      <c r="B995" s="77"/>
      <c r="D995" s="68"/>
      <c r="E995" s="68"/>
      <c r="F995" s="68"/>
      <c r="G995" s="72"/>
    </row>
    <row r="996" spans="1:7" x14ac:dyDescent="0.25">
      <c r="A996" s="76"/>
      <c r="B996" s="77"/>
      <c r="D996" s="68"/>
      <c r="E996" s="68"/>
      <c r="F996" s="68"/>
      <c r="G996" s="72"/>
    </row>
    <row r="997" spans="1:7" x14ac:dyDescent="0.25">
      <c r="A997" s="76"/>
      <c r="B997" s="77"/>
      <c r="D997" s="68"/>
      <c r="E997" s="68"/>
      <c r="F997" s="68"/>
      <c r="G997" s="72"/>
    </row>
    <row r="998" spans="1:7" x14ac:dyDescent="0.25">
      <c r="A998" s="76"/>
      <c r="B998" s="77"/>
      <c r="D998" s="68"/>
      <c r="E998" s="68"/>
      <c r="F998" s="68"/>
      <c r="G998" s="72"/>
    </row>
    <row r="999" spans="1:7" x14ac:dyDescent="0.25">
      <c r="A999" s="76"/>
      <c r="B999" s="77"/>
      <c r="D999" s="68"/>
      <c r="E999" s="68"/>
      <c r="F999" s="68"/>
      <c r="G999" s="72"/>
    </row>
    <row r="1000" spans="1:7" x14ac:dyDescent="0.25">
      <c r="A1000" s="76"/>
      <c r="B1000" s="77"/>
      <c r="D1000" s="68"/>
      <c r="E1000" s="68"/>
      <c r="F1000" s="68"/>
      <c r="G1000" s="72"/>
    </row>
    <row r="1001" spans="1:7" x14ac:dyDescent="0.25">
      <c r="A1001" s="76"/>
      <c r="B1001" s="77"/>
      <c r="D1001" s="68"/>
      <c r="E1001" s="68"/>
      <c r="F1001" s="68"/>
      <c r="G1001" s="72"/>
    </row>
    <row r="1002" spans="1:7" x14ac:dyDescent="0.25">
      <c r="A1002" s="76"/>
      <c r="B1002" s="77"/>
      <c r="D1002" s="68"/>
      <c r="E1002" s="68"/>
      <c r="F1002" s="68"/>
      <c r="G1002" s="72"/>
    </row>
    <row r="1003" spans="1:7" x14ac:dyDescent="0.25">
      <c r="A1003" s="76"/>
      <c r="B1003" s="77"/>
      <c r="D1003" s="68"/>
      <c r="E1003" s="68"/>
      <c r="F1003" s="68"/>
      <c r="G1003" s="72"/>
    </row>
    <row r="1004" spans="1:7" x14ac:dyDescent="0.25">
      <c r="A1004" s="76"/>
      <c r="B1004" s="77"/>
      <c r="D1004" s="68"/>
      <c r="E1004" s="68"/>
      <c r="F1004" s="68"/>
      <c r="G1004" s="72"/>
    </row>
    <row r="1005" spans="1:7" x14ac:dyDescent="0.25">
      <c r="A1005" s="76"/>
      <c r="B1005" s="77"/>
      <c r="D1005" s="68"/>
      <c r="E1005" s="68"/>
      <c r="F1005" s="68"/>
      <c r="G1005" s="72"/>
    </row>
    <row r="1006" spans="1:7" x14ac:dyDescent="0.25">
      <c r="A1006" s="76"/>
      <c r="B1006" s="77"/>
      <c r="D1006" s="68"/>
      <c r="E1006" s="68"/>
      <c r="F1006" s="68"/>
      <c r="G1006" s="72"/>
    </row>
    <row r="1007" spans="1:7" x14ac:dyDescent="0.25">
      <c r="A1007" s="76"/>
      <c r="B1007" s="77"/>
      <c r="D1007" s="68"/>
      <c r="E1007" s="68"/>
      <c r="F1007" s="68"/>
      <c r="G1007" s="72"/>
    </row>
    <row r="1008" spans="1:7" x14ac:dyDescent="0.25">
      <c r="A1008" s="76"/>
      <c r="B1008" s="77"/>
      <c r="D1008" s="68"/>
      <c r="E1008" s="68"/>
      <c r="F1008" s="68"/>
      <c r="G1008" s="72"/>
    </row>
    <row r="1009" spans="1:7" x14ac:dyDescent="0.25">
      <c r="A1009" s="76"/>
      <c r="B1009" s="77"/>
      <c r="D1009" s="68"/>
      <c r="E1009" s="68"/>
      <c r="F1009" s="68"/>
      <c r="G1009" s="72"/>
    </row>
    <row r="1010" spans="1:7" x14ac:dyDescent="0.25">
      <c r="A1010" s="76"/>
      <c r="B1010" s="77"/>
      <c r="D1010" s="68"/>
      <c r="E1010" s="68"/>
      <c r="F1010" s="68"/>
      <c r="G1010" s="72"/>
    </row>
    <row r="1011" spans="1:7" x14ac:dyDescent="0.25">
      <c r="A1011" s="76"/>
      <c r="B1011" s="77"/>
      <c r="D1011" s="68"/>
      <c r="E1011" s="68"/>
      <c r="F1011" s="68"/>
      <c r="G1011" s="72"/>
    </row>
    <row r="1012" spans="1:7" x14ac:dyDescent="0.25">
      <c r="A1012" s="76"/>
      <c r="B1012" s="77"/>
    </row>
    <row r="1013" spans="1:7" x14ac:dyDescent="0.25">
      <c r="A1013" s="76"/>
      <c r="B1013" s="77"/>
    </row>
    <row r="1014" spans="1:7" x14ac:dyDescent="0.25">
      <c r="A1014" s="76"/>
      <c r="B1014" s="77"/>
    </row>
    <row r="1015" spans="1:7" x14ac:dyDescent="0.25">
      <c r="A1015" s="76"/>
      <c r="B1015" s="77"/>
    </row>
    <row r="1016" spans="1:7" x14ac:dyDescent="0.25">
      <c r="A1016" s="76"/>
      <c r="B1016" s="77"/>
    </row>
    <row r="1017" spans="1:7" x14ac:dyDescent="0.25">
      <c r="A1017" s="76"/>
      <c r="B1017" s="77"/>
    </row>
    <row r="1018" spans="1:7" x14ac:dyDescent="0.25">
      <c r="A1018" s="76"/>
      <c r="B1018" s="77"/>
    </row>
    <row r="1019" spans="1:7" x14ac:dyDescent="0.25">
      <c r="A1019" s="76"/>
      <c r="B1019" s="77"/>
    </row>
    <row r="1020" spans="1:7" x14ac:dyDescent="0.25">
      <c r="A1020" s="76"/>
      <c r="B1020" s="77"/>
    </row>
    <row r="1021" spans="1:7" x14ac:dyDescent="0.25">
      <c r="A1021" s="76"/>
      <c r="B1021" s="77"/>
    </row>
    <row r="1022" spans="1:7" x14ac:dyDescent="0.25">
      <c r="A1022" s="76"/>
      <c r="B1022" s="77"/>
    </row>
    <row r="1023" spans="1:7" x14ac:dyDescent="0.25">
      <c r="A1023" s="76"/>
      <c r="B1023" s="77"/>
    </row>
    <row r="1024" spans="1:7" x14ac:dyDescent="0.25">
      <c r="A1024" s="76"/>
      <c r="B1024" s="77"/>
    </row>
    <row r="1025" spans="1:2" x14ac:dyDescent="0.25">
      <c r="A1025" s="76"/>
      <c r="B1025" s="77"/>
    </row>
    <row r="1026" spans="1:2" x14ac:dyDescent="0.25">
      <c r="A1026" s="76"/>
      <c r="B1026" s="77"/>
    </row>
    <row r="1027" spans="1:2" x14ac:dyDescent="0.25">
      <c r="A1027" s="76"/>
      <c r="B1027" s="77"/>
    </row>
    <row r="1028" spans="1:2" x14ac:dyDescent="0.25">
      <c r="A1028" s="76"/>
      <c r="B1028" s="77"/>
    </row>
    <row r="1029" spans="1:2" x14ac:dyDescent="0.25">
      <c r="A1029" s="76"/>
      <c r="B1029" s="77"/>
    </row>
    <row r="1030" spans="1:2" x14ac:dyDescent="0.25">
      <c r="A1030" s="76"/>
      <c r="B1030" s="77"/>
    </row>
    <row r="1031" spans="1:2" x14ac:dyDescent="0.25">
      <c r="A1031" s="76"/>
      <c r="B1031" s="77"/>
    </row>
    <row r="1032" spans="1:2" x14ac:dyDescent="0.25">
      <c r="A1032" s="76"/>
      <c r="B1032" s="77"/>
    </row>
    <row r="1033" spans="1:2" x14ac:dyDescent="0.25">
      <c r="A1033" s="76"/>
      <c r="B1033" s="77"/>
    </row>
    <row r="1034" spans="1:2" x14ac:dyDescent="0.25">
      <c r="A1034" s="76"/>
      <c r="B1034" s="77"/>
    </row>
    <row r="1035" spans="1:2" x14ac:dyDescent="0.25">
      <c r="A1035" s="76"/>
      <c r="B1035" s="77"/>
    </row>
    <row r="1036" spans="1:2" x14ac:dyDescent="0.25">
      <c r="A1036" s="76"/>
      <c r="B1036" s="77"/>
    </row>
    <row r="1037" spans="1:2" x14ac:dyDescent="0.25">
      <c r="A1037" s="76"/>
      <c r="B1037" s="77"/>
    </row>
    <row r="1038" spans="1:2" x14ac:dyDescent="0.25">
      <c r="A1038" s="76"/>
      <c r="B1038" s="77"/>
    </row>
    <row r="1039" spans="1:2" x14ac:dyDescent="0.25">
      <c r="A1039" s="76"/>
      <c r="B1039" s="77"/>
    </row>
    <row r="1040" spans="1:2" x14ac:dyDescent="0.25">
      <c r="A1040" s="76"/>
      <c r="B1040" s="77"/>
    </row>
    <row r="1041" spans="1:2" x14ac:dyDescent="0.25">
      <c r="A1041" s="76"/>
      <c r="B1041" s="77"/>
    </row>
    <row r="1042" spans="1:2" x14ac:dyDescent="0.25">
      <c r="A1042" s="76"/>
      <c r="B1042" s="77"/>
    </row>
    <row r="1043" spans="1:2" x14ac:dyDescent="0.25">
      <c r="A1043" s="76"/>
      <c r="B1043" s="77"/>
    </row>
    <row r="1044" spans="1:2" x14ac:dyDescent="0.25">
      <c r="A1044" s="76"/>
      <c r="B1044" s="77"/>
    </row>
    <row r="1045" spans="1:2" x14ac:dyDescent="0.25">
      <c r="A1045" s="76"/>
      <c r="B1045" s="77"/>
    </row>
    <row r="1046" spans="1:2" x14ac:dyDescent="0.25">
      <c r="A1046" s="76"/>
      <c r="B1046" s="77"/>
    </row>
    <row r="1047" spans="1:2" x14ac:dyDescent="0.25">
      <c r="A1047" s="76"/>
      <c r="B1047" s="77"/>
    </row>
    <row r="1048" spans="1:2" x14ac:dyDescent="0.25">
      <c r="A1048" s="76"/>
      <c r="B1048" s="77"/>
    </row>
    <row r="1049" spans="1:2" x14ac:dyDescent="0.25">
      <c r="A1049" s="76"/>
      <c r="B1049" s="77"/>
    </row>
    <row r="1050" spans="1:2" x14ac:dyDescent="0.25">
      <c r="A1050" s="76"/>
      <c r="B1050" s="77"/>
    </row>
    <row r="1051" spans="1:2" x14ac:dyDescent="0.25">
      <c r="A1051" s="76"/>
      <c r="B1051" s="77"/>
    </row>
    <row r="1052" spans="1:2" x14ac:dyDescent="0.25">
      <c r="A1052" s="76"/>
      <c r="B1052" s="77"/>
    </row>
    <row r="1053" spans="1:2" x14ac:dyDescent="0.25">
      <c r="A1053" s="76"/>
      <c r="B1053" s="77"/>
    </row>
    <row r="1054" spans="1:2" x14ac:dyDescent="0.25">
      <c r="A1054" s="76"/>
      <c r="B1054" s="77"/>
    </row>
    <row r="1055" spans="1:2" x14ac:dyDescent="0.25">
      <c r="A1055" s="76"/>
      <c r="B1055" s="77"/>
    </row>
    <row r="1056" spans="1:2" x14ac:dyDescent="0.25">
      <c r="A1056" s="76"/>
      <c r="B1056" s="77"/>
    </row>
    <row r="1057" spans="1:2" x14ac:dyDescent="0.25">
      <c r="A1057" s="76"/>
      <c r="B1057" s="77"/>
    </row>
    <row r="1058" spans="1:2" x14ac:dyDescent="0.25">
      <c r="A1058" s="76"/>
      <c r="B1058" s="77"/>
    </row>
    <row r="1059" spans="1:2" x14ac:dyDescent="0.25">
      <c r="A1059" s="76"/>
      <c r="B1059" s="77"/>
    </row>
    <row r="1060" spans="1:2" x14ac:dyDescent="0.25">
      <c r="A1060" s="76"/>
      <c r="B1060" s="77"/>
    </row>
    <row r="1061" spans="1:2" x14ac:dyDescent="0.25">
      <c r="A1061" s="76"/>
      <c r="B1061" s="77"/>
    </row>
    <row r="1062" spans="1:2" x14ac:dyDescent="0.25">
      <c r="A1062" s="76"/>
      <c r="B1062" s="77"/>
    </row>
    <row r="1063" spans="1:2" x14ac:dyDescent="0.25">
      <c r="A1063" s="76"/>
      <c r="B1063" s="77"/>
    </row>
    <row r="1064" spans="1:2" x14ac:dyDescent="0.25">
      <c r="A1064" s="76"/>
      <c r="B1064" s="77"/>
    </row>
    <row r="1065" spans="1:2" x14ac:dyDescent="0.25">
      <c r="A1065" s="76"/>
      <c r="B1065" s="77"/>
    </row>
    <row r="1066" spans="1:2" x14ac:dyDescent="0.25">
      <c r="A1066" s="76"/>
      <c r="B1066" s="77"/>
    </row>
    <row r="1067" spans="1:2" x14ac:dyDescent="0.25">
      <c r="A1067" s="76"/>
      <c r="B1067" s="77"/>
    </row>
    <row r="1068" spans="1:2" x14ac:dyDescent="0.25">
      <c r="A1068" s="76"/>
      <c r="B1068" s="77"/>
    </row>
    <row r="1069" spans="1:2" x14ac:dyDescent="0.25">
      <c r="A1069" s="76"/>
      <c r="B1069" s="77"/>
    </row>
    <row r="1070" spans="1:2" x14ac:dyDescent="0.25">
      <c r="A1070" s="76"/>
      <c r="B1070" s="77"/>
    </row>
    <row r="1071" spans="1:2" x14ac:dyDescent="0.25">
      <c r="A1071" s="76"/>
      <c r="B1071" s="77"/>
    </row>
    <row r="1072" spans="1:2" x14ac:dyDescent="0.25">
      <c r="A1072" s="76"/>
      <c r="B1072" s="77"/>
    </row>
    <row r="1073" spans="1:2" x14ac:dyDescent="0.25">
      <c r="A1073" s="76"/>
      <c r="B1073" s="77"/>
    </row>
    <row r="1074" spans="1:2" x14ac:dyDescent="0.25">
      <c r="A1074" s="76"/>
      <c r="B1074" s="77"/>
    </row>
    <row r="1075" spans="1:2" x14ac:dyDescent="0.25">
      <c r="A1075" s="76"/>
      <c r="B1075" s="77"/>
    </row>
    <row r="1076" spans="1:2" x14ac:dyDescent="0.25">
      <c r="A1076" s="76"/>
      <c r="B1076" s="77"/>
    </row>
    <row r="1077" spans="1:2" x14ac:dyDescent="0.25">
      <c r="A1077" s="76"/>
      <c r="B1077" s="77"/>
    </row>
    <row r="1078" spans="1:2" x14ac:dyDescent="0.25">
      <c r="A1078" s="76"/>
      <c r="B1078" s="77"/>
    </row>
    <row r="1079" spans="1:2" x14ac:dyDescent="0.25">
      <c r="A1079" s="76"/>
      <c r="B1079" s="77"/>
    </row>
    <row r="1080" spans="1:2" x14ac:dyDescent="0.25">
      <c r="A1080" s="76"/>
      <c r="B1080" s="77"/>
    </row>
    <row r="1081" spans="1:2" x14ac:dyDescent="0.25">
      <c r="A1081" s="76"/>
      <c r="B1081" s="77"/>
    </row>
    <row r="1082" spans="1:2" x14ac:dyDescent="0.25">
      <c r="A1082" s="76"/>
      <c r="B1082" s="77"/>
    </row>
    <row r="1083" spans="1:2" x14ac:dyDescent="0.25">
      <c r="A1083" s="76"/>
      <c r="B1083" s="77"/>
    </row>
    <row r="1084" spans="1:2" x14ac:dyDescent="0.25">
      <c r="A1084" s="76"/>
      <c r="B1084" s="77"/>
    </row>
    <row r="1085" spans="1:2" x14ac:dyDescent="0.25">
      <c r="A1085" s="76"/>
      <c r="B1085" s="77"/>
    </row>
    <row r="1086" spans="1:2" x14ac:dyDescent="0.25">
      <c r="A1086" s="76"/>
      <c r="B1086" s="77"/>
    </row>
    <row r="1087" spans="1:2" x14ac:dyDescent="0.25">
      <c r="A1087" s="76"/>
      <c r="B1087" s="77"/>
    </row>
    <row r="1088" spans="1:2" x14ac:dyDescent="0.25">
      <c r="A1088" s="76"/>
      <c r="B1088" s="77"/>
    </row>
    <row r="1089" spans="1:2" x14ac:dyDescent="0.25">
      <c r="A1089" s="76"/>
      <c r="B1089" s="77"/>
    </row>
    <row r="1090" spans="1:2" x14ac:dyDescent="0.25">
      <c r="A1090" s="76"/>
      <c r="B1090" s="77"/>
    </row>
    <row r="1091" spans="1:2" x14ac:dyDescent="0.25">
      <c r="A1091" s="76"/>
      <c r="B1091" s="77"/>
    </row>
    <row r="1092" spans="1:2" x14ac:dyDescent="0.25">
      <c r="A1092" s="76"/>
      <c r="B1092" s="77"/>
    </row>
    <row r="1093" spans="1:2" x14ac:dyDescent="0.25">
      <c r="A1093" s="76"/>
      <c r="B1093" s="77"/>
    </row>
    <row r="1094" spans="1:2" x14ac:dyDescent="0.25">
      <c r="A1094" s="76"/>
      <c r="B1094" s="77"/>
    </row>
    <row r="1095" spans="1:2" x14ac:dyDescent="0.25">
      <c r="A1095" s="76"/>
      <c r="B1095" s="77"/>
    </row>
    <row r="1096" spans="1:2" x14ac:dyDescent="0.25">
      <c r="A1096" s="76"/>
      <c r="B1096" s="77"/>
    </row>
    <row r="1097" spans="1:2" x14ac:dyDescent="0.25">
      <c r="A1097" s="76"/>
      <c r="B1097" s="77"/>
    </row>
    <row r="1098" spans="1:2" x14ac:dyDescent="0.25">
      <c r="A1098" s="76"/>
      <c r="B1098" s="77"/>
    </row>
    <row r="1099" spans="1:2" x14ac:dyDescent="0.25">
      <c r="A1099" s="76"/>
      <c r="B1099" s="77"/>
    </row>
    <row r="1100" spans="1:2" x14ac:dyDescent="0.25">
      <c r="A1100" s="76"/>
      <c r="B1100" s="77"/>
    </row>
    <row r="1101" spans="1:2" x14ac:dyDescent="0.25">
      <c r="A1101" s="76"/>
      <c r="B1101" s="77"/>
    </row>
    <row r="1102" spans="1:2" x14ac:dyDescent="0.25">
      <c r="A1102" s="76"/>
      <c r="B1102" s="77"/>
    </row>
    <row r="1103" spans="1:2" x14ac:dyDescent="0.25">
      <c r="A1103" s="76"/>
      <c r="B1103" s="77"/>
    </row>
    <row r="1104" spans="1:2" x14ac:dyDescent="0.25">
      <c r="A1104" s="76"/>
      <c r="B1104" s="77"/>
    </row>
    <row r="1105" spans="1:2" x14ac:dyDescent="0.25">
      <c r="A1105" s="76"/>
      <c r="B1105" s="77"/>
    </row>
    <row r="1106" spans="1:2" x14ac:dyDescent="0.25">
      <c r="A1106" s="76"/>
      <c r="B1106" s="77"/>
    </row>
    <row r="1107" spans="1:2" x14ac:dyDescent="0.25">
      <c r="A1107" s="76"/>
      <c r="B1107" s="77"/>
    </row>
    <row r="1108" spans="1:2" x14ac:dyDescent="0.25">
      <c r="A1108" s="76"/>
      <c r="B1108" s="77"/>
    </row>
    <row r="1109" spans="1:2" x14ac:dyDescent="0.25">
      <c r="A1109" s="76"/>
      <c r="B1109" s="77"/>
    </row>
    <row r="1110" spans="1:2" x14ac:dyDescent="0.25">
      <c r="A1110" s="76"/>
      <c r="B1110" s="77"/>
    </row>
    <row r="1111" spans="1:2" x14ac:dyDescent="0.25">
      <c r="A1111" s="76"/>
      <c r="B1111" s="77"/>
    </row>
    <row r="1112" spans="1:2" x14ac:dyDescent="0.25">
      <c r="A1112" s="76"/>
      <c r="B1112" s="77"/>
    </row>
    <row r="1113" spans="1:2" x14ac:dyDescent="0.25">
      <c r="A1113" s="76"/>
      <c r="B1113" s="77"/>
    </row>
    <row r="1114" spans="1:2" x14ac:dyDescent="0.25">
      <c r="A1114" s="76"/>
      <c r="B1114" s="77"/>
    </row>
    <row r="1115" spans="1:2" x14ac:dyDescent="0.25">
      <c r="A1115" s="76"/>
      <c r="B1115" s="77"/>
    </row>
    <row r="1116" spans="1:2" x14ac:dyDescent="0.25">
      <c r="A1116" s="76"/>
      <c r="B1116" s="77"/>
    </row>
    <row r="1117" spans="1:2" x14ac:dyDescent="0.25">
      <c r="A1117" s="76"/>
      <c r="B1117" s="77"/>
    </row>
    <row r="1118" spans="1:2" x14ac:dyDescent="0.25">
      <c r="A1118" s="76"/>
      <c r="B1118" s="77"/>
    </row>
    <row r="1119" spans="1:2" x14ac:dyDescent="0.25">
      <c r="A1119" s="76"/>
      <c r="B1119" s="77"/>
    </row>
    <row r="1120" spans="1:2" x14ac:dyDescent="0.25">
      <c r="A1120" s="76"/>
      <c r="B1120" s="77"/>
    </row>
    <row r="1121" spans="1:2" x14ac:dyDescent="0.25">
      <c r="A1121" s="76"/>
      <c r="B1121" s="77"/>
    </row>
    <row r="1122" spans="1:2" x14ac:dyDescent="0.25">
      <c r="A1122" s="76"/>
      <c r="B1122" s="77"/>
    </row>
    <row r="1123" spans="1:2" x14ac:dyDescent="0.25">
      <c r="A1123" s="76"/>
      <c r="B1123" s="77"/>
    </row>
    <row r="1124" spans="1:2" x14ac:dyDescent="0.25">
      <c r="A1124" s="76"/>
      <c r="B1124" s="77"/>
    </row>
    <row r="1125" spans="1:2" x14ac:dyDescent="0.25">
      <c r="A1125" s="76"/>
      <c r="B1125" s="77"/>
    </row>
    <row r="1126" spans="1:2" x14ac:dyDescent="0.25">
      <c r="A1126" s="76"/>
      <c r="B1126" s="77"/>
    </row>
    <row r="1127" spans="1:2" x14ac:dyDescent="0.25">
      <c r="A1127" s="76"/>
      <c r="B1127" s="77"/>
    </row>
    <row r="1128" spans="1:2" x14ac:dyDescent="0.25">
      <c r="A1128" s="76"/>
      <c r="B1128" s="77"/>
    </row>
    <row r="1129" spans="1:2" x14ac:dyDescent="0.25">
      <c r="A1129" s="76"/>
      <c r="B1129" s="77"/>
    </row>
    <row r="1130" spans="1:2" x14ac:dyDescent="0.25">
      <c r="A1130" s="76"/>
      <c r="B1130" s="77"/>
    </row>
    <row r="1131" spans="1:2" x14ac:dyDescent="0.25">
      <c r="A1131" s="76"/>
      <c r="B1131" s="77"/>
    </row>
    <row r="1132" spans="1:2" x14ac:dyDescent="0.25">
      <c r="A1132" s="76"/>
      <c r="B1132" s="77"/>
    </row>
    <row r="1133" spans="1:2" x14ac:dyDescent="0.25">
      <c r="A1133" s="76"/>
      <c r="B1133" s="77"/>
    </row>
    <row r="1134" spans="1:2" x14ac:dyDescent="0.25">
      <c r="A1134" s="76"/>
      <c r="B1134" s="77"/>
    </row>
    <row r="1135" spans="1:2" x14ac:dyDescent="0.25">
      <c r="A1135" s="76"/>
      <c r="B1135" s="77"/>
    </row>
    <row r="1136" spans="1:2" x14ac:dyDescent="0.25">
      <c r="A1136" s="76"/>
      <c r="B1136" s="77"/>
    </row>
    <row r="1137" spans="1:2" x14ac:dyDescent="0.25">
      <c r="A1137" s="76"/>
      <c r="B1137" s="77"/>
    </row>
    <row r="1138" spans="1:2" x14ac:dyDescent="0.25">
      <c r="A1138" s="76"/>
      <c r="B1138" s="77"/>
    </row>
    <row r="1139" spans="1:2" x14ac:dyDescent="0.25">
      <c r="A1139" s="76"/>
      <c r="B1139" s="77"/>
    </row>
    <row r="1140" spans="1:2" x14ac:dyDescent="0.25">
      <c r="A1140" s="76"/>
      <c r="B1140" s="77"/>
    </row>
    <row r="1141" spans="1:2" x14ac:dyDescent="0.25">
      <c r="A1141" s="76"/>
      <c r="B1141" s="77"/>
    </row>
    <row r="1142" spans="1:2" x14ac:dyDescent="0.25">
      <c r="A1142" s="76"/>
      <c r="B1142" s="77"/>
    </row>
    <row r="1143" spans="1:2" x14ac:dyDescent="0.25">
      <c r="A1143" s="76"/>
      <c r="B1143" s="77"/>
    </row>
    <row r="1144" spans="1:2" x14ac:dyDescent="0.25">
      <c r="A1144" s="76"/>
      <c r="B1144" s="77"/>
    </row>
    <row r="1145" spans="1:2" x14ac:dyDescent="0.25">
      <c r="A1145" s="76"/>
      <c r="B1145" s="77"/>
    </row>
    <row r="1146" spans="1:2" x14ac:dyDescent="0.25">
      <c r="A1146" s="76"/>
      <c r="B1146" s="77"/>
    </row>
    <row r="1147" spans="1:2" x14ac:dyDescent="0.25">
      <c r="A1147" s="76"/>
      <c r="B1147" s="77"/>
    </row>
    <row r="1148" spans="1:2" x14ac:dyDescent="0.25">
      <c r="A1148" s="76"/>
      <c r="B1148" s="77"/>
    </row>
    <row r="1149" spans="1:2" x14ac:dyDescent="0.25">
      <c r="A1149" s="76"/>
      <c r="B1149" s="77"/>
    </row>
    <row r="1150" spans="1:2" x14ac:dyDescent="0.25">
      <c r="A1150" s="76"/>
      <c r="B1150" s="77"/>
    </row>
    <row r="1151" spans="1:2" x14ac:dyDescent="0.25">
      <c r="A1151" s="76"/>
      <c r="B1151" s="77"/>
    </row>
    <row r="1152" spans="1:2" x14ac:dyDescent="0.25">
      <c r="A1152" s="76"/>
      <c r="B1152" s="77"/>
    </row>
    <row r="1153" spans="1:2" x14ac:dyDescent="0.25">
      <c r="A1153" s="76"/>
      <c r="B1153" s="77"/>
    </row>
    <row r="1154" spans="1:2" x14ac:dyDescent="0.25">
      <c r="A1154" s="76"/>
      <c r="B1154" s="77"/>
    </row>
    <row r="1155" spans="1:2" x14ac:dyDescent="0.25">
      <c r="A1155" s="76"/>
      <c r="B1155" s="77"/>
    </row>
    <row r="1156" spans="1:2" x14ac:dyDescent="0.25">
      <c r="A1156" s="76"/>
      <c r="B1156" s="77"/>
    </row>
    <row r="1157" spans="1:2" x14ac:dyDescent="0.25">
      <c r="A1157" s="76"/>
      <c r="B1157" s="77"/>
    </row>
    <row r="1158" spans="1:2" x14ac:dyDescent="0.25">
      <c r="A1158" s="76"/>
      <c r="B1158" s="77"/>
    </row>
    <row r="1159" spans="1:2" x14ac:dyDescent="0.25">
      <c r="A1159" s="76"/>
      <c r="B1159" s="77"/>
    </row>
    <row r="1160" spans="1:2" x14ac:dyDescent="0.25">
      <c r="A1160" s="76"/>
      <c r="B1160" s="77"/>
    </row>
    <row r="1161" spans="1:2" x14ac:dyDescent="0.25">
      <c r="A1161" s="76"/>
      <c r="B1161" s="77"/>
    </row>
    <row r="1162" spans="1:2" x14ac:dyDescent="0.25">
      <c r="A1162" s="76"/>
      <c r="B1162" s="77"/>
    </row>
    <row r="1163" spans="1:2" x14ac:dyDescent="0.25">
      <c r="A1163" s="76"/>
      <c r="B1163" s="77"/>
    </row>
    <row r="1164" spans="1:2" x14ac:dyDescent="0.25">
      <c r="A1164" s="76"/>
      <c r="B1164" s="77"/>
    </row>
    <row r="1165" spans="1:2" x14ac:dyDescent="0.25">
      <c r="A1165" s="76"/>
      <c r="B1165" s="77"/>
    </row>
    <row r="1166" spans="1:2" x14ac:dyDescent="0.25">
      <c r="A1166" s="76"/>
      <c r="B1166" s="77"/>
    </row>
    <row r="1167" spans="1:2" x14ac:dyDescent="0.25">
      <c r="A1167" s="76"/>
      <c r="B1167" s="77"/>
    </row>
    <row r="1168" spans="1:2" x14ac:dyDescent="0.25">
      <c r="A1168" s="76"/>
      <c r="B1168" s="77"/>
    </row>
    <row r="1169" spans="1:2" x14ac:dyDescent="0.25">
      <c r="A1169" s="76"/>
      <c r="B1169" s="77"/>
    </row>
    <row r="1170" spans="1:2" x14ac:dyDescent="0.25">
      <c r="A1170" s="76"/>
      <c r="B1170" s="77"/>
    </row>
    <row r="1171" spans="1:2" x14ac:dyDescent="0.25">
      <c r="A1171" s="76"/>
      <c r="B1171" s="77"/>
    </row>
    <row r="1172" spans="1:2" x14ac:dyDescent="0.25">
      <c r="A1172" s="76"/>
      <c r="B1172" s="77"/>
    </row>
    <row r="1173" spans="1:2" x14ac:dyDescent="0.25">
      <c r="A1173" s="76"/>
      <c r="B1173" s="77"/>
    </row>
    <row r="1174" spans="1:2" x14ac:dyDescent="0.25">
      <c r="A1174" s="76"/>
      <c r="B1174" s="77"/>
    </row>
    <row r="1175" spans="1:2" x14ac:dyDescent="0.25">
      <c r="A1175" s="76"/>
      <c r="B1175" s="77"/>
    </row>
    <row r="1176" spans="1:2" x14ac:dyDescent="0.25">
      <c r="A1176" s="76"/>
      <c r="B1176" s="77"/>
    </row>
    <row r="1177" spans="1:2" x14ac:dyDescent="0.25">
      <c r="A1177" s="76"/>
      <c r="B1177" s="77"/>
    </row>
    <row r="1178" spans="1:2" x14ac:dyDescent="0.25">
      <c r="A1178" s="76"/>
      <c r="B1178" s="77"/>
    </row>
    <row r="1179" spans="1:2" x14ac:dyDescent="0.25">
      <c r="A1179" s="76"/>
      <c r="B1179" s="77"/>
    </row>
    <row r="1180" spans="1:2" x14ac:dyDescent="0.25">
      <c r="A1180" s="76"/>
      <c r="B1180" s="77"/>
    </row>
    <row r="1181" spans="1:2" x14ac:dyDescent="0.25">
      <c r="A1181" s="76"/>
      <c r="B1181" s="77"/>
    </row>
    <row r="1182" spans="1:2" x14ac:dyDescent="0.25">
      <c r="A1182" s="76"/>
      <c r="B1182" s="77"/>
    </row>
    <row r="1183" spans="1:2" x14ac:dyDescent="0.25">
      <c r="A1183" s="76"/>
      <c r="B1183" s="77"/>
    </row>
    <row r="1184" spans="1:2" x14ac:dyDescent="0.25">
      <c r="A1184" s="76"/>
      <c r="B1184" s="77"/>
    </row>
    <row r="1185" spans="1:2" x14ac:dyDescent="0.25">
      <c r="A1185" s="76"/>
      <c r="B1185" s="77"/>
    </row>
    <row r="1186" spans="1:2" x14ac:dyDescent="0.25">
      <c r="A1186" s="76"/>
      <c r="B1186" s="77"/>
    </row>
    <row r="1187" spans="1:2" x14ac:dyDescent="0.25">
      <c r="A1187" s="76"/>
      <c r="B1187" s="77"/>
    </row>
    <row r="1188" spans="1:2" x14ac:dyDescent="0.25">
      <c r="A1188" s="76"/>
      <c r="B1188" s="77"/>
    </row>
    <row r="1189" spans="1:2" x14ac:dyDescent="0.25">
      <c r="A1189" s="76"/>
      <c r="B1189" s="77"/>
    </row>
    <row r="1190" spans="1:2" x14ac:dyDescent="0.25">
      <c r="A1190" s="76"/>
      <c r="B1190" s="77"/>
    </row>
    <row r="1191" spans="1:2" x14ac:dyDescent="0.25">
      <c r="A1191" s="76"/>
      <c r="B1191" s="77"/>
    </row>
    <row r="1192" spans="1:2" x14ac:dyDescent="0.25">
      <c r="A1192" s="76"/>
      <c r="B1192" s="77"/>
    </row>
    <row r="1193" spans="1:2" x14ac:dyDescent="0.25">
      <c r="A1193" s="76"/>
      <c r="B1193" s="77"/>
    </row>
    <row r="1194" spans="1:2" x14ac:dyDescent="0.25">
      <c r="A1194" s="76"/>
      <c r="B1194" s="77"/>
    </row>
    <row r="1195" spans="1:2" x14ac:dyDescent="0.25">
      <c r="A1195" s="76"/>
      <c r="B1195" s="77"/>
    </row>
    <row r="1196" spans="1:2" x14ac:dyDescent="0.25">
      <c r="A1196" s="76"/>
      <c r="B1196" s="77"/>
    </row>
    <row r="1197" spans="1:2" x14ac:dyDescent="0.25">
      <c r="A1197" s="76"/>
      <c r="B1197" s="77"/>
    </row>
    <row r="1198" spans="1:2" x14ac:dyDescent="0.25">
      <c r="A1198" s="76"/>
      <c r="B1198" s="77"/>
    </row>
    <row r="1199" spans="1:2" x14ac:dyDescent="0.25">
      <c r="A1199" s="76"/>
      <c r="B1199" s="77"/>
    </row>
    <row r="1200" spans="1:2" x14ac:dyDescent="0.25">
      <c r="A1200" s="76"/>
      <c r="B1200" s="77"/>
    </row>
    <row r="1201" spans="1:2" x14ac:dyDescent="0.25">
      <c r="A1201" s="76"/>
      <c r="B1201" s="77"/>
    </row>
    <row r="1202" spans="1:2" x14ac:dyDescent="0.25">
      <c r="A1202" s="76"/>
      <c r="B1202" s="77"/>
    </row>
    <row r="1203" spans="1:2" x14ac:dyDescent="0.25">
      <c r="A1203" s="76"/>
      <c r="B1203" s="77"/>
    </row>
    <row r="1204" spans="1:2" x14ac:dyDescent="0.25">
      <c r="A1204" s="76"/>
      <c r="B1204" s="77"/>
    </row>
    <row r="1205" spans="1:2" x14ac:dyDescent="0.25">
      <c r="A1205" s="76"/>
      <c r="B1205" s="77"/>
    </row>
    <row r="1206" spans="1:2" x14ac:dyDescent="0.25">
      <c r="A1206" s="76"/>
      <c r="B1206" s="77"/>
    </row>
    <row r="1207" spans="1:2" x14ac:dyDescent="0.25">
      <c r="A1207" s="76"/>
      <c r="B1207" s="77"/>
    </row>
    <row r="1208" spans="1:2" x14ac:dyDescent="0.25">
      <c r="A1208" s="76"/>
      <c r="B1208" s="77"/>
    </row>
    <row r="1209" spans="1:2" x14ac:dyDescent="0.25">
      <c r="A1209" s="76"/>
      <c r="B1209" s="77"/>
    </row>
    <row r="1210" spans="1:2" x14ac:dyDescent="0.25">
      <c r="A1210" s="76"/>
      <c r="B1210" s="77"/>
    </row>
    <row r="1211" spans="1:2" x14ac:dyDescent="0.25">
      <c r="A1211" s="76"/>
      <c r="B1211" s="77"/>
    </row>
    <row r="1212" spans="1:2" x14ac:dyDescent="0.25">
      <c r="A1212" s="76"/>
      <c r="B1212" s="77"/>
    </row>
    <row r="1213" spans="1:2" x14ac:dyDescent="0.25">
      <c r="A1213" s="76"/>
      <c r="B1213" s="77"/>
    </row>
    <row r="1214" spans="1:2" x14ac:dyDescent="0.25">
      <c r="A1214" s="76"/>
      <c r="B1214" s="77"/>
    </row>
    <row r="1215" spans="1:2" x14ac:dyDescent="0.25">
      <c r="A1215" s="76"/>
      <c r="B1215" s="77"/>
    </row>
    <row r="1216" spans="1:2" x14ac:dyDescent="0.25">
      <c r="A1216" s="76"/>
      <c r="B1216" s="77"/>
    </row>
    <row r="1217" spans="1:2" x14ac:dyDescent="0.25">
      <c r="A1217" s="76"/>
      <c r="B1217" s="77"/>
    </row>
    <row r="1218" spans="1:2" x14ac:dyDescent="0.25">
      <c r="A1218" s="76"/>
      <c r="B1218" s="77"/>
    </row>
    <row r="1219" spans="1:2" x14ac:dyDescent="0.25">
      <c r="A1219" s="76"/>
      <c r="B1219" s="77"/>
    </row>
    <row r="1220" spans="1:2" x14ac:dyDescent="0.25">
      <c r="A1220" s="76"/>
      <c r="B1220" s="77"/>
    </row>
    <row r="1221" spans="1:2" x14ac:dyDescent="0.25">
      <c r="A1221" s="76"/>
      <c r="B1221" s="77"/>
    </row>
    <row r="1222" spans="1:2" x14ac:dyDescent="0.25">
      <c r="A1222" s="76"/>
      <c r="B1222" s="77"/>
    </row>
    <row r="1223" spans="1:2" x14ac:dyDescent="0.25">
      <c r="A1223" s="76"/>
      <c r="B1223" s="77"/>
    </row>
    <row r="1224" spans="1:2" x14ac:dyDescent="0.25">
      <c r="A1224" s="76"/>
      <c r="B1224" s="77"/>
    </row>
    <row r="1225" spans="1:2" x14ac:dyDescent="0.25">
      <c r="A1225" s="76"/>
      <c r="B1225" s="77"/>
    </row>
    <row r="1226" spans="1:2" x14ac:dyDescent="0.25">
      <c r="A1226" s="76"/>
      <c r="B1226" s="77"/>
    </row>
    <row r="1227" spans="1:2" x14ac:dyDescent="0.25">
      <c r="A1227" s="76"/>
      <c r="B1227" s="77"/>
    </row>
    <row r="1228" spans="1:2" x14ac:dyDescent="0.25">
      <c r="A1228" s="76"/>
      <c r="B1228" s="77"/>
    </row>
    <row r="1229" spans="1:2" x14ac:dyDescent="0.25">
      <c r="A1229" s="76"/>
      <c r="B1229" s="77"/>
    </row>
    <row r="1230" spans="1:2" x14ac:dyDescent="0.25">
      <c r="A1230" s="76"/>
      <c r="B1230" s="77"/>
    </row>
    <row r="1231" spans="1:2" x14ac:dyDescent="0.25">
      <c r="A1231" s="76"/>
      <c r="B1231" s="77"/>
    </row>
    <row r="1232" spans="1:2" x14ac:dyDescent="0.25">
      <c r="A1232" s="76"/>
      <c r="B1232" s="77"/>
    </row>
    <row r="1233" spans="1:2" x14ac:dyDescent="0.25">
      <c r="A1233" s="76"/>
      <c r="B1233" s="77"/>
    </row>
    <row r="1234" spans="1:2" x14ac:dyDescent="0.25">
      <c r="A1234" s="76"/>
      <c r="B1234" s="77"/>
    </row>
    <row r="1235" spans="1:2" x14ac:dyDescent="0.25">
      <c r="A1235" s="76"/>
      <c r="B1235" s="77"/>
    </row>
    <row r="1236" spans="1:2" x14ac:dyDescent="0.25">
      <c r="A1236" s="76"/>
      <c r="B1236" s="77"/>
    </row>
    <row r="1237" spans="1:2" x14ac:dyDescent="0.25">
      <c r="A1237" s="76"/>
      <c r="B1237" s="77"/>
    </row>
    <row r="1238" spans="1:2" x14ac:dyDescent="0.25">
      <c r="A1238" s="76"/>
      <c r="B1238" s="77"/>
    </row>
    <row r="1239" spans="1:2" x14ac:dyDescent="0.25">
      <c r="A1239" s="76"/>
      <c r="B1239" s="77"/>
    </row>
    <row r="1240" spans="1:2" x14ac:dyDescent="0.25">
      <c r="A1240" s="76"/>
      <c r="B1240" s="77"/>
    </row>
    <row r="1241" spans="1:2" x14ac:dyDescent="0.25">
      <c r="A1241" s="76"/>
      <c r="B1241" s="77"/>
    </row>
    <row r="1242" spans="1:2" x14ac:dyDescent="0.25">
      <c r="A1242" s="76"/>
      <c r="B1242" s="77"/>
    </row>
    <row r="1243" spans="1:2" x14ac:dyDescent="0.25">
      <c r="A1243" s="76"/>
      <c r="B1243" s="77"/>
    </row>
    <row r="1244" spans="1:2" x14ac:dyDescent="0.25">
      <c r="A1244" s="76"/>
      <c r="B1244" s="77"/>
    </row>
    <row r="1245" spans="1:2" x14ac:dyDescent="0.25">
      <c r="A1245" s="76"/>
      <c r="B1245" s="77"/>
    </row>
    <row r="1246" spans="1:2" x14ac:dyDescent="0.25">
      <c r="A1246" s="76"/>
      <c r="B1246" s="77"/>
    </row>
    <row r="1247" spans="1:2" x14ac:dyDescent="0.25">
      <c r="A1247" s="76"/>
      <c r="B1247" s="77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41985" r:id="rId3">
          <objectPr defaultSize="0" autoPict="0" r:id="rId4">
            <anchor moveWithCells="1" sizeWithCells="1">
              <from>
                <xdr:col>10</xdr:col>
                <xdr:colOff>127000</xdr:colOff>
                <xdr:row>15</xdr:row>
                <xdr:rowOff>38100</xdr:rowOff>
              </from>
              <to>
                <xdr:col>14</xdr:col>
                <xdr:colOff>584200</xdr:colOff>
                <xdr:row>16</xdr:row>
                <xdr:rowOff>114300</xdr:rowOff>
              </to>
            </anchor>
          </objectPr>
        </oleObject>
      </mc:Choice>
      <mc:Fallback>
        <oleObject progId="Equation.3" shapeId="41985" r:id="rId3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F8B6-B259-4C29-9017-A227DCDAB221}">
  <sheetPr codeName="Sheet5"/>
  <dimension ref="A2:M9"/>
  <sheetViews>
    <sheetView workbookViewId="0">
      <selection activeCell="G3" sqref="G3"/>
    </sheetView>
  </sheetViews>
  <sheetFormatPr defaultRowHeight="12.5" x14ac:dyDescent="0.25"/>
  <cols>
    <col min="13" max="13" width="37.81640625" customWidth="1"/>
  </cols>
  <sheetData>
    <row r="2" spans="1:13" x14ac:dyDescent="0.25">
      <c r="A2" s="11"/>
      <c r="B2" s="11"/>
      <c r="C2" s="11"/>
      <c r="D2" s="78" t="s">
        <v>33</v>
      </c>
      <c r="E2" s="11">
        <v>0.95</v>
      </c>
      <c r="F2" s="11"/>
      <c r="G2" s="11"/>
      <c r="H2" s="11"/>
      <c r="I2" s="11"/>
      <c r="J2" s="11"/>
    </row>
    <row r="3" spans="1:13" x14ac:dyDescent="0.25">
      <c r="A3" s="78" t="s">
        <v>39</v>
      </c>
      <c r="B3" s="79">
        <v>0.08</v>
      </c>
      <c r="C3" s="11"/>
      <c r="D3" s="80" t="s">
        <v>40</v>
      </c>
      <c r="E3" s="81">
        <f>NORMSINV(1-E2)</f>
        <v>-1.6448536269514715</v>
      </c>
      <c r="F3" s="11"/>
      <c r="G3" s="80"/>
      <c r="H3" s="11"/>
      <c r="I3" s="11"/>
      <c r="J3" s="11"/>
    </row>
    <row r="4" spans="1:13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3" x14ac:dyDescent="0.25">
      <c r="A5" s="11"/>
      <c r="B5" s="83" t="s">
        <v>20</v>
      </c>
      <c r="C5" s="83" t="s">
        <v>42</v>
      </c>
      <c r="D5" s="82" t="s">
        <v>41</v>
      </c>
      <c r="E5" s="83" t="s">
        <v>43</v>
      </c>
      <c r="F5" s="82" t="s">
        <v>44</v>
      </c>
      <c r="H5" s="91"/>
      <c r="I5" s="11"/>
      <c r="J5" s="11"/>
    </row>
    <row r="6" spans="1:13" x14ac:dyDescent="0.25">
      <c r="A6" s="11"/>
      <c r="B6" s="84">
        <v>0.05</v>
      </c>
      <c r="C6" s="85">
        <v>3.5</v>
      </c>
      <c r="D6" s="27">
        <v>1E-4</v>
      </c>
      <c r="E6" s="14"/>
      <c r="F6" s="86"/>
      <c r="G6" s="86"/>
      <c r="H6" s="92"/>
      <c r="I6" s="11"/>
      <c r="J6" s="11"/>
    </row>
    <row r="7" spans="1:13" ht="15.5" x14ac:dyDescent="0.25">
      <c r="A7" s="11"/>
      <c r="B7" s="84"/>
      <c r="C7" s="85"/>
      <c r="D7" s="27"/>
      <c r="E7" s="84"/>
      <c r="F7" s="86"/>
      <c r="G7" s="86"/>
      <c r="H7" s="84"/>
      <c r="I7" s="11"/>
      <c r="J7" s="11"/>
      <c r="M7" s="90"/>
    </row>
    <row r="8" spans="1:13" x14ac:dyDescent="0.25">
      <c r="A8" s="11"/>
      <c r="B8" s="84"/>
      <c r="C8" s="85"/>
      <c r="D8" s="27"/>
      <c r="E8" s="84"/>
      <c r="F8" s="86"/>
      <c r="G8" s="86"/>
      <c r="H8" s="84"/>
      <c r="I8" s="11"/>
      <c r="J8" s="11"/>
    </row>
    <row r="9" spans="1:13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9EC53-8E86-485B-84D6-E7F78E0C80F6}">
  <sheetPr codeName="Sheet6"/>
  <dimension ref="A1:J1007"/>
  <sheetViews>
    <sheetView tabSelected="1" workbookViewId="0">
      <selection activeCell="I13" sqref="I13"/>
    </sheetView>
  </sheetViews>
  <sheetFormatPr defaultColWidth="9.1796875" defaultRowHeight="12.5" x14ac:dyDescent="0.25"/>
  <cols>
    <col min="1" max="1" width="11.453125" style="94" customWidth="1"/>
    <col min="2" max="2" width="10.54296875" style="94" bestFit="1" customWidth="1"/>
    <col min="3" max="6" width="9.1796875" style="94"/>
    <col min="7" max="7" width="12.26953125" style="94" bestFit="1" customWidth="1"/>
    <col min="8" max="256" width="9.1796875" style="94"/>
    <col min="257" max="257" width="11.453125" style="94" customWidth="1"/>
    <col min="258" max="258" width="10.54296875" style="94" bestFit="1" customWidth="1"/>
    <col min="259" max="262" width="9.1796875" style="94"/>
    <col min="263" max="263" width="12.26953125" style="94" bestFit="1" customWidth="1"/>
    <col min="264" max="512" width="9.1796875" style="94"/>
    <col min="513" max="513" width="11.453125" style="94" customWidth="1"/>
    <col min="514" max="514" width="10.54296875" style="94" bestFit="1" customWidth="1"/>
    <col min="515" max="518" width="9.1796875" style="94"/>
    <col min="519" max="519" width="12.26953125" style="94" bestFit="1" customWidth="1"/>
    <col min="520" max="768" width="9.1796875" style="94"/>
    <col min="769" max="769" width="11.453125" style="94" customWidth="1"/>
    <col min="770" max="770" width="10.54296875" style="94" bestFit="1" customWidth="1"/>
    <col min="771" max="774" width="9.1796875" style="94"/>
    <col min="775" max="775" width="12.26953125" style="94" bestFit="1" customWidth="1"/>
    <col min="776" max="1024" width="9.1796875" style="94"/>
    <col min="1025" max="1025" width="11.453125" style="94" customWidth="1"/>
    <col min="1026" max="1026" width="10.54296875" style="94" bestFit="1" customWidth="1"/>
    <col min="1027" max="1030" width="9.1796875" style="94"/>
    <col min="1031" max="1031" width="12.26953125" style="94" bestFit="1" customWidth="1"/>
    <col min="1032" max="1280" width="9.1796875" style="94"/>
    <col min="1281" max="1281" width="11.453125" style="94" customWidth="1"/>
    <col min="1282" max="1282" width="10.54296875" style="94" bestFit="1" customWidth="1"/>
    <col min="1283" max="1286" width="9.1796875" style="94"/>
    <col min="1287" max="1287" width="12.26953125" style="94" bestFit="1" customWidth="1"/>
    <col min="1288" max="1536" width="9.1796875" style="94"/>
    <col min="1537" max="1537" width="11.453125" style="94" customWidth="1"/>
    <col min="1538" max="1538" width="10.54296875" style="94" bestFit="1" customWidth="1"/>
    <col min="1539" max="1542" width="9.1796875" style="94"/>
    <col min="1543" max="1543" width="12.26953125" style="94" bestFit="1" customWidth="1"/>
    <col min="1544" max="1792" width="9.1796875" style="94"/>
    <col min="1793" max="1793" width="11.453125" style="94" customWidth="1"/>
    <col min="1794" max="1794" width="10.54296875" style="94" bestFit="1" customWidth="1"/>
    <col min="1795" max="1798" width="9.1796875" style="94"/>
    <col min="1799" max="1799" width="12.26953125" style="94" bestFit="1" customWidth="1"/>
    <col min="1800" max="2048" width="9.1796875" style="94"/>
    <col min="2049" max="2049" width="11.453125" style="94" customWidth="1"/>
    <col min="2050" max="2050" width="10.54296875" style="94" bestFit="1" customWidth="1"/>
    <col min="2051" max="2054" width="9.1796875" style="94"/>
    <col min="2055" max="2055" width="12.26953125" style="94" bestFit="1" customWidth="1"/>
    <col min="2056" max="2304" width="9.1796875" style="94"/>
    <col min="2305" max="2305" width="11.453125" style="94" customWidth="1"/>
    <col min="2306" max="2306" width="10.54296875" style="94" bestFit="1" customWidth="1"/>
    <col min="2307" max="2310" width="9.1796875" style="94"/>
    <col min="2311" max="2311" width="12.26953125" style="94" bestFit="1" customWidth="1"/>
    <col min="2312" max="2560" width="9.1796875" style="94"/>
    <col min="2561" max="2561" width="11.453125" style="94" customWidth="1"/>
    <col min="2562" max="2562" width="10.54296875" style="94" bestFit="1" customWidth="1"/>
    <col min="2563" max="2566" width="9.1796875" style="94"/>
    <col min="2567" max="2567" width="12.26953125" style="94" bestFit="1" customWidth="1"/>
    <col min="2568" max="2816" width="9.1796875" style="94"/>
    <col min="2817" max="2817" width="11.453125" style="94" customWidth="1"/>
    <col min="2818" max="2818" width="10.54296875" style="94" bestFit="1" customWidth="1"/>
    <col min="2819" max="2822" width="9.1796875" style="94"/>
    <col min="2823" max="2823" width="12.26953125" style="94" bestFit="1" customWidth="1"/>
    <col min="2824" max="3072" width="9.1796875" style="94"/>
    <col min="3073" max="3073" width="11.453125" style="94" customWidth="1"/>
    <col min="3074" max="3074" width="10.54296875" style="94" bestFit="1" customWidth="1"/>
    <col min="3075" max="3078" width="9.1796875" style="94"/>
    <col min="3079" max="3079" width="12.26953125" style="94" bestFit="1" customWidth="1"/>
    <col min="3080" max="3328" width="9.1796875" style="94"/>
    <col min="3329" max="3329" width="11.453125" style="94" customWidth="1"/>
    <col min="3330" max="3330" width="10.54296875" style="94" bestFit="1" customWidth="1"/>
    <col min="3331" max="3334" width="9.1796875" style="94"/>
    <col min="3335" max="3335" width="12.26953125" style="94" bestFit="1" customWidth="1"/>
    <col min="3336" max="3584" width="9.1796875" style="94"/>
    <col min="3585" max="3585" width="11.453125" style="94" customWidth="1"/>
    <col min="3586" max="3586" width="10.54296875" style="94" bestFit="1" customWidth="1"/>
    <col min="3587" max="3590" width="9.1796875" style="94"/>
    <col min="3591" max="3591" width="12.26953125" style="94" bestFit="1" customWidth="1"/>
    <col min="3592" max="3840" width="9.1796875" style="94"/>
    <col min="3841" max="3841" width="11.453125" style="94" customWidth="1"/>
    <col min="3842" max="3842" width="10.54296875" style="94" bestFit="1" customWidth="1"/>
    <col min="3843" max="3846" width="9.1796875" style="94"/>
    <col min="3847" max="3847" width="12.26953125" style="94" bestFit="1" customWidth="1"/>
    <col min="3848" max="4096" width="9.1796875" style="94"/>
    <col min="4097" max="4097" width="11.453125" style="94" customWidth="1"/>
    <col min="4098" max="4098" width="10.54296875" style="94" bestFit="1" customWidth="1"/>
    <col min="4099" max="4102" width="9.1796875" style="94"/>
    <col min="4103" max="4103" width="12.26953125" style="94" bestFit="1" customWidth="1"/>
    <col min="4104" max="4352" width="9.1796875" style="94"/>
    <col min="4353" max="4353" width="11.453125" style="94" customWidth="1"/>
    <col min="4354" max="4354" width="10.54296875" style="94" bestFit="1" customWidth="1"/>
    <col min="4355" max="4358" width="9.1796875" style="94"/>
    <col min="4359" max="4359" width="12.26953125" style="94" bestFit="1" customWidth="1"/>
    <col min="4360" max="4608" width="9.1796875" style="94"/>
    <col min="4609" max="4609" width="11.453125" style="94" customWidth="1"/>
    <col min="4610" max="4610" width="10.54296875" style="94" bestFit="1" customWidth="1"/>
    <col min="4611" max="4614" width="9.1796875" style="94"/>
    <col min="4615" max="4615" width="12.26953125" style="94" bestFit="1" customWidth="1"/>
    <col min="4616" max="4864" width="9.1796875" style="94"/>
    <col min="4865" max="4865" width="11.453125" style="94" customWidth="1"/>
    <col min="4866" max="4866" width="10.54296875" style="94" bestFit="1" customWidth="1"/>
    <col min="4867" max="4870" width="9.1796875" style="94"/>
    <col min="4871" max="4871" width="12.26953125" style="94" bestFit="1" customWidth="1"/>
    <col min="4872" max="5120" width="9.1796875" style="94"/>
    <col min="5121" max="5121" width="11.453125" style="94" customWidth="1"/>
    <col min="5122" max="5122" width="10.54296875" style="94" bestFit="1" customWidth="1"/>
    <col min="5123" max="5126" width="9.1796875" style="94"/>
    <col min="5127" max="5127" width="12.26953125" style="94" bestFit="1" customWidth="1"/>
    <col min="5128" max="5376" width="9.1796875" style="94"/>
    <col min="5377" max="5377" width="11.453125" style="94" customWidth="1"/>
    <col min="5378" max="5378" width="10.54296875" style="94" bestFit="1" customWidth="1"/>
    <col min="5379" max="5382" width="9.1796875" style="94"/>
    <col min="5383" max="5383" width="12.26953125" style="94" bestFit="1" customWidth="1"/>
    <col min="5384" max="5632" width="9.1796875" style="94"/>
    <col min="5633" max="5633" width="11.453125" style="94" customWidth="1"/>
    <col min="5634" max="5634" width="10.54296875" style="94" bestFit="1" customWidth="1"/>
    <col min="5635" max="5638" width="9.1796875" style="94"/>
    <col min="5639" max="5639" width="12.26953125" style="94" bestFit="1" customWidth="1"/>
    <col min="5640" max="5888" width="9.1796875" style="94"/>
    <col min="5889" max="5889" width="11.453125" style="94" customWidth="1"/>
    <col min="5890" max="5890" width="10.54296875" style="94" bestFit="1" customWidth="1"/>
    <col min="5891" max="5894" width="9.1796875" style="94"/>
    <col min="5895" max="5895" width="12.26953125" style="94" bestFit="1" customWidth="1"/>
    <col min="5896" max="6144" width="9.1796875" style="94"/>
    <col min="6145" max="6145" width="11.453125" style="94" customWidth="1"/>
    <col min="6146" max="6146" width="10.54296875" style="94" bestFit="1" customWidth="1"/>
    <col min="6147" max="6150" width="9.1796875" style="94"/>
    <col min="6151" max="6151" width="12.26953125" style="94" bestFit="1" customWidth="1"/>
    <col min="6152" max="6400" width="9.1796875" style="94"/>
    <col min="6401" max="6401" width="11.453125" style="94" customWidth="1"/>
    <col min="6402" max="6402" width="10.54296875" style="94" bestFit="1" customWidth="1"/>
    <col min="6403" max="6406" width="9.1796875" style="94"/>
    <col min="6407" max="6407" width="12.26953125" style="94" bestFit="1" customWidth="1"/>
    <col min="6408" max="6656" width="9.1796875" style="94"/>
    <col min="6657" max="6657" width="11.453125" style="94" customWidth="1"/>
    <col min="6658" max="6658" width="10.54296875" style="94" bestFit="1" customWidth="1"/>
    <col min="6659" max="6662" width="9.1796875" style="94"/>
    <col min="6663" max="6663" width="12.26953125" style="94" bestFit="1" customWidth="1"/>
    <col min="6664" max="6912" width="9.1796875" style="94"/>
    <col min="6913" max="6913" width="11.453125" style="94" customWidth="1"/>
    <col min="6914" max="6914" width="10.54296875" style="94" bestFit="1" customWidth="1"/>
    <col min="6915" max="6918" width="9.1796875" style="94"/>
    <col min="6919" max="6919" width="12.26953125" style="94" bestFit="1" customWidth="1"/>
    <col min="6920" max="7168" width="9.1796875" style="94"/>
    <col min="7169" max="7169" width="11.453125" style="94" customWidth="1"/>
    <col min="7170" max="7170" width="10.54296875" style="94" bestFit="1" customWidth="1"/>
    <col min="7171" max="7174" width="9.1796875" style="94"/>
    <col min="7175" max="7175" width="12.26953125" style="94" bestFit="1" customWidth="1"/>
    <col min="7176" max="7424" width="9.1796875" style="94"/>
    <col min="7425" max="7425" width="11.453125" style="94" customWidth="1"/>
    <col min="7426" max="7426" width="10.54296875" style="94" bestFit="1" customWidth="1"/>
    <col min="7427" max="7430" width="9.1796875" style="94"/>
    <col min="7431" max="7431" width="12.26953125" style="94" bestFit="1" customWidth="1"/>
    <col min="7432" max="7680" width="9.1796875" style="94"/>
    <col min="7681" max="7681" width="11.453125" style="94" customWidth="1"/>
    <col min="7682" max="7682" width="10.54296875" style="94" bestFit="1" customWidth="1"/>
    <col min="7683" max="7686" width="9.1796875" style="94"/>
    <col min="7687" max="7687" width="12.26953125" style="94" bestFit="1" customWidth="1"/>
    <col min="7688" max="7936" width="9.1796875" style="94"/>
    <col min="7937" max="7937" width="11.453125" style="94" customWidth="1"/>
    <col min="7938" max="7938" width="10.54296875" style="94" bestFit="1" customWidth="1"/>
    <col min="7939" max="7942" width="9.1796875" style="94"/>
    <col min="7943" max="7943" width="12.26953125" style="94" bestFit="1" customWidth="1"/>
    <col min="7944" max="8192" width="9.1796875" style="94"/>
    <col min="8193" max="8193" width="11.453125" style="94" customWidth="1"/>
    <col min="8194" max="8194" width="10.54296875" style="94" bestFit="1" customWidth="1"/>
    <col min="8195" max="8198" width="9.1796875" style="94"/>
    <col min="8199" max="8199" width="12.26953125" style="94" bestFit="1" customWidth="1"/>
    <col min="8200" max="8448" width="9.1796875" style="94"/>
    <col min="8449" max="8449" width="11.453125" style="94" customWidth="1"/>
    <col min="8450" max="8450" width="10.54296875" style="94" bestFit="1" customWidth="1"/>
    <col min="8451" max="8454" width="9.1796875" style="94"/>
    <col min="8455" max="8455" width="12.26953125" style="94" bestFit="1" customWidth="1"/>
    <col min="8456" max="8704" width="9.1796875" style="94"/>
    <col min="8705" max="8705" width="11.453125" style="94" customWidth="1"/>
    <col min="8706" max="8706" width="10.54296875" style="94" bestFit="1" customWidth="1"/>
    <col min="8707" max="8710" width="9.1796875" style="94"/>
    <col min="8711" max="8711" width="12.26953125" style="94" bestFit="1" customWidth="1"/>
    <col min="8712" max="8960" width="9.1796875" style="94"/>
    <col min="8961" max="8961" width="11.453125" style="94" customWidth="1"/>
    <col min="8962" max="8962" width="10.54296875" style="94" bestFit="1" customWidth="1"/>
    <col min="8963" max="8966" width="9.1796875" style="94"/>
    <col min="8967" max="8967" width="12.26953125" style="94" bestFit="1" customWidth="1"/>
    <col min="8968" max="9216" width="9.1796875" style="94"/>
    <col min="9217" max="9217" width="11.453125" style="94" customWidth="1"/>
    <col min="9218" max="9218" width="10.54296875" style="94" bestFit="1" customWidth="1"/>
    <col min="9219" max="9222" width="9.1796875" style="94"/>
    <col min="9223" max="9223" width="12.26953125" style="94" bestFit="1" customWidth="1"/>
    <col min="9224" max="9472" width="9.1796875" style="94"/>
    <col min="9473" max="9473" width="11.453125" style="94" customWidth="1"/>
    <col min="9474" max="9474" width="10.54296875" style="94" bestFit="1" customWidth="1"/>
    <col min="9475" max="9478" width="9.1796875" style="94"/>
    <col min="9479" max="9479" width="12.26953125" style="94" bestFit="1" customWidth="1"/>
    <col min="9480" max="9728" width="9.1796875" style="94"/>
    <col min="9729" max="9729" width="11.453125" style="94" customWidth="1"/>
    <col min="9730" max="9730" width="10.54296875" style="94" bestFit="1" customWidth="1"/>
    <col min="9731" max="9734" width="9.1796875" style="94"/>
    <col min="9735" max="9735" width="12.26953125" style="94" bestFit="1" customWidth="1"/>
    <col min="9736" max="9984" width="9.1796875" style="94"/>
    <col min="9985" max="9985" width="11.453125" style="94" customWidth="1"/>
    <col min="9986" max="9986" width="10.54296875" style="94" bestFit="1" customWidth="1"/>
    <col min="9987" max="9990" width="9.1796875" style="94"/>
    <col min="9991" max="9991" width="12.26953125" style="94" bestFit="1" customWidth="1"/>
    <col min="9992" max="10240" width="9.1796875" style="94"/>
    <col min="10241" max="10241" width="11.453125" style="94" customWidth="1"/>
    <col min="10242" max="10242" width="10.54296875" style="94" bestFit="1" customWidth="1"/>
    <col min="10243" max="10246" width="9.1796875" style="94"/>
    <col min="10247" max="10247" width="12.26953125" style="94" bestFit="1" customWidth="1"/>
    <col min="10248" max="10496" width="9.1796875" style="94"/>
    <col min="10497" max="10497" width="11.453125" style="94" customWidth="1"/>
    <col min="10498" max="10498" width="10.54296875" style="94" bestFit="1" customWidth="1"/>
    <col min="10499" max="10502" width="9.1796875" style="94"/>
    <col min="10503" max="10503" width="12.26953125" style="94" bestFit="1" customWidth="1"/>
    <col min="10504" max="10752" width="9.1796875" style="94"/>
    <col min="10753" max="10753" width="11.453125" style="94" customWidth="1"/>
    <col min="10754" max="10754" width="10.54296875" style="94" bestFit="1" customWidth="1"/>
    <col min="10755" max="10758" width="9.1796875" style="94"/>
    <col min="10759" max="10759" width="12.26953125" style="94" bestFit="1" customWidth="1"/>
    <col min="10760" max="11008" width="9.1796875" style="94"/>
    <col min="11009" max="11009" width="11.453125" style="94" customWidth="1"/>
    <col min="11010" max="11010" width="10.54296875" style="94" bestFit="1" customWidth="1"/>
    <col min="11011" max="11014" width="9.1796875" style="94"/>
    <col min="11015" max="11015" width="12.26953125" style="94" bestFit="1" customWidth="1"/>
    <col min="11016" max="11264" width="9.1796875" style="94"/>
    <col min="11265" max="11265" width="11.453125" style="94" customWidth="1"/>
    <col min="11266" max="11266" width="10.54296875" style="94" bestFit="1" customWidth="1"/>
    <col min="11267" max="11270" width="9.1796875" style="94"/>
    <col min="11271" max="11271" width="12.26953125" style="94" bestFit="1" customWidth="1"/>
    <col min="11272" max="11520" width="9.1796875" style="94"/>
    <col min="11521" max="11521" width="11.453125" style="94" customWidth="1"/>
    <col min="11522" max="11522" width="10.54296875" style="94" bestFit="1" customWidth="1"/>
    <col min="11523" max="11526" width="9.1796875" style="94"/>
    <col min="11527" max="11527" width="12.26953125" style="94" bestFit="1" customWidth="1"/>
    <col min="11528" max="11776" width="9.1796875" style="94"/>
    <col min="11777" max="11777" width="11.453125" style="94" customWidth="1"/>
    <col min="11778" max="11778" width="10.54296875" style="94" bestFit="1" customWidth="1"/>
    <col min="11779" max="11782" width="9.1796875" style="94"/>
    <col min="11783" max="11783" width="12.26953125" style="94" bestFit="1" customWidth="1"/>
    <col min="11784" max="12032" width="9.1796875" style="94"/>
    <col min="12033" max="12033" width="11.453125" style="94" customWidth="1"/>
    <col min="12034" max="12034" width="10.54296875" style="94" bestFit="1" customWidth="1"/>
    <col min="12035" max="12038" width="9.1796875" style="94"/>
    <col min="12039" max="12039" width="12.26953125" style="94" bestFit="1" customWidth="1"/>
    <col min="12040" max="12288" width="9.1796875" style="94"/>
    <col min="12289" max="12289" width="11.453125" style="94" customWidth="1"/>
    <col min="12290" max="12290" width="10.54296875" style="94" bestFit="1" customWidth="1"/>
    <col min="12291" max="12294" width="9.1796875" style="94"/>
    <col min="12295" max="12295" width="12.26953125" style="94" bestFit="1" customWidth="1"/>
    <col min="12296" max="12544" width="9.1796875" style="94"/>
    <col min="12545" max="12545" width="11.453125" style="94" customWidth="1"/>
    <col min="12546" max="12546" width="10.54296875" style="94" bestFit="1" customWidth="1"/>
    <col min="12547" max="12550" width="9.1796875" style="94"/>
    <col min="12551" max="12551" width="12.26953125" style="94" bestFit="1" customWidth="1"/>
    <col min="12552" max="12800" width="9.1796875" style="94"/>
    <col min="12801" max="12801" width="11.453125" style="94" customWidth="1"/>
    <col min="12802" max="12802" width="10.54296875" style="94" bestFit="1" customWidth="1"/>
    <col min="12803" max="12806" width="9.1796875" style="94"/>
    <col min="12807" max="12807" width="12.26953125" style="94" bestFit="1" customWidth="1"/>
    <col min="12808" max="13056" width="9.1796875" style="94"/>
    <col min="13057" max="13057" width="11.453125" style="94" customWidth="1"/>
    <col min="13058" max="13058" width="10.54296875" style="94" bestFit="1" customWidth="1"/>
    <col min="13059" max="13062" width="9.1796875" style="94"/>
    <col min="13063" max="13063" width="12.26953125" style="94" bestFit="1" customWidth="1"/>
    <col min="13064" max="13312" width="9.1796875" style="94"/>
    <col min="13313" max="13313" width="11.453125" style="94" customWidth="1"/>
    <col min="13314" max="13314" width="10.54296875" style="94" bestFit="1" customWidth="1"/>
    <col min="13315" max="13318" width="9.1796875" style="94"/>
    <col min="13319" max="13319" width="12.26953125" style="94" bestFit="1" customWidth="1"/>
    <col min="13320" max="13568" width="9.1796875" style="94"/>
    <col min="13569" max="13569" width="11.453125" style="94" customWidth="1"/>
    <col min="13570" max="13570" width="10.54296875" style="94" bestFit="1" customWidth="1"/>
    <col min="13571" max="13574" width="9.1796875" style="94"/>
    <col min="13575" max="13575" width="12.26953125" style="94" bestFit="1" customWidth="1"/>
    <col min="13576" max="13824" width="9.1796875" style="94"/>
    <col min="13825" max="13825" width="11.453125" style="94" customWidth="1"/>
    <col min="13826" max="13826" width="10.54296875" style="94" bestFit="1" customWidth="1"/>
    <col min="13827" max="13830" width="9.1796875" style="94"/>
    <col min="13831" max="13831" width="12.26953125" style="94" bestFit="1" customWidth="1"/>
    <col min="13832" max="14080" width="9.1796875" style="94"/>
    <col min="14081" max="14081" width="11.453125" style="94" customWidth="1"/>
    <col min="14082" max="14082" width="10.54296875" style="94" bestFit="1" customWidth="1"/>
    <col min="14083" max="14086" width="9.1796875" style="94"/>
    <col min="14087" max="14087" width="12.26953125" style="94" bestFit="1" customWidth="1"/>
    <col min="14088" max="14336" width="9.1796875" style="94"/>
    <col min="14337" max="14337" width="11.453125" style="94" customWidth="1"/>
    <col min="14338" max="14338" width="10.54296875" style="94" bestFit="1" customWidth="1"/>
    <col min="14339" max="14342" width="9.1796875" style="94"/>
    <col min="14343" max="14343" width="12.26953125" style="94" bestFit="1" customWidth="1"/>
    <col min="14344" max="14592" width="9.1796875" style="94"/>
    <col min="14593" max="14593" width="11.453125" style="94" customWidth="1"/>
    <col min="14594" max="14594" width="10.54296875" style="94" bestFit="1" customWidth="1"/>
    <col min="14595" max="14598" width="9.1796875" style="94"/>
    <col min="14599" max="14599" width="12.26953125" style="94" bestFit="1" customWidth="1"/>
    <col min="14600" max="14848" width="9.1796875" style="94"/>
    <col min="14849" max="14849" width="11.453125" style="94" customWidth="1"/>
    <col min="14850" max="14850" width="10.54296875" style="94" bestFit="1" customWidth="1"/>
    <col min="14851" max="14854" width="9.1796875" style="94"/>
    <col min="14855" max="14855" width="12.26953125" style="94" bestFit="1" customWidth="1"/>
    <col min="14856" max="15104" width="9.1796875" style="94"/>
    <col min="15105" max="15105" width="11.453125" style="94" customWidth="1"/>
    <col min="15106" max="15106" width="10.54296875" style="94" bestFit="1" customWidth="1"/>
    <col min="15107" max="15110" width="9.1796875" style="94"/>
    <col min="15111" max="15111" width="12.26953125" style="94" bestFit="1" customWidth="1"/>
    <col min="15112" max="15360" width="9.1796875" style="94"/>
    <col min="15361" max="15361" width="11.453125" style="94" customWidth="1"/>
    <col min="15362" max="15362" width="10.54296875" style="94" bestFit="1" customWidth="1"/>
    <col min="15363" max="15366" width="9.1796875" style="94"/>
    <col min="15367" max="15367" width="12.26953125" style="94" bestFit="1" customWidth="1"/>
    <col min="15368" max="15616" width="9.1796875" style="94"/>
    <col min="15617" max="15617" width="11.453125" style="94" customWidth="1"/>
    <col min="15618" max="15618" width="10.54296875" style="94" bestFit="1" customWidth="1"/>
    <col min="15619" max="15622" width="9.1796875" style="94"/>
    <col min="15623" max="15623" width="12.26953125" style="94" bestFit="1" customWidth="1"/>
    <col min="15624" max="15872" width="9.1796875" style="94"/>
    <col min="15873" max="15873" width="11.453125" style="94" customWidth="1"/>
    <col min="15874" max="15874" width="10.54296875" style="94" bestFit="1" customWidth="1"/>
    <col min="15875" max="15878" width="9.1796875" style="94"/>
    <col min="15879" max="15879" width="12.26953125" style="94" bestFit="1" customWidth="1"/>
    <col min="15880" max="16128" width="9.1796875" style="94"/>
    <col min="16129" max="16129" width="11.453125" style="94" customWidth="1"/>
    <col min="16130" max="16130" width="10.54296875" style="94" bestFit="1" customWidth="1"/>
    <col min="16131" max="16134" width="9.1796875" style="94"/>
    <col min="16135" max="16135" width="12.26953125" style="94" bestFit="1" customWidth="1"/>
    <col min="16136" max="16384" width="9.1796875" style="94"/>
  </cols>
  <sheetData>
    <row r="1" spans="1:10" ht="13" x14ac:dyDescent="0.3">
      <c r="A1" s="93" t="s">
        <v>61</v>
      </c>
      <c r="D1" s="93" t="s">
        <v>62</v>
      </c>
      <c r="G1" s="95" t="s">
        <v>45</v>
      </c>
    </row>
    <row r="2" spans="1:10" x14ac:dyDescent="0.25">
      <c r="A2" s="96" t="s">
        <v>46</v>
      </c>
      <c r="B2" s="94">
        <v>1000</v>
      </c>
      <c r="D2" s="96" t="s">
        <v>47</v>
      </c>
      <c r="E2" s="94">
        <v>1000</v>
      </c>
      <c r="G2" s="96" t="s">
        <v>48</v>
      </c>
    </row>
    <row r="3" spans="1:10" x14ac:dyDescent="0.25">
      <c r="A3" s="96" t="s">
        <v>49</v>
      </c>
      <c r="B3" s="94">
        <v>0.2</v>
      </c>
      <c r="D3" s="96" t="s">
        <v>50</v>
      </c>
      <c r="E3" s="94">
        <v>1</v>
      </c>
      <c r="G3" s="96" t="s">
        <v>33</v>
      </c>
      <c r="H3" s="94">
        <v>0.95</v>
      </c>
    </row>
    <row r="4" spans="1:10" x14ac:dyDescent="0.25">
      <c r="A4" s="96" t="s">
        <v>51</v>
      </c>
      <c r="B4" s="94">
        <v>0.3</v>
      </c>
      <c r="D4" s="96" t="s">
        <v>39</v>
      </c>
      <c r="E4" s="94">
        <v>0.1</v>
      </c>
      <c r="G4" s="96" t="s">
        <v>72</v>
      </c>
      <c r="H4" s="97"/>
    </row>
    <row r="5" spans="1:10" x14ac:dyDescent="0.25">
      <c r="G5" s="96" t="s">
        <v>73</v>
      </c>
      <c r="H5" s="97"/>
    </row>
    <row r="6" spans="1:10" x14ac:dyDescent="0.25">
      <c r="A6" s="98" t="s">
        <v>63</v>
      </c>
    </row>
    <row r="7" spans="1:10" x14ac:dyDescent="0.25">
      <c r="A7" s="96" t="s">
        <v>52</v>
      </c>
      <c r="B7" s="99"/>
      <c r="J7" s="94" t="s">
        <v>71</v>
      </c>
    </row>
    <row r="8" spans="1:10" x14ac:dyDescent="0.25">
      <c r="A8" s="96" t="s">
        <v>54</v>
      </c>
      <c r="B8" s="85"/>
      <c r="I8" s="94">
        <v>1</v>
      </c>
      <c r="J8" s="97"/>
    </row>
    <row r="9" spans="1:10" x14ac:dyDescent="0.25">
      <c r="I9" s="94">
        <v>2</v>
      </c>
      <c r="J9" s="97"/>
    </row>
    <row r="10" spans="1:10" x14ac:dyDescent="0.25">
      <c r="A10" s="102" t="s">
        <v>64</v>
      </c>
      <c r="D10" s="102" t="s">
        <v>68</v>
      </c>
      <c r="I10" s="94">
        <v>3</v>
      </c>
      <c r="J10" s="97"/>
    </row>
    <row r="11" spans="1:10" x14ac:dyDescent="0.25">
      <c r="A11" s="94" t="s">
        <v>53</v>
      </c>
      <c r="D11" s="105" t="s">
        <v>53</v>
      </c>
      <c r="E11" s="97"/>
      <c r="I11" s="94">
        <v>4</v>
      </c>
      <c r="J11" s="97"/>
    </row>
    <row r="12" spans="1:10" x14ac:dyDescent="0.25">
      <c r="A12" s="94" t="s">
        <v>66</v>
      </c>
      <c r="B12" s="104"/>
      <c r="D12" s="105" t="s">
        <v>55</v>
      </c>
      <c r="E12" s="97"/>
      <c r="I12" s="94">
        <v>5</v>
      </c>
      <c r="J12" s="97"/>
    </row>
    <row r="13" spans="1:10" x14ac:dyDescent="0.25">
      <c r="A13" s="94" t="s">
        <v>65</v>
      </c>
      <c r="B13" s="103"/>
      <c r="D13" s="105" t="s">
        <v>56</v>
      </c>
      <c r="E13" s="97"/>
      <c r="I13" s="94">
        <v>6</v>
      </c>
      <c r="J13" s="97"/>
    </row>
    <row r="14" spans="1:10" x14ac:dyDescent="0.25">
      <c r="A14" s="94" t="s">
        <v>67</v>
      </c>
      <c r="G14" s="96"/>
      <c r="I14" s="94">
        <v>7</v>
      </c>
      <c r="J14" s="97"/>
    </row>
    <row r="15" spans="1:10" x14ac:dyDescent="0.25">
      <c r="A15" s="94" t="s">
        <v>4</v>
      </c>
      <c r="B15" s="101"/>
      <c r="D15" s="102" t="s">
        <v>70</v>
      </c>
      <c r="G15" s="97"/>
      <c r="I15" s="94">
        <v>8</v>
      </c>
      <c r="J15" s="97"/>
    </row>
    <row r="16" spans="1:10" x14ac:dyDescent="0.25">
      <c r="D16" s="96" t="s">
        <v>57</v>
      </c>
      <c r="E16" s="97"/>
      <c r="G16" s="97"/>
      <c r="I16" s="94">
        <v>9</v>
      </c>
      <c r="J16" s="97"/>
    </row>
    <row r="17" spans="2:10" x14ac:dyDescent="0.25">
      <c r="D17" s="96" t="s">
        <v>69</v>
      </c>
      <c r="E17" s="97"/>
      <c r="G17" s="97"/>
      <c r="I17" s="94">
        <v>10</v>
      </c>
      <c r="J17" s="97"/>
    </row>
    <row r="18" spans="2:10" x14ac:dyDescent="0.25">
      <c r="D18" s="96" t="s">
        <v>58</v>
      </c>
      <c r="E18" s="97"/>
      <c r="G18" s="97"/>
      <c r="I18" s="94">
        <v>11</v>
      </c>
      <c r="J18" s="97"/>
    </row>
    <row r="19" spans="2:10" x14ac:dyDescent="0.25">
      <c r="D19" s="96" t="s">
        <v>59</v>
      </c>
      <c r="E19" s="97"/>
      <c r="G19" s="97"/>
      <c r="I19" s="94">
        <v>12</v>
      </c>
      <c r="J19" s="97"/>
    </row>
    <row r="20" spans="2:10" x14ac:dyDescent="0.25">
      <c r="D20" s="96" t="s">
        <v>60</v>
      </c>
      <c r="E20" s="97"/>
      <c r="G20" s="97"/>
      <c r="I20" s="94">
        <v>13</v>
      </c>
      <c r="J20" s="97"/>
    </row>
    <row r="21" spans="2:10" x14ac:dyDescent="0.25">
      <c r="D21" s="96" t="s">
        <v>12</v>
      </c>
      <c r="E21" s="97"/>
      <c r="G21" s="97"/>
      <c r="I21" s="94">
        <v>14</v>
      </c>
      <c r="J21" s="97"/>
    </row>
    <row r="22" spans="2:10" x14ac:dyDescent="0.25">
      <c r="G22" s="97"/>
      <c r="I22" s="94">
        <v>15</v>
      </c>
      <c r="J22" s="97"/>
    </row>
    <row r="23" spans="2:10" x14ac:dyDescent="0.25">
      <c r="G23" s="97"/>
      <c r="I23" s="94">
        <v>16</v>
      </c>
      <c r="J23" s="97"/>
    </row>
    <row r="24" spans="2:10" x14ac:dyDescent="0.25">
      <c r="G24" s="97"/>
      <c r="I24" s="94">
        <v>17</v>
      </c>
      <c r="J24" s="97"/>
    </row>
    <row r="25" spans="2:10" x14ac:dyDescent="0.25">
      <c r="G25" s="97"/>
      <c r="I25" s="94">
        <v>18</v>
      </c>
      <c r="J25" s="97"/>
    </row>
    <row r="26" spans="2:10" x14ac:dyDescent="0.25">
      <c r="I26" s="94">
        <v>19</v>
      </c>
      <c r="J26" s="97"/>
    </row>
    <row r="27" spans="2:10" x14ac:dyDescent="0.25">
      <c r="I27" s="94">
        <v>20</v>
      </c>
      <c r="J27" s="97"/>
    </row>
    <row r="28" spans="2:10" x14ac:dyDescent="0.25">
      <c r="I28" s="94">
        <v>21</v>
      </c>
      <c r="J28" s="97"/>
    </row>
    <row r="29" spans="2:10" ht="13" x14ac:dyDescent="0.3">
      <c r="B29" s="100"/>
      <c r="C29" s="100"/>
      <c r="I29" s="94">
        <v>22</v>
      </c>
      <c r="J29" s="97"/>
    </row>
    <row r="30" spans="2:10" x14ac:dyDescent="0.25">
      <c r="B30" s="101"/>
      <c r="I30" s="94">
        <v>23</v>
      </c>
      <c r="J30" s="97"/>
    </row>
    <row r="31" spans="2:10" x14ac:dyDescent="0.25">
      <c r="B31" s="101"/>
      <c r="I31" s="94">
        <v>24</v>
      </c>
      <c r="J31" s="97"/>
    </row>
    <row r="32" spans="2:10" x14ac:dyDescent="0.25">
      <c r="B32" s="101"/>
      <c r="I32" s="94">
        <v>25</v>
      </c>
      <c r="J32" s="97"/>
    </row>
    <row r="33" spans="2:10" x14ac:dyDescent="0.25">
      <c r="B33" s="101"/>
      <c r="I33" s="94">
        <v>26</v>
      </c>
      <c r="J33" s="97"/>
    </row>
    <row r="34" spans="2:10" x14ac:dyDescent="0.25">
      <c r="B34" s="101"/>
      <c r="I34" s="94">
        <v>27</v>
      </c>
      <c r="J34" s="97"/>
    </row>
    <row r="35" spans="2:10" x14ac:dyDescent="0.25">
      <c r="B35" s="101"/>
      <c r="I35" s="94">
        <v>28</v>
      </c>
      <c r="J35" s="97"/>
    </row>
    <row r="36" spans="2:10" x14ac:dyDescent="0.25">
      <c r="B36" s="101"/>
      <c r="I36" s="94">
        <v>29</v>
      </c>
      <c r="J36" s="97"/>
    </row>
    <row r="37" spans="2:10" x14ac:dyDescent="0.25">
      <c r="B37" s="101"/>
      <c r="I37" s="94">
        <v>30</v>
      </c>
      <c r="J37" s="97"/>
    </row>
    <row r="38" spans="2:10" x14ac:dyDescent="0.25">
      <c r="B38" s="101"/>
      <c r="I38" s="94">
        <v>31</v>
      </c>
      <c r="J38" s="97"/>
    </row>
    <row r="39" spans="2:10" x14ac:dyDescent="0.25">
      <c r="B39" s="101"/>
      <c r="I39" s="94">
        <v>32</v>
      </c>
      <c r="J39" s="97"/>
    </row>
    <row r="40" spans="2:10" x14ac:dyDescent="0.25">
      <c r="B40" s="101"/>
      <c r="I40" s="94">
        <v>33</v>
      </c>
      <c r="J40" s="97"/>
    </row>
    <row r="41" spans="2:10" x14ac:dyDescent="0.25">
      <c r="I41" s="94">
        <v>34</v>
      </c>
      <c r="J41" s="97"/>
    </row>
    <row r="42" spans="2:10" x14ac:dyDescent="0.25">
      <c r="I42" s="94">
        <v>35</v>
      </c>
      <c r="J42" s="97"/>
    </row>
    <row r="43" spans="2:10" x14ac:dyDescent="0.25">
      <c r="I43" s="94">
        <v>36</v>
      </c>
      <c r="J43" s="97"/>
    </row>
    <row r="44" spans="2:10" x14ac:dyDescent="0.25">
      <c r="I44" s="94">
        <v>37</v>
      </c>
      <c r="J44" s="97"/>
    </row>
    <row r="45" spans="2:10" x14ac:dyDescent="0.25">
      <c r="I45" s="94">
        <v>38</v>
      </c>
      <c r="J45" s="97"/>
    </row>
    <row r="46" spans="2:10" x14ac:dyDescent="0.25">
      <c r="I46" s="94">
        <v>39</v>
      </c>
      <c r="J46" s="97"/>
    </row>
    <row r="47" spans="2:10" x14ac:dyDescent="0.25">
      <c r="I47" s="94">
        <v>40</v>
      </c>
      <c r="J47" s="97"/>
    </row>
    <row r="48" spans="2:10" x14ac:dyDescent="0.25">
      <c r="I48" s="94">
        <v>41</v>
      </c>
      <c r="J48" s="97"/>
    </row>
    <row r="49" spans="9:10" x14ac:dyDescent="0.25">
      <c r="I49" s="94">
        <v>42</v>
      </c>
      <c r="J49" s="97"/>
    </row>
    <row r="50" spans="9:10" x14ac:dyDescent="0.25">
      <c r="I50" s="94">
        <v>43</v>
      </c>
      <c r="J50" s="97"/>
    </row>
    <row r="51" spans="9:10" x14ac:dyDescent="0.25">
      <c r="I51" s="94">
        <v>44</v>
      </c>
      <c r="J51" s="97"/>
    </row>
    <row r="52" spans="9:10" x14ac:dyDescent="0.25">
      <c r="I52" s="94">
        <v>45</v>
      </c>
      <c r="J52" s="97"/>
    </row>
    <row r="53" spans="9:10" x14ac:dyDescent="0.25">
      <c r="I53" s="94">
        <v>46</v>
      </c>
      <c r="J53" s="97"/>
    </row>
    <row r="54" spans="9:10" x14ac:dyDescent="0.25">
      <c r="I54" s="94">
        <v>47</v>
      </c>
      <c r="J54" s="97"/>
    </row>
    <row r="55" spans="9:10" x14ac:dyDescent="0.25">
      <c r="I55" s="94">
        <v>48</v>
      </c>
      <c r="J55" s="97"/>
    </row>
    <row r="56" spans="9:10" x14ac:dyDescent="0.25">
      <c r="I56" s="94">
        <v>49</v>
      </c>
      <c r="J56" s="97"/>
    </row>
    <row r="57" spans="9:10" x14ac:dyDescent="0.25">
      <c r="I57" s="94">
        <v>50</v>
      </c>
      <c r="J57" s="97"/>
    </row>
    <row r="58" spans="9:10" x14ac:dyDescent="0.25">
      <c r="I58" s="94">
        <v>51</v>
      </c>
      <c r="J58" s="97"/>
    </row>
    <row r="59" spans="9:10" x14ac:dyDescent="0.25">
      <c r="I59" s="94">
        <v>52</v>
      </c>
      <c r="J59" s="97"/>
    </row>
    <row r="60" spans="9:10" x14ac:dyDescent="0.25">
      <c r="I60" s="94">
        <v>53</v>
      </c>
      <c r="J60" s="97"/>
    </row>
    <row r="61" spans="9:10" x14ac:dyDescent="0.25">
      <c r="I61" s="94">
        <v>54</v>
      </c>
      <c r="J61" s="97"/>
    </row>
    <row r="62" spans="9:10" x14ac:dyDescent="0.25">
      <c r="I62" s="94">
        <v>55</v>
      </c>
      <c r="J62" s="97"/>
    </row>
    <row r="63" spans="9:10" x14ac:dyDescent="0.25">
      <c r="I63" s="94">
        <v>56</v>
      </c>
      <c r="J63" s="97"/>
    </row>
    <row r="64" spans="9:10" x14ac:dyDescent="0.25">
      <c r="I64" s="94">
        <v>57</v>
      </c>
      <c r="J64" s="97"/>
    </row>
    <row r="65" spans="9:10" x14ac:dyDescent="0.25">
      <c r="I65" s="94">
        <v>58</v>
      </c>
      <c r="J65" s="97"/>
    </row>
    <row r="66" spans="9:10" x14ac:dyDescent="0.25">
      <c r="I66" s="94">
        <v>59</v>
      </c>
      <c r="J66" s="97"/>
    </row>
    <row r="67" spans="9:10" x14ac:dyDescent="0.25">
      <c r="I67" s="94">
        <v>60</v>
      </c>
      <c r="J67" s="97"/>
    </row>
    <row r="68" spans="9:10" x14ac:dyDescent="0.25">
      <c r="I68" s="94">
        <v>61</v>
      </c>
      <c r="J68" s="97"/>
    </row>
    <row r="69" spans="9:10" x14ac:dyDescent="0.25">
      <c r="I69" s="94">
        <v>62</v>
      </c>
      <c r="J69" s="97"/>
    </row>
    <row r="70" spans="9:10" x14ac:dyDescent="0.25">
      <c r="I70" s="94">
        <v>63</v>
      </c>
      <c r="J70" s="97"/>
    </row>
    <row r="71" spans="9:10" x14ac:dyDescent="0.25">
      <c r="I71" s="94">
        <v>64</v>
      </c>
      <c r="J71" s="97"/>
    </row>
    <row r="72" spans="9:10" x14ac:dyDescent="0.25">
      <c r="I72" s="94">
        <v>65</v>
      </c>
      <c r="J72" s="97"/>
    </row>
    <row r="73" spans="9:10" x14ac:dyDescent="0.25">
      <c r="I73" s="94">
        <v>66</v>
      </c>
      <c r="J73" s="97"/>
    </row>
    <row r="74" spans="9:10" x14ac:dyDescent="0.25">
      <c r="I74" s="94">
        <v>67</v>
      </c>
      <c r="J74" s="97"/>
    </row>
    <row r="75" spans="9:10" x14ac:dyDescent="0.25">
      <c r="I75" s="94">
        <v>68</v>
      </c>
      <c r="J75" s="97"/>
    </row>
    <row r="76" spans="9:10" x14ac:dyDescent="0.25">
      <c r="I76" s="94">
        <v>69</v>
      </c>
      <c r="J76" s="97"/>
    </row>
    <row r="77" spans="9:10" x14ac:dyDescent="0.25">
      <c r="I77" s="94">
        <v>70</v>
      </c>
      <c r="J77" s="97"/>
    </row>
    <row r="78" spans="9:10" x14ac:dyDescent="0.25">
      <c r="I78" s="94">
        <v>71</v>
      </c>
      <c r="J78" s="97"/>
    </row>
    <row r="79" spans="9:10" x14ac:dyDescent="0.25">
      <c r="I79" s="94">
        <v>72</v>
      </c>
      <c r="J79" s="97"/>
    </row>
    <row r="80" spans="9:10" x14ac:dyDescent="0.25">
      <c r="I80" s="94">
        <v>73</v>
      </c>
      <c r="J80" s="97"/>
    </row>
    <row r="81" spans="9:10" x14ac:dyDescent="0.25">
      <c r="I81" s="94">
        <v>74</v>
      </c>
      <c r="J81" s="97"/>
    </row>
    <row r="82" spans="9:10" x14ac:dyDescent="0.25">
      <c r="I82" s="94">
        <v>75</v>
      </c>
      <c r="J82" s="97"/>
    </row>
    <row r="83" spans="9:10" x14ac:dyDescent="0.25">
      <c r="I83" s="94">
        <v>76</v>
      </c>
      <c r="J83" s="97"/>
    </row>
    <row r="84" spans="9:10" x14ac:dyDescent="0.25">
      <c r="I84" s="94">
        <v>77</v>
      </c>
      <c r="J84" s="97"/>
    </row>
    <row r="85" spans="9:10" x14ac:dyDescent="0.25">
      <c r="I85" s="94">
        <v>78</v>
      </c>
      <c r="J85" s="97"/>
    </row>
    <row r="86" spans="9:10" x14ac:dyDescent="0.25">
      <c r="I86" s="94">
        <v>79</v>
      </c>
      <c r="J86" s="97"/>
    </row>
    <row r="87" spans="9:10" x14ac:dyDescent="0.25">
      <c r="I87" s="94">
        <v>80</v>
      </c>
      <c r="J87" s="97"/>
    </row>
    <row r="88" spans="9:10" x14ac:dyDescent="0.25">
      <c r="I88" s="94">
        <v>81</v>
      </c>
      <c r="J88" s="97"/>
    </row>
    <row r="89" spans="9:10" x14ac:dyDescent="0.25">
      <c r="I89" s="94">
        <v>82</v>
      </c>
      <c r="J89" s="97"/>
    </row>
    <row r="90" spans="9:10" x14ac:dyDescent="0.25">
      <c r="I90" s="94">
        <v>83</v>
      </c>
      <c r="J90" s="97"/>
    </row>
    <row r="91" spans="9:10" x14ac:dyDescent="0.25">
      <c r="I91" s="94">
        <v>84</v>
      </c>
      <c r="J91" s="97"/>
    </row>
    <row r="92" spans="9:10" x14ac:dyDescent="0.25">
      <c r="I92" s="94">
        <v>85</v>
      </c>
      <c r="J92" s="97"/>
    </row>
    <row r="93" spans="9:10" x14ac:dyDescent="0.25">
      <c r="I93" s="94">
        <v>86</v>
      </c>
      <c r="J93" s="97"/>
    </row>
    <row r="94" spans="9:10" x14ac:dyDescent="0.25">
      <c r="I94" s="94">
        <v>87</v>
      </c>
      <c r="J94" s="97"/>
    </row>
    <row r="95" spans="9:10" x14ac:dyDescent="0.25">
      <c r="I95" s="94">
        <v>88</v>
      </c>
      <c r="J95" s="97"/>
    </row>
    <row r="96" spans="9:10" x14ac:dyDescent="0.25">
      <c r="I96" s="94">
        <v>89</v>
      </c>
      <c r="J96" s="97"/>
    </row>
    <row r="97" spans="9:10" x14ac:dyDescent="0.25">
      <c r="I97" s="94">
        <v>90</v>
      </c>
      <c r="J97" s="97"/>
    </row>
    <row r="98" spans="9:10" x14ac:dyDescent="0.25">
      <c r="I98" s="94">
        <v>91</v>
      </c>
      <c r="J98" s="97"/>
    </row>
    <row r="99" spans="9:10" x14ac:dyDescent="0.25">
      <c r="I99" s="94">
        <v>92</v>
      </c>
      <c r="J99" s="97"/>
    </row>
    <row r="100" spans="9:10" x14ac:dyDescent="0.25">
      <c r="I100" s="94">
        <v>93</v>
      </c>
      <c r="J100" s="97"/>
    </row>
    <row r="101" spans="9:10" x14ac:dyDescent="0.25">
      <c r="I101" s="94">
        <v>94</v>
      </c>
      <c r="J101" s="97"/>
    </row>
    <row r="102" spans="9:10" x14ac:dyDescent="0.25">
      <c r="I102" s="94">
        <v>95</v>
      </c>
      <c r="J102" s="97"/>
    </row>
    <row r="103" spans="9:10" x14ac:dyDescent="0.25">
      <c r="I103" s="94">
        <v>96</v>
      </c>
      <c r="J103" s="97"/>
    </row>
    <row r="104" spans="9:10" x14ac:dyDescent="0.25">
      <c r="I104" s="94">
        <v>97</v>
      </c>
      <c r="J104" s="97"/>
    </row>
    <row r="105" spans="9:10" x14ac:dyDescent="0.25">
      <c r="I105" s="94">
        <v>98</v>
      </c>
      <c r="J105" s="97"/>
    </row>
    <row r="106" spans="9:10" x14ac:dyDescent="0.25">
      <c r="I106" s="94">
        <v>99</v>
      </c>
      <c r="J106" s="97"/>
    </row>
    <row r="107" spans="9:10" x14ac:dyDescent="0.25">
      <c r="I107" s="94">
        <v>100</v>
      </c>
      <c r="J107" s="97"/>
    </row>
    <row r="108" spans="9:10" x14ac:dyDescent="0.25">
      <c r="I108" s="94">
        <v>101</v>
      </c>
      <c r="J108" s="101"/>
    </row>
    <row r="109" spans="9:10" x14ac:dyDescent="0.25">
      <c r="I109" s="94">
        <v>102</v>
      </c>
      <c r="J109" s="101"/>
    </row>
    <row r="110" spans="9:10" x14ac:dyDescent="0.25">
      <c r="I110" s="94">
        <v>103</v>
      </c>
      <c r="J110" s="101"/>
    </row>
    <row r="111" spans="9:10" x14ac:dyDescent="0.25">
      <c r="I111" s="94">
        <v>104</v>
      </c>
      <c r="J111" s="101"/>
    </row>
    <row r="112" spans="9:10" x14ac:dyDescent="0.25">
      <c r="I112" s="94">
        <v>105</v>
      </c>
      <c r="J112" s="101"/>
    </row>
    <row r="113" spans="9:10" x14ac:dyDescent="0.25">
      <c r="I113" s="94">
        <v>106</v>
      </c>
      <c r="J113" s="101"/>
    </row>
    <row r="114" spans="9:10" x14ac:dyDescent="0.25">
      <c r="I114" s="94">
        <v>107</v>
      </c>
      <c r="J114" s="101"/>
    </row>
    <row r="115" spans="9:10" x14ac:dyDescent="0.25">
      <c r="I115" s="94">
        <v>108</v>
      </c>
      <c r="J115" s="101"/>
    </row>
    <row r="116" spans="9:10" x14ac:dyDescent="0.25">
      <c r="I116" s="94">
        <v>109</v>
      </c>
      <c r="J116" s="101"/>
    </row>
    <row r="117" spans="9:10" x14ac:dyDescent="0.25">
      <c r="I117" s="94">
        <v>110</v>
      </c>
      <c r="J117" s="101"/>
    </row>
    <row r="118" spans="9:10" x14ac:dyDescent="0.25">
      <c r="I118" s="94">
        <v>111</v>
      </c>
      <c r="J118" s="101"/>
    </row>
    <row r="119" spans="9:10" x14ac:dyDescent="0.25">
      <c r="I119" s="94">
        <v>112</v>
      </c>
      <c r="J119" s="101"/>
    </row>
    <row r="120" spans="9:10" x14ac:dyDescent="0.25">
      <c r="I120" s="94">
        <v>113</v>
      </c>
      <c r="J120" s="101"/>
    </row>
    <row r="121" spans="9:10" x14ac:dyDescent="0.25">
      <c r="I121" s="94">
        <v>114</v>
      </c>
      <c r="J121" s="101"/>
    </row>
    <row r="122" spans="9:10" x14ac:dyDescent="0.25">
      <c r="I122" s="94">
        <v>115</v>
      </c>
      <c r="J122" s="101"/>
    </row>
    <row r="123" spans="9:10" x14ac:dyDescent="0.25">
      <c r="I123" s="94">
        <v>116</v>
      </c>
      <c r="J123" s="101"/>
    </row>
    <row r="124" spans="9:10" x14ac:dyDescent="0.25">
      <c r="I124" s="94">
        <v>117</v>
      </c>
      <c r="J124" s="101"/>
    </row>
    <row r="125" spans="9:10" x14ac:dyDescent="0.25">
      <c r="I125" s="94">
        <v>118</v>
      </c>
      <c r="J125" s="101"/>
    </row>
    <row r="126" spans="9:10" x14ac:dyDescent="0.25">
      <c r="I126" s="94">
        <v>119</v>
      </c>
      <c r="J126" s="101"/>
    </row>
    <row r="127" spans="9:10" x14ac:dyDescent="0.25">
      <c r="I127" s="94">
        <v>120</v>
      </c>
      <c r="J127" s="101"/>
    </row>
    <row r="128" spans="9:10" x14ac:dyDescent="0.25">
      <c r="I128" s="94">
        <v>121</v>
      </c>
      <c r="J128" s="101"/>
    </row>
    <row r="129" spans="9:10" x14ac:dyDescent="0.25">
      <c r="I129" s="94">
        <v>122</v>
      </c>
      <c r="J129" s="101"/>
    </row>
    <row r="130" spans="9:10" x14ac:dyDescent="0.25">
      <c r="I130" s="94">
        <v>123</v>
      </c>
    </row>
    <row r="131" spans="9:10" x14ac:dyDescent="0.25">
      <c r="I131" s="94">
        <v>124</v>
      </c>
    </row>
    <row r="132" spans="9:10" x14ac:dyDescent="0.25">
      <c r="I132" s="94">
        <v>125</v>
      </c>
    </row>
    <row r="133" spans="9:10" x14ac:dyDescent="0.25">
      <c r="I133" s="94">
        <v>126</v>
      </c>
    </row>
    <row r="134" spans="9:10" x14ac:dyDescent="0.25">
      <c r="I134" s="94">
        <v>127</v>
      </c>
    </row>
    <row r="135" spans="9:10" x14ac:dyDescent="0.25">
      <c r="I135" s="94">
        <v>128</v>
      </c>
    </row>
    <row r="136" spans="9:10" x14ac:dyDescent="0.25">
      <c r="I136" s="94">
        <v>129</v>
      </c>
    </row>
    <row r="137" spans="9:10" x14ac:dyDescent="0.25">
      <c r="I137" s="94">
        <v>130</v>
      </c>
    </row>
    <row r="138" spans="9:10" x14ac:dyDescent="0.25">
      <c r="I138" s="94">
        <v>131</v>
      </c>
    </row>
    <row r="139" spans="9:10" x14ac:dyDescent="0.25">
      <c r="I139" s="94">
        <v>132</v>
      </c>
    </row>
    <row r="140" spans="9:10" x14ac:dyDescent="0.25">
      <c r="I140" s="94">
        <v>133</v>
      </c>
    </row>
    <row r="141" spans="9:10" x14ac:dyDescent="0.25">
      <c r="I141" s="94">
        <v>134</v>
      </c>
    </row>
    <row r="142" spans="9:10" x14ac:dyDescent="0.25">
      <c r="I142" s="94">
        <v>135</v>
      </c>
    </row>
    <row r="143" spans="9:10" x14ac:dyDescent="0.25">
      <c r="I143" s="94">
        <v>136</v>
      </c>
    </row>
    <row r="144" spans="9:10" x14ac:dyDescent="0.25">
      <c r="I144" s="94">
        <v>137</v>
      </c>
    </row>
    <row r="145" spans="9:9" x14ac:dyDescent="0.25">
      <c r="I145" s="94">
        <v>138</v>
      </c>
    </row>
    <row r="146" spans="9:9" x14ac:dyDescent="0.25">
      <c r="I146" s="94">
        <v>139</v>
      </c>
    </row>
    <row r="147" spans="9:9" x14ac:dyDescent="0.25">
      <c r="I147" s="94">
        <v>140</v>
      </c>
    </row>
    <row r="148" spans="9:9" x14ac:dyDescent="0.25">
      <c r="I148" s="94">
        <v>141</v>
      </c>
    </row>
    <row r="149" spans="9:9" x14ac:dyDescent="0.25">
      <c r="I149" s="94">
        <v>142</v>
      </c>
    </row>
    <row r="150" spans="9:9" x14ac:dyDescent="0.25">
      <c r="I150" s="94">
        <v>143</v>
      </c>
    </row>
    <row r="151" spans="9:9" x14ac:dyDescent="0.25">
      <c r="I151" s="94">
        <v>144</v>
      </c>
    </row>
    <row r="152" spans="9:9" x14ac:dyDescent="0.25">
      <c r="I152" s="94">
        <v>145</v>
      </c>
    </row>
    <row r="153" spans="9:9" x14ac:dyDescent="0.25">
      <c r="I153" s="94">
        <v>146</v>
      </c>
    </row>
    <row r="154" spans="9:9" x14ac:dyDescent="0.25">
      <c r="I154" s="94">
        <v>147</v>
      </c>
    </row>
    <row r="155" spans="9:9" x14ac:dyDescent="0.25">
      <c r="I155" s="94">
        <v>148</v>
      </c>
    </row>
    <row r="156" spans="9:9" x14ac:dyDescent="0.25">
      <c r="I156" s="94">
        <v>149</v>
      </c>
    </row>
    <row r="157" spans="9:9" x14ac:dyDescent="0.25">
      <c r="I157" s="94">
        <v>150</v>
      </c>
    </row>
    <row r="158" spans="9:9" x14ac:dyDescent="0.25">
      <c r="I158" s="94">
        <v>151</v>
      </c>
    </row>
    <row r="159" spans="9:9" x14ac:dyDescent="0.25">
      <c r="I159" s="94">
        <v>152</v>
      </c>
    </row>
    <row r="160" spans="9:9" x14ac:dyDescent="0.25">
      <c r="I160" s="94">
        <v>153</v>
      </c>
    </row>
    <row r="161" spans="9:9" x14ac:dyDescent="0.25">
      <c r="I161" s="94">
        <v>154</v>
      </c>
    </row>
    <row r="162" spans="9:9" x14ac:dyDescent="0.25">
      <c r="I162" s="94">
        <v>155</v>
      </c>
    </row>
    <row r="163" spans="9:9" x14ac:dyDescent="0.25">
      <c r="I163" s="94">
        <v>156</v>
      </c>
    </row>
    <row r="164" spans="9:9" x14ac:dyDescent="0.25">
      <c r="I164" s="94">
        <v>157</v>
      </c>
    </row>
    <row r="165" spans="9:9" x14ac:dyDescent="0.25">
      <c r="I165" s="94">
        <v>158</v>
      </c>
    </row>
    <row r="166" spans="9:9" x14ac:dyDescent="0.25">
      <c r="I166" s="94">
        <v>159</v>
      </c>
    </row>
    <row r="167" spans="9:9" x14ac:dyDescent="0.25">
      <c r="I167" s="94">
        <v>160</v>
      </c>
    </row>
    <row r="168" spans="9:9" x14ac:dyDescent="0.25">
      <c r="I168" s="94">
        <v>161</v>
      </c>
    </row>
    <row r="169" spans="9:9" x14ac:dyDescent="0.25">
      <c r="I169" s="94">
        <v>162</v>
      </c>
    </row>
    <row r="170" spans="9:9" x14ac:dyDescent="0.25">
      <c r="I170" s="94">
        <v>163</v>
      </c>
    </row>
    <row r="171" spans="9:9" x14ac:dyDescent="0.25">
      <c r="I171" s="94">
        <v>164</v>
      </c>
    </row>
    <row r="172" spans="9:9" x14ac:dyDescent="0.25">
      <c r="I172" s="94">
        <v>165</v>
      </c>
    </row>
    <row r="173" spans="9:9" x14ac:dyDescent="0.25">
      <c r="I173" s="94">
        <v>166</v>
      </c>
    </row>
    <row r="174" spans="9:9" x14ac:dyDescent="0.25">
      <c r="I174" s="94">
        <v>167</v>
      </c>
    </row>
    <row r="175" spans="9:9" x14ac:dyDescent="0.25">
      <c r="I175" s="94">
        <v>168</v>
      </c>
    </row>
    <row r="176" spans="9:9" x14ac:dyDescent="0.25">
      <c r="I176" s="94">
        <v>169</v>
      </c>
    </row>
    <row r="177" spans="9:9" x14ac:dyDescent="0.25">
      <c r="I177" s="94">
        <v>170</v>
      </c>
    </row>
    <row r="178" spans="9:9" x14ac:dyDescent="0.25">
      <c r="I178" s="94">
        <v>171</v>
      </c>
    </row>
    <row r="179" spans="9:9" x14ac:dyDescent="0.25">
      <c r="I179" s="94">
        <v>172</v>
      </c>
    </row>
    <row r="180" spans="9:9" x14ac:dyDescent="0.25">
      <c r="I180" s="94">
        <v>173</v>
      </c>
    </row>
    <row r="181" spans="9:9" x14ac:dyDescent="0.25">
      <c r="I181" s="94">
        <v>174</v>
      </c>
    </row>
    <row r="182" spans="9:9" x14ac:dyDescent="0.25">
      <c r="I182" s="94">
        <v>175</v>
      </c>
    </row>
    <row r="183" spans="9:9" x14ac:dyDescent="0.25">
      <c r="I183" s="94">
        <v>176</v>
      </c>
    </row>
    <row r="184" spans="9:9" x14ac:dyDescent="0.25">
      <c r="I184" s="94">
        <v>177</v>
      </c>
    </row>
    <row r="185" spans="9:9" x14ac:dyDescent="0.25">
      <c r="I185" s="94">
        <v>178</v>
      </c>
    </row>
    <row r="186" spans="9:9" x14ac:dyDescent="0.25">
      <c r="I186" s="94">
        <v>179</v>
      </c>
    </row>
    <row r="187" spans="9:9" x14ac:dyDescent="0.25">
      <c r="I187" s="94">
        <v>180</v>
      </c>
    </row>
    <row r="188" spans="9:9" x14ac:dyDescent="0.25">
      <c r="I188" s="94">
        <v>181</v>
      </c>
    </row>
    <row r="189" spans="9:9" x14ac:dyDescent="0.25">
      <c r="I189" s="94">
        <v>182</v>
      </c>
    </row>
    <row r="190" spans="9:9" x14ac:dyDescent="0.25">
      <c r="I190" s="94">
        <v>183</v>
      </c>
    </row>
    <row r="191" spans="9:9" x14ac:dyDescent="0.25">
      <c r="I191" s="94">
        <v>184</v>
      </c>
    </row>
    <row r="192" spans="9:9" x14ac:dyDescent="0.25">
      <c r="I192" s="94">
        <v>185</v>
      </c>
    </row>
    <row r="193" spans="9:9" x14ac:dyDescent="0.25">
      <c r="I193" s="94">
        <v>186</v>
      </c>
    </row>
    <row r="194" spans="9:9" x14ac:dyDescent="0.25">
      <c r="I194" s="94">
        <v>187</v>
      </c>
    </row>
    <row r="195" spans="9:9" x14ac:dyDescent="0.25">
      <c r="I195" s="94">
        <v>188</v>
      </c>
    </row>
    <row r="196" spans="9:9" x14ac:dyDescent="0.25">
      <c r="I196" s="94">
        <v>189</v>
      </c>
    </row>
    <row r="197" spans="9:9" x14ac:dyDescent="0.25">
      <c r="I197" s="94">
        <v>190</v>
      </c>
    </row>
    <row r="198" spans="9:9" x14ac:dyDescent="0.25">
      <c r="I198" s="94">
        <v>191</v>
      </c>
    </row>
    <row r="199" spans="9:9" x14ac:dyDescent="0.25">
      <c r="I199" s="94">
        <v>192</v>
      </c>
    </row>
    <row r="200" spans="9:9" x14ac:dyDescent="0.25">
      <c r="I200" s="94">
        <v>193</v>
      </c>
    </row>
    <row r="201" spans="9:9" x14ac:dyDescent="0.25">
      <c r="I201" s="94">
        <v>194</v>
      </c>
    </row>
    <row r="202" spans="9:9" x14ac:dyDescent="0.25">
      <c r="I202" s="94">
        <v>195</v>
      </c>
    </row>
    <row r="203" spans="9:9" x14ac:dyDescent="0.25">
      <c r="I203" s="94">
        <v>196</v>
      </c>
    </row>
    <row r="204" spans="9:9" x14ac:dyDescent="0.25">
      <c r="I204" s="94">
        <v>197</v>
      </c>
    </row>
    <row r="205" spans="9:9" x14ac:dyDescent="0.25">
      <c r="I205" s="94">
        <v>198</v>
      </c>
    </row>
    <row r="206" spans="9:9" x14ac:dyDescent="0.25">
      <c r="I206" s="94">
        <v>199</v>
      </c>
    </row>
    <row r="207" spans="9:9" x14ac:dyDescent="0.25">
      <c r="I207" s="94">
        <v>200</v>
      </c>
    </row>
    <row r="208" spans="9:9" x14ac:dyDescent="0.25">
      <c r="I208" s="94">
        <v>201</v>
      </c>
    </row>
    <row r="209" spans="9:9" x14ac:dyDescent="0.25">
      <c r="I209" s="94">
        <v>202</v>
      </c>
    </row>
    <row r="210" spans="9:9" x14ac:dyDescent="0.25">
      <c r="I210" s="94">
        <v>203</v>
      </c>
    </row>
    <row r="211" spans="9:9" x14ac:dyDescent="0.25">
      <c r="I211" s="94">
        <v>204</v>
      </c>
    </row>
    <row r="212" spans="9:9" x14ac:dyDescent="0.25">
      <c r="I212" s="94">
        <v>205</v>
      </c>
    </row>
    <row r="213" spans="9:9" x14ac:dyDescent="0.25">
      <c r="I213" s="94">
        <v>206</v>
      </c>
    </row>
    <row r="214" spans="9:9" x14ac:dyDescent="0.25">
      <c r="I214" s="94">
        <v>207</v>
      </c>
    </row>
    <row r="215" spans="9:9" x14ac:dyDescent="0.25">
      <c r="I215" s="94">
        <v>208</v>
      </c>
    </row>
    <row r="216" spans="9:9" x14ac:dyDescent="0.25">
      <c r="I216" s="94">
        <v>209</v>
      </c>
    </row>
    <row r="217" spans="9:9" x14ac:dyDescent="0.25">
      <c r="I217" s="94">
        <v>210</v>
      </c>
    </row>
    <row r="218" spans="9:9" x14ac:dyDescent="0.25">
      <c r="I218" s="94">
        <v>211</v>
      </c>
    </row>
    <row r="219" spans="9:9" x14ac:dyDescent="0.25">
      <c r="I219" s="94">
        <v>212</v>
      </c>
    </row>
    <row r="220" spans="9:9" x14ac:dyDescent="0.25">
      <c r="I220" s="94">
        <v>213</v>
      </c>
    </row>
    <row r="221" spans="9:9" x14ac:dyDescent="0.25">
      <c r="I221" s="94">
        <v>214</v>
      </c>
    </row>
    <row r="222" spans="9:9" x14ac:dyDescent="0.25">
      <c r="I222" s="94">
        <v>215</v>
      </c>
    </row>
    <row r="223" spans="9:9" x14ac:dyDescent="0.25">
      <c r="I223" s="94">
        <v>216</v>
      </c>
    </row>
    <row r="224" spans="9:9" x14ac:dyDescent="0.25">
      <c r="I224" s="94">
        <v>217</v>
      </c>
    </row>
    <row r="225" spans="9:9" x14ac:dyDescent="0.25">
      <c r="I225" s="94">
        <v>218</v>
      </c>
    </row>
    <row r="226" spans="9:9" x14ac:dyDescent="0.25">
      <c r="I226" s="94">
        <v>219</v>
      </c>
    </row>
    <row r="227" spans="9:9" x14ac:dyDescent="0.25">
      <c r="I227" s="94">
        <v>220</v>
      </c>
    </row>
    <row r="228" spans="9:9" x14ac:dyDescent="0.25">
      <c r="I228" s="94">
        <v>221</v>
      </c>
    </row>
    <row r="229" spans="9:9" x14ac:dyDescent="0.25">
      <c r="I229" s="94">
        <v>222</v>
      </c>
    </row>
    <row r="230" spans="9:9" x14ac:dyDescent="0.25">
      <c r="I230" s="94">
        <v>223</v>
      </c>
    </row>
    <row r="231" spans="9:9" x14ac:dyDescent="0.25">
      <c r="I231" s="94">
        <v>224</v>
      </c>
    </row>
    <row r="232" spans="9:9" x14ac:dyDescent="0.25">
      <c r="I232" s="94">
        <v>225</v>
      </c>
    </row>
    <row r="233" spans="9:9" x14ac:dyDescent="0.25">
      <c r="I233" s="94">
        <v>226</v>
      </c>
    </row>
    <row r="234" spans="9:9" x14ac:dyDescent="0.25">
      <c r="I234" s="94">
        <v>227</v>
      </c>
    </row>
    <row r="235" spans="9:9" x14ac:dyDescent="0.25">
      <c r="I235" s="94">
        <v>228</v>
      </c>
    </row>
    <row r="236" spans="9:9" x14ac:dyDescent="0.25">
      <c r="I236" s="94">
        <v>229</v>
      </c>
    </row>
    <row r="237" spans="9:9" x14ac:dyDescent="0.25">
      <c r="I237" s="94">
        <v>230</v>
      </c>
    </row>
    <row r="238" spans="9:9" x14ac:dyDescent="0.25">
      <c r="I238" s="94">
        <v>231</v>
      </c>
    </row>
    <row r="239" spans="9:9" x14ac:dyDescent="0.25">
      <c r="I239" s="94">
        <v>232</v>
      </c>
    </row>
    <row r="240" spans="9:9" x14ac:dyDescent="0.25">
      <c r="I240" s="94">
        <v>233</v>
      </c>
    </row>
    <row r="241" spans="9:9" x14ac:dyDescent="0.25">
      <c r="I241" s="94">
        <v>234</v>
      </c>
    </row>
    <row r="242" spans="9:9" x14ac:dyDescent="0.25">
      <c r="I242" s="94">
        <v>235</v>
      </c>
    </row>
    <row r="243" spans="9:9" x14ac:dyDescent="0.25">
      <c r="I243" s="94">
        <v>236</v>
      </c>
    </row>
    <row r="244" spans="9:9" x14ac:dyDescent="0.25">
      <c r="I244" s="94">
        <v>237</v>
      </c>
    </row>
    <row r="245" spans="9:9" x14ac:dyDescent="0.25">
      <c r="I245" s="94">
        <v>238</v>
      </c>
    </row>
    <row r="246" spans="9:9" x14ac:dyDescent="0.25">
      <c r="I246" s="94">
        <v>239</v>
      </c>
    </row>
    <row r="247" spans="9:9" x14ac:dyDescent="0.25">
      <c r="I247" s="94">
        <v>240</v>
      </c>
    </row>
    <row r="248" spans="9:9" x14ac:dyDescent="0.25">
      <c r="I248" s="94">
        <v>241</v>
      </c>
    </row>
    <row r="249" spans="9:9" x14ac:dyDescent="0.25">
      <c r="I249" s="94">
        <v>242</v>
      </c>
    </row>
    <row r="250" spans="9:9" x14ac:dyDescent="0.25">
      <c r="I250" s="94">
        <v>243</v>
      </c>
    </row>
    <row r="251" spans="9:9" x14ac:dyDescent="0.25">
      <c r="I251" s="94">
        <v>244</v>
      </c>
    </row>
    <row r="252" spans="9:9" x14ac:dyDescent="0.25">
      <c r="I252" s="94">
        <v>245</v>
      </c>
    </row>
    <row r="253" spans="9:9" x14ac:dyDescent="0.25">
      <c r="I253" s="94">
        <v>246</v>
      </c>
    </row>
    <row r="254" spans="9:9" x14ac:dyDescent="0.25">
      <c r="I254" s="94">
        <v>247</v>
      </c>
    </row>
    <row r="255" spans="9:9" x14ac:dyDescent="0.25">
      <c r="I255" s="94">
        <v>248</v>
      </c>
    </row>
    <row r="256" spans="9:9" x14ac:dyDescent="0.25">
      <c r="I256" s="94">
        <v>249</v>
      </c>
    </row>
    <row r="257" spans="9:9" x14ac:dyDescent="0.25">
      <c r="I257" s="94">
        <v>250</v>
      </c>
    </row>
    <row r="258" spans="9:9" x14ac:dyDescent="0.25">
      <c r="I258" s="94">
        <v>251</v>
      </c>
    </row>
    <row r="259" spans="9:9" x14ac:dyDescent="0.25">
      <c r="I259" s="94">
        <v>252</v>
      </c>
    </row>
    <row r="260" spans="9:9" x14ac:dyDescent="0.25">
      <c r="I260" s="94">
        <v>253</v>
      </c>
    </row>
    <row r="261" spans="9:9" x14ac:dyDescent="0.25">
      <c r="I261" s="94">
        <v>254</v>
      </c>
    </row>
    <row r="262" spans="9:9" x14ac:dyDescent="0.25">
      <c r="I262" s="94">
        <v>255</v>
      </c>
    </row>
    <row r="263" spans="9:9" x14ac:dyDescent="0.25">
      <c r="I263" s="94">
        <v>256</v>
      </c>
    </row>
    <row r="264" spans="9:9" x14ac:dyDescent="0.25">
      <c r="I264" s="94">
        <v>257</v>
      </c>
    </row>
    <row r="265" spans="9:9" x14ac:dyDescent="0.25">
      <c r="I265" s="94">
        <v>258</v>
      </c>
    </row>
    <row r="266" spans="9:9" x14ac:dyDescent="0.25">
      <c r="I266" s="94">
        <v>259</v>
      </c>
    </row>
    <row r="267" spans="9:9" x14ac:dyDescent="0.25">
      <c r="I267" s="94">
        <v>260</v>
      </c>
    </row>
    <row r="268" spans="9:9" x14ac:dyDescent="0.25">
      <c r="I268" s="94">
        <v>261</v>
      </c>
    </row>
    <row r="269" spans="9:9" x14ac:dyDescent="0.25">
      <c r="I269" s="94">
        <v>262</v>
      </c>
    </row>
    <row r="270" spans="9:9" x14ac:dyDescent="0.25">
      <c r="I270" s="94">
        <v>263</v>
      </c>
    </row>
    <row r="271" spans="9:9" x14ac:dyDescent="0.25">
      <c r="I271" s="94">
        <v>264</v>
      </c>
    </row>
    <row r="272" spans="9:9" x14ac:dyDescent="0.25">
      <c r="I272" s="94">
        <v>265</v>
      </c>
    </row>
    <row r="273" spans="9:9" x14ac:dyDescent="0.25">
      <c r="I273" s="94">
        <v>266</v>
      </c>
    </row>
    <row r="274" spans="9:9" x14ac:dyDescent="0.25">
      <c r="I274" s="94">
        <v>267</v>
      </c>
    </row>
    <row r="275" spans="9:9" x14ac:dyDescent="0.25">
      <c r="I275" s="94">
        <v>268</v>
      </c>
    </row>
    <row r="276" spans="9:9" x14ac:dyDescent="0.25">
      <c r="I276" s="94">
        <v>269</v>
      </c>
    </row>
    <row r="277" spans="9:9" x14ac:dyDescent="0.25">
      <c r="I277" s="94">
        <v>270</v>
      </c>
    </row>
    <row r="278" spans="9:9" x14ac:dyDescent="0.25">
      <c r="I278" s="94">
        <v>271</v>
      </c>
    </row>
    <row r="279" spans="9:9" x14ac:dyDescent="0.25">
      <c r="I279" s="94">
        <v>272</v>
      </c>
    </row>
    <row r="280" spans="9:9" x14ac:dyDescent="0.25">
      <c r="I280" s="94">
        <v>273</v>
      </c>
    </row>
    <row r="281" spans="9:9" x14ac:dyDescent="0.25">
      <c r="I281" s="94">
        <v>274</v>
      </c>
    </row>
    <row r="282" spans="9:9" x14ac:dyDescent="0.25">
      <c r="I282" s="94">
        <v>275</v>
      </c>
    </row>
    <row r="283" spans="9:9" x14ac:dyDescent="0.25">
      <c r="I283" s="94">
        <v>276</v>
      </c>
    </row>
    <row r="284" spans="9:9" x14ac:dyDescent="0.25">
      <c r="I284" s="94">
        <v>277</v>
      </c>
    </row>
    <row r="285" spans="9:9" x14ac:dyDescent="0.25">
      <c r="I285" s="94">
        <v>278</v>
      </c>
    </row>
    <row r="286" spans="9:9" x14ac:dyDescent="0.25">
      <c r="I286" s="94">
        <v>279</v>
      </c>
    </row>
    <row r="287" spans="9:9" x14ac:dyDescent="0.25">
      <c r="I287" s="94">
        <v>280</v>
      </c>
    </row>
    <row r="288" spans="9:9" x14ac:dyDescent="0.25">
      <c r="I288" s="94">
        <v>281</v>
      </c>
    </row>
    <row r="289" spans="9:9" x14ac:dyDescent="0.25">
      <c r="I289" s="94">
        <v>282</v>
      </c>
    </row>
    <row r="290" spans="9:9" x14ac:dyDescent="0.25">
      <c r="I290" s="94">
        <v>283</v>
      </c>
    </row>
    <row r="291" spans="9:9" x14ac:dyDescent="0.25">
      <c r="I291" s="94">
        <v>284</v>
      </c>
    </row>
    <row r="292" spans="9:9" x14ac:dyDescent="0.25">
      <c r="I292" s="94">
        <v>285</v>
      </c>
    </row>
    <row r="293" spans="9:9" x14ac:dyDescent="0.25">
      <c r="I293" s="94">
        <v>286</v>
      </c>
    </row>
    <row r="294" spans="9:9" x14ac:dyDescent="0.25">
      <c r="I294" s="94">
        <v>287</v>
      </c>
    </row>
    <row r="295" spans="9:9" x14ac:dyDescent="0.25">
      <c r="I295" s="94">
        <v>288</v>
      </c>
    </row>
    <row r="296" spans="9:9" x14ac:dyDescent="0.25">
      <c r="I296" s="94">
        <v>289</v>
      </c>
    </row>
    <row r="297" spans="9:9" x14ac:dyDescent="0.25">
      <c r="I297" s="94">
        <v>290</v>
      </c>
    </row>
    <row r="298" spans="9:9" x14ac:dyDescent="0.25">
      <c r="I298" s="94">
        <v>291</v>
      </c>
    </row>
    <row r="299" spans="9:9" x14ac:dyDescent="0.25">
      <c r="I299" s="94">
        <v>292</v>
      </c>
    </row>
    <row r="300" spans="9:9" x14ac:dyDescent="0.25">
      <c r="I300" s="94">
        <v>293</v>
      </c>
    </row>
    <row r="301" spans="9:9" x14ac:dyDescent="0.25">
      <c r="I301" s="94">
        <v>294</v>
      </c>
    </row>
    <row r="302" spans="9:9" x14ac:dyDescent="0.25">
      <c r="I302" s="94">
        <v>295</v>
      </c>
    </row>
    <row r="303" spans="9:9" x14ac:dyDescent="0.25">
      <c r="I303" s="94">
        <v>296</v>
      </c>
    </row>
    <row r="304" spans="9:9" x14ac:dyDescent="0.25">
      <c r="I304" s="94">
        <v>297</v>
      </c>
    </row>
    <row r="305" spans="9:9" x14ac:dyDescent="0.25">
      <c r="I305" s="94">
        <v>298</v>
      </c>
    </row>
    <row r="306" spans="9:9" x14ac:dyDescent="0.25">
      <c r="I306" s="94">
        <v>299</v>
      </c>
    </row>
    <row r="307" spans="9:9" x14ac:dyDescent="0.25">
      <c r="I307" s="94">
        <v>300</v>
      </c>
    </row>
    <row r="308" spans="9:9" x14ac:dyDescent="0.25">
      <c r="I308" s="94">
        <v>301</v>
      </c>
    </row>
    <row r="309" spans="9:9" x14ac:dyDescent="0.25">
      <c r="I309" s="94">
        <v>302</v>
      </c>
    </row>
    <row r="310" spans="9:9" x14ac:dyDescent="0.25">
      <c r="I310" s="94">
        <v>303</v>
      </c>
    </row>
    <row r="311" spans="9:9" x14ac:dyDescent="0.25">
      <c r="I311" s="94">
        <v>304</v>
      </c>
    </row>
    <row r="312" spans="9:9" x14ac:dyDescent="0.25">
      <c r="I312" s="94">
        <v>305</v>
      </c>
    </row>
    <row r="313" spans="9:9" x14ac:dyDescent="0.25">
      <c r="I313" s="94">
        <v>306</v>
      </c>
    </row>
    <row r="314" spans="9:9" x14ac:dyDescent="0.25">
      <c r="I314" s="94">
        <v>307</v>
      </c>
    </row>
    <row r="315" spans="9:9" x14ac:dyDescent="0.25">
      <c r="I315" s="94">
        <v>308</v>
      </c>
    </row>
    <row r="316" spans="9:9" x14ac:dyDescent="0.25">
      <c r="I316" s="94">
        <v>309</v>
      </c>
    </row>
    <row r="317" spans="9:9" x14ac:dyDescent="0.25">
      <c r="I317" s="94">
        <v>310</v>
      </c>
    </row>
    <row r="318" spans="9:9" x14ac:dyDescent="0.25">
      <c r="I318" s="94">
        <v>311</v>
      </c>
    </row>
    <row r="319" spans="9:9" x14ac:dyDescent="0.25">
      <c r="I319" s="94">
        <v>312</v>
      </c>
    </row>
    <row r="320" spans="9:9" x14ac:dyDescent="0.25">
      <c r="I320" s="94">
        <v>313</v>
      </c>
    </row>
    <row r="321" spans="9:9" x14ac:dyDescent="0.25">
      <c r="I321" s="94">
        <v>314</v>
      </c>
    </row>
    <row r="322" spans="9:9" x14ac:dyDescent="0.25">
      <c r="I322" s="94">
        <v>315</v>
      </c>
    </row>
    <row r="323" spans="9:9" x14ac:dyDescent="0.25">
      <c r="I323" s="94">
        <v>316</v>
      </c>
    </row>
    <row r="324" spans="9:9" x14ac:dyDescent="0.25">
      <c r="I324" s="94">
        <v>317</v>
      </c>
    </row>
    <row r="325" spans="9:9" x14ac:dyDescent="0.25">
      <c r="I325" s="94">
        <v>318</v>
      </c>
    </row>
    <row r="326" spans="9:9" x14ac:dyDescent="0.25">
      <c r="I326" s="94">
        <v>319</v>
      </c>
    </row>
    <row r="327" spans="9:9" x14ac:dyDescent="0.25">
      <c r="I327" s="94">
        <v>320</v>
      </c>
    </row>
    <row r="328" spans="9:9" x14ac:dyDescent="0.25">
      <c r="I328" s="94">
        <v>321</v>
      </c>
    </row>
    <row r="329" spans="9:9" x14ac:dyDescent="0.25">
      <c r="I329" s="94">
        <v>322</v>
      </c>
    </row>
    <row r="330" spans="9:9" x14ac:dyDescent="0.25">
      <c r="I330" s="94">
        <v>323</v>
      </c>
    </row>
    <row r="331" spans="9:9" x14ac:dyDescent="0.25">
      <c r="I331" s="94">
        <v>324</v>
      </c>
    </row>
    <row r="332" spans="9:9" x14ac:dyDescent="0.25">
      <c r="I332" s="94">
        <v>325</v>
      </c>
    </row>
    <row r="333" spans="9:9" x14ac:dyDescent="0.25">
      <c r="I333" s="94">
        <v>326</v>
      </c>
    </row>
    <row r="334" spans="9:9" x14ac:dyDescent="0.25">
      <c r="I334" s="94">
        <v>327</v>
      </c>
    </row>
    <row r="335" spans="9:9" x14ac:dyDescent="0.25">
      <c r="I335" s="94">
        <v>328</v>
      </c>
    </row>
    <row r="336" spans="9:9" x14ac:dyDescent="0.25">
      <c r="I336" s="94">
        <v>329</v>
      </c>
    </row>
    <row r="337" spans="9:9" x14ac:dyDescent="0.25">
      <c r="I337" s="94">
        <v>330</v>
      </c>
    </row>
    <row r="338" spans="9:9" x14ac:dyDescent="0.25">
      <c r="I338" s="94">
        <v>331</v>
      </c>
    </row>
    <row r="339" spans="9:9" x14ac:dyDescent="0.25">
      <c r="I339" s="94">
        <v>332</v>
      </c>
    </row>
    <row r="340" spans="9:9" x14ac:dyDescent="0.25">
      <c r="I340" s="94">
        <v>333</v>
      </c>
    </row>
    <row r="341" spans="9:9" x14ac:dyDescent="0.25">
      <c r="I341" s="94">
        <v>334</v>
      </c>
    </row>
    <row r="342" spans="9:9" x14ac:dyDescent="0.25">
      <c r="I342" s="94">
        <v>335</v>
      </c>
    </row>
    <row r="343" spans="9:9" x14ac:dyDescent="0.25">
      <c r="I343" s="94">
        <v>336</v>
      </c>
    </row>
    <row r="344" spans="9:9" x14ac:dyDescent="0.25">
      <c r="I344" s="94">
        <v>337</v>
      </c>
    </row>
    <row r="345" spans="9:9" x14ac:dyDescent="0.25">
      <c r="I345" s="94">
        <v>338</v>
      </c>
    </row>
    <row r="346" spans="9:9" x14ac:dyDescent="0.25">
      <c r="I346" s="94">
        <v>339</v>
      </c>
    </row>
    <row r="347" spans="9:9" x14ac:dyDescent="0.25">
      <c r="I347" s="94">
        <v>340</v>
      </c>
    </row>
    <row r="348" spans="9:9" x14ac:dyDescent="0.25">
      <c r="I348" s="94">
        <v>341</v>
      </c>
    </row>
    <row r="349" spans="9:9" x14ac:dyDescent="0.25">
      <c r="I349" s="94">
        <v>342</v>
      </c>
    </row>
    <row r="350" spans="9:9" x14ac:dyDescent="0.25">
      <c r="I350" s="94">
        <v>343</v>
      </c>
    </row>
    <row r="351" spans="9:9" x14ac:dyDescent="0.25">
      <c r="I351" s="94">
        <v>344</v>
      </c>
    </row>
    <row r="352" spans="9:9" x14ac:dyDescent="0.25">
      <c r="I352" s="94">
        <v>345</v>
      </c>
    </row>
    <row r="353" spans="9:9" x14ac:dyDescent="0.25">
      <c r="I353" s="94">
        <v>346</v>
      </c>
    </row>
    <row r="354" spans="9:9" x14ac:dyDescent="0.25">
      <c r="I354" s="94">
        <v>347</v>
      </c>
    </row>
    <row r="355" spans="9:9" x14ac:dyDescent="0.25">
      <c r="I355" s="94">
        <v>348</v>
      </c>
    </row>
    <row r="356" spans="9:9" x14ac:dyDescent="0.25">
      <c r="I356" s="94">
        <v>349</v>
      </c>
    </row>
    <row r="357" spans="9:9" x14ac:dyDescent="0.25">
      <c r="I357" s="94">
        <v>350</v>
      </c>
    </row>
    <row r="358" spans="9:9" x14ac:dyDescent="0.25">
      <c r="I358" s="94">
        <v>351</v>
      </c>
    </row>
    <row r="359" spans="9:9" x14ac:dyDescent="0.25">
      <c r="I359" s="94">
        <v>352</v>
      </c>
    </row>
    <row r="360" spans="9:9" x14ac:dyDescent="0.25">
      <c r="I360" s="94">
        <v>353</v>
      </c>
    </row>
    <row r="361" spans="9:9" x14ac:dyDescent="0.25">
      <c r="I361" s="94">
        <v>354</v>
      </c>
    </row>
    <row r="362" spans="9:9" x14ac:dyDescent="0.25">
      <c r="I362" s="94">
        <v>355</v>
      </c>
    </row>
    <row r="363" spans="9:9" x14ac:dyDescent="0.25">
      <c r="I363" s="94">
        <v>356</v>
      </c>
    </row>
    <row r="364" spans="9:9" x14ac:dyDescent="0.25">
      <c r="I364" s="94">
        <v>357</v>
      </c>
    </row>
    <row r="365" spans="9:9" x14ac:dyDescent="0.25">
      <c r="I365" s="94">
        <v>358</v>
      </c>
    </row>
    <row r="366" spans="9:9" x14ac:dyDescent="0.25">
      <c r="I366" s="94">
        <v>359</v>
      </c>
    </row>
    <row r="367" spans="9:9" x14ac:dyDescent="0.25">
      <c r="I367" s="94">
        <v>360</v>
      </c>
    </row>
    <row r="368" spans="9:9" x14ac:dyDescent="0.25">
      <c r="I368" s="94">
        <v>361</v>
      </c>
    </row>
    <row r="369" spans="9:9" x14ac:dyDescent="0.25">
      <c r="I369" s="94">
        <v>362</v>
      </c>
    </row>
    <row r="370" spans="9:9" x14ac:dyDescent="0.25">
      <c r="I370" s="94">
        <v>363</v>
      </c>
    </row>
    <row r="371" spans="9:9" x14ac:dyDescent="0.25">
      <c r="I371" s="94">
        <v>364</v>
      </c>
    </row>
    <row r="372" spans="9:9" x14ac:dyDescent="0.25">
      <c r="I372" s="94">
        <v>365</v>
      </c>
    </row>
    <row r="373" spans="9:9" x14ac:dyDescent="0.25">
      <c r="I373" s="94">
        <v>366</v>
      </c>
    </row>
    <row r="374" spans="9:9" x14ac:dyDescent="0.25">
      <c r="I374" s="94">
        <v>367</v>
      </c>
    </row>
    <row r="375" spans="9:9" x14ac:dyDescent="0.25">
      <c r="I375" s="94">
        <v>368</v>
      </c>
    </row>
    <row r="376" spans="9:9" x14ac:dyDescent="0.25">
      <c r="I376" s="94">
        <v>369</v>
      </c>
    </row>
    <row r="377" spans="9:9" x14ac:dyDescent="0.25">
      <c r="I377" s="94">
        <v>370</v>
      </c>
    </row>
    <row r="378" spans="9:9" x14ac:dyDescent="0.25">
      <c r="I378" s="94">
        <v>371</v>
      </c>
    </row>
    <row r="379" spans="9:9" x14ac:dyDescent="0.25">
      <c r="I379" s="94">
        <v>372</v>
      </c>
    </row>
    <row r="380" spans="9:9" x14ac:dyDescent="0.25">
      <c r="I380" s="94">
        <v>373</v>
      </c>
    </row>
    <row r="381" spans="9:9" x14ac:dyDescent="0.25">
      <c r="I381" s="94">
        <v>374</v>
      </c>
    </row>
    <row r="382" spans="9:9" x14ac:dyDescent="0.25">
      <c r="I382" s="94">
        <v>375</v>
      </c>
    </row>
    <row r="383" spans="9:9" x14ac:dyDescent="0.25">
      <c r="I383" s="94">
        <v>376</v>
      </c>
    </row>
    <row r="384" spans="9:9" x14ac:dyDescent="0.25">
      <c r="I384" s="94">
        <v>377</v>
      </c>
    </row>
    <row r="385" spans="9:9" x14ac:dyDescent="0.25">
      <c r="I385" s="94">
        <v>378</v>
      </c>
    </row>
    <row r="386" spans="9:9" x14ac:dyDescent="0.25">
      <c r="I386" s="94">
        <v>379</v>
      </c>
    </row>
    <row r="387" spans="9:9" x14ac:dyDescent="0.25">
      <c r="I387" s="94">
        <v>380</v>
      </c>
    </row>
    <row r="388" spans="9:9" x14ac:dyDescent="0.25">
      <c r="I388" s="94">
        <v>381</v>
      </c>
    </row>
    <row r="389" spans="9:9" x14ac:dyDescent="0.25">
      <c r="I389" s="94">
        <v>382</v>
      </c>
    </row>
    <row r="390" spans="9:9" x14ac:dyDescent="0.25">
      <c r="I390" s="94">
        <v>383</v>
      </c>
    </row>
    <row r="391" spans="9:9" x14ac:dyDescent="0.25">
      <c r="I391" s="94">
        <v>384</v>
      </c>
    </row>
    <row r="392" spans="9:9" x14ac:dyDescent="0.25">
      <c r="I392" s="94">
        <v>385</v>
      </c>
    </row>
    <row r="393" spans="9:9" x14ac:dyDescent="0.25">
      <c r="I393" s="94">
        <v>386</v>
      </c>
    </row>
    <row r="394" spans="9:9" x14ac:dyDescent="0.25">
      <c r="I394" s="94">
        <v>387</v>
      </c>
    </row>
    <row r="395" spans="9:9" x14ac:dyDescent="0.25">
      <c r="I395" s="94">
        <v>388</v>
      </c>
    </row>
    <row r="396" spans="9:9" x14ac:dyDescent="0.25">
      <c r="I396" s="94">
        <v>389</v>
      </c>
    </row>
    <row r="397" spans="9:9" x14ac:dyDescent="0.25">
      <c r="I397" s="94">
        <v>390</v>
      </c>
    </row>
    <row r="398" spans="9:9" x14ac:dyDescent="0.25">
      <c r="I398" s="94">
        <v>391</v>
      </c>
    </row>
    <row r="399" spans="9:9" x14ac:dyDescent="0.25">
      <c r="I399" s="94">
        <v>392</v>
      </c>
    </row>
    <row r="400" spans="9:9" x14ac:dyDescent="0.25">
      <c r="I400" s="94">
        <v>393</v>
      </c>
    </row>
    <row r="401" spans="9:9" x14ac:dyDescent="0.25">
      <c r="I401" s="94">
        <v>394</v>
      </c>
    </row>
    <row r="402" spans="9:9" x14ac:dyDescent="0.25">
      <c r="I402" s="94">
        <v>395</v>
      </c>
    </row>
    <row r="403" spans="9:9" x14ac:dyDescent="0.25">
      <c r="I403" s="94">
        <v>396</v>
      </c>
    </row>
    <row r="404" spans="9:9" x14ac:dyDescent="0.25">
      <c r="I404" s="94">
        <v>397</v>
      </c>
    </row>
    <row r="405" spans="9:9" x14ac:dyDescent="0.25">
      <c r="I405" s="94">
        <v>398</v>
      </c>
    </row>
    <row r="406" spans="9:9" x14ac:dyDescent="0.25">
      <c r="I406" s="94">
        <v>399</v>
      </c>
    </row>
    <row r="407" spans="9:9" x14ac:dyDescent="0.25">
      <c r="I407" s="94">
        <v>400</v>
      </c>
    </row>
    <row r="408" spans="9:9" x14ac:dyDescent="0.25">
      <c r="I408" s="94">
        <v>401</v>
      </c>
    </row>
    <row r="409" spans="9:9" x14ac:dyDescent="0.25">
      <c r="I409" s="94">
        <v>402</v>
      </c>
    </row>
    <row r="410" spans="9:9" x14ac:dyDescent="0.25">
      <c r="I410" s="94">
        <v>403</v>
      </c>
    </row>
    <row r="411" spans="9:9" x14ac:dyDescent="0.25">
      <c r="I411" s="94">
        <v>404</v>
      </c>
    </row>
    <row r="412" spans="9:9" x14ac:dyDescent="0.25">
      <c r="I412" s="94">
        <v>405</v>
      </c>
    </row>
    <row r="413" spans="9:9" x14ac:dyDescent="0.25">
      <c r="I413" s="94">
        <v>406</v>
      </c>
    </row>
    <row r="414" spans="9:9" x14ac:dyDescent="0.25">
      <c r="I414" s="94">
        <v>407</v>
      </c>
    </row>
    <row r="415" spans="9:9" x14ac:dyDescent="0.25">
      <c r="I415" s="94">
        <v>408</v>
      </c>
    </row>
    <row r="416" spans="9:9" x14ac:dyDescent="0.25">
      <c r="I416" s="94">
        <v>409</v>
      </c>
    </row>
    <row r="417" spans="9:9" x14ac:dyDescent="0.25">
      <c r="I417" s="94">
        <v>410</v>
      </c>
    </row>
    <row r="418" spans="9:9" x14ac:dyDescent="0.25">
      <c r="I418" s="94">
        <v>411</v>
      </c>
    </row>
    <row r="419" spans="9:9" x14ac:dyDescent="0.25">
      <c r="I419" s="94">
        <v>412</v>
      </c>
    </row>
    <row r="420" spans="9:9" x14ac:dyDescent="0.25">
      <c r="I420" s="94">
        <v>413</v>
      </c>
    </row>
    <row r="421" spans="9:9" x14ac:dyDescent="0.25">
      <c r="I421" s="94">
        <v>414</v>
      </c>
    </row>
    <row r="422" spans="9:9" x14ac:dyDescent="0.25">
      <c r="I422" s="94">
        <v>415</v>
      </c>
    </row>
    <row r="423" spans="9:9" x14ac:dyDescent="0.25">
      <c r="I423" s="94">
        <v>416</v>
      </c>
    </row>
    <row r="424" spans="9:9" x14ac:dyDescent="0.25">
      <c r="I424" s="94">
        <v>417</v>
      </c>
    </row>
    <row r="425" spans="9:9" x14ac:dyDescent="0.25">
      <c r="I425" s="94">
        <v>418</v>
      </c>
    </row>
    <row r="426" spans="9:9" x14ac:dyDescent="0.25">
      <c r="I426" s="94">
        <v>419</v>
      </c>
    </row>
    <row r="427" spans="9:9" x14ac:dyDescent="0.25">
      <c r="I427" s="94">
        <v>420</v>
      </c>
    </row>
    <row r="428" spans="9:9" x14ac:dyDescent="0.25">
      <c r="I428" s="94">
        <v>421</v>
      </c>
    </row>
    <row r="429" spans="9:9" x14ac:dyDescent="0.25">
      <c r="I429" s="94">
        <v>422</v>
      </c>
    </row>
    <row r="430" spans="9:9" x14ac:dyDescent="0.25">
      <c r="I430" s="94">
        <v>423</v>
      </c>
    </row>
    <row r="431" spans="9:9" x14ac:dyDescent="0.25">
      <c r="I431" s="94">
        <v>424</v>
      </c>
    </row>
    <row r="432" spans="9:9" x14ac:dyDescent="0.25">
      <c r="I432" s="94">
        <v>425</v>
      </c>
    </row>
    <row r="433" spans="9:9" x14ac:dyDescent="0.25">
      <c r="I433" s="94">
        <v>426</v>
      </c>
    </row>
    <row r="434" spans="9:9" x14ac:dyDescent="0.25">
      <c r="I434" s="94">
        <v>427</v>
      </c>
    </row>
    <row r="435" spans="9:9" x14ac:dyDescent="0.25">
      <c r="I435" s="94">
        <v>428</v>
      </c>
    </row>
    <row r="436" spans="9:9" x14ac:dyDescent="0.25">
      <c r="I436" s="94">
        <v>429</v>
      </c>
    </row>
    <row r="437" spans="9:9" x14ac:dyDescent="0.25">
      <c r="I437" s="94">
        <v>430</v>
      </c>
    </row>
    <row r="438" spans="9:9" x14ac:dyDescent="0.25">
      <c r="I438" s="94">
        <v>431</v>
      </c>
    </row>
    <row r="439" spans="9:9" x14ac:dyDescent="0.25">
      <c r="I439" s="94">
        <v>432</v>
      </c>
    </row>
    <row r="440" spans="9:9" x14ac:dyDescent="0.25">
      <c r="I440" s="94">
        <v>433</v>
      </c>
    </row>
    <row r="441" spans="9:9" x14ac:dyDescent="0.25">
      <c r="I441" s="94">
        <v>434</v>
      </c>
    </row>
    <row r="442" spans="9:9" x14ac:dyDescent="0.25">
      <c r="I442" s="94">
        <v>435</v>
      </c>
    </row>
    <row r="443" spans="9:9" x14ac:dyDescent="0.25">
      <c r="I443" s="94">
        <v>436</v>
      </c>
    </row>
    <row r="444" spans="9:9" x14ac:dyDescent="0.25">
      <c r="I444" s="94">
        <v>437</v>
      </c>
    </row>
    <row r="445" spans="9:9" x14ac:dyDescent="0.25">
      <c r="I445" s="94">
        <v>438</v>
      </c>
    </row>
    <row r="446" spans="9:9" x14ac:dyDescent="0.25">
      <c r="I446" s="94">
        <v>439</v>
      </c>
    </row>
    <row r="447" spans="9:9" x14ac:dyDescent="0.25">
      <c r="I447" s="94">
        <v>440</v>
      </c>
    </row>
    <row r="448" spans="9:9" x14ac:dyDescent="0.25">
      <c r="I448" s="94">
        <v>441</v>
      </c>
    </row>
    <row r="449" spans="9:9" x14ac:dyDescent="0.25">
      <c r="I449" s="94">
        <v>442</v>
      </c>
    </row>
    <row r="450" spans="9:9" x14ac:dyDescent="0.25">
      <c r="I450" s="94">
        <v>443</v>
      </c>
    </row>
    <row r="451" spans="9:9" x14ac:dyDescent="0.25">
      <c r="I451" s="94">
        <v>444</v>
      </c>
    </row>
    <row r="452" spans="9:9" x14ac:dyDescent="0.25">
      <c r="I452" s="94">
        <v>445</v>
      </c>
    </row>
    <row r="453" spans="9:9" x14ac:dyDescent="0.25">
      <c r="I453" s="94">
        <v>446</v>
      </c>
    </row>
    <row r="454" spans="9:9" x14ac:dyDescent="0.25">
      <c r="I454" s="94">
        <v>447</v>
      </c>
    </row>
    <row r="455" spans="9:9" x14ac:dyDescent="0.25">
      <c r="I455" s="94">
        <v>448</v>
      </c>
    </row>
    <row r="456" spans="9:9" x14ac:dyDescent="0.25">
      <c r="I456" s="94">
        <v>449</v>
      </c>
    </row>
    <row r="457" spans="9:9" x14ac:dyDescent="0.25">
      <c r="I457" s="94">
        <v>450</v>
      </c>
    </row>
    <row r="458" spans="9:9" x14ac:dyDescent="0.25">
      <c r="I458" s="94">
        <v>451</v>
      </c>
    </row>
    <row r="459" spans="9:9" x14ac:dyDescent="0.25">
      <c r="I459" s="94">
        <v>452</v>
      </c>
    </row>
    <row r="460" spans="9:9" x14ac:dyDescent="0.25">
      <c r="I460" s="94">
        <v>453</v>
      </c>
    </row>
    <row r="461" spans="9:9" x14ac:dyDescent="0.25">
      <c r="I461" s="94">
        <v>454</v>
      </c>
    </row>
    <row r="462" spans="9:9" x14ac:dyDescent="0.25">
      <c r="I462" s="94">
        <v>455</v>
      </c>
    </row>
    <row r="463" spans="9:9" x14ac:dyDescent="0.25">
      <c r="I463" s="94">
        <v>456</v>
      </c>
    </row>
    <row r="464" spans="9:9" x14ac:dyDescent="0.25">
      <c r="I464" s="94">
        <v>457</v>
      </c>
    </row>
    <row r="465" spans="9:9" x14ac:dyDescent="0.25">
      <c r="I465" s="94">
        <v>458</v>
      </c>
    </row>
    <row r="466" spans="9:9" x14ac:dyDescent="0.25">
      <c r="I466" s="94">
        <v>459</v>
      </c>
    </row>
    <row r="467" spans="9:9" x14ac:dyDescent="0.25">
      <c r="I467" s="94">
        <v>460</v>
      </c>
    </row>
    <row r="468" spans="9:9" x14ac:dyDescent="0.25">
      <c r="I468" s="94">
        <v>461</v>
      </c>
    </row>
    <row r="469" spans="9:9" x14ac:dyDescent="0.25">
      <c r="I469" s="94">
        <v>462</v>
      </c>
    </row>
    <row r="470" spans="9:9" x14ac:dyDescent="0.25">
      <c r="I470" s="94">
        <v>463</v>
      </c>
    </row>
    <row r="471" spans="9:9" x14ac:dyDescent="0.25">
      <c r="I471" s="94">
        <v>464</v>
      </c>
    </row>
    <row r="472" spans="9:9" x14ac:dyDescent="0.25">
      <c r="I472" s="94">
        <v>465</v>
      </c>
    </row>
    <row r="473" spans="9:9" x14ac:dyDescent="0.25">
      <c r="I473" s="94">
        <v>466</v>
      </c>
    </row>
    <row r="474" spans="9:9" x14ac:dyDescent="0.25">
      <c r="I474" s="94">
        <v>467</v>
      </c>
    </row>
    <row r="475" spans="9:9" x14ac:dyDescent="0.25">
      <c r="I475" s="94">
        <v>468</v>
      </c>
    </row>
    <row r="476" spans="9:9" x14ac:dyDescent="0.25">
      <c r="I476" s="94">
        <v>469</v>
      </c>
    </row>
    <row r="477" spans="9:9" x14ac:dyDescent="0.25">
      <c r="I477" s="94">
        <v>470</v>
      </c>
    </row>
    <row r="478" spans="9:9" x14ac:dyDescent="0.25">
      <c r="I478" s="94">
        <v>471</v>
      </c>
    </row>
    <row r="479" spans="9:9" x14ac:dyDescent="0.25">
      <c r="I479" s="94">
        <v>472</v>
      </c>
    </row>
    <row r="480" spans="9:9" x14ac:dyDescent="0.25">
      <c r="I480" s="94">
        <v>473</v>
      </c>
    </row>
    <row r="481" spans="9:9" x14ac:dyDescent="0.25">
      <c r="I481" s="94">
        <v>474</v>
      </c>
    </row>
    <row r="482" spans="9:9" x14ac:dyDescent="0.25">
      <c r="I482" s="94">
        <v>475</v>
      </c>
    </row>
    <row r="483" spans="9:9" x14ac:dyDescent="0.25">
      <c r="I483" s="94">
        <v>476</v>
      </c>
    </row>
    <row r="484" spans="9:9" x14ac:dyDescent="0.25">
      <c r="I484" s="94">
        <v>477</v>
      </c>
    </row>
    <row r="485" spans="9:9" x14ac:dyDescent="0.25">
      <c r="I485" s="94">
        <v>478</v>
      </c>
    </row>
    <row r="486" spans="9:9" x14ac:dyDescent="0.25">
      <c r="I486" s="94">
        <v>479</v>
      </c>
    </row>
    <row r="487" spans="9:9" x14ac:dyDescent="0.25">
      <c r="I487" s="94">
        <v>480</v>
      </c>
    </row>
    <row r="488" spans="9:9" x14ac:dyDescent="0.25">
      <c r="I488" s="94">
        <v>481</v>
      </c>
    </row>
    <row r="489" spans="9:9" x14ac:dyDescent="0.25">
      <c r="I489" s="94">
        <v>482</v>
      </c>
    </row>
    <row r="490" spans="9:9" x14ac:dyDescent="0.25">
      <c r="I490" s="94">
        <v>483</v>
      </c>
    </row>
    <row r="491" spans="9:9" x14ac:dyDescent="0.25">
      <c r="I491" s="94">
        <v>484</v>
      </c>
    </row>
    <row r="492" spans="9:9" x14ac:dyDescent="0.25">
      <c r="I492" s="94">
        <v>485</v>
      </c>
    </row>
    <row r="493" spans="9:9" x14ac:dyDescent="0.25">
      <c r="I493" s="94">
        <v>486</v>
      </c>
    </row>
    <row r="494" spans="9:9" x14ac:dyDescent="0.25">
      <c r="I494" s="94">
        <v>487</v>
      </c>
    </row>
    <row r="495" spans="9:9" x14ac:dyDescent="0.25">
      <c r="I495" s="94">
        <v>488</v>
      </c>
    </row>
    <row r="496" spans="9:9" x14ac:dyDescent="0.25">
      <c r="I496" s="94">
        <v>489</v>
      </c>
    </row>
    <row r="497" spans="9:9" x14ac:dyDescent="0.25">
      <c r="I497" s="94">
        <v>490</v>
      </c>
    </row>
    <row r="498" spans="9:9" x14ac:dyDescent="0.25">
      <c r="I498" s="94">
        <v>491</v>
      </c>
    </row>
    <row r="499" spans="9:9" x14ac:dyDescent="0.25">
      <c r="I499" s="94">
        <v>492</v>
      </c>
    </row>
    <row r="500" spans="9:9" x14ac:dyDescent="0.25">
      <c r="I500" s="94">
        <v>493</v>
      </c>
    </row>
    <row r="501" spans="9:9" x14ac:dyDescent="0.25">
      <c r="I501" s="94">
        <v>494</v>
      </c>
    </row>
    <row r="502" spans="9:9" x14ac:dyDescent="0.25">
      <c r="I502" s="94">
        <v>495</v>
      </c>
    </row>
    <row r="503" spans="9:9" x14ac:dyDescent="0.25">
      <c r="I503" s="94">
        <v>496</v>
      </c>
    </row>
    <row r="504" spans="9:9" x14ac:dyDescent="0.25">
      <c r="I504" s="94">
        <v>497</v>
      </c>
    </row>
    <row r="505" spans="9:9" x14ac:dyDescent="0.25">
      <c r="I505" s="94">
        <v>498</v>
      </c>
    </row>
    <row r="506" spans="9:9" x14ac:dyDescent="0.25">
      <c r="I506" s="94">
        <v>499</v>
      </c>
    </row>
    <row r="507" spans="9:9" x14ac:dyDescent="0.25">
      <c r="I507" s="94">
        <v>500</v>
      </c>
    </row>
    <row r="508" spans="9:9" x14ac:dyDescent="0.25">
      <c r="I508" s="94">
        <v>501</v>
      </c>
    </row>
    <row r="509" spans="9:9" x14ac:dyDescent="0.25">
      <c r="I509" s="94">
        <v>502</v>
      </c>
    </row>
    <row r="510" spans="9:9" x14ac:dyDescent="0.25">
      <c r="I510" s="94">
        <v>503</v>
      </c>
    </row>
    <row r="511" spans="9:9" x14ac:dyDescent="0.25">
      <c r="I511" s="94">
        <v>504</v>
      </c>
    </row>
    <row r="512" spans="9:9" x14ac:dyDescent="0.25">
      <c r="I512" s="94">
        <v>505</v>
      </c>
    </row>
    <row r="513" spans="9:9" x14ac:dyDescent="0.25">
      <c r="I513" s="94">
        <v>506</v>
      </c>
    </row>
    <row r="514" spans="9:9" x14ac:dyDescent="0.25">
      <c r="I514" s="94">
        <v>507</v>
      </c>
    </row>
    <row r="515" spans="9:9" x14ac:dyDescent="0.25">
      <c r="I515" s="94">
        <v>508</v>
      </c>
    </row>
    <row r="516" spans="9:9" x14ac:dyDescent="0.25">
      <c r="I516" s="94">
        <v>509</v>
      </c>
    </row>
    <row r="517" spans="9:9" x14ac:dyDescent="0.25">
      <c r="I517" s="94">
        <v>510</v>
      </c>
    </row>
    <row r="518" spans="9:9" x14ac:dyDescent="0.25">
      <c r="I518" s="94">
        <v>511</v>
      </c>
    </row>
    <row r="519" spans="9:9" x14ac:dyDescent="0.25">
      <c r="I519" s="94">
        <v>512</v>
      </c>
    </row>
    <row r="520" spans="9:9" x14ac:dyDescent="0.25">
      <c r="I520" s="94">
        <v>513</v>
      </c>
    </row>
    <row r="521" spans="9:9" x14ac:dyDescent="0.25">
      <c r="I521" s="94">
        <v>514</v>
      </c>
    </row>
    <row r="522" spans="9:9" x14ac:dyDescent="0.25">
      <c r="I522" s="94">
        <v>515</v>
      </c>
    </row>
    <row r="523" spans="9:9" x14ac:dyDescent="0.25">
      <c r="I523" s="94">
        <v>516</v>
      </c>
    </row>
    <row r="524" spans="9:9" x14ac:dyDescent="0.25">
      <c r="I524" s="94">
        <v>517</v>
      </c>
    </row>
    <row r="525" spans="9:9" x14ac:dyDescent="0.25">
      <c r="I525" s="94">
        <v>518</v>
      </c>
    </row>
    <row r="526" spans="9:9" x14ac:dyDescent="0.25">
      <c r="I526" s="94">
        <v>519</v>
      </c>
    </row>
    <row r="527" spans="9:9" x14ac:dyDescent="0.25">
      <c r="I527" s="94">
        <v>520</v>
      </c>
    </row>
    <row r="528" spans="9:9" x14ac:dyDescent="0.25">
      <c r="I528" s="94">
        <v>521</v>
      </c>
    </row>
    <row r="529" spans="9:9" x14ac:dyDescent="0.25">
      <c r="I529" s="94">
        <v>522</v>
      </c>
    </row>
    <row r="530" spans="9:9" x14ac:dyDescent="0.25">
      <c r="I530" s="94">
        <v>523</v>
      </c>
    </row>
    <row r="531" spans="9:9" x14ac:dyDescent="0.25">
      <c r="I531" s="94">
        <v>524</v>
      </c>
    </row>
    <row r="532" spans="9:9" x14ac:dyDescent="0.25">
      <c r="I532" s="94">
        <v>525</v>
      </c>
    </row>
    <row r="533" spans="9:9" x14ac:dyDescent="0.25">
      <c r="I533" s="94">
        <v>526</v>
      </c>
    </row>
    <row r="534" spans="9:9" x14ac:dyDescent="0.25">
      <c r="I534" s="94">
        <v>527</v>
      </c>
    </row>
    <row r="535" spans="9:9" x14ac:dyDescent="0.25">
      <c r="I535" s="94">
        <v>528</v>
      </c>
    </row>
    <row r="536" spans="9:9" x14ac:dyDescent="0.25">
      <c r="I536" s="94">
        <v>529</v>
      </c>
    </row>
    <row r="537" spans="9:9" x14ac:dyDescent="0.25">
      <c r="I537" s="94">
        <v>530</v>
      </c>
    </row>
    <row r="538" spans="9:9" x14ac:dyDescent="0.25">
      <c r="I538" s="94">
        <v>531</v>
      </c>
    </row>
    <row r="539" spans="9:9" x14ac:dyDescent="0.25">
      <c r="I539" s="94">
        <v>532</v>
      </c>
    </row>
    <row r="540" spans="9:9" x14ac:dyDescent="0.25">
      <c r="I540" s="94">
        <v>533</v>
      </c>
    </row>
    <row r="541" spans="9:9" x14ac:dyDescent="0.25">
      <c r="I541" s="94">
        <v>534</v>
      </c>
    </row>
    <row r="542" spans="9:9" x14ac:dyDescent="0.25">
      <c r="I542" s="94">
        <v>535</v>
      </c>
    </row>
    <row r="543" spans="9:9" x14ac:dyDescent="0.25">
      <c r="I543" s="94">
        <v>536</v>
      </c>
    </row>
    <row r="544" spans="9:9" x14ac:dyDescent="0.25">
      <c r="I544" s="94">
        <v>537</v>
      </c>
    </row>
    <row r="545" spans="9:9" x14ac:dyDescent="0.25">
      <c r="I545" s="94">
        <v>538</v>
      </c>
    </row>
    <row r="546" spans="9:9" x14ac:dyDescent="0.25">
      <c r="I546" s="94">
        <v>539</v>
      </c>
    </row>
    <row r="547" spans="9:9" x14ac:dyDescent="0.25">
      <c r="I547" s="94">
        <v>540</v>
      </c>
    </row>
    <row r="548" spans="9:9" x14ac:dyDescent="0.25">
      <c r="I548" s="94">
        <v>541</v>
      </c>
    </row>
    <row r="549" spans="9:9" x14ac:dyDescent="0.25">
      <c r="I549" s="94">
        <v>542</v>
      </c>
    </row>
    <row r="550" spans="9:9" x14ac:dyDescent="0.25">
      <c r="I550" s="94">
        <v>543</v>
      </c>
    </row>
    <row r="551" spans="9:9" x14ac:dyDescent="0.25">
      <c r="I551" s="94">
        <v>544</v>
      </c>
    </row>
    <row r="552" spans="9:9" x14ac:dyDescent="0.25">
      <c r="I552" s="94">
        <v>545</v>
      </c>
    </row>
    <row r="553" spans="9:9" x14ac:dyDescent="0.25">
      <c r="I553" s="94">
        <v>546</v>
      </c>
    </row>
    <row r="554" spans="9:9" x14ac:dyDescent="0.25">
      <c r="I554" s="94">
        <v>547</v>
      </c>
    </row>
    <row r="555" spans="9:9" x14ac:dyDescent="0.25">
      <c r="I555" s="94">
        <v>548</v>
      </c>
    </row>
    <row r="556" spans="9:9" x14ac:dyDescent="0.25">
      <c r="I556" s="94">
        <v>549</v>
      </c>
    </row>
    <row r="557" spans="9:9" x14ac:dyDescent="0.25">
      <c r="I557" s="94">
        <v>550</v>
      </c>
    </row>
    <row r="558" spans="9:9" x14ac:dyDescent="0.25">
      <c r="I558" s="94">
        <v>551</v>
      </c>
    </row>
    <row r="559" spans="9:9" x14ac:dyDescent="0.25">
      <c r="I559" s="94">
        <v>552</v>
      </c>
    </row>
    <row r="560" spans="9:9" x14ac:dyDescent="0.25">
      <c r="I560" s="94">
        <v>553</v>
      </c>
    </row>
    <row r="561" spans="9:9" x14ac:dyDescent="0.25">
      <c r="I561" s="94">
        <v>554</v>
      </c>
    </row>
    <row r="562" spans="9:9" x14ac:dyDescent="0.25">
      <c r="I562" s="94">
        <v>555</v>
      </c>
    </row>
    <row r="563" spans="9:9" x14ac:dyDescent="0.25">
      <c r="I563" s="94">
        <v>556</v>
      </c>
    </row>
    <row r="564" spans="9:9" x14ac:dyDescent="0.25">
      <c r="I564" s="94">
        <v>557</v>
      </c>
    </row>
    <row r="565" spans="9:9" x14ac:dyDescent="0.25">
      <c r="I565" s="94">
        <v>558</v>
      </c>
    </row>
    <row r="566" spans="9:9" x14ac:dyDescent="0.25">
      <c r="I566" s="94">
        <v>559</v>
      </c>
    </row>
    <row r="567" spans="9:9" x14ac:dyDescent="0.25">
      <c r="I567" s="94">
        <v>560</v>
      </c>
    </row>
    <row r="568" spans="9:9" x14ac:dyDescent="0.25">
      <c r="I568" s="94">
        <v>561</v>
      </c>
    </row>
    <row r="569" spans="9:9" x14ac:dyDescent="0.25">
      <c r="I569" s="94">
        <v>562</v>
      </c>
    </row>
    <row r="570" spans="9:9" x14ac:dyDescent="0.25">
      <c r="I570" s="94">
        <v>563</v>
      </c>
    </row>
    <row r="571" spans="9:9" x14ac:dyDescent="0.25">
      <c r="I571" s="94">
        <v>564</v>
      </c>
    </row>
    <row r="572" spans="9:9" x14ac:dyDescent="0.25">
      <c r="I572" s="94">
        <v>565</v>
      </c>
    </row>
    <row r="573" spans="9:9" x14ac:dyDescent="0.25">
      <c r="I573" s="94">
        <v>566</v>
      </c>
    </row>
    <row r="574" spans="9:9" x14ac:dyDescent="0.25">
      <c r="I574" s="94">
        <v>567</v>
      </c>
    </row>
    <row r="575" spans="9:9" x14ac:dyDescent="0.25">
      <c r="I575" s="94">
        <v>568</v>
      </c>
    </row>
    <row r="576" spans="9:9" x14ac:dyDescent="0.25">
      <c r="I576" s="94">
        <v>569</v>
      </c>
    </row>
    <row r="577" spans="9:9" x14ac:dyDescent="0.25">
      <c r="I577" s="94">
        <v>570</v>
      </c>
    </row>
    <row r="578" spans="9:9" x14ac:dyDescent="0.25">
      <c r="I578" s="94">
        <v>571</v>
      </c>
    </row>
    <row r="579" spans="9:9" x14ac:dyDescent="0.25">
      <c r="I579" s="94">
        <v>572</v>
      </c>
    </row>
    <row r="580" spans="9:9" x14ac:dyDescent="0.25">
      <c r="I580" s="94">
        <v>573</v>
      </c>
    </row>
    <row r="581" spans="9:9" x14ac:dyDescent="0.25">
      <c r="I581" s="94">
        <v>574</v>
      </c>
    </row>
    <row r="582" spans="9:9" x14ac:dyDescent="0.25">
      <c r="I582" s="94">
        <v>575</v>
      </c>
    </row>
    <row r="583" spans="9:9" x14ac:dyDescent="0.25">
      <c r="I583" s="94">
        <v>576</v>
      </c>
    </row>
    <row r="584" spans="9:9" x14ac:dyDescent="0.25">
      <c r="I584" s="94">
        <v>577</v>
      </c>
    </row>
    <row r="585" spans="9:9" x14ac:dyDescent="0.25">
      <c r="I585" s="94">
        <v>578</v>
      </c>
    </row>
    <row r="586" spans="9:9" x14ac:dyDescent="0.25">
      <c r="I586" s="94">
        <v>579</v>
      </c>
    </row>
    <row r="587" spans="9:9" x14ac:dyDescent="0.25">
      <c r="I587" s="94">
        <v>580</v>
      </c>
    </row>
    <row r="588" spans="9:9" x14ac:dyDescent="0.25">
      <c r="I588" s="94">
        <v>581</v>
      </c>
    </row>
    <row r="589" spans="9:9" x14ac:dyDescent="0.25">
      <c r="I589" s="94">
        <v>582</v>
      </c>
    </row>
    <row r="590" spans="9:9" x14ac:dyDescent="0.25">
      <c r="I590" s="94">
        <v>583</v>
      </c>
    </row>
    <row r="591" spans="9:9" x14ac:dyDescent="0.25">
      <c r="I591" s="94">
        <v>584</v>
      </c>
    </row>
    <row r="592" spans="9:9" x14ac:dyDescent="0.25">
      <c r="I592" s="94">
        <v>585</v>
      </c>
    </row>
    <row r="593" spans="9:9" x14ac:dyDescent="0.25">
      <c r="I593" s="94">
        <v>586</v>
      </c>
    </row>
    <row r="594" spans="9:9" x14ac:dyDescent="0.25">
      <c r="I594" s="94">
        <v>587</v>
      </c>
    </row>
    <row r="595" spans="9:9" x14ac:dyDescent="0.25">
      <c r="I595" s="94">
        <v>588</v>
      </c>
    </row>
    <row r="596" spans="9:9" x14ac:dyDescent="0.25">
      <c r="I596" s="94">
        <v>589</v>
      </c>
    </row>
    <row r="597" spans="9:9" x14ac:dyDescent="0.25">
      <c r="I597" s="94">
        <v>590</v>
      </c>
    </row>
    <row r="598" spans="9:9" x14ac:dyDescent="0.25">
      <c r="I598" s="94">
        <v>591</v>
      </c>
    </row>
    <row r="599" spans="9:9" x14ac:dyDescent="0.25">
      <c r="I599" s="94">
        <v>592</v>
      </c>
    </row>
    <row r="600" spans="9:9" x14ac:dyDescent="0.25">
      <c r="I600" s="94">
        <v>593</v>
      </c>
    </row>
    <row r="601" spans="9:9" x14ac:dyDescent="0.25">
      <c r="I601" s="94">
        <v>594</v>
      </c>
    </row>
    <row r="602" spans="9:9" x14ac:dyDescent="0.25">
      <c r="I602" s="94">
        <v>595</v>
      </c>
    </row>
    <row r="603" spans="9:9" x14ac:dyDescent="0.25">
      <c r="I603" s="94">
        <v>596</v>
      </c>
    </row>
    <row r="604" spans="9:9" x14ac:dyDescent="0.25">
      <c r="I604" s="94">
        <v>597</v>
      </c>
    </row>
    <row r="605" spans="9:9" x14ac:dyDescent="0.25">
      <c r="I605" s="94">
        <v>598</v>
      </c>
    </row>
    <row r="606" spans="9:9" x14ac:dyDescent="0.25">
      <c r="I606" s="94">
        <v>599</v>
      </c>
    </row>
    <row r="607" spans="9:9" x14ac:dyDescent="0.25">
      <c r="I607" s="94">
        <v>600</v>
      </c>
    </row>
    <row r="608" spans="9:9" x14ac:dyDescent="0.25">
      <c r="I608" s="94">
        <v>601</v>
      </c>
    </row>
    <row r="609" spans="9:9" x14ac:dyDescent="0.25">
      <c r="I609" s="94">
        <v>602</v>
      </c>
    </row>
    <row r="610" spans="9:9" x14ac:dyDescent="0.25">
      <c r="I610" s="94">
        <v>603</v>
      </c>
    </row>
    <row r="611" spans="9:9" x14ac:dyDescent="0.25">
      <c r="I611" s="94">
        <v>604</v>
      </c>
    </row>
    <row r="612" spans="9:9" x14ac:dyDescent="0.25">
      <c r="I612" s="94">
        <v>605</v>
      </c>
    </row>
    <row r="613" spans="9:9" x14ac:dyDescent="0.25">
      <c r="I613" s="94">
        <v>606</v>
      </c>
    </row>
    <row r="614" spans="9:9" x14ac:dyDescent="0.25">
      <c r="I614" s="94">
        <v>607</v>
      </c>
    </row>
    <row r="615" spans="9:9" x14ac:dyDescent="0.25">
      <c r="I615" s="94">
        <v>608</v>
      </c>
    </row>
    <row r="616" spans="9:9" x14ac:dyDescent="0.25">
      <c r="I616" s="94">
        <v>609</v>
      </c>
    </row>
    <row r="617" spans="9:9" x14ac:dyDescent="0.25">
      <c r="I617" s="94">
        <v>610</v>
      </c>
    </row>
    <row r="618" spans="9:9" x14ac:dyDescent="0.25">
      <c r="I618" s="94">
        <v>611</v>
      </c>
    </row>
    <row r="619" spans="9:9" x14ac:dyDescent="0.25">
      <c r="I619" s="94">
        <v>612</v>
      </c>
    </row>
    <row r="620" spans="9:9" x14ac:dyDescent="0.25">
      <c r="I620" s="94">
        <v>613</v>
      </c>
    </row>
    <row r="621" spans="9:9" x14ac:dyDescent="0.25">
      <c r="I621" s="94">
        <v>614</v>
      </c>
    </row>
    <row r="622" spans="9:9" x14ac:dyDescent="0.25">
      <c r="I622" s="94">
        <v>615</v>
      </c>
    </row>
    <row r="623" spans="9:9" x14ac:dyDescent="0.25">
      <c r="I623" s="94">
        <v>616</v>
      </c>
    </row>
    <row r="624" spans="9:9" x14ac:dyDescent="0.25">
      <c r="I624" s="94">
        <v>617</v>
      </c>
    </row>
    <row r="625" spans="9:9" x14ac:dyDescent="0.25">
      <c r="I625" s="94">
        <v>618</v>
      </c>
    </row>
    <row r="626" spans="9:9" x14ac:dyDescent="0.25">
      <c r="I626" s="94">
        <v>619</v>
      </c>
    </row>
    <row r="627" spans="9:9" x14ac:dyDescent="0.25">
      <c r="I627" s="94">
        <v>620</v>
      </c>
    </row>
    <row r="628" spans="9:9" x14ac:dyDescent="0.25">
      <c r="I628" s="94">
        <v>621</v>
      </c>
    </row>
    <row r="629" spans="9:9" x14ac:dyDescent="0.25">
      <c r="I629" s="94">
        <v>622</v>
      </c>
    </row>
    <row r="630" spans="9:9" x14ac:dyDescent="0.25">
      <c r="I630" s="94">
        <v>623</v>
      </c>
    </row>
    <row r="631" spans="9:9" x14ac:dyDescent="0.25">
      <c r="I631" s="94">
        <v>624</v>
      </c>
    </row>
    <row r="632" spans="9:9" x14ac:dyDescent="0.25">
      <c r="I632" s="94">
        <v>625</v>
      </c>
    </row>
    <row r="633" spans="9:9" x14ac:dyDescent="0.25">
      <c r="I633" s="94">
        <v>626</v>
      </c>
    </row>
    <row r="634" spans="9:9" x14ac:dyDescent="0.25">
      <c r="I634" s="94">
        <v>627</v>
      </c>
    </row>
    <row r="635" spans="9:9" x14ac:dyDescent="0.25">
      <c r="I635" s="94">
        <v>628</v>
      </c>
    </row>
    <row r="636" spans="9:9" x14ac:dyDescent="0.25">
      <c r="I636" s="94">
        <v>629</v>
      </c>
    </row>
    <row r="637" spans="9:9" x14ac:dyDescent="0.25">
      <c r="I637" s="94">
        <v>630</v>
      </c>
    </row>
    <row r="638" spans="9:9" x14ac:dyDescent="0.25">
      <c r="I638" s="94">
        <v>631</v>
      </c>
    </row>
    <row r="639" spans="9:9" x14ac:dyDescent="0.25">
      <c r="I639" s="94">
        <v>632</v>
      </c>
    </row>
    <row r="640" spans="9:9" x14ac:dyDescent="0.25">
      <c r="I640" s="94">
        <v>633</v>
      </c>
    </row>
    <row r="641" spans="9:9" x14ac:dyDescent="0.25">
      <c r="I641" s="94">
        <v>634</v>
      </c>
    </row>
    <row r="642" spans="9:9" x14ac:dyDescent="0.25">
      <c r="I642" s="94">
        <v>635</v>
      </c>
    </row>
    <row r="643" spans="9:9" x14ac:dyDescent="0.25">
      <c r="I643" s="94">
        <v>636</v>
      </c>
    </row>
    <row r="644" spans="9:9" x14ac:dyDescent="0.25">
      <c r="I644" s="94">
        <v>637</v>
      </c>
    </row>
    <row r="645" spans="9:9" x14ac:dyDescent="0.25">
      <c r="I645" s="94">
        <v>638</v>
      </c>
    </row>
    <row r="646" spans="9:9" x14ac:dyDescent="0.25">
      <c r="I646" s="94">
        <v>639</v>
      </c>
    </row>
    <row r="647" spans="9:9" x14ac:dyDescent="0.25">
      <c r="I647" s="94">
        <v>640</v>
      </c>
    </row>
    <row r="648" spans="9:9" x14ac:dyDescent="0.25">
      <c r="I648" s="94">
        <v>641</v>
      </c>
    </row>
    <row r="649" spans="9:9" x14ac:dyDescent="0.25">
      <c r="I649" s="94">
        <v>642</v>
      </c>
    </row>
    <row r="650" spans="9:9" x14ac:dyDescent="0.25">
      <c r="I650" s="94">
        <v>643</v>
      </c>
    </row>
    <row r="651" spans="9:9" x14ac:dyDescent="0.25">
      <c r="I651" s="94">
        <v>644</v>
      </c>
    </row>
    <row r="652" spans="9:9" x14ac:dyDescent="0.25">
      <c r="I652" s="94">
        <v>645</v>
      </c>
    </row>
    <row r="653" spans="9:9" x14ac:dyDescent="0.25">
      <c r="I653" s="94">
        <v>646</v>
      </c>
    </row>
    <row r="654" spans="9:9" x14ac:dyDescent="0.25">
      <c r="I654" s="94">
        <v>647</v>
      </c>
    </row>
    <row r="655" spans="9:9" x14ac:dyDescent="0.25">
      <c r="I655" s="94">
        <v>648</v>
      </c>
    </row>
    <row r="656" spans="9:9" x14ac:dyDescent="0.25">
      <c r="I656" s="94">
        <v>649</v>
      </c>
    </row>
    <row r="657" spans="9:9" x14ac:dyDescent="0.25">
      <c r="I657" s="94">
        <v>650</v>
      </c>
    </row>
    <row r="658" spans="9:9" x14ac:dyDescent="0.25">
      <c r="I658" s="94">
        <v>651</v>
      </c>
    </row>
    <row r="659" spans="9:9" x14ac:dyDescent="0.25">
      <c r="I659" s="94">
        <v>652</v>
      </c>
    </row>
    <row r="660" spans="9:9" x14ac:dyDescent="0.25">
      <c r="I660" s="94">
        <v>653</v>
      </c>
    </row>
    <row r="661" spans="9:9" x14ac:dyDescent="0.25">
      <c r="I661" s="94">
        <v>654</v>
      </c>
    </row>
    <row r="662" spans="9:9" x14ac:dyDescent="0.25">
      <c r="I662" s="94">
        <v>655</v>
      </c>
    </row>
    <row r="663" spans="9:9" x14ac:dyDescent="0.25">
      <c r="I663" s="94">
        <v>656</v>
      </c>
    </row>
    <row r="664" spans="9:9" x14ac:dyDescent="0.25">
      <c r="I664" s="94">
        <v>657</v>
      </c>
    </row>
    <row r="665" spans="9:9" x14ac:dyDescent="0.25">
      <c r="I665" s="94">
        <v>658</v>
      </c>
    </row>
    <row r="666" spans="9:9" x14ac:dyDescent="0.25">
      <c r="I666" s="94">
        <v>659</v>
      </c>
    </row>
    <row r="667" spans="9:9" x14ac:dyDescent="0.25">
      <c r="I667" s="94">
        <v>660</v>
      </c>
    </row>
    <row r="668" spans="9:9" x14ac:dyDescent="0.25">
      <c r="I668" s="94">
        <v>661</v>
      </c>
    </row>
    <row r="669" spans="9:9" x14ac:dyDescent="0.25">
      <c r="I669" s="94">
        <v>662</v>
      </c>
    </row>
    <row r="670" spans="9:9" x14ac:dyDescent="0.25">
      <c r="I670" s="94">
        <v>663</v>
      </c>
    </row>
    <row r="671" spans="9:9" x14ac:dyDescent="0.25">
      <c r="I671" s="94">
        <v>664</v>
      </c>
    </row>
    <row r="672" spans="9:9" x14ac:dyDescent="0.25">
      <c r="I672" s="94">
        <v>665</v>
      </c>
    </row>
    <row r="673" spans="9:9" x14ac:dyDescent="0.25">
      <c r="I673" s="94">
        <v>666</v>
      </c>
    </row>
    <row r="674" spans="9:9" x14ac:dyDescent="0.25">
      <c r="I674" s="94">
        <v>667</v>
      </c>
    </row>
    <row r="675" spans="9:9" x14ac:dyDescent="0.25">
      <c r="I675" s="94">
        <v>668</v>
      </c>
    </row>
    <row r="676" spans="9:9" x14ac:dyDescent="0.25">
      <c r="I676" s="94">
        <v>669</v>
      </c>
    </row>
    <row r="677" spans="9:9" x14ac:dyDescent="0.25">
      <c r="I677" s="94">
        <v>670</v>
      </c>
    </row>
    <row r="678" spans="9:9" x14ac:dyDescent="0.25">
      <c r="I678" s="94">
        <v>671</v>
      </c>
    </row>
    <row r="679" spans="9:9" x14ac:dyDescent="0.25">
      <c r="I679" s="94">
        <v>672</v>
      </c>
    </row>
    <row r="680" spans="9:9" x14ac:dyDescent="0.25">
      <c r="I680" s="94">
        <v>673</v>
      </c>
    </row>
    <row r="681" spans="9:9" x14ac:dyDescent="0.25">
      <c r="I681" s="94">
        <v>674</v>
      </c>
    </row>
    <row r="682" spans="9:9" x14ac:dyDescent="0.25">
      <c r="I682" s="94">
        <v>675</v>
      </c>
    </row>
    <row r="683" spans="9:9" x14ac:dyDescent="0.25">
      <c r="I683" s="94">
        <v>676</v>
      </c>
    </row>
    <row r="684" spans="9:9" x14ac:dyDescent="0.25">
      <c r="I684" s="94">
        <v>677</v>
      </c>
    </row>
    <row r="685" spans="9:9" x14ac:dyDescent="0.25">
      <c r="I685" s="94">
        <v>678</v>
      </c>
    </row>
    <row r="686" spans="9:9" x14ac:dyDescent="0.25">
      <c r="I686" s="94">
        <v>679</v>
      </c>
    </row>
    <row r="687" spans="9:9" x14ac:dyDescent="0.25">
      <c r="I687" s="94">
        <v>680</v>
      </c>
    </row>
    <row r="688" spans="9:9" x14ac:dyDescent="0.25">
      <c r="I688" s="94">
        <v>681</v>
      </c>
    </row>
    <row r="689" spans="9:9" x14ac:dyDescent="0.25">
      <c r="I689" s="94">
        <v>682</v>
      </c>
    </row>
    <row r="690" spans="9:9" x14ac:dyDescent="0.25">
      <c r="I690" s="94">
        <v>683</v>
      </c>
    </row>
    <row r="691" spans="9:9" x14ac:dyDescent="0.25">
      <c r="I691" s="94">
        <v>684</v>
      </c>
    </row>
    <row r="692" spans="9:9" x14ac:dyDescent="0.25">
      <c r="I692" s="94">
        <v>685</v>
      </c>
    </row>
    <row r="693" spans="9:9" x14ac:dyDescent="0.25">
      <c r="I693" s="94">
        <v>686</v>
      </c>
    </row>
    <row r="694" spans="9:9" x14ac:dyDescent="0.25">
      <c r="I694" s="94">
        <v>687</v>
      </c>
    </row>
    <row r="695" spans="9:9" x14ac:dyDescent="0.25">
      <c r="I695" s="94">
        <v>688</v>
      </c>
    </row>
    <row r="696" spans="9:9" x14ac:dyDescent="0.25">
      <c r="I696" s="94">
        <v>689</v>
      </c>
    </row>
    <row r="697" spans="9:9" x14ac:dyDescent="0.25">
      <c r="I697" s="94">
        <v>690</v>
      </c>
    </row>
    <row r="698" spans="9:9" x14ac:dyDescent="0.25">
      <c r="I698" s="94">
        <v>691</v>
      </c>
    </row>
    <row r="699" spans="9:9" x14ac:dyDescent="0.25">
      <c r="I699" s="94">
        <v>692</v>
      </c>
    </row>
    <row r="700" spans="9:9" x14ac:dyDescent="0.25">
      <c r="I700" s="94">
        <v>693</v>
      </c>
    </row>
    <row r="701" spans="9:9" x14ac:dyDescent="0.25">
      <c r="I701" s="94">
        <v>694</v>
      </c>
    </row>
    <row r="702" spans="9:9" x14ac:dyDescent="0.25">
      <c r="I702" s="94">
        <v>695</v>
      </c>
    </row>
    <row r="703" spans="9:9" x14ac:dyDescent="0.25">
      <c r="I703" s="94">
        <v>696</v>
      </c>
    </row>
    <row r="704" spans="9:9" x14ac:dyDescent="0.25">
      <c r="I704" s="94">
        <v>697</v>
      </c>
    </row>
    <row r="705" spans="9:9" x14ac:dyDescent="0.25">
      <c r="I705" s="94">
        <v>698</v>
      </c>
    </row>
    <row r="706" spans="9:9" x14ac:dyDescent="0.25">
      <c r="I706" s="94">
        <v>699</v>
      </c>
    </row>
    <row r="707" spans="9:9" x14ac:dyDescent="0.25">
      <c r="I707" s="94">
        <v>700</v>
      </c>
    </row>
    <row r="708" spans="9:9" x14ac:dyDescent="0.25">
      <c r="I708" s="94">
        <v>701</v>
      </c>
    </row>
    <row r="709" spans="9:9" x14ac:dyDescent="0.25">
      <c r="I709" s="94">
        <v>702</v>
      </c>
    </row>
    <row r="710" spans="9:9" x14ac:dyDescent="0.25">
      <c r="I710" s="94">
        <v>703</v>
      </c>
    </row>
    <row r="711" spans="9:9" x14ac:dyDescent="0.25">
      <c r="I711" s="94">
        <v>704</v>
      </c>
    </row>
    <row r="712" spans="9:9" x14ac:dyDescent="0.25">
      <c r="I712" s="94">
        <v>705</v>
      </c>
    </row>
    <row r="713" spans="9:9" x14ac:dyDescent="0.25">
      <c r="I713" s="94">
        <v>706</v>
      </c>
    </row>
    <row r="714" spans="9:9" x14ac:dyDescent="0.25">
      <c r="I714" s="94">
        <v>707</v>
      </c>
    </row>
    <row r="715" spans="9:9" x14ac:dyDescent="0.25">
      <c r="I715" s="94">
        <v>708</v>
      </c>
    </row>
    <row r="716" spans="9:9" x14ac:dyDescent="0.25">
      <c r="I716" s="94">
        <v>709</v>
      </c>
    </row>
    <row r="717" spans="9:9" x14ac:dyDescent="0.25">
      <c r="I717" s="94">
        <v>710</v>
      </c>
    </row>
    <row r="718" spans="9:9" x14ac:dyDescent="0.25">
      <c r="I718" s="94">
        <v>711</v>
      </c>
    </row>
    <row r="719" spans="9:9" x14ac:dyDescent="0.25">
      <c r="I719" s="94">
        <v>712</v>
      </c>
    </row>
    <row r="720" spans="9:9" x14ac:dyDescent="0.25">
      <c r="I720" s="94">
        <v>713</v>
      </c>
    </row>
    <row r="721" spans="9:9" x14ac:dyDescent="0.25">
      <c r="I721" s="94">
        <v>714</v>
      </c>
    </row>
    <row r="722" spans="9:9" x14ac:dyDescent="0.25">
      <c r="I722" s="94">
        <v>715</v>
      </c>
    </row>
    <row r="723" spans="9:9" x14ac:dyDescent="0.25">
      <c r="I723" s="94">
        <v>716</v>
      </c>
    </row>
    <row r="724" spans="9:9" x14ac:dyDescent="0.25">
      <c r="I724" s="94">
        <v>717</v>
      </c>
    </row>
    <row r="725" spans="9:9" x14ac:dyDescent="0.25">
      <c r="I725" s="94">
        <v>718</v>
      </c>
    </row>
    <row r="726" spans="9:9" x14ac:dyDescent="0.25">
      <c r="I726" s="94">
        <v>719</v>
      </c>
    </row>
    <row r="727" spans="9:9" x14ac:dyDescent="0.25">
      <c r="I727" s="94">
        <v>720</v>
      </c>
    </row>
    <row r="728" spans="9:9" x14ac:dyDescent="0.25">
      <c r="I728" s="94">
        <v>721</v>
      </c>
    </row>
    <row r="729" spans="9:9" x14ac:dyDescent="0.25">
      <c r="I729" s="94">
        <v>722</v>
      </c>
    </row>
    <row r="730" spans="9:9" x14ac:dyDescent="0.25">
      <c r="I730" s="94">
        <v>723</v>
      </c>
    </row>
    <row r="731" spans="9:9" x14ac:dyDescent="0.25">
      <c r="I731" s="94">
        <v>724</v>
      </c>
    </row>
    <row r="732" spans="9:9" x14ac:dyDescent="0.25">
      <c r="I732" s="94">
        <v>725</v>
      </c>
    </row>
    <row r="733" spans="9:9" x14ac:dyDescent="0.25">
      <c r="I733" s="94">
        <v>726</v>
      </c>
    </row>
    <row r="734" spans="9:9" x14ac:dyDescent="0.25">
      <c r="I734" s="94">
        <v>727</v>
      </c>
    </row>
    <row r="735" spans="9:9" x14ac:dyDescent="0.25">
      <c r="I735" s="94">
        <v>728</v>
      </c>
    </row>
    <row r="736" spans="9:9" x14ac:dyDescent="0.25">
      <c r="I736" s="94">
        <v>729</v>
      </c>
    </row>
    <row r="737" spans="9:9" x14ac:dyDescent="0.25">
      <c r="I737" s="94">
        <v>730</v>
      </c>
    </row>
    <row r="738" spans="9:9" x14ac:dyDescent="0.25">
      <c r="I738" s="94">
        <v>731</v>
      </c>
    </row>
    <row r="739" spans="9:9" x14ac:dyDescent="0.25">
      <c r="I739" s="94">
        <v>732</v>
      </c>
    </row>
    <row r="740" spans="9:9" x14ac:dyDescent="0.25">
      <c r="I740" s="94">
        <v>733</v>
      </c>
    </row>
    <row r="741" spans="9:9" x14ac:dyDescent="0.25">
      <c r="I741" s="94">
        <v>734</v>
      </c>
    </row>
    <row r="742" spans="9:9" x14ac:dyDescent="0.25">
      <c r="I742" s="94">
        <v>735</v>
      </c>
    </row>
    <row r="743" spans="9:9" x14ac:dyDescent="0.25">
      <c r="I743" s="94">
        <v>736</v>
      </c>
    </row>
    <row r="744" spans="9:9" x14ac:dyDescent="0.25">
      <c r="I744" s="94">
        <v>737</v>
      </c>
    </row>
    <row r="745" spans="9:9" x14ac:dyDescent="0.25">
      <c r="I745" s="94">
        <v>738</v>
      </c>
    </row>
    <row r="746" spans="9:9" x14ac:dyDescent="0.25">
      <c r="I746" s="94">
        <v>739</v>
      </c>
    </row>
    <row r="747" spans="9:9" x14ac:dyDescent="0.25">
      <c r="I747" s="94">
        <v>740</v>
      </c>
    </row>
    <row r="748" spans="9:9" x14ac:dyDescent="0.25">
      <c r="I748" s="94">
        <v>741</v>
      </c>
    </row>
    <row r="749" spans="9:9" x14ac:dyDescent="0.25">
      <c r="I749" s="94">
        <v>742</v>
      </c>
    </row>
    <row r="750" spans="9:9" x14ac:dyDescent="0.25">
      <c r="I750" s="94">
        <v>743</v>
      </c>
    </row>
    <row r="751" spans="9:9" x14ac:dyDescent="0.25">
      <c r="I751" s="94">
        <v>744</v>
      </c>
    </row>
    <row r="752" spans="9:9" x14ac:dyDescent="0.25">
      <c r="I752" s="94">
        <v>745</v>
      </c>
    </row>
    <row r="753" spans="9:9" x14ac:dyDescent="0.25">
      <c r="I753" s="94">
        <v>746</v>
      </c>
    </row>
    <row r="754" spans="9:9" x14ac:dyDescent="0.25">
      <c r="I754" s="94">
        <v>747</v>
      </c>
    </row>
    <row r="755" spans="9:9" x14ac:dyDescent="0.25">
      <c r="I755" s="94">
        <v>748</v>
      </c>
    </row>
    <row r="756" spans="9:9" x14ac:dyDescent="0.25">
      <c r="I756" s="94">
        <v>749</v>
      </c>
    </row>
    <row r="757" spans="9:9" x14ac:dyDescent="0.25">
      <c r="I757" s="94">
        <v>750</v>
      </c>
    </row>
    <row r="758" spans="9:9" x14ac:dyDescent="0.25">
      <c r="I758" s="94">
        <v>751</v>
      </c>
    </row>
    <row r="759" spans="9:9" x14ac:dyDescent="0.25">
      <c r="I759" s="94">
        <v>752</v>
      </c>
    </row>
    <row r="760" spans="9:9" x14ac:dyDescent="0.25">
      <c r="I760" s="94">
        <v>753</v>
      </c>
    </row>
    <row r="761" spans="9:9" x14ac:dyDescent="0.25">
      <c r="I761" s="94">
        <v>754</v>
      </c>
    </row>
    <row r="762" spans="9:9" x14ac:dyDescent="0.25">
      <c r="I762" s="94">
        <v>755</v>
      </c>
    </row>
    <row r="763" spans="9:9" x14ac:dyDescent="0.25">
      <c r="I763" s="94">
        <v>756</v>
      </c>
    </row>
    <row r="764" spans="9:9" x14ac:dyDescent="0.25">
      <c r="I764" s="94">
        <v>757</v>
      </c>
    </row>
    <row r="765" spans="9:9" x14ac:dyDescent="0.25">
      <c r="I765" s="94">
        <v>758</v>
      </c>
    </row>
    <row r="766" spans="9:9" x14ac:dyDescent="0.25">
      <c r="I766" s="94">
        <v>759</v>
      </c>
    </row>
    <row r="767" spans="9:9" x14ac:dyDescent="0.25">
      <c r="I767" s="94">
        <v>760</v>
      </c>
    </row>
    <row r="768" spans="9:9" x14ac:dyDescent="0.25">
      <c r="I768" s="94">
        <v>761</v>
      </c>
    </row>
    <row r="769" spans="9:9" x14ac:dyDescent="0.25">
      <c r="I769" s="94">
        <v>762</v>
      </c>
    </row>
    <row r="770" spans="9:9" x14ac:dyDescent="0.25">
      <c r="I770" s="94">
        <v>763</v>
      </c>
    </row>
    <row r="771" spans="9:9" x14ac:dyDescent="0.25">
      <c r="I771" s="94">
        <v>764</v>
      </c>
    </row>
    <row r="772" spans="9:9" x14ac:dyDescent="0.25">
      <c r="I772" s="94">
        <v>765</v>
      </c>
    </row>
    <row r="773" spans="9:9" x14ac:dyDescent="0.25">
      <c r="I773" s="94">
        <v>766</v>
      </c>
    </row>
    <row r="774" spans="9:9" x14ac:dyDescent="0.25">
      <c r="I774" s="94">
        <v>767</v>
      </c>
    </row>
    <row r="775" spans="9:9" x14ac:dyDescent="0.25">
      <c r="I775" s="94">
        <v>768</v>
      </c>
    </row>
    <row r="776" spans="9:9" x14ac:dyDescent="0.25">
      <c r="I776" s="94">
        <v>769</v>
      </c>
    </row>
    <row r="777" spans="9:9" x14ac:dyDescent="0.25">
      <c r="I777" s="94">
        <v>770</v>
      </c>
    </row>
    <row r="778" spans="9:9" x14ac:dyDescent="0.25">
      <c r="I778" s="94">
        <v>771</v>
      </c>
    </row>
    <row r="779" spans="9:9" x14ac:dyDescent="0.25">
      <c r="I779" s="94">
        <v>772</v>
      </c>
    </row>
    <row r="780" spans="9:9" x14ac:dyDescent="0.25">
      <c r="I780" s="94">
        <v>773</v>
      </c>
    </row>
    <row r="781" spans="9:9" x14ac:dyDescent="0.25">
      <c r="I781" s="94">
        <v>774</v>
      </c>
    </row>
    <row r="782" spans="9:9" x14ac:dyDescent="0.25">
      <c r="I782" s="94">
        <v>775</v>
      </c>
    </row>
    <row r="783" spans="9:9" x14ac:dyDescent="0.25">
      <c r="I783" s="94">
        <v>776</v>
      </c>
    </row>
    <row r="784" spans="9:9" x14ac:dyDescent="0.25">
      <c r="I784" s="94">
        <v>777</v>
      </c>
    </row>
    <row r="785" spans="9:9" x14ac:dyDescent="0.25">
      <c r="I785" s="94">
        <v>778</v>
      </c>
    </row>
    <row r="786" spans="9:9" x14ac:dyDescent="0.25">
      <c r="I786" s="94">
        <v>779</v>
      </c>
    </row>
    <row r="787" spans="9:9" x14ac:dyDescent="0.25">
      <c r="I787" s="94">
        <v>780</v>
      </c>
    </row>
    <row r="788" spans="9:9" x14ac:dyDescent="0.25">
      <c r="I788" s="94">
        <v>781</v>
      </c>
    </row>
    <row r="789" spans="9:9" x14ac:dyDescent="0.25">
      <c r="I789" s="94">
        <v>782</v>
      </c>
    </row>
    <row r="790" spans="9:9" x14ac:dyDescent="0.25">
      <c r="I790" s="94">
        <v>783</v>
      </c>
    </row>
    <row r="791" spans="9:9" x14ac:dyDescent="0.25">
      <c r="I791" s="94">
        <v>784</v>
      </c>
    </row>
    <row r="792" spans="9:9" x14ac:dyDescent="0.25">
      <c r="I792" s="94">
        <v>785</v>
      </c>
    </row>
    <row r="793" spans="9:9" x14ac:dyDescent="0.25">
      <c r="I793" s="94">
        <v>786</v>
      </c>
    </row>
    <row r="794" spans="9:9" x14ac:dyDescent="0.25">
      <c r="I794" s="94">
        <v>787</v>
      </c>
    </row>
    <row r="795" spans="9:9" x14ac:dyDescent="0.25">
      <c r="I795" s="94">
        <v>788</v>
      </c>
    </row>
    <row r="796" spans="9:9" x14ac:dyDescent="0.25">
      <c r="I796" s="94">
        <v>789</v>
      </c>
    </row>
    <row r="797" spans="9:9" x14ac:dyDescent="0.25">
      <c r="I797" s="94">
        <v>790</v>
      </c>
    </row>
    <row r="798" spans="9:9" x14ac:dyDescent="0.25">
      <c r="I798" s="94">
        <v>791</v>
      </c>
    </row>
    <row r="799" spans="9:9" x14ac:dyDescent="0.25">
      <c r="I799" s="94">
        <v>792</v>
      </c>
    </row>
    <row r="800" spans="9:9" x14ac:dyDescent="0.25">
      <c r="I800" s="94">
        <v>793</v>
      </c>
    </row>
    <row r="801" spans="9:9" x14ac:dyDescent="0.25">
      <c r="I801" s="94">
        <v>794</v>
      </c>
    </row>
    <row r="802" spans="9:9" x14ac:dyDescent="0.25">
      <c r="I802" s="94">
        <v>795</v>
      </c>
    </row>
    <row r="803" spans="9:9" x14ac:dyDescent="0.25">
      <c r="I803" s="94">
        <v>796</v>
      </c>
    </row>
    <row r="804" spans="9:9" x14ac:dyDescent="0.25">
      <c r="I804" s="94">
        <v>797</v>
      </c>
    </row>
    <row r="805" spans="9:9" x14ac:dyDescent="0.25">
      <c r="I805" s="94">
        <v>798</v>
      </c>
    </row>
    <row r="806" spans="9:9" x14ac:dyDescent="0.25">
      <c r="I806" s="94">
        <v>799</v>
      </c>
    </row>
    <row r="807" spans="9:9" x14ac:dyDescent="0.25">
      <c r="I807" s="94">
        <v>800</v>
      </c>
    </row>
    <row r="808" spans="9:9" x14ac:dyDescent="0.25">
      <c r="I808" s="94">
        <v>801</v>
      </c>
    </row>
    <row r="809" spans="9:9" x14ac:dyDescent="0.25">
      <c r="I809" s="94">
        <v>802</v>
      </c>
    </row>
    <row r="810" spans="9:9" x14ac:dyDescent="0.25">
      <c r="I810" s="94">
        <v>803</v>
      </c>
    </row>
    <row r="811" spans="9:9" x14ac:dyDescent="0.25">
      <c r="I811" s="94">
        <v>804</v>
      </c>
    </row>
    <row r="812" spans="9:9" x14ac:dyDescent="0.25">
      <c r="I812" s="94">
        <v>805</v>
      </c>
    </row>
    <row r="813" spans="9:9" x14ac:dyDescent="0.25">
      <c r="I813" s="94">
        <v>806</v>
      </c>
    </row>
    <row r="814" spans="9:9" x14ac:dyDescent="0.25">
      <c r="I814" s="94">
        <v>807</v>
      </c>
    </row>
    <row r="815" spans="9:9" x14ac:dyDescent="0.25">
      <c r="I815" s="94">
        <v>808</v>
      </c>
    </row>
    <row r="816" spans="9:9" x14ac:dyDescent="0.25">
      <c r="I816" s="94">
        <v>809</v>
      </c>
    </row>
    <row r="817" spans="9:9" x14ac:dyDescent="0.25">
      <c r="I817" s="94">
        <v>810</v>
      </c>
    </row>
    <row r="818" spans="9:9" x14ac:dyDescent="0.25">
      <c r="I818" s="94">
        <v>811</v>
      </c>
    </row>
    <row r="819" spans="9:9" x14ac:dyDescent="0.25">
      <c r="I819" s="94">
        <v>812</v>
      </c>
    </row>
    <row r="820" spans="9:9" x14ac:dyDescent="0.25">
      <c r="I820" s="94">
        <v>813</v>
      </c>
    </row>
    <row r="821" spans="9:9" x14ac:dyDescent="0.25">
      <c r="I821" s="94">
        <v>814</v>
      </c>
    </row>
    <row r="822" spans="9:9" x14ac:dyDescent="0.25">
      <c r="I822" s="94">
        <v>815</v>
      </c>
    </row>
    <row r="823" spans="9:9" x14ac:dyDescent="0.25">
      <c r="I823" s="94">
        <v>816</v>
      </c>
    </row>
    <row r="824" spans="9:9" x14ac:dyDescent="0.25">
      <c r="I824" s="94">
        <v>817</v>
      </c>
    </row>
    <row r="825" spans="9:9" x14ac:dyDescent="0.25">
      <c r="I825" s="94">
        <v>818</v>
      </c>
    </row>
    <row r="826" spans="9:9" x14ac:dyDescent="0.25">
      <c r="I826" s="94">
        <v>819</v>
      </c>
    </row>
    <row r="827" spans="9:9" x14ac:dyDescent="0.25">
      <c r="I827" s="94">
        <v>820</v>
      </c>
    </row>
    <row r="828" spans="9:9" x14ac:dyDescent="0.25">
      <c r="I828" s="94">
        <v>821</v>
      </c>
    </row>
    <row r="829" spans="9:9" x14ac:dyDescent="0.25">
      <c r="I829" s="94">
        <v>822</v>
      </c>
    </row>
    <row r="830" spans="9:9" x14ac:dyDescent="0.25">
      <c r="I830" s="94">
        <v>823</v>
      </c>
    </row>
    <row r="831" spans="9:9" x14ac:dyDescent="0.25">
      <c r="I831" s="94">
        <v>824</v>
      </c>
    </row>
    <row r="832" spans="9:9" x14ac:dyDescent="0.25">
      <c r="I832" s="94">
        <v>825</v>
      </c>
    </row>
    <row r="833" spans="9:9" x14ac:dyDescent="0.25">
      <c r="I833" s="94">
        <v>826</v>
      </c>
    </row>
    <row r="834" spans="9:9" x14ac:dyDescent="0.25">
      <c r="I834" s="94">
        <v>827</v>
      </c>
    </row>
    <row r="835" spans="9:9" x14ac:dyDescent="0.25">
      <c r="I835" s="94">
        <v>828</v>
      </c>
    </row>
    <row r="836" spans="9:9" x14ac:dyDescent="0.25">
      <c r="I836" s="94">
        <v>829</v>
      </c>
    </row>
    <row r="837" spans="9:9" x14ac:dyDescent="0.25">
      <c r="I837" s="94">
        <v>830</v>
      </c>
    </row>
    <row r="838" spans="9:9" x14ac:dyDescent="0.25">
      <c r="I838" s="94">
        <v>831</v>
      </c>
    </row>
    <row r="839" spans="9:9" x14ac:dyDescent="0.25">
      <c r="I839" s="94">
        <v>832</v>
      </c>
    </row>
    <row r="840" spans="9:9" x14ac:dyDescent="0.25">
      <c r="I840" s="94">
        <v>833</v>
      </c>
    </row>
    <row r="841" spans="9:9" x14ac:dyDescent="0.25">
      <c r="I841" s="94">
        <v>834</v>
      </c>
    </row>
    <row r="842" spans="9:9" x14ac:dyDescent="0.25">
      <c r="I842" s="94">
        <v>835</v>
      </c>
    </row>
    <row r="843" spans="9:9" x14ac:dyDescent="0.25">
      <c r="I843" s="94">
        <v>836</v>
      </c>
    </row>
    <row r="844" spans="9:9" x14ac:dyDescent="0.25">
      <c r="I844" s="94">
        <v>837</v>
      </c>
    </row>
    <row r="845" spans="9:9" x14ac:dyDescent="0.25">
      <c r="I845" s="94">
        <v>838</v>
      </c>
    </row>
    <row r="846" spans="9:9" x14ac:dyDescent="0.25">
      <c r="I846" s="94">
        <v>839</v>
      </c>
    </row>
    <row r="847" spans="9:9" x14ac:dyDescent="0.25">
      <c r="I847" s="94">
        <v>840</v>
      </c>
    </row>
    <row r="848" spans="9:9" x14ac:dyDescent="0.25">
      <c r="I848" s="94">
        <v>841</v>
      </c>
    </row>
    <row r="849" spans="9:9" x14ac:dyDescent="0.25">
      <c r="I849" s="94">
        <v>842</v>
      </c>
    </row>
    <row r="850" spans="9:9" x14ac:dyDescent="0.25">
      <c r="I850" s="94">
        <v>843</v>
      </c>
    </row>
    <row r="851" spans="9:9" x14ac:dyDescent="0.25">
      <c r="I851" s="94">
        <v>844</v>
      </c>
    </row>
    <row r="852" spans="9:9" x14ac:dyDescent="0.25">
      <c r="I852" s="94">
        <v>845</v>
      </c>
    </row>
    <row r="853" spans="9:9" x14ac:dyDescent="0.25">
      <c r="I853" s="94">
        <v>846</v>
      </c>
    </row>
    <row r="854" spans="9:9" x14ac:dyDescent="0.25">
      <c r="I854" s="94">
        <v>847</v>
      </c>
    </row>
    <row r="855" spans="9:9" x14ac:dyDescent="0.25">
      <c r="I855" s="94">
        <v>848</v>
      </c>
    </row>
    <row r="856" spans="9:9" x14ac:dyDescent="0.25">
      <c r="I856" s="94">
        <v>849</v>
      </c>
    </row>
    <row r="857" spans="9:9" x14ac:dyDescent="0.25">
      <c r="I857" s="94">
        <v>850</v>
      </c>
    </row>
    <row r="858" spans="9:9" x14ac:dyDescent="0.25">
      <c r="I858" s="94">
        <v>851</v>
      </c>
    </row>
    <row r="859" spans="9:9" x14ac:dyDescent="0.25">
      <c r="I859" s="94">
        <v>852</v>
      </c>
    </row>
    <row r="860" spans="9:9" x14ac:dyDescent="0.25">
      <c r="I860" s="94">
        <v>853</v>
      </c>
    </row>
    <row r="861" spans="9:9" x14ac:dyDescent="0.25">
      <c r="I861" s="94">
        <v>854</v>
      </c>
    </row>
    <row r="862" spans="9:9" x14ac:dyDescent="0.25">
      <c r="I862" s="94">
        <v>855</v>
      </c>
    </row>
    <row r="863" spans="9:9" x14ac:dyDescent="0.25">
      <c r="I863" s="94">
        <v>856</v>
      </c>
    </row>
    <row r="864" spans="9:9" x14ac:dyDescent="0.25">
      <c r="I864" s="94">
        <v>857</v>
      </c>
    </row>
    <row r="865" spans="9:9" x14ac:dyDescent="0.25">
      <c r="I865" s="94">
        <v>858</v>
      </c>
    </row>
    <row r="866" spans="9:9" x14ac:dyDescent="0.25">
      <c r="I866" s="94">
        <v>859</v>
      </c>
    </row>
    <row r="867" spans="9:9" x14ac:dyDescent="0.25">
      <c r="I867" s="94">
        <v>860</v>
      </c>
    </row>
    <row r="868" spans="9:9" x14ac:dyDescent="0.25">
      <c r="I868" s="94">
        <v>861</v>
      </c>
    </row>
    <row r="869" spans="9:9" x14ac:dyDescent="0.25">
      <c r="I869" s="94">
        <v>862</v>
      </c>
    </row>
    <row r="870" spans="9:9" x14ac:dyDescent="0.25">
      <c r="I870" s="94">
        <v>863</v>
      </c>
    </row>
    <row r="871" spans="9:9" x14ac:dyDescent="0.25">
      <c r="I871" s="94">
        <v>864</v>
      </c>
    </row>
    <row r="872" spans="9:9" x14ac:dyDescent="0.25">
      <c r="I872" s="94">
        <v>865</v>
      </c>
    </row>
    <row r="873" spans="9:9" x14ac:dyDescent="0.25">
      <c r="I873" s="94">
        <v>866</v>
      </c>
    </row>
    <row r="874" spans="9:9" x14ac:dyDescent="0.25">
      <c r="I874" s="94">
        <v>867</v>
      </c>
    </row>
    <row r="875" spans="9:9" x14ac:dyDescent="0.25">
      <c r="I875" s="94">
        <v>868</v>
      </c>
    </row>
    <row r="876" spans="9:9" x14ac:dyDescent="0.25">
      <c r="I876" s="94">
        <v>869</v>
      </c>
    </row>
    <row r="877" spans="9:9" x14ac:dyDescent="0.25">
      <c r="I877" s="94">
        <v>870</v>
      </c>
    </row>
    <row r="878" spans="9:9" x14ac:dyDescent="0.25">
      <c r="I878" s="94">
        <v>871</v>
      </c>
    </row>
    <row r="879" spans="9:9" x14ac:dyDescent="0.25">
      <c r="I879" s="94">
        <v>872</v>
      </c>
    </row>
    <row r="880" spans="9:9" x14ac:dyDescent="0.25">
      <c r="I880" s="94">
        <v>873</v>
      </c>
    </row>
    <row r="881" spans="9:9" x14ac:dyDescent="0.25">
      <c r="I881" s="94">
        <v>874</v>
      </c>
    </row>
    <row r="882" spans="9:9" x14ac:dyDescent="0.25">
      <c r="I882" s="94">
        <v>875</v>
      </c>
    </row>
    <row r="883" spans="9:9" x14ac:dyDescent="0.25">
      <c r="I883" s="94">
        <v>876</v>
      </c>
    </row>
    <row r="884" spans="9:9" x14ac:dyDescent="0.25">
      <c r="I884" s="94">
        <v>877</v>
      </c>
    </row>
    <row r="885" spans="9:9" x14ac:dyDescent="0.25">
      <c r="I885" s="94">
        <v>878</v>
      </c>
    </row>
    <row r="886" spans="9:9" x14ac:dyDescent="0.25">
      <c r="I886" s="94">
        <v>879</v>
      </c>
    </row>
    <row r="887" spans="9:9" x14ac:dyDescent="0.25">
      <c r="I887" s="94">
        <v>880</v>
      </c>
    </row>
    <row r="888" spans="9:9" x14ac:dyDescent="0.25">
      <c r="I888" s="94">
        <v>881</v>
      </c>
    </row>
    <row r="889" spans="9:9" x14ac:dyDescent="0.25">
      <c r="I889" s="94">
        <v>882</v>
      </c>
    </row>
    <row r="890" spans="9:9" x14ac:dyDescent="0.25">
      <c r="I890" s="94">
        <v>883</v>
      </c>
    </row>
    <row r="891" spans="9:9" x14ac:dyDescent="0.25">
      <c r="I891" s="94">
        <v>884</v>
      </c>
    </row>
    <row r="892" spans="9:9" x14ac:dyDescent="0.25">
      <c r="I892" s="94">
        <v>885</v>
      </c>
    </row>
    <row r="893" spans="9:9" x14ac:dyDescent="0.25">
      <c r="I893" s="94">
        <v>886</v>
      </c>
    </row>
    <row r="894" spans="9:9" x14ac:dyDescent="0.25">
      <c r="I894" s="94">
        <v>887</v>
      </c>
    </row>
    <row r="895" spans="9:9" x14ac:dyDescent="0.25">
      <c r="I895" s="94">
        <v>888</v>
      </c>
    </row>
    <row r="896" spans="9:9" x14ac:dyDescent="0.25">
      <c r="I896" s="94">
        <v>889</v>
      </c>
    </row>
    <row r="897" spans="9:9" x14ac:dyDescent="0.25">
      <c r="I897" s="94">
        <v>890</v>
      </c>
    </row>
    <row r="898" spans="9:9" x14ac:dyDescent="0.25">
      <c r="I898" s="94">
        <v>891</v>
      </c>
    </row>
    <row r="899" spans="9:9" x14ac:dyDescent="0.25">
      <c r="I899" s="94">
        <v>892</v>
      </c>
    </row>
    <row r="900" spans="9:9" x14ac:dyDescent="0.25">
      <c r="I900" s="94">
        <v>893</v>
      </c>
    </row>
    <row r="901" spans="9:9" x14ac:dyDescent="0.25">
      <c r="I901" s="94">
        <v>894</v>
      </c>
    </row>
    <row r="902" spans="9:9" x14ac:dyDescent="0.25">
      <c r="I902" s="94">
        <v>895</v>
      </c>
    </row>
    <row r="903" spans="9:9" x14ac:dyDescent="0.25">
      <c r="I903" s="94">
        <v>896</v>
      </c>
    </row>
    <row r="904" spans="9:9" x14ac:dyDescent="0.25">
      <c r="I904" s="94">
        <v>897</v>
      </c>
    </row>
    <row r="905" spans="9:9" x14ac:dyDescent="0.25">
      <c r="I905" s="94">
        <v>898</v>
      </c>
    </row>
    <row r="906" spans="9:9" x14ac:dyDescent="0.25">
      <c r="I906" s="94">
        <v>899</v>
      </c>
    </row>
    <row r="907" spans="9:9" x14ac:dyDescent="0.25">
      <c r="I907" s="94">
        <v>900</v>
      </c>
    </row>
    <row r="908" spans="9:9" x14ac:dyDescent="0.25">
      <c r="I908" s="94">
        <v>901</v>
      </c>
    </row>
    <row r="909" spans="9:9" x14ac:dyDescent="0.25">
      <c r="I909" s="94">
        <v>902</v>
      </c>
    </row>
    <row r="910" spans="9:9" x14ac:dyDescent="0.25">
      <c r="I910" s="94">
        <v>903</v>
      </c>
    </row>
    <row r="911" spans="9:9" x14ac:dyDescent="0.25">
      <c r="I911" s="94">
        <v>904</v>
      </c>
    </row>
    <row r="912" spans="9:9" x14ac:dyDescent="0.25">
      <c r="I912" s="94">
        <v>905</v>
      </c>
    </row>
    <row r="913" spans="9:9" x14ac:dyDescent="0.25">
      <c r="I913" s="94">
        <v>906</v>
      </c>
    </row>
    <row r="914" spans="9:9" x14ac:dyDescent="0.25">
      <c r="I914" s="94">
        <v>907</v>
      </c>
    </row>
    <row r="915" spans="9:9" x14ac:dyDescent="0.25">
      <c r="I915" s="94">
        <v>908</v>
      </c>
    </row>
    <row r="916" spans="9:9" x14ac:dyDescent="0.25">
      <c r="I916" s="94">
        <v>909</v>
      </c>
    </row>
    <row r="917" spans="9:9" x14ac:dyDescent="0.25">
      <c r="I917" s="94">
        <v>910</v>
      </c>
    </row>
    <row r="918" spans="9:9" x14ac:dyDescent="0.25">
      <c r="I918" s="94">
        <v>911</v>
      </c>
    </row>
    <row r="919" spans="9:9" x14ac:dyDescent="0.25">
      <c r="I919" s="94">
        <v>912</v>
      </c>
    </row>
    <row r="920" spans="9:9" x14ac:dyDescent="0.25">
      <c r="I920" s="94">
        <v>913</v>
      </c>
    </row>
    <row r="921" spans="9:9" x14ac:dyDescent="0.25">
      <c r="I921" s="94">
        <v>914</v>
      </c>
    </row>
    <row r="922" spans="9:9" x14ac:dyDescent="0.25">
      <c r="I922" s="94">
        <v>915</v>
      </c>
    </row>
    <row r="923" spans="9:9" x14ac:dyDescent="0.25">
      <c r="I923" s="94">
        <v>916</v>
      </c>
    </row>
    <row r="924" spans="9:9" x14ac:dyDescent="0.25">
      <c r="I924" s="94">
        <v>917</v>
      </c>
    </row>
    <row r="925" spans="9:9" x14ac:dyDescent="0.25">
      <c r="I925" s="94">
        <v>918</v>
      </c>
    </row>
    <row r="926" spans="9:9" x14ac:dyDescent="0.25">
      <c r="I926" s="94">
        <v>919</v>
      </c>
    </row>
    <row r="927" spans="9:9" x14ac:dyDescent="0.25">
      <c r="I927" s="94">
        <v>920</v>
      </c>
    </row>
    <row r="928" spans="9:9" x14ac:dyDescent="0.25">
      <c r="I928" s="94">
        <v>921</v>
      </c>
    </row>
    <row r="929" spans="9:9" x14ac:dyDescent="0.25">
      <c r="I929" s="94">
        <v>922</v>
      </c>
    </row>
    <row r="930" spans="9:9" x14ac:dyDescent="0.25">
      <c r="I930" s="94">
        <v>923</v>
      </c>
    </row>
    <row r="931" spans="9:9" x14ac:dyDescent="0.25">
      <c r="I931" s="94">
        <v>924</v>
      </c>
    </row>
    <row r="932" spans="9:9" x14ac:dyDescent="0.25">
      <c r="I932" s="94">
        <v>925</v>
      </c>
    </row>
    <row r="933" spans="9:9" x14ac:dyDescent="0.25">
      <c r="I933" s="94">
        <v>926</v>
      </c>
    </row>
    <row r="934" spans="9:9" x14ac:dyDescent="0.25">
      <c r="I934" s="94">
        <v>927</v>
      </c>
    </row>
    <row r="935" spans="9:9" x14ac:dyDescent="0.25">
      <c r="I935" s="94">
        <v>928</v>
      </c>
    </row>
    <row r="936" spans="9:9" x14ac:dyDescent="0.25">
      <c r="I936" s="94">
        <v>929</v>
      </c>
    </row>
    <row r="937" spans="9:9" x14ac:dyDescent="0.25">
      <c r="I937" s="94">
        <v>930</v>
      </c>
    </row>
    <row r="938" spans="9:9" x14ac:dyDescent="0.25">
      <c r="I938" s="94">
        <v>931</v>
      </c>
    </row>
    <row r="939" spans="9:9" x14ac:dyDescent="0.25">
      <c r="I939" s="94">
        <v>932</v>
      </c>
    </row>
    <row r="940" spans="9:9" x14ac:dyDescent="0.25">
      <c r="I940" s="94">
        <v>933</v>
      </c>
    </row>
    <row r="941" spans="9:9" x14ac:dyDescent="0.25">
      <c r="I941" s="94">
        <v>934</v>
      </c>
    </row>
    <row r="942" spans="9:9" x14ac:dyDescent="0.25">
      <c r="I942" s="94">
        <v>935</v>
      </c>
    </row>
    <row r="943" spans="9:9" x14ac:dyDescent="0.25">
      <c r="I943" s="94">
        <v>936</v>
      </c>
    </row>
    <row r="944" spans="9:9" x14ac:dyDescent="0.25">
      <c r="I944" s="94">
        <v>937</v>
      </c>
    </row>
    <row r="945" spans="9:9" x14ac:dyDescent="0.25">
      <c r="I945" s="94">
        <v>938</v>
      </c>
    </row>
    <row r="946" spans="9:9" x14ac:dyDescent="0.25">
      <c r="I946" s="94">
        <v>939</v>
      </c>
    </row>
    <row r="947" spans="9:9" x14ac:dyDescent="0.25">
      <c r="I947" s="94">
        <v>940</v>
      </c>
    </row>
    <row r="948" spans="9:9" x14ac:dyDescent="0.25">
      <c r="I948" s="94">
        <v>941</v>
      </c>
    </row>
    <row r="949" spans="9:9" x14ac:dyDescent="0.25">
      <c r="I949" s="94">
        <v>942</v>
      </c>
    </row>
    <row r="950" spans="9:9" x14ac:dyDescent="0.25">
      <c r="I950" s="94">
        <v>943</v>
      </c>
    </row>
    <row r="951" spans="9:9" x14ac:dyDescent="0.25">
      <c r="I951" s="94">
        <v>944</v>
      </c>
    </row>
    <row r="952" spans="9:9" x14ac:dyDescent="0.25">
      <c r="I952" s="94">
        <v>945</v>
      </c>
    </row>
    <row r="953" spans="9:9" x14ac:dyDescent="0.25">
      <c r="I953" s="94">
        <v>946</v>
      </c>
    </row>
    <row r="954" spans="9:9" x14ac:dyDescent="0.25">
      <c r="I954" s="94">
        <v>947</v>
      </c>
    </row>
    <row r="955" spans="9:9" x14ac:dyDescent="0.25">
      <c r="I955" s="94">
        <v>948</v>
      </c>
    </row>
    <row r="956" spans="9:9" x14ac:dyDescent="0.25">
      <c r="I956" s="94">
        <v>949</v>
      </c>
    </row>
    <row r="957" spans="9:9" x14ac:dyDescent="0.25">
      <c r="I957" s="94">
        <v>950</v>
      </c>
    </row>
    <row r="958" spans="9:9" x14ac:dyDescent="0.25">
      <c r="I958" s="94">
        <v>951</v>
      </c>
    </row>
    <row r="959" spans="9:9" x14ac:dyDescent="0.25">
      <c r="I959" s="94">
        <v>952</v>
      </c>
    </row>
    <row r="960" spans="9:9" x14ac:dyDescent="0.25">
      <c r="I960" s="94">
        <v>953</v>
      </c>
    </row>
    <row r="961" spans="9:9" x14ac:dyDescent="0.25">
      <c r="I961" s="94">
        <v>954</v>
      </c>
    </row>
    <row r="962" spans="9:9" x14ac:dyDescent="0.25">
      <c r="I962" s="94">
        <v>955</v>
      </c>
    </row>
    <row r="963" spans="9:9" x14ac:dyDescent="0.25">
      <c r="I963" s="94">
        <v>956</v>
      </c>
    </row>
    <row r="964" spans="9:9" x14ac:dyDescent="0.25">
      <c r="I964" s="94">
        <v>957</v>
      </c>
    </row>
    <row r="965" spans="9:9" x14ac:dyDescent="0.25">
      <c r="I965" s="94">
        <v>958</v>
      </c>
    </row>
    <row r="966" spans="9:9" x14ac:dyDescent="0.25">
      <c r="I966" s="94">
        <v>959</v>
      </c>
    </row>
    <row r="967" spans="9:9" x14ac:dyDescent="0.25">
      <c r="I967" s="94">
        <v>960</v>
      </c>
    </row>
    <row r="968" spans="9:9" x14ac:dyDescent="0.25">
      <c r="I968" s="94">
        <v>961</v>
      </c>
    </row>
    <row r="969" spans="9:9" x14ac:dyDescent="0.25">
      <c r="I969" s="94">
        <v>962</v>
      </c>
    </row>
    <row r="970" spans="9:9" x14ac:dyDescent="0.25">
      <c r="I970" s="94">
        <v>963</v>
      </c>
    </row>
    <row r="971" spans="9:9" x14ac:dyDescent="0.25">
      <c r="I971" s="94">
        <v>964</v>
      </c>
    </row>
    <row r="972" spans="9:9" x14ac:dyDescent="0.25">
      <c r="I972" s="94">
        <v>965</v>
      </c>
    </row>
    <row r="973" spans="9:9" x14ac:dyDescent="0.25">
      <c r="I973" s="94">
        <v>966</v>
      </c>
    </row>
    <row r="974" spans="9:9" x14ac:dyDescent="0.25">
      <c r="I974" s="94">
        <v>967</v>
      </c>
    </row>
    <row r="975" spans="9:9" x14ac:dyDescent="0.25">
      <c r="I975" s="94">
        <v>968</v>
      </c>
    </row>
    <row r="976" spans="9:9" x14ac:dyDescent="0.25">
      <c r="I976" s="94">
        <v>969</v>
      </c>
    </row>
    <row r="977" spans="9:9" x14ac:dyDescent="0.25">
      <c r="I977" s="94">
        <v>970</v>
      </c>
    </row>
    <row r="978" spans="9:9" x14ac:dyDescent="0.25">
      <c r="I978" s="94">
        <v>971</v>
      </c>
    </row>
    <row r="979" spans="9:9" x14ac:dyDescent="0.25">
      <c r="I979" s="94">
        <v>972</v>
      </c>
    </row>
    <row r="980" spans="9:9" x14ac:dyDescent="0.25">
      <c r="I980" s="94">
        <v>973</v>
      </c>
    </row>
    <row r="981" spans="9:9" x14ac:dyDescent="0.25">
      <c r="I981" s="94">
        <v>974</v>
      </c>
    </row>
    <row r="982" spans="9:9" x14ac:dyDescent="0.25">
      <c r="I982" s="94">
        <v>975</v>
      </c>
    </row>
    <row r="983" spans="9:9" x14ac:dyDescent="0.25">
      <c r="I983" s="94">
        <v>976</v>
      </c>
    </row>
    <row r="984" spans="9:9" x14ac:dyDescent="0.25">
      <c r="I984" s="94">
        <v>977</v>
      </c>
    </row>
    <row r="985" spans="9:9" x14ac:dyDescent="0.25">
      <c r="I985" s="94">
        <v>978</v>
      </c>
    </row>
    <row r="986" spans="9:9" x14ac:dyDescent="0.25">
      <c r="I986" s="94">
        <v>979</v>
      </c>
    </row>
    <row r="987" spans="9:9" x14ac:dyDescent="0.25">
      <c r="I987" s="94">
        <v>980</v>
      </c>
    </row>
    <row r="988" spans="9:9" x14ac:dyDescent="0.25">
      <c r="I988" s="94">
        <v>981</v>
      </c>
    </row>
    <row r="989" spans="9:9" x14ac:dyDescent="0.25">
      <c r="I989" s="94">
        <v>982</v>
      </c>
    </row>
    <row r="990" spans="9:9" x14ac:dyDescent="0.25">
      <c r="I990" s="94">
        <v>983</v>
      </c>
    </row>
    <row r="991" spans="9:9" x14ac:dyDescent="0.25">
      <c r="I991" s="94">
        <v>984</v>
      </c>
    </row>
    <row r="992" spans="9:9" x14ac:dyDescent="0.25">
      <c r="I992" s="94">
        <v>985</v>
      </c>
    </row>
    <row r="993" spans="9:9" x14ac:dyDescent="0.25">
      <c r="I993" s="94">
        <v>986</v>
      </c>
    </row>
    <row r="994" spans="9:9" x14ac:dyDescent="0.25">
      <c r="I994" s="94">
        <v>987</v>
      </c>
    </row>
    <row r="995" spans="9:9" x14ac:dyDescent="0.25">
      <c r="I995" s="94">
        <v>988</v>
      </c>
    </row>
    <row r="996" spans="9:9" x14ac:dyDescent="0.25">
      <c r="I996" s="94">
        <v>989</v>
      </c>
    </row>
    <row r="997" spans="9:9" x14ac:dyDescent="0.25">
      <c r="I997" s="94">
        <v>990</v>
      </c>
    </row>
    <row r="998" spans="9:9" x14ac:dyDescent="0.25">
      <c r="I998" s="94">
        <v>991</v>
      </c>
    </row>
    <row r="999" spans="9:9" x14ac:dyDescent="0.25">
      <c r="I999" s="94">
        <v>992</v>
      </c>
    </row>
    <row r="1000" spans="9:9" x14ac:dyDescent="0.25">
      <c r="I1000" s="94">
        <v>993</v>
      </c>
    </row>
    <row r="1001" spans="9:9" x14ac:dyDescent="0.25">
      <c r="I1001" s="94">
        <v>994</v>
      </c>
    </row>
    <row r="1002" spans="9:9" x14ac:dyDescent="0.25">
      <c r="I1002" s="94">
        <v>995</v>
      </c>
    </row>
    <row r="1003" spans="9:9" x14ac:dyDescent="0.25">
      <c r="I1003" s="94">
        <v>996</v>
      </c>
    </row>
    <row r="1004" spans="9:9" x14ac:dyDescent="0.25">
      <c r="I1004" s="94">
        <v>997</v>
      </c>
    </row>
    <row r="1005" spans="9:9" x14ac:dyDescent="0.25">
      <c r="I1005" s="94">
        <v>998</v>
      </c>
    </row>
    <row r="1006" spans="9:9" x14ac:dyDescent="0.25">
      <c r="I1006" s="94">
        <v>999</v>
      </c>
    </row>
    <row r="1007" spans="9:9" x14ac:dyDescent="0.25">
      <c r="I1007" s="94">
        <v>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58D2E-7B40-4DA9-A6BE-41C04C8F5DCD}">
  <sheetPr codeName="Sheet7"/>
  <dimension ref="A1:N506"/>
  <sheetViews>
    <sheetView topLeftCell="A8" workbookViewId="0">
      <selection activeCell="I18" sqref="I18"/>
    </sheetView>
  </sheetViews>
  <sheetFormatPr defaultRowHeight="12.5" x14ac:dyDescent="0.25"/>
  <cols>
    <col min="1" max="4" width="8.7265625" style="11"/>
    <col min="5" max="5" width="21" style="11" customWidth="1"/>
    <col min="6" max="10" width="8.7265625" style="11"/>
    <col min="11" max="11" width="14.1796875" style="11" customWidth="1"/>
    <col min="12" max="260" width="8.7265625" style="11"/>
    <col min="261" max="261" width="21" style="11" customWidth="1"/>
    <col min="262" max="266" width="8.7265625" style="11"/>
    <col min="267" max="267" width="14.1796875" style="11" customWidth="1"/>
    <col min="268" max="516" width="8.7265625" style="11"/>
    <col min="517" max="517" width="21" style="11" customWidth="1"/>
    <col min="518" max="522" width="8.7265625" style="11"/>
    <col min="523" max="523" width="14.1796875" style="11" customWidth="1"/>
    <col min="524" max="772" width="8.7265625" style="11"/>
    <col min="773" max="773" width="21" style="11" customWidth="1"/>
    <col min="774" max="778" width="8.7265625" style="11"/>
    <col min="779" max="779" width="14.1796875" style="11" customWidth="1"/>
    <col min="780" max="1028" width="8.7265625" style="11"/>
    <col min="1029" max="1029" width="21" style="11" customWidth="1"/>
    <col min="1030" max="1034" width="8.7265625" style="11"/>
    <col min="1035" max="1035" width="14.1796875" style="11" customWidth="1"/>
    <col min="1036" max="1284" width="8.7265625" style="11"/>
    <col min="1285" max="1285" width="21" style="11" customWidth="1"/>
    <col min="1286" max="1290" width="8.7265625" style="11"/>
    <col min="1291" max="1291" width="14.1796875" style="11" customWidth="1"/>
    <col min="1292" max="1540" width="8.7265625" style="11"/>
    <col min="1541" max="1541" width="21" style="11" customWidth="1"/>
    <col min="1542" max="1546" width="8.7265625" style="11"/>
    <col min="1547" max="1547" width="14.1796875" style="11" customWidth="1"/>
    <col min="1548" max="1796" width="8.7265625" style="11"/>
    <col min="1797" max="1797" width="21" style="11" customWidth="1"/>
    <col min="1798" max="1802" width="8.7265625" style="11"/>
    <col min="1803" max="1803" width="14.1796875" style="11" customWidth="1"/>
    <col min="1804" max="2052" width="8.7265625" style="11"/>
    <col min="2053" max="2053" width="21" style="11" customWidth="1"/>
    <col min="2054" max="2058" width="8.7265625" style="11"/>
    <col min="2059" max="2059" width="14.1796875" style="11" customWidth="1"/>
    <col min="2060" max="2308" width="8.7265625" style="11"/>
    <col min="2309" max="2309" width="21" style="11" customWidth="1"/>
    <col min="2310" max="2314" width="8.7265625" style="11"/>
    <col min="2315" max="2315" width="14.1796875" style="11" customWidth="1"/>
    <col min="2316" max="2564" width="8.7265625" style="11"/>
    <col min="2565" max="2565" width="21" style="11" customWidth="1"/>
    <col min="2566" max="2570" width="8.7265625" style="11"/>
    <col min="2571" max="2571" width="14.1796875" style="11" customWidth="1"/>
    <col min="2572" max="2820" width="8.7265625" style="11"/>
    <col min="2821" max="2821" width="21" style="11" customWidth="1"/>
    <col min="2822" max="2826" width="8.7265625" style="11"/>
    <col min="2827" max="2827" width="14.1796875" style="11" customWidth="1"/>
    <col min="2828" max="3076" width="8.7265625" style="11"/>
    <col min="3077" max="3077" width="21" style="11" customWidth="1"/>
    <col min="3078" max="3082" width="8.7265625" style="11"/>
    <col min="3083" max="3083" width="14.1796875" style="11" customWidth="1"/>
    <col min="3084" max="3332" width="8.7265625" style="11"/>
    <col min="3333" max="3333" width="21" style="11" customWidth="1"/>
    <col min="3334" max="3338" width="8.7265625" style="11"/>
    <col min="3339" max="3339" width="14.1796875" style="11" customWidth="1"/>
    <col min="3340" max="3588" width="8.7265625" style="11"/>
    <col min="3589" max="3589" width="21" style="11" customWidth="1"/>
    <col min="3590" max="3594" width="8.7265625" style="11"/>
    <col min="3595" max="3595" width="14.1796875" style="11" customWidth="1"/>
    <col min="3596" max="3844" width="8.7265625" style="11"/>
    <col min="3845" max="3845" width="21" style="11" customWidth="1"/>
    <col min="3846" max="3850" width="8.7265625" style="11"/>
    <col min="3851" max="3851" width="14.1796875" style="11" customWidth="1"/>
    <col min="3852" max="4100" width="8.7265625" style="11"/>
    <col min="4101" max="4101" width="21" style="11" customWidth="1"/>
    <col min="4102" max="4106" width="8.7265625" style="11"/>
    <col min="4107" max="4107" width="14.1796875" style="11" customWidth="1"/>
    <col min="4108" max="4356" width="8.7265625" style="11"/>
    <col min="4357" max="4357" width="21" style="11" customWidth="1"/>
    <col min="4358" max="4362" width="8.7265625" style="11"/>
    <col min="4363" max="4363" width="14.1796875" style="11" customWidth="1"/>
    <col min="4364" max="4612" width="8.7265625" style="11"/>
    <col min="4613" max="4613" width="21" style="11" customWidth="1"/>
    <col min="4614" max="4618" width="8.7265625" style="11"/>
    <col min="4619" max="4619" width="14.1796875" style="11" customWidth="1"/>
    <col min="4620" max="4868" width="8.7265625" style="11"/>
    <col min="4869" max="4869" width="21" style="11" customWidth="1"/>
    <col min="4870" max="4874" width="8.7265625" style="11"/>
    <col min="4875" max="4875" width="14.1796875" style="11" customWidth="1"/>
    <col min="4876" max="5124" width="8.7265625" style="11"/>
    <col min="5125" max="5125" width="21" style="11" customWidth="1"/>
    <col min="5126" max="5130" width="8.7265625" style="11"/>
    <col min="5131" max="5131" width="14.1796875" style="11" customWidth="1"/>
    <col min="5132" max="5380" width="8.7265625" style="11"/>
    <col min="5381" max="5381" width="21" style="11" customWidth="1"/>
    <col min="5382" max="5386" width="8.7265625" style="11"/>
    <col min="5387" max="5387" width="14.1796875" style="11" customWidth="1"/>
    <col min="5388" max="5636" width="8.7265625" style="11"/>
    <col min="5637" max="5637" width="21" style="11" customWidth="1"/>
    <col min="5638" max="5642" width="8.7265625" style="11"/>
    <col min="5643" max="5643" width="14.1796875" style="11" customWidth="1"/>
    <col min="5644" max="5892" width="8.7265625" style="11"/>
    <col min="5893" max="5893" width="21" style="11" customWidth="1"/>
    <col min="5894" max="5898" width="8.7265625" style="11"/>
    <col min="5899" max="5899" width="14.1796875" style="11" customWidth="1"/>
    <col min="5900" max="6148" width="8.7265625" style="11"/>
    <col min="6149" max="6149" width="21" style="11" customWidth="1"/>
    <col min="6150" max="6154" width="8.7265625" style="11"/>
    <col min="6155" max="6155" width="14.1796875" style="11" customWidth="1"/>
    <col min="6156" max="6404" width="8.7265625" style="11"/>
    <col min="6405" max="6405" width="21" style="11" customWidth="1"/>
    <col min="6406" max="6410" width="8.7265625" style="11"/>
    <col min="6411" max="6411" width="14.1796875" style="11" customWidth="1"/>
    <col min="6412" max="6660" width="8.7265625" style="11"/>
    <col min="6661" max="6661" width="21" style="11" customWidth="1"/>
    <col min="6662" max="6666" width="8.7265625" style="11"/>
    <col min="6667" max="6667" width="14.1796875" style="11" customWidth="1"/>
    <col min="6668" max="6916" width="8.7265625" style="11"/>
    <col min="6917" max="6917" width="21" style="11" customWidth="1"/>
    <col min="6918" max="6922" width="8.7265625" style="11"/>
    <col min="6923" max="6923" width="14.1796875" style="11" customWidth="1"/>
    <col min="6924" max="7172" width="8.7265625" style="11"/>
    <col min="7173" max="7173" width="21" style="11" customWidth="1"/>
    <col min="7174" max="7178" width="8.7265625" style="11"/>
    <col min="7179" max="7179" width="14.1796875" style="11" customWidth="1"/>
    <col min="7180" max="7428" width="8.7265625" style="11"/>
    <col min="7429" max="7429" width="21" style="11" customWidth="1"/>
    <col min="7430" max="7434" width="8.7265625" style="11"/>
    <col min="7435" max="7435" width="14.1796875" style="11" customWidth="1"/>
    <col min="7436" max="7684" width="8.7265625" style="11"/>
    <col min="7685" max="7685" width="21" style="11" customWidth="1"/>
    <col min="7686" max="7690" width="8.7265625" style="11"/>
    <col min="7691" max="7691" width="14.1796875" style="11" customWidth="1"/>
    <col min="7692" max="7940" width="8.7265625" style="11"/>
    <col min="7941" max="7941" width="21" style="11" customWidth="1"/>
    <col min="7942" max="7946" width="8.7265625" style="11"/>
    <col min="7947" max="7947" width="14.1796875" style="11" customWidth="1"/>
    <col min="7948" max="8196" width="8.7265625" style="11"/>
    <col min="8197" max="8197" width="21" style="11" customWidth="1"/>
    <col min="8198" max="8202" width="8.7265625" style="11"/>
    <col min="8203" max="8203" width="14.1796875" style="11" customWidth="1"/>
    <col min="8204" max="8452" width="8.7265625" style="11"/>
    <col min="8453" max="8453" width="21" style="11" customWidth="1"/>
    <col min="8454" max="8458" width="8.7265625" style="11"/>
    <col min="8459" max="8459" width="14.1796875" style="11" customWidth="1"/>
    <col min="8460" max="8708" width="8.7265625" style="11"/>
    <col min="8709" max="8709" width="21" style="11" customWidth="1"/>
    <col min="8710" max="8714" width="8.7265625" style="11"/>
    <col min="8715" max="8715" width="14.1796875" style="11" customWidth="1"/>
    <col min="8716" max="8964" width="8.7265625" style="11"/>
    <col min="8965" max="8965" width="21" style="11" customWidth="1"/>
    <col min="8966" max="8970" width="8.7265625" style="11"/>
    <col min="8971" max="8971" width="14.1796875" style="11" customWidth="1"/>
    <col min="8972" max="9220" width="8.7265625" style="11"/>
    <col min="9221" max="9221" width="21" style="11" customWidth="1"/>
    <col min="9222" max="9226" width="8.7265625" style="11"/>
    <col min="9227" max="9227" width="14.1796875" style="11" customWidth="1"/>
    <col min="9228" max="9476" width="8.7265625" style="11"/>
    <col min="9477" max="9477" width="21" style="11" customWidth="1"/>
    <col min="9478" max="9482" width="8.7265625" style="11"/>
    <col min="9483" max="9483" width="14.1796875" style="11" customWidth="1"/>
    <col min="9484" max="9732" width="8.7265625" style="11"/>
    <col min="9733" max="9733" width="21" style="11" customWidth="1"/>
    <col min="9734" max="9738" width="8.7265625" style="11"/>
    <col min="9739" max="9739" width="14.1796875" style="11" customWidth="1"/>
    <col min="9740" max="9988" width="8.7265625" style="11"/>
    <col min="9989" max="9989" width="21" style="11" customWidth="1"/>
    <col min="9990" max="9994" width="8.7265625" style="11"/>
    <col min="9995" max="9995" width="14.1796875" style="11" customWidth="1"/>
    <col min="9996" max="10244" width="8.7265625" style="11"/>
    <col min="10245" max="10245" width="21" style="11" customWidth="1"/>
    <col min="10246" max="10250" width="8.7265625" style="11"/>
    <col min="10251" max="10251" width="14.1796875" style="11" customWidth="1"/>
    <col min="10252" max="10500" width="8.7265625" style="11"/>
    <col min="10501" max="10501" width="21" style="11" customWidth="1"/>
    <col min="10502" max="10506" width="8.7265625" style="11"/>
    <col min="10507" max="10507" width="14.1796875" style="11" customWidth="1"/>
    <col min="10508" max="10756" width="8.7265625" style="11"/>
    <col min="10757" max="10757" width="21" style="11" customWidth="1"/>
    <col min="10758" max="10762" width="8.7265625" style="11"/>
    <col min="10763" max="10763" width="14.1796875" style="11" customWidth="1"/>
    <col min="10764" max="11012" width="8.7265625" style="11"/>
    <col min="11013" max="11013" width="21" style="11" customWidth="1"/>
    <col min="11014" max="11018" width="8.7265625" style="11"/>
    <col min="11019" max="11019" width="14.1796875" style="11" customWidth="1"/>
    <col min="11020" max="11268" width="8.7265625" style="11"/>
    <col min="11269" max="11269" width="21" style="11" customWidth="1"/>
    <col min="11270" max="11274" width="8.7265625" style="11"/>
    <col min="11275" max="11275" width="14.1796875" style="11" customWidth="1"/>
    <col min="11276" max="11524" width="8.7265625" style="11"/>
    <col min="11525" max="11525" width="21" style="11" customWidth="1"/>
    <col min="11526" max="11530" width="8.7265625" style="11"/>
    <col min="11531" max="11531" width="14.1796875" style="11" customWidth="1"/>
    <col min="11532" max="11780" width="8.7265625" style="11"/>
    <col min="11781" max="11781" width="21" style="11" customWidth="1"/>
    <col min="11782" max="11786" width="8.7265625" style="11"/>
    <col min="11787" max="11787" width="14.1796875" style="11" customWidth="1"/>
    <col min="11788" max="12036" width="8.7265625" style="11"/>
    <col min="12037" max="12037" width="21" style="11" customWidth="1"/>
    <col min="12038" max="12042" width="8.7265625" style="11"/>
    <col min="12043" max="12043" width="14.1796875" style="11" customWidth="1"/>
    <col min="12044" max="12292" width="8.7265625" style="11"/>
    <col min="12293" max="12293" width="21" style="11" customWidth="1"/>
    <col min="12294" max="12298" width="8.7265625" style="11"/>
    <col min="12299" max="12299" width="14.1796875" style="11" customWidth="1"/>
    <col min="12300" max="12548" width="8.7265625" style="11"/>
    <col min="12549" max="12549" width="21" style="11" customWidth="1"/>
    <col min="12550" max="12554" width="8.7265625" style="11"/>
    <col min="12555" max="12555" width="14.1796875" style="11" customWidth="1"/>
    <col min="12556" max="12804" width="8.7265625" style="11"/>
    <col min="12805" max="12805" width="21" style="11" customWidth="1"/>
    <col min="12806" max="12810" width="8.7265625" style="11"/>
    <col min="12811" max="12811" width="14.1796875" style="11" customWidth="1"/>
    <col min="12812" max="13060" width="8.7265625" style="11"/>
    <col min="13061" max="13061" width="21" style="11" customWidth="1"/>
    <col min="13062" max="13066" width="8.7265625" style="11"/>
    <col min="13067" max="13067" width="14.1796875" style="11" customWidth="1"/>
    <col min="13068" max="13316" width="8.7265625" style="11"/>
    <col min="13317" max="13317" width="21" style="11" customWidth="1"/>
    <col min="13318" max="13322" width="8.7265625" style="11"/>
    <col min="13323" max="13323" width="14.1796875" style="11" customWidth="1"/>
    <col min="13324" max="13572" width="8.7265625" style="11"/>
    <col min="13573" max="13573" width="21" style="11" customWidth="1"/>
    <col min="13574" max="13578" width="8.7265625" style="11"/>
    <col min="13579" max="13579" width="14.1796875" style="11" customWidth="1"/>
    <col min="13580" max="13828" width="8.7265625" style="11"/>
    <col min="13829" max="13829" width="21" style="11" customWidth="1"/>
    <col min="13830" max="13834" width="8.7265625" style="11"/>
    <col min="13835" max="13835" width="14.1796875" style="11" customWidth="1"/>
    <col min="13836" max="14084" width="8.7265625" style="11"/>
    <col min="14085" max="14085" width="21" style="11" customWidth="1"/>
    <col min="14086" max="14090" width="8.7265625" style="11"/>
    <col min="14091" max="14091" width="14.1796875" style="11" customWidth="1"/>
    <col min="14092" max="14340" width="8.7265625" style="11"/>
    <col min="14341" max="14341" width="21" style="11" customWidth="1"/>
    <col min="14342" max="14346" width="8.7265625" style="11"/>
    <col min="14347" max="14347" width="14.1796875" style="11" customWidth="1"/>
    <col min="14348" max="14596" width="8.7265625" style="11"/>
    <col min="14597" max="14597" width="21" style="11" customWidth="1"/>
    <col min="14598" max="14602" width="8.7265625" style="11"/>
    <col min="14603" max="14603" width="14.1796875" style="11" customWidth="1"/>
    <col min="14604" max="14852" width="8.7265625" style="11"/>
    <col min="14853" max="14853" width="21" style="11" customWidth="1"/>
    <col min="14854" max="14858" width="8.7265625" style="11"/>
    <col min="14859" max="14859" width="14.1796875" style="11" customWidth="1"/>
    <col min="14860" max="15108" width="8.7265625" style="11"/>
    <col min="15109" max="15109" width="21" style="11" customWidth="1"/>
    <col min="15110" max="15114" width="8.7265625" style="11"/>
    <col min="15115" max="15115" width="14.1796875" style="11" customWidth="1"/>
    <col min="15116" max="15364" width="8.7265625" style="11"/>
    <col min="15365" max="15365" width="21" style="11" customWidth="1"/>
    <col min="15366" max="15370" width="8.7265625" style="11"/>
    <col min="15371" max="15371" width="14.1796875" style="11" customWidth="1"/>
    <col min="15372" max="15620" width="8.7265625" style="11"/>
    <col min="15621" max="15621" width="21" style="11" customWidth="1"/>
    <col min="15622" max="15626" width="8.7265625" style="11"/>
    <col min="15627" max="15627" width="14.1796875" style="11" customWidth="1"/>
    <col min="15628" max="15876" width="8.7265625" style="11"/>
    <col min="15877" max="15877" width="21" style="11" customWidth="1"/>
    <col min="15878" max="15882" width="8.7265625" style="11"/>
    <col min="15883" max="15883" width="14.1796875" style="11" customWidth="1"/>
    <col min="15884" max="16132" width="8.7265625" style="11"/>
    <col min="16133" max="16133" width="21" style="11" customWidth="1"/>
    <col min="16134" max="16138" width="8.7265625" style="11"/>
    <col min="16139" max="16139" width="14.1796875" style="11" customWidth="1"/>
    <col min="16140" max="16384" width="8.7265625" style="11"/>
  </cols>
  <sheetData>
    <row r="1" spans="1:14" ht="26" x14ac:dyDescent="0.3">
      <c r="A1" s="111" t="s">
        <v>9</v>
      </c>
      <c r="B1" s="111" t="s">
        <v>74</v>
      </c>
      <c r="C1" s="111" t="s">
        <v>75</v>
      </c>
    </row>
    <row r="2" spans="1:14" x14ac:dyDescent="0.25">
      <c r="A2" s="112">
        <v>19329</v>
      </c>
      <c r="B2" s="16">
        <v>2.35</v>
      </c>
    </row>
    <row r="3" spans="1:14" x14ac:dyDescent="0.25">
      <c r="A3" s="112">
        <v>19360</v>
      </c>
      <c r="B3" s="16">
        <v>2.42</v>
      </c>
      <c r="C3" s="16">
        <f>+B3-B2</f>
        <v>6.999999999999984E-2</v>
      </c>
      <c r="F3" s="79">
        <v>0.95</v>
      </c>
      <c r="G3" s="79">
        <v>0.99</v>
      </c>
    </row>
    <row r="4" spans="1:14" x14ac:dyDescent="0.25">
      <c r="A4" s="112">
        <v>19391</v>
      </c>
      <c r="B4" s="16">
        <v>2.4500000000000002</v>
      </c>
      <c r="C4" s="16">
        <f t="shared" ref="C4:C67" si="0">+B4-B3</f>
        <v>3.0000000000000249E-2</v>
      </c>
      <c r="E4" s="11" t="s">
        <v>76</v>
      </c>
      <c r="F4" s="16"/>
      <c r="G4" s="16"/>
      <c r="H4" s="11" t="s">
        <v>77</v>
      </c>
    </row>
    <row r="5" spans="1:14" x14ac:dyDescent="0.25">
      <c r="A5" s="112">
        <v>19419</v>
      </c>
      <c r="B5" s="16">
        <v>2.5299999999999998</v>
      </c>
      <c r="C5" s="16">
        <f t="shared" si="0"/>
        <v>7.9999999999999627E-2</v>
      </c>
    </row>
    <row r="6" spans="1:14" x14ac:dyDescent="0.25">
      <c r="A6" s="112">
        <v>19450</v>
      </c>
      <c r="B6" s="16">
        <v>2.77</v>
      </c>
      <c r="C6" s="16">
        <f t="shared" si="0"/>
        <v>0.24000000000000021</v>
      </c>
      <c r="E6" s="11" t="s">
        <v>78</v>
      </c>
      <c r="F6" s="11">
        <v>7.4</v>
      </c>
      <c r="G6" s="11">
        <v>7.4</v>
      </c>
      <c r="H6" s="11" t="s">
        <v>79</v>
      </c>
    </row>
    <row r="7" spans="1:14" x14ac:dyDescent="0.25">
      <c r="A7" s="112">
        <v>19480</v>
      </c>
      <c r="B7" s="16">
        <v>3.07</v>
      </c>
      <c r="C7" s="16">
        <f t="shared" si="0"/>
        <v>0.29999999999999982</v>
      </c>
      <c r="E7" s="11" t="s">
        <v>80</v>
      </c>
      <c r="F7" s="11">
        <v>7.5</v>
      </c>
      <c r="G7" s="11">
        <v>7.5</v>
      </c>
      <c r="H7" s="11" t="s">
        <v>81</v>
      </c>
    </row>
    <row r="8" spans="1:14" x14ac:dyDescent="0.25">
      <c r="A8" s="112">
        <v>19511</v>
      </c>
      <c r="B8" s="16">
        <v>2.79</v>
      </c>
      <c r="C8" s="16">
        <f t="shared" si="0"/>
        <v>-0.2799999999999998</v>
      </c>
      <c r="E8" s="11" t="s">
        <v>82</v>
      </c>
      <c r="F8" s="16"/>
      <c r="G8" s="16"/>
    </row>
    <row r="9" spans="1:14" x14ac:dyDescent="0.25">
      <c r="A9" s="112">
        <v>19541</v>
      </c>
      <c r="B9" s="16">
        <v>2.72</v>
      </c>
      <c r="C9" s="16">
        <f t="shared" si="0"/>
        <v>-6.999999999999984E-2</v>
      </c>
    </row>
    <row r="10" spans="1:14" x14ac:dyDescent="0.25">
      <c r="A10" s="112">
        <v>19572</v>
      </c>
      <c r="B10" s="16">
        <v>2.79</v>
      </c>
      <c r="C10" s="16">
        <f t="shared" si="0"/>
        <v>6.999999999999984E-2</v>
      </c>
      <c r="E10" s="13" t="s">
        <v>83</v>
      </c>
      <c r="K10" s="13" t="s">
        <v>84</v>
      </c>
    </row>
    <row r="11" spans="1:14" x14ac:dyDescent="0.25">
      <c r="A11" s="112">
        <v>19603</v>
      </c>
      <c r="B11" s="16">
        <v>2.41</v>
      </c>
      <c r="C11" s="16">
        <f t="shared" si="0"/>
        <v>-0.37999999999999989</v>
      </c>
      <c r="E11" s="11" t="s">
        <v>85</v>
      </c>
      <c r="F11" s="16"/>
      <c r="G11" s="16"/>
      <c r="H11" s="11" t="s">
        <v>81</v>
      </c>
      <c r="K11" s="13" t="s">
        <v>86</v>
      </c>
      <c r="L11" s="113"/>
    </row>
    <row r="12" spans="1:14" x14ac:dyDescent="0.25">
      <c r="A12" s="112">
        <v>19633</v>
      </c>
      <c r="B12" s="16">
        <v>2.37</v>
      </c>
      <c r="C12" s="16">
        <f t="shared" si="0"/>
        <v>-4.0000000000000036E-2</v>
      </c>
      <c r="E12" s="11" t="s">
        <v>87</v>
      </c>
      <c r="F12" s="16"/>
      <c r="G12" s="16"/>
      <c r="H12" s="11" t="s">
        <v>81</v>
      </c>
      <c r="K12" s="13" t="s">
        <v>88</v>
      </c>
      <c r="L12" s="113"/>
    </row>
    <row r="13" spans="1:14" x14ac:dyDescent="0.25">
      <c r="A13" s="112">
        <v>19664</v>
      </c>
      <c r="B13" s="16">
        <v>2.38</v>
      </c>
      <c r="C13" s="16">
        <f t="shared" si="0"/>
        <v>9.9999999999997868E-3</v>
      </c>
      <c r="L13" s="79">
        <v>0.95</v>
      </c>
      <c r="M13" s="79">
        <v>0.99</v>
      </c>
    </row>
    <row r="14" spans="1:14" ht="11" customHeight="1" x14ac:dyDescent="0.25">
      <c r="A14" s="112">
        <v>19694</v>
      </c>
      <c r="B14" s="16">
        <v>2.1800000000000002</v>
      </c>
      <c r="C14" s="16">
        <f t="shared" si="0"/>
        <v>-0.19999999999999973</v>
      </c>
      <c r="K14" s="13" t="s">
        <v>89</v>
      </c>
      <c r="L14" s="16"/>
      <c r="M14" s="16"/>
    </row>
    <row r="15" spans="1:14" x14ac:dyDescent="0.25">
      <c r="A15" s="112">
        <v>19725</v>
      </c>
      <c r="B15" s="16">
        <v>1.87</v>
      </c>
      <c r="C15" s="16">
        <f t="shared" si="0"/>
        <v>-0.31000000000000005</v>
      </c>
      <c r="K15" s="11" t="s">
        <v>85</v>
      </c>
      <c r="L15" s="16"/>
      <c r="M15" s="16"/>
      <c r="N15" s="11" t="s">
        <v>81</v>
      </c>
    </row>
    <row r="16" spans="1:14" x14ac:dyDescent="0.25">
      <c r="A16" s="112">
        <v>19756</v>
      </c>
      <c r="B16" s="16">
        <v>1.57</v>
      </c>
      <c r="C16" s="16">
        <f t="shared" si="0"/>
        <v>-0.30000000000000004</v>
      </c>
      <c r="K16" s="11" t="s">
        <v>87</v>
      </c>
      <c r="L16" s="16"/>
      <c r="M16" s="16"/>
      <c r="N16" s="11" t="s">
        <v>81</v>
      </c>
    </row>
    <row r="17" spans="1:7" x14ac:dyDescent="0.25">
      <c r="A17" s="112">
        <v>19784</v>
      </c>
      <c r="B17" s="16">
        <v>1.53</v>
      </c>
      <c r="C17" s="16">
        <f t="shared" si="0"/>
        <v>-4.0000000000000036E-2</v>
      </c>
      <c r="E17" s="11" t="s">
        <v>90</v>
      </c>
      <c r="F17" s="79">
        <v>0.03</v>
      </c>
    </row>
    <row r="18" spans="1:7" ht="25" x14ac:dyDescent="0.25">
      <c r="A18" s="112">
        <v>19815</v>
      </c>
      <c r="B18" s="16">
        <v>1.42</v>
      </c>
      <c r="C18" s="16">
        <f t="shared" si="0"/>
        <v>-0.1100000000000001</v>
      </c>
      <c r="E18" s="114" t="s">
        <v>91</v>
      </c>
      <c r="F18" s="16"/>
      <c r="G18" s="11" t="s">
        <v>81</v>
      </c>
    </row>
    <row r="19" spans="1:7" x14ac:dyDescent="0.25">
      <c r="A19" s="112">
        <v>19845</v>
      </c>
      <c r="B19" s="16">
        <v>1.73</v>
      </c>
      <c r="C19" s="16">
        <f t="shared" si="0"/>
        <v>0.31000000000000005</v>
      </c>
    </row>
    <row r="20" spans="1:7" x14ac:dyDescent="0.25">
      <c r="A20" s="112">
        <v>19876</v>
      </c>
      <c r="B20" s="16">
        <v>1.31</v>
      </c>
      <c r="C20" s="16">
        <f t="shared" si="0"/>
        <v>-0.41999999999999993</v>
      </c>
    </row>
    <row r="21" spans="1:7" x14ac:dyDescent="0.25">
      <c r="A21" s="112">
        <v>19906</v>
      </c>
      <c r="B21" s="16">
        <v>1.38</v>
      </c>
      <c r="C21" s="16">
        <f t="shared" si="0"/>
        <v>6.999999999999984E-2</v>
      </c>
    </row>
    <row r="22" spans="1:7" x14ac:dyDescent="0.25">
      <c r="A22" s="112">
        <v>19937</v>
      </c>
      <c r="B22" s="16">
        <v>1.38</v>
      </c>
      <c r="C22" s="16">
        <f t="shared" si="0"/>
        <v>0</v>
      </c>
    </row>
    <row r="23" spans="1:7" x14ac:dyDescent="0.25">
      <c r="A23" s="112">
        <v>19968</v>
      </c>
      <c r="B23" s="16">
        <v>1.52</v>
      </c>
      <c r="C23" s="16">
        <f t="shared" si="0"/>
        <v>0.14000000000000012</v>
      </c>
    </row>
    <row r="24" spans="1:7" x14ac:dyDescent="0.25">
      <c r="A24" s="112">
        <v>19998</v>
      </c>
      <c r="B24" s="16">
        <v>1.61</v>
      </c>
      <c r="C24" s="16">
        <f t="shared" si="0"/>
        <v>9.000000000000008E-2</v>
      </c>
    </row>
    <row r="25" spans="1:7" x14ac:dyDescent="0.25">
      <c r="A25" s="112">
        <v>20029</v>
      </c>
      <c r="B25" s="16">
        <v>1.68</v>
      </c>
      <c r="C25" s="16">
        <f t="shared" si="0"/>
        <v>6.999999999999984E-2</v>
      </c>
    </row>
    <row r="26" spans="1:7" x14ac:dyDescent="0.25">
      <c r="A26" s="112">
        <v>20059</v>
      </c>
      <c r="B26" s="16">
        <v>1.72</v>
      </c>
      <c r="C26" s="16">
        <f t="shared" si="0"/>
        <v>4.0000000000000036E-2</v>
      </c>
    </row>
    <row r="27" spans="1:7" x14ac:dyDescent="0.25">
      <c r="A27" s="112">
        <v>20090</v>
      </c>
      <c r="B27" s="16">
        <v>2.27</v>
      </c>
      <c r="C27" s="16">
        <f t="shared" si="0"/>
        <v>0.55000000000000004</v>
      </c>
    </row>
    <row r="28" spans="1:7" x14ac:dyDescent="0.25">
      <c r="A28" s="112">
        <v>20121</v>
      </c>
      <c r="B28" s="16">
        <v>2.4</v>
      </c>
      <c r="C28" s="16">
        <f t="shared" si="0"/>
        <v>0.12999999999999989</v>
      </c>
    </row>
    <row r="29" spans="1:7" x14ac:dyDescent="0.25">
      <c r="A29" s="112">
        <v>20149</v>
      </c>
      <c r="B29" s="16">
        <v>2.4</v>
      </c>
      <c r="C29" s="16">
        <f t="shared" si="0"/>
        <v>0</v>
      </c>
    </row>
    <row r="30" spans="1:7" x14ac:dyDescent="0.25">
      <c r="A30" s="112">
        <v>20180</v>
      </c>
      <c r="B30" s="16">
        <v>2.42</v>
      </c>
      <c r="C30" s="16">
        <f t="shared" si="0"/>
        <v>2.0000000000000018E-2</v>
      </c>
    </row>
    <row r="31" spans="1:7" x14ac:dyDescent="0.25">
      <c r="A31" s="112">
        <v>20210</v>
      </c>
      <c r="B31" s="16">
        <v>2.46</v>
      </c>
      <c r="C31" s="16">
        <f t="shared" si="0"/>
        <v>4.0000000000000036E-2</v>
      </c>
    </row>
    <row r="32" spans="1:7" x14ac:dyDescent="0.25">
      <c r="A32" s="112">
        <v>20241</v>
      </c>
      <c r="B32" s="16">
        <v>2.57</v>
      </c>
      <c r="C32" s="16">
        <f t="shared" si="0"/>
        <v>0.10999999999999988</v>
      </c>
    </row>
    <row r="33" spans="1:3" x14ac:dyDescent="0.25">
      <c r="A33" s="112">
        <v>20271</v>
      </c>
      <c r="B33" s="16">
        <v>2.76</v>
      </c>
      <c r="C33" s="16">
        <f t="shared" si="0"/>
        <v>0.18999999999999995</v>
      </c>
    </row>
    <row r="34" spans="1:3" x14ac:dyDescent="0.25">
      <c r="A34" s="112">
        <v>20302</v>
      </c>
      <c r="B34" s="16">
        <v>2.8</v>
      </c>
      <c r="C34" s="16">
        <f t="shared" si="0"/>
        <v>4.0000000000000036E-2</v>
      </c>
    </row>
    <row r="35" spans="1:3" x14ac:dyDescent="0.25">
      <c r="A35" s="112">
        <v>20333</v>
      </c>
      <c r="B35" s="16">
        <v>2.67</v>
      </c>
      <c r="C35" s="16">
        <f t="shared" si="0"/>
        <v>-0.12999999999999989</v>
      </c>
    </row>
    <row r="36" spans="1:3" x14ac:dyDescent="0.25">
      <c r="A36" s="112">
        <v>20363</v>
      </c>
      <c r="B36" s="16">
        <v>2.57</v>
      </c>
      <c r="C36" s="16">
        <f t="shared" si="0"/>
        <v>-0.10000000000000009</v>
      </c>
    </row>
    <row r="37" spans="1:3" x14ac:dyDescent="0.25">
      <c r="A37" s="112">
        <v>20394</v>
      </c>
      <c r="B37" s="16">
        <v>2.73</v>
      </c>
      <c r="C37" s="16">
        <f t="shared" si="0"/>
        <v>0.16000000000000014</v>
      </c>
    </row>
    <row r="38" spans="1:3" x14ac:dyDescent="0.25">
      <c r="A38" s="112">
        <v>20424</v>
      </c>
      <c r="B38" s="16">
        <v>2.8</v>
      </c>
      <c r="C38" s="16">
        <f t="shared" si="0"/>
        <v>6.999999999999984E-2</v>
      </c>
    </row>
    <row r="39" spans="1:3" x14ac:dyDescent="0.25">
      <c r="A39" s="112">
        <v>20455</v>
      </c>
      <c r="B39" s="16">
        <v>2.71</v>
      </c>
      <c r="C39" s="16">
        <f t="shared" si="0"/>
        <v>-8.9999999999999858E-2</v>
      </c>
    </row>
    <row r="40" spans="1:3" x14ac:dyDescent="0.25">
      <c r="A40" s="112">
        <v>20486</v>
      </c>
      <c r="B40" s="16">
        <v>2.75</v>
      </c>
      <c r="C40" s="16">
        <f t="shared" si="0"/>
        <v>4.0000000000000036E-2</v>
      </c>
    </row>
    <row r="41" spans="1:3" x14ac:dyDescent="0.25">
      <c r="A41" s="112">
        <v>20515</v>
      </c>
      <c r="B41" s="16">
        <v>3</v>
      </c>
      <c r="C41" s="16">
        <f t="shared" si="0"/>
        <v>0.25</v>
      </c>
    </row>
    <row r="42" spans="1:3" x14ac:dyDescent="0.25">
      <c r="A42" s="112">
        <v>20546</v>
      </c>
      <c r="B42" s="16">
        <v>3.05</v>
      </c>
      <c r="C42" s="16">
        <f t="shared" si="0"/>
        <v>4.9999999999999822E-2</v>
      </c>
    </row>
    <row r="43" spans="1:3" x14ac:dyDescent="0.25">
      <c r="A43" s="112">
        <v>20576</v>
      </c>
      <c r="B43" s="16">
        <v>2.87</v>
      </c>
      <c r="C43" s="16">
        <f t="shared" si="0"/>
        <v>-0.17999999999999972</v>
      </c>
    </row>
    <row r="44" spans="1:3" x14ac:dyDescent="0.25">
      <c r="A44" s="112">
        <v>20607</v>
      </c>
      <c r="B44" s="16">
        <v>2.92</v>
      </c>
      <c r="C44" s="16">
        <f t="shared" si="0"/>
        <v>4.9999999999999822E-2</v>
      </c>
    </row>
    <row r="45" spans="1:3" x14ac:dyDescent="0.25">
      <c r="A45" s="112">
        <v>20637</v>
      </c>
      <c r="B45" s="16">
        <v>3.17</v>
      </c>
      <c r="C45" s="16">
        <f t="shared" si="0"/>
        <v>0.25</v>
      </c>
    </row>
    <row r="46" spans="1:3" x14ac:dyDescent="0.25">
      <c r="A46" s="112">
        <v>20668</v>
      </c>
      <c r="B46" s="16">
        <v>3.46</v>
      </c>
      <c r="C46" s="16">
        <f t="shared" si="0"/>
        <v>0.29000000000000004</v>
      </c>
    </row>
    <row r="47" spans="1:3" x14ac:dyDescent="0.25">
      <c r="A47" s="112">
        <v>20699</v>
      </c>
      <c r="B47" s="16">
        <v>3.31</v>
      </c>
      <c r="C47" s="16">
        <f t="shared" si="0"/>
        <v>-0.14999999999999991</v>
      </c>
    </row>
    <row r="48" spans="1:3" x14ac:dyDescent="0.25">
      <c r="A48" s="112">
        <v>20729</v>
      </c>
      <c r="B48" s="16">
        <v>3.42</v>
      </c>
      <c r="C48" s="16">
        <f t="shared" si="0"/>
        <v>0.10999999999999988</v>
      </c>
    </row>
    <row r="49" spans="1:3" x14ac:dyDescent="0.25">
      <c r="A49" s="112">
        <v>20760</v>
      </c>
      <c r="B49" s="16">
        <v>3.59</v>
      </c>
      <c r="C49" s="16">
        <f t="shared" si="0"/>
        <v>0.16999999999999993</v>
      </c>
    </row>
    <row r="50" spans="1:3" x14ac:dyDescent="0.25">
      <c r="A50" s="112">
        <v>20790</v>
      </c>
      <c r="B50" s="16">
        <v>3.63</v>
      </c>
      <c r="C50" s="16">
        <f t="shared" si="0"/>
        <v>4.0000000000000036E-2</v>
      </c>
    </row>
    <row r="51" spans="1:3" x14ac:dyDescent="0.25">
      <c r="A51" s="112">
        <v>20821</v>
      </c>
      <c r="B51" s="16">
        <v>3.26</v>
      </c>
      <c r="C51" s="16">
        <f t="shared" si="0"/>
        <v>-0.37000000000000011</v>
      </c>
    </row>
    <row r="52" spans="1:3" x14ac:dyDescent="0.25">
      <c r="A52" s="112">
        <v>20852</v>
      </c>
      <c r="B52" s="16">
        <v>3.33</v>
      </c>
      <c r="C52" s="16">
        <f t="shared" si="0"/>
        <v>7.0000000000000284E-2</v>
      </c>
    </row>
    <row r="53" spans="1:3" x14ac:dyDescent="0.25">
      <c r="A53" s="112">
        <v>20880</v>
      </c>
      <c r="B53" s="16">
        <v>3.34</v>
      </c>
      <c r="C53" s="16">
        <f t="shared" si="0"/>
        <v>9.9999999999997868E-3</v>
      </c>
    </row>
    <row r="54" spans="1:3" x14ac:dyDescent="0.25">
      <c r="A54" s="112">
        <v>20911</v>
      </c>
      <c r="B54" s="16">
        <v>3.57</v>
      </c>
      <c r="C54" s="16">
        <f t="shared" si="0"/>
        <v>0.22999999999999998</v>
      </c>
    </row>
    <row r="55" spans="1:3" x14ac:dyDescent="0.25">
      <c r="A55" s="112">
        <v>20941</v>
      </c>
      <c r="B55" s="16">
        <v>3.66</v>
      </c>
      <c r="C55" s="16">
        <f t="shared" si="0"/>
        <v>9.0000000000000302E-2</v>
      </c>
    </row>
    <row r="56" spans="1:3" x14ac:dyDescent="0.25">
      <c r="A56" s="112">
        <v>20972</v>
      </c>
      <c r="B56" s="16">
        <v>3.9</v>
      </c>
      <c r="C56" s="16">
        <f t="shared" si="0"/>
        <v>0.23999999999999977</v>
      </c>
    </row>
    <row r="57" spans="1:3" x14ac:dyDescent="0.25">
      <c r="A57" s="112">
        <v>21002</v>
      </c>
      <c r="B57" s="16">
        <v>3.99</v>
      </c>
      <c r="C57" s="16">
        <f t="shared" si="0"/>
        <v>9.0000000000000302E-2</v>
      </c>
    </row>
    <row r="58" spans="1:3" x14ac:dyDescent="0.25">
      <c r="A58" s="112">
        <v>21033</v>
      </c>
      <c r="B58" s="16">
        <v>3.85</v>
      </c>
      <c r="C58" s="16">
        <f t="shared" si="0"/>
        <v>-0.14000000000000012</v>
      </c>
    </row>
    <row r="59" spans="1:3" x14ac:dyDescent="0.25">
      <c r="A59" s="112">
        <v>21064</v>
      </c>
      <c r="B59" s="16">
        <v>3.9</v>
      </c>
      <c r="C59" s="16">
        <f t="shared" si="0"/>
        <v>4.9999999999999822E-2</v>
      </c>
    </row>
    <row r="60" spans="1:3" x14ac:dyDescent="0.25">
      <c r="A60" s="112">
        <v>21094</v>
      </c>
      <c r="B60" s="16">
        <v>3.88</v>
      </c>
      <c r="C60" s="16">
        <f t="shared" si="0"/>
        <v>-2.0000000000000018E-2</v>
      </c>
    </row>
    <row r="61" spans="1:3" x14ac:dyDescent="0.25">
      <c r="A61" s="112">
        <v>21125</v>
      </c>
      <c r="B61" s="16">
        <v>3.2</v>
      </c>
      <c r="C61" s="16">
        <f t="shared" si="0"/>
        <v>-0.67999999999999972</v>
      </c>
    </row>
    <row r="62" spans="1:3" x14ac:dyDescent="0.25">
      <c r="A62" s="112">
        <v>21155</v>
      </c>
      <c r="B62" s="16">
        <v>2.84</v>
      </c>
      <c r="C62" s="16">
        <f t="shared" si="0"/>
        <v>-0.36000000000000032</v>
      </c>
    </row>
    <row r="63" spans="1:3" x14ac:dyDescent="0.25">
      <c r="A63" s="112">
        <v>21186</v>
      </c>
      <c r="B63" s="16">
        <v>2.82</v>
      </c>
      <c r="C63" s="16">
        <f t="shared" si="0"/>
        <v>-2.0000000000000018E-2</v>
      </c>
    </row>
    <row r="64" spans="1:3" x14ac:dyDescent="0.25">
      <c r="A64" s="112">
        <v>21217</v>
      </c>
      <c r="B64" s="16">
        <v>2.59</v>
      </c>
      <c r="C64" s="16">
        <f t="shared" si="0"/>
        <v>-0.22999999999999998</v>
      </c>
    </row>
    <row r="65" spans="1:3" x14ac:dyDescent="0.25">
      <c r="A65" s="112">
        <v>21245</v>
      </c>
      <c r="B65" s="16">
        <v>2.5299999999999998</v>
      </c>
      <c r="C65" s="16">
        <f t="shared" si="0"/>
        <v>-6.0000000000000053E-2</v>
      </c>
    </row>
    <row r="66" spans="1:3" x14ac:dyDescent="0.25">
      <c r="A66" s="112">
        <v>21276</v>
      </c>
      <c r="B66" s="16">
        <v>2.46</v>
      </c>
      <c r="C66" s="16">
        <f t="shared" si="0"/>
        <v>-6.999999999999984E-2</v>
      </c>
    </row>
    <row r="67" spans="1:3" x14ac:dyDescent="0.25">
      <c r="A67" s="112">
        <v>21306</v>
      </c>
      <c r="B67" s="16">
        <v>2.38</v>
      </c>
      <c r="C67" s="16">
        <f t="shared" si="0"/>
        <v>-8.0000000000000071E-2</v>
      </c>
    </row>
    <row r="68" spans="1:3" x14ac:dyDescent="0.25">
      <c r="A68" s="112">
        <v>21337</v>
      </c>
      <c r="B68" s="16">
        <v>2.5</v>
      </c>
      <c r="C68" s="16">
        <f t="shared" ref="C68:C131" si="1">+B68-B67</f>
        <v>0.12000000000000011</v>
      </c>
    </row>
    <row r="69" spans="1:3" x14ac:dyDescent="0.25">
      <c r="A69" s="112">
        <v>21367</v>
      </c>
      <c r="B69" s="16">
        <v>2.81</v>
      </c>
      <c r="C69" s="16">
        <f t="shared" si="1"/>
        <v>0.31000000000000005</v>
      </c>
    </row>
    <row r="70" spans="1:3" x14ac:dyDescent="0.25">
      <c r="A70" s="112">
        <v>21398</v>
      </c>
      <c r="B70" s="16">
        <v>3.65</v>
      </c>
      <c r="C70" s="16">
        <f t="shared" si="1"/>
        <v>0.83999999999999986</v>
      </c>
    </row>
    <row r="71" spans="1:3" x14ac:dyDescent="0.25">
      <c r="A71" s="112">
        <v>21429</v>
      </c>
      <c r="B71" s="16">
        <v>3.76</v>
      </c>
      <c r="C71" s="16">
        <f t="shared" si="1"/>
        <v>0.10999999999999988</v>
      </c>
    </row>
    <row r="72" spans="1:3" x14ac:dyDescent="0.25">
      <c r="A72" s="112">
        <v>21459</v>
      </c>
      <c r="B72" s="16">
        <v>3.82</v>
      </c>
      <c r="C72" s="16">
        <f t="shared" si="1"/>
        <v>6.0000000000000053E-2</v>
      </c>
    </row>
    <row r="73" spans="1:3" x14ac:dyDescent="0.25">
      <c r="A73" s="112">
        <v>21490</v>
      </c>
      <c r="B73" s="16">
        <v>3.59</v>
      </c>
      <c r="C73" s="16">
        <f t="shared" si="1"/>
        <v>-0.22999999999999998</v>
      </c>
    </row>
    <row r="74" spans="1:3" x14ac:dyDescent="0.25">
      <c r="A74" s="112">
        <v>21520</v>
      </c>
      <c r="B74" s="16">
        <v>3.81</v>
      </c>
      <c r="C74" s="16">
        <f t="shared" si="1"/>
        <v>0.2200000000000002</v>
      </c>
    </row>
    <row r="75" spans="1:3" x14ac:dyDescent="0.25">
      <c r="A75" s="112">
        <v>21551</v>
      </c>
      <c r="B75" s="16">
        <v>3.95</v>
      </c>
      <c r="C75" s="16">
        <f t="shared" si="1"/>
        <v>0.14000000000000012</v>
      </c>
    </row>
    <row r="76" spans="1:3" x14ac:dyDescent="0.25">
      <c r="A76" s="112">
        <v>21582</v>
      </c>
      <c r="B76" s="16">
        <v>3.78</v>
      </c>
      <c r="C76" s="16">
        <f t="shared" si="1"/>
        <v>-0.17000000000000037</v>
      </c>
    </row>
    <row r="77" spans="1:3" x14ac:dyDescent="0.25">
      <c r="A77" s="112">
        <v>21610</v>
      </c>
      <c r="B77" s="16">
        <v>3.93</v>
      </c>
      <c r="C77" s="16">
        <f t="shared" si="1"/>
        <v>0.15000000000000036</v>
      </c>
    </row>
    <row r="78" spans="1:3" x14ac:dyDescent="0.25">
      <c r="A78" s="112">
        <v>21641</v>
      </c>
      <c r="B78" s="16">
        <v>4.13</v>
      </c>
      <c r="C78" s="16">
        <f t="shared" si="1"/>
        <v>0.19999999999999973</v>
      </c>
    </row>
    <row r="79" spans="1:3" x14ac:dyDescent="0.25">
      <c r="A79" s="112">
        <v>21671</v>
      </c>
      <c r="B79" s="16">
        <v>4.2</v>
      </c>
      <c r="C79" s="16">
        <f t="shared" si="1"/>
        <v>7.0000000000000284E-2</v>
      </c>
    </row>
    <row r="80" spans="1:3" x14ac:dyDescent="0.25">
      <c r="A80" s="112">
        <v>21702</v>
      </c>
      <c r="B80" s="16">
        <v>4.47</v>
      </c>
      <c r="C80" s="16">
        <f t="shared" si="1"/>
        <v>0.26999999999999957</v>
      </c>
    </row>
    <row r="81" spans="1:3" x14ac:dyDescent="0.25">
      <c r="A81" s="112">
        <v>21732</v>
      </c>
      <c r="B81" s="16">
        <v>4.4800000000000004</v>
      </c>
      <c r="C81" s="16">
        <f t="shared" si="1"/>
        <v>1.0000000000000675E-2</v>
      </c>
    </row>
    <row r="82" spans="1:3" x14ac:dyDescent="0.25">
      <c r="A82" s="112">
        <v>21763</v>
      </c>
      <c r="B82" s="16">
        <v>4.7699999999999996</v>
      </c>
      <c r="C82" s="16">
        <f t="shared" si="1"/>
        <v>0.28999999999999915</v>
      </c>
    </row>
    <row r="83" spans="1:3" x14ac:dyDescent="0.25">
      <c r="A83" s="112">
        <v>21794</v>
      </c>
      <c r="B83" s="16">
        <v>4.82</v>
      </c>
      <c r="C83" s="16">
        <f t="shared" si="1"/>
        <v>5.0000000000000711E-2</v>
      </c>
    </row>
    <row r="84" spans="1:3" x14ac:dyDescent="0.25">
      <c r="A84" s="112">
        <v>21824</v>
      </c>
      <c r="B84" s="16">
        <v>4.4800000000000004</v>
      </c>
      <c r="C84" s="16">
        <f t="shared" si="1"/>
        <v>-0.33999999999999986</v>
      </c>
    </row>
    <row r="85" spans="1:3" x14ac:dyDescent="0.25">
      <c r="A85" s="112">
        <v>21855</v>
      </c>
      <c r="B85" s="16">
        <v>4.82</v>
      </c>
      <c r="C85" s="16">
        <f t="shared" si="1"/>
        <v>0.33999999999999986</v>
      </c>
    </row>
    <row r="86" spans="1:3" x14ac:dyDescent="0.25">
      <c r="A86" s="112">
        <v>21885</v>
      </c>
      <c r="B86" s="16">
        <v>4.9800000000000004</v>
      </c>
      <c r="C86" s="16">
        <f t="shared" si="1"/>
        <v>0.16000000000000014</v>
      </c>
    </row>
    <row r="87" spans="1:3" x14ac:dyDescent="0.25">
      <c r="A87" s="112">
        <v>21916</v>
      </c>
      <c r="B87" s="16">
        <v>4.71</v>
      </c>
      <c r="C87" s="16">
        <f t="shared" si="1"/>
        <v>-0.27000000000000046</v>
      </c>
    </row>
    <row r="88" spans="1:3" x14ac:dyDescent="0.25">
      <c r="A88" s="112">
        <v>21947</v>
      </c>
      <c r="B88" s="16">
        <v>4.6399999999999997</v>
      </c>
      <c r="C88" s="16">
        <f t="shared" si="1"/>
        <v>-7.0000000000000284E-2</v>
      </c>
    </row>
    <row r="89" spans="1:3" x14ac:dyDescent="0.25">
      <c r="A89" s="112">
        <v>21976</v>
      </c>
      <c r="B89" s="16">
        <v>4.09</v>
      </c>
      <c r="C89" s="16">
        <f t="shared" si="1"/>
        <v>-0.54999999999999982</v>
      </c>
    </row>
    <row r="90" spans="1:3" x14ac:dyDescent="0.25">
      <c r="A90" s="112">
        <v>22007</v>
      </c>
      <c r="B90" s="16">
        <v>4.3099999999999996</v>
      </c>
      <c r="C90" s="16">
        <f t="shared" si="1"/>
        <v>0.21999999999999975</v>
      </c>
    </row>
    <row r="91" spans="1:3" x14ac:dyDescent="0.25">
      <c r="A91" s="112">
        <v>22037</v>
      </c>
      <c r="B91" s="16">
        <v>4.32</v>
      </c>
      <c r="C91" s="16">
        <f t="shared" si="1"/>
        <v>1.0000000000000675E-2</v>
      </c>
    </row>
    <row r="92" spans="1:3" x14ac:dyDescent="0.25">
      <c r="A92" s="112">
        <v>22068</v>
      </c>
      <c r="B92" s="16">
        <v>3.9</v>
      </c>
      <c r="C92" s="16">
        <f t="shared" si="1"/>
        <v>-0.42000000000000037</v>
      </c>
    </row>
    <row r="93" spans="1:3" x14ac:dyDescent="0.25">
      <c r="A93" s="112">
        <v>22098</v>
      </c>
      <c r="B93" s="16">
        <v>3.34</v>
      </c>
      <c r="C93" s="16">
        <f t="shared" si="1"/>
        <v>-0.56000000000000005</v>
      </c>
    </row>
    <row r="94" spans="1:3" x14ac:dyDescent="0.25">
      <c r="A94" s="112">
        <v>22129</v>
      </c>
      <c r="B94" s="16">
        <v>3.43</v>
      </c>
      <c r="C94" s="16">
        <f t="shared" si="1"/>
        <v>9.0000000000000302E-2</v>
      </c>
    </row>
    <row r="95" spans="1:3" x14ac:dyDescent="0.25">
      <c r="A95" s="112">
        <v>22160</v>
      </c>
      <c r="B95" s="16">
        <v>3.43</v>
      </c>
      <c r="C95" s="16">
        <f t="shared" si="1"/>
        <v>0</v>
      </c>
    </row>
    <row r="96" spans="1:3" x14ac:dyDescent="0.25">
      <c r="A96" s="112">
        <v>22190</v>
      </c>
      <c r="B96" s="16">
        <v>3.46</v>
      </c>
      <c r="C96" s="16">
        <f t="shared" si="1"/>
        <v>2.9999999999999805E-2</v>
      </c>
    </row>
    <row r="97" spans="1:3" x14ac:dyDescent="0.25">
      <c r="A97" s="112">
        <v>22221</v>
      </c>
      <c r="B97" s="16">
        <v>3.77</v>
      </c>
      <c r="C97" s="16">
        <f t="shared" si="1"/>
        <v>0.31000000000000005</v>
      </c>
    </row>
    <row r="98" spans="1:3" x14ac:dyDescent="0.25">
      <c r="A98" s="112">
        <v>22251</v>
      </c>
      <c r="B98" s="16">
        <v>3.31</v>
      </c>
      <c r="C98" s="16">
        <f t="shared" si="1"/>
        <v>-0.45999999999999996</v>
      </c>
    </row>
    <row r="99" spans="1:3" x14ac:dyDescent="0.25">
      <c r="A99" s="112">
        <v>22282</v>
      </c>
      <c r="B99" s="16">
        <v>3.63</v>
      </c>
      <c r="C99" s="16">
        <f t="shared" si="1"/>
        <v>0.31999999999999984</v>
      </c>
    </row>
    <row r="100" spans="1:3" x14ac:dyDescent="0.25">
      <c r="A100" s="112">
        <v>22313</v>
      </c>
      <c r="B100" s="16">
        <v>3.5</v>
      </c>
      <c r="C100" s="16">
        <f t="shared" si="1"/>
        <v>-0.12999999999999989</v>
      </c>
    </row>
    <row r="101" spans="1:3" x14ac:dyDescent="0.25">
      <c r="A101" s="112">
        <v>22341</v>
      </c>
      <c r="B101" s="16">
        <v>3.48</v>
      </c>
      <c r="C101" s="16">
        <f t="shared" si="1"/>
        <v>-2.0000000000000018E-2</v>
      </c>
    </row>
    <row r="102" spans="1:3" x14ac:dyDescent="0.25">
      <c r="A102" s="112">
        <v>22372</v>
      </c>
      <c r="B102" s="16">
        <v>3.42</v>
      </c>
      <c r="C102" s="16">
        <f t="shared" si="1"/>
        <v>-6.0000000000000053E-2</v>
      </c>
    </row>
    <row r="103" spans="1:3" x14ac:dyDescent="0.25">
      <c r="A103" s="112">
        <v>22402</v>
      </c>
      <c r="B103" s="16">
        <v>3.55</v>
      </c>
      <c r="C103" s="16">
        <f t="shared" si="1"/>
        <v>0.12999999999999989</v>
      </c>
    </row>
    <row r="104" spans="1:3" x14ac:dyDescent="0.25">
      <c r="A104" s="112">
        <v>22433</v>
      </c>
      <c r="B104" s="16">
        <v>3.68</v>
      </c>
      <c r="C104" s="16">
        <f t="shared" si="1"/>
        <v>0.13000000000000034</v>
      </c>
    </row>
    <row r="105" spans="1:3" x14ac:dyDescent="0.25">
      <c r="A105" s="112">
        <v>22463</v>
      </c>
      <c r="B105" s="16">
        <v>3.73</v>
      </c>
      <c r="C105" s="16">
        <f t="shared" si="1"/>
        <v>4.9999999999999822E-2</v>
      </c>
    </row>
    <row r="106" spans="1:3" x14ac:dyDescent="0.25">
      <c r="A106" s="112">
        <v>22494</v>
      </c>
      <c r="B106" s="16">
        <v>3.76</v>
      </c>
      <c r="C106" s="16">
        <f t="shared" si="1"/>
        <v>2.9999999999999805E-2</v>
      </c>
    </row>
    <row r="107" spans="1:3" x14ac:dyDescent="0.25">
      <c r="A107" s="112">
        <v>22525</v>
      </c>
      <c r="B107" s="16">
        <v>3.65</v>
      </c>
      <c r="C107" s="16">
        <f t="shared" si="1"/>
        <v>-0.10999999999999988</v>
      </c>
    </row>
    <row r="108" spans="1:3" x14ac:dyDescent="0.25">
      <c r="A108" s="112">
        <v>22555</v>
      </c>
      <c r="B108" s="16">
        <v>3.69</v>
      </c>
      <c r="C108" s="16">
        <f t="shared" si="1"/>
        <v>4.0000000000000036E-2</v>
      </c>
    </row>
    <row r="109" spans="1:3" x14ac:dyDescent="0.25">
      <c r="A109" s="112">
        <v>22586</v>
      </c>
      <c r="B109" s="16">
        <v>3.81</v>
      </c>
      <c r="C109" s="16">
        <f t="shared" si="1"/>
        <v>0.12000000000000011</v>
      </c>
    </row>
    <row r="110" spans="1:3" x14ac:dyDescent="0.25">
      <c r="A110" s="112">
        <v>22616</v>
      </c>
      <c r="B110" s="16">
        <v>3.84</v>
      </c>
      <c r="C110" s="16">
        <f t="shared" si="1"/>
        <v>2.9999999999999805E-2</v>
      </c>
    </row>
    <row r="111" spans="1:3" x14ac:dyDescent="0.25">
      <c r="A111" s="112">
        <v>22647</v>
      </c>
      <c r="B111" s="16">
        <v>4.0199999999999996</v>
      </c>
      <c r="C111" s="16">
        <f t="shared" si="1"/>
        <v>0.17999999999999972</v>
      </c>
    </row>
    <row r="112" spans="1:3" x14ac:dyDescent="0.25">
      <c r="A112" s="112">
        <v>22678</v>
      </c>
      <c r="B112" s="16">
        <v>3.77</v>
      </c>
      <c r="C112" s="16">
        <f t="shared" si="1"/>
        <v>-0.24999999999999956</v>
      </c>
    </row>
    <row r="113" spans="1:3" x14ac:dyDescent="0.25">
      <c r="A113" s="112">
        <v>22706</v>
      </c>
      <c r="B113" s="16">
        <v>3.66</v>
      </c>
      <c r="C113" s="16">
        <f t="shared" si="1"/>
        <v>-0.10999999999999988</v>
      </c>
    </row>
    <row r="114" spans="1:3" x14ac:dyDescent="0.25">
      <c r="A114" s="112">
        <v>22737</v>
      </c>
      <c r="B114" s="16">
        <v>3.67</v>
      </c>
      <c r="C114" s="16">
        <f t="shared" si="1"/>
        <v>9.9999999999997868E-3</v>
      </c>
    </row>
    <row r="115" spans="1:3" x14ac:dyDescent="0.25">
      <c r="A115" s="112">
        <v>22767</v>
      </c>
      <c r="B115" s="16">
        <v>3.63</v>
      </c>
      <c r="C115" s="16">
        <f t="shared" si="1"/>
        <v>-4.0000000000000036E-2</v>
      </c>
    </row>
    <row r="116" spans="1:3" x14ac:dyDescent="0.25">
      <c r="A116" s="112">
        <v>22798</v>
      </c>
      <c r="B116" s="16">
        <v>3.75</v>
      </c>
      <c r="C116" s="16">
        <f t="shared" si="1"/>
        <v>0.12000000000000011</v>
      </c>
    </row>
    <row r="117" spans="1:3" x14ac:dyDescent="0.25">
      <c r="A117" s="112">
        <v>22828</v>
      </c>
      <c r="B117" s="16">
        <v>3.84</v>
      </c>
      <c r="C117" s="16">
        <f t="shared" si="1"/>
        <v>8.9999999999999858E-2</v>
      </c>
    </row>
    <row r="118" spans="1:3" x14ac:dyDescent="0.25">
      <c r="A118" s="112">
        <v>22859</v>
      </c>
      <c r="B118" s="16">
        <v>3.65</v>
      </c>
      <c r="C118" s="16">
        <f t="shared" si="1"/>
        <v>-0.18999999999999995</v>
      </c>
    </row>
    <row r="119" spans="1:3" x14ac:dyDescent="0.25">
      <c r="A119" s="112">
        <v>22890</v>
      </c>
      <c r="B119" s="16">
        <v>3.66</v>
      </c>
      <c r="C119" s="16">
        <f t="shared" si="1"/>
        <v>1.0000000000000231E-2</v>
      </c>
    </row>
    <row r="120" spans="1:3" x14ac:dyDescent="0.25">
      <c r="A120" s="112">
        <v>22920</v>
      </c>
      <c r="B120" s="16">
        <v>3.62</v>
      </c>
      <c r="C120" s="16">
        <f t="shared" si="1"/>
        <v>-4.0000000000000036E-2</v>
      </c>
    </row>
    <row r="121" spans="1:3" x14ac:dyDescent="0.25">
      <c r="A121" s="112">
        <v>22951</v>
      </c>
      <c r="B121" s="16">
        <v>3.55</v>
      </c>
      <c r="C121" s="16">
        <f t="shared" si="1"/>
        <v>-7.0000000000000284E-2</v>
      </c>
    </row>
    <row r="122" spans="1:3" x14ac:dyDescent="0.25">
      <c r="A122" s="112">
        <v>22981</v>
      </c>
      <c r="B122" s="16">
        <v>3.5</v>
      </c>
      <c r="C122" s="16">
        <f t="shared" si="1"/>
        <v>-4.9999999999999822E-2</v>
      </c>
    </row>
    <row r="123" spans="1:3" x14ac:dyDescent="0.25">
      <c r="A123" s="112">
        <v>23012</v>
      </c>
      <c r="B123" s="16">
        <v>3.68</v>
      </c>
      <c r="C123" s="16">
        <f t="shared" si="1"/>
        <v>0.18000000000000016</v>
      </c>
    </row>
    <row r="124" spans="1:3" x14ac:dyDescent="0.25">
      <c r="A124" s="112">
        <v>23043</v>
      </c>
      <c r="B124" s="16">
        <v>3.7</v>
      </c>
      <c r="C124" s="16">
        <f t="shared" si="1"/>
        <v>2.0000000000000018E-2</v>
      </c>
    </row>
    <row r="125" spans="1:3" x14ac:dyDescent="0.25">
      <c r="A125" s="112">
        <v>23071</v>
      </c>
      <c r="B125" s="16">
        <v>3.7</v>
      </c>
      <c r="C125" s="16">
        <f t="shared" si="1"/>
        <v>0</v>
      </c>
    </row>
    <row r="126" spans="1:3" x14ac:dyDescent="0.25">
      <c r="A126" s="112">
        <v>23102</v>
      </c>
      <c r="B126" s="16">
        <v>3.71</v>
      </c>
      <c r="C126" s="16">
        <f t="shared" si="1"/>
        <v>9.9999999999997868E-3</v>
      </c>
    </row>
    <row r="127" spans="1:3" x14ac:dyDescent="0.25">
      <c r="A127" s="112">
        <v>23132</v>
      </c>
      <c r="B127" s="16">
        <v>3.74</v>
      </c>
      <c r="C127" s="16">
        <f t="shared" si="1"/>
        <v>3.0000000000000249E-2</v>
      </c>
    </row>
    <row r="128" spans="1:3" x14ac:dyDescent="0.25">
      <c r="A128" s="112">
        <v>23163</v>
      </c>
      <c r="B128" s="16">
        <v>3.78</v>
      </c>
      <c r="C128" s="16">
        <f t="shared" si="1"/>
        <v>3.9999999999999591E-2</v>
      </c>
    </row>
    <row r="129" spans="1:3" x14ac:dyDescent="0.25">
      <c r="A129" s="112">
        <v>23193</v>
      </c>
      <c r="B129" s="16">
        <v>3.85</v>
      </c>
      <c r="C129" s="16">
        <f t="shared" si="1"/>
        <v>7.0000000000000284E-2</v>
      </c>
    </row>
    <row r="130" spans="1:3" x14ac:dyDescent="0.25">
      <c r="A130" s="112">
        <v>23224</v>
      </c>
      <c r="B130" s="16">
        <v>3.88</v>
      </c>
      <c r="C130" s="16">
        <f t="shared" si="1"/>
        <v>2.9999999999999805E-2</v>
      </c>
    </row>
    <row r="131" spans="1:3" x14ac:dyDescent="0.25">
      <c r="A131" s="112">
        <v>23255</v>
      </c>
      <c r="B131" s="16">
        <v>3.92</v>
      </c>
      <c r="C131" s="16">
        <f t="shared" si="1"/>
        <v>4.0000000000000036E-2</v>
      </c>
    </row>
    <row r="132" spans="1:3" x14ac:dyDescent="0.25">
      <c r="A132" s="112">
        <v>23285</v>
      </c>
      <c r="B132" s="16">
        <v>3.98</v>
      </c>
      <c r="C132" s="16">
        <f t="shared" ref="C132:C195" si="2">+B132-B131</f>
        <v>6.0000000000000053E-2</v>
      </c>
    </row>
    <row r="133" spans="1:3" x14ac:dyDescent="0.25">
      <c r="A133" s="112">
        <v>23316</v>
      </c>
      <c r="B133" s="16">
        <v>3.96</v>
      </c>
      <c r="C133" s="16">
        <f t="shared" si="2"/>
        <v>-2.0000000000000018E-2</v>
      </c>
    </row>
    <row r="134" spans="1:3" x14ac:dyDescent="0.25">
      <c r="A134" s="112">
        <v>23346</v>
      </c>
      <c r="B134" s="16">
        <v>4.04</v>
      </c>
      <c r="C134" s="16">
        <f t="shared" si="2"/>
        <v>8.0000000000000071E-2</v>
      </c>
    </row>
    <row r="135" spans="1:3" x14ac:dyDescent="0.25">
      <c r="A135" s="112">
        <v>23377</v>
      </c>
      <c r="B135" s="16">
        <v>4.0199999999999996</v>
      </c>
      <c r="C135" s="16">
        <f t="shared" si="2"/>
        <v>-2.0000000000000462E-2</v>
      </c>
    </row>
    <row r="136" spans="1:3" x14ac:dyDescent="0.25">
      <c r="A136" s="112">
        <v>23408</v>
      </c>
      <c r="B136" s="16">
        <v>4.07</v>
      </c>
      <c r="C136" s="16">
        <f t="shared" si="2"/>
        <v>5.0000000000000711E-2</v>
      </c>
    </row>
    <row r="137" spans="1:3" x14ac:dyDescent="0.25">
      <c r="A137" s="112">
        <v>23437</v>
      </c>
      <c r="B137" s="16">
        <v>4.1100000000000003</v>
      </c>
      <c r="C137" s="16">
        <f t="shared" si="2"/>
        <v>4.0000000000000036E-2</v>
      </c>
    </row>
    <row r="138" spans="1:3" x14ac:dyDescent="0.25">
      <c r="A138" s="112">
        <v>23468</v>
      </c>
      <c r="B138" s="16">
        <v>4.1100000000000003</v>
      </c>
      <c r="C138" s="16">
        <f t="shared" si="2"/>
        <v>0</v>
      </c>
    </row>
    <row r="139" spans="1:3" x14ac:dyDescent="0.25">
      <c r="A139" s="112">
        <v>23498</v>
      </c>
      <c r="B139" s="16">
        <v>3.99</v>
      </c>
      <c r="C139" s="16">
        <f t="shared" si="2"/>
        <v>-0.12000000000000011</v>
      </c>
    </row>
    <row r="140" spans="1:3" x14ac:dyDescent="0.25">
      <c r="A140" s="112">
        <v>23529</v>
      </c>
      <c r="B140" s="16">
        <v>3.99</v>
      </c>
      <c r="C140" s="16">
        <f t="shared" si="2"/>
        <v>0</v>
      </c>
    </row>
    <row r="141" spans="1:3" x14ac:dyDescent="0.25">
      <c r="A141" s="112">
        <v>23559</v>
      </c>
      <c r="B141" s="16">
        <v>4.01</v>
      </c>
      <c r="C141" s="16">
        <f t="shared" si="2"/>
        <v>1.9999999999999574E-2</v>
      </c>
    </row>
    <row r="142" spans="1:3" x14ac:dyDescent="0.25">
      <c r="A142" s="112">
        <v>23590</v>
      </c>
      <c r="B142" s="16">
        <v>4.0199999999999996</v>
      </c>
      <c r="C142" s="16">
        <f t="shared" si="2"/>
        <v>9.9999999999997868E-3</v>
      </c>
    </row>
    <row r="143" spans="1:3" x14ac:dyDescent="0.25">
      <c r="A143" s="112">
        <v>23621</v>
      </c>
      <c r="B143" s="16">
        <v>3.99</v>
      </c>
      <c r="C143" s="16">
        <f t="shared" si="2"/>
        <v>-2.9999999999999361E-2</v>
      </c>
    </row>
    <row r="144" spans="1:3" x14ac:dyDescent="0.25">
      <c r="A144" s="112">
        <v>23651</v>
      </c>
      <c r="B144" s="16">
        <v>3.99</v>
      </c>
      <c r="C144" s="16">
        <f t="shared" si="2"/>
        <v>0</v>
      </c>
    </row>
    <row r="145" spans="1:3" x14ac:dyDescent="0.25">
      <c r="A145" s="112">
        <v>23682</v>
      </c>
      <c r="B145" s="16">
        <v>4.09</v>
      </c>
      <c r="C145" s="16">
        <f t="shared" si="2"/>
        <v>9.9999999999999645E-2</v>
      </c>
    </row>
    <row r="146" spans="1:3" x14ac:dyDescent="0.25">
      <c r="A146" s="112">
        <v>23712</v>
      </c>
      <c r="B146" s="16">
        <v>4.03</v>
      </c>
      <c r="C146" s="16">
        <f t="shared" si="2"/>
        <v>-5.9999999999999609E-2</v>
      </c>
    </row>
    <row r="147" spans="1:3" x14ac:dyDescent="0.25">
      <c r="A147" s="112">
        <v>23743</v>
      </c>
      <c r="B147" s="16">
        <v>4.13</v>
      </c>
      <c r="C147" s="16">
        <f t="shared" si="2"/>
        <v>9.9999999999999645E-2</v>
      </c>
    </row>
    <row r="148" spans="1:3" x14ac:dyDescent="0.25">
      <c r="A148" s="112">
        <v>23774</v>
      </c>
      <c r="B148" s="16">
        <v>4.16</v>
      </c>
      <c r="C148" s="16">
        <f t="shared" si="2"/>
        <v>3.0000000000000249E-2</v>
      </c>
    </row>
    <row r="149" spans="1:3" x14ac:dyDescent="0.25">
      <c r="A149" s="112">
        <v>23802</v>
      </c>
      <c r="B149" s="16">
        <v>4.1399999999999997</v>
      </c>
      <c r="C149" s="16">
        <f t="shared" si="2"/>
        <v>-2.0000000000000462E-2</v>
      </c>
    </row>
    <row r="150" spans="1:3" x14ac:dyDescent="0.25">
      <c r="A150" s="112">
        <v>23833</v>
      </c>
      <c r="B150" s="16">
        <v>4.16</v>
      </c>
      <c r="C150" s="16">
        <f t="shared" si="2"/>
        <v>2.0000000000000462E-2</v>
      </c>
    </row>
    <row r="151" spans="1:3" x14ac:dyDescent="0.25">
      <c r="A151" s="112">
        <v>23863</v>
      </c>
      <c r="B151" s="16">
        <v>4.1500000000000004</v>
      </c>
      <c r="C151" s="16">
        <f t="shared" si="2"/>
        <v>-9.9999999999997868E-3</v>
      </c>
    </row>
    <row r="152" spans="1:3" x14ac:dyDescent="0.25">
      <c r="A152" s="112">
        <v>23894</v>
      </c>
      <c r="B152" s="16">
        <v>4.13</v>
      </c>
      <c r="C152" s="16">
        <f t="shared" si="2"/>
        <v>-2.0000000000000462E-2</v>
      </c>
    </row>
    <row r="153" spans="1:3" x14ac:dyDescent="0.25">
      <c r="A153" s="112">
        <v>23924</v>
      </c>
      <c r="B153" s="16">
        <v>4.16</v>
      </c>
      <c r="C153" s="16">
        <f t="shared" si="2"/>
        <v>3.0000000000000249E-2</v>
      </c>
    </row>
    <row r="154" spans="1:3" x14ac:dyDescent="0.25">
      <c r="A154" s="112">
        <v>23955</v>
      </c>
      <c r="B154" s="16">
        <v>4.2</v>
      </c>
      <c r="C154" s="16">
        <f t="shared" si="2"/>
        <v>4.0000000000000036E-2</v>
      </c>
    </row>
    <row r="155" spans="1:3" x14ac:dyDescent="0.25">
      <c r="A155" s="112">
        <v>23986</v>
      </c>
      <c r="B155" s="16">
        <v>4.29</v>
      </c>
      <c r="C155" s="16">
        <f t="shared" si="2"/>
        <v>8.9999999999999858E-2</v>
      </c>
    </row>
    <row r="156" spans="1:3" x14ac:dyDescent="0.25">
      <c r="A156" s="112">
        <v>24016</v>
      </c>
      <c r="B156" s="16">
        <v>4.37</v>
      </c>
      <c r="C156" s="16">
        <f t="shared" si="2"/>
        <v>8.0000000000000071E-2</v>
      </c>
    </row>
    <row r="157" spans="1:3" x14ac:dyDescent="0.25">
      <c r="A157" s="112">
        <v>24047</v>
      </c>
      <c r="B157" s="16">
        <v>4.4400000000000004</v>
      </c>
      <c r="C157" s="16">
        <f t="shared" si="2"/>
        <v>7.0000000000000284E-2</v>
      </c>
    </row>
    <row r="158" spans="1:3" x14ac:dyDescent="0.25">
      <c r="A158" s="112">
        <v>24077</v>
      </c>
      <c r="B158" s="16">
        <v>4.9000000000000004</v>
      </c>
      <c r="C158" s="16">
        <f t="shared" si="2"/>
        <v>0.45999999999999996</v>
      </c>
    </row>
    <row r="159" spans="1:3" x14ac:dyDescent="0.25">
      <c r="A159" s="112">
        <v>24108</v>
      </c>
      <c r="B159" s="16">
        <v>4.82</v>
      </c>
      <c r="C159" s="16">
        <f t="shared" si="2"/>
        <v>-8.0000000000000071E-2</v>
      </c>
    </row>
    <row r="160" spans="1:3" x14ac:dyDescent="0.25">
      <c r="A160" s="112">
        <v>24139</v>
      </c>
      <c r="B160" s="16">
        <v>5.07</v>
      </c>
      <c r="C160" s="16">
        <f t="shared" si="2"/>
        <v>0.25</v>
      </c>
    </row>
    <row r="161" spans="1:3" x14ac:dyDescent="0.25">
      <c r="A161" s="112">
        <v>24167</v>
      </c>
      <c r="B161" s="16">
        <v>4.7699999999999996</v>
      </c>
      <c r="C161" s="16">
        <f t="shared" si="2"/>
        <v>-0.30000000000000071</v>
      </c>
    </row>
    <row r="162" spans="1:3" x14ac:dyDescent="0.25">
      <c r="A162" s="112">
        <v>24198</v>
      </c>
      <c r="B162" s="16">
        <v>4.8899999999999997</v>
      </c>
      <c r="C162" s="16">
        <f t="shared" si="2"/>
        <v>0.12000000000000011</v>
      </c>
    </row>
    <row r="163" spans="1:3" x14ac:dyDescent="0.25">
      <c r="A163" s="112">
        <v>24228</v>
      </c>
      <c r="B163" s="16">
        <v>4.96</v>
      </c>
      <c r="C163" s="16">
        <f t="shared" si="2"/>
        <v>7.0000000000000284E-2</v>
      </c>
    </row>
    <row r="164" spans="1:3" x14ac:dyDescent="0.25">
      <c r="A164" s="112">
        <v>24259</v>
      </c>
      <c r="B164" s="16">
        <v>5.0999999999999996</v>
      </c>
      <c r="C164" s="16">
        <f t="shared" si="2"/>
        <v>0.13999999999999968</v>
      </c>
    </row>
    <row r="165" spans="1:3" x14ac:dyDescent="0.25">
      <c r="A165" s="112">
        <v>24289</v>
      </c>
      <c r="B165" s="16">
        <v>5.25</v>
      </c>
      <c r="C165" s="16">
        <f t="shared" si="2"/>
        <v>0.15000000000000036</v>
      </c>
    </row>
    <row r="166" spans="1:3" x14ac:dyDescent="0.25">
      <c r="A166" s="112">
        <v>24320</v>
      </c>
      <c r="B166" s="16">
        <v>5.65</v>
      </c>
      <c r="C166" s="16">
        <f t="shared" si="2"/>
        <v>0.40000000000000036</v>
      </c>
    </row>
    <row r="167" spans="1:3" x14ac:dyDescent="0.25">
      <c r="A167" s="112">
        <v>24351</v>
      </c>
      <c r="B167" s="16">
        <v>5.26</v>
      </c>
      <c r="C167" s="16">
        <f t="shared" si="2"/>
        <v>-0.39000000000000057</v>
      </c>
    </row>
    <row r="168" spans="1:3" x14ac:dyDescent="0.25">
      <c r="A168" s="112">
        <v>24381</v>
      </c>
      <c r="B168" s="16">
        <v>5.19</v>
      </c>
      <c r="C168" s="16">
        <f t="shared" si="2"/>
        <v>-6.9999999999999396E-2</v>
      </c>
    </row>
    <row r="169" spans="1:3" x14ac:dyDescent="0.25">
      <c r="A169" s="112">
        <v>24412</v>
      </c>
      <c r="B169" s="16">
        <v>5.22</v>
      </c>
      <c r="C169" s="16">
        <f t="shared" si="2"/>
        <v>2.9999999999999361E-2</v>
      </c>
    </row>
    <row r="170" spans="1:3" x14ac:dyDescent="0.25">
      <c r="A170" s="112">
        <v>24442</v>
      </c>
      <c r="B170" s="16">
        <v>4.79</v>
      </c>
      <c r="C170" s="16">
        <f t="shared" si="2"/>
        <v>-0.42999999999999972</v>
      </c>
    </row>
    <row r="171" spans="1:3" x14ac:dyDescent="0.25">
      <c r="A171" s="112">
        <v>24473</v>
      </c>
      <c r="B171" s="16">
        <v>4.59</v>
      </c>
      <c r="C171" s="16">
        <f t="shared" si="2"/>
        <v>-0.20000000000000018</v>
      </c>
    </row>
    <row r="172" spans="1:3" x14ac:dyDescent="0.25">
      <c r="A172" s="112">
        <v>24504</v>
      </c>
      <c r="B172" s="16">
        <v>4.7</v>
      </c>
      <c r="C172" s="16">
        <f t="shared" si="2"/>
        <v>0.11000000000000032</v>
      </c>
    </row>
    <row r="173" spans="1:3" x14ac:dyDescent="0.25">
      <c r="A173" s="112">
        <v>24532</v>
      </c>
      <c r="B173" s="16">
        <v>4.37</v>
      </c>
      <c r="C173" s="16">
        <f t="shared" si="2"/>
        <v>-0.33000000000000007</v>
      </c>
    </row>
    <row r="174" spans="1:3" x14ac:dyDescent="0.25">
      <c r="A174" s="112">
        <v>24563</v>
      </c>
      <c r="B174" s="16">
        <v>4.66</v>
      </c>
      <c r="C174" s="16">
        <f t="shared" si="2"/>
        <v>0.29000000000000004</v>
      </c>
    </row>
    <row r="175" spans="1:3" x14ac:dyDescent="0.25">
      <c r="A175" s="112">
        <v>24593</v>
      </c>
      <c r="B175" s="16">
        <v>4.6500000000000004</v>
      </c>
      <c r="C175" s="16">
        <f t="shared" si="2"/>
        <v>-9.9999999999997868E-3</v>
      </c>
    </row>
    <row r="176" spans="1:3" x14ac:dyDescent="0.25">
      <c r="A176" s="112">
        <v>24624</v>
      </c>
      <c r="B176" s="16">
        <v>5.3</v>
      </c>
      <c r="C176" s="16">
        <f t="shared" si="2"/>
        <v>0.64999999999999947</v>
      </c>
    </row>
    <row r="177" spans="1:3" x14ac:dyDescent="0.25">
      <c r="A177" s="112">
        <v>24654</v>
      </c>
      <c r="B177" s="16">
        <v>5.08</v>
      </c>
      <c r="C177" s="16">
        <f t="shared" si="2"/>
        <v>-0.21999999999999975</v>
      </c>
    </row>
    <row r="178" spans="1:3" x14ac:dyDescent="0.25">
      <c r="A178" s="112">
        <v>24685</v>
      </c>
      <c r="B178" s="16">
        <v>5.28</v>
      </c>
      <c r="C178" s="16">
        <f t="shared" si="2"/>
        <v>0.20000000000000018</v>
      </c>
    </row>
    <row r="179" spans="1:3" x14ac:dyDescent="0.25">
      <c r="A179" s="112">
        <v>24716</v>
      </c>
      <c r="B179" s="16">
        <v>5.37</v>
      </c>
      <c r="C179" s="16">
        <f t="shared" si="2"/>
        <v>8.9999999999999858E-2</v>
      </c>
    </row>
    <row r="180" spans="1:3" x14ac:dyDescent="0.25">
      <c r="A180" s="112">
        <v>24746</v>
      </c>
      <c r="B180" s="16">
        <v>5.62</v>
      </c>
      <c r="C180" s="16">
        <f t="shared" si="2"/>
        <v>0.25</v>
      </c>
    </row>
    <row r="181" spans="1:3" x14ac:dyDescent="0.25">
      <c r="A181" s="112">
        <v>24777</v>
      </c>
      <c r="B181" s="16">
        <v>5.66</v>
      </c>
      <c r="C181" s="16">
        <f t="shared" si="2"/>
        <v>4.0000000000000036E-2</v>
      </c>
    </row>
    <row r="182" spans="1:3" x14ac:dyDescent="0.25">
      <c r="A182" s="112">
        <v>24807</v>
      </c>
      <c r="B182" s="16">
        <v>5.77</v>
      </c>
      <c r="C182" s="16">
        <f t="shared" si="2"/>
        <v>0.10999999999999943</v>
      </c>
    </row>
    <row r="183" spans="1:3" x14ac:dyDescent="0.25">
      <c r="A183" s="112">
        <v>24838</v>
      </c>
      <c r="B183" s="16">
        <v>5.48</v>
      </c>
      <c r="C183" s="16">
        <f t="shared" si="2"/>
        <v>-0.28999999999999915</v>
      </c>
    </row>
    <row r="184" spans="1:3" x14ac:dyDescent="0.25">
      <c r="A184" s="112">
        <v>24869</v>
      </c>
      <c r="B184" s="16">
        <v>5.49</v>
      </c>
      <c r="C184" s="16">
        <f t="shared" si="2"/>
        <v>9.9999999999997868E-3</v>
      </c>
    </row>
    <row r="185" spans="1:3" x14ac:dyDescent="0.25">
      <c r="A185" s="112">
        <v>24898</v>
      </c>
      <c r="B185" s="16">
        <v>5.63</v>
      </c>
      <c r="C185" s="16">
        <f t="shared" si="2"/>
        <v>0.13999999999999968</v>
      </c>
    </row>
    <row r="186" spans="1:3" x14ac:dyDescent="0.25">
      <c r="A186" s="112">
        <v>24929</v>
      </c>
      <c r="B186" s="16">
        <v>5.77</v>
      </c>
      <c r="C186" s="16">
        <f t="shared" si="2"/>
        <v>0.13999999999999968</v>
      </c>
    </row>
    <row r="187" spans="1:3" x14ac:dyDescent="0.25">
      <c r="A187" s="112">
        <v>24959</v>
      </c>
      <c r="B187" s="16">
        <v>5.74</v>
      </c>
      <c r="C187" s="16">
        <f t="shared" si="2"/>
        <v>-2.9999999999999361E-2</v>
      </c>
    </row>
    <row r="188" spans="1:3" x14ac:dyDescent="0.25">
      <c r="A188" s="112">
        <v>24990</v>
      </c>
      <c r="B188" s="16">
        <v>5.47</v>
      </c>
      <c r="C188" s="16">
        <f t="shared" si="2"/>
        <v>-0.27000000000000046</v>
      </c>
    </row>
    <row r="189" spans="1:3" x14ac:dyDescent="0.25">
      <c r="A189" s="112">
        <v>25020</v>
      </c>
      <c r="B189" s="16">
        <v>5.18</v>
      </c>
      <c r="C189" s="16">
        <f t="shared" si="2"/>
        <v>-0.29000000000000004</v>
      </c>
    </row>
    <row r="190" spans="1:3" x14ac:dyDescent="0.25">
      <c r="A190" s="112">
        <v>25051</v>
      </c>
      <c r="B190" s="16">
        <v>5.23</v>
      </c>
      <c r="C190" s="16">
        <f t="shared" si="2"/>
        <v>5.0000000000000711E-2</v>
      </c>
    </row>
    <row r="191" spans="1:3" x14ac:dyDescent="0.25">
      <c r="A191" s="112">
        <v>25082</v>
      </c>
      <c r="B191" s="16">
        <v>5.2</v>
      </c>
      <c r="C191" s="16">
        <f t="shared" si="2"/>
        <v>-3.0000000000000249E-2</v>
      </c>
    </row>
    <row r="192" spans="1:3" x14ac:dyDescent="0.25">
      <c r="A192" s="112">
        <v>25112</v>
      </c>
      <c r="B192" s="16">
        <v>5.28</v>
      </c>
      <c r="C192" s="16">
        <f t="shared" si="2"/>
        <v>8.0000000000000071E-2</v>
      </c>
    </row>
    <row r="193" spans="1:3" x14ac:dyDescent="0.25">
      <c r="A193" s="112">
        <v>25143</v>
      </c>
      <c r="B193" s="16">
        <v>5.41</v>
      </c>
      <c r="C193" s="16">
        <f t="shared" si="2"/>
        <v>0.12999999999999989</v>
      </c>
    </row>
    <row r="194" spans="1:3" x14ac:dyDescent="0.25">
      <c r="A194" s="112">
        <v>25173</v>
      </c>
      <c r="B194" s="16">
        <v>5.96</v>
      </c>
      <c r="C194" s="16">
        <f t="shared" si="2"/>
        <v>0.54999999999999982</v>
      </c>
    </row>
    <row r="195" spans="1:3" x14ac:dyDescent="0.25">
      <c r="A195" s="112">
        <v>25204</v>
      </c>
      <c r="B195" s="16">
        <v>6.37</v>
      </c>
      <c r="C195" s="16">
        <f t="shared" si="2"/>
        <v>0.41000000000000014</v>
      </c>
    </row>
    <row r="196" spans="1:3" x14ac:dyDescent="0.25">
      <c r="A196" s="112">
        <v>25235</v>
      </c>
      <c r="B196" s="16">
        <v>6.51</v>
      </c>
      <c r="C196" s="16">
        <f t="shared" ref="C196:C259" si="3">+B196-B195</f>
        <v>0.13999999999999968</v>
      </c>
    </row>
    <row r="197" spans="1:3" x14ac:dyDescent="0.25">
      <c r="A197" s="112">
        <v>25263</v>
      </c>
      <c r="B197" s="16">
        <v>6.4</v>
      </c>
      <c r="C197" s="16">
        <f t="shared" si="3"/>
        <v>-0.10999999999999943</v>
      </c>
    </row>
    <row r="198" spans="1:3" x14ac:dyDescent="0.25">
      <c r="A198" s="112">
        <v>25294</v>
      </c>
      <c r="B198" s="16">
        <v>6.36</v>
      </c>
      <c r="C198" s="16">
        <f t="shared" si="3"/>
        <v>-4.0000000000000036E-2</v>
      </c>
    </row>
    <row r="199" spans="1:3" x14ac:dyDescent="0.25">
      <c r="A199" s="112">
        <v>25324</v>
      </c>
      <c r="B199" s="16">
        <v>6.66</v>
      </c>
      <c r="C199" s="16">
        <f t="shared" si="3"/>
        <v>0.29999999999999982</v>
      </c>
    </row>
    <row r="200" spans="1:3" x14ac:dyDescent="0.25">
      <c r="A200" s="112">
        <v>25355</v>
      </c>
      <c r="B200" s="16">
        <v>6.99</v>
      </c>
      <c r="C200" s="16">
        <f t="shared" si="3"/>
        <v>0.33000000000000007</v>
      </c>
    </row>
    <row r="201" spans="1:3" x14ac:dyDescent="0.25">
      <c r="A201" s="112">
        <v>25385</v>
      </c>
      <c r="B201" s="16">
        <v>6.93</v>
      </c>
      <c r="C201" s="16">
        <f t="shared" si="3"/>
        <v>-6.0000000000000497E-2</v>
      </c>
    </row>
    <row r="202" spans="1:3" x14ac:dyDescent="0.25">
      <c r="A202" s="112">
        <v>25416</v>
      </c>
      <c r="B202" s="16">
        <v>7.11</v>
      </c>
      <c r="C202" s="16">
        <f t="shared" si="3"/>
        <v>0.1800000000000006</v>
      </c>
    </row>
    <row r="203" spans="1:3" x14ac:dyDescent="0.25">
      <c r="A203" s="112">
        <v>25447</v>
      </c>
      <c r="B203" s="16">
        <v>7.99</v>
      </c>
      <c r="C203" s="16">
        <f t="shared" si="3"/>
        <v>0.87999999999999989</v>
      </c>
    </row>
    <row r="204" spans="1:3" x14ac:dyDescent="0.25">
      <c r="A204" s="112">
        <v>25477</v>
      </c>
      <c r="B204" s="16">
        <v>7.35</v>
      </c>
      <c r="C204" s="16">
        <f t="shared" si="3"/>
        <v>-0.64000000000000057</v>
      </c>
    </row>
    <row r="205" spans="1:3" x14ac:dyDescent="0.25">
      <c r="A205" s="112">
        <v>25508</v>
      </c>
      <c r="B205" s="16">
        <v>7.61</v>
      </c>
      <c r="C205" s="16">
        <f t="shared" si="3"/>
        <v>0.26000000000000068</v>
      </c>
    </row>
    <row r="206" spans="1:3" x14ac:dyDescent="0.25">
      <c r="A206" s="112">
        <v>25538</v>
      </c>
      <c r="B206" s="16">
        <v>8.2899999999999991</v>
      </c>
      <c r="C206" s="16">
        <f t="shared" si="3"/>
        <v>0.67999999999999883</v>
      </c>
    </row>
    <row r="207" spans="1:3" x14ac:dyDescent="0.25">
      <c r="A207" s="112">
        <v>25569</v>
      </c>
      <c r="B207" s="16">
        <v>8.1999999999999993</v>
      </c>
      <c r="C207" s="16">
        <f t="shared" si="3"/>
        <v>-8.9999999999999858E-2</v>
      </c>
    </row>
    <row r="208" spans="1:3" x14ac:dyDescent="0.25">
      <c r="A208" s="112">
        <v>25600</v>
      </c>
      <c r="B208" s="16">
        <v>7.3</v>
      </c>
      <c r="C208" s="16">
        <f t="shared" si="3"/>
        <v>-0.89999999999999947</v>
      </c>
    </row>
    <row r="209" spans="1:3" x14ac:dyDescent="0.25">
      <c r="A209" s="112">
        <v>25628</v>
      </c>
      <c r="B209" s="16">
        <v>7.24</v>
      </c>
      <c r="C209" s="16">
        <f t="shared" si="3"/>
        <v>-5.9999999999999609E-2</v>
      </c>
    </row>
    <row r="210" spans="1:3" x14ac:dyDescent="0.25">
      <c r="A210" s="112">
        <v>25659</v>
      </c>
      <c r="B210" s="16">
        <v>7.9</v>
      </c>
      <c r="C210" s="16">
        <f t="shared" si="3"/>
        <v>0.66000000000000014</v>
      </c>
    </row>
    <row r="211" spans="1:3" x14ac:dyDescent="0.25">
      <c r="A211" s="112">
        <v>25689</v>
      </c>
      <c r="B211" s="16">
        <v>7.78</v>
      </c>
      <c r="C211" s="16">
        <f t="shared" si="3"/>
        <v>-0.12000000000000011</v>
      </c>
    </row>
    <row r="212" spans="1:3" x14ac:dyDescent="0.25">
      <c r="A212" s="112">
        <v>25720</v>
      </c>
      <c r="B212" s="16">
        <v>7.8</v>
      </c>
      <c r="C212" s="16">
        <f t="shared" si="3"/>
        <v>1.9999999999999574E-2</v>
      </c>
    </row>
    <row r="213" spans="1:3" x14ac:dyDescent="0.25">
      <c r="A213" s="112">
        <v>25750</v>
      </c>
      <c r="B213" s="16">
        <v>7.57</v>
      </c>
      <c r="C213" s="16">
        <f t="shared" si="3"/>
        <v>-0.22999999999999954</v>
      </c>
    </row>
    <row r="214" spans="1:3" x14ac:dyDescent="0.25">
      <c r="A214" s="112">
        <v>25781</v>
      </c>
      <c r="B214" s="16">
        <v>7.43</v>
      </c>
      <c r="C214" s="16">
        <f t="shared" si="3"/>
        <v>-0.14000000000000057</v>
      </c>
    </row>
    <row r="215" spans="1:3" x14ac:dyDescent="0.25">
      <c r="A215" s="112">
        <v>25812</v>
      </c>
      <c r="B215" s="16">
        <v>7.07</v>
      </c>
      <c r="C215" s="16">
        <f t="shared" si="3"/>
        <v>-0.35999999999999943</v>
      </c>
    </row>
    <row r="216" spans="1:3" x14ac:dyDescent="0.25">
      <c r="A216" s="112">
        <v>25842</v>
      </c>
      <c r="B216" s="16">
        <v>6.97</v>
      </c>
      <c r="C216" s="16">
        <f t="shared" si="3"/>
        <v>-0.10000000000000053</v>
      </c>
    </row>
    <row r="217" spans="1:3" x14ac:dyDescent="0.25">
      <c r="A217" s="112">
        <v>25873</v>
      </c>
      <c r="B217" s="16">
        <v>5.91</v>
      </c>
      <c r="C217" s="16">
        <f t="shared" si="3"/>
        <v>-1.0599999999999996</v>
      </c>
    </row>
    <row r="218" spans="1:3" x14ac:dyDescent="0.25">
      <c r="A218" s="112">
        <v>25903</v>
      </c>
      <c r="B218" s="16">
        <v>5.9</v>
      </c>
      <c r="C218" s="16">
        <f t="shared" si="3"/>
        <v>-9.9999999999997868E-3</v>
      </c>
    </row>
    <row r="219" spans="1:3" x14ac:dyDescent="0.25">
      <c r="A219" s="112">
        <v>25934</v>
      </c>
      <c r="B219" s="16">
        <v>5.7</v>
      </c>
      <c r="C219" s="16">
        <f t="shared" si="3"/>
        <v>-0.20000000000000018</v>
      </c>
    </row>
    <row r="220" spans="1:3" x14ac:dyDescent="0.25">
      <c r="A220" s="112">
        <v>25965</v>
      </c>
      <c r="B220" s="16">
        <v>5.26</v>
      </c>
      <c r="C220" s="16">
        <f t="shared" si="3"/>
        <v>-0.44000000000000039</v>
      </c>
    </row>
    <row r="221" spans="1:3" x14ac:dyDescent="0.25">
      <c r="A221" s="112">
        <v>25993</v>
      </c>
      <c r="B221" s="16">
        <v>4.93</v>
      </c>
      <c r="C221" s="16">
        <f t="shared" si="3"/>
        <v>-0.33000000000000007</v>
      </c>
    </row>
    <row r="222" spans="1:3" x14ac:dyDescent="0.25">
      <c r="A222" s="112">
        <v>26024</v>
      </c>
      <c r="B222" s="16">
        <v>5.85</v>
      </c>
      <c r="C222" s="16">
        <f t="shared" si="3"/>
        <v>0.91999999999999993</v>
      </c>
    </row>
    <row r="223" spans="1:3" x14ac:dyDescent="0.25">
      <c r="A223" s="112">
        <v>26054</v>
      </c>
      <c r="B223" s="16">
        <v>5.93</v>
      </c>
      <c r="C223" s="16">
        <f t="shared" si="3"/>
        <v>8.0000000000000071E-2</v>
      </c>
    </row>
    <row r="224" spans="1:3" x14ac:dyDescent="0.25">
      <c r="A224" s="112">
        <v>26085</v>
      </c>
      <c r="B224" s="16">
        <v>6.56</v>
      </c>
      <c r="C224" s="16">
        <f t="shared" si="3"/>
        <v>0.62999999999999989</v>
      </c>
    </row>
    <row r="225" spans="1:3" x14ac:dyDescent="0.25">
      <c r="A225" s="112">
        <v>26115</v>
      </c>
      <c r="B225" s="16">
        <v>6.63</v>
      </c>
      <c r="C225" s="16">
        <f t="shared" si="3"/>
        <v>7.0000000000000284E-2</v>
      </c>
    </row>
    <row r="226" spans="1:3" x14ac:dyDescent="0.25">
      <c r="A226" s="112">
        <v>26146</v>
      </c>
      <c r="B226" s="16">
        <v>5.85</v>
      </c>
      <c r="C226" s="16">
        <f t="shared" si="3"/>
        <v>-0.78000000000000025</v>
      </c>
    </row>
    <row r="227" spans="1:3" x14ac:dyDescent="0.25">
      <c r="A227" s="112">
        <v>26177</v>
      </c>
      <c r="B227" s="16">
        <v>5.91</v>
      </c>
      <c r="C227" s="16">
        <f t="shared" si="3"/>
        <v>6.0000000000000497E-2</v>
      </c>
    </row>
    <row r="228" spans="1:3" x14ac:dyDescent="0.25">
      <c r="A228" s="112">
        <v>26207</v>
      </c>
      <c r="B228" s="16">
        <v>5.45</v>
      </c>
      <c r="C228" s="16">
        <f t="shared" si="3"/>
        <v>-0.45999999999999996</v>
      </c>
    </row>
    <row r="229" spans="1:3" x14ac:dyDescent="0.25">
      <c r="A229" s="112">
        <v>26238</v>
      </c>
      <c r="B229" s="16">
        <v>5.43</v>
      </c>
      <c r="C229" s="16">
        <f t="shared" si="3"/>
        <v>-2.0000000000000462E-2</v>
      </c>
    </row>
    <row r="230" spans="1:3" x14ac:dyDescent="0.25">
      <c r="A230" s="112">
        <v>26268</v>
      </c>
      <c r="B230" s="16">
        <v>5.25</v>
      </c>
      <c r="C230" s="16">
        <f t="shared" si="3"/>
        <v>-0.17999999999999972</v>
      </c>
    </row>
    <row r="231" spans="1:3" x14ac:dyDescent="0.25">
      <c r="A231" s="112">
        <v>26299</v>
      </c>
      <c r="B231" s="16">
        <v>5.56</v>
      </c>
      <c r="C231" s="16">
        <f t="shared" si="3"/>
        <v>0.30999999999999961</v>
      </c>
    </row>
    <row r="232" spans="1:3" x14ac:dyDescent="0.25">
      <c r="A232" s="112">
        <v>26330</v>
      </c>
      <c r="B232" s="16">
        <v>5.63</v>
      </c>
      <c r="C232" s="16">
        <f t="shared" si="3"/>
        <v>7.0000000000000284E-2</v>
      </c>
    </row>
    <row r="233" spans="1:3" x14ac:dyDescent="0.25">
      <c r="A233" s="112">
        <v>26359</v>
      </c>
      <c r="B233" s="16">
        <v>5.7</v>
      </c>
      <c r="C233" s="16">
        <f t="shared" si="3"/>
        <v>7.0000000000000284E-2</v>
      </c>
    </row>
    <row r="234" spans="1:3" x14ac:dyDescent="0.25">
      <c r="A234" s="112">
        <v>26390</v>
      </c>
      <c r="B234" s="16">
        <v>5.77</v>
      </c>
      <c r="C234" s="16">
        <f t="shared" si="3"/>
        <v>6.9999999999999396E-2</v>
      </c>
    </row>
    <row r="235" spans="1:3" x14ac:dyDescent="0.25">
      <c r="A235" s="112">
        <v>26420</v>
      </c>
      <c r="B235" s="16">
        <v>5.86</v>
      </c>
      <c r="C235" s="16">
        <f t="shared" si="3"/>
        <v>9.0000000000000746E-2</v>
      </c>
    </row>
    <row r="236" spans="1:3" x14ac:dyDescent="0.25">
      <c r="A236" s="112">
        <v>26451</v>
      </c>
      <c r="B236" s="16">
        <v>5.87</v>
      </c>
      <c r="C236" s="16">
        <f t="shared" si="3"/>
        <v>9.9999999999997868E-3</v>
      </c>
    </row>
    <row r="237" spans="1:3" x14ac:dyDescent="0.25">
      <c r="A237" s="112">
        <v>26481</v>
      </c>
      <c r="B237" s="16">
        <v>5.95</v>
      </c>
      <c r="C237" s="16">
        <f t="shared" si="3"/>
        <v>8.0000000000000071E-2</v>
      </c>
    </row>
    <row r="238" spans="1:3" x14ac:dyDescent="0.25">
      <c r="A238" s="112">
        <v>26512</v>
      </c>
      <c r="B238" s="16">
        <v>6.04</v>
      </c>
      <c r="C238" s="16">
        <f t="shared" si="3"/>
        <v>8.9999999999999858E-2</v>
      </c>
    </row>
    <row r="239" spans="1:3" x14ac:dyDescent="0.25">
      <c r="A239" s="112">
        <v>26543</v>
      </c>
      <c r="B239" s="16">
        <v>6.13</v>
      </c>
      <c r="C239" s="16">
        <f t="shared" si="3"/>
        <v>8.9999999999999858E-2</v>
      </c>
    </row>
    <row r="240" spans="1:3" x14ac:dyDescent="0.25">
      <c r="A240" s="112">
        <v>26573</v>
      </c>
      <c r="B240" s="16">
        <v>6.23</v>
      </c>
      <c r="C240" s="16">
        <f t="shared" si="3"/>
        <v>0.10000000000000053</v>
      </c>
    </row>
    <row r="241" spans="1:3" x14ac:dyDescent="0.25">
      <c r="A241" s="112">
        <v>26604</v>
      </c>
      <c r="B241" s="16">
        <v>6.25</v>
      </c>
      <c r="C241" s="16">
        <f t="shared" si="3"/>
        <v>1.9999999999999574E-2</v>
      </c>
    </row>
    <row r="242" spans="1:3" x14ac:dyDescent="0.25">
      <c r="A242" s="112">
        <v>26634</v>
      </c>
      <c r="B242" s="16">
        <v>5.85</v>
      </c>
      <c r="C242" s="16">
        <f t="shared" si="3"/>
        <v>-0.40000000000000036</v>
      </c>
    </row>
    <row r="243" spans="1:3" x14ac:dyDescent="0.25">
      <c r="A243" s="112">
        <v>26665</v>
      </c>
      <c r="B243" s="16">
        <v>6.41</v>
      </c>
      <c r="C243" s="16">
        <f t="shared" si="3"/>
        <v>0.5600000000000005</v>
      </c>
    </row>
    <row r="244" spans="1:3" x14ac:dyDescent="0.25">
      <c r="A244" s="112">
        <v>26696</v>
      </c>
      <c r="B244" s="16">
        <v>6.71</v>
      </c>
      <c r="C244" s="16">
        <f t="shared" si="3"/>
        <v>0.29999999999999982</v>
      </c>
    </row>
    <row r="245" spans="1:3" x14ac:dyDescent="0.25">
      <c r="A245" s="112">
        <v>26724</v>
      </c>
      <c r="B245" s="16">
        <v>6.73</v>
      </c>
      <c r="C245" s="16">
        <f t="shared" si="3"/>
        <v>2.0000000000000462E-2</v>
      </c>
    </row>
    <row r="246" spans="1:3" x14ac:dyDescent="0.25">
      <c r="A246" s="112">
        <v>26755</v>
      </c>
      <c r="B246" s="16">
        <v>6.71</v>
      </c>
      <c r="C246" s="16">
        <f t="shared" si="3"/>
        <v>-2.0000000000000462E-2</v>
      </c>
    </row>
    <row r="247" spans="1:3" x14ac:dyDescent="0.25">
      <c r="A247" s="112">
        <v>26785</v>
      </c>
      <c r="B247" s="16">
        <v>6.71</v>
      </c>
      <c r="C247" s="16">
        <f t="shared" si="3"/>
        <v>0</v>
      </c>
    </row>
    <row r="248" spans="1:3" x14ac:dyDescent="0.25">
      <c r="A248" s="112">
        <v>26816</v>
      </c>
      <c r="B248" s="16">
        <v>6.86</v>
      </c>
      <c r="C248" s="16">
        <f t="shared" si="3"/>
        <v>0.15000000000000036</v>
      </c>
    </row>
    <row r="249" spans="1:3" x14ac:dyDescent="0.25">
      <c r="A249" s="112">
        <v>26846</v>
      </c>
      <c r="B249" s="16">
        <v>7.76</v>
      </c>
      <c r="C249" s="16">
        <f t="shared" si="3"/>
        <v>0.89999999999999947</v>
      </c>
    </row>
    <row r="250" spans="1:3" x14ac:dyDescent="0.25">
      <c r="A250" s="112">
        <v>26877</v>
      </c>
      <c r="B250" s="16">
        <v>7.25</v>
      </c>
      <c r="C250" s="16">
        <f t="shared" si="3"/>
        <v>-0.50999999999999979</v>
      </c>
    </row>
    <row r="251" spans="1:3" x14ac:dyDescent="0.25">
      <c r="A251" s="112">
        <v>26908</v>
      </c>
      <c r="B251" s="16">
        <v>6.74</v>
      </c>
      <c r="C251" s="16">
        <f t="shared" si="3"/>
        <v>-0.50999999999999979</v>
      </c>
    </row>
    <row r="252" spans="1:3" x14ac:dyDescent="0.25">
      <c r="A252" s="112">
        <v>26938</v>
      </c>
      <c r="B252" s="16">
        <v>6.77</v>
      </c>
      <c r="C252" s="16">
        <f t="shared" si="3"/>
        <v>2.9999999999999361E-2</v>
      </c>
    </row>
    <row r="253" spans="1:3" x14ac:dyDescent="0.25">
      <c r="A253" s="112">
        <v>26969</v>
      </c>
      <c r="B253" s="16">
        <v>6.74</v>
      </c>
      <c r="C253" s="16">
        <f t="shared" si="3"/>
        <v>-2.9999999999999361E-2</v>
      </c>
    </row>
    <row r="254" spans="1:3" x14ac:dyDescent="0.25">
      <c r="A254" s="112">
        <v>26999</v>
      </c>
      <c r="B254" s="16">
        <v>6.79</v>
      </c>
      <c r="C254" s="16">
        <f t="shared" si="3"/>
        <v>4.9999999999999822E-2</v>
      </c>
    </row>
    <row r="255" spans="1:3" x14ac:dyDescent="0.25">
      <c r="A255" s="112">
        <v>27030</v>
      </c>
      <c r="B255" s="16">
        <v>6.87</v>
      </c>
      <c r="C255" s="16">
        <f t="shared" si="3"/>
        <v>8.0000000000000071E-2</v>
      </c>
    </row>
    <row r="256" spans="1:3" x14ac:dyDescent="0.25">
      <c r="A256" s="112">
        <v>27061</v>
      </c>
      <c r="B256" s="16">
        <v>6.91</v>
      </c>
      <c r="C256" s="16">
        <f t="shared" si="3"/>
        <v>4.0000000000000036E-2</v>
      </c>
    </row>
    <row r="257" spans="1:3" x14ac:dyDescent="0.25">
      <c r="A257" s="112">
        <v>27089</v>
      </c>
      <c r="B257" s="16">
        <v>7.51</v>
      </c>
      <c r="C257" s="16">
        <f t="shared" si="3"/>
        <v>0.59999999999999964</v>
      </c>
    </row>
    <row r="258" spans="1:3" x14ac:dyDescent="0.25">
      <c r="A258" s="112">
        <v>27120</v>
      </c>
      <c r="B258" s="16">
        <v>8.01</v>
      </c>
      <c r="C258" s="16">
        <f t="shared" si="3"/>
        <v>0.5</v>
      </c>
    </row>
    <row r="259" spans="1:3" x14ac:dyDescent="0.25">
      <c r="A259" s="112">
        <v>27150</v>
      </c>
      <c r="B259" s="16">
        <v>7.86</v>
      </c>
      <c r="C259" s="16">
        <f t="shared" si="3"/>
        <v>-0.14999999999999947</v>
      </c>
    </row>
    <row r="260" spans="1:3" x14ac:dyDescent="0.25">
      <c r="A260" s="112">
        <v>27181</v>
      </c>
      <c r="B260" s="16">
        <v>8.2200000000000006</v>
      </c>
      <c r="C260" s="16">
        <f t="shared" ref="C260:C323" si="4">+B260-B259</f>
        <v>0.36000000000000032</v>
      </c>
    </row>
    <row r="261" spans="1:3" x14ac:dyDescent="0.25">
      <c r="A261" s="112">
        <v>27211</v>
      </c>
      <c r="B261" s="16">
        <v>8.3800000000000008</v>
      </c>
      <c r="C261" s="16">
        <f t="shared" si="4"/>
        <v>0.16000000000000014</v>
      </c>
    </row>
    <row r="262" spans="1:3" x14ac:dyDescent="0.25">
      <c r="A262" s="112">
        <v>27242</v>
      </c>
      <c r="B262" s="16">
        <v>8.57</v>
      </c>
      <c r="C262" s="16">
        <f t="shared" si="4"/>
        <v>0.1899999999999995</v>
      </c>
    </row>
    <row r="263" spans="1:3" x14ac:dyDescent="0.25">
      <c r="A263" s="112">
        <v>27273</v>
      </c>
      <c r="B263" s="16">
        <v>7.97</v>
      </c>
      <c r="C263" s="16">
        <f t="shared" si="4"/>
        <v>-0.60000000000000053</v>
      </c>
    </row>
    <row r="264" spans="1:3" x14ac:dyDescent="0.25">
      <c r="A264" s="112">
        <v>27303</v>
      </c>
      <c r="B264" s="16">
        <v>7.87</v>
      </c>
      <c r="C264" s="16">
        <f t="shared" si="4"/>
        <v>-9.9999999999999645E-2</v>
      </c>
    </row>
    <row r="265" spans="1:3" x14ac:dyDescent="0.25">
      <c r="A265" s="112">
        <v>27334</v>
      </c>
      <c r="B265" s="16">
        <v>7.43</v>
      </c>
      <c r="C265" s="16">
        <f t="shared" si="4"/>
        <v>-0.44000000000000039</v>
      </c>
    </row>
    <row r="266" spans="1:3" x14ac:dyDescent="0.25">
      <c r="A266" s="112">
        <v>27364</v>
      </c>
      <c r="B266" s="16">
        <v>7.12</v>
      </c>
      <c r="C266" s="16">
        <f t="shared" si="4"/>
        <v>-0.30999999999999961</v>
      </c>
    </row>
    <row r="267" spans="1:3" x14ac:dyDescent="0.25">
      <c r="A267" s="112">
        <v>27395</v>
      </c>
      <c r="B267" s="16">
        <v>7.3</v>
      </c>
      <c r="C267" s="16">
        <f t="shared" si="4"/>
        <v>0.17999999999999972</v>
      </c>
    </row>
    <row r="268" spans="1:3" x14ac:dyDescent="0.25">
      <c r="A268" s="112">
        <v>27426</v>
      </c>
      <c r="B268" s="16">
        <v>7.09</v>
      </c>
      <c r="C268" s="16">
        <f t="shared" si="4"/>
        <v>-0.20999999999999996</v>
      </c>
    </row>
    <row r="269" spans="1:3" x14ac:dyDescent="0.25">
      <c r="A269" s="112">
        <v>27454</v>
      </c>
      <c r="B269" s="16">
        <v>7.37</v>
      </c>
      <c r="C269" s="16">
        <f t="shared" si="4"/>
        <v>0.28000000000000025</v>
      </c>
    </row>
    <row r="270" spans="1:3" x14ac:dyDescent="0.25">
      <c r="A270" s="112">
        <v>27485</v>
      </c>
      <c r="B270" s="16">
        <v>7.98</v>
      </c>
      <c r="C270" s="16">
        <f t="shared" si="4"/>
        <v>0.61000000000000032</v>
      </c>
    </row>
    <row r="271" spans="1:3" x14ac:dyDescent="0.25">
      <c r="A271" s="112">
        <v>27515</v>
      </c>
      <c r="B271" s="16">
        <v>7.49</v>
      </c>
      <c r="C271" s="16">
        <f t="shared" si="4"/>
        <v>-0.49000000000000021</v>
      </c>
    </row>
    <row r="272" spans="1:3" x14ac:dyDescent="0.25">
      <c r="A272" s="112">
        <v>27546</v>
      </c>
      <c r="B272" s="16">
        <v>7.58</v>
      </c>
      <c r="C272" s="16">
        <f t="shared" si="4"/>
        <v>8.9999999999999858E-2</v>
      </c>
    </row>
    <row r="273" spans="1:3" x14ac:dyDescent="0.25">
      <c r="A273" s="112">
        <v>27576</v>
      </c>
      <c r="B273" s="16">
        <v>7.82</v>
      </c>
      <c r="C273" s="16">
        <f t="shared" si="4"/>
        <v>0.24000000000000021</v>
      </c>
    </row>
    <row r="274" spans="1:3" x14ac:dyDescent="0.25">
      <c r="A274" s="112">
        <v>27607</v>
      </c>
      <c r="B274" s="16">
        <v>8</v>
      </c>
      <c r="C274" s="16">
        <f t="shared" si="4"/>
        <v>0.17999999999999972</v>
      </c>
    </row>
    <row r="275" spans="1:3" x14ac:dyDescent="0.25">
      <c r="A275" s="112">
        <v>27638</v>
      </c>
      <c r="B275" s="16">
        <v>8.15</v>
      </c>
      <c r="C275" s="16">
        <f t="shared" si="4"/>
        <v>0.15000000000000036</v>
      </c>
    </row>
    <row r="276" spans="1:3" x14ac:dyDescent="0.25">
      <c r="A276" s="112">
        <v>27668</v>
      </c>
      <c r="B276" s="16">
        <v>7.36</v>
      </c>
      <c r="C276" s="16">
        <f t="shared" si="4"/>
        <v>-0.79</v>
      </c>
    </row>
    <row r="277" spans="1:3" x14ac:dyDescent="0.25">
      <c r="A277" s="112">
        <v>27699</v>
      </c>
      <c r="B277" s="16">
        <v>7.54</v>
      </c>
      <c r="C277" s="16">
        <f t="shared" si="4"/>
        <v>0.17999999999999972</v>
      </c>
    </row>
    <row r="278" spans="1:3" x14ac:dyDescent="0.25">
      <c r="A278" s="112">
        <v>27729</v>
      </c>
      <c r="B278" s="16">
        <v>7.19</v>
      </c>
      <c r="C278" s="16">
        <f t="shared" si="4"/>
        <v>-0.34999999999999964</v>
      </c>
    </row>
    <row r="279" spans="1:3" x14ac:dyDescent="0.25">
      <c r="A279" s="112">
        <v>27760</v>
      </c>
      <c r="B279" s="16">
        <v>7.43</v>
      </c>
      <c r="C279" s="16">
        <f t="shared" si="4"/>
        <v>0.23999999999999932</v>
      </c>
    </row>
    <row r="280" spans="1:3" x14ac:dyDescent="0.25">
      <c r="A280" s="112">
        <v>27791</v>
      </c>
      <c r="B280" s="16">
        <v>7.36</v>
      </c>
      <c r="C280" s="16">
        <f t="shared" si="4"/>
        <v>-6.9999999999999396E-2</v>
      </c>
    </row>
    <row r="281" spans="1:3" x14ac:dyDescent="0.25">
      <c r="A281" s="112">
        <v>27820</v>
      </c>
      <c r="B281" s="16">
        <v>7.33</v>
      </c>
      <c r="C281" s="16">
        <f t="shared" si="4"/>
        <v>-3.0000000000000249E-2</v>
      </c>
    </row>
    <row r="282" spans="1:3" x14ac:dyDescent="0.25">
      <c r="A282" s="112">
        <v>27851</v>
      </c>
      <c r="B282" s="16">
        <v>7.19</v>
      </c>
      <c r="C282" s="16">
        <f t="shared" si="4"/>
        <v>-0.13999999999999968</v>
      </c>
    </row>
    <row r="283" spans="1:3" x14ac:dyDescent="0.25">
      <c r="A283" s="112">
        <v>27881</v>
      </c>
      <c r="B283" s="16">
        <v>7.71</v>
      </c>
      <c r="C283" s="16">
        <f t="shared" si="4"/>
        <v>0.51999999999999957</v>
      </c>
    </row>
    <row r="284" spans="1:3" x14ac:dyDescent="0.25">
      <c r="A284" s="112">
        <v>27912</v>
      </c>
      <c r="B284" s="16">
        <v>7.47</v>
      </c>
      <c r="C284" s="16">
        <f t="shared" si="4"/>
        <v>-0.24000000000000021</v>
      </c>
    </row>
    <row r="285" spans="1:3" x14ac:dyDescent="0.25">
      <c r="A285" s="112">
        <v>27942</v>
      </c>
      <c r="B285" s="16">
        <v>7.32</v>
      </c>
      <c r="C285" s="16">
        <f t="shared" si="4"/>
        <v>-0.14999999999999947</v>
      </c>
    </row>
    <row r="286" spans="1:3" x14ac:dyDescent="0.25">
      <c r="A286" s="112">
        <v>27973</v>
      </c>
      <c r="B286" s="16">
        <v>6.97</v>
      </c>
      <c r="C286" s="16">
        <f t="shared" si="4"/>
        <v>-0.35000000000000053</v>
      </c>
    </row>
    <row r="287" spans="1:3" x14ac:dyDescent="0.25">
      <c r="A287" s="112">
        <v>28004</v>
      </c>
      <c r="B287" s="16">
        <v>6.92</v>
      </c>
      <c r="C287" s="16">
        <f t="shared" si="4"/>
        <v>-4.9999999999999822E-2</v>
      </c>
    </row>
    <row r="288" spans="1:3" x14ac:dyDescent="0.25">
      <c r="A288" s="112">
        <v>28034</v>
      </c>
      <c r="B288" s="16">
        <v>6.67</v>
      </c>
      <c r="C288" s="16">
        <f t="shared" si="4"/>
        <v>-0.25</v>
      </c>
    </row>
    <row r="289" spans="1:3" x14ac:dyDescent="0.25">
      <c r="A289" s="112">
        <v>28065</v>
      </c>
      <c r="B289" s="16">
        <v>5.94</v>
      </c>
      <c r="C289" s="16">
        <f t="shared" si="4"/>
        <v>-0.72999999999999954</v>
      </c>
    </row>
    <row r="290" spans="1:3" x14ac:dyDescent="0.25">
      <c r="A290" s="112">
        <v>28095</v>
      </c>
      <c r="B290" s="16">
        <v>6</v>
      </c>
      <c r="C290" s="16">
        <f t="shared" si="4"/>
        <v>5.9999999999999609E-2</v>
      </c>
    </row>
    <row r="291" spans="1:3" x14ac:dyDescent="0.25">
      <c r="A291" s="112">
        <v>28126</v>
      </c>
      <c r="B291" s="16">
        <v>6.73</v>
      </c>
      <c r="C291" s="16">
        <f t="shared" si="4"/>
        <v>0.73000000000000043</v>
      </c>
    </row>
    <row r="292" spans="1:3" x14ac:dyDescent="0.25">
      <c r="A292" s="112">
        <v>28157</v>
      </c>
      <c r="B292" s="16">
        <v>6.73</v>
      </c>
      <c r="C292" s="16">
        <f t="shared" si="4"/>
        <v>0</v>
      </c>
    </row>
    <row r="293" spans="1:3" x14ac:dyDescent="0.25">
      <c r="A293" s="112">
        <v>28185</v>
      </c>
      <c r="B293" s="16">
        <v>6.73</v>
      </c>
      <c r="C293" s="16">
        <f t="shared" si="4"/>
        <v>0</v>
      </c>
    </row>
    <row r="294" spans="1:3" x14ac:dyDescent="0.25">
      <c r="A294" s="112">
        <v>28216</v>
      </c>
      <c r="B294" s="16">
        <v>6.74</v>
      </c>
      <c r="C294" s="16">
        <f t="shared" si="4"/>
        <v>9.9999999999997868E-3</v>
      </c>
    </row>
    <row r="295" spans="1:3" x14ac:dyDescent="0.25">
      <c r="A295" s="112">
        <v>28246</v>
      </c>
      <c r="B295" s="16">
        <v>6.74</v>
      </c>
      <c r="C295" s="16">
        <f t="shared" si="4"/>
        <v>0</v>
      </c>
    </row>
    <row r="296" spans="1:3" x14ac:dyDescent="0.25">
      <c r="A296" s="112">
        <v>28277</v>
      </c>
      <c r="B296" s="16">
        <v>6.62</v>
      </c>
      <c r="C296" s="16">
        <f t="shared" si="4"/>
        <v>-0.12000000000000011</v>
      </c>
    </row>
    <row r="297" spans="1:3" x14ac:dyDescent="0.25">
      <c r="A297" s="112">
        <v>28307</v>
      </c>
      <c r="B297" s="16">
        <v>6.75</v>
      </c>
      <c r="C297" s="16">
        <f t="shared" si="4"/>
        <v>0.12999999999999989</v>
      </c>
    </row>
    <row r="298" spans="1:3" x14ac:dyDescent="0.25">
      <c r="A298" s="112">
        <v>28338</v>
      </c>
      <c r="B298" s="16">
        <v>6.89</v>
      </c>
      <c r="C298" s="16">
        <f t="shared" si="4"/>
        <v>0.13999999999999968</v>
      </c>
    </row>
    <row r="299" spans="1:3" x14ac:dyDescent="0.25">
      <c r="A299" s="112">
        <v>28369</v>
      </c>
      <c r="B299" s="16">
        <v>7</v>
      </c>
      <c r="C299" s="16">
        <f t="shared" si="4"/>
        <v>0.11000000000000032</v>
      </c>
    </row>
    <row r="300" spans="1:3" x14ac:dyDescent="0.25">
      <c r="A300" s="112">
        <v>28399</v>
      </c>
      <c r="B300" s="16">
        <v>7.33</v>
      </c>
      <c r="C300" s="16">
        <f t="shared" si="4"/>
        <v>0.33000000000000007</v>
      </c>
    </row>
    <row r="301" spans="1:3" x14ac:dyDescent="0.25">
      <c r="A301" s="112">
        <v>28430</v>
      </c>
      <c r="B301" s="16">
        <v>7.27</v>
      </c>
      <c r="C301" s="16">
        <f t="shared" si="4"/>
        <v>-6.0000000000000497E-2</v>
      </c>
    </row>
    <row r="302" spans="1:3" x14ac:dyDescent="0.25">
      <c r="A302" s="112">
        <v>28460</v>
      </c>
      <c r="B302" s="16">
        <v>7.51</v>
      </c>
      <c r="C302" s="16">
        <f t="shared" si="4"/>
        <v>0.24000000000000021</v>
      </c>
    </row>
    <row r="303" spans="1:3" x14ac:dyDescent="0.25">
      <c r="A303" s="112">
        <v>28491</v>
      </c>
      <c r="B303" s="16">
        <v>7.73</v>
      </c>
      <c r="C303" s="16">
        <f t="shared" si="4"/>
        <v>0.22000000000000064</v>
      </c>
    </row>
    <row r="304" spans="1:3" x14ac:dyDescent="0.25">
      <c r="A304" s="112">
        <v>28522</v>
      </c>
      <c r="B304" s="16">
        <v>7.84</v>
      </c>
      <c r="C304" s="16">
        <f t="shared" si="4"/>
        <v>0.10999999999999943</v>
      </c>
    </row>
    <row r="305" spans="1:3" x14ac:dyDescent="0.25">
      <c r="A305" s="112">
        <v>28550</v>
      </c>
      <c r="B305" s="16">
        <v>7.91</v>
      </c>
      <c r="C305" s="16">
        <f t="shared" si="4"/>
        <v>7.0000000000000284E-2</v>
      </c>
    </row>
    <row r="306" spans="1:3" x14ac:dyDescent="0.25">
      <c r="A306" s="112">
        <v>28581</v>
      </c>
      <c r="B306" s="16">
        <v>8</v>
      </c>
      <c r="C306" s="16">
        <f t="shared" si="4"/>
        <v>8.9999999999999858E-2</v>
      </c>
    </row>
    <row r="307" spans="1:3" x14ac:dyDescent="0.25">
      <c r="A307" s="112">
        <v>28611</v>
      </c>
      <c r="B307" s="16">
        <v>8.1999999999999993</v>
      </c>
      <c r="C307" s="16">
        <f t="shared" si="4"/>
        <v>0.19999999999999929</v>
      </c>
    </row>
    <row r="308" spans="1:3" x14ac:dyDescent="0.25">
      <c r="A308" s="112">
        <v>28642</v>
      </c>
      <c r="B308" s="16">
        <v>8.43</v>
      </c>
      <c r="C308" s="16">
        <f t="shared" si="4"/>
        <v>0.23000000000000043</v>
      </c>
    </row>
    <row r="309" spans="1:3" x14ac:dyDescent="0.25">
      <c r="A309" s="112">
        <v>28672</v>
      </c>
      <c r="B309" s="16">
        <v>8.36</v>
      </c>
      <c r="C309" s="16">
        <f t="shared" si="4"/>
        <v>-7.0000000000000284E-2</v>
      </c>
    </row>
    <row r="310" spans="1:3" x14ac:dyDescent="0.25">
      <c r="A310" s="112">
        <v>28703</v>
      </c>
      <c r="B310" s="16">
        <v>8.33</v>
      </c>
      <c r="C310" s="16">
        <f t="shared" si="4"/>
        <v>-2.9999999999999361E-2</v>
      </c>
    </row>
    <row r="311" spans="1:3" x14ac:dyDescent="0.25">
      <c r="A311" s="112">
        <v>28734</v>
      </c>
      <c r="B311" s="16">
        <v>8.35</v>
      </c>
      <c r="C311" s="16">
        <f t="shared" si="4"/>
        <v>1.9999999999999574E-2</v>
      </c>
    </row>
    <row r="312" spans="1:3" x14ac:dyDescent="0.25">
      <c r="A312" s="112">
        <v>28764</v>
      </c>
      <c r="B312" s="16">
        <v>8.8699999999999992</v>
      </c>
      <c r="C312" s="16">
        <f t="shared" si="4"/>
        <v>0.51999999999999957</v>
      </c>
    </row>
    <row r="313" spans="1:3" x14ac:dyDescent="0.25">
      <c r="A313" s="112">
        <v>28795</v>
      </c>
      <c r="B313" s="16">
        <v>8.82</v>
      </c>
      <c r="C313" s="16">
        <f t="shared" si="4"/>
        <v>-4.9999999999998934E-2</v>
      </c>
    </row>
    <row r="314" spans="1:3" x14ac:dyDescent="0.25">
      <c r="A314" s="112">
        <v>28825</v>
      </c>
      <c r="B314" s="16">
        <v>8.83</v>
      </c>
      <c r="C314" s="16">
        <f t="shared" si="4"/>
        <v>9.9999999999997868E-3</v>
      </c>
    </row>
    <row r="315" spans="1:3" x14ac:dyDescent="0.25">
      <c r="A315" s="112">
        <v>28856</v>
      </c>
      <c r="B315" s="16">
        <v>8.9499999999999993</v>
      </c>
      <c r="C315" s="16">
        <f t="shared" si="4"/>
        <v>0.11999999999999922</v>
      </c>
    </row>
    <row r="316" spans="1:3" x14ac:dyDescent="0.25">
      <c r="A316" s="112">
        <v>28887</v>
      </c>
      <c r="B316" s="16">
        <v>9.2799999999999994</v>
      </c>
      <c r="C316" s="16">
        <f t="shared" si="4"/>
        <v>0.33000000000000007</v>
      </c>
    </row>
    <row r="317" spans="1:3" x14ac:dyDescent="0.25">
      <c r="A317" s="112">
        <v>28915</v>
      </c>
      <c r="B317" s="16">
        <v>9.18</v>
      </c>
      <c r="C317" s="16">
        <f t="shared" si="4"/>
        <v>-9.9999999999999645E-2</v>
      </c>
    </row>
    <row r="318" spans="1:3" x14ac:dyDescent="0.25">
      <c r="A318" s="112">
        <v>28946</v>
      </c>
      <c r="B318" s="16">
        <v>9.2899999999999991</v>
      </c>
      <c r="C318" s="16">
        <f t="shared" si="4"/>
        <v>0.10999999999999943</v>
      </c>
    </row>
    <row r="319" spans="1:3" x14ac:dyDescent="0.25">
      <c r="A319" s="112">
        <v>28976</v>
      </c>
      <c r="B319" s="16">
        <v>8.99</v>
      </c>
      <c r="C319" s="16">
        <f t="shared" si="4"/>
        <v>-0.29999999999999893</v>
      </c>
    </row>
    <row r="320" spans="1:3" x14ac:dyDescent="0.25">
      <c r="A320" s="112">
        <v>29007</v>
      </c>
      <c r="B320" s="16">
        <v>8.64</v>
      </c>
      <c r="C320" s="16">
        <f t="shared" si="4"/>
        <v>-0.34999999999999964</v>
      </c>
    </row>
    <row r="321" spans="1:3" x14ac:dyDescent="0.25">
      <c r="A321" s="112">
        <v>29037</v>
      </c>
      <c r="B321" s="16">
        <v>8.8699999999999992</v>
      </c>
      <c r="C321" s="16">
        <f t="shared" si="4"/>
        <v>0.22999999999999865</v>
      </c>
    </row>
    <row r="322" spans="1:3" x14ac:dyDescent="0.25">
      <c r="A322" s="112">
        <v>29068</v>
      </c>
      <c r="B322" s="16">
        <v>9.33</v>
      </c>
      <c r="C322" s="16">
        <f t="shared" si="4"/>
        <v>0.46000000000000085</v>
      </c>
    </row>
    <row r="323" spans="1:3" x14ac:dyDescent="0.25">
      <c r="A323" s="112">
        <v>29099</v>
      </c>
      <c r="B323" s="16">
        <v>9.51</v>
      </c>
      <c r="C323" s="16">
        <f t="shared" si="4"/>
        <v>0.17999999999999972</v>
      </c>
    </row>
    <row r="324" spans="1:3" x14ac:dyDescent="0.25">
      <c r="A324" s="112">
        <v>29129</v>
      </c>
      <c r="B324" s="16">
        <v>11.12</v>
      </c>
      <c r="C324" s="16">
        <f t="shared" ref="C324:C387" si="5">+B324-B323</f>
        <v>1.6099999999999994</v>
      </c>
    </row>
    <row r="325" spans="1:3" x14ac:dyDescent="0.25">
      <c r="A325" s="112">
        <v>29160</v>
      </c>
      <c r="B325" s="16">
        <v>10.33</v>
      </c>
      <c r="C325" s="16">
        <f t="shared" si="5"/>
        <v>-0.78999999999999915</v>
      </c>
    </row>
    <row r="326" spans="1:3" x14ac:dyDescent="0.25">
      <c r="A326" s="112">
        <v>29190</v>
      </c>
      <c r="B326" s="16">
        <v>10.33</v>
      </c>
      <c r="C326" s="16">
        <f t="shared" si="5"/>
        <v>0</v>
      </c>
    </row>
    <row r="327" spans="1:3" x14ac:dyDescent="0.25">
      <c r="A327" s="112">
        <v>29221</v>
      </c>
      <c r="B327" s="16">
        <v>10.93</v>
      </c>
      <c r="C327" s="16">
        <f t="shared" si="5"/>
        <v>0.59999999999999964</v>
      </c>
    </row>
    <row r="328" spans="1:3" x14ac:dyDescent="0.25">
      <c r="A328" s="112">
        <v>29252</v>
      </c>
      <c r="B328" s="16">
        <v>12.94</v>
      </c>
      <c r="C328" s="16">
        <f t="shared" si="5"/>
        <v>2.0099999999999998</v>
      </c>
    </row>
    <row r="329" spans="1:3" x14ac:dyDescent="0.25">
      <c r="A329" s="112">
        <v>29281</v>
      </c>
      <c r="B329" s="16">
        <v>12.85</v>
      </c>
      <c r="C329" s="16">
        <f t="shared" si="5"/>
        <v>-8.9999999999999858E-2</v>
      </c>
    </row>
    <row r="330" spans="1:3" x14ac:dyDescent="0.25">
      <c r="A330" s="112">
        <v>29312</v>
      </c>
      <c r="B330" s="16">
        <v>10.09</v>
      </c>
      <c r="C330" s="16">
        <f t="shared" si="5"/>
        <v>-2.76</v>
      </c>
    </row>
    <row r="331" spans="1:3" x14ac:dyDescent="0.25">
      <c r="A331" s="112">
        <v>29342</v>
      </c>
      <c r="B331" s="16">
        <v>9.0299999999999994</v>
      </c>
      <c r="C331" s="16">
        <f t="shared" si="5"/>
        <v>-1.0600000000000005</v>
      </c>
    </row>
    <row r="332" spans="1:3" x14ac:dyDescent="0.25">
      <c r="A332" s="112">
        <v>29373</v>
      </c>
      <c r="B332" s="16">
        <v>9.44</v>
      </c>
      <c r="C332" s="16">
        <f t="shared" si="5"/>
        <v>0.41000000000000014</v>
      </c>
    </row>
    <row r="333" spans="1:3" x14ac:dyDescent="0.25">
      <c r="A333" s="112">
        <v>29403</v>
      </c>
      <c r="B333" s="16">
        <v>9.9600000000000009</v>
      </c>
      <c r="C333" s="16">
        <f t="shared" si="5"/>
        <v>0.52000000000000135</v>
      </c>
    </row>
    <row r="334" spans="1:3" x14ac:dyDescent="0.25">
      <c r="A334" s="112">
        <v>29434</v>
      </c>
      <c r="B334" s="16">
        <v>11.33</v>
      </c>
      <c r="C334" s="16">
        <f t="shared" si="5"/>
        <v>1.3699999999999992</v>
      </c>
    </row>
    <row r="335" spans="1:3" x14ac:dyDescent="0.25">
      <c r="A335" s="112">
        <v>29465</v>
      </c>
      <c r="B335" s="16">
        <v>11.71</v>
      </c>
      <c r="C335" s="16">
        <f t="shared" si="5"/>
        <v>0.38000000000000078</v>
      </c>
    </row>
    <row r="336" spans="1:3" x14ac:dyDescent="0.25">
      <c r="A336" s="112">
        <v>29495</v>
      </c>
      <c r="B336" s="16">
        <v>12.44</v>
      </c>
      <c r="C336" s="16">
        <f t="shared" si="5"/>
        <v>0.72999999999999865</v>
      </c>
    </row>
    <row r="337" spans="1:3" x14ac:dyDescent="0.25">
      <c r="A337" s="112">
        <v>29526</v>
      </c>
      <c r="B337" s="16">
        <v>12.64</v>
      </c>
      <c r="C337" s="16">
        <f t="shared" si="5"/>
        <v>0.20000000000000107</v>
      </c>
    </row>
    <row r="338" spans="1:3" x14ac:dyDescent="0.25">
      <c r="A338" s="112">
        <v>29556</v>
      </c>
      <c r="B338" s="16">
        <v>12.45</v>
      </c>
      <c r="C338" s="16">
        <f t="shared" si="5"/>
        <v>-0.19000000000000128</v>
      </c>
    </row>
    <row r="339" spans="1:3" x14ac:dyDescent="0.25">
      <c r="A339" s="112">
        <v>29587</v>
      </c>
      <c r="B339" s="16">
        <v>12.75</v>
      </c>
      <c r="C339" s="16">
        <f t="shared" si="5"/>
        <v>0.30000000000000071</v>
      </c>
    </row>
    <row r="340" spans="1:3" x14ac:dyDescent="0.25">
      <c r="A340" s="112">
        <v>29618</v>
      </c>
      <c r="B340" s="16">
        <v>13.71</v>
      </c>
      <c r="C340" s="16">
        <f t="shared" si="5"/>
        <v>0.96000000000000085</v>
      </c>
    </row>
    <row r="341" spans="1:3" x14ac:dyDescent="0.25">
      <c r="A341" s="112">
        <v>29646</v>
      </c>
      <c r="B341" s="16">
        <v>13.28</v>
      </c>
      <c r="C341" s="16">
        <f t="shared" si="5"/>
        <v>-0.43000000000000149</v>
      </c>
    </row>
    <row r="342" spans="1:3" x14ac:dyDescent="0.25">
      <c r="A342" s="112">
        <v>29677</v>
      </c>
      <c r="B342" s="16">
        <v>14.27</v>
      </c>
      <c r="C342" s="16">
        <f t="shared" si="5"/>
        <v>0.99000000000000021</v>
      </c>
    </row>
    <row r="343" spans="1:3" x14ac:dyDescent="0.25">
      <c r="A343" s="112">
        <v>29707</v>
      </c>
      <c r="B343" s="16">
        <v>13.85</v>
      </c>
      <c r="C343" s="16">
        <f t="shared" si="5"/>
        <v>-0.41999999999999993</v>
      </c>
    </row>
    <row r="344" spans="1:3" x14ac:dyDescent="0.25">
      <c r="A344" s="112">
        <v>29738</v>
      </c>
      <c r="B344" s="16">
        <v>14.04</v>
      </c>
      <c r="C344" s="16">
        <f t="shared" si="5"/>
        <v>0.1899999999999995</v>
      </c>
    </row>
    <row r="345" spans="1:3" x14ac:dyDescent="0.25">
      <c r="A345" s="112">
        <v>29768</v>
      </c>
      <c r="B345" s="16">
        <v>15.33</v>
      </c>
      <c r="C345" s="16">
        <f t="shared" si="5"/>
        <v>1.2900000000000009</v>
      </c>
    </row>
    <row r="346" spans="1:3" x14ac:dyDescent="0.25">
      <c r="A346" s="112">
        <v>29799</v>
      </c>
      <c r="B346" s="16">
        <v>16.36</v>
      </c>
      <c r="C346" s="16">
        <f t="shared" si="5"/>
        <v>1.0299999999999994</v>
      </c>
    </row>
    <row r="347" spans="1:3" x14ac:dyDescent="0.25">
      <c r="A347" s="112">
        <v>29830</v>
      </c>
      <c r="B347" s="16">
        <v>16.25</v>
      </c>
      <c r="C347" s="16">
        <f t="shared" si="5"/>
        <v>-0.10999999999999943</v>
      </c>
    </row>
    <row r="348" spans="1:3" x14ac:dyDescent="0.25">
      <c r="A348" s="112">
        <v>29860</v>
      </c>
      <c r="B348" s="16">
        <v>14.72</v>
      </c>
      <c r="C348" s="16">
        <f t="shared" si="5"/>
        <v>-1.5299999999999994</v>
      </c>
    </row>
    <row r="349" spans="1:3" x14ac:dyDescent="0.25">
      <c r="A349" s="112">
        <v>29891</v>
      </c>
      <c r="B349" s="16">
        <v>13.11</v>
      </c>
      <c r="C349" s="16">
        <f t="shared" si="5"/>
        <v>-1.6100000000000012</v>
      </c>
    </row>
    <row r="350" spans="1:3" x14ac:dyDescent="0.25">
      <c r="A350" s="112">
        <v>29921</v>
      </c>
      <c r="B350" s="16">
        <v>13.96</v>
      </c>
      <c r="C350" s="16">
        <f t="shared" si="5"/>
        <v>0.85000000000000142</v>
      </c>
    </row>
    <row r="351" spans="1:3" x14ac:dyDescent="0.25">
      <c r="A351" s="112">
        <v>29952</v>
      </c>
      <c r="B351" s="16">
        <v>13.97</v>
      </c>
      <c r="C351" s="16">
        <f t="shared" si="5"/>
        <v>9.9999999999997868E-3</v>
      </c>
    </row>
    <row r="352" spans="1:3" x14ac:dyDescent="0.25">
      <c r="A352" s="112">
        <v>29983</v>
      </c>
      <c r="B352" s="16">
        <v>13.85</v>
      </c>
      <c r="C352" s="16">
        <f t="shared" si="5"/>
        <v>-0.12000000000000099</v>
      </c>
    </row>
    <row r="353" spans="1:3" x14ac:dyDescent="0.25">
      <c r="A353" s="112">
        <v>30011</v>
      </c>
      <c r="B353" s="16">
        <v>14.06</v>
      </c>
      <c r="C353" s="16">
        <f t="shared" si="5"/>
        <v>0.21000000000000085</v>
      </c>
    </row>
    <row r="354" spans="1:3" x14ac:dyDescent="0.25">
      <c r="A354" s="112">
        <v>30042</v>
      </c>
      <c r="B354" s="16">
        <v>13.55</v>
      </c>
      <c r="C354" s="16">
        <f t="shared" si="5"/>
        <v>-0.50999999999999979</v>
      </c>
    </row>
    <row r="355" spans="1:3" x14ac:dyDescent="0.25">
      <c r="A355" s="112">
        <v>30072</v>
      </c>
      <c r="B355" s="16">
        <v>13.43</v>
      </c>
      <c r="C355" s="16">
        <f t="shared" si="5"/>
        <v>-0.12000000000000099</v>
      </c>
    </row>
    <row r="356" spans="1:3" x14ac:dyDescent="0.25">
      <c r="A356" s="112">
        <v>30103</v>
      </c>
      <c r="B356" s="16">
        <v>14.17</v>
      </c>
      <c r="C356" s="16">
        <f t="shared" si="5"/>
        <v>0.74000000000000021</v>
      </c>
    </row>
    <row r="357" spans="1:3" x14ac:dyDescent="0.25">
      <c r="A357" s="112">
        <v>30133</v>
      </c>
      <c r="B357" s="16">
        <v>13.15</v>
      </c>
      <c r="C357" s="16">
        <f t="shared" si="5"/>
        <v>-1.0199999999999996</v>
      </c>
    </row>
    <row r="358" spans="1:3" x14ac:dyDescent="0.25">
      <c r="A358" s="112">
        <v>30164</v>
      </c>
      <c r="B358" s="16">
        <v>12.09</v>
      </c>
      <c r="C358" s="16">
        <f t="shared" si="5"/>
        <v>-1.0600000000000005</v>
      </c>
    </row>
    <row r="359" spans="1:3" x14ac:dyDescent="0.25">
      <c r="A359" s="112">
        <v>30195</v>
      </c>
      <c r="B359" s="16">
        <v>11.44</v>
      </c>
      <c r="C359" s="16">
        <f t="shared" si="5"/>
        <v>-0.65000000000000036</v>
      </c>
    </row>
    <row r="360" spans="1:3" x14ac:dyDescent="0.25">
      <c r="A360" s="112">
        <v>30225</v>
      </c>
      <c r="B360" s="16">
        <v>10.18</v>
      </c>
      <c r="C360" s="16">
        <f t="shared" si="5"/>
        <v>-1.2599999999999998</v>
      </c>
    </row>
    <row r="361" spans="1:3" x14ac:dyDescent="0.25">
      <c r="A361" s="112">
        <v>30256</v>
      </c>
      <c r="B361" s="16">
        <v>10.199999999999999</v>
      </c>
      <c r="C361" s="16">
        <f t="shared" si="5"/>
        <v>1.9999999999999574E-2</v>
      </c>
    </row>
    <row r="362" spans="1:3" x14ac:dyDescent="0.25">
      <c r="A362" s="112">
        <v>30286</v>
      </c>
      <c r="B362" s="16">
        <v>9.9</v>
      </c>
      <c r="C362" s="16">
        <f t="shared" si="5"/>
        <v>-0.29999999999999893</v>
      </c>
    </row>
    <row r="363" spans="1:3" x14ac:dyDescent="0.25">
      <c r="A363" s="112">
        <v>30317</v>
      </c>
      <c r="B363" s="16">
        <v>10.57</v>
      </c>
      <c r="C363" s="16">
        <f t="shared" si="5"/>
        <v>0.66999999999999993</v>
      </c>
    </row>
    <row r="364" spans="1:3" x14ac:dyDescent="0.25">
      <c r="A364" s="112">
        <v>30348</v>
      </c>
      <c r="B364" s="16">
        <v>10.1</v>
      </c>
      <c r="C364" s="16">
        <f t="shared" si="5"/>
        <v>-0.47000000000000064</v>
      </c>
    </row>
    <row r="365" spans="1:3" x14ac:dyDescent="0.25">
      <c r="A365" s="112">
        <v>30376</v>
      </c>
      <c r="B365" s="16">
        <v>10.48</v>
      </c>
      <c r="C365" s="16">
        <f t="shared" si="5"/>
        <v>0.38000000000000078</v>
      </c>
    </row>
    <row r="366" spans="1:3" x14ac:dyDescent="0.25">
      <c r="A366" s="112">
        <v>30407</v>
      </c>
      <c r="B366" s="16">
        <v>9.9700000000000006</v>
      </c>
      <c r="C366" s="16">
        <f t="shared" si="5"/>
        <v>-0.50999999999999979</v>
      </c>
    </row>
    <row r="367" spans="1:3" x14ac:dyDescent="0.25">
      <c r="A367" s="112">
        <v>30437</v>
      </c>
      <c r="B367" s="16">
        <v>10.59</v>
      </c>
      <c r="C367" s="16">
        <f t="shared" si="5"/>
        <v>0.61999999999999922</v>
      </c>
    </row>
    <row r="368" spans="1:3" x14ac:dyDescent="0.25">
      <c r="A368" s="112">
        <v>30468</v>
      </c>
      <c r="B368" s="16">
        <v>10.8</v>
      </c>
      <c r="C368" s="16">
        <f t="shared" si="5"/>
        <v>0.21000000000000085</v>
      </c>
    </row>
    <row r="369" spans="1:3" x14ac:dyDescent="0.25">
      <c r="A369" s="112">
        <v>30498</v>
      </c>
      <c r="B369" s="16">
        <v>11.68</v>
      </c>
      <c r="C369" s="16">
        <f t="shared" si="5"/>
        <v>0.87999999999999901</v>
      </c>
    </row>
    <row r="370" spans="1:3" x14ac:dyDescent="0.25">
      <c r="A370" s="112">
        <v>30529</v>
      </c>
      <c r="B370" s="16">
        <v>11.75</v>
      </c>
      <c r="C370" s="16">
        <f t="shared" si="5"/>
        <v>7.0000000000000284E-2</v>
      </c>
    </row>
    <row r="371" spans="1:3" x14ac:dyDescent="0.25">
      <c r="A371" s="112">
        <v>30560</v>
      </c>
      <c r="B371" s="16">
        <v>11.08</v>
      </c>
      <c r="C371" s="16">
        <f t="shared" si="5"/>
        <v>-0.66999999999999993</v>
      </c>
    </row>
    <row r="372" spans="1:3" x14ac:dyDescent="0.25">
      <c r="A372" s="112">
        <v>30590</v>
      </c>
      <c r="B372" s="16">
        <v>11.31</v>
      </c>
      <c r="C372" s="16">
        <f t="shared" si="5"/>
        <v>0.23000000000000043</v>
      </c>
    </row>
    <row r="373" spans="1:3" x14ac:dyDescent="0.25">
      <c r="A373" s="112">
        <v>30621</v>
      </c>
      <c r="B373" s="16">
        <v>11.27</v>
      </c>
      <c r="C373" s="16">
        <f t="shared" si="5"/>
        <v>-4.0000000000000924E-2</v>
      </c>
    </row>
    <row r="374" spans="1:3" x14ac:dyDescent="0.25">
      <c r="A374" s="112">
        <v>30651</v>
      </c>
      <c r="B374" s="16">
        <v>11.41</v>
      </c>
      <c r="C374" s="16">
        <f t="shared" si="5"/>
        <v>0.14000000000000057</v>
      </c>
    </row>
    <row r="375" spans="1:3" x14ac:dyDescent="0.25">
      <c r="A375" s="112">
        <v>30682</v>
      </c>
      <c r="B375" s="16">
        <v>11.37</v>
      </c>
      <c r="C375" s="16">
        <f t="shared" si="5"/>
        <v>-4.0000000000000924E-2</v>
      </c>
    </row>
    <row r="376" spans="1:3" x14ac:dyDescent="0.25">
      <c r="A376" s="112">
        <v>30713</v>
      </c>
      <c r="B376" s="16">
        <v>11.81</v>
      </c>
      <c r="C376" s="16">
        <f t="shared" si="5"/>
        <v>0.44000000000000128</v>
      </c>
    </row>
    <row r="377" spans="1:3" x14ac:dyDescent="0.25">
      <c r="A377" s="112">
        <v>30742</v>
      </c>
      <c r="B377" s="16">
        <v>12.19</v>
      </c>
      <c r="C377" s="16">
        <f t="shared" si="5"/>
        <v>0.37999999999999901</v>
      </c>
    </row>
    <row r="378" spans="1:3" x14ac:dyDescent="0.25">
      <c r="A378" s="112">
        <v>30773</v>
      </c>
      <c r="B378" s="16">
        <v>12.51</v>
      </c>
      <c r="C378" s="16">
        <f t="shared" si="5"/>
        <v>0.32000000000000028</v>
      </c>
    </row>
    <row r="379" spans="1:3" x14ac:dyDescent="0.25">
      <c r="A379" s="112">
        <v>30803</v>
      </c>
      <c r="B379" s="16">
        <v>13.63</v>
      </c>
      <c r="C379" s="16">
        <f t="shared" si="5"/>
        <v>1.120000000000001</v>
      </c>
    </row>
    <row r="380" spans="1:3" x14ac:dyDescent="0.25">
      <c r="A380" s="112">
        <v>30834</v>
      </c>
      <c r="B380" s="16">
        <v>13.65</v>
      </c>
      <c r="C380" s="16">
        <f t="shared" si="5"/>
        <v>1.9999999999999574E-2</v>
      </c>
    </row>
    <row r="381" spans="1:3" x14ac:dyDescent="0.25">
      <c r="A381" s="112">
        <v>30864</v>
      </c>
      <c r="B381" s="16">
        <v>12.74</v>
      </c>
      <c r="C381" s="16">
        <f t="shared" si="5"/>
        <v>-0.91000000000000014</v>
      </c>
    </row>
    <row r="382" spans="1:3" x14ac:dyDescent="0.25">
      <c r="A382" s="112">
        <v>30895</v>
      </c>
      <c r="B382" s="16">
        <v>12.76</v>
      </c>
      <c r="C382" s="16">
        <f t="shared" si="5"/>
        <v>1.9999999999999574E-2</v>
      </c>
    </row>
    <row r="383" spans="1:3" x14ac:dyDescent="0.25">
      <c r="A383" s="112">
        <v>30926</v>
      </c>
      <c r="B383" s="16">
        <v>12.42</v>
      </c>
      <c r="C383" s="16">
        <f t="shared" si="5"/>
        <v>-0.33999999999999986</v>
      </c>
    </row>
    <row r="384" spans="1:3" x14ac:dyDescent="0.25">
      <c r="A384" s="112">
        <v>30956</v>
      </c>
      <c r="B384" s="16">
        <v>11.54</v>
      </c>
      <c r="C384" s="16">
        <f t="shared" si="5"/>
        <v>-0.88000000000000078</v>
      </c>
    </row>
    <row r="385" spans="1:3" x14ac:dyDescent="0.25">
      <c r="A385" s="112">
        <v>30987</v>
      </c>
      <c r="B385" s="16">
        <v>11.21</v>
      </c>
      <c r="C385" s="16">
        <f t="shared" si="5"/>
        <v>-0.32999999999999829</v>
      </c>
    </row>
    <row r="386" spans="1:3" x14ac:dyDescent="0.25">
      <c r="A386" s="112">
        <v>31017</v>
      </c>
      <c r="B386" s="16">
        <v>11.04</v>
      </c>
      <c r="C386" s="16">
        <f t="shared" si="5"/>
        <v>-0.17000000000000171</v>
      </c>
    </row>
    <row r="387" spans="1:3" x14ac:dyDescent="0.25">
      <c r="A387" s="112">
        <v>31048</v>
      </c>
      <c r="B387" s="16">
        <v>10.81</v>
      </c>
      <c r="C387" s="16">
        <f t="shared" si="5"/>
        <v>-0.22999999999999865</v>
      </c>
    </row>
    <row r="388" spans="1:3" x14ac:dyDescent="0.25">
      <c r="A388" s="112">
        <v>31079</v>
      </c>
      <c r="B388" s="16">
        <v>11.52</v>
      </c>
      <c r="C388" s="16">
        <f t="shared" ref="C388:C451" si="6">+B388-B387</f>
        <v>0.70999999999999908</v>
      </c>
    </row>
    <row r="389" spans="1:3" x14ac:dyDescent="0.25">
      <c r="A389" s="112">
        <v>31107</v>
      </c>
      <c r="B389" s="16">
        <v>11.31</v>
      </c>
      <c r="C389" s="16">
        <f t="shared" si="6"/>
        <v>-0.20999999999999908</v>
      </c>
    </row>
    <row r="390" spans="1:3" x14ac:dyDescent="0.25">
      <c r="A390" s="112">
        <v>31138</v>
      </c>
      <c r="B390" s="16">
        <v>10.84</v>
      </c>
      <c r="C390" s="16">
        <f t="shared" si="6"/>
        <v>-0.47000000000000064</v>
      </c>
    </row>
    <row r="391" spans="1:3" x14ac:dyDescent="0.25">
      <c r="A391" s="112">
        <v>31168</v>
      </c>
      <c r="B391" s="16">
        <v>9.74</v>
      </c>
      <c r="C391" s="16">
        <f t="shared" si="6"/>
        <v>-1.0999999999999996</v>
      </c>
    </row>
    <row r="392" spans="1:3" x14ac:dyDescent="0.25">
      <c r="A392" s="112">
        <v>31199</v>
      </c>
      <c r="B392" s="16">
        <v>9.6300000000000008</v>
      </c>
      <c r="C392" s="16">
        <f t="shared" si="6"/>
        <v>-0.10999999999999943</v>
      </c>
    </row>
    <row r="393" spans="1:3" x14ac:dyDescent="0.25">
      <c r="A393" s="112">
        <v>31229</v>
      </c>
      <c r="B393" s="16">
        <v>10.02</v>
      </c>
      <c r="C393" s="16">
        <f t="shared" si="6"/>
        <v>0.38999999999999879</v>
      </c>
    </row>
    <row r="394" spans="1:3" x14ac:dyDescent="0.25">
      <c r="A394" s="112">
        <v>31260</v>
      </c>
      <c r="B394" s="16">
        <v>9.82</v>
      </c>
      <c r="C394" s="16">
        <f t="shared" si="6"/>
        <v>-0.19999999999999929</v>
      </c>
    </row>
    <row r="395" spans="1:3" x14ac:dyDescent="0.25">
      <c r="A395" s="112">
        <v>31291</v>
      </c>
      <c r="B395" s="16">
        <v>9.73</v>
      </c>
      <c r="C395" s="16">
        <f t="shared" si="6"/>
        <v>-8.9999999999999858E-2</v>
      </c>
    </row>
    <row r="396" spans="1:3" x14ac:dyDescent="0.25">
      <c r="A396" s="112">
        <v>31321</v>
      </c>
      <c r="B396" s="16">
        <v>9.49</v>
      </c>
      <c r="C396" s="16">
        <f t="shared" si="6"/>
        <v>-0.24000000000000021</v>
      </c>
    </row>
    <row r="397" spans="1:3" x14ac:dyDescent="0.25">
      <c r="A397" s="112">
        <v>31352</v>
      </c>
      <c r="B397" s="16">
        <v>9.11</v>
      </c>
      <c r="C397" s="16">
        <f t="shared" si="6"/>
        <v>-0.38000000000000078</v>
      </c>
    </row>
    <row r="398" spans="1:3" x14ac:dyDescent="0.25">
      <c r="A398" s="112">
        <v>31382</v>
      </c>
      <c r="B398" s="16">
        <v>8.5500000000000007</v>
      </c>
      <c r="C398" s="16">
        <f t="shared" si="6"/>
        <v>-0.55999999999999872</v>
      </c>
    </row>
    <row r="399" spans="1:3" x14ac:dyDescent="0.25">
      <c r="A399" s="112">
        <v>31413</v>
      </c>
      <c r="B399" s="16">
        <v>8.6999999999999993</v>
      </c>
      <c r="C399" s="16">
        <f t="shared" si="6"/>
        <v>0.14999999999999858</v>
      </c>
    </row>
    <row r="400" spans="1:3" x14ac:dyDescent="0.25">
      <c r="A400" s="112">
        <v>31444</v>
      </c>
      <c r="B400" s="16">
        <v>8.15</v>
      </c>
      <c r="C400" s="16">
        <f t="shared" si="6"/>
        <v>-0.54999999999999893</v>
      </c>
    </row>
    <row r="401" spans="1:3" x14ac:dyDescent="0.25">
      <c r="A401" s="112">
        <v>31472</v>
      </c>
      <c r="B401" s="16">
        <v>7.43</v>
      </c>
      <c r="C401" s="16">
        <f t="shared" si="6"/>
        <v>-0.72000000000000064</v>
      </c>
    </row>
    <row r="402" spans="1:3" x14ac:dyDescent="0.25">
      <c r="A402" s="112">
        <v>31503</v>
      </c>
      <c r="B402" s="16">
        <v>7.37</v>
      </c>
      <c r="C402" s="16">
        <f t="shared" si="6"/>
        <v>-5.9999999999999609E-2</v>
      </c>
    </row>
    <row r="403" spans="1:3" x14ac:dyDescent="0.25">
      <c r="A403" s="112">
        <v>31533</v>
      </c>
      <c r="B403" s="16">
        <v>8.16</v>
      </c>
      <c r="C403" s="16">
        <f t="shared" si="6"/>
        <v>0.79</v>
      </c>
    </row>
    <row r="404" spans="1:3" x14ac:dyDescent="0.25">
      <c r="A404" s="112">
        <v>31564</v>
      </c>
      <c r="B404" s="16">
        <v>7.56</v>
      </c>
      <c r="C404" s="16">
        <f t="shared" si="6"/>
        <v>-0.60000000000000053</v>
      </c>
    </row>
    <row r="405" spans="1:3" x14ac:dyDescent="0.25">
      <c r="A405" s="112">
        <v>31594</v>
      </c>
      <c r="B405" s="16">
        <v>7.28</v>
      </c>
      <c r="C405" s="16">
        <f t="shared" si="6"/>
        <v>-0.27999999999999936</v>
      </c>
    </row>
    <row r="406" spans="1:3" x14ac:dyDescent="0.25">
      <c r="A406" s="112">
        <v>31625</v>
      </c>
      <c r="B406" s="16">
        <v>6.68</v>
      </c>
      <c r="C406" s="16">
        <f t="shared" si="6"/>
        <v>-0.60000000000000053</v>
      </c>
    </row>
    <row r="407" spans="1:3" x14ac:dyDescent="0.25">
      <c r="A407" s="112">
        <v>31656</v>
      </c>
      <c r="B407" s="16">
        <v>7.18</v>
      </c>
      <c r="C407" s="16">
        <f t="shared" si="6"/>
        <v>0.5</v>
      </c>
    </row>
    <row r="408" spans="1:3" x14ac:dyDescent="0.25">
      <c r="A408" s="112">
        <v>31686</v>
      </c>
      <c r="B408" s="16">
        <v>6.87</v>
      </c>
      <c r="C408" s="16">
        <f t="shared" si="6"/>
        <v>-0.30999999999999961</v>
      </c>
    </row>
    <row r="409" spans="1:3" x14ac:dyDescent="0.25">
      <c r="A409" s="112">
        <v>31717</v>
      </c>
      <c r="B409" s="16">
        <v>6.69</v>
      </c>
      <c r="C409" s="16">
        <f t="shared" si="6"/>
        <v>-0.17999999999999972</v>
      </c>
    </row>
    <row r="410" spans="1:3" x14ac:dyDescent="0.25">
      <c r="A410" s="112">
        <v>31747</v>
      </c>
      <c r="B410" s="16">
        <v>6.85</v>
      </c>
      <c r="C410" s="16">
        <f t="shared" si="6"/>
        <v>0.15999999999999925</v>
      </c>
    </row>
    <row r="411" spans="1:3" x14ac:dyDescent="0.25">
      <c r="A411" s="112">
        <v>31778</v>
      </c>
      <c r="B411" s="16">
        <v>6.85</v>
      </c>
      <c r="C411" s="16">
        <f t="shared" si="6"/>
        <v>0</v>
      </c>
    </row>
    <row r="412" spans="1:3" x14ac:dyDescent="0.25">
      <c r="A412" s="112">
        <v>31809</v>
      </c>
      <c r="B412" s="16">
        <v>6.83</v>
      </c>
      <c r="C412" s="16">
        <f t="shared" si="6"/>
        <v>-1.9999999999999574E-2</v>
      </c>
    </row>
    <row r="413" spans="1:3" x14ac:dyDescent="0.25">
      <c r="A413" s="112">
        <v>31837</v>
      </c>
      <c r="B413" s="16">
        <v>7.08</v>
      </c>
      <c r="C413" s="16">
        <f t="shared" si="6"/>
        <v>0.25</v>
      </c>
    </row>
    <row r="414" spans="1:3" x14ac:dyDescent="0.25">
      <c r="A414" s="112">
        <v>31868</v>
      </c>
      <c r="B414" s="16">
        <v>7.93</v>
      </c>
      <c r="C414" s="16">
        <f t="shared" si="6"/>
        <v>0.84999999999999964</v>
      </c>
    </row>
    <row r="415" spans="1:3" x14ac:dyDescent="0.25">
      <c r="A415" s="112">
        <v>31898</v>
      </c>
      <c r="B415" s="16">
        <v>8.2100000000000009</v>
      </c>
      <c r="C415" s="16">
        <f t="shared" si="6"/>
        <v>0.28000000000000114</v>
      </c>
    </row>
    <row r="416" spans="1:3" x14ac:dyDescent="0.25">
      <c r="A416" s="112">
        <v>31929</v>
      </c>
      <c r="B416" s="16">
        <v>8.06</v>
      </c>
      <c r="C416" s="16">
        <f t="shared" si="6"/>
        <v>-0.15000000000000036</v>
      </c>
    </row>
    <row r="417" spans="1:3" x14ac:dyDescent="0.25">
      <c r="A417" s="112">
        <v>31959</v>
      </c>
      <c r="B417" s="16">
        <v>8.18</v>
      </c>
      <c r="C417" s="16">
        <f t="shared" si="6"/>
        <v>0.11999999999999922</v>
      </c>
    </row>
    <row r="418" spans="1:3" x14ac:dyDescent="0.25">
      <c r="A418" s="112">
        <v>31990</v>
      </c>
      <c r="B418" s="16">
        <v>8.49</v>
      </c>
      <c r="C418" s="16">
        <f t="shared" si="6"/>
        <v>0.3100000000000005</v>
      </c>
    </row>
    <row r="419" spans="1:3" x14ac:dyDescent="0.25">
      <c r="A419" s="112">
        <v>32021</v>
      </c>
      <c r="B419" s="16">
        <v>9.1199999999999992</v>
      </c>
      <c r="C419" s="16">
        <f t="shared" si="6"/>
        <v>0.62999999999999901</v>
      </c>
    </row>
    <row r="420" spans="1:3" x14ac:dyDescent="0.25">
      <c r="A420" s="112">
        <v>32051</v>
      </c>
      <c r="B420" s="16">
        <v>8.44</v>
      </c>
      <c r="C420" s="16">
        <f t="shared" si="6"/>
        <v>-0.67999999999999972</v>
      </c>
    </row>
    <row r="421" spans="1:3" x14ac:dyDescent="0.25">
      <c r="A421" s="112">
        <v>32082</v>
      </c>
      <c r="B421" s="16">
        <v>8.4</v>
      </c>
      <c r="C421" s="16">
        <f t="shared" si="6"/>
        <v>-3.9999999999999147E-2</v>
      </c>
    </row>
    <row r="422" spans="1:3" x14ac:dyDescent="0.25">
      <c r="A422" s="112">
        <v>32112</v>
      </c>
      <c r="B422" s="16">
        <v>8.32</v>
      </c>
      <c r="C422" s="16">
        <f t="shared" si="6"/>
        <v>-8.0000000000000071E-2</v>
      </c>
    </row>
    <row r="423" spans="1:3" x14ac:dyDescent="0.25">
      <c r="A423" s="112">
        <v>32143</v>
      </c>
      <c r="B423" s="16">
        <v>7.82</v>
      </c>
      <c r="C423" s="16">
        <f t="shared" si="6"/>
        <v>-0.5</v>
      </c>
    </row>
    <row r="424" spans="1:3" x14ac:dyDescent="0.25">
      <c r="A424" s="112">
        <v>32174</v>
      </c>
      <c r="B424" s="16">
        <v>7.68</v>
      </c>
      <c r="C424" s="16">
        <f t="shared" si="6"/>
        <v>-0.14000000000000057</v>
      </c>
    </row>
    <row r="425" spans="1:3" x14ac:dyDescent="0.25">
      <c r="A425" s="112">
        <v>32203</v>
      </c>
      <c r="B425" s="16">
        <v>8.07</v>
      </c>
      <c r="C425" s="16">
        <f t="shared" si="6"/>
        <v>0.39000000000000057</v>
      </c>
    </row>
    <row r="426" spans="1:3" x14ac:dyDescent="0.25">
      <c r="A426" s="112">
        <v>32234</v>
      </c>
      <c r="B426" s="16">
        <v>8.36</v>
      </c>
      <c r="C426" s="16">
        <f t="shared" si="6"/>
        <v>0.28999999999999915</v>
      </c>
    </row>
    <row r="427" spans="1:3" x14ac:dyDescent="0.25">
      <c r="A427" s="112">
        <v>32264</v>
      </c>
      <c r="B427" s="16">
        <v>8.6999999999999993</v>
      </c>
      <c r="C427" s="16">
        <f t="shared" si="6"/>
        <v>0.33999999999999986</v>
      </c>
    </row>
    <row r="428" spans="1:3" x14ac:dyDescent="0.25">
      <c r="A428" s="112">
        <v>32295</v>
      </c>
      <c r="B428" s="16">
        <v>8.39</v>
      </c>
      <c r="C428" s="16">
        <f t="shared" si="6"/>
        <v>-0.30999999999999872</v>
      </c>
    </row>
    <row r="429" spans="1:3" x14ac:dyDescent="0.25">
      <c r="A429" s="112">
        <v>32325</v>
      </c>
      <c r="B429" s="16">
        <v>8.7100000000000009</v>
      </c>
      <c r="C429" s="16">
        <f t="shared" si="6"/>
        <v>0.32000000000000028</v>
      </c>
    </row>
    <row r="430" spans="1:3" x14ac:dyDescent="0.25">
      <c r="A430" s="112">
        <v>32356</v>
      </c>
      <c r="B430" s="16">
        <v>8.9499999999999993</v>
      </c>
      <c r="C430" s="16">
        <f t="shared" si="6"/>
        <v>0.23999999999999844</v>
      </c>
    </row>
    <row r="431" spans="1:3" x14ac:dyDescent="0.25">
      <c r="A431" s="112">
        <v>32387</v>
      </c>
      <c r="B431" s="16">
        <v>8.59</v>
      </c>
      <c r="C431" s="16">
        <f t="shared" si="6"/>
        <v>-0.35999999999999943</v>
      </c>
    </row>
    <row r="432" spans="1:3" x14ac:dyDescent="0.25">
      <c r="A432" s="112">
        <v>32417</v>
      </c>
      <c r="B432" s="16">
        <v>8.3699999999999992</v>
      </c>
      <c r="C432" s="16">
        <f t="shared" si="6"/>
        <v>-0.22000000000000064</v>
      </c>
    </row>
    <row r="433" spans="1:3" x14ac:dyDescent="0.25">
      <c r="A433" s="112">
        <v>32448</v>
      </c>
      <c r="B433" s="16">
        <v>8.92</v>
      </c>
      <c r="C433" s="16">
        <f t="shared" si="6"/>
        <v>0.55000000000000071</v>
      </c>
    </row>
    <row r="434" spans="1:3" x14ac:dyDescent="0.25">
      <c r="A434" s="112">
        <v>32478</v>
      </c>
      <c r="B434" s="16">
        <v>9.17</v>
      </c>
      <c r="C434" s="16">
        <f t="shared" si="6"/>
        <v>0.25</v>
      </c>
    </row>
    <row r="435" spans="1:3" x14ac:dyDescent="0.25">
      <c r="A435" s="112">
        <v>32509</v>
      </c>
      <c r="B435" s="16">
        <v>8.9600000000000009</v>
      </c>
      <c r="C435" s="16">
        <f t="shared" si="6"/>
        <v>-0.20999999999999908</v>
      </c>
    </row>
    <row r="436" spans="1:3" x14ac:dyDescent="0.25">
      <c r="A436" s="112">
        <v>32540</v>
      </c>
      <c r="B436" s="16">
        <v>9.27</v>
      </c>
      <c r="C436" s="16">
        <f t="shared" si="6"/>
        <v>0.30999999999999872</v>
      </c>
    </row>
    <row r="437" spans="1:3" x14ac:dyDescent="0.25">
      <c r="A437" s="112">
        <v>32568</v>
      </c>
      <c r="B437" s="16">
        <v>9.34</v>
      </c>
      <c r="C437" s="16">
        <f t="shared" si="6"/>
        <v>7.0000000000000284E-2</v>
      </c>
    </row>
    <row r="438" spans="1:3" x14ac:dyDescent="0.25">
      <c r="A438" s="112">
        <v>32599</v>
      </c>
      <c r="B438" s="16">
        <v>8.9499999999999993</v>
      </c>
      <c r="C438" s="16">
        <f t="shared" si="6"/>
        <v>-0.39000000000000057</v>
      </c>
    </row>
    <row r="439" spans="1:3" x14ac:dyDescent="0.25">
      <c r="A439" s="112">
        <v>32629</v>
      </c>
      <c r="B439" s="16">
        <v>8.6</v>
      </c>
      <c r="C439" s="16">
        <f t="shared" si="6"/>
        <v>-0.34999999999999964</v>
      </c>
    </row>
    <row r="440" spans="1:3" x14ac:dyDescent="0.25">
      <c r="A440" s="112">
        <v>32660</v>
      </c>
      <c r="B440" s="16">
        <v>7.91</v>
      </c>
      <c r="C440" s="16">
        <f t="shared" si="6"/>
        <v>-0.6899999999999995</v>
      </c>
    </row>
    <row r="441" spans="1:3" x14ac:dyDescent="0.25">
      <c r="A441" s="112">
        <v>32690</v>
      </c>
      <c r="B441" s="16">
        <v>7.45</v>
      </c>
      <c r="C441" s="16">
        <f t="shared" si="6"/>
        <v>-0.45999999999999996</v>
      </c>
    </row>
    <row r="442" spans="1:3" x14ac:dyDescent="0.25">
      <c r="A442" s="112">
        <v>32721</v>
      </c>
      <c r="B442" s="16">
        <v>8.34</v>
      </c>
      <c r="C442" s="16">
        <f t="shared" si="6"/>
        <v>0.88999999999999968</v>
      </c>
    </row>
    <row r="443" spans="1:3" x14ac:dyDescent="0.25">
      <c r="A443" s="112">
        <v>32752</v>
      </c>
      <c r="B443" s="16">
        <v>8.33</v>
      </c>
      <c r="C443" s="16">
        <f t="shared" si="6"/>
        <v>-9.9999999999997868E-3</v>
      </c>
    </row>
    <row r="444" spans="1:3" x14ac:dyDescent="0.25">
      <c r="A444" s="112">
        <v>32782</v>
      </c>
      <c r="B444" s="16">
        <v>7.86</v>
      </c>
      <c r="C444" s="16">
        <f t="shared" si="6"/>
        <v>-0.46999999999999975</v>
      </c>
    </row>
    <row r="445" spans="1:3" x14ac:dyDescent="0.25">
      <c r="A445" s="112">
        <v>32813</v>
      </c>
      <c r="B445" s="16">
        <v>7.79</v>
      </c>
      <c r="C445" s="16">
        <f t="shared" si="6"/>
        <v>-7.0000000000000284E-2</v>
      </c>
    </row>
    <row r="446" spans="1:3" x14ac:dyDescent="0.25">
      <c r="A446" s="112">
        <v>32843</v>
      </c>
      <c r="B446" s="16">
        <v>7.94</v>
      </c>
      <c r="C446" s="16">
        <f t="shared" si="6"/>
        <v>0.15000000000000036</v>
      </c>
    </row>
    <row r="447" spans="1:3" x14ac:dyDescent="0.25">
      <c r="A447" s="112">
        <v>32874</v>
      </c>
      <c r="B447" s="16">
        <v>8.42</v>
      </c>
      <c r="C447" s="16">
        <f t="shared" si="6"/>
        <v>0.47999999999999954</v>
      </c>
    </row>
    <row r="448" spans="1:3" x14ac:dyDescent="0.25">
      <c r="A448" s="112">
        <v>32905</v>
      </c>
      <c r="B448" s="16">
        <v>8.5500000000000007</v>
      </c>
      <c r="C448" s="16">
        <f t="shared" si="6"/>
        <v>0.13000000000000078</v>
      </c>
    </row>
    <row r="449" spans="1:3" x14ac:dyDescent="0.25">
      <c r="A449" s="112">
        <v>32933</v>
      </c>
      <c r="B449" s="16">
        <v>8.7100000000000009</v>
      </c>
      <c r="C449" s="16">
        <f t="shared" si="6"/>
        <v>0.16000000000000014</v>
      </c>
    </row>
    <row r="450" spans="1:3" x14ac:dyDescent="0.25">
      <c r="A450" s="112">
        <v>32964</v>
      </c>
      <c r="B450" s="16">
        <v>9.07</v>
      </c>
      <c r="C450" s="16">
        <f t="shared" si="6"/>
        <v>0.35999999999999943</v>
      </c>
    </row>
    <row r="451" spans="1:3" x14ac:dyDescent="0.25">
      <c r="A451" s="112">
        <v>32994</v>
      </c>
      <c r="B451" s="16">
        <v>8.64</v>
      </c>
      <c r="C451" s="16">
        <f t="shared" si="6"/>
        <v>-0.42999999999999972</v>
      </c>
    </row>
    <row r="452" spans="1:3" x14ac:dyDescent="0.25">
      <c r="A452" s="112">
        <v>33025</v>
      </c>
      <c r="B452" s="16">
        <v>8.43</v>
      </c>
      <c r="C452" s="16">
        <f t="shared" ref="C452:C487" si="7">+B452-B451</f>
        <v>-0.21000000000000085</v>
      </c>
    </row>
    <row r="453" spans="1:3" x14ac:dyDescent="0.25">
      <c r="A453" s="112">
        <v>33055</v>
      </c>
      <c r="B453" s="16">
        <v>8.19</v>
      </c>
      <c r="C453" s="16">
        <f t="shared" si="7"/>
        <v>-0.24000000000000021</v>
      </c>
    </row>
    <row r="454" spans="1:3" x14ac:dyDescent="0.25">
      <c r="A454" s="112">
        <v>33086</v>
      </c>
      <c r="B454" s="16">
        <v>8.59</v>
      </c>
      <c r="C454" s="16">
        <f t="shared" si="7"/>
        <v>0.40000000000000036</v>
      </c>
    </row>
    <row r="455" spans="1:3" x14ac:dyDescent="0.25">
      <c r="A455" s="112">
        <v>33117</v>
      </c>
      <c r="B455" s="16">
        <v>8.51</v>
      </c>
      <c r="C455" s="16">
        <f t="shared" si="7"/>
        <v>-8.0000000000000071E-2</v>
      </c>
    </row>
    <row r="456" spans="1:3" x14ac:dyDescent="0.25">
      <c r="A456" s="112">
        <v>33147</v>
      </c>
      <c r="B456" s="16">
        <v>8.26</v>
      </c>
      <c r="C456" s="16">
        <f t="shared" si="7"/>
        <v>-0.25</v>
      </c>
    </row>
    <row r="457" spans="1:3" x14ac:dyDescent="0.25">
      <c r="A457" s="112">
        <v>33178</v>
      </c>
      <c r="B457" s="16">
        <v>7.95</v>
      </c>
      <c r="C457" s="16">
        <f t="shared" si="7"/>
        <v>-0.30999999999999961</v>
      </c>
    </row>
    <row r="458" spans="1:3" x14ac:dyDescent="0.25">
      <c r="A458" s="112">
        <v>33208</v>
      </c>
      <c r="B458" s="16">
        <v>7.7</v>
      </c>
      <c r="C458" s="16">
        <f t="shared" si="7"/>
        <v>-0.25</v>
      </c>
    </row>
    <row r="459" spans="1:3" x14ac:dyDescent="0.25">
      <c r="A459" s="112">
        <v>33239</v>
      </c>
      <c r="B459" s="16">
        <v>7.72</v>
      </c>
      <c r="C459" s="16">
        <f t="shared" si="7"/>
        <v>1.9999999999999574E-2</v>
      </c>
    </row>
    <row r="460" spans="1:3" x14ac:dyDescent="0.25">
      <c r="A460" s="112">
        <v>33270</v>
      </c>
      <c r="B460" s="16">
        <v>7.74</v>
      </c>
      <c r="C460" s="16">
        <f t="shared" si="7"/>
        <v>2.0000000000000462E-2</v>
      </c>
    </row>
    <row r="461" spans="1:3" x14ac:dyDescent="0.25">
      <c r="A461" s="112">
        <v>33298</v>
      </c>
      <c r="B461" s="16">
        <v>7.83</v>
      </c>
      <c r="C461" s="16">
        <f t="shared" si="7"/>
        <v>8.9999999999999858E-2</v>
      </c>
    </row>
    <row r="462" spans="1:3" x14ac:dyDescent="0.25">
      <c r="A462" s="112">
        <v>33329</v>
      </c>
      <c r="B462" s="16">
        <v>7.72</v>
      </c>
      <c r="C462" s="16">
        <f t="shared" si="7"/>
        <v>-0.11000000000000032</v>
      </c>
    </row>
    <row r="463" spans="1:3" x14ac:dyDescent="0.25">
      <c r="A463" s="112">
        <v>33359</v>
      </c>
      <c r="B463" s="16">
        <v>7.73</v>
      </c>
      <c r="C463" s="16">
        <f t="shared" si="7"/>
        <v>1.0000000000000675E-2</v>
      </c>
    </row>
    <row r="464" spans="1:3" x14ac:dyDescent="0.25">
      <c r="A464" s="112">
        <v>33390</v>
      </c>
      <c r="B464" s="16">
        <v>7.93</v>
      </c>
      <c r="C464" s="16">
        <f t="shared" si="7"/>
        <v>0.19999999999999929</v>
      </c>
    </row>
    <row r="465" spans="1:3" x14ac:dyDescent="0.25">
      <c r="A465" s="112">
        <v>33420</v>
      </c>
      <c r="B465" s="16">
        <v>7.78</v>
      </c>
      <c r="C465" s="16">
        <f t="shared" si="7"/>
        <v>-0.14999999999999947</v>
      </c>
    </row>
    <row r="466" spans="1:3" x14ac:dyDescent="0.25">
      <c r="A466" s="112">
        <v>33451</v>
      </c>
      <c r="B466" s="16">
        <v>7.32</v>
      </c>
      <c r="C466" s="16">
        <f t="shared" si="7"/>
        <v>-0.45999999999999996</v>
      </c>
    </row>
    <row r="467" spans="1:3" x14ac:dyDescent="0.25">
      <c r="A467" s="112">
        <v>33482</v>
      </c>
      <c r="B467" s="16">
        <v>6.93</v>
      </c>
      <c r="C467" s="16">
        <f t="shared" si="7"/>
        <v>-0.39000000000000057</v>
      </c>
    </row>
    <row r="468" spans="1:3" x14ac:dyDescent="0.25">
      <c r="A468" s="112">
        <v>33512</v>
      </c>
      <c r="B468" s="16">
        <v>6.73</v>
      </c>
      <c r="C468" s="16">
        <f t="shared" si="7"/>
        <v>-0.19999999999999929</v>
      </c>
    </row>
    <row r="469" spans="1:3" x14ac:dyDescent="0.25">
      <c r="A469" s="112">
        <v>33543</v>
      </c>
      <c r="B469" s="16">
        <v>6.53</v>
      </c>
      <c r="C469" s="16">
        <f t="shared" si="7"/>
        <v>-0.20000000000000018</v>
      </c>
    </row>
    <row r="470" spans="1:3" x14ac:dyDescent="0.25">
      <c r="A470" s="112">
        <v>33573</v>
      </c>
      <c r="B470" s="16">
        <v>5.97</v>
      </c>
      <c r="C470" s="16">
        <f t="shared" si="7"/>
        <v>-0.5600000000000005</v>
      </c>
    </row>
    <row r="471" spans="1:3" x14ac:dyDescent="0.25">
      <c r="A471" s="112">
        <v>33604</v>
      </c>
      <c r="B471" s="16">
        <v>6.83</v>
      </c>
      <c r="C471" s="16">
        <f t="shared" si="7"/>
        <v>0.86000000000000032</v>
      </c>
    </row>
    <row r="472" spans="1:3" x14ac:dyDescent="0.25">
      <c r="A472" s="112">
        <v>33635</v>
      </c>
      <c r="B472" s="16">
        <v>6.9</v>
      </c>
      <c r="C472" s="16">
        <f t="shared" si="7"/>
        <v>7.0000000000000284E-2</v>
      </c>
    </row>
    <row r="473" spans="1:3" x14ac:dyDescent="0.25">
      <c r="A473" s="112">
        <v>33664</v>
      </c>
      <c r="B473" s="16">
        <v>7.2</v>
      </c>
      <c r="C473" s="16">
        <f t="shared" si="7"/>
        <v>0.29999999999999982</v>
      </c>
    </row>
    <row r="474" spans="1:3" x14ac:dyDescent="0.25">
      <c r="A474" s="112">
        <v>33695</v>
      </c>
      <c r="B474" s="16">
        <v>7.11</v>
      </c>
      <c r="C474" s="16">
        <f t="shared" si="7"/>
        <v>-8.9999999999999858E-2</v>
      </c>
    </row>
    <row r="475" spans="1:3" x14ac:dyDescent="0.25">
      <c r="A475" s="112">
        <v>33725</v>
      </c>
      <c r="B475" s="16">
        <v>6.74</v>
      </c>
      <c r="C475" s="16">
        <f t="shared" si="7"/>
        <v>-0.37000000000000011</v>
      </c>
    </row>
    <row r="476" spans="1:3" x14ac:dyDescent="0.25">
      <c r="A476" s="112">
        <v>33756</v>
      </c>
      <c r="B476" s="16">
        <v>6.47</v>
      </c>
      <c r="C476" s="16">
        <f t="shared" si="7"/>
        <v>-0.27000000000000046</v>
      </c>
    </row>
    <row r="477" spans="1:3" x14ac:dyDescent="0.25">
      <c r="A477" s="112">
        <v>33786</v>
      </c>
      <c r="B477" s="16">
        <v>6.04</v>
      </c>
      <c r="C477" s="16">
        <f t="shared" si="7"/>
        <v>-0.42999999999999972</v>
      </c>
    </row>
    <row r="478" spans="1:3" x14ac:dyDescent="0.25">
      <c r="A478" s="112">
        <v>33817</v>
      </c>
      <c r="B478" s="16">
        <v>5.81</v>
      </c>
      <c r="C478" s="16">
        <f t="shared" si="7"/>
        <v>-0.23000000000000043</v>
      </c>
    </row>
    <row r="479" spans="1:3" x14ac:dyDescent="0.25">
      <c r="A479" s="112">
        <v>33848</v>
      </c>
      <c r="B479" s="16">
        <v>5.47</v>
      </c>
      <c r="C479" s="16">
        <f t="shared" si="7"/>
        <v>-0.33999999999999986</v>
      </c>
    </row>
    <row r="480" spans="1:3" x14ac:dyDescent="0.25">
      <c r="A480" s="112">
        <v>33878</v>
      </c>
      <c r="B480" s="16">
        <v>6.01</v>
      </c>
      <c r="C480" s="16">
        <f t="shared" si="7"/>
        <v>0.54</v>
      </c>
    </row>
    <row r="481" spans="1:3" x14ac:dyDescent="0.25">
      <c r="A481" s="112">
        <v>33909</v>
      </c>
      <c r="B481" s="16">
        <v>6.34</v>
      </c>
      <c r="C481" s="16">
        <f t="shared" si="7"/>
        <v>0.33000000000000007</v>
      </c>
    </row>
    <row r="482" spans="1:3" x14ac:dyDescent="0.25">
      <c r="A482" s="112">
        <v>33939</v>
      </c>
      <c r="B482" s="16">
        <v>6.11</v>
      </c>
      <c r="C482" s="16">
        <f t="shared" si="7"/>
        <v>-0.22999999999999954</v>
      </c>
    </row>
    <row r="483" spans="1:3" x14ac:dyDescent="0.25">
      <c r="A483" s="112">
        <v>33970</v>
      </c>
      <c r="B483" s="16">
        <v>5.88</v>
      </c>
      <c r="C483" s="16">
        <f t="shared" si="7"/>
        <v>-0.23000000000000043</v>
      </c>
    </row>
    <row r="484" spans="1:3" x14ac:dyDescent="0.25">
      <c r="A484" s="112">
        <v>34001</v>
      </c>
      <c r="B484" s="16">
        <v>5.47</v>
      </c>
      <c r="C484" s="16">
        <f t="shared" si="7"/>
        <v>-0.41000000000000014</v>
      </c>
    </row>
    <row r="485" spans="1:3" x14ac:dyDescent="0.25">
      <c r="A485" s="112">
        <v>34029</v>
      </c>
      <c r="B485" s="16">
        <v>5.49</v>
      </c>
      <c r="C485" s="16">
        <f t="shared" si="7"/>
        <v>2.0000000000000462E-2</v>
      </c>
    </row>
    <row r="486" spans="1:3" x14ac:dyDescent="0.25">
      <c r="A486" s="112">
        <v>34060</v>
      </c>
      <c r="B486" s="16">
        <v>5.4</v>
      </c>
      <c r="C486" s="16">
        <f t="shared" si="7"/>
        <v>-8.9999999999999858E-2</v>
      </c>
    </row>
    <row r="487" spans="1:3" x14ac:dyDescent="0.25">
      <c r="A487" s="112">
        <v>34090</v>
      </c>
      <c r="B487" s="16">
        <v>5.51</v>
      </c>
      <c r="C487" s="16">
        <f t="shared" si="7"/>
        <v>0.10999999999999943</v>
      </c>
    </row>
    <row r="488" spans="1:3" x14ac:dyDescent="0.25">
      <c r="A488" s="112">
        <v>34121</v>
      </c>
      <c r="B488" s="16">
        <v>5.17</v>
      </c>
      <c r="C488" s="16">
        <f>+B488-B487</f>
        <v>-0.33999999999999986</v>
      </c>
    </row>
    <row r="489" spans="1:3" x14ac:dyDescent="0.25">
      <c r="A489" s="112">
        <v>34151</v>
      </c>
      <c r="B489" s="16">
        <v>5.26</v>
      </c>
      <c r="C489" s="16">
        <f t="shared" ref="C489:C506" si="8">+B489-B488</f>
        <v>8.9999999999999858E-2</v>
      </c>
    </row>
    <row r="490" spans="1:3" x14ac:dyDescent="0.25">
      <c r="A490" s="112">
        <v>34182</v>
      </c>
      <c r="B490" s="16">
        <v>4.8600000000000003</v>
      </c>
      <c r="C490" s="16">
        <f t="shared" si="8"/>
        <v>-0.39999999999999947</v>
      </c>
    </row>
    <row r="491" spans="1:3" x14ac:dyDescent="0.25">
      <c r="A491" s="112">
        <v>34213</v>
      </c>
      <c r="B491" s="16">
        <v>4.83</v>
      </c>
      <c r="C491" s="16">
        <f t="shared" si="8"/>
        <v>-3.0000000000000249E-2</v>
      </c>
    </row>
    <row r="492" spans="1:3" x14ac:dyDescent="0.25">
      <c r="A492" s="112">
        <v>34243</v>
      </c>
      <c r="B492" s="16">
        <v>4.88</v>
      </c>
      <c r="C492" s="16">
        <f t="shared" si="8"/>
        <v>4.9999999999999822E-2</v>
      </c>
    </row>
    <row r="493" spans="1:3" x14ac:dyDescent="0.25">
      <c r="A493" s="112">
        <v>34274</v>
      </c>
      <c r="B493" s="16">
        <v>5.19</v>
      </c>
      <c r="C493" s="16">
        <f t="shared" si="8"/>
        <v>0.3100000000000005</v>
      </c>
    </row>
    <row r="494" spans="1:3" x14ac:dyDescent="0.25">
      <c r="A494" s="112">
        <v>34304</v>
      </c>
      <c r="B494" s="16">
        <v>5.22</v>
      </c>
      <c r="C494" s="16">
        <f t="shared" si="8"/>
        <v>2.9999999999999361E-2</v>
      </c>
    </row>
    <row r="495" spans="1:3" x14ac:dyDescent="0.25">
      <c r="A495" s="112">
        <v>34335</v>
      </c>
      <c r="B495" s="16">
        <v>5.15</v>
      </c>
      <c r="C495" s="16">
        <f t="shared" si="8"/>
        <v>-6.9999999999999396E-2</v>
      </c>
    </row>
    <row r="496" spans="1:3" x14ac:dyDescent="0.25">
      <c r="A496" s="112">
        <v>34366</v>
      </c>
      <c r="B496" s="16">
        <v>5.75</v>
      </c>
      <c r="C496" s="16">
        <f t="shared" si="8"/>
        <v>0.59999999999999964</v>
      </c>
    </row>
    <row r="497" spans="1:3" x14ac:dyDescent="0.25">
      <c r="A497" s="112">
        <v>34394</v>
      </c>
      <c r="B497" s="16">
        <v>6.38</v>
      </c>
      <c r="C497" s="16">
        <f t="shared" si="8"/>
        <v>0.62999999999999989</v>
      </c>
    </row>
    <row r="498" spans="1:3" x14ac:dyDescent="0.25">
      <c r="A498" s="112">
        <v>34425</v>
      </c>
      <c r="B498" s="16">
        <v>6.7</v>
      </c>
      <c r="C498" s="16">
        <f t="shared" si="8"/>
        <v>0.32000000000000028</v>
      </c>
    </row>
    <row r="499" spans="1:3" x14ac:dyDescent="0.25">
      <c r="A499" s="112">
        <v>34455</v>
      </c>
      <c r="B499" s="16">
        <v>6.82</v>
      </c>
      <c r="C499" s="16">
        <f t="shared" si="8"/>
        <v>0.12000000000000011</v>
      </c>
    </row>
    <row r="500" spans="1:3" x14ac:dyDescent="0.25">
      <c r="A500" s="112">
        <v>34486</v>
      </c>
      <c r="B500" s="16">
        <v>6.99</v>
      </c>
      <c r="C500" s="16">
        <f t="shared" si="8"/>
        <v>0.16999999999999993</v>
      </c>
    </row>
    <row r="501" spans="1:3" x14ac:dyDescent="0.25">
      <c r="A501" s="112">
        <v>34516</v>
      </c>
      <c r="B501" s="16">
        <v>6.73</v>
      </c>
      <c r="C501" s="16">
        <f t="shared" si="8"/>
        <v>-0.25999999999999979</v>
      </c>
    </row>
    <row r="502" spans="1:3" x14ac:dyDescent="0.25">
      <c r="A502" s="112">
        <v>34547</v>
      </c>
      <c r="B502" s="16">
        <v>6.81</v>
      </c>
      <c r="C502" s="16">
        <f t="shared" si="8"/>
        <v>7.9999999999999183E-2</v>
      </c>
    </row>
    <row r="503" spans="1:3" x14ac:dyDescent="0.25">
      <c r="A503" s="112">
        <v>34578</v>
      </c>
      <c r="B503" s="16">
        <v>7.28</v>
      </c>
      <c r="C503" s="16">
        <f t="shared" si="8"/>
        <v>0.47000000000000064</v>
      </c>
    </row>
    <row r="504" spans="1:3" x14ac:dyDescent="0.25">
      <c r="A504" s="112">
        <v>34608</v>
      </c>
      <c r="B504" s="16">
        <v>7.48</v>
      </c>
      <c r="C504" s="16">
        <f t="shared" si="8"/>
        <v>0.20000000000000018</v>
      </c>
    </row>
    <row r="505" spans="1:3" x14ac:dyDescent="0.25">
      <c r="A505" s="112">
        <v>34639</v>
      </c>
      <c r="B505" s="16">
        <v>7.79</v>
      </c>
      <c r="C505" s="16">
        <f t="shared" si="8"/>
        <v>0.30999999999999961</v>
      </c>
    </row>
    <row r="506" spans="1:3" x14ac:dyDescent="0.25">
      <c r="A506" s="112">
        <v>34669</v>
      </c>
      <c r="B506" s="16">
        <v>7.83</v>
      </c>
      <c r="C506" s="16">
        <f t="shared" si="8"/>
        <v>4.0000000000000036E-2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1_Hist_sim</vt:lpstr>
      <vt:lpstr>1_EW</vt:lpstr>
      <vt:lpstr>1_Delta normal</vt:lpstr>
      <vt:lpstr>2</vt:lpstr>
      <vt:lpstr>3</vt:lpstr>
      <vt:lpstr>4</vt:lpstr>
      <vt:lpstr>5</vt:lpstr>
    </vt:vector>
  </TitlesOfParts>
  <Company>BKE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Pu.tsz.</dc:creator>
  <cp:lastModifiedBy>Dömötör Barbara Mária</cp:lastModifiedBy>
  <dcterms:created xsi:type="dcterms:W3CDTF">1999-03-08T15:52:24Z</dcterms:created>
  <dcterms:modified xsi:type="dcterms:W3CDTF">2024-04-21T16:21:52Z</dcterms:modified>
</cp:coreProperties>
</file>