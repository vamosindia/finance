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Documents\dbarbar\Barbara_2020_11\phd\2024_tavasz\RMFI\5week\"/>
    </mc:Choice>
  </mc:AlternateContent>
  <xr:revisionPtr revIDLastSave="0" documentId="13_ncr:1_{CC4C207F-AE11-43A8-BCEC-3252928E198F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1" sheetId="4" r:id="rId1"/>
    <sheet name="2" sheetId="5" r:id="rId2"/>
    <sheet name="3" sheetId="6" r:id="rId3"/>
    <sheet name="5a" sheetId="1" r:id="rId4"/>
    <sheet name="5b" sheetId="2" r:id="rId5"/>
  </sheets>
  <functionGroups builtInGroupCount="19"/>
  <externalReferences>
    <externalReference r:id="rId6"/>
  </externalReferences>
  <definedNames>
    <definedName name="solver_adj" localSheetId="0" hidden="1">'1'!$F$1:$F$2</definedName>
    <definedName name="solver_cvg" localSheetId="0" hidden="1">"""0,0001"""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'1'!$F$18</definedName>
    <definedName name="solver_lhs2" localSheetId="0" hidden="1">'1'!$F$18</definedName>
    <definedName name="solver_lhs3" localSheetId="0" hidden="1">'1'!$F$18</definedName>
    <definedName name="solver_mip" localSheetId="0" hidden="1">2147483647</definedName>
    <definedName name="solver_mni" localSheetId="0" hidden="1">30</definedName>
    <definedName name="solver_mrt" localSheetId="0" hidden="1">"""0,075"""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'1'!$B$18</definedName>
    <definedName name="solver_pre" localSheetId="0" hidden="1">"""0,000001"""</definedName>
    <definedName name="solver_rbv" localSheetId="0" hidden="1">1</definedName>
    <definedName name="solver_rel1" localSheetId="0" hidden="1">2</definedName>
    <definedName name="solver_rel2" localSheetId="0" hidden="1">2</definedName>
    <definedName name="solver_rel3" localSheetId="0" hidden="1">2</definedName>
    <definedName name="solver_rhs1" localSheetId="0" hidden="1">0</definedName>
    <definedName name="solver_rhs2" localSheetId="0" hidden="1">0</definedName>
    <definedName name="solver_rhs3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23" i="6" l="1"/>
  <c r="B523" i="6"/>
  <c r="D523" i="6" s="1"/>
  <c r="C522" i="6"/>
  <c r="B522" i="6"/>
  <c r="D522" i="6" s="1"/>
  <c r="C521" i="6"/>
  <c r="B521" i="6"/>
  <c r="D521" i="6" s="1"/>
  <c r="C520" i="6"/>
  <c r="B520" i="6"/>
  <c r="D520" i="6" s="1"/>
  <c r="C519" i="6"/>
  <c r="B519" i="6"/>
  <c r="C518" i="6"/>
  <c r="B518" i="6"/>
  <c r="C517" i="6"/>
  <c r="B517" i="6"/>
  <c r="D517" i="6" s="1"/>
  <c r="C516" i="6"/>
  <c r="B516" i="6"/>
  <c r="D516" i="6" s="1"/>
  <c r="C515" i="6"/>
  <c r="B515" i="6"/>
  <c r="D515" i="6" s="1"/>
  <c r="C514" i="6"/>
  <c r="B514" i="6"/>
  <c r="C513" i="6"/>
  <c r="B513" i="6"/>
  <c r="D513" i="6" s="1"/>
  <c r="C512" i="6"/>
  <c r="B512" i="6"/>
  <c r="C511" i="6"/>
  <c r="B511" i="6"/>
  <c r="C510" i="6"/>
  <c r="B510" i="6"/>
  <c r="C509" i="6"/>
  <c r="B509" i="6"/>
  <c r="D509" i="6" s="1"/>
  <c r="C508" i="6"/>
  <c r="B508" i="6"/>
  <c r="D508" i="6" s="1"/>
  <c r="C507" i="6"/>
  <c r="B507" i="6"/>
  <c r="D507" i="6" s="1"/>
  <c r="C506" i="6"/>
  <c r="B506" i="6"/>
  <c r="C505" i="6"/>
  <c r="B505" i="6"/>
  <c r="C504" i="6"/>
  <c r="B504" i="6"/>
  <c r="C503" i="6"/>
  <c r="B503" i="6"/>
  <c r="C502" i="6"/>
  <c r="B502" i="6"/>
  <c r="C501" i="6"/>
  <c r="B501" i="6"/>
  <c r="D501" i="6" s="1"/>
  <c r="C500" i="6"/>
  <c r="B500" i="6"/>
  <c r="D500" i="6" s="1"/>
  <c r="C499" i="6"/>
  <c r="B499" i="6"/>
  <c r="D499" i="6" s="1"/>
  <c r="C498" i="6"/>
  <c r="B498" i="6"/>
  <c r="C497" i="6"/>
  <c r="B497" i="6"/>
  <c r="D497" i="6" s="1"/>
  <c r="C496" i="6"/>
  <c r="B496" i="6"/>
  <c r="C495" i="6"/>
  <c r="B495" i="6"/>
  <c r="C494" i="6"/>
  <c r="B494" i="6"/>
  <c r="C493" i="6"/>
  <c r="B493" i="6"/>
  <c r="D493" i="6" s="1"/>
  <c r="C492" i="6"/>
  <c r="B492" i="6"/>
  <c r="C491" i="6"/>
  <c r="B491" i="6"/>
  <c r="D491" i="6" s="1"/>
  <c r="C490" i="6"/>
  <c r="B490" i="6"/>
  <c r="C489" i="6"/>
  <c r="B489" i="6"/>
  <c r="C488" i="6"/>
  <c r="B488" i="6"/>
  <c r="D488" i="6" s="1"/>
  <c r="C487" i="6"/>
  <c r="B487" i="6"/>
  <c r="C486" i="6"/>
  <c r="B486" i="6"/>
  <c r="C485" i="6"/>
  <c r="B485" i="6"/>
  <c r="D485" i="6" s="1"/>
  <c r="C484" i="6"/>
  <c r="B484" i="6"/>
  <c r="C483" i="6"/>
  <c r="B483" i="6"/>
  <c r="D483" i="6" s="1"/>
  <c r="C482" i="6"/>
  <c r="B482" i="6"/>
  <c r="D482" i="6" s="1"/>
  <c r="C481" i="6"/>
  <c r="B481" i="6"/>
  <c r="C480" i="6"/>
  <c r="B480" i="6"/>
  <c r="D480" i="6" s="1"/>
  <c r="C479" i="6"/>
  <c r="B479" i="6"/>
  <c r="C478" i="6"/>
  <c r="B478" i="6"/>
  <c r="C477" i="6"/>
  <c r="B477" i="6"/>
  <c r="D477" i="6" s="1"/>
  <c r="C476" i="6"/>
  <c r="B476" i="6"/>
  <c r="C475" i="6"/>
  <c r="B475" i="6"/>
  <c r="D475" i="6" s="1"/>
  <c r="C474" i="6"/>
  <c r="B474" i="6"/>
  <c r="D474" i="6" s="1"/>
  <c r="C473" i="6"/>
  <c r="B473" i="6"/>
  <c r="C472" i="6"/>
  <c r="B472" i="6"/>
  <c r="D472" i="6" s="1"/>
  <c r="C471" i="6"/>
  <c r="B471" i="6"/>
  <c r="C470" i="6"/>
  <c r="B470" i="6"/>
  <c r="C469" i="6"/>
  <c r="B469" i="6"/>
  <c r="D469" i="6" s="1"/>
  <c r="C468" i="6"/>
  <c r="B468" i="6"/>
  <c r="C467" i="6"/>
  <c r="B467" i="6"/>
  <c r="D467" i="6" s="1"/>
  <c r="C466" i="6"/>
  <c r="B466" i="6"/>
  <c r="D466" i="6" s="1"/>
  <c r="C465" i="6"/>
  <c r="B465" i="6"/>
  <c r="C464" i="6"/>
  <c r="B464" i="6"/>
  <c r="D464" i="6" s="1"/>
  <c r="C463" i="6"/>
  <c r="B463" i="6"/>
  <c r="C462" i="6"/>
  <c r="B462" i="6"/>
  <c r="C461" i="6"/>
  <c r="B461" i="6"/>
  <c r="D461" i="6" s="1"/>
  <c r="C460" i="6"/>
  <c r="B460" i="6"/>
  <c r="C459" i="6"/>
  <c r="B459" i="6"/>
  <c r="D459" i="6" s="1"/>
  <c r="C458" i="6"/>
  <c r="B458" i="6"/>
  <c r="D458" i="6" s="1"/>
  <c r="C457" i="6"/>
  <c r="B457" i="6"/>
  <c r="C456" i="6"/>
  <c r="B456" i="6"/>
  <c r="D456" i="6" s="1"/>
  <c r="C455" i="6"/>
  <c r="B455" i="6"/>
  <c r="C454" i="6"/>
  <c r="B454" i="6"/>
  <c r="C453" i="6"/>
  <c r="B453" i="6"/>
  <c r="D453" i="6" s="1"/>
  <c r="C452" i="6"/>
  <c r="B452" i="6"/>
  <c r="C451" i="6"/>
  <c r="B451" i="6"/>
  <c r="D451" i="6" s="1"/>
  <c r="C450" i="6"/>
  <c r="B450" i="6"/>
  <c r="D450" i="6" s="1"/>
  <c r="C449" i="6"/>
  <c r="B449" i="6"/>
  <c r="C448" i="6"/>
  <c r="B448" i="6"/>
  <c r="D448" i="6" s="1"/>
  <c r="C447" i="6"/>
  <c r="B447" i="6"/>
  <c r="C446" i="6"/>
  <c r="B446" i="6"/>
  <c r="C445" i="6"/>
  <c r="B445" i="6"/>
  <c r="D445" i="6" s="1"/>
  <c r="C444" i="6"/>
  <c r="B444" i="6"/>
  <c r="C443" i="6"/>
  <c r="B443" i="6"/>
  <c r="D443" i="6" s="1"/>
  <c r="C442" i="6"/>
  <c r="B442" i="6"/>
  <c r="D442" i="6" s="1"/>
  <c r="C441" i="6"/>
  <c r="B441" i="6"/>
  <c r="C440" i="6"/>
  <c r="B440" i="6"/>
  <c r="D440" i="6" s="1"/>
  <c r="C439" i="6"/>
  <c r="B439" i="6"/>
  <c r="D439" i="6" s="1"/>
  <c r="C438" i="6"/>
  <c r="B438" i="6"/>
  <c r="C437" i="6"/>
  <c r="B437" i="6"/>
  <c r="D437" i="6" s="1"/>
  <c r="C436" i="6"/>
  <c r="B436" i="6"/>
  <c r="C435" i="6"/>
  <c r="B435" i="6"/>
  <c r="C434" i="6"/>
  <c r="B434" i="6"/>
  <c r="C433" i="6"/>
  <c r="B433" i="6"/>
  <c r="D433" i="6" s="1"/>
  <c r="C432" i="6"/>
  <c r="B432" i="6"/>
  <c r="D432" i="6" s="1"/>
  <c r="C431" i="6"/>
  <c r="B431" i="6"/>
  <c r="C430" i="6"/>
  <c r="B430" i="6"/>
  <c r="C429" i="6"/>
  <c r="B429" i="6"/>
  <c r="D429" i="6" s="1"/>
  <c r="C428" i="6"/>
  <c r="B428" i="6"/>
  <c r="D428" i="6" s="1"/>
  <c r="C427" i="6"/>
  <c r="B427" i="6"/>
  <c r="C426" i="6"/>
  <c r="B426" i="6"/>
  <c r="D426" i="6" s="1"/>
  <c r="C425" i="6"/>
  <c r="B425" i="6"/>
  <c r="C424" i="6"/>
  <c r="B424" i="6"/>
  <c r="C423" i="6"/>
  <c r="B423" i="6"/>
  <c r="C422" i="6"/>
  <c r="B422" i="6"/>
  <c r="D422" i="6" s="1"/>
  <c r="C421" i="6"/>
  <c r="B421" i="6"/>
  <c r="C420" i="6"/>
  <c r="B420" i="6"/>
  <c r="D420" i="6" s="1"/>
  <c r="C419" i="6"/>
  <c r="B419" i="6"/>
  <c r="D419" i="6" s="1"/>
  <c r="C418" i="6"/>
  <c r="B418" i="6"/>
  <c r="D418" i="6" s="1"/>
  <c r="C417" i="6"/>
  <c r="B417" i="6"/>
  <c r="C416" i="6"/>
  <c r="B416" i="6"/>
  <c r="D416" i="6" s="1"/>
  <c r="C415" i="6"/>
  <c r="B415" i="6"/>
  <c r="D415" i="6" s="1"/>
  <c r="C414" i="6"/>
  <c r="B414" i="6"/>
  <c r="C413" i="6"/>
  <c r="B413" i="6"/>
  <c r="C412" i="6"/>
  <c r="B412" i="6"/>
  <c r="C411" i="6"/>
  <c r="B411" i="6"/>
  <c r="D411" i="6" s="1"/>
  <c r="C410" i="6"/>
  <c r="B410" i="6"/>
  <c r="D410" i="6" s="1"/>
  <c r="C409" i="6"/>
  <c r="B409" i="6"/>
  <c r="C408" i="6"/>
  <c r="B408" i="6"/>
  <c r="D408" i="6" s="1"/>
  <c r="C407" i="6"/>
  <c r="B407" i="6"/>
  <c r="C406" i="6"/>
  <c r="B406" i="6"/>
  <c r="D406" i="6" s="1"/>
  <c r="C405" i="6"/>
  <c r="B405" i="6"/>
  <c r="C404" i="6"/>
  <c r="B404" i="6"/>
  <c r="C403" i="6"/>
  <c r="B403" i="6"/>
  <c r="D403" i="6" s="1"/>
  <c r="C402" i="6"/>
  <c r="B402" i="6"/>
  <c r="D402" i="6" s="1"/>
  <c r="C401" i="6"/>
  <c r="B401" i="6"/>
  <c r="D401" i="6" s="1"/>
  <c r="C400" i="6"/>
  <c r="B400" i="6"/>
  <c r="C399" i="6"/>
  <c r="B399" i="6"/>
  <c r="C398" i="6"/>
  <c r="B398" i="6"/>
  <c r="D398" i="6" s="1"/>
  <c r="C397" i="6"/>
  <c r="B397" i="6"/>
  <c r="C396" i="6"/>
  <c r="B396" i="6"/>
  <c r="C395" i="6"/>
  <c r="B395" i="6"/>
  <c r="C394" i="6"/>
  <c r="B394" i="6"/>
  <c r="C393" i="6"/>
  <c r="B393" i="6"/>
  <c r="D393" i="6" s="1"/>
  <c r="C392" i="6"/>
  <c r="B392" i="6"/>
  <c r="C391" i="6"/>
  <c r="B391" i="6"/>
  <c r="D391" i="6" s="1"/>
  <c r="C390" i="6"/>
  <c r="B390" i="6"/>
  <c r="D390" i="6" s="1"/>
  <c r="C389" i="6"/>
  <c r="B389" i="6"/>
  <c r="C388" i="6"/>
  <c r="B388" i="6"/>
  <c r="C387" i="6"/>
  <c r="B387" i="6"/>
  <c r="C386" i="6"/>
  <c r="B386" i="6"/>
  <c r="C385" i="6"/>
  <c r="B385" i="6"/>
  <c r="C384" i="6"/>
  <c r="B384" i="6"/>
  <c r="C383" i="6"/>
  <c r="B383" i="6"/>
  <c r="C382" i="6"/>
  <c r="B382" i="6"/>
  <c r="D382" i="6" s="1"/>
  <c r="C381" i="6"/>
  <c r="B381" i="6"/>
  <c r="D381" i="6" s="1"/>
  <c r="C380" i="6"/>
  <c r="B380" i="6"/>
  <c r="D380" i="6" s="1"/>
  <c r="C379" i="6"/>
  <c r="B379" i="6"/>
  <c r="D379" i="6" s="1"/>
  <c r="C378" i="6"/>
  <c r="B378" i="6"/>
  <c r="D378" i="6" s="1"/>
  <c r="C377" i="6"/>
  <c r="B377" i="6"/>
  <c r="D377" i="6" s="1"/>
  <c r="C376" i="6"/>
  <c r="B376" i="6"/>
  <c r="D376" i="6" s="1"/>
  <c r="C375" i="6"/>
  <c r="B375" i="6"/>
  <c r="D375" i="6" s="1"/>
  <c r="C374" i="6"/>
  <c r="B374" i="6"/>
  <c r="D374" i="6" s="1"/>
  <c r="C373" i="6"/>
  <c r="B373" i="6"/>
  <c r="D373" i="6" s="1"/>
  <c r="C372" i="6"/>
  <c r="B372" i="6"/>
  <c r="D372" i="6" s="1"/>
  <c r="C371" i="6"/>
  <c r="B371" i="6"/>
  <c r="C370" i="6"/>
  <c r="B370" i="6"/>
  <c r="C369" i="6"/>
  <c r="B369" i="6"/>
  <c r="C368" i="6"/>
  <c r="B368" i="6"/>
  <c r="C367" i="6"/>
  <c r="B367" i="6"/>
  <c r="D367" i="6" s="1"/>
  <c r="C366" i="6"/>
  <c r="B366" i="6"/>
  <c r="D366" i="6" s="1"/>
  <c r="C365" i="6"/>
  <c r="B365" i="6"/>
  <c r="D365" i="6" s="1"/>
  <c r="C364" i="6"/>
  <c r="B364" i="6"/>
  <c r="C363" i="6"/>
  <c r="B363" i="6"/>
  <c r="C362" i="6"/>
  <c r="B362" i="6"/>
  <c r="D362" i="6" s="1"/>
  <c r="C361" i="6"/>
  <c r="B361" i="6"/>
  <c r="C360" i="6"/>
  <c r="B360" i="6"/>
  <c r="C359" i="6"/>
  <c r="B359" i="6"/>
  <c r="D359" i="6" s="1"/>
  <c r="C358" i="6"/>
  <c r="B358" i="6"/>
  <c r="D358" i="6" s="1"/>
  <c r="C357" i="6"/>
  <c r="B357" i="6"/>
  <c r="C356" i="6"/>
  <c r="B356" i="6"/>
  <c r="C355" i="6"/>
  <c r="B355" i="6"/>
  <c r="D355" i="6" s="1"/>
  <c r="C354" i="6"/>
  <c r="B354" i="6"/>
  <c r="C353" i="6"/>
  <c r="B353" i="6"/>
  <c r="D353" i="6" s="1"/>
  <c r="C352" i="6"/>
  <c r="B352" i="6"/>
  <c r="D352" i="6" s="1"/>
  <c r="C351" i="6"/>
  <c r="B351" i="6"/>
  <c r="C350" i="6"/>
  <c r="B350" i="6"/>
  <c r="D350" i="6" s="1"/>
  <c r="C349" i="6"/>
  <c r="B349" i="6"/>
  <c r="D349" i="6" s="1"/>
  <c r="C348" i="6"/>
  <c r="B348" i="6"/>
  <c r="C347" i="6"/>
  <c r="B347" i="6"/>
  <c r="D347" i="6" s="1"/>
  <c r="C346" i="6"/>
  <c r="B346" i="6"/>
  <c r="C345" i="6"/>
  <c r="B345" i="6"/>
  <c r="C344" i="6"/>
  <c r="B344" i="6"/>
  <c r="C343" i="6"/>
  <c r="B343" i="6"/>
  <c r="D343" i="6" s="1"/>
  <c r="C342" i="6"/>
  <c r="B342" i="6"/>
  <c r="D342" i="6" s="1"/>
  <c r="C341" i="6"/>
  <c r="B341" i="6"/>
  <c r="C340" i="6"/>
  <c r="B340" i="6"/>
  <c r="C339" i="6"/>
  <c r="B339" i="6"/>
  <c r="C338" i="6"/>
  <c r="B338" i="6"/>
  <c r="D338" i="6" s="1"/>
  <c r="C337" i="6"/>
  <c r="B337" i="6"/>
  <c r="C336" i="6"/>
  <c r="B336" i="6"/>
  <c r="C335" i="6"/>
  <c r="B335" i="6"/>
  <c r="D335" i="6" s="1"/>
  <c r="C334" i="6"/>
  <c r="B334" i="6"/>
  <c r="D334" i="6" s="1"/>
  <c r="C333" i="6"/>
  <c r="B333" i="6"/>
  <c r="D333" i="6" s="1"/>
  <c r="C332" i="6"/>
  <c r="B332" i="6"/>
  <c r="D332" i="6" s="1"/>
  <c r="C331" i="6"/>
  <c r="B331" i="6"/>
  <c r="D331" i="6" s="1"/>
  <c r="C330" i="6"/>
  <c r="B330" i="6"/>
  <c r="D330" i="6" s="1"/>
  <c r="C329" i="6"/>
  <c r="B329" i="6"/>
  <c r="C328" i="6"/>
  <c r="B328" i="6"/>
  <c r="D328" i="6" s="1"/>
  <c r="C327" i="6"/>
  <c r="B327" i="6"/>
  <c r="D327" i="6" s="1"/>
  <c r="C326" i="6"/>
  <c r="B326" i="6"/>
  <c r="D326" i="6" s="1"/>
  <c r="C325" i="6"/>
  <c r="B325" i="6"/>
  <c r="C324" i="6"/>
  <c r="B324" i="6"/>
  <c r="C323" i="6"/>
  <c r="B323" i="6"/>
  <c r="D323" i="6" s="1"/>
  <c r="C322" i="6"/>
  <c r="B322" i="6"/>
  <c r="D322" i="6" s="1"/>
  <c r="C321" i="6"/>
  <c r="B321" i="6"/>
  <c r="C320" i="6"/>
  <c r="B320" i="6"/>
  <c r="D320" i="6" s="1"/>
  <c r="C319" i="6"/>
  <c r="B319" i="6"/>
  <c r="D319" i="6" s="1"/>
  <c r="C318" i="6"/>
  <c r="B318" i="6"/>
  <c r="C317" i="6"/>
  <c r="B317" i="6"/>
  <c r="D317" i="6" s="1"/>
  <c r="C316" i="6"/>
  <c r="B316" i="6"/>
  <c r="C315" i="6"/>
  <c r="B315" i="6"/>
  <c r="C314" i="6"/>
  <c r="B314" i="6"/>
  <c r="D314" i="6" s="1"/>
  <c r="C313" i="6"/>
  <c r="B313" i="6"/>
  <c r="C312" i="6"/>
  <c r="B312" i="6"/>
  <c r="C311" i="6"/>
  <c r="B311" i="6"/>
  <c r="D311" i="6" s="1"/>
  <c r="C310" i="6"/>
  <c r="B310" i="6"/>
  <c r="C309" i="6"/>
  <c r="B309" i="6"/>
  <c r="D309" i="6" s="1"/>
  <c r="C308" i="6"/>
  <c r="B308" i="6"/>
  <c r="C307" i="6"/>
  <c r="B307" i="6"/>
  <c r="D307" i="6" s="1"/>
  <c r="C306" i="6"/>
  <c r="B306" i="6"/>
  <c r="D306" i="6" s="1"/>
  <c r="C305" i="6"/>
  <c r="B305" i="6"/>
  <c r="D305" i="6" s="1"/>
  <c r="C304" i="6"/>
  <c r="B304" i="6"/>
  <c r="D304" i="6" s="1"/>
  <c r="C303" i="6"/>
  <c r="B303" i="6"/>
  <c r="D303" i="6" s="1"/>
  <c r="C302" i="6"/>
  <c r="B302" i="6"/>
  <c r="C301" i="6"/>
  <c r="B301" i="6"/>
  <c r="D301" i="6" s="1"/>
  <c r="C300" i="6"/>
  <c r="B300" i="6"/>
  <c r="D300" i="6" s="1"/>
  <c r="C299" i="6"/>
  <c r="B299" i="6"/>
  <c r="C298" i="6"/>
  <c r="B298" i="6"/>
  <c r="D298" i="6" s="1"/>
  <c r="C297" i="6"/>
  <c r="B297" i="6"/>
  <c r="C296" i="6"/>
  <c r="B296" i="6"/>
  <c r="D296" i="6" s="1"/>
  <c r="C295" i="6"/>
  <c r="B295" i="6"/>
  <c r="D295" i="6" s="1"/>
  <c r="C294" i="6"/>
  <c r="B294" i="6"/>
  <c r="C293" i="6"/>
  <c r="B293" i="6"/>
  <c r="D293" i="6" s="1"/>
  <c r="C292" i="6"/>
  <c r="B292" i="6"/>
  <c r="C291" i="6"/>
  <c r="B291" i="6"/>
  <c r="C290" i="6"/>
  <c r="B290" i="6"/>
  <c r="D290" i="6" s="1"/>
  <c r="C289" i="6"/>
  <c r="B289" i="6"/>
  <c r="C288" i="6"/>
  <c r="B288" i="6"/>
  <c r="D288" i="6" s="1"/>
  <c r="C287" i="6"/>
  <c r="B287" i="6"/>
  <c r="D287" i="6" s="1"/>
  <c r="C286" i="6"/>
  <c r="B286" i="6"/>
  <c r="C285" i="6"/>
  <c r="B285" i="6"/>
  <c r="C284" i="6"/>
  <c r="B284" i="6"/>
  <c r="C283" i="6"/>
  <c r="B283" i="6"/>
  <c r="C282" i="6"/>
  <c r="B282" i="6"/>
  <c r="C281" i="6"/>
  <c r="B281" i="6"/>
  <c r="C280" i="6"/>
  <c r="B280" i="6"/>
  <c r="D280" i="6" s="1"/>
  <c r="C279" i="6"/>
  <c r="B279" i="6"/>
  <c r="C278" i="6"/>
  <c r="B278" i="6"/>
  <c r="D278" i="6" s="1"/>
  <c r="C277" i="6"/>
  <c r="B277" i="6"/>
  <c r="C276" i="6"/>
  <c r="B276" i="6"/>
  <c r="D276" i="6" s="1"/>
  <c r="C275" i="6"/>
  <c r="B275" i="6"/>
  <c r="C274" i="6"/>
  <c r="B274" i="6"/>
  <c r="C273" i="6"/>
  <c r="B273" i="6"/>
  <c r="C272" i="6"/>
  <c r="B272" i="6"/>
  <c r="D272" i="6" s="1"/>
  <c r="C271" i="6"/>
  <c r="B271" i="6"/>
  <c r="D271" i="6" s="1"/>
  <c r="C270" i="6"/>
  <c r="B270" i="6"/>
  <c r="C269" i="6"/>
  <c r="B269" i="6"/>
  <c r="C268" i="6"/>
  <c r="B268" i="6"/>
  <c r="D268" i="6" s="1"/>
  <c r="C267" i="6"/>
  <c r="B267" i="6"/>
  <c r="C266" i="6"/>
  <c r="B266" i="6"/>
  <c r="D266" i="6" s="1"/>
  <c r="C265" i="6"/>
  <c r="B265" i="6"/>
  <c r="C264" i="6"/>
  <c r="B264" i="6"/>
  <c r="D264" i="6" s="1"/>
  <c r="C263" i="6"/>
  <c r="B263" i="6"/>
  <c r="D263" i="6" s="1"/>
  <c r="C262" i="6"/>
  <c r="B262" i="6"/>
  <c r="D262" i="6" s="1"/>
  <c r="C261" i="6"/>
  <c r="B261" i="6"/>
  <c r="C260" i="6"/>
  <c r="B260" i="6"/>
  <c r="D260" i="6" s="1"/>
  <c r="C259" i="6"/>
  <c r="B259" i="6"/>
  <c r="C258" i="6"/>
  <c r="B258" i="6"/>
  <c r="D258" i="6" s="1"/>
  <c r="C257" i="6"/>
  <c r="B257" i="6"/>
  <c r="C256" i="6"/>
  <c r="B256" i="6"/>
  <c r="D256" i="6" s="1"/>
  <c r="C255" i="6"/>
  <c r="B255" i="6"/>
  <c r="D255" i="6" s="1"/>
  <c r="C254" i="6"/>
  <c r="B254" i="6"/>
  <c r="D254" i="6" s="1"/>
  <c r="C253" i="6"/>
  <c r="B253" i="6"/>
  <c r="C252" i="6"/>
  <c r="B252" i="6"/>
  <c r="D252" i="6" s="1"/>
  <c r="C251" i="6"/>
  <c r="B251" i="6"/>
  <c r="D251" i="6" s="1"/>
  <c r="C250" i="6"/>
  <c r="B250" i="6"/>
  <c r="D250" i="6" s="1"/>
  <c r="C249" i="6"/>
  <c r="B249" i="6"/>
  <c r="D249" i="6" s="1"/>
  <c r="C248" i="6"/>
  <c r="B248" i="6"/>
  <c r="D248" i="6" s="1"/>
  <c r="C247" i="6"/>
  <c r="B247" i="6"/>
  <c r="D247" i="6" s="1"/>
  <c r="C246" i="6"/>
  <c r="B246" i="6"/>
  <c r="D246" i="6" s="1"/>
  <c r="C245" i="6"/>
  <c r="B245" i="6"/>
  <c r="C244" i="6"/>
  <c r="B244" i="6"/>
  <c r="D244" i="6" s="1"/>
  <c r="C243" i="6"/>
  <c r="B243" i="6"/>
  <c r="D243" i="6" s="1"/>
  <c r="C242" i="6"/>
  <c r="B242" i="6"/>
  <c r="D242" i="6" s="1"/>
  <c r="C241" i="6"/>
  <c r="B241" i="6"/>
  <c r="C240" i="6"/>
  <c r="B240" i="6"/>
  <c r="D240" i="6" s="1"/>
  <c r="C239" i="6"/>
  <c r="B239" i="6"/>
  <c r="C238" i="6"/>
  <c r="B238" i="6"/>
  <c r="D238" i="6" s="1"/>
  <c r="C237" i="6"/>
  <c r="B237" i="6"/>
  <c r="C236" i="6"/>
  <c r="B236" i="6"/>
  <c r="D236" i="6" s="1"/>
  <c r="C235" i="6"/>
  <c r="B235" i="6"/>
  <c r="D235" i="6" s="1"/>
  <c r="C234" i="6"/>
  <c r="B234" i="6"/>
  <c r="D234" i="6" s="1"/>
  <c r="C233" i="6"/>
  <c r="B233" i="6"/>
  <c r="D233" i="6" s="1"/>
  <c r="C232" i="6"/>
  <c r="B232" i="6"/>
  <c r="C231" i="6"/>
  <c r="B231" i="6"/>
  <c r="C230" i="6"/>
  <c r="B230" i="6"/>
  <c r="D230" i="6" s="1"/>
  <c r="C229" i="6"/>
  <c r="B229" i="6"/>
  <c r="C228" i="6"/>
  <c r="B228" i="6"/>
  <c r="D228" i="6" s="1"/>
  <c r="C227" i="6"/>
  <c r="B227" i="6"/>
  <c r="D227" i="6" s="1"/>
  <c r="C226" i="6"/>
  <c r="B226" i="6"/>
  <c r="C225" i="6"/>
  <c r="B225" i="6"/>
  <c r="D225" i="6" s="1"/>
  <c r="C224" i="6"/>
  <c r="B224" i="6"/>
  <c r="C223" i="6"/>
  <c r="B223" i="6"/>
  <c r="C222" i="6"/>
  <c r="B222" i="6"/>
  <c r="C221" i="6"/>
  <c r="B221" i="6"/>
  <c r="C220" i="6"/>
  <c r="B220" i="6"/>
  <c r="D220" i="6" s="1"/>
  <c r="C219" i="6"/>
  <c r="B219" i="6"/>
  <c r="D219" i="6" s="1"/>
  <c r="C218" i="6"/>
  <c r="B218" i="6"/>
  <c r="C217" i="6"/>
  <c r="B217" i="6"/>
  <c r="D217" i="6" s="1"/>
  <c r="C216" i="6"/>
  <c r="B216" i="6"/>
  <c r="C215" i="6"/>
  <c r="B215" i="6"/>
  <c r="D215" i="6" s="1"/>
  <c r="C214" i="6"/>
  <c r="B214" i="6"/>
  <c r="D214" i="6" s="1"/>
  <c r="C213" i="6"/>
  <c r="B213" i="6"/>
  <c r="C212" i="6"/>
  <c r="B212" i="6"/>
  <c r="D212" i="6" s="1"/>
  <c r="C211" i="6"/>
  <c r="B211" i="6"/>
  <c r="D211" i="6" s="1"/>
  <c r="C210" i="6"/>
  <c r="B210" i="6"/>
  <c r="C209" i="6"/>
  <c r="B209" i="6"/>
  <c r="D209" i="6" s="1"/>
  <c r="C208" i="6"/>
  <c r="B208" i="6"/>
  <c r="C207" i="6"/>
  <c r="B207" i="6"/>
  <c r="D207" i="6" s="1"/>
  <c r="C206" i="6"/>
  <c r="B206" i="6"/>
  <c r="C205" i="6"/>
  <c r="B205" i="6"/>
  <c r="C204" i="6"/>
  <c r="B204" i="6"/>
  <c r="D204" i="6" s="1"/>
  <c r="C203" i="6"/>
  <c r="B203" i="6"/>
  <c r="D203" i="6" s="1"/>
  <c r="C202" i="6"/>
  <c r="B202" i="6"/>
  <c r="C201" i="6"/>
  <c r="B201" i="6"/>
  <c r="D201" i="6" s="1"/>
  <c r="C200" i="6"/>
  <c r="B200" i="6"/>
  <c r="C199" i="6"/>
  <c r="B199" i="6"/>
  <c r="D199" i="6" s="1"/>
  <c r="C198" i="6"/>
  <c r="B198" i="6"/>
  <c r="D198" i="6" s="1"/>
  <c r="C197" i="6"/>
  <c r="B197" i="6"/>
  <c r="C196" i="6"/>
  <c r="B196" i="6"/>
  <c r="D196" i="6" s="1"/>
  <c r="C195" i="6"/>
  <c r="B195" i="6"/>
  <c r="D195" i="6" s="1"/>
  <c r="C194" i="6"/>
  <c r="B194" i="6"/>
  <c r="C193" i="6"/>
  <c r="B193" i="6"/>
  <c r="D193" i="6" s="1"/>
  <c r="C192" i="6"/>
  <c r="B192" i="6"/>
  <c r="C191" i="6"/>
  <c r="B191" i="6"/>
  <c r="D191" i="6" s="1"/>
  <c r="C190" i="6"/>
  <c r="B190" i="6"/>
  <c r="C189" i="6"/>
  <c r="B189" i="6"/>
  <c r="D189" i="6" s="1"/>
  <c r="C188" i="6"/>
  <c r="B188" i="6"/>
  <c r="D188" i="6" s="1"/>
  <c r="C187" i="6"/>
  <c r="B187" i="6"/>
  <c r="D187" i="6" s="1"/>
  <c r="C186" i="6"/>
  <c r="B186" i="6"/>
  <c r="D186" i="6" s="1"/>
  <c r="C185" i="6"/>
  <c r="B185" i="6"/>
  <c r="C184" i="6"/>
  <c r="B184" i="6"/>
  <c r="C183" i="6"/>
  <c r="B183" i="6"/>
  <c r="C182" i="6"/>
  <c r="B182" i="6"/>
  <c r="C181" i="6"/>
  <c r="B181" i="6"/>
  <c r="D181" i="6" s="1"/>
  <c r="C180" i="6"/>
  <c r="B180" i="6"/>
  <c r="D180" i="6" s="1"/>
  <c r="C179" i="6"/>
  <c r="B179" i="6"/>
  <c r="D179" i="6" s="1"/>
  <c r="C178" i="6"/>
  <c r="B178" i="6"/>
  <c r="D178" i="6" s="1"/>
  <c r="C177" i="6"/>
  <c r="B177" i="6"/>
  <c r="C176" i="6"/>
  <c r="B176" i="6"/>
  <c r="C175" i="6"/>
  <c r="B175" i="6"/>
  <c r="D175" i="6" s="1"/>
  <c r="C174" i="6"/>
  <c r="B174" i="6"/>
  <c r="C173" i="6"/>
  <c r="B173" i="6"/>
  <c r="D173" i="6" s="1"/>
  <c r="C172" i="6"/>
  <c r="B172" i="6"/>
  <c r="D172" i="6" s="1"/>
  <c r="C171" i="6"/>
  <c r="B171" i="6"/>
  <c r="D171" i="6" s="1"/>
  <c r="C170" i="6"/>
  <c r="B170" i="6"/>
  <c r="D170" i="6" s="1"/>
  <c r="C169" i="6"/>
  <c r="B169" i="6"/>
  <c r="C168" i="6"/>
  <c r="B168" i="6"/>
  <c r="C167" i="6"/>
  <c r="B167" i="6"/>
  <c r="C166" i="6"/>
  <c r="B166" i="6"/>
  <c r="D166" i="6" s="1"/>
  <c r="C165" i="6"/>
  <c r="B165" i="6"/>
  <c r="C164" i="6"/>
  <c r="B164" i="6"/>
  <c r="D164" i="6" s="1"/>
  <c r="F164" i="6" s="1"/>
  <c r="H164" i="6" s="1"/>
  <c r="C163" i="6"/>
  <c r="B163" i="6"/>
  <c r="D163" i="6" s="1"/>
  <c r="C162" i="6"/>
  <c r="B162" i="6"/>
  <c r="D162" i="6" s="1"/>
  <c r="C161" i="6"/>
  <c r="B161" i="6"/>
  <c r="C160" i="6"/>
  <c r="B160" i="6"/>
  <c r="C159" i="6"/>
  <c r="B159" i="6"/>
  <c r="D159" i="6" s="1"/>
  <c r="C158" i="6"/>
  <c r="B158" i="6"/>
  <c r="D158" i="6" s="1"/>
  <c r="C157" i="6"/>
  <c r="B157" i="6"/>
  <c r="C156" i="6"/>
  <c r="B156" i="6"/>
  <c r="D156" i="6" s="1"/>
  <c r="C155" i="6"/>
  <c r="B155" i="6"/>
  <c r="C154" i="6"/>
  <c r="B154" i="6"/>
  <c r="D154" i="6" s="1"/>
  <c r="C153" i="6"/>
  <c r="B153" i="6"/>
  <c r="C152" i="6"/>
  <c r="B152" i="6"/>
  <c r="D152" i="6" s="1"/>
  <c r="C151" i="6"/>
  <c r="B151" i="6"/>
  <c r="D151" i="6" s="1"/>
  <c r="C150" i="6"/>
  <c r="B150" i="6"/>
  <c r="C149" i="6"/>
  <c r="B149" i="6"/>
  <c r="D149" i="6" s="1"/>
  <c r="C148" i="6"/>
  <c r="B148" i="6"/>
  <c r="C147" i="6"/>
  <c r="B147" i="6"/>
  <c r="D147" i="6" s="1"/>
  <c r="C146" i="6"/>
  <c r="B146" i="6"/>
  <c r="C145" i="6"/>
  <c r="B145" i="6"/>
  <c r="D145" i="6" s="1"/>
  <c r="C144" i="6"/>
  <c r="B144" i="6"/>
  <c r="D144" i="6" s="1"/>
  <c r="C143" i="6"/>
  <c r="B143" i="6"/>
  <c r="D143" i="6" s="1"/>
  <c r="C142" i="6"/>
  <c r="B142" i="6"/>
  <c r="C141" i="6"/>
  <c r="B141" i="6"/>
  <c r="D141" i="6" s="1"/>
  <c r="C140" i="6"/>
  <c r="B140" i="6"/>
  <c r="C139" i="6"/>
  <c r="B139" i="6"/>
  <c r="D139" i="6" s="1"/>
  <c r="C138" i="6"/>
  <c r="B138" i="6"/>
  <c r="D138" i="6" s="1"/>
  <c r="C137" i="6"/>
  <c r="B137" i="6"/>
  <c r="D137" i="6" s="1"/>
  <c r="C136" i="6"/>
  <c r="B136" i="6"/>
  <c r="C135" i="6"/>
  <c r="B135" i="6"/>
  <c r="C134" i="6"/>
  <c r="B134" i="6"/>
  <c r="D134" i="6" s="1"/>
  <c r="C133" i="6"/>
  <c r="B133" i="6"/>
  <c r="C132" i="6"/>
  <c r="B132" i="6"/>
  <c r="D132" i="6" s="1"/>
  <c r="F132" i="6" s="1"/>
  <c r="H132" i="6" s="1"/>
  <c r="C131" i="6"/>
  <c r="B131" i="6"/>
  <c r="C130" i="6"/>
  <c r="B130" i="6"/>
  <c r="C129" i="6"/>
  <c r="B129" i="6"/>
  <c r="D129" i="6" s="1"/>
  <c r="C128" i="6"/>
  <c r="B128" i="6"/>
  <c r="C127" i="6"/>
  <c r="B127" i="6"/>
  <c r="C126" i="6"/>
  <c r="B126" i="6"/>
  <c r="C125" i="6"/>
  <c r="B125" i="6"/>
  <c r="C124" i="6"/>
  <c r="B124" i="6"/>
  <c r="C123" i="6"/>
  <c r="B123" i="6"/>
  <c r="D123" i="6" s="1"/>
  <c r="C122" i="6"/>
  <c r="B122" i="6"/>
  <c r="D122" i="6" s="1"/>
  <c r="F122" i="6" s="1"/>
  <c r="H122" i="6" s="1"/>
  <c r="C121" i="6"/>
  <c r="B121" i="6"/>
  <c r="D121" i="6" s="1"/>
  <c r="C120" i="6"/>
  <c r="B120" i="6"/>
  <c r="D120" i="6" s="1"/>
  <c r="C119" i="6"/>
  <c r="B119" i="6"/>
  <c r="D119" i="6" s="1"/>
  <c r="C118" i="6"/>
  <c r="B118" i="6"/>
  <c r="D118" i="6" s="1"/>
  <c r="C117" i="6"/>
  <c r="B117" i="6"/>
  <c r="D117" i="6" s="1"/>
  <c r="C116" i="6"/>
  <c r="B116" i="6"/>
  <c r="D116" i="6" s="1"/>
  <c r="F116" i="6" s="1"/>
  <c r="H116" i="6" s="1"/>
  <c r="C115" i="6"/>
  <c r="B115" i="6"/>
  <c r="D115" i="6" s="1"/>
  <c r="C114" i="6"/>
  <c r="B114" i="6"/>
  <c r="C113" i="6"/>
  <c r="B113" i="6"/>
  <c r="D113" i="6" s="1"/>
  <c r="C112" i="6"/>
  <c r="B112" i="6"/>
  <c r="D112" i="6" s="1"/>
  <c r="C111" i="6"/>
  <c r="B111" i="6"/>
  <c r="D111" i="6" s="1"/>
  <c r="C110" i="6"/>
  <c r="B110" i="6"/>
  <c r="C109" i="6"/>
  <c r="B109" i="6"/>
  <c r="D109" i="6" s="1"/>
  <c r="C108" i="6"/>
  <c r="B108" i="6"/>
  <c r="C107" i="6"/>
  <c r="B107" i="6"/>
  <c r="D107" i="6" s="1"/>
  <c r="C106" i="6"/>
  <c r="B106" i="6"/>
  <c r="C105" i="6"/>
  <c r="B105" i="6"/>
  <c r="D105" i="6" s="1"/>
  <c r="C104" i="6"/>
  <c r="B104" i="6"/>
  <c r="D104" i="6" s="1"/>
  <c r="C103" i="6"/>
  <c r="B103" i="6"/>
  <c r="C102" i="6"/>
  <c r="B102" i="6"/>
  <c r="C101" i="6"/>
  <c r="B101" i="6"/>
  <c r="D101" i="6" s="1"/>
  <c r="C100" i="6"/>
  <c r="B100" i="6"/>
  <c r="C99" i="6"/>
  <c r="B99" i="6"/>
  <c r="D99" i="6" s="1"/>
  <c r="C98" i="6"/>
  <c r="B98" i="6"/>
  <c r="C97" i="6"/>
  <c r="B97" i="6"/>
  <c r="D97" i="6" s="1"/>
  <c r="F97" i="6" s="1"/>
  <c r="H97" i="6" s="1"/>
  <c r="C96" i="6"/>
  <c r="B96" i="6"/>
  <c r="D96" i="6" s="1"/>
  <c r="F96" i="6" s="1"/>
  <c r="H96" i="6" s="1"/>
  <c r="C95" i="6"/>
  <c r="B95" i="6"/>
  <c r="C94" i="6"/>
  <c r="B94" i="6"/>
  <c r="C93" i="6"/>
  <c r="B93" i="6"/>
  <c r="D93" i="6" s="1"/>
  <c r="C92" i="6"/>
  <c r="B92" i="6"/>
  <c r="C91" i="6"/>
  <c r="B91" i="6"/>
  <c r="D91" i="6" s="1"/>
  <c r="C90" i="6"/>
  <c r="B90" i="6"/>
  <c r="C89" i="6"/>
  <c r="B89" i="6"/>
  <c r="D89" i="6" s="1"/>
  <c r="C88" i="6"/>
  <c r="B88" i="6"/>
  <c r="C87" i="6"/>
  <c r="B87" i="6"/>
  <c r="C86" i="6"/>
  <c r="B86" i="6"/>
  <c r="D86" i="6" s="1"/>
  <c r="C85" i="6"/>
  <c r="B85" i="6"/>
  <c r="D85" i="6" s="1"/>
  <c r="F85" i="6" s="1"/>
  <c r="H85" i="6" s="1"/>
  <c r="C84" i="6"/>
  <c r="B84" i="6"/>
  <c r="C83" i="6"/>
  <c r="B83" i="6"/>
  <c r="D83" i="6" s="1"/>
  <c r="C82" i="6"/>
  <c r="B82" i="6"/>
  <c r="C81" i="6"/>
  <c r="B81" i="6"/>
  <c r="D81" i="6" s="1"/>
  <c r="C80" i="6"/>
  <c r="B80" i="6"/>
  <c r="D80" i="6" s="1"/>
  <c r="C79" i="6"/>
  <c r="B79" i="6"/>
  <c r="C78" i="6"/>
  <c r="B78" i="6"/>
  <c r="D78" i="6" s="1"/>
  <c r="F78" i="6" s="1"/>
  <c r="H78" i="6" s="1"/>
  <c r="C77" i="6"/>
  <c r="B77" i="6"/>
  <c r="D77" i="6" s="1"/>
  <c r="C76" i="6"/>
  <c r="B76" i="6"/>
  <c r="C75" i="6"/>
  <c r="B75" i="6"/>
  <c r="D75" i="6" s="1"/>
  <c r="C74" i="6"/>
  <c r="B74" i="6"/>
  <c r="C73" i="6"/>
  <c r="B73" i="6"/>
  <c r="D73" i="6" s="1"/>
  <c r="C72" i="6"/>
  <c r="B72" i="6"/>
  <c r="C71" i="6"/>
  <c r="B71" i="6"/>
  <c r="C70" i="6"/>
  <c r="B70" i="6"/>
  <c r="D70" i="6" s="1"/>
  <c r="C69" i="6"/>
  <c r="B69" i="6"/>
  <c r="D69" i="6" s="1"/>
  <c r="F69" i="6" s="1"/>
  <c r="H69" i="6" s="1"/>
  <c r="C68" i="6"/>
  <c r="B68" i="6"/>
  <c r="C67" i="6"/>
  <c r="B67" i="6"/>
  <c r="D67" i="6" s="1"/>
  <c r="C66" i="6"/>
  <c r="B66" i="6"/>
  <c r="C65" i="6"/>
  <c r="B65" i="6"/>
  <c r="D65" i="6" s="1"/>
  <c r="C64" i="6"/>
  <c r="B64" i="6"/>
  <c r="C63" i="6"/>
  <c r="B63" i="6"/>
  <c r="C62" i="6"/>
  <c r="B62" i="6"/>
  <c r="D62" i="6" s="1"/>
  <c r="F62" i="6" s="1"/>
  <c r="H62" i="6" s="1"/>
  <c r="C61" i="6"/>
  <c r="B61" i="6"/>
  <c r="D61" i="6" s="1"/>
  <c r="C60" i="6"/>
  <c r="B60" i="6"/>
  <c r="C59" i="6"/>
  <c r="B59" i="6"/>
  <c r="D59" i="6" s="1"/>
  <c r="F59" i="6" s="1"/>
  <c r="H59" i="6" s="1"/>
  <c r="C58" i="6"/>
  <c r="B58" i="6"/>
  <c r="C57" i="6"/>
  <c r="B57" i="6"/>
  <c r="D57" i="6" s="1"/>
  <c r="C56" i="6"/>
  <c r="B56" i="6"/>
  <c r="D56" i="6" s="1"/>
  <c r="F56" i="6" s="1"/>
  <c r="H56" i="6" s="1"/>
  <c r="C55" i="6"/>
  <c r="B55" i="6"/>
  <c r="C54" i="6"/>
  <c r="B54" i="6"/>
  <c r="D54" i="6" s="1"/>
  <c r="C53" i="6"/>
  <c r="B53" i="6"/>
  <c r="D53" i="6" s="1"/>
  <c r="C52" i="6"/>
  <c r="B52" i="6"/>
  <c r="C51" i="6"/>
  <c r="B51" i="6"/>
  <c r="D51" i="6" s="1"/>
  <c r="C50" i="6"/>
  <c r="B50" i="6"/>
  <c r="C49" i="6"/>
  <c r="B49" i="6"/>
  <c r="D49" i="6" s="1"/>
  <c r="C48" i="6"/>
  <c r="B48" i="6"/>
  <c r="D48" i="6" s="1"/>
  <c r="C47" i="6"/>
  <c r="B47" i="6"/>
  <c r="C46" i="6"/>
  <c r="B46" i="6"/>
  <c r="C45" i="6"/>
  <c r="B45" i="6"/>
  <c r="D45" i="6" s="1"/>
  <c r="C44" i="6"/>
  <c r="B44" i="6"/>
  <c r="C43" i="6"/>
  <c r="B43" i="6"/>
  <c r="D43" i="6" s="1"/>
  <c r="C42" i="6"/>
  <c r="B42" i="6"/>
  <c r="C41" i="6"/>
  <c r="B41" i="6"/>
  <c r="D41" i="6" s="1"/>
  <c r="C40" i="6"/>
  <c r="B40" i="6"/>
  <c r="D40" i="6" s="1"/>
  <c r="C39" i="6"/>
  <c r="B39" i="6"/>
  <c r="C38" i="6"/>
  <c r="B38" i="6"/>
  <c r="C37" i="6"/>
  <c r="B37" i="6"/>
  <c r="D37" i="6" s="1"/>
  <c r="C36" i="6"/>
  <c r="B36" i="6"/>
  <c r="C35" i="6"/>
  <c r="B35" i="6"/>
  <c r="D35" i="6" s="1"/>
  <c r="C34" i="6"/>
  <c r="B34" i="6"/>
  <c r="C33" i="6"/>
  <c r="B33" i="6"/>
  <c r="D33" i="6" s="1"/>
  <c r="F33" i="6" s="1"/>
  <c r="H33" i="6" s="1"/>
  <c r="C32" i="6"/>
  <c r="B32" i="6"/>
  <c r="D32" i="6" s="1"/>
  <c r="C31" i="6"/>
  <c r="B31" i="6"/>
  <c r="C30" i="6"/>
  <c r="B30" i="6"/>
  <c r="D30" i="6" s="1"/>
  <c r="F30" i="6" s="1"/>
  <c r="H30" i="6" s="1"/>
  <c r="C29" i="6"/>
  <c r="B29" i="6"/>
  <c r="D29" i="6" s="1"/>
  <c r="C28" i="6"/>
  <c r="B28" i="6"/>
  <c r="C27" i="6"/>
  <c r="B27" i="6"/>
  <c r="D27" i="6" s="1"/>
  <c r="C26" i="6"/>
  <c r="B26" i="6"/>
  <c r="D26" i="6" s="1"/>
  <c r="F26" i="6" s="1"/>
  <c r="H26" i="6" s="1"/>
  <c r="C25" i="6"/>
  <c r="B25" i="6"/>
  <c r="D25" i="6" s="1"/>
  <c r="C24" i="6"/>
  <c r="B24" i="6"/>
  <c r="D24" i="6" s="1"/>
  <c r="J19" i="6"/>
  <c r="I19" i="6"/>
  <c r="J18" i="6"/>
  <c r="I18" i="6"/>
  <c r="D18" i="6"/>
  <c r="C18" i="6"/>
  <c r="E18" i="6" s="1"/>
  <c r="J17" i="6"/>
  <c r="I17" i="6"/>
  <c r="C43" i="5"/>
  <c r="C41" i="5"/>
  <c r="E33" i="5"/>
  <c r="D33" i="5"/>
  <c r="F33" i="5" s="1"/>
  <c r="E27" i="5"/>
  <c r="C42" i="5" s="1"/>
  <c r="D27" i="5"/>
  <c r="C27" i="5"/>
  <c r="C44" i="5" s="1"/>
  <c r="F26" i="5"/>
  <c r="C45" i="5" s="1"/>
  <c r="D36" i="5" s="1"/>
  <c r="E26" i="5"/>
  <c r="C48" i="5" s="1"/>
  <c r="D26" i="5"/>
  <c r="C49" i="5" s="1"/>
  <c r="C26" i="5"/>
  <c r="C51" i="5" s="1"/>
  <c r="F25" i="5"/>
  <c r="C46" i="5" s="1"/>
  <c r="E25" i="5"/>
  <c r="C50" i="5" s="1"/>
  <c r="D25" i="5"/>
  <c r="C53" i="5" s="1"/>
  <c r="C25" i="5"/>
  <c r="C54" i="5" s="1"/>
  <c r="F24" i="5"/>
  <c r="C47" i="5" s="1"/>
  <c r="E24" i="5"/>
  <c r="C52" i="5" s="1"/>
  <c r="D24" i="5"/>
  <c r="C55" i="5" s="1"/>
  <c r="C24" i="5"/>
  <c r="C56" i="5" s="1"/>
  <c r="F18" i="5"/>
  <c r="E18" i="5"/>
  <c r="D18" i="5"/>
  <c r="D14" i="5" s="1"/>
  <c r="D55" i="5" s="1"/>
  <c r="C18" i="5"/>
  <c r="G17" i="5"/>
  <c r="C17" i="5" s="1"/>
  <c r="D44" i="5" s="1"/>
  <c r="G16" i="5"/>
  <c r="G15" i="5"/>
  <c r="F15" i="5"/>
  <c r="D46" i="5" s="1"/>
  <c r="C15" i="5"/>
  <c r="D54" i="5" s="1"/>
  <c r="G14" i="5"/>
  <c r="F14" i="5"/>
  <c r="D47" i="5" s="1"/>
  <c r="C14" i="5"/>
  <c r="D56" i="5" s="1"/>
  <c r="E275" i="6" l="1"/>
  <c r="E428" i="6"/>
  <c r="E432" i="6"/>
  <c r="E174" i="6"/>
  <c r="G174" i="6" s="1"/>
  <c r="I174" i="6" s="1"/>
  <c r="E274" i="6"/>
  <c r="E505" i="6"/>
  <c r="G505" i="6" s="1"/>
  <c r="I505" i="6" s="1"/>
  <c r="E311" i="6"/>
  <c r="E499" i="6"/>
  <c r="G499" i="6" s="1"/>
  <c r="I499" i="6" s="1"/>
  <c r="E523" i="6"/>
  <c r="E363" i="6"/>
  <c r="E320" i="6"/>
  <c r="E31" i="6"/>
  <c r="G31" i="6" s="1"/>
  <c r="I31" i="6" s="1"/>
  <c r="E118" i="6"/>
  <c r="G118" i="6" s="1"/>
  <c r="I118" i="6" s="1"/>
  <c r="E138" i="6"/>
  <c r="G138" i="6" s="1"/>
  <c r="I138" i="6" s="1"/>
  <c r="E361" i="6"/>
  <c r="G361" i="6" s="1"/>
  <c r="I361" i="6" s="1"/>
  <c r="E456" i="6"/>
  <c r="G456" i="6" s="1"/>
  <c r="I456" i="6" s="1"/>
  <c r="E243" i="6"/>
  <c r="G243" i="6" s="1"/>
  <c r="I243" i="6" s="1"/>
  <c r="E132" i="6"/>
  <c r="G132" i="6" s="1"/>
  <c r="I132" i="6" s="1"/>
  <c r="J132" i="6" s="1"/>
  <c r="E164" i="6"/>
  <c r="G164" i="6" s="1"/>
  <c r="I164" i="6" s="1"/>
  <c r="J164" i="6" s="1"/>
  <c r="E415" i="6"/>
  <c r="G415" i="6" s="1"/>
  <c r="I415" i="6" s="1"/>
  <c r="E173" i="6"/>
  <c r="E181" i="6"/>
  <c r="G181" i="6" s="1"/>
  <c r="I181" i="6" s="1"/>
  <c r="E193" i="6"/>
  <c r="G193" i="6" s="1"/>
  <c r="I193" i="6" s="1"/>
  <c r="E201" i="6"/>
  <c r="G201" i="6" s="1"/>
  <c r="I201" i="6" s="1"/>
  <c r="E209" i="6"/>
  <c r="G209" i="6" s="1"/>
  <c r="I209" i="6" s="1"/>
  <c r="E217" i="6"/>
  <c r="E94" i="6"/>
  <c r="G94" i="6" s="1"/>
  <c r="I94" i="6" s="1"/>
  <c r="E306" i="6"/>
  <c r="G306" i="6" s="1"/>
  <c r="I306" i="6" s="1"/>
  <c r="E329" i="6"/>
  <c r="E36" i="6"/>
  <c r="G36" i="6" s="1"/>
  <c r="I36" i="6" s="1"/>
  <c r="E44" i="6"/>
  <c r="G44" i="6" s="1"/>
  <c r="I44" i="6" s="1"/>
  <c r="E79" i="6"/>
  <c r="G79" i="6" s="1"/>
  <c r="I79" i="6" s="1"/>
  <c r="E252" i="6"/>
  <c r="G252" i="6" s="1"/>
  <c r="I252" i="6" s="1"/>
  <c r="E333" i="6"/>
  <c r="G333" i="6" s="1"/>
  <c r="I333" i="6" s="1"/>
  <c r="E497" i="6"/>
  <c r="G497" i="6" s="1"/>
  <c r="I497" i="6" s="1"/>
  <c r="E64" i="6"/>
  <c r="G64" i="6" s="1"/>
  <c r="I64" i="6" s="1"/>
  <c r="E72" i="6"/>
  <c r="G72" i="6" s="1"/>
  <c r="I72" i="6" s="1"/>
  <c r="E103" i="6"/>
  <c r="G103" i="6" s="1"/>
  <c r="I103" i="6" s="1"/>
  <c r="E353" i="6"/>
  <c r="E109" i="6"/>
  <c r="G109" i="6" s="1"/>
  <c r="I109" i="6" s="1"/>
  <c r="E158" i="6"/>
  <c r="G158" i="6" s="1"/>
  <c r="I158" i="6" s="1"/>
  <c r="E46" i="6"/>
  <c r="G46" i="6" s="1"/>
  <c r="I46" i="6" s="1"/>
  <c r="E167" i="6"/>
  <c r="G167" i="6" s="1"/>
  <c r="I167" i="6" s="1"/>
  <c r="E246" i="6"/>
  <c r="G246" i="6" s="1"/>
  <c r="I246" i="6" s="1"/>
  <c r="E414" i="6"/>
  <c r="E25" i="6"/>
  <c r="G25" i="6" s="1"/>
  <c r="I25" i="6" s="1"/>
  <c r="E73" i="6"/>
  <c r="G73" i="6" s="1"/>
  <c r="I73" i="6" s="1"/>
  <c r="E88" i="6"/>
  <c r="G88" i="6" s="1"/>
  <c r="I88" i="6" s="1"/>
  <c r="E92" i="6"/>
  <c r="G92" i="6" s="1"/>
  <c r="I92" i="6" s="1"/>
  <c r="E117" i="6"/>
  <c r="G117" i="6" s="1"/>
  <c r="I117" i="6" s="1"/>
  <c r="E125" i="6"/>
  <c r="G125" i="6" s="1"/>
  <c r="I125" i="6" s="1"/>
  <c r="E151" i="6"/>
  <c r="G151" i="6" s="1"/>
  <c r="I151" i="6" s="1"/>
  <c r="E170" i="6"/>
  <c r="G170" i="6" s="1"/>
  <c r="I170" i="6" s="1"/>
  <c r="E293" i="6"/>
  <c r="G293" i="6" s="1"/>
  <c r="I293" i="6" s="1"/>
  <c r="E402" i="6"/>
  <c r="G402" i="6" s="1"/>
  <c r="I402" i="6" s="1"/>
  <c r="E406" i="6"/>
  <c r="G406" i="6" s="1"/>
  <c r="I406" i="6" s="1"/>
  <c r="E467" i="6"/>
  <c r="E487" i="6"/>
  <c r="G487" i="6" s="1"/>
  <c r="I487" i="6" s="1"/>
  <c r="D103" i="6"/>
  <c r="F103" i="6" s="1"/>
  <c r="H103" i="6" s="1"/>
  <c r="E159" i="6"/>
  <c r="G159" i="6" s="1"/>
  <c r="I159" i="6" s="1"/>
  <c r="D174" i="6"/>
  <c r="F174" i="6" s="1"/>
  <c r="H174" i="6" s="1"/>
  <c r="D414" i="6"/>
  <c r="F414" i="6" s="1"/>
  <c r="H414" i="6" s="1"/>
  <c r="E513" i="6"/>
  <c r="E37" i="6"/>
  <c r="G37" i="6" s="1"/>
  <c r="I37" i="6" s="1"/>
  <c r="E45" i="6"/>
  <c r="G45" i="6" s="1"/>
  <c r="I45" i="6" s="1"/>
  <c r="E60" i="6"/>
  <c r="G60" i="6" s="1"/>
  <c r="I60" i="6" s="1"/>
  <c r="E126" i="6"/>
  <c r="G126" i="6" s="1"/>
  <c r="I126" i="6" s="1"/>
  <c r="E141" i="6"/>
  <c r="G141" i="6" s="1"/>
  <c r="I141" i="6" s="1"/>
  <c r="E160" i="6"/>
  <c r="G160" i="6" s="1"/>
  <c r="I160" i="6" s="1"/>
  <c r="E183" i="6"/>
  <c r="G183" i="6" s="1"/>
  <c r="I183" i="6" s="1"/>
  <c r="E391" i="6"/>
  <c r="E472" i="6"/>
  <c r="G472" i="6" s="1"/>
  <c r="I472" i="6" s="1"/>
  <c r="E365" i="6"/>
  <c r="E485" i="6"/>
  <c r="G485" i="6" s="1"/>
  <c r="I485" i="6" s="1"/>
  <c r="F172" i="6"/>
  <c r="H172" i="6" s="1"/>
  <c r="E57" i="6"/>
  <c r="G57" i="6" s="1"/>
  <c r="I57" i="6" s="1"/>
  <c r="E119" i="6"/>
  <c r="G119" i="6" s="1"/>
  <c r="I119" i="6" s="1"/>
  <c r="E180" i="6"/>
  <c r="G180" i="6" s="1"/>
  <c r="I180" i="6" s="1"/>
  <c r="E258" i="6"/>
  <c r="G258" i="6" s="1"/>
  <c r="I258" i="6" s="1"/>
  <c r="E352" i="6"/>
  <c r="G352" i="6" s="1"/>
  <c r="I352" i="6" s="1"/>
  <c r="E355" i="6"/>
  <c r="G355" i="6" s="1"/>
  <c r="I355" i="6" s="1"/>
  <c r="E397" i="6"/>
  <c r="E519" i="6"/>
  <c r="G519" i="6" s="1"/>
  <c r="I519" i="6" s="1"/>
  <c r="E62" i="6"/>
  <c r="G62" i="6" s="1"/>
  <c r="I62" i="6" s="1"/>
  <c r="J62" i="6" s="1"/>
  <c r="D72" i="6"/>
  <c r="F72" i="6" s="1"/>
  <c r="H72" i="6" s="1"/>
  <c r="J72" i="6" s="1"/>
  <c r="E87" i="6"/>
  <c r="G87" i="6" s="1"/>
  <c r="I87" i="6" s="1"/>
  <c r="E95" i="6"/>
  <c r="G95" i="6" s="1"/>
  <c r="I95" i="6" s="1"/>
  <c r="D274" i="6"/>
  <c r="F274" i="6" s="1"/>
  <c r="H274" i="6" s="1"/>
  <c r="E289" i="6"/>
  <c r="G289" i="6" s="1"/>
  <c r="I289" i="6" s="1"/>
  <c r="E314" i="6"/>
  <c r="G314" i="6" s="1"/>
  <c r="I314" i="6" s="1"/>
  <c r="E424" i="6"/>
  <c r="G424" i="6" s="1"/>
  <c r="I424" i="6" s="1"/>
  <c r="E490" i="6"/>
  <c r="G490" i="6" s="1"/>
  <c r="I490" i="6" s="1"/>
  <c r="E204" i="6"/>
  <c r="G204" i="6" s="1"/>
  <c r="I204" i="6" s="1"/>
  <c r="E24" i="6"/>
  <c r="G24" i="6" s="1"/>
  <c r="I24" i="6" s="1"/>
  <c r="E47" i="6"/>
  <c r="G47" i="6" s="1"/>
  <c r="I47" i="6" s="1"/>
  <c r="E71" i="6"/>
  <c r="G71" i="6" s="1"/>
  <c r="I71" i="6" s="1"/>
  <c r="D94" i="6"/>
  <c r="F94" i="6" s="1"/>
  <c r="H94" i="6" s="1"/>
  <c r="E102" i="6"/>
  <c r="G102" i="6" s="1"/>
  <c r="I102" i="6" s="1"/>
  <c r="E108" i="6"/>
  <c r="G108" i="6" s="1"/>
  <c r="I108" i="6" s="1"/>
  <c r="E121" i="6"/>
  <c r="G121" i="6" s="1"/>
  <c r="I121" i="6" s="1"/>
  <c r="E140" i="6"/>
  <c r="G140" i="6" s="1"/>
  <c r="I140" i="6" s="1"/>
  <c r="E143" i="6"/>
  <c r="G143" i="6" s="1"/>
  <c r="I143" i="6" s="1"/>
  <c r="E154" i="6"/>
  <c r="G154" i="6" s="1"/>
  <c r="I154" i="6" s="1"/>
  <c r="E244" i="6"/>
  <c r="G244" i="6" s="1"/>
  <c r="I244" i="6" s="1"/>
  <c r="E264" i="6"/>
  <c r="G264" i="6" s="1"/>
  <c r="I264" i="6" s="1"/>
  <c r="E305" i="6"/>
  <c r="G305" i="6" s="1"/>
  <c r="I305" i="6" s="1"/>
  <c r="D329" i="6"/>
  <c r="F329" i="6" s="1"/>
  <c r="H329" i="6" s="1"/>
  <c r="E97" i="6"/>
  <c r="G97" i="6" s="1"/>
  <c r="I97" i="6" s="1"/>
  <c r="J97" i="6" s="1"/>
  <c r="E188" i="6"/>
  <c r="G188" i="6" s="1"/>
  <c r="I188" i="6" s="1"/>
  <c r="E483" i="6"/>
  <c r="G483" i="6" s="1"/>
  <c r="I483" i="6" s="1"/>
  <c r="D64" i="6"/>
  <c r="F64" i="6" s="1"/>
  <c r="H64" i="6" s="1"/>
  <c r="E147" i="6"/>
  <c r="G147" i="6" s="1"/>
  <c r="I147" i="6" s="1"/>
  <c r="E225" i="6"/>
  <c r="G225" i="6" s="1"/>
  <c r="I225" i="6" s="1"/>
  <c r="E268" i="6"/>
  <c r="G268" i="6" s="1"/>
  <c r="I268" i="6" s="1"/>
  <c r="E272" i="6"/>
  <c r="G272" i="6" s="1"/>
  <c r="I272" i="6" s="1"/>
  <c r="D275" i="6"/>
  <c r="F275" i="6" s="1"/>
  <c r="H275" i="6" s="1"/>
  <c r="E287" i="6"/>
  <c r="G287" i="6" s="1"/>
  <c r="I287" i="6" s="1"/>
  <c r="D289" i="6"/>
  <c r="F289" i="6" s="1"/>
  <c r="H289" i="6" s="1"/>
  <c r="E303" i="6"/>
  <c r="G303" i="6" s="1"/>
  <c r="I303" i="6" s="1"/>
  <c r="E330" i="6"/>
  <c r="G330" i="6" s="1"/>
  <c r="I330" i="6" s="1"/>
  <c r="E390" i="6"/>
  <c r="G390" i="6" s="1"/>
  <c r="I390" i="6" s="1"/>
  <c r="E393" i="6"/>
  <c r="G393" i="6" s="1"/>
  <c r="I393" i="6" s="1"/>
  <c r="E422" i="6"/>
  <c r="G422" i="6" s="1"/>
  <c r="I422" i="6" s="1"/>
  <c r="E448" i="6"/>
  <c r="G448" i="6" s="1"/>
  <c r="I448" i="6" s="1"/>
  <c r="E459" i="6"/>
  <c r="G459" i="6" s="1"/>
  <c r="I459" i="6" s="1"/>
  <c r="E480" i="6"/>
  <c r="G480" i="6" s="1"/>
  <c r="I480" i="6" s="1"/>
  <c r="E491" i="6"/>
  <c r="G491" i="6" s="1"/>
  <c r="I491" i="6" s="1"/>
  <c r="D505" i="6"/>
  <c r="F505" i="6" s="1"/>
  <c r="H505" i="6" s="1"/>
  <c r="E516" i="6"/>
  <c r="G516" i="6" s="1"/>
  <c r="I516" i="6" s="1"/>
  <c r="E67" i="6"/>
  <c r="G67" i="6" s="1"/>
  <c r="I67" i="6" s="1"/>
  <c r="E212" i="6"/>
  <c r="G212" i="6" s="1"/>
  <c r="I212" i="6" s="1"/>
  <c r="E240" i="6"/>
  <c r="G240" i="6" s="1"/>
  <c r="I240" i="6" s="1"/>
  <c r="E295" i="6"/>
  <c r="G295" i="6" s="1"/>
  <c r="I295" i="6" s="1"/>
  <c r="E75" i="6"/>
  <c r="G75" i="6" s="1"/>
  <c r="I75" i="6" s="1"/>
  <c r="D102" i="6"/>
  <c r="F102" i="6" s="1"/>
  <c r="H102" i="6" s="1"/>
  <c r="E172" i="6"/>
  <c r="G172" i="6" s="1"/>
  <c r="I172" i="6" s="1"/>
  <c r="E178" i="6"/>
  <c r="G178" i="6" s="1"/>
  <c r="I178" i="6" s="1"/>
  <c r="E251" i="6"/>
  <c r="G251" i="6" s="1"/>
  <c r="I251" i="6" s="1"/>
  <c r="E254" i="6"/>
  <c r="G254" i="6" s="1"/>
  <c r="I254" i="6" s="1"/>
  <c r="E309" i="6"/>
  <c r="G309" i="6" s="1"/>
  <c r="I309" i="6" s="1"/>
  <c r="D361" i="6"/>
  <c r="F361" i="6" s="1"/>
  <c r="H361" i="6" s="1"/>
  <c r="E372" i="6"/>
  <c r="G372" i="6" s="1"/>
  <c r="I372" i="6" s="1"/>
  <c r="E426" i="6"/>
  <c r="G426" i="6" s="1"/>
  <c r="I426" i="6" s="1"/>
  <c r="E196" i="6"/>
  <c r="G196" i="6" s="1"/>
  <c r="I196" i="6" s="1"/>
  <c r="E38" i="6"/>
  <c r="G38" i="6" s="1"/>
  <c r="I38" i="6" s="1"/>
  <c r="E55" i="6"/>
  <c r="G55" i="6" s="1"/>
  <c r="I55" i="6" s="1"/>
  <c r="E65" i="6"/>
  <c r="G65" i="6" s="1"/>
  <c r="I65" i="6" s="1"/>
  <c r="E85" i="6"/>
  <c r="G85" i="6" s="1"/>
  <c r="I85" i="6" s="1"/>
  <c r="J85" i="6" s="1"/>
  <c r="D88" i="6"/>
  <c r="F88" i="6" s="1"/>
  <c r="H88" i="6" s="1"/>
  <c r="E327" i="6"/>
  <c r="G327" i="6" s="1"/>
  <c r="I327" i="6" s="1"/>
  <c r="E345" i="6"/>
  <c r="G345" i="6" s="1"/>
  <c r="I345" i="6" s="1"/>
  <c r="E410" i="6"/>
  <c r="G410" i="6" s="1"/>
  <c r="I410" i="6" s="1"/>
  <c r="E431" i="6"/>
  <c r="G431" i="6" s="1"/>
  <c r="I431" i="6" s="1"/>
  <c r="E489" i="6"/>
  <c r="G489" i="6" s="1"/>
  <c r="I489" i="6" s="1"/>
  <c r="E220" i="6"/>
  <c r="G220" i="6" s="1"/>
  <c r="I220" i="6" s="1"/>
  <c r="E250" i="6"/>
  <c r="G250" i="6" s="1"/>
  <c r="I250" i="6" s="1"/>
  <c r="E335" i="6"/>
  <c r="G335" i="6" s="1"/>
  <c r="I335" i="6" s="1"/>
  <c r="E451" i="6"/>
  <c r="G451" i="6" s="1"/>
  <c r="I451" i="6" s="1"/>
  <c r="E101" i="6"/>
  <c r="G101" i="6" s="1"/>
  <c r="I101" i="6" s="1"/>
  <c r="E228" i="6"/>
  <c r="G228" i="6" s="1"/>
  <c r="I228" i="6" s="1"/>
  <c r="E440" i="6"/>
  <c r="G440" i="6" s="1"/>
  <c r="I440" i="6" s="1"/>
  <c r="E39" i="6"/>
  <c r="G39" i="6" s="1"/>
  <c r="I39" i="6" s="1"/>
  <c r="E56" i="6"/>
  <c r="G56" i="6" s="1"/>
  <c r="I56" i="6" s="1"/>
  <c r="J56" i="6" s="1"/>
  <c r="E59" i="6"/>
  <c r="G59" i="6" s="1"/>
  <c r="I59" i="6" s="1"/>
  <c r="J59" i="6" s="1"/>
  <c r="E63" i="6"/>
  <c r="G63" i="6" s="1"/>
  <c r="I63" i="6" s="1"/>
  <c r="E89" i="6"/>
  <c r="G89" i="6" s="1"/>
  <c r="I89" i="6" s="1"/>
  <c r="E110" i="6"/>
  <c r="G110" i="6" s="1"/>
  <c r="I110" i="6" s="1"/>
  <c r="E113" i="6"/>
  <c r="G113" i="6" s="1"/>
  <c r="I113" i="6" s="1"/>
  <c r="E128" i="6"/>
  <c r="G128" i="6" s="1"/>
  <c r="I128" i="6" s="1"/>
  <c r="E139" i="6"/>
  <c r="G139" i="6" s="1"/>
  <c r="I139" i="6" s="1"/>
  <c r="E142" i="6"/>
  <c r="G142" i="6" s="1"/>
  <c r="I142" i="6" s="1"/>
  <c r="E149" i="6"/>
  <c r="G149" i="6" s="1"/>
  <c r="I149" i="6" s="1"/>
  <c r="E156" i="6"/>
  <c r="G156" i="6" s="1"/>
  <c r="I156" i="6" s="1"/>
  <c r="E162" i="6"/>
  <c r="G162" i="6" s="1"/>
  <c r="I162" i="6" s="1"/>
  <c r="E191" i="6"/>
  <c r="G191" i="6" s="1"/>
  <c r="I191" i="6" s="1"/>
  <c r="E195" i="6"/>
  <c r="G195" i="6" s="1"/>
  <c r="I195" i="6" s="1"/>
  <c r="E199" i="6"/>
  <c r="G199" i="6" s="1"/>
  <c r="I199" i="6" s="1"/>
  <c r="E203" i="6"/>
  <c r="G203" i="6" s="1"/>
  <c r="I203" i="6" s="1"/>
  <c r="E207" i="6"/>
  <c r="G207" i="6" s="1"/>
  <c r="I207" i="6" s="1"/>
  <c r="E211" i="6"/>
  <c r="G211" i="6" s="1"/>
  <c r="I211" i="6" s="1"/>
  <c r="E215" i="6"/>
  <c r="G215" i="6" s="1"/>
  <c r="I215" i="6" s="1"/>
  <c r="E219" i="6"/>
  <c r="G219" i="6" s="1"/>
  <c r="I219" i="6" s="1"/>
  <c r="E227" i="6"/>
  <c r="G227" i="6" s="1"/>
  <c r="I227" i="6" s="1"/>
  <c r="E235" i="6"/>
  <c r="G235" i="6" s="1"/>
  <c r="I235" i="6" s="1"/>
  <c r="E266" i="6"/>
  <c r="G266" i="6" s="1"/>
  <c r="I266" i="6" s="1"/>
  <c r="E304" i="6"/>
  <c r="G304" i="6" s="1"/>
  <c r="I304" i="6" s="1"/>
  <c r="E342" i="6"/>
  <c r="G342" i="6" s="1"/>
  <c r="I342" i="6" s="1"/>
  <c r="D345" i="6"/>
  <c r="F345" i="6" s="1"/>
  <c r="H345" i="6" s="1"/>
  <c r="E359" i="6"/>
  <c r="G359" i="6" s="1"/>
  <c r="I359" i="6" s="1"/>
  <c r="E418" i="6"/>
  <c r="G418" i="6" s="1"/>
  <c r="I418" i="6" s="1"/>
  <c r="E420" i="6"/>
  <c r="G420" i="6" s="1"/>
  <c r="I420" i="6" s="1"/>
  <c r="E464" i="6"/>
  <c r="G464" i="6" s="1"/>
  <c r="I464" i="6" s="1"/>
  <c r="E475" i="6"/>
  <c r="G475" i="6" s="1"/>
  <c r="I475" i="6" s="1"/>
  <c r="D489" i="6"/>
  <c r="F489" i="6" s="1"/>
  <c r="H489" i="6" s="1"/>
  <c r="E493" i="6"/>
  <c r="G493" i="6" s="1"/>
  <c r="I493" i="6" s="1"/>
  <c r="D135" i="6"/>
  <c r="F135" i="6" s="1"/>
  <c r="H135" i="6" s="1"/>
  <c r="E135" i="6"/>
  <c r="G135" i="6" s="1"/>
  <c r="I135" i="6" s="1"/>
  <c r="E239" i="6"/>
  <c r="G239" i="6" s="1"/>
  <c r="I239" i="6" s="1"/>
  <c r="D239" i="6"/>
  <c r="F239" i="6" s="1"/>
  <c r="H239" i="6" s="1"/>
  <c r="E297" i="6"/>
  <c r="G297" i="6" s="1"/>
  <c r="I297" i="6" s="1"/>
  <c r="D297" i="6"/>
  <c r="F297" i="6" s="1"/>
  <c r="H297" i="6" s="1"/>
  <c r="E310" i="6"/>
  <c r="G310" i="6" s="1"/>
  <c r="I310" i="6" s="1"/>
  <c r="D310" i="6"/>
  <c r="F310" i="6" s="1"/>
  <c r="H310" i="6" s="1"/>
  <c r="E369" i="6"/>
  <c r="G369" i="6" s="1"/>
  <c r="I369" i="6" s="1"/>
  <c r="D369" i="6"/>
  <c r="F369" i="6" s="1"/>
  <c r="H369" i="6" s="1"/>
  <c r="E405" i="6"/>
  <c r="G405" i="6" s="1"/>
  <c r="I405" i="6" s="1"/>
  <c r="D405" i="6"/>
  <c r="F405" i="6" s="1"/>
  <c r="H405" i="6" s="1"/>
  <c r="E28" i="6"/>
  <c r="G28" i="6" s="1"/>
  <c r="I28" i="6" s="1"/>
  <c r="E52" i="6"/>
  <c r="G52" i="6" s="1"/>
  <c r="I52" i="6" s="1"/>
  <c r="E68" i="6"/>
  <c r="G68" i="6" s="1"/>
  <c r="I68" i="6" s="1"/>
  <c r="E76" i="6"/>
  <c r="G76" i="6" s="1"/>
  <c r="I76" i="6" s="1"/>
  <c r="E84" i="6"/>
  <c r="G84" i="6" s="1"/>
  <c r="I84" i="6" s="1"/>
  <c r="E100" i="6"/>
  <c r="G100" i="6" s="1"/>
  <c r="I100" i="6" s="1"/>
  <c r="E105" i="6"/>
  <c r="G105" i="6" s="1"/>
  <c r="I105" i="6" s="1"/>
  <c r="D157" i="6"/>
  <c r="F157" i="6" s="1"/>
  <c r="H157" i="6" s="1"/>
  <c r="E157" i="6"/>
  <c r="G157" i="6" s="1"/>
  <c r="I157" i="6" s="1"/>
  <c r="D270" i="6"/>
  <c r="F270" i="6" s="1"/>
  <c r="H270" i="6" s="1"/>
  <c r="E270" i="6"/>
  <c r="G270" i="6" s="1"/>
  <c r="I270" i="6" s="1"/>
  <c r="E288" i="6"/>
  <c r="G288" i="6" s="1"/>
  <c r="I288" i="6" s="1"/>
  <c r="E394" i="6"/>
  <c r="G394" i="6" s="1"/>
  <c r="I394" i="6" s="1"/>
  <c r="D394" i="6"/>
  <c r="F394" i="6" s="1"/>
  <c r="H394" i="6" s="1"/>
  <c r="D413" i="6"/>
  <c r="F413" i="6" s="1"/>
  <c r="H413" i="6" s="1"/>
  <c r="E413" i="6"/>
  <c r="G413" i="6" s="1"/>
  <c r="I413" i="6" s="1"/>
  <c r="E429" i="6"/>
  <c r="G429" i="6" s="1"/>
  <c r="I429" i="6" s="1"/>
  <c r="E441" i="6"/>
  <c r="G441" i="6" s="1"/>
  <c r="I441" i="6" s="1"/>
  <c r="D441" i="6"/>
  <c r="F441" i="6" s="1"/>
  <c r="H441" i="6" s="1"/>
  <c r="E452" i="6"/>
  <c r="G452" i="6" s="1"/>
  <c r="I452" i="6" s="1"/>
  <c r="D452" i="6"/>
  <c r="F452" i="6" s="1"/>
  <c r="H452" i="6" s="1"/>
  <c r="E473" i="6"/>
  <c r="G473" i="6" s="1"/>
  <c r="I473" i="6" s="1"/>
  <c r="D473" i="6"/>
  <c r="F473" i="6" s="1"/>
  <c r="H473" i="6" s="1"/>
  <c r="E318" i="6"/>
  <c r="G318" i="6" s="1"/>
  <c r="I318" i="6" s="1"/>
  <c r="D318" i="6"/>
  <c r="F318" i="6" s="1"/>
  <c r="H318" i="6" s="1"/>
  <c r="E41" i="6"/>
  <c r="G41" i="6" s="1"/>
  <c r="I41" i="6" s="1"/>
  <c r="E49" i="6"/>
  <c r="G49" i="6" s="1"/>
  <c r="I49" i="6" s="1"/>
  <c r="E81" i="6"/>
  <c r="G81" i="6" s="1"/>
  <c r="I81" i="6" s="1"/>
  <c r="E111" i="6"/>
  <c r="G111" i="6" s="1"/>
  <c r="I111" i="6" s="1"/>
  <c r="E124" i="6"/>
  <c r="G124" i="6" s="1"/>
  <c r="I124" i="6" s="1"/>
  <c r="E127" i="6"/>
  <c r="G127" i="6" s="1"/>
  <c r="I127" i="6" s="1"/>
  <c r="E131" i="6"/>
  <c r="G131" i="6" s="1"/>
  <c r="I131" i="6" s="1"/>
  <c r="D131" i="6"/>
  <c r="F131" i="6" s="1"/>
  <c r="H131" i="6" s="1"/>
  <c r="E148" i="6"/>
  <c r="G148" i="6" s="1"/>
  <c r="I148" i="6" s="1"/>
  <c r="D148" i="6"/>
  <c r="F148" i="6" s="1"/>
  <c r="H148" i="6" s="1"/>
  <c r="E179" i="6"/>
  <c r="G179" i="6" s="1"/>
  <c r="I179" i="6" s="1"/>
  <c r="D197" i="6"/>
  <c r="F197" i="6" s="1"/>
  <c r="H197" i="6" s="1"/>
  <c r="E197" i="6"/>
  <c r="G197" i="6" s="1"/>
  <c r="I197" i="6" s="1"/>
  <c r="D205" i="6"/>
  <c r="F205" i="6" s="1"/>
  <c r="H205" i="6" s="1"/>
  <c r="E205" i="6"/>
  <c r="G205" i="6" s="1"/>
  <c r="I205" i="6" s="1"/>
  <c r="D213" i="6"/>
  <c r="F213" i="6" s="1"/>
  <c r="H213" i="6" s="1"/>
  <c r="E213" i="6"/>
  <c r="G213" i="6" s="1"/>
  <c r="I213" i="6" s="1"/>
  <c r="D221" i="6"/>
  <c r="F221" i="6" s="1"/>
  <c r="H221" i="6" s="1"/>
  <c r="E221" i="6"/>
  <c r="G221" i="6" s="1"/>
  <c r="I221" i="6" s="1"/>
  <c r="D229" i="6"/>
  <c r="F229" i="6" s="1"/>
  <c r="H229" i="6" s="1"/>
  <c r="E229" i="6"/>
  <c r="G229" i="6" s="1"/>
  <c r="I229" i="6" s="1"/>
  <c r="E267" i="6"/>
  <c r="G267" i="6" s="1"/>
  <c r="I267" i="6" s="1"/>
  <c r="D267" i="6"/>
  <c r="F267" i="6" s="1"/>
  <c r="H267" i="6" s="1"/>
  <c r="D302" i="6"/>
  <c r="F302" i="6" s="1"/>
  <c r="H302" i="6" s="1"/>
  <c r="E302" i="6"/>
  <c r="G302" i="6" s="1"/>
  <c r="I302" i="6" s="1"/>
  <c r="E339" i="6"/>
  <c r="G339" i="6" s="1"/>
  <c r="I339" i="6" s="1"/>
  <c r="D339" i="6"/>
  <c r="F339" i="6" s="1"/>
  <c r="H339" i="6" s="1"/>
  <c r="E360" i="6"/>
  <c r="G360" i="6" s="1"/>
  <c r="I360" i="6" s="1"/>
  <c r="D360" i="6"/>
  <c r="F360" i="6" s="1"/>
  <c r="H360" i="6" s="1"/>
  <c r="E395" i="6"/>
  <c r="G395" i="6" s="1"/>
  <c r="I395" i="6" s="1"/>
  <c r="D395" i="6"/>
  <c r="F395" i="6" s="1"/>
  <c r="H395" i="6" s="1"/>
  <c r="E434" i="6"/>
  <c r="G434" i="6" s="1"/>
  <c r="I434" i="6" s="1"/>
  <c r="D434" i="6"/>
  <c r="F434" i="6" s="1"/>
  <c r="H434" i="6" s="1"/>
  <c r="E449" i="6"/>
  <c r="G449" i="6" s="1"/>
  <c r="I449" i="6" s="1"/>
  <c r="D449" i="6"/>
  <c r="F449" i="6" s="1"/>
  <c r="H449" i="6" s="1"/>
  <c r="E460" i="6"/>
  <c r="G460" i="6" s="1"/>
  <c r="I460" i="6" s="1"/>
  <c r="D460" i="6"/>
  <c r="F460" i="6" s="1"/>
  <c r="H460" i="6" s="1"/>
  <c r="D46" i="6"/>
  <c r="F46" i="6" s="1"/>
  <c r="H46" i="6" s="1"/>
  <c r="E33" i="6"/>
  <c r="G33" i="6" s="1"/>
  <c r="I33" i="6" s="1"/>
  <c r="J33" i="6" s="1"/>
  <c r="E61" i="6"/>
  <c r="G61" i="6" s="1"/>
  <c r="I61" i="6" s="1"/>
  <c r="D71" i="6"/>
  <c r="F71" i="6" s="1"/>
  <c r="H71" i="6" s="1"/>
  <c r="D87" i="6"/>
  <c r="F87" i="6" s="1"/>
  <c r="H87" i="6" s="1"/>
  <c r="E93" i="6"/>
  <c r="G93" i="6" s="1"/>
  <c r="I93" i="6" s="1"/>
  <c r="D95" i="6"/>
  <c r="F95" i="6" s="1"/>
  <c r="H95" i="6" s="1"/>
  <c r="D142" i="6"/>
  <c r="F142" i="6" s="1"/>
  <c r="H142" i="6" s="1"/>
  <c r="E155" i="6"/>
  <c r="G155" i="6" s="1"/>
  <c r="I155" i="6" s="1"/>
  <c r="D155" i="6"/>
  <c r="F155" i="6" s="1"/>
  <c r="H155" i="6" s="1"/>
  <c r="E189" i="6"/>
  <c r="G189" i="6" s="1"/>
  <c r="I189" i="6" s="1"/>
  <c r="E299" i="6"/>
  <c r="G299" i="6" s="1"/>
  <c r="I299" i="6" s="1"/>
  <c r="D299" i="6"/>
  <c r="F299" i="6" s="1"/>
  <c r="H299" i="6" s="1"/>
  <c r="E315" i="6"/>
  <c r="G315" i="6" s="1"/>
  <c r="I315" i="6" s="1"/>
  <c r="D315" i="6"/>
  <c r="F315" i="6" s="1"/>
  <c r="H315" i="6" s="1"/>
  <c r="D357" i="6"/>
  <c r="F357" i="6" s="1"/>
  <c r="H357" i="6" s="1"/>
  <c r="E357" i="6"/>
  <c r="G357" i="6" s="1"/>
  <c r="I357" i="6" s="1"/>
  <c r="E371" i="6"/>
  <c r="G371" i="6" s="1"/>
  <c r="I371" i="6" s="1"/>
  <c r="D371" i="6"/>
  <c r="F371" i="6" s="1"/>
  <c r="H371" i="6" s="1"/>
  <c r="E392" i="6"/>
  <c r="G392" i="6" s="1"/>
  <c r="I392" i="6" s="1"/>
  <c r="D392" i="6"/>
  <c r="F392" i="6" s="1"/>
  <c r="H392" i="6" s="1"/>
  <c r="D427" i="6"/>
  <c r="F427" i="6" s="1"/>
  <c r="H427" i="6" s="1"/>
  <c r="E427" i="6"/>
  <c r="G427" i="6" s="1"/>
  <c r="I427" i="6" s="1"/>
  <c r="E481" i="6"/>
  <c r="G481" i="6" s="1"/>
  <c r="I481" i="6" s="1"/>
  <c r="D481" i="6"/>
  <c r="F481" i="6" s="1"/>
  <c r="H481" i="6" s="1"/>
  <c r="E496" i="6"/>
  <c r="G496" i="6" s="1"/>
  <c r="I496" i="6" s="1"/>
  <c r="D496" i="6"/>
  <c r="F496" i="6" s="1"/>
  <c r="H496" i="6" s="1"/>
  <c r="E520" i="6"/>
  <c r="G520" i="6" s="1"/>
  <c r="I520" i="6" s="1"/>
  <c r="D133" i="6"/>
  <c r="F133" i="6" s="1"/>
  <c r="H133" i="6" s="1"/>
  <c r="E133" i="6"/>
  <c r="G133" i="6" s="1"/>
  <c r="I133" i="6" s="1"/>
  <c r="E484" i="6"/>
  <c r="G484" i="6" s="1"/>
  <c r="I484" i="6" s="1"/>
  <c r="D484" i="6"/>
  <c r="F484" i="6" s="1"/>
  <c r="H484" i="6" s="1"/>
  <c r="E498" i="6"/>
  <c r="G498" i="6" s="1"/>
  <c r="I498" i="6" s="1"/>
  <c r="D498" i="6"/>
  <c r="F498" i="6" s="1"/>
  <c r="H498" i="6" s="1"/>
  <c r="D55" i="6"/>
  <c r="F55" i="6" s="1"/>
  <c r="H55" i="6" s="1"/>
  <c r="D63" i="6"/>
  <c r="F63" i="6" s="1"/>
  <c r="H63" i="6" s="1"/>
  <c r="E26" i="6"/>
  <c r="G26" i="6" s="1"/>
  <c r="I26" i="6" s="1"/>
  <c r="J26" i="6" s="1"/>
  <c r="E29" i="6"/>
  <c r="G29" i="6" s="1"/>
  <c r="I29" i="6" s="1"/>
  <c r="D31" i="6"/>
  <c r="F31" i="6" s="1"/>
  <c r="H31" i="6" s="1"/>
  <c r="D39" i="6"/>
  <c r="F39" i="6" s="1"/>
  <c r="H39" i="6" s="1"/>
  <c r="D47" i="6"/>
  <c r="F47" i="6" s="1"/>
  <c r="H47" i="6" s="1"/>
  <c r="E53" i="6"/>
  <c r="G53" i="6" s="1"/>
  <c r="I53" i="6" s="1"/>
  <c r="E69" i="6"/>
  <c r="G69" i="6" s="1"/>
  <c r="I69" i="6" s="1"/>
  <c r="J69" i="6" s="1"/>
  <c r="E77" i="6"/>
  <c r="G77" i="6" s="1"/>
  <c r="I77" i="6" s="1"/>
  <c r="D79" i="6"/>
  <c r="F79" i="6" s="1"/>
  <c r="H79" i="6" s="1"/>
  <c r="E190" i="6"/>
  <c r="G190" i="6" s="1"/>
  <c r="I190" i="6" s="1"/>
  <c r="D190" i="6"/>
  <c r="F190" i="6" s="1"/>
  <c r="H190" i="6" s="1"/>
  <c r="D194" i="6"/>
  <c r="F194" i="6" s="1"/>
  <c r="H194" i="6" s="1"/>
  <c r="E194" i="6"/>
  <c r="G194" i="6" s="1"/>
  <c r="I194" i="6" s="1"/>
  <c r="D202" i="6"/>
  <c r="F202" i="6" s="1"/>
  <c r="H202" i="6" s="1"/>
  <c r="E202" i="6"/>
  <c r="G202" i="6" s="1"/>
  <c r="I202" i="6" s="1"/>
  <c r="E206" i="6"/>
  <c r="G206" i="6" s="1"/>
  <c r="I206" i="6" s="1"/>
  <c r="D206" i="6"/>
  <c r="F206" i="6" s="1"/>
  <c r="H206" i="6" s="1"/>
  <c r="D210" i="6"/>
  <c r="F210" i="6" s="1"/>
  <c r="H210" i="6" s="1"/>
  <c r="E210" i="6"/>
  <c r="G210" i="6" s="1"/>
  <c r="I210" i="6" s="1"/>
  <c r="D218" i="6"/>
  <c r="F218" i="6" s="1"/>
  <c r="H218" i="6" s="1"/>
  <c r="E218" i="6"/>
  <c r="G218" i="6" s="1"/>
  <c r="I218" i="6" s="1"/>
  <c r="E222" i="6"/>
  <c r="G222" i="6" s="1"/>
  <c r="I222" i="6" s="1"/>
  <c r="D222" i="6"/>
  <c r="F222" i="6" s="1"/>
  <c r="H222" i="6" s="1"/>
  <c r="D226" i="6"/>
  <c r="F226" i="6" s="1"/>
  <c r="H226" i="6" s="1"/>
  <c r="E226" i="6"/>
  <c r="G226" i="6" s="1"/>
  <c r="I226" i="6" s="1"/>
  <c r="D351" i="6"/>
  <c r="F351" i="6" s="1"/>
  <c r="H351" i="6" s="1"/>
  <c r="E351" i="6"/>
  <c r="G351" i="6" s="1"/>
  <c r="I351" i="6" s="1"/>
  <c r="E381" i="6"/>
  <c r="G381" i="6" s="1"/>
  <c r="I381" i="6" s="1"/>
  <c r="D435" i="6"/>
  <c r="F435" i="6" s="1"/>
  <c r="H435" i="6" s="1"/>
  <c r="E435" i="6"/>
  <c r="G435" i="6" s="1"/>
  <c r="I435" i="6" s="1"/>
  <c r="E457" i="6"/>
  <c r="G457" i="6" s="1"/>
  <c r="I457" i="6" s="1"/>
  <c r="D457" i="6"/>
  <c r="F457" i="6" s="1"/>
  <c r="H457" i="6" s="1"/>
  <c r="E468" i="6"/>
  <c r="G468" i="6" s="1"/>
  <c r="I468" i="6" s="1"/>
  <c r="D468" i="6"/>
  <c r="F468" i="6" s="1"/>
  <c r="H468" i="6" s="1"/>
  <c r="E506" i="6"/>
  <c r="G506" i="6" s="1"/>
  <c r="I506" i="6" s="1"/>
  <c r="D506" i="6"/>
  <c r="F506" i="6" s="1"/>
  <c r="H506" i="6" s="1"/>
  <c r="E150" i="6"/>
  <c r="G150" i="6" s="1"/>
  <c r="I150" i="6" s="1"/>
  <c r="D150" i="6"/>
  <c r="F150" i="6" s="1"/>
  <c r="H150" i="6" s="1"/>
  <c r="E182" i="6"/>
  <c r="G182" i="6" s="1"/>
  <c r="I182" i="6" s="1"/>
  <c r="D182" i="6"/>
  <c r="F182" i="6" s="1"/>
  <c r="H182" i="6" s="1"/>
  <c r="E259" i="6"/>
  <c r="G259" i="6" s="1"/>
  <c r="I259" i="6" s="1"/>
  <c r="D259" i="6"/>
  <c r="F259" i="6" s="1"/>
  <c r="H259" i="6" s="1"/>
  <c r="E370" i="6"/>
  <c r="G370" i="6" s="1"/>
  <c r="I370" i="6" s="1"/>
  <c r="D370" i="6"/>
  <c r="F370" i="6" s="1"/>
  <c r="H370" i="6" s="1"/>
  <c r="E91" i="6"/>
  <c r="G91" i="6" s="1"/>
  <c r="I91" i="6" s="1"/>
  <c r="D140" i="6"/>
  <c r="F140" i="6" s="1"/>
  <c r="H140" i="6" s="1"/>
  <c r="E146" i="6"/>
  <c r="G146" i="6" s="1"/>
  <c r="I146" i="6" s="1"/>
  <c r="D146" i="6"/>
  <c r="F146" i="6" s="1"/>
  <c r="H146" i="6" s="1"/>
  <c r="D183" i="6"/>
  <c r="F183" i="6" s="1"/>
  <c r="H183" i="6" s="1"/>
  <c r="E187" i="6"/>
  <c r="G187" i="6" s="1"/>
  <c r="I187" i="6" s="1"/>
  <c r="D404" i="6"/>
  <c r="F404" i="6" s="1"/>
  <c r="H404" i="6" s="1"/>
  <c r="E404" i="6"/>
  <c r="G404" i="6" s="1"/>
  <c r="I404" i="6" s="1"/>
  <c r="D38" i="6"/>
  <c r="F38" i="6" s="1"/>
  <c r="H38" i="6" s="1"/>
  <c r="E321" i="6"/>
  <c r="G321" i="6" s="1"/>
  <c r="I321" i="6" s="1"/>
  <c r="D321" i="6"/>
  <c r="F321" i="6" s="1"/>
  <c r="H321" i="6" s="1"/>
  <c r="E512" i="6"/>
  <c r="G512" i="6" s="1"/>
  <c r="I512" i="6" s="1"/>
  <c r="D512" i="6"/>
  <c r="F512" i="6" s="1"/>
  <c r="H512" i="6" s="1"/>
  <c r="E27" i="6"/>
  <c r="G27" i="6" s="1"/>
  <c r="I27" i="6" s="1"/>
  <c r="E30" i="6"/>
  <c r="G30" i="6" s="1"/>
  <c r="I30" i="6" s="1"/>
  <c r="J30" i="6" s="1"/>
  <c r="E32" i="6"/>
  <c r="G32" i="6" s="1"/>
  <c r="I32" i="6" s="1"/>
  <c r="E35" i="6"/>
  <c r="G35" i="6" s="1"/>
  <c r="I35" i="6" s="1"/>
  <c r="E40" i="6"/>
  <c r="G40" i="6" s="1"/>
  <c r="I40" i="6" s="1"/>
  <c r="E43" i="6"/>
  <c r="G43" i="6" s="1"/>
  <c r="I43" i="6" s="1"/>
  <c r="E48" i="6"/>
  <c r="G48" i="6" s="1"/>
  <c r="I48" i="6" s="1"/>
  <c r="E51" i="6"/>
  <c r="G51" i="6" s="1"/>
  <c r="I51" i="6" s="1"/>
  <c r="E54" i="6"/>
  <c r="G54" i="6" s="1"/>
  <c r="I54" i="6" s="1"/>
  <c r="E70" i="6"/>
  <c r="G70" i="6" s="1"/>
  <c r="I70" i="6" s="1"/>
  <c r="E78" i="6"/>
  <c r="G78" i="6" s="1"/>
  <c r="I78" i="6" s="1"/>
  <c r="J78" i="6" s="1"/>
  <c r="E80" i="6"/>
  <c r="G80" i="6" s="1"/>
  <c r="I80" i="6" s="1"/>
  <c r="E83" i="6"/>
  <c r="G83" i="6" s="1"/>
  <c r="I83" i="6" s="1"/>
  <c r="E86" i="6"/>
  <c r="G86" i="6" s="1"/>
  <c r="I86" i="6" s="1"/>
  <c r="D110" i="6"/>
  <c r="F110" i="6" s="1"/>
  <c r="H110" i="6" s="1"/>
  <c r="E116" i="6"/>
  <c r="G116" i="6" s="1"/>
  <c r="I116" i="6" s="1"/>
  <c r="J116" i="6" s="1"/>
  <c r="E122" i="6"/>
  <c r="G122" i="6" s="1"/>
  <c r="I122" i="6" s="1"/>
  <c r="J122" i="6" s="1"/>
  <c r="E134" i="6"/>
  <c r="G134" i="6" s="1"/>
  <c r="I134" i="6" s="1"/>
  <c r="D165" i="6"/>
  <c r="F165" i="6" s="1"/>
  <c r="H165" i="6" s="1"/>
  <c r="E165" i="6"/>
  <c r="G165" i="6" s="1"/>
  <c r="I165" i="6" s="1"/>
  <c r="E290" i="6"/>
  <c r="G290" i="6" s="1"/>
  <c r="I290" i="6" s="1"/>
  <c r="E313" i="6"/>
  <c r="G313" i="6" s="1"/>
  <c r="I313" i="6" s="1"/>
  <c r="D313" i="6"/>
  <c r="F313" i="6" s="1"/>
  <c r="H313" i="6" s="1"/>
  <c r="E337" i="6"/>
  <c r="G337" i="6" s="1"/>
  <c r="I337" i="6" s="1"/>
  <c r="D337" i="6"/>
  <c r="F337" i="6" s="1"/>
  <c r="H337" i="6" s="1"/>
  <c r="D412" i="6"/>
  <c r="F412" i="6" s="1"/>
  <c r="H412" i="6" s="1"/>
  <c r="E412" i="6"/>
  <c r="G412" i="6" s="1"/>
  <c r="I412" i="6" s="1"/>
  <c r="E421" i="6"/>
  <c r="G421" i="6" s="1"/>
  <c r="I421" i="6" s="1"/>
  <c r="D421" i="6"/>
  <c r="F421" i="6" s="1"/>
  <c r="H421" i="6" s="1"/>
  <c r="E444" i="6"/>
  <c r="G444" i="6" s="1"/>
  <c r="I444" i="6" s="1"/>
  <c r="D444" i="6"/>
  <c r="F444" i="6" s="1"/>
  <c r="H444" i="6" s="1"/>
  <c r="E465" i="6"/>
  <c r="G465" i="6" s="1"/>
  <c r="I465" i="6" s="1"/>
  <c r="D465" i="6"/>
  <c r="F465" i="6" s="1"/>
  <c r="H465" i="6" s="1"/>
  <c r="E504" i="6"/>
  <c r="G504" i="6" s="1"/>
  <c r="I504" i="6" s="1"/>
  <c r="D504" i="6"/>
  <c r="F504" i="6" s="1"/>
  <c r="H504" i="6" s="1"/>
  <c r="E514" i="6"/>
  <c r="G514" i="6" s="1"/>
  <c r="I514" i="6" s="1"/>
  <c r="D514" i="6"/>
  <c r="F514" i="6" s="1"/>
  <c r="H514" i="6" s="1"/>
  <c r="E517" i="6"/>
  <c r="G517" i="6" s="1"/>
  <c r="I517" i="6" s="1"/>
  <c r="E96" i="6"/>
  <c r="G96" i="6" s="1"/>
  <c r="I96" i="6" s="1"/>
  <c r="J96" i="6" s="1"/>
  <c r="E99" i="6"/>
  <c r="G99" i="6" s="1"/>
  <c r="I99" i="6" s="1"/>
  <c r="E104" i="6"/>
  <c r="G104" i="6" s="1"/>
  <c r="I104" i="6" s="1"/>
  <c r="E107" i="6"/>
  <c r="G107" i="6" s="1"/>
  <c r="I107" i="6" s="1"/>
  <c r="E112" i="6"/>
  <c r="G112" i="6" s="1"/>
  <c r="I112" i="6" s="1"/>
  <c r="E115" i="6"/>
  <c r="G115" i="6" s="1"/>
  <c r="I115" i="6" s="1"/>
  <c r="E123" i="6"/>
  <c r="G123" i="6" s="1"/>
  <c r="I123" i="6" s="1"/>
  <c r="E130" i="6"/>
  <c r="G130" i="6" s="1"/>
  <c r="I130" i="6" s="1"/>
  <c r="E145" i="6"/>
  <c r="G145" i="6" s="1"/>
  <c r="I145" i="6" s="1"/>
  <c r="E166" i="6"/>
  <c r="G166" i="6" s="1"/>
  <c r="I166" i="6" s="1"/>
  <c r="E175" i="6"/>
  <c r="G175" i="6" s="1"/>
  <c r="I175" i="6" s="1"/>
  <c r="E186" i="6"/>
  <c r="G186" i="6" s="1"/>
  <c r="I186" i="6" s="1"/>
  <c r="E234" i="6"/>
  <c r="G234" i="6" s="1"/>
  <c r="I234" i="6" s="1"/>
  <c r="E247" i="6"/>
  <c r="G247" i="6" s="1"/>
  <c r="I247" i="6" s="1"/>
  <c r="E255" i="6"/>
  <c r="G255" i="6" s="1"/>
  <c r="I255" i="6" s="1"/>
  <c r="E260" i="6"/>
  <c r="G260" i="6" s="1"/>
  <c r="I260" i="6" s="1"/>
  <c r="E280" i="6"/>
  <c r="G280" i="6" s="1"/>
  <c r="I280" i="6" s="1"/>
  <c r="E298" i="6"/>
  <c r="G298" i="6" s="1"/>
  <c r="I298" i="6" s="1"/>
  <c r="E322" i="6"/>
  <c r="G322" i="6" s="1"/>
  <c r="I322" i="6" s="1"/>
  <c r="E338" i="6"/>
  <c r="G338" i="6" s="1"/>
  <c r="I338" i="6" s="1"/>
  <c r="E350" i="6"/>
  <c r="G350" i="6" s="1"/>
  <c r="I350" i="6" s="1"/>
  <c r="E367" i="6"/>
  <c r="G367" i="6" s="1"/>
  <c r="I367" i="6" s="1"/>
  <c r="E373" i="6"/>
  <c r="G373" i="6" s="1"/>
  <c r="I373" i="6" s="1"/>
  <c r="E398" i="6"/>
  <c r="G398" i="6" s="1"/>
  <c r="I398" i="6" s="1"/>
  <c r="E401" i="6"/>
  <c r="G401" i="6" s="1"/>
  <c r="I401" i="6" s="1"/>
  <c r="E437" i="6"/>
  <c r="G437" i="6" s="1"/>
  <c r="I437" i="6" s="1"/>
  <c r="E445" i="6"/>
  <c r="G445" i="6" s="1"/>
  <c r="I445" i="6" s="1"/>
  <c r="E453" i="6"/>
  <c r="G453" i="6" s="1"/>
  <c r="I453" i="6" s="1"/>
  <c r="E461" i="6"/>
  <c r="G461" i="6" s="1"/>
  <c r="I461" i="6" s="1"/>
  <c r="E469" i="6"/>
  <c r="G469" i="6" s="1"/>
  <c r="I469" i="6" s="1"/>
  <c r="E477" i="6"/>
  <c r="G477" i="6" s="1"/>
  <c r="I477" i="6" s="1"/>
  <c r="E488" i="6"/>
  <c r="G488" i="6" s="1"/>
  <c r="I488" i="6" s="1"/>
  <c r="E500" i="6"/>
  <c r="G500" i="6" s="1"/>
  <c r="I500" i="6" s="1"/>
  <c r="E503" i="6"/>
  <c r="G503" i="6" s="1"/>
  <c r="I503" i="6" s="1"/>
  <c r="E508" i="6"/>
  <c r="G508" i="6" s="1"/>
  <c r="I508" i="6" s="1"/>
  <c r="E511" i="6"/>
  <c r="G511" i="6" s="1"/>
  <c r="I511" i="6" s="1"/>
  <c r="E521" i="6"/>
  <c r="G521" i="6" s="1"/>
  <c r="I521" i="6" s="1"/>
  <c r="E241" i="6"/>
  <c r="G241" i="6" s="1"/>
  <c r="I241" i="6" s="1"/>
  <c r="E326" i="6"/>
  <c r="G326" i="6" s="1"/>
  <c r="I326" i="6" s="1"/>
  <c r="E331" i="6"/>
  <c r="G331" i="6" s="1"/>
  <c r="I331" i="6" s="1"/>
  <c r="E362" i="6"/>
  <c r="G362" i="6" s="1"/>
  <c r="I362" i="6" s="1"/>
  <c r="E368" i="6"/>
  <c r="G368" i="6" s="1"/>
  <c r="I368" i="6" s="1"/>
  <c r="E376" i="6"/>
  <c r="G376" i="6" s="1"/>
  <c r="I376" i="6" s="1"/>
  <c r="E423" i="6"/>
  <c r="G423" i="6" s="1"/>
  <c r="I423" i="6" s="1"/>
  <c r="E495" i="6"/>
  <c r="G495" i="6" s="1"/>
  <c r="I495" i="6" s="1"/>
  <c r="E522" i="6"/>
  <c r="G522" i="6" s="1"/>
  <c r="I522" i="6" s="1"/>
  <c r="E163" i="6"/>
  <c r="G163" i="6" s="1"/>
  <c r="I163" i="6" s="1"/>
  <c r="E171" i="6"/>
  <c r="G171" i="6" s="1"/>
  <c r="I171" i="6" s="1"/>
  <c r="E242" i="6"/>
  <c r="G242" i="6" s="1"/>
  <c r="I242" i="6" s="1"/>
  <c r="E248" i="6"/>
  <c r="G248" i="6" s="1"/>
  <c r="I248" i="6" s="1"/>
  <c r="E256" i="6"/>
  <c r="G256" i="6" s="1"/>
  <c r="I256" i="6" s="1"/>
  <c r="E279" i="6"/>
  <c r="G279" i="6" s="1"/>
  <c r="I279" i="6" s="1"/>
  <c r="E334" i="6"/>
  <c r="G334" i="6" s="1"/>
  <c r="I334" i="6" s="1"/>
  <c r="E374" i="6"/>
  <c r="G374" i="6" s="1"/>
  <c r="I374" i="6" s="1"/>
  <c r="E382" i="6"/>
  <c r="G382" i="6" s="1"/>
  <c r="I382" i="6" s="1"/>
  <c r="E416" i="6"/>
  <c r="G416" i="6" s="1"/>
  <c r="I416" i="6" s="1"/>
  <c r="E471" i="6"/>
  <c r="G471" i="6" s="1"/>
  <c r="I471" i="6" s="1"/>
  <c r="E476" i="6"/>
  <c r="E479" i="6"/>
  <c r="G479" i="6" s="1"/>
  <c r="I479" i="6" s="1"/>
  <c r="E501" i="6"/>
  <c r="G501" i="6" s="1"/>
  <c r="I501" i="6" s="1"/>
  <c r="E509" i="6"/>
  <c r="G509" i="6" s="1"/>
  <c r="I509" i="6" s="1"/>
  <c r="E136" i="6"/>
  <c r="G136" i="6" s="1"/>
  <c r="I136" i="6" s="1"/>
  <c r="E223" i="6"/>
  <c r="G223" i="6" s="1"/>
  <c r="I223" i="6" s="1"/>
  <c r="E236" i="6"/>
  <c r="G236" i="6" s="1"/>
  <c r="I236" i="6" s="1"/>
  <c r="E366" i="6"/>
  <c r="G366" i="6" s="1"/>
  <c r="I366" i="6" s="1"/>
  <c r="E419" i="6"/>
  <c r="G419" i="6" s="1"/>
  <c r="I419" i="6" s="1"/>
  <c r="E433" i="6"/>
  <c r="G433" i="6" s="1"/>
  <c r="I433" i="6" s="1"/>
  <c r="E198" i="6"/>
  <c r="G198" i="6" s="1"/>
  <c r="I198" i="6" s="1"/>
  <c r="E214" i="6"/>
  <c r="G214" i="6" s="1"/>
  <c r="I214" i="6" s="1"/>
  <c r="E230" i="6"/>
  <c r="G230" i="6" s="1"/>
  <c r="I230" i="6" s="1"/>
  <c r="E233" i="6"/>
  <c r="G233" i="6" s="1"/>
  <c r="I233" i="6" s="1"/>
  <c r="E249" i="6"/>
  <c r="G249" i="6" s="1"/>
  <c r="I249" i="6" s="1"/>
  <c r="E263" i="6"/>
  <c r="G263" i="6" s="1"/>
  <c r="I263" i="6" s="1"/>
  <c r="E271" i="6"/>
  <c r="G271" i="6" s="1"/>
  <c r="I271" i="6" s="1"/>
  <c r="E276" i="6"/>
  <c r="G276" i="6" s="1"/>
  <c r="I276" i="6" s="1"/>
  <c r="D279" i="6"/>
  <c r="F279" i="6" s="1"/>
  <c r="H279" i="6" s="1"/>
  <c r="E319" i="6"/>
  <c r="G319" i="6" s="1"/>
  <c r="I319" i="6" s="1"/>
  <c r="E332" i="6"/>
  <c r="G332" i="6" s="1"/>
  <c r="I332" i="6" s="1"/>
  <c r="E343" i="6"/>
  <c r="G343" i="6" s="1"/>
  <c r="I343" i="6" s="1"/>
  <c r="E349" i="6"/>
  <c r="G349" i="6" s="1"/>
  <c r="I349" i="6" s="1"/>
  <c r="E358" i="6"/>
  <c r="G358" i="6" s="1"/>
  <c r="I358" i="6" s="1"/>
  <c r="D363" i="6"/>
  <c r="F363" i="6" s="1"/>
  <c r="H363" i="6" s="1"/>
  <c r="E375" i="6"/>
  <c r="G375" i="6" s="1"/>
  <c r="I375" i="6" s="1"/>
  <c r="E380" i="6"/>
  <c r="G380" i="6" s="1"/>
  <c r="I380" i="6" s="1"/>
  <c r="D397" i="6"/>
  <c r="F397" i="6" s="1"/>
  <c r="H397" i="6" s="1"/>
  <c r="E450" i="6"/>
  <c r="G450" i="6" s="1"/>
  <c r="I450" i="6" s="1"/>
  <c r="E458" i="6"/>
  <c r="G458" i="6" s="1"/>
  <c r="I458" i="6" s="1"/>
  <c r="E466" i="6"/>
  <c r="G466" i="6" s="1"/>
  <c r="I466" i="6" s="1"/>
  <c r="E474" i="6"/>
  <c r="G474" i="6" s="1"/>
  <c r="I474" i="6" s="1"/>
  <c r="D476" i="6"/>
  <c r="F476" i="6" s="1"/>
  <c r="H476" i="6" s="1"/>
  <c r="E482" i="6"/>
  <c r="G482" i="6" s="1"/>
  <c r="I482" i="6" s="1"/>
  <c r="E515" i="6"/>
  <c r="G515" i="6" s="1"/>
  <c r="I515" i="6" s="1"/>
  <c r="D490" i="6"/>
  <c r="F490" i="6" s="1"/>
  <c r="H490" i="6" s="1"/>
  <c r="E507" i="6"/>
  <c r="G507" i="6" s="1"/>
  <c r="I507" i="6" s="1"/>
  <c r="F29" i="6"/>
  <c r="H29" i="6" s="1"/>
  <c r="F54" i="6"/>
  <c r="H54" i="6" s="1"/>
  <c r="F57" i="6"/>
  <c r="H57" i="6" s="1"/>
  <c r="E74" i="6"/>
  <c r="G74" i="6" s="1"/>
  <c r="I74" i="6" s="1"/>
  <c r="D74" i="6"/>
  <c r="F74" i="6" s="1"/>
  <c r="H74" i="6" s="1"/>
  <c r="F80" i="6"/>
  <c r="H80" i="6" s="1"/>
  <c r="F83" i="6"/>
  <c r="H83" i="6" s="1"/>
  <c r="F93" i="6"/>
  <c r="H93" i="6" s="1"/>
  <c r="F111" i="6"/>
  <c r="H111" i="6" s="1"/>
  <c r="F118" i="6"/>
  <c r="H118" i="6" s="1"/>
  <c r="F120" i="6"/>
  <c r="H120" i="6" s="1"/>
  <c r="F134" i="6"/>
  <c r="H134" i="6" s="1"/>
  <c r="F158" i="6"/>
  <c r="H158" i="6" s="1"/>
  <c r="E34" i="6"/>
  <c r="G34" i="6" s="1"/>
  <c r="I34" i="6" s="1"/>
  <c r="D34" i="6"/>
  <c r="F34" i="6" s="1"/>
  <c r="H34" i="6" s="1"/>
  <c r="F40" i="6"/>
  <c r="H40" i="6" s="1"/>
  <c r="F43" i="6"/>
  <c r="H43" i="6" s="1"/>
  <c r="F53" i="6"/>
  <c r="H53" i="6" s="1"/>
  <c r="F81" i="6"/>
  <c r="H81" i="6" s="1"/>
  <c r="E98" i="6"/>
  <c r="G98" i="6" s="1"/>
  <c r="I98" i="6" s="1"/>
  <c r="D98" i="6"/>
  <c r="F98" i="6" s="1"/>
  <c r="H98" i="6" s="1"/>
  <c r="F104" i="6"/>
  <c r="H104" i="6" s="1"/>
  <c r="F107" i="6"/>
  <c r="H107" i="6" s="1"/>
  <c r="F147" i="6"/>
  <c r="H147" i="6" s="1"/>
  <c r="F149" i="6"/>
  <c r="H149" i="6" s="1"/>
  <c r="F181" i="6"/>
  <c r="H181" i="6" s="1"/>
  <c r="F195" i="6"/>
  <c r="H195" i="6" s="1"/>
  <c r="E50" i="6"/>
  <c r="G50" i="6" s="1"/>
  <c r="I50" i="6" s="1"/>
  <c r="D50" i="6"/>
  <c r="F50" i="6" s="1"/>
  <c r="H50" i="6" s="1"/>
  <c r="E114" i="6"/>
  <c r="G114" i="6" s="1"/>
  <c r="I114" i="6" s="1"/>
  <c r="D114" i="6"/>
  <c r="F114" i="6" s="1"/>
  <c r="H114" i="6" s="1"/>
  <c r="F24" i="6"/>
  <c r="H24" i="6" s="1"/>
  <c r="F41" i="6"/>
  <c r="H41" i="6" s="1"/>
  <c r="E58" i="6"/>
  <c r="G58" i="6" s="1"/>
  <c r="I58" i="6" s="1"/>
  <c r="D58" i="6"/>
  <c r="F58" i="6" s="1"/>
  <c r="H58" i="6" s="1"/>
  <c r="F67" i="6"/>
  <c r="H67" i="6" s="1"/>
  <c r="F77" i="6"/>
  <c r="H77" i="6" s="1"/>
  <c r="F105" i="6"/>
  <c r="H105" i="6" s="1"/>
  <c r="F138" i="6"/>
  <c r="H138" i="6" s="1"/>
  <c r="F196" i="6"/>
  <c r="H196" i="6" s="1"/>
  <c r="F228" i="6"/>
  <c r="H228" i="6" s="1"/>
  <c r="F141" i="6"/>
  <c r="H141" i="6" s="1"/>
  <c r="F139" i="6"/>
  <c r="H139" i="6" s="1"/>
  <c r="F163" i="6"/>
  <c r="H163" i="6" s="1"/>
  <c r="F25" i="6"/>
  <c r="H25" i="6" s="1"/>
  <c r="F27" i="6"/>
  <c r="H27" i="6" s="1"/>
  <c r="F37" i="6"/>
  <c r="H37" i="6" s="1"/>
  <c r="F65" i="6"/>
  <c r="H65" i="6" s="1"/>
  <c r="E82" i="6"/>
  <c r="G82" i="6" s="1"/>
  <c r="I82" i="6" s="1"/>
  <c r="D82" i="6"/>
  <c r="F82" i="6" s="1"/>
  <c r="H82" i="6" s="1"/>
  <c r="F91" i="6"/>
  <c r="H91" i="6" s="1"/>
  <c r="F101" i="6"/>
  <c r="H101" i="6" s="1"/>
  <c r="E42" i="6"/>
  <c r="G42" i="6" s="1"/>
  <c r="I42" i="6" s="1"/>
  <c r="D42" i="6"/>
  <c r="F42" i="6" s="1"/>
  <c r="H42" i="6" s="1"/>
  <c r="F48" i="6"/>
  <c r="H48" i="6" s="1"/>
  <c r="F51" i="6"/>
  <c r="H51" i="6" s="1"/>
  <c r="F61" i="6"/>
  <c r="H61" i="6" s="1"/>
  <c r="F86" i="6"/>
  <c r="H86" i="6" s="1"/>
  <c r="F89" i="6"/>
  <c r="H89" i="6" s="1"/>
  <c r="E106" i="6"/>
  <c r="G106" i="6" s="1"/>
  <c r="I106" i="6" s="1"/>
  <c r="D106" i="6"/>
  <c r="F106" i="6" s="1"/>
  <c r="H106" i="6" s="1"/>
  <c r="F112" i="6"/>
  <c r="H112" i="6" s="1"/>
  <c r="F115" i="6"/>
  <c r="H115" i="6" s="1"/>
  <c r="F117" i="6"/>
  <c r="H117" i="6" s="1"/>
  <c r="J117" i="6" s="1"/>
  <c r="F49" i="6"/>
  <c r="H49" i="6" s="1"/>
  <c r="E66" i="6"/>
  <c r="G66" i="6" s="1"/>
  <c r="I66" i="6" s="1"/>
  <c r="D66" i="6"/>
  <c r="F66" i="6" s="1"/>
  <c r="H66" i="6" s="1"/>
  <c r="F75" i="6"/>
  <c r="H75" i="6" s="1"/>
  <c r="F113" i="6"/>
  <c r="H113" i="6" s="1"/>
  <c r="F129" i="6"/>
  <c r="H129" i="6" s="1"/>
  <c r="F32" i="6"/>
  <c r="H32" i="6" s="1"/>
  <c r="F35" i="6"/>
  <c r="H35" i="6" s="1"/>
  <c r="F45" i="6"/>
  <c r="H45" i="6" s="1"/>
  <c r="F70" i="6"/>
  <c r="H70" i="6" s="1"/>
  <c r="F73" i="6"/>
  <c r="H73" i="6" s="1"/>
  <c r="E90" i="6"/>
  <c r="G90" i="6" s="1"/>
  <c r="I90" i="6" s="1"/>
  <c r="D90" i="6"/>
  <c r="F90" i="6" s="1"/>
  <c r="H90" i="6" s="1"/>
  <c r="F99" i="6"/>
  <c r="H99" i="6" s="1"/>
  <c r="F109" i="6"/>
  <c r="H109" i="6" s="1"/>
  <c r="F144" i="6"/>
  <c r="H144" i="6" s="1"/>
  <c r="F204" i="6"/>
  <c r="H204" i="6" s="1"/>
  <c r="E161" i="6"/>
  <c r="G161" i="6" s="1"/>
  <c r="I161" i="6" s="1"/>
  <c r="D161" i="6"/>
  <c r="F161" i="6" s="1"/>
  <c r="H161" i="6" s="1"/>
  <c r="F175" i="6"/>
  <c r="H175" i="6" s="1"/>
  <c r="E120" i="6"/>
  <c r="G120" i="6" s="1"/>
  <c r="I120" i="6" s="1"/>
  <c r="F154" i="6"/>
  <c r="H154" i="6" s="1"/>
  <c r="F203" i="6"/>
  <c r="H203" i="6" s="1"/>
  <c r="F209" i="6"/>
  <c r="H209" i="6" s="1"/>
  <c r="E232" i="6"/>
  <c r="G232" i="6" s="1"/>
  <c r="I232" i="6" s="1"/>
  <c r="D232" i="6"/>
  <c r="F232" i="6" s="1"/>
  <c r="H232" i="6" s="1"/>
  <c r="E237" i="6"/>
  <c r="G237" i="6" s="1"/>
  <c r="I237" i="6" s="1"/>
  <c r="D237" i="6"/>
  <c r="F237" i="6" s="1"/>
  <c r="H237" i="6" s="1"/>
  <c r="F243" i="6"/>
  <c r="H243" i="6" s="1"/>
  <c r="F252" i="6"/>
  <c r="H252" i="6" s="1"/>
  <c r="E169" i="6"/>
  <c r="G169" i="6" s="1"/>
  <c r="I169" i="6" s="1"/>
  <c r="D169" i="6"/>
  <c r="F169" i="6" s="1"/>
  <c r="H169" i="6" s="1"/>
  <c r="F201" i="6"/>
  <c r="H201" i="6" s="1"/>
  <c r="E224" i="6"/>
  <c r="G224" i="6" s="1"/>
  <c r="I224" i="6" s="1"/>
  <c r="D224" i="6"/>
  <c r="F224" i="6" s="1"/>
  <c r="H224" i="6" s="1"/>
  <c r="D167" i="6"/>
  <c r="F167" i="6" s="1"/>
  <c r="H167" i="6" s="1"/>
  <c r="E176" i="6"/>
  <c r="G176" i="6" s="1"/>
  <c r="I176" i="6" s="1"/>
  <c r="D176" i="6"/>
  <c r="F176" i="6" s="1"/>
  <c r="H176" i="6" s="1"/>
  <c r="F179" i="6"/>
  <c r="H179" i="6" s="1"/>
  <c r="F191" i="6"/>
  <c r="H191" i="6" s="1"/>
  <c r="F198" i="6"/>
  <c r="H198" i="6" s="1"/>
  <c r="F211" i="6"/>
  <c r="H211" i="6" s="1"/>
  <c r="F217" i="6"/>
  <c r="H217" i="6" s="1"/>
  <c r="F235" i="6"/>
  <c r="H235" i="6" s="1"/>
  <c r="E261" i="6"/>
  <c r="G261" i="6" s="1"/>
  <c r="I261" i="6" s="1"/>
  <c r="D261" i="6"/>
  <c r="F261" i="6" s="1"/>
  <c r="H261" i="6" s="1"/>
  <c r="F464" i="6"/>
  <c r="H464" i="6" s="1"/>
  <c r="F456" i="6"/>
  <c r="H456" i="6" s="1"/>
  <c r="F448" i="6"/>
  <c r="H448" i="6" s="1"/>
  <c r="F472" i="6"/>
  <c r="H472" i="6" s="1"/>
  <c r="F522" i="6"/>
  <c r="H522" i="6" s="1"/>
  <c r="F466" i="6"/>
  <c r="H466" i="6" s="1"/>
  <c r="F458" i="6"/>
  <c r="H458" i="6" s="1"/>
  <c r="F450" i="6"/>
  <c r="H450" i="6" s="1"/>
  <c r="F432" i="6"/>
  <c r="H432" i="6" s="1"/>
  <c r="F520" i="6"/>
  <c r="H520" i="6" s="1"/>
  <c r="F488" i="6"/>
  <c r="H488" i="6" s="1"/>
  <c r="F482" i="6"/>
  <c r="H482" i="6" s="1"/>
  <c r="F442" i="6"/>
  <c r="H442" i="6" s="1"/>
  <c r="F459" i="6"/>
  <c r="H459" i="6" s="1"/>
  <c r="F398" i="6"/>
  <c r="H398" i="6" s="1"/>
  <c r="F440" i="6"/>
  <c r="H440" i="6" s="1"/>
  <c r="F380" i="6"/>
  <c r="H380" i="6" s="1"/>
  <c r="F353" i="6"/>
  <c r="H353" i="6" s="1"/>
  <c r="F480" i="6"/>
  <c r="H480" i="6" s="1"/>
  <c r="F451" i="6"/>
  <c r="H451" i="6" s="1"/>
  <c r="F411" i="6"/>
  <c r="H411" i="6" s="1"/>
  <c r="F358" i="6"/>
  <c r="H358" i="6" s="1"/>
  <c r="F429" i="6"/>
  <c r="H429" i="6" s="1"/>
  <c r="F467" i="6"/>
  <c r="H467" i="6" s="1"/>
  <c r="F403" i="6"/>
  <c r="H403" i="6" s="1"/>
  <c r="F382" i="6"/>
  <c r="H382" i="6" s="1"/>
  <c r="F352" i="6"/>
  <c r="H352" i="6" s="1"/>
  <c r="F350" i="6"/>
  <c r="H350" i="6" s="1"/>
  <c r="F331" i="6"/>
  <c r="H331" i="6" s="1"/>
  <c r="F327" i="6"/>
  <c r="H327" i="6" s="1"/>
  <c r="F300" i="6"/>
  <c r="H300" i="6" s="1"/>
  <c r="F335" i="6"/>
  <c r="H335" i="6" s="1"/>
  <c r="F439" i="6"/>
  <c r="H439" i="6" s="1"/>
  <c r="F332" i="6"/>
  <c r="H332" i="6" s="1"/>
  <c r="F328" i="6"/>
  <c r="H328" i="6" s="1"/>
  <c r="F311" i="6"/>
  <c r="H311" i="6" s="1"/>
  <c r="F303" i="6"/>
  <c r="H303" i="6" s="1"/>
  <c r="F295" i="6"/>
  <c r="H295" i="6" s="1"/>
  <c r="F474" i="6"/>
  <c r="H474" i="6" s="1"/>
  <c r="F419" i="6"/>
  <c r="H419" i="6" s="1"/>
  <c r="F319" i="6"/>
  <c r="H319" i="6" s="1"/>
  <c r="F287" i="6"/>
  <c r="H287" i="6" s="1"/>
  <c r="F250" i="6"/>
  <c r="H250" i="6" s="1"/>
  <c r="F288" i="6"/>
  <c r="H288" i="6" s="1"/>
  <c r="F258" i="6"/>
  <c r="H258" i="6" s="1"/>
  <c r="F247" i="6"/>
  <c r="H247" i="6" s="1"/>
  <c r="F266" i="6"/>
  <c r="H266" i="6" s="1"/>
  <c r="F320" i="6"/>
  <c r="H320" i="6" s="1"/>
  <c r="F290" i="6"/>
  <c r="H290" i="6" s="1"/>
  <c r="F119" i="6"/>
  <c r="H119" i="6" s="1"/>
  <c r="E153" i="6"/>
  <c r="G153" i="6" s="1"/>
  <c r="I153" i="6" s="1"/>
  <c r="D153" i="6"/>
  <c r="F153" i="6" s="1"/>
  <c r="H153" i="6" s="1"/>
  <c r="F178" i="6"/>
  <c r="H178" i="6" s="1"/>
  <c r="E185" i="6"/>
  <c r="G185" i="6" s="1"/>
  <c r="I185" i="6" s="1"/>
  <c r="D185" i="6"/>
  <c r="F185" i="6" s="1"/>
  <c r="H185" i="6" s="1"/>
  <c r="F188" i="6"/>
  <c r="H188" i="6" s="1"/>
  <c r="F199" i="6"/>
  <c r="H199" i="6" s="1"/>
  <c r="G217" i="6"/>
  <c r="I217" i="6" s="1"/>
  <c r="F219" i="6"/>
  <c r="H219" i="6" s="1"/>
  <c r="F225" i="6"/>
  <c r="H225" i="6" s="1"/>
  <c r="F186" i="6"/>
  <c r="H186" i="6" s="1"/>
  <c r="G513" i="6"/>
  <c r="I513" i="6" s="1"/>
  <c r="D28" i="6"/>
  <c r="F28" i="6" s="1"/>
  <c r="H28" i="6" s="1"/>
  <c r="D36" i="6"/>
  <c r="F36" i="6" s="1"/>
  <c r="H36" i="6" s="1"/>
  <c r="D44" i="6"/>
  <c r="F44" i="6" s="1"/>
  <c r="H44" i="6" s="1"/>
  <c r="D52" i="6"/>
  <c r="F52" i="6" s="1"/>
  <c r="H52" i="6" s="1"/>
  <c r="D60" i="6"/>
  <c r="F60" i="6" s="1"/>
  <c r="H60" i="6" s="1"/>
  <c r="D68" i="6"/>
  <c r="F68" i="6" s="1"/>
  <c r="H68" i="6" s="1"/>
  <c r="D76" i="6"/>
  <c r="F76" i="6" s="1"/>
  <c r="H76" i="6" s="1"/>
  <c r="D84" i="6"/>
  <c r="F84" i="6" s="1"/>
  <c r="H84" i="6" s="1"/>
  <c r="D92" i="6"/>
  <c r="F92" i="6" s="1"/>
  <c r="H92" i="6" s="1"/>
  <c r="D100" i="6"/>
  <c r="F100" i="6" s="1"/>
  <c r="H100" i="6" s="1"/>
  <c r="D108" i="6"/>
  <c r="F108" i="6" s="1"/>
  <c r="H108" i="6" s="1"/>
  <c r="F121" i="6"/>
  <c r="H121" i="6" s="1"/>
  <c r="D124" i="6"/>
  <c r="F124" i="6" s="1"/>
  <c r="H124" i="6" s="1"/>
  <c r="D125" i="6"/>
  <c r="F125" i="6" s="1"/>
  <c r="H125" i="6" s="1"/>
  <c r="D126" i="6"/>
  <c r="F126" i="6" s="1"/>
  <c r="H126" i="6" s="1"/>
  <c r="D127" i="6"/>
  <c r="F127" i="6" s="1"/>
  <c r="H127" i="6" s="1"/>
  <c r="D128" i="6"/>
  <c r="F128" i="6" s="1"/>
  <c r="H128" i="6" s="1"/>
  <c r="E129" i="6"/>
  <c r="G129" i="6" s="1"/>
  <c r="I129" i="6" s="1"/>
  <c r="D130" i="6"/>
  <c r="F130" i="6" s="1"/>
  <c r="H130" i="6" s="1"/>
  <c r="E144" i="6"/>
  <c r="G144" i="6" s="1"/>
  <c r="I144" i="6" s="1"/>
  <c r="E152" i="6"/>
  <c r="G152" i="6" s="1"/>
  <c r="I152" i="6" s="1"/>
  <c r="F156" i="6"/>
  <c r="H156" i="6" s="1"/>
  <c r="D160" i="6"/>
  <c r="F160" i="6" s="1"/>
  <c r="H160" i="6" s="1"/>
  <c r="E168" i="6"/>
  <c r="G168" i="6" s="1"/>
  <c r="I168" i="6" s="1"/>
  <c r="D168" i="6"/>
  <c r="F168" i="6" s="1"/>
  <c r="H168" i="6" s="1"/>
  <c r="F171" i="6"/>
  <c r="H171" i="6" s="1"/>
  <c r="F189" i="6"/>
  <c r="H189" i="6" s="1"/>
  <c r="E192" i="6"/>
  <c r="G192" i="6" s="1"/>
  <c r="I192" i="6" s="1"/>
  <c r="D192" i="6"/>
  <c r="F192" i="6" s="1"/>
  <c r="H192" i="6" s="1"/>
  <c r="F207" i="6"/>
  <c r="H207" i="6" s="1"/>
  <c r="F214" i="6"/>
  <c r="H214" i="6" s="1"/>
  <c r="F227" i="6"/>
  <c r="H227" i="6" s="1"/>
  <c r="F233" i="6"/>
  <c r="H233" i="6" s="1"/>
  <c r="F264" i="6"/>
  <c r="H264" i="6" s="1"/>
  <c r="D136" i="6"/>
  <c r="F136" i="6" s="1"/>
  <c r="H136" i="6" s="1"/>
  <c r="E137" i="6"/>
  <c r="G137" i="6" s="1"/>
  <c r="I137" i="6" s="1"/>
  <c r="F170" i="6"/>
  <c r="H170" i="6" s="1"/>
  <c r="E200" i="6"/>
  <c r="G200" i="6" s="1"/>
  <c r="I200" i="6" s="1"/>
  <c r="D200" i="6"/>
  <c r="F200" i="6" s="1"/>
  <c r="H200" i="6" s="1"/>
  <c r="F215" i="6"/>
  <c r="H215" i="6" s="1"/>
  <c r="F123" i="6"/>
  <c r="H123" i="6" s="1"/>
  <c r="F137" i="6"/>
  <c r="H137" i="6" s="1"/>
  <c r="F143" i="6"/>
  <c r="H143" i="6" s="1"/>
  <c r="F152" i="6"/>
  <c r="H152" i="6" s="1"/>
  <c r="F159" i="6"/>
  <c r="H159" i="6" s="1"/>
  <c r="F162" i="6"/>
  <c r="H162" i="6" s="1"/>
  <c r="F166" i="6"/>
  <c r="H166" i="6" s="1"/>
  <c r="G173" i="6"/>
  <c r="I173" i="6" s="1"/>
  <c r="E177" i="6"/>
  <c r="G177" i="6" s="1"/>
  <c r="I177" i="6" s="1"/>
  <c r="D177" i="6"/>
  <c r="F177" i="6" s="1"/>
  <c r="H177" i="6" s="1"/>
  <c r="E208" i="6"/>
  <c r="G208" i="6" s="1"/>
  <c r="I208" i="6" s="1"/>
  <c r="D208" i="6"/>
  <c r="F208" i="6" s="1"/>
  <c r="H208" i="6" s="1"/>
  <c r="F212" i="6"/>
  <c r="H212" i="6" s="1"/>
  <c r="F230" i="6"/>
  <c r="H230" i="6" s="1"/>
  <c r="F249" i="6"/>
  <c r="H249" i="6" s="1"/>
  <c r="F145" i="6"/>
  <c r="H145" i="6" s="1"/>
  <c r="F151" i="6"/>
  <c r="H151" i="6" s="1"/>
  <c r="F173" i="6"/>
  <c r="H173" i="6" s="1"/>
  <c r="F180" i="6"/>
  <c r="H180" i="6" s="1"/>
  <c r="E184" i="6"/>
  <c r="G184" i="6" s="1"/>
  <c r="I184" i="6" s="1"/>
  <c r="D184" i="6"/>
  <c r="F184" i="6" s="1"/>
  <c r="H184" i="6" s="1"/>
  <c r="F187" i="6"/>
  <c r="H187" i="6" s="1"/>
  <c r="F193" i="6"/>
  <c r="H193" i="6" s="1"/>
  <c r="E216" i="6"/>
  <c r="G216" i="6" s="1"/>
  <c r="I216" i="6" s="1"/>
  <c r="D216" i="6"/>
  <c r="F216" i="6" s="1"/>
  <c r="H216" i="6" s="1"/>
  <c r="F220" i="6"/>
  <c r="H220" i="6" s="1"/>
  <c r="E231" i="6"/>
  <c r="G231" i="6" s="1"/>
  <c r="I231" i="6" s="1"/>
  <c r="F234" i="6"/>
  <c r="H234" i="6" s="1"/>
  <c r="F242" i="6"/>
  <c r="H242" i="6" s="1"/>
  <c r="F293" i="6"/>
  <c r="H293" i="6" s="1"/>
  <c r="F296" i="6"/>
  <c r="H296" i="6" s="1"/>
  <c r="F298" i="6"/>
  <c r="H298" i="6" s="1"/>
  <c r="D223" i="6"/>
  <c r="F223" i="6" s="1"/>
  <c r="H223" i="6" s="1"/>
  <c r="D231" i="6"/>
  <c r="F231" i="6" s="1"/>
  <c r="H231" i="6" s="1"/>
  <c r="E238" i="6"/>
  <c r="G238" i="6" s="1"/>
  <c r="I238" i="6" s="1"/>
  <c r="E273" i="6"/>
  <c r="G273" i="6" s="1"/>
  <c r="I273" i="6" s="1"/>
  <c r="D273" i="6"/>
  <c r="F273" i="6" s="1"/>
  <c r="H273" i="6" s="1"/>
  <c r="G274" i="6"/>
  <c r="I274" i="6" s="1"/>
  <c r="F278" i="6"/>
  <c r="H278" i="6" s="1"/>
  <c r="E284" i="6"/>
  <c r="G284" i="6" s="1"/>
  <c r="I284" i="6" s="1"/>
  <c r="D284" i="6"/>
  <c r="F284" i="6" s="1"/>
  <c r="H284" i="6" s="1"/>
  <c r="F301" i="6"/>
  <c r="H301" i="6" s="1"/>
  <c r="F305" i="6"/>
  <c r="H305" i="6" s="1"/>
  <c r="D325" i="6"/>
  <c r="F325" i="6" s="1"/>
  <c r="H325" i="6" s="1"/>
  <c r="E325" i="6"/>
  <c r="G325" i="6" s="1"/>
  <c r="I325" i="6" s="1"/>
  <c r="F334" i="6"/>
  <c r="H334" i="6" s="1"/>
  <c r="F248" i="6"/>
  <c r="H248" i="6" s="1"/>
  <c r="E253" i="6"/>
  <c r="G253" i="6" s="1"/>
  <c r="I253" i="6" s="1"/>
  <c r="D253" i="6"/>
  <c r="F253" i="6" s="1"/>
  <c r="H253" i="6" s="1"/>
  <c r="F256" i="6"/>
  <c r="H256" i="6" s="1"/>
  <c r="F271" i="6"/>
  <c r="H271" i="6" s="1"/>
  <c r="E291" i="6"/>
  <c r="G291" i="6" s="1"/>
  <c r="I291" i="6" s="1"/>
  <c r="D291" i="6"/>
  <c r="F291" i="6" s="1"/>
  <c r="H291" i="6" s="1"/>
  <c r="G320" i="6"/>
  <c r="I320" i="6" s="1"/>
  <c r="F330" i="6"/>
  <c r="H330" i="6" s="1"/>
  <c r="F236" i="6"/>
  <c r="H236" i="6" s="1"/>
  <c r="D241" i="6"/>
  <c r="F241" i="6" s="1"/>
  <c r="H241" i="6" s="1"/>
  <c r="F251" i="6"/>
  <c r="H251" i="6" s="1"/>
  <c r="F263" i="6"/>
  <c r="H263" i="6" s="1"/>
  <c r="E265" i="6"/>
  <c r="G265" i="6" s="1"/>
  <c r="I265" i="6" s="1"/>
  <c r="D265" i="6"/>
  <c r="F265" i="6" s="1"/>
  <c r="H265" i="6" s="1"/>
  <c r="F276" i="6"/>
  <c r="H276" i="6" s="1"/>
  <c r="E278" i="6"/>
  <c r="G278" i="6" s="1"/>
  <c r="I278" i="6" s="1"/>
  <c r="F280" i="6"/>
  <c r="H280" i="6" s="1"/>
  <c r="E282" i="6"/>
  <c r="G282" i="6" s="1"/>
  <c r="I282" i="6" s="1"/>
  <c r="D282" i="6"/>
  <c r="F282" i="6" s="1"/>
  <c r="H282" i="6" s="1"/>
  <c r="E294" i="6"/>
  <c r="G294" i="6" s="1"/>
  <c r="I294" i="6" s="1"/>
  <c r="D294" i="6"/>
  <c r="F294" i="6" s="1"/>
  <c r="H294" i="6" s="1"/>
  <c r="E346" i="6"/>
  <c r="G346" i="6" s="1"/>
  <c r="I346" i="6" s="1"/>
  <c r="D346" i="6"/>
  <c r="F346" i="6" s="1"/>
  <c r="H346" i="6" s="1"/>
  <c r="G391" i="6"/>
  <c r="I391" i="6" s="1"/>
  <c r="F244" i="6"/>
  <c r="H244" i="6" s="1"/>
  <c r="F246" i="6"/>
  <c r="H246" i="6" s="1"/>
  <c r="F262" i="6"/>
  <c r="H262" i="6" s="1"/>
  <c r="D285" i="6"/>
  <c r="F285" i="6" s="1"/>
  <c r="H285" i="6" s="1"/>
  <c r="E285" i="6"/>
  <c r="G285" i="6" s="1"/>
  <c r="I285" i="6" s="1"/>
  <c r="F304" i="6"/>
  <c r="H304" i="6" s="1"/>
  <c r="G311" i="6"/>
  <c r="I311" i="6" s="1"/>
  <c r="F362" i="6"/>
  <c r="H362" i="6" s="1"/>
  <c r="G365" i="6"/>
  <c r="I365" i="6" s="1"/>
  <c r="F240" i="6"/>
  <c r="H240" i="6" s="1"/>
  <c r="F255" i="6"/>
  <c r="H255" i="6" s="1"/>
  <c r="E257" i="6"/>
  <c r="G257" i="6" s="1"/>
  <c r="I257" i="6" s="1"/>
  <c r="D257" i="6"/>
  <c r="F257" i="6" s="1"/>
  <c r="H257" i="6" s="1"/>
  <c r="F268" i="6"/>
  <c r="H268" i="6" s="1"/>
  <c r="F272" i="6"/>
  <c r="H272" i="6" s="1"/>
  <c r="E277" i="6"/>
  <c r="G277" i="6" s="1"/>
  <c r="I277" i="6" s="1"/>
  <c r="D277" i="6"/>
  <c r="F277" i="6" s="1"/>
  <c r="H277" i="6" s="1"/>
  <c r="F326" i="6"/>
  <c r="H326" i="6" s="1"/>
  <c r="F333" i="6"/>
  <c r="H333" i="6" s="1"/>
  <c r="E336" i="6"/>
  <c r="G336" i="6" s="1"/>
  <c r="I336" i="6" s="1"/>
  <c r="D336" i="6"/>
  <c r="F336" i="6" s="1"/>
  <c r="H336" i="6" s="1"/>
  <c r="E344" i="6"/>
  <c r="G344" i="6" s="1"/>
  <c r="I344" i="6" s="1"/>
  <c r="D344" i="6"/>
  <c r="F344" i="6" s="1"/>
  <c r="H344" i="6" s="1"/>
  <c r="F254" i="6"/>
  <c r="H254" i="6" s="1"/>
  <c r="F260" i="6"/>
  <c r="H260" i="6" s="1"/>
  <c r="E262" i="6"/>
  <c r="G262" i="6" s="1"/>
  <c r="I262" i="6" s="1"/>
  <c r="E283" i="6"/>
  <c r="G283" i="6" s="1"/>
  <c r="I283" i="6" s="1"/>
  <c r="D283" i="6"/>
  <c r="F283" i="6" s="1"/>
  <c r="H283" i="6" s="1"/>
  <c r="D312" i="6"/>
  <c r="F312" i="6" s="1"/>
  <c r="H312" i="6" s="1"/>
  <c r="E312" i="6"/>
  <c r="G312" i="6" s="1"/>
  <c r="I312" i="6" s="1"/>
  <c r="F323" i="6"/>
  <c r="H323" i="6" s="1"/>
  <c r="F238" i="6"/>
  <c r="H238" i="6" s="1"/>
  <c r="E245" i="6"/>
  <c r="G245" i="6" s="1"/>
  <c r="I245" i="6" s="1"/>
  <c r="D245" i="6"/>
  <c r="F245" i="6" s="1"/>
  <c r="H245" i="6" s="1"/>
  <c r="E269" i="6"/>
  <c r="G269" i="6" s="1"/>
  <c r="I269" i="6" s="1"/>
  <c r="D269" i="6"/>
  <c r="F269" i="6" s="1"/>
  <c r="H269" i="6" s="1"/>
  <c r="G275" i="6"/>
  <c r="I275" i="6" s="1"/>
  <c r="E281" i="6"/>
  <c r="G281" i="6" s="1"/>
  <c r="I281" i="6" s="1"/>
  <c r="D281" i="6"/>
  <c r="F281" i="6" s="1"/>
  <c r="H281" i="6" s="1"/>
  <c r="E286" i="6"/>
  <c r="G286" i="6" s="1"/>
  <c r="I286" i="6" s="1"/>
  <c r="D286" i="6"/>
  <c r="F286" i="6" s="1"/>
  <c r="H286" i="6" s="1"/>
  <c r="E296" i="6"/>
  <c r="G296" i="6" s="1"/>
  <c r="I296" i="6" s="1"/>
  <c r="F306" i="6"/>
  <c r="H306" i="6" s="1"/>
  <c r="E308" i="6"/>
  <c r="G308" i="6" s="1"/>
  <c r="I308" i="6" s="1"/>
  <c r="D308" i="6"/>
  <c r="F308" i="6" s="1"/>
  <c r="H308" i="6" s="1"/>
  <c r="F349" i="6"/>
  <c r="H349" i="6" s="1"/>
  <c r="G353" i="6"/>
  <c r="I353" i="6" s="1"/>
  <c r="G363" i="6"/>
  <c r="I363" i="6" s="1"/>
  <c r="F377" i="6"/>
  <c r="H377" i="6" s="1"/>
  <c r="E386" i="6"/>
  <c r="G386" i="6" s="1"/>
  <c r="I386" i="6" s="1"/>
  <c r="D386" i="6"/>
  <c r="F386" i="6" s="1"/>
  <c r="H386" i="6" s="1"/>
  <c r="E417" i="6"/>
  <c r="G417" i="6" s="1"/>
  <c r="I417" i="6" s="1"/>
  <c r="D417" i="6"/>
  <c r="F417" i="6" s="1"/>
  <c r="H417" i="6" s="1"/>
  <c r="E292" i="6"/>
  <c r="G292" i="6" s="1"/>
  <c r="I292" i="6" s="1"/>
  <c r="F406" i="6"/>
  <c r="H406" i="6" s="1"/>
  <c r="F317" i="6"/>
  <c r="H317" i="6" s="1"/>
  <c r="F322" i="6"/>
  <c r="H322" i="6" s="1"/>
  <c r="E324" i="6"/>
  <c r="G324" i="6" s="1"/>
  <c r="I324" i="6" s="1"/>
  <c r="D324" i="6"/>
  <c r="F324" i="6" s="1"/>
  <c r="H324" i="6" s="1"/>
  <c r="G329" i="6"/>
  <c r="I329" i="6" s="1"/>
  <c r="D340" i="6"/>
  <c r="F340" i="6" s="1"/>
  <c r="H340" i="6" s="1"/>
  <c r="E340" i="6"/>
  <c r="G340" i="6" s="1"/>
  <c r="I340" i="6" s="1"/>
  <c r="F342" i="6"/>
  <c r="H342" i="6" s="1"/>
  <c r="E354" i="6"/>
  <c r="G354" i="6" s="1"/>
  <c r="I354" i="6" s="1"/>
  <c r="D354" i="6"/>
  <c r="F354" i="6" s="1"/>
  <c r="H354" i="6" s="1"/>
  <c r="F359" i="6"/>
  <c r="H359" i="6" s="1"/>
  <c r="E399" i="6"/>
  <c r="G399" i="6" s="1"/>
  <c r="I399" i="6" s="1"/>
  <c r="D399" i="6"/>
  <c r="F399" i="6" s="1"/>
  <c r="H399" i="6" s="1"/>
  <c r="D292" i="6"/>
  <c r="F292" i="6" s="1"/>
  <c r="H292" i="6" s="1"/>
  <c r="E300" i="6"/>
  <c r="G300" i="6" s="1"/>
  <c r="I300" i="6" s="1"/>
  <c r="E307" i="6"/>
  <c r="G307" i="6" s="1"/>
  <c r="I307" i="6" s="1"/>
  <c r="E328" i="6"/>
  <c r="G328" i="6" s="1"/>
  <c r="I328" i="6" s="1"/>
  <c r="E301" i="6"/>
  <c r="G301" i="6" s="1"/>
  <c r="I301" i="6" s="1"/>
  <c r="E317" i="6"/>
  <c r="G317" i="6" s="1"/>
  <c r="I317" i="6" s="1"/>
  <c r="F347" i="6"/>
  <c r="H347" i="6" s="1"/>
  <c r="E364" i="6"/>
  <c r="G364" i="6" s="1"/>
  <c r="I364" i="6" s="1"/>
  <c r="D364" i="6"/>
  <c r="F364" i="6" s="1"/>
  <c r="H364" i="6" s="1"/>
  <c r="F366" i="6"/>
  <c r="H366" i="6" s="1"/>
  <c r="E384" i="6"/>
  <c r="G384" i="6" s="1"/>
  <c r="I384" i="6" s="1"/>
  <c r="D384" i="6"/>
  <c r="F384" i="6" s="1"/>
  <c r="H384" i="6" s="1"/>
  <c r="D388" i="6"/>
  <c r="F388" i="6" s="1"/>
  <c r="H388" i="6" s="1"/>
  <c r="E388" i="6"/>
  <c r="G388" i="6" s="1"/>
  <c r="I388" i="6" s="1"/>
  <c r="G397" i="6"/>
  <c r="I397" i="6" s="1"/>
  <c r="F307" i="6"/>
  <c r="H307" i="6" s="1"/>
  <c r="F309" i="6"/>
  <c r="H309" i="6" s="1"/>
  <c r="F314" i="6"/>
  <c r="H314" i="6" s="1"/>
  <c r="E316" i="6"/>
  <c r="G316" i="6" s="1"/>
  <c r="I316" i="6" s="1"/>
  <c r="D316" i="6"/>
  <c r="F316" i="6" s="1"/>
  <c r="H316" i="6" s="1"/>
  <c r="E323" i="6"/>
  <c r="G323" i="6" s="1"/>
  <c r="I323" i="6" s="1"/>
  <c r="E341" i="6"/>
  <c r="G341" i="6" s="1"/>
  <c r="I341" i="6" s="1"/>
  <c r="D341" i="6"/>
  <c r="F341" i="6" s="1"/>
  <c r="H341" i="6" s="1"/>
  <c r="F367" i="6"/>
  <c r="H367" i="6" s="1"/>
  <c r="F374" i="6"/>
  <c r="H374" i="6" s="1"/>
  <c r="E356" i="6"/>
  <c r="G356" i="6" s="1"/>
  <c r="I356" i="6" s="1"/>
  <c r="D356" i="6"/>
  <c r="F356" i="6" s="1"/>
  <c r="H356" i="6" s="1"/>
  <c r="F379" i="6"/>
  <c r="H379" i="6" s="1"/>
  <c r="F408" i="6"/>
  <c r="H408" i="6" s="1"/>
  <c r="F415" i="6"/>
  <c r="H415" i="6" s="1"/>
  <c r="F420" i="6"/>
  <c r="H420" i="6" s="1"/>
  <c r="E348" i="6"/>
  <c r="G348" i="6" s="1"/>
  <c r="I348" i="6" s="1"/>
  <c r="D348" i="6"/>
  <c r="F348" i="6" s="1"/>
  <c r="H348" i="6" s="1"/>
  <c r="F376" i="6"/>
  <c r="H376" i="6" s="1"/>
  <c r="E378" i="6"/>
  <c r="G378" i="6" s="1"/>
  <c r="I378" i="6" s="1"/>
  <c r="F381" i="6"/>
  <c r="H381" i="6" s="1"/>
  <c r="F390" i="6"/>
  <c r="H390" i="6" s="1"/>
  <c r="D396" i="6"/>
  <c r="F396" i="6" s="1"/>
  <c r="H396" i="6" s="1"/>
  <c r="E396" i="6"/>
  <c r="G396" i="6" s="1"/>
  <c r="I396" i="6" s="1"/>
  <c r="F402" i="6"/>
  <c r="H402" i="6" s="1"/>
  <c r="F373" i="6"/>
  <c r="H373" i="6" s="1"/>
  <c r="E383" i="6"/>
  <c r="G383" i="6" s="1"/>
  <c r="I383" i="6" s="1"/>
  <c r="D383" i="6"/>
  <c r="F383" i="6" s="1"/>
  <c r="H383" i="6" s="1"/>
  <c r="E385" i="6"/>
  <c r="G385" i="6" s="1"/>
  <c r="I385" i="6" s="1"/>
  <c r="D385" i="6"/>
  <c r="F385" i="6" s="1"/>
  <c r="H385" i="6" s="1"/>
  <c r="E387" i="6"/>
  <c r="G387" i="6" s="1"/>
  <c r="I387" i="6" s="1"/>
  <c r="D387" i="6"/>
  <c r="F387" i="6" s="1"/>
  <c r="H387" i="6" s="1"/>
  <c r="E389" i="6"/>
  <c r="G389" i="6" s="1"/>
  <c r="I389" i="6" s="1"/>
  <c r="D389" i="6"/>
  <c r="F389" i="6" s="1"/>
  <c r="H389" i="6" s="1"/>
  <c r="F393" i="6"/>
  <c r="H393" i="6" s="1"/>
  <c r="E407" i="6"/>
  <c r="G407" i="6" s="1"/>
  <c r="I407" i="6" s="1"/>
  <c r="D407" i="6"/>
  <c r="F407" i="6" s="1"/>
  <c r="H407" i="6" s="1"/>
  <c r="D409" i="6"/>
  <c r="F409" i="6" s="1"/>
  <c r="H409" i="6" s="1"/>
  <c r="E409" i="6"/>
  <c r="G409" i="6" s="1"/>
  <c r="I409" i="6" s="1"/>
  <c r="F338" i="6"/>
  <c r="H338" i="6" s="1"/>
  <c r="F445" i="6"/>
  <c r="H445" i="6" s="1"/>
  <c r="E347" i="6"/>
  <c r="G347" i="6" s="1"/>
  <c r="I347" i="6" s="1"/>
  <c r="F365" i="6"/>
  <c r="H365" i="6" s="1"/>
  <c r="D368" i="6"/>
  <c r="F368" i="6" s="1"/>
  <c r="H368" i="6" s="1"/>
  <c r="F372" i="6"/>
  <c r="H372" i="6" s="1"/>
  <c r="F375" i="6"/>
  <c r="H375" i="6" s="1"/>
  <c r="E377" i="6"/>
  <c r="G377" i="6" s="1"/>
  <c r="I377" i="6" s="1"/>
  <c r="D423" i="6"/>
  <c r="F423" i="6" s="1"/>
  <c r="H423" i="6" s="1"/>
  <c r="F426" i="6"/>
  <c r="H426" i="6" s="1"/>
  <c r="F501" i="6"/>
  <c r="H501" i="6" s="1"/>
  <c r="F343" i="6"/>
  <c r="H343" i="6" s="1"/>
  <c r="F355" i="6"/>
  <c r="H355" i="6" s="1"/>
  <c r="F391" i="6"/>
  <c r="H391" i="6" s="1"/>
  <c r="F401" i="6"/>
  <c r="H401" i="6" s="1"/>
  <c r="F410" i="6"/>
  <c r="H410" i="6" s="1"/>
  <c r="G414" i="6"/>
  <c r="I414" i="6" s="1"/>
  <c r="F433" i="6"/>
  <c r="H433" i="6" s="1"/>
  <c r="E400" i="6"/>
  <c r="G400" i="6" s="1"/>
  <c r="I400" i="6" s="1"/>
  <c r="E411" i="6"/>
  <c r="G411" i="6" s="1"/>
  <c r="I411" i="6" s="1"/>
  <c r="F418" i="6"/>
  <c r="H418" i="6" s="1"/>
  <c r="E425" i="6"/>
  <c r="G425" i="6" s="1"/>
  <c r="I425" i="6" s="1"/>
  <c r="D425" i="6"/>
  <c r="F425" i="6" s="1"/>
  <c r="H425" i="6" s="1"/>
  <c r="G467" i="6"/>
  <c r="I467" i="6" s="1"/>
  <c r="F469" i="6"/>
  <c r="H469" i="6" s="1"/>
  <c r="F516" i="6"/>
  <c r="H516" i="6" s="1"/>
  <c r="E379" i="6"/>
  <c r="G379" i="6" s="1"/>
  <c r="I379" i="6" s="1"/>
  <c r="D400" i="6"/>
  <c r="F400" i="6" s="1"/>
  <c r="H400" i="6" s="1"/>
  <c r="E408" i="6"/>
  <c r="G408" i="6" s="1"/>
  <c r="I408" i="6" s="1"/>
  <c r="E436" i="6"/>
  <c r="G436" i="6" s="1"/>
  <c r="I436" i="6" s="1"/>
  <c r="D436" i="6"/>
  <c r="F436" i="6" s="1"/>
  <c r="H436" i="6" s="1"/>
  <c r="F453" i="6"/>
  <c r="H453" i="6" s="1"/>
  <c r="G428" i="6"/>
  <c r="I428" i="6" s="1"/>
  <c r="D430" i="6"/>
  <c r="F430" i="6" s="1"/>
  <c r="H430" i="6" s="1"/>
  <c r="E430" i="6"/>
  <c r="G430" i="6" s="1"/>
  <c r="I430" i="6" s="1"/>
  <c r="E494" i="6"/>
  <c r="G494" i="6" s="1"/>
  <c r="I494" i="6" s="1"/>
  <c r="D494" i="6"/>
  <c r="F494" i="6" s="1"/>
  <c r="H494" i="6" s="1"/>
  <c r="F378" i="6"/>
  <c r="H378" i="6" s="1"/>
  <c r="F422" i="6"/>
  <c r="H422" i="6" s="1"/>
  <c r="G432" i="6"/>
  <c r="I432" i="6" s="1"/>
  <c r="F461" i="6"/>
  <c r="H461" i="6" s="1"/>
  <c r="F497" i="6"/>
  <c r="H497" i="6" s="1"/>
  <c r="E403" i="6"/>
  <c r="G403" i="6" s="1"/>
  <c r="I403" i="6" s="1"/>
  <c r="F416" i="6"/>
  <c r="H416" i="6" s="1"/>
  <c r="F443" i="6"/>
  <c r="H443" i="6" s="1"/>
  <c r="E492" i="6"/>
  <c r="G492" i="6" s="1"/>
  <c r="I492" i="6" s="1"/>
  <c r="D492" i="6"/>
  <c r="F492" i="6" s="1"/>
  <c r="H492" i="6" s="1"/>
  <c r="G523" i="6"/>
  <c r="I523" i="6" s="1"/>
  <c r="D424" i="6"/>
  <c r="F424" i="6" s="1"/>
  <c r="H424" i="6" s="1"/>
  <c r="D431" i="6"/>
  <c r="F431" i="6" s="1"/>
  <c r="H431" i="6" s="1"/>
  <c r="F437" i="6"/>
  <c r="H437" i="6" s="1"/>
  <c r="F475" i="6"/>
  <c r="H475" i="6" s="1"/>
  <c r="F507" i="6"/>
  <c r="H507" i="6" s="1"/>
  <c r="E446" i="6"/>
  <c r="G446" i="6" s="1"/>
  <c r="I446" i="6" s="1"/>
  <c r="D446" i="6"/>
  <c r="F446" i="6" s="1"/>
  <c r="H446" i="6" s="1"/>
  <c r="E454" i="6"/>
  <c r="G454" i="6" s="1"/>
  <c r="I454" i="6" s="1"/>
  <c r="D454" i="6"/>
  <c r="F454" i="6" s="1"/>
  <c r="H454" i="6" s="1"/>
  <c r="E462" i="6"/>
  <c r="G462" i="6" s="1"/>
  <c r="I462" i="6" s="1"/>
  <c r="D462" i="6"/>
  <c r="F462" i="6" s="1"/>
  <c r="H462" i="6" s="1"/>
  <c r="E470" i="6"/>
  <c r="G470" i="6" s="1"/>
  <c r="I470" i="6" s="1"/>
  <c r="D470" i="6"/>
  <c r="F470" i="6" s="1"/>
  <c r="H470" i="6" s="1"/>
  <c r="F477" i="6"/>
  <c r="H477" i="6" s="1"/>
  <c r="E502" i="6"/>
  <c r="G502" i="6" s="1"/>
  <c r="I502" i="6" s="1"/>
  <c r="D502" i="6"/>
  <c r="F502" i="6" s="1"/>
  <c r="H502" i="6" s="1"/>
  <c r="F509" i="6"/>
  <c r="H509" i="6" s="1"/>
  <c r="F428" i="6"/>
  <c r="H428" i="6" s="1"/>
  <c r="F483" i="6"/>
  <c r="H483" i="6" s="1"/>
  <c r="F515" i="6"/>
  <c r="H515" i="6" s="1"/>
  <c r="G476" i="6"/>
  <c r="I476" i="6" s="1"/>
  <c r="E478" i="6"/>
  <c r="G478" i="6" s="1"/>
  <c r="I478" i="6" s="1"/>
  <c r="D478" i="6"/>
  <c r="F478" i="6" s="1"/>
  <c r="H478" i="6" s="1"/>
  <c r="F485" i="6"/>
  <c r="H485" i="6" s="1"/>
  <c r="F500" i="6"/>
  <c r="H500" i="6" s="1"/>
  <c r="E510" i="6"/>
  <c r="G510" i="6" s="1"/>
  <c r="I510" i="6" s="1"/>
  <c r="D510" i="6"/>
  <c r="F510" i="6" s="1"/>
  <c r="H510" i="6" s="1"/>
  <c r="F513" i="6"/>
  <c r="H513" i="6" s="1"/>
  <c r="F517" i="6"/>
  <c r="H517" i="6" s="1"/>
  <c r="E438" i="6"/>
  <c r="G438" i="6" s="1"/>
  <c r="I438" i="6" s="1"/>
  <c r="D438" i="6"/>
  <c r="F438" i="6" s="1"/>
  <c r="H438" i="6" s="1"/>
  <c r="E439" i="6"/>
  <c r="G439" i="6" s="1"/>
  <c r="I439" i="6" s="1"/>
  <c r="F491" i="6"/>
  <c r="H491" i="6" s="1"/>
  <c r="F523" i="6"/>
  <c r="H523" i="6" s="1"/>
  <c r="E443" i="6"/>
  <c r="G443" i="6" s="1"/>
  <c r="I443" i="6" s="1"/>
  <c r="E447" i="6"/>
  <c r="G447" i="6" s="1"/>
  <c r="I447" i="6" s="1"/>
  <c r="D447" i="6"/>
  <c r="F447" i="6" s="1"/>
  <c r="H447" i="6" s="1"/>
  <c r="E455" i="6"/>
  <c r="G455" i="6" s="1"/>
  <c r="I455" i="6" s="1"/>
  <c r="D455" i="6"/>
  <c r="F455" i="6" s="1"/>
  <c r="H455" i="6" s="1"/>
  <c r="E463" i="6"/>
  <c r="G463" i="6" s="1"/>
  <c r="I463" i="6" s="1"/>
  <c r="D463" i="6"/>
  <c r="F463" i="6" s="1"/>
  <c r="H463" i="6" s="1"/>
  <c r="E486" i="6"/>
  <c r="G486" i="6" s="1"/>
  <c r="I486" i="6" s="1"/>
  <c r="D486" i="6"/>
  <c r="F486" i="6" s="1"/>
  <c r="H486" i="6" s="1"/>
  <c r="F493" i="6"/>
  <c r="H493" i="6" s="1"/>
  <c r="F508" i="6"/>
  <c r="H508" i="6" s="1"/>
  <c r="E518" i="6"/>
  <c r="G518" i="6" s="1"/>
  <c r="I518" i="6" s="1"/>
  <c r="D518" i="6"/>
  <c r="F518" i="6" s="1"/>
  <c r="H518" i="6" s="1"/>
  <c r="F521" i="6"/>
  <c r="H521" i="6" s="1"/>
  <c r="E442" i="6"/>
  <c r="G442" i="6" s="1"/>
  <c r="I442" i="6" s="1"/>
  <c r="F499" i="6"/>
  <c r="H499" i="6" s="1"/>
  <c r="D471" i="6"/>
  <c r="F471" i="6" s="1"/>
  <c r="H471" i="6" s="1"/>
  <c r="D479" i="6"/>
  <c r="F479" i="6" s="1"/>
  <c r="H479" i="6" s="1"/>
  <c r="D487" i="6"/>
  <c r="F487" i="6" s="1"/>
  <c r="H487" i="6" s="1"/>
  <c r="D495" i="6"/>
  <c r="F495" i="6" s="1"/>
  <c r="H495" i="6" s="1"/>
  <c r="D503" i="6"/>
  <c r="F503" i="6" s="1"/>
  <c r="H503" i="6" s="1"/>
  <c r="D511" i="6"/>
  <c r="F511" i="6" s="1"/>
  <c r="H511" i="6" s="1"/>
  <c r="D519" i="6"/>
  <c r="F519" i="6" s="1"/>
  <c r="H519" i="6" s="1"/>
  <c r="E16" i="5"/>
  <c r="D48" i="5" s="1"/>
  <c r="D16" i="5"/>
  <c r="D49" i="5" s="1"/>
  <c r="C16" i="5"/>
  <c r="D51" i="5" s="1"/>
  <c r="G18" i="5"/>
  <c r="F16" i="5"/>
  <c r="D45" i="5" s="1"/>
  <c r="D15" i="5"/>
  <c r="D53" i="5" s="1"/>
  <c r="E15" i="5"/>
  <c r="D50" i="5" s="1"/>
  <c r="E14" i="5"/>
  <c r="D52" i="5" s="1"/>
  <c r="H44" i="5"/>
  <c r="H42" i="5"/>
  <c r="D35" i="5"/>
  <c r="H43" i="5"/>
  <c r="D17" i="5"/>
  <c r="D43" i="5" s="1"/>
  <c r="E17" i="5"/>
  <c r="D42" i="5" s="1"/>
  <c r="F17" i="5"/>
  <c r="D41" i="5" s="1"/>
  <c r="B14" i="2"/>
  <c r="B10" i="4"/>
  <c r="B11" i="4" s="1"/>
  <c r="B14" i="4" s="1"/>
  <c r="B7" i="4"/>
  <c r="J73" i="6" l="1"/>
  <c r="J31" i="6"/>
  <c r="J151" i="6"/>
  <c r="J149" i="6"/>
  <c r="J141" i="6"/>
  <c r="J57" i="6"/>
  <c r="J80" i="6"/>
  <c r="J102" i="6"/>
  <c r="J101" i="6"/>
  <c r="J64" i="6"/>
  <c r="J227" i="6"/>
  <c r="J47" i="6"/>
  <c r="J154" i="6"/>
  <c r="J53" i="6"/>
  <c r="J118" i="6"/>
  <c r="J193" i="6"/>
  <c r="J44" i="6"/>
  <c r="J155" i="6"/>
  <c r="J160" i="6"/>
  <c r="J94" i="6"/>
  <c r="J125" i="6"/>
  <c r="J95" i="6"/>
  <c r="J136" i="6"/>
  <c r="J25" i="6"/>
  <c r="J110" i="6"/>
  <c r="J205" i="6"/>
  <c r="J131" i="6"/>
  <c r="J157" i="6"/>
  <c r="J89" i="6"/>
  <c r="J234" i="6"/>
  <c r="J138" i="6"/>
  <c r="J522" i="6"/>
  <c r="J175" i="6"/>
  <c r="J439" i="6"/>
  <c r="J32" i="6"/>
  <c r="J217" i="6"/>
  <c r="J395" i="6"/>
  <c r="J87" i="6"/>
  <c r="J37" i="6"/>
  <c r="J440" i="6"/>
  <c r="J162" i="6"/>
  <c r="J109" i="6"/>
  <c r="J150" i="6"/>
  <c r="J105" i="6"/>
  <c r="J143" i="6"/>
  <c r="J36" i="6"/>
  <c r="J61" i="6"/>
  <c r="J24" i="6"/>
  <c r="J147" i="6"/>
  <c r="J113" i="6"/>
  <c r="J180" i="6"/>
  <c r="J123" i="6"/>
  <c r="J127" i="6"/>
  <c r="J219" i="6"/>
  <c r="J75" i="6"/>
  <c r="J79" i="6"/>
  <c r="J514" i="6"/>
  <c r="J83" i="6"/>
  <c r="J382" i="6"/>
  <c r="J456" i="6"/>
  <c r="J421" i="6"/>
  <c r="J28" i="6"/>
  <c r="J195" i="6"/>
  <c r="J327" i="6"/>
  <c r="J88" i="6"/>
  <c r="J194" i="6"/>
  <c r="J469" i="6"/>
  <c r="J303" i="6"/>
  <c r="J163" i="6"/>
  <c r="J40" i="6"/>
  <c r="J319" i="6"/>
  <c r="J103" i="6"/>
  <c r="J442" i="6"/>
  <c r="J70" i="6"/>
  <c r="J71" i="6"/>
  <c r="J128" i="6"/>
  <c r="J92" i="6"/>
  <c r="J158" i="6"/>
  <c r="J334" i="6"/>
  <c r="J403" i="6"/>
  <c r="J38" i="6"/>
  <c r="J252" i="6"/>
  <c r="J482" i="6"/>
  <c r="J445" i="6"/>
  <c r="J45" i="6"/>
  <c r="J148" i="6"/>
  <c r="J296" i="6"/>
  <c r="J475" i="6"/>
  <c r="J411" i="6"/>
  <c r="J352" i="6"/>
  <c r="J239" i="6"/>
  <c r="J54" i="6"/>
  <c r="J298" i="6"/>
  <c r="J172" i="6"/>
  <c r="J104" i="6"/>
  <c r="J166" i="6"/>
  <c r="J314" i="6"/>
  <c r="J430" i="6"/>
  <c r="J408" i="6"/>
  <c r="J388" i="6"/>
  <c r="J340" i="6"/>
  <c r="J228" i="6"/>
  <c r="J225" i="6"/>
  <c r="J108" i="6"/>
  <c r="J167" i="6"/>
  <c r="J91" i="6"/>
  <c r="J354" i="6"/>
  <c r="J29" i="6"/>
  <c r="J337" i="6"/>
  <c r="J443" i="6"/>
  <c r="J292" i="6"/>
  <c r="J112" i="6"/>
  <c r="J274" i="6"/>
  <c r="J266" i="6"/>
  <c r="J51" i="6"/>
  <c r="J65" i="6"/>
  <c r="J126" i="6"/>
  <c r="J332" i="6"/>
  <c r="J99" i="6"/>
  <c r="J66" i="6"/>
  <c r="J226" i="6"/>
  <c r="J454" i="6"/>
  <c r="J488" i="6"/>
  <c r="J294" i="6"/>
  <c r="J58" i="6"/>
  <c r="J368" i="6"/>
  <c r="J409" i="6"/>
  <c r="J49" i="6"/>
  <c r="J106" i="6"/>
  <c r="J55" i="6"/>
  <c r="J139" i="6"/>
  <c r="J242" i="6"/>
  <c r="J68" i="6"/>
  <c r="J46" i="6"/>
  <c r="J380" i="6"/>
  <c r="J39" i="6"/>
  <c r="J359" i="6"/>
  <c r="J215" i="6"/>
  <c r="J287" i="6"/>
  <c r="J140" i="6"/>
  <c r="J204" i="6"/>
  <c r="J170" i="6"/>
  <c r="J496" i="6"/>
  <c r="J60" i="6"/>
  <c r="J203" i="6"/>
  <c r="J396" i="6"/>
  <c r="J247" i="6"/>
  <c r="J67" i="6"/>
  <c r="J221" i="6"/>
  <c r="J218" i="6"/>
  <c r="J320" i="6"/>
  <c r="J156" i="6"/>
  <c r="J196" i="6"/>
  <c r="J506" i="6"/>
  <c r="J460" i="6"/>
  <c r="J360" i="6"/>
  <c r="J369" i="6"/>
  <c r="J135" i="6"/>
  <c r="J250" i="6"/>
  <c r="J279" i="6"/>
  <c r="J350" i="6"/>
  <c r="J328" i="6"/>
  <c r="J124" i="6"/>
  <c r="J98" i="6"/>
  <c r="J358" i="6"/>
  <c r="J263" i="6"/>
  <c r="J366" i="6"/>
  <c r="J362" i="6"/>
  <c r="J379" i="6"/>
  <c r="J243" i="6"/>
  <c r="J174" i="6"/>
  <c r="J119" i="6"/>
  <c r="J466" i="6"/>
  <c r="J63" i="6"/>
  <c r="J361" i="6"/>
  <c r="J129" i="6"/>
  <c r="J100" i="6"/>
  <c r="J387" i="6"/>
  <c r="J484" i="6"/>
  <c r="J472" i="6"/>
  <c r="J520" i="6"/>
  <c r="J406" i="6"/>
  <c r="J142" i="6"/>
  <c r="J207" i="6"/>
  <c r="J198" i="6"/>
  <c r="J27" i="6"/>
  <c r="J107" i="6"/>
  <c r="J74" i="6"/>
  <c r="J425" i="6"/>
  <c r="J311" i="6"/>
  <c r="J197" i="6"/>
  <c r="J159" i="6"/>
  <c r="J211" i="6"/>
  <c r="J331" i="6"/>
  <c r="J444" i="6"/>
  <c r="J512" i="6"/>
  <c r="J179" i="6"/>
  <c r="J81" i="6"/>
  <c r="J76" i="6"/>
  <c r="J464" i="6"/>
  <c r="J428" i="6"/>
  <c r="J289" i="6"/>
  <c r="J178" i="6"/>
  <c r="J192" i="6"/>
  <c r="J152" i="6"/>
  <c r="J229" i="6"/>
  <c r="J209" i="6"/>
  <c r="J120" i="6"/>
  <c r="J347" i="6"/>
  <c r="J345" i="6"/>
  <c r="J187" i="6"/>
  <c r="J145" i="6"/>
  <c r="J121" i="6"/>
  <c r="J111" i="6"/>
  <c r="J374" i="6"/>
  <c r="J367" i="6"/>
  <c r="J321" i="6"/>
  <c r="J146" i="6"/>
  <c r="J77" i="6"/>
  <c r="J302" i="6"/>
  <c r="J41" i="6"/>
  <c r="J470" i="6"/>
  <c r="J383" i="6"/>
  <c r="J384" i="6"/>
  <c r="J313" i="6"/>
  <c r="J304" i="6"/>
  <c r="J134" i="6"/>
  <c r="J376" i="6"/>
  <c r="J308" i="6"/>
  <c r="J281" i="6"/>
  <c r="J202" i="6"/>
  <c r="J237" i="6"/>
  <c r="J201" i="6"/>
  <c r="J48" i="6"/>
  <c r="J486" i="6"/>
  <c r="J455" i="6"/>
  <c r="J493" i="6"/>
  <c r="J490" i="6"/>
  <c r="J329" i="6"/>
  <c r="J305" i="6"/>
  <c r="J208" i="6"/>
  <c r="J199" i="6"/>
  <c r="J84" i="6"/>
  <c r="J404" i="6"/>
  <c r="J342" i="6"/>
  <c r="J516" i="6"/>
  <c r="J447" i="6"/>
  <c r="J510" i="6"/>
  <c r="J468" i="6"/>
  <c r="J502" i="6"/>
  <c r="J451" i="6"/>
  <c r="J407" i="6"/>
  <c r="J290" i="6"/>
  <c r="J397" i="6"/>
  <c r="J364" i="6"/>
  <c r="J333" i="6"/>
  <c r="J260" i="6"/>
  <c r="J284" i="6"/>
  <c r="J144" i="6"/>
  <c r="J52" i="6"/>
  <c r="J185" i="6"/>
  <c r="J90" i="6"/>
  <c r="J35" i="6"/>
  <c r="J165" i="6"/>
  <c r="J133" i="6"/>
  <c r="J498" i="6"/>
  <c r="J492" i="6"/>
  <c r="J494" i="6"/>
  <c r="J402" i="6"/>
  <c r="J458" i="6"/>
  <c r="J348" i="6"/>
  <c r="J316" i="6"/>
  <c r="J351" i="6"/>
  <c r="J277" i="6"/>
  <c r="J265" i="6"/>
  <c r="J259" i="6"/>
  <c r="J231" i="6"/>
  <c r="J171" i="6"/>
  <c r="J181" i="6"/>
  <c r="J86" i="6"/>
  <c r="J463" i="6"/>
  <c r="J423" i="6"/>
  <c r="J235" i="6"/>
  <c r="J272" i="6"/>
  <c r="J335" i="6"/>
  <c r="J465" i="6"/>
  <c r="J115" i="6"/>
  <c r="J93" i="6"/>
  <c r="J130" i="6"/>
  <c r="J453" i="6"/>
  <c r="J432" i="6"/>
  <c r="J429" i="6"/>
  <c r="J270" i="6"/>
  <c r="J220" i="6"/>
  <c r="J507" i="6"/>
  <c r="J401" i="6"/>
  <c r="J278" i="6"/>
  <c r="J253" i="6"/>
  <c r="J267" i="6"/>
  <c r="J191" i="6"/>
  <c r="J448" i="6"/>
  <c r="J459" i="6"/>
  <c r="J419" i="6"/>
  <c r="J377" i="6"/>
  <c r="J306" i="6"/>
  <c r="J271" i="6"/>
  <c r="J43" i="6"/>
  <c r="J503" i="6"/>
  <c r="J478" i="6"/>
  <c r="J509" i="6"/>
  <c r="J356" i="6"/>
  <c r="J341" i="6"/>
  <c r="J399" i="6"/>
  <c r="J245" i="6"/>
  <c r="J309" i="6"/>
  <c r="J336" i="6"/>
  <c r="J346" i="6"/>
  <c r="J184" i="6"/>
  <c r="J177" i="6"/>
  <c r="J168" i="6"/>
  <c r="J431" i="6"/>
  <c r="J497" i="6"/>
  <c r="J481" i="6"/>
  <c r="J183" i="6"/>
  <c r="J261" i="6"/>
  <c r="J176" i="6"/>
  <c r="J480" i="6"/>
  <c r="J518" i="6"/>
  <c r="J474" i="6"/>
  <c r="J476" i="6"/>
  <c r="J517" i="6"/>
  <c r="J462" i="6"/>
  <c r="J523" i="6"/>
  <c r="J427" i="6"/>
  <c r="J385" i="6"/>
  <c r="J413" i="6"/>
  <c r="J378" i="6"/>
  <c r="J323" i="6"/>
  <c r="J410" i="6"/>
  <c r="J338" i="6"/>
  <c r="J386" i="6"/>
  <c r="J286" i="6"/>
  <c r="J262" i="6"/>
  <c r="J257" i="6"/>
  <c r="J258" i="6"/>
  <c r="J330" i="6"/>
  <c r="J291" i="6"/>
  <c r="J216" i="6"/>
  <c r="J212" i="6"/>
  <c r="J230" i="6"/>
  <c r="J249" i="6"/>
  <c r="J355" i="6"/>
  <c r="J521" i="6"/>
  <c r="J473" i="6"/>
  <c r="J495" i="6"/>
  <c r="J264" i="6"/>
  <c r="J248" i="6"/>
  <c r="J169" i="6"/>
  <c r="J232" i="6"/>
  <c r="J182" i="6"/>
  <c r="J511" i="6"/>
  <c r="J499" i="6"/>
  <c r="J400" i="6"/>
  <c r="J405" i="6"/>
  <c r="J293" i="6"/>
  <c r="J251" i="6"/>
  <c r="J238" i="6"/>
  <c r="J236" i="6"/>
  <c r="J254" i="6"/>
  <c r="J210" i="6"/>
  <c r="J173" i="6"/>
  <c r="J426" i="6"/>
  <c r="J326" i="6"/>
  <c r="J381" i="6"/>
  <c r="J487" i="6"/>
  <c r="J513" i="6"/>
  <c r="J256" i="6"/>
  <c r="J240" i="6"/>
  <c r="J372" i="6"/>
  <c r="J42" i="6"/>
  <c r="J50" i="6"/>
  <c r="J461" i="6"/>
  <c r="J508" i="6"/>
  <c r="J500" i="6"/>
  <c r="J515" i="6"/>
  <c r="J483" i="6"/>
  <c r="J441" i="6"/>
  <c r="J467" i="6"/>
  <c r="J370" i="6"/>
  <c r="J418" i="6"/>
  <c r="J434" i="6"/>
  <c r="J390" i="6"/>
  <c r="J307" i="6"/>
  <c r="J295" i="6"/>
  <c r="J299" i="6"/>
  <c r="J322" i="6"/>
  <c r="J325" i="6"/>
  <c r="J137" i="6"/>
  <c r="J241" i="6"/>
  <c r="J297" i="6"/>
  <c r="J505" i="6"/>
  <c r="J276" i="6"/>
  <c r="J213" i="6"/>
  <c r="J477" i="6"/>
  <c r="J435" i="6"/>
  <c r="J424" i="6"/>
  <c r="J317" i="6"/>
  <c r="J300" i="6"/>
  <c r="J275" i="6"/>
  <c r="J244" i="6"/>
  <c r="J392" i="6"/>
  <c r="J416" i="6"/>
  <c r="J519" i="6"/>
  <c r="J188" i="6"/>
  <c r="J114" i="6"/>
  <c r="J422" i="6"/>
  <c r="J446" i="6"/>
  <c r="J450" i="6"/>
  <c r="J491" i="6"/>
  <c r="J436" i="6"/>
  <c r="J433" i="6"/>
  <c r="J398" i="6"/>
  <c r="J389" i="6"/>
  <c r="J437" i="6"/>
  <c r="J373" i="6"/>
  <c r="J343" i="6"/>
  <c r="J301" i="6"/>
  <c r="J349" i="6"/>
  <c r="J324" i="6"/>
  <c r="J363" i="6"/>
  <c r="J365" i="6"/>
  <c r="J288" i="6"/>
  <c r="J282" i="6"/>
  <c r="J318" i="6"/>
  <c r="J315" i="6"/>
  <c r="J190" i="6"/>
  <c r="J233" i="6"/>
  <c r="J200" i="6"/>
  <c r="J268" i="6"/>
  <c r="J489" i="6"/>
  <c r="J449" i="6"/>
  <c r="J222" i="6"/>
  <c r="J186" i="6"/>
  <c r="J224" i="6"/>
  <c r="J206" i="6"/>
  <c r="J161" i="6"/>
  <c r="J501" i="6"/>
  <c r="J504" i="6"/>
  <c r="J438" i="6"/>
  <c r="J452" i="6"/>
  <c r="J485" i="6"/>
  <c r="J479" i="6"/>
  <c r="J414" i="6"/>
  <c r="J393" i="6"/>
  <c r="J420" i="6"/>
  <c r="J394" i="6"/>
  <c r="J371" i="6"/>
  <c r="J339" i="6"/>
  <c r="J357" i="6"/>
  <c r="J415" i="6"/>
  <c r="J412" i="6"/>
  <c r="J417" i="6"/>
  <c r="J353" i="6"/>
  <c r="J375" i="6"/>
  <c r="J269" i="6"/>
  <c r="J312" i="6"/>
  <c r="J283" i="6"/>
  <c r="J344" i="6"/>
  <c r="J285" i="6"/>
  <c r="J391" i="6"/>
  <c r="J255" i="6"/>
  <c r="J273" i="6"/>
  <c r="J223" i="6"/>
  <c r="J189" i="6"/>
  <c r="J280" i="6"/>
  <c r="J246" i="6"/>
  <c r="J310" i="6"/>
  <c r="J471" i="6"/>
  <c r="J457" i="6"/>
  <c r="J153" i="6"/>
  <c r="J214" i="6"/>
  <c r="J82" i="6"/>
  <c r="J34" i="6"/>
  <c r="E41" i="5"/>
  <c r="F41" i="5" s="1"/>
  <c r="E56" i="5"/>
  <c r="F56" i="5" s="1"/>
  <c r="E44" i="5"/>
  <c r="F44" i="5" s="1"/>
  <c r="E42" i="5"/>
  <c r="F42" i="5" s="1"/>
  <c r="E55" i="5"/>
  <c r="F55" i="5" s="1"/>
  <c r="E53" i="5"/>
  <c r="F53" i="5" s="1"/>
  <c r="E51" i="5"/>
  <c r="F51" i="5" s="1"/>
  <c r="E49" i="5"/>
  <c r="F49" i="5" s="1"/>
  <c r="E47" i="5"/>
  <c r="F47" i="5" s="1"/>
  <c r="E45" i="5"/>
  <c r="F45" i="5" s="1"/>
  <c r="E43" i="5"/>
  <c r="F43" i="5" s="1"/>
  <c r="E54" i="5"/>
  <c r="F54" i="5" s="1"/>
  <c r="E52" i="5"/>
  <c r="F52" i="5" s="1"/>
  <c r="E50" i="5"/>
  <c r="F50" i="5" s="1"/>
  <c r="E48" i="5"/>
  <c r="F48" i="5" s="1"/>
  <c r="E46" i="5"/>
  <c r="F46" i="5" s="1"/>
  <c r="B12" i="4"/>
  <c r="B15" i="4" s="1"/>
  <c r="B25" i="4" s="1"/>
  <c r="B17" i="4" l="1"/>
  <c r="F17" i="4" s="1"/>
  <c r="F18" i="4" s="1"/>
  <c r="N25" i="6"/>
  <c r="N26" i="6" s="1"/>
  <c r="B21" i="4" l="1"/>
  <c r="B22" i="4" s="1"/>
  <c r="B18" i="4"/>
  <c r="B12" i="1"/>
  <c r="B10" i="1"/>
  <c r="B14" i="1"/>
  <c r="H9" i="2"/>
  <c r="B9" i="1"/>
  <c r="B10" i="2" l="1"/>
  <c r="C141" i="2" l="1"/>
  <c r="C142" i="2"/>
  <c r="C269" i="2"/>
  <c r="C270" i="2"/>
  <c r="C375" i="2"/>
  <c r="C376" i="2"/>
  <c r="C439" i="2"/>
  <c r="C440" i="2"/>
  <c r="C503" i="2"/>
  <c r="C504" i="2"/>
  <c r="C546" i="2"/>
  <c r="C547" i="2"/>
  <c r="C578" i="2"/>
  <c r="C579" i="2"/>
  <c r="C610" i="2"/>
  <c r="C611" i="2"/>
  <c r="C642" i="2"/>
  <c r="C643" i="2"/>
  <c r="C674" i="2"/>
  <c r="C675" i="2"/>
  <c r="C706" i="2"/>
  <c r="C707" i="2"/>
  <c r="C738" i="2"/>
  <c r="C739" i="2"/>
  <c r="C770" i="2"/>
  <c r="C771" i="2"/>
  <c r="C802" i="2"/>
  <c r="C803" i="2"/>
  <c r="C834" i="2"/>
  <c r="C835" i="2"/>
  <c r="C866" i="2"/>
  <c r="C867" i="2"/>
  <c r="C898" i="2"/>
  <c r="C899" i="2"/>
  <c r="C930" i="2"/>
  <c r="C931" i="2"/>
  <c r="C962" i="2"/>
  <c r="C963" i="2"/>
  <c r="C994" i="2"/>
  <c r="C995" i="2"/>
  <c r="B26" i="2"/>
  <c r="B27" i="2"/>
  <c r="B46" i="2"/>
  <c r="B47" i="2"/>
  <c r="B62" i="2"/>
  <c r="B63" i="2"/>
  <c r="B78" i="2"/>
  <c r="B79" i="2"/>
  <c r="B94" i="2"/>
  <c r="B95" i="2"/>
  <c r="B110" i="2"/>
  <c r="B111" i="2"/>
  <c r="B126" i="2"/>
  <c r="B127" i="2"/>
  <c r="B142" i="2"/>
  <c r="B143" i="2"/>
  <c r="B158" i="2"/>
  <c r="B159" i="2"/>
  <c r="B174" i="2"/>
  <c r="B175" i="2"/>
  <c r="B190" i="2"/>
  <c r="B191" i="2"/>
  <c r="B206" i="2"/>
  <c r="B207" i="2"/>
  <c r="B222" i="2"/>
  <c r="B223" i="2"/>
  <c r="B238" i="2"/>
  <c r="B239" i="2"/>
  <c r="B254" i="2"/>
  <c r="B255" i="2"/>
  <c r="B270" i="2"/>
  <c r="B271" i="2"/>
  <c r="B286" i="2"/>
  <c r="B287" i="2"/>
  <c r="B302" i="2"/>
  <c r="B303" i="2"/>
  <c r="B318" i="2"/>
  <c r="B319" i="2"/>
  <c r="B334" i="2"/>
  <c r="B335" i="2"/>
  <c r="B350" i="2"/>
  <c r="B351" i="2"/>
  <c r="B366" i="2"/>
  <c r="B367" i="2"/>
  <c r="B379" i="2"/>
  <c r="B380" i="2"/>
  <c r="B387" i="2"/>
  <c r="B388" i="2"/>
  <c r="B395" i="2"/>
  <c r="B396" i="2"/>
  <c r="B403" i="2"/>
  <c r="B404" i="2"/>
  <c r="B411" i="2"/>
  <c r="B412" i="2"/>
  <c r="B419" i="2"/>
  <c r="B420" i="2"/>
  <c r="B427" i="2"/>
  <c r="B428" i="2"/>
  <c r="B435" i="2"/>
  <c r="B436" i="2"/>
  <c r="B443" i="2"/>
  <c r="B444" i="2"/>
  <c r="B451" i="2"/>
  <c r="B452" i="2"/>
  <c r="B459" i="2"/>
  <c r="B460" i="2"/>
  <c r="B467" i="2"/>
  <c r="B468" i="2"/>
  <c r="B475" i="2"/>
  <c r="B476" i="2"/>
  <c r="B483" i="2"/>
  <c r="B484" i="2"/>
  <c r="B491" i="2"/>
  <c r="B492" i="2"/>
  <c r="B499" i="2"/>
  <c r="B500" i="2"/>
  <c r="B507" i="2"/>
  <c r="B508" i="2"/>
  <c r="B515" i="2"/>
  <c r="B516" i="2"/>
  <c r="B523" i="2"/>
  <c r="B524" i="2"/>
  <c r="B531" i="2"/>
  <c r="B532" i="2"/>
  <c r="B539" i="2"/>
  <c r="B540" i="2"/>
  <c r="B547" i="2"/>
  <c r="B548" i="2"/>
  <c r="B555" i="2"/>
  <c r="B556" i="2"/>
  <c r="B563" i="2"/>
  <c r="B564" i="2"/>
  <c r="B571" i="2"/>
  <c r="B572" i="2"/>
  <c r="B579" i="2"/>
  <c r="B580" i="2"/>
  <c r="B587" i="2"/>
  <c r="B588" i="2"/>
  <c r="B595" i="2"/>
  <c r="B596" i="2"/>
  <c r="B603" i="2"/>
  <c r="B604" i="2"/>
  <c r="B611" i="2"/>
  <c r="B612" i="2"/>
  <c r="B619" i="2"/>
  <c r="B620" i="2"/>
  <c r="B627" i="2"/>
  <c r="B628" i="2"/>
  <c r="B635" i="2"/>
  <c r="B636" i="2"/>
  <c r="B643" i="2"/>
  <c r="B644" i="2"/>
  <c r="B651" i="2"/>
  <c r="B652" i="2"/>
  <c r="B659" i="2"/>
  <c r="B660" i="2"/>
  <c r="B667" i="2"/>
  <c r="B668" i="2"/>
  <c r="B675" i="2"/>
  <c r="B676" i="2"/>
  <c r="B683" i="2"/>
  <c r="B684" i="2"/>
  <c r="B691" i="2"/>
  <c r="B692" i="2"/>
  <c r="B699" i="2"/>
  <c r="B700" i="2"/>
  <c r="B707" i="2"/>
  <c r="B708" i="2"/>
  <c r="B715" i="2"/>
  <c r="B716" i="2"/>
  <c r="B723" i="2"/>
  <c r="B724" i="2"/>
  <c r="B731" i="2"/>
  <c r="B732" i="2"/>
  <c r="B739" i="2"/>
  <c r="B740" i="2"/>
  <c r="B747" i="2"/>
  <c r="B748" i="2"/>
  <c r="B755" i="2"/>
  <c r="B756" i="2"/>
  <c r="B763" i="2"/>
  <c r="B764" i="2"/>
  <c r="B771" i="2"/>
  <c r="B772" i="2"/>
  <c r="B779" i="2"/>
  <c r="B780" i="2"/>
  <c r="B787" i="2"/>
  <c r="B788" i="2"/>
  <c r="B795" i="2"/>
  <c r="B796" i="2"/>
  <c r="B803" i="2"/>
  <c r="B804" i="2"/>
  <c r="B811" i="2"/>
  <c r="B812" i="2"/>
  <c r="B819" i="2"/>
  <c r="B820" i="2"/>
  <c r="B827" i="2"/>
  <c r="B828" i="2"/>
  <c r="B835" i="2"/>
  <c r="B836" i="2"/>
  <c r="B843" i="2"/>
  <c r="B844" i="2"/>
  <c r="B851" i="2"/>
  <c r="B852" i="2"/>
  <c r="B859" i="2"/>
  <c r="B860" i="2"/>
  <c r="B867" i="2"/>
  <c r="B868" i="2"/>
  <c r="B875" i="2"/>
  <c r="B876" i="2"/>
  <c r="B883" i="2"/>
  <c r="B884" i="2"/>
  <c r="B891" i="2"/>
  <c r="B892" i="2"/>
  <c r="B899" i="2"/>
  <c r="B900" i="2"/>
  <c r="B907" i="2"/>
  <c r="B908" i="2"/>
  <c r="B915" i="2"/>
  <c r="B916" i="2"/>
  <c r="B923" i="2"/>
  <c r="B924" i="2"/>
  <c r="B931" i="2"/>
  <c r="B932" i="2"/>
  <c r="B939" i="2"/>
  <c r="B940" i="2"/>
  <c r="B947" i="2"/>
  <c r="B948" i="2"/>
  <c r="B955" i="2"/>
  <c r="B956" i="2"/>
  <c r="B963" i="2"/>
  <c r="B964" i="2"/>
  <c r="B971" i="2"/>
  <c r="B972" i="2"/>
  <c r="B979" i="2"/>
  <c r="B980" i="2"/>
  <c r="B987" i="2"/>
  <c r="B988" i="2"/>
  <c r="B995" i="2"/>
  <c r="B996" i="2"/>
  <c r="B1003" i="2"/>
  <c r="B1004" i="2"/>
  <c r="B1011" i="2"/>
  <c r="B1012" i="2"/>
  <c r="C9" i="1"/>
  <c r="C10" i="1" l="1"/>
  <c r="C15" i="2"/>
  <c r="C19" i="2"/>
  <c r="C23" i="2"/>
  <c r="C27" i="2"/>
  <c r="C31" i="2"/>
  <c r="C35" i="2"/>
  <c r="C39" i="2"/>
  <c r="C43" i="2"/>
  <c r="C47" i="2"/>
  <c r="C51" i="2"/>
  <c r="C55" i="2"/>
  <c r="C59" i="2"/>
  <c r="C63" i="2"/>
  <c r="C67" i="2"/>
  <c r="C71" i="2"/>
  <c r="C75" i="2"/>
  <c r="C79" i="2"/>
  <c r="C83" i="2"/>
  <c r="C87" i="2"/>
  <c r="C91" i="2"/>
  <c r="C95" i="2"/>
  <c r="C99" i="2"/>
  <c r="C103" i="2"/>
  <c r="C107" i="2"/>
  <c r="C111" i="2"/>
  <c r="C115" i="2"/>
  <c r="C119" i="2"/>
  <c r="C123" i="2"/>
  <c r="C127" i="2"/>
  <c r="C131" i="2"/>
  <c r="C135" i="2"/>
  <c r="C139" i="2"/>
  <c r="C143" i="2"/>
  <c r="C147" i="2"/>
  <c r="C151" i="2"/>
  <c r="C155" i="2"/>
  <c r="C159" i="2"/>
  <c r="C163" i="2"/>
  <c r="C167" i="2"/>
  <c r="C171" i="2"/>
  <c r="C175" i="2"/>
  <c r="C179" i="2"/>
  <c r="C183" i="2"/>
  <c r="C187" i="2"/>
  <c r="C191" i="2"/>
  <c r="C195" i="2"/>
  <c r="C199" i="2"/>
  <c r="C203" i="2"/>
  <c r="C207" i="2"/>
  <c r="C211" i="2"/>
  <c r="C215" i="2"/>
  <c r="C219" i="2"/>
  <c r="C223" i="2"/>
  <c r="C227" i="2"/>
  <c r="C231" i="2"/>
  <c r="C235" i="2"/>
  <c r="C239" i="2"/>
  <c r="C243" i="2"/>
  <c r="C247" i="2"/>
  <c r="C251" i="2"/>
  <c r="C255" i="2"/>
  <c r="C259" i="2"/>
  <c r="C263" i="2"/>
  <c r="C267" i="2"/>
  <c r="C271" i="2"/>
  <c r="C275" i="2"/>
  <c r="C279" i="2"/>
  <c r="C283" i="2"/>
  <c r="C287" i="2"/>
  <c r="C291" i="2"/>
  <c r="C295" i="2"/>
  <c r="C299" i="2"/>
  <c r="C303" i="2"/>
  <c r="C307" i="2"/>
  <c r="C311" i="2"/>
  <c r="C315" i="2"/>
  <c r="C319" i="2"/>
  <c r="C323" i="2"/>
  <c r="C327" i="2"/>
  <c r="C331" i="2"/>
  <c r="C335" i="2"/>
  <c r="C339" i="2"/>
  <c r="C343" i="2"/>
  <c r="C347" i="2"/>
  <c r="C351" i="2"/>
  <c r="C16" i="2"/>
  <c r="C20" i="2"/>
  <c r="C24" i="2"/>
  <c r="C28" i="2"/>
  <c r="C32" i="2"/>
  <c r="C36" i="2"/>
  <c r="C40" i="2"/>
  <c r="C44" i="2"/>
  <c r="C48" i="2"/>
  <c r="C52" i="2"/>
  <c r="C56" i="2"/>
  <c r="C60" i="2"/>
  <c r="C64" i="2"/>
  <c r="C68" i="2"/>
  <c r="C72" i="2"/>
  <c r="C76" i="2"/>
  <c r="C80" i="2"/>
  <c r="C84" i="2"/>
  <c r="C88" i="2"/>
  <c r="C92" i="2"/>
  <c r="C96" i="2"/>
  <c r="C100" i="2"/>
  <c r="C104" i="2"/>
  <c r="C108" i="2"/>
  <c r="C112" i="2"/>
  <c r="C116" i="2"/>
  <c r="C120" i="2"/>
  <c r="C124" i="2"/>
  <c r="C128" i="2"/>
  <c r="C132" i="2"/>
  <c r="C136" i="2"/>
  <c r="C140" i="2"/>
  <c r="C144" i="2"/>
  <c r="C148" i="2"/>
  <c r="C152" i="2"/>
  <c r="C156" i="2"/>
  <c r="C160" i="2"/>
  <c r="C164" i="2"/>
  <c r="C168" i="2"/>
  <c r="C172" i="2"/>
  <c r="C176" i="2"/>
  <c r="C180" i="2"/>
  <c r="C184" i="2"/>
  <c r="C188" i="2"/>
  <c r="C192" i="2"/>
  <c r="C196" i="2"/>
  <c r="C200" i="2"/>
  <c r="C204" i="2"/>
  <c r="C208" i="2"/>
  <c r="C212" i="2"/>
  <c r="C216" i="2"/>
  <c r="C220" i="2"/>
  <c r="C224" i="2"/>
  <c r="C228" i="2"/>
  <c r="C232" i="2"/>
  <c r="C236" i="2"/>
  <c r="C240" i="2"/>
  <c r="C244" i="2"/>
  <c r="C248" i="2"/>
  <c r="C252" i="2"/>
  <c r="C256" i="2"/>
  <c r="C260" i="2"/>
  <c r="C264" i="2"/>
  <c r="C268" i="2"/>
  <c r="C272" i="2"/>
  <c r="C276" i="2"/>
  <c r="C280" i="2"/>
  <c r="C284" i="2"/>
  <c r="C288" i="2"/>
  <c r="C292" i="2"/>
  <c r="C296" i="2"/>
  <c r="C300" i="2"/>
  <c r="C304" i="2"/>
  <c r="C308" i="2"/>
  <c r="C312" i="2"/>
  <c r="C316" i="2"/>
  <c r="C320" i="2"/>
  <c r="C324" i="2"/>
  <c r="C328" i="2"/>
  <c r="C332" i="2"/>
  <c r="C336" i="2"/>
  <c r="C340" i="2"/>
  <c r="C344" i="2"/>
  <c r="C348" i="2"/>
  <c r="C352" i="2"/>
  <c r="C17" i="2"/>
  <c r="C25" i="2"/>
  <c r="C33" i="2"/>
  <c r="C41" i="2"/>
  <c r="C49" i="2"/>
  <c r="C57" i="2"/>
  <c r="C65" i="2"/>
  <c r="C73" i="2"/>
  <c r="C81" i="2"/>
  <c r="C89" i="2"/>
  <c r="C97" i="2"/>
  <c r="C105" i="2"/>
  <c r="C113" i="2"/>
  <c r="C121" i="2"/>
  <c r="C129" i="2"/>
  <c r="C137" i="2"/>
  <c r="C145" i="2"/>
  <c r="C153" i="2"/>
  <c r="C161" i="2"/>
  <c r="C169" i="2"/>
  <c r="C177" i="2"/>
  <c r="C185" i="2"/>
  <c r="C193" i="2"/>
  <c r="C201" i="2"/>
  <c r="C209" i="2"/>
  <c r="C217" i="2"/>
  <c r="C225" i="2"/>
  <c r="C233" i="2"/>
  <c r="C241" i="2"/>
  <c r="C249" i="2"/>
  <c r="C257" i="2"/>
  <c r="C265" i="2"/>
  <c r="C273" i="2"/>
  <c r="C281" i="2"/>
  <c r="C289" i="2"/>
  <c r="C297" i="2"/>
  <c r="C305" i="2"/>
  <c r="C313" i="2"/>
  <c r="C321" i="2"/>
  <c r="C329" i="2"/>
  <c r="C337" i="2"/>
  <c r="C345" i="2"/>
  <c r="C353" i="2"/>
  <c r="C357" i="2"/>
  <c r="C361" i="2"/>
  <c r="C365" i="2"/>
  <c r="C369" i="2"/>
  <c r="C373" i="2"/>
  <c r="C377" i="2"/>
  <c r="C381" i="2"/>
  <c r="C385" i="2"/>
  <c r="C389" i="2"/>
  <c r="C393" i="2"/>
  <c r="C397" i="2"/>
  <c r="C401" i="2"/>
  <c r="C405" i="2"/>
  <c r="C409" i="2"/>
  <c r="C413" i="2"/>
  <c r="C417" i="2"/>
  <c r="C421" i="2"/>
  <c r="C425" i="2"/>
  <c r="C429" i="2"/>
  <c r="C433" i="2"/>
  <c r="C437" i="2"/>
  <c r="C441" i="2"/>
  <c r="C445" i="2"/>
  <c r="C449" i="2"/>
  <c r="C453" i="2"/>
  <c r="C457" i="2"/>
  <c r="C461" i="2"/>
  <c r="C465" i="2"/>
  <c r="C469" i="2"/>
  <c r="C473" i="2"/>
  <c r="C477" i="2"/>
  <c r="C481" i="2"/>
  <c r="C485" i="2"/>
  <c r="C489" i="2"/>
  <c r="C493" i="2"/>
  <c r="C497" i="2"/>
  <c r="C501" i="2"/>
  <c r="C505" i="2"/>
  <c r="C509" i="2"/>
  <c r="C513" i="2"/>
  <c r="C517" i="2"/>
  <c r="C521" i="2"/>
  <c r="C525" i="2"/>
  <c r="C18" i="2"/>
  <c r="C26" i="2"/>
  <c r="C34" i="2"/>
  <c r="C42" i="2"/>
  <c r="C50" i="2"/>
  <c r="C58" i="2"/>
  <c r="C66" i="2"/>
  <c r="C74" i="2"/>
  <c r="C82" i="2"/>
  <c r="C90" i="2"/>
  <c r="C98" i="2"/>
  <c r="C106" i="2"/>
  <c r="C114" i="2"/>
  <c r="C122" i="2"/>
  <c r="C130" i="2"/>
  <c r="C138" i="2"/>
  <c r="C146" i="2"/>
  <c r="C154" i="2"/>
  <c r="C162" i="2"/>
  <c r="C170" i="2"/>
  <c r="C178" i="2"/>
  <c r="C186" i="2"/>
  <c r="C194" i="2"/>
  <c r="C202" i="2"/>
  <c r="C210" i="2"/>
  <c r="C218" i="2"/>
  <c r="C226" i="2"/>
  <c r="C234" i="2"/>
  <c r="C242" i="2"/>
  <c r="C250" i="2"/>
  <c r="C258" i="2"/>
  <c r="C266" i="2"/>
  <c r="C274" i="2"/>
  <c r="C282" i="2"/>
  <c r="C290" i="2"/>
  <c r="C298" i="2"/>
  <c r="C306" i="2"/>
  <c r="C314" i="2"/>
  <c r="C322" i="2"/>
  <c r="C330" i="2"/>
  <c r="C338" i="2"/>
  <c r="C346" i="2"/>
  <c r="C354" i="2"/>
  <c r="C358" i="2"/>
  <c r="C362" i="2"/>
  <c r="C366" i="2"/>
  <c r="C370" i="2"/>
  <c r="C374" i="2"/>
  <c r="C378" i="2"/>
  <c r="C382" i="2"/>
  <c r="C386" i="2"/>
  <c r="C390" i="2"/>
  <c r="C394" i="2"/>
  <c r="C398" i="2"/>
  <c r="C402" i="2"/>
  <c r="C406" i="2"/>
  <c r="C410" i="2"/>
  <c r="C414" i="2"/>
  <c r="C418" i="2"/>
  <c r="C422" i="2"/>
  <c r="C426" i="2"/>
  <c r="C430" i="2"/>
  <c r="C434" i="2"/>
  <c r="C438" i="2"/>
  <c r="C442" i="2"/>
  <c r="C446" i="2"/>
  <c r="C450" i="2"/>
  <c r="C454" i="2"/>
  <c r="C458" i="2"/>
  <c r="C462" i="2"/>
  <c r="C466" i="2"/>
  <c r="C470" i="2"/>
  <c r="C474" i="2"/>
  <c r="C478" i="2"/>
  <c r="C482" i="2"/>
  <c r="C486" i="2"/>
  <c r="C490" i="2"/>
  <c r="C494" i="2"/>
  <c r="C498" i="2"/>
  <c r="C502" i="2"/>
  <c r="C506" i="2"/>
  <c r="C510" i="2"/>
  <c r="C514" i="2"/>
  <c r="C518" i="2"/>
  <c r="C522" i="2"/>
  <c r="C21" i="2"/>
  <c r="C37" i="2"/>
  <c r="C53" i="2"/>
  <c r="C69" i="2"/>
  <c r="C85" i="2"/>
  <c r="C101" i="2"/>
  <c r="C117" i="2"/>
  <c r="C133" i="2"/>
  <c r="C149" i="2"/>
  <c r="C165" i="2"/>
  <c r="C181" i="2"/>
  <c r="C197" i="2"/>
  <c r="C213" i="2"/>
  <c r="C229" i="2"/>
  <c r="C245" i="2"/>
  <c r="C261" i="2"/>
  <c r="C277" i="2"/>
  <c r="C293" i="2"/>
  <c r="C309" i="2"/>
  <c r="C325" i="2"/>
  <c r="C341" i="2"/>
  <c r="C355" i="2"/>
  <c r="C363" i="2"/>
  <c r="C371" i="2"/>
  <c r="C379" i="2"/>
  <c r="C387" i="2"/>
  <c r="C395" i="2"/>
  <c r="C403" i="2"/>
  <c r="C411" i="2"/>
  <c r="C419" i="2"/>
  <c r="C427" i="2"/>
  <c r="C435" i="2"/>
  <c r="C443" i="2"/>
  <c r="C451" i="2"/>
  <c r="C459" i="2"/>
  <c r="C467" i="2"/>
  <c r="C475" i="2"/>
  <c r="C483" i="2"/>
  <c r="C491" i="2"/>
  <c r="C499" i="2"/>
  <c r="C507" i="2"/>
  <c r="C515" i="2"/>
  <c r="C523" i="2"/>
  <c r="C528" i="2"/>
  <c r="C532" i="2"/>
  <c r="C536" i="2"/>
  <c r="C540" i="2"/>
  <c r="C544" i="2"/>
  <c r="C548" i="2"/>
  <c r="C552" i="2"/>
  <c r="C556" i="2"/>
  <c r="C560" i="2"/>
  <c r="C564" i="2"/>
  <c r="C568" i="2"/>
  <c r="C572" i="2"/>
  <c r="C576" i="2"/>
  <c r="C580" i="2"/>
  <c r="C584" i="2"/>
  <c r="C588" i="2"/>
  <c r="C592" i="2"/>
  <c r="C596" i="2"/>
  <c r="C600" i="2"/>
  <c r="C604" i="2"/>
  <c r="C608" i="2"/>
  <c r="C612" i="2"/>
  <c r="C616" i="2"/>
  <c r="C620" i="2"/>
  <c r="C624" i="2"/>
  <c r="C628" i="2"/>
  <c r="C632" i="2"/>
  <c r="C636" i="2"/>
  <c r="C640" i="2"/>
  <c r="C644" i="2"/>
  <c r="C648" i="2"/>
  <c r="C652" i="2"/>
  <c r="C656" i="2"/>
  <c r="C660" i="2"/>
  <c r="C664" i="2"/>
  <c r="C668" i="2"/>
  <c r="C672" i="2"/>
  <c r="C676" i="2"/>
  <c r="C680" i="2"/>
  <c r="C684" i="2"/>
  <c r="C688" i="2"/>
  <c r="C692" i="2"/>
  <c r="C696" i="2"/>
  <c r="C700" i="2"/>
  <c r="C704" i="2"/>
  <c r="C708" i="2"/>
  <c r="C712" i="2"/>
  <c r="C716" i="2"/>
  <c r="C720" i="2"/>
  <c r="C724" i="2"/>
  <c r="C728" i="2"/>
  <c r="C732" i="2"/>
  <c r="C736" i="2"/>
  <c r="C740" i="2"/>
  <c r="C744" i="2"/>
  <c r="C748" i="2"/>
  <c r="C752" i="2"/>
  <c r="C756" i="2"/>
  <c r="C760" i="2"/>
  <c r="C764" i="2"/>
  <c r="C768" i="2"/>
  <c r="C772" i="2"/>
  <c r="C776" i="2"/>
  <c r="C780" i="2"/>
  <c r="C784" i="2"/>
  <c r="C788" i="2"/>
  <c r="C792" i="2"/>
  <c r="C796" i="2"/>
  <c r="C800" i="2"/>
  <c r="C804" i="2"/>
  <c r="C808" i="2"/>
  <c r="C812" i="2"/>
  <c r="C816" i="2"/>
  <c r="C820" i="2"/>
  <c r="C824" i="2"/>
  <c r="C828" i="2"/>
  <c r="C832" i="2"/>
  <c r="C836" i="2"/>
  <c r="C840" i="2"/>
  <c r="C844" i="2"/>
  <c r="C848" i="2"/>
  <c r="C852" i="2"/>
  <c r="C856" i="2"/>
  <c r="C860" i="2"/>
  <c r="C864" i="2"/>
  <c r="C868" i="2"/>
  <c r="C872" i="2"/>
  <c r="C876" i="2"/>
  <c r="C880" i="2"/>
  <c r="C884" i="2"/>
  <c r="C888" i="2"/>
  <c r="C892" i="2"/>
  <c r="C896" i="2"/>
  <c r="C900" i="2"/>
  <c r="C904" i="2"/>
  <c r="C908" i="2"/>
  <c r="C912" i="2"/>
  <c r="C916" i="2"/>
  <c r="C920" i="2"/>
  <c r="C924" i="2"/>
  <c r="C928" i="2"/>
  <c r="C932" i="2"/>
  <c r="C936" i="2"/>
  <c r="C940" i="2"/>
  <c r="C944" i="2"/>
  <c r="C948" i="2"/>
  <c r="C952" i="2"/>
  <c r="C956" i="2"/>
  <c r="C960" i="2"/>
  <c r="C964" i="2"/>
  <c r="C968" i="2"/>
  <c r="C972" i="2"/>
  <c r="C976" i="2"/>
  <c r="C980" i="2"/>
  <c r="C984" i="2"/>
  <c r="C988" i="2"/>
  <c r="C992" i="2"/>
  <c r="C996" i="2"/>
  <c r="C1000" i="2"/>
  <c r="C1004" i="2"/>
  <c r="C1008" i="2"/>
  <c r="C1012" i="2"/>
  <c r="B16" i="2"/>
  <c r="B20" i="2"/>
  <c r="B24" i="2"/>
  <c r="B28" i="2"/>
  <c r="B32" i="2"/>
  <c r="C22" i="2"/>
  <c r="C38" i="2"/>
  <c r="C54" i="2"/>
  <c r="C70" i="2"/>
  <c r="C86" i="2"/>
  <c r="C102" i="2"/>
  <c r="C118" i="2"/>
  <c r="C134" i="2"/>
  <c r="C150" i="2"/>
  <c r="C166" i="2"/>
  <c r="C182" i="2"/>
  <c r="C198" i="2"/>
  <c r="C214" i="2"/>
  <c r="C230" i="2"/>
  <c r="C246" i="2"/>
  <c r="C262" i="2"/>
  <c r="C278" i="2"/>
  <c r="C294" i="2"/>
  <c r="C310" i="2"/>
  <c r="C326" i="2"/>
  <c r="C342" i="2"/>
  <c r="C356" i="2"/>
  <c r="C364" i="2"/>
  <c r="C372" i="2"/>
  <c r="C380" i="2"/>
  <c r="C388" i="2"/>
  <c r="C396" i="2"/>
  <c r="C404" i="2"/>
  <c r="C412" i="2"/>
  <c r="C420" i="2"/>
  <c r="C428" i="2"/>
  <c r="C436" i="2"/>
  <c r="C444" i="2"/>
  <c r="C452" i="2"/>
  <c r="C460" i="2"/>
  <c r="C468" i="2"/>
  <c r="C476" i="2"/>
  <c r="C484" i="2"/>
  <c r="C492" i="2"/>
  <c r="C500" i="2"/>
  <c r="C508" i="2"/>
  <c r="C516" i="2"/>
  <c r="C524" i="2"/>
  <c r="C529" i="2"/>
  <c r="C533" i="2"/>
  <c r="C537" i="2"/>
  <c r="C541" i="2"/>
  <c r="C545" i="2"/>
  <c r="C549" i="2"/>
  <c r="C553" i="2"/>
  <c r="C557" i="2"/>
  <c r="C561" i="2"/>
  <c r="C565" i="2"/>
  <c r="C569" i="2"/>
  <c r="C573" i="2"/>
  <c r="C577" i="2"/>
  <c r="C581" i="2"/>
  <c r="C585" i="2"/>
  <c r="C589" i="2"/>
  <c r="C593" i="2"/>
  <c r="C597" i="2"/>
  <c r="C601" i="2"/>
  <c r="C605" i="2"/>
  <c r="C609" i="2"/>
  <c r="C613" i="2"/>
  <c r="C617" i="2"/>
  <c r="C621" i="2"/>
  <c r="C625" i="2"/>
  <c r="C629" i="2"/>
  <c r="C633" i="2"/>
  <c r="C637" i="2"/>
  <c r="C641" i="2"/>
  <c r="C645" i="2"/>
  <c r="C649" i="2"/>
  <c r="C653" i="2"/>
  <c r="C657" i="2"/>
  <c r="C661" i="2"/>
  <c r="C665" i="2"/>
  <c r="C669" i="2"/>
  <c r="C673" i="2"/>
  <c r="C677" i="2"/>
  <c r="C681" i="2"/>
  <c r="C685" i="2"/>
  <c r="C689" i="2"/>
  <c r="C693" i="2"/>
  <c r="C697" i="2"/>
  <c r="C701" i="2"/>
  <c r="C705" i="2"/>
  <c r="C709" i="2"/>
  <c r="C713" i="2"/>
  <c r="C717" i="2"/>
  <c r="C721" i="2"/>
  <c r="C725" i="2"/>
  <c r="C729" i="2"/>
  <c r="C733" i="2"/>
  <c r="C737" i="2"/>
  <c r="C741" i="2"/>
  <c r="C745" i="2"/>
  <c r="C749" i="2"/>
  <c r="C753" i="2"/>
  <c r="C757" i="2"/>
  <c r="C761" i="2"/>
  <c r="C765" i="2"/>
  <c r="C769" i="2"/>
  <c r="C773" i="2"/>
  <c r="C777" i="2"/>
  <c r="C781" i="2"/>
  <c r="C785" i="2"/>
  <c r="C789" i="2"/>
  <c r="C793" i="2"/>
  <c r="C797" i="2"/>
  <c r="C801" i="2"/>
  <c r="C805" i="2"/>
  <c r="C809" i="2"/>
  <c r="C813" i="2"/>
  <c r="C817" i="2"/>
  <c r="C821" i="2"/>
  <c r="C825" i="2"/>
  <c r="C829" i="2"/>
  <c r="C833" i="2"/>
  <c r="C837" i="2"/>
  <c r="C841" i="2"/>
  <c r="C845" i="2"/>
  <c r="C849" i="2"/>
  <c r="C853" i="2"/>
  <c r="C857" i="2"/>
  <c r="C861" i="2"/>
  <c r="C865" i="2"/>
  <c r="C869" i="2"/>
  <c r="C873" i="2"/>
  <c r="C877" i="2"/>
  <c r="C881" i="2"/>
  <c r="C885" i="2"/>
  <c r="C889" i="2"/>
  <c r="C893" i="2"/>
  <c r="C897" i="2"/>
  <c r="C901" i="2"/>
  <c r="C905" i="2"/>
  <c r="C909" i="2"/>
  <c r="C913" i="2"/>
  <c r="C917" i="2"/>
  <c r="C921" i="2"/>
  <c r="C925" i="2"/>
  <c r="C929" i="2"/>
  <c r="C933" i="2"/>
  <c r="C937" i="2"/>
  <c r="C941" i="2"/>
  <c r="C945" i="2"/>
  <c r="C949" i="2"/>
  <c r="C953" i="2"/>
  <c r="C957" i="2"/>
  <c r="C961" i="2"/>
  <c r="C965" i="2"/>
  <c r="C969" i="2"/>
  <c r="C973" i="2"/>
  <c r="C977" i="2"/>
  <c r="C981" i="2"/>
  <c r="C985" i="2"/>
  <c r="C989" i="2"/>
  <c r="C993" i="2"/>
  <c r="C997" i="2"/>
  <c r="C1001" i="2"/>
  <c r="C1005" i="2"/>
  <c r="C1009" i="2"/>
  <c r="C1013" i="2"/>
  <c r="B17" i="2"/>
  <c r="B21" i="2"/>
  <c r="B25" i="2"/>
  <c r="B29" i="2"/>
  <c r="B33" i="2"/>
  <c r="C29" i="2"/>
  <c r="C61" i="2"/>
  <c r="C93" i="2"/>
  <c r="C125" i="2"/>
  <c r="C157" i="2"/>
  <c r="C189" i="2"/>
  <c r="C221" i="2"/>
  <c r="C253" i="2"/>
  <c r="C285" i="2"/>
  <c r="C317" i="2"/>
  <c r="C349" i="2"/>
  <c r="C367" i="2"/>
  <c r="C383" i="2"/>
  <c r="C399" i="2"/>
  <c r="C415" i="2"/>
  <c r="C431" i="2"/>
  <c r="C447" i="2"/>
  <c r="C463" i="2"/>
  <c r="C479" i="2"/>
  <c r="C495" i="2"/>
  <c r="C511" i="2"/>
  <c r="C526" i="2"/>
  <c r="C534" i="2"/>
  <c r="C542" i="2"/>
  <c r="C550" i="2"/>
  <c r="C558" i="2"/>
  <c r="C566" i="2"/>
  <c r="C574" i="2"/>
  <c r="C582" i="2"/>
  <c r="C590" i="2"/>
  <c r="C598" i="2"/>
  <c r="C606" i="2"/>
  <c r="C614" i="2"/>
  <c r="C622" i="2"/>
  <c r="C630" i="2"/>
  <c r="C638" i="2"/>
  <c r="C646" i="2"/>
  <c r="C654" i="2"/>
  <c r="C662" i="2"/>
  <c r="C670" i="2"/>
  <c r="C678" i="2"/>
  <c r="C686" i="2"/>
  <c r="C694" i="2"/>
  <c r="C702" i="2"/>
  <c r="C710" i="2"/>
  <c r="C718" i="2"/>
  <c r="C726" i="2"/>
  <c r="C734" i="2"/>
  <c r="C742" i="2"/>
  <c r="C750" i="2"/>
  <c r="C758" i="2"/>
  <c r="C766" i="2"/>
  <c r="C774" i="2"/>
  <c r="C782" i="2"/>
  <c r="C790" i="2"/>
  <c r="C798" i="2"/>
  <c r="C806" i="2"/>
  <c r="C814" i="2"/>
  <c r="C822" i="2"/>
  <c r="C830" i="2"/>
  <c r="C838" i="2"/>
  <c r="C846" i="2"/>
  <c r="C854" i="2"/>
  <c r="C862" i="2"/>
  <c r="C870" i="2"/>
  <c r="C878" i="2"/>
  <c r="C886" i="2"/>
  <c r="C894" i="2"/>
  <c r="C902" i="2"/>
  <c r="C910" i="2"/>
  <c r="C918" i="2"/>
  <c r="C926" i="2"/>
  <c r="C934" i="2"/>
  <c r="C942" i="2"/>
  <c r="C950" i="2"/>
  <c r="C958" i="2"/>
  <c r="C966" i="2"/>
  <c r="C974" i="2"/>
  <c r="C982" i="2"/>
  <c r="C990" i="2"/>
  <c r="C998" i="2"/>
  <c r="C1006" i="2"/>
  <c r="C14" i="2"/>
  <c r="B22" i="2"/>
  <c r="B30" i="2"/>
  <c r="B36" i="2"/>
  <c r="B40" i="2"/>
  <c r="B44" i="2"/>
  <c r="B48" i="2"/>
  <c r="B52" i="2"/>
  <c r="B56" i="2"/>
  <c r="B60" i="2"/>
  <c r="B64" i="2"/>
  <c r="B68" i="2"/>
  <c r="B72" i="2"/>
  <c r="B76" i="2"/>
  <c r="B80" i="2"/>
  <c r="B84" i="2"/>
  <c r="B88" i="2"/>
  <c r="B92" i="2"/>
  <c r="B96" i="2"/>
  <c r="B100" i="2"/>
  <c r="B104" i="2"/>
  <c r="B108" i="2"/>
  <c r="B112" i="2"/>
  <c r="B116" i="2"/>
  <c r="B120" i="2"/>
  <c r="B124" i="2"/>
  <c r="B128" i="2"/>
  <c r="B132" i="2"/>
  <c r="B136" i="2"/>
  <c r="B140" i="2"/>
  <c r="B144" i="2"/>
  <c r="B148" i="2"/>
  <c r="B152" i="2"/>
  <c r="B156" i="2"/>
  <c r="B160" i="2"/>
  <c r="B164" i="2"/>
  <c r="B168" i="2"/>
  <c r="B172" i="2"/>
  <c r="B176" i="2"/>
  <c r="B180" i="2"/>
  <c r="B184" i="2"/>
  <c r="B188" i="2"/>
  <c r="B192" i="2"/>
  <c r="B196" i="2"/>
  <c r="B200" i="2"/>
  <c r="B204" i="2"/>
  <c r="B208" i="2"/>
  <c r="B212" i="2"/>
  <c r="B216" i="2"/>
  <c r="B220" i="2"/>
  <c r="B224" i="2"/>
  <c r="B228" i="2"/>
  <c r="B232" i="2"/>
  <c r="B236" i="2"/>
  <c r="B240" i="2"/>
  <c r="B244" i="2"/>
  <c r="B248" i="2"/>
  <c r="B252" i="2"/>
  <c r="B256" i="2"/>
  <c r="B260" i="2"/>
  <c r="B264" i="2"/>
  <c r="B268" i="2"/>
  <c r="B272" i="2"/>
  <c r="B276" i="2"/>
  <c r="B280" i="2"/>
  <c r="B284" i="2"/>
  <c r="B288" i="2"/>
  <c r="B292" i="2"/>
  <c r="B296" i="2"/>
  <c r="B300" i="2"/>
  <c r="B304" i="2"/>
  <c r="B308" i="2"/>
  <c r="B312" i="2"/>
  <c r="B316" i="2"/>
  <c r="B320" i="2"/>
  <c r="B324" i="2"/>
  <c r="B328" i="2"/>
  <c r="B332" i="2"/>
  <c r="B336" i="2"/>
  <c r="B340" i="2"/>
  <c r="B344" i="2"/>
  <c r="B348" i="2"/>
  <c r="B352" i="2"/>
  <c r="B356" i="2"/>
  <c r="B360" i="2"/>
  <c r="B364" i="2"/>
  <c r="B368" i="2"/>
  <c r="B372" i="2"/>
  <c r="B376" i="2"/>
  <c r="C30" i="2"/>
  <c r="C62" i="2"/>
  <c r="C94" i="2"/>
  <c r="C126" i="2"/>
  <c r="C158" i="2"/>
  <c r="C190" i="2"/>
  <c r="C222" i="2"/>
  <c r="C254" i="2"/>
  <c r="C286" i="2"/>
  <c r="C318" i="2"/>
  <c r="C350" i="2"/>
  <c r="C368" i="2"/>
  <c r="C384" i="2"/>
  <c r="C400" i="2"/>
  <c r="C416" i="2"/>
  <c r="C432" i="2"/>
  <c r="C448" i="2"/>
  <c r="C464" i="2"/>
  <c r="C480" i="2"/>
  <c r="C496" i="2"/>
  <c r="C512" i="2"/>
  <c r="C527" i="2"/>
  <c r="C535" i="2"/>
  <c r="C543" i="2"/>
  <c r="C551" i="2"/>
  <c r="C559" i="2"/>
  <c r="C567" i="2"/>
  <c r="C575" i="2"/>
  <c r="C583" i="2"/>
  <c r="C591" i="2"/>
  <c r="C599" i="2"/>
  <c r="C607" i="2"/>
  <c r="C615" i="2"/>
  <c r="C623" i="2"/>
  <c r="C631" i="2"/>
  <c r="C639" i="2"/>
  <c r="C647" i="2"/>
  <c r="C655" i="2"/>
  <c r="C663" i="2"/>
  <c r="C671" i="2"/>
  <c r="C679" i="2"/>
  <c r="C687" i="2"/>
  <c r="C695" i="2"/>
  <c r="C703" i="2"/>
  <c r="C711" i="2"/>
  <c r="C719" i="2"/>
  <c r="C727" i="2"/>
  <c r="C735" i="2"/>
  <c r="C743" i="2"/>
  <c r="C751" i="2"/>
  <c r="C759" i="2"/>
  <c r="C767" i="2"/>
  <c r="C775" i="2"/>
  <c r="C783" i="2"/>
  <c r="C791" i="2"/>
  <c r="C799" i="2"/>
  <c r="C807" i="2"/>
  <c r="C815" i="2"/>
  <c r="C823" i="2"/>
  <c r="C831" i="2"/>
  <c r="C839" i="2"/>
  <c r="C847" i="2"/>
  <c r="C855" i="2"/>
  <c r="C863" i="2"/>
  <c r="C871" i="2"/>
  <c r="C879" i="2"/>
  <c r="C887" i="2"/>
  <c r="C895" i="2"/>
  <c r="C903" i="2"/>
  <c r="C911" i="2"/>
  <c r="C919" i="2"/>
  <c r="C927" i="2"/>
  <c r="C935" i="2"/>
  <c r="C943" i="2"/>
  <c r="C951" i="2"/>
  <c r="C959" i="2"/>
  <c r="C967" i="2"/>
  <c r="C975" i="2"/>
  <c r="C983" i="2"/>
  <c r="C991" i="2"/>
  <c r="C999" i="2"/>
  <c r="C1007" i="2"/>
  <c r="B15" i="2"/>
  <c r="B23" i="2"/>
  <c r="B31" i="2"/>
  <c r="B37" i="2"/>
  <c r="B41" i="2"/>
  <c r="B45" i="2"/>
  <c r="B49" i="2"/>
  <c r="B53" i="2"/>
  <c r="B57" i="2"/>
  <c r="B61" i="2"/>
  <c r="B65" i="2"/>
  <c r="B69" i="2"/>
  <c r="B73" i="2"/>
  <c r="B77" i="2"/>
  <c r="B81" i="2"/>
  <c r="B85" i="2"/>
  <c r="B89" i="2"/>
  <c r="B93" i="2"/>
  <c r="B97" i="2"/>
  <c r="B101" i="2"/>
  <c r="B105" i="2"/>
  <c r="B109" i="2"/>
  <c r="B113" i="2"/>
  <c r="B117" i="2"/>
  <c r="B121" i="2"/>
  <c r="B125" i="2"/>
  <c r="B129" i="2"/>
  <c r="B133" i="2"/>
  <c r="B137" i="2"/>
  <c r="B141" i="2"/>
  <c r="B145" i="2"/>
  <c r="B149" i="2"/>
  <c r="B153" i="2"/>
  <c r="B157" i="2"/>
  <c r="B161" i="2"/>
  <c r="B165" i="2"/>
  <c r="B169" i="2"/>
  <c r="B173" i="2"/>
  <c r="B177" i="2"/>
  <c r="B181" i="2"/>
  <c r="B185" i="2"/>
  <c r="B189" i="2"/>
  <c r="B193" i="2"/>
  <c r="B197" i="2"/>
  <c r="B201" i="2"/>
  <c r="B205" i="2"/>
  <c r="B209" i="2"/>
  <c r="B213" i="2"/>
  <c r="B217" i="2"/>
  <c r="B221" i="2"/>
  <c r="B225" i="2"/>
  <c r="B229" i="2"/>
  <c r="B233" i="2"/>
  <c r="B237" i="2"/>
  <c r="B241" i="2"/>
  <c r="B245" i="2"/>
  <c r="B249" i="2"/>
  <c r="B253" i="2"/>
  <c r="B257" i="2"/>
  <c r="B261" i="2"/>
  <c r="B265" i="2"/>
  <c r="B269" i="2"/>
  <c r="B273" i="2"/>
  <c r="B277" i="2"/>
  <c r="B281" i="2"/>
  <c r="B285" i="2"/>
  <c r="B289" i="2"/>
  <c r="B293" i="2"/>
  <c r="B297" i="2"/>
  <c r="B301" i="2"/>
  <c r="B305" i="2"/>
  <c r="B309" i="2"/>
  <c r="B313" i="2"/>
  <c r="B317" i="2"/>
  <c r="B321" i="2"/>
  <c r="B325" i="2"/>
  <c r="B329" i="2"/>
  <c r="B333" i="2"/>
  <c r="B337" i="2"/>
  <c r="B341" i="2"/>
  <c r="B345" i="2"/>
  <c r="B349" i="2"/>
  <c r="B353" i="2"/>
  <c r="B357" i="2"/>
  <c r="B361" i="2"/>
  <c r="B365" i="2"/>
  <c r="B369" i="2"/>
  <c r="B373" i="2"/>
  <c r="C45" i="2"/>
  <c r="C109" i="2"/>
  <c r="C173" i="2"/>
  <c r="C237" i="2"/>
  <c r="C301" i="2"/>
  <c r="C359" i="2"/>
  <c r="C391" i="2"/>
  <c r="C423" i="2"/>
  <c r="C455" i="2"/>
  <c r="C487" i="2"/>
  <c r="C519" i="2"/>
  <c r="C538" i="2"/>
  <c r="C554" i="2"/>
  <c r="C570" i="2"/>
  <c r="C586" i="2"/>
  <c r="C602" i="2"/>
  <c r="C618" i="2"/>
  <c r="C634" i="2"/>
  <c r="C650" i="2"/>
  <c r="C666" i="2"/>
  <c r="C682" i="2"/>
  <c r="C698" i="2"/>
  <c r="C714" i="2"/>
  <c r="C730" i="2"/>
  <c r="C746" i="2"/>
  <c r="C762" i="2"/>
  <c r="C778" i="2"/>
  <c r="C794" i="2"/>
  <c r="C810" i="2"/>
  <c r="C826" i="2"/>
  <c r="C842" i="2"/>
  <c r="C858" i="2"/>
  <c r="C874" i="2"/>
  <c r="C890" i="2"/>
  <c r="C906" i="2"/>
  <c r="C922" i="2"/>
  <c r="C938" i="2"/>
  <c r="C954" i="2"/>
  <c r="C970" i="2"/>
  <c r="C986" i="2"/>
  <c r="C1002" i="2"/>
  <c r="B18" i="2"/>
  <c r="B34" i="2"/>
  <c r="B42" i="2"/>
  <c r="B50" i="2"/>
  <c r="B58" i="2"/>
  <c r="B66" i="2"/>
  <c r="B74" i="2"/>
  <c r="B82" i="2"/>
  <c r="B90" i="2"/>
  <c r="B98" i="2"/>
  <c r="B106" i="2"/>
  <c r="B114" i="2"/>
  <c r="B122" i="2"/>
  <c r="B130" i="2"/>
  <c r="B138" i="2"/>
  <c r="B146" i="2"/>
  <c r="B154" i="2"/>
  <c r="B162" i="2"/>
  <c r="B170" i="2"/>
  <c r="B178" i="2"/>
  <c r="B186" i="2"/>
  <c r="B194" i="2"/>
  <c r="B202" i="2"/>
  <c r="B210" i="2"/>
  <c r="B218" i="2"/>
  <c r="B226" i="2"/>
  <c r="B234" i="2"/>
  <c r="B242" i="2"/>
  <c r="B250" i="2"/>
  <c r="B258" i="2"/>
  <c r="B266" i="2"/>
  <c r="B274" i="2"/>
  <c r="B282" i="2"/>
  <c r="B290" i="2"/>
  <c r="B298" i="2"/>
  <c r="B306" i="2"/>
  <c r="B314" i="2"/>
  <c r="B322" i="2"/>
  <c r="B330" i="2"/>
  <c r="B338" i="2"/>
  <c r="B346" i="2"/>
  <c r="B354" i="2"/>
  <c r="B362" i="2"/>
  <c r="B370" i="2"/>
  <c r="B377" i="2"/>
  <c r="B381" i="2"/>
  <c r="B385" i="2"/>
  <c r="B389" i="2"/>
  <c r="B393" i="2"/>
  <c r="B397" i="2"/>
  <c r="B401" i="2"/>
  <c r="B405" i="2"/>
  <c r="B409" i="2"/>
  <c r="B413" i="2"/>
  <c r="B417" i="2"/>
  <c r="B421" i="2"/>
  <c r="B425" i="2"/>
  <c r="B429" i="2"/>
  <c r="B433" i="2"/>
  <c r="B437" i="2"/>
  <c r="B441" i="2"/>
  <c r="B445" i="2"/>
  <c r="B449" i="2"/>
  <c r="B453" i="2"/>
  <c r="B457" i="2"/>
  <c r="B461" i="2"/>
  <c r="B465" i="2"/>
  <c r="B469" i="2"/>
  <c r="B473" i="2"/>
  <c r="B477" i="2"/>
  <c r="B481" i="2"/>
  <c r="B485" i="2"/>
  <c r="B489" i="2"/>
  <c r="B493" i="2"/>
  <c r="B497" i="2"/>
  <c r="B501" i="2"/>
  <c r="B505" i="2"/>
  <c r="B509" i="2"/>
  <c r="B513" i="2"/>
  <c r="B517" i="2"/>
  <c r="B521" i="2"/>
  <c r="B525" i="2"/>
  <c r="B529" i="2"/>
  <c r="B533" i="2"/>
  <c r="B537" i="2"/>
  <c r="B541" i="2"/>
  <c r="B545" i="2"/>
  <c r="B549" i="2"/>
  <c r="B553" i="2"/>
  <c r="B557" i="2"/>
  <c r="B561" i="2"/>
  <c r="B565" i="2"/>
  <c r="B569" i="2"/>
  <c r="B573" i="2"/>
  <c r="B577" i="2"/>
  <c r="B581" i="2"/>
  <c r="B585" i="2"/>
  <c r="B589" i="2"/>
  <c r="B593" i="2"/>
  <c r="B597" i="2"/>
  <c r="B601" i="2"/>
  <c r="B605" i="2"/>
  <c r="B609" i="2"/>
  <c r="B613" i="2"/>
  <c r="B617" i="2"/>
  <c r="B621" i="2"/>
  <c r="B625" i="2"/>
  <c r="B629" i="2"/>
  <c r="B633" i="2"/>
  <c r="B637" i="2"/>
  <c r="B641" i="2"/>
  <c r="B645" i="2"/>
  <c r="B649" i="2"/>
  <c r="B653" i="2"/>
  <c r="B657" i="2"/>
  <c r="B661" i="2"/>
  <c r="B665" i="2"/>
  <c r="B669" i="2"/>
  <c r="B673" i="2"/>
  <c r="B677" i="2"/>
  <c r="B681" i="2"/>
  <c r="B685" i="2"/>
  <c r="B689" i="2"/>
  <c r="B693" i="2"/>
  <c r="B697" i="2"/>
  <c r="B701" i="2"/>
  <c r="B705" i="2"/>
  <c r="B709" i="2"/>
  <c r="B713" i="2"/>
  <c r="B717" i="2"/>
  <c r="B721" i="2"/>
  <c r="B725" i="2"/>
  <c r="B729" i="2"/>
  <c r="B733" i="2"/>
  <c r="B737" i="2"/>
  <c r="B741" i="2"/>
  <c r="B745" i="2"/>
  <c r="B749" i="2"/>
  <c r="B753" i="2"/>
  <c r="B757" i="2"/>
  <c r="B761" i="2"/>
  <c r="B765" i="2"/>
  <c r="B769" i="2"/>
  <c r="B773" i="2"/>
  <c r="B777" i="2"/>
  <c r="B781" i="2"/>
  <c r="B785" i="2"/>
  <c r="B789" i="2"/>
  <c r="B793" i="2"/>
  <c r="B797" i="2"/>
  <c r="B801" i="2"/>
  <c r="B805" i="2"/>
  <c r="B809" i="2"/>
  <c r="B813" i="2"/>
  <c r="B817" i="2"/>
  <c r="B821" i="2"/>
  <c r="B825" i="2"/>
  <c r="B829" i="2"/>
  <c r="B833" i="2"/>
  <c r="B837" i="2"/>
  <c r="B841" i="2"/>
  <c r="B845" i="2"/>
  <c r="B849" i="2"/>
  <c r="B853" i="2"/>
  <c r="B857" i="2"/>
  <c r="B861" i="2"/>
  <c r="B865" i="2"/>
  <c r="B869" i="2"/>
  <c r="B873" i="2"/>
  <c r="B877" i="2"/>
  <c r="B881" i="2"/>
  <c r="B885" i="2"/>
  <c r="B889" i="2"/>
  <c r="B893" i="2"/>
  <c r="B897" i="2"/>
  <c r="B901" i="2"/>
  <c r="B905" i="2"/>
  <c r="B909" i="2"/>
  <c r="B913" i="2"/>
  <c r="B917" i="2"/>
  <c r="B921" i="2"/>
  <c r="B925" i="2"/>
  <c r="B929" i="2"/>
  <c r="B933" i="2"/>
  <c r="B937" i="2"/>
  <c r="B941" i="2"/>
  <c r="B945" i="2"/>
  <c r="B949" i="2"/>
  <c r="B953" i="2"/>
  <c r="B957" i="2"/>
  <c r="B961" i="2"/>
  <c r="B965" i="2"/>
  <c r="B969" i="2"/>
  <c r="B973" i="2"/>
  <c r="B977" i="2"/>
  <c r="B981" i="2"/>
  <c r="B985" i="2"/>
  <c r="B989" i="2"/>
  <c r="B993" i="2"/>
  <c r="B997" i="2"/>
  <c r="B1001" i="2"/>
  <c r="B1005" i="2"/>
  <c r="B1009" i="2"/>
  <c r="B1013" i="2"/>
  <c r="C46" i="2"/>
  <c r="C110" i="2"/>
  <c r="C174" i="2"/>
  <c r="C238" i="2"/>
  <c r="C302" i="2"/>
  <c r="C360" i="2"/>
  <c r="C392" i="2"/>
  <c r="C424" i="2"/>
  <c r="C456" i="2"/>
  <c r="C488" i="2"/>
  <c r="C520" i="2"/>
  <c r="C539" i="2"/>
  <c r="C555" i="2"/>
  <c r="C571" i="2"/>
  <c r="C587" i="2"/>
  <c r="C603" i="2"/>
  <c r="C619" i="2"/>
  <c r="C635" i="2"/>
  <c r="C651" i="2"/>
  <c r="C667" i="2"/>
  <c r="C683" i="2"/>
  <c r="C699" i="2"/>
  <c r="C715" i="2"/>
  <c r="C731" i="2"/>
  <c r="C747" i="2"/>
  <c r="C763" i="2"/>
  <c r="C779" i="2"/>
  <c r="C795" i="2"/>
  <c r="C811" i="2"/>
  <c r="C827" i="2"/>
  <c r="C843" i="2"/>
  <c r="C859" i="2"/>
  <c r="C875" i="2"/>
  <c r="C891" i="2"/>
  <c r="C907" i="2"/>
  <c r="C923" i="2"/>
  <c r="C939" i="2"/>
  <c r="C955" i="2"/>
  <c r="C971" i="2"/>
  <c r="C987" i="2"/>
  <c r="C1003" i="2"/>
  <c r="B19" i="2"/>
  <c r="B35" i="2"/>
  <c r="B43" i="2"/>
  <c r="B51" i="2"/>
  <c r="B59" i="2"/>
  <c r="B67" i="2"/>
  <c r="B75" i="2"/>
  <c r="B83" i="2"/>
  <c r="B91" i="2"/>
  <c r="B99" i="2"/>
  <c r="B107" i="2"/>
  <c r="B115" i="2"/>
  <c r="B123" i="2"/>
  <c r="B131" i="2"/>
  <c r="B139" i="2"/>
  <c r="B147" i="2"/>
  <c r="B155" i="2"/>
  <c r="B163" i="2"/>
  <c r="B171" i="2"/>
  <c r="B179" i="2"/>
  <c r="B187" i="2"/>
  <c r="B195" i="2"/>
  <c r="B203" i="2"/>
  <c r="B211" i="2"/>
  <c r="B219" i="2"/>
  <c r="B227" i="2"/>
  <c r="B235" i="2"/>
  <c r="B243" i="2"/>
  <c r="B251" i="2"/>
  <c r="B259" i="2"/>
  <c r="B267" i="2"/>
  <c r="B275" i="2"/>
  <c r="B283" i="2"/>
  <c r="B291" i="2"/>
  <c r="B299" i="2"/>
  <c r="B307" i="2"/>
  <c r="B315" i="2"/>
  <c r="B323" i="2"/>
  <c r="B331" i="2"/>
  <c r="B339" i="2"/>
  <c r="B347" i="2"/>
  <c r="B355" i="2"/>
  <c r="B363" i="2"/>
  <c r="B371" i="2"/>
  <c r="B378" i="2"/>
  <c r="B382" i="2"/>
  <c r="B386" i="2"/>
  <c r="B390" i="2"/>
  <c r="B394" i="2"/>
  <c r="B398" i="2"/>
  <c r="B402" i="2"/>
  <c r="B406" i="2"/>
  <c r="B410" i="2"/>
  <c r="B414" i="2"/>
  <c r="B418" i="2"/>
  <c r="B422" i="2"/>
  <c r="B426" i="2"/>
  <c r="B430" i="2"/>
  <c r="B434" i="2"/>
  <c r="B438" i="2"/>
  <c r="B442" i="2"/>
  <c r="B446" i="2"/>
  <c r="B450" i="2"/>
  <c r="B454" i="2"/>
  <c r="B458" i="2"/>
  <c r="B462" i="2"/>
  <c r="B466" i="2"/>
  <c r="B470" i="2"/>
  <c r="B474" i="2"/>
  <c r="B478" i="2"/>
  <c r="B482" i="2"/>
  <c r="B486" i="2"/>
  <c r="B490" i="2"/>
  <c r="B494" i="2"/>
  <c r="B498" i="2"/>
  <c r="B502" i="2"/>
  <c r="B506" i="2"/>
  <c r="B510" i="2"/>
  <c r="B514" i="2"/>
  <c r="B518" i="2"/>
  <c r="B522" i="2"/>
  <c r="B526" i="2"/>
  <c r="B530" i="2"/>
  <c r="B534" i="2"/>
  <c r="B538" i="2"/>
  <c r="B542" i="2"/>
  <c r="B546" i="2"/>
  <c r="B550" i="2"/>
  <c r="B554" i="2"/>
  <c r="B558" i="2"/>
  <c r="B562" i="2"/>
  <c r="B566" i="2"/>
  <c r="B570" i="2"/>
  <c r="B574" i="2"/>
  <c r="B578" i="2"/>
  <c r="B582" i="2"/>
  <c r="B586" i="2"/>
  <c r="B590" i="2"/>
  <c r="B594" i="2"/>
  <c r="B598" i="2"/>
  <c r="B602" i="2"/>
  <c r="B606" i="2"/>
  <c r="B610" i="2"/>
  <c r="B614" i="2"/>
  <c r="B618" i="2"/>
  <c r="B622" i="2"/>
  <c r="B626" i="2"/>
  <c r="B630" i="2"/>
  <c r="B634" i="2"/>
  <c r="B638" i="2"/>
  <c r="B642" i="2"/>
  <c r="B646" i="2"/>
  <c r="B650" i="2"/>
  <c r="B654" i="2"/>
  <c r="B658" i="2"/>
  <c r="B662" i="2"/>
  <c r="B666" i="2"/>
  <c r="B670" i="2"/>
  <c r="B674" i="2"/>
  <c r="B678" i="2"/>
  <c r="B682" i="2"/>
  <c r="B686" i="2"/>
  <c r="B690" i="2"/>
  <c r="B694" i="2"/>
  <c r="B698" i="2"/>
  <c r="B702" i="2"/>
  <c r="B706" i="2"/>
  <c r="B710" i="2"/>
  <c r="B714" i="2"/>
  <c r="B718" i="2"/>
  <c r="B722" i="2"/>
  <c r="B726" i="2"/>
  <c r="B730" i="2"/>
  <c r="B734" i="2"/>
  <c r="B738" i="2"/>
  <c r="B742" i="2"/>
  <c r="B746" i="2"/>
  <c r="B750" i="2"/>
  <c r="B754" i="2"/>
  <c r="B758" i="2"/>
  <c r="B762" i="2"/>
  <c r="B766" i="2"/>
  <c r="B770" i="2"/>
  <c r="B774" i="2"/>
  <c r="B778" i="2"/>
  <c r="B782" i="2"/>
  <c r="B786" i="2"/>
  <c r="B790" i="2"/>
  <c r="B794" i="2"/>
  <c r="B798" i="2"/>
  <c r="B802" i="2"/>
  <c r="B806" i="2"/>
  <c r="B810" i="2"/>
  <c r="B814" i="2"/>
  <c r="B818" i="2"/>
  <c r="B822" i="2"/>
  <c r="B826" i="2"/>
  <c r="B830" i="2"/>
  <c r="B834" i="2"/>
  <c r="B838" i="2"/>
  <c r="B842" i="2"/>
  <c r="B846" i="2"/>
  <c r="B850" i="2"/>
  <c r="B854" i="2"/>
  <c r="B858" i="2"/>
  <c r="B862" i="2"/>
  <c r="B866" i="2"/>
  <c r="B870" i="2"/>
  <c r="B874" i="2"/>
  <c r="B878" i="2"/>
  <c r="B882" i="2"/>
  <c r="B886" i="2"/>
  <c r="B890" i="2"/>
  <c r="B894" i="2"/>
  <c r="B898" i="2"/>
  <c r="B902" i="2"/>
  <c r="B906" i="2"/>
  <c r="B910" i="2"/>
  <c r="B914" i="2"/>
  <c r="B918" i="2"/>
  <c r="B922" i="2"/>
  <c r="B926" i="2"/>
  <c r="B930" i="2"/>
  <c r="B934" i="2"/>
  <c r="B938" i="2"/>
  <c r="B942" i="2"/>
  <c r="B946" i="2"/>
  <c r="B950" i="2"/>
  <c r="B954" i="2"/>
  <c r="B958" i="2"/>
  <c r="B962" i="2"/>
  <c r="B966" i="2"/>
  <c r="B970" i="2"/>
  <c r="B974" i="2"/>
  <c r="B978" i="2"/>
  <c r="B982" i="2"/>
  <c r="B986" i="2"/>
  <c r="B990" i="2"/>
  <c r="B994" i="2"/>
  <c r="B998" i="2"/>
  <c r="B1002" i="2"/>
  <c r="B1006" i="2"/>
  <c r="B1010" i="2"/>
  <c r="B1008" i="2"/>
  <c r="B1000" i="2"/>
  <c r="B992" i="2"/>
  <c r="B984" i="2"/>
  <c r="B976" i="2"/>
  <c r="B968" i="2"/>
  <c r="B960" i="2"/>
  <c r="B952" i="2"/>
  <c r="B944" i="2"/>
  <c r="B936" i="2"/>
  <c r="B928" i="2"/>
  <c r="B920" i="2"/>
  <c r="B912" i="2"/>
  <c r="B904" i="2"/>
  <c r="B896" i="2"/>
  <c r="B888" i="2"/>
  <c r="B880" i="2"/>
  <c r="B872" i="2"/>
  <c r="B864" i="2"/>
  <c r="B856" i="2"/>
  <c r="B848" i="2"/>
  <c r="B840" i="2"/>
  <c r="B832" i="2"/>
  <c r="B824" i="2"/>
  <c r="B816" i="2"/>
  <c r="B808" i="2"/>
  <c r="B800" i="2"/>
  <c r="B792" i="2"/>
  <c r="B784" i="2"/>
  <c r="B776" i="2"/>
  <c r="B768" i="2"/>
  <c r="B760" i="2"/>
  <c r="B752" i="2"/>
  <c r="B744" i="2"/>
  <c r="B736" i="2"/>
  <c r="B728" i="2"/>
  <c r="B720" i="2"/>
  <c r="B712" i="2"/>
  <c r="B704" i="2"/>
  <c r="B696" i="2"/>
  <c r="B688" i="2"/>
  <c r="B680" i="2"/>
  <c r="B672" i="2"/>
  <c r="B664" i="2"/>
  <c r="B656" i="2"/>
  <c r="B648" i="2"/>
  <c r="B640" i="2"/>
  <c r="B632" i="2"/>
  <c r="B624" i="2"/>
  <c r="B616" i="2"/>
  <c r="B608" i="2"/>
  <c r="B600" i="2"/>
  <c r="B592" i="2"/>
  <c r="B584" i="2"/>
  <c r="B576" i="2"/>
  <c r="B568" i="2"/>
  <c r="B560" i="2"/>
  <c r="B552" i="2"/>
  <c r="B544" i="2"/>
  <c r="B536" i="2"/>
  <c r="B528" i="2"/>
  <c r="B520" i="2"/>
  <c r="B512" i="2"/>
  <c r="B504" i="2"/>
  <c r="B496" i="2"/>
  <c r="B488" i="2"/>
  <c r="B480" i="2"/>
  <c r="B472" i="2"/>
  <c r="B464" i="2"/>
  <c r="B456" i="2"/>
  <c r="B448" i="2"/>
  <c r="B440" i="2"/>
  <c r="B432" i="2"/>
  <c r="B424" i="2"/>
  <c r="B416" i="2"/>
  <c r="B408" i="2"/>
  <c r="B400" i="2"/>
  <c r="B392" i="2"/>
  <c r="B384" i="2"/>
  <c r="B375" i="2"/>
  <c r="B359" i="2"/>
  <c r="B343" i="2"/>
  <c r="B327" i="2"/>
  <c r="B311" i="2"/>
  <c r="B295" i="2"/>
  <c r="B279" i="2"/>
  <c r="B263" i="2"/>
  <c r="B247" i="2"/>
  <c r="B231" i="2"/>
  <c r="B215" i="2"/>
  <c r="B199" i="2"/>
  <c r="B183" i="2"/>
  <c r="B167" i="2"/>
  <c r="B151" i="2"/>
  <c r="B135" i="2"/>
  <c r="B119" i="2"/>
  <c r="B103" i="2"/>
  <c r="B87" i="2"/>
  <c r="B71" i="2"/>
  <c r="B55" i="2"/>
  <c r="B39" i="2"/>
  <c r="C1011" i="2"/>
  <c r="C979" i="2"/>
  <c r="C947" i="2"/>
  <c r="C915" i="2"/>
  <c r="C883" i="2"/>
  <c r="C851" i="2"/>
  <c r="C819" i="2"/>
  <c r="C787" i="2"/>
  <c r="C755" i="2"/>
  <c r="C723" i="2"/>
  <c r="C691" i="2"/>
  <c r="C659" i="2"/>
  <c r="C627" i="2"/>
  <c r="C595" i="2"/>
  <c r="C563" i="2"/>
  <c r="C531" i="2"/>
  <c r="C472" i="2"/>
  <c r="C408" i="2"/>
  <c r="C334" i="2"/>
  <c r="C206" i="2"/>
  <c r="C78" i="2"/>
  <c r="B1007" i="2"/>
  <c r="B999" i="2"/>
  <c r="B991" i="2"/>
  <c r="B983" i="2"/>
  <c r="B975" i="2"/>
  <c r="B967" i="2"/>
  <c r="B959" i="2"/>
  <c r="B951" i="2"/>
  <c r="B943" i="2"/>
  <c r="B935" i="2"/>
  <c r="B927" i="2"/>
  <c r="B919" i="2"/>
  <c r="B911" i="2"/>
  <c r="B903" i="2"/>
  <c r="B895" i="2"/>
  <c r="B887" i="2"/>
  <c r="B879" i="2"/>
  <c r="B871" i="2"/>
  <c r="B863" i="2"/>
  <c r="B855" i="2"/>
  <c r="B847" i="2"/>
  <c r="B839" i="2"/>
  <c r="B831" i="2"/>
  <c r="B823" i="2"/>
  <c r="B815" i="2"/>
  <c r="B807" i="2"/>
  <c r="B799" i="2"/>
  <c r="B791" i="2"/>
  <c r="B783" i="2"/>
  <c r="B775" i="2"/>
  <c r="B767" i="2"/>
  <c r="B759" i="2"/>
  <c r="B751" i="2"/>
  <c r="B743" i="2"/>
  <c r="B735" i="2"/>
  <c r="B727" i="2"/>
  <c r="B719" i="2"/>
  <c r="B711" i="2"/>
  <c r="B703" i="2"/>
  <c r="B695" i="2"/>
  <c r="B687" i="2"/>
  <c r="B679" i="2"/>
  <c r="B671" i="2"/>
  <c r="B663" i="2"/>
  <c r="B655" i="2"/>
  <c r="B647" i="2"/>
  <c r="B639" i="2"/>
  <c r="B631" i="2"/>
  <c r="B623" i="2"/>
  <c r="B615" i="2"/>
  <c r="B607" i="2"/>
  <c r="B599" i="2"/>
  <c r="B591" i="2"/>
  <c r="B583" i="2"/>
  <c r="B575" i="2"/>
  <c r="B567" i="2"/>
  <c r="B559" i="2"/>
  <c r="B551" i="2"/>
  <c r="B543" i="2"/>
  <c r="B535" i="2"/>
  <c r="B527" i="2"/>
  <c r="B519" i="2"/>
  <c r="B511" i="2"/>
  <c r="B503" i="2"/>
  <c r="B495" i="2"/>
  <c r="B487" i="2"/>
  <c r="B479" i="2"/>
  <c r="B471" i="2"/>
  <c r="B463" i="2"/>
  <c r="B455" i="2"/>
  <c r="B447" i="2"/>
  <c r="B439" i="2"/>
  <c r="B431" i="2"/>
  <c r="B423" i="2"/>
  <c r="B415" i="2"/>
  <c r="B407" i="2"/>
  <c r="B399" i="2"/>
  <c r="B391" i="2"/>
  <c r="B383" i="2"/>
  <c r="B374" i="2"/>
  <c r="B358" i="2"/>
  <c r="B342" i="2"/>
  <c r="B326" i="2"/>
  <c r="B310" i="2"/>
  <c r="B294" i="2"/>
  <c r="B278" i="2"/>
  <c r="B262" i="2"/>
  <c r="B246" i="2"/>
  <c r="B230" i="2"/>
  <c r="B214" i="2"/>
  <c r="B198" i="2"/>
  <c r="B182" i="2"/>
  <c r="B166" i="2"/>
  <c r="B150" i="2"/>
  <c r="B134" i="2"/>
  <c r="B118" i="2"/>
  <c r="B102" i="2"/>
  <c r="B86" i="2"/>
  <c r="B70" i="2"/>
  <c r="B54" i="2"/>
  <c r="B38" i="2"/>
  <c r="C1010" i="2"/>
  <c r="C978" i="2"/>
  <c r="C946" i="2"/>
  <c r="C914" i="2"/>
  <c r="C882" i="2"/>
  <c r="C850" i="2"/>
  <c r="C818" i="2"/>
  <c r="C786" i="2"/>
  <c r="C754" i="2"/>
  <c r="C722" i="2"/>
  <c r="C690" i="2"/>
  <c r="C658" i="2"/>
  <c r="C626" i="2"/>
  <c r="C594" i="2"/>
  <c r="C562" i="2"/>
  <c r="C530" i="2"/>
  <c r="C471" i="2"/>
  <c r="C407" i="2"/>
  <c r="C333" i="2"/>
  <c r="C205" i="2"/>
  <c r="C77" i="2"/>
  <c r="B9" i="2" l="1"/>
  <c r="D16" i="2" l="1"/>
  <c r="E16" i="2" s="1"/>
  <c r="D20" i="2"/>
  <c r="E20" i="2" s="1"/>
  <c r="D24" i="2"/>
  <c r="E24" i="2" s="1"/>
  <c r="D28" i="2"/>
  <c r="E28" i="2" s="1"/>
  <c r="D32" i="2"/>
  <c r="E32" i="2" s="1"/>
  <c r="D36" i="2"/>
  <c r="E36" i="2" s="1"/>
  <c r="D40" i="2"/>
  <c r="E40" i="2" s="1"/>
  <c r="D44" i="2"/>
  <c r="E44" i="2" s="1"/>
  <c r="D48" i="2"/>
  <c r="E48" i="2" s="1"/>
  <c r="D52" i="2"/>
  <c r="E52" i="2" s="1"/>
  <c r="D56" i="2"/>
  <c r="E56" i="2" s="1"/>
  <c r="D60" i="2"/>
  <c r="E60" i="2" s="1"/>
  <c r="D64" i="2"/>
  <c r="E64" i="2" s="1"/>
  <c r="D68" i="2"/>
  <c r="E68" i="2" s="1"/>
  <c r="D72" i="2"/>
  <c r="E72" i="2" s="1"/>
  <c r="D76" i="2"/>
  <c r="E76" i="2" s="1"/>
  <c r="D80" i="2"/>
  <c r="E80" i="2" s="1"/>
  <c r="D84" i="2"/>
  <c r="E84" i="2" s="1"/>
  <c r="D88" i="2"/>
  <c r="E88" i="2" s="1"/>
  <c r="D92" i="2"/>
  <c r="E92" i="2" s="1"/>
  <c r="D96" i="2"/>
  <c r="E96" i="2" s="1"/>
  <c r="D100" i="2"/>
  <c r="E100" i="2" s="1"/>
  <c r="D104" i="2"/>
  <c r="E104" i="2" s="1"/>
  <c r="D108" i="2"/>
  <c r="E108" i="2" s="1"/>
  <c r="D112" i="2"/>
  <c r="E112" i="2" s="1"/>
  <c r="D116" i="2"/>
  <c r="E116" i="2" s="1"/>
  <c r="D120" i="2"/>
  <c r="E120" i="2" s="1"/>
  <c r="D124" i="2"/>
  <c r="E124" i="2" s="1"/>
  <c r="D128" i="2"/>
  <c r="E128" i="2" s="1"/>
  <c r="D132" i="2"/>
  <c r="E132" i="2" s="1"/>
  <c r="D136" i="2"/>
  <c r="E136" i="2" s="1"/>
  <c r="D140" i="2"/>
  <c r="E140" i="2" s="1"/>
  <c r="D144" i="2"/>
  <c r="E144" i="2" s="1"/>
  <c r="D148" i="2"/>
  <c r="E148" i="2" s="1"/>
  <c r="D152" i="2"/>
  <c r="E152" i="2" s="1"/>
  <c r="D156" i="2"/>
  <c r="E156" i="2" s="1"/>
  <c r="D160" i="2"/>
  <c r="E160" i="2" s="1"/>
  <c r="D164" i="2"/>
  <c r="E164" i="2" s="1"/>
  <c r="D168" i="2"/>
  <c r="E168" i="2" s="1"/>
  <c r="D172" i="2"/>
  <c r="E172" i="2" s="1"/>
  <c r="D176" i="2"/>
  <c r="E176" i="2" s="1"/>
  <c r="D180" i="2"/>
  <c r="E180" i="2" s="1"/>
  <c r="D184" i="2"/>
  <c r="E184" i="2" s="1"/>
  <c r="D188" i="2"/>
  <c r="E188" i="2" s="1"/>
  <c r="D192" i="2"/>
  <c r="E192" i="2" s="1"/>
  <c r="D196" i="2"/>
  <c r="E196" i="2" s="1"/>
  <c r="D200" i="2"/>
  <c r="E200" i="2" s="1"/>
  <c r="D204" i="2"/>
  <c r="E204" i="2" s="1"/>
  <c r="D208" i="2"/>
  <c r="E208" i="2" s="1"/>
  <c r="D212" i="2"/>
  <c r="E212" i="2" s="1"/>
  <c r="D216" i="2"/>
  <c r="E216" i="2" s="1"/>
  <c r="D220" i="2"/>
  <c r="E220" i="2" s="1"/>
  <c r="D224" i="2"/>
  <c r="E224" i="2" s="1"/>
  <c r="D228" i="2"/>
  <c r="E228" i="2" s="1"/>
  <c r="D232" i="2"/>
  <c r="E232" i="2" s="1"/>
  <c r="D236" i="2"/>
  <c r="E236" i="2" s="1"/>
  <c r="D240" i="2"/>
  <c r="E240" i="2" s="1"/>
  <c r="D244" i="2"/>
  <c r="E244" i="2" s="1"/>
  <c r="D248" i="2"/>
  <c r="E248" i="2" s="1"/>
  <c r="D252" i="2"/>
  <c r="E252" i="2" s="1"/>
  <c r="D256" i="2"/>
  <c r="E256" i="2" s="1"/>
  <c r="D260" i="2"/>
  <c r="E260" i="2" s="1"/>
  <c r="D264" i="2"/>
  <c r="E264" i="2" s="1"/>
  <c r="D268" i="2"/>
  <c r="E268" i="2" s="1"/>
  <c r="D272" i="2"/>
  <c r="E272" i="2" s="1"/>
  <c r="D276" i="2"/>
  <c r="E276" i="2" s="1"/>
  <c r="D280" i="2"/>
  <c r="E280" i="2" s="1"/>
  <c r="D284" i="2"/>
  <c r="E284" i="2" s="1"/>
  <c r="D288" i="2"/>
  <c r="E288" i="2" s="1"/>
  <c r="D292" i="2"/>
  <c r="E292" i="2" s="1"/>
  <c r="D296" i="2"/>
  <c r="E296" i="2" s="1"/>
  <c r="D300" i="2"/>
  <c r="E300" i="2" s="1"/>
  <c r="D304" i="2"/>
  <c r="E304" i="2" s="1"/>
  <c r="D308" i="2"/>
  <c r="E308" i="2" s="1"/>
  <c r="D312" i="2"/>
  <c r="E312" i="2" s="1"/>
  <c r="D316" i="2"/>
  <c r="E316" i="2" s="1"/>
  <c r="D320" i="2"/>
  <c r="E320" i="2" s="1"/>
  <c r="D324" i="2"/>
  <c r="E324" i="2" s="1"/>
  <c r="D328" i="2"/>
  <c r="E328" i="2" s="1"/>
  <c r="D332" i="2"/>
  <c r="E332" i="2" s="1"/>
  <c r="D336" i="2"/>
  <c r="E336" i="2" s="1"/>
  <c r="D340" i="2"/>
  <c r="E340" i="2" s="1"/>
  <c r="D344" i="2"/>
  <c r="E344" i="2" s="1"/>
  <c r="D348" i="2"/>
  <c r="E348" i="2" s="1"/>
  <c r="D352" i="2"/>
  <c r="E352" i="2" s="1"/>
  <c r="D356" i="2"/>
  <c r="E356" i="2" s="1"/>
  <c r="D360" i="2"/>
  <c r="E360" i="2" s="1"/>
  <c r="D364" i="2"/>
  <c r="E364" i="2" s="1"/>
  <c r="D368" i="2"/>
  <c r="E368" i="2" s="1"/>
  <c r="D372" i="2"/>
  <c r="E372" i="2" s="1"/>
  <c r="D376" i="2"/>
  <c r="E376" i="2" s="1"/>
  <c r="D380" i="2"/>
  <c r="E380" i="2" s="1"/>
  <c r="D384" i="2"/>
  <c r="E384" i="2" s="1"/>
  <c r="D388" i="2"/>
  <c r="E388" i="2" s="1"/>
  <c r="D392" i="2"/>
  <c r="E392" i="2" s="1"/>
  <c r="D396" i="2"/>
  <c r="E396" i="2" s="1"/>
  <c r="D17" i="2"/>
  <c r="E17" i="2" s="1"/>
  <c r="D21" i="2"/>
  <c r="E21" i="2" s="1"/>
  <c r="D25" i="2"/>
  <c r="E25" i="2" s="1"/>
  <c r="D29" i="2"/>
  <c r="E29" i="2" s="1"/>
  <c r="D33" i="2"/>
  <c r="E33" i="2" s="1"/>
  <c r="D37" i="2"/>
  <c r="E37" i="2" s="1"/>
  <c r="D41" i="2"/>
  <c r="E41" i="2" s="1"/>
  <c r="D45" i="2"/>
  <c r="E45" i="2" s="1"/>
  <c r="D49" i="2"/>
  <c r="E49" i="2" s="1"/>
  <c r="D53" i="2"/>
  <c r="E53" i="2" s="1"/>
  <c r="D57" i="2"/>
  <c r="E57" i="2" s="1"/>
  <c r="D61" i="2"/>
  <c r="E61" i="2" s="1"/>
  <c r="D65" i="2"/>
  <c r="E65" i="2" s="1"/>
  <c r="D69" i="2"/>
  <c r="E69" i="2" s="1"/>
  <c r="D73" i="2"/>
  <c r="E73" i="2" s="1"/>
  <c r="D77" i="2"/>
  <c r="E77" i="2" s="1"/>
  <c r="D81" i="2"/>
  <c r="E81" i="2" s="1"/>
  <c r="D85" i="2"/>
  <c r="E85" i="2" s="1"/>
  <c r="D89" i="2"/>
  <c r="E89" i="2" s="1"/>
  <c r="D93" i="2"/>
  <c r="E93" i="2" s="1"/>
  <c r="D97" i="2"/>
  <c r="E97" i="2" s="1"/>
  <c r="D101" i="2"/>
  <c r="E101" i="2" s="1"/>
  <c r="D105" i="2"/>
  <c r="E105" i="2" s="1"/>
  <c r="D109" i="2"/>
  <c r="E109" i="2" s="1"/>
  <c r="D113" i="2"/>
  <c r="E113" i="2" s="1"/>
  <c r="D117" i="2"/>
  <c r="E117" i="2" s="1"/>
  <c r="D121" i="2"/>
  <c r="E121" i="2" s="1"/>
  <c r="D125" i="2"/>
  <c r="E125" i="2" s="1"/>
  <c r="D129" i="2"/>
  <c r="E129" i="2" s="1"/>
  <c r="D133" i="2"/>
  <c r="E133" i="2" s="1"/>
  <c r="D137" i="2"/>
  <c r="E137" i="2" s="1"/>
  <c r="D141" i="2"/>
  <c r="E141" i="2" s="1"/>
  <c r="D145" i="2"/>
  <c r="E145" i="2" s="1"/>
  <c r="D149" i="2"/>
  <c r="E149" i="2" s="1"/>
  <c r="D153" i="2"/>
  <c r="E153" i="2" s="1"/>
  <c r="D157" i="2"/>
  <c r="E157" i="2" s="1"/>
  <c r="D161" i="2"/>
  <c r="E161" i="2" s="1"/>
  <c r="D165" i="2"/>
  <c r="E165" i="2" s="1"/>
  <c r="D169" i="2"/>
  <c r="E169" i="2" s="1"/>
  <c r="D173" i="2"/>
  <c r="E173" i="2" s="1"/>
  <c r="D177" i="2"/>
  <c r="E177" i="2" s="1"/>
  <c r="D181" i="2"/>
  <c r="E181" i="2" s="1"/>
  <c r="D185" i="2"/>
  <c r="E185" i="2" s="1"/>
  <c r="D189" i="2"/>
  <c r="E189" i="2" s="1"/>
  <c r="D193" i="2"/>
  <c r="E193" i="2" s="1"/>
  <c r="D197" i="2"/>
  <c r="E197" i="2" s="1"/>
  <c r="D201" i="2"/>
  <c r="E201" i="2" s="1"/>
  <c r="D205" i="2"/>
  <c r="E205" i="2" s="1"/>
  <c r="D209" i="2"/>
  <c r="E209" i="2" s="1"/>
  <c r="D213" i="2"/>
  <c r="E213" i="2" s="1"/>
  <c r="D217" i="2"/>
  <c r="E217" i="2" s="1"/>
  <c r="D221" i="2"/>
  <c r="E221" i="2" s="1"/>
  <c r="D225" i="2"/>
  <c r="E225" i="2" s="1"/>
  <c r="D229" i="2"/>
  <c r="E229" i="2" s="1"/>
  <c r="D233" i="2"/>
  <c r="E233" i="2" s="1"/>
  <c r="D237" i="2"/>
  <c r="E237" i="2" s="1"/>
  <c r="D241" i="2"/>
  <c r="E241" i="2" s="1"/>
  <c r="D245" i="2"/>
  <c r="E245" i="2" s="1"/>
  <c r="D249" i="2"/>
  <c r="E249" i="2" s="1"/>
  <c r="D253" i="2"/>
  <c r="E253" i="2" s="1"/>
  <c r="D257" i="2"/>
  <c r="E257" i="2" s="1"/>
  <c r="D261" i="2"/>
  <c r="E261" i="2" s="1"/>
  <c r="D265" i="2"/>
  <c r="E265" i="2" s="1"/>
  <c r="D269" i="2"/>
  <c r="E269" i="2" s="1"/>
  <c r="D273" i="2"/>
  <c r="E273" i="2" s="1"/>
  <c r="D277" i="2"/>
  <c r="E277" i="2" s="1"/>
  <c r="D281" i="2"/>
  <c r="E281" i="2" s="1"/>
  <c r="D285" i="2"/>
  <c r="E285" i="2" s="1"/>
  <c r="D289" i="2"/>
  <c r="E289" i="2" s="1"/>
  <c r="D293" i="2"/>
  <c r="E293" i="2" s="1"/>
  <c r="D297" i="2"/>
  <c r="E297" i="2" s="1"/>
  <c r="D301" i="2"/>
  <c r="E301" i="2" s="1"/>
  <c r="D305" i="2"/>
  <c r="E305" i="2" s="1"/>
  <c r="D309" i="2"/>
  <c r="E309" i="2" s="1"/>
  <c r="D313" i="2"/>
  <c r="E313" i="2" s="1"/>
  <c r="D317" i="2"/>
  <c r="E317" i="2" s="1"/>
  <c r="D321" i="2"/>
  <c r="E321" i="2" s="1"/>
  <c r="D325" i="2"/>
  <c r="E325" i="2" s="1"/>
  <c r="D329" i="2"/>
  <c r="E329" i="2" s="1"/>
  <c r="D333" i="2"/>
  <c r="E333" i="2" s="1"/>
  <c r="D337" i="2"/>
  <c r="E337" i="2" s="1"/>
  <c r="D341" i="2"/>
  <c r="E341" i="2" s="1"/>
  <c r="D345" i="2"/>
  <c r="E345" i="2" s="1"/>
  <c r="D349" i="2"/>
  <c r="E349" i="2" s="1"/>
  <c r="D353" i="2"/>
  <c r="E353" i="2" s="1"/>
  <c r="D357" i="2"/>
  <c r="E357" i="2" s="1"/>
  <c r="D361" i="2"/>
  <c r="E361" i="2" s="1"/>
  <c r="D365" i="2"/>
  <c r="E365" i="2" s="1"/>
  <c r="D369" i="2"/>
  <c r="E369" i="2" s="1"/>
  <c r="D373" i="2"/>
  <c r="E373" i="2" s="1"/>
  <c r="D377" i="2"/>
  <c r="E377" i="2" s="1"/>
  <c r="D381" i="2"/>
  <c r="E381" i="2" s="1"/>
  <c r="D385" i="2"/>
  <c r="E385" i="2" s="1"/>
  <c r="D389" i="2"/>
  <c r="E389" i="2" s="1"/>
  <c r="D393" i="2"/>
  <c r="E393" i="2" s="1"/>
  <c r="D397" i="2"/>
  <c r="E397" i="2" s="1"/>
  <c r="D22" i="2"/>
  <c r="E22" i="2" s="1"/>
  <c r="D30" i="2"/>
  <c r="E30" i="2" s="1"/>
  <c r="D38" i="2"/>
  <c r="E38" i="2" s="1"/>
  <c r="D46" i="2"/>
  <c r="E46" i="2" s="1"/>
  <c r="D54" i="2"/>
  <c r="E54" i="2" s="1"/>
  <c r="D62" i="2"/>
  <c r="E62" i="2" s="1"/>
  <c r="D70" i="2"/>
  <c r="E70" i="2" s="1"/>
  <c r="D78" i="2"/>
  <c r="E78" i="2" s="1"/>
  <c r="D86" i="2"/>
  <c r="E86" i="2" s="1"/>
  <c r="D94" i="2"/>
  <c r="E94" i="2" s="1"/>
  <c r="D102" i="2"/>
  <c r="E102" i="2" s="1"/>
  <c r="D110" i="2"/>
  <c r="E110" i="2" s="1"/>
  <c r="D118" i="2"/>
  <c r="E118" i="2" s="1"/>
  <c r="D126" i="2"/>
  <c r="E126" i="2" s="1"/>
  <c r="D134" i="2"/>
  <c r="E134" i="2" s="1"/>
  <c r="D142" i="2"/>
  <c r="E142" i="2" s="1"/>
  <c r="D150" i="2"/>
  <c r="E150" i="2" s="1"/>
  <c r="D158" i="2"/>
  <c r="E158" i="2" s="1"/>
  <c r="D166" i="2"/>
  <c r="E166" i="2" s="1"/>
  <c r="D174" i="2"/>
  <c r="E174" i="2" s="1"/>
  <c r="D182" i="2"/>
  <c r="E182" i="2" s="1"/>
  <c r="D190" i="2"/>
  <c r="E190" i="2" s="1"/>
  <c r="D198" i="2"/>
  <c r="E198" i="2" s="1"/>
  <c r="D206" i="2"/>
  <c r="E206" i="2" s="1"/>
  <c r="D214" i="2"/>
  <c r="E214" i="2" s="1"/>
  <c r="D222" i="2"/>
  <c r="E222" i="2" s="1"/>
  <c r="D230" i="2"/>
  <c r="E230" i="2" s="1"/>
  <c r="D238" i="2"/>
  <c r="E238" i="2" s="1"/>
  <c r="D246" i="2"/>
  <c r="E246" i="2" s="1"/>
  <c r="D254" i="2"/>
  <c r="E254" i="2" s="1"/>
  <c r="D262" i="2"/>
  <c r="E262" i="2" s="1"/>
  <c r="D270" i="2"/>
  <c r="E270" i="2" s="1"/>
  <c r="D278" i="2"/>
  <c r="E278" i="2" s="1"/>
  <c r="D286" i="2"/>
  <c r="E286" i="2" s="1"/>
  <c r="D294" i="2"/>
  <c r="E294" i="2" s="1"/>
  <c r="D302" i="2"/>
  <c r="E302" i="2" s="1"/>
  <c r="D310" i="2"/>
  <c r="E310" i="2" s="1"/>
  <c r="D318" i="2"/>
  <c r="E318" i="2" s="1"/>
  <c r="D326" i="2"/>
  <c r="E326" i="2" s="1"/>
  <c r="D334" i="2"/>
  <c r="E334" i="2" s="1"/>
  <c r="D342" i="2"/>
  <c r="E342" i="2" s="1"/>
  <c r="D350" i="2"/>
  <c r="E350" i="2" s="1"/>
  <c r="D358" i="2"/>
  <c r="E358" i="2" s="1"/>
  <c r="D366" i="2"/>
  <c r="E366" i="2" s="1"/>
  <c r="D374" i="2"/>
  <c r="E374" i="2" s="1"/>
  <c r="D382" i="2"/>
  <c r="E382" i="2" s="1"/>
  <c r="D390" i="2"/>
  <c r="E390" i="2" s="1"/>
  <c r="D398" i="2"/>
  <c r="E398" i="2" s="1"/>
  <c r="D402" i="2"/>
  <c r="E402" i="2" s="1"/>
  <c r="D406" i="2"/>
  <c r="E406" i="2" s="1"/>
  <c r="D410" i="2"/>
  <c r="E410" i="2" s="1"/>
  <c r="D414" i="2"/>
  <c r="E414" i="2" s="1"/>
  <c r="D418" i="2"/>
  <c r="E418" i="2" s="1"/>
  <c r="D422" i="2"/>
  <c r="E422" i="2" s="1"/>
  <c r="D426" i="2"/>
  <c r="E426" i="2" s="1"/>
  <c r="D430" i="2"/>
  <c r="E430" i="2" s="1"/>
  <c r="D434" i="2"/>
  <c r="E434" i="2" s="1"/>
  <c r="D438" i="2"/>
  <c r="E438" i="2" s="1"/>
  <c r="D442" i="2"/>
  <c r="E442" i="2" s="1"/>
  <c r="D446" i="2"/>
  <c r="E446" i="2" s="1"/>
  <c r="D450" i="2"/>
  <c r="E450" i="2" s="1"/>
  <c r="D454" i="2"/>
  <c r="E454" i="2" s="1"/>
  <c r="D458" i="2"/>
  <c r="E458" i="2" s="1"/>
  <c r="D462" i="2"/>
  <c r="E462" i="2" s="1"/>
  <c r="D466" i="2"/>
  <c r="E466" i="2" s="1"/>
  <c r="D470" i="2"/>
  <c r="E470" i="2" s="1"/>
  <c r="D474" i="2"/>
  <c r="E474" i="2" s="1"/>
  <c r="D478" i="2"/>
  <c r="E478" i="2" s="1"/>
  <c r="D482" i="2"/>
  <c r="E482" i="2" s="1"/>
  <c r="D486" i="2"/>
  <c r="E486" i="2" s="1"/>
  <c r="D490" i="2"/>
  <c r="E490" i="2" s="1"/>
  <c r="D494" i="2"/>
  <c r="E494" i="2" s="1"/>
  <c r="D498" i="2"/>
  <c r="E498" i="2" s="1"/>
  <c r="D502" i="2"/>
  <c r="E502" i="2" s="1"/>
  <c r="D506" i="2"/>
  <c r="E506" i="2" s="1"/>
  <c r="D510" i="2"/>
  <c r="E510" i="2" s="1"/>
  <c r="D514" i="2"/>
  <c r="E514" i="2" s="1"/>
  <c r="D518" i="2"/>
  <c r="E518" i="2" s="1"/>
  <c r="D522" i="2"/>
  <c r="E522" i="2" s="1"/>
  <c r="D526" i="2"/>
  <c r="E526" i="2" s="1"/>
  <c r="D530" i="2"/>
  <c r="E530" i="2" s="1"/>
  <c r="D534" i="2"/>
  <c r="E534" i="2" s="1"/>
  <c r="D538" i="2"/>
  <c r="E538" i="2" s="1"/>
  <c r="D542" i="2"/>
  <c r="E542" i="2" s="1"/>
  <c r="D546" i="2"/>
  <c r="E546" i="2" s="1"/>
  <c r="D550" i="2"/>
  <c r="E550" i="2" s="1"/>
  <c r="D554" i="2"/>
  <c r="E554" i="2" s="1"/>
  <c r="D558" i="2"/>
  <c r="E558" i="2" s="1"/>
  <c r="D562" i="2"/>
  <c r="E562" i="2" s="1"/>
  <c r="D566" i="2"/>
  <c r="E566" i="2" s="1"/>
  <c r="D570" i="2"/>
  <c r="E570" i="2" s="1"/>
  <c r="D574" i="2"/>
  <c r="E574" i="2" s="1"/>
  <c r="D578" i="2"/>
  <c r="E578" i="2" s="1"/>
  <c r="D582" i="2"/>
  <c r="E582" i="2" s="1"/>
  <c r="D586" i="2"/>
  <c r="E586" i="2" s="1"/>
  <c r="D590" i="2"/>
  <c r="E590" i="2" s="1"/>
  <c r="D594" i="2"/>
  <c r="E594" i="2" s="1"/>
  <c r="D598" i="2"/>
  <c r="E598" i="2" s="1"/>
  <c r="D602" i="2"/>
  <c r="E602" i="2" s="1"/>
  <c r="D606" i="2"/>
  <c r="E606" i="2" s="1"/>
  <c r="D610" i="2"/>
  <c r="E610" i="2" s="1"/>
  <c r="D614" i="2"/>
  <c r="E614" i="2" s="1"/>
  <c r="D618" i="2"/>
  <c r="E618" i="2" s="1"/>
  <c r="D622" i="2"/>
  <c r="E622" i="2" s="1"/>
  <c r="D626" i="2"/>
  <c r="E626" i="2" s="1"/>
  <c r="D630" i="2"/>
  <c r="E630" i="2" s="1"/>
  <c r="D634" i="2"/>
  <c r="E634" i="2" s="1"/>
  <c r="D638" i="2"/>
  <c r="E638" i="2" s="1"/>
  <c r="D642" i="2"/>
  <c r="E642" i="2" s="1"/>
  <c r="D646" i="2"/>
  <c r="E646" i="2" s="1"/>
  <c r="D650" i="2"/>
  <c r="E650" i="2" s="1"/>
  <c r="D654" i="2"/>
  <c r="E654" i="2" s="1"/>
  <c r="D658" i="2"/>
  <c r="E658" i="2" s="1"/>
  <c r="D662" i="2"/>
  <c r="E662" i="2" s="1"/>
  <c r="D666" i="2"/>
  <c r="E666" i="2" s="1"/>
  <c r="D670" i="2"/>
  <c r="E670" i="2" s="1"/>
  <c r="D674" i="2"/>
  <c r="E674" i="2" s="1"/>
  <c r="D678" i="2"/>
  <c r="E678" i="2" s="1"/>
  <c r="D682" i="2"/>
  <c r="E682" i="2" s="1"/>
  <c r="D686" i="2"/>
  <c r="E686" i="2" s="1"/>
  <c r="D690" i="2"/>
  <c r="E690" i="2" s="1"/>
  <c r="D694" i="2"/>
  <c r="E694" i="2" s="1"/>
  <c r="D698" i="2"/>
  <c r="E698" i="2" s="1"/>
  <c r="D702" i="2"/>
  <c r="E702" i="2" s="1"/>
  <c r="D706" i="2"/>
  <c r="E706" i="2" s="1"/>
  <c r="D710" i="2"/>
  <c r="E710" i="2" s="1"/>
  <c r="D714" i="2"/>
  <c r="E714" i="2" s="1"/>
  <c r="D718" i="2"/>
  <c r="E718" i="2" s="1"/>
  <c r="D722" i="2"/>
  <c r="E722" i="2" s="1"/>
  <c r="D726" i="2"/>
  <c r="E726" i="2" s="1"/>
  <c r="D730" i="2"/>
  <c r="E730" i="2" s="1"/>
  <c r="D734" i="2"/>
  <c r="E734" i="2" s="1"/>
  <c r="D738" i="2"/>
  <c r="E738" i="2" s="1"/>
  <c r="D742" i="2"/>
  <c r="E742" i="2" s="1"/>
  <c r="D746" i="2"/>
  <c r="E746" i="2" s="1"/>
  <c r="D750" i="2"/>
  <c r="E750" i="2" s="1"/>
  <c r="D754" i="2"/>
  <c r="E754" i="2" s="1"/>
  <c r="D758" i="2"/>
  <c r="E758" i="2" s="1"/>
  <c r="D762" i="2"/>
  <c r="E762" i="2" s="1"/>
  <c r="D766" i="2"/>
  <c r="E766" i="2" s="1"/>
  <c r="D770" i="2"/>
  <c r="E770" i="2" s="1"/>
  <c r="D774" i="2"/>
  <c r="E774" i="2" s="1"/>
  <c r="D778" i="2"/>
  <c r="E778" i="2" s="1"/>
  <c r="D782" i="2"/>
  <c r="E782" i="2" s="1"/>
  <c r="D786" i="2"/>
  <c r="E786" i="2" s="1"/>
  <c r="D790" i="2"/>
  <c r="E790" i="2" s="1"/>
  <c r="D794" i="2"/>
  <c r="E794" i="2" s="1"/>
  <c r="D798" i="2"/>
  <c r="E798" i="2" s="1"/>
  <c r="D802" i="2"/>
  <c r="E802" i="2" s="1"/>
  <c r="D806" i="2"/>
  <c r="E806" i="2" s="1"/>
  <c r="D810" i="2"/>
  <c r="E810" i="2" s="1"/>
  <c r="D814" i="2"/>
  <c r="E814" i="2" s="1"/>
  <c r="D818" i="2"/>
  <c r="E818" i="2" s="1"/>
  <c r="D822" i="2"/>
  <c r="E822" i="2" s="1"/>
  <c r="D826" i="2"/>
  <c r="E826" i="2" s="1"/>
  <c r="D830" i="2"/>
  <c r="E830" i="2" s="1"/>
  <c r="D834" i="2"/>
  <c r="E834" i="2" s="1"/>
  <c r="D838" i="2"/>
  <c r="E838" i="2" s="1"/>
  <c r="D842" i="2"/>
  <c r="E842" i="2" s="1"/>
  <c r="D846" i="2"/>
  <c r="E846" i="2" s="1"/>
  <c r="D850" i="2"/>
  <c r="E850" i="2" s="1"/>
  <c r="D854" i="2"/>
  <c r="E854" i="2" s="1"/>
  <c r="D858" i="2"/>
  <c r="E858" i="2" s="1"/>
  <c r="D862" i="2"/>
  <c r="E862" i="2" s="1"/>
  <c r="D866" i="2"/>
  <c r="E866" i="2" s="1"/>
  <c r="D870" i="2"/>
  <c r="E870" i="2" s="1"/>
  <c r="D874" i="2"/>
  <c r="E874" i="2" s="1"/>
  <c r="D878" i="2"/>
  <c r="E878" i="2" s="1"/>
  <c r="D882" i="2"/>
  <c r="E882" i="2" s="1"/>
  <c r="D886" i="2"/>
  <c r="E886" i="2" s="1"/>
  <c r="D890" i="2"/>
  <c r="E890" i="2" s="1"/>
  <c r="D894" i="2"/>
  <c r="E894" i="2" s="1"/>
  <c r="D898" i="2"/>
  <c r="E898" i="2" s="1"/>
  <c r="D902" i="2"/>
  <c r="E902" i="2" s="1"/>
  <c r="D906" i="2"/>
  <c r="E906" i="2" s="1"/>
  <c r="D910" i="2"/>
  <c r="E910" i="2" s="1"/>
  <c r="D914" i="2"/>
  <c r="E914" i="2" s="1"/>
  <c r="D918" i="2"/>
  <c r="E918" i="2" s="1"/>
  <c r="D922" i="2"/>
  <c r="E922" i="2" s="1"/>
  <c r="D926" i="2"/>
  <c r="E926" i="2" s="1"/>
  <c r="D930" i="2"/>
  <c r="E930" i="2" s="1"/>
  <c r="D934" i="2"/>
  <c r="E934" i="2" s="1"/>
  <c r="D938" i="2"/>
  <c r="E938" i="2" s="1"/>
  <c r="D942" i="2"/>
  <c r="E942" i="2" s="1"/>
  <c r="D946" i="2"/>
  <c r="E946" i="2" s="1"/>
  <c r="D950" i="2"/>
  <c r="E950" i="2" s="1"/>
  <c r="D954" i="2"/>
  <c r="E954" i="2" s="1"/>
  <c r="D958" i="2"/>
  <c r="E958" i="2" s="1"/>
  <c r="D962" i="2"/>
  <c r="E962" i="2" s="1"/>
  <c r="D966" i="2"/>
  <c r="E966" i="2" s="1"/>
  <c r="D970" i="2"/>
  <c r="E970" i="2" s="1"/>
  <c r="D974" i="2"/>
  <c r="E974" i="2" s="1"/>
  <c r="D978" i="2"/>
  <c r="E978" i="2" s="1"/>
  <c r="D982" i="2"/>
  <c r="E982" i="2" s="1"/>
  <c r="D986" i="2"/>
  <c r="E986" i="2" s="1"/>
  <c r="D990" i="2"/>
  <c r="E990" i="2" s="1"/>
  <c r="D994" i="2"/>
  <c r="E994" i="2" s="1"/>
  <c r="D998" i="2"/>
  <c r="E998" i="2" s="1"/>
  <c r="D1002" i="2"/>
  <c r="E1002" i="2" s="1"/>
  <c r="D1006" i="2"/>
  <c r="E1006" i="2" s="1"/>
  <c r="D1010" i="2"/>
  <c r="E1010" i="2" s="1"/>
  <c r="D14" i="2"/>
  <c r="E14" i="2" s="1"/>
  <c r="D15" i="2"/>
  <c r="E15" i="2" s="1"/>
  <c r="D23" i="2"/>
  <c r="E23" i="2" s="1"/>
  <c r="D31" i="2"/>
  <c r="E31" i="2" s="1"/>
  <c r="D39" i="2"/>
  <c r="E39" i="2" s="1"/>
  <c r="D47" i="2"/>
  <c r="E47" i="2" s="1"/>
  <c r="D55" i="2"/>
  <c r="E55" i="2" s="1"/>
  <c r="D63" i="2"/>
  <c r="E63" i="2" s="1"/>
  <c r="D71" i="2"/>
  <c r="E71" i="2" s="1"/>
  <c r="D79" i="2"/>
  <c r="E79" i="2" s="1"/>
  <c r="D87" i="2"/>
  <c r="E87" i="2" s="1"/>
  <c r="D95" i="2"/>
  <c r="E95" i="2" s="1"/>
  <c r="D103" i="2"/>
  <c r="E103" i="2" s="1"/>
  <c r="D111" i="2"/>
  <c r="E111" i="2" s="1"/>
  <c r="D119" i="2"/>
  <c r="E119" i="2" s="1"/>
  <c r="D127" i="2"/>
  <c r="E127" i="2" s="1"/>
  <c r="D135" i="2"/>
  <c r="E135" i="2" s="1"/>
  <c r="D143" i="2"/>
  <c r="E143" i="2" s="1"/>
  <c r="D151" i="2"/>
  <c r="E151" i="2" s="1"/>
  <c r="D159" i="2"/>
  <c r="E159" i="2" s="1"/>
  <c r="D167" i="2"/>
  <c r="E167" i="2" s="1"/>
  <c r="D175" i="2"/>
  <c r="E175" i="2" s="1"/>
  <c r="D183" i="2"/>
  <c r="E183" i="2" s="1"/>
  <c r="D191" i="2"/>
  <c r="E191" i="2" s="1"/>
  <c r="D199" i="2"/>
  <c r="E199" i="2" s="1"/>
  <c r="D207" i="2"/>
  <c r="E207" i="2" s="1"/>
  <c r="D215" i="2"/>
  <c r="E215" i="2" s="1"/>
  <c r="D223" i="2"/>
  <c r="E223" i="2" s="1"/>
  <c r="D231" i="2"/>
  <c r="E231" i="2" s="1"/>
  <c r="D239" i="2"/>
  <c r="E239" i="2" s="1"/>
  <c r="D247" i="2"/>
  <c r="E247" i="2" s="1"/>
  <c r="D255" i="2"/>
  <c r="E255" i="2" s="1"/>
  <c r="D263" i="2"/>
  <c r="E263" i="2" s="1"/>
  <c r="D271" i="2"/>
  <c r="E271" i="2" s="1"/>
  <c r="D279" i="2"/>
  <c r="E279" i="2" s="1"/>
  <c r="D287" i="2"/>
  <c r="E287" i="2" s="1"/>
  <c r="D295" i="2"/>
  <c r="E295" i="2" s="1"/>
  <c r="D303" i="2"/>
  <c r="E303" i="2" s="1"/>
  <c r="D311" i="2"/>
  <c r="E311" i="2" s="1"/>
  <c r="D319" i="2"/>
  <c r="E319" i="2" s="1"/>
  <c r="D327" i="2"/>
  <c r="E327" i="2" s="1"/>
  <c r="D335" i="2"/>
  <c r="E335" i="2" s="1"/>
  <c r="D343" i="2"/>
  <c r="E343" i="2" s="1"/>
  <c r="D351" i="2"/>
  <c r="E351" i="2" s="1"/>
  <c r="D359" i="2"/>
  <c r="E359" i="2" s="1"/>
  <c r="D367" i="2"/>
  <c r="E367" i="2" s="1"/>
  <c r="D375" i="2"/>
  <c r="E375" i="2" s="1"/>
  <c r="D383" i="2"/>
  <c r="E383" i="2" s="1"/>
  <c r="D391" i="2"/>
  <c r="E391" i="2" s="1"/>
  <c r="D399" i="2"/>
  <c r="E399" i="2" s="1"/>
  <c r="D403" i="2"/>
  <c r="E403" i="2" s="1"/>
  <c r="D407" i="2"/>
  <c r="E407" i="2" s="1"/>
  <c r="D411" i="2"/>
  <c r="E411" i="2" s="1"/>
  <c r="D415" i="2"/>
  <c r="E415" i="2" s="1"/>
  <c r="D419" i="2"/>
  <c r="E419" i="2" s="1"/>
  <c r="D423" i="2"/>
  <c r="E423" i="2" s="1"/>
  <c r="D427" i="2"/>
  <c r="E427" i="2" s="1"/>
  <c r="D431" i="2"/>
  <c r="E431" i="2" s="1"/>
  <c r="D435" i="2"/>
  <c r="E435" i="2" s="1"/>
  <c r="D439" i="2"/>
  <c r="E439" i="2" s="1"/>
  <c r="D443" i="2"/>
  <c r="E443" i="2" s="1"/>
  <c r="D447" i="2"/>
  <c r="E447" i="2" s="1"/>
  <c r="D451" i="2"/>
  <c r="E451" i="2" s="1"/>
  <c r="D455" i="2"/>
  <c r="E455" i="2" s="1"/>
  <c r="D459" i="2"/>
  <c r="E459" i="2" s="1"/>
  <c r="D463" i="2"/>
  <c r="E463" i="2" s="1"/>
  <c r="D467" i="2"/>
  <c r="E467" i="2" s="1"/>
  <c r="D471" i="2"/>
  <c r="E471" i="2" s="1"/>
  <c r="D475" i="2"/>
  <c r="E475" i="2" s="1"/>
  <c r="D479" i="2"/>
  <c r="E479" i="2" s="1"/>
  <c r="D483" i="2"/>
  <c r="E483" i="2" s="1"/>
  <c r="D487" i="2"/>
  <c r="E487" i="2" s="1"/>
  <c r="D491" i="2"/>
  <c r="E491" i="2" s="1"/>
  <c r="D495" i="2"/>
  <c r="E495" i="2" s="1"/>
  <c r="D499" i="2"/>
  <c r="E499" i="2" s="1"/>
  <c r="D503" i="2"/>
  <c r="E503" i="2" s="1"/>
  <c r="D507" i="2"/>
  <c r="E507" i="2" s="1"/>
  <c r="D511" i="2"/>
  <c r="E511" i="2" s="1"/>
  <c r="D515" i="2"/>
  <c r="E515" i="2" s="1"/>
  <c r="D519" i="2"/>
  <c r="E519" i="2" s="1"/>
  <c r="D523" i="2"/>
  <c r="E523" i="2" s="1"/>
  <c r="D527" i="2"/>
  <c r="E527" i="2" s="1"/>
  <c r="D531" i="2"/>
  <c r="E531" i="2" s="1"/>
  <c r="D535" i="2"/>
  <c r="E535" i="2" s="1"/>
  <c r="D539" i="2"/>
  <c r="E539" i="2" s="1"/>
  <c r="D543" i="2"/>
  <c r="E543" i="2" s="1"/>
  <c r="D547" i="2"/>
  <c r="E547" i="2" s="1"/>
  <c r="D551" i="2"/>
  <c r="E551" i="2" s="1"/>
  <c r="D555" i="2"/>
  <c r="E555" i="2" s="1"/>
  <c r="D559" i="2"/>
  <c r="E559" i="2" s="1"/>
  <c r="D563" i="2"/>
  <c r="E563" i="2" s="1"/>
  <c r="D567" i="2"/>
  <c r="E567" i="2" s="1"/>
  <c r="D571" i="2"/>
  <c r="E571" i="2" s="1"/>
  <c r="D575" i="2"/>
  <c r="E575" i="2" s="1"/>
  <c r="D579" i="2"/>
  <c r="E579" i="2" s="1"/>
  <c r="D583" i="2"/>
  <c r="E583" i="2" s="1"/>
  <c r="D587" i="2"/>
  <c r="E587" i="2" s="1"/>
  <c r="D591" i="2"/>
  <c r="E591" i="2" s="1"/>
  <c r="D595" i="2"/>
  <c r="E595" i="2" s="1"/>
  <c r="D599" i="2"/>
  <c r="E599" i="2" s="1"/>
  <c r="D603" i="2"/>
  <c r="E603" i="2" s="1"/>
  <c r="D607" i="2"/>
  <c r="E607" i="2" s="1"/>
  <c r="D611" i="2"/>
  <c r="E611" i="2" s="1"/>
  <c r="D615" i="2"/>
  <c r="E615" i="2" s="1"/>
  <c r="D619" i="2"/>
  <c r="E619" i="2" s="1"/>
  <c r="D623" i="2"/>
  <c r="E623" i="2" s="1"/>
  <c r="D627" i="2"/>
  <c r="E627" i="2" s="1"/>
  <c r="D631" i="2"/>
  <c r="E631" i="2" s="1"/>
  <c r="D635" i="2"/>
  <c r="E635" i="2" s="1"/>
  <c r="D639" i="2"/>
  <c r="E639" i="2" s="1"/>
  <c r="D643" i="2"/>
  <c r="E643" i="2" s="1"/>
  <c r="D647" i="2"/>
  <c r="E647" i="2" s="1"/>
  <c r="D651" i="2"/>
  <c r="E651" i="2" s="1"/>
  <c r="D655" i="2"/>
  <c r="E655" i="2" s="1"/>
  <c r="D659" i="2"/>
  <c r="E659" i="2" s="1"/>
  <c r="D663" i="2"/>
  <c r="E663" i="2" s="1"/>
  <c r="D667" i="2"/>
  <c r="E667" i="2" s="1"/>
  <c r="D671" i="2"/>
  <c r="E671" i="2" s="1"/>
  <c r="D675" i="2"/>
  <c r="E675" i="2" s="1"/>
  <c r="D679" i="2"/>
  <c r="E679" i="2" s="1"/>
  <c r="D683" i="2"/>
  <c r="E683" i="2" s="1"/>
  <c r="D687" i="2"/>
  <c r="E687" i="2" s="1"/>
  <c r="D691" i="2"/>
  <c r="E691" i="2" s="1"/>
  <c r="D695" i="2"/>
  <c r="E695" i="2" s="1"/>
  <c r="D699" i="2"/>
  <c r="E699" i="2" s="1"/>
  <c r="D703" i="2"/>
  <c r="E703" i="2" s="1"/>
  <c r="D707" i="2"/>
  <c r="E707" i="2" s="1"/>
  <c r="D711" i="2"/>
  <c r="E711" i="2" s="1"/>
  <c r="D715" i="2"/>
  <c r="E715" i="2" s="1"/>
  <c r="D719" i="2"/>
  <c r="E719" i="2" s="1"/>
  <c r="D723" i="2"/>
  <c r="E723" i="2" s="1"/>
  <c r="D727" i="2"/>
  <c r="E727" i="2" s="1"/>
  <c r="D731" i="2"/>
  <c r="E731" i="2" s="1"/>
  <c r="D735" i="2"/>
  <c r="E735" i="2" s="1"/>
  <c r="D739" i="2"/>
  <c r="E739" i="2" s="1"/>
  <c r="D743" i="2"/>
  <c r="E743" i="2" s="1"/>
  <c r="D747" i="2"/>
  <c r="E747" i="2" s="1"/>
  <c r="D751" i="2"/>
  <c r="E751" i="2" s="1"/>
  <c r="D755" i="2"/>
  <c r="E755" i="2" s="1"/>
  <c r="D759" i="2"/>
  <c r="E759" i="2" s="1"/>
  <c r="D763" i="2"/>
  <c r="E763" i="2" s="1"/>
  <c r="D767" i="2"/>
  <c r="E767" i="2" s="1"/>
  <c r="D771" i="2"/>
  <c r="E771" i="2" s="1"/>
  <c r="D775" i="2"/>
  <c r="E775" i="2" s="1"/>
  <c r="D779" i="2"/>
  <c r="E779" i="2" s="1"/>
  <c r="D783" i="2"/>
  <c r="E783" i="2" s="1"/>
  <c r="D787" i="2"/>
  <c r="E787" i="2" s="1"/>
  <c r="D791" i="2"/>
  <c r="E791" i="2" s="1"/>
  <c r="D795" i="2"/>
  <c r="E795" i="2" s="1"/>
  <c r="D799" i="2"/>
  <c r="E799" i="2" s="1"/>
  <c r="D803" i="2"/>
  <c r="E803" i="2" s="1"/>
  <c r="D807" i="2"/>
  <c r="E807" i="2" s="1"/>
  <c r="D811" i="2"/>
  <c r="E811" i="2" s="1"/>
  <c r="D815" i="2"/>
  <c r="E815" i="2" s="1"/>
  <c r="D819" i="2"/>
  <c r="E819" i="2" s="1"/>
  <c r="D823" i="2"/>
  <c r="E823" i="2" s="1"/>
  <c r="D827" i="2"/>
  <c r="E827" i="2" s="1"/>
  <c r="D831" i="2"/>
  <c r="E831" i="2" s="1"/>
  <c r="D835" i="2"/>
  <c r="E835" i="2" s="1"/>
  <c r="D839" i="2"/>
  <c r="E839" i="2" s="1"/>
  <c r="D843" i="2"/>
  <c r="E843" i="2" s="1"/>
  <c r="D847" i="2"/>
  <c r="E847" i="2" s="1"/>
  <c r="D851" i="2"/>
  <c r="E851" i="2" s="1"/>
  <c r="D855" i="2"/>
  <c r="E855" i="2" s="1"/>
  <c r="D859" i="2"/>
  <c r="E859" i="2" s="1"/>
  <c r="D863" i="2"/>
  <c r="E863" i="2" s="1"/>
  <c r="D867" i="2"/>
  <c r="E867" i="2" s="1"/>
  <c r="D871" i="2"/>
  <c r="E871" i="2" s="1"/>
  <c r="D875" i="2"/>
  <c r="E875" i="2" s="1"/>
  <c r="D879" i="2"/>
  <c r="E879" i="2" s="1"/>
  <c r="D883" i="2"/>
  <c r="E883" i="2" s="1"/>
  <c r="D887" i="2"/>
  <c r="E887" i="2" s="1"/>
  <c r="D891" i="2"/>
  <c r="E891" i="2" s="1"/>
  <c r="D895" i="2"/>
  <c r="E895" i="2" s="1"/>
  <c r="D899" i="2"/>
  <c r="E899" i="2" s="1"/>
  <c r="D903" i="2"/>
  <c r="E903" i="2" s="1"/>
  <c r="D907" i="2"/>
  <c r="E907" i="2" s="1"/>
  <c r="D911" i="2"/>
  <c r="E911" i="2" s="1"/>
  <c r="D915" i="2"/>
  <c r="E915" i="2" s="1"/>
  <c r="D919" i="2"/>
  <c r="E919" i="2" s="1"/>
  <c r="D923" i="2"/>
  <c r="E923" i="2" s="1"/>
  <c r="D927" i="2"/>
  <c r="E927" i="2" s="1"/>
  <c r="D931" i="2"/>
  <c r="E931" i="2" s="1"/>
  <c r="D935" i="2"/>
  <c r="E935" i="2" s="1"/>
  <c r="D939" i="2"/>
  <c r="E939" i="2" s="1"/>
  <c r="D943" i="2"/>
  <c r="E943" i="2" s="1"/>
  <c r="D947" i="2"/>
  <c r="E947" i="2" s="1"/>
  <c r="D951" i="2"/>
  <c r="E951" i="2" s="1"/>
  <c r="D955" i="2"/>
  <c r="E955" i="2" s="1"/>
  <c r="D959" i="2"/>
  <c r="E959" i="2" s="1"/>
  <c r="D963" i="2"/>
  <c r="E963" i="2" s="1"/>
  <c r="D967" i="2"/>
  <c r="E967" i="2" s="1"/>
  <c r="D971" i="2"/>
  <c r="E971" i="2" s="1"/>
  <c r="D975" i="2"/>
  <c r="E975" i="2" s="1"/>
  <c r="D979" i="2"/>
  <c r="E979" i="2" s="1"/>
  <c r="D983" i="2"/>
  <c r="E983" i="2" s="1"/>
  <c r="D987" i="2"/>
  <c r="E987" i="2" s="1"/>
  <c r="D991" i="2"/>
  <c r="E991" i="2" s="1"/>
  <c r="D995" i="2"/>
  <c r="E995" i="2" s="1"/>
  <c r="D999" i="2"/>
  <c r="E999" i="2" s="1"/>
  <c r="D1003" i="2"/>
  <c r="E1003" i="2" s="1"/>
  <c r="D1007" i="2"/>
  <c r="E1007" i="2" s="1"/>
  <c r="D1011" i="2"/>
  <c r="E1011" i="2" s="1"/>
  <c r="D26" i="2"/>
  <c r="E26" i="2" s="1"/>
  <c r="D42" i="2"/>
  <c r="E42" i="2" s="1"/>
  <c r="D58" i="2"/>
  <c r="E58" i="2" s="1"/>
  <c r="D74" i="2"/>
  <c r="E74" i="2" s="1"/>
  <c r="D90" i="2"/>
  <c r="E90" i="2" s="1"/>
  <c r="D98" i="2"/>
  <c r="E98" i="2" s="1"/>
  <c r="D18" i="2"/>
  <c r="E18" i="2" s="1"/>
  <c r="D34" i="2"/>
  <c r="E34" i="2" s="1"/>
  <c r="D50" i="2"/>
  <c r="E50" i="2" s="1"/>
  <c r="D66" i="2"/>
  <c r="E66" i="2" s="1"/>
  <c r="D82" i="2"/>
  <c r="E82" i="2" s="1"/>
  <c r="D106" i="2"/>
  <c r="E106" i="2" s="1"/>
  <c r="D19" i="2"/>
  <c r="E19" i="2" s="1"/>
  <c r="D51" i="2"/>
  <c r="E51" i="2" s="1"/>
  <c r="D83" i="2"/>
  <c r="E83" i="2" s="1"/>
  <c r="D114" i="2"/>
  <c r="E114" i="2" s="1"/>
  <c r="D130" i="2"/>
  <c r="E130" i="2" s="1"/>
  <c r="D146" i="2"/>
  <c r="E146" i="2" s="1"/>
  <c r="D162" i="2"/>
  <c r="E162" i="2" s="1"/>
  <c r="D178" i="2"/>
  <c r="E178" i="2" s="1"/>
  <c r="D194" i="2"/>
  <c r="E194" i="2" s="1"/>
  <c r="D210" i="2"/>
  <c r="E210" i="2" s="1"/>
  <c r="D226" i="2"/>
  <c r="E226" i="2" s="1"/>
  <c r="D242" i="2"/>
  <c r="E242" i="2" s="1"/>
  <c r="D258" i="2"/>
  <c r="E258" i="2" s="1"/>
  <c r="D274" i="2"/>
  <c r="E274" i="2" s="1"/>
  <c r="D290" i="2"/>
  <c r="E290" i="2" s="1"/>
  <c r="D306" i="2"/>
  <c r="E306" i="2" s="1"/>
  <c r="D322" i="2"/>
  <c r="E322" i="2" s="1"/>
  <c r="D338" i="2"/>
  <c r="E338" i="2" s="1"/>
  <c r="D354" i="2"/>
  <c r="E354" i="2" s="1"/>
  <c r="D370" i="2"/>
  <c r="E370" i="2" s="1"/>
  <c r="D386" i="2"/>
  <c r="E386" i="2" s="1"/>
  <c r="D400" i="2"/>
  <c r="E400" i="2" s="1"/>
  <c r="D408" i="2"/>
  <c r="E408" i="2" s="1"/>
  <c r="D416" i="2"/>
  <c r="E416" i="2" s="1"/>
  <c r="D424" i="2"/>
  <c r="E424" i="2" s="1"/>
  <c r="D432" i="2"/>
  <c r="E432" i="2" s="1"/>
  <c r="D440" i="2"/>
  <c r="E440" i="2" s="1"/>
  <c r="D448" i="2"/>
  <c r="E448" i="2" s="1"/>
  <c r="D456" i="2"/>
  <c r="E456" i="2" s="1"/>
  <c r="D464" i="2"/>
  <c r="E464" i="2" s="1"/>
  <c r="D472" i="2"/>
  <c r="E472" i="2" s="1"/>
  <c r="D480" i="2"/>
  <c r="E480" i="2" s="1"/>
  <c r="D488" i="2"/>
  <c r="E488" i="2" s="1"/>
  <c r="D496" i="2"/>
  <c r="E496" i="2" s="1"/>
  <c r="D504" i="2"/>
  <c r="E504" i="2" s="1"/>
  <c r="D512" i="2"/>
  <c r="E512" i="2" s="1"/>
  <c r="D520" i="2"/>
  <c r="E520" i="2" s="1"/>
  <c r="D528" i="2"/>
  <c r="E528" i="2" s="1"/>
  <c r="D536" i="2"/>
  <c r="E536" i="2" s="1"/>
  <c r="D544" i="2"/>
  <c r="E544" i="2" s="1"/>
  <c r="D552" i="2"/>
  <c r="E552" i="2" s="1"/>
  <c r="D560" i="2"/>
  <c r="E560" i="2" s="1"/>
  <c r="D568" i="2"/>
  <c r="E568" i="2" s="1"/>
  <c r="D576" i="2"/>
  <c r="E576" i="2" s="1"/>
  <c r="D584" i="2"/>
  <c r="E584" i="2" s="1"/>
  <c r="D592" i="2"/>
  <c r="E592" i="2" s="1"/>
  <c r="D600" i="2"/>
  <c r="E600" i="2" s="1"/>
  <c r="D608" i="2"/>
  <c r="E608" i="2" s="1"/>
  <c r="D35" i="2"/>
  <c r="E35" i="2" s="1"/>
  <c r="D67" i="2"/>
  <c r="E67" i="2" s="1"/>
  <c r="D99" i="2"/>
  <c r="E99" i="2" s="1"/>
  <c r="D122" i="2"/>
  <c r="E122" i="2" s="1"/>
  <c r="D138" i="2"/>
  <c r="E138" i="2" s="1"/>
  <c r="D154" i="2"/>
  <c r="E154" i="2" s="1"/>
  <c r="D170" i="2"/>
  <c r="E170" i="2" s="1"/>
  <c r="D186" i="2"/>
  <c r="E186" i="2" s="1"/>
  <c r="D202" i="2"/>
  <c r="E202" i="2" s="1"/>
  <c r="D218" i="2"/>
  <c r="E218" i="2" s="1"/>
  <c r="D234" i="2"/>
  <c r="E234" i="2" s="1"/>
  <c r="D250" i="2"/>
  <c r="E250" i="2" s="1"/>
  <c r="D266" i="2"/>
  <c r="E266" i="2" s="1"/>
  <c r="D282" i="2"/>
  <c r="E282" i="2" s="1"/>
  <c r="D298" i="2"/>
  <c r="E298" i="2" s="1"/>
  <c r="D314" i="2"/>
  <c r="E314" i="2" s="1"/>
  <c r="D330" i="2"/>
  <c r="E330" i="2" s="1"/>
  <c r="D346" i="2"/>
  <c r="E346" i="2" s="1"/>
  <c r="D362" i="2"/>
  <c r="E362" i="2" s="1"/>
  <c r="D378" i="2"/>
  <c r="E378" i="2" s="1"/>
  <c r="D394" i="2"/>
  <c r="E394" i="2" s="1"/>
  <c r="D404" i="2"/>
  <c r="E404" i="2" s="1"/>
  <c r="D412" i="2"/>
  <c r="E412" i="2" s="1"/>
  <c r="D420" i="2"/>
  <c r="E420" i="2" s="1"/>
  <c r="D428" i="2"/>
  <c r="E428" i="2" s="1"/>
  <c r="D436" i="2"/>
  <c r="E436" i="2" s="1"/>
  <c r="D444" i="2"/>
  <c r="E444" i="2" s="1"/>
  <c r="D452" i="2"/>
  <c r="E452" i="2" s="1"/>
  <c r="D460" i="2"/>
  <c r="E460" i="2" s="1"/>
  <c r="D468" i="2"/>
  <c r="E468" i="2" s="1"/>
  <c r="D476" i="2"/>
  <c r="E476" i="2" s="1"/>
  <c r="D484" i="2"/>
  <c r="E484" i="2" s="1"/>
  <c r="D492" i="2"/>
  <c r="E492" i="2" s="1"/>
  <c r="D500" i="2"/>
  <c r="E500" i="2" s="1"/>
  <c r="D508" i="2"/>
  <c r="E508" i="2" s="1"/>
  <c r="D516" i="2"/>
  <c r="E516" i="2" s="1"/>
  <c r="D524" i="2"/>
  <c r="E524" i="2" s="1"/>
  <c r="D532" i="2"/>
  <c r="E532" i="2" s="1"/>
  <c r="D540" i="2"/>
  <c r="E540" i="2" s="1"/>
  <c r="D548" i="2"/>
  <c r="E548" i="2" s="1"/>
  <c r="D556" i="2"/>
  <c r="E556" i="2" s="1"/>
  <c r="D564" i="2"/>
  <c r="E564" i="2" s="1"/>
  <c r="D572" i="2"/>
  <c r="E572" i="2" s="1"/>
  <c r="D580" i="2"/>
  <c r="E580" i="2" s="1"/>
  <c r="D588" i="2"/>
  <c r="E588" i="2" s="1"/>
  <c r="D596" i="2"/>
  <c r="E596" i="2" s="1"/>
  <c r="D604" i="2"/>
  <c r="E604" i="2" s="1"/>
  <c r="D612" i="2"/>
  <c r="E612" i="2" s="1"/>
  <c r="D620" i="2"/>
  <c r="E620" i="2" s="1"/>
  <c r="D628" i="2"/>
  <c r="E628" i="2" s="1"/>
  <c r="D636" i="2"/>
  <c r="E636" i="2" s="1"/>
  <c r="D644" i="2"/>
  <c r="E644" i="2" s="1"/>
  <c r="D652" i="2"/>
  <c r="E652" i="2" s="1"/>
  <c r="D660" i="2"/>
  <c r="E660" i="2" s="1"/>
  <c r="D668" i="2"/>
  <c r="E668" i="2" s="1"/>
  <c r="D676" i="2"/>
  <c r="E676" i="2" s="1"/>
  <c r="D684" i="2"/>
  <c r="E684" i="2" s="1"/>
  <c r="D692" i="2"/>
  <c r="E692" i="2" s="1"/>
  <c r="D700" i="2"/>
  <c r="E700" i="2" s="1"/>
  <c r="D708" i="2"/>
  <c r="E708" i="2" s="1"/>
  <c r="D716" i="2"/>
  <c r="E716" i="2" s="1"/>
  <c r="D724" i="2"/>
  <c r="E724" i="2" s="1"/>
  <c r="D732" i="2"/>
  <c r="E732" i="2" s="1"/>
  <c r="D740" i="2"/>
  <c r="E740" i="2" s="1"/>
  <c r="D748" i="2"/>
  <c r="E748" i="2" s="1"/>
  <c r="D756" i="2"/>
  <c r="E756" i="2" s="1"/>
  <c r="D764" i="2"/>
  <c r="E764" i="2" s="1"/>
  <c r="D772" i="2"/>
  <c r="E772" i="2" s="1"/>
  <c r="D780" i="2"/>
  <c r="E780" i="2" s="1"/>
  <c r="D788" i="2"/>
  <c r="E788" i="2" s="1"/>
  <c r="D796" i="2"/>
  <c r="E796" i="2" s="1"/>
  <c r="D804" i="2"/>
  <c r="E804" i="2" s="1"/>
  <c r="D812" i="2"/>
  <c r="E812" i="2" s="1"/>
  <c r="D820" i="2"/>
  <c r="E820" i="2" s="1"/>
  <c r="D828" i="2"/>
  <c r="E828" i="2" s="1"/>
  <c r="D836" i="2"/>
  <c r="E836" i="2" s="1"/>
  <c r="D844" i="2"/>
  <c r="E844" i="2" s="1"/>
  <c r="D852" i="2"/>
  <c r="E852" i="2" s="1"/>
  <c r="D860" i="2"/>
  <c r="E860" i="2" s="1"/>
  <c r="D868" i="2"/>
  <c r="E868" i="2" s="1"/>
  <c r="D876" i="2"/>
  <c r="E876" i="2" s="1"/>
  <c r="D884" i="2"/>
  <c r="E884" i="2" s="1"/>
  <c r="D892" i="2"/>
  <c r="E892" i="2" s="1"/>
  <c r="D900" i="2"/>
  <c r="E900" i="2" s="1"/>
  <c r="D908" i="2"/>
  <c r="E908" i="2" s="1"/>
  <c r="D27" i="2"/>
  <c r="E27" i="2" s="1"/>
  <c r="D91" i="2"/>
  <c r="E91" i="2" s="1"/>
  <c r="D131" i="2"/>
  <c r="E131" i="2" s="1"/>
  <c r="D163" i="2"/>
  <c r="E163" i="2" s="1"/>
  <c r="D195" i="2"/>
  <c r="E195" i="2" s="1"/>
  <c r="D227" i="2"/>
  <c r="E227" i="2" s="1"/>
  <c r="D259" i="2"/>
  <c r="E259" i="2" s="1"/>
  <c r="D291" i="2"/>
  <c r="E291" i="2" s="1"/>
  <c r="D323" i="2"/>
  <c r="E323" i="2" s="1"/>
  <c r="D355" i="2"/>
  <c r="E355" i="2" s="1"/>
  <c r="D387" i="2"/>
  <c r="E387" i="2" s="1"/>
  <c r="D409" i="2"/>
  <c r="E409" i="2" s="1"/>
  <c r="D425" i="2"/>
  <c r="E425" i="2" s="1"/>
  <c r="D441" i="2"/>
  <c r="E441" i="2" s="1"/>
  <c r="D457" i="2"/>
  <c r="E457" i="2" s="1"/>
  <c r="D473" i="2"/>
  <c r="E473" i="2" s="1"/>
  <c r="D489" i="2"/>
  <c r="E489" i="2" s="1"/>
  <c r="D505" i="2"/>
  <c r="E505" i="2" s="1"/>
  <c r="D521" i="2"/>
  <c r="E521" i="2" s="1"/>
  <c r="D537" i="2"/>
  <c r="E537" i="2" s="1"/>
  <c r="D553" i="2"/>
  <c r="E553" i="2" s="1"/>
  <c r="D569" i="2"/>
  <c r="E569" i="2" s="1"/>
  <c r="D585" i="2"/>
  <c r="E585" i="2" s="1"/>
  <c r="D601" i="2"/>
  <c r="E601" i="2" s="1"/>
  <c r="D616" i="2"/>
  <c r="E616" i="2" s="1"/>
  <c r="D625" i="2"/>
  <c r="E625" i="2" s="1"/>
  <c r="D637" i="2"/>
  <c r="E637" i="2" s="1"/>
  <c r="D648" i="2"/>
  <c r="E648" i="2" s="1"/>
  <c r="D657" i="2"/>
  <c r="E657" i="2" s="1"/>
  <c r="D669" i="2"/>
  <c r="E669" i="2" s="1"/>
  <c r="D680" i="2"/>
  <c r="E680" i="2" s="1"/>
  <c r="D689" i="2"/>
  <c r="E689" i="2" s="1"/>
  <c r="D701" i="2"/>
  <c r="E701" i="2" s="1"/>
  <c r="D712" i="2"/>
  <c r="E712" i="2" s="1"/>
  <c r="D721" i="2"/>
  <c r="E721" i="2" s="1"/>
  <c r="D733" i="2"/>
  <c r="E733" i="2" s="1"/>
  <c r="D744" i="2"/>
  <c r="E744" i="2" s="1"/>
  <c r="D753" i="2"/>
  <c r="E753" i="2" s="1"/>
  <c r="D765" i="2"/>
  <c r="E765" i="2" s="1"/>
  <c r="D776" i="2"/>
  <c r="E776" i="2" s="1"/>
  <c r="D785" i="2"/>
  <c r="E785" i="2" s="1"/>
  <c r="D797" i="2"/>
  <c r="E797" i="2" s="1"/>
  <c r="D808" i="2"/>
  <c r="E808" i="2" s="1"/>
  <c r="D817" i="2"/>
  <c r="E817" i="2" s="1"/>
  <c r="D829" i="2"/>
  <c r="E829" i="2" s="1"/>
  <c r="D840" i="2"/>
  <c r="E840" i="2" s="1"/>
  <c r="D849" i="2"/>
  <c r="E849" i="2" s="1"/>
  <c r="D861" i="2"/>
  <c r="E861" i="2" s="1"/>
  <c r="D872" i="2"/>
  <c r="E872" i="2" s="1"/>
  <c r="D881" i="2"/>
  <c r="E881" i="2" s="1"/>
  <c r="D893" i="2"/>
  <c r="E893" i="2" s="1"/>
  <c r="D904" i="2"/>
  <c r="E904" i="2" s="1"/>
  <c r="D913" i="2"/>
  <c r="E913" i="2" s="1"/>
  <c r="D921" i="2"/>
  <c r="E921" i="2" s="1"/>
  <c r="D929" i="2"/>
  <c r="E929" i="2" s="1"/>
  <c r="D937" i="2"/>
  <c r="E937" i="2" s="1"/>
  <c r="D945" i="2"/>
  <c r="E945" i="2" s="1"/>
  <c r="D953" i="2"/>
  <c r="E953" i="2" s="1"/>
  <c r="D961" i="2"/>
  <c r="E961" i="2" s="1"/>
  <c r="D969" i="2"/>
  <c r="E969" i="2" s="1"/>
  <c r="D977" i="2"/>
  <c r="E977" i="2" s="1"/>
  <c r="D985" i="2"/>
  <c r="E985" i="2" s="1"/>
  <c r="D993" i="2"/>
  <c r="E993" i="2" s="1"/>
  <c r="D1001" i="2"/>
  <c r="E1001" i="2" s="1"/>
  <c r="D1009" i="2"/>
  <c r="E1009" i="2" s="1"/>
  <c r="D964" i="2"/>
  <c r="E964" i="2" s="1"/>
  <c r="D988" i="2"/>
  <c r="E988" i="2" s="1"/>
  <c r="D1004" i="2"/>
  <c r="E1004" i="2" s="1"/>
  <c r="D187" i="2"/>
  <c r="E187" i="2" s="1"/>
  <c r="D315" i="2"/>
  <c r="E315" i="2" s="1"/>
  <c r="D421" i="2"/>
  <c r="E421" i="2" s="1"/>
  <c r="D469" i="2"/>
  <c r="E469" i="2" s="1"/>
  <c r="D501" i="2"/>
  <c r="E501" i="2" s="1"/>
  <c r="D565" i="2"/>
  <c r="E565" i="2" s="1"/>
  <c r="D624" i="2"/>
  <c r="E624" i="2" s="1"/>
  <c r="D665" i="2"/>
  <c r="E665" i="2" s="1"/>
  <c r="D709" i="2"/>
  <c r="E709" i="2" s="1"/>
  <c r="D752" i="2"/>
  <c r="E752" i="2" s="1"/>
  <c r="D784" i="2"/>
  <c r="E784" i="2" s="1"/>
  <c r="D825" i="2"/>
  <c r="E825" i="2" s="1"/>
  <c r="D880" i="2"/>
  <c r="E880" i="2" s="1"/>
  <c r="D912" i="2"/>
  <c r="E912" i="2" s="1"/>
  <c r="D944" i="2"/>
  <c r="E944" i="2" s="1"/>
  <c r="D968" i="2"/>
  <c r="E968" i="2" s="1"/>
  <c r="D992" i="2"/>
  <c r="E992" i="2" s="1"/>
  <c r="D43" i="2"/>
  <c r="E43" i="2" s="1"/>
  <c r="D107" i="2"/>
  <c r="E107" i="2" s="1"/>
  <c r="D139" i="2"/>
  <c r="E139" i="2" s="1"/>
  <c r="D171" i="2"/>
  <c r="E171" i="2" s="1"/>
  <c r="D203" i="2"/>
  <c r="E203" i="2" s="1"/>
  <c r="D235" i="2"/>
  <c r="E235" i="2" s="1"/>
  <c r="D267" i="2"/>
  <c r="E267" i="2" s="1"/>
  <c r="D299" i="2"/>
  <c r="E299" i="2" s="1"/>
  <c r="D331" i="2"/>
  <c r="E331" i="2" s="1"/>
  <c r="D363" i="2"/>
  <c r="E363" i="2" s="1"/>
  <c r="D395" i="2"/>
  <c r="E395" i="2" s="1"/>
  <c r="D413" i="2"/>
  <c r="E413" i="2" s="1"/>
  <c r="D429" i="2"/>
  <c r="E429" i="2" s="1"/>
  <c r="D445" i="2"/>
  <c r="E445" i="2" s="1"/>
  <c r="D461" i="2"/>
  <c r="E461" i="2" s="1"/>
  <c r="D477" i="2"/>
  <c r="E477" i="2" s="1"/>
  <c r="D493" i="2"/>
  <c r="E493" i="2" s="1"/>
  <c r="D509" i="2"/>
  <c r="E509" i="2" s="1"/>
  <c r="D525" i="2"/>
  <c r="E525" i="2" s="1"/>
  <c r="D541" i="2"/>
  <c r="E541" i="2" s="1"/>
  <c r="D557" i="2"/>
  <c r="E557" i="2" s="1"/>
  <c r="D573" i="2"/>
  <c r="E573" i="2" s="1"/>
  <c r="D589" i="2"/>
  <c r="E589" i="2" s="1"/>
  <c r="D605" i="2"/>
  <c r="E605" i="2" s="1"/>
  <c r="D617" i="2"/>
  <c r="E617" i="2" s="1"/>
  <c r="D629" i="2"/>
  <c r="E629" i="2" s="1"/>
  <c r="D640" i="2"/>
  <c r="E640" i="2" s="1"/>
  <c r="D649" i="2"/>
  <c r="E649" i="2" s="1"/>
  <c r="D661" i="2"/>
  <c r="E661" i="2" s="1"/>
  <c r="D672" i="2"/>
  <c r="E672" i="2" s="1"/>
  <c r="D681" i="2"/>
  <c r="E681" i="2" s="1"/>
  <c r="D693" i="2"/>
  <c r="E693" i="2" s="1"/>
  <c r="D704" i="2"/>
  <c r="E704" i="2" s="1"/>
  <c r="D713" i="2"/>
  <c r="E713" i="2" s="1"/>
  <c r="D725" i="2"/>
  <c r="E725" i="2" s="1"/>
  <c r="D736" i="2"/>
  <c r="E736" i="2" s="1"/>
  <c r="D745" i="2"/>
  <c r="E745" i="2" s="1"/>
  <c r="D757" i="2"/>
  <c r="E757" i="2" s="1"/>
  <c r="D768" i="2"/>
  <c r="E768" i="2" s="1"/>
  <c r="D777" i="2"/>
  <c r="E777" i="2" s="1"/>
  <c r="D789" i="2"/>
  <c r="E789" i="2" s="1"/>
  <c r="D800" i="2"/>
  <c r="E800" i="2" s="1"/>
  <c r="D809" i="2"/>
  <c r="E809" i="2" s="1"/>
  <c r="D821" i="2"/>
  <c r="E821" i="2" s="1"/>
  <c r="D832" i="2"/>
  <c r="E832" i="2" s="1"/>
  <c r="D841" i="2"/>
  <c r="E841" i="2" s="1"/>
  <c r="D853" i="2"/>
  <c r="E853" i="2" s="1"/>
  <c r="D864" i="2"/>
  <c r="E864" i="2" s="1"/>
  <c r="D873" i="2"/>
  <c r="E873" i="2" s="1"/>
  <c r="D885" i="2"/>
  <c r="E885" i="2" s="1"/>
  <c r="D896" i="2"/>
  <c r="E896" i="2" s="1"/>
  <c r="D905" i="2"/>
  <c r="E905" i="2" s="1"/>
  <c r="D916" i="2"/>
  <c r="E916" i="2" s="1"/>
  <c r="D924" i="2"/>
  <c r="E924" i="2" s="1"/>
  <c r="D932" i="2"/>
  <c r="E932" i="2" s="1"/>
  <c r="D940" i="2"/>
  <c r="E940" i="2" s="1"/>
  <c r="D948" i="2"/>
  <c r="E948" i="2" s="1"/>
  <c r="D956" i="2"/>
  <c r="E956" i="2" s="1"/>
  <c r="D972" i="2"/>
  <c r="E972" i="2" s="1"/>
  <c r="D980" i="2"/>
  <c r="E980" i="2" s="1"/>
  <c r="D996" i="2"/>
  <c r="E996" i="2" s="1"/>
  <c r="D1012" i="2"/>
  <c r="E1012" i="2" s="1"/>
  <c r="D123" i="2"/>
  <c r="E123" i="2" s="1"/>
  <c r="D155" i="2"/>
  <c r="E155" i="2" s="1"/>
  <c r="D251" i="2"/>
  <c r="E251" i="2" s="1"/>
  <c r="D347" i="2"/>
  <c r="E347" i="2" s="1"/>
  <c r="D437" i="2"/>
  <c r="E437" i="2" s="1"/>
  <c r="D485" i="2"/>
  <c r="E485" i="2" s="1"/>
  <c r="D517" i="2"/>
  <c r="E517" i="2" s="1"/>
  <c r="D581" i="2"/>
  <c r="E581" i="2" s="1"/>
  <c r="D633" i="2"/>
  <c r="E633" i="2" s="1"/>
  <c r="D677" i="2"/>
  <c r="E677" i="2" s="1"/>
  <c r="D720" i="2"/>
  <c r="E720" i="2" s="1"/>
  <c r="D761" i="2"/>
  <c r="E761" i="2" s="1"/>
  <c r="D805" i="2"/>
  <c r="E805" i="2" s="1"/>
  <c r="D837" i="2"/>
  <c r="E837" i="2" s="1"/>
  <c r="D869" i="2"/>
  <c r="E869" i="2" s="1"/>
  <c r="D901" i="2"/>
  <c r="E901" i="2" s="1"/>
  <c r="D936" i="2"/>
  <c r="E936" i="2" s="1"/>
  <c r="D952" i="2"/>
  <c r="E952" i="2" s="1"/>
  <c r="D984" i="2"/>
  <c r="E984" i="2" s="1"/>
  <c r="D59" i="2"/>
  <c r="E59" i="2" s="1"/>
  <c r="D115" i="2"/>
  <c r="E115" i="2" s="1"/>
  <c r="D147" i="2"/>
  <c r="E147" i="2" s="1"/>
  <c r="D179" i="2"/>
  <c r="E179" i="2" s="1"/>
  <c r="D211" i="2"/>
  <c r="E211" i="2" s="1"/>
  <c r="D243" i="2"/>
  <c r="E243" i="2" s="1"/>
  <c r="D275" i="2"/>
  <c r="E275" i="2" s="1"/>
  <c r="D307" i="2"/>
  <c r="E307" i="2" s="1"/>
  <c r="D339" i="2"/>
  <c r="E339" i="2" s="1"/>
  <c r="D371" i="2"/>
  <c r="E371" i="2" s="1"/>
  <c r="D401" i="2"/>
  <c r="E401" i="2" s="1"/>
  <c r="D417" i="2"/>
  <c r="E417" i="2" s="1"/>
  <c r="D433" i="2"/>
  <c r="E433" i="2" s="1"/>
  <c r="D449" i="2"/>
  <c r="E449" i="2" s="1"/>
  <c r="D465" i="2"/>
  <c r="E465" i="2" s="1"/>
  <c r="D481" i="2"/>
  <c r="E481" i="2" s="1"/>
  <c r="D497" i="2"/>
  <c r="E497" i="2" s="1"/>
  <c r="D513" i="2"/>
  <c r="E513" i="2" s="1"/>
  <c r="D529" i="2"/>
  <c r="E529" i="2" s="1"/>
  <c r="D545" i="2"/>
  <c r="E545" i="2" s="1"/>
  <c r="D561" i="2"/>
  <c r="E561" i="2" s="1"/>
  <c r="D577" i="2"/>
  <c r="E577" i="2" s="1"/>
  <c r="D593" i="2"/>
  <c r="E593" i="2" s="1"/>
  <c r="D609" i="2"/>
  <c r="E609" i="2" s="1"/>
  <c r="D621" i="2"/>
  <c r="E621" i="2" s="1"/>
  <c r="D632" i="2"/>
  <c r="E632" i="2" s="1"/>
  <c r="D641" i="2"/>
  <c r="E641" i="2" s="1"/>
  <c r="D653" i="2"/>
  <c r="E653" i="2" s="1"/>
  <c r="D664" i="2"/>
  <c r="E664" i="2" s="1"/>
  <c r="D673" i="2"/>
  <c r="E673" i="2" s="1"/>
  <c r="D685" i="2"/>
  <c r="E685" i="2" s="1"/>
  <c r="D696" i="2"/>
  <c r="E696" i="2" s="1"/>
  <c r="D705" i="2"/>
  <c r="E705" i="2" s="1"/>
  <c r="D717" i="2"/>
  <c r="E717" i="2" s="1"/>
  <c r="D728" i="2"/>
  <c r="E728" i="2" s="1"/>
  <c r="D737" i="2"/>
  <c r="E737" i="2" s="1"/>
  <c r="D749" i="2"/>
  <c r="E749" i="2" s="1"/>
  <c r="D760" i="2"/>
  <c r="E760" i="2" s="1"/>
  <c r="D769" i="2"/>
  <c r="E769" i="2" s="1"/>
  <c r="D781" i="2"/>
  <c r="E781" i="2" s="1"/>
  <c r="D792" i="2"/>
  <c r="E792" i="2" s="1"/>
  <c r="D801" i="2"/>
  <c r="E801" i="2" s="1"/>
  <c r="D813" i="2"/>
  <c r="E813" i="2" s="1"/>
  <c r="D824" i="2"/>
  <c r="E824" i="2" s="1"/>
  <c r="D833" i="2"/>
  <c r="E833" i="2" s="1"/>
  <c r="D845" i="2"/>
  <c r="E845" i="2" s="1"/>
  <c r="D856" i="2"/>
  <c r="E856" i="2" s="1"/>
  <c r="D865" i="2"/>
  <c r="E865" i="2" s="1"/>
  <c r="D877" i="2"/>
  <c r="E877" i="2" s="1"/>
  <c r="D888" i="2"/>
  <c r="E888" i="2" s="1"/>
  <c r="D897" i="2"/>
  <c r="E897" i="2" s="1"/>
  <c r="D909" i="2"/>
  <c r="E909" i="2" s="1"/>
  <c r="D917" i="2"/>
  <c r="E917" i="2" s="1"/>
  <c r="D925" i="2"/>
  <c r="E925" i="2" s="1"/>
  <c r="D933" i="2"/>
  <c r="E933" i="2" s="1"/>
  <c r="D941" i="2"/>
  <c r="E941" i="2" s="1"/>
  <c r="D949" i="2"/>
  <c r="E949" i="2" s="1"/>
  <c r="D957" i="2"/>
  <c r="E957" i="2" s="1"/>
  <c r="D965" i="2"/>
  <c r="E965" i="2" s="1"/>
  <c r="D973" i="2"/>
  <c r="E973" i="2" s="1"/>
  <c r="D981" i="2"/>
  <c r="E981" i="2" s="1"/>
  <c r="D989" i="2"/>
  <c r="E989" i="2" s="1"/>
  <c r="D997" i="2"/>
  <c r="E997" i="2" s="1"/>
  <c r="D1005" i="2"/>
  <c r="E1005" i="2" s="1"/>
  <c r="D1013" i="2"/>
  <c r="E1013" i="2" s="1"/>
  <c r="D75" i="2"/>
  <c r="E75" i="2" s="1"/>
  <c r="D219" i="2"/>
  <c r="E219" i="2" s="1"/>
  <c r="D283" i="2"/>
  <c r="E283" i="2" s="1"/>
  <c r="D379" i="2"/>
  <c r="E379" i="2" s="1"/>
  <c r="D453" i="2"/>
  <c r="E453" i="2" s="1"/>
  <c r="D533" i="2"/>
  <c r="E533" i="2" s="1"/>
  <c r="D597" i="2"/>
  <c r="E597" i="2" s="1"/>
  <c r="D645" i="2"/>
  <c r="E645" i="2" s="1"/>
  <c r="D688" i="2"/>
  <c r="E688" i="2" s="1"/>
  <c r="D729" i="2"/>
  <c r="E729" i="2" s="1"/>
  <c r="D773" i="2"/>
  <c r="E773" i="2" s="1"/>
  <c r="D816" i="2"/>
  <c r="E816" i="2" s="1"/>
  <c r="D857" i="2"/>
  <c r="E857" i="2" s="1"/>
  <c r="D889" i="2"/>
  <c r="E889" i="2" s="1"/>
  <c r="D928" i="2"/>
  <c r="E928" i="2" s="1"/>
  <c r="D960" i="2"/>
  <c r="E960" i="2" s="1"/>
  <c r="D1000" i="2"/>
  <c r="E1000" i="2" s="1"/>
  <c r="D405" i="2"/>
  <c r="E405" i="2" s="1"/>
  <c r="D549" i="2"/>
  <c r="E549" i="2" s="1"/>
  <c r="D613" i="2"/>
  <c r="E613" i="2" s="1"/>
  <c r="D656" i="2"/>
  <c r="E656" i="2" s="1"/>
  <c r="D697" i="2"/>
  <c r="E697" i="2" s="1"/>
  <c r="D741" i="2"/>
  <c r="E741" i="2" s="1"/>
  <c r="D793" i="2"/>
  <c r="E793" i="2" s="1"/>
  <c r="D848" i="2"/>
  <c r="E848" i="2" s="1"/>
  <c r="D920" i="2"/>
  <c r="E920" i="2" s="1"/>
  <c r="D976" i="2"/>
  <c r="E976" i="2" s="1"/>
  <c r="D1008" i="2"/>
  <c r="E1008" i="2" s="1"/>
  <c r="B15" i="1"/>
  <c r="G14" i="2"/>
  <c r="F613" i="2" l="1"/>
  <c r="F379" i="2"/>
  <c r="F949" i="2"/>
  <c r="F792" i="2"/>
  <c r="F621" i="2"/>
  <c r="F339" i="2"/>
  <c r="F761" i="2"/>
  <c r="F956" i="2"/>
  <c r="F800" i="2"/>
  <c r="F573" i="2"/>
  <c r="F235" i="2"/>
  <c r="F624" i="2"/>
  <c r="F961" i="2"/>
  <c r="F765" i="2"/>
  <c r="F585" i="2"/>
  <c r="F259" i="2"/>
  <c r="F868" i="2"/>
  <c r="F740" i="2"/>
  <c r="F612" i="2"/>
  <c r="F484" i="2"/>
  <c r="F314" i="2"/>
  <c r="F122" i="2"/>
  <c r="F512" i="2"/>
  <c r="F306" i="2"/>
  <c r="F114" i="2"/>
  <c r="F1011" i="2"/>
  <c r="F947" i="2"/>
  <c r="F883" i="2"/>
  <c r="F803" i="2"/>
  <c r="F739" i="2"/>
  <c r="F691" i="2"/>
  <c r="F627" i="2"/>
  <c r="F563" i="2"/>
  <c r="F499" i="2"/>
  <c r="F451" i="2"/>
  <c r="F375" i="2"/>
  <c r="F311" i="2"/>
  <c r="F183" i="2"/>
  <c r="F55" i="2"/>
  <c r="F958" i="2"/>
  <c r="F894" i="2"/>
  <c r="F830" i="2"/>
  <c r="F750" i="2"/>
  <c r="F702" i="2"/>
  <c r="F654" i="2"/>
  <c r="F638" i="2"/>
  <c r="F622" i="2"/>
  <c r="F606" i="2"/>
  <c r="F590" i="2"/>
  <c r="F574" i="2"/>
  <c r="F558" i="2"/>
  <c r="F542" i="2"/>
  <c r="F526" i="2"/>
  <c r="F510" i="2"/>
  <c r="F494" i="2"/>
  <c r="F478" i="2"/>
  <c r="F414" i="2"/>
  <c r="F398" i="2"/>
  <c r="F366" i="2"/>
  <c r="F334" i="2"/>
  <c r="F302" i="2"/>
  <c r="F270" i="2"/>
  <c r="F238" i="2"/>
  <c r="F206" i="2"/>
  <c r="F174" i="2"/>
  <c r="F142" i="2"/>
  <c r="F110" i="2"/>
  <c r="F78" i="2"/>
  <c r="F46" i="2"/>
  <c r="F397" i="2"/>
  <c r="F381" i="2"/>
  <c r="F365" i="2"/>
  <c r="F349" i="2"/>
  <c r="F333" i="2"/>
  <c r="F317" i="2"/>
  <c r="F301" i="2"/>
  <c r="F285" i="2"/>
  <c r="F269" i="2"/>
  <c r="F253" i="2"/>
  <c r="F237" i="2"/>
  <c r="F221" i="2"/>
  <c r="F205" i="2"/>
  <c r="F189" i="2"/>
  <c r="F173" i="2"/>
  <c r="F157" i="2"/>
  <c r="F141" i="2"/>
  <c r="F125" i="2"/>
  <c r="F109" i="2"/>
  <c r="F93" i="2"/>
  <c r="F77" i="2"/>
  <c r="F61" i="2"/>
  <c r="F45" i="2"/>
  <c r="F29" i="2"/>
  <c r="F396" i="2"/>
  <c r="F380" i="2"/>
  <c r="F364" i="2"/>
  <c r="F348" i="2"/>
  <c r="F332" i="2"/>
  <c r="F316" i="2"/>
  <c r="F300" i="2"/>
  <c r="F284" i="2"/>
  <c r="F268" i="2"/>
  <c r="F252" i="2"/>
  <c r="F236" i="2"/>
  <c r="F220" i="2"/>
  <c r="F204" i="2"/>
  <c r="F188" i="2"/>
  <c r="F172" i="2"/>
  <c r="F156" i="2"/>
  <c r="F140" i="2"/>
  <c r="F124" i="2"/>
  <c r="F108" i="2"/>
  <c r="F92" i="2"/>
  <c r="F76" i="2"/>
  <c r="F60" i="2"/>
  <c r="F44" i="2"/>
  <c r="F28" i="2"/>
  <c r="F960" i="2"/>
  <c r="F1013" i="2"/>
  <c r="F877" i="2"/>
  <c r="F705" i="2"/>
  <c r="F497" i="2"/>
  <c r="F901" i="2"/>
  <c r="F347" i="2"/>
  <c r="F885" i="2"/>
  <c r="F713" i="2"/>
  <c r="F509" i="2"/>
  <c r="F107" i="2"/>
  <c r="F421" i="2"/>
  <c r="F929" i="2"/>
  <c r="F849" i="2"/>
  <c r="F721" i="2"/>
  <c r="F521" i="2"/>
  <c r="F131" i="2"/>
  <c r="F804" i="2"/>
  <c r="F676" i="2"/>
  <c r="F548" i="2"/>
  <c r="F378" i="2"/>
  <c r="F608" i="2"/>
  <c r="F448" i="2"/>
  <c r="F178" i="2"/>
  <c r="F74" i="2"/>
  <c r="F963" i="2"/>
  <c r="F899" i="2"/>
  <c r="F835" i="2"/>
  <c r="F787" i="2"/>
  <c r="F723" i="2"/>
  <c r="F659" i="2"/>
  <c r="F611" i="2"/>
  <c r="F547" i="2"/>
  <c r="F483" i="2"/>
  <c r="F419" i="2"/>
  <c r="F279" i="2"/>
  <c r="F151" i="2"/>
  <c r="F23" i="2"/>
  <c r="F974" i="2"/>
  <c r="F910" i="2"/>
  <c r="F846" i="2"/>
  <c r="F814" i="2"/>
  <c r="F766" i="2"/>
  <c r="F686" i="2"/>
  <c r="F430" i="2"/>
  <c r="F549" i="2"/>
  <c r="F597" i="2"/>
  <c r="F973" i="2"/>
  <c r="F909" i="2"/>
  <c r="F781" i="2"/>
  <c r="F737" i="2"/>
  <c r="F696" i="2"/>
  <c r="F653" i="2"/>
  <c r="F1008" i="2"/>
  <c r="F816" i="2"/>
  <c r="F981" i="2"/>
  <c r="F833" i="2"/>
  <c r="F664" i="2"/>
  <c r="F433" i="2"/>
  <c r="F59" i="2"/>
  <c r="F1012" i="2"/>
  <c r="F841" i="2"/>
  <c r="F672" i="2"/>
  <c r="F445" i="2"/>
  <c r="F944" i="2"/>
  <c r="F988" i="2"/>
  <c r="F893" i="2"/>
  <c r="F680" i="2"/>
  <c r="F457" i="2"/>
  <c r="F900" i="2"/>
  <c r="F772" i="2"/>
  <c r="F644" i="2"/>
  <c r="F516" i="2"/>
  <c r="F420" i="2"/>
  <c r="F186" i="2"/>
  <c r="F544" i="2"/>
  <c r="F416" i="2"/>
  <c r="F242" i="2"/>
  <c r="F34" i="2"/>
  <c r="F979" i="2"/>
  <c r="F915" i="2"/>
  <c r="F851" i="2"/>
  <c r="F771" i="2"/>
  <c r="F707" i="2"/>
  <c r="F643" i="2"/>
  <c r="F579" i="2"/>
  <c r="F515" i="2"/>
  <c r="F467" i="2"/>
  <c r="F403" i="2"/>
  <c r="F247" i="2"/>
  <c r="F87" i="2"/>
  <c r="F990" i="2"/>
  <c r="F926" i="2"/>
  <c r="F878" i="2"/>
  <c r="F798" i="2"/>
  <c r="F734" i="2"/>
  <c r="F670" i="2"/>
  <c r="F446" i="2"/>
  <c r="F741" i="2"/>
  <c r="F773" i="2"/>
  <c r="F1005" i="2"/>
  <c r="F865" i="2"/>
  <c r="F793" i="2"/>
  <c r="F645" i="2"/>
  <c r="F917" i="2"/>
  <c r="F749" i="2"/>
  <c r="F561" i="2"/>
  <c r="F211" i="2"/>
  <c r="F581" i="2"/>
  <c r="F924" i="2"/>
  <c r="F757" i="2"/>
  <c r="F629" i="2"/>
  <c r="F363" i="2"/>
  <c r="F784" i="2"/>
  <c r="F993" i="2"/>
  <c r="F808" i="2"/>
  <c r="F637" i="2"/>
  <c r="F387" i="2"/>
  <c r="F836" i="2"/>
  <c r="F708" i="2"/>
  <c r="F580" i="2"/>
  <c r="F452" i="2"/>
  <c r="F250" i="2"/>
  <c r="F576" i="2"/>
  <c r="F480" i="2"/>
  <c r="F370" i="2"/>
  <c r="F106" i="2"/>
  <c r="F995" i="2"/>
  <c r="F931" i="2"/>
  <c r="F867" i="2"/>
  <c r="F819" i="2"/>
  <c r="F755" i="2"/>
  <c r="F675" i="2"/>
  <c r="F595" i="2"/>
  <c r="F531" i="2"/>
  <c r="F435" i="2"/>
  <c r="F343" i="2"/>
  <c r="F215" i="2"/>
  <c r="F119" i="2"/>
  <c r="F1006" i="2"/>
  <c r="F942" i="2"/>
  <c r="F862" i="2"/>
  <c r="F782" i="2"/>
  <c r="F718" i="2"/>
  <c r="F462" i="2"/>
  <c r="F976" i="2"/>
  <c r="F928" i="2"/>
  <c r="F283" i="2"/>
  <c r="F941" i="2"/>
  <c r="F824" i="2"/>
  <c r="F609" i="2"/>
  <c r="F545" i="2"/>
  <c r="F417" i="2"/>
  <c r="F307" i="2"/>
  <c r="F179" i="2"/>
  <c r="F984" i="2"/>
  <c r="F869" i="2"/>
  <c r="F720" i="2"/>
  <c r="F517" i="2"/>
  <c r="F251" i="2"/>
  <c r="F996" i="2"/>
  <c r="F948" i="2"/>
  <c r="F916" i="2"/>
  <c r="F873" i="2"/>
  <c r="F832" i="2"/>
  <c r="F789" i="2"/>
  <c r="F745" i="2"/>
  <c r="F704" i="2"/>
  <c r="F661" i="2"/>
  <c r="F617" i="2"/>
  <c r="F557" i="2"/>
  <c r="F493" i="2"/>
  <c r="F429" i="2"/>
  <c r="F331" i="2"/>
  <c r="F203" i="2"/>
  <c r="F43" i="2"/>
  <c r="F912" i="2"/>
  <c r="F752" i="2"/>
  <c r="F565" i="2"/>
  <c r="F315" i="2"/>
  <c r="F964" i="2"/>
  <c r="F985" i="2"/>
  <c r="F953" i="2"/>
  <c r="F921" i="2"/>
  <c r="F881" i="2"/>
  <c r="F840" i="2"/>
  <c r="F797" i="2"/>
  <c r="F753" i="2"/>
  <c r="F712" i="2"/>
  <c r="F669" i="2"/>
  <c r="F625" i="2"/>
  <c r="F569" i="2"/>
  <c r="F505" i="2"/>
  <c r="F441" i="2"/>
  <c r="F355" i="2"/>
  <c r="F227" i="2"/>
  <c r="F91" i="2"/>
  <c r="F892" i="2"/>
  <c r="F860" i="2"/>
  <c r="F828" i="2"/>
  <c r="F796" i="2"/>
  <c r="F764" i="2"/>
  <c r="F732" i="2"/>
  <c r="F700" i="2"/>
  <c r="F668" i="2"/>
  <c r="F636" i="2"/>
  <c r="F604" i="2"/>
  <c r="F572" i="2"/>
  <c r="F540" i="2"/>
  <c r="F508" i="2"/>
  <c r="F476" i="2"/>
  <c r="F444" i="2"/>
  <c r="F412" i="2"/>
  <c r="F362" i="2"/>
  <c r="F298" i="2"/>
  <c r="F234" i="2"/>
  <c r="F170" i="2"/>
  <c r="F99" i="2"/>
  <c r="F600" i="2"/>
  <c r="F568" i="2"/>
  <c r="F536" i="2"/>
  <c r="F504" i="2"/>
  <c r="F472" i="2"/>
  <c r="F440" i="2"/>
  <c r="F408" i="2"/>
  <c r="F354" i="2"/>
  <c r="F290" i="2"/>
  <c r="F226" i="2"/>
  <c r="F162" i="2"/>
  <c r="F83" i="2"/>
  <c r="F82" i="2"/>
  <c r="F18" i="2"/>
  <c r="F58" i="2"/>
  <c r="F1007" i="2"/>
  <c r="F991" i="2"/>
  <c r="F975" i="2"/>
  <c r="F959" i="2"/>
  <c r="F943" i="2"/>
  <c r="F927" i="2"/>
  <c r="F911" i="2"/>
  <c r="F895" i="2"/>
  <c r="F879" i="2"/>
  <c r="F863" i="2"/>
  <c r="F847" i="2"/>
  <c r="F831" i="2"/>
  <c r="F815" i="2"/>
  <c r="F799" i="2"/>
  <c r="F783" i="2"/>
  <c r="F767" i="2"/>
  <c r="F751" i="2"/>
  <c r="F735" i="2"/>
  <c r="F719" i="2"/>
  <c r="F703" i="2"/>
  <c r="F687" i="2"/>
  <c r="F671" i="2"/>
  <c r="F655" i="2"/>
  <c r="F639" i="2"/>
  <c r="F623" i="2"/>
  <c r="F607" i="2"/>
  <c r="F591" i="2"/>
  <c r="F575" i="2"/>
  <c r="F559" i="2"/>
  <c r="F543" i="2"/>
  <c r="F527" i="2"/>
  <c r="F511" i="2"/>
  <c r="F495" i="2"/>
  <c r="F479" i="2"/>
  <c r="F463" i="2"/>
  <c r="F447" i="2"/>
  <c r="F431" i="2"/>
  <c r="F415" i="2"/>
  <c r="F399" i="2"/>
  <c r="F367" i="2"/>
  <c r="F335" i="2"/>
  <c r="F303" i="2"/>
  <c r="F271" i="2"/>
  <c r="F239" i="2"/>
  <c r="F207" i="2"/>
  <c r="F175" i="2"/>
  <c r="F143" i="2"/>
  <c r="F111" i="2"/>
  <c r="F79" i="2"/>
  <c r="F47" i="2"/>
  <c r="F15" i="2"/>
  <c r="F1002" i="2"/>
  <c r="F986" i="2"/>
  <c r="F970" i="2"/>
  <c r="F954" i="2"/>
  <c r="F938" i="2"/>
  <c r="F922" i="2"/>
  <c r="F906" i="2"/>
  <c r="F890" i="2"/>
  <c r="F874" i="2"/>
  <c r="F858" i="2"/>
  <c r="F842" i="2"/>
  <c r="F826" i="2"/>
  <c r="F810" i="2"/>
  <c r="F794" i="2"/>
  <c r="F778" i="2"/>
  <c r="F762" i="2"/>
  <c r="F746" i="2"/>
  <c r="F730" i="2"/>
  <c r="F714" i="2"/>
  <c r="F698" i="2"/>
  <c r="F682" i="2"/>
  <c r="F666" i="2"/>
  <c r="F650" i="2"/>
  <c r="F634" i="2"/>
  <c r="F618" i="2"/>
  <c r="F602" i="2"/>
  <c r="F586" i="2"/>
  <c r="F570" i="2"/>
  <c r="F554" i="2"/>
  <c r="F538" i="2"/>
  <c r="F522" i="2"/>
  <c r="F506" i="2"/>
  <c r="F490" i="2"/>
  <c r="F474" i="2"/>
  <c r="F458" i="2"/>
  <c r="F442" i="2"/>
  <c r="F426" i="2"/>
  <c r="F410" i="2"/>
  <c r="F390" i="2"/>
  <c r="F358" i="2"/>
  <c r="F326" i="2"/>
  <c r="F294" i="2"/>
  <c r="F262" i="2"/>
  <c r="F230" i="2"/>
  <c r="F198" i="2"/>
  <c r="F166" i="2"/>
  <c r="F134" i="2"/>
  <c r="F102" i="2"/>
  <c r="F70" i="2"/>
  <c r="F38" i="2"/>
  <c r="F393" i="2"/>
  <c r="F377" i="2"/>
  <c r="F361" i="2"/>
  <c r="F345" i="2"/>
  <c r="F329" i="2"/>
  <c r="F313" i="2"/>
  <c r="F297" i="2"/>
  <c r="F281" i="2"/>
  <c r="F265" i="2"/>
  <c r="F249" i="2"/>
  <c r="F233" i="2"/>
  <c r="F217" i="2"/>
  <c r="F201" i="2"/>
  <c r="F185" i="2"/>
  <c r="F169" i="2"/>
  <c r="F153" i="2"/>
  <c r="F137" i="2"/>
  <c r="F121" i="2"/>
  <c r="F105" i="2"/>
  <c r="F89" i="2"/>
  <c r="F73" i="2"/>
  <c r="F57" i="2"/>
  <c r="F41" i="2"/>
  <c r="F25" i="2"/>
  <c r="F392" i="2"/>
  <c r="F376" i="2"/>
  <c r="F360" i="2"/>
  <c r="F344" i="2"/>
  <c r="F328" i="2"/>
  <c r="F312" i="2"/>
  <c r="F296" i="2"/>
  <c r="F280" i="2"/>
  <c r="F264" i="2"/>
  <c r="F248" i="2"/>
  <c r="F232" i="2"/>
  <c r="F216" i="2"/>
  <c r="F200" i="2"/>
  <c r="F184" i="2"/>
  <c r="F168" i="2"/>
  <c r="F152" i="2"/>
  <c r="F136" i="2"/>
  <c r="F120" i="2"/>
  <c r="F104" i="2"/>
  <c r="F88" i="2"/>
  <c r="F72" i="2"/>
  <c r="F56" i="2"/>
  <c r="F40" i="2"/>
  <c r="F24" i="2"/>
  <c r="F481" i="2"/>
  <c r="F920" i="2"/>
  <c r="F697" i="2"/>
  <c r="F405" i="2"/>
  <c r="F889" i="2"/>
  <c r="F729" i="2"/>
  <c r="F533" i="2"/>
  <c r="F219" i="2"/>
  <c r="F997" i="2"/>
  <c r="F965" i="2"/>
  <c r="F933" i="2"/>
  <c r="F897" i="2"/>
  <c r="F856" i="2"/>
  <c r="F813" i="2"/>
  <c r="F769" i="2"/>
  <c r="F728" i="2"/>
  <c r="F685" i="2"/>
  <c r="F641" i="2"/>
  <c r="F593" i="2"/>
  <c r="F529" i="2"/>
  <c r="F465" i="2"/>
  <c r="F401" i="2"/>
  <c r="F275" i="2"/>
  <c r="F147" i="2"/>
  <c r="F952" i="2"/>
  <c r="F837" i="2"/>
  <c r="F677" i="2"/>
  <c r="F485" i="2"/>
  <c r="F155" i="2"/>
  <c r="F980" i="2"/>
  <c r="F940" i="2"/>
  <c r="F905" i="2"/>
  <c r="F864" i="2"/>
  <c r="F821" i="2"/>
  <c r="F777" i="2"/>
  <c r="F736" i="2"/>
  <c r="F693" i="2"/>
  <c r="F649" i="2"/>
  <c r="F605" i="2"/>
  <c r="F541" i="2"/>
  <c r="F477" i="2"/>
  <c r="F413" i="2"/>
  <c r="F299" i="2"/>
  <c r="F171" i="2"/>
  <c r="F992" i="2"/>
  <c r="F880" i="2"/>
  <c r="F709" i="2"/>
  <c r="F501" i="2"/>
  <c r="F187" i="2"/>
  <c r="F1009" i="2"/>
  <c r="F977" i="2"/>
  <c r="F945" i="2"/>
  <c r="F913" i="2"/>
  <c r="F872" i="2"/>
  <c r="F829" i="2"/>
  <c r="F785" i="2"/>
  <c r="F744" i="2"/>
  <c r="F701" i="2"/>
  <c r="F657" i="2"/>
  <c r="F616" i="2"/>
  <c r="F553" i="2"/>
  <c r="F489" i="2"/>
  <c r="F425" i="2"/>
  <c r="F323" i="2"/>
  <c r="F195" i="2"/>
  <c r="F27" i="2"/>
  <c r="F884" i="2"/>
  <c r="F852" i="2"/>
  <c r="F820" i="2"/>
  <c r="F788" i="2"/>
  <c r="F756" i="2"/>
  <c r="F724" i="2"/>
  <c r="F692" i="2"/>
  <c r="F660" i="2"/>
  <c r="F628" i="2"/>
  <c r="F596" i="2"/>
  <c r="F564" i="2"/>
  <c r="F532" i="2"/>
  <c r="F500" i="2"/>
  <c r="F468" i="2"/>
  <c r="F436" i="2"/>
  <c r="F404" i="2"/>
  <c r="F346" i="2"/>
  <c r="F282" i="2"/>
  <c r="F218" i="2"/>
  <c r="F154" i="2"/>
  <c r="F67" i="2"/>
  <c r="F592" i="2"/>
  <c r="F560" i="2"/>
  <c r="F528" i="2"/>
  <c r="F496" i="2"/>
  <c r="F464" i="2"/>
  <c r="F432" i="2"/>
  <c r="F400" i="2"/>
  <c r="F338" i="2"/>
  <c r="F274" i="2"/>
  <c r="F210" i="2"/>
  <c r="F146" i="2"/>
  <c r="F51" i="2"/>
  <c r="F66" i="2"/>
  <c r="F98" i="2"/>
  <c r="F42" i="2"/>
  <c r="F1003" i="2"/>
  <c r="F987" i="2"/>
  <c r="F971" i="2"/>
  <c r="F955" i="2"/>
  <c r="F939" i="2"/>
  <c r="F923" i="2"/>
  <c r="F907" i="2"/>
  <c r="F891" i="2"/>
  <c r="F875" i="2"/>
  <c r="F859" i="2"/>
  <c r="F843" i="2"/>
  <c r="F827" i="2"/>
  <c r="F811" i="2"/>
  <c r="F795" i="2"/>
  <c r="F779" i="2"/>
  <c r="F763" i="2"/>
  <c r="F747" i="2"/>
  <c r="F731" i="2"/>
  <c r="F715" i="2"/>
  <c r="F699" i="2"/>
  <c r="F683" i="2"/>
  <c r="F667" i="2"/>
  <c r="F651" i="2"/>
  <c r="F635" i="2"/>
  <c r="F619" i="2"/>
  <c r="F603" i="2"/>
  <c r="F587" i="2"/>
  <c r="F571" i="2"/>
  <c r="F555" i="2"/>
  <c r="F539" i="2"/>
  <c r="F523" i="2"/>
  <c r="F507" i="2"/>
  <c r="F491" i="2"/>
  <c r="F475" i="2"/>
  <c r="F459" i="2"/>
  <c r="F443" i="2"/>
  <c r="F427" i="2"/>
  <c r="F411" i="2"/>
  <c r="F391" i="2"/>
  <c r="F359" i="2"/>
  <c r="F327" i="2"/>
  <c r="F295" i="2"/>
  <c r="F263" i="2"/>
  <c r="F231" i="2"/>
  <c r="F199" i="2"/>
  <c r="F167" i="2"/>
  <c r="F135" i="2"/>
  <c r="F103" i="2"/>
  <c r="F71" i="2"/>
  <c r="F39" i="2"/>
  <c r="F14" i="2"/>
  <c r="F998" i="2"/>
  <c r="F982" i="2"/>
  <c r="F966" i="2"/>
  <c r="F950" i="2"/>
  <c r="F934" i="2"/>
  <c r="F918" i="2"/>
  <c r="F902" i="2"/>
  <c r="F886" i="2"/>
  <c r="F870" i="2"/>
  <c r="F854" i="2"/>
  <c r="F838" i="2"/>
  <c r="F822" i="2"/>
  <c r="F806" i="2"/>
  <c r="F790" i="2"/>
  <c r="F774" i="2"/>
  <c r="F758" i="2"/>
  <c r="F742" i="2"/>
  <c r="F726" i="2"/>
  <c r="F710" i="2"/>
  <c r="F694" i="2"/>
  <c r="F678" i="2"/>
  <c r="F662" i="2"/>
  <c r="F646" i="2"/>
  <c r="F630" i="2"/>
  <c r="F614" i="2"/>
  <c r="F598" i="2"/>
  <c r="F582" i="2"/>
  <c r="F566" i="2"/>
  <c r="F550" i="2"/>
  <c r="F534" i="2"/>
  <c r="F518" i="2"/>
  <c r="F502" i="2"/>
  <c r="F486" i="2"/>
  <c r="F470" i="2"/>
  <c r="F454" i="2"/>
  <c r="F438" i="2"/>
  <c r="F422" i="2"/>
  <c r="F406" i="2"/>
  <c r="F382" i="2"/>
  <c r="F350" i="2"/>
  <c r="F318" i="2"/>
  <c r="F286" i="2"/>
  <c r="F254" i="2"/>
  <c r="F222" i="2"/>
  <c r="F190" i="2"/>
  <c r="F158" i="2"/>
  <c r="F126" i="2"/>
  <c r="F94" i="2"/>
  <c r="F62" i="2"/>
  <c r="F30" i="2"/>
  <c r="F389" i="2"/>
  <c r="F373" i="2"/>
  <c r="F357" i="2"/>
  <c r="F341" i="2"/>
  <c r="F325" i="2"/>
  <c r="F309" i="2"/>
  <c r="F293" i="2"/>
  <c r="F277" i="2"/>
  <c r="F261" i="2"/>
  <c r="F245" i="2"/>
  <c r="F229" i="2"/>
  <c r="F213" i="2"/>
  <c r="F197" i="2"/>
  <c r="F181" i="2"/>
  <c r="F165" i="2"/>
  <c r="F149" i="2"/>
  <c r="F133" i="2"/>
  <c r="F117" i="2"/>
  <c r="F101" i="2"/>
  <c r="F85" i="2"/>
  <c r="F69" i="2"/>
  <c r="F53" i="2"/>
  <c r="F37" i="2"/>
  <c r="F21" i="2"/>
  <c r="F388" i="2"/>
  <c r="F372" i="2"/>
  <c r="F356" i="2"/>
  <c r="F340" i="2"/>
  <c r="F324" i="2"/>
  <c r="F308" i="2"/>
  <c r="F292" i="2"/>
  <c r="F276" i="2"/>
  <c r="F260" i="2"/>
  <c r="F244" i="2"/>
  <c r="F228" i="2"/>
  <c r="F212" i="2"/>
  <c r="F196" i="2"/>
  <c r="F180" i="2"/>
  <c r="F164" i="2"/>
  <c r="F148" i="2"/>
  <c r="F132" i="2"/>
  <c r="F116" i="2"/>
  <c r="F100" i="2"/>
  <c r="F84" i="2"/>
  <c r="F68" i="2"/>
  <c r="F52" i="2"/>
  <c r="F36" i="2"/>
  <c r="F20" i="2"/>
  <c r="F848" i="2"/>
  <c r="F656" i="2"/>
  <c r="F1000" i="2"/>
  <c r="F857" i="2"/>
  <c r="F688" i="2"/>
  <c r="F453" i="2"/>
  <c r="F75" i="2"/>
  <c r="F989" i="2"/>
  <c r="F957" i="2"/>
  <c r="F925" i="2"/>
  <c r="F888" i="2"/>
  <c r="F845" i="2"/>
  <c r="F801" i="2"/>
  <c r="F760" i="2"/>
  <c r="F717" i="2"/>
  <c r="F673" i="2"/>
  <c r="F632" i="2"/>
  <c r="F577" i="2"/>
  <c r="F513" i="2"/>
  <c r="F449" i="2"/>
  <c r="F371" i="2"/>
  <c r="F243" i="2"/>
  <c r="F115" i="2"/>
  <c r="F936" i="2"/>
  <c r="F805" i="2"/>
  <c r="F633" i="2"/>
  <c r="F437" i="2"/>
  <c r="F123" i="2"/>
  <c r="F972" i="2"/>
  <c r="F932" i="2"/>
  <c r="F896" i="2"/>
  <c r="F853" i="2"/>
  <c r="F809" i="2"/>
  <c r="F768" i="2"/>
  <c r="F725" i="2"/>
  <c r="F681" i="2"/>
  <c r="F640" i="2"/>
  <c r="F589" i="2"/>
  <c r="F525" i="2"/>
  <c r="F461" i="2"/>
  <c r="F395" i="2"/>
  <c r="F267" i="2"/>
  <c r="F139" i="2"/>
  <c r="F968" i="2"/>
  <c r="F825" i="2"/>
  <c r="F665" i="2"/>
  <c r="F469" i="2"/>
  <c r="F1004" i="2"/>
  <c r="F1001" i="2"/>
  <c r="F969" i="2"/>
  <c r="F937" i="2"/>
  <c r="F904" i="2"/>
  <c r="F861" i="2"/>
  <c r="F817" i="2"/>
  <c r="F776" i="2"/>
  <c r="F733" i="2"/>
  <c r="F689" i="2"/>
  <c r="F648" i="2"/>
  <c r="F601" i="2"/>
  <c r="F537" i="2"/>
  <c r="F473" i="2"/>
  <c r="F409" i="2"/>
  <c r="F291" i="2"/>
  <c r="F163" i="2"/>
  <c r="F908" i="2"/>
  <c r="F876" i="2"/>
  <c r="F844" i="2"/>
  <c r="F812" i="2"/>
  <c r="F780" i="2"/>
  <c r="F748" i="2"/>
  <c r="F716" i="2"/>
  <c r="F684" i="2"/>
  <c r="F652" i="2"/>
  <c r="F620" i="2"/>
  <c r="F588" i="2"/>
  <c r="F556" i="2"/>
  <c r="F524" i="2"/>
  <c r="F492" i="2"/>
  <c r="F460" i="2"/>
  <c r="F428" i="2"/>
  <c r="F394" i="2"/>
  <c r="F330" i="2"/>
  <c r="F266" i="2"/>
  <c r="F202" i="2"/>
  <c r="F138" i="2"/>
  <c r="F35" i="2"/>
  <c r="F584" i="2"/>
  <c r="F552" i="2"/>
  <c r="F520" i="2"/>
  <c r="F488" i="2"/>
  <c r="F456" i="2"/>
  <c r="F424" i="2"/>
  <c r="F386" i="2"/>
  <c r="F322" i="2"/>
  <c r="F258" i="2"/>
  <c r="F194" i="2"/>
  <c r="F130" i="2"/>
  <c r="F19" i="2"/>
  <c r="F50" i="2"/>
  <c r="F90" i="2"/>
  <c r="F26" i="2"/>
  <c r="F999" i="2"/>
  <c r="F983" i="2"/>
  <c r="F967" i="2"/>
  <c r="F951" i="2"/>
  <c r="F935" i="2"/>
  <c r="F919" i="2"/>
  <c r="F903" i="2"/>
  <c r="F887" i="2"/>
  <c r="F871" i="2"/>
  <c r="F855" i="2"/>
  <c r="F839" i="2"/>
  <c r="F823" i="2"/>
  <c r="F807" i="2"/>
  <c r="F791" i="2"/>
  <c r="F775" i="2"/>
  <c r="F759" i="2"/>
  <c r="F743" i="2"/>
  <c r="F727" i="2"/>
  <c r="F711" i="2"/>
  <c r="F695" i="2"/>
  <c r="F679" i="2"/>
  <c r="F663" i="2"/>
  <c r="F647" i="2"/>
  <c r="F631" i="2"/>
  <c r="F615" i="2"/>
  <c r="F599" i="2"/>
  <c r="F583" i="2"/>
  <c r="F567" i="2"/>
  <c r="F551" i="2"/>
  <c r="F535" i="2"/>
  <c r="F519" i="2"/>
  <c r="F503" i="2"/>
  <c r="F487" i="2"/>
  <c r="F471" i="2"/>
  <c r="F455" i="2"/>
  <c r="F439" i="2"/>
  <c r="F423" i="2"/>
  <c r="F407" i="2"/>
  <c r="F383" i="2"/>
  <c r="F351" i="2"/>
  <c r="F319" i="2"/>
  <c r="F287" i="2"/>
  <c r="F255" i="2"/>
  <c r="F223" i="2"/>
  <c r="F191" i="2"/>
  <c r="F159" i="2"/>
  <c r="F127" i="2"/>
  <c r="F95" i="2"/>
  <c r="F63" i="2"/>
  <c r="F31" i="2"/>
  <c r="F1010" i="2"/>
  <c r="F994" i="2"/>
  <c r="F978" i="2"/>
  <c r="F962" i="2"/>
  <c r="F946" i="2"/>
  <c r="F930" i="2"/>
  <c r="F914" i="2"/>
  <c r="F898" i="2"/>
  <c r="F882" i="2"/>
  <c r="F866" i="2"/>
  <c r="F850" i="2"/>
  <c r="F834" i="2"/>
  <c r="F818" i="2"/>
  <c r="F802" i="2"/>
  <c r="F786" i="2"/>
  <c r="F770" i="2"/>
  <c r="F754" i="2"/>
  <c r="F738" i="2"/>
  <c r="F722" i="2"/>
  <c r="F706" i="2"/>
  <c r="F690" i="2"/>
  <c r="F674" i="2"/>
  <c r="F658" i="2"/>
  <c r="F642" i="2"/>
  <c r="F626" i="2"/>
  <c r="F610" i="2"/>
  <c r="F594" i="2"/>
  <c r="F578" i="2"/>
  <c r="F562" i="2"/>
  <c r="F546" i="2"/>
  <c r="F530" i="2"/>
  <c r="F514" i="2"/>
  <c r="F498" i="2"/>
  <c r="F482" i="2"/>
  <c r="F466" i="2"/>
  <c r="F450" i="2"/>
  <c r="F434" i="2"/>
  <c r="F418" i="2"/>
  <c r="F402" i="2"/>
  <c r="F374" i="2"/>
  <c r="F342" i="2"/>
  <c r="F310" i="2"/>
  <c r="F278" i="2"/>
  <c r="F246" i="2"/>
  <c r="F214" i="2"/>
  <c r="F182" i="2"/>
  <c r="F150" i="2"/>
  <c r="F118" i="2"/>
  <c r="F86" i="2"/>
  <c r="F54" i="2"/>
  <c r="F22" i="2"/>
  <c r="F385" i="2"/>
  <c r="F369" i="2"/>
  <c r="F353" i="2"/>
  <c r="F337" i="2"/>
  <c r="F321" i="2"/>
  <c r="F305" i="2"/>
  <c r="F289" i="2"/>
  <c r="F273" i="2"/>
  <c r="F257" i="2"/>
  <c r="F241" i="2"/>
  <c r="F225" i="2"/>
  <c r="F209" i="2"/>
  <c r="F193" i="2"/>
  <c r="F177" i="2"/>
  <c r="F161" i="2"/>
  <c r="F145" i="2"/>
  <c r="F129" i="2"/>
  <c r="F113" i="2"/>
  <c r="F97" i="2"/>
  <c r="F81" i="2"/>
  <c r="F65" i="2"/>
  <c r="F49" i="2"/>
  <c r="F33" i="2"/>
  <c r="F17" i="2"/>
  <c r="F384" i="2"/>
  <c r="F368" i="2"/>
  <c r="F352" i="2"/>
  <c r="F336" i="2"/>
  <c r="F320" i="2"/>
  <c r="F304" i="2"/>
  <c r="F288" i="2"/>
  <c r="F272" i="2"/>
  <c r="F256" i="2"/>
  <c r="F240" i="2"/>
  <c r="F224" i="2"/>
  <c r="F208" i="2"/>
  <c r="F192" i="2"/>
  <c r="F176" i="2"/>
  <c r="F160" i="2"/>
  <c r="F144" i="2"/>
  <c r="F128" i="2"/>
  <c r="F112" i="2"/>
  <c r="F96" i="2"/>
  <c r="F80" i="2"/>
  <c r="F64" i="2"/>
  <c r="F48" i="2"/>
  <c r="F32" i="2"/>
  <c r="F16" i="2"/>
  <c r="G16" i="2"/>
  <c r="H576" i="2"/>
  <c r="G760" i="2"/>
  <c r="G61" i="2"/>
  <c r="G746" i="2"/>
  <c r="G432" i="2"/>
  <c r="H130" i="2"/>
  <c r="G747" i="2"/>
  <c r="H624" i="2"/>
  <c r="H383" i="2"/>
  <c r="G941" i="2"/>
  <c r="G575" i="2"/>
  <c r="H88" i="2"/>
  <c r="G855" i="2"/>
  <c r="G401" i="2"/>
  <c r="H834" i="2"/>
  <c r="G653" i="2"/>
  <c r="G736" i="2"/>
  <c r="G152" i="2"/>
  <c r="G580" i="2"/>
  <c r="G959" i="2"/>
  <c r="G402" i="2"/>
  <c r="G347" i="2"/>
  <c r="H613" i="2"/>
  <c r="H384" i="2"/>
  <c r="H563" i="2"/>
  <c r="G474" i="2"/>
  <c r="G974" i="2"/>
  <c r="H175" i="2"/>
  <c r="G838" i="2"/>
  <c r="G853" i="2"/>
  <c r="H630" i="2"/>
  <c r="G517" i="2"/>
  <c r="G781" i="2"/>
  <c r="G450" i="2"/>
  <c r="H964" i="2"/>
  <c r="G507" i="2"/>
  <c r="G600" i="2"/>
  <c r="H111" i="2"/>
  <c r="H301" i="2"/>
  <c r="G771" i="2"/>
  <c r="G623" i="2"/>
  <c r="H94" i="2"/>
  <c r="H390" i="2"/>
  <c r="G930" i="2"/>
  <c r="H73" i="2"/>
  <c r="G389" i="2"/>
  <c r="H751" i="2"/>
  <c r="G375" i="2"/>
  <c r="G803" i="2"/>
  <c r="H492" i="2"/>
  <c r="G735" i="2"/>
  <c r="H534" i="2"/>
  <c r="H567" i="2"/>
  <c r="G677" i="2"/>
  <c r="H848" i="2"/>
  <c r="G792" i="2"/>
  <c r="G841" i="2"/>
  <c r="G378" i="2"/>
  <c r="G774" i="2"/>
  <c r="G439" i="2"/>
  <c r="H998" i="2"/>
  <c r="H320" i="2"/>
  <c r="G690" i="2"/>
  <c r="H104" i="2"/>
  <c r="G294" i="2"/>
  <c r="G293" i="2"/>
  <c r="G898" i="2"/>
  <c r="H724" i="2"/>
  <c r="G797" i="2"/>
  <c r="G788" i="2"/>
  <c r="H815" i="2"/>
  <c r="G584" i="2"/>
  <c r="H25" i="2"/>
  <c r="H286" i="2"/>
  <c r="H509" i="2"/>
  <c r="H143" i="2"/>
  <c r="G687" i="2"/>
  <c r="H427" i="2"/>
  <c r="G518" i="2"/>
  <c r="H226" i="2"/>
  <c r="G652" i="2"/>
  <c r="G512" i="2"/>
  <c r="G22" i="2"/>
  <c r="G379" i="2"/>
  <c r="G891" i="2"/>
  <c r="G340" i="2"/>
  <c r="H214" i="2"/>
  <c r="H275" i="2"/>
  <c r="G34" i="2"/>
  <c r="H674" i="2"/>
  <c r="G220" i="2"/>
  <c r="G57" i="2"/>
  <c r="G303" i="2"/>
  <c r="G731" i="2"/>
  <c r="G605" i="2"/>
  <c r="H64" i="2"/>
  <c r="G616" i="2"/>
  <c r="G95" i="2"/>
  <c r="G441" i="2"/>
  <c r="G308" i="2"/>
  <c r="G964" i="2"/>
  <c r="H499" i="2"/>
  <c r="H553" i="2"/>
  <c r="H221" i="2"/>
  <c r="G138" i="2"/>
  <c r="G391" i="2"/>
  <c r="H325" i="2"/>
  <c r="G794" i="2"/>
  <c r="H516" i="2"/>
  <c r="H133" i="2"/>
  <c r="G269" i="2"/>
  <c r="G928" i="2"/>
  <c r="G648" i="2"/>
  <c r="G200" i="2"/>
  <c r="H347" i="2"/>
  <c r="G975" i="2"/>
  <c r="G410" i="2"/>
  <c r="H893" i="2"/>
  <c r="H164" i="2"/>
  <c r="G566" i="2"/>
  <c r="G864" i="2"/>
  <c r="H722" i="2"/>
  <c r="G326" i="2"/>
  <c r="G284" i="2"/>
  <c r="G558" i="2"/>
  <c r="G406" i="2"/>
  <c r="H300" i="2"/>
  <c r="G768" i="2"/>
  <c r="G826" i="2"/>
  <c r="G44" i="2"/>
  <c r="H946" i="2"/>
  <c r="H810" i="2"/>
  <c r="G346" i="2"/>
  <c r="G309" i="2"/>
  <c r="G80" i="2"/>
  <c r="G983" i="2"/>
  <c r="G707" i="2"/>
  <c r="H975" i="2"/>
  <c r="H161" i="2"/>
  <c r="H72" i="2"/>
  <c r="H856" i="2"/>
  <c r="G92" i="2"/>
  <c r="H413" i="2"/>
  <c r="H485" i="2"/>
  <c r="G161" i="2"/>
  <c r="H876" i="2"/>
  <c r="H489" i="2"/>
  <c r="G456" i="2"/>
  <c r="G598" i="2"/>
  <c r="H464" i="2"/>
  <c r="G697" i="2"/>
  <c r="H973" i="2"/>
  <c r="H654" i="2"/>
  <c r="G306" i="2"/>
  <c r="H75" i="2"/>
  <c r="G815" i="2"/>
  <c r="H608" i="2"/>
  <c r="G247" i="2"/>
  <c r="G136" i="2"/>
  <c r="G676" i="2"/>
  <c r="H373" i="2"/>
  <c r="H157" i="2"/>
  <c r="G943" i="2"/>
  <c r="G84" i="2"/>
  <c r="H468" i="2"/>
  <c r="G523" i="2"/>
  <c r="H840" i="2"/>
  <c r="G334" i="2"/>
  <c r="G264" i="2"/>
  <c r="H871" i="2"/>
  <c r="H556" i="2"/>
  <c r="H392" i="2"/>
  <c r="H875" i="2"/>
  <c r="G861" i="2"/>
  <c r="G528" i="2"/>
  <c r="H922" i="2"/>
  <c r="H902" i="2"/>
  <c r="H355" i="2"/>
  <c r="H531" i="2"/>
  <c r="G133" i="2"/>
  <c r="G279" i="2"/>
  <c r="G251" i="2"/>
  <c r="G830" i="2"/>
  <c r="H545" i="2"/>
  <c r="H452" i="2"/>
  <c r="G207" i="2"/>
  <c r="G27" i="2"/>
  <c r="G292" i="2"/>
  <c r="H40" i="2"/>
  <c r="H108" i="2"/>
  <c r="G1008" i="2"/>
  <c r="G961" i="2"/>
  <c r="G661" i="2"/>
  <c r="G18" i="2"/>
  <c r="G491" i="2"/>
  <c r="H200" i="2"/>
  <c r="G929" i="2"/>
  <c r="H785" i="2"/>
  <c r="G124" i="2"/>
  <c r="H258" i="2"/>
  <c r="G424" i="2"/>
  <c r="H683" i="2"/>
  <c r="H686" i="2"/>
  <c r="H187" i="2"/>
  <c r="H960" i="2"/>
  <c r="H887" i="2"/>
  <c r="H953" i="2"/>
  <c r="H740" i="2"/>
  <c r="G535" i="2"/>
  <c r="H90" i="2"/>
  <c r="H911" i="2"/>
  <c r="G143" i="2"/>
  <c r="H565" i="2"/>
  <c r="G604" i="2"/>
  <c r="H438" i="2"/>
  <c r="H908" i="2"/>
  <c r="G749" i="2"/>
  <c r="G445" i="2"/>
  <c r="G663" i="2"/>
  <c r="G422" i="2"/>
  <c r="G39" i="2"/>
  <c r="G610" i="2"/>
  <c r="H477" i="2"/>
  <c r="H677" i="2"/>
  <c r="H71" i="2"/>
  <c r="H430" i="2"/>
  <c r="G342" i="2"/>
  <c r="G357" i="2"/>
  <c r="G367" i="2"/>
  <c r="G829" i="2"/>
  <c r="H595" i="2"/>
  <c r="H895" i="2"/>
  <c r="H190" i="2"/>
  <c r="H518" i="2"/>
  <c r="G384" i="2"/>
  <c r="H580" i="2"/>
  <c r="G181" i="2"/>
  <c r="G963" i="2"/>
  <c r="H1009" i="2"/>
  <c r="H356" i="2"/>
  <c r="H96" i="2"/>
  <c r="G408" i="2"/>
  <c r="G738" i="2"/>
  <c r="H743" i="2"/>
  <c r="H401" i="2"/>
  <c r="G914" i="2"/>
  <c r="G655" i="2"/>
  <c r="H145" i="2"/>
  <c r="H136" i="2"/>
  <c r="G767" i="2"/>
  <c r="G499" i="2"/>
  <c r="G370" i="2"/>
  <c r="G385" i="2"/>
  <c r="G317" i="2"/>
  <c r="H219" i="2"/>
  <c r="G650" i="2"/>
  <c r="G672" i="2"/>
  <c r="H246" i="2"/>
  <c r="H156" i="2"/>
  <c r="G348" i="2"/>
  <c r="H70" i="2"/>
  <c r="G524" i="2"/>
  <c r="G319" i="2"/>
  <c r="G458" i="2"/>
  <c r="H344" i="2"/>
  <c r="H382" i="2"/>
  <c r="G916" i="2"/>
  <c r="G274" i="2"/>
  <c r="H753" i="2"/>
  <c r="H614" i="2"/>
  <c r="H365" i="2"/>
  <c r="G262" i="2"/>
  <c r="H725" i="2"/>
  <c r="G990" i="2"/>
  <c r="H48" i="2"/>
  <c r="H713" i="2"/>
  <c r="G74" i="2"/>
  <c r="G502" i="2"/>
  <c r="H639" i="2"/>
  <c r="H480" i="2"/>
  <c r="H462" i="2"/>
  <c r="G495" i="2"/>
  <c r="H43" i="2"/>
  <c r="G280" i="2"/>
  <c r="H484" i="2"/>
  <c r="H302" i="2"/>
  <c r="H267" i="2"/>
  <c r="H984" i="2"/>
  <c r="G239" i="2"/>
  <c r="H205" i="2"/>
  <c r="G743" i="2"/>
  <c r="H546" i="2"/>
  <c r="H980" i="2"/>
  <c r="H591" i="2"/>
  <c r="G897" i="2"/>
  <c r="G1003" i="2"/>
  <c r="G40" i="2"/>
  <c r="G376" i="2"/>
  <c r="G361" i="2"/>
  <c r="H889" i="2"/>
  <c r="G498" i="2"/>
  <c r="G484" i="2"/>
  <c r="H99" i="2"/>
  <c r="G764" i="2"/>
  <c r="G372" i="2"/>
  <c r="G882" i="2"/>
  <c r="G26" i="2"/>
  <c r="G712" i="2"/>
  <c r="G510" i="2"/>
  <c r="G837" i="2"/>
  <c r="G879" i="2"/>
  <c r="G639" i="2"/>
  <c r="H172" i="2"/>
  <c r="G235" i="2"/>
  <c r="G125" i="2"/>
  <c r="G714" i="2"/>
  <c r="G505" i="2"/>
  <c r="G944" i="2"/>
  <c r="H538" i="2"/>
  <c r="G266" i="2"/>
  <c r="G804" i="2"/>
  <c r="G331" i="2"/>
  <c r="H866" i="2"/>
  <c r="H750" i="2"/>
  <c r="G695" i="2"/>
  <c r="G776" i="2"/>
  <c r="G846" i="2"/>
  <c r="G153" i="2"/>
  <c r="G978" i="2"/>
  <c r="G839" i="2"/>
  <c r="G647" i="2"/>
  <c r="H828" i="2"/>
  <c r="H208" i="2"/>
  <c r="H736" i="2"/>
  <c r="H125" i="2"/>
  <c r="H764" i="2"/>
  <c r="G127" i="2"/>
  <c r="G602" i="2"/>
  <c r="H693" i="2"/>
  <c r="H941" i="2"/>
  <c r="H224" i="2"/>
  <c r="H779" i="2"/>
  <c r="H181" i="2"/>
  <c r="H78" i="2"/>
  <c r="H903" i="2"/>
  <c r="G913" i="2"/>
  <c r="H486" i="2"/>
  <c r="H685" i="2"/>
  <c r="H403" i="2"/>
  <c r="G250" i="2"/>
  <c r="G338" i="2"/>
  <c r="G521" i="2"/>
  <c r="H994" i="2"/>
  <c r="H829" i="2"/>
  <c r="G231" i="2"/>
  <c r="H127" i="2"/>
  <c r="H524" i="2"/>
  <c r="G489" i="2"/>
  <c r="G403" i="2"/>
  <c r="G177" i="2"/>
  <c r="G243" i="2"/>
  <c r="G219" i="2"/>
  <c r="H661" i="2"/>
  <c r="H918" i="2"/>
  <c r="G225" i="2"/>
  <c r="G751" i="2"/>
  <c r="G165" i="2"/>
  <c r="G205" i="2"/>
  <c r="H733" i="2"/>
  <c r="G669" i="2"/>
  <c r="H312" i="2"/>
  <c r="G716" i="2"/>
  <c r="H561" i="2"/>
  <c r="G477" i="2"/>
  <c r="G134" i="2"/>
  <c r="H737" i="2"/>
  <c r="G670" i="2"/>
  <c r="G106" i="2"/>
  <c r="H367" i="2"/>
  <c r="G824" i="2"/>
  <c r="G380" i="2"/>
  <c r="H814" i="2"/>
  <c r="G32" i="2"/>
  <c r="H625" i="2"/>
  <c r="G811" i="2"/>
  <c r="G787" i="2"/>
  <c r="G490" i="2"/>
  <c r="G466" i="2"/>
  <c r="G234" i="2"/>
  <c r="G163" i="2"/>
  <c r="H783" i="2"/>
  <c r="H60" i="2"/>
  <c r="G671" i="2"/>
  <c r="H268" i="2"/>
  <c r="G549" i="2"/>
  <c r="G818" i="2"/>
  <c r="G997" i="2"/>
  <c r="H319" i="2"/>
  <c r="G667" i="2"/>
  <c r="G867" i="2"/>
  <c r="G277" i="2"/>
  <c r="G107" i="2"/>
  <c r="G164" i="2"/>
  <c r="H386" i="2"/>
  <c r="H113" i="2"/>
  <c r="G194" i="2"/>
  <c r="G87" i="2"/>
  <c r="G453" i="2"/>
  <c r="G187" i="2"/>
  <c r="G90" i="2"/>
  <c r="G383" i="2"/>
  <c r="H26" i="2"/>
  <c r="H15" i="2"/>
  <c r="G656" i="2"/>
  <c r="H93" i="2"/>
  <c r="H377" i="2"/>
  <c r="G93" i="2"/>
  <c r="H594" i="2"/>
  <c r="H601" i="2"/>
  <c r="G828" i="2"/>
  <c r="G785" i="2"/>
  <c r="H696" i="2"/>
  <c r="H467" i="2"/>
  <c r="H620" i="2"/>
  <c r="H590" i="2"/>
  <c r="G37" i="2"/>
  <c r="G539" i="2"/>
  <c r="G216" i="2"/>
  <c r="G396" i="2"/>
  <c r="G836" i="2"/>
  <c r="G151" i="2"/>
  <c r="H139" i="2"/>
  <c r="G937" i="2"/>
  <c r="G409" i="2"/>
  <c r="H957" i="2"/>
  <c r="G135" i="2"/>
  <c r="H652" i="2"/>
  <c r="G531" i="2"/>
  <c r="G169" i="2"/>
  <c r="H305" i="2"/>
  <c r="H38" i="2"/>
  <c r="G265" i="2"/>
  <c r="H109" i="2"/>
  <c r="H74" i="2"/>
  <c r="H892" i="2"/>
  <c r="H154" i="2"/>
  <c r="G176" i="2"/>
  <c r="H159" i="2"/>
  <c r="H212" i="2"/>
  <c r="H830" i="2"/>
  <c r="H858" i="2"/>
  <c r="H763" i="2"/>
  <c r="G215" i="2"/>
  <c r="H993" i="2"/>
  <c r="G162" i="2"/>
  <c r="H242" i="2"/>
  <c r="H720" i="2"/>
  <c r="G297" i="2"/>
  <c r="H921" i="2"/>
  <c r="G179" i="2"/>
  <c r="H838" i="2"/>
  <c r="H142" i="2"/>
  <c r="G110" i="2"/>
  <c r="H361" i="2"/>
  <c r="H798" i="2"/>
  <c r="H765" i="2"/>
  <c r="G199" i="2"/>
  <c r="H959" i="2"/>
  <c r="G779" i="2"/>
  <c r="G99" i="2"/>
  <c r="G552" i="2"/>
  <c r="G168" i="2"/>
  <c r="G741" i="2"/>
  <c r="G204" i="2"/>
  <c r="G157" i="2"/>
  <c r="G77" i="2"/>
  <c r="G354" i="2"/>
  <c r="H1006" i="2"/>
  <c r="G442" i="2"/>
  <c r="G305" i="2"/>
  <c r="H836" i="2"/>
  <c r="G246" i="2"/>
  <c r="G758" i="2"/>
  <c r="H812" i="2"/>
  <c r="H116" i="2"/>
  <c r="H874" i="2"/>
  <c r="H692" i="2"/>
  <c r="G996" i="2"/>
  <c r="H775" i="2"/>
  <c r="G840" i="2"/>
  <c r="H144" i="2"/>
  <c r="H262" i="2"/>
  <c r="G190" i="2"/>
  <c r="G657" i="2"/>
  <c r="G645" i="2"/>
  <c r="H900" i="2"/>
  <c r="H642" i="2"/>
  <c r="G395" i="2"/>
  <c r="G276" i="2"/>
  <c r="G873" i="2"/>
  <c r="G791" i="2"/>
  <c r="G175" i="2"/>
  <c r="G323" i="2"/>
  <c r="G816" i="2"/>
  <c r="H766" i="2"/>
  <c r="G275" i="2"/>
  <c r="G202" i="2"/>
  <c r="G129" i="2"/>
  <c r="H521" i="2"/>
  <c r="H703" i="2"/>
  <c r="G640" i="2"/>
  <c r="G562" i="2"/>
  <c r="G935" i="2"/>
  <c r="G631" i="2"/>
  <c r="H747" i="2"/>
  <c r="H294" i="2"/>
  <c r="G111" i="2"/>
  <c r="G979" i="2"/>
  <c r="G278" i="2"/>
  <c r="H1001" i="2"/>
  <c r="H637" i="2"/>
  <c r="H504" i="2"/>
  <c r="G844" i="2"/>
  <c r="G67" i="2"/>
  <c r="G972" i="2"/>
  <c r="H115" i="2"/>
  <c r="G35" i="2"/>
  <c r="H79" i="2"/>
  <c r="G117" i="2"/>
  <c r="G931" i="2"/>
  <c r="H746" i="2"/>
  <c r="G192" i="2"/>
  <c r="H596" i="2"/>
  <c r="H85" i="2"/>
  <c r="G56" i="2"/>
  <c r="G480" i="2"/>
  <c r="G732" i="2"/>
  <c r="G847" i="2"/>
  <c r="G485" i="2"/>
  <c r="H218" i="2"/>
  <c r="H961" i="2"/>
  <c r="G483" i="2"/>
  <c r="H488" i="2"/>
  <c r="H906" i="2"/>
  <c r="H479" i="2"/>
  <c r="H522" i="2"/>
  <c r="G533" i="2"/>
  <c r="G734" i="2"/>
  <c r="H914" i="2"/>
  <c r="G618" i="2"/>
  <c r="G256" i="2"/>
  <c r="G938" i="2"/>
  <c r="G567" i="2"/>
  <c r="G634" i="2"/>
  <c r="H604" i="2"/>
  <c r="H884" i="2"/>
  <c r="G721" i="2"/>
  <c r="G624" i="2"/>
  <c r="G859" i="2"/>
  <c r="H173" i="2"/>
  <c r="H209" i="2"/>
  <c r="G515" i="2"/>
  <c r="H571" i="2"/>
  <c r="H965" i="2"/>
  <c r="G740" i="2"/>
  <c r="G417" i="2"/>
  <c r="H536" i="2"/>
  <c r="G700" i="2"/>
  <c r="H530" i="2"/>
  <c r="H897" i="2"/>
  <c r="G807" i="2"/>
  <c r="G116" i="2"/>
  <c r="H308" i="2"/>
  <c r="H318" i="2"/>
  <c r="G159" i="2"/>
  <c r="H655" i="2"/>
  <c r="H735" i="2"/>
  <c r="H329" i="2"/>
  <c r="H123" i="2"/>
  <c r="H525" i="2"/>
  <c r="G245" i="2"/>
  <c r="G288" i="2"/>
  <c r="G637" i="2"/>
  <c r="G120" i="2"/>
  <c r="G252" i="2"/>
  <c r="G482" i="2"/>
  <c r="G108" i="2"/>
  <c r="G756" i="2"/>
  <c r="H162" i="2"/>
  <c r="H76" i="2"/>
  <c r="H248" i="2"/>
  <c r="H222" i="2"/>
  <c r="G316" i="2"/>
  <c r="G298" i="2"/>
  <c r="G754" i="2"/>
  <c r="H943" i="2"/>
  <c r="G210" i="2"/>
  <c r="H602" i="2"/>
  <c r="H20" i="2"/>
  <c r="H928" i="2"/>
  <c r="H551" i="2"/>
  <c r="H619" i="2"/>
  <c r="G708" i="2"/>
  <c r="G894" i="2"/>
  <c r="G493" i="2"/>
  <c r="G253" i="2"/>
  <c r="G404" i="2"/>
  <c r="G25" i="2"/>
  <c r="G211" i="2"/>
  <c r="G901" i="2"/>
  <c r="G1007" i="2"/>
  <c r="G923" i="2"/>
  <c r="G593" i="2"/>
  <c r="H952" i="2"/>
  <c r="G501" i="2"/>
  <c r="G63" i="2"/>
  <c r="G927" i="2"/>
  <c r="G848" i="2"/>
  <c r="G858" i="2"/>
  <c r="H568" i="2"/>
  <c r="H204" i="2"/>
  <c r="G886" i="2"/>
  <c r="G725" i="2"/>
  <c r="G69" i="2"/>
  <c r="G883" i="2"/>
  <c r="G962" i="2"/>
  <c r="H277" i="2"/>
  <c r="G411" i="2"/>
  <c r="G770" i="2"/>
  <c r="G415" i="2"/>
  <c r="H419" i="2"/>
  <c r="G936" i="2"/>
  <c r="G560" i="2"/>
  <c r="H839" i="2"/>
  <c r="H295" i="2"/>
  <c r="G654" i="2"/>
  <c r="G345" i="2"/>
  <c r="G254" i="2"/>
  <c r="H645" i="2"/>
  <c r="G320" i="2"/>
  <c r="G328" i="2"/>
  <c r="G315" i="2"/>
  <c r="H327" i="2"/>
  <c r="H752" i="2"/>
  <c r="H579" i="2"/>
  <c r="G525" i="2"/>
  <c r="H411" i="2"/>
  <c r="H501" i="2"/>
  <c r="G675" i="2"/>
  <c r="G271" i="2"/>
  <c r="H450" i="2"/>
  <c r="G82" i="2"/>
  <c r="H435" i="2"/>
  <c r="G71" i="2"/>
  <c r="G149" i="2"/>
  <c r="H666" i="2"/>
  <c r="H284" i="2"/>
  <c r="H675" i="2"/>
  <c r="H593" i="2"/>
  <c r="G244" i="2"/>
  <c r="H972" i="2"/>
  <c r="G377" i="2"/>
  <c r="H728" i="2"/>
  <c r="G97" i="2"/>
  <c r="H582" i="2"/>
  <c r="G965" i="2"/>
  <c r="H708" i="2"/>
  <c r="H757" i="2"/>
  <c r="H560" i="2"/>
  <c r="H197" i="2"/>
  <c r="H767" i="2"/>
  <c r="H66" i="2"/>
  <c r="H598" i="2"/>
  <c r="H806" i="2"/>
  <c r="G920" i="2"/>
  <c r="G461" i="2"/>
  <c r="G546" i="2"/>
  <c r="G814" i="2"/>
  <c r="G476" i="2"/>
  <c r="G987" i="2"/>
  <c r="H996" i="2"/>
  <c r="G742" i="2"/>
  <c r="H537" i="2"/>
  <c r="H678" i="2"/>
  <c r="G534" i="2"/>
  <c r="G470" i="2"/>
  <c r="G425" i="2"/>
  <c r="G170" i="2"/>
  <c r="H497" i="2"/>
  <c r="H362" i="2"/>
  <c r="G666" i="2"/>
  <c r="H95" i="2"/>
  <c r="G50" i="2"/>
  <c r="G706" i="2"/>
  <c r="H35" i="2"/>
  <c r="G55" i="2"/>
  <c r="G984" i="2"/>
  <c r="G915" i="2"/>
  <c r="G302" i="2"/>
  <c r="H821" i="2"/>
  <c r="G371" i="2"/>
  <c r="H760" i="2"/>
  <c r="G789" i="2"/>
  <c r="H234" i="2"/>
  <c r="G388" i="2"/>
  <c r="H738" i="2"/>
  <c r="G625" i="2"/>
  <c r="H769" i="2"/>
  <c r="G599" i="2"/>
  <c r="G890" i="2"/>
  <c r="G289" i="2"/>
  <c r="H357" i="2"/>
  <c r="H771" i="2"/>
  <c r="H937" i="2"/>
  <c r="G258" i="2"/>
  <c r="H843" i="2"/>
  <c r="H141" i="2"/>
  <c r="H517" i="2"/>
  <c r="G78" i="2"/>
  <c r="H739" i="2"/>
  <c r="H171" i="2"/>
  <c r="G240" i="2"/>
  <c r="G472" i="2"/>
  <c r="G611" i="2"/>
  <c r="G29" i="2"/>
  <c r="H689" i="2"/>
  <c r="H233" i="2"/>
  <c r="G465" i="2"/>
  <c r="G436" i="2"/>
  <c r="G852" i="2"/>
  <c r="G953" i="2"/>
  <c r="G701" i="2"/>
  <c r="G947" i="2"/>
  <c r="G459" i="2"/>
  <c r="G104" i="2"/>
  <c r="H983" i="2"/>
  <c r="G999" i="2"/>
  <c r="G659" i="2"/>
  <c r="G689" i="2"/>
  <c r="G281" i="2"/>
  <c r="H418" i="2"/>
  <c r="G387" i="2"/>
  <c r="H257" i="2"/>
  <c r="H37" i="2"/>
  <c r="G884" i="2"/>
  <c r="G81" i="2"/>
  <c r="H528" i="2"/>
  <c r="H471" i="2"/>
  <c r="G473" i="2"/>
  <c r="H105" i="2"/>
  <c r="G888" i="2"/>
  <c r="G608" i="2"/>
  <c r="H458" i="2"/>
  <c r="H992" i="2"/>
  <c r="G638" i="2"/>
  <c r="H375" i="2"/>
  <c r="H380" i="2"/>
  <c r="H615" i="2"/>
  <c r="H802" i="2"/>
  <c r="G381" i="2"/>
  <c r="H938" i="2"/>
  <c r="H962" i="2"/>
  <c r="G805" i="2"/>
  <c r="H1004" i="2"/>
  <c r="G437" i="2"/>
  <c r="G233" i="2"/>
  <c r="G299" i="2"/>
  <c r="H742" i="2"/>
  <c r="H44" i="2"/>
  <c r="G643" i="2"/>
  <c r="G628" i="2"/>
  <c r="H847" i="2"/>
  <c r="H140" i="2"/>
  <c r="G698" i="2"/>
  <c r="H617" i="2"/>
  <c r="G946" i="2"/>
  <c r="G545" i="2"/>
  <c r="G762" i="2"/>
  <c r="H859" i="2"/>
  <c r="H1007" i="2"/>
  <c r="H851" i="2"/>
  <c r="G752" i="2"/>
  <c r="G36" i="2"/>
  <c r="H107" i="2"/>
  <c r="H364" i="2"/>
  <c r="H873" i="2"/>
  <c r="G612" i="2"/>
  <c r="G156" i="2"/>
  <c r="H429" i="2"/>
  <c r="G89" i="2"/>
  <c r="H98" i="2"/>
  <c r="G777" i="2"/>
  <c r="H399" i="2"/>
  <c r="G587" i="2"/>
  <c r="G842" i="2"/>
  <c r="H611" i="2"/>
  <c r="G443" i="2"/>
  <c r="H397" i="2"/>
  <c r="G737" i="2"/>
  <c r="H670" i="2"/>
  <c r="H540" i="2"/>
  <c r="G103" i="2"/>
  <c r="G333" i="2"/>
  <c r="G543" i="2"/>
  <c r="H170" i="2"/>
  <c r="H878" i="2"/>
  <c r="H353" i="2"/>
  <c r="H870" i="2"/>
  <c r="G967" i="2"/>
  <c r="H982" i="2"/>
  <c r="G685" i="2"/>
  <c r="G122" i="2"/>
  <c r="G810" i="2"/>
  <c r="G374" i="2"/>
  <c r="G140" i="2"/>
  <c r="G910" i="2"/>
  <c r="H424" i="2"/>
  <c r="H684" i="2"/>
  <c r="G579" i="2"/>
  <c r="H409" i="2"/>
  <c r="H562" i="2"/>
  <c r="H850" i="2"/>
  <c r="H845" i="2"/>
  <c r="G522" i="2"/>
  <c r="G782" i="2"/>
  <c r="G574" i="2"/>
  <c r="H417" i="2"/>
  <c r="G969" i="2"/>
  <c r="G132" i="2"/>
  <c r="H376" i="2"/>
  <c r="G526" i="2"/>
  <c r="G160" i="2"/>
  <c r="H174" i="2"/>
  <c r="G971" i="2"/>
  <c r="G98" i="2"/>
  <c r="G17" i="2"/>
  <c r="G688" i="2"/>
  <c r="H679" i="2"/>
  <c r="H704" i="2"/>
  <c r="G980" i="2"/>
  <c r="G486" i="2"/>
  <c r="G419" i="2"/>
  <c r="H46" i="2"/>
  <c r="G833" i="2"/>
  <c r="G1010" i="2"/>
  <c r="H83" i="2"/>
  <c r="G876" i="2"/>
  <c r="H239" i="2"/>
  <c r="H967" i="2"/>
  <c r="G856" i="2"/>
  <c r="H150" i="2"/>
  <c r="G53" i="2"/>
  <c r="G344" i="2"/>
  <c r="H369" i="2"/>
  <c r="G649" i="2"/>
  <c r="G457" i="2"/>
  <c r="H755" i="2"/>
  <c r="H282" i="2"/>
  <c r="G992" i="2"/>
  <c r="H714" i="2"/>
  <c r="H905" i="2"/>
  <c r="H272" i="2"/>
  <c r="H410" i="2"/>
  <c r="H857" i="2"/>
  <c r="G614" i="2"/>
  <c r="H42" i="2"/>
  <c r="H149" i="2"/>
  <c r="H182" i="2"/>
  <c r="G100" i="2"/>
  <c r="G912" i="2"/>
  <c r="G922" i="2"/>
  <c r="G257" i="2"/>
  <c r="G945" i="2"/>
  <c r="H241" i="2"/>
  <c r="G745" i="2"/>
  <c r="H266" i="2"/>
  <c r="H82" i="2"/>
  <c r="G806" i="2"/>
  <c r="H271" i="2"/>
  <c r="H16" i="2"/>
  <c r="G178" i="2"/>
  <c r="H389" i="2"/>
  <c r="H789" i="2"/>
  <c r="H612" i="2"/>
  <c r="H441" i="2"/>
  <c r="G268" i="2"/>
  <c r="G728" i="2"/>
  <c r="G895" i="2"/>
  <c r="H421" i="2"/>
  <c r="H649" i="2"/>
  <c r="H700" i="2"/>
  <c r="G336" i="2"/>
  <c r="G242" i="2"/>
  <c r="G337" i="2"/>
  <c r="H1003" i="2"/>
  <c r="H201" i="2"/>
  <c r="G407" i="2"/>
  <c r="G325" i="2"/>
  <c r="G94" i="2"/>
  <c r="H472" i="2"/>
  <c r="H50" i="2"/>
  <c r="H315" i="2"/>
  <c r="G126" i="2"/>
  <c r="G570" i="2"/>
  <c r="H539" i="2"/>
  <c r="H69" i="2"/>
  <c r="H705" i="2"/>
  <c r="H339" i="2"/>
  <c r="H296" i="2"/>
  <c r="G91" i="2"/>
  <c r="G617" i="2"/>
  <c r="H698" i="2"/>
  <c r="G438" i="2"/>
  <c r="H134" i="2"/>
  <c r="G572" i="2"/>
  <c r="H542" i="2"/>
  <c r="H196" i="2"/>
  <c r="H378" i="2"/>
  <c r="G966" i="2"/>
  <c r="G241" i="2"/>
  <c r="G28" i="2"/>
  <c r="G195" i="2"/>
  <c r="H178" i="2"/>
  <c r="H263" i="2"/>
  <c r="H929" i="2"/>
  <c r="G817" i="2"/>
  <c r="H555" i="2"/>
  <c r="H643" i="2"/>
  <c r="H432" i="2"/>
  <c r="H566" i="2"/>
  <c r="G750" i="2"/>
  <c r="H707" i="2"/>
  <c r="H651" i="2"/>
  <c r="H102" i="2"/>
  <c r="G793" i="2"/>
  <c r="G973" i="2"/>
  <c r="G1005" i="2"/>
  <c r="G479" i="2"/>
  <c r="H192" i="2"/>
  <c r="H1013" i="2"/>
  <c r="G1000" i="2"/>
  <c r="H89" i="2"/>
  <c r="G765" i="2"/>
  <c r="G85" i="2"/>
  <c r="H337" i="2"/>
  <c r="G48" i="2"/>
  <c r="G222" i="2"/>
  <c r="G585" i="2"/>
  <c r="G595" i="2"/>
  <c r="H712" i="2"/>
  <c r="H236" i="2"/>
  <c r="H445" i="2"/>
  <c r="H727" i="2"/>
  <c r="H927" i="2"/>
  <c r="H623" i="2"/>
  <c r="H440" i="2"/>
  <c r="G131" i="2"/>
  <c r="G872" i="2"/>
  <c r="H855" i="2"/>
  <c r="G908" i="2"/>
  <c r="H243" i="2"/>
  <c r="G101" i="2"/>
  <c r="G541" i="2"/>
  <c r="G860" i="2"/>
  <c r="H917" i="2"/>
  <c r="H393" i="2"/>
  <c r="H823" i="2"/>
  <c r="H507" i="2"/>
  <c r="G753" i="2"/>
  <c r="G119" i="2"/>
  <c r="G850" i="2"/>
  <c r="G68" i="2"/>
  <c r="G467" i="2"/>
  <c r="H668" i="2"/>
  <c r="H706" i="2"/>
  <c r="G702" i="2"/>
  <c r="G270" i="2"/>
  <c r="G393" i="2"/>
  <c r="H279" i="2"/>
  <c r="G835" i="2"/>
  <c r="H250" i="2"/>
  <c r="G693" i="2"/>
  <c r="G462" i="2"/>
  <c r="G272" i="2"/>
  <c r="G267" i="2"/>
  <c r="H879" i="2"/>
  <c r="G454" i="2"/>
  <c r="H573" i="2"/>
  <c r="H348" i="2"/>
  <c r="H656" i="2"/>
  <c r="G352" i="2"/>
  <c r="G832" i="2"/>
  <c r="H230" i="2"/>
  <c r="H423" i="2"/>
  <c r="H469" i="2"/>
  <c r="H939" i="2"/>
  <c r="G1009" i="2"/>
  <c r="G373" i="2"/>
  <c r="H352" i="2"/>
  <c r="G778" i="2"/>
  <c r="H322" i="2"/>
  <c r="G150" i="2"/>
  <c r="G64" i="2"/>
  <c r="G488" i="2"/>
  <c r="H646" i="2"/>
  <c r="G226" i="2"/>
  <c r="H368" i="2"/>
  <c r="G73" i="2"/>
  <c r="H749" i="2"/>
  <c r="H627" i="2"/>
  <c r="G949" i="2"/>
  <c r="H968" i="2"/>
  <c r="G563" i="2"/>
  <c r="G626" i="2"/>
  <c r="H788" i="2"/>
  <c r="G590" i="2"/>
  <c r="H454" i="2"/>
  <c r="H770" i="2"/>
  <c r="H691" i="2"/>
  <c r="G332" i="2"/>
  <c r="G51" i="2"/>
  <c r="G228" i="2"/>
  <c r="H255" i="2"/>
  <c r="G79" i="2"/>
  <c r="G635" i="2"/>
  <c r="H478" i="2"/>
  <c r="G509" i="2"/>
  <c r="G717" i="2"/>
  <c r="G629" i="2"/>
  <c r="G173" i="2"/>
  <c r="G696" i="2"/>
  <c r="H456" i="2"/>
  <c r="G636" i="2"/>
  <c r="G137" i="2"/>
  <c r="G851" i="2"/>
  <c r="G290" i="2"/>
  <c r="H491" i="2"/>
  <c r="G300" i="2"/>
  <c r="G981" i="2"/>
  <c r="H697" i="2"/>
  <c r="H695" i="2"/>
  <c r="G248" i="2"/>
  <c r="G291" i="2"/>
  <c r="G904" i="2"/>
  <c r="G471" i="2"/>
  <c r="G109" i="2"/>
  <c r="G843" i="2"/>
  <c r="H945" i="2"/>
  <c r="G571" i="2"/>
  <c r="H907" i="2"/>
  <c r="G86" i="2"/>
  <c r="H885" i="2"/>
  <c r="G711" i="2"/>
  <c r="H877" i="2"/>
  <c r="H147" i="2"/>
  <c r="G142" i="2"/>
  <c r="H860" i="2"/>
  <c r="G259" i="2"/>
  <c r="H734" i="2"/>
  <c r="G172" i="2"/>
  <c r="G589" i="2"/>
  <c r="H395" i="2"/>
  <c r="H665" i="2"/>
  <c r="G662" i="2"/>
  <c r="H463" i="2"/>
  <c r="H867" i="2"/>
  <c r="H379" i="2"/>
  <c r="H276" i="2"/>
  <c r="G224" i="2"/>
  <c r="H868" i="2"/>
  <c r="H584" i="2"/>
  <c r="H106" i="2"/>
  <c r="H331" i="2"/>
  <c r="G414" i="2"/>
  <c r="H626" i="2"/>
  <c r="H193" i="2"/>
  <c r="H183" i="2"/>
  <c r="H97" i="2"/>
  <c r="H958" i="2"/>
  <c r="G118" i="2"/>
  <c r="H118" i="2"/>
  <c r="G296" i="2"/>
  <c r="G620" i="2"/>
  <c r="G641" i="2"/>
  <c r="H55" i="2"/>
  <c r="H47" i="2"/>
  <c r="H910" i="2"/>
  <c r="G755" i="2"/>
  <c r="H213" i="2"/>
  <c r="G350" i="2"/>
  <c r="G686" i="2"/>
  <c r="H792" i="2"/>
  <c r="H194" i="2"/>
  <c r="H287" i="2"/>
  <c r="H748" i="2"/>
  <c r="H1005" i="2"/>
  <c r="G757" i="2"/>
  <c r="H21" i="2"/>
  <c r="G500" i="2"/>
  <c r="G413" i="2"/>
  <c r="H709" i="2"/>
  <c r="G660" i="2"/>
  <c r="H199" i="2"/>
  <c r="G942" i="2"/>
  <c r="G66" i="2"/>
  <c r="H22" i="2"/>
  <c r="G718" i="2"/>
  <c r="H252" i="2"/>
  <c r="H405" i="2"/>
  <c r="H122" i="2"/>
  <c r="G633" i="2"/>
  <c r="H328" i="2"/>
  <c r="H345" i="2"/>
  <c r="G65" i="2"/>
  <c r="G128" i="2"/>
  <c r="G658" i="2"/>
  <c r="H447" i="2"/>
  <c r="H335" i="2"/>
  <c r="H759" i="2"/>
  <c r="H988" i="2"/>
  <c r="H558" i="2"/>
  <c r="H57" i="2"/>
  <c r="G364" i="2"/>
  <c r="H981" i="2"/>
  <c r="H607" i="2"/>
  <c r="H260" i="2"/>
  <c r="G581" i="2"/>
  <c r="H332" i="2"/>
  <c r="G592" i="2"/>
  <c r="H718" i="2"/>
  <c r="G622" i="2"/>
  <c r="H54" i="2"/>
  <c r="H307" i="2"/>
  <c r="H202" i="2"/>
  <c r="H640" i="2"/>
  <c r="H110" i="2"/>
  <c r="H883" i="2"/>
  <c r="G664" i="2"/>
  <c r="H498" i="2"/>
  <c r="G392" i="2"/>
  <c r="G516" i="2"/>
  <c r="H809" i="2"/>
  <c r="H254" i="2"/>
  <c r="G926" i="2"/>
  <c r="G96" i="2"/>
  <c r="G678" i="2"/>
  <c r="G397" i="2"/>
  <c r="G102" i="2"/>
  <c r="G576" i="2"/>
  <c r="G821" i="2"/>
  <c r="G812" i="2"/>
  <c r="G881" i="2"/>
  <c r="H681" i="2"/>
  <c r="H117" i="2"/>
  <c r="H940" i="2"/>
  <c r="G724" i="2"/>
  <c r="G786" i="2"/>
  <c r="G478" i="2"/>
  <c r="H341" i="2"/>
  <c r="H91" i="2"/>
  <c r="G130" i="2"/>
  <c r="G784" i="2"/>
  <c r="H526" i="2"/>
  <c r="H391" i="2"/>
  <c r="H280" i="2"/>
  <c r="G790" i="2"/>
  <c r="H948" i="2"/>
  <c r="H832" i="2"/>
  <c r="H991" i="2"/>
  <c r="H780" i="2"/>
  <c r="H971" i="2"/>
  <c r="G692" i="2"/>
  <c r="G386" i="2"/>
  <c r="H465" i="2"/>
  <c r="H711" i="2"/>
  <c r="G823" i="2"/>
  <c r="G366" i="2"/>
  <c r="G171" i="2"/>
  <c r="G809" i="2"/>
  <c r="G939" i="2"/>
  <c r="H790" i="2"/>
  <c r="H334" i="2"/>
  <c r="H629" i="2"/>
  <c r="H288" i="2"/>
  <c r="H559" i="2"/>
  <c r="G154" i="2"/>
  <c r="H444" i="2"/>
  <c r="G452" i="2"/>
  <c r="H844" i="2"/>
  <c r="G49" i="2"/>
  <c r="H235" i="2"/>
  <c r="H599" i="2"/>
  <c r="H496" i="2"/>
  <c r="G423" i="2"/>
  <c r="H84" i="2"/>
  <c r="H237" i="2"/>
  <c r="H605" i="2"/>
  <c r="H803" i="2"/>
  <c r="H461" i="2"/>
  <c r="G1006" i="2"/>
  <c r="H818" i="2"/>
  <c r="G674" i="2"/>
  <c r="H259" i="2"/>
  <c r="G311" i="2"/>
  <c r="H316" i="2"/>
  <c r="G679" i="2"/>
  <c r="G924" i="2"/>
  <c r="G703" i="2"/>
  <c r="H628" i="2"/>
  <c r="G155" i="2"/>
  <c r="G148" i="2"/>
  <c r="H326" i="2"/>
  <c r="H349" i="2"/>
  <c r="G583" i="2"/>
  <c r="H880" i="2"/>
  <c r="H206" i="2"/>
  <c r="H658" i="2"/>
  <c r="H985" i="2"/>
  <c r="H794" i="2"/>
  <c r="H986" i="2"/>
  <c r="H53" i="2"/>
  <c r="G527" i="2"/>
  <c r="G906" i="2"/>
  <c r="G431" i="2"/>
  <c r="G412" i="2"/>
  <c r="G822" i="2"/>
  <c r="G360" i="2"/>
  <c r="G733" i="2"/>
  <c r="H459" i="2"/>
  <c r="H292" i="2"/>
  <c r="H801" i="2"/>
  <c r="G588" i="2"/>
  <c r="H786" i="2"/>
  <c r="H978" i="2"/>
  <c r="H701" i="2"/>
  <c r="G564" i="2"/>
  <c r="G76" i="2"/>
  <c r="G642" i="2"/>
  <c r="G232" i="2"/>
  <c r="G559" i="2"/>
  <c r="H155" i="2"/>
  <c r="H548" i="2"/>
  <c r="H805" i="2"/>
  <c r="G446" i="2"/>
  <c r="H583" i="2"/>
  <c r="H350" i="2"/>
  <c r="H425" i="2"/>
  <c r="G955" i="2"/>
  <c r="G723" i="2"/>
  <c r="H158" i="2"/>
  <c r="H987" i="2"/>
  <c r="G958" i="2"/>
  <c r="H924" i="2"/>
  <c r="G141" i="2"/>
  <c r="H323" i="2"/>
  <c r="G349" i="2"/>
  <c r="G394" i="2"/>
  <c r="H119" i="2"/>
  <c r="H370" i="2"/>
  <c r="G644" i="2"/>
  <c r="H574" i="2"/>
  <c r="H647" i="2"/>
  <c r="H146" i="2"/>
  <c r="H995" i="2"/>
  <c r="H306" i="2"/>
  <c r="G447" i="2"/>
  <c r="H245" i="2"/>
  <c r="G780" i="2"/>
  <c r="G988" i="2"/>
  <c r="H474" i="2"/>
  <c r="G551" i="2"/>
  <c r="G709" i="2"/>
  <c r="H179" i="2"/>
  <c r="G359" i="2"/>
  <c r="G547" i="2"/>
  <c r="H59" i="2"/>
  <c r="G627" i="2"/>
  <c r="G189" i="2"/>
  <c r="H220" i="2"/>
  <c r="H925" i="2"/>
  <c r="H820" i="2"/>
  <c r="H303" i="2"/>
  <c r="H210" i="2"/>
  <c r="H826" i="2"/>
  <c r="H795" i="2"/>
  <c r="G775" i="2"/>
  <c r="G227" i="2"/>
  <c r="H660" i="2"/>
  <c r="H449" i="2"/>
  <c r="G503" i="2"/>
  <c r="G365" i="2"/>
  <c r="G261" i="2"/>
  <c r="G607" i="2"/>
  <c r="H633" i="2"/>
  <c r="H439" i="2"/>
  <c r="H330" i="2"/>
  <c r="H475" i="2"/>
  <c r="G986" i="2"/>
  <c r="G21" i="2"/>
  <c r="H974" i="2"/>
  <c r="H293" i="2"/>
  <c r="H989" i="2"/>
  <c r="H366" i="2"/>
  <c r="G145" i="2"/>
  <c r="G948" i="2"/>
  <c r="H244" i="2"/>
  <c r="G399" i="2"/>
  <c r="H493" i="2"/>
  <c r="H970" i="2"/>
  <c r="G427" i="2"/>
  <c r="G416" i="2"/>
  <c r="H340" i="2"/>
  <c r="H101" i="2"/>
  <c r="G218" i="2"/>
  <c r="H799" i="2"/>
  <c r="G573" i="2"/>
  <c r="H412" i="2"/>
  <c r="H997" i="2"/>
  <c r="H853" i="2"/>
  <c r="H523" i="2"/>
  <c r="G58" i="2"/>
  <c r="G845" i="2"/>
  <c r="G312" i="2"/>
  <c r="H930" i="2"/>
  <c r="H14" i="2"/>
  <c r="H756" i="2"/>
  <c r="G60" i="2"/>
  <c r="H741" i="2"/>
  <c r="H135" i="2"/>
  <c r="H819" i="2"/>
  <c r="H636" i="2"/>
  <c r="G475" i="2"/>
  <c r="H371" i="2"/>
  <c r="G553" i="2"/>
  <c r="G606" i="2"/>
  <c r="H414" i="2"/>
  <c r="H103" i="2"/>
  <c r="G469" i="2"/>
  <c r="H901" i="2"/>
  <c r="G878" i="2"/>
  <c r="G460" i="2"/>
  <c r="H407" i="2"/>
  <c r="H822" i="2"/>
  <c r="G197" i="2"/>
  <c r="G229" i="2"/>
  <c r="H61" i="2"/>
  <c r="G139" i="2"/>
  <c r="G38" i="2"/>
  <c r="G212" i="2"/>
  <c r="H732" i="2"/>
  <c r="G198" i="2"/>
  <c r="H511" i="2"/>
  <c r="G335" i="2"/>
  <c r="H721" i="2"/>
  <c r="G870" i="2"/>
  <c r="H784" i="2"/>
  <c r="H309" i="2"/>
  <c r="G41" i="2"/>
  <c r="H247" i="2"/>
  <c r="G203" i="2"/>
  <c r="H606" i="2"/>
  <c r="H554" i="2"/>
  <c r="H274" i="2"/>
  <c r="G744" i="2"/>
  <c r="G857" i="2"/>
  <c r="H428" i="2"/>
  <c r="H324" i="2"/>
  <c r="G273" i="2"/>
  <c r="H581" i="2"/>
  <c r="G834" i="2"/>
  <c r="H31" i="2"/>
  <c r="H527" i="2"/>
  <c r="H508" i="2"/>
  <c r="H346" i="2"/>
  <c r="H592" i="2"/>
  <c r="H638" i="2"/>
  <c r="G33" i="2"/>
  <c r="G440" i="2"/>
  <c r="G557" i="2"/>
  <c r="G874" i="2"/>
  <c r="H281" i="2"/>
  <c r="H831" i="2"/>
  <c r="H512" i="2"/>
  <c r="G594" i="2"/>
  <c r="H482" i="2"/>
  <c r="H298" i="2"/>
  <c r="H460" i="2"/>
  <c r="G957" i="2"/>
  <c r="G310" i="2"/>
  <c r="G727" i="2"/>
  <c r="G368" i="2"/>
  <c r="H896" i="2"/>
  <c r="G15" i="2"/>
  <c r="G976" i="2"/>
  <c r="G863" i="2"/>
  <c r="G802" i="2"/>
  <c r="H261" i="2"/>
  <c r="G819" i="2"/>
  <c r="G615" i="2"/>
  <c r="H949" i="2"/>
  <c r="H890" i="2"/>
  <c r="H387" i="2"/>
  <c r="H618" i="2"/>
  <c r="H947" i="2"/>
  <c r="H659" i="2"/>
  <c r="H495" i="2"/>
  <c r="H502" i="2"/>
  <c r="G230" i="2"/>
  <c r="H503" i="2"/>
  <c r="G260" i="2"/>
  <c r="G283" i="2"/>
  <c r="G994" i="2"/>
  <c r="G597" i="2"/>
  <c r="H426" i="2"/>
  <c r="G960" i="2"/>
  <c r="G504" i="2"/>
  <c r="G24" i="2"/>
  <c r="G680" i="2"/>
  <c r="H833" i="2"/>
  <c r="H578" i="2"/>
  <c r="H882" i="2"/>
  <c r="G540" i="2"/>
  <c r="G449" i="2"/>
  <c r="H648" i="2"/>
  <c r="H251" i="2"/>
  <c r="G405" i="2"/>
  <c r="H513" i="2"/>
  <c r="H944" i="2"/>
  <c r="H586" i="2"/>
  <c r="G255" i="2"/>
  <c r="G1004" i="2"/>
  <c r="H719" i="2"/>
  <c r="H793" i="2"/>
  <c r="H744" i="2"/>
  <c r="H336" i="2"/>
  <c r="H976" i="2"/>
  <c r="H81" i="2"/>
  <c r="G766" i="2"/>
  <c r="H603" i="2"/>
  <c r="H483" i="2"/>
  <c r="G382" i="2"/>
  <c r="H416" i="2"/>
  <c r="G147" i="2"/>
  <c r="H381" i="2"/>
  <c r="G496" i="2"/>
  <c r="G769" i="2"/>
  <c r="G418" i="2"/>
  <c r="H529" i="2"/>
  <c r="G561" i="2"/>
  <c r="G42" i="2"/>
  <c r="G951" i="2"/>
  <c r="H506" i="2"/>
  <c r="G799" i="2"/>
  <c r="H299" i="2"/>
  <c r="H854" i="2"/>
  <c r="H841" i="2"/>
  <c r="H577" i="2"/>
  <c r="H453" i="2"/>
  <c r="G186" i="2"/>
  <c r="G940" i="2"/>
  <c r="G866" i="2"/>
  <c r="G429" i="2"/>
  <c r="G114" i="2"/>
  <c r="G798" i="2"/>
  <c r="H163" i="2"/>
  <c r="H297" i="2"/>
  <c r="G925" i="2"/>
  <c r="H920" i="2"/>
  <c r="G827" i="2"/>
  <c r="H891" i="2"/>
  <c r="H385" i="2"/>
  <c r="H114" i="2"/>
  <c r="G1001" i="2"/>
  <c r="H249" i="2"/>
  <c r="H358" i="2"/>
  <c r="H28" i="2"/>
  <c r="H360" i="2"/>
  <c r="G909" i="2"/>
  <c r="H338" i="2"/>
  <c r="G421" i="2"/>
  <c r="H782" i="2"/>
  <c r="G435" i="2"/>
  <c r="G184" i="2"/>
  <c r="H476" i="2"/>
  <c r="G343" i="2"/>
  <c r="H448" i="2"/>
  <c r="H915" i="2"/>
  <c r="G921" i="2"/>
  <c r="H278" i="2"/>
  <c r="G651" i="2"/>
  <c r="H676" i="2"/>
  <c r="G356" i="2"/>
  <c r="G1013" i="2"/>
  <c r="G369" i="2"/>
  <c r="H631" i="2"/>
  <c r="G705" i="2"/>
  <c r="H406" i="2"/>
  <c r="H950" i="2"/>
  <c r="H388" i="2"/>
  <c r="G596" i="2"/>
  <c r="G761" i="2"/>
  <c r="G463" i="2"/>
  <c r="H420" i="2"/>
  <c r="H650" i="2"/>
  <c r="H314" i="2"/>
  <c r="G47" i="2"/>
  <c r="G968" i="2"/>
  <c r="G905" i="2"/>
  <c r="H500" i="2"/>
  <c r="H863" i="2"/>
  <c r="G868" i="2"/>
  <c r="G353" i="2"/>
  <c r="H827" i="2"/>
  <c r="H912" i="2"/>
  <c r="H398" i="2"/>
  <c r="H137" i="2"/>
  <c r="H494" i="2"/>
  <c r="H541" i="2"/>
  <c r="H24" i="2"/>
  <c r="H33" i="2"/>
  <c r="H68" i="2"/>
  <c r="G903" i="2"/>
  <c r="H510" i="2"/>
  <c r="G542" i="2"/>
  <c r="G158" i="2"/>
  <c r="G577" i="2"/>
  <c r="G796" i="2"/>
  <c r="G586" i="2"/>
  <c r="G691" i="2"/>
  <c r="G444" i="2"/>
  <c r="H238" i="2"/>
  <c r="G720" i="2"/>
  <c r="H824" i="2"/>
  <c r="G206" i="2"/>
  <c r="H699" i="2"/>
  <c r="H864" i="2"/>
  <c r="G896" i="2"/>
  <c r="G865" i="2"/>
  <c r="H669" i="2"/>
  <c r="H372" i="2"/>
  <c r="G30" i="2"/>
  <c r="G985" i="2"/>
  <c r="G72" i="2"/>
  <c r="G902" i="2"/>
  <c r="H124" i="2"/>
  <c r="G684" i="2"/>
  <c r="H671" i="2"/>
  <c r="G550" i="2"/>
  <c r="G363" i="2"/>
  <c r="G665" i="2"/>
  <c r="G991" i="2"/>
  <c r="G917" i="2"/>
  <c r="H132" i="2"/>
  <c r="H729" i="2"/>
  <c r="G729" i="2"/>
  <c r="H473" i="2"/>
  <c r="H550" i="2"/>
  <c r="G43" i="2"/>
  <c r="G144" i="2"/>
  <c r="G358" i="2"/>
  <c r="H570" i="2"/>
  <c r="G46" i="2"/>
  <c r="G420" i="2"/>
  <c r="H446" i="2"/>
  <c r="G869" i="2"/>
  <c r="G301" i="2"/>
  <c r="G123" i="2"/>
  <c r="G400" i="2"/>
  <c r="G45" i="2"/>
  <c r="G430" i="2"/>
  <c r="G285" i="2"/>
  <c r="G313" i="2"/>
  <c r="H148" i="2"/>
  <c r="G214" i="2"/>
  <c r="H138" i="2"/>
  <c r="H641" i="2"/>
  <c r="G538" i="2"/>
  <c r="G209" i="2"/>
  <c r="G355" i="2"/>
  <c r="H285" i="2"/>
  <c r="G854" i="2"/>
  <c r="H291" i="2"/>
  <c r="H966" i="2"/>
  <c r="G694" i="2"/>
  <c r="G820" i="2"/>
  <c r="H232" i="2"/>
  <c r="H215" i="2"/>
  <c r="G221" i="2"/>
  <c r="H710" i="2"/>
  <c r="G295" i="2"/>
  <c r="H470" i="2"/>
  <c r="H19" i="2"/>
  <c r="H227" i="2"/>
  <c r="H77" i="2"/>
  <c r="G314" i="2"/>
  <c r="H176" i="2"/>
  <c r="H321" i="2"/>
  <c r="H865" i="2"/>
  <c r="G748" i="2"/>
  <c r="H289" i="2"/>
  <c r="H532" i="2"/>
  <c r="G880" i="2"/>
  <c r="G862" i="2"/>
  <c r="G191" i="2"/>
  <c r="H223" i="2"/>
  <c r="H632" i="2"/>
  <c r="H1000" i="2"/>
  <c r="H185" i="2"/>
  <c r="G468" i="2"/>
  <c r="H723" i="2"/>
  <c r="G673" i="2"/>
  <c r="G167" i="2"/>
  <c r="G481" i="2"/>
  <c r="G52" i="2"/>
  <c r="G494" i="2"/>
  <c r="H466" i="2"/>
  <c r="H32" i="2"/>
  <c r="H813" i="2"/>
  <c r="H121" i="2"/>
  <c r="H112" i="2"/>
  <c r="G112" i="2"/>
  <c r="G208" i="2"/>
  <c r="H265" i="2"/>
  <c r="G956" i="2"/>
  <c r="G900" i="2"/>
  <c r="H808" i="2"/>
  <c r="G565" i="2"/>
  <c r="G982" i="2"/>
  <c r="H731" i="2"/>
  <c r="G795" i="2"/>
  <c r="G434" i="2"/>
  <c r="H894" i="2"/>
  <c r="H415" i="2"/>
  <c r="G196" i="2"/>
  <c r="H189" i="2"/>
  <c r="H333" i="2"/>
  <c r="H29" i="2"/>
  <c r="G889" i="2"/>
  <c r="H188" i="2"/>
  <c r="G287" i="2"/>
  <c r="G448" i="2"/>
  <c r="H926" i="2"/>
  <c r="H635" i="2"/>
  <c r="H979" i="2"/>
  <c r="H27" i="2"/>
  <c r="G398" i="2"/>
  <c r="H442" i="2"/>
  <c r="H310" i="2"/>
  <c r="H87" i="2"/>
  <c r="H151" i="2"/>
  <c r="G236" i="2"/>
  <c r="H772" i="2"/>
  <c r="H18" i="2"/>
  <c r="G763" i="2"/>
  <c r="G911" i="2"/>
  <c r="H52" i="2"/>
  <c r="G977" i="2"/>
  <c r="H653" i="2"/>
  <c r="H797" i="2"/>
  <c r="H935" i="2"/>
  <c r="G609" i="2"/>
  <c r="H909" i="2"/>
  <c r="G115" i="2"/>
  <c r="G887" i="2"/>
  <c r="G70" i="2"/>
  <c r="H835" i="2"/>
  <c r="H762" i="2"/>
  <c r="G892" i="2"/>
  <c r="G537" i="2"/>
  <c r="G682" i="2"/>
  <c r="G825" i="2"/>
  <c r="G105" i="2"/>
  <c r="G893" i="2"/>
  <c r="H726" i="2"/>
  <c r="H153" i="2"/>
  <c r="H694" i="2"/>
  <c r="H730" i="2"/>
  <c r="H533" i="2"/>
  <c r="H240" i="2"/>
  <c r="G166" i="2"/>
  <c r="G519" i="2"/>
  <c r="G621" i="2"/>
  <c r="H45" i="2"/>
  <c r="G739" i="2"/>
  <c r="H434" i="2"/>
  <c r="H86" i="2"/>
  <c r="H777" i="2"/>
  <c r="H23" i="2"/>
  <c r="H600" i="2"/>
  <c r="H951" i="2"/>
  <c r="H816" i="2"/>
  <c r="H588" i="2"/>
  <c r="G321" i="2"/>
  <c r="H932" i="2"/>
  <c r="H394" i="2"/>
  <c r="H514" i="2"/>
  <c r="H575" i="2"/>
  <c r="H195" i="2"/>
  <c r="G223" i="2"/>
  <c r="H543" i="2"/>
  <c r="H931" i="2"/>
  <c r="G970" i="2"/>
  <c r="H621" i="2"/>
  <c r="H913" i="2"/>
  <c r="G603" i="2"/>
  <c r="H904" i="2"/>
  <c r="H131" i="2"/>
  <c r="G646" i="2"/>
  <c r="H283" i="2"/>
  <c r="G548" i="2"/>
  <c r="G339" i="2"/>
  <c r="G918" i="2"/>
  <c r="G464" i="2"/>
  <c r="H774" i="2"/>
  <c r="H128" i="2"/>
  <c r="G330" i="2"/>
  <c r="H487" i="2"/>
  <c r="H934" i="2"/>
  <c r="H717" i="2"/>
  <c r="H778" i="2"/>
  <c r="G511" i="2"/>
  <c r="H1010" i="2"/>
  <c r="G710" i="2"/>
  <c r="G451" i="2"/>
  <c r="G773" i="2"/>
  <c r="G632" i="2"/>
  <c r="H861" i="2"/>
  <c r="H273" i="2"/>
  <c r="H662" i="2"/>
  <c r="H825" i="2"/>
  <c r="G455" i="2"/>
  <c r="H198" i="2"/>
  <c r="G998" i="2"/>
  <c r="H673" i="2"/>
  <c r="H408" i="2"/>
  <c r="H65" i="2"/>
  <c r="H36" i="2"/>
  <c r="H30" i="2"/>
  <c r="H657" i="2"/>
  <c r="H644" i="2"/>
  <c r="H58" i="2"/>
  <c r="G304" i="2"/>
  <c r="H807" i="2"/>
  <c r="H745" i="2"/>
  <c r="H791" i="2"/>
  <c r="G182" i="2"/>
  <c r="H311" i="2"/>
  <c r="H211" i="2"/>
  <c r="G719" i="2"/>
  <c r="G390" i="2"/>
  <c r="H557" i="2"/>
  <c r="G75" i="2"/>
  <c r="H225" i="2"/>
  <c r="G801" i="2"/>
  <c r="H62" i="2"/>
  <c r="H167" i="2"/>
  <c r="H216" i="2"/>
  <c r="H80" i="2"/>
  <c r="H436" i="2"/>
  <c r="G952" i="2"/>
  <c r="H256" i="2"/>
  <c r="H544" i="2"/>
  <c r="H343" i="2"/>
  <c r="H169" i="2"/>
  <c r="G238" i="2"/>
  <c r="G1012" i="2"/>
  <c r="H431" i="2"/>
  <c r="H585" i="2"/>
  <c r="H768" i="2"/>
  <c r="H549" i="2"/>
  <c r="G808" i="2"/>
  <c r="G520" i="2"/>
  <c r="H359" i="2"/>
  <c r="H687" i="2"/>
  <c r="G506" i="2"/>
  <c r="H1008" i="2"/>
  <c r="H168" i="2"/>
  <c r="H515" i="2"/>
  <c r="G433" i="2"/>
  <c r="H564" i="2"/>
  <c r="H203" i="2"/>
  <c r="H180" i="2"/>
  <c r="G899" i="2"/>
  <c r="H977" i="2"/>
  <c r="H51" i="2"/>
  <c r="H400" i="2"/>
  <c r="H160" i="2"/>
  <c r="H354" i="2"/>
  <c r="G699" i="2"/>
  <c r="H811" i="2"/>
  <c r="H490" i="2"/>
  <c r="H186" i="2"/>
  <c r="G185" i="2"/>
  <c r="H634" i="2"/>
  <c r="H422" i="2"/>
  <c r="H569" i="2"/>
  <c r="G704" i="2"/>
  <c r="H351" i="2"/>
  <c r="H270" i="2"/>
  <c r="G722" i="2"/>
  <c r="G849" i="2"/>
  <c r="H852" i="2"/>
  <c r="H663" i="2"/>
  <c r="H455" i="2"/>
  <c r="H862" i="2"/>
  <c r="G20" i="2"/>
  <c r="G329" i="2"/>
  <c r="G613" i="2"/>
  <c r="G59" i="2"/>
  <c r="G630" i="2"/>
  <c r="G508" i="2"/>
  <c r="G668" i="2"/>
  <c r="H846" i="2"/>
  <c r="G174" i="2"/>
  <c r="H702" i="2"/>
  <c r="H313" i="2"/>
  <c r="G188" i="2"/>
  <c r="G83" i="2"/>
  <c r="H672" i="2"/>
  <c r="G322" i="2"/>
  <c r="G263" i="2"/>
  <c r="H67" i="2"/>
  <c r="H682" i="2"/>
  <c r="H589" i="2"/>
  <c r="H177" i="2"/>
  <c r="H587" i="2"/>
  <c r="G428" i="2"/>
  <c r="G556" i="2"/>
  <c r="G327" i="2"/>
  <c r="H781" i="2"/>
  <c r="H936" i="2"/>
  <c r="G324" i="2"/>
  <c r="H898" i="2"/>
  <c r="G426" i="2"/>
  <c r="H688" i="2"/>
  <c r="H616" i="2"/>
  <c r="G995" i="2"/>
  <c r="H433" i="2"/>
  <c r="H264" i="2"/>
  <c r="H667" i="2"/>
  <c r="H572" i="2"/>
  <c r="G989" i="2"/>
  <c r="G681" i="2"/>
  <c r="H217" i="2"/>
  <c r="H773" i="2"/>
  <c r="G554" i="2"/>
  <c r="G237" i="2"/>
  <c r="H610" i="2"/>
  <c r="G193" i="2"/>
  <c r="H317" i="2"/>
  <c r="G759" i="2"/>
  <c r="G183" i="2"/>
  <c r="H963" i="2"/>
  <c r="G113" i="2"/>
  <c r="G568" i="2"/>
  <c r="H505" i="2"/>
  <c r="G529" i="2"/>
  <c r="H597" i="2"/>
  <c r="G578" i="2"/>
  <c r="H754" i="2"/>
  <c r="H680" i="2"/>
  <c r="H916" i="2"/>
  <c r="H690" i="2"/>
  <c r="G800" i="2"/>
  <c r="G351" i="2"/>
  <c r="H92" i="2"/>
  <c r="H622" i="2"/>
  <c r="H609" i="2"/>
  <c r="H547" i="2"/>
  <c r="H715" i="2"/>
  <c r="H776" i="2"/>
  <c r="H404" i="2"/>
  <c r="G532" i="2"/>
  <c r="G715" i="2"/>
  <c r="H872" i="2"/>
  <c r="H817" i="2"/>
  <c r="H165" i="2"/>
  <c r="H519" i="2"/>
  <c r="H191" i="2"/>
  <c r="H761" i="2"/>
  <c r="G683" i="2"/>
  <c r="G601" i="2"/>
  <c r="H899" i="2"/>
  <c r="H923" i="2"/>
  <c r="G726" i="2"/>
  <c r="H955" i="2"/>
  <c r="G1011" i="2"/>
  <c r="H396" i="2"/>
  <c r="G1002" i="2"/>
  <c r="G582" i="2"/>
  <c r="H100" i="2"/>
  <c r="G950" i="2"/>
  <c r="G993" i="2"/>
  <c r="G362" i="2"/>
  <c r="H342" i="2"/>
  <c r="H437" i="2"/>
  <c r="G831" i="2"/>
  <c r="G318" i="2"/>
  <c r="H716" i="2"/>
  <c r="H837" i="2"/>
  <c r="G249" i="2"/>
  <c r="H17" i="2"/>
  <c r="G54" i="2"/>
  <c r="G619" i="2"/>
  <c r="H800" i="2"/>
  <c r="G487" i="2"/>
  <c r="H956" i="2"/>
  <c r="G286" i="2"/>
  <c r="H184" i="2"/>
  <c r="G783" i="2"/>
  <c r="G875" i="2"/>
  <c r="H126" i="2"/>
  <c r="H969" i="2"/>
  <c r="G31" i="2"/>
  <c r="H1012" i="2"/>
  <c r="H869" i="2"/>
  <c r="H152" i="2"/>
  <c r="G497" i="2"/>
  <c r="H39" i="2"/>
  <c r="H290" i="2"/>
  <c r="H954" i="2"/>
  <c r="G954" i="2"/>
  <c r="H120" i="2"/>
  <c r="H535" i="2"/>
  <c r="G530" i="2"/>
  <c r="H56" i="2"/>
  <c r="H520" i="2"/>
  <c r="G919" i="2"/>
  <c r="H129" i="2"/>
  <c r="H229" i="2"/>
  <c r="H999" i="2"/>
  <c r="H664" i="2"/>
  <c r="G730" i="2"/>
  <c r="H804" i="2"/>
  <c r="H886" i="2"/>
  <c r="H443" i="2"/>
  <c r="H457" i="2"/>
  <c r="H990" i="2"/>
  <c r="H888" i="2"/>
  <c r="H919" i="2"/>
  <c r="H758" i="2"/>
  <c r="G307" i="2"/>
  <c r="H207" i="2"/>
  <c r="G88" i="2"/>
  <c r="H166" i="2"/>
  <c r="G932" i="2"/>
  <c r="H481" i="2"/>
  <c r="G933" i="2"/>
  <c r="H363" i="2"/>
  <c r="G217" i="2"/>
  <c r="G555" i="2"/>
  <c r="G772" i="2"/>
  <c r="H34" i="2"/>
  <c r="H304" i="2"/>
  <c r="G934" i="2"/>
  <c r="H253" i="2"/>
  <c r="G282" i="2"/>
  <c r="G341" i="2"/>
  <c r="G885" i="2"/>
  <c r="H1011" i="2"/>
  <c r="G146" i="2"/>
  <c r="G591" i="2"/>
  <c r="H402" i="2"/>
  <c r="G180" i="2"/>
  <c r="H451" i="2"/>
  <c r="H228" i="2"/>
  <c r="G877" i="2"/>
  <c r="H796" i="2"/>
  <c r="H63" i="2"/>
  <c r="H942" i="2"/>
  <c r="H269" i="2"/>
  <c r="H881" i="2"/>
  <c r="G201" i="2"/>
  <c r="H552" i="2"/>
  <c r="H231" i="2"/>
  <c r="G23" i="2"/>
  <c r="G813" i="2"/>
  <c r="G121" i="2"/>
  <c r="H49" i="2"/>
  <c r="G569" i="2"/>
  <c r="G544" i="2"/>
  <c r="G492" i="2"/>
  <c r="G213" i="2"/>
  <c r="G514" i="2"/>
  <c r="G907" i="2"/>
  <c r="H849" i="2"/>
  <c r="G713" i="2"/>
  <c r="H374" i="2"/>
  <c r="G536" i="2"/>
  <c r="H787" i="2"/>
  <c r="G513" i="2"/>
  <c r="G19" i="2"/>
  <c r="G62" i="2"/>
  <c r="H842" i="2"/>
  <c r="H41" i="2"/>
  <c r="H1002" i="2"/>
  <c r="G871" i="2"/>
  <c r="H933" i="2"/>
  <c r="H5" i="2" l="1"/>
  <c r="I5" i="2"/>
  <c r="H7" i="2" l="1"/>
  <c r="H10" i="2" s="1"/>
</calcChain>
</file>

<file path=xl/sharedStrings.xml><?xml version="1.0" encoding="utf-8"?>
<sst xmlns="http://schemas.openxmlformats.org/spreadsheetml/2006/main" count="166" uniqueCount="108">
  <si>
    <t>F</t>
  </si>
  <si>
    <t>K</t>
  </si>
  <si>
    <t>s</t>
  </si>
  <si>
    <t>T</t>
  </si>
  <si>
    <r>
      <t>r</t>
    </r>
    <r>
      <rPr>
        <b/>
        <vertAlign val="subscript"/>
        <sz val="11"/>
        <color theme="1"/>
        <rFont val="Calibri"/>
        <family val="2"/>
        <scheme val="minor"/>
      </rPr>
      <t>f</t>
    </r>
  </si>
  <si>
    <r>
      <t>t</t>
    </r>
    <r>
      <rPr>
        <b/>
        <vertAlign val="subscript"/>
        <sz val="11"/>
        <color theme="1"/>
        <rFont val="Calibri"/>
        <family val="2"/>
        <scheme val="minor"/>
      </rPr>
      <t>i</t>
    </r>
  </si>
  <si>
    <r>
      <t>c</t>
    </r>
    <r>
      <rPr>
        <b/>
        <vertAlign val="subscript"/>
        <sz val="11"/>
        <color theme="1"/>
        <rFont val="Calibri"/>
        <family val="2"/>
        <scheme val="minor"/>
      </rPr>
      <t>i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</si>
  <si>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i</t>
    </r>
  </si>
  <si>
    <t>R</t>
  </si>
  <si>
    <t>CVA</t>
  </si>
  <si>
    <t>f</t>
  </si>
  <si>
    <t>f*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</si>
  <si>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F</t>
    </r>
  </si>
  <si>
    <t>S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</si>
  <si>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S</t>
    </r>
  </si>
  <si>
    <r>
      <t>c</t>
    </r>
    <r>
      <rPr>
        <vertAlign val="subscript"/>
        <sz val="11"/>
        <color theme="1"/>
        <rFont val="Calibri"/>
        <family val="2"/>
        <scheme val="minor"/>
      </rPr>
      <t>1,5</t>
    </r>
  </si>
  <si>
    <r>
      <t>c</t>
    </r>
    <r>
      <rPr>
        <vertAlign val="subscript"/>
        <sz val="11"/>
        <color theme="1"/>
        <rFont val="Calibri"/>
        <family val="2"/>
        <scheme val="minor"/>
      </rPr>
      <t>0,5</t>
    </r>
  </si>
  <si>
    <r>
      <t>S</t>
    </r>
    <r>
      <rPr>
        <vertAlign val="subscript"/>
        <sz val="11"/>
        <color theme="1"/>
        <rFont val="Calibri"/>
        <family val="2"/>
        <scheme val="minor"/>
      </rPr>
      <t>1,5</t>
    </r>
  </si>
  <si>
    <r>
      <t>S</t>
    </r>
    <r>
      <rPr>
        <vertAlign val="subscript"/>
        <sz val="11"/>
        <color theme="1"/>
        <rFont val="Calibri"/>
        <family val="2"/>
        <scheme val="minor"/>
      </rPr>
      <t>0</t>
    </r>
  </si>
  <si>
    <r>
      <t>S</t>
    </r>
    <r>
      <rPr>
        <vertAlign val="subscript"/>
        <sz val="11"/>
        <color theme="1"/>
        <rFont val="Calibri"/>
        <family val="2"/>
        <scheme val="minor"/>
      </rPr>
      <t>0,5</t>
    </r>
  </si>
  <si>
    <r>
      <t>y</t>
    </r>
    <r>
      <rPr>
        <vertAlign val="subscript"/>
        <sz val="11"/>
        <color theme="1"/>
        <rFont val="Calibri"/>
        <family val="2"/>
        <scheme val="minor"/>
      </rPr>
      <t>0,5</t>
    </r>
  </si>
  <si>
    <r>
      <t>y</t>
    </r>
    <r>
      <rPr>
        <vertAlign val="subscript"/>
        <sz val="11"/>
        <color theme="1"/>
        <rFont val="Calibri"/>
        <family val="2"/>
        <scheme val="minor"/>
      </rPr>
      <t>1</t>
    </r>
  </si>
  <si>
    <r>
      <t>q</t>
    </r>
    <r>
      <rPr>
        <b/>
        <vertAlign val="subscript"/>
        <sz val="11"/>
        <color theme="1"/>
        <rFont val="Calibri"/>
        <family val="2"/>
        <scheme val="minor"/>
      </rPr>
      <t>1</t>
    </r>
  </si>
  <si>
    <r>
      <t>q</t>
    </r>
    <r>
      <rPr>
        <b/>
        <vertAlign val="subscript"/>
        <sz val="11"/>
        <color theme="1"/>
        <rFont val="Calibri"/>
        <family val="2"/>
        <scheme val="minor"/>
      </rPr>
      <t>2</t>
    </r>
  </si>
  <si>
    <t>c</t>
  </si>
  <si>
    <t>c*</t>
  </si>
  <si>
    <r>
      <t>r</t>
    </r>
    <r>
      <rPr>
        <b/>
        <vertAlign val="subscript"/>
        <sz val="11"/>
        <color theme="3" tint="-0.249977111117893"/>
        <rFont val="Calibri"/>
        <family val="2"/>
        <scheme val="minor"/>
      </rPr>
      <t>f</t>
    </r>
  </si>
  <si>
    <t>PV of futures option</t>
  </si>
  <si>
    <t>PV of exposure</t>
  </si>
  <si>
    <t>CVA calculation if the contract is a long call option with the same parameters. Note, we can not use the analytical formula here.</t>
  </si>
  <si>
    <t>Present value of the expected exposure</t>
  </si>
  <si>
    <t>(Call value with counterparty risk)</t>
  </si>
  <si>
    <t>(call value without counterparty risk)</t>
  </si>
  <si>
    <t>Monte Carlo Simulation</t>
  </si>
  <si>
    <t>(forward value without counterparty risk)</t>
  </si>
  <si>
    <t>(forward value with counterparty risk)</t>
  </si>
  <si>
    <t>E=</t>
  </si>
  <si>
    <t>A=</t>
  </si>
  <si>
    <t>T=</t>
  </si>
  <si>
    <t>vol(A)=</t>
  </si>
  <si>
    <t>D=</t>
  </si>
  <si>
    <t>vol(E)=</t>
  </si>
  <si>
    <t>r=</t>
  </si>
  <si>
    <t>PV(D)=</t>
  </si>
  <si>
    <t>vol(A)*T^0,5</t>
  </si>
  <si>
    <t>d1=</t>
  </si>
  <si>
    <t>d2=</t>
  </si>
  <si>
    <t>Nd1=</t>
  </si>
  <si>
    <t>Nd2=</t>
  </si>
  <si>
    <t>diff(E)=</t>
  </si>
  <si>
    <t>diff(volE)=</t>
  </si>
  <si>
    <t>PV(D)-p=A-E=</t>
  </si>
  <si>
    <t>PD=1-ND2=</t>
  </si>
  <si>
    <t>r(risky)=</t>
  </si>
  <si>
    <t>Transition matrix</t>
  </si>
  <si>
    <t>A</t>
  </si>
  <si>
    <t>B</t>
  </si>
  <si>
    <t>C</t>
  </si>
  <si>
    <t>Default</t>
  </si>
  <si>
    <t>Joint probabilities</t>
  </si>
  <si>
    <t>Portfolio values in 1 year</t>
  </si>
  <si>
    <t>CF</t>
  </si>
  <si>
    <t>year</t>
  </si>
  <si>
    <t>"B" Bond</t>
  </si>
  <si>
    <t>"C" Bond</t>
  </si>
  <si>
    <t>r(t)</t>
  </si>
  <si>
    <t>flat</t>
  </si>
  <si>
    <t>spread</t>
  </si>
  <si>
    <t>Sources of value change of the bond</t>
  </si>
  <si>
    <t>interest rate</t>
  </si>
  <si>
    <t>riskfree rate</t>
  </si>
  <si>
    <t>no change</t>
  </si>
  <si>
    <t>change in the rating</t>
  </si>
  <si>
    <t>Value of the portfolio today</t>
  </si>
  <si>
    <t>change in the spread</t>
  </si>
  <si>
    <t>"B"</t>
  </si>
  <si>
    <t>"C"</t>
  </si>
  <si>
    <t>"B"+"C"</t>
  </si>
  <si>
    <t>time</t>
  </si>
  <si>
    <t>determninistic</t>
  </si>
  <si>
    <t>VaR (Ft)</t>
  </si>
  <si>
    <t>Threshold</t>
  </si>
  <si>
    <t>Value ditribution in 1 year</t>
  </si>
  <si>
    <t>value</t>
  </si>
  <si>
    <t>prob</t>
  </si>
  <si>
    <t>cdf</t>
  </si>
  <si>
    <t>1-cdf</t>
  </si>
  <si>
    <t>VaR</t>
  </si>
  <si>
    <t>Sign</t>
  </si>
  <si>
    <t>B bond</t>
  </si>
  <si>
    <t>C bond</t>
  </si>
  <si>
    <t>r(t) flat</t>
  </si>
  <si>
    <t>Portfolio PV</t>
  </si>
  <si>
    <t>B bond transition probability</t>
  </si>
  <si>
    <t>C bond transition probability</t>
  </si>
  <si>
    <t>D</t>
  </si>
  <si>
    <t>rho</t>
  </si>
  <si>
    <t>u(1)</t>
  </si>
  <si>
    <t>u(2)</t>
  </si>
  <si>
    <t>x(B)</t>
  </si>
  <si>
    <t>x(C)</t>
  </si>
  <si>
    <t>B new rating</t>
  </si>
  <si>
    <t>C new rating</t>
  </si>
  <si>
    <t>B FV</t>
  </si>
  <si>
    <t>C FV</t>
  </si>
  <si>
    <t>Portfolio FV</t>
  </si>
  <si>
    <t>Treshold</t>
  </si>
  <si>
    <t>VaR=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</si>
</sst>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#,##0\ &quot;Ft&quot;;[Red]\-#,##0\ &quot;Ft&quot;"/>
    <numFmt numFmtId="164" formatCode="0.0%"/>
    <numFmt numFmtId="165" formatCode="0.00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color theme="1"/>
      <name val="Symbol"/>
      <family val="1"/>
      <charset val="2"/>
    </font>
    <font>
      <b/>
      <vertAlign val="subscript"/>
      <sz val="11"/>
      <color theme="1"/>
      <name val="Calibri"/>
      <family val="2"/>
      <scheme val="minor"/>
    </font>
    <font>
      <sz val="10"/>
      <name val="Arial CE"/>
      <charset val="238"/>
    </font>
    <font>
      <b/>
      <sz val="11"/>
      <color theme="3" tint="-0.249977111117893"/>
      <name val="Calibri"/>
      <family val="2"/>
      <scheme val="minor"/>
    </font>
    <font>
      <b/>
      <sz val="11"/>
      <color theme="3" tint="-0.249977111117893"/>
      <name val="Symbol"/>
      <family val="1"/>
      <charset val="2"/>
    </font>
    <font>
      <b/>
      <vertAlign val="subscript"/>
      <sz val="11"/>
      <color theme="3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0"/>
      <color indexed="10"/>
      <name val="Arial CE"/>
      <family val="2"/>
      <charset val="238"/>
    </font>
    <font>
      <sz val="10"/>
      <name val="Arial CE"/>
      <family val="2"/>
      <charset val="238"/>
    </font>
    <font>
      <b/>
      <sz val="10"/>
      <name val="Arial CE"/>
      <family val="2"/>
      <charset val="238"/>
    </font>
    <font>
      <b/>
      <sz val="10"/>
      <color indexed="10"/>
      <name val="Arial CE"/>
      <family val="2"/>
      <charset val="238"/>
    </font>
    <font>
      <b/>
      <sz val="10"/>
      <name val="Arial CE"/>
      <charset val="238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</cellStyleXfs>
  <cellXfs count="125">
    <xf numFmtId="0" fontId="0" fillId="0" borderId="0" xfId="0"/>
    <xf numFmtId="9" fontId="0" fillId="0" borderId="0" xfId="1" applyFont="1"/>
    <xf numFmtId="2" fontId="0" fillId="0" borderId="0" xfId="0" applyNumberFormat="1" applyAlignment="1">
      <alignment horizontal="center"/>
    </xf>
    <xf numFmtId="2" fontId="0" fillId="0" borderId="0" xfId="0" applyNumberFormat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2" fillId="0" borderId="0" xfId="0" applyFont="1"/>
    <xf numFmtId="0" fontId="2" fillId="0" borderId="1" xfId="0" applyFont="1" applyBorder="1" applyAlignment="1">
      <alignment horizontal="center"/>
    </xf>
    <xf numFmtId="9" fontId="0" fillId="0" borderId="0" xfId="0" applyNumberFormat="1"/>
    <xf numFmtId="10" fontId="0" fillId="0" borderId="0" xfId="1" applyNumberFormat="1" applyFont="1"/>
    <xf numFmtId="10" fontId="0" fillId="0" borderId="0" xfId="1" applyNumberFormat="1" applyFont="1" applyBorder="1"/>
    <xf numFmtId="1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5" xfId="0" applyBorder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10" fillId="0" borderId="0" xfId="0" applyFont="1"/>
    <xf numFmtId="9" fontId="10" fillId="0" borderId="0" xfId="1" applyFont="1"/>
    <xf numFmtId="1" fontId="10" fillId="0" borderId="0" xfId="1" applyNumberFormat="1" applyFont="1"/>
    <xf numFmtId="9" fontId="10" fillId="0" borderId="0" xfId="0" applyNumberFormat="1" applyFont="1"/>
    <xf numFmtId="0" fontId="0" fillId="2" borderId="0" xfId="0" applyFill="1"/>
    <xf numFmtId="9" fontId="0" fillId="2" borderId="0" xfId="1" applyFont="1" applyFill="1"/>
    <xf numFmtId="1" fontId="0" fillId="2" borderId="0" xfId="1" applyNumberFormat="1" applyFont="1" applyFill="1"/>
    <xf numFmtId="10" fontId="0" fillId="2" borderId="0" xfId="1" applyNumberFormat="1" applyFont="1" applyFill="1"/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1" xfId="0" applyBorder="1" applyAlignment="1">
      <alignment horizontal="center" wrapText="1"/>
    </xf>
    <xf numFmtId="0" fontId="6" fillId="0" borderId="0" xfId="2"/>
    <xf numFmtId="2" fontId="6" fillId="0" borderId="0" xfId="2" applyNumberFormat="1"/>
    <xf numFmtId="0" fontId="11" fillId="0" borderId="0" xfId="2" applyFont="1"/>
    <xf numFmtId="2" fontId="11" fillId="0" borderId="0" xfId="2" applyNumberFormat="1" applyFont="1"/>
    <xf numFmtId="2" fontId="6" fillId="0" borderId="8" xfId="2" applyNumberFormat="1" applyBorder="1"/>
    <xf numFmtId="10" fontId="0" fillId="0" borderId="0" xfId="3" applyNumberFormat="1" applyFont="1"/>
    <xf numFmtId="164" fontId="6" fillId="0" borderId="0" xfId="1" applyNumberFormat="1" applyFont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12" fillId="3" borderId="14" xfId="0" applyFont="1" applyFill="1" applyBorder="1"/>
    <xf numFmtId="0" fontId="12" fillId="3" borderId="0" xfId="0" applyFont="1" applyFill="1"/>
    <xf numFmtId="0" fontId="12" fillId="3" borderId="10" xfId="0" applyFont="1" applyFill="1" applyBorder="1"/>
    <xf numFmtId="0" fontId="12" fillId="4" borderId="14" xfId="0" applyFont="1" applyFill="1" applyBorder="1"/>
    <xf numFmtId="0" fontId="12" fillId="4" borderId="0" xfId="0" applyFont="1" applyFill="1"/>
    <xf numFmtId="0" fontId="12" fillId="4" borderId="10" xfId="0" applyFont="1" applyFill="1" applyBorder="1"/>
    <xf numFmtId="0" fontId="0" fillId="0" borderId="15" xfId="0" applyBorder="1"/>
    <xf numFmtId="0" fontId="0" fillId="0" borderId="16" xfId="0" applyBorder="1"/>
    <xf numFmtId="0" fontId="0" fillId="0" borderId="9" xfId="0" applyBorder="1" applyAlignment="1">
      <alignment horizontal="center"/>
    </xf>
    <xf numFmtId="10" fontId="0" fillId="0" borderId="11" xfId="1" applyNumberFormat="1" applyFont="1" applyBorder="1" applyAlignment="1">
      <alignment horizontal="center"/>
    </xf>
    <xf numFmtId="10" fontId="0" fillId="0" borderId="12" xfId="1" applyNumberFormat="1" applyFont="1" applyBorder="1" applyAlignment="1">
      <alignment horizontal="center"/>
    </xf>
    <xf numFmtId="10" fontId="0" fillId="0" borderId="13" xfId="1" applyNumberFormat="1" applyFont="1" applyBorder="1" applyAlignment="1">
      <alignment horizontal="center"/>
    </xf>
    <xf numFmtId="0" fontId="0" fillId="3" borderId="0" xfId="0" applyFill="1"/>
    <xf numFmtId="10" fontId="0" fillId="0" borderId="14" xfId="1" applyNumberFormat="1" applyFont="1" applyBorder="1" applyAlignment="1">
      <alignment horizontal="center"/>
    </xf>
    <xf numFmtId="10" fontId="0" fillId="0" borderId="0" xfId="1" applyNumberFormat="1" applyFont="1" applyBorder="1" applyAlignment="1">
      <alignment horizontal="center"/>
    </xf>
    <xf numFmtId="10" fontId="0" fillId="0" borderId="10" xfId="1" applyNumberFormat="1" applyFont="1" applyBorder="1" applyAlignment="1">
      <alignment horizontal="center"/>
    </xf>
    <xf numFmtId="10" fontId="0" fillId="0" borderId="15" xfId="1" applyNumberFormat="1" applyFont="1" applyBorder="1" applyAlignment="1">
      <alignment horizontal="center"/>
    </xf>
    <xf numFmtId="10" fontId="0" fillId="0" borderId="9" xfId="1" applyNumberFormat="1" applyFont="1" applyBorder="1" applyAlignment="1">
      <alignment horizontal="center"/>
    </xf>
    <xf numFmtId="10" fontId="0" fillId="0" borderId="16" xfId="1" applyNumberFormat="1" applyFont="1" applyBorder="1" applyAlignment="1">
      <alignment horizontal="center"/>
    </xf>
    <xf numFmtId="10" fontId="6" fillId="4" borderId="0" xfId="1" applyNumberFormat="1" applyFont="1" applyFill="1" applyAlignment="1">
      <alignment horizontal="center"/>
    </xf>
    <xf numFmtId="165" fontId="0" fillId="0" borderId="0" xfId="0" applyNumberFormat="1"/>
    <xf numFmtId="165" fontId="0" fillId="0" borderId="8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1" fontId="0" fillId="0" borderId="8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1" fontId="0" fillId="0" borderId="14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10" xfId="0" applyNumberFormat="1" applyBorder="1" applyAlignment="1">
      <alignment horizontal="center"/>
    </xf>
    <xf numFmtId="1" fontId="0" fillId="0" borderId="15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16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3" fontId="0" fillId="0" borderId="20" xfId="0" applyNumberFormat="1" applyBorder="1" applyAlignment="1">
      <alignment horizontal="center"/>
    </xf>
    <xf numFmtId="3" fontId="0" fillId="0" borderId="21" xfId="0" applyNumberFormat="1" applyBorder="1" applyAlignment="1">
      <alignment horizontal="center"/>
    </xf>
    <xf numFmtId="3" fontId="13" fillId="0" borderId="22" xfId="0" applyNumberFormat="1" applyFont="1" applyBorder="1" applyAlignment="1">
      <alignment horizontal="center"/>
    </xf>
    <xf numFmtId="3" fontId="0" fillId="0" borderId="0" xfId="0" applyNumberFormat="1"/>
    <xf numFmtId="3" fontId="0" fillId="0" borderId="0" xfId="0" applyNumberFormat="1" applyAlignment="1">
      <alignment horizontal="center"/>
    </xf>
    <xf numFmtId="1" fontId="0" fillId="0" borderId="0" xfId="0" applyNumberFormat="1"/>
    <xf numFmtId="0" fontId="6" fillId="0" borderId="9" xfId="0" applyFont="1" applyBorder="1" applyAlignment="1">
      <alignment horizontal="center"/>
    </xf>
    <xf numFmtId="0" fontId="0" fillId="5" borderId="0" xfId="0" applyFill="1" applyAlignment="1">
      <alignment horizontal="center"/>
    </xf>
    <xf numFmtId="10" fontId="0" fillId="0" borderId="0" xfId="3" applyNumberFormat="1" applyFont="1" applyAlignment="1">
      <alignment horizontal="center"/>
    </xf>
    <xf numFmtId="1" fontId="0" fillId="5" borderId="0" xfId="0" applyNumberFormat="1" applyFill="1" applyAlignment="1">
      <alignment horizontal="center"/>
    </xf>
    <xf numFmtId="1" fontId="0" fillId="4" borderId="0" xfId="0" applyNumberFormat="1" applyFill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0" xfId="0" applyFill="1" applyBorder="1"/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12" fillId="7" borderId="14" xfId="0" applyFont="1" applyFill="1" applyBorder="1" applyAlignment="1">
      <alignment horizontal="center"/>
    </xf>
    <xf numFmtId="0" fontId="12" fillId="7" borderId="0" xfId="0" applyFont="1" applyFill="1" applyAlignment="1">
      <alignment horizontal="center"/>
    </xf>
    <xf numFmtId="0" fontId="12" fillId="7" borderId="10" xfId="0" applyFont="1" applyFill="1" applyBorder="1" applyAlignment="1">
      <alignment horizontal="center"/>
    </xf>
    <xf numFmtId="0" fontId="0" fillId="6" borderId="9" xfId="0" applyFill="1" applyBorder="1"/>
    <xf numFmtId="0" fontId="0" fillId="7" borderId="15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7" borderId="16" xfId="0" applyFill="1" applyBorder="1" applyAlignment="1">
      <alignment horizontal="center"/>
    </xf>
    <xf numFmtId="165" fontId="0" fillId="0" borderId="1" xfId="0" applyNumberFormat="1" applyBorder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/>
    <xf numFmtId="0" fontId="0" fillId="0" borderId="0" xfId="0" applyAlignment="1">
      <alignment horizontal="right"/>
    </xf>
    <xf numFmtId="6" fontId="0" fillId="0" borderId="0" xfId="0" applyNumberFormat="1"/>
    <xf numFmtId="6" fontId="13" fillId="0" borderId="0" xfId="0" applyNumberFormat="1" applyFont="1"/>
    <xf numFmtId="0" fontId="6" fillId="0" borderId="0" xfId="0" applyFont="1" applyAlignment="1">
      <alignment horizontal="right"/>
    </xf>
    <xf numFmtId="0" fontId="6" fillId="0" borderId="0" xfId="0" applyFont="1"/>
    <xf numFmtId="0" fontId="14" fillId="0" borderId="0" xfId="0" applyFont="1"/>
    <xf numFmtId="0" fontId="15" fillId="0" borderId="23" xfId="0" applyFont="1" applyBorder="1" applyAlignment="1">
      <alignment horizontal="center"/>
    </xf>
    <xf numFmtId="0" fontId="15" fillId="0" borderId="24" xfId="0" applyFont="1" applyBorder="1" applyAlignment="1">
      <alignment horizontal="center"/>
    </xf>
    <xf numFmtId="0" fontId="15" fillId="0" borderId="8" xfId="0" applyFont="1" applyBorder="1" applyAlignment="1">
      <alignment horizontal="center" wrapText="1"/>
    </xf>
    <xf numFmtId="2" fontId="0" fillId="0" borderId="14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15" xfId="0" applyNumberFormat="1" applyBorder="1" applyAlignment="1">
      <alignment horizontal="center"/>
    </xf>
    <xf numFmtId="2" fontId="0" fillId="0" borderId="16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4">
    <cellStyle name="Normal" xfId="0" builtinId="0"/>
    <cellStyle name="Normál 2" xfId="2" xr:uid="{00000000-0005-0000-0000-000001000000}"/>
    <cellStyle name="Percent" xfId="1" builtinId="5"/>
    <cellStyle name="Százalék 2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90"/>
      <c:hPercent val="100"/>
      <c:rotY val="0"/>
      <c:depthPercent val="100"/>
      <c:rAngAx val="0"/>
      <c:perspective val="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428571428571425E-2"/>
          <c:y val="7.2519219121278483E-2"/>
          <c:w val="0.53316326530612246"/>
          <c:h val="0.76336020127661552"/>
        </c:manualLayout>
      </c:layout>
      <c:surfaceChart>
        <c:wireframe val="0"/>
        <c:ser>
          <c:idx val="0"/>
          <c:order val="0"/>
          <c:tx>
            <c:strRef>
              <c:f>'[1]Exercise 1.'!$B$14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strRef>
              <c:f>'[1]Exercise 1.'!$C$13:$F$13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Default</c:v>
                </c:pt>
              </c:strCache>
            </c:strRef>
          </c:cat>
          <c:val>
            <c:numRef>
              <c:f>'[1]Exercise 1.'!$C$14:$F$14</c:f>
              <c:numCache>
                <c:formatCode>General</c:formatCode>
                <c:ptCount val="4"/>
                <c:pt idx="0">
                  <c:v>5.000000000000001E-3</c:v>
                </c:pt>
                <c:pt idx="1">
                  <c:v>1.4999999999999999E-2</c:v>
                </c:pt>
                <c:pt idx="2">
                  <c:v>0.06</c:v>
                </c:pt>
                <c:pt idx="3">
                  <c:v>2.0000000000000004E-2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06-47D3-862B-E6E837DDB2C9}"/>
            </c:ext>
          </c:extLst>
        </c:ser>
        <c:ser>
          <c:idx val="1"/>
          <c:order val="1"/>
          <c:tx>
            <c:strRef>
              <c:f>'[1]Exercise 1.'!$B$15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strRef>
              <c:f>'[1]Exercise 1.'!$C$13:$F$13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Default</c:v>
                </c:pt>
              </c:strCache>
            </c:strRef>
          </c:cat>
          <c:val>
            <c:numRef>
              <c:f>'[1]Exercise 1.'!$C$15:$F$15</c:f>
              <c:numCache>
                <c:formatCode>General</c:formatCode>
                <c:ptCount val="4"/>
                <c:pt idx="0">
                  <c:v>3.4999999999999996E-2</c:v>
                </c:pt>
                <c:pt idx="1">
                  <c:v>0.105</c:v>
                </c:pt>
                <c:pt idx="2">
                  <c:v>0.42</c:v>
                </c:pt>
                <c:pt idx="3">
                  <c:v>0.13999999999999999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06-47D3-862B-E6E837DDB2C9}"/>
            </c:ext>
          </c:extLst>
        </c:ser>
        <c:ser>
          <c:idx val="2"/>
          <c:order val="2"/>
          <c:tx>
            <c:strRef>
              <c:f>'[1]Exercise 1.'!$B$16</c:f>
              <c:strCache>
                <c:ptCount val="1"/>
                <c:pt idx="0">
                  <c:v>C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strRef>
              <c:f>'[1]Exercise 1.'!$C$13:$F$13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Default</c:v>
                </c:pt>
              </c:strCache>
            </c:strRef>
          </c:cat>
          <c:val>
            <c:numRef>
              <c:f>'[1]Exercise 1.'!$C$16:$F$16</c:f>
              <c:numCache>
                <c:formatCode>General</c:formatCode>
                <c:ptCount val="4"/>
                <c:pt idx="0">
                  <c:v>5.000000000000001E-3</c:v>
                </c:pt>
                <c:pt idx="1">
                  <c:v>1.4999999999999999E-2</c:v>
                </c:pt>
                <c:pt idx="2">
                  <c:v>0.06</c:v>
                </c:pt>
                <c:pt idx="3">
                  <c:v>2.0000000000000004E-2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06-47D3-862B-E6E837DDB2C9}"/>
            </c:ext>
          </c:extLst>
        </c:ser>
        <c:ser>
          <c:idx val="3"/>
          <c:order val="3"/>
          <c:tx>
            <c:strRef>
              <c:f>'[1]Exercise 1.'!$B$17</c:f>
              <c:strCache>
                <c:ptCount val="1"/>
                <c:pt idx="0">
                  <c:v>Default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strRef>
              <c:f>'[1]Exercise 1.'!$C$13:$F$13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Default</c:v>
                </c:pt>
              </c:strCache>
            </c:strRef>
          </c:cat>
          <c:val>
            <c:numRef>
              <c:f>'[1]Exercise 1.'!$C$17:$F$17</c:f>
              <c:numCache>
                <c:formatCode>General</c:formatCode>
                <c:ptCount val="4"/>
                <c:pt idx="0">
                  <c:v>5.000000000000001E-3</c:v>
                </c:pt>
                <c:pt idx="1">
                  <c:v>1.4999999999999999E-2</c:v>
                </c:pt>
                <c:pt idx="2">
                  <c:v>0.06</c:v>
                </c:pt>
                <c:pt idx="3">
                  <c:v>2.0000000000000004E-2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06-47D3-862B-E6E837DDB2C9}"/>
            </c:ext>
          </c:extLst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885411887"/>
        <c:axId val="1"/>
        <c:axId val="2"/>
      </c:surfaceChart>
      <c:catAx>
        <c:axId val="8854118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 CE"/>
                <a:ea typeface="Arial CE"/>
                <a:cs typeface="Arial CE"/>
              </a:defRPr>
            </a:pPr>
            <a:endParaRPr lang="hu-H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1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885411887"/>
        <c:crosses val="autoZero"/>
        <c:crossBetween val="midCat"/>
      </c:valAx>
      <c:serAx>
        <c:axId val="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 CE"/>
                <a:ea typeface="Arial CE"/>
                <a:cs typeface="Arial CE"/>
              </a:defRPr>
            </a:pPr>
            <a:endParaRPr lang="hu-HU"/>
          </a:p>
        </c:txPr>
        <c:crossAx val="1"/>
        <c:crosses val="autoZero"/>
        <c:tickLblSkip val="1"/>
        <c:tickMarkSkip val="1"/>
      </c:serAx>
      <c:spPr>
        <a:noFill/>
        <a:ln w="25400">
          <a:noFill/>
        </a:ln>
      </c:spPr>
    </c:plotArea>
    <c:legend>
      <c:legendPos val="r"/>
      <c:legendEntry>
        <c:idx val="0"/>
        <c:txPr>
          <a:bodyPr/>
          <a:lstStyle/>
          <a:p>
            <a:pPr rtl="0">
              <a:defRPr sz="940" b="0" i="0" u="none" strike="noStrike" baseline="0">
                <a:solidFill>
                  <a:srgbClr val="000000"/>
                </a:solidFill>
                <a:latin typeface="Arial CE"/>
                <a:ea typeface="Arial CE"/>
                <a:cs typeface="Arial CE"/>
              </a:defRPr>
            </a:pPr>
            <a:endParaRPr lang="hu-HU"/>
          </a:p>
        </c:txPr>
      </c:legendEntry>
      <c:legendEntry>
        <c:idx val="1"/>
        <c:txPr>
          <a:bodyPr/>
          <a:lstStyle/>
          <a:p>
            <a:pPr rtl="0">
              <a:defRPr sz="940" b="0" i="0" u="none" strike="noStrike" baseline="0">
                <a:solidFill>
                  <a:srgbClr val="000000"/>
                </a:solidFill>
                <a:latin typeface="Arial CE"/>
                <a:ea typeface="Arial CE"/>
                <a:cs typeface="Arial CE"/>
              </a:defRPr>
            </a:pPr>
            <a:endParaRPr lang="hu-HU"/>
          </a:p>
        </c:txPr>
      </c:legendEntry>
      <c:legendEntry>
        <c:idx val="2"/>
        <c:txPr>
          <a:bodyPr/>
          <a:lstStyle/>
          <a:p>
            <a:pPr rtl="0">
              <a:defRPr sz="940" b="0" i="0" u="none" strike="noStrike" baseline="0">
                <a:solidFill>
                  <a:srgbClr val="000000"/>
                </a:solidFill>
                <a:latin typeface="Arial CE"/>
                <a:ea typeface="Arial CE"/>
                <a:cs typeface="Arial CE"/>
              </a:defRPr>
            </a:pPr>
            <a:endParaRPr lang="hu-HU"/>
          </a:p>
        </c:txPr>
      </c:legendEntry>
      <c:legendEntry>
        <c:idx val="3"/>
        <c:txPr>
          <a:bodyPr/>
          <a:lstStyle/>
          <a:p>
            <a:pPr rtl="0">
              <a:defRPr sz="940" b="0" i="0" u="none" strike="noStrike" baseline="0">
                <a:solidFill>
                  <a:srgbClr val="000000"/>
                </a:solidFill>
                <a:latin typeface="Arial CE"/>
                <a:ea typeface="Arial CE"/>
                <a:cs typeface="Arial CE"/>
              </a:defRPr>
            </a:pPr>
            <a:endParaRPr lang="hu-HU"/>
          </a:p>
        </c:txPr>
      </c:legendEntry>
      <c:legendEntry>
        <c:idx val="4"/>
        <c:txPr>
          <a:bodyPr/>
          <a:lstStyle/>
          <a:p>
            <a:pPr rtl="0">
              <a:defRPr sz="940" b="0" i="0" u="none" strike="noStrike" baseline="0">
                <a:solidFill>
                  <a:srgbClr val="000000"/>
                </a:solidFill>
                <a:latin typeface="Arial CE"/>
                <a:ea typeface="Arial CE"/>
                <a:cs typeface="Arial CE"/>
              </a:defRPr>
            </a:pPr>
            <a:endParaRPr lang="hu-HU"/>
          </a:p>
        </c:txPr>
      </c:legendEntry>
      <c:layout>
        <c:manualLayout>
          <c:xMode val="edge"/>
          <c:yMode val="edge"/>
          <c:x val="0.8102449438718119"/>
          <c:y val="0.27980184062669916"/>
          <c:w val="0.16642868621014206"/>
          <c:h val="0.4274748776607528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 rtl="0">
            <a:defRPr sz="940" b="0" i="0" u="none" strike="noStrike" baseline="0">
              <a:solidFill>
                <a:srgbClr val="000000"/>
              </a:solidFill>
              <a:latin typeface="Arial CE"/>
              <a:ea typeface="Arial CE"/>
              <a:cs typeface="Arial CE"/>
            </a:defRPr>
          </a:pPr>
          <a:endParaRPr lang="hu-H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 CE"/>
          <a:ea typeface="Arial CE"/>
          <a:cs typeface="Arial CE"/>
        </a:defRPr>
      </a:pPr>
      <a:endParaRPr lang="hu-HU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depthPercent val="100"/>
      <c:rAngAx val="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tx>
            <c:strRef>
              <c:f>'[1]Exercise 1.'!$B$14</c:f>
              <c:strCache>
                <c:ptCount val="1"/>
                <c:pt idx="0">
                  <c:v>A</c:v>
                </c:pt>
              </c:strCache>
            </c:strRef>
          </c:tx>
          <c:spPr>
            <a:sp3d prstMaterial="flat"/>
          </c:spPr>
          <c:cat>
            <c:strRef>
              <c:f>'[1]Exercise 1.'!$C$13:$F$13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Default</c:v>
                </c:pt>
              </c:strCache>
            </c:strRef>
          </c:cat>
          <c:val>
            <c:numRef>
              <c:f>'[1]Exercise 1.'!$C$14:$F$14</c:f>
              <c:numCache>
                <c:formatCode>General</c:formatCode>
                <c:ptCount val="4"/>
                <c:pt idx="0">
                  <c:v>5.000000000000001E-3</c:v>
                </c:pt>
                <c:pt idx="1">
                  <c:v>1.4999999999999999E-2</c:v>
                </c:pt>
                <c:pt idx="2">
                  <c:v>0.06</c:v>
                </c:pt>
                <c:pt idx="3">
                  <c:v>2.0000000000000004E-2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D3-4C5E-8A9D-8A058B7BB989}"/>
            </c:ext>
          </c:extLst>
        </c:ser>
        <c:ser>
          <c:idx val="1"/>
          <c:order val="1"/>
          <c:tx>
            <c:strRef>
              <c:f>'[1]Exercise 1.'!$B$15</c:f>
              <c:strCache>
                <c:ptCount val="1"/>
                <c:pt idx="0">
                  <c:v>B</c:v>
                </c:pt>
              </c:strCache>
            </c:strRef>
          </c:tx>
          <c:spPr>
            <a:sp3d prstMaterial="flat"/>
          </c:spPr>
          <c:cat>
            <c:strRef>
              <c:f>'[1]Exercise 1.'!$C$13:$F$13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Default</c:v>
                </c:pt>
              </c:strCache>
            </c:strRef>
          </c:cat>
          <c:val>
            <c:numRef>
              <c:f>'[1]Exercise 1.'!$C$15:$F$15</c:f>
              <c:numCache>
                <c:formatCode>General</c:formatCode>
                <c:ptCount val="4"/>
                <c:pt idx="0">
                  <c:v>3.4999999999999996E-2</c:v>
                </c:pt>
                <c:pt idx="1">
                  <c:v>0.105</c:v>
                </c:pt>
                <c:pt idx="2">
                  <c:v>0.42</c:v>
                </c:pt>
                <c:pt idx="3">
                  <c:v>0.13999999999999999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D3-4C5E-8A9D-8A058B7BB989}"/>
            </c:ext>
          </c:extLst>
        </c:ser>
        <c:ser>
          <c:idx val="2"/>
          <c:order val="2"/>
          <c:tx>
            <c:strRef>
              <c:f>'[1]Exercise 1.'!$B$16</c:f>
              <c:strCache>
                <c:ptCount val="1"/>
                <c:pt idx="0">
                  <c:v>C</c:v>
                </c:pt>
              </c:strCache>
            </c:strRef>
          </c:tx>
          <c:spPr>
            <a:sp3d prstMaterial="flat"/>
          </c:spPr>
          <c:cat>
            <c:strRef>
              <c:f>'[1]Exercise 1.'!$C$13:$F$13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Default</c:v>
                </c:pt>
              </c:strCache>
            </c:strRef>
          </c:cat>
          <c:val>
            <c:numRef>
              <c:f>'[1]Exercise 1.'!$C$16:$F$16</c:f>
              <c:numCache>
                <c:formatCode>General</c:formatCode>
                <c:ptCount val="4"/>
                <c:pt idx="0">
                  <c:v>5.000000000000001E-3</c:v>
                </c:pt>
                <c:pt idx="1">
                  <c:v>1.4999999999999999E-2</c:v>
                </c:pt>
                <c:pt idx="2">
                  <c:v>0.06</c:v>
                </c:pt>
                <c:pt idx="3">
                  <c:v>2.0000000000000004E-2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D3-4C5E-8A9D-8A058B7BB989}"/>
            </c:ext>
          </c:extLst>
        </c:ser>
        <c:ser>
          <c:idx val="3"/>
          <c:order val="3"/>
          <c:tx>
            <c:strRef>
              <c:f>'[1]Exercise 1.'!$B$17</c:f>
              <c:strCache>
                <c:ptCount val="1"/>
                <c:pt idx="0">
                  <c:v>Default</c:v>
                </c:pt>
              </c:strCache>
            </c:strRef>
          </c:tx>
          <c:spPr>
            <a:sp3d prstMaterial="flat"/>
          </c:spPr>
          <c:cat>
            <c:strRef>
              <c:f>'[1]Exercise 1.'!$C$13:$F$13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Default</c:v>
                </c:pt>
              </c:strCache>
            </c:strRef>
          </c:cat>
          <c:val>
            <c:numRef>
              <c:f>'[1]Exercise 1.'!$C$17:$F$17</c:f>
              <c:numCache>
                <c:formatCode>General</c:formatCode>
                <c:ptCount val="4"/>
                <c:pt idx="0">
                  <c:v>5.000000000000001E-3</c:v>
                </c:pt>
                <c:pt idx="1">
                  <c:v>1.4999999999999999E-2</c:v>
                </c:pt>
                <c:pt idx="2">
                  <c:v>0.06</c:v>
                </c:pt>
                <c:pt idx="3">
                  <c:v>2.0000000000000004E-2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D3-4C5E-8A9D-8A058B7BB989}"/>
            </c:ext>
          </c:extLst>
        </c:ser>
        <c:bandFmts>
          <c:bandFmt>
            <c:idx val="0"/>
            <c:spPr>
              <a:sp3d prstMaterial="flat"/>
            </c:spPr>
          </c:bandFmt>
          <c:bandFmt>
            <c:idx val="1"/>
            <c:spPr>
              <a:sp3d prstMaterial="flat"/>
            </c:spPr>
          </c:bandFmt>
          <c:bandFmt>
            <c:idx val="2"/>
            <c:spPr>
              <a:sp3d prstMaterial="flat"/>
            </c:spPr>
          </c:bandFmt>
          <c:bandFmt>
            <c:idx val="3"/>
            <c:spPr>
              <a:sp3d prstMaterial="flat"/>
            </c:spPr>
          </c:bandFmt>
          <c:bandFmt>
            <c:idx val="4"/>
            <c:spPr>
              <a:sp3d prstMaterial="flat"/>
            </c:spPr>
          </c:bandFmt>
        </c:bandFmts>
        <c:axId val="890407871"/>
        <c:axId val="1"/>
        <c:axId val="2"/>
      </c:surface3DChart>
      <c:catAx>
        <c:axId val="8904078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90407871"/>
        <c:crosses val="autoZero"/>
        <c:crossBetween val="midCat"/>
      </c:valAx>
      <c:serAx>
        <c:axId val="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hu-HU"/>
          </a:p>
        </c:txPr>
        <c:crossAx val="1"/>
        <c:crosses val="autoZero"/>
        <c:tickLblSkip val="2"/>
        <c:tickMarkSkip val="1"/>
      </c:serAx>
      <c:spPr>
        <a:noFill/>
        <a:ln w="25400">
          <a:noFill/>
        </a:ln>
      </c:spPr>
    </c:plotArea>
    <c:legend>
      <c:legendPos val="r"/>
      <c:legendEntry>
        <c:idx val="0"/>
        <c:txPr>
          <a:bodyPr/>
          <a:lstStyle/>
          <a:p>
            <a:pPr rtl="0">
              <a:defRPr/>
            </a:pPr>
            <a:endParaRPr lang="hu-HU"/>
          </a:p>
        </c:txPr>
      </c:legendEntry>
      <c:legendEntry>
        <c:idx val="1"/>
        <c:txPr>
          <a:bodyPr/>
          <a:lstStyle/>
          <a:p>
            <a:pPr rtl="0">
              <a:defRPr/>
            </a:pPr>
            <a:endParaRPr lang="hu-HU"/>
          </a:p>
        </c:txPr>
      </c:legendEntry>
      <c:layout>
        <c:manualLayout>
          <c:xMode val="edge"/>
          <c:yMode val="edge"/>
          <c:x val="0.76113468826105479"/>
          <c:y val="0.28369675883537815"/>
          <c:w val="0.22222918737099606"/>
          <c:h val="0.42318110236220474"/>
        </c:manualLayout>
      </c:layout>
      <c:overlay val="0"/>
      <c:txPr>
        <a:bodyPr/>
        <a:lstStyle/>
        <a:p>
          <a:pPr rtl="0">
            <a:defRPr/>
          </a:pPr>
          <a:endParaRPr lang="hu-HU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698500</xdr:colOff>
      <xdr:row>3</xdr:row>
      <xdr:rowOff>82550</xdr:rowOff>
    </xdr:from>
    <xdr:to>
      <xdr:col>14</xdr:col>
      <xdr:colOff>50800</xdr:colOff>
      <xdr:row>18</xdr:row>
      <xdr:rowOff>152400</xdr:rowOff>
    </xdr:to>
    <xdr:graphicFrame macro="">
      <xdr:nvGraphicFramePr>
        <xdr:cNvPr id="2" name="Chart 7">
          <a:extLst>
            <a:ext uri="{FF2B5EF4-FFF2-40B4-BE49-F238E27FC236}">
              <a16:creationId xmlns:a16="http://schemas.microsoft.com/office/drawing/2014/main" id="{8228003D-6EB5-4094-856A-08EB619E20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69850</xdr:colOff>
      <xdr:row>4</xdr:row>
      <xdr:rowOff>114300</xdr:rowOff>
    </xdr:from>
    <xdr:to>
      <xdr:col>22</xdr:col>
      <xdr:colOff>374650</xdr:colOff>
      <xdr:row>21</xdr:row>
      <xdr:rowOff>101600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B35CBF14-FC48-4507-B4AC-489283A7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346808</xdr:colOff>
      <xdr:row>0</xdr:row>
      <xdr:rowOff>122115</xdr:rowOff>
    </xdr:from>
    <xdr:to>
      <xdr:col>15</xdr:col>
      <xdr:colOff>85481</xdr:colOff>
      <xdr:row>9</xdr:row>
      <xdr:rowOff>166565</xdr:rowOff>
    </xdr:to>
    <xdr:pic>
      <xdr:nvPicPr>
        <xdr:cNvPr id="16" name="Kép 15">
          <a:extLst>
            <a:ext uri="{FF2B5EF4-FFF2-40B4-BE49-F238E27FC236}">
              <a16:creationId xmlns:a16="http://schemas.microsoft.com/office/drawing/2014/main" id="{F27094D0-639A-4A65-9B9A-FD4EDB2B3A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0270" y="122115"/>
          <a:ext cx="5233865" cy="18468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Documents\dbarbar\Barbara_2020_11\phd\2024_tavasz\RMFI\5week\6_exercises_sol.xls" TargetMode="External"/><Relationship Id="rId1" Type="http://schemas.openxmlformats.org/officeDocument/2006/relationships/externalLinkPath" Target="6_exercises_so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."/>
      <sheetName val="Exercise 2."/>
    </sheetNames>
    <sheetDataSet>
      <sheetData sheetId="0">
        <row r="13">
          <cell r="C13" t="str">
            <v>A</v>
          </cell>
          <cell r="D13" t="str">
            <v>B</v>
          </cell>
          <cell r="E13" t="str">
            <v>C</v>
          </cell>
          <cell r="F13" t="str">
            <v>Default</v>
          </cell>
        </row>
        <row r="14">
          <cell r="B14" t="str">
            <v>A</v>
          </cell>
          <cell r="C14">
            <v>5.000000000000001E-3</v>
          </cell>
          <cell r="D14">
            <v>1.4999999999999999E-2</v>
          </cell>
          <cell r="E14">
            <v>0.06</v>
          </cell>
          <cell r="F14">
            <v>2.0000000000000004E-2</v>
          </cell>
        </row>
        <row r="15">
          <cell r="B15" t="str">
            <v>B</v>
          </cell>
          <cell r="C15">
            <v>3.4999999999999996E-2</v>
          </cell>
          <cell r="D15">
            <v>0.105</v>
          </cell>
          <cell r="E15">
            <v>0.42</v>
          </cell>
          <cell r="F15">
            <v>0.13999999999999999</v>
          </cell>
        </row>
        <row r="16">
          <cell r="B16" t="str">
            <v>C</v>
          </cell>
          <cell r="C16">
            <v>5.000000000000001E-3</v>
          </cell>
          <cell r="D16">
            <v>1.4999999999999999E-2</v>
          </cell>
          <cell r="E16">
            <v>0.06</v>
          </cell>
          <cell r="F16">
            <v>2.0000000000000004E-2</v>
          </cell>
        </row>
        <row r="17">
          <cell r="B17" t="str">
            <v>Default</v>
          </cell>
          <cell r="C17">
            <v>5.000000000000001E-3</v>
          </cell>
          <cell r="D17">
            <v>1.4999999999999999E-2</v>
          </cell>
          <cell r="E17">
            <v>0.06</v>
          </cell>
          <cell r="F17">
            <v>2.0000000000000004E-2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7E2CE-AD9B-464A-A205-97135B29A13E}">
  <dimension ref="A1:F25"/>
  <sheetViews>
    <sheetView tabSelected="1" zoomScale="120" zoomScaleNormal="120" workbookViewId="0">
      <selection activeCell="G9" sqref="G9"/>
    </sheetView>
  </sheetViews>
  <sheetFormatPr defaultColWidth="9.1796875" defaultRowHeight="12.5" x14ac:dyDescent="0.25"/>
  <cols>
    <col min="1" max="1" width="13.1796875" style="31" bestFit="1" customWidth="1"/>
    <col min="2" max="2" width="15.54296875" style="31" customWidth="1"/>
    <col min="3" max="5" width="9.1796875" style="31"/>
    <col min="6" max="6" width="13.7265625" style="31" bestFit="1" customWidth="1"/>
    <col min="7" max="256" width="9.1796875" style="31"/>
    <col min="257" max="257" width="13.1796875" style="31" bestFit="1" customWidth="1"/>
    <col min="258" max="258" width="15.54296875" style="31" customWidth="1"/>
    <col min="259" max="261" width="9.1796875" style="31"/>
    <col min="262" max="262" width="13.7265625" style="31" bestFit="1" customWidth="1"/>
    <col min="263" max="512" width="9.1796875" style="31"/>
    <col min="513" max="513" width="13.1796875" style="31" bestFit="1" customWidth="1"/>
    <col min="514" max="514" width="15.54296875" style="31" customWidth="1"/>
    <col min="515" max="517" width="9.1796875" style="31"/>
    <col min="518" max="518" width="13.7265625" style="31" bestFit="1" customWidth="1"/>
    <col min="519" max="768" width="9.1796875" style="31"/>
    <col min="769" max="769" width="13.1796875" style="31" bestFit="1" customWidth="1"/>
    <col min="770" max="770" width="15.54296875" style="31" customWidth="1"/>
    <col min="771" max="773" width="9.1796875" style="31"/>
    <col min="774" max="774" width="13.7265625" style="31" bestFit="1" customWidth="1"/>
    <col min="775" max="1024" width="9.1796875" style="31"/>
    <col min="1025" max="1025" width="13.1796875" style="31" bestFit="1" customWidth="1"/>
    <col min="1026" max="1026" width="15.54296875" style="31" customWidth="1"/>
    <col min="1027" max="1029" width="9.1796875" style="31"/>
    <col min="1030" max="1030" width="13.7265625" style="31" bestFit="1" customWidth="1"/>
    <col min="1031" max="1280" width="9.1796875" style="31"/>
    <col min="1281" max="1281" width="13.1796875" style="31" bestFit="1" customWidth="1"/>
    <col min="1282" max="1282" width="15.54296875" style="31" customWidth="1"/>
    <col min="1283" max="1285" width="9.1796875" style="31"/>
    <col min="1286" max="1286" width="13.7265625" style="31" bestFit="1" customWidth="1"/>
    <col min="1287" max="1536" width="9.1796875" style="31"/>
    <col min="1537" max="1537" width="13.1796875" style="31" bestFit="1" customWidth="1"/>
    <col min="1538" max="1538" width="15.54296875" style="31" customWidth="1"/>
    <col min="1539" max="1541" width="9.1796875" style="31"/>
    <col min="1542" max="1542" width="13.7265625" style="31" bestFit="1" customWidth="1"/>
    <col min="1543" max="1792" width="9.1796875" style="31"/>
    <col min="1793" max="1793" width="13.1796875" style="31" bestFit="1" customWidth="1"/>
    <col min="1794" max="1794" width="15.54296875" style="31" customWidth="1"/>
    <col min="1795" max="1797" width="9.1796875" style="31"/>
    <col min="1798" max="1798" width="13.7265625" style="31" bestFit="1" customWidth="1"/>
    <col min="1799" max="2048" width="9.1796875" style="31"/>
    <col min="2049" max="2049" width="13.1796875" style="31" bestFit="1" customWidth="1"/>
    <col min="2050" max="2050" width="15.54296875" style="31" customWidth="1"/>
    <col min="2051" max="2053" width="9.1796875" style="31"/>
    <col min="2054" max="2054" width="13.7265625" style="31" bestFit="1" customWidth="1"/>
    <col min="2055" max="2304" width="9.1796875" style="31"/>
    <col min="2305" max="2305" width="13.1796875" style="31" bestFit="1" customWidth="1"/>
    <col min="2306" max="2306" width="15.54296875" style="31" customWidth="1"/>
    <col min="2307" max="2309" width="9.1796875" style="31"/>
    <col min="2310" max="2310" width="13.7265625" style="31" bestFit="1" customWidth="1"/>
    <col min="2311" max="2560" width="9.1796875" style="31"/>
    <col min="2561" max="2561" width="13.1796875" style="31" bestFit="1" customWidth="1"/>
    <col min="2562" max="2562" width="15.54296875" style="31" customWidth="1"/>
    <col min="2563" max="2565" width="9.1796875" style="31"/>
    <col min="2566" max="2566" width="13.7265625" style="31" bestFit="1" customWidth="1"/>
    <col min="2567" max="2816" width="9.1796875" style="31"/>
    <col min="2817" max="2817" width="13.1796875" style="31" bestFit="1" customWidth="1"/>
    <col min="2818" max="2818" width="15.54296875" style="31" customWidth="1"/>
    <col min="2819" max="2821" width="9.1796875" style="31"/>
    <col min="2822" max="2822" width="13.7265625" style="31" bestFit="1" customWidth="1"/>
    <col min="2823" max="3072" width="9.1796875" style="31"/>
    <col min="3073" max="3073" width="13.1796875" style="31" bestFit="1" customWidth="1"/>
    <col min="3074" max="3074" width="15.54296875" style="31" customWidth="1"/>
    <col min="3075" max="3077" width="9.1796875" style="31"/>
    <col min="3078" max="3078" width="13.7265625" style="31" bestFit="1" customWidth="1"/>
    <col min="3079" max="3328" width="9.1796875" style="31"/>
    <col min="3329" max="3329" width="13.1796875" style="31" bestFit="1" customWidth="1"/>
    <col min="3330" max="3330" width="15.54296875" style="31" customWidth="1"/>
    <col min="3331" max="3333" width="9.1796875" style="31"/>
    <col min="3334" max="3334" width="13.7265625" style="31" bestFit="1" customWidth="1"/>
    <col min="3335" max="3584" width="9.1796875" style="31"/>
    <col min="3585" max="3585" width="13.1796875" style="31" bestFit="1" customWidth="1"/>
    <col min="3586" max="3586" width="15.54296875" style="31" customWidth="1"/>
    <col min="3587" max="3589" width="9.1796875" style="31"/>
    <col min="3590" max="3590" width="13.7265625" style="31" bestFit="1" customWidth="1"/>
    <col min="3591" max="3840" width="9.1796875" style="31"/>
    <col min="3841" max="3841" width="13.1796875" style="31" bestFit="1" customWidth="1"/>
    <col min="3842" max="3842" width="15.54296875" style="31" customWidth="1"/>
    <col min="3843" max="3845" width="9.1796875" style="31"/>
    <col min="3846" max="3846" width="13.7265625" style="31" bestFit="1" customWidth="1"/>
    <col min="3847" max="4096" width="9.1796875" style="31"/>
    <col min="4097" max="4097" width="13.1796875" style="31" bestFit="1" customWidth="1"/>
    <col min="4098" max="4098" width="15.54296875" style="31" customWidth="1"/>
    <col min="4099" max="4101" width="9.1796875" style="31"/>
    <col min="4102" max="4102" width="13.7265625" style="31" bestFit="1" customWidth="1"/>
    <col min="4103" max="4352" width="9.1796875" style="31"/>
    <col min="4353" max="4353" width="13.1796875" style="31" bestFit="1" customWidth="1"/>
    <col min="4354" max="4354" width="15.54296875" style="31" customWidth="1"/>
    <col min="4355" max="4357" width="9.1796875" style="31"/>
    <col min="4358" max="4358" width="13.7265625" style="31" bestFit="1" customWidth="1"/>
    <col min="4359" max="4608" width="9.1796875" style="31"/>
    <col min="4609" max="4609" width="13.1796875" style="31" bestFit="1" customWidth="1"/>
    <col min="4610" max="4610" width="15.54296875" style="31" customWidth="1"/>
    <col min="4611" max="4613" width="9.1796875" style="31"/>
    <col min="4614" max="4614" width="13.7265625" style="31" bestFit="1" customWidth="1"/>
    <col min="4615" max="4864" width="9.1796875" style="31"/>
    <col min="4865" max="4865" width="13.1796875" style="31" bestFit="1" customWidth="1"/>
    <col min="4866" max="4866" width="15.54296875" style="31" customWidth="1"/>
    <col min="4867" max="4869" width="9.1796875" style="31"/>
    <col min="4870" max="4870" width="13.7265625" style="31" bestFit="1" customWidth="1"/>
    <col min="4871" max="5120" width="9.1796875" style="31"/>
    <col min="5121" max="5121" width="13.1796875" style="31" bestFit="1" customWidth="1"/>
    <col min="5122" max="5122" width="15.54296875" style="31" customWidth="1"/>
    <col min="5123" max="5125" width="9.1796875" style="31"/>
    <col min="5126" max="5126" width="13.7265625" style="31" bestFit="1" customWidth="1"/>
    <col min="5127" max="5376" width="9.1796875" style="31"/>
    <col min="5377" max="5377" width="13.1796875" style="31" bestFit="1" customWidth="1"/>
    <col min="5378" max="5378" width="15.54296875" style="31" customWidth="1"/>
    <col min="5379" max="5381" width="9.1796875" style="31"/>
    <col min="5382" max="5382" width="13.7265625" style="31" bestFit="1" customWidth="1"/>
    <col min="5383" max="5632" width="9.1796875" style="31"/>
    <col min="5633" max="5633" width="13.1796875" style="31" bestFit="1" customWidth="1"/>
    <col min="5634" max="5634" width="15.54296875" style="31" customWidth="1"/>
    <col min="5635" max="5637" width="9.1796875" style="31"/>
    <col min="5638" max="5638" width="13.7265625" style="31" bestFit="1" customWidth="1"/>
    <col min="5639" max="5888" width="9.1796875" style="31"/>
    <col min="5889" max="5889" width="13.1796875" style="31" bestFit="1" customWidth="1"/>
    <col min="5890" max="5890" width="15.54296875" style="31" customWidth="1"/>
    <col min="5891" max="5893" width="9.1796875" style="31"/>
    <col min="5894" max="5894" width="13.7265625" style="31" bestFit="1" customWidth="1"/>
    <col min="5895" max="6144" width="9.1796875" style="31"/>
    <col min="6145" max="6145" width="13.1796875" style="31" bestFit="1" customWidth="1"/>
    <col min="6146" max="6146" width="15.54296875" style="31" customWidth="1"/>
    <col min="6147" max="6149" width="9.1796875" style="31"/>
    <col min="6150" max="6150" width="13.7265625" style="31" bestFit="1" customWidth="1"/>
    <col min="6151" max="6400" width="9.1796875" style="31"/>
    <col min="6401" max="6401" width="13.1796875" style="31" bestFit="1" customWidth="1"/>
    <col min="6402" max="6402" width="15.54296875" style="31" customWidth="1"/>
    <col min="6403" max="6405" width="9.1796875" style="31"/>
    <col min="6406" max="6406" width="13.7265625" style="31" bestFit="1" customWidth="1"/>
    <col min="6407" max="6656" width="9.1796875" style="31"/>
    <col min="6657" max="6657" width="13.1796875" style="31" bestFit="1" customWidth="1"/>
    <col min="6658" max="6658" width="15.54296875" style="31" customWidth="1"/>
    <col min="6659" max="6661" width="9.1796875" style="31"/>
    <col min="6662" max="6662" width="13.7265625" style="31" bestFit="1" customWidth="1"/>
    <col min="6663" max="6912" width="9.1796875" style="31"/>
    <col min="6913" max="6913" width="13.1796875" style="31" bestFit="1" customWidth="1"/>
    <col min="6914" max="6914" width="15.54296875" style="31" customWidth="1"/>
    <col min="6915" max="6917" width="9.1796875" style="31"/>
    <col min="6918" max="6918" width="13.7265625" style="31" bestFit="1" customWidth="1"/>
    <col min="6919" max="7168" width="9.1796875" style="31"/>
    <col min="7169" max="7169" width="13.1796875" style="31" bestFit="1" customWidth="1"/>
    <col min="7170" max="7170" width="15.54296875" style="31" customWidth="1"/>
    <col min="7171" max="7173" width="9.1796875" style="31"/>
    <col min="7174" max="7174" width="13.7265625" style="31" bestFit="1" customWidth="1"/>
    <col min="7175" max="7424" width="9.1796875" style="31"/>
    <col min="7425" max="7425" width="13.1796875" style="31" bestFit="1" customWidth="1"/>
    <col min="7426" max="7426" width="15.54296875" style="31" customWidth="1"/>
    <col min="7427" max="7429" width="9.1796875" style="31"/>
    <col min="7430" max="7430" width="13.7265625" style="31" bestFit="1" customWidth="1"/>
    <col min="7431" max="7680" width="9.1796875" style="31"/>
    <col min="7681" max="7681" width="13.1796875" style="31" bestFit="1" customWidth="1"/>
    <col min="7682" max="7682" width="15.54296875" style="31" customWidth="1"/>
    <col min="7683" max="7685" width="9.1796875" style="31"/>
    <col min="7686" max="7686" width="13.7265625" style="31" bestFit="1" customWidth="1"/>
    <col min="7687" max="7936" width="9.1796875" style="31"/>
    <col min="7937" max="7937" width="13.1796875" style="31" bestFit="1" customWidth="1"/>
    <col min="7938" max="7938" width="15.54296875" style="31" customWidth="1"/>
    <col min="7939" max="7941" width="9.1796875" style="31"/>
    <col min="7942" max="7942" width="13.7265625" style="31" bestFit="1" customWidth="1"/>
    <col min="7943" max="8192" width="9.1796875" style="31"/>
    <col min="8193" max="8193" width="13.1796875" style="31" bestFit="1" customWidth="1"/>
    <col min="8194" max="8194" width="15.54296875" style="31" customWidth="1"/>
    <col min="8195" max="8197" width="9.1796875" style="31"/>
    <col min="8198" max="8198" width="13.7265625" style="31" bestFit="1" customWidth="1"/>
    <col min="8199" max="8448" width="9.1796875" style="31"/>
    <col min="8449" max="8449" width="13.1796875" style="31" bestFit="1" customWidth="1"/>
    <col min="8450" max="8450" width="15.54296875" style="31" customWidth="1"/>
    <col min="8451" max="8453" width="9.1796875" style="31"/>
    <col min="8454" max="8454" width="13.7265625" style="31" bestFit="1" customWidth="1"/>
    <col min="8455" max="8704" width="9.1796875" style="31"/>
    <col min="8705" max="8705" width="13.1796875" style="31" bestFit="1" customWidth="1"/>
    <col min="8706" max="8706" width="15.54296875" style="31" customWidth="1"/>
    <col min="8707" max="8709" width="9.1796875" style="31"/>
    <col min="8710" max="8710" width="13.7265625" style="31" bestFit="1" customWidth="1"/>
    <col min="8711" max="8960" width="9.1796875" style="31"/>
    <col min="8961" max="8961" width="13.1796875" style="31" bestFit="1" customWidth="1"/>
    <col min="8962" max="8962" width="15.54296875" style="31" customWidth="1"/>
    <col min="8963" max="8965" width="9.1796875" style="31"/>
    <col min="8966" max="8966" width="13.7265625" style="31" bestFit="1" customWidth="1"/>
    <col min="8967" max="9216" width="9.1796875" style="31"/>
    <col min="9217" max="9217" width="13.1796875" style="31" bestFit="1" customWidth="1"/>
    <col min="9218" max="9218" width="15.54296875" style="31" customWidth="1"/>
    <col min="9219" max="9221" width="9.1796875" style="31"/>
    <col min="9222" max="9222" width="13.7265625" style="31" bestFit="1" customWidth="1"/>
    <col min="9223" max="9472" width="9.1796875" style="31"/>
    <col min="9473" max="9473" width="13.1796875" style="31" bestFit="1" customWidth="1"/>
    <col min="9474" max="9474" width="15.54296875" style="31" customWidth="1"/>
    <col min="9475" max="9477" width="9.1796875" style="31"/>
    <col min="9478" max="9478" width="13.7265625" style="31" bestFit="1" customWidth="1"/>
    <col min="9479" max="9728" width="9.1796875" style="31"/>
    <col min="9729" max="9729" width="13.1796875" style="31" bestFit="1" customWidth="1"/>
    <col min="9730" max="9730" width="15.54296875" style="31" customWidth="1"/>
    <col min="9731" max="9733" width="9.1796875" style="31"/>
    <col min="9734" max="9734" width="13.7265625" style="31" bestFit="1" customWidth="1"/>
    <col min="9735" max="9984" width="9.1796875" style="31"/>
    <col min="9985" max="9985" width="13.1796875" style="31" bestFit="1" customWidth="1"/>
    <col min="9986" max="9986" width="15.54296875" style="31" customWidth="1"/>
    <col min="9987" max="9989" width="9.1796875" style="31"/>
    <col min="9990" max="9990" width="13.7265625" style="31" bestFit="1" customWidth="1"/>
    <col min="9991" max="10240" width="9.1796875" style="31"/>
    <col min="10241" max="10241" width="13.1796875" style="31" bestFit="1" customWidth="1"/>
    <col min="10242" max="10242" width="15.54296875" style="31" customWidth="1"/>
    <col min="10243" max="10245" width="9.1796875" style="31"/>
    <col min="10246" max="10246" width="13.7265625" style="31" bestFit="1" customWidth="1"/>
    <col min="10247" max="10496" width="9.1796875" style="31"/>
    <col min="10497" max="10497" width="13.1796875" style="31" bestFit="1" customWidth="1"/>
    <col min="10498" max="10498" width="15.54296875" style="31" customWidth="1"/>
    <col min="10499" max="10501" width="9.1796875" style="31"/>
    <col min="10502" max="10502" width="13.7265625" style="31" bestFit="1" customWidth="1"/>
    <col min="10503" max="10752" width="9.1796875" style="31"/>
    <col min="10753" max="10753" width="13.1796875" style="31" bestFit="1" customWidth="1"/>
    <col min="10754" max="10754" width="15.54296875" style="31" customWidth="1"/>
    <col min="10755" max="10757" width="9.1796875" style="31"/>
    <col min="10758" max="10758" width="13.7265625" style="31" bestFit="1" customWidth="1"/>
    <col min="10759" max="11008" width="9.1796875" style="31"/>
    <col min="11009" max="11009" width="13.1796875" style="31" bestFit="1" customWidth="1"/>
    <col min="11010" max="11010" width="15.54296875" style="31" customWidth="1"/>
    <col min="11011" max="11013" width="9.1796875" style="31"/>
    <col min="11014" max="11014" width="13.7265625" style="31" bestFit="1" customWidth="1"/>
    <col min="11015" max="11264" width="9.1796875" style="31"/>
    <col min="11265" max="11265" width="13.1796875" style="31" bestFit="1" customWidth="1"/>
    <col min="11266" max="11266" width="15.54296875" style="31" customWidth="1"/>
    <col min="11267" max="11269" width="9.1796875" style="31"/>
    <col min="11270" max="11270" width="13.7265625" style="31" bestFit="1" customWidth="1"/>
    <col min="11271" max="11520" width="9.1796875" style="31"/>
    <col min="11521" max="11521" width="13.1796875" style="31" bestFit="1" customWidth="1"/>
    <col min="11522" max="11522" width="15.54296875" style="31" customWidth="1"/>
    <col min="11523" max="11525" width="9.1796875" style="31"/>
    <col min="11526" max="11526" width="13.7265625" style="31" bestFit="1" customWidth="1"/>
    <col min="11527" max="11776" width="9.1796875" style="31"/>
    <col min="11777" max="11777" width="13.1796875" style="31" bestFit="1" customWidth="1"/>
    <col min="11778" max="11778" width="15.54296875" style="31" customWidth="1"/>
    <col min="11779" max="11781" width="9.1796875" style="31"/>
    <col min="11782" max="11782" width="13.7265625" style="31" bestFit="1" customWidth="1"/>
    <col min="11783" max="12032" width="9.1796875" style="31"/>
    <col min="12033" max="12033" width="13.1796875" style="31" bestFit="1" customWidth="1"/>
    <col min="12034" max="12034" width="15.54296875" style="31" customWidth="1"/>
    <col min="12035" max="12037" width="9.1796875" style="31"/>
    <col min="12038" max="12038" width="13.7265625" style="31" bestFit="1" customWidth="1"/>
    <col min="12039" max="12288" width="9.1796875" style="31"/>
    <col min="12289" max="12289" width="13.1796875" style="31" bestFit="1" customWidth="1"/>
    <col min="12290" max="12290" width="15.54296875" style="31" customWidth="1"/>
    <col min="12291" max="12293" width="9.1796875" style="31"/>
    <col min="12294" max="12294" width="13.7265625" style="31" bestFit="1" customWidth="1"/>
    <col min="12295" max="12544" width="9.1796875" style="31"/>
    <col min="12545" max="12545" width="13.1796875" style="31" bestFit="1" customWidth="1"/>
    <col min="12546" max="12546" width="15.54296875" style="31" customWidth="1"/>
    <col min="12547" max="12549" width="9.1796875" style="31"/>
    <col min="12550" max="12550" width="13.7265625" style="31" bestFit="1" customWidth="1"/>
    <col min="12551" max="12800" width="9.1796875" style="31"/>
    <col min="12801" max="12801" width="13.1796875" style="31" bestFit="1" customWidth="1"/>
    <col min="12802" max="12802" width="15.54296875" style="31" customWidth="1"/>
    <col min="12803" max="12805" width="9.1796875" style="31"/>
    <col min="12806" max="12806" width="13.7265625" style="31" bestFit="1" customWidth="1"/>
    <col min="12807" max="13056" width="9.1796875" style="31"/>
    <col min="13057" max="13057" width="13.1796875" style="31" bestFit="1" customWidth="1"/>
    <col min="13058" max="13058" width="15.54296875" style="31" customWidth="1"/>
    <col min="13059" max="13061" width="9.1796875" style="31"/>
    <col min="13062" max="13062" width="13.7265625" style="31" bestFit="1" customWidth="1"/>
    <col min="13063" max="13312" width="9.1796875" style="31"/>
    <col min="13313" max="13313" width="13.1796875" style="31" bestFit="1" customWidth="1"/>
    <col min="13314" max="13314" width="15.54296875" style="31" customWidth="1"/>
    <col min="13315" max="13317" width="9.1796875" style="31"/>
    <col min="13318" max="13318" width="13.7265625" style="31" bestFit="1" customWidth="1"/>
    <col min="13319" max="13568" width="9.1796875" style="31"/>
    <col min="13569" max="13569" width="13.1796875" style="31" bestFit="1" customWidth="1"/>
    <col min="13570" max="13570" width="15.54296875" style="31" customWidth="1"/>
    <col min="13571" max="13573" width="9.1796875" style="31"/>
    <col min="13574" max="13574" width="13.7265625" style="31" bestFit="1" customWidth="1"/>
    <col min="13575" max="13824" width="9.1796875" style="31"/>
    <col min="13825" max="13825" width="13.1796875" style="31" bestFit="1" customWidth="1"/>
    <col min="13826" max="13826" width="15.54296875" style="31" customWidth="1"/>
    <col min="13827" max="13829" width="9.1796875" style="31"/>
    <col min="13830" max="13830" width="13.7265625" style="31" bestFit="1" customWidth="1"/>
    <col min="13831" max="14080" width="9.1796875" style="31"/>
    <col min="14081" max="14081" width="13.1796875" style="31" bestFit="1" customWidth="1"/>
    <col min="14082" max="14082" width="15.54296875" style="31" customWidth="1"/>
    <col min="14083" max="14085" width="9.1796875" style="31"/>
    <col min="14086" max="14086" width="13.7265625" style="31" bestFit="1" customWidth="1"/>
    <col min="14087" max="14336" width="9.1796875" style="31"/>
    <col min="14337" max="14337" width="13.1796875" style="31" bestFit="1" customWidth="1"/>
    <col min="14338" max="14338" width="15.54296875" style="31" customWidth="1"/>
    <col min="14339" max="14341" width="9.1796875" style="31"/>
    <col min="14342" max="14342" width="13.7265625" style="31" bestFit="1" customWidth="1"/>
    <col min="14343" max="14592" width="9.1796875" style="31"/>
    <col min="14593" max="14593" width="13.1796875" style="31" bestFit="1" customWidth="1"/>
    <col min="14594" max="14594" width="15.54296875" style="31" customWidth="1"/>
    <col min="14595" max="14597" width="9.1796875" style="31"/>
    <col min="14598" max="14598" width="13.7265625" style="31" bestFit="1" customWidth="1"/>
    <col min="14599" max="14848" width="9.1796875" style="31"/>
    <col min="14849" max="14849" width="13.1796875" style="31" bestFit="1" customWidth="1"/>
    <col min="14850" max="14850" width="15.54296875" style="31" customWidth="1"/>
    <col min="14851" max="14853" width="9.1796875" style="31"/>
    <col min="14854" max="14854" width="13.7265625" style="31" bestFit="1" customWidth="1"/>
    <col min="14855" max="15104" width="9.1796875" style="31"/>
    <col min="15105" max="15105" width="13.1796875" style="31" bestFit="1" customWidth="1"/>
    <col min="15106" max="15106" width="15.54296875" style="31" customWidth="1"/>
    <col min="15107" max="15109" width="9.1796875" style="31"/>
    <col min="15110" max="15110" width="13.7265625" style="31" bestFit="1" customWidth="1"/>
    <col min="15111" max="15360" width="9.1796875" style="31"/>
    <col min="15361" max="15361" width="13.1796875" style="31" bestFit="1" customWidth="1"/>
    <col min="15362" max="15362" width="15.54296875" style="31" customWidth="1"/>
    <col min="15363" max="15365" width="9.1796875" style="31"/>
    <col min="15366" max="15366" width="13.7265625" style="31" bestFit="1" customWidth="1"/>
    <col min="15367" max="15616" width="9.1796875" style="31"/>
    <col min="15617" max="15617" width="13.1796875" style="31" bestFit="1" customWidth="1"/>
    <col min="15618" max="15618" width="15.54296875" style="31" customWidth="1"/>
    <col min="15619" max="15621" width="9.1796875" style="31"/>
    <col min="15622" max="15622" width="13.7265625" style="31" bestFit="1" customWidth="1"/>
    <col min="15623" max="15872" width="9.1796875" style="31"/>
    <col min="15873" max="15873" width="13.1796875" style="31" bestFit="1" customWidth="1"/>
    <col min="15874" max="15874" width="15.54296875" style="31" customWidth="1"/>
    <col min="15875" max="15877" width="9.1796875" style="31"/>
    <col min="15878" max="15878" width="13.7265625" style="31" bestFit="1" customWidth="1"/>
    <col min="15879" max="16128" width="9.1796875" style="31"/>
    <col min="16129" max="16129" width="13.1796875" style="31" bestFit="1" customWidth="1"/>
    <col min="16130" max="16130" width="15.54296875" style="31" customWidth="1"/>
    <col min="16131" max="16133" width="9.1796875" style="31"/>
    <col min="16134" max="16134" width="13.7265625" style="31" bestFit="1" customWidth="1"/>
    <col min="16135" max="16384" width="9.1796875" style="31"/>
  </cols>
  <sheetData>
    <row r="1" spans="1:6" x14ac:dyDescent="0.25">
      <c r="A1" s="31" t="s">
        <v>36</v>
      </c>
      <c r="B1" s="31">
        <v>3</v>
      </c>
      <c r="E1" s="31" t="s">
        <v>37</v>
      </c>
      <c r="F1" s="32">
        <v>12.395387189504081</v>
      </c>
    </row>
    <row r="2" spans="1:6" x14ac:dyDescent="0.25">
      <c r="A2" s="31" t="s">
        <v>38</v>
      </c>
      <c r="B2" s="31">
        <v>1</v>
      </c>
      <c r="E2" s="31" t="s">
        <v>39</v>
      </c>
      <c r="F2" s="32">
        <v>0.21230471273743634</v>
      </c>
    </row>
    <row r="3" spans="1:6" x14ac:dyDescent="0.25">
      <c r="A3" s="31" t="s">
        <v>40</v>
      </c>
      <c r="B3" s="31">
        <v>10</v>
      </c>
    </row>
    <row r="4" spans="1:6" x14ac:dyDescent="0.25">
      <c r="A4" s="31" t="s">
        <v>41</v>
      </c>
      <c r="B4" s="31">
        <v>0.8</v>
      </c>
    </row>
    <row r="5" spans="1:6" x14ac:dyDescent="0.25">
      <c r="A5" s="31" t="s">
        <v>42</v>
      </c>
      <c r="B5" s="31">
        <v>0.05</v>
      </c>
    </row>
    <row r="7" spans="1:6" x14ac:dyDescent="0.25">
      <c r="A7" s="31" t="s">
        <v>43</v>
      </c>
      <c r="B7" s="32">
        <f>+B3/EXP(B5*B2)</f>
        <v>9.5122942450071388</v>
      </c>
    </row>
    <row r="10" spans="1:6" x14ac:dyDescent="0.25">
      <c r="A10" s="31" t="s">
        <v>44</v>
      </c>
      <c r="B10" s="31">
        <f>+F2*B2^0.5</f>
        <v>0.21230471273743634</v>
      </c>
    </row>
    <row r="11" spans="1:6" x14ac:dyDescent="0.25">
      <c r="A11" s="31" t="s">
        <v>45</v>
      </c>
      <c r="B11" s="32">
        <f>+LN(F1/B7)/B10+0.5*B10</f>
        <v>1.35313037276552</v>
      </c>
    </row>
    <row r="12" spans="1:6" x14ac:dyDescent="0.25">
      <c r="A12" s="31" t="s">
        <v>46</v>
      </c>
      <c r="B12" s="32">
        <f>+B11-F2*B2^0.5</f>
        <v>1.1408256600280837</v>
      </c>
    </row>
    <row r="14" spans="1:6" x14ac:dyDescent="0.25">
      <c r="A14" s="31" t="s">
        <v>47</v>
      </c>
      <c r="B14" s="32">
        <f>NORMDIST(B11,0,1,TRUE)</f>
        <v>0.91199300798524696</v>
      </c>
    </row>
    <row r="15" spans="1:6" x14ac:dyDescent="0.25">
      <c r="A15" s="31" t="s">
        <v>48</v>
      </c>
      <c r="B15" s="32">
        <f>NORMDIST(B12,0,1,TRUE)</f>
        <v>0.87302875991517537</v>
      </c>
    </row>
    <row r="17" spans="1:6" x14ac:dyDescent="0.25">
      <c r="A17" s="33" t="s">
        <v>36</v>
      </c>
      <c r="B17" s="34">
        <f>+F1*B14-B7*B15</f>
        <v>2.9999999994307807</v>
      </c>
      <c r="E17" s="33" t="s">
        <v>41</v>
      </c>
      <c r="F17" s="34">
        <f>B14*(F1/B17)*F2</f>
        <v>0.79999999818574608</v>
      </c>
    </row>
    <row r="18" spans="1:6" x14ac:dyDescent="0.25">
      <c r="A18" s="31" t="s">
        <v>49</v>
      </c>
      <c r="B18" s="32">
        <f>+B1-B17</f>
        <v>5.6921933833109506E-10</v>
      </c>
      <c r="E18" s="31" t="s">
        <v>50</v>
      </c>
      <c r="F18" s="32">
        <f>+B4-F17</f>
        <v>1.8142539692789228E-9</v>
      </c>
    </row>
    <row r="21" spans="1:6" x14ac:dyDescent="0.25">
      <c r="A21" s="31" t="s">
        <v>51</v>
      </c>
      <c r="B21" s="35">
        <f>+F1-B17</f>
        <v>9.3953871900733006</v>
      </c>
    </row>
    <row r="22" spans="1:6" ht="14.5" x14ac:dyDescent="0.35">
      <c r="A22" s="31" t="s">
        <v>53</v>
      </c>
      <c r="B22" s="36">
        <f>+LN(B3/B21)</f>
        <v>6.2366248623027726E-2</v>
      </c>
    </row>
    <row r="25" spans="1:6" x14ac:dyDescent="0.25">
      <c r="A25" s="31" t="s">
        <v>52</v>
      </c>
      <c r="B25" s="37">
        <f>1-B15</f>
        <v>0.12697124008482463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5561C-8F3E-404E-8D9D-C152A9F6FAAF}">
  <dimension ref="A2:P56"/>
  <sheetViews>
    <sheetView workbookViewId="0">
      <selection sqref="A1:XFD1048576"/>
    </sheetView>
  </sheetViews>
  <sheetFormatPr defaultRowHeight="14.5" x14ac:dyDescent="0.35"/>
  <cols>
    <col min="1" max="1" width="3.7265625" customWidth="1"/>
    <col min="2" max="2" width="7.1796875" customWidth="1"/>
    <col min="3" max="3" width="9.54296875" bestFit="1" customWidth="1"/>
    <col min="4" max="4" width="16.7265625" bestFit="1" customWidth="1"/>
    <col min="8" max="8" width="16.7265625" bestFit="1" customWidth="1"/>
    <col min="12" max="12" width="11.1796875" customWidth="1"/>
    <col min="257" max="257" width="3.7265625" customWidth="1"/>
    <col min="258" max="258" width="7.1796875" customWidth="1"/>
    <col min="259" max="259" width="9.54296875" bestFit="1" customWidth="1"/>
    <col min="260" max="260" width="16.7265625" bestFit="1" customWidth="1"/>
    <col min="264" max="264" width="16.7265625" bestFit="1" customWidth="1"/>
    <col min="268" max="268" width="11.1796875" customWidth="1"/>
    <col min="513" max="513" width="3.7265625" customWidth="1"/>
    <col min="514" max="514" width="7.1796875" customWidth="1"/>
    <col min="515" max="515" width="9.54296875" bestFit="1" customWidth="1"/>
    <col min="516" max="516" width="16.7265625" bestFit="1" customWidth="1"/>
    <col min="520" max="520" width="16.7265625" bestFit="1" customWidth="1"/>
    <col min="524" max="524" width="11.1796875" customWidth="1"/>
    <col min="769" max="769" width="3.7265625" customWidth="1"/>
    <col min="770" max="770" width="7.1796875" customWidth="1"/>
    <col min="771" max="771" width="9.54296875" bestFit="1" customWidth="1"/>
    <col min="772" max="772" width="16.7265625" bestFit="1" customWidth="1"/>
    <col min="776" max="776" width="16.7265625" bestFit="1" customWidth="1"/>
    <col min="780" max="780" width="11.1796875" customWidth="1"/>
    <col min="1025" max="1025" width="3.7265625" customWidth="1"/>
    <col min="1026" max="1026" width="7.1796875" customWidth="1"/>
    <col min="1027" max="1027" width="9.54296875" bestFit="1" customWidth="1"/>
    <col min="1028" max="1028" width="16.7265625" bestFit="1" customWidth="1"/>
    <col min="1032" max="1032" width="16.7265625" bestFit="1" customWidth="1"/>
    <col min="1036" max="1036" width="11.1796875" customWidth="1"/>
    <col min="1281" max="1281" width="3.7265625" customWidth="1"/>
    <col min="1282" max="1282" width="7.1796875" customWidth="1"/>
    <col min="1283" max="1283" width="9.54296875" bestFit="1" customWidth="1"/>
    <col min="1284" max="1284" width="16.7265625" bestFit="1" customWidth="1"/>
    <col min="1288" max="1288" width="16.7265625" bestFit="1" customWidth="1"/>
    <col min="1292" max="1292" width="11.1796875" customWidth="1"/>
    <col min="1537" max="1537" width="3.7265625" customWidth="1"/>
    <col min="1538" max="1538" width="7.1796875" customWidth="1"/>
    <col min="1539" max="1539" width="9.54296875" bestFit="1" customWidth="1"/>
    <col min="1540" max="1540" width="16.7265625" bestFit="1" customWidth="1"/>
    <col min="1544" max="1544" width="16.7265625" bestFit="1" customWidth="1"/>
    <col min="1548" max="1548" width="11.1796875" customWidth="1"/>
    <col min="1793" max="1793" width="3.7265625" customWidth="1"/>
    <col min="1794" max="1794" width="7.1796875" customWidth="1"/>
    <col min="1795" max="1795" width="9.54296875" bestFit="1" customWidth="1"/>
    <col min="1796" max="1796" width="16.7265625" bestFit="1" customWidth="1"/>
    <col min="1800" max="1800" width="16.7265625" bestFit="1" customWidth="1"/>
    <col min="1804" max="1804" width="11.1796875" customWidth="1"/>
    <col min="2049" max="2049" width="3.7265625" customWidth="1"/>
    <col min="2050" max="2050" width="7.1796875" customWidth="1"/>
    <col min="2051" max="2051" width="9.54296875" bestFit="1" customWidth="1"/>
    <col min="2052" max="2052" width="16.7265625" bestFit="1" customWidth="1"/>
    <col min="2056" max="2056" width="16.7265625" bestFit="1" customWidth="1"/>
    <col min="2060" max="2060" width="11.1796875" customWidth="1"/>
    <col min="2305" max="2305" width="3.7265625" customWidth="1"/>
    <col min="2306" max="2306" width="7.1796875" customWidth="1"/>
    <col min="2307" max="2307" width="9.54296875" bestFit="1" customWidth="1"/>
    <col min="2308" max="2308" width="16.7265625" bestFit="1" customWidth="1"/>
    <col min="2312" max="2312" width="16.7265625" bestFit="1" customWidth="1"/>
    <col min="2316" max="2316" width="11.1796875" customWidth="1"/>
    <col min="2561" max="2561" width="3.7265625" customWidth="1"/>
    <col min="2562" max="2562" width="7.1796875" customWidth="1"/>
    <col min="2563" max="2563" width="9.54296875" bestFit="1" customWidth="1"/>
    <col min="2564" max="2564" width="16.7265625" bestFit="1" customWidth="1"/>
    <col min="2568" max="2568" width="16.7265625" bestFit="1" customWidth="1"/>
    <col min="2572" max="2572" width="11.1796875" customWidth="1"/>
    <col min="2817" max="2817" width="3.7265625" customWidth="1"/>
    <col min="2818" max="2818" width="7.1796875" customWidth="1"/>
    <col min="2819" max="2819" width="9.54296875" bestFit="1" customWidth="1"/>
    <col min="2820" max="2820" width="16.7265625" bestFit="1" customWidth="1"/>
    <col min="2824" max="2824" width="16.7265625" bestFit="1" customWidth="1"/>
    <col min="2828" max="2828" width="11.1796875" customWidth="1"/>
    <col min="3073" max="3073" width="3.7265625" customWidth="1"/>
    <col min="3074" max="3074" width="7.1796875" customWidth="1"/>
    <col min="3075" max="3075" width="9.54296875" bestFit="1" customWidth="1"/>
    <col min="3076" max="3076" width="16.7265625" bestFit="1" customWidth="1"/>
    <col min="3080" max="3080" width="16.7265625" bestFit="1" customWidth="1"/>
    <col min="3084" max="3084" width="11.1796875" customWidth="1"/>
    <col min="3329" max="3329" width="3.7265625" customWidth="1"/>
    <col min="3330" max="3330" width="7.1796875" customWidth="1"/>
    <col min="3331" max="3331" width="9.54296875" bestFit="1" customWidth="1"/>
    <col min="3332" max="3332" width="16.7265625" bestFit="1" customWidth="1"/>
    <col min="3336" max="3336" width="16.7265625" bestFit="1" customWidth="1"/>
    <col min="3340" max="3340" width="11.1796875" customWidth="1"/>
    <col min="3585" max="3585" width="3.7265625" customWidth="1"/>
    <col min="3586" max="3586" width="7.1796875" customWidth="1"/>
    <col min="3587" max="3587" width="9.54296875" bestFit="1" customWidth="1"/>
    <col min="3588" max="3588" width="16.7265625" bestFit="1" customWidth="1"/>
    <col min="3592" max="3592" width="16.7265625" bestFit="1" customWidth="1"/>
    <col min="3596" max="3596" width="11.1796875" customWidth="1"/>
    <col min="3841" max="3841" width="3.7265625" customWidth="1"/>
    <col min="3842" max="3842" width="7.1796875" customWidth="1"/>
    <col min="3843" max="3843" width="9.54296875" bestFit="1" customWidth="1"/>
    <col min="3844" max="3844" width="16.7265625" bestFit="1" customWidth="1"/>
    <col min="3848" max="3848" width="16.7265625" bestFit="1" customWidth="1"/>
    <col min="3852" max="3852" width="11.1796875" customWidth="1"/>
    <col min="4097" max="4097" width="3.7265625" customWidth="1"/>
    <col min="4098" max="4098" width="7.1796875" customWidth="1"/>
    <col min="4099" max="4099" width="9.54296875" bestFit="1" customWidth="1"/>
    <col min="4100" max="4100" width="16.7265625" bestFit="1" customWidth="1"/>
    <col min="4104" max="4104" width="16.7265625" bestFit="1" customWidth="1"/>
    <col min="4108" max="4108" width="11.1796875" customWidth="1"/>
    <col min="4353" max="4353" width="3.7265625" customWidth="1"/>
    <col min="4354" max="4354" width="7.1796875" customWidth="1"/>
    <col min="4355" max="4355" width="9.54296875" bestFit="1" customWidth="1"/>
    <col min="4356" max="4356" width="16.7265625" bestFit="1" customWidth="1"/>
    <col min="4360" max="4360" width="16.7265625" bestFit="1" customWidth="1"/>
    <col min="4364" max="4364" width="11.1796875" customWidth="1"/>
    <col min="4609" max="4609" width="3.7265625" customWidth="1"/>
    <col min="4610" max="4610" width="7.1796875" customWidth="1"/>
    <col min="4611" max="4611" width="9.54296875" bestFit="1" customWidth="1"/>
    <col min="4612" max="4612" width="16.7265625" bestFit="1" customWidth="1"/>
    <col min="4616" max="4616" width="16.7265625" bestFit="1" customWidth="1"/>
    <col min="4620" max="4620" width="11.1796875" customWidth="1"/>
    <col min="4865" max="4865" width="3.7265625" customWidth="1"/>
    <col min="4866" max="4866" width="7.1796875" customWidth="1"/>
    <col min="4867" max="4867" width="9.54296875" bestFit="1" customWidth="1"/>
    <col min="4868" max="4868" width="16.7265625" bestFit="1" customWidth="1"/>
    <col min="4872" max="4872" width="16.7265625" bestFit="1" customWidth="1"/>
    <col min="4876" max="4876" width="11.1796875" customWidth="1"/>
    <col min="5121" max="5121" width="3.7265625" customWidth="1"/>
    <col min="5122" max="5122" width="7.1796875" customWidth="1"/>
    <col min="5123" max="5123" width="9.54296875" bestFit="1" customWidth="1"/>
    <col min="5124" max="5124" width="16.7265625" bestFit="1" customWidth="1"/>
    <col min="5128" max="5128" width="16.7265625" bestFit="1" customWidth="1"/>
    <col min="5132" max="5132" width="11.1796875" customWidth="1"/>
    <col min="5377" max="5377" width="3.7265625" customWidth="1"/>
    <col min="5378" max="5378" width="7.1796875" customWidth="1"/>
    <col min="5379" max="5379" width="9.54296875" bestFit="1" customWidth="1"/>
    <col min="5380" max="5380" width="16.7265625" bestFit="1" customWidth="1"/>
    <col min="5384" max="5384" width="16.7265625" bestFit="1" customWidth="1"/>
    <col min="5388" max="5388" width="11.1796875" customWidth="1"/>
    <col min="5633" max="5633" width="3.7265625" customWidth="1"/>
    <col min="5634" max="5634" width="7.1796875" customWidth="1"/>
    <col min="5635" max="5635" width="9.54296875" bestFit="1" customWidth="1"/>
    <col min="5636" max="5636" width="16.7265625" bestFit="1" customWidth="1"/>
    <col min="5640" max="5640" width="16.7265625" bestFit="1" customWidth="1"/>
    <col min="5644" max="5644" width="11.1796875" customWidth="1"/>
    <col min="5889" max="5889" width="3.7265625" customWidth="1"/>
    <col min="5890" max="5890" width="7.1796875" customWidth="1"/>
    <col min="5891" max="5891" width="9.54296875" bestFit="1" customWidth="1"/>
    <col min="5892" max="5892" width="16.7265625" bestFit="1" customWidth="1"/>
    <col min="5896" max="5896" width="16.7265625" bestFit="1" customWidth="1"/>
    <col min="5900" max="5900" width="11.1796875" customWidth="1"/>
    <col min="6145" max="6145" width="3.7265625" customWidth="1"/>
    <col min="6146" max="6146" width="7.1796875" customWidth="1"/>
    <col min="6147" max="6147" width="9.54296875" bestFit="1" customWidth="1"/>
    <col min="6148" max="6148" width="16.7265625" bestFit="1" customWidth="1"/>
    <col min="6152" max="6152" width="16.7265625" bestFit="1" customWidth="1"/>
    <col min="6156" max="6156" width="11.1796875" customWidth="1"/>
    <col min="6401" max="6401" width="3.7265625" customWidth="1"/>
    <col min="6402" max="6402" width="7.1796875" customWidth="1"/>
    <col min="6403" max="6403" width="9.54296875" bestFit="1" customWidth="1"/>
    <col min="6404" max="6404" width="16.7265625" bestFit="1" customWidth="1"/>
    <col min="6408" max="6408" width="16.7265625" bestFit="1" customWidth="1"/>
    <col min="6412" max="6412" width="11.1796875" customWidth="1"/>
    <col min="6657" max="6657" width="3.7265625" customWidth="1"/>
    <col min="6658" max="6658" width="7.1796875" customWidth="1"/>
    <col min="6659" max="6659" width="9.54296875" bestFit="1" customWidth="1"/>
    <col min="6660" max="6660" width="16.7265625" bestFit="1" customWidth="1"/>
    <col min="6664" max="6664" width="16.7265625" bestFit="1" customWidth="1"/>
    <col min="6668" max="6668" width="11.1796875" customWidth="1"/>
    <col min="6913" max="6913" width="3.7265625" customWidth="1"/>
    <col min="6914" max="6914" width="7.1796875" customWidth="1"/>
    <col min="6915" max="6915" width="9.54296875" bestFit="1" customWidth="1"/>
    <col min="6916" max="6916" width="16.7265625" bestFit="1" customWidth="1"/>
    <col min="6920" max="6920" width="16.7265625" bestFit="1" customWidth="1"/>
    <col min="6924" max="6924" width="11.1796875" customWidth="1"/>
    <col min="7169" max="7169" width="3.7265625" customWidth="1"/>
    <col min="7170" max="7170" width="7.1796875" customWidth="1"/>
    <col min="7171" max="7171" width="9.54296875" bestFit="1" customWidth="1"/>
    <col min="7172" max="7172" width="16.7265625" bestFit="1" customWidth="1"/>
    <col min="7176" max="7176" width="16.7265625" bestFit="1" customWidth="1"/>
    <col min="7180" max="7180" width="11.1796875" customWidth="1"/>
    <col min="7425" max="7425" width="3.7265625" customWidth="1"/>
    <col min="7426" max="7426" width="7.1796875" customWidth="1"/>
    <col min="7427" max="7427" width="9.54296875" bestFit="1" customWidth="1"/>
    <col min="7428" max="7428" width="16.7265625" bestFit="1" customWidth="1"/>
    <col min="7432" max="7432" width="16.7265625" bestFit="1" customWidth="1"/>
    <col min="7436" max="7436" width="11.1796875" customWidth="1"/>
    <col min="7681" max="7681" width="3.7265625" customWidth="1"/>
    <col min="7682" max="7682" width="7.1796875" customWidth="1"/>
    <col min="7683" max="7683" width="9.54296875" bestFit="1" customWidth="1"/>
    <col min="7684" max="7684" width="16.7265625" bestFit="1" customWidth="1"/>
    <col min="7688" max="7688" width="16.7265625" bestFit="1" customWidth="1"/>
    <col min="7692" max="7692" width="11.1796875" customWidth="1"/>
    <col min="7937" max="7937" width="3.7265625" customWidth="1"/>
    <col min="7938" max="7938" width="7.1796875" customWidth="1"/>
    <col min="7939" max="7939" width="9.54296875" bestFit="1" customWidth="1"/>
    <col min="7940" max="7940" width="16.7265625" bestFit="1" customWidth="1"/>
    <col min="7944" max="7944" width="16.7265625" bestFit="1" customWidth="1"/>
    <col min="7948" max="7948" width="11.1796875" customWidth="1"/>
    <col min="8193" max="8193" width="3.7265625" customWidth="1"/>
    <col min="8194" max="8194" width="7.1796875" customWidth="1"/>
    <col min="8195" max="8195" width="9.54296875" bestFit="1" customWidth="1"/>
    <col min="8196" max="8196" width="16.7265625" bestFit="1" customWidth="1"/>
    <col min="8200" max="8200" width="16.7265625" bestFit="1" customWidth="1"/>
    <col min="8204" max="8204" width="11.1796875" customWidth="1"/>
    <col min="8449" max="8449" width="3.7265625" customWidth="1"/>
    <col min="8450" max="8450" width="7.1796875" customWidth="1"/>
    <col min="8451" max="8451" width="9.54296875" bestFit="1" customWidth="1"/>
    <col min="8452" max="8452" width="16.7265625" bestFit="1" customWidth="1"/>
    <col min="8456" max="8456" width="16.7265625" bestFit="1" customWidth="1"/>
    <col min="8460" max="8460" width="11.1796875" customWidth="1"/>
    <col min="8705" max="8705" width="3.7265625" customWidth="1"/>
    <col min="8706" max="8706" width="7.1796875" customWidth="1"/>
    <col min="8707" max="8707" width="9.54296875" bestFit="1" customWidth="1"/>
    <col min="8708" max="8708" width="16.7265625" bestFit="1" customWidth="1"/>
    <col min="8712" max="8712" width="16.7265625" bestFit="1" customWidth="1"/>
    <col min="8716" max="8716" width="11.1796875" customWidth="1"/>
    <col min="8961" max="8961" width="3.7265625" customWidth="1"/>
    <col min="8962" max="8962" width="7.1796875" customWidth="1"/>
    <col min="8963" max="8963" width="9.54296875" bestFit="1" customWidth="1"/>
    <col min="8964" max="8964" width="16.7265625" bestFit="1" customWidth="1"/>
    <col min="8968" max="8968" width="16.7265625" bestFit="1" customWidth="1"/>
    <col min="8972" max="8972" width="11.1796875" customWidth="1"/>
    <col min="9217" max="9217" width="3.7265625" customWidth="1"/>
    <col min="9218" max="9218" width="7.1796875" customWidth="1"/>
    <col min="9219" max="9219" width="9.54296875" bestFit="1" customWidth="1"/>
    <col min="9220" max="9220" width="16.7265625" bestFit="1" customWidth="1"/>
    <col min="9224" max="9224" width="16.7265625" bestFit="1" customWidth="1"/>
    <col min="9228" max="9228" width="11.1796875" customWidth="1"/>
    <col min="9473" max="9473" width="3.7265625" customWidth="1"/>
    <col min="9474" max="9474" width="7.1796875" customWidth="1"/>
    <col min="9475" max="9475" width="9.54296875" bestFit="1" customWidth="1"/>
    <col min="9476" max="9476" width="16.7265625" bestFit="1" customWidth="1"/>
    <col min="9480" max="9480" width="16.7265625" bestFit="1" customWidth="1"/>
    <col min="9484" max="9484" width="11.1796875" customWidth="1"/>
    <col min="9729" max="9729" width="3.7265625" customWidth="1"/>
    <col min="9730" max="9730" width="7.1796875" customWidth="1"/>
    <col min="9731" max="9731" width="9.54296875" bestFit="1" customWidth="1"/>
    <col min="9732" max="9732" width="16.7265625" bestFit="1" customWidth="1"/>
    <col min="9736" max="9736" width="16.7265625" bestFit="1" customWidth="1"/>
    <col min="9740" max="9740" width="11.1796875" customWidth="1"/>
    <col min="9985" max="9985" width="3.7265625" customWidth="1"/>
    <col min="9986" max="9986" width="7.1796875" customWidth="1"/>
    <col min="9987" max="9987" width="9.54296875" bestFit="1" customWidth="1"/>
    <col min="9988" max="9988" width="16.7265625" bestFit="1" customWidth="1"/>
    <col min="9992" max="9992" width="16.7265625" bestFit="1" customWidth="1"/>
    <col min="9996" max="9996" width="11.1796875" customWidth="1"/>
    <col min="10241" max="10241" width="3.7265625" customWidth="1"/>
    <col min="10242" max="10242" width="7.1796875" customWidth="1"/>
    <col min="10243" max="10243" width="9.54296875" bestFit="1" customWidth="1"/>
    <col min="10244" max="10244" width="16.7265625" bestFit="1" customWidth="1"/>
    <col min="10248" max="10248" width="16.7265625" bestFit="1" customWidth="1"/>
    <col min="10252" max="10252" width="11.1796875" customWidth="1"/>
    <col min="10497" max="10497" width="3.7265625" customWidth="1"/>
    <col min="10498" max="10498" width="7.1796875" customWidth="1"/>
    <col min="10499" max="10499" width="9.54296875" bestFit="1" customWidth="1"/>
    <col min="10500" max="10500" width="16.7265625" bestFit="1" customWidth="1"/>
    <col min="10504" max="10504" width="16.7265625" bestFit="1" customWidth="1"/>
    <col min="10508" max="10508" width="11.1796875" customWidth="1"/>
    <col min="10753" max="10753" width="3.7265625" customWidth="1"/>
    <col min="10754" max="10754" width="7.1796875" customWidth="1"/>
    <col min="10755" max="10755" width="9.54296875" bestFit="1" customWidth="1"/>
    <col min="10756" max="10756" width="16.7265625" bestFit="1" customWidth="1"/>
    <col min="10760" max="10760" width="16.7265625" bestFit="1" customWidth="1"/>
    <col min="10764" max="10764" width="11.1796875" customWidth="1"/>
    <col min="11009" max="11009" width="3.7265625" customWidth="1"/>
    <col min="11010" max="11010" width="7.1796875" customWidth="1"/>
    <col min="11011" max="11011" width="9.54296875" bestFit="1" customWidth="1"/>
    <col min="11012" max="11012" width="16.7265625" bestFit="1" customWidth="1"/>
    <col min="11016" max="11016" width="16.7265625" bestFit="1" customWidth="1"/>
    <col min="11020" max="11020" width="11.1796875" customWidth="1"/>
    <col min="11265" max="11265" width="3.7265625" customWidth="1"/>
    <col min="11266" max="11266" width="7.1796875" customWidth="1"/>
    <col min="11267" max="11267" width="9.54296875" bestFit="1" customWidth="1"/>
    <col min="11268" max="11268" width="16.7265625" bestFit="1" customWidth="1"/>
    <col min="11272" max="11272" width="16.7265625" bestFit="1" customWidth="1"/>
    <col min="11276" max="11276" width="11.1796875" customWidth="1"/>
    <col min="11521" max="11521" width="3.7265625" customWidth="1"/>
    <col min="11522" max="11522" width="7.1796875" customWidth="1"/>
    <col min="11523" max="11523" width="9.54296875" bestFit="1" customWidth="1"/>
    <col min="11524" max="11524" width="16.7265625" bestFit="1" customWidth="1"/>
    <col min="11528" max="11528" width="16.7265625" bestFit="1" customWidth="1"/>
    <col min="11532" max="11532" width="11.1796875" customWidth="1"/>
    <col min="11777" max="11777" width="3.7265625" customWidth="1"/>
    <col min="11778" max="11778" width="7.1796875" customWidth="1"/>
    <col min="11779" max="11779" width="9.54296875" bestFit="1" customWidth="1"/>
    <col min="11780" max="11780" width="16.7265625" bestFit="1" customWidth="1"/>
    <col min="11784" max="11784" width="16.7265625" bestFit="1" customWidth="1"/>
    <col min="11788" max="11788" width="11.1796875" customWidth="1"/>
    <col min="12033" max="12033" width="3.7265625" customWidth="1"/>
    <col min="12034" max="12034" width="7.1796875" customWidth="1"/>
    <col min="12035" max="12035" width="9.54296875" bestFit="1" customWidth="1"/>
    <col min="12036" max="12036" width="16.7265625" bestFit="1" customWidth="1"/>
    <col min="12040" max="12040" width="16.7265625" bestFit="1" customWidth="1"/>
    <col min="12044" max="12044" width="11.1796875" customWidth="1"/>
    <col min="12289" max="12289" width="3.7265625" customWidth="1"/>
    <col min="12290" max="12290" width="7.1796875" customWidth="1"/>
    <col min="12291" max="12291" width="9.54296875" bestFit="1" customWidth="1"/>
    <col min="12292" max="12292" width="16.7265625" bestFit="1" customWidth="1"/>
    <col min="12296" max="12296" width="16.7265625" bestFit="1" customWidth="1"/>
    <col min="12300" max="12300" width="11.1796875" customWidth="1"/>
    <col min="12545" max="12545" width="3.7265625" customWidth="1"/>
    <col min="12546" max="12546" width="7.1796875" customWidth="1"/>
    <col min="12547" max="12547" width="9.54296875" bestFit="1" customWidth="1"/>
    <col min="12548" max="12548" width="16.7265625" bestFit="1" customWidth="1"/>
    <col min="12552" max="12552" width="16.7265625" bestFit="1" customWidth="1"/>
    <col min="12556" max="12556" width="11.1796875" customWidth="1"/>
    <col min="12801" max="12801" width="3.7265625" customWidth="1"/>
    <col min="12802" max="12802" width="7.1796875" customWidth="1"/>
    <col min="12803" max="12803" width="9.54296875" bestFit="1" customWidth="1"/>
    <col min="12804" max="12804" width="16.7265625" bestFit="1" customWidth="1"/>
    <col min="12808" max="12808" width="16.7265625" bestFit="1" customWidth="1"/>
    <col min="12812" max="12812" width="11.1796875" customWidth="1"/>
    <col min="13057" max="13057" width="3.7265625" customWidth="1"/>
    <col min="13058" max="13058" width="7.1796875" customWidth="1"/>
    <col min="13059" max="13059" width="9.54296875" bestFit="1" customWidth="1"/>
    <col min="13060" max="13060" width="16.7265625" bestFit="1" customWidth="1"/>
    <col min="13064" max="13064" width="16.7265625" bestFit="1" customWidth="1"/>
    <col min="13068" max="13068" width="11.1796875" customWidth="1"/>
    <col min="13313" max="13313" width="3.7265625" customWidth="1"/>
    <col min="13314" max="13314" width="7.1796875" customWidth="1"/>
    <col min="13315" max="13315" width="9.54296875" bestFit="1" customWidth="1"/>
    <col min="13316" max="13316" width="16.7265625" bestFit="1" customWidth="1"/>
    <col min="13320" max="13320" width="16.7265625" bestFit="1" customWidth="1"/>
    <col min="13324" max="13324" width="11.1796875" customWidth="1"/>
    <col min="13569" max="13569" width="3.7265625" customWidth="1"/>
    <col min="13570" max="13570" width="7.1796875" customWidth="1"/>
    <col min="13571" max="13571" width="9.54296875" bestFit="1" customWidth="1"/>
    <col min="13572" max="13572" width="16.7265625" bestFit="1" customWidth="1"/>
    <col min="13576" max="13576" width="16.7265625" bestFit="1" customWidth="1"/>
    <col min="13580" max="13580" width="11.1796875" customWidth="1"/>
    <col min="13825" max="13825" width="3.7265625" customWidth="1"/>
    <col min="13826" max="13826" width="7.1796875" customWidth="1"/>
    <col min="13827" max="13827" width="9.54296875" bestFit="1" customWidth="1"/>
    <col min="13828" max="13828" width="16.7265625" bestFit="1" customWidth="1"/>
    <col min="13832" max="13832" width="16.7265625" bestFit="1" customWidth="1"/>
    <col min="13836" max="13836" width="11.1796875" customWidth="1"/>
    <col min="14081" max="14081" width="3.7265625" customWidth="1"/>
    <col min="14082" max="14082" width="7.1796875" customWidth="1"/>
    <col min="14083" max="14083" width="9.54296875" bestFit="1" customWidth="1"/>
    <col min="14084" max="14084" width="16.7265625" bestFit="1" customWidth="1"/>
    <col min="14088" max="14088" width="16.7265625" bestFit="1" customWidth="1"/>
    <col min="14092" max="14092" width="11.1796875" customWidth="1"/>
    <col min="14337" max="14337" width="3.7265625" customWidth="1"/>
    <col min="14338" max="14338" width="7.1796875" customWidth="1"/>
    <col min="14339" max="14339" width="9.54296875" bestFit="1" customWidth="1"/>
    <col min="14340" max="14340" width="16.7265625" bestFit="1" customWidth="1"/>
    <col min="14344" max="14344" width="16.7265625" bestFit="1" customWidth="1"/>
    <col min="14348" max="14348" width="11.1796875" customWidth="1"/>
    <col min="14593" max="14593" width="3.7265625" customWidth="1"/>
    <col min="14594" max="14594" width="7.1796875" customWidth="1"/>
    <col min="14595" max="14595" width="9.54296875" bestFit="1" customWidth="1"/>
    <col min="14596" max="14596" width="16.7265625" bestFit="1" customWidth="1"/>
    <col min="14600" max="14600" width="16.7265625" bestFit="1" customWidth="1"/>
    <col min="14604" max="14604" width="11.1796875" customWidth="1"/>
    <col min="14849" max="14849" width="3.7265625" customWidth="1"/>
    <col min="14850" max="14850" width="7.1796875" customWidth="1"/>
    <col min="14851" max="14851" width="9.54296875" bestFit="1" customWidth="1"/>
    <col min="14852" max="14852" width="16.7265625" bestFit="1" customWidth="1"/>
    <col min="14856" max="14856" width="16.7265625" bestFit="1" customWidth="1"/>
    <col min="14860" max="14860" width="11.1796875" customWidth="1"/>
    <col min="15105" max="15105" width="3.7265625" customWidth="1"/>
    <col min="15106" max="15106" width="7.1796875" customWidth="1"/>
    <col min="15107" max="15107" width="9.54296875" bestFit="1" customWidth="1"/>
    <col min="15108" max="15108" width="16.7265625" bestFit="1" customWidth="1"/>
    <col min="15112" max="15112" width="16.7265625" bestFit="1" customWidth="1"/>
    <col min="15116" max="15116" width="11.1796875" customWidth="1"/>
    <col min="15361" max="15361" width="3.7265625" customWidth="1"/>
    <col min="15362" max="15362" width="7.1796875" customWidth="1"/>
    <col min="15363" max="15363" width="9.54296875" bestFit="1" customWidth="1"/>
    <col min="15364" max="15364" width="16.7265625" bestFit="1" customWidth="1"/>
    <col min="15368" max="15368" width="16.7265625" bestFit="1" customWidth="1"/>
    <col min="15372" max="15372" width="11.1796875" customWidth="1"/>
    <col min="15617" max="15617" width="3.7265625" customWidth="1"/>
    <col min="15618" max="15618" width="7.1796875" customWidth="1"/>
    <col min="15619" max="15619" width="9.54296875" bestFit="1" customWidth="1"/>
    <col min="15620" max="15620" width="16.7265625" bestFit="1" customWidth="1"/>
    <col min="15624" max="15624" width="16.7265625" bestFit="1" customWidth="1"/>
    <col min="15628" max="15628" width="11.1796875" customWidth="1"/>
    <col min="15873" max="15873" width="3.7265625" customWidth="1"/>
    <col min="15874" max="15874" width="7.1796875" customWidth="1"/>
    <col min="15875" max="15875" width="9.54296875" bestFit="1" customWidth="1"/>
    <col min="15876" max="15876" width="16.7265625" bestFit="1" customWidth="1"/>
    <col min="15880" max="15880" width="16.7265625" bestFit="1" customWidth="1"/>
    <col min="15884" max="15884" width="11.1796875" customWidth="1"/>
    <col min="16129" max="16129" width="3.7265625" customWidth="1"/>
    <col min="16130" max="16130" width="7.1796875" customWidth="1"/>
    <col min="16131" max="16131" width="9.54296875" bestFit="1" customWidth="1"/>
    <col min="16132" max="16132" width="16.7265625" bestFit="1" customWidth="1"/>
    <col min="16136" max="16136" width="16.7265625" bestFit="1" customWidth="1"/>
    <col min="16140" max="16140" width="11.1796875" customWidth="1"/>
  </cols>
  <sheetData>
    <row r="2" spans="1:7" x14ac:dyDescent="0.35">
      <c r="B2" t="s">
        <v>54</v>
      </c>
    </row>
    <row r="3" spans="1:7" x14ac:dyDescent="0.35">
      <c r="C3" s="38" t="s">
        <v>55</v>
      </c>
      <c r="D3" s="38" t="s">
        <v>56</v>
      </c>
      <c r="E3" s="38" t="s">
        <v>57</v>
      </c>
      <c r="F3" s="38" t="s">
        <v>58</v>
      </c>
    </row>
    <row r="4" spans="1:7" x14ac:dyDescent="0.35">
      <c r="B4" s="39" t="s">
        <v>55</v>
      </c>
      <c r="C4" s="40">
        <v>0.8</v>
      </c>
      <c r="D4" s="41">
        <v>0.15</v>
      </c>
      <c r="E4" s="41">
        <v>0.03</v>
      </c>
      <c r="F4" s="42">
        <v>0.02</v>
      </c>
    </row>
    <row r="5" spans="1:7" x14ac:dyDescent="0.35">
      <c r="B5" s="39" t="s">
        <v>56</v>
      </c>
      <c r="C5" s="43">
        <v>0.1</v>
      </c>
      <c r="D5" s="44">
        <v>0.7</v>
      </c>
      <c r="E5" s="44">
        <v>0.1</v>
      </c>
      <c r="F5" s="45">
        <v>0.1</v>
      </c>
    </row>
    <row r="6" spans="1:7" x14ac:dyDescent="0.35">
      <c r="B6" s="39" t="s">
        <v>57</v>
      </c>
      <c r="C6" s="46">
        <v>0.05</v>
      </c>
      <c r="D6" s="47">
        <v>0.15</v>
      </c>
      <c r="E6" s="47">
        <v>0.6</v>
      </c>
      <c r="F6" s="48">
        <v>0.2</v>
      </c>
    </row>
    <row r="7" spans="1:7" x14ac:dyDescent="0.35">
      <c r="B7" s="38" t="s">
        <v>58</v>
      </c>
      <c r="C7" s="49">
        <v>0</v>
      </c>
      <c r="D7" s="38">
        <v>0</v>
      </c>
      <c r="E7" s="38">
        <v>0</v>
      </c>
      <c r="F7" s="50">
        <v>1</v>
      </c>
    </row>
    <row r="11" spans="1:7" x14ac:dyDescent="0.35">
      <c r="B11" t="s">
        <v>59</v>
      </c>
    </row>
    <row r="12" spans="1:7" x14ac:dyDescent="0.35">
      <c r="E12" t="s">
        <v>57</v>
      </c>
    </row>
    <row r="13" spans="1:7" x14ac:dyDescent="0.35">
      <c r="B13" s="38"/>
      <c r="C13" s="51" t="s">
        <v>55</v>
      </c>
      <c r="D13" s="51" t="s">
        <v>56</v>
      </c>
      <c r="E13" s="51" t="s">
        <v>57</v>
      </c>
      <c r="F13" s="51" t="s">
        <v>58</v>
      </c>
    </row>
    <row r="14" spans="1:7" x14ac:dyDescent="0.35">
      <c r="B14" s="42" t="s">
        <v>55</v>
      </c>
      <c r="C14" s="52">
        <f>+$G14*C$18</f>
        <v>5.000000000000001E-3</v>
      </c>
      <c r="D14" s="53">
        <f t="shared" ref="C14:F17" si="0">+$G14*D$18</f>
        <v>1.4999999999999999E-2</v>
      </c>
      <c r="E14" s="53">
        <f t="shared" si="0"/>
        <v>0.06</v>
      </c>
      <c r="F14" s="54">
        <f t="shared" si="0"/>
        <v>2.0000000000000004E-2</v>
      </c>
      <c r="G14" s="55">
        <f>+C5</f>
        <v>0.1</v>
      </c>
    </row>
    <row r="15" spans="1:7" x14ac:dyDescent="0.35">
      <c r="A15" t="s">
        <v>56</v>
      </c>
      <c r="B15" s="39" t="s">
        <v>56</v>
      </c>
      <c r="C15" s="56">
        <f t="shared" si="0"/>
        <v>3.4999999999999996E-2</v>
      </c>
      <c r="D15" s="57">
        <f t="shared" si="0"/>
        <v>0.105</v>
      </c>
      <c r="E15" s="57">
        <f t="shared" si="0"/>
        <v>0.42</v>
      </c>
      <c r="F15" s="58">
        <f t="shared" si="0"/>
        <v>0.13999999999999999</v>
      </c>
      <c r="G15" s="55">
        <f>+D5</f>
        <v>0.7</v>
      </c>
    </row>
    <row r="16" spans="1:7" x14ac:dyDescent="0.35">
      <c r="B16" s="39" t="s">
        <v>57</v>
      </c>
      <c r="C16" s="56">
        <f t="shared" si="0"/>
        <v>5.000000000000001E-3</v>
      </c>
      <c r="D16" s="57">
        <f t="shared" si="0"/>
        <v>1.4999999999999999E-2</v>
      </c>
      <c r="E16" s="57">
        <f t="shared" si="0"/>
        <v>0.06</v>
      </c>
      <c r="F16" s="58">
        <f t="shared" si="0"/>
        <v>2.0000000000000004E-2</v>
      </c>
      <c r="G16" s="55">
        <f>+E5</f>
        <v>0.1</v>
      </c>
    </row>
    <row r="17" spans="2:16" x14ac:dyDescent="0.35">
      <c r="B17" s="38" t="s">
        <v>58</v>
      </c>
      <c r="C17" s="59">
        <f t="shared" si="0"/>
        <v>5.000000000000001E-3</v>
      </c>
      <c r="D17" s="60">
        <f t="shared" si="0"/>
        <v>1.4999999999999999E-2</v>
      </c>
      <c r="E17" s="60">
        <f t="shared" si="0"/>
        <v>0.06</v>
      </c>
      <c r="F17" s="61">
        <f t="shared" si="0"/>
        <v>2.0000000000000004E-2</v>
      </c>
      <c r="G17" s="55">
        <f>+F5</f>
        <v>0.1</v>
      </c>
    </row>
    <row r="18" spans="2:16" x14ac:dyDescent="0.35">
      <c r="C18" s="62">
        <f>+C6</f>
        <v>0.05</v>
      </c>
      <c r="D18" s="62">
        <f>+D6</f>
        <v>0.15</v>
      </c>
      <c r="E18" s="62">
        <f>+E6</f>
        <v>0.6</v>
      </c>
      <c r="F18" s="62">
        <f>+F6</f>
        <v>0.2</v>
      </c>
      <c r="G18">
        <f>SUM(G14:G17)</f>
        <v>0.99999999999999989</v>
      </c>
    </row>
    <row r="21" spans="2:16" x14ac:dyDescent="0.35">
      <c r="B21" t="s">
        <v>60</v>
      </c>
      <c r="I21" t="s">
        <v>61</v>
      </c>
      <c r="J21" t="s">
        <v>61</v>
      </c>
    </row>
    <row r="22" spans="2:16" x14ac:dyDescent="0.35">
      <c r="C22" s="63"/>
      <c r="D22" s="63"/>
      <c r="E22" s="63"/>
      <c r="F22" s="63"/>
      <c r="H22" s="64" t="s">
        <v>62</v>
      </c>
      <c r="I22" s="65" t="s">
        <v>63</v>
      </c>
      <c r="J22" s="65" t="s">
        <v>64</v>
      </c>
      <c r="L22" s="28" t="s">
        <v>65</v>
      </c>
      <c r="M22" s="28" t="s">
        <v>66</v>
      </c>
    </row>
    <row r="23" spans="2:16" x14ac:dyDescent="0.35">
      <c r="C23" s="28" t="s">
        <v>55</v>
      </c>
      <c r="D23" s="28" t="s">
        <v>56</v>
      </c>
      <c r="E23" s="28" t="s">
        <v>57</v>
      </c>
      <c r="F23" s="28" t="s">
        <v>58</v>
      </c>
      <c r="G23" s="28" t="s">
        <v>67</v>
      </c>
      <c r="H23" s="66">
        <v>1</v>
      </c>
      <c r="I23" s="65">
        <v>1000</v>
      </c>
      <c r="J23" s="65">
        <v>200</v>
      </c>
      <c r="L23" s="67">
        <v>0.05</v>
      </c>
      <c r="M23" s="28"/>
    </row>
    <row r="24" spans="2:16" x14ac:dyDescent="0.35">
      <c r="B24" s="41" t="s">
        <v>55</v>
      </c>
      <c r="C24" s="68">
        <f t="shared" ref="C24:E26" si="1">NPV($L$23+$G24,$I$24:$I$26)+1000+NPV($L$23+C$29,$J$24:$J$27)+200</f>
        <v>5358.1267352395871</v>
      </c>
      <c r="D24" s="69">
        <f t="shared" si="1"/>
        <v>5189.9984940965642</v>
      </c>
      <c r="E24" s="69">
        <f t="shared" si="1"/>
        <v>4955.3089997734314</v>
      </c>
      <c r="F24" s="70">
        <f>NPV($L$23+$G24,$I$24:$I$26)+1000</f>
        <v>3673.0119494616356</v>
      </c>
      <c r="G24" s="2">
        <v>0.01</v>
      </c>
      <c r="H24" s="65">
        <v>2</v>
      </c>
      <c r="I24" s="65">
        <v>1000</v>
      </c>
      <c r="J24" s="65">
        <v>200</v>
      </c>
      <c r="K24" s="28"/>
      <c r="L24" s="28"/>
    </row>
    <row r="25" spans="2:16" x14ac:dyDescent="0.35">
      <c r="B25" t="s">
        <v>56</v>
      </c>
      <c r="C25" s="71">
        <f t="shared" si="1"/>
        <v>5171.966776762174</v>
      </c>
      <c r="D25" s="72">
        <f t="shared" si="1"/>
        <v>5003.8385356191511</v>
      </c>
      <c r="E25" s="72">
        <f t="shared" si="1"/>
        <v>4769.1490412960175</v>
      </c>
      <c r="F25" s="73">
        <f>NPV($L$23+$G25,$I$24:$I$26)+1000</f>
        <v>3486.8519909842221</v>
      </c>
      <c r="G25" s="2">
        <v>0.05</v>
      </c>
      <c r="H25" s="65">
        <v>3</v>
      </c>
      <c r="I25" s="65">
        <v>1000</v>
      </c>
      <c r="J25" s="65">
        <v>200</v>
      </c>
      <c r="K25" s="28"/>
      <c r="L25" s="28"/>
    </row>
    <row r="26" spans="2:16" x14ac:dyDescent="0.35">
      <c r="B26" t="s">
        <v>57</v>
      </c>
      <c r="C26" s="71">
        <f t="shared" si="1"/>
        <v>4894.6997479379743</v>
      </c>
      <c r="D26" s="72">
        <f t="shared" si="1"/>
        <v>4726.5715067949513</v>
      </c>
      <c r="E26" s="72">
        <f t="shared" si="1"/>
        <v>4491.8820124718186</v>
      </c>
      <c r="F26" s="73">
        <f>NPV($L$23+$G26,$I$24:$I$26)+1000</f>
        <v>3209.5849621600228</v>
      </c>
      <c r="G26" s="2">
        <v>0.12</v>
      </c>
      <c r="H26" s="65">
        <v>4</v>
      </c>
      <c r="I26" s="65">
        <v>1000</v>
      </c>
      <c r="J26" s="65">
        <v>200</v>
      </c>
      <c r="K26" s="28"/>
      <c r="L26" s="28"/>
    </row>
    <row r="27" spans="2:16" x14ac:dyDescent="0.35">
      <c r="B27" s="38" t="s">
        <v>58</v>
      </c>
      <c r="C27" s="74">
        <f>NPV($L$23+C$29,$J$24:$J$27)+200</f>
        <v>1685.1147857779517</v>
      </c>
      <c r="D27" s="75">
        <f>NPV($L$23+D$29,$J$24:$J$27)+200</f>
        <v>1516.9865446349288</v>
      </c>
      <c r="E27" s="75">
        <f>NPV($L$23+E$29,$J$24:$J$27)+200</f>
        <v>1282.2970503117958</v>
      </c>
      <c r="F27" s="76">
        <v>0</v>
      </c>
      <c r="G27" s="28"/>
      <c r="H27" s="65">
        <v>5</v>
      </c>
      <c r="I27" s="65"/>
      <c r="J27" s="65">
        <v>1200</v>
      </c>
      <c r="K27" s="28"/>
      <c r="L27" s="28"/>
    </row>
    <row r="28" spans="2:16" x14ac:dyDescent="0.35">
      <c r="L28" t="s">
        <v>68</v>
      </c>
    </row>
    <row r="29" spans="2:16" x14ac:dyDescent="0.35">
      <c r="B29" t="s">
        <v>67</v>
      </c>
      <c r="C29" s="28">
        <v>0.01</v>
      </c>
      <c r="D29" s="28">
        <v>0.05</v>
      </c>
      <c r="E29" s="28">
        <v>0.12</v>
      </c>
      <c r="L29" t="s">
        <v>69</v>
      </c>
      <c r="M29" t="s">
        <v>70</v>
      </c>
      <c r="P29" t="s">
        <v>71</v>
      </c>
    </row>
    <row r="30" spans="2:16" x14ac:dyDescent="0.35">
      <c r="M30" t="s">
        <v>67</v>
      </c>
      <c r="N30" t="s">
        <v>72</v>
      </c>
    </row>
    <row r="31" spans="2:16" ht="15" thickBot="1" x14ac:dyDescent="0.4">
      <c r="C31" t="s">
        <v>73</v>
      </c>
      <c r="N31" t="s">
        <v>74</v>
      </c>
      <c r="P31" t="s">
        <v>71</v>
      </c>
    </row>
    <row r="32" spans="2:16" x14ac:dyDescent="0.35">
      <c r="D32" s="77" t="s">
        <v>75</v>
      </c>
      <c r="E32" s="78" t="s">
        <v>76</v>
      </c>
      <c r="F32" s="79" t="s">
        <v>77</v>
      </c>
      <c r="L32" t="s">
        <v>78</v>
      </c>
      <c r="P32" t="s">
        <v>79</v>
      </c>
    </row>
    <row r="33" spans="3:16" ht="15" thickBot="1" x14ac:dyDescent="0.4">
      <c r="D33" s="80">
        <f>NPV(L23+D29,I23:I26)</f>
        <v>3169.8654463492926</v>
      </c>
      <c r="E33" s="81">
        <f>NPV(+L23+E29,J23:J27)</f>
        <v>1095.9803848818769</v>
      </c>
      <c r="F33" s="82">
        <f>+D33+E33</f>
        <v>4265.8458312311695</v>
      </c>
      <c r="L33" t="s">
        <v>61</v>
      </c>
      <c r="P33" t="s">
        <v>71</v>
      </c>
    </row>
    <row r="34" spans="3:16" x14ac:dyDescent="0.35">
      <c r="D34" s="83"/>
      <c r="E34" s="83"/>
      <c r="F34" s="83"/>
    </row>
    <row r="35" spans="3:16" x14ac:dyDescent="0.35">
      <c r="C35" t="s">
        <v>80</v>
      </c>
      <c r="D35" s="84">
        <f>+F33-D36</f>
        <v>1056.2608690711468</v>
      </c>
      <c r="E35" s="83"/>
      <c r="F35" s="83"/>
    </row>
    <row r="36" spans="3:16" x14ac:dyDescent="0.35">
      <c r="C36" t="s">
        <v>81</v>
      </c>
      <c r="D36" s="85">
        <f>+C45</f>
        <v>3209.5849621600228</v>
      </c>
    </row>
    <row r="38" spans="3:16" x14ac:dyDescent="0.35">
      <c r="C38" t="s">
        <v>82</v>
      </c>
    </row>
    <row r="40" spans="3:16" x14ac:dyDescent="0.35">
      <c r="C40" s="86" t="s">
        <v>83</v>
      </c>
      <c r="D40" s="86" t="s">
        <v>84</v>
      </c>
      <c r="E40" s="86" t="s">
        <v>85</v>
      </c>
      <c r="F40" s="86" t="s">
        <v>86</v>
      </c>
    </row>
    <row r="41" spans="3:16" x14ac:dyDescent="0.35">
      <c r="C41" s="87">
        <f>F27</f>
        <v>0</v>
      </c>
      <c r="D41" s="88">
        <f>F17</f>
        <v>2.0000000000000004E-2</v>
      </c>
      <c r="E41" s="88">
        <f>SUM($D$41:D41)</f>
        <v>2.0000000000000004E-2</v>
      </c>
      <c r="F41" s="29">
        <f t="shared" ref="F41:F56" si="2">1-E41</f>
        <v>0.98</v>
      </c>
      <c r="H41" s="28" t="s">
        <v>87</v>
      </c>
      <c r="I41" s="28" t="s">
        <v>88</v>
      </c>
      <c r="J41" s="28"/>
    </row>
    <row r="42" spans="3:16" x14ac:dyDescent="0.35">
      <c r="C42" s="89">
        <f>E27</f>
        <v>1282.2970503117958</v>
      </c>
      <c r="D42" s="88">
        <f>E17</f>
        <v>0.06</v>
      </c>
      <c r="E42" s="88">
        <f>SUM($D$41:D42)</f>
        <v>0.08</v>
      </c>
      <c r="F42" s="29">
        <f t="shared" si="2"/>
        <v>0.92</v>
      </c>
      <c r="H42" s="84">
        <f>+F33</f>
        <v>4265.8458312311695</v>
      </c>
      <c r="I42" s="67">
        <v>0.99</v>
      </c>
      <c r="J42" s="28"/>
    </row>
    <row r="43" spans="3:16" x14ac:dyDescent="0.35">
      <c r="C43" s="89">
        <f>D27</f>
        <v>1516.9865446349288</v>
      </c>
      <c r="D43" s="88">
        <f>D17</f>
        <v>1.4999999999999999E-2</v>
      </c>
      <c r="E43" s="88">
        <f>SUM($D$41:D43)</f>
        <v>9.5000000000000001E-2</v>
      </c>
      <c r="F43" s="29">
        <f t="shared" si="2"/>
        <v>0.90500000000000003</v>
      </c>
      <c r="H43" s="84">
        <f>+F33-C42</f>
        <v>2983.5487809193737</v>
      </c>
      <c r="I43" s="67">
        <v>0.95</v>
      </c>
    </row>
    <row r="44" spans="3:16" x14ac:dyDescent="0.35">
      <c r="C44" s="89">
        <f>C27</f>
        <v>1685.1147857779517</v>
      </c>
      <c r="D44" s="88">
        <f>C17</f>
        <v>5.000000000000001E-3</v>
      </c>
      <c r="E44" s="88">
        <f>SUM($D$41:D44)</f>
        <v>0.1</v>
      </c>
      <c r="F44" s="29">
        <f t="shared" si="2"/>
        <v>0.9</v>
      </c>
      <c r="H44" s="84">
        <f>+F33-C45</f>
        <v>1056.2608690711468</v>
      </c>
      <c r="I44" s="67">
        <v>0.9</v>
      </c>
    </row>
    <row r="45" spans="3:16" x14ac:dyDescent="0.35">
      <c r="C45" s="90">
        <f>F26</f>
        <v>3209.5849621600228</v>
      </c>
      <c r="D45" s="88">
        <f>F16</f>
        <v>2.0000000000000004E-2</v>
      </c>
      <c r="E45" s="88">
        <f>SUM($D$41:D45)</f>
        <v>0.12000000000000001</v>
      </c>
      <c r="F45" s="29">
        <f t="shared" si="2"/>
        <v>0.88</v>
      </c>
    </row>
    <row r="46" spans="3:16" x14ac:dyDescent="0.35">
      <c r="C46" s="72">
        <f>F25</f>
        <v>3486.8519909842221</v>
      </c>
      <c r="D46" s="88">
        <f>F15</f>
        <v>0.13999999999999999</v>
      </c>
      <c r="E46" s="88">
        <f>SUM($D$41:D46)</f>
        <v>0.26</v>
      </c>
      <c r="F46" s="29">
        <f t="shared" si="2"/>
        <v>0.74</v>
      </c>
    </row>
    <row r="47" spans="3:16" x14ac:dyDescent="0.35">
      <c r="C47" s="72">
        <f>F24</f>
        <v>3673.0119494616356</v>
      </c>
      <c r="D47" s="88">
        <f>F14</f>
        <v>2.0000000000000004E-2</v>
      </c>
      <c r="E47" s="88">
        <f>SUM($D$41:D47)</f>
        <v>0.28000000000000003</v>
      </c>
      <c r="F47" s="29">
        <f t="shared" si="2"/>
        <v>0.72</v>
      </c>
    </row>
    <row r="48" spans="3:16" x14ac:dyDescent="0.35">
      <c r="C48" s="72">
        <f>E26</f>
        <v>4491.8820124718186</v>
      </c>
      <c r="D48" s="88">
        <f>E16</f>
        <v>0.06</v>
      </c>
      <c r="E48" s="88">
        <f>SUM($D$41:D48)</f>
        <v>0.34</v>
      </c>
      <c r="F48" s="29">
        <f t="shared" si="2"/>
        <v>0.65999999999999992</v>
      </c>
    </row>
    <row r="49" spans="3:6" x14ac:dyDescent="0.35">
      <c r="C49" s="72">
        <f>D26</f>
        <v>4726.5715067949513</v>
      </c>
      <c r="D49" s="88">
        <f>D16</f>
        <v>1.4999999999999999E-2</v>
      </c>
      <c r="E49" s="88">
        <f>SUM($D$41:D49)</f>
        <v>0.35500000000000004</v>
      </c>
      <c r="F49" s="29">
        <f t="shared" si="2"/>
        <v>0.64500000000000002</v>
      </c>
    </row>
    <row r="50" spans="3:6" x14ac:dyDescent="0.35">
      <c r="C50" s="72">
        <f>E25</f>
        <v>4769.1490412960175</v>
      </c>
      <c r="D50" s="88">
        <f>E15</f>
        <v>0.42</v>
      </c>
      <c r="E50" s="88">
        <f>SUM($D$41:D50)</f>
        <v>0.77500000000000002</v>
      </c>
      <c r="F50" s="29">
        <f t="shared" si="2"/>
        <v>0.22499999999999998</v>
      </c>
    </row>
    <row r="51" spans="3:6" x14ac:dyDescent="0.35">
      <c r="C51" s="72">
        <f>C26</f>
        <v>4894.6997479379743</v>
      </c>
      <c r="D51" s="88">
        <f>C16</f>
        <v>5.000000000000001E-3</v>
      </c>
      <c r="E51" s="88">
        <f>SUM($D$41:D51)</f>
        <v>0.78</v>
      </c>
      <c r="F51" s="29">
        <f t="shared" si="2"/>
        <v>0.21999999999999997</v>
      </c>
    </row>
    <row r="52" spans="3:6" x14ac:dyDescent="0.35">
      <c r="C52" s="72">
        <f>E24</f>
        <v>4955.3089997734314</v>
      </c>
      <c r="D52" s="88">
        <f>E14</f>
        <v>0.06</v>
      </c>
      <c r="E52" s="88">
        <f>SUM($D$41:D52)</f>
        <v>0.84000000000000008</v>
      </c>
      <c r="F52" s="29">
        <f t="shared" si="2"/>
        <v>0.15999999999999992</v>
      </c>
    </row>
    <row r="53" spans="3:6" x14ac:dyDescent="0.35">
      <c r="C53" s="72">
        <f>D25</f>
        <v>5003.8385356191511</v>
      </c>
      <c r="D53" s="88">
        <f>D15</f>
        <v>0.105</v>
      </c>
      <c r="E53" s="88">
        <f>SUM($D$41:D53)</f>
        <v>0.94500000000000006</v>
      </c>
      <c r="F53" s="29">
        <f t="shared" si="2"/>
        <v>5.4999999999999938E-2</v>
      </c>
    </row>
    <row r="54" spans="3:6" x14ac:dyDescent="0.35">
      <c r="C54" s="72">
        <f>C25</f>
        <v>5171.966776762174</v>
      </c>
      <c r="D54" s="88">
        <f>C15</f>
        <v>3.4999999999999996E-2</v>
      </c>
      <c r="E54" s="88">
        <f>SUM($D$41:D54)</f>
        <v>0.98000000000000009</v>
      </c>
      <c r="F54" s="29">
        <f t="shared" si="2"/>
        <v>1.9999999999999907E-2</v>
      </c>
    </row>
    <row r="55" spans="3:6" x14ac:dyDescent="0.35">
      <c r="C55" s="72">
        <f>D24</f>
        <v>5189.9984940965642</v>
      </c>
      <c r="D55" s="88">
        <f>D14</f>
        <v>1.4999999999999999E-2</v>
      </c>
      <c r="E55" s="88">
        <f>SUM($D$41:D55)</f>
        <v>0.99500000000000011</v>
      </c>
      <c r="F55" s="29">
        <f t="shared" si="2"/>
        <v>4.9999999999998934E-3</v>
      </c>
    </row>
    <row r="56" spans="3:6" x14ac:dyDescent="0.35">
      <c r="C56" s="72">
        <f>C24</f>
        <v>5358.1267352395871</v>
      </c>
      <c r="D56" s="88">
        <f>C14</f>
        <v>5.000000000000001E-3</v>
      </c>
      <c r="E56" s="88">
        <f>SUM($D$41:D56)</f>
        <v>1</v>
      </c>
      <c r="F56" s="29">
        <f t="shared" si="2"/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63D15-5CBA-4183-B65E-57CB335F29E7}">
  <dimension ref="B2:N523"/>
  <sheetViews>
    <sheetView topLeftCell="A19" workbookViewId="0">
      <selection activeCell="H24" sqref="H24"/>
    </sheetView>
  </sheetViews>
  <sheetFormatPr defaultRowHeight="14.5" x14ac:dyDescent="0.35"/>
  <cols>
    <col min="1" max="1" width="3.7265625" customWidth="1"/>
    <col min="2" max="2" width="7.1796875" customWidth="1"/>
    <col min="3" max="3" width="9.54296875" bestFit="1" customWidth="1"/>
    <col min="5" max="5" width="9.1796875" bestFit="1" customWidth="1"/>
    <col min="6" max="6" width="12.54296875" customWidth="1"/>
    <col min="7" max="7" width="10.81640625" customWidth="1"/>
    <col min="8" max="8" width="10.453125" bestFit="1" customWidth="1"/>
    <col min="9" max="9" width="11.54296875" customWidth="1"/>
    <col min="10" max="10" width="11.1796875" customWidth="1"/>
    <col min="257" max="257" width="3.7265625" customWidth="1"/>
    <col min="258" max="258" width="7.1796875" customWidth="1"/>
    <col min="259" max="259" width="9.54296875" bestFit="1" customWidth="1"/>
    <col min="261" max="261" width="9.1796875" bestFit="1" customWidth="1"/>
    <col min="262" max="262" width="12.54296875" customWidth="1"/>
    <col min="263" max="263" width="10.81640625" customWidth="1"/>
    <col min="264" max="264" width="10.453125" bestFit="1" customWidth="1"/>
    <col min="265" max="265" width="11.54296875" customWidth="1"/>
    <col min="266" max="266" width="11.1796875" customWidth="1"/>
    <col min="513" max="513" width="3.7265625" customWidth="1"/>
    <col min="514" max="514" width="7.1796875" customWidth="1"/>
    <col min="515" max="515" width="9.54296875" bestFit="1" customWidth="1"/>
    <col min="517" max="517" width="9.1796875" bestFit="1" customWidth="1"/>
    <col min="518" max="518" width="12.54296875" customWidth="1"/>
    <col min="519" max="519" width="10.81640625" customWidth="1"/>
    <col min="520" max="520" width="10.453125" bestFit="1" customWidth="1"/>
    <col min="521" max="521" width="11.54296875" customWidth="1"/>
    <col min="522" max="522" width="11.1796875" customWidth="1"/>
    <col min="769" max="769" width="3.7265625" customWidth="1"/>
    <col min="770" max="770" width="7.1796875" customWidth="1"/>
    <col min="771" max="771" width="9.54296875" bestFit="1" customWidth="1"/>
    <col min="773" max="773" width="9.1796875" bestFit="1" customWidth="1"/>
    <col min="774" max="774" width="12.54296875" customWidth="1"/>
    <col min="775" max="775" width="10.81640625" customWidth="1"/>
    <col min="776" max="776" width="10.453125" bestFit="1" customWidth="1"/>
    <col min="777" max="777" width="11.54296875" customWidth="1"/>
    <col min="778" max="778" width="11.1796875" customWidth="1"/>
    <col min="1025" max="1025" width="3.7265625" customWidth="1"/>
    <col min="1026" max="1026" width="7.1796875" customWidth="1"/>
    <col min="1027" max="1027" width="9.54296875" bestFit="1" customWidth="1"/>
    <col min="1029" max="1029" width="9.1796875" bestFit="1" customWidth="1"/>
    <col min="1030" max="1030" width="12.54296875" customWidth="1"/>
    <col min="1031" max="1031" width="10.81640625" customWidth="1"/>
    <col min="1032" max="1032" width="10.453125" bestFit="1" customWidth="1"/>
    <col min="1033" max="1033" width="11.54296875" customWidth="1"/>
    <col min="1034" max="1034" width="11.1796875" customWidth="1"/>
    <col min="1281" max="1281" width="3.7265625" customWidth="1"/>
    <col min="1282" max="1282" width="7.1796875" customWidth="1"/>
    <col min="1283" max="1283" width="9.54296875" bestFit="1" customWidth="1"/>
    <col min="1285" max="1285" width="9.1796875" bestFit="1" customWidth="1"/>
    <col min="1286" max="1286" width="12.54296875" customWidth="1"/>
    <col min="1287" max="1287" width="10.81640625" customWidth="1"/>
    <col min="1288" max="1288" width="10.453125" bestFit="1" customWidth="1"/>
    <col min="1289" max="1289" width="11.54296875" customWidth="1"/>
    <col min="1290" max="1290" width="11.1796875" customWidth="1"/>
    <col min="1537" max="1537" width="3.7265625" customWidth="1"/>
    <col min="1538" max="1538" width="7.1796875" customWidth="1"/>
    <col min="1539" max="1539" width="9.54296875" bestFit="1" customWidth="1"/>
    <col min="1541" max="1541" width="9.1796875" bestFit="1" customWidth="1"/>
    <col min="1542" max="1542" width="12.54296875" customWidth="1"/>
    <col min="1543" max="1543" width="10.81640625" customWidth="1"/>
    <col min="1544" max="1544" width="10.453125" bestFit="1" customWidth="1"/>
    <col min="1545" max="1545" width="11.54296875" customWidth="1"/>
    <col min="1546" max="1546" width="11.1796875" customWidth="1"/>
    <col min="1793" max="1793" width="3.7265625" customWidth="1"/>
    <col min="1794" max="1794" width="7.1796875" customWidth="1"/>
    <col min="1795" max="1795" width="9.54296875" bestFit="1" customWidth="1"/>
    <col min="1797" max="1797" width="9.1796875" bestFit="1" customWidth="1"/>
    <col min="1798" max="1798" width="12.54296875" customWidth="1"/>
    <col min="1799" max="1799" width="10.81640625" customWidth="1"/>
    <col min="1800" max="1800" width="10.453125" bestFit="1" customWidth="1"/>
    <col min="1801" max="1801" width="11.54296875" customWidth="1"/>
    <col min="1802" max="1802" width="11.1796875" customWidth="1"/>
    <col min="2049" max="2049" width="3.7265625" customWidth="1"/>
    <col min="2050" max="2050" width="7.1796875" customWidth="1"/>
    <col min="2051" max="2051" width="9.54296875" bestFit="1" customWidth="1"/>
    <col min="2053" max="2053" width="9.1796875" bestFit="1" customWidth="1"/>
    <col min="2054" max="2054" width="12.54296875" customWidth="1"/>
    <col min="2055" max="2055" width="10.81640625" customWidth="1"/>
    <col min="2056" max="2056" width="10.453125" bestFit="1" customWidth="1"/>
    <col min="2057" max="2057" width="11.54296875" customWidth="1"/>
    <col min="2058" max="2058" width="11.1796875" customWidth="1"/>
    <col min="2305" max="2305" width="3.7265625" customWidth="1"/>
    <col min="2306" max="2306" width="7.1796875" customWidth="1"/>
    <col min="2307" max="2307" width="9.54296875" bestFit="1" customWidth="1"/>
    <col min="2309" max="2309" width="9.1796875" bestFit="1" customWidth="1"/>
    <col min="2310" max="2310" width="12.54296875" customWidth="1"/>
    <col min="2311" max="2311" width="10.81640625" customWidth="1"/>
    <col min="2312" max="2312" width="10.453125" bestFit="1" customWidth="1"/>
    <col min="2313" max="2313" width="11.54296875" customWidth="1"/>
    <col min="2314" max="2314" width="11.1796875" customWidth="1"/>
    <col min="2561" max="2561" width="3.7265625" customWidth="1"/>
    <col min="2562" max="2562" width="7.1796875" customWidth="1"/>
    <col min="2563" max="2563" width="9.54296875" bestFit="1" customWidth="1"/>
    <col min="2565" max="2565" width="9.1796875" bestFit="1" customWidth="1"/>
    <col min="2566" max="2566" width="12.54296875" customWidth="1"/>
    <col min="2567" max="2567" width="10.81640625" customWidth="1"/>
    <col min="2568" max="2568" width="10.453125" bestFit="1" customWidth="1"/>
    <col min="2569" max="2569" width="11.54296875" customWidth="1"/>
    <col min="2570" max="2570" width="11.1796875" customWidth="1"/>
    <col min="2817" max="2817" width="3.7265625" customWidth="1"/>
    <col min="2818" max="2818" width="7.1796875" customWidth="1"/>
    <col min="2819" max="2819" width="9.54296875" bestFit="1" customWidth="1"/>
    <col min="2821" max="2821" width="9.1796875" bestFit="1" customWidth="1"/>
    <col min="2822" max="2822" width="12.54296875" customWidth="1"/>
    <col min="2823" max="2823" width="10.81640625" customWidth="1"/>
    <col min="2824" max="2824" width="10.453125" bestFit="1" customWidth="1"/>
    <col min="2825" max="2825" width="11.54296875" customWidth="1"/>
    <col min="2826" max="2826" width="11.1796875" customWidth="1"/>
    <col min="3073" max="3073" width="3.7265625" customWidth="1"/>
    <col min="3074" max="3074" width="7.1796875" customWidth="1"/>
    <col min="3075" max="3075" width="9.54296875" bestFit="1" customWidth="1"/>
    <col min="3077" max="3077" width="9.1796875" bestFit="1" customWidth="1"/>
    <col min="3078" max="3078" width="12.54296875" customWidth="1"/>
    <col min="3079" max="3079" width="10.81640625" customWidth="1"/>
    <col min="3080" max="3080" width="10.453125" bestFit="1" customWidth="1"/>
    <col min="3081" max="3081" width="11.54296875" customWidth="1"/>
    <col min="3082" max="3082" width="11.1796875" customWidth="1"/>
    <col min="3329" max="3329" width="3.7265625" customWidth="1"/>
    <col min="3330" max="3330" width="7.1796875" customWidth="1"/>
    <col min="3331" max="3331" width="9.54296875" bestFit="1" customWidth="1"/>
    <col min="3333" max="3333" width="9.1796875" bestFit="1" customWidth="1"/>
    <col min="3334" max="3334" width="12.54296875" customWidth="1"/>
    <col min="3335" max="3335" width="10.81640625" customWidth="1"/>
    <col min="3336" max="3336" width="10.453125" bestFit="1" customWidth="1"/>
    <col min="3337" max="3337" width="11.54296875" customWidth="1"/>
    <col min="3338" max="3338" width="11.1796875" customWidth="1"/>
    <col min="3585" max="3585" width="3.7265625" customWidth="1"/>
    <col min="3586" max="3586" width="7.1796875" customWidth="1"/>
    <col min="3587" max="3587" width="9.54296875" bestFit="1" customWidth="1"/>
    <col min="3589" max="3589" width="9.1796875" bestFit="1" customWidth="1"/>
    <col min="3590" max="3590" width="12.54296875" customWidth="1"/>
    <col min="3591" max="3591" width="10.81640625" customWidth="1"/>
    <col min="3592" max="3592" width="10.453125" bestFit="1" customWidth="1"/>
    <col min="3593" max="3593" width="11.54296875" customWidth="1"/>
    <col min="3594" max="3594" width="11.1796875" customWidth="1"/>
    <col min="3841" max="3841" width="3.7265625" customWidth="1"/>
    <col min="3842" max="3842" width="7.1796875" customWidth="1"/>
    <col min="3843" max="3843" width="9.54296875" bestFit="1" customWidth="1"/>
    <col min="3845" max="3845" width="9.1796875" bestFit="1" customWidth="1"/>
    <col min="3846" max="3846" width="12.54296875" customWidth="1"/>
    <col min="3847" max="3847" width="10.81640625" customWidth="1"/>
    <col min="3848" max="3848" width="10.453125" bestFit="1" customWidth="1"/>
    <col min="3849" max="3849" width="11.54296875" customWidth="1"/>
    <col min="3850" max="3850" width="11.1796875" customWidth="1"/>
    <col min="4097" max="4097" width="3.7265625" customWidth="1"/>
    <col min="4098" max="4098" width="7.1796875" customWidth="1"/>
    <col min="4099" max="4099" width="9.54296875" bestFit="1" customWidth="1"/>
    <col min="4101" max="4101" width="9.1796875" bestFit="1" customWidth="1"/>
    <col min="4102" max="4102" width="12.54296875" customWidth="1"/>
    <col min="4103" max="4103" width="10.81640625" customWidth="1"/>
    <col min="4104" max="4104" width="10.453125" bestFit="1" customWidth="1"/>
    <col min="4105" max="4105" width="11.54296875" customWidth="1"/>
    <col min="4106" max="4106" width="11.1796875" customWidth="1"/>
    <col min="4353" max="4353" width="3.7265625" customWidth="1"/>
    <col min="4354" max="4354" width="7.1796875" customWidth="1"/>
    <col min="4355" max="4355" width="9.54296875" bestFit="1" customWidth="1"/>
    <col min="4357" max="4357" width="9.1796875" bestFit="1" customWidth="1"/>
    <col min="4358" max="4358" width="12.54296875" customWidth="1"/>
    <col min="4359" max="4359" width="10.81640625" customWidth="1"/>
    <col min="4360" max="4360" width="10.453125" bestFit="1" customWidth="1"/>
    <col min="4361" max="4361" width="11.54296875" customWidth="1"/>
    <col min="4362" max="4362" width="11.1796875" customWidth="1"/>
    <col min="4609" max="4609" width="3.7265625" customWidth="1"/>
    <col min="4610" max="4610" width="7.1796875" customWidth="1"/>
    <col min="4611" max="4611" width="9.54296875" bestFit="1" customWidth="1"/>
    <col min="4613" max="4613" width="9.1796875" bestFit="1" customWidth="1"/>
    <col min="4614" max="4614" width="12.54296875" customWidth="1"/>
    <col min="4615" max="4615" width="10.81640625" customWidth="1"/>
    <col min="4616" max="4616" width="10.453125" bestFit="1" customWidth="1"/>
    <col min="4617" max="4617" width="11.54296875" customWidth="1"/>
    <col min="4618" max="4618" width="11.1796875" customWidth="1"/>
    <col min="4865" max="4865" width="3.7265625" customWidth="1"/>
    <col min="4866" max="4866" width="7.1796875" customWidth="1"/>
    <col min="4867" max="4867" width="9.54296875" bestFit="1" customWidth="1"/>
    <col min="4869" max="4869" width="9.1796875" bestFit="1" customWidth="1"/>
    <col min="4870" max="4870" width="12.54296875" customWidth="1"/>
    <col min="4871" max="4871" width="10.81640625" customWidth="1"/>
    <col min="4872" max="4872" width="10.453125" bestFit="1" customWidth="1"/>
    <col min="4873" max="4873" width="11.54296875" customWidth="1"/>
    <col min="4874" max="4874" width="11.1796875" customWidth="1"/>
    <col min="5121" max="5121" width="3.7265625" customWidth="1"/>
    <col min="5122" max="5122" width="7.1796875" customWidth="1"/>
    <col min="5123" max="5123" width="9.54296875" bestFit="1" customWidth="1"/>
    <col min="5125" max="5125" width="9.1796875" bestFit="1" customWidth="1"/>
    <col min="5126" max="5126" width="12.54296875" customWidth="1"/>
    <col min="5127" max="5127" width="10.81640625" customWidth="1"/>
    <col min="5128" max="5128" width="10.453125" bestFit="1" customWidth="1"/>
    <col min="5129" max="5129" width="11.54296875" customWidth="1"/>
    <col min="5130" max="5130" width="11.1796875" customWidth="1"/>
    <col min="5377" max="5377" width="3.7265625" customWidth="1"/>
    <col min="5378" max="5378" width="7.1796875" customWidth="1"/>
    <col min="5379" max="5379" width="9.54296875" bestFit="1" customWidth="1"/>
    <col min="5381" max="5381" width="9.1796875" bestFit="1" customWidth="1"/>
    <col min="5382" max="5382" width="12.54296875" customWidth="1"/>
    <col min="5383" max="5383" width="10.81640625" customWidth="1"/>
    <col min="5384" max="5384" width="10.453125" bestFit="1" customWidth="1"/>
    <col min="5385" max="5385" width="11.54296875" customWidth="1"/>
    <col min="5386" max="5386" width="11.1796875" customWidth="1"/>
    <col min="5633" max="5633" width="3.7265625" customWidth="1"/>
    <col min="5634" max="5634" width="7.1796875" customWidth="1"/>
    <col min="5635" max="5635" width="9.54296875" bestFit="1" customWidth="1"/>
    <col min="5637" max="5637" width="9.1796875" bestFit="1" customWidth="1"/>
    <col min="5638" max="5638" width="12.54296875" customWidth="1"/>
    <col min="5639" max="5639" width="10.81640625" customWidth="1"/>
    <col min="5640" max="5640" width="10.453125" bestFit="1" customWidth="1"/>
    <col min="5641" max="5641" width="11.54296875" customWidth="1"/>
    <col min="5642" max="5642" width="11.1796875" customWidth="1"/>
    <col min="5889" max="5889" width="3.7265625" customWidth="1"/>
    <col min="5890" max="5890" width="7.1796875" customWidth="1"/>
    <col min="5891" max="5891" width="9.54296875" bestFit="1" customWidth="1"/>
    <col min="5893" max="5893" width="9.1796875" bestFit="1" customWidth="1"/>
    <col min="5894" max="5894" width="12.54296875" customWidth="1"/>
    <col min="5895" max="5895" width="10.81640625" customWidth="1"/>
    <col min="5896" max="5896" width="10.453125" bestFit="1" customWidth="1"/>
    <col min="5897" max="5897" width="11.54296875" customWidth="1"/>
    <col min="5898" max="5898" width="11.1796875" customWidth="1"/>
    <col min="6145" max="6145" width="3.7265625" customWidth="1"/>
    <col min="6146" max="6146" width="7.1796875" customWidth="1"/>
    <col min="6147" max="6147" width="9.54296875" bestFit="1" customWidth="1"/>
    <col min="6149" max="6149" width="9.1796875" bestFit="1" customWidth="1"/>
    <col min="6150" max="6150" width="12.54296875" customWidth="1"/>
    <col min="6151" max="6151" width="10.81640625" customWidth="1"/>
    <col min="6152" max="6152" width="10.453125" bestFit="1" customWidth="1"/>
    <col min="6153" max="6153" width="11.54296875" customWidth="1"/>
    <col min="6154" max="6154" width="11.1796875" customWidth="1"/>
    <col min="6401" max="6401" width="3.7265625" customWidth="1"/>
    <col min="6402" max="6402" width="7.1796875" customWidth="1"/>
    <col min="6403" max="6403" width="9.54296875" bestFit="1" customWidth="1"/>
    <col min="6405" max="6405" width="9.1796875" bestFit="1" customWidth="1"/>
    <col min="6406" max="6406" width="12.54296875" customWidth="1"/>
    <col min="6407" max="6407" width="10.81640625" customWidth="1"/>
    <col min="6408" max="6408" width="10.453125" bestFit="1" customWidth="1"/>
    <col min="6409" max="6409" width="11.54296875" customWidth="1"/>
    <col min="6410" max="6410" width="11.1796875" customWidth="1"/>
    <col min="6657" max="6657" width="3.7265625" customWidth="1"/>
    <col min="6658" max="6658" width="7.1796875" customWidth="1"/>
    <col min="6659" max="6659" width="9.54296875" bestFit="1" customWidth="1"/>
    <col min="6661" max="6661" width="9.1796875" bestFit="1" customWidth="1"/>
    <col min="6662" max="6662" width="12.54296875" customWidth="1"/>
    <col min="6663" max="6663" width="10.81640625" customWidth="1"/>
    <col min="6664" max="6664" width="10.453125" bestFit="1" customWidth="1"/>
    <col min="6665" max="6665" width="11.54296875" customWidth="1"/>
    <col min="6666" max="6666" width="11.1796875" customWidth="1"/>
    <col min="6913" max="6913" width="3.7265625" customWidth="1"/>
    <col min="6914" max="6914" width="7.1796875" customWidth="1"/>
    <col min="6915" max="6915" width="9.54296875" bestFit="1" customWidth="1"/>
    <col min="6917" max="6917" width="9.1796875" bestFit="1" customWidth="1"/>
    <col min="6918" max="6918" width="12.54296875" customWidth="1"/>
    <col min="6919" max="6919" width="10.81640625" customWidth="1"/>
    <col min="6920" max="6920" width="10.453125" bestFit="1" customWidth="1"/>
    <col min="6921" max="6921" width="11.54296875" customWidth="1"/>
    <col min="6922" max="6922" width="11.1796875" customWidth="1"/>
    <col min="7169" max="7169" width="3.7265625" customWidth="1"/>
    <col min="7170" max="7170" width="7.1796875" customWidth="1"/>
    <col min="7171" max="7171" width="9.54296875" bestFit="1" customWidth="1"/>
    <col min="7173" max="7173" width="9.1796875" bestFit="1" customWidth="1"/>
    <col min="7174" max="7174" width="12.54296875" customWidth="1"/>
    <col min="7175" max="7175" width="10.81640625" customWidth="1"/>
    <col min="7176" max="7176" width="10.453125" bestFit="1" customWidth="1"/>
    <col min="7177" max="7177" width="11.54296875" customWidth="1"/>
    <col min="7178" max="7178" width="11.1796875" customWidth="1"/>
    <col min="7425" max="7425" width="3.7265625" customWidth="1"/>
    <col min="7426" max="7426" width="7.1796875" customWidth="1"/>
    <col min="7427" max="7427" width="9.54296875" bestFit="1" customWidth="1"/>
    <col min="7429" max="7429" width="9.1796875" bestFit="1" customWidth="1"/>
    <col min="7430" max="7430" width="12.54296875" customWidth="1"/>
    <col min="7431" max="7431" width="10.81640625" customWidth="1"/>
    <col min="7432" max="7432" width="10.453125" bestFit="1" customWidth="1"/>
    <col min="7433" max="7433" width="11.54296875" customWidth="1"/>
    <col min="7434" max="7434" width="11.1796875" customWidth="1"/>
    <col min="7681" max="7681" width="3.7265625" customWidth="1"/>
    <col min="7682" max="7682" width="7.1796875" customWidth="1"/>
    <col min="7683" max="7683" width="9.54296875" bestFit="1" customWidth="1"/>
    <col min="7685" max="7685" width="9.1796875" bestFit="1" customWidth="1"/>
    <col min="7686" max="7686" width="12.54296875" customWidth="1"/>
    <col min="7687" max="7687" width="10.81640625" customWidth="1"/>
    <col min="7688" max="7688" width="10.453125" bestFit="1" customWidth="1"/>
    <col min="7689" max="7689" width="11.54296875" customWidth="1"/>
    <col min="7690" max="7690" width="11.1796875" customWidth="1"/>
    <col min="7937" max="7937" width="3.7265625" customWidth="1"/>
    <col min="7938" max="7938" width="7.1796875" customWidth="1"/>
    <col min="7939" max="7939" width="9.54296875" bestFit="1" customWidth="1"/>
    <col min="7941" max="7941" width="9.1796875" bestFit="1" customWidth="1"/>
    <col min="7942" max="7942" width="12.54296875" customWidth="1"/>
    <col min="7943" max="7943" width="10.81640625" customWidth="1"/>
    <col min="7944" max="7944" width="10.453125" bestFit="1" customWidth="1"/>
    <col min="7945" max="7945" width="11.54296875" customWidth="1"/>
    <col min="7946" max="7946" width="11.1796875" customWidth="1"/>
    <col min="8193" max="8193" width="3.7265625" customWidth="1"/>
    <col min="8194" max="8194" width="7.1796875" customWidth="1"/>
    <col min="8195" max="8195" width="9.54296875" bestFit="1" customWidth="1"/>
    <col min="8197" max="8197" width="9.1796875" bestFit="1" customWidth="1"/>
    <col min="8198" max="8198" width="12.54296875" customWidth="1"/>
    <col min="8199" max="8199" width="10.81640625" customWidth="1"/>
    <col min="8200" max="8200" width="10.453125" bestFit="1" customWidth="1"/>
    <col min="8201" max="8201" width="11.54296875" customWidth="1"/>
    <col min="8202" max="8202" width="11.1796875" customWidth="1"/>
    <col min="8449" max="8449" width="3.7265625" customWidth="1"/>
    <col min="8450" max="8450" width="7.1796875" customWidth="1"/>
    <col min="8451" max="8451" width="9.54296875" bestFit="1" customWidth="1"/>
    <col min="8453" max="8453" width="9.1796875" bestFit="1" customWidth="1"/>
    <col min="8454" max="8454" width="12.54296875" customWidth="1"/>
    <col min="8455" max="8455" width="10.81640625" customWidth="1"/>
    <col min="8456" max="8456" width="10.453125" bestFit="1" customWidth="1"/>
    <col min="8457" max="8457" width="11.54296875" customWidth="1"/>
    <col min="8458" max="8458" width="11.1796875" customWidth="1"/>
    <col min="8705" max="8705" width="3.7265625" customWidth="1"/>
    <col min="8706" max="8706" width="7.1796875" customWidth="1"/>
    <col min="8707" max="8707" width="9.54296875" bestFit="1" customWidth="1"/>
    <col min="8709" max="8709" width="9.1796875" bestFit="1" customWidth="1"/>
    <col min="8710" max="8710" width="12.54296875" customWidth="1"/>
    <col min="8711" max="8711" width="10.81640625" customWidth="1"/>
    <col min="8712" max="8712" width="10.453125" bestFit="1" customWidth="1"/>
    <col min="8713" max="8713" width="11.54296875" customWidth="1"/>
    <col min="8714" max="8714" width="11.1796875" customWidth="1"/>
    <col min="8961" max="8961" width="3.7265625" customWidth="1"/>
    <col min="8962" max="8962" width="7.1796875" customWidth="1"/>
    <col min="8963" max="8963" width="9.54296875" bestFit="1" customWidth="1"/>
    <col min="8965" max="8965" width="9.1796875" bestFit="1" customWidth="1"/>
    <col min="8966" max="8966" width="12.54296875" customWidth="1"/>
    <col min="8967" max="8967" width="10.81640625" customWidth="1"/>
    <col min="8968" max="8968" width="10.453125" bestFit="1" customWidth="1"/>
    <col min="8969" max="8969" width="11.54296875" customWidth="1"/>
    <col min="8970" max="8970" width="11.1796875" customWidth="1"/>
    <col min="9217" max="9217" width="3.7265625" customWidth="1"/>
    <col min="9218" max="9218" width="7.1796875" customWidth="1"/>
    <col min="9219" max="9219" width="9.54296875" bestFit="1" customWidth="1"/>
    <col min="9221" max="9221" width="9.1796875" bestFit="1" customWidth="1"/>
    <col min="9222" max="9222" width="12.54296875" customWidth="1"/>
    <col min="9223" max="9223" width="10.81640625" customWidth="1"/>
    <col min="9224" max="9224" width="10.453125" bestFit="1" customWidth="1"/>
    <col min="9225" max="9225" width="11.54296875" customWidth="1"/>
    <col min="9226" max="9226" width="11.1796875" customWidth="1"/>
    <col min="9473" max="9473" width="3.7265625" customWidth="1"/>
    <col min="9474" max="9474" width="7.1796875" customWidth="1"/>
    <col min="9475" max="9475" width="9.54296875" bestFit="1" customWidth="1"/>
    <col min="9477" max="9477" width="9.1796875" bestFit="1" customWidth="1"/>
    <col min="9478" max="9478" width="12.54296875" customWidth="1"/>
    <col min="9479" max="9479" width="10.81640625" customWidth="1"/>
    <col min="9480" max="9480" width="10.453125" bestFit="1" customWidth="1"/>
    <col min="9481" max="9481" width="11.54296875" customWidth="1"/>
    <col min="9482" max="9482" width="11.1796875" customWidth="1"/>
    <col min="9729" max="9729" width="3.7265625" customWidth="1"/>
    <col min="9730" max="9730" width="7.1796875" customWidth="1"/>
    <col min="9731" max="9731" width="9.54296875" bestFit="1" customWidth="1"/>
    <col min="9733" max="9733" width="9.1796875" bestFit="1" customWidth="1"/>
    <col min="9734" max="9734" width="12.54296875" customWidth="1"/>
    <col min="9735" max="9735" width="10.81640625" customWidth="1"/>
    <col min="9736" max="9736" width="10.453125" bestFit="1" customWidth="1"/>
    <col min="9737" max="9737" width="11.54296875" customWidth="1"/>
    <col min="9738" max="9738" width="11.1796875" customWidth="1"/>
    <col min="9985" max="9985" width="3.7265625" customWidth="1"/>
    <col min="9986" max="9986" width="7.1796875" customWidth="1"/>
    <col min="9987" max="9987" width="9.54296875" bestFit="1" customWidth="1"/>
    <col min="9989" max="9989" width="9.1796875" bestFit="1" customWidth="1"/>
    <col min="9990" max="9990" width="12.54296875" customWidth="1"/>
    <col min="9991" max="9991" width="10.81640625" customWidth="1"/>
    <col min="9992" max="9992" width="10.453125" bestFit="1" customWidth="1"/>
    <col min="9993" max="9993" width="11.54296875" customWidth="1"/>
    <col min="9994" max="9994" width="11.1796875" customWidth="1"/>
    <col min="10241" max="10241" width="3.7265625" customWidth="1"/>
    <col min="10242" max="10242" width="7.1796875" customWidth="1"/>
    <col min="10243" max="10243" width="9.54296875" bestFit="1" customWidth="1"/>
    <col min="10245" max="10245" width="9.1796875" bestFit="1" customWidth="1"/>
    <col min="10246" max="10246" width="12.54296875" customWidth="1"/>
    <col min="10247" max="10247" width="10.81640625" customWidth="1"/>
    <col min="10248" max="10248" width="10.453125" bestFit="1" customWidth="1"/>
    <col min="10249" max="10249" width="11.54296875" customWidth="1"/>
    <col min="10250" max="10250" width="11.1796875" customWidth="1"/>
    <col min="10497" max="10497" width="3.7265625" customWidth="1"/>
    <col min="10498" max="10498" width="7.1796875" customWidth="1"/>
    <col min="10499" max="10499" width="9.54296875" bestFit="1" customWidth="1"/>
    <col min="10501" max="10501" width="9.1796875" bestFit="1" customWidth="1"/>
    <col min="10502" max="10502" width="12.54296875" customWidth="1"/>
    <col min="10503" max="10503" width="10.81640625" customWidth="1"/>
    <col min="10504" max="10504" width="10.453125" bestFit="1" customWidth="1"/>
    <col min="10505" max="10505" width="11.54296875" customWidth="1"/>
    <col min="10506" max="10506" width="11.1796875" customWidth="1"/>
    <col min="10753" max="10753" width="3.7265625" customWidth="1"/>
    <col min="10754" max="10754" width="7.1796875" customWidth="1"/>
    <col min="10755" max="10755" width="9.54296875" bestFit="1" customWidth="1"/>
    <col min="10757" max="10757" width="9.1796875" bestFit="1" customWidth="1"/>
    <col min="10758" max="10758" width="12.54296875" customWidth="1"/>
    <col min="10759" max="10759" width="10.81640625" customWidth="1"/>
    <col min="10760" max="10760" width="10.453125" bestFit="1" customWidth="1"/>
    <col min="10761" max="10761" width="11.54296875" customWidth="1"/>
    <col min="10762" max="10762" width="11.1796875" customWidth="1"/>
    <col min="11009" max="11009" width="3.7265625" customWidth="1"/>
    <col min="11010" max="11010" width="7.1796875" customWidth="1"/>
    <col min="11011" max="11011" width="9.54296875" bestFit="1" customWidth="1"/>
    <col min="11013" max="11013" width="9.1796875" bestFit="1" customWidth="1"/>
    <col min="11014" max="11014" width="12.54296875" customWidth="1"/>
    <col min="11015" max="11015" width="10.81640625" customWidth="1"/>
    <col min="11016" max="11016" width="10.453125" bestFit="1" customWidth="1"/>
    <col min="11017" max="11017" width="11.54296875" customWidth="1"/>
    <col min="11018" max="11018" width="11.1796875" customWidth="1"/>
    <col min="11265" max="11265" width="3.7265625" customWidth="1"/>
    <col min="11266" max="11266" width="7.1796875" customWidth="1"/>
    <col min="11267" max="11267" width="9.54296875" bestFit="1" customWidth="1"/>
    <col min="11269" max="11269" width="9.1796875" bestFit="1" customWidth="1"/>
    <col min="11270" max="11270" width="12.54296875" customWidth="1"/>
    <col min="11271" max="11271" width="10.81640625" customWidth="1"/>
    <col min="11272" max="11272" width="10.453125" bestFit="1" customWidth="1"/>
    <col min="11273" max="11273" width="11.54296875" customWidth="1"/>
    <col min="11274" max="11274" width="11.1796875" customWidth="1"/>
    <col min="11521" max="11521" width="3.7265625" customWidth="1"/>
    <col min="11522" max="11522" width="7.1796875" customWidth="1"/>
    <col min="11523" max="11523" width="9.54296875" bestFit="1" customWidth="1"/>
    <col min="11525" max="11525" width="9.1796875" bestFit="1" customWidth="1"/>
    <col min="11526" max="11526" width="12.54296875" customWidth="1"/>
    <col min="11527" max="11527" width="10.81640625" customWidth="1"/>
    <col min="11528" max="11528" width="10.453125" bestFit="1" customWidth="1"/>
    <col min="11529" max="11529" width="11.54296875" customWidth="1"/>
    <col min="11530" max="11530" width="11.1796875" customWidth="1"/>
    <col min="11777" max="11777" width="3.7265625" customWidth="1"/>
    <col min="11778" max="11778" width="7.1796875" customWidth="1"/>
    <col min="11779" max="11779" width="9.54296875" bestFit="1" customWidth="1"/>
    <col min="11781" max="11781" width="9.1796875" bestFit="1" customWidth="1"/>
    <col min="11782" max="11782" width="12.54296875" customWidth="1"/>
    <col min="11783" max="11783" width="10.81640625" customWidth="1"/>
    <col min="11784" max="11784" width="10.453125" bestFit="1" customWidth="1"/>
    <col min="11785" max="11785" width="11.54296875" customWidth="1"/>
    <col min="11786" max="11786" width="11.1796875" customWidth="1"/>
    <col min="12033" max="12033" width="3.7265625" customWidth="1"/>
    <col min="12034" max="12034" width="7.1796875" customWidth="1"/>
    <col min="12035" max="12035" width="9.54296875" bestFit="1" customWidth="1"/>
    <col min="12037" max="12037" width="9.1796875" bestFit="1" customWidth="1"/>
    <col min="12038" max="12038" width="12.54296875" customWidth="1"/>
    <col min="12039" max="12039" width="10.81640625" customWidth="1"/>
    <col min="12040" max="12040" width="10.453125" bestFit="1" customWidth="1"/>
    <col min="12041" max="12041" width="11.54296875" customWidth="1"/>
    <col min="12042" max="12042" width="11.1796875" customWidth="1"/>
    <col min="12289" max="12289" width="3.7265625" customWidth="1"/>
    <col min="12290" max="12290" width="7.1796875" customWidth="1"/>
    <col min="12291" max="12291" width="9.54296875" bestFit="1" customWidth="1"/>
    <col min="12293" max="12293" width="9.1796875" bestFit="1" customWidth="1"/>
    <col min="12294" max="12294" width="12.54296875" customWidth="1"/>
    <col min="12295" max="12295" width="10.81640625" customWidth="1"/>
    <col min="12296" max="12296" width="10.453125" bestFit="1" customWidth="1"/>
    <col min="12297" max="12297" width="11.54296875" customWidth="1"/>
    <col min="12298" max="12298" width="11.1796875" customWidth="1"/>
    <col min="12545" max="12545" width="3.7265625" customWidth="1"/>
    <col min="12546" max="12546" width="7.1796875" customWidth="1"/>
    <col min="12547" max="12547" width="9.54296875" bestFit="1" customWidth="1"/>
    <col min="12549" max="12549" width="9.1796875" bestFit="1" customWidth="1"/>
    <col min="12550" max="12550" width="12.54296875" customWidth="1"/>
    <col min="12551" max="12551" width="10.81640625" customWidth="1"/>
    <col min="12552" max="12552" width="10.453125" bestFit="1" customWidth="1"/>
    <col min="12553" max="12553" width="11.54296875" customWidth="1"/>
    <col min="12554" max="12554" width="11.1796875" customWidth="1"/>
    <col min="12801" max="12801" width="3.7265625" customWidth="1"/>
    <col min="12802" max="12802" width="7.1796875" customWidth="1"/>
    <col min="12803" max="12803" width="9.54296875" bestFit="1" customWidth="1"/>
    <col min="12805" max="12805" width="9.1796875" bestFit="1" customWidth="1"/>
    <col min="12806" max="12806" width="12.54296875" customWidth="1"/>
    <col min="12807" max="12807" width="10.81640625" customWidth="1"/>
    <col min="12808" max="12808" width="10.453125" bestFit="1" customWidth="1"/>
    <col min="12809" max="12809" width="11.54296875" customWidth="1"/>
    <col min="12810" max="12810" width="11.1796875" customWidth="1"/>
    <col min="13057" max="13057" width="3.7265625" customWidth="1"/>
    <col min="13058" max="13058" width="7.1796875" customWidth="1"/>
    <col min="13059" max="13059" width="9.54296875" bestFit="1" customWidth="1"/>
    <col min="13061" max="13061" width="9.1796875" bestFit="1" customWidth="1"/>
    <col min="13062" max="13062" width="12.54296875" customWidth="1"/>
    <col min="13063" max="13063" width="10.81640625" customWidth="1"/>
    <col min="13064" max="13064" width="10.453125" bestFit="1" customWidth="1"/>
    <col min="13065" max="13065" width="11.54296875" customWidth="1"/>
    <col min="13066" max="13066" width="11.1796875" customWidth="1"/>
    <col min="13313" max="13313" width="3.7265625" customWidth="1"/>
    <col min="13314" max="13314" width="7.1796875" customWidth="1"/>
    <col min="13315" max="13315" width="9.54296875" bestFit="1" customWidth="1"/>
    <col min="13317" max="13317" width="9.1796875" bestFit="1" customWidth="1"/>
    <col min="13318" max="13318" width="12.54296875" customWidth="1"/>
    <col min="13319" max="13319" width="10.81640625" customWidth="1"/>
    <col min="13320" max="13320" width="10.453125" bestFit="1" customWidth="1"/>
    <col min="13321" max="13321" width="11.54296875" customWidth="1"/>
    <col min="13322" max="13322" width="11.1796875" customWidth="1"/>
    <col min="13569" max="13569" width="3.7265625" customWidth="1"/>
    <col min="13570" max="13570" width="7.1796875" customWidth="1"/>
    <col min="13571" max="13571" width="9.54296875" bestFit="1" customWidth="1"/>
    <col min="13573" max="13573" width="9.1796875" bestFit="1" customWidth="1"/>
    <col min="13574" max="13574" width="12.54296875" customWidth="1"/>
    <col min="13575" max="13575" width="10.81640625" customWidth="1"/>
    <col min="13576" max="13576" width="10.453125" bestFit="1" customWidth="1"/>
    <col min="13577" max="13577" width="11.54296875" customWidth="1"/>
    <col min="13578" max="13578" width="11.1796875" customWidth="1"/>
    <col min="13825" max="13825" width="3.7265625" customWidth="1"/>
    <col min="13826" max="13826" width="7.1796875" customWidth="1"/>
    <col min="13827" max="13827" width="9.54296875" bestFit="1" customWidth="1"/>
    <col min="13829" max="13829" width="9.1796875" bestFit="1" customWidth="1"/>
    <col min="13830" max="13830" width="12.54296875" customWidth="1"/>
    <col min="13831" max="13831" width="10.81640625" customWidth="1"/>
    <col min="13832" max="13832" width="10.453125" bestFit="1" customWidth="1"/>
    <col min="13833" max="13833" width="11.54296875" customWidth="1"/>
    <col min="13834" max="13834" width="11.1796875" customWidth="1"/>
    <col min="14081" max="14081" width="3.7265625" customWidth="1"/>
    <col min="14082" max="14082" width="7.1796875" customWidth="1"/>
    <col min="14083" max="14083" width="9.54296875" bestFit="1" customWidth="1"/>
    <col min="14085" max="14085" width="9.1796875" bestFit="1" customWidth="1"/>
    <col min="14086" max="14086" width="12.54296875" customWidth="1"/>
    <col min="14087" max="14087" width="10.81640625" customWidth="1"/>
    <col min="14088" max="14088" width="10.453125" bestFit="1" customWidth="1"/>
    <col min="14089" max="14089" width="11.54296875" customWidth="1"/>
    <col min="14090" max="14090" width="11.1796875" customWidth="1"/>
    <col min="14337" max="14337" width="3.7265625" customWidth="1"/>
    <col min="14338" max="14338" width="7.1796875" customWidth="1"/>
    <col min="14339" max="14339" width="9.54296875" bestFit="1" customWidth="1"/>
    <col min="14341" max="14341" width="9.1796875" bestFit="1" customWidth="1"/>
    <col min="14342" max="14342" width="12.54296875" customWidth="1"/>
    <col min="14343" max="14343" width="10.81640625" customWidth="1"/>
    <col min="14344" max="14344" width="10.453125" bestFit="1" customWidth="1"/>
    <col min="14345" max="14345" width="11.54296875" customWidth="1"/>
    <col min="14346" max="14346" width="11.1796875" customWidth="1"/>
    <col min="14593" max="14593" width="3.7265625" customWidth="1"/>
    <col min="14594" max="14594" width="7.1796875" customWidth="1"/>
    <col min="14595" max="14595" width="9.54296875" bestFit="1" customWidth="1"/>
    <col min="14597" max="14597" width="9.1796875" bestFit="1" customWidth="1"/>
    <col min="14598" max="14598" width="12.54296875" customWidth="1"/>
    <col min="14599" max="14599" width="10.81640625" customWidth="1"/>
    <col min="14600" max="14600" width="10.453125" bestFit="1" customWidth="1"/>
    <col min="14601" max="14601" width="11.54296875" customWidth="1"/>
    <col min="14602" max="14602" width="11.1796875" customWidth="1"/>
    <col min="14849" max="14849" width="3.7265625" customWidth="1"/>
    <col min="14850" max="14850" width="7.1796875" customWidth="1"/>
    <col min="14851" max="14851" width="9.54296875" bestFit="1" customWidth="1"/>
    <col min="14853" max="14853" width="9.1796875" bestFit="1" customWidth="1"/>
    <col min="14854" max="14854" width="12.54296875" customWidth="1"/>
    <col min="14855" max="14855" width="10.81640625" customWidth="1"/>
    <col min="14856" max="14856" width="10.453125" bestFit="1" customWidth="1"/>
    <col min="14857" max="14857" width="11.54296875" customWidth="1"/>
    <col min="14858" max="14858" width="11.1796875" customWidth="1"/>
    <col min="15105" max="15105" width="3.7265625" customWidth="1"/>
    <col min="15106" max="15106" width="7.1796875" customWidth="1"/>
    <col min="15107" max="15107" width="9.54296875" bestFit="1" customWidth="1"/>
    <col min="15109" max="15109" width="9.1796875" bestFit="1" customWidth="1"/>
    <col min="15110" max="15110" width="12.54296875" customWidth="1"/>
    <col min="15111" max="15111" width="10.81640625" customWidth="1"/>
    <col min="15112" max="15112" width="10.453125" bestFit="1" customWidth="1"/>
    <col min="15113" max="15113" width="11.54296875" customWidth="1"/>
    <col min="15114" max="15114" width="11.1796875" customWidth="1"/>
    <col min="15361" max="15361" width="3.7265625" customWidth="1"/>
    <col min="15362" max="15362" width="7.1796875" customWidth="1"/>
    <col min="15363" max="15363" width="9.54296875" bestFit="1" customWidth="1"/>
    <col min="15365" max="15365" width="9.1796875" bestFit="1" customWidth="1"/>
    <col min="15366" max="15366" width="12.54296875" customWidth="1"/>
    <col min="15367" max="15367" width="10.81640625" customWidth="1"/>
    <col min="15368" max="15368" width="10.453125" bestFit="1" customWidth="1"/>
    <col min="15369" max="15369" width="11.54296875" customWidth="1"/>
    <col min="15370" max="15370" width="11.1796875" customWidth="1"/>
    <col min="15617" max="15617" width="3.7265625" customWidth="1"/>
    <col min="15618" max="15618" width="7.1796875" customWidth="1"/>
    <col min="15619" max="15619" width="9.54296875" bestFit="1" customWidth="1"/>
    <col min="15621" max="15621" width="9.1796875" bestFit="1" customWidth="1"/>
    <col min="15622" max="15622" width="12.54296875" customWidth="1"/>
    <col min="15623" max="15623" width="10.81640625" customWidth="1"/>
    <col min="15624" max="15624" width="10.453125" bestFit="1" customWidth="1"/>
    <col min="15625" max="15625" width="11.54296875" customWidth="1"/>
    <col min="15626" max="15626" width="11.1796875" customWidth="1"/>
    <col min="15873" max="15873" width="3.7265625" customWidth="1"/>
    <col min="15874" max="15874" width="7.1796875" customWidth="1"/>
    <col min="15875" max="15875" width="9.54296875" bestFit="1" customWidth="1"/>
    <col min="15877" max="15877" width="9.1796875" bestFit="1" customWidth="1"/>
    <col min="15878" max="15878" width="12.54296875" customWidth="1"/>
    <col min="15879" max="15879" width="10.81640625" customWidth="1"/>
    <col min="15880" max="15880" width="10.453125" bestFit="1" customWidth="1"/>
    <col min="15881" max="15881" width="11.54296875" customWidth="1"/>
    <col min="15882" max="15882" width="11.1796875" customWidth="1"/>
    <col min="16129" max="16129" width="3.7265625" customWidth="1"/>
    <col min="16130" max="16130" width="7.1796875" customWidth="1"/>
    <col min="16131" max="16131" width="9.54296875" bestFit="1" customWidth="1"/>
    <col min="16133" max="16133" width="9.1796875" bestFit="1" customWidth="1"/>
    <col min="16134" max="16134" width="12.54296875" customWidth="1"/>
    <col min="16135" max="16135" width="10.81640625" customWidth="1"/>
    <col min="16136" max="16136" width="10.453125" bestFit="1" customWidth="1"/>
    <col min="16137" max="16137" width="11.54296875" customWidth="1"/>
    <col min="16138" max="16138" width="11.1796875" customWidth="1"/>
  </cols>
  <sheetData>
    <row r="2" spans="2:10" x14ac:dyDescent="0.35">
      <c r="B2" t="s">
        <v>54</v>
      </c>
    </row>
    <row r="3" spans="2:10" x14ac:dyDescent="0.35">
      <c r="C3" s="91" t="s">
        <v>55</v>
      </c>
      <c r="D3" s="91" t="s">
        <v>56</v>
      </c>
      <c r="E3" s="91" t="s">
        <v>57</v>
      </c>
      <c r="F3" s="91" t="s">
        <v>58</v>
      </c>
    </row>
    <row r="4" spans="2:10" x14ac:dyDescent="0.35">
      <c r="B4" s="92" t="s">
        <v>55</v>
      </c>
      <c r="C4" s="93">
        <v>0.8</v>
      </c>
      <c r="D4" s="94">
        <v>0.15</v>
      </c>
      <c r="E4" s="94">
        <v>0.03</v>
      </c>
      <c r="F4" s="95">
        <v>0.02</v>
      </c>
    </row>
    <row r="5" spans="2:10" x14ac:dyDescent="0.35">
      <c r="B5" s="92" t="s">
        <v>56</v>
      </c>
      <c r="C5" s="96">
        <v>0.1</v>
      </c>
      <c r="D5" s="97">
        <v>0.7</v>
      </c>
      <c r="E5" s="97">
        <v>0.1</v>
      </c>
      <c r="F5" s="98">
        <v>0.1</v>
      </c>
    </row>
    <row r="6" spans="2:10" x14ac:dyDescent="0.35">
      <c r="B6" s="92" t="s">
        <v>57</v>
      </c>
      <c r="C6" s="96">
        <v>0.05</v>
      </c>
      <c r="D6" s="97">
        <v>0.15</v>
      </c>
      <c r="E6" s="97">
        <v>0.6</v>
      </c>
      <c r="F6" s="98">
        <v>0.2</v>
      </c>
    </row>
    <row r="7" spans="2:10" x14ac:dyDescent="0.35">
      <c r="B7" s="99" t="s">
        <v>58</v>
      </c>
      <c r="C7" s="100">
        <v>0</v>
      </c>
      <c r="D7" s="101">
        <v>0</v>
      </c>
      <c r="E7" s="101">
        <v>0</v>
      </c>
      <c r="F7" s="102">
        <v>1</v>
      </c>
    </row>
    <row r="9" spans="2:10" ht="15" thickBot="1" x14ac:dyDescent="0.4">
      <c r="B9" s="103"/>
      <c r="C9" s="104" t="s">
        <v>89</v>
      </c>
      <c r="D9" s="104" t="s">
        <v>90</v>
      </c>
      <c r="E9" s="104" t="s">
        <v>91</v>
      </c>
      <c r="G9" s="105"/>
      <c r="H9" s="106" t="s">
        <v>67</v>
      </c>
    </row>
    <row r="10" spans="2:10" ht="15" thickTop="1" x14ac:dyDescent="0.35">
      <c r="B10" s="85">
        <v>1</v>
      </c>
      <c r="C10" s="107">
        <v>1000</v>
      </c>
      <c r="D10" s="107">
        <v>200</v>
      </c>
      <c r="E10" s="107">
        <v>0.1</v>
      </c>
      <c r="G10" s="28" t="s">
        <v>55</v>
      </c>
      <c r="H10" s="2">
        <v>0.01</v>
      </c>
    </row>
    <row r="11" spans="2:10" x14ac:dyDescent="0.35">
      <c r="B11">
        <v>2</v>
      </c>
      <c r="C11" s="107">
        <v>1000</v>
      </c>
      <c r="D11" s="107">
        <v>200</v>
      </c>
      <c r="E11" s="107"/>
      <c r="G11" s="28" t="s">
        <v>56</v>
      </c>
      <c r="H11" s="2">
        <v>0.05</v>
      </c>
    </row>
    <row r="12" spans="2:10" x14ac:dyDescent="0.35">
      <c r="B12">
        <v>3</v>
      </c>
      <c r="C12" s="107">
        <v>1000</v>
      </c>
      <c r="D12" s="107">
        <v>200</v>
      </c>
      <c r="E12" s="107"/>
      <c r="G12" s="28" t="s">
        <v>57</v>
      </c>
      <c r="H12" s="2">
        <v>0.12</v>
      </c>
    </row>
    <row r="13" spans="2:10" x14ac:dyDescent="0.35">
      <c r="B13">
        <v>4</v>
      </c>
      <c r="C13" s="107">
        <v>1000</v>
      </c>
      <c r="D13" s="107">
        <v>200</v>
      </c>
      <c r="E13" s="107"/>
    </row>
    <row r="14" spans="2:10" x14ac:dyDescent="0.35">
      <c r="B14">
        <v>5</v>
      </c>
      <c r="C14" s="107"/>
      <c r="D14" s="107">
        <v>1200</v>
      </c>
      <c r="E14" s="107"/>
    </row>
    <row r="16" spans="2:10" ht="44" thickBot="1" x14ac:dyDescent="0.4">
      <c r="B16" s="38" t="s">
        <v>92</v>
      </c>
      <c r="C16" s="38"/>
      <c r="G16" s="108"/>
      <c r="H16" s="108"/>
      <c r="I16" s="30" t="s">
        <v>93</v>
      </c>
      <c r="J16" s="30" t="s">
        <v>94</v>
      </c>
    </row>
    <row r="17" spans="2:14" ht="15" thickTop="1" x14ac:dyDescent="0.35">
      <c r="C17" s="109" t="s">
        <v>75</v>
      </c>
      <c r="D17" s="109" t="s">
        <v>76</v>
      </c>
      <c r="E17" s="109" t="s">
        <v>77</v>
      </c>
      <c r="G17" s="28" t="s">
        <v>55</v>
      </c>
      <c r="H17" s="2">
        <v>0.01</v>
      </c>
      <c r="I17" s="2">
        <f>+NORMSINV(C5)</f>
        <v>-1.2815515655446006</v>
      </c>
      <c r="J17" s="2">
        <f>+NORMSINV(C6)</f>
        <v>-1.6448536269514726</v>
      </c>
    </row>
    <row r="18" spans="2:14" x14ac:dyDescent="0.35">
      <c r="C18" s="110">
        <f>NPV(E10+H11,C10:C13)</f>
        <v>2854.9783627131128</v>
      </c>
      <c r="D18" s="110">
        <f>NPV(+E10+H12,D10:D14)</f>
        <v>942.72720476903908</v>
      </c>
      <c r="E18" s="111">
        <f>+C18+D18</f>
        <v>3797.7055674821518</v>
      </c>
      <c r="G18" s="28" t="s">
        <v>56</v>
      </c>
      <c r="H18" s="2">
        <v>0.05</v>
      </c>
      <c r="I18" s="2">
        <f>+NORMSINV(C5+D5)</f>
        <v>0.84162123357291341</v>
      </c>
      <c r="J18" s="2">
        <f>+NORMSINV(C6+D6)</f>
        <v>-0.84162123357291452</v>
      </c>
    </row>
    <row r="19" spans="2:14" x14ac:dyDescent="0.35">
      <c r="G19" s="28" t="s">
        <v>57</v>
      </c>
      <c r="H19" s="2">
        <v>0.12</v>
      </c>
      <c r="I19" s="2">
        <f>+NORMSINV(C5+D5+E5)</f>
        <v>1.2815515655445999</v>
      </c>
      <c r="J19" s="2">
        <f>+NORMSINV(C6+D6+E6)</f>
        <v>0.84162123357291474</v>
      </c>
    </row>
    <row r="20" spans="2:14" x14ac:dyDescent="0.35">
      <c r="G20" s="28" t="s">
        <v>95</v>
      </c>
      <c r="H20" s="2" t="s">
        <v>95</v>
      </c>
    </row>
    <row r="21" spans="2:14" x14ac:dyDescent="0.35">
      <c r="B21" s="112" t="s">
        <v>96</v>
      </c>
      <c r="C21" s="113">
        <v>0.2</v>
      </c>
      <c r="D21" s="114"/>
      <c r="E21" s="109"/>
    </row>
    <row r="22" spans="2:14" x14ac:dyDescent="0.35">
      <c r="F22" s="63"/>
    </row>
    <row r="23" spans="2:14" ht="28.5" customHeight="1" x14ac:dyDescent="0.35">
      <c r="B23" s="115" t="s">
        <v>97</v>
      </c>
      <c r="C23" s="116" t="s">
        <v>98</v>
      </c>
      <c r="D23" s="115" t="s">
        <v>99</v>
      </c>
      <c r="E23" s="116" t="s">
        <v>100</v>
      </c>
      <c r="F23" s="117" t="s">
        <v>101</v>
      </c>
      <c r="G23" s="117" t="s">
        <v>102</v>
      </c>
      <c r="H23" s="117" t="s">
        <v>103</v>
      </c>
      <c r="I23" s="117" t="s">
        <v>104</v>
      </c>
      <c r="J23" s="117" t="s">
        <v>105</v>
      </c>
    </row>
    <row r="24" spans="2:14" x14ac:dyDescent="0.35">
      <c r="B24" s="118">
        <f t="shared" ref="B24:C43" ca="1" si="0">NORMSINV(RAND())</f>
        <v>-0.73539442894610652</v>
      </c>
      <c r="C24" s="119">
        <f t="shared" ca="1" si="0"/>
        <v>0.84676047343336924</v>
      </c>
      <c r="D24" s="118">
        <f t="shared" ref="D24:D87" ca="1" si="1">+B24</f>
        <v>-0.73539442894610652</v>
      </c>
      <c r="E24" s="119">
        <f t="shared" ref="E24:E87" ca="1" si="2">+$C$21*B24+C24*(1-$C$21^2)^0.5</f>
        <v>0.6825735519184849</v>
      </c>
      <c r="F24" s="2">
        <f t="shared" ref="F24:F87" ca="1" si="3">+IF(D24&lt;$I$17,$H$17,IF(D24&lt;$I$18,$H$18,IF(D24&lt;$I$19,$H$19,$H$20)))</f>
        <v>0.05</v>
      </c>
      <c r="G24" s="2">
        <f t="shared" ref="G24:G87" ca="1" si="4">+IF(E24&lt;$J$17,$H$17,IF(E24&lt;$J$18,$H$18,IF(E24&lt;$J$19,$H$19,$H$20)))</f>
        <v>0.12</v>
      </c>
      <c r="H24" s="72">
        <f t="shared" ref="H24:H87" ca="1" si="5">+IF(F24="D",0,$C$10+NPV($E$10+F24,$C$11:$C$13))</f>
        <v>3283.2251171200792</v>
      </c>
      <c r="I24" s="72">
        <f t="shared" ref="I24:I87" ca="1" si="6">+IF(G24="D",0,$D$10+NPV($E$10+G24,$D$11:$D$14))</f>
        <v>1150.1271898182279</v>
      </c>
      <c r="J24" s="72">
        <f t="shared" ref="J24:J87" ca="1" si="7">+I24+H24</f>
        <v>4433.3523069383073</v>
      </c>
      <c r="N24" s="67">
        <v>0.9</v>
      </c>
    </row>
    <row r="25" spans="2:14" x14ac:dyDescent="0.35">
      <c r="B25" s="118">
        <f t="shared" ca="1" si="0"/>
        <v>-0.28058099301045197</v>
      </c>
      <c r="C25" s="119">
        <f t="shared" ca="1" si="0"/>
        <v>5.6265617629043717E-2</v>
      </c>
      <c r="D25" s="118">
        <f t="shared" ca="1" si="1"/>
        <v>-0.28058099301045197</v>
      </c>
      <c r="E25" s="119">
        <f t="shared" ca="1" si="2"/>
        <v>-9.8737730060922263E-4</v>
      </c>
      <c r="F25" s="2">
        <f t="shared" ca="1" si="3"/>
        <v>0.05</v>
      </c>
      <c r="G25" s="2">
        <f t="shared" ca="1" si="4"/>
        <v>0.12</v>
      </c>
      <c r="H25" s="72">
        <f t="shared" ca="1" si="5"/>
        <v>3283.2251171200792</v>
      </c>
      <c r="I25" s="72">
        <f t="shared" ca="1" si="6"/>
        <v>1150.1271898182279</v>
      </c>
      <c r="J25" s="72">
        <f t="shared" ca="1" si="7"/>
        <v>4433.3523069383073</v>
      </c>
      <c r="M25" t="s">
        <v>106</v>
      </c>
      <c r="N25" s="72">
        <f ca="1">+PERCENTILE(J24:J523,1-N24)</f>
        <v>3042.2414210881088</v>
      </c>
    </row>
    <row r="26" spans="2:14" x14ac:dyDescent="0.35">
      <c r="B26" s="118">
        <f t="shared" ca="1" si="0"/>
        <v>0.87191525114097301</v>
      </c>
      <c r="C26" s="119">
        <f t="shared" ca="1" si="0"/>
        <v>1.8766848771626479</v>
      </c>
      <c r="D26" s="118">
        <f t="shared" ca="1" si="1"/>
        <v>0.87191525114097301</v>
      </c>
      <c r="E26" s="119">
        <f t="shared" ca="1" si="2"/>
        <v>2.0131511930466801</v>
      </c>
      <c r="F26" s="2">
        <f t="shared" ca="1" si="3"/>
        <v>0.12</v>
      </c>
      <c r="G26" s="2" t="str">
        <f t="shared" ca="1" si="4"/>
        <v>D</v>
      </c>
      <c r="H26" s="72">
        <f t="shared" ca="1" si="5"/>
        <v>3042.2414210881088</v>
      </c>
      <c r="I26" s="72">
        <f t="shared" ca="1" si="6"/>
        <v>0</v>
      </c>
      <c r="J26" s="72">
        <f t="shared" ca="1" si="7"/>
        <v>3042.2414210881088</v>
      </c>
      <c r="M26" t="s">
        <v>107</v>
      </c>
      <c r="N26" s="72">
        <f ca="1">+E18-N25</f>
        <v>755.46414639404293</v>
      </c>
    </row>
    <row r="27" spans="2:14" x14ac:dyDescent="0.35">
      <c r="B27" s="118">
        <f t="shared" ca="1" si="0"/>
        <v>-0.15419659586523371</v>
      </c>
      <c r="C27" s="119">
        <f t="shared" ca="1" si="0"/>
        <v>-3.0009334655418392</v>
      </c>
      <c r="D27" s="118">
        <f t="shared" ca="1" si="1"/>
        <v>-0.15419659586523371</v>
      </c>
      <c r="E27" s="119">
        <f t="shared" ca="1" si="2"/>
        <v>-2.971141616220851</v>
      </c>
      <c r="F27" s="2">
        <f t="shared" ca="1" si="3"/>
        <v>0.05</v>
      </c>
      <c r="G27" s="2">
        <f t="shared" ca="1" si="4"/>
        <v>0.01</v>
      </c>
      <c r="H27" s="72">
        <f t="shared" ca="1" si="5"/>
        <v>3283.2251171200792</v>
      </c>
      <c r="I27" s="72">
        <f t="shared" ca="1" si="6"/>
        <v>1479.2201120631812</v>
      </c>
      <c r="J27" s="72">
        <f t="shared" ca="1" si="7"/>
        <v>4762.4452291832604</v>
      </c>
    </row>
    <row r="28" spans="2:14" x14ac:dyDescent="0.35">
      <c r="B28" s="118">
        <f t="shared" ca="1" si="0"/>
        <v>-0.23206105666576718</v>
      </c>
      <c r="C28" s="119">
        <f t="shared" ca="1" si="0"/>
        <v>1.4427672041213226</v>
      </c>
      <c r="D28" s="118">
        <f t="shared" ca="1" si="1"/>
        <v>-0.23206105666576718</v>
      </c>
      <c r="E28" s="119">
        <f t="shared" ca="1" si="2"/>
        <v>1.3672051757545038</v>
      </c>
      <c r="F28" s="2">
        <f t="shared" ca="1" si="3"/>
        <v>0.05</v>
      </c>
      <c r="G28" s="2" t="str">
        <f t="shared" ca="1" si="4"/>
        <v>D</v>
      </c>
      <c r="H28" s="72">
        <f t="shared" ca="1" si="5"/>
        <v>3283.2251171200792</v>
      </c>
      <c r="I28" s="72">
        <f t="shared" ca="1" si="6"/>
        <v>0</v>
      </c>
      <c r="J28" s="72">
        <f t="shared" ca="1" si="7"/>
        <v>3283.2251171200792</v>
      </c>
    </row>
    <row r="29" spans="2:14" x14ac:dyDescent="0.35">
      <c r="B29" s="118">
        <f t="shared" ca="1" si="0"/>
        <v>-0.12805012428684739</v>
      </c>
      <c r="C29" s="119">
        <f t="shared" ca="1" si="0"/>
        <v>-6.0439224831018941E-2</v>
      </c>
      <c r="D29" s="118">
        <f t="shared" ca="1" si="1"/>
        <v>-0.12805012428684739</v>
      </c>
      <c r="E29" s="119">
        <f t="shared" ca="1" si="2"/>
        <v>-8.4828129371508382E-2</v>
      </c>
      <c r="F29" s="2">
        <f t="shared" ca="1" si="3"/>
        <v>0.05</v>
      </c>
      <c r="G29" s="2">
        <f t="shared" ca="1" si="4"/>
        <v>0.12</v>
      </c>
      <c r="H29" s="72">
        <f t="shared" ca="1" si="5"/>
        <v>3283.2251171200792</v>
      </c>
      <c r="I29" s="72">
        <f t="shared" ca="1" si="6"/>
        <v>1150.1271898182279</v>
      </c>
      <c r="J29" s="72">
        <f t="shared" ca="1" si="7"/>
        <v>4433.3523069383073</v>
      </c>
    </row>
    <row r="30" spans="2:14" x14ac:dyDescent="0.35">
      <c r="B30" s="118">
        <f t="shared" ca="1" si="0"/>
        <v>0.2419258715312636</v>
      </c>
      <c r="C30" s="119">
        <f t="shared" ca="1" si="0"/>
        <v>2.5691110116579576</v>
      </c>
      <c r="D30" s="118">
        <f t="shared" ca="1" si="1"/>
        <v>0.2419258715312636</v>
      </c>
      <c r="E30" s="119">
        <f t="shared" ca="1" si="2"/>
        <v>2.5655896027572451</v>
      </c>
      <c r="F30" s="2">
        <f t="shared" ca="1" si="3"/>
        <v>0.05</v>
      </c>
      <c r="G30" s="2" t="str">
        <f t="shared" ca="1" si="4"/>
        <v>D</v>
      </c>
      <c r="H30" s="72">
        <f t="shared" ca="1" si="5"/>
        <v>3283.2251171200792</v>
      </c>
      <c r="I30" s="72">
        <f t="shared" ca="1" si="6"/>
        <v>0</v>
      </c>
      <c r="J30" s="72">
        <f t="shared" ca="1" si="7"/>
        <v>3283.2251171200792</v>
      </c>
    </row>
    <row r="31" spans="2:14" x14ac:dyDescent="0.35">
      <c r="B31" s="118">
        <f t="shared" ca="1" si="0"/>
        <v>-1.3134158463384749</v>
      </c>
      <c r="C31" s="119">
        <f t="shared" ca="1" si="0"/>
        <v>-0.18389435754873787</v>
      </c>
      <c r="D31" s="118">
        <f t="shared" ca="1" si="1"/>
        <v>-1.3134158463384749</v>
      </c>
      <c r="E31" s="119">
        <f t="shared" ca="1" si="2"/>
        <v>-0.44286210629622924</v>
      </c>
      <c r="F31" s="2">
        <f t="shared" ca="1" si="3"/>
        <v>0.01</v>
      </c>
      <c r="G31" s="2">
        <f t="shared" ca="1" si="4"/>
        <v>0.12</v>
      </c>
      <c r="H31" s="72">
        <f t="shared" ca="1" si="5"/>
        <v>3443.7147154459058</v>
      </c>
      <c r="I31" s="72">
        <f t="shared" ca="1" si="6"/>
        <v>1150.1271898182279</v>
      </c>
      <c r="J31" s="72">
        <f t="shared" ca="1" si="7"/>
        <v>4593.8419052641339</v>
      </c>
    </row>
    <row r="32" spans="2:14" x14ac:dyDescent="0.35">
      <c r="B32" s="118">
        <f t="shared" ca="1" si="0"/>
        <v>-4.7046878185016398E-2</v>
      </c>
      <c r="C32" s="119">
        <f t="shared" ca="1" si="0"/>
        <v>-1.0989074513764234</v>
      </c>
      <c r="D32" s="118">
        <f t="shared" ca="1" si="1"/>
        <v>-4.7046878185016398E-2</v>
      </c>
      <c r="E32" s="119">
        <f t="shared" ca="1" si="2"/>
        <v>-1.0861143878028245</v>
      </c>
      <c r="F32" s="2">
        <f t="shared" ca="1" si="3"/>
        <v>0.05</v>
      </c>
      <c r="G32" s="2">
        <f t="shared" ca="1" si="4"/>
        <v>0.05</v>
      </c>
      <c r="H32" s="72">
        <f t="shared" ca="1" si="5"/>
        <v>3283.2251171200792</v>
      </c>
      <c r="I32" s="72">
        <f t="shared" ca="1" si="6"/>
        <v>1342.7489181356559</v>
      </c>
      <c r="J32" s="72">
        <f t="shared" ca="1" si="7"/>
        <v>4625.9740352557346</v>
      </c>
    </row>
    <row r="33" spans="2:10" x14ac:dyDescent="0.35">
      <c r="B33" s="118">
        <f t="shared" ca="1" si="0"/>
        <v>0.21917515791936218</v>
      </c>
      <c r="C33" s="119">
        <f t="shared" ca="1" si="0"/>
        <v>1.1058972832452634</v>
      </c>
      <c r="D33" s="118">
        <f t="shared" ca="1" si="1"/>
        <v>0.21917515791936218</v>
      </c>
      <c r="E33" s="119">
        <f t="shared" ca="1" si="2"/>
        <v>1.1273886523362946</v>
      </c>
      <c r="F33" s="2">
        <f t="shared" ca="1" si="3"/>
        <v>0.05</v>
      </c>
      <c r="G33" s="2" t="str">
        <f t="shared" ca="1" si="4"/>
        <v>D</v>
      </c>
      <c r="H33" s="72">
        <f t="shared" ca="1" si="5"/>
        <v>3283.2251171200792</v>
      </c>
      <c r="I33" s="72">
        <f t="shared" ca="1" si="6"/>
        <v>0</v>
      </c>
      <c r="J33" s="72">
        <f t="shared" ca="1" si="7"/>
        <v>3283.2251171200792</v>
      </c>
    </row>
    <row r="34" spans="2:10" x14ac:dyDescent="0.35">
      <c r="B34" s="118">
        <f t="shared" ca="1" si="0"/>
        <v>4.7044943062926441E-2</v>
      </c>
      <c r="C34" s="119">
        <f t="shared" ca="1" si="0"/>
        <v>-0.70892849649579792</v>
      </c>
      <c r="D34" s="118">
        <f t="shared" ca="1" si="1"/>
        <v>4.7044943062926441E-2</v>
      </c>
      <c r="E34" s="119">
        <f t="shared" ca="1" si="2"/>
        <v>-0.68519624360067755</v>
      </c>
      <c r="F34" s="2">
        <f t="shared" ca="1" si="3"/>
        <v>0.05</v>
      </c>
      <c r="G34" s="2">
        <f t="shared" ca="1" si="4"/>
        <v>0.12</v>
      </c>
      <c r="H34" s="72">
        <f t="shared" ca="1" si="5"/>
        <v>3283.2251171200792</v>
      </c>
      <c r="I34" s="72">
        <f t="shared" ca="1" si="6"/>
        <v>1150.1271898182279</v>
      </c>
      <c r="J34" s="72">
        <f t="shared" ca="1" si="7"/>
        <v>4433.3523069383073</v>
      </c>
    </row>
    <row r="35" spans="2:10" x14ac:dyDescent="0.35">
      <c r="B35" s="118">
        <f t="shared" ca="1" si="0"/>
        <v>0.95711221974549077</v>
      </c>
      <c r="C35" s="119">
        <f t="shared" ca="1" si="0"/>
        <v>0.63797409212196443</v>
      </c>
      <c r="D35" s="118">
        <f t="shared" ca="1" si="1"/>
        <v>0.95711221974549077</v>
      </c>
      <c r="E35" s="119">
        <f t="shared" ca="1" si="2"/>
        <v>0.81650684187476297</v>
      </c>
      <c r="F35" s="2">
        <f t="shared" ca="1" si="3"/>
        <v>0.12</v>
      </c>
      <c r="G35" s="2">
        <f t="shared" ca="1" si="4"/>
        <v>0.12</v>
      </c>
      <c r="H35" s="72">
        <f t="shared" ca="1" si="5"/>
        <v>3042.2414210881088</v>
      </c>
      <c r="I35" s="72">
        <f t="shared" ca="1" si="6"/>
        <v>1150.1271898182279</v>
      </c>
      <c r="J35" s="72">
        <f t="shared" ca="1" si="7"/>
        <v>4192.3686109063365</v>
      </c>
    </row>
    <row r="36" spans="2:10" x14ac:dyDescent="0.35">
      <c r="B36" s="118">
        <f t="shared" ca="1" si="0"/>
        <v>-0.59702883827279563</v>
      </c>
      <c r="C36" s="119">
        <f t="shared" ca="1" si="0"/>
        <v>-1.2128729122014201</v>
      </c>
      <c r="D36" s="118">
        <f t="shared" ca="1" si="1"/>
        <v>-0.59702883827279563</v>
      </c>
      <c r="E36" s="119">
        <f t="shared" ca="1" si="2"/>
        <v>-1.3077736707493353</v>
      </c>
      <c r="F36" s="2">
        <f t="shared" ca="1" si="3"/>
        <v>0.05</v>
      </c>
      <c r="G36" s="2">
        <f t="shared" ca="1" si="4"/>
        <v>0.05</v>
      </c>
      <c r="H36" s="72">
        <f t="shared" ca="1" si="5"/>
        <v>3283.2251171200792</v>
      </c>
      <c r="I36" s="72">
        <f t="shared" ca="1" si="6"/>
        <v>1342.7489181356559</v>
      </c>
      <c r="J36" s="72">
        <f t="shared" ca="1" si="7"/>
        <v>4625.9740352557346</v>
      </c>
    </row>
    <row r="37" spans="2:10" x14ac:dyDescent="0.35">
      <c r="B37" s="118">
        <f t="shared" ca="1" si="0"/>
        <v>-0.41815573841171427</v>
      </c>
      <c r="C37" s="119">
        <f t="shared" ca="1" si="0"/>
        <v>2.7775490702524119E-2</v>
      </c>
      <c r="D37" s="118">
        <f t="shared" ca="1" si="1"/>
        <v>-0.41815573841171427</v>
      </c>
      <c r="E37" s="119">
        <f t="shared" ca="1" si="2"/>
        <v>-5.6416835851701923E-2</v>
      </c>
      <c r="F37" s="2">
        <f t="shared" ca="1" si="3"/>
        <v>0.05</v>
      </c>
      <c r="G37" s="2">
        <f t="shared" ca="1" si="4"/>
        <v>0.12</v>
      </c>
      <c r="H37" s="72">
        <f t="shared" ca="1" si="5"/>
        <v>3283.2251171200792</v>
      </c>
      <c r="I37" s="72">
        <f t="shared" ca="1" si="6"/>
        <v>1150.1271898182279</v>
      </c>
      <c r="J37" s="72">
        <f t="shared" ca="1" si="7"/>
        <v>4433.3523069383073</v>
      </c>
    </row>
    <row r="38" spans="2:10" x14ac:dyDescent="0.35">
      <c r="B38" s="118">
        <f t="shared" ca="1" si="0"/>
        <v>0.70282598560852727</v>
      </c>
      <c r="C38" s="119">
        <f t="shared" ca="1" si="0"/>
        <v>0.37280798081599464</v>
      </c>
      <c r="D38" s="118">
        <f t="shared" ca="1" si="1"/>
        <v>0.70282598560852727</v>
      </c>
      <c r="E38" s="119">
        <f t="shared" ca="1" si="2"/>
        <v>0.50584092713630013</v>
      </c>
      <c r="F38" s="2">
        <f t="shared" ca="1" si="3"/>
        <v>0.05</v>
      </c>
      <c r="G38" s="2">
        <f t="shared" ca="1" si="4"/>
        <v>0.12</v>
      </c>
      <c r="H38" s="72">
        <f t="shared" ca="1" si="5"/>
        <v>3283.2251171200792</v>
      </c>
      <c r="I38" s="72">
        <f t="shared" ca="1" si="6"/>
        <v>1150.1271898182279</v>
      </c>
      <c r="J38" s="72">
        <f t="shared" ca="1" si="7"/>
        <v>4433.3523069383073</v>
      </c>
    </row>
    <row r="39" spans="2:10" x14ac:dyDescent="0.35">
      <c r="B39" s="118">
        <f t="shared" ca="1" si="0"/>
        <v>-0.36586329773502657</v>
      </c>
      <c r="C39" s="119">
        <f t="shared" ca="1" si="0"/>
        <v>2.8664456242640309E-2</v>
      </c>
      <c r="D39" s="118">
        <f t="shared" ca="1" si="1"/>
        <v>-0.36586329773502657</v>
      </c>
      <c r="E39" s="119">
        <f t="shared" ca="1" si="2"/>
        <v>-4.5087342927483454E-2</v>
      </c>
      <c r="F39" s="2">
        <f t="shared" ca="1" si="3"/>
        <v>0.05</v>
      </c>
      <c r="G39" s="2">
        <f t="shared" ca="1" si="4"/>
        <v>0.12</v>
      </c>
      <c r="H39" s="72">
        <f t="shared" ca="1" si="5"/>
        <v>3283.2251171200792</v>
      </c>
      <c r="I39" s="72">
        <f t="shared" ca="1" si="6"/>
        <v>1150.1271898182279</v>
      </c>
      <c r="J39" s="72">
        <f t="shared" ca="1" si="7"/>
        <v>4433.3523069383073</v>
      </c>
    </row>
    <row r="40" spans="2:10" x14ac:dyDescent="0.35">
      <c r="B40" s="118">
        <f t="shared" ca="1" si="0"/>
        <v>0.36566297421613525</v>
      </c>
      <c r="C40" s="119">
        <f t="shared" ca="1" si="0"/>
        <v>-0.12397851550861451</v>
      </c>
      <c r="D40" s="118">
        <f t="shared" ca="1" si="1"/>
        <v>0.36566297421613525</v>
      </c>
      <c r="E40" s="119">
        <f t="shared" ca="1" si="2"/>
        <v>-4.8341045982307512E-2</v>
      </c>
      <c r="F40" s="2">
        <f t="shared" ca="1" si="3"/>
        <v>0.05</v>
      </c>
      <c r="G40" s="2">
        <f t="shared" ca="1" si="4"/>
        <v>0.12</v>
      </c>
      <c r="H40" s="72">
        <f t="shared" ca="1" si="5"/>
        <v>3283.2251171200792</v>
      </c>
      <c r="I40" s="72">
        <f t="shared" ca="1" si="6"/>
        <v>1150.1271898182279</v>
      </c>
      <c r="J40" s="72">
        <f t="shared" ca="1" si="7"/>
        <v>4433.3523069383073</v>
      </c>
    </row>
    <row r="41" spans="2:10" x14ac:dyDescent="0.35">
      <c r="B41" s="118">
        <f t="shared" ca="1" si="0"/>
        <v>-2.5124855869637672</v>
      </c>
      <c r="C41" s="119">
        <f t="shared" ca="1" si="0"/>
        <v>0.30347119750769236</v>
      </c>
      <c r="D41" s="118">
        <f t="shared" ca="1" si="1"/>
        <v>-2.5124855869637672</v>
      </c>
      <c r="E41" s="119">
        <f t="shared" ca="1" si="2"/>
        <v>-0.20515728318266535</v>
      </c>
      <c r="F41" s="2">
        <f t="shared" ca="1" si="3"/>
        <v>0.01</v>
      </c>
      <c r="G41" s="2">
        <f t="shared" ca="1" si="4"/>
        <v>0.12</v>
      </c>
      <c r="H41" s="72">
        <f t="shared" ca="1" si="5"/>
        <v>3443.7147154459058</v>
      </c>
      <c r="I41" s="72">
        <f t="shared" ca="1" si="6"/>
        <v>1150.1271898182279</v>
      </c>
      <c r="J41" s="72">
        <f t="shared" ca="1" si="7"/>
        <v>4593.8419052641339</v>
      </c>
    </row>
    <row r="42" spans="2:10" x14ac:dyDescent="0.35">
      <c r="B42" s="118">
        <f t="shared" ca="1" si="0"/>
        <v>-0.12198995938995202</v>
      </c>
      <c r="C42" s="119">
        <f t="shared" ca="1" si="0"/>
        <v>-0.33556029321970182</v>
      </c>
      <c r="D42" s="118">
        <f t="shared" ca="1" si="1"/>
        <v>-0.12198995938995202</v>
      </c>
      <c r="E42" s="119">
        <f t="shared" ca="1" si="2"/>
        <v>-0.35317859040878047</v>
      </c>
      <c r="F42" s="2">
        <f t="shared" ca="1" si="3"/>
        <v>0.05</v>
      </c>
      <c r="G42" s="2">
        <f t="shared" ca="1" si="4"/>
        <v>0.12</v>
      </c>
      <c r="H42" s="72">
        <f t="shared" ca="1" si="5"/>
        <v>3283.2251171200792</v>
      </c>
      <c r="I42" s="72">
        <f t="shared" ca="1" si="6"/>
        <v>1150.1271898182279</v>
      </c>
      <c r="J42" s="72">
        <f t="shared" ca="1" si="7"/>
        <v>4433.3523069383073</v>
      </c>
    </row>
    <row r="43" spans="2:10" x14ac:dyDescent="0.35">
      <c r="B43" s="118">
        <f t="shared" ca="1" si="0"/>
        <v>0.63659529209061338</v>
      </c>
      <c r="C43" s="119">
        <f t="shared" ca="1" si="0"/>
        <v>-0.34453863668998014</v>
      </c>
      <c r="D43" s="118">
        <f t="shared" ca="1" si="1"/>
        <v>0.63659529209061338</v>
      </c>
      <c r="E43" s="119">
        <f t="shared" ca="1" si="2"/>
        <v>-0.21025848420771981</v>
      </c>
      <c r="F43" s="2">
        <f t="shared" ca="1" si="3"/>
        <v>0.05</v>
      </c>
      <c r="G43" s="2">
        <f t="shared" ca="1" si="4"/>
        <v>0.12</v>
      </c>
      <c r="H43" s="72">
        <f t="shared" ca="1" si="5"/>
        <v>3283.2251171200792</v>
      </c>
      <c r="I43" s="72">
        <f t="shared" ca="1" si="6"/>
        <v>1150.1271898182279</v>
      </c>
      <c r="J43" s="72">
        <f t="shared" ca="1" si="7"/>
        <v>4433.3523069383073</v>
      </c>
    </row>
    <row r="44" spans="2:10" x14ac:dyDescent="0.35">
      <c r="B44" s="118">
        <f t="shared" ref="B44:C63" ca="1" si="8">NORMSINV(RAND())</f>
        <v>1.6321798770692153</v>
      </c>
      <c r="C44" s="119">
        <f t="shared" ca="1" si="8"/>
        <v>-1.2014895070891103</v>
      </c>
      <c r="D44" s="118">
        <f t="shared" ca="1" si="1"/>
        <v>1.6321798770692153</v>
      </c>
      <c r="E44" s="119">
        <f t="shared" ca="1" si="2"/>
        <v>-0.85077851405671368</v>
      </c>
      <c r="F44" s="2" t="str">
        <f t="shared" ca="1" si="3"/>
        <v>D</v>
      </c>
      <c r="G44" s="2">
        <f t="shared" ca="1" si="4"/>
        <v>0.05</v>
      </c>
      <c r="H44" s="72">
        <f t="shared" ca="1" si="5"/>
        <v>0</v>
      </c>
      <c r="I44" s="72">
        <f t="shared" ca="1" si="6"/>
        <v>1342.7489181356559</v>
      </c>
      <c r="J44" s="72">
        <f t="shared" ca="1" si="7"/>
        <v>1342.7489181356559</v>
      </c>
    </row>
    <row r="45" spans="2:10" x14ac:dyDescent="0.35">
      <c r="B45" s="118">
        <f t="shared" ca="1" si="8"/>
        <v>0.60159914739627796</v>
      </c>
      <c r="C45" s="119">
        <f t="shared" ca="1" si="8"/>
        <v>-1.4290974524043925</v>
      </c>
      <c r="D45" s="118">
        <f t="shared" ca="1" si="1"/>
        <v>0.60159914739627796</v>
      </c>
      <c r="E45" s="119">
        <f t="shared" ca="1" si="2"/>
        <v>-1.2799039909615966</v>
      </c>
      <c r="F45" s="2">
        <f t="shared" ca="1" si="3"/>
        <v>0.05</v>
      </c>
      <c r="G45" s="2">
        <f t="shared" ca="1" si="4"/>
        <v>0.05</v>
      </c>
      <c r="H45" s="72">
        <f t="shared" ca="1" si="5"/>
        <v>3283.2251171200792</v>
      </c>
      <c r="I45" s="72">
        <f t="shared" ca="1" si="6"/>
        <v>1342.7489181356559</v>
      </c>
      <c r="J45" s="72">
        <f t="shared" ca="1" si="7"/>
        <v>4625.9740352557346</v>
      </c>
    </row>
    <row r="46" spans="2:10" x14ac:dyDescent="0.35">
      <c r="B46" s="118">
        <f t="shared" ca="1" si="8"/>
        <v>0.51067596330726484</v>
      </c>
      <c r="C46" s="119">
        <f t="shared" ca="1" si="8"/>
        <v>0.70524704289333451</v>
      </c>
      <c r="D46" s="118">
        <f t="shared" ca="1" si="1"/>
        <v>0.51067596330726484</v>
      </c>
      <c r="E46" s="119">
        <f t="shared" ca="1" si="2"/>
        <v>0.7931333517396093</v>
      </c>
      <c r="F46" s="2">
        <f t="shared" ca="1" si="3"/>
        <v>0.05</v>
      </c>
      <c r="G46" s="2">
        <f t="shared" ca="1" si="4"/>
        <v>0.12</v>
      </c>
      <c r="H46" s="72">
        <f t="shared" ca="1" si="5"/>
        <v>3283.2251171200792</v>
      </c>
      <c r="I46" s="72">
        <f t="shared" ca="1" si="6"/>
        <v>1150.1271898182279</v>
      </c>
      <c r="J46" s="72">
        <f t="shared" ca="1" si="7"/>
        <v>4433.3523069383073</v>
      </c>
    </row>
    <row r="47" spans="2:10" x14ac:dyDescent="0.35">
      <c r="B47" s="118">
        <f t="shared" ca="1" si="8"/>
        <v>0.88318919769283821</v>
      </c>
      <c r="C47" s="119">
        <f t="shared" ca="1" si="8"/>
        <v>-0.54002825965289813</v>
      </c>
      <c r="D47" s="118">
        <f t="shared" ca="1" si="1"/>
        <v>0.88318919769283821</v>
      </c>
      <c r="E47" s="119">
        <f t="shared" ca="1" si="2"/>
        <v>-0.35247963359456219</v>
      </c>
      <c r="F47" s="2">
        <f t="shared" ca="1" si="3"/>
        <v>0.12</v>
      </c>
      <c r="G47" s="2">
        <f t="shared" ca="1" si="4"/>
        <v>0.12</v>
      </c>
      <c r="H47" s="72">
        <f t="shared" ca="1" si="5"/>
        <v>3042.2414210881088</v>
      </c>
      <c r="I47" s="72">
        <f t="shared" ca="1" si="6"/>
        <v>1150.1271898182279</v>
      </c>
      <c r="J47" s="72">
        <f t="shared" ca="1" si="7"/>
        <v>4192.3686109063365</v>
      </c>
    </row>
    <row r="48" spans="2:10" x14ac:dyDescent="0.35">
      <c r="B48" s="118">
        <f t="shared" ca="1" si="8"/>
        <v>0.64401001931743995</v>
      </c>
      <c r="C48" s="119">
        <f t="shared" ca="1" si="8"/>
        <v>-0.47311504986874359</v>
      </c>
      <c r="D48" s="118">
        <f t="shared" ca="1" si="1"/>
        <v>0.64401001931743995</v>
      </c>
      <c r="E48" s="119">
        <f t="shared" ca="1" si="2"/>
        <v>-0.33475418086044767</v>
      </c>
      <c r="F48" s="2">
        <f t="shared" ca="1" si="3"/>
        <v>0.05</v>
      </c>
      <c r="G48" s="2">
        <f t="shared" ca="1" si="4"/>
        <v>0.12</v>
      </c>
      <c r="H48" s="72">
        <f t="shared" ca="1" si="5"/>
        <v>3283.2251171200792</v>
      </c>
      <c r="I48" s="72">
        <f t="shared" ca="1" si="6"/>
        <v>1150.1271898182279</v>
      </c>
      <c r="J48" s="72">
        <f t="shared" ca="1" si="7"/>
        <v>4433.3523069383073</v>
      </c>
    </row>
    <row r="49" spans="2:10" x14ac:dyDescent="0.35">
      <c r="B49" s="118">
        <f t="shared" ca="1" si="8"/>
        <v>-0.24156851685712777</v>
      </c>
      <c r="C49" s="119">
        <f t="shared" ca="1" si="8"/>
        <v>0.83669617934734486</v>
      </c>
      <c r="D49" s="118">
        <f t="shared" ca="1" si="1"/>
        <v>-0.24156851685712777</v>
      </c>
      <c r="E49" s="119">
        <f t="shared" ca="1" si="2"/>
        <v>0.7714777802834526</v>
      </c>
      <c r="F49" s="2">
        <f t="shared" ca="1" si="3"/>
        <v>0.05</v>
      </c>
      <c r="G49" s="2">
        <f t="shared" ca="1" si="4"/>
        <v>0.12</v>
      </c>
      <c r="H49" s="72">
        <f t="shared" ca="1" si="5"/>
        <v>3283.2251171200792</v>
      </c>
      <c r="I49" s="72">
        <f t="shared" ca="1" si="6"/>
        <v>1150.1271898182279</v>
      </c>
      <c r="J49" s="72">
        <f t="shared" ca="1" si="7"/>
        <v>4433.3523069383073</v>
      </c>
    </row>
    <row r="50" spans="2:10" x14ac:dyDescent="0.35">
      <c r="B50" s="118">
        <f t="shared" ca="1" si="8"/>
        <v>0.10567608415544119</v>
      </c>
      <c r="C50" s="119">
        <f t="shared" ca="1" si="8"/>
        <v>0.86311523674736168</v>
      </c>
      <c r="D50" s="118">
        <f t="shared" ca="1" si="1"/>
        <v>0.10567608415544119</v>
      </c>
      <c r="E50" s="119">
        <f t="shared" ca="1" si="2"/>
        <v>0.86681198453210295</v>
      </c>
      <c r="F50" s="2">
        <f t="shared" ca="1" si="3"/>
        <v>0.05</v>
      </c>
      <c r="G50" s="2" t="str">
        <f t="shared" ca="1" si="4"/>
        <v>D</v>
      </c>
      <c r="H50" s="72">
        <f t="shared" ca="1" si="5"/>
        <v>3283.2251171200792</v>
      </c>
      <c r="I50" s="72">
        <f t="shared" ca="1" si="6"/>
        <v>0</v>
      </c>
      <c r="J50" s="72">
        <f t="shared" ca="1" si="7"/>
        <v>3283.2251171200792</v>
      </c>
    </row>
    <row r="51" spans="2:10" x14ac:dyDescent="0.35">
      <c r="B51" s="118">
        <f t="shared" ca="1" si="8"/>
        <v>0.74397937677084813</v>
      </c>
      <c r="C51" s="119">
        <f t="shared" ca="1" si="8"/>
        <v>0.79932207981116798</v>
      </c>
      <c r="D51" s="118">
        <f t="shared" ca="1" si="1"/>
        <v>0.74397937677084813</v>
      </c>
      <c r="E51" s="119">
        <f t="shared" ca="1" si="2"/>
        <v>0.93196836962519869</v>
      </c>
      <c r="F51" s="2">
        <f t="shared" ca="1" si="3"/>
        <v>0.05</v>
      </c>
      <c r="G51" s="2" t="str">
        <f t="shared" ca="1" si="4"/>
        <v>D</v>
      </c>
      <c r="H51" s="72">
        <f t="shared" ca="1" si="5"/>
        <v>3283.2251171200792</v>
      </c>
      <c r="I51" s="72">
        <f t="shared" ca="1" si="6"/>
        <v>0</v>
      </c>
      <c r="J51" s="72">
        <f t="shared" ca="1" si="7"/>
        <v>3283.2251171200792</v>
      </c>
    </row>
    <row r="52" spans="2:10" x14ac:dyDescent="0.35">
      <c r="B52" s="118">
        <f t="shared" ca="1" si="8"/>
        <v>-1.1792263395339673</v>
      </c>
      <c r="C52" s="119">
        <f t="shared" ca="1" si="8"/>
        <v>2.3331331010605751</v>
      </c>
      <c r="D52" s="118">
        <f t="shared" ca="1" si="1"/>
        <v>-1.1792263395339673</v>
      </c>
      <c r="E52" s="119">
        <f t="shared" ca="1" si="2"/>
        <v>2.0501489719315211</v>
      </c>
      <c r="F52" s="2">
        <f t="shared" ca="1" si="3"/>
        <v>0.05</v>
      </c>
      <c r="G52" s="2" t="str">
        <f t="shared" ca="1" si="4"/>
        <v>D</v>
      </c>
      <c r="H52" s="72">
        <f t="shared" ca="1" si="5"/>
        <v>3283.2251171200792</v>
      </c>
      <c r="I52" s="72">
        <f t="shared" ca="1" si="6"/>
        <v>0</v>
      </c>
      <c r="J52" s="72">
        <f t="shared" ca="1" si="7"/>
        <v>3283.2251171200792</v>
      </c>
    </row>
    <row r="53" spans="2:10" x14ac:dyDescent="0.35">
      <c r="B53" s="118">
        <f t="shared" ca="1" si="8"/>
        <v>0.10098975728874705</v>
      </c>
      <c r="C53" s="119">
        <f t="shared" ca="1" si="8"/>
        <v>0.61093563567121745</v>
      </c>
      <c r="D53" s="118">
        <f t="shared" ca="1" si="1"/>
        <v>0.10098975728874705</v>
      </c>
      <c r="E53" s="119">
        <f t="shared" ca="1" si="2"/>
        <v>0.61879018068869651</v>
      </c>
      <c r="F53" s="2">
        <f t="shared" ca="1" si="3"/>
        <v>0.05</v>
      </c>
      <c r="G53" s="2">
        <f t="shared" ca="1" si="4"/>
        <v>0.12</v>
      </c>
      <c r="H53" s="72">
        <f t="shared" ca="1" si="5"/>
        <v>3283.2251171200792</v>
      </c>
      <c r="I53" s="72">
        <f t="shared" ca="1" si="6"/>
        <v>1150.1271898182279</v>
      </c>
      <c r="J53" s="72">
        <f t="shared" ca="1" si="7"/>
        <v>4433.3523069383073</v>
      </c>
    </row>
    <row r="54" spans="2:10" x14ac:dyDescent="0.35">
      <c r="B54" s="118">
        <f t="shared" ca="1" si="8"/>
        <v>0.63424480894828739</v>
      </c>
      <c r="C54" s="119">
        <f t="shared" ca="1" si="8"/>
        <v>-6.5814457096380466E-2</v>
      </c>
      <c r="D54" s="118">
        <f t="shared" ca="1" si="1"/>
        <v>0.63424480894828739</v>
      </c>
      <c r="E54" s="119">
        <f t="shared" ca="1" si="2"/>
        <v>6.2364226755886487E-2</v>
      </c>
      <c r="F54" s="2">
        <f t="shared" ca="1" si="3"/>
        <v>0.05</v>
      </c>
      <c r="G54" s="2">
        <f t="shared" ca="1" si="4"/>
        <v>0.12</v>
      </c>
      <c r="H54" s="72">
        <f t="shared" ca="1" si="5"/>
        <v>3283.2251171200792</v>
      </c>
      <c r="I54" s="72">
        <f t="shared" ca="1" si="6"/>
        <v>1150.1271898182279</v>
      </c>
      <c r="J54" s="72">
        <f t="shared" ca="1" si="7"/>
        <v>4433.3523069383073</v>
      </c>
    </row>
    <row r="55" spans="2:10" x14ac:dyDescent="0.35">
      <c r="B55" s="118">
        <f t="shared" ca="1" si="8"/>
        <v>-1.8086474677891184</v>
      </c>
      <c r="C55" s="119">
        <f t="shared" ca="1" si="8"/>
        <v>0.11781533288858125</v>
      </c>
      <c r="D55" s="118">
        <f t="shared" ca="1" si="1"/>
        <v>-1.8086474677891184</v>
      </c>
      <c r="E55" s="119">
        <f t="shared" ca="1" si="2"/>
        <v>-0.24629451377655753</v>
      </c>
      <c r="F55" s="2">
        <f t="shared" ca="1" si="3"/>
        <v>0.01</v>
      </c>
      <c r="G55" s="2">
        <f t="shared" ca="1" si="4"/>
        <v>0.12</v>
      </c>
      <c r="H55" s="72">
        <f t="shared" ca="1" si="5"/>
        <v>3443.7147154459058</v>
      </c>
      <c r="I55" s="72">
        <f t="shared" ca="1" si="6"/>
        <v>1150.1271898182279</v>
      </c>
      <c r="J55" s="72">
        <f t="shared" ca="1" si="7"/>
        <v>4593.8419052641339</v>
      </c>
    </row>
    <row r="56" spans="2:10" x14ac:dyDescent="0.35">
      <c r="B56" s="118">
        <f t="shared" ca="1" si="8"/>
        <v>0.65575756501584637</v>
      </c>
      <c r="C56" s="119">
        <f t="shared" ca="1" si="8"/>
        <v>0.15898161794956361</v>
      </c>
      <c r="D56" s="118">
        <f t="shared" ca="1" si="1"/>
        <v>0.65575756501584637</v>
      </c>
      <c r="E56" s="119">
        <f t="shared" ca="1" si="2"/>
        <v>0.2869210499865813</v>
      </c>
      <c r="F56" s="2">
        <f t="shared" ca="1" si="3"/>
        <v>0.05</v>
      </c>
      <c r="G56" s="2">
        <f t="shared" ca="1" si="4"/>
        <v>0.12</v>
      </c>
      <c r="H56" s="72">
        <f t="shared" ca="1" si="5"/>
        <v>3283.2251171200792</v>
      </c>
      <c r="I56" s="72">
        <f t="shared" ca="1" si="6"/>
        <v>1150.1271898182279</v>
      </c>
      <c r="J56" s="72">
        <f t="shared" ca="1" si="7"/>
        <v>4433.3523069383073</v>
      </c>
    </row>
    <row r="57" spans="2:10" x14ac:dyDescent="0.35">
      <c r="B57" s="118">
        <f t="shared" ca="1" si="8"/>
        <v>-1.4876181965268978E-2</v>
      </c>
      <c r="C57" s="119">
        <f t="shared" ca="1" si="8"/>
        <v>-1.3628959756314794</v>
      </c>
      <c r="D57" s="118">
        <f t="shared" ca="1" si="1"/>
        <v>-1.4876181965268978E-2</v>
      </c>
      <c r="E57" s="119">
        <f t="shared" ca="1" si="2"/>
        <v>-1.3383351215089661</v>
      </c>
      <c r="F57" s="2">
        <f t="shared" ca="1" si="3"/>
        <v>0.05</v>
      </c>
      <c r="G57" s="2">
        <f t="shared" ca="1" si="4"/>
        <v>0.05</v>
      </c>
      <c r="H57" s="72">
        <f t="shared" ca="1" si="5"/>
        <v>3283.2251171200792</v>
      </c>
      <c r="I57" s="72">
        <f t="shared" ca="1" si="6"/>
        <v>1342.7489181356559</v>
      </c>
      <c r="J57" s="72">
        <f t="shared" ca="1" si="7"/>
        <v>4625.9740352557346</v>
      </c>
    </row>
    <row r="58" spans="2:10" x14ac:dyDescent="0.35">
      <c r="B58" s="118">
        <f t="shared" ca="1" si="8"/>
        <v>2.297875992001309</v>
      </c>
      <c r="C58" s="119">
        <f t="shared" ca="1" si="8"/>
        <v>-0.49248997286579965</v>
      </c>
      <c r="D58" s="118">
        <f t="shared" ca="1" si="1"/>
        <v>2.297875992001309</v>
      </c>
      <c r="E58" s="119">
        <f t="shared" ca="1" si="2"/>
        <v>-2.2964456383074927E-2</v>
      </c>
      <c r="F58" s="2" t="str">
        <f t="shared" ca="1" si="3"/>
        <v>D</v>
      </c>
      <c r="G58" s="2">
        <f t="shared" ca="1" si="4"/>
        <v>0.12</v>
      </c>
      <c r="H58" s="72">
        <f t="shared" ca="1" si="5"/>
        <v>0</v>
      </c>
      <c r="I58" s="72">
        <f t="shared" ca="1" si="6"/>
        <v>1150.1271898182279</v>
      </c>
      <c r="J58" s="72">
        <f t="shared" ca="1" si="7"/>
        <v>1150.1271898182279</v>
      </c>
    </row>
    <row r="59" spans="2:10" x14ac:dyDescent="0.35">
      <c r="B59" s="118">
        <f t="shared" ca="1" si="8"/>
        <v>0.26242253995795045</v>
      </c>
      <c r="C59" s="119">
        <f t="shared" ca="1" si="8"/>
        <v>1.2735384863033086</v>
      </c>
      <c r="D59" s="118">
        <f t="shared" ca="1" si="1"/>
        <v>0.26242253995795045</v>
      </c>
      <c r="E59" s="119">
        <f t="shared" ca="1" si="2"/>
        <v>1.3002922916874178</v>
      </c>
      <c r="F59" s="2">
        <f t="shared" ca="1" si="3"/>
        <v>0.05</v>
      </c>
      <c r="G59" s="2" t="str">
        <f t="shared" ca="1" si="4"/>
        <v>D</v>
      </c>
      <c r="H59" s="72">
        <f t="shared" ca="1" si="5"/>
        <v>3283.2251171200792</v>
      </c>
      <c r="I59" s="72">
        <f t="shared" ca="1" si="6"/>
        <v>0</v>
      </c>
      <c r="J59" s="72">
        <f t="shared" ca="1" si="7"/>
        <v>3283.2251171200792</v>
      </c>
    </row>
    <row r="60" spans="2:10" x14ac:dyDescent="0.35">
      <c r="B60" s="118">
        <f t="shared" ca="1" si="8"/>
        <v>-0.49047628007635391</v>
      </c>
      <c r="C60" s="119">
        <f t="shared" ca="1" si="8"/>
        <v>-1.4712262677361603</v>
      </c>
      <c r="D60" s="118">
        <f t="shared" ca="1" si="1"/>
        <v>-0.49047628007635391</v>
      </c>
      <c r="E60" s="119">
        <f t="shared" ca="1" si="2"/>
        <v>-1.5395967168684317</v>
      </c>
      <c r="F60" s="2">
        <f t="shared" ca="1" si="3"/>
        <v>0.05</v>
      </c>
      <c r="G60" s="2">
        <f t="shared" ca="1" si="4"/>
        <v>0.05</v>
      </c>
      <c r="H60" s="72">
        <f t="shared" ca="1" si="5"/>
        <v>3283.2251171200792</v>
      </c>
      <c r="I60" s="72">
        <f t="shared" ca="1" si="6"/>
        <v>1342.7489181356559</v>
      </c>
      <c r="J60" s="72">
        <f t="shared" ca="1" si="7"/>
        <v>4625.9740352557346</v>
      </c>
    </row>
    <row r="61" spans="2:10" x14ac:dyDescent="0.35">
      <c r="B61" s="118">
        <f t="shared" ca="1" si="8"/>
        <v>-1.3362136571685543</v>
      </c>
      <c r="C61" s="119">
        <f t="shared" ca="1" si="8"/>
        <v>-8.3051912391791397E-2</v>
      </c>
      <c r="D61" s="118">
        <f t="shared" ca="1" si="1"/>
        <v>-1.3362136571685543</v>
      </c>
      <c r="E61" s="119">
        <f t="shared" ca="1" si="2"/>
        <v>-0.34861665444259893</v>
      </c>
      <c r="F61" s="2">
        <f t="shared" ca="1" si="3"/>
        <v>0.01</v>
      </c>
      <c r="G61" s="2">
        <f t="shared" ca="1" si="4"/>
        <v>0.12</v>
      </c>
      <c r="H61" s="72">
        <f t="shared" ca="1" si="5"/>
        <v>3443.7147154459058</v>
      </c>
      <c r="I61" s="72">
        <f t="shared" ca="1" si="6"/>
        <v>1150.1271898182279</v>
      </c>
      <c r="J61" s="72">
        <f t="shared" ca="1" si="7"/>
        <v>4593.8419052641339</v>
      </c>
    </row>
    <row r="62" spans="2:10" x14ac:dyDescent="0.35">
      <c r="B62" s="118">
        <f t="shared" ca="1" si="8"/>
        <v>-0.68966757886505514</v>
      </c>
      <c r="C62" s="119">
        <f t="shared" ca="1" si="8"/>
        <v>0.58323288437991128</v>
      </c>
      <c r="D62" s="118">
        <f t="shared" ca="1" si="1"/>
        <v>-0.68966757886505514</v>
      </c>
      <c r="E62" s="119">
        <f t="shared" ca="1" si="2"/>
        <v>0.43351567140396485</v>
      </c>
      <c r="F62" s="2">
        <f t="shared" ca="1" si="3"/>
        <v>0.05</v>
      </c>
      <c r="G62" s="2">
        <f t="shared" ca="1" si="4"/>
        <v>0.12</v>
      </c>
      <c r="H62" s="72">
        <f t="shared" ca="1" si="5"/>
        <v>3283.2251171200792</v>
      </c>
      <c r="I62" s="72">
        <f t="shared" ca="1" si="6"/>
        <v>1150.1271898182279</v>
      </c>
      <c r="J62" s="72">
        <f t="shared" ca="1" si="7"/>
        <v>4433.3523069383073</v>
      </c>
    </row>
    <row r="63" spans="2:10" x14ac:dyDescent="0.35">
      <c r="B63" s="118">
        <f t="shared" ca="1" si="8"/>
        <v>0.29199123552759426</v>
      </c>
      <c r="C63" s="119">
        <f t="shared" ca="1" si="8"/>
        <v>0.70725337796792032</v>
      </c>
      <c r="D63" s="118">
        <f t="shared" ca="1" si="1"/>
        <v>0.29199123552759426</v>
      </c>
      <c r="E63" s="119">
        <f t="shared" ca="1" si="2"/>
        <v>0.7513622050579889</v>
      </c>
      <c r="F63" s="2">
        <f t="shared" ca="1" si="3"/>
        <v>0.05</v>
      </c>
      <c r="G63" s="2">
        <f t="shared" ca="1" si="4"/>
        <v>0.12</v>
      </c>
      <c r="H63" s="72">
        <f t="shared" ca="1" si="5"/>
        <v>3283.2251171200792</v>
      </c>
      <c r="I63" s="72">
        <f t="shared" ca="1" si="6"/>
        <v>1150.1271898182279</v>
      </c>
      <c r="J63" s="72">
        <f t="shared" ca="1" si="7"/>
        <v>4433.3523069383073</v>
      </c>
    </row>
    <row r="64" spans="2:10" x14ac:dyDescent="0.35">
      <c r="B64" s="118">
        <f t="shared" ref="B64:C83" ca="1" si="9">NORMSINV(RAND())</f>
        <v>-4.6699674556592588E-2</v>
      </c>
      <c r="C64" s="119">
        <f t="shared" ca="1" si="9"/>
        <v>1.3918003450652274</v>
      </c>
      <c r="D64" s="118">
        <f t="shared" ca="1" si="1"/>
        <v>-4.6699674556592588E-2</v>
      </c>
      <c r="E64" s="119">
        <f t="shared" ca="1" si="2"/>
        <v>1.3543403327844263</v>
      </c>
      <c r="F64" s="2">
        <f t="shared" ca="1" si="3"/>
        <v>0.05</v>
      </c>
      <c r="G64" s="2" t="str">
        <f t="shared" ca="1" si="4"/>
        <v>D</v>
      </c>
      <c r="H64" s="72">
        <f t="shared" ca="1" si="5"/>
        <v>3283.2251171200792</v>
      </c>
      <c r="I64" s="72">
        <f t="shared" ca="1" si="6"/>
        <v>0</v>
      </c>
      <c r="J64" s="72">
        <f t="shared" ca="1" si="7"/>
        <v>3283.2251171200792</v>
      </c>
    </row>
    <row r="65" spans="2:10" x14ac:dyDescent="0.35">
      <c r="B65" s="118">
        <f t="shared" ca="1" si="9"/>
        <v>-0.23181241221393301</v>
      </c>
      <c r="C65" s="119">
        <f t="shared" ca="1" si="9"/>
        <v>1.6679698105862191</v>
      </c>
      <c r="D65" s="118">
        <f t="shared" ca="1" si="1"/>
        <v>-0.23181241221393301</v>
      </c>
      <c r="E65" s="119">
        <f t="shared" ca="1" si="2"/>
        <v>1.5879074944783909</v>
      </c>
      <c r="F65" s="2">
        <f t="shared" ca="1" si="3"/>
        <v>0.05</v>
      </c>
      <c r="G65" s="2" t="str">
        <f t="shared" ca="1" si="4"/>
        <v>D</v>
      </c>
      <c r="H65" s="72">
        <f t="shared" ca="1" si="5"/>
        <v>3283.2251171200792</v>
      </c>
      <c r="I65" s="72">
        <f t="shared" ca="1" si="6"/>
        <v>0</v>
      </c>
      <c r="J65" s="72">
        <f t="shared" ca="1" si="7"/>
        <v>3283.2251171200792</v>
      </c>
    </row>
    <row r="66" spans="2:10" x14ac:dyDescent="0.35">
      <c r="B66" s="118">
        <f t="shared" ca="1" si="9"/>
        <v>0.7845473563359503</v>
      </c>
      <c r="C66" s="119">
        <f t="shared" ca="1" si="9"/>
        <v>1.5013747334679057</v>
      </c>
      <c r="D66" s="118">
        <f t="shared" ca="1" si="1"/>
        <v>0.7845473563359503</v>
      </c>
      <c r="E66" s="119">
        <f t="shared" ca="1" si="2"/>
        <v>1.6279502751485753</v>
      </c>
      <c r="F66" s="2">
        <f t="shared" ca="1" si="3"/>
        <v>0.05</v>
      </c>
      <c r="G66" s="2" t="str">
        <f t="shared" ca="1" si="4"/>
        <v>D</v>
      </c>
      <c r="H66" s="72">
        <f t="shared" ca="1" si="5"/>
        <v>3283.2251171200792</v>
      </c>
      <c r="I66" s="72">
        <f t="shared" ca="1" si="6"/>
        <v>0</v>
      </c>
      <c r="J66" s="72">
        <f t="shared" ca="1" si="7"/>
        <v>3283.2251171200792</v>
      </c>
    </row>
    <row r="67" spans="2:10" x14ac:dyDescent="0.35">
      <c r="B67" s="118">
        <f t="shared" ca="1" si="9"/>
        <v>0.856064334892367</v>
      </c>
      <c r="C67" s="119">
        <f t="shared" ca="1" si="9"/>
        <v>0.17906194993263386</v>
      </c>
      <c r="D67" s="118">
        <f t="shared" ca="1" si="1"/>
        <v>0.856064334892367</v>
      </c>
      <c r="E67" s="119">
        <f t="shared" ca="1" si="2"/>
        <v>0.34665703085157007</v>
      </c>
      <c r="F67" s="2">
        <f t="shared" ca="1" si="3"/>
        <v>0.12</v>
      </c>
      <c r="G67" s="2">
        <f t="shared" ca="1" si="4"/>
        <v>0.12</v>
      </c>
      <c r="H67" s="72">
        <f t="shared" ca="1" si="5"/>
        <v>3042.2414210881088</v>
      </c>
      <c r="I67" s="72">
        <f t="shared" ca="1" si="6"/>
        <v>1150.1271898182279</v>
      </c>
      <c r="J67" s="72">
        <f t="shared" ca="1" si="7"/>
        <v>4192.3686109063365</v>
      </c>
    </row>
    <row r="68" spans="2:10" x14ac:dyDescent="0.35">
      <c r="B68" s="118">
        <f t="shared" ca="1" si="9"/>
        <v>-0.78548897925761152</v>
      </c>
      <c r="C68" s="119">
        <f t="shared" ca="1" si="9"/>
        <v>0.46582233571049558</v>
      </c>
      <c r="D68" s="118">
        <f t="shared" ca="1" si="1"/>
        <v>-0.78548897925761152</v>
      </c>
      <c r="E68" s="119">
        <f t="shared" ca="1" si="2"/>
        <v>0.29931301746134209</v>
      </c>
      <c r="F68" s="2">
        <f t="shared" ca="1" si="3"/>
        <v>0.05</v>
      </c>
      <c r="G68" s="2">
        <f t="shared" ca="1" si="4"/>
        <v>0.12</v>
      </c>
      <c r="H68" s="72">
        <f t="shared" ca="1" si="5"/>
        <v>3283.2251171200792</v>
      </c>
      <c r="I68" s="72">
        <f t="shared" ca="1" si="6"/>
        <v>1150.1271898182279</v>
      </c>
      <c r="J68" s="72">
        <f t="shared" ca="1" si="7"/>
        <v>4433.3523069383073</v>
      </c>
    </row>
    <row r="69" spans="2:10" x14ac:dyDescent="0.35">
      <c r="B69" s="118">
        <f t="shared" ca="1" si="9"/>
        <v>-0.4707091094013432</v>
      </c>
      <c r="C69" s="119">
        <f t="shared" ca="1" si="9"/>
        <v>-2.7465866348005563</v>
      </c>
      <c r="D69" s="118">
        <f t="shared" ca="1" si="1"/>
        <v>-0.4707091094013432</v>
      </c>
      <c r="E69" s="119">
        <f t="shared" ca="1" si="2"/>
        <v>-2.7852361377240005</v>
      </c>
      <c r="F69" s="2">
        <f t="shared" ca="1" si="3"/>
        <v>0.05</v>
      </c>
      <c r="G69" s="2">
        <f t="shared" ca="1" si="4"/>
        <v>0.01</v>
      </c>
      <c r="H69" s="72">
        <f t="shared" ca="1" si="5"/>
        <v>3283.2251171200792</v>
      </c>
      <c r="I69" s="72">
        <f t="shared" ca="1" si="6"/>
        <v>1479.2201120631812</v>
      </c>
      <c r="J69" s="72">
        <f t="shared" ca="1" si="7"/>
        <v>4762.4452291832604</v>
      </c>
    </row>
    <row r="70" spans="2:10" x14ac:dyDescent="0.35">
      <c r="B70" s="118">
        <f t="shared" ca="1" si="9"/>
        <v>1.1429254612411799</v>
      </c>
      <c r="C70" s="119">
        <f t="shared" ca="1" si="9"/>
        <v>-0.54593048280684286</v>
      </c>
      <c r="D70" s="118">
        <f t="shared" ca="1" si="1"/>
        <v>1.1429254612411799</v>
      </c>
      <c r="E70" s="119">
        <f t="shared" ca="1" si="2"/>
        <v>-0.30631535491497586</v>
      </c>
      <c r="F70" s="2">
        <f t="shared" ca="1" si="3"/>
        <v>0.12</v>
      </c>
      <c r="G70" s="2">
        <f t="shared" ca="1" si="4"/>
        <v>0.12</v>
      </c>
      <c r="H70" s="72">
        <f t="shared" ca="1" si="5"/>
        <v>3042.2414210881088</v>
      </c>
      <c r="I70" s="72">
        <f t="shared" ca="1" si="6"/>
        <v>1150.1271898182279</v>
      </c>
      <c r="J70" s="72">
        <f t="shared" ca="1" si="7"/>
        <v>4192.3686109063365</v>
      </c>
    </row>
    <row r="71" spans="2:10" x14ac:dyDescent="0.35">
      <c r="B71" s="118">
        <f t="shared" ca="1" si="9"/>
        <v>-0.31618781706747612</v>
      </c>
      <c r="C71" s="119">
        <f t="shared" ca="1" si="9"/>
        <v>0.43016959251351922</v>
      </c>
      <c r="D71" s="118">
        <f t="shared" ca="1" si="1"/>
        <v>-0.31618781706747612</v>
      </c>
      <c r="E71" s="119">
        <f t="shared" ca="1" si="2"/>
        <v>0.35824083839413862</v>
      </c>
      <c r="F71" s="2">
        <f t="shared" ca="1" si="3"/>
        <v>0.05</v>
      </c>
      <c r="G71" s="2">
        <f t="shared" ca="1" si="4"/>
        <v>0.12</v>
      </c>
      <c r="H71" s="72">
        <f t="shared" ca="1" si="5"/>
        <v>3283.2251171200792</v>
      </c>
      <c r="I71" s="72">
        <f t="shared" ca="1" si="6"/>
        <v>1150.1271898182279</v>
      </c>
      <c r="J71" s="72">
        <f t="shared" ca="1" si="7"/>
        <v>4433.3523069383073</v>
      </c>
    </row>
    <row r="72" spans="2:10" x14ac:dyDescent="0.35">
      <c r="B72" s="118">
        <f t="shared" ca="1" si="9"/>
        <v>-0.13380617527493496</v>
      </c>
      <c r="C72" s="119">
        <f t="shared" ca="1" si="9"/>
        <v>0.72046389497263619</v>
      </c>
      <c r="D72" s="118">
        <f t="shared" ca="1" si="1"/>
        <v>-0.13380617527493496</v>
      </c>
      <c r="E72" s="119">
        <f t="shared" ca="1" si="2"/>
        <v>0.67914633325744866</v>
      </c>
      <c r="F72" s="2">
        <f t="shared" ca="1" si="3"/>
        <v>0.05</v>
      </c>
      <c r="G72" s="2">
        <f t="shared" ca="1" si="4"/>
        <v>0.12</v>
      </c>
      <c r="H72" s="72">
        <f t="shared" ca="1" si="5"/>
        <v>3283.2251171200792</v>
      </c>
      <c r="I72" s="72">
        <f t="shared" ca="1" si="6"/>
        <v>1150.1271898182279</v>
      </c>
      <c r="J72" s="72">
        <f t="shared" ca="1" si="7"/>
        <v>4433.3523069383073</v>
      </c>
    </row>
    <row r="73" spans="2:10" x14ac:dyDescent="0.35">
      <c r="B73" s="118">
        <f t="shared" ca="1" si="9"/>
        <v>1.5059032575382372</v>
      </c>
      <c r="C73" s="119">
        <f t="shared" ca="1" si="9"/>
        <v>0.70469374205572677</v>
      </c>
      <c r="D73" s="118">
        <f t="shared" ca="1" si="1"/>
        <v>1.5059032575382372</v>
      </c>
      <c r="E73" s="119">
        <f t="shared" ca="1" si="2"/>
        <v>0.99163668869524635</v>
      </c>
      <c r="F73" s="2" t="str">
        <f t="shared" ca="1" si="3"/>
        <v>D</v>
      </c>
      <c r="G73" s="2" t="str">
        <f t="shared" ca="1" si="4"/>
        <v>D</v>
      </c>
      <c r="H73" s="72">
        <f t="shared" ca="1" si="5"/>
        <v>0</v>
      </c>
      <c r="I73" s="72">
        <f t="shared" ca="1" si="6"/>
        <v>0</v>
      </c>
      <c r="J73" s="72">
        <f t="shared" ca="1" si="7"/>
        <v>0</v>
      </c>
    </row>
    <row r="74" spans="2:10" x14ac:dyDescent="0.35">
      <c r="B74" s="118">
        <f t="shared" ca="1" si="9"/>
        <v>-0.29844104247786779</v>
      </c>
      <c r="C74" s="119">
        <f t="shared" ca="1" si="9"/>
        <v>-2.04121725118417</v>
      </c>
      <c r="D74" s="118">
        <f t="shared" ca="1" si="1"/>
        <v>-0.29844104247786779</v>
      </c>
      <c r="E74" s="119">
        <f t="shared" ca="1" si="2"/>
        <v>-2.0596644963226529</v>
      </c>
      <c r="F74" s="2">
        <f t="shared" ca="1" si="3"/>
        <v>0.05</v>
      </c>
      <c r="G74" s="2">
        <f t="shared" ca="1" si="4"/>
        <v>0.01</v>
      </c>
      <c r="H74" s="72">
        <f t="shared" ca="1" si="5"/>
        <v>3283.2251171200792</v>
      </c>
      <c r="I74" s="72">
        <f t="shared" ca="1" si="6"/>
        <v>1479.2201120631812</v>
      </c>
      <c r="J74" s="72">
        <f t="shared" ca="1" si="7"/>
        <v>4762.4452291832604</v>
      </c>
    </row>
    <row r="75" spans="2:10" x14ac:dyDescent="0.35">
      <c r="B75" s="118">
        <f t="shared" ca="1" si="9"/>
        <v>-0.30743599703646446</v>
      </c>
      <c r="C75" s="119">
        <f t="shared" ca="1" si="9"/>
        <v>0.3514146035126911</v>
      </c>
      <c r="D75" s="118">
        <f t="shared" ca="1" si="1"/>
        <v>-0.30743599703646446</v>
      </c>
      <c r="E75" s="119">
        <f t="shared" ca="1" si="2"/>
        <v>0.2828273873001288</v>
      </c>
      <c r="F75" s="2">
        <f t="shared" ca="1" si="3"/>
        <v>0.05</v>
      </c>
      <c r="G75" s="2">
        <f t="shared" ca="1" si="4"/>
        <v>0.12</v>
      </c>
      <c r="H75" s="72">
        <f t="shared" ca="1" si="5"/>
        <v>3283.2251171200792</v>
      </c>
      <c r="I75" s="72">
        <f t="shared" ca="1" si="6"/>
        <v>1150.1271898182279</v>
      </c>
      <c r="J75" s="72">
        <f t="shared" ca="1" si="7"/>
        <v>4433.3523069383073</v>
      </c>
    </row>
    <row r="76" spans="2:10" x14ac:dyDescent="0.35">
      <c r="B76" s="118">
        <f t="shared" ca="1" si="9"/>
        <v>1.4126844002792238</v>
      </c>
      <c r="C76" s="119">
        <f t="shared" ca="1" si="9"/>
        <v>-0.27451854546885057</v>
      </c>
      <c r="D76" s="118">
        <f t="shared" ca="1" si="1"/>
        <v>1.4126844002792238</v>
      </c>
      <c r="E76" s="119">
        <f t="shared" ca="1" si="2"/>
        <v>1.3564735523961979E-2</v>
      </c>
      <c r="F76" s="2" t="str">
        <f t="shared" ca="1" si="3"/>
        <v>D</v>
      </c>
      <c r="G76" s="2">
        <f t="shared" ca="1" si="4"/>
        <v>0.12</v>
      </c>
      <c r="H76" s="72">
        <f t="shared" ca="1" si="5"/>
        <v>0</v>
      </c>
      <c r="I76" s="72">
        <f t="shared" ca="1" si="6"/>
        <v>1150.1271898182279</v>
      </c>
      <c r="J76" s="72">
        <f t="shared" ca="1" si="7"/>
        <v>1150.1271898182279</v>
      </c>
    </row>
    <row r="77" spans="2:10" x14ac:dyDescent="0.35">
      <c r="B77" s="118">
        <f t="shared" ca="1" si="9"/>
        <v>1.5840363367783685</v>
      </c>
      <c r="C77" s="119">
        <f t="shared" ca="1" si="9"/>
        <v>-1.7210568220938027</v>
      </c>
      <c r="D77" s="118">
        <f t="shared" ca="1" si="1"/>
        <v>1.5840363367783685</v>
      </c>
      <c r="E77" s="119">
        <f t="shared" ca="1" si="2"/>
        <v>-1.3694771456306394</v>
      </c>
      <c r="F77" s="2" t="str">
        <f t="shared" ca="1" si="3"/>
        <v>D</v>
      </c>
      <c r="G77" s="2">
        <f t="shared" ca="1" si="4"/>
        <v>0.05</v>
      </c>
      <c r="H77" s="72">
        <f t="shared" ca="1" si="5"/>
        <v>0</v>
      </c>
      <c r="I77" s="72">
        <f t="shared" ca="1" si="6"/>
        <v>1342.7489181356559</v>
      </c>
      <c r="J77" s="72">
        <f t="shared" ca="1" si="7"/>
        <v>1342.7489181356559</v>
      </c>
    </row>
    <row r="78" spans="2:10" x14ac:dyDescent="0.35">
      <c r="B78" s="118">
        <f t="shared" ca="1" si="9"/>
        <v>-1.4360725567247976</v>
      </c>
      <c r="C78" s="119">
        <f t="shared" ca="1" si="9"/>
        <v>1.0601681692071756</v>
      </c>
      <c r="D78" s="118">
        <f t="shared" ca="1" si="1"/>
        <v>-1.4360725567247976</v>
      </c>
      <c r="E78" s="119">
        <f t="shared" ca="1" si="2"/>
        <v>0.75153391109431933</v>
      </c>
      <c r="F78" s="2">
        <f t="shared" ca="1" si="3"/>
        <v>0.01</v>
      </c>
      <c r="G78" s="2">
        <f t="shared" ca="1" si="4"/>
        <v>0.12</v>
      </c>
      <c r="H78" s="72">
        <f t="shared" ca="1" si="5"/>
        <v>3443.7147154459058</v>
      </c>
      <c r="I78" s="72">
        <f t="shared" ca="1" si="6"/>
        <v>1150.1271898182279</v>
      </c>
      <c r="J78" s="72">
        <f t="shared" ca="1" si="7"/>
        <v>4593.8419052641339</v>
      </c>
    </row>
    <row r="79" spans="2:10" x14ac:dyDescent="0.35">
      <c r="B79" s="118">
        <f t="shared" ca="1" si="9"/>
        <v>-0.31676674902156765</v>
      </c>
      <c r="C79" s="119">
        <f t="shared" ca="1" si="9"/>
        <v>-0.80956034294376555</v>
      </c>
      <c r="D79" s="118">
        <f t="shared" ca="1" si="1"/>
        <v>-0.31676674902156765</v>
      </c>
      <c r="E79" s="119">
        <f t="shared" ca="1" si="2"/>
        <v>-0.85655725228622781</v>
      </c>
      <c r="F79" s="2">
        <f t="shared" ca="1" si="3"/>
        <v>0.05</v>
      </c>
      <c r="G79" s="2">
        <f t="shared" ca="1" si="4"/>
        <v>0.05</v>
      </c>
      <c r="H79" s="72">
        <f t="shared" ca="1" si="5"/>
        <v>3283.2251171200792</v>
      </c>
      <c r="I79" s="72">
        <f t="shared" ca="1" si="6"/>
        <v>1342.7489181356559</v>
      </c>
      <c r="J79" s="72">
        <f t="shared" ca="1" si="7"/>
        <v>4625.9740352557346</v>
      </c>
    </row>
    <row r="80" spans="2:10" x14ac:dyDescent="0.35">
      <c r="B80" s="118">
        <f t="shared" ca="1" si="9"/>
        <v>5.5537308173539489E-2</v>
      </c>
      <c r="C80" s="119">
        <f t="shared" ca="1" si="9"/>
        <v>-2.1449852330736117</v>
      </c>
      <c r="D80" s="118">
        <f t="shared" ca="1" si="1"/>
        <v>5.5537308173539489E-2</v>
      </c>
      <c r="E80" s="119">
        <f t="shared" ca="1" si="2"/>
        <v>-2.0905402690993706</v>
      </c>
      <c r="F80" s="2">
        <f t="shared" ca="1" si="3"/>
        <v>0.05</v>
      </c>
      <c r="G80" s="2">
        <f t="shared" ca="1" si="4"/>
        <v>0.01</v>
      </c>
      <c r="H80" s="72">
        <f t="shared" ca="1" si="5"/>
        <v>3283.2251171200792</v>
      </c>
      <c r="I80" s="72">
        <f t="shared" ca="1" si="6"/>
        <v>1479.2201120631812</v>
      </c>
      <c r="J80" s="72">
        <f t="shared" ca="1" si="7"/>
        <v>4762.4452291832604</v>
      </c>
    </row>
    <row r="81" spans="2:10" x14ac:dyDescent="0.35">
      <c r="B81" s="118">
        <f t="shared" ca="1" si="9"/>
        <v>-0.42323744586504058</v>
      </c>
      <c r="C81" s="119">
        <f t="shared" ca="1" si="9"/>
        <v>0.47606429097014674</v>
      </c>
      <c r="D81" s="118">
        <f t="shared" ca="1" si="1"/>
        <v>-0.42323744586504058</v>
      </c>
      <c r="E81" s="119">
        <f t="shared" ca="1" si="2"/>
        <v>0.38179834988168015</v>
      </c>
      <c r="F81" s="2">
        <f t="shared" ca="1" si="3"/>
        <v>0.05</v>
      </c>
      <c r="G81" s="2">
        <f t="shared" ca="1" si="4"/>
        <v>0.12</v>
      </c>
      <c r="H81" s="72">
        <f t="shared" ca="1" si="5"/>
        <v>3283.2251171200792</v>
      </c>
      <c r="I81" s="72">
        <f t="shared" ca="1" si="6"/>
        <v>1150.1271898182279</v>
      </c>
      <c r="J81" s="72">
        <f t="shared" ca="1" si="7"/>
        <v>4433.3523069383073</v>
      </c>
    </row>
    <row r="82" spans="2:10" x14ac:dyDescent="0.35">
      <c r="B82" s="118">
        <f t="shared" ca="1" si="9"/>
        <v>1.070122078566796</v>
      </c>
      <c r="C82" s="119">
        <f t="shared" ca="1" si="9"/>
        <v>-1.1508094012762087</v>
      </c>
      <c r="D82" s="118">
        <f t="shared" ca="1" si="1"/>
        <v>1.070122078566796</v>
      </c>
      <c r="E82" s="119">
        <f t="shared" ca="1" si="2"/>
        <v>-0.91353391401645012</v>
      </c>
      <c r="F82" s="2">
        <f t="shared" ca="1" si="3"/>
        <v>0.12</v>
      </c>
      <c r="G82" s="2">
        <f t="shared" ca="1" si="4"/>
        <v>0.05</v>
      </c>
      <c r="H82" s="72">
        <f t="shared" ca="1" si="5"/>
        <v>3042.2414210881088</v>
      </c>
      <c r="I82" s="72">
        <f t="shared" ca="1" si="6"/>
        <v>1342.7489181356559</v>
      </c>
      <c r="J82" s="72">
        <f t="shared" ca="1" si="7"/>
        <v>4384.9903392237647</v>
      </c>
    </row>
    <row r="83" spans="2:10" x14ac:dyDescent="0.35">
      <c r="B83" s="118">
        <f t="shared" ca="1" si="9"/>
        <v>0.63058672114549197</v>
      </c>
      <c r="C83" s="119">
        <f t="shared" ca="1" si="9"/>
        <v>-1.9070462285136185</v>
      </c>
      <c r="D83" s="118">
        <f t="shared" ca="1" si="1"/>
        <v>0.63058672114549197</v>
      </c>
      <c r="E83" s="119">
        <f t="shared" ca="1" si="2"/>
        <v>-1.7423987260738829</v>
      </c>
      <c r="F83" s="2">
        <f t="shared" ca="1" si="3"/>
        <v>0.05</v>
      </c>
      <c r="G83" s="2">
        <f t="shared" ca="1" si="4"/>
        <v>0.01</v>
      </c>
      <c r="H83" s="72">
        <f t="shared" ca="1" si="5"/>
        <v>3283.2251171200792</v>
      </c>
      <c r="I83" s="72">
        <f t="shared" ca="1" si="6"/>
        <v>1479.2201120631812</v>
      </c>
      <c r="J83" s="72">
        <f t="shared" ca="1" si="7"/>
        <v>4762.4452291832604</v>
      </c>
    </row>
    <row r="84" spans="2:10" x14ac:dyDescent="0.35">
      <c r="B84" s="118">
        <f t="shared" ref="B84:C103" ca="1" si="10">NORMSINV(RAND())</f>
        <v>-0.62214465391061391</v>
      </c>
      <c r="C84" s="119">
        <f t="shared" ca="1" si="10"/>
        <v>-0.96716639452543929</v>
      </c>
      <c r="D84" s="118">
        <f t="shared" ca="1" si="1"/>
        <v>-0.62214465391061391</v>
      </c>
      <c r="E84" s="119">
        <f t="shared" ca="1" si="2"/>
        <v>-1.0720545959639836</v>
      </c>
      <c r="F84" s="2">
        <f t="shared" ca="1" si="3"/>
        <v>0.05</v>
      </c>
      <c r="G84" s="2">
        <f t="shared" ca="1" si="4"/>
        <v>0.05</v>
      </c>
      <c r="H84" s="72">
        <f t="shared" ca="1" si="5"/>
        <v>3283.2251171200792</v>
      </c>
      <c r="I84" s="72">
        <f t="shared" ca="1" si="6"/>
        <v>1342.7489181356559</v>
      </c>
      <c r="J84" s="72">
        <f t="shared" ca="1" si="7"/>
        <v>4625.9740352557346</v>
      </c>
    </row>
    <row r="85" spans="2:10" x14ac:dyDescent="0.35">
      <c r="B85" s="118">
        <f t="shared" ca="1" si="10"/>
        <v>-9.054377838807641E-2</v>
      </c>
      <c r="C85" s="119">
        <f t="shared" ca="1" si="10"/>
        <v>-0.87578949711192944</v>
      </c>
      <c r="D85" s="118">
        <f t="shared" ca="1" si="1"/>
        <v>-9.054377838807641E-2</v>
      </c>
      <c r="E85" s="119">
        <f t="shared" ca="1" si="2"/>
        <v>-0.87620371168277877</v>
      </c>
      <c r="F85" s="2">
        <f t="shared" ca="1" si="3"/>
        <v>0.05</v>
      </c>
      <c r="G85" s="2">
        <f t="shared" ca="1" si="4"/>
        <v>0.05</v>
      </c>
      <c r="H85" s="72">
        <f t="shared" ca="1" si="5"/>
        <v>3283.2251171200792</v>
      </c>
      <c r="I85" s="72">
        <f t="shared" ca="1" si="6"/>
        <v>1342.7489181356559</v>
      </c>
      <c r="J85" s="72">
        <f t="shared" ca="1" si="7"/>
        <v>4625.9740352557346</v>
      </c>
    </row>
    <row r="86" spans="2:10" x14ac:dyDescent="0.35">
      <c r="B86" s="118">
        <f t="shared" ca="1" si="10"/>
        <v>-1.8246075043266949</v>
      </c>
      <c r="C86" s="119">
        <f t="shared" ca="1" si="10"/>
        <v>0.24461810904076889</v>
      </c>
      <c r="D86" s="118">
        <f t="shared" ca="1" si="1"/>
        <v>-1.8246075043266949</v>
      </c>
      <c r="E86" s="119">
        <f t="shared" ca="1" si="2"/>
        <v>-0.12524568126758689</v>
      </c>
      <c r="F86" s="2">
        <f t="shared" ca="1" si="3"/>
        <v>0.01</v>
      </c>
      <c r="G86" s="2">
        <f t="shared" ca="1" si="4"/>
        <v>0.12</v>
      </c>
      <c r="H86" s="72">
        <f t="shared" ca="1" si="5"/>
        <v>3443.7147154459058</v>
      </c>
      <c r="I86" s="72">
        <f t="shared" ca="1" si="6"/>
        <v>1150.1271898182279</v>
      </c>
      <c r="J86" s="72">
        <f t="shared" ca="1" si="7"/>
        <v>4593.8419052641339</v>
      </c>
    </row>
    <row r="87" spans="2:10" x14ac:dyDescent="0.35">
      <c r="B87" s="118">
        <f t="shared" ca="1" si="10"/>
        <v>-0.8905733786921296</v>
      </c>
      <c r="C87" s="119">
        <f t="shared" ca="1" si="10"/>
        <v>0.53529335013140988</v>
      </c>
      <c r="D87" s="118">
        <f t="shared" ca="1" si="1"/>
        <v>-0.8905733786921296</v>
      </c>
      <c r="E87" s="119">
        <f t="shared" ca="1" si="2"/>
        <v>0.34636355247234724</v>
      </c>
      <c r="F87" s="2">
        <f t="shared" ca="1" si="3"/>
        <v>0.05</v>
      </c>
      <c r="G87" s="2">
        <f t="shared" ca="1" si="4"/>
        <v>0.12</v>
      </c>
      <c r="H87" s="72">
        <f t="shared" ca="1" si="5"/>
        <v>3283.2251171200792</v>
      </c>
      <c r="I87" s="72">
        <f t="shared" ca="1" si="6"/>
        <v>1150.1271898182279</v>
      </c>
      <c r="J87" s="72">
        <f t="shared" ca="1" si="7"/>
        <v>4433.3523069383073</v>
      </c>
    </row>
    <row r="88" spans="2:10" x14ac:dyDescent="0.35">
      <c r="B88" s="118">
        <f t="shared" ca="1" si="10"/>
        <v>0.56459670501174453</v>
      </c>
      <c r="C88" s="119">
        <f t="shared" ca="1" si="10"/>
        <v>2.669191498929116E-2</v>
      </c>
      <c r="D88" s="118">
        <f t="shared" ref="D88:D151" ca="1" si="11">+B88</f>
        <v>0.56459670501174453</v>
      </c>
      <c r="E88" s="119">
        <f t="shared" ref="E88:E151" ca="1" si="12">+$C$21*B88+C88*(1-$C$21^2)^0.5</f>
        <v>0.13907196979495262</v>
      </c>
      <c r="F88" s="2">
        <f t="shared" ref="F88:F151" ca="1" si="13">+IF(D88&lt;$I$17,$H$17,IF(D88&lt;$I$18,$H$18,IF(D88&lt;$I$19,$H$19,$H$20)))</f>
        <v>0.05</v>
      </c>
      <c r="G88" s="2">
        <f t="shared" ref="G88:G151" ca="1" si="14">+IF(E88&lt;$J$17,$H$17,IF(E88&lt;$J$18,$H$18,IF(E88&lt;$J$19,$H$19,$H$20)))</f>
        <v>0.12</v>
      </c>
      <c r="H88" s="72">
        <f t="shared" ref="H88:H151" ca="1" si="15">+IF(F88="D",0,$C$10+NPV($E$10+F88,$C$11:$C$13))</f>
        <v>3283.2251171200792</v>
      </c>
      <c r="I88" s="72">
        <f t="shared" ref="I88:I151" ca="1" si="16">+IF(G88="D",0,$D$10+NPV($E$10+G88,$D$11:$D$14))</f>
        <v>1150.1271898182279</v>
      </c>
      <c r="J88" s="72">
        <f t="shared" ref="J88:J151" ca="1" si="17">+I88+H88</f>
        <v>4433.3523069383073</v>
      </c>
    </row>
    <row r="89" spans="2:10" x14ac:dyDescent="0.35">
      <c r="B89" s="118">
        <f t="shared" ca="1" si="10"/>
        <v>0.10777613859752661</v>
      </c>
      <c r="C89" s="119">
        <f t="shared" ca="1" si="10"/>
        <v>0.67591898908188663</v>
      </c>
      <c r="D89" s="118">
        <f t="shared" ca="1" si="11"/>
        <v>0.10777613859752661</v>
      </c>
      <c r="E89" s="119">
        <f t="shared" ca="1" si="12"/>
        <v>0.68381788000288779</v>
      </c>
      <c r="F89" s="2">
        <f t="shared" ca="1" si="13"/>
        <v>0.05</v>
      </c>
      <c r="G89" s="2">
        <f t="shared" ca="1" si="14"/>
        <v>0.12</v>
      </c>
      <c r="H89" s="72">
        <f t="shared" ca="1" si="15"/>
        <v>3283.2251171200792</v>
      </c>
      <c r="I89" s="72">
        <f t="shared" ca="1" si="16"/>
        <v>1150.1271898182279</v>
      </c>
      <c r="J89" s="72">
        <f t="shared" ca="1" si="17"/>
        <v>4433.3523069383073</v>
      </c>
    </row>
    <row r="90" spans="2:10" x14ac:dyDescent="0.35">
      <c r="B90" s="118">
        <f t="shared" ca="1" si="10"/>
        <v>-0.72915547794353119</v>
      </c>
      <c r="C90" s="119">
        <f t="shared" ca="1" si="10"/>
        <v>-0.52652672978914106</v>
      </c>
      <c r="D90" s="118">
        <f t="shared" ca="1" si="11"/>
        <v>-0.72915547794353119</v>
      </c>
      <c r="E90" s="119">
        <f t="shared" ca="1" si="12"/>
        <v>-0.66171982515657457</v>
      </c>
      <c r="F90" s="2">
        <f t="shared" ca="1" si="13"/>
        <v>0.05</v>
      </c>
      <c r="G90" s="2">
        <f t="shared" ca="1" si="14"/>
        <v>0.12</v>
      </c>
      <c r="H90" s="72">
        <f t="shared" ca="1" si="15"/>
        <v>3283.2251171200792</v>
      </c>
      <c r="I90" s="72">
        <f t="shared" ca="1" si="16"/>
        <v>1150.1271898182279</v>
      </c>
      <c r="J90" s="72">
        <f t="shared" ca="1" si="17"/>
        <v>4433.3523069383073</v>
      </c>
    </row>
    <row r="91" spans="2:10" x14ac:dyDescent="0.35">
      <c r="B91" s="118">
        <f t="shared" ca="1" si="10"/>
        <v>-1.6372863699998765</v>
      </c>
      <c r="C91" s="119">
        <f t="shared" ca="1" si="10"/>
        <v>1.7968369301188956</v>
      </c>
      <c r="D91" s="118">
        <f t="shared" ca="1" si="11"/>
        <v>-1.6372863699998765</v>
      </c>
      <c r="E91" s="119">
        <f t="shared" ca="1" si="12"/>
        <v>1.4330761779121242</v>
      </c>
      <c r="F91" s="2">
        <f t="shared" ca="1" si="13"/>
        <v>0.01</v>
      </c>
      <c r="G91" s="2" t="str">
        <f t="shared" ca="1" si="14"/>
        <v>D</v>
      </c>
      <c r="H91" s="72">
        <f t="shared" ca="1" si="15"/>
        <v>3443.7147154459058</v>
      </c>
      <c r="I91" s="72">
        <f t="shared" ca="1" si="16"/>
        <v>0</v>
      </c>
      <c r="J91" s="72">
        <f t="shared" ca="1" si="17"/>
        <v>3443.7147154459058</v>
      </c>
    </row>
    <row r="92" spans="2:10" x14ac:dyDescent="0.35">
      <c r="B92" s="118">
        <f t="shared" ca="1" si="10"/>
        <v>-0.13556560758513073</v>
      </c>
      <c r="C92" s="119">
        <f t="shared" ca="1" si="10"/>
        <v>-2.1689032033538274</v>
      </c>
      <c r="D92" s="118">
        <f t="shared" ca="1" si="11"/>
        <v>-0.13556560758513073</v>
      </c>
      <c r="E92" s="119">
        <f t="shared" ca="1" si="12"/>
        <v>-2.1521955813989373</v>
      </c>
      <c r="F92" s="2">
        <f t="shared" ca="1" si="13"/>
        <v>0.05</v>
      </c>
      <c r="G92" s="2">
        <f t="shared" ca="1" si="14"/>
        <v>0.01</v>
      </c>
      <c r="H92" s="72">
        <f t="shared" ca="1" si="15"/>
        <v>3283.2251171200792</v>
      </c>
      <c r="I92" s="72">
        <f t="shared" ca="1" si="16"/>
        <v>1479.2201120631812</v>
      </c>
      <c r="J92" s="72">
        <f t="shared" ca="1" si="17"/>
        <v>4762.4452291832604</v>
      </c>
    </row>
    <row r="93" spans="2:10" x14ac:dyDescent="0.35">
      <c r="B93" s="118">
        <f t="shared" ca="1" si="10"/>
        <v>2.5595056614013538</v>
      </c>
      <c r="C93" s="119">
        <f t="shared" ca="1" si="10"/>
        <v>0.35706584935063967</v>
      </c>
      <c r="D93" s="118">
        <f t="shared" ca="1" si="11"/>
        <v>2.5595056614013538</v>
      </c>
      <c r="E93" s="119">
        <f t="shared" ca="1" si="12"/>
        <v>0.86175278647329301</v>
      </c>
      <c r="F93" s="2" t="str">
        <f t="shared" ca="1" si="13"/>
        <v>D</v>
      </c>
      <c r="G93" s="2" t="str">
        <f t="shared" ca="1" si="14"/>
        <v>D</v>
      </c>
      <c r="H93" s="72">
        <f t="shared" ca="1" si="15"/>
        <v>0</v>
      </c>
      <c r="I93" s="72">
        <f t="shared" ca="1" si="16"/>
        <v>0</v>
      </c>
      <c r="J93" s="72">
        <f t="shared" ca="1" si="17"/>
        <v>0</v>
      </c>
    </row>
    <row r="94" spans="2:10" x14ac:dyDescent="0.35">
      <c r="B94" s="118">
        <f t="shared" ca="1" si="10"/>
        <v>1.7754053023912357</v>
      </c>
      <c r="C94" s="119">
        <f t="shared" ca="1" si="10"/>
        <v>9.7851272551726445E-2</v>
      </c>
      <c r="D94" s="118">
        <f t="shared" ca="1" si="11"/>
        <v>1.7754053023912357</v>
      </c>
      <c r="E94" s="119">
        <f t="shared" ca="1" si="12"/>
        <v>0.45095533585174119</v>
      </c>
      <c r="F94" s="2" t="str">
        <f t="shared" ca="1" si="13"/>
        <v>D</v>
      </c>
      <c r="G94" s="2">
        <f t="shared" ca="1" si="14"/>
        <v>0.12</v>
      </c>
      <c r="H94" s="72">
        <f t="shared" ca="1" si="15"/>
        <v>0</v>
      </c>
      <c r="I94" s="72">
        <f t="shared" ca="1" si="16"/>
        <v>1150.1271898182279</v>
      </c>
      <c r="J94" s="72">
        <f t="shared" ca="1" si="17"/>
        <v>1150.1271898182279</v>
      </c>
    </row>
    <row r="95" spans="2:10" x14ac:dyDescent="0.35">
      <c r="B95" s="118">
        <f t="shared" ca="1" si="10"/>
        <v>1.2318680036492431</v>
      </c>
      <c r="C95" s="119">
        <f t="shared" ca="1" si="10"/>
        <v>1.5329255326845117</v>
      </c>
      <c r="D95" s="118">
        <f t="shared" ca="1" si="11"/>
        <v>1.2318680036492431</v>
      </c>
      <c r="E95" s="119">
        <f t="shared" ca="1" si="12"/>
        <v>1.7483277482343089</v>
      </c>
      <c r="F95" s="2">
        <f t="shared" ca="1" si="13"/>
        <v>0.12</v>
      </c>
      <c r="G95" s="2" t="str">
        <f t="shared" ca="1" si="14"/>
        <v>D</v>
      </c>
      <c r="H95" s="72">
        <f t="shared" ca="1" si="15"/>
        <v>3042.2414210881088</v>
      </c>
      <c r="I95" s="72">
        <f t="shared" ca="1" si="16"/>
        <v>0</v>
      </c>
      <c r="J95" s="72">
        <f t="shared" ca="1" si="17"/>
        <v>3042.2414210881088</v>
      </c>
    </row>
    <row r="96" spans="2:10" x14ac:dyDescent="0.35">
      <c r="B96" s="118">
        <f t="shared" ca="1" si="10"/>
        <v>-0.53470934949369009</v>
      </c>
      <c r="C96" s="119">
        <f t="shared" ca="1" si="10"/>
        <v>-0.13143912070389988</v>
      </c>
      <c r="D96" s="118">
        <f t="shared" ca="1" si="11"/>
        <v>-0.53470934949369009</v>
      </c>
      <c r="E96" s="119">
        <f t="shared" ca="1" si="12"/>
        <v>-0.23572538108459515</v>
      </c>
      <c r="F96" s="2">
        <f t="shared" ca="1" si="13"/>
        <v>0.05</v>
      </c>
      <c r="G96" s="2">
        <f t="shared" ca="1" si="14"/>
        <v>0.12</v>
      </c>
      <c r="H96" s="72">
        <f t="shared" ca="1" si="15"/>
        <v>3283.2251171200792</v>
      </c>
      <c r="I96" s="72">
        <f t="shared" ca="1" si="16"/>
        <v>1150.1271898182279</v>
      </c>
      <c r="J96" s="72">
        <f t="shared" ca="1" si="17"/>
        <v>4433.3523069383073</v>
      </c>
    </row>
    <row r="97" spans="2:10" x14ac:dyDescent="0.35">
      <c r="B97" s="118">
        <f t="shared" ca="1" si="10"/>
        <v>-0.22174779069384268</v>
      </c>
      <c r="C97" s="119">
        <f t="shared" ca="1" si="10"/>
        <v>-0.50515211658536885</v>
      </c>
      <c r="D97" s="118">
        <f t="shared" ca="1" si="11"/>
        <v>-0.22174779069384268</v>
      </c>
      <c r="E97" s="119">
        <f t="shared" ca="1" si="12"/>
        <v>-0.53929552938719771</v>
      </c>
      <c r="F97" s="2">
        <f t="shared" ca="1" si="13"/>
        <v>0.05</v>
      </c>
      <c r="G97" s="2">
        <f t="shared" ca="1" si="14"/>
        <v>0.12</v>
      </c>
      <c r="H97" s="72">
        <f t="shared" ca="1" si="15"/>
        <v>3283.2251171200792</v>
      </c>
      <c r="I97" s="72">
        <f t="shared" ca="1" si="16"/>
        <v>1150.1271898182279</v>
      </c>
      <c r="J97" s="72">
        <f t="shared" ca="1" si="17"/>
        <v>4433.3523069383073</v>
      </c>
    </row>
    <row r="98" spans="2:10" x14ac:dyDescent="0.35">
      <c r="B98" s="118">
        <f t="shared" ca="1" si="10"/>
        <v>0.89096060210889361</v>
      </c>
      <c r="C98" s="119">
        <f t="shared" ca="1" si="10"/>
        <v>0.99100318878492455</v>
      </c>
      <c r="D98" s="118">
        <f t="shared" ca="1" si="11"/>
        <v>0.89096060210889361</v>
      </c>
      <c r="E98" s="119">
        <f t="shared" ca="1" si="12"/>
        <v>1.1491729788194163</v>
      </c>
      <c r="F98" s="2">
        <f t="shared" ca="1" si="13"/>
        <v>0.12</v>
      </c>
      <c r="G98" s="2" t="str">
        <f t="shared" ca="1" si="14"/>
        <v>D</v>
      </c>
      <c r="H98" s="72">
        <f t="shared" ca="1" si="15"/>
        <v>3042.2414210881088</v>
      </c>
      <c r="I98" s="72">
        <f t="shared" ca="1" si="16"/>
        <v>0</v>
      </c>
      <c r="J98" s="72">
        <f t="shared" ca="1" si="17"/>
        <v>3042.2414210881088</v>
      </c>
    </row>
    <row r="99" spans="2:10" x14ac:dyDescent="0.35">
      <c r="B99" s="118">
        <f t="shared" ca="1" si="10"/>
        <v>0.87160498547643395</v>
      </c>
      <c r="C99" s="119">
        <f t="shared" ca="1" si="10"/>
        <v>-0.23474005173652576</v>
      </c>
      <c r="D99" s="118">
        <f t="shared" ca="1" si="11"/>
        <v>0.87160498547643395</v>
      </c>
      <c r="E99" s="119">
        <f t="shared" ca="1" si="12"/>
        <v>-5.5676342484318131E-2</v>
      </c>
      <c r="F99" s="2">
        <f t="shared" ca="1" si="13"/>
        <v>0.12</v>
      </c>
      <c r="G99" s="2">
        <f t="shared" ca="1" si="14"/>
        <v>0.12</v>
      </c>
      <c r="H99" s="72">
        <f t="shared" ca="1" si="15"/>
        <v>3042.2414210881088</v>
      </c>
      <c r="I99" s="72">
        <f t="shared" ca="1" si="16"/>
        <v>1150.1271898182279</v>
      </c>
      <c r="J99" s="72">
        <f t="shared" ca="1" si="17"/>
        <v>4192.3686109063365</v>
      </c>
    </row>
    <row r="100" spans="2:10" x14ac:dyDescent="0.35">
      <c r="B100" s="118">
        <f t="shared" ca="1" si="10"/>
        <v>-0.65686866526019072</v>
      </c>
      <c r="C100" s="119">
        <f t="shared" ca="1" si="10"/>
        <v>1.1857441017631554</v>
      </c>
      <c r="D100" s="118">
        <f t="shared" ca="1" si="11"/>
        <v>-0.65686866526019072</v>
      </c>
      <c r="E100" s="119">
        <f t="shared" ca="1" si="12"/>
        <v>1.0304134728817627</v>
      </c>
      <c r="F100" s="2">
        <f t="shared" ca="1" si="13"/>
        <v>0.05</v>
      </c>
      <c r="G100" s="2" t="str">
        <f t="shared" ca="1" si="14"/>
        <v>D</v>
      </c>
      <c r="H100" s="72">
        <f t="shared" ca="1" si="15"/>
        <v>3283.2251171200792</v>
      </c>
      <c r="I100" s="72">
        <f t="shared" ca="1" si="16"/>
        <v>0</v>
      </c>
      <c r="J100" s="72">
        <f t="shared" ca="1" si="17"/>
        <v>3283.2251171200792</v>
      </c>
    </row>
    <row r="101" spans="2:10" x14ac:dyDescent="0.35">
      <c r="B101" s="118">
        <f t="shared" ca="1" si="10"/>
        <v>-0.83767897918695011</v>
      </c>
      <c r="C101" s="119">
        <f t="shared" ca="1" si="10"/>
        <v>-0.79552313711406719</v>
      </c>
      <c r="D101" s="118">
        <f t="shared" ca="1" si="11"/>
        <v>-0.83767897918695011</v>
      </c>
      <c r="E101" s="119">
        <f t="shared" ca="1" si="12"/>
        <v>-0.94698610164043129</v>
      </c>
      <c r="F101" s="2">
        <f t="shared" ca="1" si="13"/>
        <v>0.05</v>
      </c>
      <c r="G101" s="2">
        <f t="shared" ca="1" si="14"/>
        <v>0.05</v>
      </c>
      <c r="H101" s="72">
        <f t="shared" ca="1" si="15"/>
        <v>3283.2251171200792</v>
      </c>
      <c r="I101" s="72">
        <f t="shared" ca="1" si="16"/>
        <v>1342.7489181356559</v>
      </c>
      <c r="J101" s="72">
        <f t="shared" ca="1" si="17"/>
        <v>4625.9740352557346</v>
      </c>
    </row>
    <row r="102" spans="2:10" x14ac:dyDescent="0.35">
      <c r="B102" s="118">
        <f t="shared" ca="1" si="10"/>
        <v>0.99444319713801832</v>
      </c>
      <c r="C102" s="119">
        <f t="shared" ca="1" si="10"/>
        <v>-0.87830528085056625</v>
      </c>
      <c r="D102" s="118">
        <f t="shared" ca="1" si="11"/>
        <v>0.99444319713801832</v>
      </c>
      <c r="E102" s="119">
        <f t="shared" ca="1" si="12"/>
        <v>-0.66167127116270041</v>
      </c>
      <c r="F102" s="2">
        <f t="shared" ca="1" si="13"/>
        <v>0.12</v>
      </c>
      <c r="G102" s="2">
        <f t="shared" ca="1" si="14"/>
        <v>0.12</v>
      </c>
      <c r="H102" s="72">
        <f t="shared" ca="1" si="15"/>
        <v>3042.2414210881088</v>
      </c>
      <c r="I102" s="72">
        <f t="shared" ca="1" si="16"/>
        <v>1150.1271898182279</v>
      </c>
      <c r="J102" s="72">
        <f t="shared" ca="1" si="17"/>
        <v>4192.3686109063365</v>
      </c>
    </row>
    <row r="103" spans="2:10" x14ac:dyDescent="0.35">
      <c r="B103" s="118">
        <f t="shared" ca="1" si="10"/>
        <v>0.96047932647889867</v>
      </c>
      <c r="C103" s="119">
        <f t="shared" ca="1" si="10"/>
        <v>-2.1163029227318022</v>
      </c>
      <c r="D103" s="118">
        <f t="shared" ca="1" si="11"/>
        <v>0.96047932647889867</v>
      </c>
      <c r="E103" s="119">
        <f t="shared" ca="1" si="12"/>
        <v>-1.8814490554456642</v>
      </c>
      <c r="F103" s="2">
        <f t="shared" ca="1" si="13"/>
        <v>0.12</v>
      </c>
      <c r="G103" s="2">
        <f t="shared" ca="1" si="14"/>
        <v>0.01</v>
      </c>
      <c r="H103" s="72">
        <f t="shared" ca="1" si="15"/>
        <v>3042.2414210881088</v>
      </c>
      <c r="I103" s="72">
        <f t="shared" ca="1" si="16"/>
        <v>1479.2201120631812</v>
      </c>
      <c r="J103" s="72">
        <f t="shared" ca="1" si="17"/>
        <v>4521.4615331512905</v>
      </c>
    </row>
    <row r="104" spans="2:10" x14ac:dyDescent="0.35">
      <c r="B104" s="118">
        <f t="shared" ref="B104:C123" ca="1" si="18">NORMSINV(RAND())</f>
        <v>9.2047336802939875E-2</v>
      </c>
      <c r="C104" s="119">
        <f t="shared" ca="1" si="18"/>
        <v>-6.3638586765247321E-2</v>
      </c>
      <c r="D104" s="118">
        <f t="shared" ca="1" si="11"/>
        <v>9.2047336802939875E-2</v>
      </c>
      <c r="E104" s="119">
        <f t="shared" ca="1" si="12"/>
        <v>-4.3943358850088272E-2</v>
      </c>
      <c r="F104" s="2">
        <f t="shared" ca="1" si="13"/>
        <v>0.05</v>
      </c>
      <c r="G104" s="2">
        <f t="shared" ca="1" si="14"/>
        <v>0.12</v>
      </c>
      <c r="H104" s="72">
        <f t="shared" ca="1" si="15"/>
        <v>3283.2251171200792</v>
      </c>
      <c r="I104" s="72">
        <f t="shared" ca="1" si="16"/>
        <v>1150.1271898182279</v>
      </c>
      <c r="J104" s="72">
        <f t="shared" ca="1" si="17"/>
        <v>4433.3523069383073</v>
      </c>
    </row>
    <row r="105" spans="2:10" x14ac:dyDescent="0.35">
      <c r="B105" s="118">
        <f t="shared" ca="1" si="18"/>
        <v>0.11790786721675958</v>
      </c>
      <c r="C105" s="119">
        <f t="shared" ca="1" si="18"/>
        <v>1.3107815936485048</v>
      </c>
      <c r="D105" s="118">
        <f t="shared" ca="1" si="11"/>
        <v>0.11790786721675958</v>
      </c>
      <c r="E105" s="119">
        <f t="shared" ca="1" si="12"/>
        <v>1.3078800009117519</v>
      </c>
      <c r="F105" s="2">
        <f t="shared" ca="1" si="13"/>
        <v>0.05</v>
      </c>
      <c r="G105" s="2" t="str">
        <f t="shared" ca="1" si="14"/>
        <v>D</v>
      </c>
      <c r="H105" s="72">
        <f t="shared" ca="1" si="15"/>
        <v>3283.2251171200792</v>
      </c>
      <c r="I105" s="72">
        <f t="shared" ca="1" si="16"/>
        <v>0</v>
      </c>
      <c r="J105" s="72">
        <f t="shared" ca="1" si="17"/>
        <v>3283.2251171200792</v>
      </c>
    </row>
    <row r="106" spans="2:10" x14ac:dyDescent="0.35">
      <c r="B106" s="118">
        <f t="shared" ca="1" si="18"/>
        <v>-0.76403008880072787</v>
      </c>
      <c r="C106" s="119">
        <f t="shared" ca="1" si="18"/>
        <v>0.64079304456696384</v>
      </c>
      <c r="D106" s="118">
        <f t="shared" ca="1" si="11"/>
        <v>-0.76403008880072787</v>
      </c>
      <c r="E106" s="119">
        <f t="shared" ca="1" si="12"/>
        <v>0.47504037820528711</v>
      </c>
      <c r="F106" s="2">
        <f t="shared" ca="1" si="13"/>
        <v>0.05</v>
      </c>
      <c r="G106" s="2">
        <f t="shared" ca="1" si="14"/>
        <v>0.12</v>
      </c>
      <c r="H106" s="72">
        <f t="shared" ca="1" si="15"/>
        <v>3283.2251171200792</v>
      </c>
      <c r="I106" s="72">
        <f t="shared" ca="1" si="16"/>
        <v>1150.1271898182279</v>
      </c>
      <c r="J106" s="72">
        <f t="shared" ca="1" si="17"/>
        <v>4433.3523069383073</v>
      </c>
    </row>
    <row r="107" spans="2:10" x14ac:dyDescent="0.35">
      <c r="B107" s="118">
        <f t="shared" ca="1" si="18"/>
        <v>-2.4493123455766477</v>
      </c>
      <c r="C107" s="119">
        <f t="shared" ca="1" si="18"/>
        <v>-0.71883747718213864</v>
      </c>
      <c r="D107" s="118">
        <f t="shared" ca="1" si="11"/>
        <v>-2.4493123455766477</v>
      </c>
      <c r="E107" s="119">
        <f t="shared" ca="1" si="12"/>
        <v>-1.1941764799496437</v>
      </c>
      <c r="F107" s="2">
        <f t="shared" ca="1" si="13"/>
        <v>0.01</v>
      </c>
      <c r="G107" s="2">
        <f t="shared" ca="1" si="14"/>
        <v>0.05</v>
      </c>
      <c r="H107" s="72">
        <f t="shared" ca="1" si="15"/>
        <v>3443.7147154459058</v>
      </c>
      <c r="I107" s="72">
        <f t="shared" ca="1" si="16"/>
        <v>1342.7489181356559</v>
      </c>
      <c r="J107" s="72">
        <f t="shared" ca="1" si="17"/>
        <v>4786.4636335815612</v>
      </c>
    </row>
    <row r="108" spans="2:10" x14ac:dyDescent="0.35">
      <c r="B108" s="118">
        <f t="shared" ca="1" si="18"/>
        <v>0.46161681600119531</v>
      </c>
      <c r="C108" s="119">
        <f t="shared" ca="1" si="18"/>
        <v>0.48661157456630827</v>
      </c>
      <c r="D108" s="118">
        <f t="shared" ca="1" si="11"/>
        <v>0.46161681600119531</v>
      </c>
      <c r="E108" s="119">
        <f t="shared" ca="1" si="12"/>
        <v>0.56910338744813649</v>
      </c>
      <c r="F108" s="2">
        <f t="shared" ca="1" si="13"/>
        <v>0.05</v>
      </c>
      <c r="G108" s="2">
        <f t="shared" ca="1" si="14"/>
        <v>0.12</v>
      </c>
      <c r="H108" s="72">
        <f t="shared" ca="1" si="15"/>
        <v>3283.2251171200792</v>
      </c>
      <c r="I108" s="72">
        <f t="shared" ca="1" si="16"/>
        <v>1150.1271898182279</v>
      </c>
      <c r="J108" s="72">
        <f t="shared" ca="1" si="17"/>
        <v>4433.3523069383073</v>
      </c>
    </row>
    <row r="109" spans="2:10" x14ac:dyDescent="0.35">
      <c r="B109" s="118">
        <f t="shared" ca="1" si="18"/>
        <v>0.65869002075326832</v>
      </c>
      <c r="C109" s="119">
        <f t="shared" ca="1" si="18"/>
        <v>-0.4307053061346634</v>
      </c>
      <c r="D109" s="118">
        <f t="shared" ca="1" si="11"/>
        <v>0.65869002075326832</v>
      </c>
      <c r="E109" s="119">
        <f t="shared" ca="1" si="12"/>
        <v>-0.29026528766500498</v>
      </c>
      <c r="F109" s="2">
        <f t="shared" ca="1" si="13"/>
        <v>0.05</v>
      </c>
      <c r="G109" s="2">
        <f t="shared" ca="1" si="14"/>
        <v>0.12</v>
      </c>
      <c r="H109" s="72">
        <f t="shared" ca="1" si="15"/>
        <v>3283.2251171200792</v>
      </c>
      <c r="I109" s="72">
        <f t="shared" ca="1" si="16"/>
        <v>1150.1271898182279</v>
      </c>
      <c r="J109" s="72">
        <f t="shared" ca="1" si="17"/>
        <v>4433.3523069383073</v>
      </c>
    </row>
    <row r="110" spans="2:10" x14ac:dyDescent="0.35">
      <c r="B110" s="118">
        <f t="shared" ca="1" si="18"/>
        <v>-0.46504881883343957</v>
      </c>
      <c r="C110" s="119">
        <f t="shared" ca="1" si="18"/>
        <v>-0.26957202587940043</v>
      </c>
      <c r="D110" s="118">
        <f t="shared" ca="1" si="11"/>
        <v>-0.46504881883343957</v>
      </c>
      <c r="E110" s="119">
        <f t="shared" ca="1" si="12"/>
        <v>-0.357135328699837</v>
      </c>
      <c r="F110" s="2">
        <f t="shared" ca="1" si="13"/>
        <v>0.05</v>
      </c>
      <c r="G110" s="2">
        <f t="shared" ca="1" si="14"/>
        <v>0.12</v>
      </c>
      <c r="H110" s="72">
        <f t="shared" ca="1" si="15"/>
        <v>3283.2251171200792</v>
      </c>
      <c r="I110" s="72">
        <f t="shared" ca="1" si="16"/>
        <v>1150.1271898182279</v>
      </c>
      <c r="J110" s="72">
        <f t="shared" ca="1" si="17"/>
        <v>4433.3523069383073</v>
      </c>
    </row>
    <row r="111" spans="2:10" x14ac:dyDescent="0.35">
      <c r="B111" s="118">
        <f t="shared" ca="1" si="18"/>
        <v>-0.35964322066088994</v>
      </c>
      <c r="C111" s="119">
        <f t="shared" ca="1" si="18"/>
        <v>0.44130831429509582</v>
      </c>
      <c r="D111" s="118">
        <f t="shared" ca="1" si="11"/>
        <v>-0.35964322066088994</v>
      </c>
      <c r="E111" s="119">
        <f t="shared" ca="1" si="12"/>
        <v>0.36046343157613087</v>
      </c>
      <c r="F111" s="2">
        <f t="shared" ca="1" si="13"/>
        <v>0.05</v>
      </c>
      <c r="G111" s="2">
        <f t="shared" ca="1" si="14"/>
        <v>0.12</v>
      </c>
      <c r="H111" s="72">
        <f t="shared" ca="1" si="15"/>
        <v>3283.2251171200792</v>
      </c>
      <c r="I111" s="72">
        <f t="shared" ca="1" si="16"/>
        <v>1150.1271898182279</v>
      </c>
      <c r="J111" s="72">
        <f t="shared" ca="1" si="17"/>
        <v>4433.3523069383073</v>
      </c>
    </row>
    <row r="112" spans="2:10" x14ac:dyDescent="0.35">
      <c r="B112" s="118">
        <f t="shared" ca="1" si="18"/>
        <v>1.5322589566611264</v>
      </c>
      <c r="C112" s="119">
        <f t="shared" ca="1" si="18"/>
        <v>-1.8434885991954753</v>
      </c>
      <c r="D112" s="118">
        <f t="shared" ca="1" si="11"/>
        <v>1.5322589566611264</v>
      </c>
      <c r="E112" s="119">
        <f t="shared" ca="1" si="12"/>
        <v>-1.4997907745345931</v>
      </c>
      <c r="F112" s="2" t="str">
        <f t="shared" ca="1" si="13"/>
        <v>D</v>
      </c>
      <c r="G112" s="2">
        <f t="shared" ca="1" si="14"/>
        <v>0.05</v>
      </c>
      <c r="H112" s="72">
        <f t="shared" ca="1" si="15"/>
        <v>0</v>
      </c>
      <c r="I112" s="72">
        <f t="shared" ca="1" si="16"/>
        <v>1342.7489181356559</v>
      </c>
      <c r="J112" s="72">
        <f t="shared" ca="1" si="17"/>
        <v>1342.7489181356559</v>
      </c>
    </row>
    <row r="113" spans="2:10" x14ac:dyDescent="0.35">
      <c r="B113" s="118">
        <f t="shared" ca="1" si="18"/>
        <v>7.4210560821221794E-2</v>
      </c>
      <c r="C113" s="119">
        <f t="shared" ca="1" si="18"/>
        <v>0.62624183670398637</v>
      </c>
      <c r="D113" s="118">
        <f t="shared" ca="1" si="11"/>
        <v>7.4210560821221794E-2</v>
      </c>
      <c r="E113" s="119">
        <f t="shared" ca="1" si="12"/>
        <v>0.62843129436748935</v>
      </c>
      <c r="F113" s="2">
        <f t="shared" ca="1" si="13"/>
        <v>0.05</v>
      </c>
      <c r="G113" s="2">
        <f t="shared" ca="1" si="14"/>
        <v>0.12</v>
      </c>
      <c r="H113" s="72">
        <f t="shared" ca="1" si="15"/>
        <v>3283.2251171200792</v>
      </c>
      <c r="I113" s="72">
        <f t="shared" ca="1" si="16"/>
        <v>1150.1271898182279</v>
      </c>
      <c r="J113" s="72">
        <f t="shared" ca="1" si="17"/>
        <v>4433.3523069383073</v>
      </c>
    </row>
    <row r="114" spans="2:10" x14ac:dyDescent="0.35">
      <c r="B114" s="118">
        <f t="shared" ca="1" si="18"/>
        <v>0.93437161996199936</v>
      </c>
      <c r="C114" s="119">
        <f t="shared" ca="1" si="18"/>
        <v>1.4411008013490909</v>
      </c>
      <c r="D114" s="118">
        <f t="shared" ca="1" si="11"/>
        <v>0.93437161996199936</v>
      </c>
      <c r="E114" s="119">
        <f t="shared" ca="1" si="12"/>
        <v>1.5988589764808863</v>
      </c>
      <c r="F114" s="2">
        <f t="shared" ca="1" si="13"/>
        <v>0.12</v>
      </c>
      <c r="G114" s="2" t="str">
        <f t="shared" ca="1" si="14"/>
        <v>D</v>
      </c>
      <c r="H114" s="72">
        <f t="shared" ca="1" si="15"/>
        <v>3042.2414210881088</v>
      </c>
      <c r="I114" s="72">
        <f t="shared" ca="1" si="16"/>
        <v>0</v>
      </c>
      <c r="J114" s="72">
        <f t="shared" ca="1" si="17"/>
        <v>3042.2414210881088</v>
      </c>
    </row>
    <row r="115" spans="2:10" x14ac:dyDescent="0.35">
      <c r="B115" s="118">
        <f t="shared" ca="1" si="18"/>
        <v>6.8364551718533131E-2</v>
      </c>
      <c r="C115" s="119">
        <f t="shared" ca="1" si="18"/>
        <v>1.3907519194330134</v>
      </c>
      <c r="D115" s="118">
        <f t="shared" ca="1" si="11"/>
        <v>6.8364551718533131E-2</v>
      </c>
      <c r="E115" s="119">
        <f t="shared" ca="1" si="12"/>
        <v>1.3763259349065797</v>
      </c>
      <c r="F115" s="2">
        <f t="shared" ca="1" si="13"/>
        <v>0.05</v>
      </c>
      <c r="G115" s="2" t="str">
        <f t="shared" ca="1" si="14"/>
        <v>D</v>
      </c>
      <c r="H115" s="72">
        <f t="shared" ca="1" si="15"/>
        <v>3283.2251171200792</v>
      </c>
      <c r="I115" s="72">
        <f t="shared" ca="1" si="16"/>
        <v>0</v>
      </c>
      <c r="J115" s="72">
        <f t="shared" ca="1" si="17"/>
        <v>3283.2251171200792</v>
      </c>
    </row>
    <row r="116" spans="2:10" x14ac:dyDescent="0.35">
      <c r="B116" s="118">
        <f t="shared" ca="1" si="18"/>
        <v>-1.3824567926615134</v>
      </c>
      <c r="C116" s="119">
        <f t="shared" ca="1" si="18"/>
        <v>0.15556165335122824</v>
      </c>
      <c r="D116" s="118">
        <f t="shared" ca="1" si="11"/>
        <v>-1.3824567926615134</v>
      </c>
      <c r="E116" s="119">
        <f t="shared" ca="1" si="12"/>
        <v>-0.12407268883061234</v>
      </c>
      <c r="F116" s="2">
        <f t="shared" ca="1" si="13"/>
        <v>0.01</v>
      </c>
      <c r="G116" s="2">
        <f t="shared" ca="1" si="14"/>
        <v>0.12</v>
      </c>
      <c r="H116" s="72">
        <f t="shared" ca="1" si="15"/>
        <v>3443.7147154459058</v>
      </c>
      <c r="I116" s="72">
        <f t="shared" ca="1" si="16"/>
        <v>1150.1271898182279</v>
      </c>
      <c r="J116" s="72">
        <f t="shared" ca="1" si="17"/>
        <v>4593.8419052641339</v>
      </c>
    </row>
    <row r="117" spans="2:10" x14ac:dyDescent="0.35">
      <c r="B117" s="118">
        <f t="shared" ca="1" si="18"/>
        <v>4.5093272216173829E-3</v>
      </c>
      <c r="C117" s="119">
        <f t="shared" ca="1" si="18"/>
        <v>1.4815520931519814</v>
      </c>
      <c r="D117" s="118">
        <f t="shared" ca="1" si="11"/>
        <v>4.5093272216173829E-3</v>
      </c>
      <c r="E117" s="119">
        <f t="shared" ca="1" si="12"/>
        <v>1.4525205276742139</v>
      </c>
      <c r="F117" s="2">
        <f t="shared" ca="1" si="13"/>
        <v>0.05</v>
      </c>
      <c r="G117" s="2" t="str">
        <f t="shared" ca="1" si="14"/>
        <v>D</v>
      </c>
      <c r="H117" s="72">
        <f t="shared" ca="1" si="15"/>
        <v>3283.2251171200792</v>
      </c>
      <c r="I117" s="72">
        <f t="shared" ca="1" si="16"/>
        <v>0</v>
      </c>
      <c r="J117" s="72">
        <f t="shared" ca="1" si="17"/>
        <v>3283.2251171200792</v>
      </c>
    </row>
    <row r="118" spans="2:10" x14ac:dyDescent="0.35">
      <c r="B118" s="118">
        <f t="shared" ca="1" si="18"/>
        <v>-1.3452492968095415</v>
      </c>
      <c r="C118" s="119">
        <f t="shared" ca="1" si="18"/>
        <v>0.77453695710007298</v>
      </c>
      <c r="D118" s="118">
        <f t="shared" ca="1" si="11"/>
        <v>-1.3452492968095415</v>
      </c>
      <c r="E118" s="119">
        <f t="shared" ca="1" si="12"/>
        <v>0.48983827336734093</v>
      </c>
      <c r="F118" s="2">
        <f t="shared" ca="1" si="13"/>
        <v>0.01</v>
      </c>
      <c r="G118" s="2">
        <f t="shared" ca="1" si="14"/>
        <v>0.12</v>
      </c>
      <c r="H118" s="72">
        <f t="shared" ca="1" si="15"/>
        <v>3443.7147154459058</v>
      </c>
      <c r="I118" s="72">
        <f t="shared" ca="1" si="16"/>
        <v>1150.1271898182279</v>
      </c>
      <c r="J118" s="72">
        <f t="shared" ca="1" si="17"/>
        <v>4593.8419052641339</v>
      </c>
    </row>
    <row r="119" spans="2:10" x14ac:dyDescent="0.35">
      <c r="B119" s="118">
        <f t="shared" ca="1" si="18"/>
        <v>0.22593437026116883</v>
      </c>
      <c r="C119" s="119">
        <f t="shared" ca="1" si="18"/>
        <v>-1.5671873852269129</v>
      </c>
      <c r="D119" s="118">
        <f t="shared" ca="1" si="11"/>
        <v>0.22593437026116883</v>
      </c>
      <c r="E119" s="119">
        <f t="shared" ca="1" si="12"/>
        <v>-1.490336896000771</v>
      </c>
      <c r="F119" s="2">
        <f t="shared" ca="1" si="13"/>
        <v>0.05</v>
      </c>
      <c r="G119" s="2">
        <f t="shared" ca="1" si="14"/>
        <v>0.05</v>
      </c>
      <c r="H119" s="72">
        <f t="shared" ca="1" si="15"/>
        <v>3283.2251171200792</v>
      </c>
      <c r="I119" s="72">
        <f t="shared" ca="1" si="16"/>
        <v>1342.7489181356559</v>
      </c>
      <c r="J119" s="72">
        <f t="shared" ca="1" si="17"/>
        <v>4625.9740352557346</v>
      </c>
    </row>
    <row r="120" spans="2:10" x14ac:dyDescent="0.35">
      <c r="B120" s="118">
        <f t="shared" ca="1" si="18"/>
        <v>-0.90672849208061246</v>
      </c>
      <c r="C120" s="119">
        <f t="shared" ca="1" si="18"/>
        <v>-0.75327486190147808</v>
      </c>
      <c r="D120" s="118">
        <f t="shared" ca="1" si="11"/>
        <v>-0.90672849208061246</v>
      </c>
      <c r="E120" s="119">
        <f t="shared" ca="1" si="12"/>
        <v>-0.9194013175057566</v>
      </c>
      <c r="F120" s="2">
        <f t="shared" ca="1" si="13"/>
        <v>0.05</v>
      </c>
      <c r="G120" s="2">
        <f t="shared" ca="1" si="14"/>
        <v>0.05</v>
      </c>
      <c r="H120" s="72">
        <f t="shared" ca="1" si="15"/>
        <v>3283.2251171200792</v>
      </c>
      <c r="I120" s="72">
        <f t="shared" ca="1" si="16"/>
        <v>1342.7489181356559</v>
      </c>
      <c r="J120" s="72">
        <f t="shared" ca="1" si="17"/>
        <v>4625.9740352557346</v>
      </c>
    </row>
    <row r="121" spans="2:10" x14ac:dyDescent="0.35">
      <c r="B121" s="118">
        <f t="shared" ca="1" si="18"/>
        <v>-0.4140658251750356</v>
      </c>
      <c r="C121" s="119">
        <f t="shared" ca="1" si="18"/>
        <v>-0.46689806237337356</v>
      </c>
      <c r="D121" s="118">
        <f t="shared" ca="1" si="11"/>
        <v>-0.4140658251750356</v>
      </c>
      <c r="E121" s="119">
        <f t="shared" ca="1" si="12"/>
        <v>-0.54027797091857477</v>
      </c>
      <c r="F121" s="2">
        <f t="shared" ca="1" si="13"/>
        <v>0.05</v>
      </c>
      <c r="G121" s="2">
        <f t="shared" ca="1" si="14"/>
        <v>0.12</v>
      </c>
      <c r="H121" s="72">
        <f t="shared" ca="1" si="15"/>
        <v>3283.2251171200792</v>
      </c>
      <c r="I121" s="72">
        <f t="shared" ca="1" si="16"/>
        <v>1150.1271898182279</v>
      </c>
      <c r="J121" s="72">
        <f t="shared" ca="1" si="17"/>
        <v>4433.3523069383073</v>
      </c>
    </row>
    <row r="122" spans="2:10" x14ac:dyDescent="0.35">
      <c r="B122" s="118">
        <f t="shared" ca="1" si="18"/>
        <v>0.7989473110169576</v>
      </c>
      <c r="C122" s="119">
        <f t="shared" ca="1" si="18"/>
        <v>-0.82518958658687125</v>
      </c>
      <c r="D122" s="118">
        <f t="shared" ca="1" si="11"/>
        <v>0.7989473110169576</v>
      </c>
      <c r="E122" s="119">
        <f t="shared" ca="1" si="12"/>
        <v>-0.64872790907502142</v>
      </c>
      <c r="F122" s="2">
        <f t="shared" ca="1" si="13"/>
        <v>0.05</v>
      </c>
      <c r="G122" s="2">
        <f t="shared" ca="1" si="14"/>
        <v>0.12</v>
      </c>
      <c r="H122" s="72">
        <f t="shared" ca="1" si="15"/>
        <v>3283.2251171200792</v>
      </c>
      <c r="I122" s="72">
        <f t="shared" ca="1" si="16"/>
        <v>1150.1271898182279</v>
      </c>
      <c r="J122" s="72">
        <f t="shared" ca="1" si="17"/>
        <v>4433.3523069383073</v>
      </c>
    </row>
    <row r="123" spans="2:10" x14ac:dyDescent="0.35">
      <c r="B123" s="118">
        <f t="shared" ca="1" si="18"/>
        <v>1.2090664950669527</v>
      </c>
      <c r="C123" s="119">
        <f t="shared" ca="1" si="18"/>
        <v>-0.6395016641394673</v>
      </c>
      <c r="D123" s="118">
        <f t="shared" ca="1" si="11"/>
        <v>1.2090664950669527</v>
      </c>
      <c r="E123" s="119">
        <f t="shared" ca="1" si="12"/>
        <v>-0.38476780770756869</v>
      </c>
      <c r="F123" s="2">
        <f t="shared" ca="1" si="13"/>
        <v>0.12</v>
      </c>
      <c r="G123" s="2">
        <f t="shared" ca="1" si="14"/>
        <v>0.12</v>
      </c>
      <c r="H123" s="72">
        <f t="shared" ca="1" si="15"/>
        <v>3042.2414210881088</v>
      </c>
      <c r="I123" s="72">
        <f t="shared" ca="1" si="16"/>
        <v>1150.1271898182279</v>
      </c>
      <c r="J123" s="72">
        <f t="shared" ca="1" si="17"/>
        <v>4192.3686109063365</v>
      </c>
    </row>
    <row r="124" spans="2:10" x14ac:dyDescent="0.35">
      <c r="B124" s="118">
        <f t="shared" ref="B124:C143" ca="1" si="19">NORMSINV(RAND())</f>
        <v>-2.1362255684483116</v>
      </c>
      <c r="C124" s="119">
        <f t="shared" ca="1" si="19"/>
        <v>-1.2316688675131684</v>
      </c>
      <c r="D124" s="118">
        <f t="shared" ca="1" si="11"/>
        <v>-2.1362255684483116</v>
      </c>
      <c r="E124" s="119">
        <f t="shared" ca="1" si="12"/>
        <v>-1.6340292166812138</v>
      </c>
      <c r="F124" s="2">
        <f t="shared" ca="1" si="13"/>
        <v>0.01</v>
      </c>
      <c r="G124" s="2">
        <f t="shared" ca="1" si="14"/>
        <v>0.05</v>
      </c>
      <c r="H124" s="72">
        <f t="shared" ca="1" si="15"/>
        <v>3443.7147154459058</v>
      </c>
      <c r="I124" s="72">
        <f t="shared" ca="1" si="16"/>
        <v>1342.7489181356559</v>
      </c>
      <c r="J124" s="72">
        <f t="shared" ca="1" si="17"/>
        <v>4786.4636335815612</v>
      </c>
    </row>
    <row r="125" spans="2:10" x14ac:dyDescent="0.35">
      <c r="B125" s="118">
        <f t="shared" ca="1" si="19"/>
        <v>1.3496772329302695</v>
      </c>
      <c r="C125" s="119">
        <f t="shared" ca="1" si="19"/>
        <v>-0.14812009881102955</v>
      </c>
      <c r="D125" s="118">
        <f t="shared" ca="1" si="11"/>
        <v>1.3496772329302695</v>
      </c>
      <c r="E125" s="119">
        <f t="shared" ca="1" si="12"/>
        <v>0.12480798149099481</v>
      </c>
      <c r="F125" s="2" t="str">
        <f t="shared" ca="1" si="13"/>
        <v>D</v>
      </c>
      <c r="G125" s="2">
        <f t="shared" ca="1" si="14"/>
        <v>0.12</v>
      </c>
      <c r="H125" s="72">
        <f t="shared" ca="1" si="15"/>
        <v>0</v>
      </c>
      <c r="I125" s="72">
        <f t="shared" ca="1" si="16"/>
        <v>1150.1271898182279</v>
      </c>
      <c r="J125" s="72">
        <f t="shared" ca="1" si="17"/>
        <v>1150.1271898182279</v>
      </c>
    </row>
    <row r="126" spans="2:10" x14ac:dyDescent="0.35">
      <c r="B126" s="118">
        <f t="shared" ca="1" si="19"/>
        <v>-0.13332503848406069</v>
      </c>
      <c r="C126" s="119">
        <f t="shared" ca="1" si="19"/>
        <v>9.6353596173365072E-2</v>
      </c>
      <c r="D126" s="118">
        <f t="shared" ca="1" si="11"/>
        <v>-0.13332503848406069</v>
      </c>
      <c r="E126" s="119">
        <f t="shared" ca="1" si="12"/>
        <v>6.7741850505959947E-2</v>
      </c>
      <c r="F126" s="2">
        <f t="shared" ca="1" si="13"/>
        <v>0.05</v>
      </c>
      <c r="G126" s="2">
        <f t="shared" ca="1" si="14"/>
        <v>0.12</v>
      </c>
      <c r="H126" s="72">
        <f t="shared" ca="1" si="15"/>
        <v>3283.2251171200792</v>
      </c>
      <c r="I126" s="72">
        <f t="shared" ca="1" si="16"/>
        <v>1150.1271898182279</v>
      </c>
      <c r="J126" s="72">
        <f t="shared" ca="1" si="17"/>
        <v>4433.3523069383073</v>
      </c>
    </row>
    <row r="127" spans="2:10" x14ac:dyDescent="0.35">
      <c r="B127" s="118">
        <f t="shared" ca="1" si="19"/>
        <v>1.3514272842185435</v>
      </c>
      <c r="C127" s="119">
        <f t="shared" ca="1" si="19"/>
        <v>0.63372153630097006</v>
      </c>
      <c r="D127" s="118">
        <f t="shared" ca="1" si="11"/>
        <v>1.3514272842185435</v>
      </c>
      <c r="E127" s="119">
        <f t="shared" ca="1" si="12"/>
        <v>0.89120321802371816</v>
      </c>
      <c r="F127" s="2" t="str">
        <f t="shared" ca="1" si="13"/>
        <v>D</v>
      </c>
      <c r="G127" s="2" t="str">
        <f t="shared" ca="1" si="14"/>
        <v>D</v>
      </c>
      <c r="H127" s="72">
        <f t="shared" ca="1" si="15"/>
        <v>0</v>
      </c>
      <c r="I127" s="72">
        <f t="shared" ca="1" si="16"/>
        <v>0</v>
      </c>
      <c r="J127" s="72">
        <f t="shared" ca="1" si="17"/>
        <v>0</v>
      </c>
    </row>
    <row r="128" spans="2:10" x14ac:dyDescent="0.35">
      <c r="B128" s="118">
        <f t="shared" ca="1" si="19"/>
        <v>-5.4521849790473594E-2</v>
      </c>
      <c r="C128" s="119">
        <f t="shared" ca="1" si="19"/>
        <v>0.32156442657739903</v>
      </c>
      <c r="D128" s="118">
        <f t="shared" ca="1" si="11"/>
        <v>-5.4521849790473594E-2</v>
      </c>
      <c r="E128" s="119">
        <f t="shared" ca="1" si="12"/>
        <v>0.30416313586002258</v>
      </c>
      <c r="F128" s="2">
        <f t="shared" ca="1" si="13"/>
        <v>0.05</v>
      </c>
      <c r="G128" s="2">
        <f t="shared" ca="1" si="14"/>
        <v>0.12</v>
      </c>
      <c r="H128" s="72">
        <f t="shared" ca="1" si="15"/>
        <v>3283.2251171200792</v>
      </c>
      <c r="I128" s="72">
        <f t="shared" ca="1" si="16"/>
        <v>1150.1271898182279</v>
      </c>
      <c r="J128" s="72">
        <f t="shared" ca="1" si="17"/>
        <v>4433.3523069383073</v>
      </c>
    </row>
    <row r="129" spans="2:10" x14ac:dyDescent="0.35">
      <c r="B129" s="118">
        <f t="shared" ca="1" si="19"/>
        <v>0.52294136932136492</v>
      </c>
      <c r="C129" s="119">
        <f t="shared" ca="1" si="19"/>
        <v>2.1683021097179802</v>
      </c>
      <c r="D129" s="118">
        <f t="shared" ca="1" si="11"/>
        <v>0.52294136932136492</v>
      </c>
      <c r="E129" s="119">
        <f t="shared" ca="1" si="12"/>
        <v>2.2290817846680002</v>
      </c>
      <c r="F129" s="2">
        <f t="shared" ca="1" si="13"/>
        <v>0.05</v>
      </c>
      <c r="G129" s="2" t="str">
        <f t="shared" ca="1" si="14"/>
        <v>D</v>
      </c>
      <c r="H129" s="72">
        <f t="shared" ca="1" si="15"/>
        <v>3283.2251171200792</v>
      </c>
      <c r="I129" s="72">
        <f t="shared" ca="1" si="16"/>
        <v>0</v>
      </c>
      <c r="J129" s="72">
        <f t="shared" ca="1" si="17"/>
        <v>3283.2251171200792</v>
      </c>
    </row>
    <row r="130" spans="2:10" x14ac:dyDescent="0.35">
      <c r="B130" s="118">
        <f t="shared" ca="1" si="19"/>
        <v>0.72759847433491476</v>
      </c>
      <c r="C130" s="119">
        <f t="shared" ca="1" si="19"/>
        <v>-0.39586105899877866</v>
      </c>
      <c r="D130" s="118">
        <f t="shared" ca="1" si="11"/>
        <v>0.72759847433491476</v>
      </c>
      <c r="E130" s="119">
        <f t="shared" ca="1" si="12"/>
        <v>-0.24234334656693496</v>
      </c>
      <c r="F130" s="2">
        <f t="shared" ca="1" si="13"/>
        <v>0.05</v>
      </c>
      <c r="G130" s="2">
        <f t="shared" ca="1" si="14"/>
        <v>0.12</v>
      </c>
      <c r="H130" s="72">
        <f t="shared" ca="1" si="15"/>
        <v>3283.2251171200792</v>
      </c>
      <c r="I130" s="72">
        <f t="shared" ca="1" si="16"/>
        <v>1150.1271898182279</v>
      </c>
      <c r="J130" s="72">
        <f t="shared" ca="1" si="17"/>
        <v>4433.3523069383073</v>
      </c>
    </row>
    <row r="131" spans="2:10" x14ac:dyDescent="0.35">
      <c r="B131" s="118">
        <f t="shared" ca="1" si="19"/>
        <v>-0.20039142182824984</v>
      </c>
      <c r="C131" s="119">
        <f t="shared" ca="1" si="19"/>
        <v>-0.71154132318972407</v>
      </c>
      <c r="D131" s="118">
        <f t="shared" ca="1" si="11"/>
        <v>-0.20039142182824984</v>
      </c>
      <c r="E131" s="119">
        <f t="shared" ca="1" si="12"/>
        <v>-0.73724355345348969</v>
      </c>
      <c r="F131" s="2">
        <f t="shared" ca="1" si="13"/>
        <v>0.05</v>
      </c>
      <c r="G131" s="2">
        <f t="shared" ca="1" si="14"/>
        <v>0.12</v>
      </c>
      <c r="H131" s="72">
        <f t="shared" ca="1" si="15"/>
        <v>3283.2251171200792</v>
      </c>
      <c r="I131" s="72">
        <f t="shared" ca="1" si="16"/>
        <v>1150.1271898182279</v>
      </c>
      <c r="J131" s="72">
        <f t="shared" ca="1" si="17"/>
        <v>4433.3523069383073</v>
      </c>
    </row>
    <row r="132" spans="2:10" x14ac:dyDescent="0.35">
      <c r="B132" s="118">
        <f t="shared" ca="1" si="19"/>
        <v>0.98439305269178601</v>
      </c>
      <c r="C132" s="119">
        <f t="shared" ca="1" si="19"/>
        <v>-1.6056062522189016</v>
      </c>
      <c r="D132" s="118">
        <f t="shared" ca="1" si="11"/>
        <v>0.98439305269178601</v>
      </c>
      <c r="E132" s="119">
        <f t="shared" ca="1" si="12"/>
        <v>-1.3762878077651388</v>
      </c>
      <c r="F132" s="2">
        <f t="shared" ca="1" si="13"/>
        <v>0.12</v>
      </c>
      <c r="G132" s="2">
        <f t="shared" ca="1" si="14"/>
        <v>0.05</v>
      </c>
      <c r="H132" s="72">
        <f t="shared" ca="1" si="15"/>
        <v>3042.2414210881088</v>
      </c>
      <c r="I132" s="72">
        <f t="shared" ca="1" si="16"/>
        <v>1342.7489181356559</v>
      </c>
      <c r="J132" s="72">
        <f t="shared" ca="1" si="17"/>
        <v>4384.9903392237647</v>
      </c>
    </row>
    <row r="133" spans="2:10" x14ac:dyDescent="0.35">
      <c r="B133" s="118">
        <f t="shared" ca="1" si="19"/>
        <v>-0.40485181695482736</v>
      </c>
      <c r="C133" s="119">
        <f t="shared" ca="1" si="19"/>
        <v>-1.8533660959687732</v>
      </c>
      <c r="D133" s="118">
        <f t="shared" ca="1" si="11"/>
        <v>-0.40485181695482736</v>
      </c>
      <c r="E133" s="119">
        <f t="shared" ca="1" si="12"/>
        <v>-1.8968908600700107</v>
      </c>
      <c r="F133" s="2">
        <f t="shared" ca="1" si="13"/>
        <v>0.05</v>
      </c>
      <c r="G133" s="2">
        <f t="shared" ca="1" si="14"/>
        <v>0.01</v>
      </c>
      <c r="H133" s="72">
        <f t="shared" ca="1" si="15"/>
        <v>3283.2251171200792</v>
      </c>
      <c r="I133" s="72">
        <f t="shared" ca="1" si="16"/>
        <v>1479.2201120631812</v>
      </c>
      <c r="J133" s="72">
        <f t="shared" ca="1" si="17"/>
        <v>4762.4452291832604</v>
      </c>
    </row>
    <row r="134" spans="2:10" x14ac:dyDescent="0.35">
      <c r="B134" s="118">
        <f t="shared" ca="1" si="19"/>
        <v>-1.2189882949013426</v>
      </c>
      <c r="C134" s="119">
        <f t="shared" ca="1" si="19"/>
        <v>-0.38290850478107424</v>
      </c>
      <c r="D134" s="118">
        <f t="shared" ca="1" si="11"/>
        <v>-1.2189882949013426</v>
      </c>
      <c r="E134" s="119">
        <f t="shared" ca="1" si="12"/>
        <v>-0.61896984093454244</v>
      </c>
      <c r="F134" s="2">
        <f t="shared" ca="1" si="13"/>
        <v>0.05</v>
      </c>
      <c r="G134" s="2">
        <f t="shared" ca="1" si="14"/>
        <v>0.12</v>
      </c>
      <c r="H134" s="72">
        <f t="shared" ca="1" si="15"/>
        <v>3283.2251171200792</v>
      </c>
      <c r="I134" s="72">
        <f t="shared" ca="1" si="16"/>
        <v>1150.1271898182279</v>
      </c>
      <c r="J134" s="72">
        <f t="shared" ca="1" si="17"/>
        <v>4433.3523069383073</v>
      </c>
    </row>
    <row r="135" spans="2:10" x14ac:dyDescent="0.35">
      <c r="B135" s="118">
        <f t="shared" ca="1" si="19"/>
        <v>-1.5573973512426693</v>
      </c>
      <c r="C135" s="119">
        <f t="shared" ca="1" si="19"/>
        <v>-0.92396848526042086</v>
      </c>
      <c r="D135" s="118">
        <f t="shared" ca="1" si="11"/>
        <v>-1.5573973512426693</v>
      </c>
      <c r="E135" s="119">
        <f t="shared" ca="1" si="12"/>
        <v>-1.2167800011686583</v>
      </c>
      <c r="F135" s="2">
        <f t="shared" ca="1" si="13"/>
        <v>0.01</v>
      </c>
      <c r="G135" s="2">
        <f t="shared" ca="1" si="14"/>
        <v>0.05</v>
      </c>
      <c r="H135" s="72">
        <f t="shared" ca="1" si="15"/>
        <v>3443.7147154459058</v>
      </c>
      <c r="I135" s="72">
        <f t="shared" ca="1" si="16"/>
        <v>1342.7489181356559</v>
      </c>
      <c r="J135" s="72">
        <f t="shared" ca="1" si="17"/>
        <v>4786.4636335815612</v>
      </c>
    </row>
    <row r="136" spans="2:10" x14ac:dyDescent="0.35">
      <c r="B136" s="118">
        <f t="shared" ca="1" si="19"/>
        <v>1.6962961954307634</v>
      </c>
      <c r="C136" s="119">
        <f t="shared" ca="1" si="19"/>
        <v>0.46493945163905293</v>
      </c>
      <c r="D136" s="118">
        <f t="shared" ca="1" si="11"/>
        <v>1.6962961954307634</v>
      </c>
      <c r="E136" s="119">
        <f t="shared" ca="1" si="12"/>
        <v>0.79480500620819083</v>
      </c>
      <c r="F136" s="2" t="str">
        <f t="shared" ca="1" si="13"/>
        <v>D</v>
      </c>
      <c r="G136" s="2">
        <f t="shared" ca="1" si="14"/>
        <v>0.12</v>
      </c>
      <c r="H136" s="72">
        <f t="shared" ca="1" si="15"/>
        <v>0</v>
      </c>
      <c r="I136" s="72">
        <f t="shared" ca="1" si="16"/>
        <v>1150.1271898182279</v>
      </c>
      <c r="J136" s="72">
        <f t="shared" ca="1" si="17"/>
        <v>1150.1271898182279</v>
      </c>
    </row>
    <row r="137" spans="2:10" x14ac:dyDescent="0.35">
      <c r="B137" s="118">
        <f t="shared" ca="1" si="19"/>
        <v>-2.5539059218524685</v>
      </c>
      <c r="C137" s="119">
        <f t="shared" ca="1" si="19"/>
        <v>-0.69432227744784103</v>
      </c>
      <c r="D137" s="118">
        <f t="shared" ca="1" si="11"/>
        <v>-2.5539059218524685</v>
      </c>
      <c r="E137" s="119">
        <f t="shared" ca="1" si="12"/>
        <v>-1.1910753030882306</v>
      </c>
      <c r="F137" s="2">
        <f t="shared" ca="1" si="13"/>
        <v>0.01</v>
      </c>
      <c r="G137" s="2">
        <f t="shared" ca="1" si="14"/>
        <v>0.05</v>
      </c>
      <c r="H137" s="72">
        <f t="shared" ca="1" si="15"/>
        <v>3443.7147154459058</v>
      </c>
      <c r="I137" s="72">
        <f t="shared" ca="1" si="16"/>
        <v>1342.7489181356559</v>
      </c>
      <c r="J137" s="72">
        <f t="shared" ca="1" si="17"/>
        <v>4786.4636335815612</v>
      </c>
    </row>
    <row r="138" spans="2:10" x14ac:dyDescent="0.35">
      <c r="B138" s="118">
        <f t="shared" ca="1" si="19"/>
        <v>-1.1413724542597816</v>
      </c>
      <c r="C138" s="119">
        <f t="shared" ca="1" si="19"/>
        <v>-0.65835495576053038</v>
      </c>
      <c r="D138" s="118">
        <f t="shared" ca="1" si="11"/>
        <v>-1.1413724542597816</v>
      </c>
      <c r="E138" s="119">
        <f t="shared" ca="1" si="12"/>
        <v>-0.87332797535031315</v>
      </c>
      <c r="F138" s="2">
        <f t="shared" ca="1" si="13"/>
        <v>0.05</v>
      </c>
      <c r="G138" s="2">
        <f t="shared" ca="1" si="14"/>
        <v>0.05</v>
      </c>
      <c r="H138" s="72">
        <f t="shared" ca="1" si="15"/>
        <v>3283.2251171200792</v>
      </c>
      <c r="I138" s="72">
        <f t="shared" ca="1" si="16"/>
        <v>1342.7489181356559</v>
      </c>
      <c r="J138" s="72">
        <f t="shared" ca="1" si="17"/>
        <v>4625.9740352557346</v>
      </c>
    </row>
    <row r="139" spans="2:10" x14ac:dyDescent="0.35">
      <c r="B139" s="118">
        <f t="shared" ca="1" si="19"/>
        <v>0.3969993258933241</v>
      </c>
      <c r="C139" s="119">
        <f t="shared" ca="1" si="19"/>
        <v>-0.69349221020238971</v>
      </c>
      <c r="D139" s="118">
        <f t="shared" ca="1" si="11"/>
        <v>0.3969993258933241</v>
      </c>
      <c r="E139" s="119">
        <f t="shared" ca="1" si="12"/>
        <v>-0.60008095705765085</v>
      </c>
      <c r="F139" s="2">
        <f t="shared" ca="1" si="13"/>
        <v>0.05</v>
      </c>
      <c r="G139" s="2">
        <f t="shared" ca="1" si="14"/>
        <v>0.12</v>
      </c>
      <c r="H139" s="72">
        <f t="shared" ca="1" si="15"/>
        <v>3283.2251171200792</v>
      </c>
      <c r="I139" s="72">
        <f t="shared" ca="1" si="16"/>
        <v>1150.1271898182279</v>
      </c>
      <c r="J139" s="72">
        <f t="shared" ca="1" si="17"/>
        <v>4433.3523069383073</v>
      </c>
    </row>
    <row r="140" spans="2:10" x14ac:dyDescent="0.35">
      <c r="B140" s="118">
        <f t="shared" ca="1" si="19"/>
        <v>0.4810804737598704</v>
      </c>
      <c r="C140" s="119">
        <f t="shared" ca="1" si="19"/>
        <v>-0.42991071659477831</v>
      </c>
      <c r="D140" s="118">
        <f t="shared" ca="1" si="11"/>
        <v>0.4810804737598704</v>
      </c>
      <c r="E140" s="119">
        <f t="shared" ca="1" si="12"/>
        <v>-0.32500866149261604</v>
      </c>
      <c r="F140" s="2">
        <f t="shared" ca="1" si="13"/>
        <v>0.05</v>
      </c>
      <c r="G140" s="2">
        <f t="shared" ca="1" si="14"/>
        <v>0.12</v>
      </c>
      <c r="H140" s="72">
        <f t="shared" ca="1" si="15"/>
        <v>3283.2251171200792</v>
      </c>
      <c r="I140" s="72">
        <f t="shared" ca="1" si="16"/>
        <v>1150.1271898182279</v>
      </c>
      <c r="J140" s="72">
        <f t="shared" ca="1" si="17"/>
        <v>4433.3523069383073</v>
      </c>
    </row>
    <row r="141" spans="2:10" x14ac:dyDescent="0.35">
      <c r="B141" s="118">
        <f t="shared" ca="1" si="19"/>
        <v>0.44602140885981711</v>
      </c>
      <c r="C141" s="119">
        <f t="shared" ca="1" si="19"/>
        <v>-0.2852770654824025</v>
      </c>
      <c r="D141" s="118">
        <f t="shared" ca="1" si="11"/>
        <v>0.44602140885981711</v>
      </c>
      <c r="E141" s="119">
        <f t="shared" ca="1" si="12"/>
        <v>-0.19030901652820853</v>
      </c>
      <c r="F141" s="2">
        <f t="shared" ca="1" si="13"/>
        <v>0.05</v>
      </c>
      <c r="G141" s="2">
        <f t="shared" ca="1" si="14"/>
        <v>0.12</v>
      </c>
      <c r="H141" s="72">
        <f t="shared" ca="1" si="15"/>
        <v>3283.2251171200792</v>
      </c>
      <c r="I141" s="72">
        <f t="shared" ca="1" si="16"/>
        <v>1150.1271898182279</v>
      </c>
      <c r="J141" s="72">
        <f t="shared" ca="1" si="17"/>
        <v>4433.3523069383073</v>
      </c>
    </row>
    <row r="142" spans="2:10" x14ac:dyDescent="0.35">
      <c r="B142" s="118">
        <f t="shared" ca="1" si="19"/>
        <v>-0.86127574746900926</v>
      </c>
      <c r="C142" s="119">
        <f t="shared" ca="1" si="19"/>
        <v>0.67425112868055237</v>
      </c>
      <c r="D142" s="118">
        <f t="shared" ca="1" si="11"/>
        <v>-0.86127574746900926</v>
      </c>
      <c r="E142" s="119">
        <f t="shared" ca="1" si="12"/>
        <v>0.48837334001139565</v>
      </c>
      <c r="F142" s="2">
        <f t="shared" ca="1" si="13"/>
        <v>0.05</v>
      </c>
      <c r="G142" s="2">
        <f t="shared" ca="1" si="14"/>
        <v>0.12</v>
      </c>
      <c r="H142" s="72">
        <f t="shared" ca="1" si="15"/>
        <v>3283.2251171200792</v>
      </c>
      <c r="I142" s="72">
        <f t="shared" ca="1" si="16"/>
        <v>1150.1271898182279</v>
      </c>
      <c r="J142" s="72">
        <f t="shared" ca="1" si="17"/>
        <v>4433.3523069383073</v>
      </c>
    </row>
    <row r="143" spans="2:10" x14ac:dyDescent="0.35">
      <c r="B143" s="118">
        <f t="shared" ca="1" si="19"/>
        <v>0.34296005891455772</v>
      </c>
      <c r="C143" s="119">
        <f t="shared" ca="1" si="19"/>
        <v>-1.0258630209805542</v>
      </c>
      <c r="D143" s="118">
        <f t="shared" ca="1" si="11"/>
        <v>0.34296005891455772</v>
      </c>
      <c r="E143" s="119">
        <f t="shared" ca="1" si="12"/>
        <v>-0.93654436717406098</v>
      </c>
      <c r="F143" s="2">
        <f t="shared" ca="1" si="13"/>
        <v>0.05</v>
      </c>
      <c r="G143" s="2">
        <f t="shared" ca="1" si="14"/>
        <v>0.05</v>
      </c>
      <c r="H143" s="72">
        <f t="shared" ca="1" si="15"/>
        <v>3283.2251171200792</v>
      </c>
      <c r="I143" s="72">
        <f t="shared" ca="1" si="16"/>
        <v>1342.7489181356559</v>
      </c>
      <c r="J143" s="72">
        <f t="shared" ca="1" si="17"/>
        <v>4625.9740352557346</v>
      </c>
    </row>
    <row r="144" spans="2:10" x14ac:dyDescent="0.35">
      <c r="B144" s="118">
        <f t="shared" ref="B144:C163" ca="1" si="20">NORMSINV(RAND())</f>
        <v>-0.9631278241938861</v>
      </c>
      <c r="C144" s="119">
        <f t="shared" ca="1" si="20"/>
        <v>1.0694684178557272</v>
      </c>
      <c r="D144" s="118">
        <f t="shared" ca="1" si="11"/>
        <v>-0.9631278241938861</v>
      </c>
      <c r="E144" s="119">
        <f t="shared" ca="1" si="12"/>
        <v>0.85523520306848588</v>
      </c>
      <c r="F144" s="2">
        <f t="shared" ca="1" si="13"/>
        <v>0.05</v>
      </c>
      <c r="G144" s="2" t="str">
        <f t="shared" ca="1" si="14"/>
        <v>D</v>
      </c>
      <c r="H144" s="72">
        <f t="shared" ca="1" si="15"/>
        <v>3283.2251171200792</v>
      </c>
      <c r="I144" s="72">
        <f t="shared" ca="1" si="16"/>
        <v>0</v>
      </c>
      <c r="J144" s="72">
        <f t="shared" ca="1" si="17"/>
        <v>3283.2251171200792</v>
      </c>
    </row>
    <row r="145" spans="2:10" x14ac:dyDescent="0.35">
      <c r="B145" s="118">
        <f t="shared" ca="1" si="20"/>
        <v>1.3567002957689713</v>
      </c>
      <c r="C145" s="119">
        <f t="shared" ca="1" si="20"/>
        <v>-1.2363360479864771</v>
      </c>
      <c r="D145" s="118">
        <f t="shared" ca="1" si="11"/>
        <v>1.3567002957689713</v>
      </c>
      <c r="E145" s="119">
        <f t="shared" ca="1" si="12"/>
        <v>-0.94001692811659243</v>
      </c>
      <c r="F145" s="2" t="str">
        <f t="shared" ca="1" si="13"/>
        <v>D</v>
      </c>
      <c r="G145" s="2">
        <f t="shared" ca="1" si="14"/>
        <v>0.05</v>
      </c>
      <c r="H145" s="72">
        <f t="shared" ca="1" si="15"/>
        <v>0</v>
      </c>
      <c r="I145" s="72">
        <f t="shared" ca="1" si="16"/>
        <v>1342.7489181356559</v>
      </c>
      <c r="J145" s="72">
        <f t="shared" ca="1" si="17"/>
        <v>1342.7489181356559</v>
      </c>
    </row>
    <row r="146" spans="2:10" x14ac:dyDescent="0.35">
      <c r="B146" s="118">
        <f t="shared" ca="1" si="20"/>
        <v>-0.35159497684272545</v>
      </c>
      <c r="C146" s="119">
        <f t="shared" ca="1" si="20"/>
        <v>1.1347894415968067</v>
      </c>
      <c r="D146" s="118">
        <f t="shared" ca="1" si="11"/>
        <v>-0.35159497684272545</v>
      </c>
      <c r="E146" s="119">
        <f t="shared" ca="1" si="12"/>
        <v>1.0415430435954662</v>
      </c>
      <c r="F146" s="2">
        <f t="shared" ca="1" si="13"/>
        <v>0.05</v>
      </c>
      <c r="G146" s="2" t="str">
        <f t="shared" ca="1" si="14"/>
        <v>D</v>
      </c>
      <c r="H146" s="72">
        <f t="shared" ca="1" si="15"/>
        <v>3283.2251171200792</v>
      </c>
      <c r="I146" s="72">
        <f t="shared" ca="1" si="16"/>
        <v>0</v>
      </c>
      <c r="J146" s="72">
        <f t="shared" ca="1" si="17"/>
        <v>3283.2251171200792</v>
      </c>
    </row>
    <row r="147" spans="2:10" x14ac:dyDescent="0.35">
      <c r="B147" s="118">
        <f t="shared" ca="1" si="20"/>
        <v>-0.33296132531059175</v>
      </c>
      <c r="C147" s="119">
        <f t="shared" ca="1" si="20"/>
        <v>-1.4316441897524927</v>
      </c>
      <c r="D147" s="118">
        <f t="shared" ca="1" si="11"/>
        <v>-0.33296132531059175</v>
      </c>
      <c r="E147" s="119">
        <f t="shared" ca="1" si="12"/>
        <v>-1.4693113683076642</v>
      </c>
      <c r="F147" s="2">
        <f t="shared" ca="1" si="13"/>
        <v>0.05</v>
      </c>
      <c r="G147" s="2">
        <f t="shared" ca="1" si="14"/>
        <v>0.05</v>
      </c>
      <c r="H147" s="72">
        <f t="shared" ca="1" si="15"/>
        <v>3283.2251171200792</v>
      </c>
      <c r="I147" s="72">
        <f t="shared" ca="1" si="16"/>
        <v>1342.7489181356559</v>
      </c>
      <c r="J147" s="72">
        <f t="shared" ca="1" si="17"/>
        <v>4625.9740352557346</v>
      </c>
    </row>
    <row r="148" spans="2:10" x14ac:dyDescent="0.35">
      <c r="B148" s="118">
        <f t="shared" ca="1" si="20"/>
        <v>1.1909727276770665</v>
      </c>
      <c r="C148" s="119">
        <f t="shared" ca="1" si="20"/>
        <v>0.28685743668523472</v>
      </c>
      <c r="D148" s="118">
        <f t="shared" ca="1" si="11"/>
        <v>1.1909727276770665</v>
      </c>
      <c r="E148" s="119">
        <f t="shared" ca="1" si="12"/>
        <v>0.51925628505603627</v>
      </c>
      <c r="F148" s="2">
        <f t="shared" ca="1" si="13"/>
        <v>0.12</v>
      </c>
      <c r="G148" s="2">
        <f t="shared" ca="1" si="14"/>
        <v>0.12</v>
      </c>
      <c r="H148" s="72">
        <f t="shared" ca="1" si="15"/>
        <v>3042.2414210881088</v>
      </c>
      <c r="I148" s="72">
        <f t="shared" ca="1" si="16"/>
        <v>1150.1271898182279</v>
      </c>
      <c r="J148" s="72">
        <f t="shared" ca="1" si="17"/>
        <v>4192.3686109063365</v>
      </c>
    </row>
    <row r="149" spans="2:10" x14ac:dyDescent="0.35">
      <c r="B149" s="118">
        <f t="shared" ca="1" si="20"/>
        <v>1.1603201836331891</v>
      </c>
      <c r="C149" s="119">
        <f t="shared" ca="1" si="20"/>
        <v>1.0144142669748626</v>
      </c>
      <c r="D149" s="118">
        <f t="shared" ca="1" si="11"/>
        <v>1.1603201836331891</v>
      </c>
      <c r="E149" s="119">
        <f t="shared" ca="1" si="12"/>
        <v>1.2259829734817747</v>
      </c>
      <c r="F149" s="2">
        <f t="shared" ca="1" si="13"/>
        <v>0.12</v>
      </c>
      <c r="G149" s="2" t="str">
        <f t="shared" ca="1" si="14"/>
        <v>D</v>
      </c>
      <c r="H149" s="72">
        <f t="shared" ca="1" si="15"/>
        <v>3042.2414210881088</v>
      </c>
      <c r="I149" s="72">
        <f t="shared" ca="1" si="16"/>
        <v>0</v>
      </c>
      <c r="J149" s="72">
        <f t="shared" ca="1" si="17"/>
        <v>3042.2414210881088</v>
      </c>
    </row>
    <row r="150" spans="2:10" x14ac:dyDescent="0.35">
      <c r="B150" s="118">
        <f t="shared" ca="1" si="20"/>
        <v>1.1485348459888844</v>
      </c>
      <c r="C150" s="119">
        <f t="shared" ca="1" si="20"/>
        <v>1.9632781829439054</v>
      </c>
      <c r="D150" s="118">
        <f t="shared" ca="1" si="11"/>
        <v>1.1485348459888844</v>
      </c>
      <c r="E150" s="119">
        <f t="shared" ca="1" si="12"/>
        <v>2.1533188777382137</v>
      </c>
      <c r="F150" s="2">
        <f t="shared" ca="1" si="13"/>
        <v>0.12</v>
      </c>
      <c r="G150" s="2" t="str">
        <f t="shared" ca="1" si="14"/>
        <v>D</v>
      </c>
      <c r="H150" s="72">
        <f t="shared" ca="1" si="15"/>
        <v>3042.2414210881088</v>
      </c>
      <c r="I150" s="72">
        <f t="shared" ca="1" si="16"/>
        <v>0</v>
      </c>
      <c r="J150" s="72">
        <f t="shared" ca="1" si="17"/>
        <v>3042.2414210881088</v>
      </c>
    </row>
    <row r="151" spans="2:10" x14ac:dyDescent="0.35">
      <c r="B151" s="118">
        <f t="shared" ca="1" si="20"/>
        <v>-0.54549697175564371</v>
      </c>
      <c r="C151" s="119">
        <f t="shared" ca="1" si="20"/>
        <v>-1.2686162632905749</v>
      </c>
      <c r="D151" s="118">
        <f t="shared" ca="1" si="11"/>
        <v>-0.54549697175564371</v>
      </c>
      <c r="E151" s="119">
        <f t="shared" ca="1" si="12"/>
        <v>-1.3520844041344033</v>
      </c>
      <c r="F151" s="2">
        <f t="shared" ca="1" si="13"/>
        <v>0.05</v>
      </c>
      <c r="G151" s="2">
        <f t="shared" ca="1" si="14"/>
        <v>0.05</v>
      </c>
      <c r="H151" s="72">
        <f t="shared" ca="1" si="15"/>
        <v>3283.2251171200792</v>
      </c>
      <c r="I151" s="72">
        <f t="shared" ca="1" si="16"/>
        <v>1342.7489181356559</v>
      </c>
      <c r="J151" s="72">
        <f t="shared" ca="1" si="17"/>
        <v>4625.9740352557346</v>
      </c>
    </row>
    <row r="152" spans="2:10" x14ac:dyDescent="0.35">
      <c r="B152" s="118">
        <f t="shared" ca="1" si="20"/>
        <v>0.38198374659050077</v>
      </c>
      <c r="C152" s="119">
        <f t="shared" ca="1" si="20"/>
        <v>-1.0840222207300807</v>
      </c>
      <c r="D152" s="118">
        <f t="shared" ref="D152:D215" ca="1" si="21">+B152</f>
        <v>0.38198374659050077</v>
      </c>
      <c r="E152" s="119">
        <f t="shared" ref="E152:E215" ca="1" si="22">+$C$21*B152+C152*(1-$C$21^2)^0.5</f>
        <v>-0.98572377493284979</v>
      </c>
      <c r="F152" s="2">
        <f t="shared" ref="F152:F215" ca="1" si="23">+IF(D152&lt;$I$17,$H$17,IF(D152&lt;$I$18,$H$18,IF(D152&lt;$I$19,$H$19,$H$20)))</f>
        <v>0.05</v>
      </c>
      <c r="G152" s="2">
        <f t="shared" ref="G152:G215" ca="1" si="24">+IF(E152&lt;$J$17,$H$17,IF(E152&lt;$J$18,$H$18,IF(E152&lt;$J$19,$H$19,$H$20)))</f>
        <v>0.05</v>
      </c>
      <c r="H152" s="72">
        <f t="shared" ref="H152:H215" ca="1" si="25">+IF(F152="D",0,$C$10+NPV($E$10+F152,$C$11:$C$13))</f>
        <v>3283.2251171200792</v>
      </c>
      <c r="I152" s="72">
        <f t="shared" ref="I152:I215" ca="1" si="26">+IF(G152="D",0,$D$10+NPV($E$10+G152,$D$11:$D$14))</f>
        <v>1342.7489181356559</v>
      </c>
      <c r="J152" s="72">
        <f t="shared" ref="J152:J215" ca="1" si="27">+I152+H152</f>
        <v>4625.9740352557346</v>
      </c>
    </row>
    <row r="153" spans="2:10" x14ac:dyDescent="0.35">
      <c r="B153" s="118">
        <f t="shared" ca="1" si="20"/>
        <v>0.11670394910855247</v>
      </c>
      <c r="C153" s="119">
        <f t="shared" ca="1" si="20"/>
        <v>0.89616304356138132</v>
      </c>
      <c r="D153" s="118">
        <f t="shared" ca="1" si="21"/>
        <v>0.11670394910855247</v>
      </c>
      <c r="E153" s="119">
        <f t="shared" ca="1" si="22"/>
        <v>0.90139766304769364</v>
      </c>
      <c r="F153" s="2">
        <f t="shared" ca="1" si="23"/>
        <v>0.05</v>
      </c>
      <c r="G153" s="2" t="str">
        <f t="shared" ca="1" si="24"/>
        <v>D</v>
      </c>
      <c r="H153" s="72">
        <f t="shared" ca="1" si="25"/>
        <v>3283.2251171200792</v>
      </c>
      <c r="I153" s="72">
        <f t="shared" ca="1" si="26"/>
        <v>0</v>
      </c>
      <c r="J153" s="72">
        <f t="shared" ca="1" si="27"/>
        <v>3283.2251171200792</v>
      </c>
    </row>
    <row r="154" spans="2:10" x14ac:dyDescent="0.35">
      <c r="B154" s="118">
        <f t="shared" ca="1" si="20"/>
        <v>1.3676577127620542</v>
      </c>
      <c r="C154" s="119">
        <f t="shared" ca="1" si="20"/>
        <v>-1.490367663832321E-2</v>
      </c>
      <c r="D154" s="118">
        <f t="shared" ca="1" si="21"/>
        <v>1.3676577127620542</v>
      </c>
      <c r="E154" s="119">
        <f t="shared" ca="1" si="22"/>
        <v>0.25892898133027886</v>
      </c>
      <c r="F154" s="2" t="str">
        <f t="shared" ca="1" si="23"/>
        <v>D</v>
      </c>
      <c r="G154" s="2">
        <f t="shared" ca="1" si="24"/>
        <v>0.12</v>
      </c>
      <c r="H154" s="72">
        <f t="shared" ca="1" si="25"/>
        <v>0</v>
      </c>
      <c r="I154" s="72">
        <f t="shared" ca="1" si="26"/>
        <v>1150.1271898182279</v>
      </c>
      <c r="J154" s="72">
        <f t="shared" ca="1" si="27"/>
        <v>1150.1271898182279</v>
      </c>
    </row>
    <row r="155" spans="2:10" x14ac:dyDescent="0.35">
      <c r="B155" s="118">
        <f t="shared" ca="1" si="20"/>
        <v>0.25949856187767356</v>
      </c>
      <c r="C155" s="119">
        <f t="shared" ca="1" si="20"/>
        <v>-0.88677918839411796</v>
      </c>
      <c r="D155" s="118">
        <f t="shared" ca="1" si="21"/>
        <v>0.25949856187767356</v>
      </c>
      <c r="E155" s="119">
        <f t="shared" ca="1" si="22"/>
        <v>-0.81696289805845868</v>
      </c>
      <c r="F155" s="2">
        <f t="shared" ca="1" si="23"/>
        <v>0.05</v>
      </c>
      <c r="G155" s="2">
        <f t="shared" ca="1" si="24"/>
        <v>0.12</v>
      </c>
      <c r="H155" s="72">
        <f t="shared" ca="1" si="25"/>
        <v>3283.2251171200792</v>
      </c>
      <c r="I155" s="72">
        <f t="shared" ca="1" si="26"/>
        <v>1150.1271898182279</v>
      </c>
      <c r="J155" s="72">
        <f t="shared" ca="1" si="27"/>
        <v>4433.3523069383073</v>
      </c>
    </row>
    <row r="156" spans="2:10" x14ac:dyDescent="0.35">
      <c r="B156" s="118">
        <f t="shared" ca="1" si="20"/>
        <v>-0.5991967973092347</v>
      </c>
      <c r="C156" s="119">
        <f t="shared" ca="1" si="20"/>
        <v>0.29616835593874324</v>
      </c>
      <c r="D156" s="118">
        <f t="shared" ca="1" si="21"/>
        <v>-0.5991967973092347</v>
      </c>
      <c r="E156" s="119">
        <f t="shared" ca="1" si="22"/>
        <v>0.17034518054171666</v>
      </c>
      <c r="F156" s="2">
        <f t="shared" ca="1" si="23"/>
        <v>0.05</v>
      </c>
      <c r="G156" s="2">
        <f t="shared" ca="1" si="24"/>
        <v>0.12</v>
      </c>
      <c r="H156" s="72">
        <f t="shared" ca="1" si="25"/>
        <v>3283.2251171200792</v>
      </c>
      <c r="I156" s="72">
        <f t="shared" ca="1" si="26"/>
        <v>1150.1271898182279</v>
      </c>
      <c r="J156" s="72">
        <f t="shared" ca="1" si="27"/>
        <v>4433.3523069383073</v>
      </c>
    </row>
    <row r="157" spans="2:10" x14ac:dyDescent="0.35">
      <c r="B157" s="118">
        <f t="shared" ca="1" si="20"/>
        <v>1.0790311402336952</v>
      </c>
      <c r="C157" s="119">
        <f t="shared" ca="1" si="20"/>
        <v>0.21766770932216722</v>
      </c>
      <c r="D157" s="118">
        <f t="shared" ca="1" si="21"/>
        <v>1.0790311402336952</v>
      </c>
      <c r="E157" s="119">
        <f t="shared" ca="1" si="22"/>
        <v>0.4290761565746426</v>
      </c>
      <c r="F157" s="2">
        <f t="shared" ca="1" si="23"/>
        <v>0.12</v>
      </c>
      <c r="G157" s="2">
        <f t="shared" ca="1" si="24"/>
        <v>0.12</v>
      </c>
      <c r="H157" s="72">
        <f t="shared" ca="1" si="25"/>
        <v>3042.2414210881088</v>
      </c>
      <c r="I157" s="72">
        <f t="shared" ca="1" si="26"/>
        <v>1150.1271898182279</v>
      </c>
      <c r="J157" s="72">
        <f t="shared" ca="1" si="27"/>
        <v>4192.3686109063365</v>
      </c>
    </row>
    <row r="158" spans="2:10" x14ac:dyDescent="0.35">
      <c r="B158" s="118">
        <f t="shared" ca="1" si="20"/>
        <v>-0.3350352393924233</v>
      </c>
      <c r="C158" s="119">
        <f t="shared" ca="1" si="20"/>
        <v>-1.2392842501508048</v>
      </c>
      <c r="D158" s="118">
        <f t="shared" ca="1" si="21"/>
        <v>-0.3350352393924233</v>
      </c>
      <c r="E158" s="119">
        <f t="shared" ca="1" si="22"/>
        <v>-1.2812526715333399</v>
      </c>
      <c r="F158" s="2">
        <f t="shared" ca="1" si="23"/>
        <v>0.05</v>
      </c>
      <c r="G158" s="2">
        <f t="shared" ca="1" si="24"/>
        <v>0.05</v>
      </c>
      <c r="H158" s="72">
        <f t="shared" ca="1" si="25"/>
        <v>3283.2251171200792</v>
      </c>
      <c r="I158" s="72">
        <f t="shared" ca="1" si="26"/>
        <v>1342.7489181356559</v>
      </c>
      <c r="J158" s="72">
        <f t="shared" ca="1" si="27"/>
        <v>4625.9740352557346</v>
      </c>
    </row>
    <row r="159" spans="2:10" x14ac:dyDescent="0.35">
      <c r="B159" s="118">
        <f t="shared" ca="1" si="20"/>
        <v>-0.30573202381929671</v>
      </c>
      <c r="C159" s="119">
        <f t="shared" ca="1" si="20"/>
        <v>-5.1626038983283259E-2</v>
      </c>
      <c r="D159" s="118">
        <f t="shared" ca="1" si="21"/>
        <v>-0.30573202381929671</v>
      </c>
      <c r="E159" s="119">
        <f t="shared" ca="1" si="22"/>
        <v>-0.11172938594389008</v>
      </c>
      <c r="F159" s="2">
        <f t="shared" ca="1" si="23"/>
        <v>0.05</v>
      </c>
      <c r="G159" s="2">
        <f t="shared" ca="1" si="24"/>
        <v>0.12</v>
      </c>
      <c r="H159" s="72">
        <f t="shared" ca="1" si="25"/>
        <v>3283.2251171200792</v>
      </c>
      <c r="I159" s="72">
        <f t="shared" ca="1" si="26"/>
        <v>1150.1271898182279</v>
      </c>
      <c r="J159" s="72">
        <f t="shared" ca="1" si="27"/>
        <v>4433.3523069383073</v>
      </c>
    </row>
    <row r="160" spans="2:10" x14ac:dyDescent="0.35">
      <c r="B160" s="118">
        <f t="shared" ca="1" si="20"/>
        <v>0.56539155188376766</v>
      </c>
      <c r="C160" s="119">
        <f t="shared" ca="1" si="20"/>
        <v>-1.1250688965670268E-2</v>
      </c>
      <c r="D160" s="118">
        <f t="shared" ca="1" si="21"/>
        <v>0.56539155188376766</v>
      </c>
      <c r="E160" s="119">
        <f t="shared" ca="1" si="22"/>
        <v>0.10205493148849225</v>
      </c>
      <c r="F160" s="2">
        <f t="shared" ca="1" si="23"/>
        <v>0.05</v>
      </c>
      <c r="G160" s="2">
        <f t="shared" ca="1" si="24"/>
        <v>0.12</v>
      </c>
      <c r="H160" s="72">
        <f t="shared" ca="1" si="25"/>
        <v>3283.2251171200792</v>
      </c>
      <c r="I160" s="72">
        <f t="shared" ca="1" si="26"/>
        <v>1150.1271898182279</v>
      </c>
      <c r="J160" s="72">
        <f t="shared" ca="1" si="27"/>
        <v>4433.3523069383073</v>
      </c>
    </row>
    <row r="161" spans="2:10" x14ac:dyDescent="0.35">
      <c r="B161" s="118">
        <f t="shared" ca="1" si="20"/>
        <v>9.7452003672440224E-2</v>
      </c>
      <c r="C161" s="119">
        <f t="shared" ca="1" si="20"/>
        <v>-0.16713038435921565</v>
      </c>
      <c r="D161" s="118">
        <f t="shared" ca="1" si="21"/>
        <v>9.7452003672440224E-2</v>
      </c>
      <c r="E161" s="119">
        <f t="shared" ca="1" si="22"/>
        <v>-0.14426326414363549</v>
      </c>
      <c r="F161" s="2">
        <f t="shared" ca="1" si="23"/>
        <v>0.05</v>
      </c>
      <c r="G161" s="2">
        <f t="shared" ca="1" si="24"/>
        <v>0.12</v>
      </c>
      <c r="H161" s="72">
        <f t="shared" ca="1" si="25"/>
        <v>3283.2251171200792</v>
      </c>
      <c r="I161" s="72">
        <f t="shared" ca="1" si="26"/>
        <v>1150.1271898182279</v>
      </c>
      <c r="J161" s="72">
        <f t="shared" ca="1" si="27"/>
        <v>4433.3523069383073</v>
      </c>
    </row>
    <row r="162" spans="2:10" x14ac:dyDescent="0.35">
      <c r="B162" s="118">
        <f t="shared" ca="1" si="20"/>
        <v>-0.3225133514831483</v>
      </c>
      <c r="C162" s="119">
        <f t="shared" ca="1" si="20"/>
        <v>-0.90918050323690058</v>
      </c>
      <c r="D162" s="118">
        <f t="shared" ca="1" si="21"/>
        <v>-0.3225133514831483</v>
      </c>
      <c r="E162" s="119">
        <f t="shared" ca="1" si="22"/>
        <v>-0.95531399710352405</v>
      </c>
      <c r="F162" s="2">
        <f t="shared" ca="1" si="23"/>
        <v>0.05</v>
      </c>
      <c r="G162" s="2">
        <f t="shared" ca="1" si="24"/>
        <v>0.05</v>
      </c>
      <c r="H162" s="72">
        <f t="shared" ca="1" si="25"/>
        <v>3283.2251171200792</v>
      </c>
      <c r="I162" s="72">
        <f t="shared" ca="1" si="26"/>
        <v>1342.7489181356559</v>
      </c>
      <c r="J162" s="72">
        <f t="shared" ca="1" si="27"/>
        <v>4625.9740352557346</v>
      </c>
    </row>
    <row r="163" spans="2:10" x14ac:dyDescent="0.35">
      <c r="B163" s="118">
        <f t="shared" ca="1" si="20"/>
        <v>0.50805078044606478</v>
      </c>
      <c r="C163" s="119">
        <f t="shared" ca="1" si="20"/>
        <v>0.57622232061584555</v>
      </c>
      <c r="D163" s="118">
        <f t="shared" ca="1" si="21"/>
        <v>0.50805078044606478</v>
      </c>
      <c r="E163" s="119">
        <f t="shared" ca="1" si="22"/>
        <v>0.66619042165370634</v>
      </c>
      <c r="F163" s="2">
        <f t="shared" ca="1" si="23"/>
        <v>0.05</v>
      </c>
      <c r="G163" s="2">
        <f t="shared" ca="1" si="24"/>
        <v>0.12</v>
      </c>
      <c r="H163" s="72">
        <f t="shared" ca="1" si="25"/>
        <v>3283.2251171200792</v>
      </c>
      <c r="I163" s="72">
        <f t="shared" ca="1" si="26"/>
        <v>1150.1271898182279</v>
      </c>
      <c r="J163" s="72">
        <f t="shared" ca="1" si="27"/>
        <v>4433.3523069383073</v>
      </c>
    </row>
    <row r="164" spans="2:10" x14ac:dyDescent="0.35">
      <c r="B164" s="118">
        <f t="shared" ref="B164:C183" ca="1" si="28">NORMSINV(RAND())</f>
        <v>0.17300538172492894</v>
      </c>
      <c r="C164" s="119">
        <f t="shared" ca="1" si="28"/>
        <v>-0.5269792484679382</v>
      </c>
      <c r="D164" s="118">
        <f t="shared" ca="1" si="21"/>
        <v>0.17300538172492894</v>
      </c>
      <c r="E164" s="119">
        <f t="shared" ca="1" si="22"/>
        <v>-0.48173102916773514</v>
      </c>
      <c r="F164" s="2">
        <f t="shared" ca="1" si="23"/>
        <v>0.05</v>
      </c>
      <c r="G164" s="2">
        <f t="shared" ca="1" si="24"/>
        <v>0.12</v>
      </c>
      <c r="H164" s="72">
        <f t="shared" ca="1" si="25"/>
        <v>3283.2251171200792</v>
      </c>
      <c r="I164" s="72">
        <f t="shared" ca="1" si="26"/>
        <v>1150.1271898182279</v>
      </c>
      <c r="J164" s="72">
        <f t="shared" ca="1" si="27"/>
        <v>4433.3523069383073</v>
      </c>
    </row>
    <row r="165" spans="2:10" x14ac:dyDescent="0.35">
      <c r="B165" s="118">
        <f t="shared" ca="1" si="28"/>
        <v>0.90092514082307396</v>
      </c>
      <c r="C165" s="119">
        <f t="shared" ca="1" si="28"/>
        <v>-2.7298857400774954E-2</v>
      </c>
      <c r="D165" s="118">
        <f t="shared" ca="1" si="21"/>
        <v>0.90092514082307396</v>
      </c>
      <c r="E165" s="119">
        <f t="shared" ca="1" si="22"/>
        <v>0.15343771968745523</v>
      </c>
      <c r="F165" s="2">
        <f t="shared" ca="1" si="23"/>
        <v>0.12</v>
      </c>
      <c r="G165" s="2">
        <f t="shared" ca="1" si="24"/>
        <v>0.12</v>
      </c>
      <c r="H165" s="72">
        <f t="shared" ca="1" si="25"/>
        <v>3042.2414210881088</v>
      </c>
      <c r="I165" s="72">
        <f t="shared" ca="1" si="26"/>
        <v>1150.1271898182279</v>
      </c>
      <c r="J165" s="72">
        <f t="shared" ca="1" si="27"/>
        <v>4192.3686109063365</v>
      </c>
    </row>
    <row r="166" spans="2:10" x14ac:dyDescent="0.35">
      <c r="B166" s="118">
        <f t="shared" ca="1" si="28"/>
        <v>-0.60223568644410475</v>
      </c>
      <c r="C166" s="119">
        <f t="shared" ca="1" si="28"/>
        <v>0.4147165083396841</v>
      </c>
      <c r="D166" s="118">
        <f t="shared" ca="1" si="21"/>
        <v>-0.60223568644410475</v>
      </c>
      <c r="E166" s="119">
        <f t="shared" ca="1" si="22"/>
        <v>0.28589039604754324</v>
      </c>
      <c r="F166" s="2">
        <f t="shared" ca="1" si="23"/>
        <v>0.05</v>
      </c>
      <c r="G166" s="2">
        <f t="shared" ca="1" si="24"/>
        <v>0.12</v>
      </c>
      <c r="H166" s="72">
        <f t="shared" ca="1" si="25"/>
        <v>3283.2251171200792</v>
      </c>
      <c r="I166" s="72">
        <f t="shared" ca="1" si="26"/>
        <v>1150.1271898182279</v>
      </c>
      <c r="J166" s="72">
        <f t="shared" ca="1" si="27"/>
        <v>4433.3523069383073</v>
      </c>
    </row>
    <row r="167" spans="2:10" x14ac:dyDescent="0.35">
      <c r="B167" s="118">
        <f t="shared" ca="1" si="28"/>
        <v>0.13393243289877235</v>
      </c>
      <c r="C167" s="119">
        <f t="shared" ca="1" si="28"/>
        <v>2.1725817683855948</v>
      </c>
      <c r="D167" s="118">
        <f t="shared" ca="1" si="21"/>
        <v>0.13393243289877235</v>
      </c>
      <c r="E167" s="119">
        <f t="shared" ca="1" si="22"/>
        <v>2.1554731893870556</v>
      </c>
      <c r="F167" s="2">
        <f t="shared" ca="1" si="23"/>
        <v>0.05</v>
      </c>
      <c r="G167" s="2" t="str">
        <f t="shared" ca="1" si="24"/>
        <v>D</v>
      </c>
      <c r="H167" s="72">
        <f t="shared" ca="1" si="25"/>
        <v>3283.2251171200792</v>
      </c>
      <c r="I167" s="72">
        <f t="shared" ca="1" si="26"/>
        <v>0</v>
      </c>
      <c r="J167" s="72">
        <f t="shared" ca="1" si="27"/>
        <v>3283.2251171200792</v>
      </c>
    </row>
    <row r="168" spans="2:10" x14ac:dyDescent="0.35">
      <c r="B168" s="118">
        <f t="shared" ca="1" si="28"/>
        <v>0.68534847721531977</v>
      </c>
      <c r="C168" s="119">
        <f t="shared" ca="1" si="28"/>
        <v>0.24312193693195885</v>
      </c>
      <c r="D168" s="118">
        <f t="shared" ca="1" si="21"/>
        <v>0.68534847721531977</v>
      </c>
      <c r="E168" s="119">
        <f t="shared" ca="1" si="22"/>
        <v>0.3752795717472287</v>
      </c>
      <c r="F168" s="2">
        <f t="shared" ca="1" si="23"/>
        <v>0.05</v>
      </c>
      <c r="G168" s="2">
        <f t="shared" ca="1" si="24"/>
        <v>0.12</v>
      </c>
      <c r="H168" s="72">
        <f t="shared" ca="1" si="25"/>
        <v>3283.2251171200792</v>
      </c>
      <c r="I168" s="72">
        <f t="shared" ca="1" si="26"/>
        <v>1150.1271898182279</v>
      </c>
      <c r="J168" s="72">
        <f t="shared" ca="1" si="27"/>
        <v>4433.3523069383073</v>
      </c>
    </row>
    <row r="169" spans="2:10" x14ac:dyDescent="0.35">
      <c r="B169" s="118">
        <f t="shared" ca="1" si="28"/>
        <v>1.0624665639866739</v>
      </c>
      <c r="C169" s="119">
        <f t="shared" ca="1" si="28"/>
        <v>1.6970437622775276</v>
      </c>
      <c r="D169" s="118">
        <f t="shared" ca="1" si="21"/>
        <v>1.0624665639866739</v>
      </c>
      <c r="E169" s="119">
        <f t="shared" ca="1" si="22"/>
        <v>1.8752498282985259</v>
      </c>
      <c r="F169" s="2">
        <f t="shared" ca="1" si="23"/>
        <v>0.12</v>
      </c>
      <c r="G169" s="2" t="str">
        <f t="shared" ca="1" si="24"/>
        <v>D</v>
      </c>
      <c r="H169" s="72">
        <f t="shared" ca="1" si="25"/>
        <v>3042.2414210881088</v>
      </c>
      <c r="I169" s="72">
        <f t="shared" ca="1" si="26"/>
        <v>0</v>
      </c>
      <c r="J169" s="72">
        <f t="shared" ca="1" si="27"/>
        <v>3042.2414210881088</v>
      </c>
    </row>
    <row r="170" spans="2:10" x14ac:dyDescent="0.35">
      <c r="B170" s="118">
        <f t="shared" ca="1" si="28"/>
        <v>-1.5655973339552711</v>
      </c>
      <c r="C170" s="119">
        <f t="shared" ca="1" si="28"/>
        <v>0.26452344308230108</v>
      </c>
      <c r="D170" s="118">
        <f t="shared" ca="1" si="21"/>
        <v>-1.5655973339552711</v>
      </c>
      <c r="E170" s="119">
        <f t="shared" ca="1" si="22"/>
        <v>-5.3940482568739734E-2</v>
      </c>
      <c r="F170" s="2">
        <f t="shared" ca="1" si="23"/>
        <v>0.01</v>
      </c>
      <c r="G170" s="2">
        <f t="shared" ca="1" si="24"/>
        <v>0.12</v>
      </c>
      <c r="H170" s="72">
        <f t="shared" ca="1" si="25"/>
        <v>3443.7147154459058</v>
      </c>
      <c r="I170" s="72">
        <f t="shared" ca="1" si="26"/>
        <v>1150.1271898182279</v>
      </c>
      <c r="J170" s="72">
        <f t="shared" ca="1" si="27"/>
        <v>4593.8419052641339</v>
      </c>
    </row>
    <row r="171" spans="2:10" x14ac:dyDescent="0.35">
      <c r="B171" s="118">
        <f t="shared" ca="1" si="28"/>
        <v>0.46168346135716037</v>
      </c>
      <c r="C171" s="119">
        <f t="shared" ca="1" si="28"/>
        <v>1.5160052139715108</v>
      </c>
      <c r="D171" s="118">
        <f t="shared" ca="1" si="21"/>
        <v>0.46168346135716037</v>
      </c>
      <c r="E171" s="119">
        <f t="shared" ca="1" si="22"/>
        <v>1.5777123809230451</v>
      </c>
      <c r="F171" s="2">
        <f t="shared" ca="1" si="23"/>
        <v>0.05</v>
      </c>
      <c r="G171" s="2" t="str">
        <f t="shared" ca="1" si="24"/>
        <v>D</v>
      </c>
      <c r="H171" s="72">
        <f t="shared" ca="1" si="25"/>
        <v>3283.2251171200792</v>
      </c>
      <c r="I171" s="72">
        <f t="shared" ca="1" si="26"/>
        <v>0</v>
      </c>
      <c r="J171" s="72">
        <f t="shared" ca="1" si="27"/>
        <v>3283.2251171200792</v>
      </c>
    </row>
    <row r="172" spans="2:10" x14ac:dyDescent="0.35">
      <c r="B172" s="118">
        <f t="shared" ca="1" si="28"/>
        <v>0.58151388299439188</v>
      </c>
      <c r="C172" s="119">
        <f t="shared" ca="1" si="28"/>
        <v>0.4810864185127256</v>
      </c>
      <c r="D172" s="118">
        <f t="shared" ca="1" si="21"/>
        <v>0.58151388299439188</v>
      </c>
      <c r="E172" s="119">
        <f t="shared" ca="1" si="22"/>
        <v>0.58766927561456495</v>
      </c>
      <c r="F172" s="2">
        <f t="shared" ca="1" si="23"/>
        <v>0.05</v>
      </c>
      <c r="G172" s="2">
        <f t="shared" ca="1" si="24"/>
        <v>0.12</v>
      </c>
      <c r="H172" s="72">
        <f t="shared" ca="1" si="25"/>
        <v>3283.2251171200792</v>
      </c>
      <c r="I172" s="72">
        <f t="shared" ca="1" si="26"/>
        <v>1150.1271898182279</v>
      </c>
      <c r="J172" s="72">
        <f t="shared" ca="1" si="27"/>
        <v>4433.3523069383073</v>
      </c>
    </row>
    <row r="173" spans="2:10" x14ac:dyDescent="0.35">
      <c r="B173" s="118">
        <f t="shared" ca="1" si="28"/>
        <v>-0.62950564713081025</v>
      </c>
      <c r="C173" s="119">
        <f t="shared" ca="1" si="28"/>
        <v>0.91106342700586884</v>
      </c>
      <c r="D173" s="118">
        <f t="shared" ca="1" si="21"/>
        <v>-0.62950564713081025</v>
      </c>
      <c r="E173" s="119">
        <f t="shared" ca="1" si="22"/>
        <v>0.76675507836414447</v>
      </c>
      <c r="F173" s="2">
        <f t="shared" ca="1" si="23"/>
        <v>0.05</v>
      </c>
      <c r="G173" s="2">
        <f t="shared" ca="1" si="24"/>
        <v>0.12</v>
      </c>
      <c r="H173" s="72">
        <f t="shared" ca="1" si="25"/>
        <v>3283.2251171200792</v>
      </c>
      <c r="I173" s="72">
        <f t="shared" ca="1" si="26"/>
        <v>1150.1271898182279</v>
      </c>
      <c r="J173" s="72">
        <f t="shared" ca="1" si="27"/>
        <v>4433.3523069383073</v>
      </c>
    </row>
    <row r="174" spans="2:10" x14ac:dyDescent="0.35">
      <c r="B174" s="118">
        <f t="shared" ca="1" si="28"/>
        <v>-0.38156876835654557</v>
      </c>
      <c r="C174" s="119">
        <f t="shared" ca="1" si="28"/>
        <v>-0.20160408781967382</v>
      </c>
      <c r="D174" s="118">
        <f t="shared" ca="1" si="21"/>
        <v>-0.38156876835654557</v>
      </c>
      <c r="E174" s="119">
        <f t="shared" ca="1" si="22"/>
        <v>-0.27384461175828911</v>
      </c>
      <c r="F174" s="2">
        <f t="shared" ca="1" si="23"/>
        <v>0.05</v>
      </c>
      <c r="G174" s="2">
        <f t="shared" ca="1" si="24"/>
        <v>0.12</v>
      </c>
      <c r="H174" s="72">
        <f t="shared" ca="1" si="25"/>
        <v>3283.2251171200792</v>
      </c>
      <c r="I174" s="72">
        <f t="shared" ca="1" si="26"/>
        <v>1150.1271898182279</v>
      </c>
      <c r="J174" s="72">
        <f t="shared" ca="1" si="27"/>
        <v>4433.3523069383073</v>
      </c>
    </row>
    <row r="175" spans="2:10" x14ac:dyDescent="0.35">
      <c r="B175" s="118">
        <f t="shared" ca="1" si="28"/>
        <v>1.1706112949877372</v>
      </c>
      <c r="C175" s="119">
        <f t="shared" ca="1" si="28"/>
        <v>0.76990959867595765</v>
      </c>
      <c r="D175" s="118">
        <f t="shared" ca="1" si="21"/>
        <v>1.1706112949877372</v>
      </c>
      <c r="E175" s="119">
        <f t="shared" ca="1" si="22"/>
        <v>0.98847652492837601</v>
      </c>
      <c r="F175" s="2">
        <f t="shared" ca="1" si="23"/>
        <v>0.12</v>
      </c>
      <c r="G175" s="2" t="str">
        <f t="shared" ca="1" si="24"/>
        <v>D</v>
      </c>
      <c r="H175" s="72">
        <f t="shared" ca="1" si="25"/>
        <v>3042.2414210881088</v>
      </c>
      <c r="I175" s="72">
        <f t="shared" ca="1" si="26"/>
        <v>0</v>
      </c>
      <c r="J175" s="72">
        <f t="shared" ca="1" si="27"/>
        <v>3042.2414210881088</v>
      </c>
    </row>
    <row r="176" spans="2:10" x14ac:dyDescent="0.35">
      <c r="B176" s="118">
        <f t="shared" ca="1" si="28"/>
        <v>-0.37067849292154659</v>
      </c>
      <c r="C176" s="119">
        <f t="shared" ca="1" si="28"/>
        <v>1.3198530816112606</v>
      </c>
      <c r="D176" s="118">
        <f t="shared" ca="1" si="21"/>
        <v>-0.37067849292154659</v>
      </c>
      <c r="E176" s="119">
        <f t="shared" ca="1" si="22"/>
        <v>1.2190509355707113</v>
      </c>
      <c r="F176" s="2">
        <f t="shared" ca="1" si="23"/>
        <v>0.05</v>
      </c>
      <c r="G176" s="2" t="str">
        <f t="shared" ca="1" si="24"/>
        <v>D</v>
      </c>
      <c r="H176" s="72">
        <f t="shared" ca="1" si="25"/>
        <v>3283.2251171200792</v>
      </c>
      <c r="I176" s="72">
        <f t="shared" ca="1" si="26"/>
        <v>0</v>
      </c>
      <c r="J176" s="72">
        <f t="shared" ca="1" si="27"/>
        <v>3283.2251171200792</v>
      </c>
    </row>
    <row r="177" spans="2:10" x14ac:dyDescent="0.35">
      <c r="B177" s="118">
        <f t="shared" ca="1" si="28"/>
        <v>-1.0202089468732713</v>
      </c>
      <c r="C177" s="119">
        <f t="shared" ca="1" si="28"/>
        <v>1.3365635635128462E-3</v>
      </c>
      <c r="D177" s="118">
        <f t="shared" ca="1" si="21"/>
        <v>-1.0202089468732713</v>
      </c>
      <c r="E177" s="119">
        <f t="shared" ca="1" si="22"/>
        <v>-0.20273222987889331</v>
      </c>
      <c r="F177" s="2">
        <f t="shared" ca="1" si="23"/>
        <v>0.05</v>
      </c>
      <c r="G177" s="2">
        <f t="shared" ca="1" si="24"/>
        <v>0.12</v>
      </c>
      <c r="H177" s="72">
        <f t="shared" ca="1" si="25"/>
        <v>3283.2251171200792</v>
      </c>
      <c r="I177" s="72">
        <f t="shared" ca="1" si="26"/>
        <v>1150.1271898182279</v>
      </c>
      <c r="J177" s="72">
        <f t="shared" ca="1" si="27"/>
        <v>4433.3523069383073</v>
      </c>
    </row>
    <row r="178" spans="2:10" x14ac:dyDescent="0.35">
      <c r="B178" s="118">
        <f t="shared" ca="1" si="28"/>
        <v>-0.12058551658158646</v>
      </c>
      <c r="C178" s="119">
        <f t="shared" ca="1" si="28"/>
        <v>0.99284422845224707</v>
      </c>
      <c r="D178" s="118">
        <f t="shared" ca="1" si="21"/>
        <v>-0.12058551658158646</v>
      </c>
      <c r="E178" s="119">
        <f t="shared" ca="1" si="22"/>
        <v>0.94866759819378565</v>
      </c>
      <c r="F178" s="2">
        <f t="shared" ca="1" si="23"/>
        <v>0.05</v>
      </c>
      <c r="G178" s="2" t="str">
        <f t="shared" ca="1" si="24"/>
        <v>D</v>
      </c>
      <c r="H178" s="72">
        <f t="shared" ca="1" si="25"/>
        <v>3283.2251171200792</v>
      </c>
      <c r="I178" s="72">
        <f t="shared" ca="1" si="26"/>
        <v>0</v>
      </c>
      <c r="J178" s="72">
        <f t="shared" ca="1" si="27"/>
        <v>3283.2251171200792</v>
      </c>
    </row>
    <row r="179" spans="2:10" x14ac:dyDescent="0.35">
      <c r="B179" s="118">
        <f t="shared" ca="1" si="28"/>
        <v>-0.27593475642868387</v>
      </c>
      <c r="C179" s="119">
        <f t="shared" ca="1" si="28"/>
        <v>-3.3594539728181619E-2</v>
      </c>
      <c r="D179" s="118">
        <f t="shared" ca="1" si="21"/>
        <v>-0.27593475642868387</v>
      </c>
      <c r="E179" s="119">
        <f t="shared" ca="1" si="22"/>
        <v>-8.8102743476817916E-2</v>
      </c>
      <c r="F179" s="2">
        <f t="shared" ca="1" si="23"/>
        <v>0.05</v>
      </c>
      <c r="G179" s="2">
        <f t="shared" ca="1" si="24"/>
        <v>0.12</v>
      </c>
      <c r="H179" s="72">
        <f t="shared" ca="1" si="25"/>
        <v>3283.2251171200792</v>
      </c>
      <c r="I179" s="72">
        <f t="shared" ca="1" si="26"/>
        <v>1150.1271898182279</v>
      </c>
      <c r="J179" s="72">
        <f t="shared" ca="1" si="27"/>
        <v>4433.3523069383073</v>
      </c>
    </row>
    <row r="180" spans="2:10" x14ac:dyDescent="0.35">
      <c r="B180" s="118">
        <f t="shared" ca="1" si="28"/>
        <v>-1.6290127241470151</v>
      </c>
      <c r="C180" s="119">
        <f t="shared" ca="1" si="28"/>
        <v>1.3642268457233115</v>
      </c>
      <c r="D180" s="118">
        <f t="shared" ca="1" si="21"/>
        <v>-1.6290127241470151</v>
      </c>
      <c r="E180" s="119">
        <f t="shared" ca="1" si="22"/>
        <v>1.0108613213420772</v>
      </c>
      <c r="F180" s="2">
        <f t="shared" ca="1" si="23"/>
        <v>0.01</v>
      </c>
      <c r="G180" s="2" t="str">
        <f t="shared" ca="1" si="24"/>
        <v>D</v>
      </c>
      <c r="H180" s="72">
        <f t="shared" ca="1" si="25"/>
        <v>3443.7147154459058</v>
      </c>
      <c r="I180" s="72">
        <f t="shared" ca="1" si="26"/>
        <v>0</v>
      </c>
      <c r="J180" s="72">
        <f t="shared" ca="1" si="27"/>
        <v>3443.7147154459058</v>
      </c>
    </row>
    <row r="181" spans="2:10" x14ac:dyDescent="0.35">
      <c r="B181" s="118">
        <f t="shared" ca="1" si="28"/>
        <v>0.43928182125177534</v>
      </c>
      <c r="C181" s="119">
        <f t="shared" ca="1" si="28"/>
        <v>1.4288944081931991</v>
      </c>
      <c r="D181" s="118">
        <f t="shared" ca="1" si="21"/>
        <v>0.43928182125177534</v>
      </c>
      <c r="E181" s="119">
        <f t="shared" ca="1" si="22"/>
        <v>1.4878812428061474</v>
      </c>
      <c r="F181" s="2">
        <f t="shared" ca="1" si="23"/>
        <v>0.05</v>
      </c>
      <c r="G181" s="2" t="str">
        <f t="shared" ca="1" si="24"/>
        <v>D</v>
      </c>
      <c r="H181" s="72">
        <f t="shared" ca="1" si="25"/>
        <v>3283.2251171200792</v>
      </c>
      <c r="I181" s="72">
        <f t="shared" ca="1" si="26"/>
        <v>0</v>
      </c>
      <c r="J181" s="72">
        <f t="shared" ca="1" si="27"/>
        <v>3283.2251171200792</v>
      </c>
    </row>
    <row r="182" spans="2:10" x14ac:dyDescent="0.35">
      <c r="B182" s="118">
        <f t="shared" ca="1" si="28"/>
        <v>-1.1560512856446428</v>
      </c>
      <c r="C182" s="119">
        <f t="shared" ca="1" si="28"/>
        <v>0.84075646847039154</v>
      </c>
      <c r="D182" s="118">
        <f t="shared" ca="1" si="21"/>
        <v>-1.1560512856446428</v>
      </c>
      <c r="E182" s="119">
        <f t="shared" ca="1" si="22"/>
        <v>0.5925594811498045</v>
      </c>
      <c r="F182" s="2">
        <f t="shared" ca="1" si="23"/>
        <v>0.05</v>
      </c>
      <c r="G182" s="2">
        <f t="shared" ca="1" si="24"/>
        <v>0.12</v>
      </c>
      <c r="H182" s="72">
        <f t="shared" ca="1" si="25"/>
        <v>3283.2251171200792</v>
      </c>
      <c r="I182" s="72">
        <f t="shared" ca="1" si="26"/>
        <v>1150.1271898182279</v>
      </c>
      <c r="J182" s="72">
        <f t="shared" ca="1" si="27"/>
        <v>4433.3523069383073</v>
      </c>
    </row>
    <row r="183" spans="2:10" x14ac:dyDescent="0.35">
      <c r="B183" s="118">
        <f t="shared" ca="1" si="28"/>
        <v>0.49788310543512926</v>
      </c>
      <c r="C183" s="119">
        <f t="shared" ca="1" si="28"/>
        <v>0.51458107846233159</v>
      </c>
      <c r="D183" s="118">
        <f t="shared" ca="1" si="21"/>
        <v>0.49788310543512926</v>
      </c>
      <c r="E183" s="119">
        <f t="shared" ca="1" si="22"/>
        <v>0.60376105049654072</v>
      </c>
      <c r="F183" s="2">
        <f t="shared" ca="1" si="23"/>
        <v>0.05</v>
      </c>
      <c r="G183" s="2">
        <f t="shared" ca="1" si="24"/>
        <v>0.12</v>
      </c>
      <c r="H183" s="72">
        <f t="shared" ca="1" si="25"/>
        <v>3283.2251171200792</v>
      </c>
      <c r="I183" s="72">
        <f t="shared" ca="1" si="26"/>
        <v>1150.1271898182279</v>
      </c>
      <c r="J183" s="72">
        <f t="shared" ca="1" si="27"/>
        <v>4433.3523069383073</v>
      </c>
    </row>
    <row r="184" spans="2:10" x14ac:dyDescent="0.35">
      <c r="B184" s="118">
        <f t="shared" ref="B184:C203" ca="1" si="29">NORMSINV(RAND())</f>
        <v>-1.2793553862998457</v>
      </c>
      <c r="C184" s="119">
        <f t="shared" ca="1" si="29"/>
        <v>-0.17782538797548733</v>
      </c>
      <c r="D184" s="118">
        <f t="shared" ca="1" si="21"/>
        <v>-1.2793553862998457</v>
      </c>
      <c r="E184" s="119">
        <f t="shared" ca="1" si="22"/>
        <v>-0.43010366280092727</v>
      </c>
      <c r="F184" s="2">
        <f t="shared" ca="1" si="23"/>
        <v>0.05</v>
      </c>
      <c r="G184" s="2">
        <f t="shared" ca="1" si="24"/>
        <v>0.12</v>
      </c>
      <c r="H184" s="72">
        <f t="shared" ca="1" si="25"/>
        <v>3283.2251171200792</v>
      </c>
      <c r="I184" s="72">
        <f t="shared" ca="1" si="26"/>
        <v>1150.1271898182279</v>
      </c>
      <c r="J184" s="72">
        <f t="shared" ca="1" si="27"/>
        <v>4433.3523069383073</v>
      </c>
    </row>
    <row r="185" spans="2:10" x14ac:dyDescent="0.35">
      <c r="B185" s="118">
        <f t="shared" ca="1" si="29"/>
        <v>-0.14209200979291592</v>
      </c>
      <c r="C185" s="119">
        <f t="shared" ca="1" si="29"/>
        <v>1.670535106243958</v>
      </c>
      <c r="D185" s="118">
        <f t="shared" ca="1" si="21"/>
        <v>-0.14209200979291592</v>
      </c>
      <c r="E185" s="119">
        <f t="shared" ca="1" si="22"/>
        <v>1.6083650411229296</v>
      </c>
      <c r="F185" s="2">
        <f t="shared" ca="1" si="23"/>
        <v>0.05</v>
      </c>
      <c r="G185" s="2" t="str">
        <f t="shared" ca="1" si="24"/>
        <v>D</v>
      </c>
      <c r="H185" s="72">
        <f t="shared" ca="1" si="25"/>
        <v>3283.2251171200792</v>
      </c>
      <c r="I185" s="72">
        <f t="shared" ca="1" si="26"/>
        <v>0</v>
      </c>
      <c r="J185" s="72">
        <f t="shared" ca="1" si="27"/>
        <v>3283.2251171200792</v>
      </c>
    </row>
    <row r="186" spans="2:10" x14ac:dyDescent="0.35">
      <c r="B186" s="118">
        <f t="shared" ca="1" si="29"/>
        <v>1.6455878547123588</v>
      </c>
      <c r="C186" s="119">
        <f t="shared" ca="1" si="29"/>
        <v>2.3211664174989259</v>
      </c>
      <c r="D186" s="118">
        <f t="shared" ca="1" si="21"/>
        <v>1.6455878547123588</v>
      </c>
      <c r="E186" s="119">
        <f t="shared" ca="1" si="22"/>
        <v>2.6033869033250294</v>
      </c>
      <c r="F186" s="2" t="str">
        <f t="shared" ca="1" si="23"/>
        <v>D</v>
      </c>
      <c r="G186" s="2" t="str">
        <f t="shared" ca="1" si="24"/>
        <v>D</v>
      </c>
      <c r="H186" s="72">
        <f t="shared" ca="1" si="25"/>
        <v>0</v>
      </c>
      <c r="I186" s="72">
        <f t="shared" ca="1" si="26"/>
        <v>0</v>
      </c>
      <c r="J186" s="72">
        <f t="shared" ca="1" si="27"/>
        <v>0</v>
      </c>
    </row>
    <row r="187" spans="2:10" x14ac:dyDescent="0.35">
      <c r="B187" s="118">
        <f t="shared" ca="1" si="29"/>
        <v>-0.27014818769107679</v>
      </c>
      <c r="C187" s="119">
        <f t="shared" ca="1" si="29"/>
        <v>1.6941767950551405E-2</v>
      </c>
      <c r="D187" s="118">
        <f t="shared" ca="1" si="21"/>
        <v>-0.27014818769107679</v>
      </c>
      <c r="E187" s="119">
        <f t="shared" ca="1" si="22"/>
        <v>-3.7430162810419984E-2</v>
      </c>
      <c r="F187" s="2">
        <f t="shared" ca="1" si="23"/>
        <v>0.05</v>
      </c>
      <c r="G187" s="2">
        <f t="shared" ca="1" si="24"/>
        <v>0.12</v>
      </c>
      <c r="H187" s="72">
        <f t="shared" ca="1" si="25"/>
        <v>3283.2251171200792</v>
      </c>
      <c r="I187" s="72">
        <f t="shared" ca="1" si="26"/>
        <v>1150.1271898182279</v>
      </c>
      <c r="J187" s="72">
        <f t="shared" ca="1" si="27"/>
        <v>4433.3523069383073</v>
      </c>
    </row>
    <row r="188" spans="2:10" x14ac:dyDescent="0.35">
      <c r="B188" s="118">
        <f t="shared" ca="1" si="29"/>
        <v>0.66675318367746117</v>
      </c>
      <c r="C188" s="119">
        <f t="shared" ca="1" si="29"/>
        <v>-0.6498224339454951</v>
      </c>
      <c r="D188" s="118">
        <f t="shared" ca="1" si="21"/>
        <v>0.66675318367746117</v>
      </c>
      <c r="E188" s="119">
        <f t="shared" ca="1" si="22"/>
        <v>-0.50334271789646357</v>
      </c>
      <c r="F188" s="2">
        <f t="shared" ca="1" si="23"/>
        <v>0.05</v>
      </c>
      <c r="G188" s="2">
        <f t="shared" ca="1" si="24"/>
        <v>0.12</v>
      </c>
      <c r="H188" s="72">
        <f t="shared" ca="1" si="25"/>
        <v>3283.2251171200792</v>
      </c>
      <c r="I188" s="72">
        <f t="shared" ca="1" si="26"/>
        <v>1150.1271898182279</v>
      </c>
      <c r="J188" s="72">
        <f t="shared" ca="1" si="27"/>
        <v>4433.3523069383073</v>
      </c>
    </row>
    <row r="189" spans="2:10" x14ac:dyDescent="0.35">
      <c r="B189" s="118">
        <f t="shared" ca="1" si="29"/>
        <v>0.71001434405317965</v>
      </c>
      <c r="C189" s="119">
        <f t="shared" ca="1" si="29"/>
        <v>0.99749896970535146</v>
      </c>
      <c r="D189" s="118">
        <f t="shared" ca="1" si="21"/>
        <v>0.71001434405317965</v>
      </c>
      <c r="E189" s="119">
        <f t="shared" ca="1" si="22"/>
        <v>1.1193482667026544</v>
      </c>
      <c r="F189" s="2">
        <f t="shared" ca="1" si="23"/>
        <v>0.05</v>
      </c>
      <c r="G189" s="2" t="str">
        <f t="shared" ca="1" si="24"/>
        <v>D</v>
      </c>
      <c r="H189" s="72">
        <f t="shared" ca="1" si="25"/>
        <v>3283.2251171200792</v>
      </c>
      <c r="I189" s="72">
        <f t="shared" ca="1" si="26"/>
        <v>0</v>
      </c>
      <c r="J189" s="72">
        <f t="shared" ca="1" si="27"/>
        <v>3283.2251171200792</v>
      </c>
    </row>
    <row r="190" spans="2:10" x14ac:dyDescent="0.35">
      <c r="B190" s="118">
        <f t="shared" ca="1" si="29"/>
        <v>-0.54983042596728171</v>
      </c>
      <c r="C190" s="119">
        <f t="shared" ca="1" si="29"/>
        <v>0.8009288671901601</v>
      </c>
      <c r="D190" s="118">
        <f t="shared" ca="1" si="21"/>
        <v>-0.54983042596728171</v>
      </c>
      <c r="E190" s="119">
        <f t="shared" ca="1" si="22"/>
        <v>0.67478073275904271</v>
      </c>
      <c r="F190" s="2">
        <f t="shared" ca="1" si="23"/>
        <v>0.05</v>
      </c>
      <c r="G190" s="2">
        <f t="shared" ca="1" si="24"/>
        <v>0.12</v>
      </c>
      <c r="H190" s="72">
        <f t="shared" ca="1" si="25"/>
        <v>3283.2251171200792</v>
      </c>
      <c r="I190" s="72">
        <f t="shared" ca="1" si="26"/>
        <v>1150.1271898182279</v>
      </c>
      <c r="J190" s="72">
        <f t="shared" ca="1" si="27"/>
        <v>4433.3523069383073</v>
      </c>
    </row>
    <row r="191" spans="2:10" x14ac:dyDescent="0.35">
      <c r="B191" s="118">
        <f t="shared" ca="1" si="29"/>
        <v>-1.2329959037867408</v>
      </c>
      <c r="C191" s="119">
        <f t="shared" ca="1" si="29"/>
        <v>0.73037859316329412</v>
      </c>
      <c r="D191" s="118">
        <f t="shared" ca="1" si="21"/>
        <v>-1.2329959037867408</v>
      </c>
      <c r="E191" s="119">
        <f t="shared" ca="1" si="22"/>
        <v>0.46902276816341049</v>
      </c>
      <c r="F191" s="2">
        <f t="shared" ca="1" si="23"/>
        <v>0.05</v>
      </c>
      <c r="G191" s="2">
        <f t="shared" ca="1" si="24"/>
        <v>0.12</v>
      </c>
      <c r="H191" s="72">
        <f t="shared" ca="1" si="25"/>
        <v>3283.2251171200792</v>
      </c>
      <c r="I191" s="72">
        <f t="shared" ca="1" si="26"/>
        <v>1150.1271898182279</v>
      </c>
      <c r="J191" s="72">
        <f t="shared" ca="1" si="27"/>
        <v>4433.3523069383073</v>
      </c>
    </row>
    <row r="192" spans="2:10" x14ac:dyDescent="0.35">
      <c r="B192" s="118">
        <f t="shared" ca="1" si="29"/>
        <v>-5.2021023092218698E-2</v>
      </c>
      <c r="C192" s="119">
        <f t="shared" ca="1" si="29"/>
        <v>-1.0561299648276852</v>
      </c>
      <c r="D192" s="118">
        <f t="shared" ca="1" si="21"/>
        <v>-5.2021023092218698E-2</v>
      </c>
      <c r="E192" s="119">
        <f t="shared" ca="1" si="22"/>
        <v>-1.0451960109749932</v>
      </c>
      <c r="F192" s="2">
        <f t="shared" ca="1" si="23"/>
        <v>0.05</v>
      </c>
      <c r="G192" s="2">
        <f t="shared" ca="1" si="24"/>
        <v>0.05</v>
      </c>
      <c r="H192" s="72">
        <f t="shared" ca="1" si="25"/>
        <v>3283.2251171200792</v>
      </c>
      <c r="I192" s="72">
        <f t="shared" ca="1" si="26"/>
        <v>1342.7489181356559</v>
      </c>
      <c r="J192" s="72">
        <f t="shared" ca="1" si="27"/>
        <v>4625.9740352557346</v>
      </c>
    </row>
    <row r="193" spans="2:10" x14ac:dyDescent="0.35">
      <c r="B193" s="118">
        <f t="shared" ca="1" si="29"/>
        <v>-0.3588626420403615</v>
      </c>
      <c r="C193" s="119">
        <f t="shared" ca="1" si="29"/>
        <v>-1.4615174228773042</v>
      </c>
      <c r="D193" s="118">
        <f t="shared" ca="1" si="21"/>
        <v>-0.3588626420403615</v>
      </c>
      <c r="E193" s="119">
        <f t="shared" ca="1" si="22"/>
        <v>-1.5037613029028167</v>
      </c>
      <c r="F193" s="2">
        <f t="shared" ca="1" si="23"/>
        <v>0.05</v>
      </c>
      <c r="G193" s="2">
        <f t="shared" ca="1" si="24"/>
        <v>0.05</v>
      </c>
      <c r="H193" s="72">
        <f t="shared" ca="1" si="25"/>
        <v>3283.2251171200792</v>
      </c>
      <c r="I193" s="72">
        <f t="shared" ca="1" si="26"/>
        <v>1342.7489181356559</v>
      </c>
      <c r="J193" s="72">
        <f t="shared" ca="1" si="27"/>
        <v>4625.9740352557346</v>
      </c>
    </row>
    <row r="194" spans="2:10" x14ac:dyDescent="0.35">
      <c r="B194" s="118">
        <f t="shared" ca="1" si="29"/>
        <v>-1.6066349449592643</v>
      </c>
      <c r="C194" s="119">
        <f t="shared" ca="1" si="29"/>
        <v>-0.36388003927737433</v>
      </c>
      <c r="D194" s="118">
        <f t="shared" ca="1" si="21"/>
        <v>-1.6066349449592643</v>
      </c>
      <c r="E194" s="119">
        <f t="shared" ca="1" si="22"/>
        <v>-0.67785515851724021</v>
      </c>
      <c r="F194" s="2">
        <f t="shared" ca="1" si="23"/>
        <v>0.01</v>
      </c>
      <c r="G194" s="2">
        <f t="shared" ca="1" si="24"/>
        <v>0.12</v>
      </c>
      <c r="H194" s="72">
        <f t="shared" ca="1" si="25"/>
        <v>3443.7147154459058</v>
      </c>
      <c r="I194" s="72">
        <f t="shared" ca="1" si="26"/>
        <v>1150.1271898182279</v>
      </c>
      <c r="J194" s="72">
        <f t="shared" ca="1" si="27"/>
        <v>4593.8419052641339</v>
      </c>
    </row>
    <row r="195" spans="2:10" x14ac:dyDescent="0.35">
      <c r="B195" s="118">
        <f t="shared" ca="1" si="29"/>
        <v>1.3435071722405476</v>
      </c>
      <c r="C195" s="119">
        <f t="shared" ca="1" si="29"/>
        <v>9.6188791404755808E-2</v>
      </c>
      <c r="D195" s="118">
        <f t="shared" ca="1" si="21"/>
        <v>1.3435071722405476</v>
      </c>
      <c r="E195" s="119">
        <f t="shared" ca="1" si="22"/>
        <v>0.36294681761477354</v>
      </c>
      <c r="F195" s="2" t="str">
        <f t="shared" ca="1" si="23"/>
        <v>D</v>
      </c>
      <c r="G195" s="2">
        <f t="shared" ca="1" si="24"/>
        <v>0.12</v>
      </c>
      <c r="H195" s="72">
        <f t="shared" ca="1" si="25"/>
        <v>0</v>
      </c>
      <c r="I195" s="72">
        <f t="shared" ca="1" si="26"/>
        <v>1150.1271898182279</v>
      </c>
      <c r="J195" s="72">
        <f t="shared" ca="1" si="27"/>
        <v>1150.1271898182279</v>
      </c>
    </row>
    <row r="196" spans="2:10" x14ac:dyDescent="0.35">
      <c r="B196" s="118">
        <f t="shared" ca="1" si="29"/>
        <v>-1.7994618573481544</v>
      </c>
      <c r="C196" s="119">
        <f t="shared" ca="1" si="29"/>
        <v>1.1246039400174535</v>
      </c>
      <c r="D196" s="118">
        <f t="shared" ca="1" si="21"/>
        <v>-1.7994618573481544</v>
      </c>
      <c r="E196" s="119">
        <f t="shared" ca="1" si="22"/>
        <v>0.74198995483688934</v>
      </c>
      <c r="F196" s="2">
        <f t="shared" ca="1" si="23"/>
        <v>0.01</v>
      </c>
      <c r="G196" s="2">
        <f t="shared" ca="1" si="24"/>
        <v>0.12</v>
      </c>
      <c r="H196" s="72">
        <f t="shared" ca="1" si="25"/>
        <v>3443.7147154459058</v>
      </c>
      <c r="I196" s="72">
        <f t="shared" ca="1" si="26"/>
        <v>1150.1271898182279</v>
      </c>
      <c r="J196" s="72">
        <f t="shared" ca="1" si="27"/>
        <v>4593.8419052641339</v>
      </c>
    </row>
    <row r="197" spans="2:10" x14ac:dyDescent="0.35">
      <c r="B197" s="118">
        <f t="shared" ca="1" si="29"/>
        <v>-1.1131771457427677</v>
      </c>
      <c r="C197" s="119">
        <f t="shared" ca="1" si="29"/>
        <v>0.46965251340292125</v>
      </c>
      <c r="D197" s="118">
        <f t="shared" ca="1" si="21"/>
        <v>-1.1131771457427677</v>
      </c>
      <c r="E197" s="119">
        <f t="shared" ca="1" si="22"/>
        <v>0.23752817655256431</v>
      </c>
      <c r="F197" s="2">
        <f t="shared" ca="1" si="23"/>
        <v>0.05</v>
      </c>
      <c r="G197" s="2">
        <f t="shared" ca="1" si="24"/>
        <v>0.12</v>
      </c>
      <c r="H197" s="72">
        <f t="shared" ca="1" si="25"/>
        <v>3283.2251171200792</v>
      </c>
      <c r="I197" s="72">
        <f t="shared" ca="1" si="26"/>
        <v>1150.1271898182279</v>
      </c>
      <c r="J197" s="72">
        <f t="shared" ca="1" si="27"/>
        <v>4433.3523069383073</v>
      </c>
    </row>
    <row r="198" spans="2:10" x14ac:dyDescent="0.35">
      <c r="B198" s="118">
        <f t="shared" ca="1" si="29"/>
        <v>0.74611139479015509</v>
      </c>
      <c r="C198" s="119">
        <f t="shared" ca="1" si="29"/>
        <v>-1.8656405827496365</v>
      </c>
      <c r="D198" s="118">
        <f t="shared" ca="1" si="21"/>
        <v>0.74611139479015509</v>
      </c>
      <c r="E198" s="119">
        <f t="shared" ca="1" si="22"/>
        <v>-1.6787247095080751</v>
      </c>
      <c r="F198" s="2">
        <f t="shared" ca="1" si="23"/>
        <v>0.05</v>
      </c>
      <c r="G198" s="2">
        <f t="shared" ca="1" si="24"/>
        <v>0.01</v>
      </c>
      <c r="H198" s="72">
        <f t="shared" ca="1" si="25"/>
        <v>3283.2251171200792</v>
      </c>
      <c r="I198" s="72">
        <f t="shared" ca="1" si="26"/>
        <v>1479.2201120631812</v>
      </c>
      <c r="J198" s="72">
        <f t="shared" ca="1" si="27"/>
        <v>4762.4452291832604</v>
      </c>
    </row>
    <row r="199" spans="2:10" x14ac:dyDescent="0.35">
      <c r="B199" s="118">
        <f t="shared" ca="1" si="29"/>
        <v>-2.1969774590409217</v>
      </c>
      <c r="C199" s="119">
        <f t="shared" ca="1" si="29"/>
        <v>-0.19659280994339634</v>
      </c>
      <c r="D199" s="118">
        <f t="shared" ca="1" si="21"/>
        <v>-2.1969774590409217</v>
      </c>
      <c r="E199" s="119">
        <f t="shared" ca="1" si="22"/>
        <v>-0.63201632039269318</v>
      </c>
      <c r="F199" s="2">
        <f t="shared" ca="1" si="23"/>
        <v>0.01</v>
      </c>
      <c r="G199" s="2">
        <f t="shared" ca="1" si="24"/>
        <v>0.12</v>
      </c>
      <c r="H199" s="72">
        <f t="shared" ca="1" si="25"/>
        <v>3443.7147154459058</v>
      </c>
      <c r="I199" s="72">
        <f t="shared" ca="1" si="26"/>
        <v>1150.1271898182279</v>
      </c>
      <c r="J199" s="72">
        <f t="shared" ca="1" si="27"/>
        <v>4593.8419052641339</v>
      </c>
    </row>
    <row r="200" spans="2:10" x14ac:dyDescent="0.35">
      <c r="B200" s="118">
        <f t="shared" ca="1" si="29"/>
        <v>-0.49721420574157765</v>
      </c>
      <c r="C200" s="119">
        <f t="shared" ca="1" si="29"/>
        <v>1.067419586209412</v>
      </c>
      <c r="D200" s="118">
        <f t="shared" ca="1" si="21"/>
        <v>-0.49721420574157765</v>
      </c>
      <c r="E200" s="119">
        <f t="shared" ca="1" si="22"/>
        <v>0.94641048991801213</v>
      </c>
      <c r="F200" s="2">
        <f t="shared" ca="1" si="23"/>
        <v>0.05</v>
      </c>
      <c r="G200" s="2" t="str">
        <f t="shared" ca="1" si="24"/>
        <v>D</v>
      </c>
      <c r="H200" s="72">
        <f t="shared" ca="1" si="25"/>
        <v>3283.2251171200792</v>
      </c>
      <c r="I200" s="72">
        <f t="shared" ca="1" si="26"/>
        <v>0</v>
      </c>
      <c r="J200" s="72">
        <f t="shared" ca="1" si="27"/>
        <v>3283.2251171200792</v>
      </c>
    </row>
    <row r="201" spans="2:10" x14ac:dyDescent="0.35">
      <c r="B201" s="118">
        <f t="shared" ca="1" si="29"/>
        <v>0.11226911603289871</v>
      </c>
      <c r="C201" s="119">
        <f t="shared" ca="1" si="29"/>
        <v>0.84104436739286115</v>
      </c>
      <c r="D201" s="118">
        <f t="shared" ca="1" si="21"/>
        <v>0.11226911603289871</v>
      </c>
      <c r="E201" s="119">
        <f t="shared" ca="1" si="22"/>
        <v>0.84650564366833181</v>
      </c>
      <c r="F201" s="2">
        <f t="shared" ca="1" si="23"/>
        <v>0.05</v>
      </c>
      <c r="G201" s="2" t="str">
        <f t="shared" ca="1" si="24"/>
        <v>D</v>
      </c>
      <c r="H201" s="72">
        <f t="shared" ca="1" si="25"/>
        <v>3283.2251171200792</v>
      </c>
      <c r="I201" s="72">
        <f t="shared" ca="1" si="26"/>
        <v>0</v>
      </c>
      <c r="J201" s="72">
        <f t="shared" ca="1" si="27"/>
        <v>3283.2251171200792</v>
      </c>
    </row>
    <row r="202" spans="2:10" x14ac:dyDescent="0.35">
      <c r="B202" s="118">
        <f t="shared" ca="1" si="29"/>
        <v>0.44764621236729818</v>
      </c>
      <c r="C202" s="119">
        <f t="shared" ca="1" si="29"/>
        <v>3.4198617963301058E-2</v>
      </c>
      <c r="D202" s="118">
        <f t="shared" ca="1" si="21"/>
        <v>0.44764621236729818</v>
      </c>
      <c r="E202" s="119">
        <f t="shared" ca="1" si="22"/>
        <v>0.12303690804084623</v>
      </c>
      <c r="F202" s="2">
        <f t="shared" ca="1" si="23"/>
        <v>0.05</v>
      </c>
      <c r="G202" s="2">
        <f t="shared" ca="1" si="24"/>
        <v>0.12</v>
      </c>
      <c r="H202" s="72">
        <f t="shared" ca="1" si="25"/>
        <v>3283.2251171200792</v>
      </c>
      <c r="I202" s="72">
        <f t="shared" ca="1" si="26"/>
        <v>1150.1271898182279</v>
      </c>
      <c r="J202" s="72">
        <f t="shared" ca="1" si="27"/>
        <v>4433.3523069383073</v>
      </c>
    </row>
    <row r="203" spans="2:10" x14ac:dyDescent="0.35">
      <c r="B203" s="118">
        <f t="shared" ca="1" si="29"/>
        <v>-1.319701520722631</v>
      </c>
      <c r="C203" s="119">
        <f t="shared" ca="1" si="29"/>
        <v>-0.21873480740834397</v>
      </c>
      <c r="D203" s="118">
        <f t="shared" ca="1" si="21"/>
        <v>-1.319701520722631</v>
      </c>
      <c r="E203" s="119">
        <f t="shared" ca="1" si="22"/>
        <v>-0.47825577099908323</v>
      </c>
      <c r="F203" s="2">
        <f t="shared" ca="1" si="23"/>
        <v>0.01</v>
      </c>
      <c r="G203" s="2">
        <f t="shared" ca="1" si="24"/>
        <v>0.12</v>
      </c>
      <c r="H203" s="72">
        <f t="shared" ca="1" si="25"/>
        <v>3443.7147154459058</v>
      </c>
      <c r="I203" s="72">
        <f t="shared" ca="1" si="26"/>
        <v>1150.1271898182279</v>
      </c>
      <c r="J203" s="72">
        <f t="shared" ca="1" si="27"/>
        <v>4593.8419052641339</v>
      </c>
    </row>
    <row r="204" spans="2:10" x14ac:dyDescent="0.35">
      <c r="B204" s="118">
        <f t="shared" ref="B204:C223" ca="1" si="30">NORMSINV(RAND())</f>
        <v>1.1204189786516008</v>
      </c>
      <c r="C204" s="119">
        <f t="shared" ca="1" si="30"/>
        <v>-1.870818952532465</v>
      </c>
      <c r="D204" s="118">
        <f t="shared" ca="1" si="21"/>
        <v>1.1204189786516008</v>
      </c>
      <c r="E204" s="119">
        <f t="shared" ca="1" si="22"/>
        <v>-1.6089369382027368</v>
      </c>
      <c r="F204" s="2">
        <f t="shared" ca="1" si="23"/>
        <v>0.12</v>
      </c>
      <c r="G204" s="2">
        <f t="shared" ca="1" si="24"/>
        <v>0.05</v>
      </c>
      <c r="H204" s="72">
        <f t="shared" ca="1" si="25"/>
        <v>3042.2414210881088</v>
      </c>
      <c r="I204" s="72">
        <f t="shared" ca="1" si="26"/>
        <v>1342.7489181356559</v>
      </c>
      <c r="J204" s="72">
        <f t="shared" ca="1" si="27"/>
        <v>4384.9903392237647</v>
      </c>
    </row>
    <row r="205" spans="2:10" x14ac:dyDescent="0.35">
      <c r="B205" s="118">
        <f t="shared" ca="1" si="30"/>
        <v>0.30543206241373544</v>
      </c>
      <c r="C205" s="119">
        <f t="shared" ca="1" si="30"/>
        <v>-0.94633371698815982</v>
      </c>
      <c r="D205" s="118">
        <f t="shared" ca="1" si="21"/>
        <v>0.30543206241373544</v>
      </c>
      <c r="E205" s="119">
        <f t="shared" ca="1" si="22"/>
        <v>-0.86612748072220347</v>
      </c>
      <c r="F205" s="2">
        <f t="shared" ca="1" si="23"/>
        <v>0.05</v>
      </c>
      <c r="G205" s="2">
        <f t="shared" ca="1" si="24"/>
        <v>0.05</v>
      </c>
      <c r="H205" s="72">
        <f t="shared" ca="1" si="25"/>
        <v>3283.2251171200792</v>
      </c>
      <c r="I205" s="72">
        <f t="shared" ca="1" si="26"/>
        <v>1342.7489181356559</v>
      </c>
      <c r="J205" s="72">
        <f t="shared" ca="1" si="27"/>
        <v>4625.9740352557346</v>
      </c>
    </row>
    <row r="206" spans="2:10" x14ac:dyDescent="0.35">
      <c r="B206" s="118">
        <f t="shared" ca="1" si="30"/>
        <v>7.5878469002900505E-3</v>
      </c>
      <c r="C206" s="119">
        <f t="shared" ca="1" si="30"/>
        <v>-1.0478592852544339</v>
      </c>
      <c r="D206" s="118">
        <f t="shared" ca="1" si="21"/>
        <v>7.5878469002900505E-3</v>
      </c>
      <c r="E206" s="119">
        <f t="shared" ca="1" si="22"/>
        <v>-1.0251706590642813</v>
      </c>
      <c r="F206" s="2">
        <f t="shared" ca="1" si="23"/>
        <v>0.05</v>
      </c>
      <c r="G206" s="2">
        <f t="shared" ca="1" si="24"/>
        <v>0.05</v>
      </c>
      <c r="H206" s="72">
        <f t="shared" ca="1" si="25"/>
        <v>3283.2251171200792</v>
      </c>
      <c r="I206" s="72">
        <f t="shared" ca="1" si="26"/>
        <v>1342.7489181356559</v>
      </c>
      <c r="J206" s="72">
        <f t="shared" ca="1" si="27"/>
        <v>4625.9740352557346</v>
      </c>
    </row>
    <row r="207" spans="2:10" x14ac:dyDescent="0.35">
      <c r="B207" s="118">
        <f t="shared" ca="1" si="30"/>
        <v>0.22737128454179076</v>
      </c>
      <c r="C207" s="119">
        <f t="shared" ca="1" si="30"/>
        <v>2.0313457217281639</v>
      </c>
      <c r="D207" s="118">
        <f t="shared" ca="1" si="21"/>
        <v>0.22737128454179076</v>
      </c>
      <c r="E207" s="119">
        <f t="shared" ca="1" si="22"/>
        <v>2.0357784606762097</v>
      </c>
      <c r="F207" s="2">
        <f t="shared" ca="1" si="23"/>
        <v>0.05</v>
      </c>
      <c r="G207" s="2" t="str">
        <f t="shared" ca="1" si="24"/>
        <v>D</v>
      </c>
      <c r="H207" s="72">
        <f t="shared" ca="1" si="25"/>
        <v>3283.2251171200792</v>
      </c>
      <c r="I207" s="72">
        <f t="shared" ca="1" si="26"/>
        <v>0</v>
      </c>
      <c r="J207" s="72">
        <f t="shared" ca="1" si="27"/>
        <v>3283.2251171200792</v>
      </c>
    </row>
    <row r="208" spans="2:10" x14ac:dyDescent="0.35">
      <c r="B208" s="118">
        <f t="shared" ca="1" si="30"/>
        <v>1.5232740404961171</v>
      </c>
      <c r="C208" s="119">
        <f t="shared" ca="1" si="30"/>
        <v>-0.63580259633039704</v>
      </c>
      <c r="D208" s="118">
        <f t="shared" ca="1" si="21"/>
        <v>1.5232740404961171</v>
      </c>
      <c r="E208" s="119">
        <f t="shared" ca="1" si="22"/>
        <v>-0.3183019671592649</v>
      </c>
      <c r="F208" s="2" t="str">
        <f t="shared" ca="1" si="23"/>
        <v>D</v>
      </c>
      <c r="G208" s="2">
        <f t="shared" ca="1" si="24"/>
        <v>0.12</v>
      </c>
      <c r="H208" s="72">
        <f t="shared" ca="1" si="25"/>
        <v>0</v>
      </c>
      <c r="I208" s="72">
        <f t="shared" ca="1" si="26"/>
        <v>1150.1271898182279</v>
      </c>
      <c r="J208" s="72">
        <f t="shared" ca="1" si="27"/>
        <v>1150.1271898182279</v>
      </c>
    </row>
    <row r="209" spans="2:10" x14ac:dyDescent="0.35">
      <c r="B209" s="118">
        <f t="shared" ca="1" si="30"/>
        <v>-3.7212563175041874E-2</v>
      </c>
      <c r="C209" s="119">
        <f t="shared" ca="1" si="30"/>
        <v>-1.8495849431552831</v>
      </c>
      <c r="D209" s="118">
        <f t="shared" ca="1" si="21"/>
        <v>-3.7212563175041874E-2</v>
      </c>
      <c r="E209" s="119">
        <f t="shared" ca="1" si="22"/>
        <v>-1.8196582513010378</v>
      </c>
      <c r="F209" s="2">
        <f t="shared" ca="1" si="23"/>
        <v>0.05</v>
      </c>
      <c r="G209" s="2">
        <f t="shared" ca="1" si="24"/>
        <v>0.01</v>
      </c>
      <c r="H209" s="72">
        <f t="shared" ca="1" si="25"/>
        <v>3283.2251171200792</v>
      </c>
      <c r="I209" s="72">
        <f t="shared" ca="1" si="26"/>
        <v>1479.2201120631812</v>
      </c>
      <c r="J209" s="72">
        <f t="shared" ca="1" si="27"/>
        <v>4762.4452291832604</v>
      </c>
    </row>
    <row r="210" spans="2:10" x14ac:dyDescent="0.35">
      <c r="B210" s="118">
        <f t="shared" ca="1" si="30"/>
        <v>-1.0870092429018721</v>
      </c>
      <c r="C210" s="119">
        <f t="shared" ca="1" si="30"/>
        <v>0.57824676036890532</v>
      </c>
      <c r="D210" s="118">
        <f t="shared" ca="1" si="21"/>
        <v>-1.0870092429018721</v>
      </c>
      <c r="E210" s="119">
        <f t="shared" ca="1" si="22"/>
        <v>0.3491619547481199</v>
      </c>
      <c r="F210" s="2">
        <f t="shared" ca="1" si="23"/>
        <v>0.05</v>
      </c>
      <c r="G210" s="2">
        <f t="shared" ca="1" si="24"/>
        <v>0.12</v>
      </c>
      <c r="H210" s="72">
        <f t="shared" ca="1" si="25"/>
        <v>3283.2251171200792</v>
      </c>
      <c r="I210" s="72">
        <f t="shared" ca="1" si="26"/>
        <v>1150.1271898182279</v>
      </c>
      <c r="J210" s="72">
        <f t="shared" ca="1" si="27"/>
        <v>4433.3523069383073</v>
      </c>
    </row>
    <row r="211" spans="2:10" x14ac:dyDescent="0.35">
      <c r="B211" s="118">
        <f t="shared" ca="1" si="30"/>
        <v>0.90682299780089015</v>
      </c>
      <c r="C211" s="119">
        <f t="shared" ca="1" si="30"/>
        <v>1.0744731758298312</v>
      </c>
      <c r="D211" s="118">
        <f t="shared" ca="1" si="21"/>
        <v>0.90682299780089015</v>
      </c>
      <c r="E211" s="119">
        <f t="shared" ca="1" si="22"/>
        <v>1.2341290087965131</v>
      </c>
      <c r="F211" s="2">
        <f t="shared" ca="1" si="23"/>
        <v>0.12</v>
      </c>
      <c r="G211" s="2" t="str">
        <f t="shared" ca="1" si="24"/>
        <v>D</v>
      </c>
      <c r="H211" s="72">
        <f t="shared" ca="1" si="25"/>
        <v>3042.2414210881088</v>
      </c>
      <c r="I211" s="72">
        <f t="shared" ca="1" si="26"/>
        <v>0</v>
      </c>
      <c r="J211" s="72">
        <f t="shared" ca="1" si="27"/>
        <v>3042.2414210881088</v>
      </c>
    </row>
    <row r="212" spans="2:10" x14ac:dyDescent="0.35">
      <c r="B212" s="118">
        <f t="shared" ca="1" si="30"/>
        <v>-1.2238127530126257</v>
      </c>
      <c r="C212" s="119">
        <f t="shared" ca="1" si="30"/>
        <v>2.1229108040761027</v>
      </c>
      <c r="D212" s="118">
        <f t="shared" ca="1" si="21"/>
        <v>-1.2238127530126257</v>
      </c>
      <c r="E212" s="119">
        <f t="shared" ca="1" si="22"/>
        <v>1.8352567451686759</v>
      </c>
      <c r="F212" s="2">
        <f t="shared" ca="1" si="23"/>
        <v>0.05</v>
      </c>
      <c r="G212" s="2" t="str">
        <f t="shared" ca="1" si="24"/>
        <v>D</v>
      </c>
      <c r="H212" s="72">
        <f t="shared" ca="1" si="25"/>
        <v>3283.2251171200792</v>
      </c>
      <c r="I212" s="72">
        <f t="shared" ca="1" si="26"/>
        <v>0</v>
      </c>
      <c r="J212" s="72">
        <f t="shared" ca="1" si="27"/>
        <v>3283.2251171200792</v>
      </c>
    </row>
    <row r="213" spans="2:10" x14ac:dyDescent="0.35">
      <c r="B213" s="118">
        <f t="shared" ca="1" si="30"/>
        <v>-0.70575252729903304</v>
      </c>
      <c r="C213" s="119">
        <f t="shared" ca="1" si="30"/>
        <v>1.5121320552433071</v>
      </c>
      <c r="D213" s="118">
        <f t="shared" ca="1" si="21"/>
        <v>-0.70575252729903304</v>
      </c>
      <c r="E213" s="119">
        <f t="shared" ca="1" si="22"/>
        <v>1.340430278161044</v>
      </c>
      <c r="F213" s="2">
        <f t="shared" ca="1" si="23"/>
        <v>0.05</v>
      </c>
      <c r="G213" s="2" t="str">
        <f t="shared" ca="1" si="24"/>
        <v>D</v>
      </c>
      <c r="H213" s="72">
        <f t="shared" ca="1" si="25"/>
        <v>3283.2251171200792</v>
      </c>
      <c r="I213" s="72">
        <f t="shared" ca="1" si="26"/>
        <v>0</v>
      </c>
      <c r="J213" s="72">
        <f t="shared" ca="1" si="27"/>
        <v>3283.2251171200792</v>
      </c>
    </row>
    <row r="214" spans="2:10" x14ac:dyDescent="0.35">
      <c r="B214" s="118">
        <f t="shared" ca="1" si="30"/>
        <v>-9.9480823894626133E-2</v>
      </c>
      <c r="C214" s="119">
        <f t="shared" ca="1" si="30"/>
        <v>-0.31737044843750822</v>
      </c>
      <c r="D214" s="118">
        <f t="shared" ca="1" si="21"/>
        <v>-9.9480823894626133E-2</v>
      </c>
      <c r="E214" s="119">
        <f t="shared" ca="1" si="22"/>
        <v>-0.33085442802299481</v>
      </c>
      <c r="F214" s="2">
        <f t="shared" ca="1" si="23"/>
        <v>0.05</v>
      </c>
      <c r="G214" s="2">
        <f t="shared" ca="1" si="24"/>
        <v>0.12</v>
      </c>
      <c r="H214" s="72">
        <f t="shared" ca="1" si="25"/>
        <v>3283.2251171200792</v>
      </c>
      <c r="I214" s="72">
        <f t="shared" ca="1" si="26"/>
        <v>1150.1271898182279</v>
      </c>
      <c r="J214" s="72">
        <f t="shared" ca="1" si="27"/>
        <v>4433.3523069383073</v>
      </c>
    </row>
    <row r="215" spans="2:10" x14ac:dyDescent="0.35">
      <c r="B215" s="118">
        <f t="shared" ca="1" si="30"/>
        <v>-0.33155385496297674</v>
      </c>
      <c r="C215" s="119">
        <f t="shared" ca="1" si="30"/>
        <v>6.4041942408803371E-2</v>
      </c>
      <c r="D215" s="118">
        <f t="shared" ca="1" si="21"/>
        <v>-0.33155385496297674</v>
      </c>
      <c r="E215" s="119">
        <f t="shared" ca="1" si="22"/>
        <v>-3.5627385772853959E-3</v>
      </c>
      <c r="F215" s="2">
        <f t="shared" ca="1" si="23"/>
        <v>0.05</v>
      </c>
      <c r="G215" s="2">
        <f t="shared" ca="1" si="24"/>
        <v>0.12</v>
      </c>
      <c r="H215" s="72">
        <f t="shared" ca="1" si="25"/>
        <v>3283.2251171200792</v>
      </c>
      <c r="I215" s="72">
        <f t="shared" ca="1" si="26"/>
        <v>1150.1271898182279</v>
      </c>
      <c r="J215" s="72">
        <f t="shared" ca="1" si="27"/>
        <v>4433.3523069383073</v>
      </c>
    </row>
    <row r="216" spans="2:10" x14ac:dyDescent="0.35">
      <c r="B216" s="118">
        <f t="shared" ca="1" si="30"/>
        <v>-2.6617002043764337</v>
      </c>
      <c r="C216" s="119">
        <f t="shared" ca="1" si="30"/>
        <v>-1.7839601306499786</v>
      </c>
      <c r="D216" s="118">
        <f t="shared" ref="D216:D279" ca="1" si="31">+B216</f>
        <v>-2.6617002043764337</v>
      </c>
      <c r="E216" s="119">
        <f t="shared" ref="E216:E279" ca="1" si="32">+$C$21*B216+C216*(1-$C$21^2)^0.5</f>
        <v>-2.2802568574997908</v>
      </c>
      <c r="F216" s="2">
        <f t="shared" ref="F216:F279" ca="1" si="33">+IF(D216&lt;$I$17,$H$17,IF(D216&lt;$I$18,$H$18,IF(D216&lt;$I$19,$H$19,$H$20)))</f>
        <v>0.01</v>
      </c>
      <c r="G216" s="2">
        <f t="shared" ref="G216:G279" ca="1" si="34">+IF(E216&lt;$J$17,$H$17,IF(E216&lt;$J$18,$H$18,IF(E216&lt;$J$19,$H$19,$H$20)))</f>
        <v>0.01</v>
      </c>
      <c r="H216" s="72">
        <f t="shared" ref="H216:H279" ca="1" si="35">+IF(F216="D",0,$C$10+NPV($E$10+F216,$C$11:$C$13))</f>
        <v>3443.7147154459058</v>
      </c>
      <c r="I216" s="72">
        <f t="shared" ref="I216:I279" ca="1" si="36">+IF(G216="D",0,$D$10+NPV($E$10+G216,$D$11:$D$14))</f>
        <v>1479.2201120631812</v>
      </c>
      <c r="J216" s="72">
        <f t="shared" ref="J216:J279" ca="1" si="37">+I216+H216</f>
        <v>4922.934827509087</v>
      </c>
    </row>
    <row r="217" spans="2:10" x14ac:dyDescent="0.35">
      <c r="B217" s="118">
        <f t="shared" ca="1" si="30"/>
        <v>0.92529320491992051</v>
      </c>
      <c r="C217" s="119">
        <f t="shared" ca="1" si="30"/>
        <v>2.010766782579954</v>
      </c>
      <c r="D217" s="118">
        <f t="shared" ca="1" si="31"/>
        <v>0.92529320491992051</v>
      </c>
      <c r="E217" s="119">
        <f t="shared" ca="1" si="32"/>
        <v>2.1551996846074761</v>
      </c>
      <c r="F217" s="2">
        <f t="shared" ca="1" si="33"/>
        <v>0.12</v>
      </c>
      <c r="G217" s="2" t="str">
        <f t="shared" ca="1" si="34"/>
        <v>D</v>
      </c>
      <c r="H217" s="72">
        <f t="shared" ca="1" si="35"/>
        <v>3042.2414210881088</v>
      </c>
      <c r="I217" s="72">
        <f t="shared" ca="1" si="36"/>
        <v>0</v>
      </c>
      <c r="J217" s="72">
        <f t="shared" ca="1" si="37"/>
        <v>3042.2414210881088</v>
      </c>
    </row>
    <row r="218" spans="2:10" x14ac:dyDescent="0.35">
      <c r="B218" s="118">
        <f t="shared" ca="1" si="30"/>
        <v>1.3224255316644515</v>
      </c>
      <c r="C218" s="119">
        <f t="shared" ca="1" si="30"/>
        <v>3.0353434773737571E-3</v>
      </c>
      <c r="D218" s="118">
        <f t="shared" ca="1" si="31"/>
        <v>1.3224255316644515</v>
      </c>
      <c r="E218" s="119">
        <f t="shared" ca="1" si="32"/>
        <v>0.26745912341835065</v>
      </c>
      <c r="F218" s="2" t="str">
        <f t="shared" ca="1" si="33"/>
        <v>D</v>
      </c>
      <c r="G218" s="2">
        <f t="shared" ca="1" si="34"/>
        <v>0.12</v>
      </c>
      <c r="H218" s="72">
        <f t="shared" ca="1" si="35"/>
        <v>0</v>
      </c>
      <c r="I218" s="72">
        <f t="shared" ca="1" si="36"/>
        <v>1150.1271898182279</v>
      </c>
      <c r="J218" s="72">
        <f t="shared" ca="1" si="37"/>
        <v>1150.1271898182279</v>
      </c>
    </row>
    <row r="219" spans="2:10" x14ac:dyDescent="0.35">
      <c r="B219" s="118">
        <f t="shared" ca="1" si="30"/>
        <v>-0.47735360630978224</v>
      </c>
      <c r="C219" s="119">
        <f t="shared" ca="1" si="30"/>
        <v>0.3568400619671675</v>
      </c>
      <c r="D219" s="118">
        <f t="shared" ca="1" si="31"/>
        <v>-0.47735360630978224</v>
      </c>
      <c r="E219" s="119">
        <f t="shared" ca="1" si="32"/>
        <v>0.25415970737911975</v>
      </c>
      <c r="F219" s="2">
        <f t="shared" ca="1" si="33"/>
        <v>0.05</v>
      </c>
      <c r="G219" s="2">
        <f t="shared" ca="1" si="34"/>
        <v>0.12</v>
      </c>
      <c r="H219" s="72">
        <f t="shared" ca="1" si="35"/>
        <v>3283.2251171200792</v>
      </c>
      <c r="I219" s="72">
        <f t="shared" ca="1" si="36"/>
        <v>1150.1271898182279</v>
      </c>
      <c r="J219" s="72">
        <f t="shared" ca="1" si="37"/>
        <v>4433.3523069383073</v>
      </c>
    </row>
    <row r="220" spans="2:10" x14ac:dyDescent="0.35">
      <c r="B220" s="118">
        <f t="shared" ca="1" si="30"/>
        <v>1.9986602280197345</v>
      </c>
      <c r="C220" s="119">
        <f t="shared" ca="1" si="30"/>
        <v>-0.22954756888354722</v>
      </c>
      <c r="D220" s="118">
        <f t="shared" ca="1" si="31"/>
        <v>1.9986602280197345</v>
      </c>
      <c r="E220" s="119">
        <f t="shared" ca="1" si="32"/>
        <v>0.17482227941952136</v>
      </c>
      <c r="F220" s="2" t="str">
        <f t="shared" ca="1" si="33"/>
        <v>D</v>
      </c>
      <c r="G220" s="2">
        <f t="shared" ca="1" si="34"/>
        <v>0.12</v>
      </c>
      <c r="H220" s="72">
        <f t="shared" ca="1" si="35"/>
        <v>0</v>
      </c>
      <c r="I220" s="72">
        <f t="shared" ca="1" si="36"/>
        <v>1150.1271898182279</v>
      </c>
      <c r="J220" s="72">
        <f t="shared" ca="1" si="37"/>
        <v>1150.1271898182279</v>
      </c>
    </row>
    <row r="221" spans="2:10" x14ac:dyDescent="0.35">
      <c r="B221" s="118">
        <f t="shared" ca="1" si="30"/>
        <v>0.13421955733700286</v>
      </c>
      <c r="C221" s="119">
        <f t="shared" ca="1" si="30"/>
        <v>0.5852321911123185</v>
      </c>
      <c r="D221" s="118">
        <f t="shared" ca="1" si="31"/>
        <v>0.13421955733700286</v>
      </c>
      <c r="E221" s="119">
        <f t="shared" ca="1" si="32"/>
        <v>0.60025201117786009</v>
      </c>
      <c r="F221" s="2">
        <f t="shared" ca="1" si="33"/>
        <v>0.05</v>
      </c>
      <c r="G221" s="2">
        <f t="shared" ca="1" si="34"/>
        <v>0.12</v>
      </c>
      <c r="H221" s="72">
        <f t="shared" ca="1" si="35"/>
        <v>3283.2251171200792</v>
      </c>
      <c r="I221" s="72">
        <f t="shared" ca="1" si="36"/>
        <v>1150.1271898182279</v>
      </c>
      <c r="J221" s="72">
        <f t="shared" ca="1" si="37"/>
        <v>4433.3523069383073</v>
      </c>
    </row>
    <row r="222" spans="2:10" x14ac:dyDescent="0.35">
      <c r="B222" s="118">
        <f t="shared" ca="1" si="30"/>
        <v>1.5490743379718845</v>
      </c>
      <c r="C222" s="119">
        <f t="shared" ca="1" si="30"/>
        <v>-1.4597043101504492</v>
      </c>
      <c r="D222" s="118">
        <f t="shared" ca="1" si="31"/>
        <v>1.5490743379718845</v>
      </c>
      <c r="E222" s="119">
        <f t="shared" ca="1" si="32"/>
        <v>-1.1203974264895913</v>
      </c>
      <c r="F222" s="2" t="str">
        <f t="shared" ca="1" si="33"/>
        <v>D</v>
      </c>
      <c r="G222" s="2">
        <f t="shared" ca="1" si="34"/>
        <v>0.05</v>
      </c>
      <c r="H222" s="72">
        <f t="shared" ca="1" si="35"/>
        <v>0</v>
      </c>
      <c r="I222" s="72">
        <f t="shared" ca="1" si="36"/>
        <v>1342.7489181356559</v>
      </c>
      <c r="J222" s="72">
        <f t="shared" ca="1" si="37"/>
        <v>1342.7489181356559</v>
      </c>
    </row>
    <row r="223" spans="2:10" x14ac:dyDescent="0.35">
      <c r="B223" s="118">
        <f t="shared" ca="1" si="30"/>
        <v>-1.2559994053284258</v>
      </c>
      <c r="C223" s="119">
        <f t="shared" ca="1" si="30"/>
        <v>0.28526267854817672</v>
      </c>
      <c r="D223" s="118">
        <f t="shared" ca="1" si="31"/>
        <v>-1.2559994053284258</v>
      </c>
      <c r="E223" s="119">
        <f t="shared" ca="1" si="32"/>
        <v>2.8299320975360309E-2</v>
      </c>
      <c r="F223" s="2">
        <f t="shared" ca="1" si="33"/>
        <v>0.05</v>
      </c>
      <c r="G223" s="2">
        <f t="shared" ca="1" si="34"/>
        <v>0.12</v>
      </c>
      <c r="H223" s="72">
        <f t="shared" ca="1" si="35"/>
        <v>3283.2251171200792</v>
      </c>
      <c r="I223" s="72">
        <f t="shared" ca="1" si="36"/>
        <v>1150.1271898182279</v>
      </c>
      <c r="J223" s="72">
        <f t="shared" ca="1" si="37"/>
        <v>4433.3523069383073</v>
      </c>
    </row>
    <row r="224" spans="2:10" x14ac:dyDescent="0.35">
      <c r="B224" s="118">
        <f t="shared" ref="B224:C243" ca="1" si="38">NORMSINV(RAND())</f>
        <v>0.49176389905408713</v>
      </c>
      <c r="C224" s="119">
        <f t="shared" ca="1" si="38"/>
        <v>-1.055358656696771</v>
      </c>
      <c r="D224" s="118">
        <f t="shared" ca="1" si="31"/>
        <v>0.49176389905408713</v>
      </c>
      <c r="E224" s="119">
        <f t="shared" ca="1" si="32"/>
        <v>-0.93568330200365213</v>
      </c>
      <c r="F224" s="2">
        <f t="shared" ca="1" si="33"/>
        <v>0.05</v>
      </c>
      <c r="G224" s="2">
        <f t="shared" ca="1" si="34"/>
        <v>0.05</v>
      </c>
      <c r="H224" s="72">
        <f t="shared" ca="1" si="35"/>
        <v>3283.2251171200792</v>
      </c>
      <c r="I224" s="72">
        <f t="shared" ca="1" si="36"/>
        <v>1342.7489181356559</v>
      </c>
      <c r="J224" s="72">
        <f t="shared" ca="1" si="37"/>
        <v>4625.9740352557346</v>
      </c>
    </row>
    <row r="225" spans="2:10" x14ac:dyDescent="0.35">
      <c r="B225" s="118">
        <f t="shared" ca="1" si="38"/>
        <v>-1.405172615338905</v>
      </c>
      <c r="C225" s="119">
        <f t="shared" ca="1" si="38"/>
        <v>0.50156057752149208</v>
      </c>
      <c r="D225" s="118">
        <f t="shared" ca="1" si="31"/>
        <v>-1.405172615338905</v>
      </c>
      <c r="E225" s="119">
        <f t="shared" ca="1" si="32"/>
        <v>0.21039247294153968</v>
      </c>
      <c r="F225" s="2">
        <f t="shared" ca="1" si="33"/>
        <v>0.01</v>
      </c>
      <c r="G225" s="2">
        <f t="shared" ca="1" si="34"/>
        <v>0.12</v>
      </c>
      <c r="H225" s="72">
        <f t="shared" ca="1" si="35"/>
        <v>3443.7147154459058</v>
      </c>
      <c r="I225" s="72">
        <f t="shared" ca="1" si="36"/>
        <v>1150.1271898182279</v>
      </c>
      <c r="J225" s="72">
        <f t="shared" ca="1" si="37"/>
        <v>4593.8419052641339</v>
      </c>
    </row>
    <row r="226" spans="2:10" x14ac:dyDescent="0.35">
      <c r="B226" s="118">
        <f t="shared" ca="1" si="38"/>
        <v>-0.97644494343185562</v>
      </c>
      <c r="C226" s="119">
        <f t="shared" ca="1" si="38"/>
        <v>1.59183070844206</v>
      </c>
      <c r="D226" s="118">
        <f t="shared" ca="1" si="31"/>
        <v>-0.97644494343185562</v>
      </c>
      <c r="E226" s="119">
        <f t="shared" ca="1" si="32"/>
        <v>1.364380208344071</v>
      </c>
      <c r="F226" s="2">
        <f t="shared" ca="1" si="33"/>
        <v>0.05</v>
      </c>
      <c r="G226" s="2" t="str">
        <f t="shared" ca="1" si="34"/>
        <v>D</v>
      </c>
      <c r="H226" s="72">
        <f t="shared" ca="1" si="35"/>
        <v>3283.2251171200792</v>
      </c>
      <c r="I226" s="72">
        <f t="shared" ca="1" si="36"/>
        <v>0</v>
      </c>
      <c r="J226" s="72">
        <f t="shared" ca="1" si="37"/>
        <v>3283.2251171200792</v>
      </c>
    </row>
    <row r="227" spans="2:10" x14ac:dyDescent="0.35">
      <c r="B227" s="118">
        <f t="shared" ca="1" si="38"/>
        <v>-0.35510620636294526</v>
      </c>
      <c r="C227" s="119">
        <f t="shared" ca="1" si="38"/>
        <v>0.87744286500197743</v>
      </c>
      <c r="D227" s="118">
        <f t="shared" ca="1" si="31"/>
        <v>-0.35510620636294526</v>
      </c>
      <c r="E227" s="119">
        <f t="shared" ca="1" si="32"/>
        <v>0.78869367780766242</v>
      </c>
      <c r="F227" s="2">
        <f t="shared" ca="1" si="33"/>
        <v>0.05</v>
      </c>
      <c r="G227" s="2">
        <f t="shared" ca="1" si="34"/>
        <v>0.12</v>
      </c>
      <c r="H227" s="72">
        <f t="shared" ca="1" si="35"/>
        <v>3283.2251171200792</v>
      </c>
      <c r="I227" s="72">
        <f t="shared" ca="1" si="36"/>
        <v>1150.1271898182279</v>
      </c>
      <c r="J227" s="72">
        <f t="shared" ca="1" si="37"/>
        <v>4433.3523069383073</v>
      </c>
    </row>
    <row r="228" spans="2:10" x14ac:dyDescent="0.35">
      <c r="B228" s="118">
        <f t="shared" ca="1" si="38"/>
        <v>0.72798855372252957</v>
      </c>
      <c r="C228" s="119">
        <f t="shared" ca="1" si="38"/>
        <v>8.147481198161087E-2</v>
      </c>
      <c r="D228" s="118">
        <f t="shared" ca="1" si="31"/>
        <v>0.72798855372252957</v>
      </c>
      <c r="E228" s="119">
        <f t="shared" ca="1" si="32"/>
        <v>0.22542639724216346</v>
      </c>
      <c r="F228" s="2">
        <f t="shared" ca="1" si="33"/>
        <v>0.05</v>
      </c>
      <c r="G228" s="2">
        <f t="shared" ca="1" si="34"/>
        <v>0.12</v>
      </c>
      <c r="H228" s="72">
        <f t="shared" ca="1" si="35"/>
        <v>3283.2251171200792</v>
      </c>
      <c r="I228" s="72">
        <f t="shared" ca="1" si="36"/>
        <v>1150.1271898182279</v>
      </c>
      <c r="J228" s="72">
        <f t="shared" ca="1" si="37"/>
        <v>4433.3523069383073</v>
      </c>
    </row>
    <row r="229" spans="2:10" x14ac:dyDescent="0.35">
      <c r="B229" s="118">
        <f t="shared" ca="1" si="38"/>
        <v>1.5618233876488334</v>
      </c>
      <c r="C229" s="119">
        <f t="shared" ca="1" si="38"/>
        <v>1.5654179864170239</v>
      </c>
      <c r="D229" s="118">
        <f t="shared" ca="1" si="31"/>
        <v>1.5618233876488334</v>
      </c>
      <c r="E229" s="119">
        <f t="shared" ca="1" si="32"/>
        <v>1.8461547978884854</v>
      </c>
      <c r="F229" s="2" t="str">
        <f t="shared" ca="1" si="33"/>
        <v>D</v>
      </c>
      <c r="G229" s="2" t="str">
        <f t="shared" ca="1" si="34"/>
        <v>D</v>
      </c>
      <c r="H229" s="72">
        <f t="shared" ca="1" si="35"/>
        <v>0</v>
      </c>
      <c r="I229" s="72">
        <f t="shared" ca="1" si="36"/>
        <v>0</v>
      </c>
      <c r="J229" s="72">
        <f t="shared" ca="1" si="37"/>
        <v>0</v>
      </c>
    </row>
    <row r="230" spans="2:10" x14ac:dyDescent="0.35">
      <c r="B230" s="118">
        <f t="shared" ca="1" si="38"/>
        <v>-0.74256156663717221</v>
      </c>
      <c r="C230" s="119">
        <f t="shared" ca="1" si="38"/>
        <v>3.0422975177819129</v>
      </c>
      <c r="D230" s="118">
        <f t="shared" ca="1" si="31"/>
        <v>-0.74256156663717221</v>
      </c>
      <c r="E230" s="119">
        <f t="shared" ca="1" si="32"/>
        <v>2.832318312393173</v>
      </c>
      <c r="F230" s="2">
        <f t="shared" ca="1" si="33"/>
        <v>0.05</v>
      </c>
      <c r="G230" s="2" t="str">
        <f t="shared" ca="1" si="34"/>
        <v>D</v>
      </c>
      <c r="H230" s="72">
        <f t="shared" ca="1" si="35"/>
        <v>3283.2251171200792</v>
      </c>
      <c r="I230" s="72">
        <f t="shared" ca="1" si="36"/>
        <v>0</v>
      </c>
      <c r="J230" s="72">
        <f t="shared" ca="1" si="37"/>
        <v>3283.2251171200792</v>
      </c>
    </row>
    <row r="231" spans="2:10" x14ac:dyDescent="0.35">
      <c r="B231" s="118">
        <f t="shared" ca="1" si="38"/>
        <v>1.0851284991224055</v>
      </c>
      <c r="C231" s="119">
        <f t="shared" ca="1" si="38"/>
        <v>1.48833157603855E-2</v>
      </c>
      <c r="D231" s="118">
        <f t="shared" ca="1" si="31"/>
        <v>1.0851284991224055</v>
      </c>
      <c r="E231" s="119">
        <f t="shared" ca="1" si="32"/>
        <v>0.23160831154194811</v>
      </c>
      <c r="F231" s="2">
        <f t="shared" ca="1" si="33"/>
        <v>0.12</v>
      </c>
      <c r="G231" s="2">
        <f t="shared" ca="1" si="34"/>
        <v>0.12</v>
      </c>
      <c r="H231" s="72">
        <f t="shared" ca="1" si="35"/>
        <v>3042.2414210881088</v>
      </c>
      <c r="I231" s="72">
        <f t="shared" ca="1" si="36"/>
        <v>1150.1271898182279</v>
      </c>
      <c r="J231" s="72">
        <f t="shared" ca="1" si="37"/>
        <v>4192.3686109063365</v>
      </c>
    </row>
    <row r="232" spans="2:10" x14ac:dyDescent="0.35">
      <c r="B232" s="118">
        <f t="shared" ca="1" si="38"/>
        <v>-1.2341576518768946</v>
      </c>
      <c r="C232" s="119">
        <f t="shared" ca="1" si="38"/>
        <v>0.23681322147149211</v>
      </c>
      <c r="D232" s="118">
        <f t="shared" ca="1" si="31"/>
        <v>-1.2341576518768946</v>
      </c>
      <c r="E232" s="119">
        <f t="shared" ca="1" si="32"/>
        <v>-1.4802907595434539E-2</v>
      </c>
      <c r="F232" s="2">
        <f t="shared" ca="1" si="33"/>
        <v>0.05</v>
      </c>
      <c r="G232" s="2">
        <f t="shared" ca="1" si="34"/>
        <v>0.12</v>
      </c>
      <c r="H232" s="72">
        <f t="shared" ca="1" si="35"/>
        <v>3283.2251171200792</v>
      </c>
      <c r="I232" s="72">
        <f t="shared" ca="1" si="36"/>
        <v>1150.1271898182279</v>
      </c>
      <c r="J232" s="72">
        <f t="shared" ca="1" si="37"/>
        <v>4433.3523069383073</v>
      </c>
    </row>
    <row r="233" spans="2:10" x14ac:dyDescent="0.35">
      <c r="B233" s="118">
        <f t="shared" ca="1" si="38"/>
        <v>-0.36246511266397768</v>
      </c>
      <c r="C233" s="119">
        <f t="shared" ca="1" si="38"/>
        <v>-4.4747022501214997E-2</v>
      </c>
      <c r="D233" s="118">
        <f t="shared" ca="1" si="31"/>
        <v>-0.36246511266397768</v>
      </c>
      <c r="E233" s="119">
        <f t="shared" ca="1" si="32"/>
        <v>-0.11633597158752121</v>
      </c>
      <c r="F233" s="2">
        <f t="shared" ca="1" si="33"/>
        <v>0.05</v>
      </c>
      <c r="G233" s="2">
        <f t="shared" ca="1" si="34"/>
        <v>0.12</v>
      </c>
      <c r="H233" s="72">
        <f t="shared" ca="1" si="35"/>
        <v>3283.2251171200792</v>
      </c>
      <c r="I233" s="72">
        <f t="shared" ca="1" si="36"/>
        <v>1150.1271898182279</v>
      </c>
      <c r="J233" s="72">
        <f t="shared" ca="1" si="37"/>
        <v>4433.3523069383073</v>
      </c>
    </row>
    <row r="234" spans="2:10" x14ac:dyDescent="0.35">
      <c r="B234" s="118">
        <f t="shared" ca="1" si="38"/>
        <v>0.54203221215953212</v>
      </c>
      <c r="C234" s="119">
        <f t="shared" ca="1" si="38"/>
        <v>-0.45695559581034878</v>
      </c>
      <c r="D234" s="118">
        <f t="shared" ca="1" si="31"/>
        <v>0.54203221215953212</v>
      </c>
      <c r="E234" s="119">
        <f t="shared" ca="1" si="32"/>
        <v>-0.33931677550602357</v>
      </c>
      <c r="F234" s="2">
        <f t="shared" ca="1" si="33"/>
        <v>0.05</v>
      </c>
      <c r="G234" s="2">
        <f t="shared" ca="1" si="34"/>
        <v>0.12</v>
      </c>
      <c r="H234" s="72">
        <f t="shared" ca="1" si="35"/>
        <v>3283.2251171200792</v>
      </c>
      <c r="I234" s="72">
        <f t="shared" ca="1" si="36"/>
        <v>1150.1271898182279</v>
      </c>
      <c r="J234" s="72">
        <f t="shared" ca="1" si="37"/>
        <v>4433.3523069383073</v>
      </c>
    </row>
    <row r="235" spans="2:10" x14ac:dyDescent="0.35">
      <c r="B235" s="118">
        <f t="shared" ca="1" si="38"/>
        <v>8.7046572908021119E-2</v>
      </c>
      <c r="C235" s="119">
        <f t="shared" ca="1" si="38"/>
        <v>-1.342511564158964</v>
      </c>
      <c r="D235" s="118">
        <f t="shared" ca="1" si="31"/>
        <v>8.7046572908021119E-2</v>
      </c>
      <c r="E235" s="119">
        <f t="shared" ca="1" si="32"/>
        <v>-1.2979780078084688</v>
      </c>
      <c r="F235" s="2">
        <f t="shared" ca="1" si="33"/>
        <v>0.05</v>
      </c>
      <c r="G235" s="2">
        <f t="shared" ca="1" si="34"/>
        <v>0.05</v>
      </c>
      <c r="H235" s="72">
        <f t="shared" ca="1" si="35"/>
        <v>3283.2251171200792</v>
      </c>
      <c r="I235" s="72">
        <f t="shared" ca="1" si="36"/>
        <v>1342.7489181356559</v>
      </c>
      <c r="J235" s="72">
        <f t="shared" ca="1" si="37"/>
        <v>4625.9740352557346</v>
      </c>
    </row>
    <row r="236" spans="2:10" x14ac:dyDescent="0.35">
      <c r="B236" s="118">
        <f t="shared" ca="1" si="38"/>
        <v>0.5589676936188297</v>
      </c>
      <c r="C236" s="119">
        <f t="shared" ca="1" si="38"/>
        <v>0.19977965830539315</v>
      </c>
      <c r="D236" s="118">
        <f t="shared" ca="1" si="31"/>
        <v>0.5589676936188297</v>
      </c>
      <c r="E236" s="119">
        <f t="shared" ca="1" si="32"/>
        <v>0.30753682825808143</v>
      </c>
      <c r="F236" s="2">
        <f t="shared" ca="1" si="33"/>
        <v>0.05</v>
      </c>
      <c r="G236" s="2">
        <f t="shared" ca="1" si="34"/>
        <v>0.12</v>
      </c>
      <c r="H236" s="72">
        <f t="shared" ca="1" si="35"/>
        <v>3283.2251171200792</v>
      </c>
      <c r="I236" s="72">
        <f t="shared" ca="1" si="36"/>
        <v>1150.1271898182279</v>
      </c>
      <c r="J236" s="72">
        <f t="shared" ca="1" si="37"/>
        <v>4433.3523069383073</v>
      </c>
    </row>
    <row r="237" spans="2:10" x14ac:dyDescent="0.35">
      <c r="B237" s="118">
        <f t="shared" ca="1" si="38"/>
        <v>-0.64801831249213082</v>
      </c>
      <c r="C237" s="119">
        <f t="shared" ca="1" si="38"/>
        <v>0.9107757360643548</v>
      </c>
      <c r="D237" s="118">
        <f t="shared" ca="1" si="31"/>
        <v>-0.64801831249213082</v>
      </c>
      <c r="E237" s="119">
        <f t="shared" ca="1" si="32"/>
        <v>0.76277066688774831</v>
      </c>
      <c r="F237" s="2">
        <f t="shared" ca="1" si="33"/>
        <v>0.05</v>
      </c>
      <c r="G237" s="2">
        <f t="shared" ca="1" si="34"/>
        <v>0.12</v>
      </c>
      <c r="H237" s="72">
        <f t="shared" ca="1" si="35"/>
        <v>3283.2251171200792</v>
      </c>
      <c r="I237" s="72">
        <f t="shared" ca="1" si="36"/>
        <v>1150.1271898182279</v>
      </c>
      <c r="J237" s="72">
        <f t="shared" ca="1" si="37"/>
        <v>4433.3523069383073</v>
      </c>
    </row>
    <row r="238" spans="2:10" x14ac:dyDescent="0.35">
      <c r="B238" s="118">
        <f t="shared" ca="1" si="38"/>
        <v>-8.789330172780907E-2</v>
      </c>
      <c r="C238" s="119">
        <f t="shared" ca="1" si="38"/>
        <v>1.3240197499280733</v>
      </c>
      <c r="D238" s="118">
        <f t="shared" ca="1" si="31"/>
        <v>-8.789330172780907E-2</v>
      </c>
      <c r="E238" s="119">
        <f t="shared" ca="1" si="32"/>
        <v>1.2796904583309037</v>
      </c>
      <c r="F238" s="2">
        <f t="shared" ca="1" si="33"/>
        <v>0.05</v>
      </c>
      <c r="G238" s="2" t="str">
        <f t="shared" ca="1" si="34"/>
        <v>D</v>
      </c>
      <c r="H238" s="72">
        <f t="shared" ca="1" si="35"/>
        <v>3283.2251171200792</v>
      </c>
      <c r="I238" s="72">
        <f t="shared" ca="1" si="36"/>
        <v>0</v>
      </c>
      <c r="J238" s="72">
        <f t="shared" ca="1" si="37"/>
        <v>3283.2251171200792</v>
      </c>
    </row>
    <row r="239" spans="2:10" x14ac:dyDescent="0.35">
      <c r="B239" s="118">
        <f t="shared" ca="1" si="38"/>
        <v>-0.51604151533334208</v>
      </c>
      <c r="C239" s="119">
        <f t="shared" ca="1" si="38"/>
        <v>-0.17780241012728115</v>
      </c>
      <c r="D239" s="118">
        <f t="shared" ca="1" si="31"/>
        <v>-0.51604151533334208</v>
      </c>
      <c r="E239" s="119">
        <f t="shared" ca="1" si="32"/>
        <v>-0.27741837500622962</v>
      </c>
      <c r="F239" s="2">
        <f t="shared" ca="1" si="33"/>
        <v>0.05</v>
      </c>
      <c r="G239" s="2">
        <f t="shared" ca="1" si="34"/>
        <v>0.12</v>
      </c>
      <c r="H239" s="72">
        <f t="shared" ca="1" si="35"/>
        <v>3283.2251171200792</v>
      </c>
      <c r="I239" s="72">
        <f t="shared" ca="1" si="36"/>
        <v>1150.1271898182279</v>
      </c>
      <c r="J239" s="72">
        <f t="shared" ca="1" si="37"/>
        <v>4433.3523069383073</v>
      </c>
    </row>
    <row r="240" spans="2:10" x14ac:dyDescent="0.35">
      <c r="B240" s="118">
        <f t="shared" ca="1" si="38"/>
        <v>1.1221583863474578</v>
      </c>
      <c r="C240" s="119">
        <f t="shared" ca="1" si="38"/>
        <v>8.784659340262433E-3</v>
      </c>
      <c r="D240" s="118">
        <f t="shared" ca="1" si="31"/>
        <v>1.1221583863474578</v>
      </c>
      <c r="E240" s="119">
        <f t="shared" ca="1" si="32"/>
        <v>0.23303885044861847</v>
      </c>
      <c r="F240" s="2">
        <f t="shared" ca="1" si="33"/>
        <v>0.12</v>
      </c>
      <c r="G240" s="2">
        <f t="shared" ca="1" si="34"/>
        <v>0.12</v>
      </c>
      <c r="H240" s="72">
        <f t="shared" ca="1" si="35"/>
        <v>3042.2414210881088</v>
      </c>
      <c r="I240" s="72">
        <f t="shared" ca="1" si="36"/>
        <v>1150.1271898182279</v>
      </c>
      <c r="J240" s="72">
        <f t="shared" ca="1" si="37"/>
        <v>4192.3686109063365</v>
      </c>
    </row>
    <row r="241" spans="2:10" x14ac:dyDescent="0.35">
      <c r="B241" s="118">
        <f t="shared" ca="1" si="38"/>
        <v>-1.1603414227046434</v>
      </c>
      <c r="C241" s="119">
        <f t="shared" ca="1" si="38"/>
        <v>-0.7270817627846855</v>
      </c>
      <c r="D241" s="118">
        <f t="shared" ca="1" si="31"/>
        <v>-1.1603414227046434</v>
      </c>
      <c r="E241" s="119">
        <f t="shared" ca="1" si="32"/>
        <v>-0.94446001258324819</v>
      </c>
      <c r="F241" s="2">
        <f t="shared" ca="1" si="33"/>
        <v>0.05</v>
      </c>
      <c r="G241" s="2">
        <f t="shared" ca="1" si="34"/>
        <v>0.05</v>
      </c>
      <c r="H241" s="72">
        <f t="shared" ca="1" si="35"/>
        <v>3283.2251171200792</v>
      </c>
      <c r="I241" s="72">
        <f t="shared" ca="1" si="36"/>
        <v>1342.7489181356559</v>
      </c>
      <c r="J241" s="72">
        <f t="shared" ca="1" si="37"/>
        <v>4625.9740352557346</v>
      </c>
    </row>
    <row r="242" spans="2:10" x14ac:dyDescent="0.35">
      <c r="B242" s="118">
        <f t="shared" ca="1" si="38"/>
        <v>0.55026278347413837</v>
      </c>
      <c r="C242" s="119">
        <f t="shared" ca="1" si="38"/>
        <v>-1.5027530291333902</v>
      </c>
      <c r="D242" s="118">
        <f t="shared" ca="1" si="31"/>
        <v>0.55026278347413837</v>
      </c>
      <c r="E242" s="119">
        <f t="shared" ca="1" si="32"/>
        <v>-1.3623386956246082</v>
      </c>
      <c r="F242" s="2">
        <f t="shared" ca="1" si="33"/>
        <v>0.05</v>
      </c>
      <c r="G242" s="2">
        <f t="shared" ca="1" si="34"/>
        <v>0.05</v>
      </c>
      <c r="H242" s="72">
        <f t="shared" ca="1" si="35"/>
        <v>3283.2251171200792</v>
      </c>
      <c r="I242" s="72">
        <f t="shared" ca="1" si="36"/>
        <v>1342.7489181356559</v>
      </c>
      <c r="J242" s="72">
        <f t="shared" ca="1" si="37"/>
        <v>4625.9740352557346</v>
      </c>
    </row>
    <row r="243" spans="2:10" x14ac:dyDescent="0.35">
      <c r="B243" s="118">
        <f t="shared" ca="1" si="38"/>
        <v>0.64986434782495861</v>
      </c>
      <c r="C243" s="119">
        <f t="shared" ca="1" si="38"/>
        <v>0.73215289573863362</v>
      </c>
      <c r="D243" s="118">
        <f t="shared" ca="1" si="31"/>
        <v>0.64986434782495861</v>
      </c>
      <c r="E243" s="119">
        <f t="shared" ca="1" si="32"/>
        <v>0.8473332728693056</v>
      </c>
      <c r="F243" s="2">
        <f t="shared" ca="1" si="33"/>
        <v>0.05</v>
      </c>
      <c r="G243" s="2" t="str">
        <f t="shared" ca="1" si="34"/>
        <v>D</v>
      </c>
      <c r="H243" s="72">
        <f t="shared" ca="1" si="35"/>
        <v>3283.2251171200792</v>
      </c>
      <c r="I243" s="72">
        <f t="shared" ca="1" si="36"/>
        <v>0</v>
      </c>
      <c r="J243" s="72">
        <f t="shared" ca="1" si="37"/>
        <v>3283.2251171200792</v>
      </c>
    </row>
    <row r="244" spans="2:10" x14ac:dyDescent="0.35">
      <c r="B244" s="118">
        <f t="shared" ref="B244:C263" ca="1" si="39">NORMSINV(RAND())</f>
        <v>0.2264363144198922</v>
      </c>
      <c r="C244" s="119">
        <f t="shared" ca="1" si="39"/>
        <v>-0.62878972819963608</v>
      </c>
      <c r="D244" s="118">
        <f t="shared" ca="1" si="31"/>
        <v>0.2264363144198922</v>
      </c>
      <c r="E244" s="119">
        <f t="shared" ca="1" si="32"/>
        <v>-0.57079833295299398</v>
      </c>
      <c r="F244" s="2">
        <f t="shared" ca="1" si="33"/>
        <v>0.05</v>
      </c>
      <c r="G244" s="2">
        <f t="shared" ca="1" si="34"/>
        <v>0.12</v>
      </c>
      <c r="H244" s="72">
        <f t="shared" ca="1" si="35"/>
        <v>3283.2251171200792</v>
      </c>
      <c r="I244" s="72">
        <f t="shared" ca="1" si="36"/>
        <v>1150.1271898182279</v>
      </c>
      <c r="J244" s="72">
        <f t="shared" ca="1" si="37"/>
        <v>4433.3523069383073</v>
      </c>
    </row>
    <row r="245" spans="2:10" x14ac:dyDescent="0.35">
      <c r="B245" s="118">
        <f t="shared" ca="1" si="39"/>
        <v>2.3881613917434388</v>
      </c>
      <c r="C245" s="119">
        <f t="shared" ca="1" si="39"/>
        <v>-0.26642295899901203</v>
      </c>
      <c r="D245" s="118">
        <f t="shared" ca="1" si="31"/>
        <v>2.3881613917434388</v>
      </c>
      <c r="E245" s="119">
        <f t="shared" ca="1" si="32"/>
        <v>0.21659215622467853</v>
      </c>
      <c r="F245" s="2" t="str">
        <f t="shared" ca="1" si="33"/>
        <v>D</v>
      </c>
      <c r="G245" s="2">
        <f t="shared" ca="1" si="34"/>
        <v>0.12</v>
      </c>
      <c r="H245" s="72">
        <f t="shared" ca="1" si="35"/>
        <v>0</v>
      </c>
      <c r="I245" s="72">
        <f t="shared" ca="1" si="36"/>
        <v>1150.1271898182279</v>
      </c>
      <c r="J245" s="72">
        <f t="shared" ca="1" si="37"/>
        <v>1150.1271898182279</v>
      </c>
    </row>
    <row r="246" spans="2:10" x14ac:dyDescent="0.35">
      <c r="B246" s="118">
        <f t="shared" ca="1" si="39"/>
        <v>0.83006029291644634</v>
      </c>
      <c r="C246" s="119">
        <f t="shared" ca="1" si="39"/>
        <v>0.11109409865977063</v>
      </c>
      <c r="D246" s="118">
        <f t="shared" ca="1" si="31"/>
        <v>0.83006029291644634</v>
      </c>
      <c r="E246" s="119">
        <f t="shared" ca="1" si="32"/>
        <v>0.27486160064362952</v>
      </c>
      <c r="F246" s="2">
        <f t="shared" ca="1" si="33"/>
        <v>0.05</v>
      </c>
      <c r="G246" s="2">
        <f t="shared" ca="1" si="34"/>
        <v>0.12</v>
      </c>
      <c r="H246" s="72">
        <f t="shared" ca="1" si="35"/>
        <v>3283.2251171200792</v>
      </c>
      <c r="I246" s="72">
        <f t="shared" ca="1" si="36"/>
        <v>1150.1271898182279</v>
      </c>
      <c r="J246" s="72">
        <f t="shared" ca="1" si="37"/>
        <v>4433.3523069383073</v>
      </c>
    </row>
    <row r="247" spans="2:10" x14ac:dyDescent="0.35">
      <c r="B247" s="118">
        <f t="shared" ca="1" si="39"/>
        <v>-1.9101012553596124E-2</v>
      </c>
      <c r="C247" s="119">
        <f t="shared" ca="1" si="39"/>
        <v>0.93120021757975269</v>
      </c>
      <c r="D247" s="118">
        <f t="shared" ca="1" si="31"/>
        <v>-1.9101012553596124E-2</v>
      </c>
      <c r="E247" s="119">
        <f t="shared" ca="1" si="32"/>
        <v>0.90856595006490792</v>
      </c>
      <c r="F247" s="2">
        <f t="shared" ca="1" si="33"/>
        <v>0.05</v>
      </c>
      <c r="G247" s="2" t="str">
        <f t="shared" ca="1" si="34"/>
        <v>D</v>
      </c>
      <c r="H247" s="72">
        <f t="shared" ca="1" si="35"/>
        <v>3283.2251171200792</v>
      </c>
      <c r="I247" s="72">
        <f t="shared" ca="1" si="36"/>
        <v>0</v>
      </c>
      <c r="J247" s="72">
        <f t="shared" ca="1" si="37"/>
        <v>3283.2251171200792</v>
      </c>
    </row>
    <row r="248" spans="2:10" x14ac:dyDescent="0.35">
      <c r="B248" s="118">
        <f t="shared" ca="1" si="39"/>
        <v>-1.0741104778314863</v>
      </c>
      <c r="C248" s="119">
        <f t="shared" ca="1" si="39"/>
        <v>1.1904662317435897</v>
      </c>
      <c r="D248" s="118">
        <f t="shared" ca="1" si="31"/>
        <v>-1.0741104778314863</v>
      </c>
      <c r="E248" s="119">
        <f t="shared" ca="1" si="32"/>
        <v>0.95159183394796865</v>
      </c>
      <c r="F248" s="2">
        <f t="shared" ca="1" si="33"/>
        <v>0.05</v>
      </c>
      <c r="G248" s="2" t="str">
        <f t="shared" ca="1" si="34"/>
        <v>D</v>
      </c>
      <c r="H248" s="72">
        <f t="shared" ca="1" si="35"/>
        <v>3283.2251171200792</v>
      </c>
      <c r="I248" s="72">
        <f t="shared" ca="1" si="36"/>
        <v>0</v>
      </c>
      <c r="J248" s="72">
        <f t="shared" ca="1" si="37"/>
        <v>3283.2251171200792</v>
      </c>
    </row>
    <row r="249" spans="2:10" x14ac:dyDescent="0.35">
      <c r="B249" s="118">
        <f t="shared" ca="1" si="39"/>
        <v>-6.3198684182982703E-2</v>
      </c>
      <c r="C249" s="119">
        <f t="shared" ca="1" si="39"/>
        <v>-0.77389538865059226</v>
      </c>
      <c r="D249" s="118">
        <f t="shared" ca="1" si="31"/>
        <v>-6.3198684182982703E-2</v>
      </c>
      <c r="E249" s="119">
        <f t="shared" ca="1" si="32"/>
        <v>-0.77089926343132731</v>
      </c>
      <c r="F249" s="2">
        <f t="shared" ca="1" si="33"/>
        <v>0.05</v>
      </c>
      <c r="G249" s="2">
        <f t="shared" ca="1" si="34"/>
        <v>0.12</v>
      </c>
      <c r="H249" s="72">
        <f t="shared" ca="1" si="35"/>
        <v>3283.2251171200792</v>
      </c>
      <c r="I249" s="72">
        <f t="shared" ca="1" si="36"/>
        <v>1150.1271898182279</v>
      </c>
      <c r="J249" s="72">
        <f t="shared" ca="1" si="37"/>
        <v>4433.3523069383073</v>
      </c>
    </row>
    <row r="250" spans="2:10" x14ac:dyDescent="0.35">
      <c r="B250" s="118">
        <f t="shared" ca="1" si="39"/>
        <v>0.78977922092440911</v>
      </c>
      <c r="C250" s="119">
        <f t="shared" ca="1" si="39"/>
        <v>0.24930832603007858</v>
      </c>
      <c r="D250" s="118">
        <f t="shared" ca="1" si="31"/>
        <v>0.78977922092440911</v>
      </c>
      <c r="E250" s="119">
        <f t="shared" ca="1" si="32"/>
        <v>0.4022271191453306</v>
      </c>
      <c r="F250" s="2">
        <f t="shared" ca="1" si="33"/>
        <v>0.05</v>
      </c>
      <c r="G250" s="2">
        <f t="shared" ca="1" si="34"/>
        <v>0.12</v>
      </c>
      <c r="H250" s="72">
        <f t="shared" ca="1" si="35"/>
        <v>3283.2251171200792</v>
      </c>
      <c r="I250" s="72">
        <f t="shared" ca="1" si="36"/>
        <v>1150.1271898182279</v>
      </c>
      <c r="J250" s="72">
        <f t="shared" ca="1" si="37"/>
        <v>4433.3523069383073</v>
      </c>
    </row>
    <row r="251" spans="2:10" x14ac:dyDescent="0.35">
      <c r="B251" s="118">
        <f t="shared" ca="1" si="39"/>
        <v>-0.58560141017965173</v>
      </c>
      <c r="C251" s="119">
        <f t="shared" ca="1" si="39"/>
        <v>-0.62580064075329089</v>
      </c>
      <c r="D251" s="118">
        <f t="shared" ca="1" si="31"/>
        <v>-0.58560141017965173</v>
      </c>
      <c r="E251" s="119">
        <f t="shared" ca="1" si="32"/>
        <v>-0.730277182256861</v>
      </c>
      <c r="F251" s="2">
        <f t="shared" ca="1" si="33"/>
        <v>0.05</v>
      </c>
      <c r="G251" s="2">
        <f t="shared" ca="1" si="34"/>
        <v>0.12</v>
      </c>
      <c r="H251" s="72">
        <f t="shared" ca="1" si="35"/>
        <v>3283.2251171200792</v>
      </c>
      <c r="I251" s="72">
        <f t="shared" ca="1" si="36"/>
        <v>1150.1271898182279</v>
      </c>
      <c r="J251" s="72">
        <f t="shared" ca="1" si="37"/>
        <v>4433.3523069383073</v>
      </c>
    </row>
    <row r="252" spans="2:10" x14ac:dyDescent="0.35">
      <c r="B252" s="118">
        <f t="shared" ca="1" si="39"/>
        <v>0.56667344829593491</v>
      </c>
      <c r="C252" s="119">
        <f t="shared" ca="1" si="39"/>
        <v>-0.71050406926636966</v>
      </c>
      <c r="D252" s="118">
        <f t="shared" ca="1" si="31"/>
        <v>0.56667344829593491</v>
      </c>
      <c r="E252" s="119">
        <f t="shared" ca="1" si="32"/>
        <v>-0.58281428229028542</v>
      </c>
      <c r="F252" s="2">
        <f t="shared" ca="1" si="33"/>
        <v>0.05</v>
      </c>
      <c r="G252" s="2">
        <f t="shared" ca="1" si="34"/>
        <v>0.12</v>
      </c>
      <c r="H252" s="72">
        <f t="shared" ca="1" si="35"/>
        <v>3283.2251171200792</v>
      </c>
      <c r="I252" s="72">
        <f t="shared" ca="1" si="36"/>
        <v>1150.1271898182279</v>
      </c>
      <c r="J252" s="72">
        <f t="shared" ca="1" si="37"/>
        <v>4433.3523069383073</v>
      </c>
    </row>
    <row r="253" spans="2:10" x14ac:dyDescent="0.35">
      <c r="B253" s="118">
        <f t="shared" ca="1" si="39"/>
        <v>0.43190747132402174</v>
      </c>
      <c r="C253" s="119">
        <f t="shared" ca="1" si="39"/>
        <v>-0.70789839927405107</v>
      </c>
      <c r="D253" s="118">
        <f t="shared" ca="1" si="31"/>
        <v>0.43190747132402174</v>
      </c>
      <c r="E253" s="119">
        <f t="shared" ca="1" si="32"/>
        <v>-0.60721445291696319</v>
      </c>
      <c r="F253" s="2">
        <f t="shared" ca="1" si="33"/>
        <v>0.05</v>
      </c>
      <c r="G253" s="2">
        <f t="shared" ca="1" si="34"/>
        <v>0.12</v>
      </c>
      <c r="H253" s="72">
        <f t="shared" ca="1" si="35"/>
        <v>3283.2251171200792</v>
      </c>
      <c r="I253" s="72">
        <f t="shared" ca="1" si="36"/>
        <v>1150.1271898182279</v>
      </c>
      <c r="J253" s="72">
        <f t="shared" ca="1" si="37"/>
        <v>4433.3523069383073</v>
      </c>
    </row>
    <row r="254" spans="2:10" x14ac:dyDescent="0.35">
      <c r="B254" s="118">
        <f t="shared" ca="1" si="39"/>
        <v>-1.1844210447181911</v>
      </c>
      <c r="C254" s="119">
        <f t="shared" ca="1" si="39"/>
        <v>1.0744901965603151</v>
      </c>
      <c r="D254" s="118">
        <f t="shared" ca="1" si="31"/>
        <v>-1.1844210447181911</v>
      </c>
      <c r="E254" s="119">
        <f t="shared" ca="1" si="32"/>
        <v>0.81589687713459069</v>
      </c>
      <c r="F254" s="2">
        <f t="shared" ca="1" si="33"/>
        <v>0.05</v>
      </c>
      <c r="G254" s="2">
        <f t="shared" ca="1" si="34"/>
        <v>0.12</v>
      </c>
      <c r="H254" s="72">
        <f t="shared" ca="1" si="35"/>
        <v>3283.2251171200792</v>
      </c>
      <c r="I254" s="72">
        <f t="shared" ca="1" si="36"/>
        <v>1150.1271898182279</v>
      </c>
      <c r="J254" s="72">
        <f t="shared" ca="1" si="37"/>
        <v>4433.3523069383073</v>
      </c>
    </row>
    <row r="255" spans="2:10" x14ac:dyDescent="0.35">
      <c r="B255" s="118">
        <f t="shared" ca="1" si="39"/>
        <v>0.34170216059711933</v>
      </c>
      <c r="C255" s="119">
        <f t="shared" ca="1" si="39"/>
        <v>-0.54418554446329015</v>
      </c>
      <c r="D255" s="118">
        <f t="shared" ca="1" si="31"/>
        <v>0.34170216059711933</v>
      </c>
      <c r="E255" s="119">
        <f t="shared" ca="1" si="32"/>
        <v>-0.46485033161405942</v>
      </c>
      <c r="F255" s="2">
        <f t="shared" ca="1" si="33"/>
        <v>0.05</v>
      </c>
      <c r="G255" s="2">
        <f t="shared" ca="1" si="34"/>
        <v>0.12</v>
      </c>
      <c r="H255" s="72">
        <f t="shared" ca="1" si="35"/>
        <v>3283.2251171200792</v>
      </c>
      <c r="I255" s="72">
        <f t="shared" ca="1" si="36"/>
        <v>1150.1271898182279</v>
      </c>
      <c r="J255" s="72">
        <f t="shared" ca="1" si="37"/>
        <v>4433.3523069383073</v>
      </c>
    </row>
    <row r="256" spans="2:10" x14ac:dyDescent="0.35">
      <c r="B256" s="118">
        <f t="shared" ca="1" si="39"/>
        <v>-0.94919462842342739</v>
      </c>
      <c r="C256" s="119">
        <f t="shared" ca="1" si="39"/>
        <v>1.2198660129650061</v>
      </c>
      <c r="D256" s="118">
        <f t="shared" ca="1" si="31"/>
        <v>-0.94919462842342739</v>
      </c>
      <c r="E256" s="119">
        <f t="shared" ca="1" si="32"/>
        <v>1.005380788846352</v>
      </c>
      <c r="F256" s="2">
        <f t="shared" ca="1" si="33"/>
        <v>0.05</v>
      </c>
      <c r="G256" s="2" t="str">
        <f t="shared" ca="1" si="34"/>
        <v>D</v>
      </c>
      <c r="H256" s="72">
        <f t="shared" ca="1" si="35"/>
        <v>3283.2251171200792</v>
      </c>
      <c r="I256" s="72">
        <f t="shared" ca="1" si="36"/>
        <v>0</v>
      </c>
      <c r="J256" s="72">
        <f t="shared" ca="1" si="37"/>
        <v>3283.2251171200792</v>
      </c>
    </row>
    <row r="257" spans="2:10" x14ac:dyDescent="0.35">
      <c r="B257" s="118">
        <f t="shared" ca="1" si="39"/>
        <v>-0.52786357809521967</v>
      </c>
      <c r="C257" s="119">
        <f t="shared" ca="1" si="39"/>
        <v>0.58107688581119266</v>
      </c>
      <c r="D257" s="118">
        <f t="shared" ca="1" si="31"/>
        <v>-0.52786357809521967</v>
      </c>
      <c r="E257" s="119">
        <f t="shared" ca="1" si="32"/>
        <v>0.46376403300611946</v>
      </c>
      <c r="F257" s="2">
        <f t="shared" ca="1" si="33"/>
        <v>0.05</v>
      </c>
      <c r="G257" s="2">
        <f t="shared" ca="1" si="34"/>
        <v>0.12</v>
      </c>
      <c r="H257" s="72">
        <f t="shared" ca="1" si="35"/>
        <v>3283.2251171200792</v>
      </c>
      <c r="I257" s="72">
        <f t="shared" ca="1" si="36"/>
        <v>1150.1271898182279</v>
      </c>
      <c r="J257" s="72">
        <f t="shared" ca="1" si="37"/>
        <v>4433.3523069383073</v>
      </c>
    </row>
    <row r="258" spans="2:10" x14ac:dyDescent="0.35">
      <c r="B258" s="118">
        <f t="shared" ca="1" si="39"/>
        <v>1.0800992211807794</v>
      </c>
      <c r="C258" s="119">
        <f t="shared" ca="1" si="39"/>
        <v>-0.66257812082910594</v>
      </c>
      <c r="D258" s="118">
        <f t="shared" ca="1" si="31"/>
        <v>1.0800992211807794</v>
      </c>
      <c r="E258" s="119">
        <f t="shared" ca="1" si="32"/>
        <v>-0.4331714800692234</v>
      </c>
      <c r="F258" s="2">
        <f t="shared" ca="1" si="33"/>
        <v>0.12</v>
      </c>
      <c r="G258" s="2">
        <f t="shared" ca="1" si="34"/>
        <v>0.12</v>
      </c>
      <c r="H258" s="72">
        <f t="shared" ca="1" si="35"/>
        <v>3042.2414210881088</v>
      </c>
      <c r="I258" s="72">
        <f t="shared" ca="1" si="36"/>
        <v>1150.1271898182279</v>
      </c>
      <c r="J258" s="72">
        <f t="shared" ca="1" si="37"/>
        <v>4192.3686109063365</v>
      </c>
    </row>
    <row r="259" spans="2:10" x14ac:dyDescent="0.35">
      <c r="B259" s="118">
        <f t="shared" ca="1" si="39"/>
        <v>1.5499452984342115</v>
      </c>
      <c r="C259" s="119">
        <f t="shared" ca="1" si="39"/>
        <v>-1.6525405850529662</v>
      </c>
      <c r="D259" s="118">
        <f t="shared" ca="1" si="31"/>
        <v>1.5499452984342115</v>
      </c>
      <c r="E259" s="119">
        <f t="shared" ca="1" si="32"/>
        <v>-1.3091634253612185</v>
      </c>
      <c r="F259" s="2" t="str">
        <f t="shared" ca="1" si="33"/>
        <v>D</v>
      </c>
      <c r="G259" s="2">
        <f t="shared" ca="1" si="34"/>
        <v>0.05</v>
      </c>
      <c r="H259" s="72">
        <f t="shared" ca="1" si="35"/>
        <v>0</v>
      </c>
      <c r="I259" s="72">
        <f t="shared" ca="1" si="36"/>
        <v>1342.7489181356559</v>
      </c>
      <c r="J259" s="72">
        <f t="shared" ca="1" si="37"/>
        <v>1342.7489181356559</v>
      </c>
    </row>
    <row r="260" spans="2:10" x14ac:dyDescent="0.35">
      <c r="B260" s="118">
        <f t="shared" ca="1" si="39"/>
        <v>1.3877793940220611</v>
      </c>
      <c r="C260" s="119">
        <f t="shared" ca="1" si="39"/>
        <v>-0.65632386794204278</v>
      </c>
      <c r="D260" s="118">
        <f t="shared" ca="1" si="31"/>
        <v>1.3877793940220611</v>
      </c>
      <c r="E260" s="119">
        <f t="shared" ca="1" si="32"/>
        <v>-0.36550755418271375</v>
      </c>
      <c r="F260" s="2" t="str">
        <f t="shared" ca="1" si="33"/>
        <v>D</v>
      </c>
      <c r="G260" s="2">
        <f t="shared" ca="1" si="34"/>
        <v>0.12</v>
      </c>
      <c r="H260" s="72">
        <f t="shared" ca="1" si="35"/>
        <v>0</v>
      </c>
      <c r="I260" s="72">
        <f t="shared" ca="1" si="36"/>
        <v>1150.1271898182279</v>
      </c>
      <c r="J260" s="72">
        <f t="shared" ca="1" si="37"/>
        <v>1150.1271898182279</v>
      </c>
    </row>
    <row r="261" spans="2:10" x14ac:dyDescent="0.35">
      <c r="B261" s="118">
        <f t="shared" ca="1" si="39"/>
        <v>-0.47268202042054691</v>
      </c>
      <c r="C261" s="119">
        <f t="shared" ca="1" si="39"/>
        <v>-1.2313811215583521</v>
      </c>
      <c r="D261" s="118">
        <f t="shared" ca="1" si="31"/>
        <v>-0.47268202042054691</v>
      </c>
      <c r="E261" s="119">
        <f t="shared" ca="1" si="32"/>
        <v>-1.3010385747697211</v>
      </c>
      <c r="F261" s="2">
        <f t="shared" ca="1" si="33"/>
        <v>0.05</v>
      </c>
      <c r="G261" s="2">
        <f t="shared" ca="1" si="34"/>
        <v>0.05</v>
      </c>
      <c r="H261" s="72">
        <f t="shared" ca="1" si="35"/>
        <v>3283.2251171200792</v>
      </c>
      <c r="I261" s="72">
        <f t="shared" ca="1" si="36"/>
        <v>1342.7489181356559</v>
      </c>
      <c r="J261" s="72">
        <f t="shared" ca="1" si="37"/>
        <v>4625.9740352557346</v>
      </c>
    </row>
    <row r="262" spans="2:10" x14ac:dyDescent="0.35">
      <c r="B262" s="118">
        <f t="shared" ca="1" si="39"/>
        <v>-1.1741969426509737</v>
      </c>
      <c r="C262" s="119">
        <f t="shared" ca="1" si="39"/>
        <v>2.1107647749174041</v>
      </c>
      <c r="D262" s="118">
        <f t="shared" ca="1" si="31"/>
        <v>-1.1741969426509737</v>
      </c>
      <c r="E262" s="119">
        <f t="shared" ca="1" si="32"/>
        <v>1.833279277705095</v>
      </c>
      <c r="F262" s="2">
        <f t="shared" ca="1" si="33"/>
        <v>0.05</v>
      </c>
      <c r="G262" s="2" t="str">
        <f t="shared" ca="1" si="34"/>
        <v>D</v>
      </c>
      <c r="H262" s="72">
        <f t="shared" ca="1" si="35"/>
        <v>3283.2251171200792</v>
      </c>
      <c r="I262" s="72">
        <f t="shared" ca="1" si="36"/>
        <v>0</v>
      </c>
      <c r="J262" s="72">
        <f t="shared" ca="1" si="37"/>
        <v>3283.2251171200792</v>
      </c>
    </row>
    <row r="263" spans="2:10" x14ac:dyDescent="0.35">
      <c r="B263" s="118">
        <f t="shared" ca="1" si="39"/>
        <v>0.48345971322330905</v>
      </c>
      <c r="C263" s="119">
        <f t="shared" ca="1" si="39"/>
        <v>1.0647983898376834</v>
      </c>
      <c r="D263" s="118">
        <f t="shared" ca="1" si="31"/>
        <v>0.48345971322330905</v>
      </c>
      <c r="E263" s="119">
        <f t="shared" ca="1" si="32"/>
        <v>1.1399770362604413</v>
      </c>
      <c r="F263" s="2">
        <f t="shared" ca="1" si="33"/>
        <v>0.05</v>
      </c>
      <c r="G263" s="2" t="str">
        <f t="shared" ca="1" si="34"/>
        <v>D</v>
      </c>
      <c r="H263" s="72">
        <f t="shared" ca="1" si="35"/>
        <v>3283.2251171200792</v>
      </c>
      <c r="I263" s="72">
        <f t="shared" ca="1" si="36"/>
        <v>0</v>
      </c>
      <c r="J263" s="72">
        <f t="shared" ca="1" si="37"/>
        <v>3283.2251171200792</v>
      </c>
    </row>
    <row r="264" spans="2:10" x14ac:dyDescent="0.35">
      <c r="B264" s="118">
        <f t="shared" ref="B264:C283" ca="1" si="40">NORMSINV(RAND())</f>
        <v>0.41800378754182832</v>
      </c>
      <c r="C264" s="119">
        <f t="shared" ca="1" si="40"/>
        <v>1.1589856385560975</v>
      </c>
      <c r="D264" s="118">
        <f t="shared" ca="1" si="31"/>
        <v>0.41800378754182832</v>
      </c>
      <c r="E264" s="119">
        <f t="shared" ca="1" si="32"/>
        <v>1.2191701309788348</v>
      </c>
      <c r="F264" s="2">
        <f t="shared" ca="1" si="33"/>
        <v>0.05</v>
      </c>
      <c r="G264" s="2" t="str">
        <f t="shared" ca="1" si="34"/>
        <v>D</v>
      </c>
      <c r="H264" s="72">
        <f t="shared" ca="1" si="35"/>
        <v>3283.2251171200792</v>
      </c>
      <c r="I264" s="72">
        <f t="shared" ca="1" si="36"/>
        <v>0</v>
      </c>
      <c r="J264" s="72">
        <f t="shared" ca="1" si="37"/>
        <v>3283.2251171200792</v>
      </c>
    </row>
    <row r="265" spans="2:10" x14ac:dyDescent="0.35">
      <c r="B265" s="118">
        <f t="shared" ca="1" si="40"/>
        <v>-1.3379835777247535E-2</v>
      </c>
      <c r="C265" s="119">
        <f t="shared" ca="1" si="40"/>
        <v>-0.89863209362035623</v>
      </c>
      <c r="D265" s="118">
        <f t="shared" ca="1" si="31"/>
        <v>-1.3379835777247535E-2</v>
      </c>
      <c r="E265" s="119">
        <f t="shared" ca="1" si="32"/>
        <v>-0.88315200549898354</v>
      </c>
      <c r="F265" s="2">
        <f t="shared" ca="1" si="33"/>
        <v>0.05</v>
      </c>
      <c r="G265" s="2">
        <f t="shared" ca="1" si="34"/>
        <v>0.05</v>
      </c>
      <c r="H265" s="72">
        <f t="shared" ca="1" si="35"/>
        <v>3283.2251171200792</v>
      </c>
      <c r="I265" s="72">
        <f t="shared" ca="1" si="36"/>
        <v>1342.7489181356559</v>
      </c>
      <c r="J265" s="72">
        <f t="shared" ca="1" si="37"/>
        <v>4625.9740352557346</v>
      </c>
    </row>
    <row r="266" spans="2:10" x14ac:dyDescent="0.35">
      <c r="B266" s="118">
        <f t="shared" ca="1" si="40"/>
        <v>0.84118931869573188</v>
      </c>
      <c r="C266" s="119">
        <f t="shared" ca="1" si="40"/>
        <v>0.15135681912506585</v>
      </c>
      <c r="D266" s="118">
        <f t="shared" ca="1" si="31"/>
        <v>0.84118931869573188</v>
      </c>
      <c r="E266" s="119">
        <f t="shared" ca="1" si="32"/>
        <v>0.31653665411800141</v>
      </c>
      <c r="F266" s="2">
        <f t="shared" ca="1" si="33"/>
        <v>0.05</v>
      </c>
      <c r="G266" s="2">
        <f t="shared" ca="1" si="34"/>
        <v>0.12</v>
      </c>
      <c r="H266" s="72">
        <f t="shared" ca="1" si="35"/>
        <v>3283.2251171200792</v>
      </c>
      <c r="I266" s="72">
        <f t="shared" ca="1" si="36"/>
        <v>1150.1271898182279</v>
      </c>
      <c r="J266" s="72">
        <f t="shared" ca="1" si="37"/>
        <v>4433.3523069383073</v>
      </c>
    </row>
    <row r="267" spans="2:10" x14ac:dyDescent="0.35">
      <c r="B267" s="118">
        <f t="shared" ca="1" si="40"/>
        <v>-1.1502732160228073</v>
      </c>
      <c r="C267" s="119">
        <f t="shared" ca="1" si="40"/>
        <v>1.8951717006742639</v>
      </c>
      <c r="D267" s="118">
        <f t="shared" ca="1" si="31"/>
        <v>-1.1502732160228073</v>
      </c>
      <c r="E267" s="119">
        <f t="shared" ca="1" si="32"/>
        <v>1.6268268134412627</v>
      </c>
      <c r="F267" s="2">
        <f t="shared" ca="1" si="33"/>
        <v>0.05</v>
      </c>
      <c r="G267" s="2" t="str">
        <f t="shared" ca="1" si="34"/>
        <v>D</v>
      </c>
      <c r="H267" s="72">
        <f t="shared" ca="1" si="35"/>
        <v>3283.2251171200792</v>
      </c>
      <c r="I267" s="72">
        <f t="shared" ca="1" si="36"/>
        <v>0</v>
      </c>
      <c r="J267" s="72">
        <f t="shared" ca="1" si="37"/>
        <v>3283.2251171200792</v>
      </c>
    </row>
    <row r="268" spans="2:10" x14ac:dyDescent="0.35">
      <c r="B268" s="118">
        <f t="shared" ca="1" si="40"/>
        <v>0.11187669319080229</v>
      </c>
      <c r="C268" s="119">
        <f t="shared" ca="1" si="40"/>
        <v>1.1530069408082011</v>
      </c>
      <c r="D268" s="118">
        <f t="shared" ca="1" si="31"/>
        <v>0.11187669319080229</v>
      </c>
      <c r="E268" s="119">
        <f t="shared" ca="1" si="32"/>
        <v>1.1520868085851601</v>
      </c>
      <c r="F268" s="2">
        <f t="shared" ca="1" si="33"/>
        <v>0.05</v>
      </c>
      <c r="G268" s="2" t="str">
        <f t="shared" ca="1" si="34"/>
        <v>D</v>
      </c>
      <c r="H268" s="72">
        <f t="shared" ca="1" si="35"/>
        <v>3283.2251171200792</v>
      </c>
      <c r="I268" s="72">
        <f t="shared" ca="1" si="36"/>
        <v>0</v>
      </c>
      <c r="J268" s="72">
        <f t="shared" ca="1" si="37"/>
        <v>3283.2251171200792</v>
      </c>
    </row>
    <row r="269" spans="2:10" x14ac:dyDescent="0.35">
      <c r="B269" s="118">
        <f t="shared" ca="1" si="40"/>
        <v>-1.4732806045445253</v>
      </c>
      <c r="C269" s="119">
        <f t="shared" ca="1" si="40"/>
        <v>0.26198508808043924</v>
      </c>
      <c r="D269" s="118">
        <f t="shared" ca="1" si="31"/>
        <v>-1.4732806045445253</v>
      </c>
      <c r="E269" s="119">
        <f t="shared" ca="1" si="32"/>
        <v>-3.7964206502831721E-2</v>
      </c>
      <c r="F269" s="2">
        <f t="shared" ca="1" si="33"/>
        <v>0.01</v>
      </c>
      <c r="G269" s="2">
        <f t="shared" ca="1" si="34"/>
        <v>0.12</v>
      </c>
      <c r="H269" s="72">
        <f t="shared" ca="1" si="35"/>
        <v>3443.7147154459058</v>
      </c>
      <c r="I269" s="72">
        <f t="shared" ca="1" si="36"/>
        <v>1150.1271898182279</v>
      </c>
      <c r="J269" s="72">
        <f t="shared" ca="1" si="37"/>
        <v>4593.8419052641339</v>
      </c>
    </row>
    <row r="270" spans="2:10" x14ac:dyDescent="0.35">
      <c r="B270" s="118">
        <f t="shared" ca="1" si="40"/>
        <v>0.88879941081019431</v>
      </c>
      <c r="C270" s="119">
        <f t="shared" ca="1" si="40"/>
        <v>-0.1077099414907659</v>
      </c>
      <c r="D270" s="118">
        <f t="shared" ca="1" si="31"/>
        <v>0.88879941081019431</v>
      </c>
      <c r="E270" s="119">
        <f t="shared" ca="1" si="32"/>
        <v>7.2226123411075926E-2</v>
      </c>
      <c r="F270" s="2">
        <f t="shared" ca="1" si="33"/>
        <v>0.12</v>
      </c>
      <c r="G270" s="2">
        <f t="shared" ca="1" si="34"/>
        <v>0.12</v>
      </c>
      <c r="H270" s="72">
        <f t="shared" ca="1" si="35"/>
        <v>3042.2414210881088</v>
      </c>
      <c r="I270" s="72">
        <f t="shared" ca="1" si="36"/>
        <v>1150.1271898182279</v>
      </c>
      <c r="J270" s="72">
        <f t="shared" ca="1" si="37"/>
        <v>4192.3686109063365</v>
      </c>
    </row>
    <row r="271" spans="2:10" x14ac:dyDescent="0.35">
      <c r="B271" s="118">
        <f t="shared" ca="1" si="40"/>
        <v>-1.4137714527100156</v>
      </c>
      <c r="C271" s="119">
        <f t="shared" ca="1" si="40"/>
        <v>-0.47927571316733769</v>
      </c>
      <c r="D271" s="118">
        <f t="shared" ca="1" si="31"/>
        <v>-1.4137714527100156</v>
      </c>
      <c r="E271" s="119">
        <f t="shared" ca="1" si="32"/>
        <v>-0.75234666788939752</v>
      </c>
      <c r="F271" s="2">
        <f t="shared" ca="1" si="33"/>
        <v>0.01</v>
      </c>
      <c r="G271" s="2">
        <f t="shared" ca="1" si="34"/>
        <v>0.12</v>
      </c>
      <c r="H271" s="72">
        <f t="shared" ca="1" si="35"/>
        <v>3443.7147154459058</v>
      </c>
      <c r="I271" s="72">
        <f t="shared" ca="1" si="36"/>
        <v>1150.1271898182279</v>
      </c>
      <c r="J271" s="72">
        <f t="shared" ca="1" si="37"/>
        <v>4593.8419052641339</v>
      </c>
    </row>
    <row r="272" spans="2:10" x14ac:dyDescent="0.35">
      <c r="B272" s="118">
        <f t="shared" ca="1" si="40"/>
        <v>2.1706132507419981E-2</v>
      </c>
      <c r="C272" s="119">
        <f t="shared" ca="1" si="40"/>
        <v>-7.6007273973379016E-2</v>
      </c>
      <c r="D272" s="118">
        <f t="shared" ca="1" si="31"/>
        <v>2.1706132507419981E-2</v>
      </c>
      <c r="E272" s="119">
        <f t="shared" ca="1" si="32"/>
        <v>-7.0130388688397091E-2</v>
      </c>
      <c r="F272" s="2">
        <f t="shared" ca="1" si="33"/>
        <v>0.05</v>
      </c>
      <c r="G272" s="2">
        <f t="shared" ca="1" si="34"/>
        <v>0.12</v>
      </c>
      <c r="H272" s="72">
        <f t="shared" ca="1" si="35"/>
        <v>3283.2251171200792</v>
      </c>
      <c r="I272" s="72">
        <f t="shared" ca="1" si="36"/>
        <v>1150.1271898182279</v>
      </c>
      <c r="J272" s="72">
        <f t="shared" ca="1" si="37"/>
        <v>4433.3523069383073</v>
      </c>
    </row>
    <row r="273" spans="2:10" x14ac:dyDescent="0.35">
      <c r="B273" s="118">
        <f t="shared" ca="1" si="40"/>
        <v>0.37069786319581022</v>
      </c>
      <c r="C273" s="119">
        <f t="shared" ca="1" si="40"/>
        <v>-9.0842317251864049E-2</v>
      </c>
      <c r="D273" s="118">
        <f t="shared" ca="1" si="31"/>
        <v>0.37069786319581022</v>
      </c>
      <c r="E273" s="119">
        <f t="shared" ca="1" si="32"/>
        <v>-1.4867357088476488E-2</v>
      </c>
      <c r="F273" s="2">
        <f t="shared" ca="1" si="33"/>
        <v>0.05</v>
      </c>
      <c r="G273" s="2">
        <f t="shared" ca="1" si="34"/>
        <v>0.12</v>
      </c>
      <c r="H273" s="72">
        <f t="shared" ca="1" si="35"/>
        <v>3283.2251171200792</v>
      </c>
      <c r="I273" s="72">
        <f t="shared" ca="1" si="36"/>
        <v>1150.1271898182279</v>
      </c>
      <c r="J273" s="72">
        <f t="shared" ca="1" si="37"/>
        <v>4433.3523069383073</v>
      </c>
    </row>
    <row r="274" spans="2:10" x14ac:dyDescent="0.35">
      <c r="B274" s="118">
        <f t="shared" ca="1" si="40"/>
        <v>-1.0559056451427555</v>
      </c>
      <c r="C274" s="119">
        <f t="shared" ca="1" si="40"/>
        <v>0.81262711929196363</v>
      </c>
      <c r="D274" s="118">
        <f t="shared" ca="1" si="31"/>
        <v>-1.0559056451427555</v>
      </c>
      <c r="E274" s="119">
        <f t="shared" ca="1" si="32"/>
        <v>0.58502758833669166</v>
      </c>
      <c r="F274" s="2">
        <f t="shared" ca="1" si="33"/>
        <v>0.05</v>
      </c>
      <c r="G274" s="2">
        <f t="shared" ca="1" si="34"/>
        <v>0.12</v>
      </c>
      <c r="H274" s="72">
        <f t="shared" ca="1" si="35"/>
        <v>3283.2251171200792</v>
      </c>
      <c r="I274" s="72">
        <f t="shared" ca="1" si="36"/>
        <v>1150.1271898182279</v>
      </c>
      <c r="J274" s="72">
        <f t="shared" ca="1" si="37"/>
        <v>4433.3523069383073</v>
      </c>
    </row>
    <row r="275" spans="2:10" x14ac:dyDescent="0.35">
      <c r="B275" s="118">
        <f t="shared" ca="1" si="40"/>
        <v>-1.0905731331931345</v>
      </c>
      <c r="C275" s="119">
        <f t="shared" ca="1" si="40"/>
        <v>-3.6941499559180732E-2</v>
      </c>
      <c r="D275" s="118">
        <f t="shared" ca="1" si="31"/>
        <v>-1.0905731331931345</v>
      </c>
      <c r="E275" s="119">
        <f t="shared" ca="1" si="32"/>
        <v>-0.25430975633992392</v>
      </c>
      <c r="F275" s="2">
        <f t="shared" ca="1" si="33"/>
        <v>0.05</v>
      </c>
      <c r="G275" s="2">
        <f t="shared" ca="1" si="34"/>
        <v>0.12</v>
      </c>
      <c r="H275" s="72">
        <f t="shared" ca="1" si="35"/>
        <v>3283.2251171200792</v>
      </c>
      <c r="I275" s="72">
        <f t="shared" ca="1" si="36"/>
        <v>1150.1271898182279</v>
      </c>
      <c r="J275" s="72">
        <f t="shared" ca="1" si="37"/>
        <v>4433.3523069383073</v>
      </c>
    </row>
    <row r="276" spans="2:10" x14ac:dyDescent="0.35">
      <c r="B276" s="118">
        <f t="shared" ca="1" si="40"/>
        <v>0.93102270529162467</v>
      </c>
      <c r="C276" s="119">
        <f t="shared" ca="1" si="40"/>
        <v>-0.58553081008056562</v>
      </c>
      <c r="D276" s="118">
        <f t="shared" ca="1" si="31"/>
        <v>0.93102270529162467</v>
      </c>
      <c r="E276" s="119">
        <f t="shared" ca="1" si="32"/>
        <v>-0.38749614429202328</v>
      </c>
      <c r="F276" s="2">
        <f t="shared" ca="1" si="33"/>
        <v>0.12</v>
      </c>
      <c r="G276" s="2">
        <f t="shared" ca="1" si="34"/>
        <v>0.12</v>
      </c>
      <c r="H276" s="72">
        <f t="shared" ca="1" si="35"/>
        <v>3042.2414210881088</v>
      </c>
      <c r="I276" s="72">
        <f t="shared" ca="1" si="36"/>
        <v>1150.1271898182279</v>
      </c>
      <c r="J276" s="72">
        <f t="shared" ca="1" si="37"/>
        <v>4192.3686109063365</v>
      </c>
    </row>
    <row r="277" spans="2:10" x14ac:dyDescent="0.35">
      <c r="B277" s="118">
        <f t="shared" ca="1" si="40"/>
        <v>1.2509507278523253</v>
      </c>
      <c r="C277" s="119">
        <f t="shared" ca="1" si="40"/>
        <v>-1.0320454939330663</v>
      </c>
      <c r="D277" s="118">
        <f t="shared" ca="1" si="31"/>
        <v>1.2509507278523253</v>
      </c>
      <c r="E277" s="119">
        <f t="shared" ca="1" si="32"/>
        <v>-0.76100379501939264</v>
      </c>
      <c r="F277" s="2">
        <f t="shared" ca="1" si="33"/>
        <v>0.12</v>
      </c>
      <c r="G277" s="2">
        <f t="shared" ca="1" si="34"/>
        <v>0.12</v>
      </c>
      <c r="H277" s="72">
        <f t="shared" ca="1" si="35"/>
        <v>3042.2414210881088</v>
      </c>
      <c r="I277" s="72">
        <f t="shared" ca="1" si="36"/>
        <v>1150.1271898182279</v>
      </c>
      <c r="J277" s="72">
        <f t="shared" ca="1" si="37"/>
        <v>4192.3686109063365</v>
      </c>
    </row>
    <row r="278" spans="2:10" x14ac:dyDescent="0.35">
      <c r="B278" s="118">
        <f t="shared" ca="1" si="40"/>
        <v>-1.1470339008433232</v>
      </c>
      <c r="C278" s="119">
        <f t="shared" ca="1" si="40"/>
        <v>-7.322363243721984E-2</v>
      </c>
      <c r="D278" s="118">
        <f t="shared" ca="1" si="31"/>
        <v>-1.1470339008433232</v>
      </c>
      <c r="E278" s="119">
        <f t="shared" ca="1" si="32"/>
        <v>-0.30115099480238294</v>
      </c>
      <c r="F278" s="2">
        <f t="shared" ca="1" si="33"/>
        <v>0.05</v>
      </c>
      <c r="G278" s="2">
        <f t="shared" ca="1" si="34"/>
        <v>0.12</v>
      </c>
      <c r="H278" s="72">
        <f t="shared" ca="1" si="35"/>
        <v>3283.2251171200792</v>
      </c>
      <c r="I278" s="72">
        <f t="shared" ca="1" si="36"/>
        <v>1150.1271898182279</v>
      </c>
      <c r="J278" s="72">
        <f t="shared" ca="1" si="37"/>
        <v>4433.3523069383073</v>
      </c>
    </row>
    <row r="279" spans="2:10" x14ac:dyDescent="0.35">
      <c r="B279" s="118">
        <f t="shared" ca="1" si="40"/>
        <v>0.57309870970745858</v>
      </c>
      <c r="C279" s="119">
        <f t="shared" ca="1" si="40"/>
        <v>-0.49695756354235027</v>
      </c>
      <c r="D279" s="118">
        <f t="shared" ca="1" si="31"/>
        <v>0.57309870970745858</v>
      </c>
      <c r="E279" s="119">
        <f t="shared" ca="1" si="32"/>
        <v>-0.37229723985671082</v>
      </c>
      <c r="F279" s="2">
        <f t="shared" ca="1" si="33"/>
        <v>0.05</v>
      </c>
      <c r="G279" s="2">
        <f t="shared" ca="1" si="34"/>
        <v>0.12</v>
      </c>
      <c r="H279" s="72">
        <f t="shared" ca="1" si="35"/>
        <v>3283.2251171200792</v>
      </c>
      <c r="I279" s="72">
        <f t="shared" ca="1" si="36"/>
        <v>1150.1271898182279</v>
      </c>
      <c r="J279" s="72">
        <f t="shared" ca="1" si="37"/>
        <v>4433.3523069383073</v>
      </c>
    </row>
    <row r="280" spans="2:10" x14ac:dyDescent="0.35">
      <c r="B280" s="118">
        <f t="shared" ca="1" si="40"/>
        <v>-1.9465503320034923</v>
      </c>
      <c r="C280" s="119">
        <f t="shared" ca="1" si="40"/>
        <v>0.15245382976570532</v>
      </c>
      <c r="D280" s="118">
        <f t="shared" ref="D280:D343" ca="1" si="41">+B280</f>
        <v>-1.9465503320034923</v>
      </c>
      <c r="E280" s="119">
        <f t="shared" ref="E280:E343" ca="1" si="42">+$C$21*B280+C280*(1-$C$21^2)^0.5</f>
        <v>-0.23993642949705532</v>
      </c>
      <c r="F280" s="2">
        <f t="shared" ref="F280:F343" ca="1" si="43">+IF(D280&lt;$I$17,$H$17,IF(D280&lt;$I$18,$H$18,IF(D280&lt;$I$19,$H$19,$H$20)))</f>
        <v>0.01</v>
      </c>
      <c r="G280" s="2">
        <f t="shared" ref="G280:G343" ca="1" si="44">+IF(E280&lt;$J$17,$H$17,IF(E280&lt;$J$18,$H$18,IF(E280&lt;$J$19,$H$19,$H$20)))</f>
        <v>0.12</v>
      </c>
      <c r="H280" s="72">
        <f t="shared" ref="H280:H343" ca="1" si="45">+IF(F280="D",0,$C$10+NPV($E$10+F280,$C$11:$C$13))</f>
        <v>3443.7147154459058</v>
      </c>
      <c r="I280" s="72">
        <f t="shared" ref="I280:I343" ca="1" si="46">+IF(G280="D",0,$D$10+NPV($E$10+G280,$D$11:$D$14))</f>
        <v>1150.1271898182279</v>
      </c>
      <c r="J280" s="72">
        <f t="shared" ref="J280:J343" ca="1" si="47">+I280+H280</f>
        <v>4593.8419052641339</v>
      </c>
    </row>
    <row r="281" spans="2:10" x14ac:dyDescent="0.35">
      <c r="B281" s="118">
        <f t="shared" ca="1" si="40"/>
        <v>-0.13373181839297654</v>
      </c>
      <c r="C281" s="119">
        <f t="shared" ca="1" si="40"/>
        <v>-0.24219853779670847</v>
      </c>
      <c r="D281" s="118">
        <f t="shared" ca="1" si="41"/>
        <v>-0.13373181839297654</v>
      </c>
      <c r="E281" s="119">
        <f t="shared" ca="1" si="42"/>
        <v>-0.2640514972986438</v>
      </c>
      <c r="F281" s="2">
        <f t="shared" ca="1" si="43"/>
        <v>0.05</v>
      </c>
      <c r="G281" s="2">
        <f t="shared" ca="1" si="44"/>
        <v>0.12</v>
      </c>
      <c r="H281" s="72">
        <f t="shared" ca="1" si="45"/>
        <v>3283.2251171200792</v>
      </c>
      <c r="I281" s="72">
        <f t="shared" ca="1" si="46"/>
        <v>1150.1271898182279</v>
      </c>
      <c r="J281" s="72">
        <f t="shared" ca="1" si="47"/>
        <v>4433.3523069383073</v>
      </c>
    </row>
    <row r="282" spans="2:10" x14ac:dyDescent="0.35">
      <c r="B282" s="118">
        <f t="shared" ca="1" si="40"/>
        <v>0.71379500760342596</v>
      </c>
      <c r="C282" s="119">
        <f t="shared" ca="1" si="40"/>
        <v>0.84453359749529944</v>
      </c>
      <c r="D282" s="118">
        <f t="shared" ca="1" si="41"/>
        <v>0.71379500760342596</v>
      </c>
      <c r="E282" s="119">
        <f t="shared" ca="1" si="42"/>
        <v>0.97022955532089039</v>
      </c>
      <c r="F282" s="2">
        <f t="shared" ca="1" si="43"/>
        <v>0.05</v>
      </c>
      <c r="G282" s="2" t="str">
        <f t="shared" ca="1" si="44"/>
        <v>D</v>
      </c>
      <c r="H282" s="72">
        <f t="shared" ca="1" si="45"/>
        <v>3283.2251171200792</v>
      </c>
      <c r="I282" s="72">
        <f t="shared" ca="1" si="46"/>
        <v>0</v>
      </c>
      <c r="J282" s="72">
        <f t="shared" ca="1" si="47"/>
        <v>3283.2251171200792</v>
      </c>
    </row>
    <row r="283" spans="2:10" x14ac:dyDescent="0.35">
      <c r="B283" s="118">
        <f t="shared" ca="1" si="40"/>
        <v>0.41484501263394596</v>
      </c>
      <c r="C283" s="119">
        <f t="shared" ca="1" si="40"/>
        <v>0.10270162749484088</v>
      </c>
      <c r="D283" s="118">
        <f t="shared" ca="1" si="41"/>
        <v>0.41484501263394596</v>
      </c>
      <c r="E283" s="119">
        <f t="shared" ca="1" si="42"/>
        <v>0.18359563577308982</v>
      </c>
      <c r="F283" s="2">
        <f t="shared" ca="1" si="43"/>
        <v>0.05</v>
      </c>
      <c r="G283" s="2">
        <f t="shared" ca="1" si="44"/>
        <v>0.12</v>
      </c>
      <c r="H283" s="72">
        <f t="shared" ca="1" si="45"/>
        <v>3283.2251171200792</v>
      </c>
      <c r="I283" s="72">
        <f t="shared" ca="1" si="46"/>
        <v>1150.1271898182279</v>
      </c>
      <c r="J283" s="72">
        <f t="shared" ca="1" si="47"/>
        <v>4433.3523069383073</v>
      </c>
    </row>
    <row r="284" spans="2:10" x14ac:dyDescent="0.35">
      <c r="B284" s="118">
        <f t="shared" ref="B284:C303" ca="1" si="48">NORMSINV(RAND())</f>
        <v>1.4144775057763925</v>
      </c>
      <c r="C284" s="119">
        <f t="shared" ca="1" si="48"/>
        <v>0.94272223044864201</v>
      </c>
      <c r="D284" s="118">
        <f t="shared" ca="1" si="41"/>
        <v>1.4144775057763925</v>
      </c>
      <c r="E284" s="119">
        <f t="shared" ca="1" si="42"/>
        <v>1.2065708746663297</v>
      </c>
      <c r="F284" s="2" t="str">
        <f t="shared" ca="1" si="43"/>
        <v>D</v>
      </c>
      <c r="G284" s="2" t="str">
        <f t="shared" ca="1" si="44"/>
        <v>D</v>
      </c>
      <c r="H284" s="72">
        <f t="shared" ca="1" si="45"/>
        <v>0</v>
      </c>
      <c r="I284" s="72">
        <f t="shared" ca="1" si="46"/>
        <v>0</v>
      </c>
      <c r="J284" s="72">
        <f t="shared" ca="1" si="47"/>
        <v>0</v>
      </c>
    </row>
    <row r="285" spans="2:10" x14ac:dyDescent="0.35">
      <c r="B285" s="118">
        <f t="shared" ca="1" si="48"/>
        <v>-1.1447976538166473</v>
      </c>
      <c r="C285" s="119">
        <f t="shared" ca="1" si="48"/>
        <v>-0.6474950653487217</v>
      </c>
      <c r="D285" s="118">
        <f t="shared" ca="1" si="41"/>
        <v>-1.1447976538166473</v>
      </c>
      <c r="E285" s="119">
        <f t="shared" ca="1" si="42"/>
        <v>-0.86337253919309642</v>
      </c>
      <c r="F285" s="2">
        <f t="shared" ca="1" si="43"/>
        <v>0.05</v>
      </c>
      <c r="G285" s="2">
        <f t="shared" ca="1" si="44"/>
        <v>0.05</v>
      </c>
      <c r="H285" s="72">
        <f t="shared" ca="1" si="45"/>
        <v>3283.2251171200792</v>
      </c>
      <c r="I285" s="72">
        <f t="shared" ca="1" si="46"/>
        <v>1342.7489181356559</v>
      </c>
      <c r="J285" s="72">
        <f t="shared" ca="1" si="47"/>
        <v>4625.9740352557346</v>
      </c>
    </row>
    <row r="286" spans="2:10" x14ac:dyDescent="0.35">
      <c r="B286" s="118">
        <f t="shared" ca="1" si="48"/>
        <v>0.54337593665406103</v>
      </c>
      <c r="C286" s="119">
        <f t="shared" ca="1" si="48"/>
        <v>0.38722015810748023</v>
      </c>
      <c r="D286" s="118">
        <f t="shared" ca="1" si="41"/>
        <v>0.54337593665406103</v>
      </c>
      <c r="E286" s="119">
        <f t="shared" ca="1" si="42"/>
        <v>0.48807190952407353</v>
      </c>
      <c r="F286" s="2">
        <f t="shared" ca="1" si="43"/>
        <v>0.05</v>
      </c>
      <c r="G286" s="2">
        <f t="shared" ca="1" si="44"/>
        <v>0.12</v>
      </c>
      <c r="H286" s="72">
        <f t="shared" ca="1" si="45"/>
        <v>3283.2251171200792</v>
      </c>
      <c r="I286" s="72">
        <f t="shared" ca="1" si="46"/>
        <v>1150.1271898182279</v>
      </c>
      <c r="J286" s="72">
        <f t="shared" ca="1" si="47"/>
        <v>4433.3523069383073</v>
      </c>
    </row>
    <row r="287" spans="2:10" x14ac:dyDescent="0.35">
      <c r="B287" s="118">
        <f t="shared" ca="1" si="48"/>
        <v>-0.64680596470764773</v>
      </c>
      <c r="C287" s="119">
        <f t="shared" ca="1" si="48"/>
        <v>0.47965934022259937</v>
      </c>
      <c r="D287" s="118">
        <f t="shared" ca="1" si="41"/>
        <v>-0.64680596470764773</v>
      </c>
      <c r="E287" s="119">
        <f t="shared" ca="1" si="42"/>
        <v>0.34060706062063195</v>
      </c>
      <c r="F287" s="2">
        <f t="shared" ca="1" si="43"/>
        <v>0.05</v>
      </c>
      <c r="G287" s="2">
        <f t="shared" ca="1" si="44"/>
        <v>0.12</v>
      </c>
      <c r="H287" s="72">
        <f t="shared" ca="1" si="45"/>
        <v>3283.2251171200792</v>
      </c>
      <c r="I287" s="72">
        <f t="shared" ca="1" si="46"/>
        <v>1150.1271898182279</v>
      </c>
      <c r="J287" s="72">
        <f t="shared" ca="1" si="47"/>
        <v>4433.3523069383073</v>
      </c>
    </row>
    <row r="288" spans="2:10" x14ac:dyDescent="0.35">
      <c r="B288" s="118">
        <f t="shared" ca="1" si="48"/>
        <v>-1.687101284723963</v>
      </c>
      <c r="C288" s="119">
        <f t="shared" ca="1" si="48"/>
        <v>0.12891681342349737</v>
      </c>
      <c r="D288" s="118">
        <f t="shared" ca="1" si="41"/>
        <v>-1.687101284723963</v>
      </c>
      <c r="E288" s="119">
        <f t="shared" ca="1" si="42"/>
        <v>-0.21110809208353279</v>
      </c>
      <c r="F288" s="2">
        <f t="shared" ca="1" si="43"/>
        <v>0.01</v>
      </c>
      <c r="G288" s="2">
        <f t="shared" ca="1" si="44"/>
        <v>0.12</v>
      </c>
      <c r="H288" s="72">
        <f t="shared" ca="1" si="45"/>
        <v>3443.7147154459058</v>
      </c>
      <c r="I288" s="72">
        <f t="shared" ca="1" si="46"/>
        <v>1150.1271898182279</v>
      </c>
      <c r="J288" s="72">
        <f t="shared" ca="1" si="47"/>
        <v>4593.8419052641339</v>
      </c>
    </row>
    <row r="289" spans="2:10" x14ac:dyDescent="0.35">
      <c r="B289" s="118">
        <f t="shared" ca="1" si="48"/>
        <v>1.3722587169194835</v>
      </c>
      <c r="C289" s="119">
        <f t="shared" ca="1" si="48"/>
        <v>-0.11588427339792104</v>
      </c>
      <c r="D289" s="118">
        <f t="shared" ca="1" si="41"/>
        <v>1.3722587169194835</v>
      </c>
      <c r="E289" s="119">
        <f t="shared" ca="1" si="42"/>
        <v>0.16090880776866107</v>
      </c>
      <c r="F289" s="2" t="str">
        <f t="shared" ca="1" si="43"/>
        <v>D</v>
      </c>
      <c r="G289" s="2">
        <f t="shared" ca="1" si="44"/>
        <v>0.12</v>
      </c>
      <c r="H289" s="72">
        <f t="shared" ca="1" si="45"/>
        <v>0</v>
      </c>
      <c r="I289" s="72">
        <f t="shared" ca="1" si="46"/>
        <v>1150.1271898182279</v>
      </c>
      <c r="J289" s="72">
        <f t="shared" ca="1" si="47"/>
        <v>1150.1271898182279</v>
      </c>
    </row>
    <row r="290" spans="2:10" x14ac:dyDescent="0.35">
      <c r="B290" s="118">
        <f t="shared" ca="1" si="48"/>
        <v>0.13440037508188002</v>
      </c>
      <c r="C290" s="119">
        <f t="shared" ca="1" si="48"/>
        <v>0.17077179031165929</v>
      </c>
      <c r="D290" s="118">
        <f t="shared" ca="1" si="41"/>
        <v>0.13440037508188002</v>
      </c>
      <c r="E290" s="119">
        <f t="shared" ca="1" si="42"/>
        <v>0.19420157450642767</v>
      </c>
      <c r="F290" s="2">
        <f t="shared" ca="1" si="43"/>
        <v>0.05</v>
      </c>
      <c r="G290" s="2">
        <f t="shared" ca="1" si="44"/>
        <v>0.12</v>
      </c>
      <c r="H290" s="72">
        <f t="shared" ca="1" si="45"/>
        <v>3283.2251171200792</v>
      </c>
      <c r="I290" s="72">
        <f t="shared" ca="1" si="46"/>
        <v>1150.1271898182279</v>
      </c>
      <c r="J290" s="72">
        <f t="shared" ca="1" si="47"/>
        <v>4433.3523069383073</v>
      </c>
    </row>
    <row r="291" spans="2:10" x14ac:dyDescent="0.35">
      <c r="B291" s="118">
        <f t="shared" ca="1" si="48"/>
        <v>-0.16051532429585672</v>
      </c>
      <c r="C291" s="119">
        <f t="shared" ca="1" si="48"/>
        <v>-0.33693525581642186</v>
      </c>
      <c r="D291" s="118">
        <f t="shared" ca="1" si="41"/>
        <v>-0.16051532429585672</v>
      </c>
      <c r="E291" s="119">
        <f t="shared" ca="1" si="42"/>
        <v>-0.36223084610091194</v>
      </c>
      <c r="F291" s="2">
        <f t="shared" ca="1" si="43"/>
        <v>0.05</v>
      </c>
      <c r="G291" s="2">
        <f t="shared" ca="1" si="44"/>
        <v>0.12</v>
      </c>
      <c r="H291" s="72">
        <f t="shared" ca="1" si="45"/>
        <v>3283.2251171200792</v>
      </c>
      <c r="I291" s="72">
        <f t="shared" ca="1" si="46"/>
        <v>1150.1271898182279</v>
      </c>
      <c r="J291" s="72">
        <f t="shared" ca="1" si="47"/>
        <v>4433.3523069383073</v>
      </c>
    </row>
    <row r="292" spans="2:10" x14ac:dyDescent="0.35">
      <c r="B292" s="118">
        <f t="shared" ca="1" si="48"/>
        <v>-0.19818407555671494</v>
      </c>
      <c r="C292" s="119">
        <f t="shared" ca="1" si="48"/>
        <v>-0.46957967633974124</v>
      </c>
      <c r="D292" s="118">
        <f t="shared" ca="1" si="41"/>
        <v>-0.19818407555671494</v>
      </c>
      <c r="E292" s="119">
        <f t="shared" ca="1" si="42"/>
        <v>-0.49972905535679929</v>
      </c>
      <c r="F292" s="2">
        <f t="shared" ca="1" si="43"/>
        <v>0.05</v>
      </c>
      <c r="G292" s="2">
        <f t="shared" ca="1" si="44"/>
        <v>0.12</v>
      </c>
      <c r="H292" s="72">
        <f t="shared" ca="1" si="45"/>
        <v>3283.2251171200792</v>
      </c>
      <c r="I292" s="72">
        <f t="shared" ca="1" si="46"/>
        <v>1150.1271898182279</v>
      </c>
      <c r="J292" s="72">
        <f t="shared" ca="1" si="47"/>
        <v>4433.3523069383073</v>
      </c>
    </row>
    <row r="293" spans="2:10" x14ac:dyDescent="0.35">
      <c r="B293" s="118">
        <f t="shared" ca="1" si="48"/>
        <v>-0.2820558449599177</v>
      </c>
      <c r="C293" s="119">
        <f t="shared" ca="1" si="48"/>
        <v>0.1460422794730615</v>
      </c>
      <c r="D293" s="118">
        <f t="shared" ca="1" si="41"/>
        <v>-0.2820558449599177</v>
      </c>
      <c r="E293" s="119">
        <f t="shared" ca="1" si="42"/>
        <v>8.6680457240791819E-2</v>
      </c>
      <c r="F293" s="2">
        <f t="shared" ca="1" si="43"/>
        <v>0.05</v>
      </c>
      <c r="G293" s="2">
        <f t="shared" ca="1" si="44"/>
        <v>0.12</v>
      </c>
      <c r="H293" s="72">
        <f t="shared" ca="1" si="45"/>
        <v>3283.2251171200792</v>
      </c>
      <c r="I293" s="72">
        <f t="shared" ca="1" si="46"/>
        <v>1150.1271898182279</v>
      </c>
      <c r="J293" s="72">
        <f t="shared" ca="1" si="47"/>
        <v>4433.3523069383073</v>
      </c>
    </row>
    <row r="294" spans="2:10" x14ac:dyDescent="0.35">
      <c r="B294" s="118">
        <f t="shared" ca="1" si="48"/>
        <v>5.941414252735415E-2</v>
      </c>
      <c r="C294" s="119">
        <f t="shared" ca="1" si="48"/>
        <v>-0.31285319887981644</v>
      </c>
      <c r="D294" s="118">
        <f t="shared" ca="1" si="41"/>
        <v>5.941414252735415E-2</v>
      </c>
      <c r="E294" s="119">
        <f t="shared" ca="1" si="42"/>
        <v>-0.29464945215573557</v>
      </c>
      <c r="F294" s="2">
        <f t="shared" ca="1" si="43"/>
        <v>0.05</v>
      </c>
      <c r="G294" s="2">
        <f t="shared" ca="1" si="44"/>
        <v>0.12</v>
      </c>
      <c r="H294" s="72">
        <f t="shared" ca="1" si="45"/>
        <v>3283.2251171200792</v>
      </c>
      <c r="I294" s="72">
        <f t="shared" ca="1" si="46"/>
        <v>1150.1271898182279</v>
      </c>
      <c r="J294" s="72">
        <f t="shared" ca="1" si="47"/>
        <v>4433.3523069383073</v>
      </c>
    </row>
    <row r="295" spans="2:10" x14ac:dyDescent="0.35">
      <c r="B295" s="118">
        <f t="shared" ca="1" si="48"/>
        <v>8.9919911677563122E-2</v>
      </c>
      <c r="C295" s="119">
        <f t="shared" ca="1" si="48"/>
        <v>-0.96046263103688423</v>
      </c>
      <c r="D295" s="118">
        <f t="shared" ca="1" si="41"/>
        <v>8.9919911677563122E-2</v>
      </c>
      <c r="E295" s="119">
        <f t="shared" ca="1" si="42"/>
        <v>-0.92307336288504416</v>
      </c>
      <c r="F295" s="2">
        <f t="shared" ca="1" si="43"/>
        <v>0.05</v>
      </c>
      <c r="G295" s="2">
        <f t="shared" ca="1" si="44"/>
        <v>0.05</v>
      </c>
      <c r="H295" s="72">
        <f t="shared" ca="1" si="45"/>
        <v>3283.2251171200792</v>
      </c>
      <c r="I295" s="72">
        <f t="shared" ca="1" si="46"/>
        <v>1342.7489181356559</v>
      </c>
      <c r="J295" s="72">
        <f t="shared" ca="1" si="47"/>
        <v>4625.9740352557346</v>
      </c>
    </row>
    <row r="296" spans="2:10" x14ac:dyDescent="0.35">
      <c r="B296" s="118">
        <f t="shared" ca="1" si="48"/>
        <v>-0.5957817388042983</v>
      </c>
      <c r="C296" s="119">
        <f t="shared" ca="1" si="48"/>
        <v>-0.67622319204197712</v>
      </c>
      <c r="D296" s="118">
        <f t="shared" ca="1" si="41"/>
        <v>-0.5957817388042983</v>
      </c>
      <c r="E296" s="119">
        <f t="shared" ca="1" si="42"/>
        <v>-0.78171705685642856</v>
      </c>
      <c r="F296" s="2">
        <f t="shared" ca="1" si="43"/>
        <v>0.05</v>
      </c>
      <c r="G296" s="2">
        <f t="shared" ca="1" si="44"/>
        <v>0.12</v>
      </c>
      <c r="H296" s="72">
        <f t="shared" ca="1" si="45"/>
        <v>3283.2251171200792</v>
      </c>
      <c r="I296" s="72">
        <f t="shared" ca="1" si="46"/>
        <v>1150.1271898182279</v>
      </c>
      <c r="J296" s="72">
        <f t="shared" ca="1" si="47"/>
        <v>4433.3523069383073</v>
      </c>
    </row>
    <row r="297" spans="2:10" x14ac:dyDescent="0.35">
      <c r="B297" s="118">
        <f t="shared" ca="1" si="48"/>
        <v>0.28137006169440965</v>
      </c>
      <c r="C297" s="119">
        <f t="shared" ca="1" si="48"/>
        <v>-1.3839474073603595E-2</v>
      </c>
      <c r="D297" s="118">
        <f t="shared" ca="1" si="41"/>
        <v>0.28137006169440965</v>
      </c>
      <c r="E297" s="119">
        <f t="shared" ca="1" si="42"/>
        <v>4.2714152423359644E-2</v>
      </c>
      <c r="F297" s="2">
        <f t="shared" ca="1" si="43"/>
        <v>0.05</v>
      </c>
      <c r="G297" s="2">
        <f t="shared" ca="1" si="44"/>
        <v>0.12</v>
      </c>
      <c r="H297" s="72">
        <f t="shared" ca="1" si="45"/>
        <v>3283.2251171200792</v>
      </c>
      <c r="I297" s="72">
        <f t="shared" ca="1" si="46"/>
        <v>1150.1271898182279</v>
      </c>
      <c r="J297" s="72">
        <f t="shared" ca="1" si="47"/>
        <v>4433.3523069383073</v>
      </c>
    </row>
    <row r="298" spans="2:10" x14ac:dyDescent="0.35">
      <c r="B298" s="118">
        <f t="shared" ca="1" si="48"/>
        <v>0.3755228245133681</v>
      </c>
      <c r="C298" s="119">
        <f t="shared" ca="1" si="48"/>
        <v>0.57154946635445003</v>
      </c>
      <c r="D298" s="118">
        <f t="shared" ca="1" si="41"/>
        <v>0.3755228245133681</v>
      </c>
      <c r="E298" s="119">
        <f t="shared" ca="1" si="42"/>
        <v>0.63510638703404332</v>
      </c>
      <c r="F298" s="2">
        <f t="shared" ca="1" si="43"/>
        <v>0.05</v>
      </c>
      <c r="G298" s="2">
        <f t="shared" ca="1" si="44"/>
        <v>0.12</v>
      </c>
      <c r="H298" s="72">
        <f t="shared" ca="1" si="45"/>
        <v>3283.2251171200792</v>
      </c>
      <c r="I298" s="72">
        <f t="shared" ca="1" si="46"/>
        <v>1150.1271898182279</v>
      </c>
      <c r="J298" s="72">
        <f t="shared" ca="1" si="47"/>
        <v>4433.3523069383073</v>
      </c>
    </row>
    <row r="299" spans="2:10" x14ac:dyDescent="0.35">
      <c r="B299" s="118">
        <f t="shared" ca="1" si="48"/>
        <v>-0.3005527765944373</v>
      </c>
      <c r="C299" s="119">
        <f t="shared" ca="1" si="48"/>
        <v>-0.49544286955512856</v>
      </c>
      <c r="D299" s="118">
        <f t="shared" ca="1" si="41"/>
        <v>-0.3005527765944373</v>
      </c>
      <c r="E299" s="119">
        <f t="shared" ca="1" si="42"/>
        <v>-0.54554344616302808</v>
      </c>
      <c r="F299" s="2">
        <f t="shared" ca="1" si="43"/>
        <v>0.05</v>
      </c>
      <c r="G299" s="2">
        <f t="shared" ca="1" si="44"/>
        <v>0.12</v>
      </c>
      <c r="H299" s="72">
        <f t="shared" ca="1" si="45"/>
        <v>3283.2251171200792</v>
      </c>
      <c r="I299" s="72">
        <f t="shared" ca="1" si="46"/>
        <v>1150.1271898182279</v>
      </c>
      <c r="J299" s="72">
        <f t="shared" ca="1" si="47"/>
        <v>4433.3523069383073</v>
      </c>
    </row>
    <row r="300" spans="2:10" x14ac:dyDescent="0.35">
      <c r="B300" s="118">
        <f t="shared" ca="1" si="48"/>
        <v>-0.15258337403349312</v>
      </c>
      <c r="C300" s="119">
        <f t="shared" ca="1" si="48"/>
        <v>-0.98607803108625791</v>
      </c>
      <c r="D300" s="118">
        <f t="shared" ca="1" si="41"/>
        <v>-0.15258337403349312</v>
      </c>
      <c r="E300" s="119">
        <f t="shared" ca="1" si="42"/>
        <v>-0.99667188389854677</v>
      </c>
      <c r="F300" s="2">
        <f t="shared" ca="1" si="43"/>
        <v>0.05</v>
      </c>
      <c r="G300" s="2">
        <f t="shared" ca="1" si="44"/>
        <v>0.05</v>
      </c>
      <c r="H300" s="72">
        <f t="shared" ca="1" si="45"/>
        <v>3283.2251171200792</v>
      </c>
      <c r="I300" s="72">
        <f t="shared" ca="1" si="46"/>
        <v>1342.7489181356559</v>
      </c>
      <c r="J300" s="72">
        <f t="shared" ca="1" si="47"/>
        <v>4625.9740352557346</v>
      </c>
    </row>
    <row r="301" spans="2:10" x14ac:dyDescent="0.35">
      <c r="B301" s="118">
        <f t="shared" ca="1" si="48"/>
        <v>0.13552405383297594</v>
      </c>
      <c r="C301" s="119">
        <f t="shared" ca="1" si="48"/>
        <v>1.7017525286334301</v>
      </c>
      <c r="D301" s="118">
        <f t="shared" ca="1" si="41"/>
        <v>0.13552405383297594</v>
      </c>
      <c r="E301" s="119">
        <f t="shared" ca="1" si="42"/>
        <v>1.6944749562237647</v>
      </c>
      <c r="F301" s="2">
        <f t="shared" ca="1" si="43"/>
        <v>0.05</v>
      </c>
      <c r="G301" s="2" t="str">
        <f t="shared" ca="1" si="44"/>
        <v>D</v>
      </c>
      <c r="H301" s="72">
        <f t="shared" ca="1" si="45"/>
        <v>3283.2251171200792</v>
      </c>
      <c r="I301" s="72">
        <f t="shared" ca="1" si="46"/>
        <v>0</v>
      </c>
      <c r="J301" s="72">
        <f t="shared" ca="1" si="47"/>
        <v>3283.2251171200792</v>
      </c>
    </row>
    <row r="302" spans="2:10" x14ac:dyDescent="0.35">
      <c r="B302" s="118">
        <f t="shared" ca="1" si="48"/>
        <v>1.1430122175456836</v>
      </c>
      <c r="C302" s="119">
        <f t="shared" ca="1" si="48"/>
        <v>-0.87857331173130393</v>
      </c>
      <c r="D302" s="118">
        <f t="shared" ca="1" si="41"/>
        <v>1.1430122175456836</v>
      </c>
      <c r="E302" s="119">
        <f t="shared" ca="1" si="42"/>
        <v>-0.63222008263841389</v>
      </c>
      <c r="F302" s="2">
        <f t="shared" ca="1" si="43"/>
        <v>0.12</v>
      </c>
      <c r="G302" s="2">
        <f t="shared" ca="1" si="44"/>
        <v>0.12</v>
      </c>
      <c r="H302" s="72">
        <f t="shared" ca="1" si="45"/>
        <v>3042.2414210881088</v>
      </c>
      <c r="I302" s="72">
        <f t="shared" ca="1" si="46"/>
        <v>1150.1271898182279</v>
      </c>
      <c r="J302" s="72">
        <f t="shared" ca="1" si="47"/>
        <v>4192.3686109063365</v>
      </c>
    </row>
    <row r="303" spans="2:10" x14ac:dyDescent="0.35">
      <c r="B303" s="118">
        <f t="shared" ca="1" si="48"/>
        <v>-0.58314661817322433</v>
      </c>
      <c r="C303" s="119">
        <f t="shared" ca="1" si="48"/>
        <v>-0.82172947978198141</v>
      </c>
      <c r="D303" s="118">
        <f t="shared" ca="1" si="41"/>
        <v>-0.58314661817322433</v>
      </c>
      <c r="E303" s="119">
        <f t="shared" ca="1" si="42"/>
        <v>-0.92175649646205293</v>
      </c>
      <c r="F303" s="2">
        <f t="shared" ca="1" si="43"/>
        <v>0.05</v>
      </c>
      <c r="G303" s="2">
        <f t="shared" ca="1" si="44"/>
        <v>0.05</v>
      </c>
      <c r="H303" s="72">
        <f t="shared" ca="1" si="45"/>
        <v>3283.2251171200792</v>
      </c>
      <c r="I303" s="72">
        <f t="shared" ca="1" si="46"/>
        <v>1342.7489181356559</v>
      </c>
      <c r="J303" s="72">
        <f t="shared" ca="1" si="47"/>
        <v>4625.9740352557346</v>
      </c>
    </row>
    <row r="304" spans="2:10" x14ac:dyDescent="0.35">
      <c r="B304" s="118">
        <f t="shared" ref="B304:C323" ca="1" si="49">NORMSINV(RAND())</f>
        <v>-2.2638027267236871</v>
      </c>
      <c r="C304" s="119">
        <f t="shared" ca="1" si="49"/>
        <v>0.70554810054126482</v>
      </c>
      <c r="D304" s="118">
        <f t="shared" ca="1" si="41"/>
        <v>-2.2638027267236871</v>
      </c>
      <c r="E304" s="119">
        <f t="shared" ca="1" si="42"/>
        <v>0.23853258878165562</v>
      </c>
      <c r="F304" s="2">
        <f t="shared" ca="1" si="43"/>
        <v>0.01</v>
      </c>
      <c r="G304" s="2">
        <f t="shared" ca="1" si="44"/>
        <v>0.12</v>
      </c>
      <c r="H304" s="72">
        <f t="shared" ca="1" si="45"/>
        <v>3443.7147154459058</v>
      </c>
      <c r="I304" s="72">
        <f t="shared" ca="1" si="46"/>
        <v>1150.1271898182279</v>
      </c>
      <c r="J304" s="72">
        <f t="shared" ca="1" si="47"/>
        <v>4593.8419052641339</v>
      </c>
    </row>
    <row r="305" spans="2:10" x14ac:dyDescent="0.35">
      <c r="B305" s="118">
        <f t="shared" ca="1" si="49"/>
        <v>-0.15472626062777475</v>
      </c>
      <c r="C305" s="119">
        <f t="shared" ca="1" si="49"/>
        <v>-0.52809427830226274</v>
      </c>
      <c r="D305" s="118">
        <f t="shared" ca="1" si="41"/>
        <v>-0.15472626062777475</v>
      </c>
      <c r="E305" s="119">
        <f t="shared" ca="1" si="42"/>
        <v>-0.54836985929510607</v>
      </c>
      <c r="F305" s="2">
        <f t="shared" ca="1" si="43"/>
        <v>0.05</v>
      </c>
      <c r="G305" s="2">
        <f t="shared" ca="1" si="44"/>
        <v>0.12</v>
      </c>
      <c r="H305" s="72">
        <f t="shared" ca="1" si="45"/>
        <v>3283.2251171200792</v>
      </c>
      <c r="I305" s="72">
        <f t="shared" ca="1" si="46"/>
        <v>1150.1271898182279</v>
      </c>
      <c r="J305" s="72">
        <f t="shared" ca="1" si="47"/>
        <v>4433.3523069383073</v>
      </c>
    </row>
    <row r="306" spans="2:10" x14ac:dyDescent="0.35">
      <c r="B306" s="118">
        <f t="shared" ca="1" si="49"/>
        <v>1.8569616949713317</v>
      </c>
      <c r="C306" s="119">
        <f t="shared" ca="1" si="49"/>
        <v>1.0261135410692035</v>
      </c>
      <c r="D306" s="118">
        <f t="shared" ca="1" si="41"/>
        <v>1.8569616949713317</v>
      </c>
      <c r="E306" s="119">
        <f t="shared" ca="1" si="42"/>
        <v>1.376774176506242</v>
      </c>
      <c r="F306" s="2" t="str">
        <f t="shared" ca="1" si="43"/>
        <v>D</v>
      </c>
      <c r="G306" s="2" t="str">
        <f t="shared" ca="1" si="44"/>
        <v>D</v>
      </c>
      <c r="H306" s="72">
        <f t="shared" ca="1" si="45"/>
        <v>0</v>
      </c>
      <c r="I306" s="72">
        <f t="shared" ca="1" si="46"/>
        <v>0</v>
      </c>
      <c r="J306" s="72">
        <f t="shared" ca="1" si="47"/>
        <v>0</v>
      </c>
    </row>
    <row r="307" spans="2:10" x14ac:dyDescent="0.35">
      <c r="B307" s="118">
        <f t="shared" ca="1" si="49"/>
        <v>1.3899400173289198</v>
      </c>
      <c r="C307" s="119">
        <f t="shared" ca="1" si="49"/>
        <v>-0.14678167544451859</v>
      </c>
      <c r="D307" s="118">
        <f t="shared" ca="1" si="41"/>
        <v>1.3899400173289198</v>
      </c>
      <c r="E307" s="119">
        <f t="shared" ca="1" si="42"/>
        <v>0.13417192009383286</v>
      </c>
      <c r="F307" s="2" t="str">
        <f t="shared" ca="1" si="43"/>
        <v>D</v>
      </c>
      <c r="G307" s="2">
        <f t="shared" ca="1" si="44"/>
        <v>0.12</v>
      </c>
      <c r="H307" s="72">
        <f t="shared" ca="1" si="45"/>
        <v>0</v>
      </c>
      <c r="I307" s="72">
        <f t="shared" ca="1" si="46"/>
        <v>1150.1271898182279</v>
      </c>
      <c r="J307" s="72">
        <f t="shared" ca="1" si="47"/>
        <v>1150.1271898182279</v>
      </c>
    </row>
    <row r="308" spans="2:10" x14ac:dyDescent="0.35">
      <c r="B308" s="118">
        <f t="shared" ca="1" si="49"/>
        <v>1.4878683887707762</v>
      </c>
      <c r="C308" s="119">
        <f t="shared" ca="1" si="49"/>
        <v>-0.62282378237053171</v>
      </c>
      <c r="D308" s="118">
        <f t="shared" ca="1" si="41"/>
        <v>1.4878683887707762</v>
      </c>
      <c r="E308" s="119">
        <f t="shared" ca="1" si="42"/>
        <v>-0.31266650883706065</v>
      </c>
      <c r="F308" s="2" t="str">
        <f t="shared" ca="1" si="43"/>
        <v>D</v>
      </c>
      <c r="G308" s="2">
        <f t="shared" ca="1" si="44"/>
        <v>0.12</v>
      </c>
      <c r="H308" s="72">
        <f t="shared" ca="1" si="45"/>
        <v>0</v>
      </c>
      <c r="I308" s="72">
        <f t="shared" ca="1" si="46"/>
        <v>1150.1271898182279</v>
      </c>
      <c r="J308" s="72">
        <f t="shared" ca="1" si="47"/>
        <v>1150.1271898182279</v>
      </c>
    </row>
    <row r="309" spans="2:10" x14ac:dyDescent="0.35">
      <c r="B309" s="118">
        <f t="shared" ca="1" si="49"/>
        <v>-0.77182654043852594</v>
      </c>
      <c r="C309" s="119">
        <f t="shared" ca="1" si="49"/>
        <v>0.63456909263817285</v>
      </c>
      <c r="D309" s="118">
        <f t="shared" ca="1" si="41"/>
        <v>-0.77182654043852594</v>
      </c>
      <c r="E309" s="119">
        <f t="shared" ca="1" si="42"/>
        <v>0.46738288531406791</v>
      </c>
      <c r="F309" s="2">
        <f t="shared" ca="1" si="43"/>
        <v>0.05</v>
      </c>
      <c r="G309" s="2">
        <f t="shared" ca="1" si="44"/>
        <v>0.12</v>
      </c>
      <c r="H309" s="72">
        <f t="shared" ca="1" si="45"/>
        <v>3283.2251171200792</v>
      </c>
      <c r="I309" s="72">
        <f t="shared" ca="1" si="46"/>
        <v>1150.1271898182279</v>
      </c>
      <c r="J309" s="72">
        <f t="shared" ca="1" si="47"/>
        <v>4433.3523069383073</v>
      </c>
    </row>
    <row r="310" spans="2:10" x14ac:dyDescent="0.35">
      <c r="B310" s="118">
        <f t="shared" ca="1" si="49"/>
        <v>-0.91395558938234978</v>
      </c>
      <c r="C310" s="119">
        <f t="shared" ca="1" si="49"/>
        <v>2.4785364922986268</v>
      </c>
      <c r="D310" s="118">
        <f t="shared" ca="1" si="41"/>
        <v>-0.91395558938234978</v>
      </c>
      <c r="E310" s="119">
        <f t="shared" ca="1" si="42"/>
        <v>2.2456687681232435</v>
      </c>
      <c r="F310" s="2">
        <f t="shared" ca="1" si="43"/>
        <v>0.05</v>
      </c>
      <c r="G310" s="2" t="str">
        <f t="shared" ca="1" si="44"/>
        <v>D</v>
      </c>
      <c r="H310" s="72">
        <f t="shared" ca="1" si="45"/>
        <v>3283.2251171200792</v>
      </c>
      <c r="I310" s="72">
        <f t="shared" ca="1" si="46"/>
        <v>0</v>
      </c>
      <c r="J310" s="72">
        <f t="shared" ca="1" si="47"/>
        <v>3283.2251171200792</v>
      </c>
    </row>
    <row r="311" spans="2:10" x14ac:dyDescent="0.35">
      <c r="B311" s="118">
        <f t="shared" ca="1" si="49"/>
        <v>-0.42247261018133708</v>
      </c>
      <c r="C311" s="119">
        <f t="shared" ca="1" si="49"/>
        <v>-0.31357854146765507</v>
      </c>
      <c r="D311" s="118">
        <f t="shared" ca="1" si="41"/>
        <v>-0.42247261018133708</v>
      </c>
      <c r="E311" s="119">
        <f t="shared" ca="1" si="42"/>
        <v>-0.3917374903890396</v>
      </c>
      <c r="F311" s="2">
        <f t="shared" ca="1" si="43"/>
        <v>0.05</v>
      </c>
      <c r="G311" s="2">
        <f t="shared" ca="1" si="44"/>
        <v>0.12</v>
      </c>
      <c r="H311" s="72">
        <f t="shared" ca="1" si="45"/>
        <v>3283.2251171200792</v>
      </c>
      <c r="I311" s="72">
        <f t="shared" ca="1" si="46"/>
        <v>1150.1271898182279</v>
      </c>
      <c r="J311" s="72">
        <f t="shared" ca="1" si="47"/>
        <v>4433.3523069383073</v>
      </c>
    </row>
    <row r="312" spans="2:10" x14ac:dyDescent="0.35">
      <c r="B312" s="118">
        <f t="shared" ca="1" si="49"/>
        <v>-0.20400780191127416</v>
      </c>
      <c r="C312" s="119">
        <f t="shared" ca="1" si="49"/>
        <v>0.90935320360243022</v>
      </c>
      <c r="D312" s="118">
        <f t="shared" ca="1" si="41"/>
        <v>-0.20400780191127416</v>
      </c>
      <c r="E312" s="119">
        <f t="shared" ca="1" si="42"/>
        <v>0.85017897753421545</v>
      </c>
      <c r="F312" s="2">
        <f t="shared" ca="1" si="43"/>
        <v>0.05</v>
      </c>
      <c r="G312" s="2" t="str">
        <f t="shared" ca="1" si="44"/>
        <v>D</v>
      </c>
      <c r="H312" s="72">
        <f t="shared" ca="1" si="45"/>
        <v>3283.2251171200792</v>
      </c>
      <c r="I312" s="72">
        <f t="shared" ca="1" si="46"/>
        <v>0</v>
      </c>
      <c r="J312" s="72">
        <f t="shared" ca="1" si="47"/>
        <v>3283.2251171200792</v>
      </c>
    </row>
    <row r="313" spans="2:10" x14ac:dyDescent="0.35">
      <c r="B313" s="118">
        <f t="shared" ca="1" si="49"/>
        <v>0.39934478665596596</v>
      </c>
      <c r="C313" s="119">
        <f t="shared" ca="1" si="49"/>
        <v>0.71606838403942508</v>
      </c>
      <c r="D313" s="118">
        <f t="shared" ca="1" si="41"/>
        <v>0.39934478665596596</v>
      </c>
      <c r="E313" s="119">
        <f t="shared" ca="1" si="42"/>
        <v>0.78146982206555204</v>
      </c>
      <c r="F313" s="2">
        <f t="shared" ca="1" si="43"/>
        <v>0.05</v>
      </c>
      <c r="G313" s="2">
        <f t="shared" ca="1" si="44"/>
        <v>0.12</v>
      </c>
      <c r="H313" s="72">
        <f t="shared" ca="1" si="45"/>
        <v>3283.2251171200792</v>
      </c>
      <c r="I313" s="72">
        <f t="shared" ca="1" si="46"/>
        <v>1150.1271898182279</v>
      </c>
      <c r="J313" s="72">
        <f t="shared" ca="1" si="47"/>
        <v>4433.3523069383073</v>
      </c>
    </row>
    <row r="314" spans="2:10" x14ac:dyDescent="0.35">
      <c r="B314" s="118">
        <f t="shared" ca="1" si="49"/>
        <v>2.8440749912524335</v>
      </c>
      <c r="C314" s="119">
        <f t="shared" ca="1" si="49"/>
        <v>0.69708189673774024</v>
      </c>
      <c r="D314" s="118">
        <f t="shared" ca="1" si="41"/>
        <v>2.8440749912524335</v>
      </c>
      <c r="E314" s="119">
        <f t="shared" ca="1" si="42"/>
        <v>1.2518129806260616</v>
      </c>
      <c r="F314" s="2" t="str">
        <f t="shared" ca="1" si="43"/>
        <v>D</v>
      </c>
      <c r="G314" s="2" t="str">
        <f t="shared" ca="1" si="44"/>
        <v>D</v>
      </c>
      <c r="H314" s="72">
        <f t="shared" ca="1" si="45"/>
        <v>0</v>
      </c>
      <c r="I314" s="72">
        <f t="shared" ca="1" si="46"/>
        <v>0</v>
      </c>
      <c r="J314" s="72">
        <f t="shared" ca="1" si="47"/>
        <v>0</v>
      </c>
    </row>
    <row r="315" spans="2:10" x14ac:dyDescent="0.35">
      <c r="B315" s="118">
        <f t="shared" ca="1" si="49"/>
        <v>0.23748523519098472</v>
      </c>
      <c r="C315" s="119">
        <f t="shared" ca="1" si="49"/>
        <v>0.48105406204607037</v>
      </c>
      <c r="D315" s="118">
        <f t="shared" ca="1" si="41"/>
        <v>0.23748523519098472</v>
      </c>
      <c r="E315" s="119">
        <f t="shared" ca="1" si="42"/>
        <v>0.51883184332060972</v>
      </c>
      <c r="F315" s="2">
        <f t="shared" ca="1" si="43"/>
        <v>0.05</v>
      </c>
      <c r="G315" s="2">
        <f t="shared" ca="1" si="44"/>
        <v>0.12</v>
      </c>
      <c r="H315" s="72">
        <f t="shared" ca="1" si="45"/>
        <v>3283.2251171200792</v>
      </c>
      <c r="I315" s="72">
        <f t="shared" ca="1" si="46"/>
        <v>1150.1271898182279</v>
      </c>
      <c r="J315" s="72">
        <f t="shared" ca="1" si="47"/>
        <v>4433.3523069383073</v>
      </c>
    </row>
    <row r="316" spans="2:10" x14ac:dyDescent="0.35">
      <c r="B316" s="118">
        <f t="shared" ca="1" si="49"/>
        <v>0.5599496578762333</v>
      </c>
      <c r="C316" s="119">
        <f t="shared" ca="1" si="49"/>
        <v>-0.58077087838649366</v>
      </c>
      <c r="D316" s="118">
        <f t="shared" ca="1" si="41"/>
        <v>0.5599496578762333</v>
      </c>
      <c r="E316" s="119">
        <f t="shared" ca="1" si="42"/>
        <v>-0.45704699223071038</v>
      </c>
      <c r="F316" s="2">
        <f t="shared" ca="1" si="43"/>
        <v>0.05</v>
      </c>
      <c r="G316" s="2">
        <f t="shared" ca="1" si="44"/>
        <v>0.12</v>
      </c>
      <c r="H316" s="72">
        <f t="shared" ca="1" si="45"/>
        <v>3283.2251171200792</v>
      </c>
      <c r="I316" s="72">
        <f t="shared" ca="1" si="46"/>
        <v>1150.1271898182279</v>
      </c>
      <c r="J316" s="72">
        <f t="shared" ca="1" si="47"/>
        <v>4433.3523069383073</v>
      </c>
    </row>
    <row r="317" spans="2:10" x14ac:dyDescent="0.35">
      <c r="B317" s="118">
        <f t="shared" ca="1" si="49"/>
        <v>-1.0332954721363095</v>
      </c>
      <c r="C317" s="119">
        <f t="shared" ca="1" si="49"/>
        <v>-0.49726071037966224</v>
      </c>
      <c r="D317" s="118">
        <f t="shared" ca="1" si="41"/>
        <v>-1.0332954721363095</v>
      </c>
      <c r="E317" s="119">
        <f t="shared" ca="1" si="42"/>
        <v>-0.69387309825288557</v>
      </c>
      <c r="F317" s="2">
        <f t="shared" ca="1" si="43"/>
        <v>0.05</v>
      </c>
      <c r="G317" s="2">
        <f t="shared" ca="1" si="44"/>
        <v>0.12</v>
      </c>
      <c r="H317" s="72">
        <f t="shared" ca="1" si="45"/>
        <v>3283.2251171200792</v>
      </c>
      <c r="I317" s="72">
        <f t="shared" ca="1" si="46"/>
        <v>1150.1271898182279</v>
      </c>
      <c r="J317" s="72">
        <f t="shared" ca="1" si="47"/>
        <v>4433.3523069383073</v>
      </c>
    </row>
    <row r="318" spans="2:10" x14ac:dyDescent="0.35">
      <c r="B318" s="118">
        <f t="shared" ca="1" si="49"/>
        <v>0.88488120790795777</v>
      </c>
      <c r="C318" s="119">
        <f t="shared" ca="1" si="49"/>
        <v>-0.35062430796201483</v>
      </c>
      <c r="D318" s="118">
        <f t="shared" ca="1" si="41"/>
        <v>0.88488120790795777</v>
      </c>
      <c r="E318" s="119">
        <f t="shared" ca="1" si="42"/>
        <v>-0.16656401678777064</v>
      </c>
      <c r="F318" s="2">
        <f t="shared" ca="1" si="43"/>
        <v>0.12</v>
      </c>
      <c r="G318" s="2">
        <f t="shared" ca="1" si="44"/>
        <v>0.12</v>
      </c>
      <c r="H318" s="72">
        <f t="shared" ca="1" si="45"/>
        <v>3042.2414210881088</v>
      </c>
      <c r="I318" s="72">
        <f t="shared" ca="1" si="46"/>
        <v>1150.1271898182279</v>
      </c>
      <c r="J318" s="72">
        <f t="shared" ca="1" si="47"/>
        <v>4192.3686109063365</v>
      </c>
    </row>
    <row r="319" spans="2:10" x14ac:dyDescent="0.35">
      <c r="B319" s="118">
        <f t="shared" ca="1" si="49"/>
        <v>-0.26270431705464642</v>
      </c>
      <c r="C319" s="119">
        <f t="shared" ca="1" si="49"/>
        <v>-1.6960355251439334</v>
      </c>
      <c r="D319" s="118">
        <f t="shared" ca="1" si="41"/>
        <v>-0.26270431705464642</v>
      </c>
      <c r="E319" s="119">
        <f t="shared" ca="1" si="42"/>
        <v>-1.7143095123053076</v>
      </c>
      <c r="F319" s="2">
        <f t="shared" ca="1" si="43"/>
        <v>0.05</v>
      </c>
      <c r="G319" s="2">
        <f t="shared" ca="1" si="44"/>
        <v>0.01</v>
      </c>
      <c r="H319" s="72">
        <f t="shared" ca="1" si="45"/>
        <v>3283.2251171200792</v>
      </c>
      <c r="I319" s="72">
        <f t="shared" ca="1" si="46"/>
        <v>1479.2201120631812</v>
      </c>
      <c r="J319" s="72">
        <f t="shared" ca="1" si="47"/>
        <v>4762.4452291832604</v>
      </c>
    </row>
    <row r="320" spans="2:10" x14ac:dyDescent="0.35">
      <c r="B320" s="118">
        <f t="shared" ca="1" si="49"/>
        <v>-1.5028210597763956</v>
      </c>
      <c r="C320" s="119">
        <f t="shared" ca="1" si="49"/>
        <v>-0.38690888722310929</v>
      </c>
      <c r="D320" s="118">
        <f t="shared" ca="1" si="41"/>
        <v>-1.5028210597763956</v>
      </c>
      <c r="E320" s="119">
        <f t="shared" ca="1" si="42"/>
        <v>-0.67965595221314301</v>
      </c>
      <c r="F320" s="2">
        <f t="shared" ca="1" si="43"/>
        <v>0.01</v>
      </c>
      <c r="G320" s="2">
        <f t="shared" ca="1" si="44"/>
        <v>0.12</v>
      </c>
      <c r="H320" s="72">
        <f t="shared" ca="1" si="45"/>
        <v>3443.7147154459058</v>
      </c>
      <c r="I320" s="72">
        <f t="shared" ca="1" si="46"/>
        <v>1150.1271898182279</v>
      </c>
      <c r="J320" s="72">
        <f t="shared" ca="1" si="47"/>
        <v>4593.8419052641339</v>
      </c>
    </row>
    <row r="321" spans="2:10" x14ac:dyDescent="0.35">
      <c r="B321" s="118">
        <f t="shared" ca="1" si="49"/>
        <v>-1.1158413474663615</v>
      </c>
      <c r="C321" s="119">
        <f t="shared" ca="1" si="49"/>
        <v>-0.58557356379818859</v>
      </c>
      <c r="D321" s="118">
        <f t="shared" ca="1" si="41"/>
        <v>-1.1158413474663615</v>
      </c>
      <c r="E321" s="119">
        <f t="shared" ca="1" si="42"/>
        <v>-0.79691084476073382</v>
      </c>
      <c r="F321" s="2">
        <f t="shared" ca="1" si="43"/>
        <v>0.05</v>
      </c>
      <c r="G321" s="2">
        <f t="shared" ca="1" si="44"/>
        <v>0.12</v>
      </c>
      <c r="H321" s="72">
        <f t="shared" ca="1" si="45"/>
        <v>3283.2251171200792</v>
      </c>
      <c r="I321" s="72">
        <f t="shared" ca="1" si="46"/>
        <v>1150.1271898182279</v>
      </c>
      <c r="J321" s="72">
        <f t="shared" ca="1" si="47"/>
        <v>4433.3523069383073</v>
      </c>
    </row>
    <row r="322" spans="2:10" x14ac:dyDescent="0.35">
      <c r="B322" s="118">
        <f t="shared" ca="1" si="49"/>
        <v>-2.0662798142035683</v>
      </c>
      <c r="C322" s="119">
        <f t="shared" ca="1" si="49"/>
        <v>1.3265138595309864</v>
      </c>
      <c r="D322" s="118">
        <f t="shared" ca="1" si="41"/>
        <v>-2.0662798142035683</v>
      </c>
      <c r="E322" s="119">
        <f t="shared" ca="1" si="42"/>
        <v>0.88645687419163699</v>
      </c>
      <c r="F322" s="2">
        <f t="shared" ca="1" si="43"/>
        <v>0.01</v>
      </c>
      <c r="G322" s="2" t="str">
        <f t="shared" ca="1" si="44"/>
        <v>D</v>
      </c>
      <c r="H322" s="72">
        <f t="shared" ca="1" si="45"/>
        <v>3443.7147154459058</v>
      </c>
      <c r="I322" s="72">
        <f t="shared" ca="1" si="46"/>
        <v>0</v>
      </c>
      <c r="J322" s="72">
        <f t="shared" ca="1" si="47"/>
        <v>3443.7147154459058</v>
      </c>
    </row>
    <row r="323" spans="2:10" x14ac:dyDescent="0.35">
      <c r="B323" s="118">
        <f t="shared" ca="1" si="49"/>
        <v>-0.92494377411373074</v>
      </c>
      <c r="C323" s="119">
        <f t="shared" ca="1" si="49"/>
        <v>-1.1458443478386791</v>
      </c>
      <c r="D323" s="118">
        <f t="shared" ca="1" si="41"/>
        <v>-0.92494377411373074</v>
      </c>
      <c r="E323" s="119">
        <f t="shared" ca="1" si="42"/>
        <v>-1.307682345565516</v>
      </c>
      <c r="F323" s="2">
        <f t="shared" ca="1" si="43"/>
        <v>0.05</v>
      </c>
      <c r="G323" s="2">
        <f t="shared" ca="1" si="44"/>
        <v>0.05</v>
      </c>
      <c r="H323" s="72">
        <f t="shared" ca="1" si="45"/>
        <v>3283.2251171200792</v>
      </c>
      <c r="I323" s="72">
        <f t="shared" ca="1" si="46"/>
        <v>1342.7489181356559</v>
      </c>
      <c r="J323" s="72">
        <f t="shared" ca="1" si="47"/>
        <v>4625.9740352557346</v>
      </c>
    </row>
    <row r="324" spans="2:10" x14ac:dyDescent="0.35">
      <c r="B324" s="118">
        <f t="shared" ref="B324:C343" ca="1" si="50">NORMSINV(RAND())</f>
        <v>0.21550952413672259</v>
      </c>
      <c r="C324" s="119">
        <f t="shared" ca="1" si="50"/>
        <v>-0.5661178979208259</v>
      </c>
      <c r="D324" s="118">
        <f t="shared" ca="1" si="41"/>
        <v>0.21550952413672259</v>
      </c>
      <c r="E324" s="119">
        <f t="shared" ca="1" si="42"/>
        <v>-0.51157808883787037</v>
      </c>
      <c r="F324" s="2">
        <f t="shared" ca="1" si="43"/>
        <v>0.05</v>
      </c>
      <c r="G324" s="2">
        <f t="shared" ca="1" si="44"/>
        <v>0.12</v>
      </c>
      <c r="H324" s="72">
        <f t="shared" ca="1" si="45"/>
        <v>3283.2251171200792</v>
      </c>
      <c r="I324" s="72">
        <f t="shared" ca="1" si="46"/>
        <v>1150.1271898182279</v>
      </c>
      <c r="J324" s="72">
        <f t="shared" ca="1" si="47"/>
        <v>4433.3523069383073</v>
      </c>
    </row>
    <row r="325" spans="2:10" x14ac:dyDescent="0.35">
      <c r="B325" s="118">
        <f t="shared" ca="1" si="50"/>
        <v>0.5057435742652161</v>
      </c>
      <c r="C325" s="119">
        <f t="shared" ca="1" si="50"/>
        <v>-0.78557124569860992</v>
      </c>
      <c r="D325" s="118">
        <f t="shared" ca="1" si="41"/>
        <v>0.5057435742652161</v>
      </c>
      <c r="E325" s="119">
        <f t="shared" ca="1" si="42"/>
        <v>-0.66855076857261631</v>
      </c>
      <c r="F325" s="2">
        <f t="shared" ca="1" si="43"/>
        <v>0.05</v>
      </c>
      <c r="G325" s="2">
        <f t="shared" ca="1" si="44"/>
        <v>0.12</v>
      </c>
      <c r="H325" s="72">
        <f t="shared" ca="1" si="45"/>
        <v>3283.2251171200792</v>
      </c>
      <c r="I325" s="72">
        <f t="shared" ca="1" si="46"/>
        <v>1150.1271898182279</v>
      </c>
      <c r="J325" s="72">
        <f t="shared" ca="1" si="47"/>
        <v>4433.3523069383073</v>
      </c>
    </row>
    <row r="326" spans="2:10" x14ac:dyDescent="0.35">
      <c r="B326" s="118">
        <f t="shared" ca="1" si="50"/>
        <v>-5.1827117032361619E-2</v>
      </c>
      <c r="C326" s="119">
        <f t="shared" ca="1" si="50"/>
        <v>-0.53899112248434411</v>
      </c>
      <c r="D326" s="118">
        <f t="shared" ca="1" si="41"/>
        <v>-5.1827117032361619E-2</v>
      </c>
      <c r="E326" s="119">
        <f t="shared" ca="1" si="42"/>
        <v>-0.53846671379710931</v>
      </c>
      <c r="F326" s="2">
        <f t="shared" ca="1" si="43"/>
        <v>0.05</v>
      </c>
      <c r="G326" s="2">
        <f t="shared" ca="1" si="44"/>
        <v>0.12</v>
      </c>
      <c r="H326" s="72">
        <f t="shared" ca="1" si="45"/>
        <v>3283.2251171200792</v>
      </c>
      <c r="I326" s="72">
        <f t="shared" ca="1" si="46"/>
        <v>1150.1271898182279</v>
      </c>
      <c r="J326" s="72">
        <f t="shared" ca="1" si="47"/>
        <v>4433.3523069383073</v>
      </c>
    </row>
    <row r="327" spans="2:10" x14ac:dyDescent="0.35">
      <c r="B327" s="118">
        <f t="shared" ca="1" si="50"/>
        <v>-1.456680036332725</v>
      </c>
      <c r="C327" s="119">
        <f t="shared" ca="1" si="50"/>
        <v>-1.5858160801436869</v>
      </c>
      <c r="D327" s="118">
        <f t="shared" ca="1" si="41"/>
        <v>-1.456680036332725</v>
      </c>
      <c r="E327" s="119">
        <f t="shared" ca="1" si="42"/>
        <v>-1.8451120961675798</v>
      </c>
      <c r="F327" s="2">
        <f t="shared" ca="1" si="43"/>
        <v>0.01</v>
      </c>
      <c r="G327" s="2">
        <f t="shared" ca="1" si="44"/>
        <v>0.01</v>
      </c>
      <c r="H327" s="72">
        <f t="shared" ca="1" si="45"/>
        <v>3443.7147154459058</v>
      </c>
      <c r="I327" s="72">
        <f t="shared" ca="1" si="46"/>
        <v>1479.2201120631812</v>
      </c>
      <c r="J327" s="72">
        <f t="shared" ca="1" si="47"/>
        <v>4922.934827509087</v>
      </c>
    </row>
    <row r="328" spans="2:10" x14ac:dyDescent="0.35">
      <c r="B328" s="118">
        <f t="shared" ca="1" si="50"/>
        <v>-1.0783011731306322</v>
      </c>
      <c r="C328" s="119">
        <f t="shared" ca="1" si="50"/>
        <v>-0.80792761933831536</v>
      </c>
      <c r="D328" s="118">
        <f t="shared" ca="1" si="41"/>
        <v>-1.0783011731306322</v>
      </c>
      <c r="E328" s="119">
        <f t="shared" ca="1" si="42"/>
        <v>-1.0072644012183005</v>
      </c>
      <c r="F328" s="2">
        <f t="shared" ca="1" si="43"/>
        <v>0.05</v>
      </c>
      <c r="G328" s="2">
        <f t="shared" ca="1" si="44"/>
        <v>0.05</v>
      </c>
      <c r="H328" s="72">
        <f t="shared" ca="1" si="45"/>
        <v>3283.2251171200792</v>
      </c>
      <c r="I328" s="72">
        <f t="shared" ca="1" si="46"/>
        <v>1342.7489181356559</v>
      </c>
      <c r="J328" s="72">
        <f t="shared" ca="1" si="47"/>
        <v>4625.9740352557346</v>
      </c>
    </row>
    <row r="329" spans="2:10" x14ac:dyDescent="0.35">
      <c r="B329" s="118">
        <f t="shared" ca="1" si="50"/>
        <v>9.7741725886708153E-2</v>
      </c>
      <c r="C329" s="119">
        <f t="shared" ca="1" si="50"/>
        <v>0.95708012010768417</v>
      </c>
      <c r="D329" s="118">
        <f t="shared" ca="1" si="41"/>
        <v>9.7741725886708153E-2</v>
      </c>
      <c r="E329" s="119">
        <f t="shared" ca="1" si="42"/>
        <v>0.95729152006752738</v>
      </c>
      <c r="F329" s="2">
        <f t="shared" ca="1" si="43"/>
        <v>0.05</v>
      </c>
      <c r="G329" s="2" t="str">
        <f t="shared" ca="1" si="44"/>
        <v>D</v>
      </c>
      <c r="H329" s="72">
        <f t="shared" ca="1" si="45"/>
        <v>3283.2251171200792</v>
      </c>
      <c r="I329" s="72">
        <f t="shared" ca="1" si="46"/>
        <v>0</v>
      </c>
      <c r="J329" s="72">
        <f t="shared" ca="1" si="47"/>
        <v>3283.2251171200792</v>
      </c>
    </row>
    <row r="330" spans="2:10" x14ac:dyDescent="0.35">
      <c r="B330" s="118">
        <f t="shared" ca="1" si="50"/>
        <v>-0.41507013597465253</v>
      </c>
      <c r="C330" s="119">
        <f t="shared" ca="1" si="50"/>
        <v>-0.10646900733104898</v>
      </c>
      <c r="D330" s="118">
        <f t="shared" ca="1" si="41"/>
        <v>-0.41507013597465253</v>
      </c>
      <c r="E330" s="119">
        <f t="shared" ca="1" si="42"/>
        <v>-0.18733192374761509</v>
      </c>
      <c r="F330" s="2">
        <f t="shared" ca="1" si="43"/>
        <v>0.05</v>
      </c>
      <c r="G330" s="2">
        <f t="shared" ca="1" si="44"/>
        <v>0.12</v>
      </c>
      <c r="H330" s="72">
        <f t="shared" ca="1" si="45"/>
        <v>3283.2251171200792</v>
      </c>
      <c r="I330" s="72">
        <f t="shared" ca="1" si="46"/>
        <v>1150.1271898182279</v>
      </c>
      <c r="J330" s="72">
        <f t="shared" ca="1" si="47"/>
        <v>4433.3523069383073</v>
      </c>
    </row>
    <row r="331" spans="2:10" x14ac:dyDescent="0.35">
      <c r="B331" s="118">
        <f t="shared" ca="1" si="50"/>
        <v>-0.69546385891576756</v>
      </c>
      <c r="C331" s="119">
        <f t="shared" ca="1" si="50"/>
        <v>0.26860989394880791</v>
      </c>
      <c r="D331" s="118">
        <f t="shared" ca="1" si="41"/>
        <v>-0.69546385891576756</v>
      </c>
      <c r="E331" s="119">
        <f t="shared" ca="1" si="42"/>
        <v>0.12409010023191938</v>
      </c>
      <c r="F331" s="2">
        <f t="shared" ca="1" si="43"/>
        <v>0.05</v>
      </c>
      <c r="G331" s="2">
        <f t="shared" ca="1" si="44"/>
        <v>0.12</v>
      </c>
      <c r="H331" s="72">
        <f t="shared" ca="1" si="45"/>
        <v>3283.2251171200792</v>
      </c>
      <c r="I331" s="72">
        <f t="shared" ca="1" si="46"/>
        <v>1150.1271898182279</v>
      </c>
      <c r="J331" s="72">
        <f t="shared" ca="1" si="47"/>
        <v>4433.3523069383073</v>
      </c>
    </row>
    <row r="332" spans="2:10" x14ac:dyDescent="0.35">
      <c r="B332" s="118">
        <f t="shared" ca="1" si="50"/>
        <v>0.88517513519645386</v>
      </c>
      <c r="C332" s="119">
        <f t="shared" ca="1" si="50"/>
        <v>-1.2694531406316434</v>
      </c>
      <c r="D332" s="118">
        <f t="shared" ca="1" si="41"/>
        <v>0.88517513519645386</v>
      </c>
      <c r="E332" s="119">
        <f t="shared" ca="1" si="42"/>
        <v>-1.0667699517291498</v>
      </c>
      <c r="F332" s="2">
        <f t="shared" ca="1" si="43"/>
        <v>0.12</v>
      </c>
      <c r="G332" s="2">
        <f t="shared" ca="1" si="44"/>
        <v>0.05</v>
      </c>
      <c r="H332" s="72">
        <f t="shared" ca="1" si="45"/>
        <v>3042.2414210881088</v>
      </c>
      <c r="I332" s="72">
        <f t="shared" ca="1" si="46"/>
        <v>1342.7489181356559</v>
      </c>
      <c r="J332" s="72">
        <f t="shared" ca="1" si="47"/>
        <v>4384.9903392237647</v>
      </c>
    </row>
    <row r="333" spans="2:10" x14ac:dyDescent="0.35">
      <c r="B333" s="118">
        <f t="shared" ca="1" si="50"/>
        <v>7.727440917655734E-2</v>
      </c>
      <c r="C333" s="119">
        <f t="shared" ca="1" si="50"/>
        <v>0.5501636760145926</v>
      </c>
      <c r="D333" s="118">
        <f t="shared" ca="1" si="41"/>
        <v>7.727440917655734E-2</v>
      </c>
      <c r="E333" s="119">
        <f t="shared" ca="1" si="42"/>
        <v>0.55450299433516437</v>
      </c>
      <c r="F333" s="2">
        <f t="shared" ca="1" si="43"/>
        <v>0.05</v>
      </c>
      <c r="G333" s="2">
        <f t="shared" ca="1" si="44"/>
        <v>0.12</v>
      </c>
      <c r="H333" s="72">
        <f t="shared" ca="1" si="45"/>
        <v>3283.2251171200792</v>
      </c>
      <c r="I333" s="72">
        <f t="shared" ca="1" si="46"/>
        <v>1150.1271898182279</v>
      </c>
      <c r="J333" s="72">
        <f t="shared" ca="1" si="47"/>
        <v>4433.3523069383073</v>
      </c>
    </row>
    <row r="334" spans="2:10" x14ac:dyDescent="0.35">
      <c r="B334" s="118">
        <f t="shared" ca="1" si="50"/>
        <v>-0.87702368195228775</v>
      </c>
      <c r="C334" s="119">
        <f t="shared" ca="1" si="50"/>
        <v>0.6724326857060311</v>
      </c>
      <c r="D334" s="118">
        <f t="shared" ca="1" si="41"/>
        <v>-0.87702368195228775</v>
      </c>
      <c r="E334" s="119">
        <f t="shared" ca="1" si="42"/>
        <v>0.48344205014916947</v>
      </c>
      <c r="F334" s="2">
        <f t="shared" ca="1" si="43"/>
        <v>0.05</v>
      </c>
      <c r="G334" s="2">
        <f t="shared" ca="1" si="44"/>
        <v>0.12</v>
      </c>
      <c r="H334" s="72">
        <f t="shared" ca="1" si="45"/>
        <v>3283.2251171200792</v>
      </c>
      <c r="I334" s="72">
        <f t="shared" ca="1" si="46"/>
        <v>1150.1271898182279</v>
      </c>
      <c r="J334" s="72">
        <f t="shared" ca="1" si="47"/>
        <v>4433.3523069383073</v>
      </c>
    </row>
    <row r="335" spans="2:10" x14ac:dyDescent="0.35">
      <c r="B335" s="118">
        <f t="shared" ca="1" si="50"/>
        <v>-1.0900687898612158</v>
      </c>
      <c r="C335" s="119">
        <f t="shared" ca="1" si="50"/>
        <v>0.19754723937401727</v>
      </c>
      <c r="D335" s="118">
        <f t="shared" ca="1" si="41"/>
        <v>-1.0900687898612158</v>
      </c>
      <c r="E335" s="119">
        <f t="shared" ca="1" si="42"/>
        <v>-2.4457783347527795E-2</v>
      </c>
      <c r="F335" s="2">
        <f t="shared" ca="1" si="43"/>
        <v>0.05</v>
      </c>
      <c r="G335" s="2">
        <f t="shared" ca="1" si="44"/>
        <v>0.12</v>
      </c>
      <c r="H335" s="72">
        <f t="shared" ca="1" si="45"/>
        <v>3283.2251171200792</v>
      </c>
      <c r="I335" s="72">
        <f t="shared" ca="1" si="46"/>
        <v>1150.1271898182279</v>
      </c>
      <c r="J335" s="72">
        <f t="shared" ca="1" si="47"/>
        <v>4433.3523069383073</v>
      </c>
    </row>
    <row r="336" spans="2:10" x14ac:dyDescent="0.35">
      <c r="B336" s="118">
        <f t="shared" ca="1" si="50"/>
        <v>0.62243319254114648</v>
      </c>
      <c r="C336" s="119">
        <f t="shared" ca="1" si="50"/>
        <v>-0.21340527172708904</v>
      </c>
      <c r="D336" s="118">
        <f t="shared" ca="1" si="41"/>
        <v>0.62243319254114648</v>
      </c>
      <c r="E336" s="119">
        <f t="shared" ca="1" si="42"/>
        <v>-8.4606971152315302E-2</v>
      </c>
      <c r="F336" s="2">
        <f t="shared" ca="1" si="43"/>
        <v>0.05</v>
      </c>
      <c r="G336" s="2">
        <f t="shared" ca="1" si="44"/>
        <v>0.12</v>
      </c>
      <c r="H336" s="72">
        <f t="shared" ca="1" si="45"/>
        <v>3283.2251171200792</v>
      </c>
      <c r="I336" s="72">
        <f t="shared" ca="1" si="46"/>
        <v>1150.1271898182279</v>
      </c>
      <c r="J336" s="72">
        <f t="shared" ca="1" si="47"/>
        <v>4433.3523069383073</v>
      </c>
    </row>
    <row r="337" spans="2:10" x14ac:dyDescent="0.35">
      <c r="B337" s="118">
        <f t="shared" ca="1" si="50"/>
        <v>-0.1641403070046164</v>
      </c>
      <c r="C337" s="119">
        <f t="shared" ca="1" si="50"/>
        <v>1.5533439966114928</v>
      </c>
      <c r="D337" s="118">
        <f t="shared" ca="1" si="41"/>
        <v>-0.1641403070046164</v>
      </c>
      <c r="E337" s="119">
        <f t="shared" ca="1" si="42"/>
        <v>1.4891320132845485</v>
      </c>
      <c r="F337" s="2">
        <f t="shared" ca="1" si="43"/>
        <v>0.05</v>
      </c>
      <c r="G337" s="2" t="str">
        <f t="shared" ca="1" si="44"/>
        <v>D</v>
      </c>
      <c r="H337" s="72">
        <f t="shared" ca="1" si="45"/>
        <v>3283.2251171200792</v>
      </c>
      <c r="I337" s="72">
        <f t="shared" ca="1" si="46"/>
        <v>0</v>
      </c>
      <c r="J337" s="72">
        <f t="shared" ca="1" si="47"/>
        <v>3283.2251171200792</v>
      </c>
    </row>
    <row r="338" spans="2:10" x14ac:dyDescent="0.35">
      <c r="B338" s="118">
        <f t="shared" ca="1" si="50"/>
        <v>1.52496092473394</v>
      </c>
      <c r="C338" s="119">
        <f t="shared" ca="1" si="50"/>
        <v>-0.94805060601978408</v>
      </c>
      <c r="D338" s="118">
        <f t="shared" ca="1" si="41"/>
        <v>1.52496092473394</v>
      </c>
      <c r="E338" s="119">
        <f t="shared" ca="1" si="42"/>
        <v>-0.62390390908714677</v>
      </c>
      <c r="F338" s="2" t="str">
        <f t="shared" ca="1" si="43"/>
        <v>D</v>
      </c>
      <c r="G338" s="2">
        <f t="shared" ca="1" si="44"/>
        <v>0.12</v>
      </c>
      <c r="H338" s="72">
        <f t="shared" ca="1" si="45"/>
        <v>0</v>
      </c>
      <c r="I338" s="72">
        <f t="shared" ca="1" si="46"/>
        <v>1150.1271898182279</v>
      </c>
      <c r="J338" s="72">
        <f t="shared" ca="1" si="47"/>
        <v>1150.1271898182279</v>
      </c>
    </row>
    <row r="339" spans="2:10" x14ac:dyDescent="0.35">
      <c r="B339" s="118">
        <f t="shared" ca="1" si="50"/>
        <v>-0.96386264846406888</v>
      </c>
      <c r="C339" s="119">
        <f t="shared" ca="1" si="50"/>
        <v>0.66466126509248002</v>
      </c>
      <c r="D339" s="118">
        <f t="shared" ca="1" si="41"/>
        <v>-0.96386264846406888</v>
      </c>
      <c r="E339" s="119">
        <f t="shared" ca="1" si="42"/>
        <v>0.45845985081491447</v>
      </c>
      <c r="F339" s="2">
        <f t="shared" ca="1" si="43"/>
        <v>0.05</v>
      </c>
      <c r="G339" s="2">
        <f t="shared" ca="1" si="44"/>
        <v>0.12</v>
      </c>
      <c r="H339" s="72">
        <f t="shared" ca="1" si="45"/>
        <v>3283.2251171200792</v>
      </c>
      <c r="I339" s="72">
        <f t="shared" ca="1" si="46"/>
        <v>1150.1271898182279</v>
      </c>
      <c r="J339" s="72">
        <f t="shared" ca="1" si="47"/>
        <v>4433.3523069383073</v>
      </c>
    </row>
    <row r="340" spans="2:10" x14ac:dyDescent="0.35">
      <c r="B340" s="118">
        <f t="shared" ca="1" si="50"/>
        <v>-0.78191826130011688</v>
      </c>
      <c r="C340" s="119">
        <f t="shared" ca="1" si="50"/>
        <v>0.54516622173700635</v>
      </c>
      <c r="D340" s="118">
        <f t="shared" ca="1" si="41"/>
        <v>-0.78191826130011688</v>
      </c>
      <c r="E340" s="119">
        <f t="shared" ca="1" si="42"/>
        <v>0.37776797504263926</v>
      </c>
      <c r="F340" s="2">
        <f t="shared" ca="1" si="43"/>
        <v>0.05</v>
      </c>
      <c r="G340" s="2">
        <f t="shared" ca="1" si="44"/>
        <v>0.12</v>
      </c>
      <c r="H340" s="72">
        <f t="shared" ca="1" si="45"/>
        <v>3283.2251171200792</v>
      </c>
      <c r="I340" s="72">
        <f t="shared" ca="1" si="46"/>
        <v>1150.1271898182279</v>
      </c>
      <c r="J340" s="72">
        <f t="shared" ca="1" si="47"/>
        <v>4433.3523069383073</v>
      </c>
    </row>
    <row r="341" spans="2:10" x14ac:dyDescent="0.35">
      <c r="B341" s="118">
        <f t="shared" ca="1" si="50"/>
        <v>1.4083781554597827</v>
      </c>
      <c r="C341" s="119">
        <f t="shared" ca="1" si="50"/>
        <v>-0.47385387012028979</v>
      </c>
      <c r="D341" s="118">
        <f t="shared" ca="1" si="41"/>
        <v>1.4083781554597827</v>
      </c>
      <c r="E341" s="119">
        <f t="shared" ca="1" si="42"/>
        <v>-0.18260444668314829</v>
      </c>
      <c r="F341" s="2" t="str">
        <f t="shared" ca="1" si="43"/>
        <v>D</v>
      </c>
      <c r="G341" s="2">
        <f t="shared" ca="1" si="44"/>
        <v>0.12</v>
      </c>
      <c r="H341" s="72">
        <f t="shared" ca="1" si="45"/>
        <v>0</v>
      </c>
      <c r="I341" s="72">
        <f t="shared" ca="1" si="46"/>
        <v>1150.1271898182279</v>
      </c>
      <c r="J341" s="72">
        <f t="shared" ca="1" si="47"/>
        <v>1150.1271898182279</v>
      </c>
    </row>
    <row r="342" spans="2:10" x14ac:dyDescent="0.35">
      <c r="B342" s="118">
        <f t="shared" ca="1" si="50"/>
        <v>0.16464891320115183</v>
      </c>
      <c r="C342" s="119">
        <f t="shared" ca="1" si="50"/>
        <v>-4.678705574446218E-2</v>
      </c>
      <c r="D342" s="118">
        <f t="shared" ca="1" si="41"/>
        <v>0.16464891320115183</v>
      </c>
      <c r="E342" s="119">
        <f t="shared" ca="1" si="42"/>
        <v>-1.2911982616203584E-2</v>
      </c>
      <c r="F342" s="2">
        <f t="shared" ca="1" si="43"/>
        <v>0.05</v>
      </c>
      <c r="G342" s="2">
        <f t="shared" ca="1" si="44"/>
        <v>0.12</v>
      </c>
      <c r="H342" s="72">
        <f t="shared" ca="1" si="45"/>
        <v>3283.2251171200792</v>
      </c>
      <c r="I342" s="72">
        <f t="shared" ca="1" si="46"/>
        <v>1150.1271898182279</v>
      </c>
      <c r="J342" s="72">
        <f t="shared" ca="1" si="47"/>
        <v>4433.3523069383073</v>
      </c>
    </row>
    <row r="343" spans="2:10" x14ac:dyDescent="0.35">
      <c r="B343" s="118">
        <f t="shared" ca="1" si="50"/>
        <v>-0.98178445771520284</v>
      </c>
      <c r="C343" s="119">
        <f t="shared" ca="1" si="50"/>
        <v>9.6961620210883531E-2</v>
      </c>
      <c r="D343" s="118">
        <f t="shared" ca="1" si="41"/>
        <v>-0.98178445771520284</v>
      </c>
      <c r="E343" s="119">
        <f t="shared" ca="1" si="42"/>
        <v>-0.10135429388296167</v>
      </c>
      <c r="F343" s="2">
        <f t="shared" ca="1" si="43"/>
        <v>0.05</v>
      </c>
      <c r="G343" s="2">
        <f t="shared" ca="1" si="44"/>
        <v>0.12</v>
      </c>
      <c r="H343" s="72">
        <f t="shared" ca="1" si="45"/>
        <v>3283.2251171200792</v>
      </c>
      <c r="I343" s="72">
        <f t="shared" ca="1" si="46"/>
        <v>1150.1271898182279</v>
      </c>
      <c r="J343" s="72">
        <f t="shared" ca="1" si="47"/>
        <v>4433.3523069383073</v>
      </c>
    </row>
    <row r="344" spans="2:10" x14ac:dyDescent="0.35">
      <c r="B344" s="118">
        <f t="shared" ref="B344:C363" ca="1" si="51">NORMSINV(RAND())</f>
        <v>0.66187421756518028</v>
      </c>
      <c r="C344" s="119">
        <f t="shared" ca="1" si="51"/>
        <v>-7.7099228066640532E-2</v>
      </c>
      <c r="D344" s="118">
        <f t="shared" ref="D344:D407" ca="1" si="52">+B344</f>
        <v>0.66187421756518028</v>
      </c>
      <c r="E344" s="119">
        <f t="shared" ref="E344:E407" ca="1" si="53">+$C$21*B344+C344*(1-$C$21^2)^0.5</f>
        <v>5.6833336182741293E-2</v>
      </c>
      <c r="F344" s="2">
        <f t="shared" ref="F344:F407" ca="1" si="54">+IF(D344&lt;$I$17,$H$17,IF(D344&lt;$I$18,$H$18,IF(D344&lt;$I$19,$H$19,$H$20)))</f>
        <v>0.05</v>
      </c>
      <c r="G344" s="2">
        <f t="shared" ref="G344:G407" ca="1" si="55">+IF(E344&lt;$J$17,$H$17,IF(E344&lt;$J$18,$H$18,IF(E344&lt;$J$19,$H$19,$H$20)))</f>
        <v>0.12</v>
      </c>
      <c r="H344" s="72">
        <f t="shared" ref="H344:H407" ca="1" si="56">+IF(F344="D",0,$C$10+NPV($E$10+F344,$C$11:$C$13))</f>
        <v>3283.2251171200792</v>
      </c>
      <c r="I344" s="72">
        <f t="shared" ref="I344:I407" ca="1" si="57">+IF(G344="D",0,$D$10+NPV($E$10+G344,$D$11:$D$14))</f>
        <v>1150.1271898182279</v>
      </c>
      <c r="J344" s="72">
        <f t="shared" ref="J344:J407" ca="1" si="58">+I344+H344</f>
        <v>4433.3523069383073</v>
      </c>
    </row>
    <row r="345" spans="2:10" x14ac:dyDescent="0.35">
      <c r="B345" s="118">
        <f t="shared" ca="1" si="51"/>
        <v>-0.21869295112488266</v>
      </c>
      <c r="C345" s="119">
        <f t="shared" ca="1" si="51"/>
        <v>0.66196226768713473</v>
      </c>
      <c r="D345" s="118">
        <f t="shared" ca="1" si="52"/>
        <v>-0.21869295112488266</v>
      </c>
      <c r="E345" s="119">
        <f t="shared" ca="1" si="53"/>
        <v>0.60484932369867506</v>
      </c>
      <c r="F345" s="2">
        <f t="shared" ca="1" si="54"/>
        <v>0.05</v>
      </c>
      <c r="G345" s="2">
        <f t="shared" ca="1" si="55"/>
        <v>0.12</v>
      </c>
      <c r="H345" s="72">
        <f t="shared" ca="1" si="56"/>
        <v>3283.2251171200792</v>
      </c>
      <c r="I345" s="72">
        <f t="shared" ca="1" si="57"/>
        <v>1150.1271898182279</v>
      </c>
      <c r="J345" s="72">
        <f t="shared" ca="1" si="58"/>
        <v>4433.3523069383073</v>
      </c>
    </row>
    <row r="346" spans="2:10" x14ac:dyDescent="0.35">
      <c r="B346" s="118">
        <f t="shared" ca="1" si="51"/>
        <v>-5.6079440924381121E-2</v>
      </c>
      <c r="C346" s="119">
        <f t="shared" ca="1" si="51"/>
        <v>-2.4982375313393441</v>
      </c>
      <c r="D346" s="118">
        <f t="shared" ca="1" si="52"/>
        <v>-5.6079440924381121E-2</v>
      </c>
      <c r="E346" s="119">
        <f t="shared" ca="1" si="53"/>
        <v>-2.4589787714055529</v>
      </c>
      <c r="F346" s="2">
        <f t="shared" ca="1" si="54"/>
        <v>0.05</v>
      </c>
      <c r="G346" s="2">
        <f t="shared" ca="1" si="55"/>
        <v>0.01</v>
      </c>
      <c r="H346" s="72">
        <f t="shared" ca="1" si="56"/>
        <v>3283.2251171200792</v>
      </c>
      <c r="I346" s="72">
        <f t="shared" ca="1" si="57"/>
        <v>1479.2201120631812</v>
      </c>
      <c r="J346" s="72">
        <f t="shared" ca="1" si="58"/>
        <v>4762.4452291832604</v>
      </c>
    </row>
    <row r="347" spans="2:10" x14ac:dyDescent="0.35">
      <c r="B347" s="118">
        <f t="shared" ca="1" si="51"/>
        <v>-0.27943054671020517</v>
      </c>
      <c r="C347" s="119">
        <f t="shared" ca="1" si="51"/>
        <v>0.77152424276340048</v>
      </c>
      <c r="D347" s="118">
        <f t="shared" ca="1" si="52"/>
        <v>-0.27943054671020517</v>
      </c>
      <c r="E347" s="119">
        <f t="shared" ca="1" si="53"/>
        <v>0.70005017824096216</v>
      </c>
      <c r="F347" s="2">
        <f t="shared" ca="1" si="54"/>
        <v>0.05</v>
      </c>
      <c r="G347" s="2">
        <f t="shared" ca="1" si="55"/>
        <v>0.12</v>
      </c>
      <c r="H347" s="72">
        <f t="shared" ca="1" si="56"/>
        <v>3283.2251171200792</v>
      </c>
      <c r="I347" s="72">
        <f t="shared" ca="1" si="57"/>
        <v>1150.1271898182279</v>
      </c>
      <c r="J347" s="72">
        <f t="shared" ca="1" si="58"/>
        <v>4433.3523069383073</v>
      </c>
    </row>
    <row r="348" spans="2:10" x14ac:dyDescent="0.35">
      <c r="B348" s="118">
        <f t="shared" ca="1" si="51"/>
        <v>-1.3883765201426026</v>
      </c>
      <c r="C348" s="119">
        <f t="shared" ca="1" si="51"/>
        <v>5.4834206259171875E-2</v>
      </c>
      <c r="D348" s="118">
        <f t="shared" ca="1" si="52"/>
        <v>-1.3883765201426026</v>
      </c>
      <c r="E348" s="119">
        <f t="shared" ca="1" si="53"/>
        <v>-0.22394897371432107</v>
      </c>
      <c r="F348" s="2">
        <f t="shared" ca="1" si="54"/>
        <v>0.01</v>
      </c>
      <c r="G348" s="2">
        <f t="shared" ca="1" si="55"/>
        <v>0.12</v>
      </c>
      <c r="H348" s="72">
        <f t="shared" ca="1" si="56"/>
        <v>3443.7147154459058</v>
      </c>
      <c r="I348" s="72">
        <f t="shared" ca="1" si="57"/>
        <v>1150.1271898182279</v>
      </c>
      <c r="J348" s="72">
        <f t="shared" ca="1" si="58"/>
        <v>4593.8419052641339</v>
      </c>
    </row>
    <row r="349" spans="2:10" x14ac:dyDescent="0.35">
      <c r="B349" s="118">
        <f t="shared" ca="1" si="51"/>
        <v>7.76353830701077E-2</v>
      </c>
      <c r="C349" s="119">
        <f t="shared" ca="1" si="51"/>
        <v>0.84854424151708296</v>
      </c>
      <c r="D349" s="118">
        <f t="shared" ca="1" si="52"/>
        <v>7.76353830701077E-2</v>
      </c>
      <c r="E349" s="119">
        <f t="shared" ca="1" si="53"/>
        <v>0.84692724297155209</v>
      </c>
      <c r="F349" s="2">
        <f t="shared" ca="1" si="54"/>
        <v>0.05</v>
      </c>
      <c r="G349" s="2" t="str">
        <f t="shared" ca="1" si="55"/>
        <v>D</v>
      </c>
      <c r="H349" s="72">
        <f t="shared" ca="1" si="56"/>
        <v>3283.2251171200792</v>
      </c>
      <c r="I349" s="72">
        <f t="shared" ca="1" si="57"/>
        <v>0</v>
      </c>
      <c r="J349" s="72">
        <f t="shared" ca="1" si="58"/>
        <v>3283.2251171200792</v>
      </c>
    </row>
    <row r="350" spans="2:10" x14ac:dyDescent="0.35">
      <c r="B350" s="118">
        <f t="shared" ca="1" si="51"/>
        <v>-0.83280378147320688</v>
      </c>
      <c r="C350" s="119">
        <f t="shared" ca="1" si="51"/>
        <v>-1.8408154200289242</v>
      </c>
      <c r="D350" s="118">
        <f t="shared" ca="1" si="52"/>
        <v>-0.83280378147320688</v>
      </c>
      <c r="E350" s="119">
        <f t="shared" ca="1" si="53"/>
        <v>-1.9701841521818242</v>
      </c>
      <c r="F350" s="2">
        <f t="shared" ca="1" si="54"/>
        <v>0.05</v>
      </c>
      <c r="G350" s="2">
        <f t="shared" ca="1" si="55"/>
        <v>0.01</v>
      </c>
      <c r="H350" s="72">
        <f t="shared" ca="1" si="56"/>
        <v>3283.2251171200792</v>
      </c>
      <c r="I350" s="72">
        <f t="shared" ca="1" si="57"/>
        <v>1479.2201120631812</v>
      </c>
      <c r="J350" s="72">
        <f t="shared" ca="1" si="58"/>
        <v>4762.4452291832604</v>
      </c>
    </row>
    <row r="351" spans="2:10" x14ac:dyDescent="0.35">
      <c r="B351" s="118">
        <f t="shared" ca="1" si="51"/>
        <v>-0.2195894485566976</v>
      </c>
      <c r="C351" s="119">
        <f t="shared" ca="1" si="51"/>
        <v>0.56194505278801943</v>
      </c>
      <c r="D351" s="118">
        <f t="shared" ca="1" si="52"/>
        <v>-0.2195894485566976</v>
      </c>
      <c r="E351" s="119">
        <f t="shared" ca="1" si="53"/>
        <v>0.50667356741346259</v>
      </c>
      <c r="F351" s="2">
        <f t="shared" ca="1" si="54"/>
        <v>0.05</v>
      </c>
      <c r="G351" s="2">
        <f t="shared" ca="1" si="55"/>
        <v>0.12</v>
      </c>
      <c r="H351" s="72">
        <f t="shared" ca="1" si="56"/>
        <v>3283.2251171200792</v>
      </c>
      <c r="I351" s="72">
        <f t="shared" ca="1" si="57"/>
        <v>1150.1271898182279</v>
      </c>
      <c r="J351" s="72">
        <f t="shared" ca="1" si="58"/>
        <v>4433.3523069383073</v>
      </c>
    </row>
    <row r="352" spans="2:10" x14ac:dyDescent="0.35">
      <c r="B352" s="118">
        <f t="shared" ca="1" si="51"/>
        <v>1.5249773093364718</v>
      </c>
      <c r="C352" s="119">
        <f t="shared" ca="1" si="51"/>
        <v>-1.5517020531251835</v>
      </c>
      <c r="D352" s="118">
        <f t="shared" ca="1" si="52"/>
        <v>1.5249773093364718</v>
      </c>
      <c r="E352" s="119">
        <f t="shared" ca="1" si="53"/>
        <v>-1.2153558433269998</v>
      </c>
      <c r="F352" s="2" t="str">
        <f t="shared" ca="1" si="54"/>
        <v>D</v>
      </c>
      <c r="G352" s="2">
        <f t="shared" ca="1" si="55"/>
        <v>0.05</v>
      </c>
      <c r="H352" s="72">
        <f t="shared" ca="1" si="56"/>
        <v>0</v>
      </c>
      <c r="I352" s="72">
        <f t="shared" ca="1" si="57"/>
        <v>1342.7489181356559</v>
      </c>
      <c r="J352" s="72">
        <f t="shared" ca="1" si="58"/>
        <v>1342.7489181356559</v>
      </c>
    </row>
    <row r="353" spans="2:10" x14ac:dyDescent="0.35">
      <c r="B353" s="118">
        <f t="shared" ca="1" si="51"/>
        <v>0.70724554491005864</v>
      </c>
      <c r="C353" s="119">
        <f t="shared" ca="1" si="51"/>
        <v>1.4770393647319331</v>
      </c>
      <c r="D353" s="118">
        <f t="shared" ca="1" si="52"/>
        <v>0.70724554491005864</v>
      </c>
      <c r="E353" s="119">
        <f t="shared" ca="1" si="53"/>
        <v>1.5886462184211523</v>
      </c>
      <c r="F353" s="2">
        <f t="shared" ca="1" si="54"/>
        <v>0.05</v>
      </c>
      <c r="G353" s="2" t="str">
        <f t="shared" ca="1" si="55"/>
        <v>D</v>
      </c>
      <c r="H353" s="72">
        <f t="shared" ca="1" si="56"/>
        <v>3283.2251171200792</v>
      </c>
      <c r="I353" s="72">
        <f t="shared" ca="1" si="57"/>
        <v>0</v>
      </c>
      <c r="J353" s="72">
        <f t="shared" ca="1" si="58"/>
        <v>3283.2251171200792</v>
      </c>
    </row>
    <row r="354" spans="2:10" x14ac:dyDescent="0.35">
      <c r="B354" s="118">
        <f t="shared" ca="1" si="51"/>
        <v>-0.1105135125509351</v>
      </c>
      <c r="C354" s="119">
        <f t="shared" ca="1" si="51"/>
        <v>1.5722041260156456</v>
      </c>
      <c r="D354" s="118">
        <f t="shared" ca="1" si="52"/>
        <v>-0.1105135125509351</v>
      </c>
      <c r="E354" s="119">
        <f t="shared" ca="1" si="53"/>
        <v>1.5183364495844991</v>
      </c>
      <c r="F354" s="2">
        <f t="shared" ca="1" si="54"/>
        <v>0.05</v>
      </c>
      <c r="G354" s="2" t="str">
        <f t="shared" ca="1" si="55"/>
        <v>D</v>
      </c>
      <c r="H354" s="72">
        <f t="shared" ca="1" si="56"/>
        <v>3283.2251171200792</v>
      </c>
      <c r="I354" s="72">
        <f t="shared" ca="1" si="57"/>
        <v>0</v>
      </c>
      <c r="J354" s="72">
        <f t="shared" ca="1" si="58"/>
        <v>3283.2251171200792</v>
      </c>
    </row>
    <row r="355" spans="2:10" x14ac:dyDescent="0.35">
      <c r="B355" s="118">
        <f t="shared" ca="1" si="51"/>
        <v>-1.1219760022342478</v>
      </c>
      <c r="C355" s="119">
        <f t="shared" ca="1" si="51"/>
        <v>0.54178907132155274</v>
      </c>
      <c r="D355" s="118">
        <f t="shared" ca="1" si="52"/>
        <v>-1.1219760022342478</v>
      </c>
      <c r="E355" s="119">
        <f t="shared" ca="1" si="53"/>
        <v>0.3064475087348173</v>
      </c>
      <c r="F355" s="2">
        <f t="shared" ca="1" si="54"/>
        <v>0.05</v>
      </c>
      <c r="G355" s="2">
        <f t="shared" ca="1" si="55"/>
        <v>0.12</v>
      </c>
      <c r="H355" s="72">
        <f t="shared" ca="1" si="56"/>
        <v>3283.2251171200792</v>
      </c>
      <c r="I355" s="72">
        <f t="shared" ca="1" si="57"/>
        <v>1150.1271898182279</v>
      </c>
      <c r="J355" s="72">
        <f t="shared" ca="1" si="58"/>
        <v>4433.3523069383073</v>
      </c>
    </row>
    <row r="356" spans="2:10" x14ac:dyDescent="0.35">
      <c r="B356" s="118">
        <f t="shared" ca="1" si="51"/>
        <v>9.0732612440398971E-2</v>
      </c>
      <c r="C356" s="119">
        <f t="shared" ca="1" si="51"/>
        <v>1.5997116319593645</v>
      </c>
      <c r="D356" s="118">
        <f t="shared" ca="1" si="52"/>
        <v>9.0732612440398971E-2</v>
      </c>
      <c r="E356" s="119">
        <f t="shared" ca="1" si="53"/>
        <v>1.5855374160462403</v>
      </c>
      <c r="F356" s="2">
        <f t="shared" ca="1" si="54"/>
        <v>0.05</v>
      </c>
      <c r="G356" s="2" t="str">
        <f t="shared" ca="1" si="55"/>
        <v>D</v>
      </c>
      <c r="H356" s="72">
        <f t="shared" ca="1" si="56"/>
        <v>3283.2251171200792</v>
      </c>
      <c r="I356" s="72">
        <f t="shared" ca="1" si="57"/>
        <v>0</v>
      </c>
      <c r="J356" s="72">
        <f t="shared" ca="1" si="58"/>
        <v>3283.2251171200792</v>
      </c>
    </row>
    <row r="357" spans="2:10" x14ac:dyDescent="0.35">
      <c r="B357" s="118">
        <f t="shared" ca="1" si="51"/>
        <v>-1.7266321918828207</v>
      </c>
      <c r="C357" s="119">
        <f t="shared" ca="1" si="51"/>
        <v>0.42683235514978074</v>
      </c>
      <c r="D357" s="118">
        <f t="shared" ca="1" si="52"/>
        <v>-1.7266321918828207</v>
      </c>
      <c r="E357" s="119">
        <f t="shared" ca="1" si="53"/>
        <v>7.2882151954385632E-2</v>
      </c>
      <c r="F357" s="2">
        <f t="shared" ca="1" si="54"/>
        <v>0.01</v>
      </c>
      <c r="G357" s="2">
        <f t="shared" ca="1" si="55"/>
        <v>0.12</v>
      </c>
      <c r="H357" s="72">
        <f t="shared" ca="1" si="56"/>
        <v>3443.7147154459058</v>
      </c>
      <c r="I357" s="72">
        <f t="shared" ca="1" si="57"/>
        <v>1150.1271898182279</v>
      </c>
      <c r="J357" s="72">
        <f t="shared" ca="1" si="58"/>
        <v>4593.8419052641339</v>
      </c>
    </row>
    <row r="358" spans="2:10" x14ac:dyDescent="0.35">
      <c r="B358" s="118">
        <f t="shared" ca="1" si="51"/>
        <v>-0.2747470476026454</v>
      </c>
      <c r="C358" s="119">
        <f t="shared" ca="1" si="51"/>
        <v>-1.7676632797177441</v>
      </c>
      <c r="D358" s="118">
        <f t="shared" ca="1" si="52"/>
        <v>-0.2747470476026454</v>
      </c>
      <c r="E358" s="119">
        <f t="shared" ca="1" si="53"/>
        <v>-1.7868986384657635</v>
      </c>
      <c r="F358" s="2">
        <f t="shared" ca="1" si="54"/>
        <v>0.05</v>
      </c>
      <c r="G358" s="2">
        <f t="shared" ca="1" si="55"/>
        <v>0.01</v>
      </c>
      <c r="H358" s="72">
        <f t="shared" ca="1" si="56"/>
        <v>3283.2251171200792</v>
      </c>
      <c r="I358" s="72">
        <f t="shared" ca="1" si="57"/>
        <v>1479.2201120631812</v>
      </c>
      <c r="J358" s="72">
        <f t="shared" ca="1" si="58"/>
        <v>4762.4452291832604</v>
      </c>
    </row>
    <row r="359" spans="2:10" x14ac:dyDescent="0.35">
      <c r="B359" s="118">
        <f t="shared" ca="1" si="51"/>
        <v>-2.1685179975690843</v>
      </c>
      <c r="C359" s="119">
        <f t="shared" ca="1" si="51"/>
        <v>5.495948870574148E-2</v>
      </c>
      <c r="D359" s="118">
        <f t="shared" ca="1" si="52"/>
        <v>-2.1685179975690843</v>
      </c>
      <c r="E359" s="119">
        <f t="shared" ca="1" si="53"/>
        <v>-0.3798545179724882</v>
      </c>
      <c r="F359" s="2">
        <f t="shared" ca="1" si="54"/>
        <v>0.01</v>
      </c>
      <c r="G359" s="2">
        <f t="shared" ca="1" si="55"/>
        <v>0.12</v>
      </c>
      <c r="H359" s="72">
        <f t="shared" ca="1" si="56"/>
        <v>3443.7147154459058</v>
      </c>
      <c r="I359" s="72">
        <f t="shared" ca="1" si="57"/>
        <v>1150.1271898182279</v>
      </c>
      <c r="J359" s="72">
        <f t="shared" ca="1" si="58"/>
        <v>4593.8419052641339</v>
      </c>
    </row>
    <row r="360" spans="2:10" x14ac:dyDescent="0.35">
      <c r="B360" s="118">
        <f t="shared" ca="1" si="51"/>
        <v>0.3919168361177886</v>
      </c>
      <c r="C360" s="119">
        <f t="shared" ca="1" si="51"/>
        <v>-2.5328468874333997E-2</v>
      </c>
      <c r="D360" s="118">
        <f t="shared" ca="1" si="52"/>
        <v>0.3919168361177886</v>
      </c>
      <c r="E360" s="119">
        <f t="shared" ca="1" si="53"/>
        <v>5.3566637340324075E-2</v>
      </c>
      <c r="F360" s="2">
        <f t="shared" ca="1" si="54"/>
        <v>0.05</v>
      </c>
      <c r="G360" s="2">
        <f t="shared" ca="1" si="55"/>
        <v>0.12</v>
      </c>
      <c r="H360" s="72">
        <f t="shared" ca="1" si="56"/>
        <v>3283.2251171200792</v>
      </c>
      <c r="I360" s="72">
        <f t="shared" ca="1" si="57"/>
        <v>1150.1271898182279</v>
      </c>
      <c r="J360" s="72">
        <f t="shared" ca="1" si="58"/>
        <v>4433.3523069383073</v>
      </c>
    </row>
    <row r="361" spans="2:10" x14ac:dyDescent="0.35">
      <c r="B361" s="118">
        <f t="shared" ca="1" si="51"/>
        <v>1.0166612635009205</v>
      </c>
      <c r="C361" s="119">
        <f t="shared" ca="1" si="51"/>
        <v>0.48483122100514969</v>
      </c>
      <c r="D361" s="118">
        <f t="shared" ca="1" si="52"/>
        <v>1.0166612635009205</v>
      </c>
      <c r="E361" s="119">
        <f t="shared" ca="1" si="53"/>
        <v>0.67836789383344742</v>
      </c>
      <c r="F361" s="2">
        <f t="shared" ca="1" si="54"/>
        <v>0.12</v>
      </c>
      <c r="G361" s="2">
        <f t="shared" ca="1" si="55"/>
        <v>0.12</v>
      </c>
      <c r="H361" s="72">
        <f t="shared" ca="1" si="56"/>
        <v>3042.2414210881088</v>
      </c>
      <c r="I361" s="72">
        <f t="shared" ca="1" si="57"/>
        <v>1150.1271898182279</v>
      </c>
      <c r="J361" s="72">
        <f t="shared" ca="1" si="58"/>
        <v>4192.3686109063365</v>
      </c>
    </row>
    <row r="362" spans="2:10" x14ac:dyDescent="0.35">
      <c r="B362" s="118">
        <f t="shared" ca="1" si="51"/>
        <v>-1.8958418504313936</v>
      </c>
      <c r="C362" s="119">
        <f t="shared" ca="1" si="51"/>
        <v>-0.67315830789683173</v>
      </c>
      <c r="D362" s="118">
        <f t="shared" ca="1" si="52"/>
        <v>-1.8958418504313936</v>
      </c>
      <c r="E362" s="119">
        <f t="shared" ca="1" si="53"/>
        <v>-1.0387261182713066</v>
      </c>
      <c r="F362" s="2">
        <f t="shared" ca="1" si="54"/>
        <v>0.01</v>
      </c>
      <c r="G362" s="2">
        <f t="shared" ca="1" si="55"/>
        <v>0.05</v>
      </c>
      <c r="H362" s="72">
        <f t="shared" ca="1" si="56"/>
        <v>3443.7147154459058</v>
      </c>
      <c r="I362" s="72">
        <f t="shared" ca="1" si="57"/>
        <v>1342.7489181356559</v>
      </c>
      <c r="J362" s="72">
        <f t="shared" ca="1" si="58"/>
        <v>4786.4636335815612</v>
      </c>
    </row>
    <row r="363" spans="2:10" x14ac:dyDescent="0.35">
      <c r="B363" s="118">
        <f t="shared" ca="1" si="51"/>
        <v>-1.0386437702526616</v>
      </c>
      <c r="C363" s="119">
        <f t="shared" ca="1" si="51"/>
        <v>1.6398086040313642</v>
      </c>
      <c r="D363" s="118">
        <f t="shared" ca="1" si="52"/>
        <v>-1.0386437702526616</v>
      </c>
      <c r="E363" s="119">
        <f t="shared" ca="1" si="53"/>
        <v>1.3989489882304391</v>
      </c>
      <c r="F363" s="2">
        <f t="shared" ca="1" si="54"/>
        <v>0.05</v>
      </c>
      <c r="G363" s="2" t="str">
        <f t="shared" ca="1" si="55"/>
        <v>D</v>
      </c>
      <c r="H363" s="72">
        <f t="shared" ca="1" si="56"/>
        <v>3283.2251171200792</v>
      </c>
      <c r="I363" s="72">
        <f t="shared" ca="1" si="57"/>
        <v>0</v>
      </c>
      <c r="J363" s="72">
        <f t="shared" ca="1" si="58"/>
        <v>3283.2251171200792</v>
      </c>
    </row>
    <row r="364" spans="2:10" x14ac:dyDescent="0.35">
      <c r="B364" s="118">
        <f t="shared" ref="B364:C383" ca="1" si="59">NORMSINV(RAND())</f>
        <v>0.57660707452749427</v>
      </c>
      <c r="C364" s="119">
        <f t="shared" ca="1" si="59"/>
        <v>-0.9041987513478692</v>
      </c>
      <c r="D364" s="118">
        <f t="shared" ca="1" si="52"/>
        <v>0.57660707452749427</v>
      </c>
      <c r="E364" s="119">
        <f t="shared" ca="1" si="53"/>
        <v>-0.77060881184008634</v>
      </c>
      <c r="F364" s="2">
        <f t="shared" ca="1" si="54"/>
        <v>0.05</v>
      </c>
      <c r="G364" s="2">
        <f t="shared" ca="1" si="55"/>
        <v>0.12</v>
      </c>
      <c r="H364" s="72">
        <f t="shared" ca="1" si="56"/>
        <v>3283.2251171200792</v>
      </c>
      <c r="I364" s="72">
        <f t="shared" ca="1" si="57"/>
        <v>1150.1271898182279</v>
      </c>
      <c r="J364" s="72">
        <f t="shared" ca="1" si="58"/>
        <v>4433.3523069383073</v>
      </c>
    </row>
    <row r="365" spans="2:10" x14ac:dyDescent="0.35">
      <c r="B365" s="118">
        <f t="shared" ca="1" si="59"/>
        <v>-0.10011052423417502</v>
      </c>
      <c r="C365" s="119">
        <f t="shared" ca="1" si="59"/>
        <v>-1.0234014032685508</v>
      </c>
      <c r="D365" s="118">
        <f t="shared" ca="1" si="52"/>
        <v>-0.10011052423417502</v>
      </c>
      <c r="E365" s="119">
        <f t="shared" ca="1" si="53"/>
        <v>-1.0227466008693253</v>
      </c>
      <c r="F365" s="2">
        <f t="shared" ca="1" si="54"/>
        <v>0.05</v>
      </c>
      <c r="G365" s="2">
        <f t="shared" ca="1" si="55"/>
        <v>0.05</v>
      </c>
      <c r="H365" s="72">
        <f t="shared" ca="1" si="56"/>
        <v>3283.2251171200792</v>
      </c>
      <c r="I365" s="72">
        <f t="shared" ca="1" si="57"/>
        <v>1342.7489181356559</v>
      </c>
      <c r="J365" s="72">
        <f t="shared" ca="1" si="58"/>
        <v>4625.9740352557346</v>
      </c>
    </row>
    <row r="366" spans="2:10" x14ac:dyDescent="0.35">
      <c r="B366" s="118">
        <f t="shared" ca="1" si="59"/>
        <v>0.59419308287951234</v>
      </c>
      <c r="C366" s="119">
        <f t="shared" ca="1" si="59"/>
        <v>1.1254045558254935</v>
      </c>
      <c r="D366" s="118">
        <f t="shared" ca="1" si="52"/>
        <v>0.59419308287951234</v>
      </c>
      <c r="E366" s="119">
        <f t="shared" ca="1" si="53"/>
        <v>1.2215053829663045</v>
      </c>
      <c r="F366" s="2">
        <f t="shared" ca="1" si="54"/>
        <v>0.05</v>
      </c>
      <c r="G366" s="2" t="str">
        <f t="shared" ca="1" si="55"/>
        <v>D</v>
      </c>
      <c r="H366" s="72">
        <f t="shared" ca="1" si="56"/>
        <v>3283.2251171200792</v>
      </c>
      <c r="I366" s="72">
        <f t="shared" ca="1" si="57"/>
        <v>0</v>
      </c>
      <c r="J366" s="72">
        <f t="shared" ca="1" si="58"/>
        <v>3283.2251171200792</v>
      </c>
    </row>
    <row r="367" spans="2:10" x14ac:dyDescent="0.35">
      <c r="B367" s="118">
        <f t="shared" ca="1" si="59"/>
        <v>0.86300662703986897</v>
      </c>
      <c r="C367" s="119">
        <f t="shared" ca="1" si="59"/>
        <v>-1.5655943851894984</v>
      </c>
      <c r="D367" s="118">
        <f t="shared" ca="1" si="52"/>
        <v>0.86300662703986897</v>
      </c>
      <c r="E367" s="119">
        <f t="shared" ca="1" si="53"/>
        <v>-1.361361629744271</v>
      </c>
      <c r="F367" s="2">
        <f t="shared" ca="1" si="54"/>
        <v>0.12</v>
      </c>
      <c r="G367" s="2">
        <f t="shared" ca="1" si="55"/>
        <v>0.05</v>
      </c>
      <c r="H367" s="72">
        <f t="shared" ca="1" si="56"/>
        <v>3042.2414210881088</v>
      </c>
      <c r="I367" s="72">
        <f t="shared" ca="1" si="57"/>
        <v>1342.7489181356559</v>
      </c>
      <c r="J367" s="72">
        <f t="shared" ca="1" si="58"/>
        <v>4384.9903392237647</v>
      </c>
    </row>
    <row r="368" spans="2:10" x14ac:dyDescent="0.35">
      <c r="B368" s="118">
        <f t="shared" ca="1" si="59"/>
        <v>0.54114755563986672</v>
      </c>
      <c r="C368" s="119">
        <f t="shared" ca="1" si="59"/>
        <v>-0.83720618725945917</v>
      </c>
      <c r="D368" s="118">
        <f t="shared" ca="1" si="52"/>
        <v>0.54114755563986672</v>
      </c>
      <c r="E368" s="119">
        <f t="shared" ca="1" si="53"/>
        <v>-0.71206167618668981</v>
      </c>
      <c r="F368" s="2">
        <f t="shared" ca="1" si="54"/>
        <v>0.05</v>
      </c>
      <c r="G368" s="2">
        <f t="shared" ca="1" si="55"/>
        <v>0.12</v>
      </c>
      <c r="H368" s="72">
        <f t="shared" ca="1" si="56"/>
        <v>3283.2251171200792</v>
      </c>
      <c r="I368" s="72">
        <f t="shared" ca="1" si="57"/>
        <v>1150.1271898182279</v>
      </c>
      <c r="J368" s="72">
        <f t="shared" ca="1" si="58"/>
        <v>4433.3523069383073</v>
      </c>
    </row>
    <row r="369" spans="2:10" x14ac:dyDescent="0.35">
      <c r="B369" s="118">
        <f t="shared" ca="1" si="59"/>
        <v>0.12639265138422537</v>
      </c>
      <c r="C369" s="119">
        <f t="shared" ca="1" si="59"/>
        <v>-1.1525280659031372</v>
      </c>
      <c r="D369" s="118">
        <f t="shared" ca="1" si="52"/>
        <v>0.12639265138422537</v>
      </c>
      <c r="E369" s="119">
        <f t="shared" ca="1" si="53"/>
        <v>-1.1039637400029425</v>
      </c>
      <c r="F369" s="2">
        <f t="shared" ca="1" si="54"/>
        <v>0.05</v>
      </c>
      <c r="G369" s="2">
        <f t="shared" ca="1" si="55"/>
        <v>0.05</v>
      </c>
      <c r="H369" s="72">
        <f t="shared" ca="1" si="56"/>
        <v>3283.2251171200792</v>
      </c>
      <c r="I369" s="72">
        <f t="shared" ca="1" si="57"/>
        <v>1342.7489181356559</v>
      </c>
      <c r="J369" s="72">
        <f t="shared" ca="1" si="58"/>
        <v>4625.9740352557346</v>
      </c>
    </row>
    <row r="370" spans="2:10" x14ac:dyDescent="0.35">
      <c r="B370" s="118">
        <f t="shared" ca="1" si="59"/>
        <v>0.59332244661783229</v>
      </c>
      <c r="C370" s="119">
        <f t="shared" ca="1" si="59"/>
        <v>-0.75635510557289476</v>
      </c>
      <c r="D370" s="118">
        <f t="shared" ca="1" si="52"/>
        <v>0.59332244661783229</v>
      </c>
      <c r="E370" s="119">
        <f t="shared" ca="1" si="53"/>
        <v>-0.62240913987743096</v>
      </c>
      <c r="F370" s="2">
        <f t="shared" ca="1" si="54"/>
        <v>0.05</v>
      </c>
      <c r="G370" s="2">
        <f t="shared" ca="1" si="55"/>
        <v>0.12</v>
      </c>
      <c r="H370" s="72">
        <f t="shared" ca="1" si="56"/>
        <v>3283.2251171200792</v>
      </c>
      <c r="I370" s="72">
        <f t="shared" ca="1" si="57"/>
        <v>1150.1271898182279</v>
      </c>
      <c r="J370" s="72">
        <f t="shared" ca="1" si="58"/>
        <v>4433.3523069383073</v>
      </c>
    </row>
    <row r="371" spans="2:10" x14ac:dyDescent="0.35">
      <c r="B371" s="118">
        <f t="shared" ca="1" si="59"/>
        <v>0.34078064241489503</v>
      </c>
      <c r="C371" s="119">
        <f t="shared" ca="1" si="59"/>
        <v>0.86174398387745565</v>
      </c>
      <c r="D371" s="118">
        <f t="shared" ca="1" si="52"/>
        <v>0.34078064241489503</v>
      </c>
      <c r="E371" s="119">
        <f t="shared" ca="1" si="53"/>
        <v>0.91248934824815497</v>
      </c>
      <c r="F371" s="2">
        <f t="shared" ca="1" si="54"/>
        <v>0.05</v>
      </c>
      <c r="G371" s="2" t="str">
        <f t="shared" ca="1" si="55"/>
        <v>D</v>
      </c>
      <c r="H371" s="72">
        <f t="shared" ca="1" si="56"/>
        <v>3283.2251171200792</v>
      </c>
      <c r="I371" s="72">
        <f t="shared" ca="1" si="57"/>
        <v>0</v>
      </c>
      <c r="J371" s="72">
        <f t="shared" ca="1" si="58"/>
        <v>3283.2251171200792</v>
      </c>
    </row>
    <row r="372" spans="2:10" x14ac:dyDescent="0.35">
      <c r="B372" s="118">
        <f t="shared" ca="1" si="59"/>
        <v>1.5912942534792496</v>
      </c>
      <c r="C372" s="119">
        <f t="shared" ca="1" si="59"/>
        <v>-1.1460474942212491</v>
      </c>
      <c r="D372" s="118">
        <f t="shared" ca="1" si="52"/>
        <v>1.5912942534792496</v>
      </c>
      <c r="E372" s="119">
        <f t="shared" ca="1" si="53"/>
        <v>-0.80463378203907521</v>
      </c>
      <c r="F372" s="2" t="str">
        <f t="shared" ca="1" si="54"/>
        <v>D</v>
      </c>
      <c r="G372" s="2">
        <f t="shared" ca="1" si="55"/>
        <v>0.12</v>
      </c>
      <c r="H372" s="72">
        <f t="shared" ca="1" si="56"/>
        <v>0</v>
      </c>
      <c r="I372" s="72">
        <f t="shared" ca="1" si="57"/>
        <v>1150.1271898182279</v>
      </c>
      <c r="J372" s="72">
        <f t="shared" ca="1" si="58"/>
        <v>1150.1271898182279</v>
      </c>
    </row>
    <row r="373" spans="2:10" x14ac:dyDescent="0.35">
      <c r="B373" s="118">
        <f t="shared" ca="1" si="59"/>
        <v>0.54061568734106091</v>
      </c>
      <c r="C373" s="119">
        <f t="shared" ca="1" si="59"/>
        <v>1.27362769670575</v>
      </c>
      <c r="D373" s="118">
        <f t="shared" ca="1" si="52"/>
        <v>0.54061568734106091</v>
      </c>
      <c r="E373" s="119">
        <f t="shared" ca="1" si="53"/>
        <v>1.3560183291503318</v>
      </c>
      <c r="F373" s="2">
        <f t="shared" ca="1" si="54"/>
        <v>0.05</v>
      </c>
      <c r="G373" s="2" t="str">
        <f t="shared" ca="1" si="55"/>
        <v>D</v>
      </c>
      <c r="H373" s="72">
        <f t="shared" ca="1" si="56"/>
        <v>3283.2251171200792</v>
      </c>
      <c r="I373" s="72">
        <f t="shared" ca="1" si="57"/>
        <v>0</v>
      </c>
      <c r="J373" s="72">
        <f t="shared" ca="1" si="58"/>
        <v>3283.2251171200792</v>
      </c>
    </row>
    <row r="374" spans="2:10" x14ac:dyDescent="0.35">
      <c r="B374" s="118">
        <f t="shared" ca="1" si="59"/>
        <v>-1.348747651824368</v>
      </c>
      <c r="C374" s="119">
        <f t="shared" ca="1" si="59"/>
        <v>0.79219351851766506</v>
      </c>
      <c r="D374" s="118">
        <f t="shared" ca="1" si="52"/>
        <v>-1.348747651824368</v>
      </c>
      <c r="E374" s="119">
        <f t="shared" ca="1" si="53"/>
        <v>0.5064384287984609</v>
      </c>
      <c r="F374" s="2">
        <f t="shared" ca="1" si="54"/>
        <v>0.01</v>
      </c>
      <c r="G374" s="2">
        <f t="shared" ca="1" si="55"/>
        <v>0.12</v>
      </c>
      <c r="H374" s="72">
        <f t="shared" ca="1" si="56"/>
        <v>3443.7147154459058</v>
      </c>
      <c r="I374" s="72">
        <f t="shared" ca="1" si="57"/>
        <v>1150.1271898182279</v>
      </c>
      <c r="J374" s="72">
        <f t="shared" ca="1" si="58"/>
        <v>4593.8419052641339</v>
      </c>
    </row>
    <row r="375" spans="2:10" x14ac:dyDescent="0.35">
      <c r="B375" s="118">
        <f t="shared" ca="1" si="59"/>
        <v>-0.41564488560428547</v>
      </c>
      <c r="C375" s="119">
        <f t="shared" ca="1" si="59"/>
        <v>-0.52718815041886513</v>
      </c>
      <c r="D375" s="118">
        <f t="shared" ca="1" si="52"/>
        <v>-0.41564488560428547</v>
      </c>
      <c r="E375" s="119">
        <f t="shared" ca="1" si="53"/>
        <v>-0.5996657639079952</v>
      </c>
      <c r="F375" s="2">
        <f t="shared" ca="1" si="54"/>
        <v>0.05</v>
      </c>
      <c r="G375" s="2">
        <f t="shared" ca="1" si="55"/>
        <v>0.12</v>
      </c>
      <c r="H375" s="72">
        <f t="shared" ca="1" si="56"/>
        <v>3283.2251171200792</v>
      </c>
      <c r="I375" s="72">
        <f t="shared" ca="1" si="57"/>
        <v>1150.1271898182279</v>
      </c>
      <c r="J375" s="72">
        <f t="shared" ca="1" si="58"/>
        <v>4433.3523069383073</v>
      </c>
    </row>
    <row r="376" spans="2:10" x14ac:dyDescent="0.35">
      <c r="B376" s="118">
        <f t="shared" ca="1" si="59"/>
        <v>-0.7879100985200721</v>
      </c>
      <c r="C376" s="119">
        <f t="shared" ca="1" si="59"/>
        <v>0.66623193841854977</v>
      </c>
      <c r="D376" s="118">
        <f t="shared" ca="1" si="52"/>
        <v>-0.7879100985200721</v>
      </c>
      <c r="E376" s="119">
        <f t="shared" ca="1" si="53"/>
        <v>0.49518930008430218</v>
      </c>
      <c r="F376" s="2">
        <f t="shared" ca="1" si="54"/>
        <v>0.05</v>
      </c>
      <c r="G376" s="2">
        <f t="shared" ca="1" si="55"/>
        <v>0.12</v>
      </c>
      <c r="H376" s="72">
        <f t="shared" ca="1" si="56"/>
        <v>3283.2251171200792</v>
      </c>
      <c r="I376" s="72">
        <f t="shared" ca="1" si="57"/>
        <v>1150.1271898182279</v>
      </c>
      <c r="J376" s="72">
        <f t="shared" ca="1" si="58"/>
        <v>4433.3523069383073</v>
      </c>
    </row>
    <row r="377" spans="2:10" x14ac:dyDescent="0.35">
      <c r="B377" s="118">
        <f t="shared" ca="1" si="59"/>
        <v>-1.0564025479429848</v>
      </c>
      <c r="C377" s="119">
        <f t="shared" ca="1" si="59"/>
        <v>-1.0487844263319526</v>
      </c>
      <c r="D377" s="118">
        <f t="shared" ca="1" si="52"/>
        <v>-1.0564025479429848</v>
      </c>
      <c r="E377" s="119">
        <f t="shared" ca="1" si="53"/>
        <v>-1.23887518746494</v>
      </c>
      <c r="F377" s="2">
        <f t="shared" ca="1" si="54"/>
        <v>0.05</v>
      </c>
      <c r="G377" s="2">
        <f t="shared" ca="1" si="55"/>
        <v>0.05</v>
      </c>
      <c r="H377" s="72">
        <f t="shared" ca="1" si="56"/>
        <v>3283.2251171200792</v>
      </c>
      <c r="I377" s="72">
        <f t="shared" ca="1" si="57"/>
        <v>1342.7489181356559</v>
      </c>
      <c r="J377" s="72">
        <f t="shared" ca="1" si="58"/>
        <v>4625.9740352557346</v>
      </c>
    </row>
    <row r="378" spans="2:10" x14ac:dyDescent="0.35">
      <c r="B378" s="118">
        <f t="shared" ca="1" si="59"/>
        <v>-2.4618661965041739</v>
      </c>
      <c r="C378" s="119">
        <f t="shared" ca="1" si="59"/>
        <v>-0.28186027221627102</v>
      </c>
      <c r="D378" s="118">
        <f t="shared" ca="1" si="52"/>
        <v>-2.4618661965041739</v>
      </c>
      <c r="E378" s="119">
        <f t="shared" ca="1" si="53"/>
        <v>-0.76853877757756694</v>
      </c>
      <c r="F378" s="2">
        <f t="shared" ca="1" si="54"/>
        <v>0.01</v>
      </c>
      <c r="G378" s="2">
        <f t="shared" ca="1" si="55"/>
        <v>0.12</v>
      </c>
      <c r="H378" s="72">
        <f t="shared" ca="1" si="56"/>
        <v>3443.7147154459058</v>
      </c>
      <c r="I378" s="72">
        <f t="shared" ca="1" si="57"/>
        <v>1150.1271898182279</v>
      </c>
      <c r="J378" s="72">
        <f t="shared" ca="1" si="58"/>
        <v>4593.8419052641339</v>
      </c>
    </row>
    <row r="379" spans="2:10" x14ac:dyDescent="0.35">
      <c r="B379" s="118">
        <f t="shared" ca="1" si="59"/>
        <v>1.1954062400198509</v>
      </c>
      <c r="C379" s="119">
        <f t="shared" ca="1" si="59"/>
        <v>-0.81584232729497019</v>
      </c>
      <c r="D379" s="118">
        <f t="shared" ca="1" si="52"/>
        <v>1.1954062400198509</v>
      </c>
      <c r="E379" s="119">
        <f t="shared" ca="1" si="53"/>
        <v>-0.56027771697098405</v>
      </c>
      <c r="F379" s="2">
        <f t="shared" ca="1" si="54"/>
        <v>0.12</v>
      </c>
      <c r="G379" s="2">
        <f t="shared" ca="1" si="55"/>
        <v>0.12</v>
      </c>
      <c r="H379" s="72">
        <f t="shared" ca="1" si="56"/>
        <v>3042.2414210881088</v>
      </c>
      <c r="I379" s="72">
        <f t="shared" ca="1" si="57"/>
        <v>1150.1271898182279</v>
      </c>
      <c r="J379" s="72">
        <f t="shared" ca="1" si="58"/>
        <v>4192.3686109063365</v>
      </c>
    </row>
    <row r="380" spans="2:10" x14ac:dyDescent="0.35">
      <c r="B380" s="118">
        <f t="shared" ca="1" si="59"/>
        <v>1.0234983764285221</v>
      </c>
      <c r="C380" s="119">
        <f t="shared" ca="1" si="59"/>
        <v>0.76287998633224496</v>
      </c>
      <c r="D380" s="118">
        <f t="shared" ca="1" si="52"/>
        <v>1.0234983764285221</v>
      </c>
      <c r="E380" s="119">
        <f t="shared" ca="1" si="53"/>
        <v>0.95216635588386644</v>
      </c>
      <c r="F380" s="2">
        <f t="shared" ca="1" si="54"/>
        <v>0.12</v>
      </c>
      <c r="G380" s="2" t="str">
        <f t="shared" ca="1" si="55"/>
        <v>D</v>
      </c>
      <c r="H380" s="72">
        <f t="shared" ca="1" si="56"/>
        <v>3042.2414210881088</v>
      </c>
      <c r="I380" s="72">
        <f t="shared" ca="1" si="57"/>
        <v>0</v>
      </c>
      <c r="J380" s="72">
        <f t="shared" ca="1" si="58"/>
        <v>3042.2414210881088</v>
      </c>
    </row>
    <row r="381" spans="2:10" x14ac:dyDescent="0.35">
      <c r="B381" s="118">
        <f t="shared" ca="1" si="59"/>
        <v>-0.73636916140367303</v>
      </c>
      <c r="C381" s="119">
        <f t="shared" ca="1" si="59"/>
        <v>0.44883108640912456</v>
      </c>
      <c r="D381" s="118">
        <f t="shared" ca="1" si="52"/>
        <v>-0.73636916140367303</v>
      </c>
      <c r="E381" s="119">
        <f t="shared" ca="1" si="53"/>
        <v>0.29248902467981774</v>
      </c>
      <c r="F381" s="2">
        <f t="shared" ca="1" si="54"/>
        <v>0.05</v>
      </c>
      <c r="G381" s="2">
        <f t="shared" ca="1" si="55"/>
        <v>0.12</v>
      </c>
      <c r="H381" s="72">
        <f t="shared" ca="1" si="56"/>
        <v>3283.2251171200792</v>
      </c>
      <c r="I381" s="72">
        <f t="shared" ca="1" si="57"/>
        <v>1150.1271898182279</v>
      </c>
      <c r="J381" s="72">
        <f t="shared" ca="1" si="58"/>
        <v>4433.3523069383073</v>
      </c>
    </row>
    <row r="382" spans="2:10" x14ac:dyDescent="0.35">
      <c r="B382" s="118">
        <f t="shared" ca="1" si="59"/>
        <v>0.72203736624359494</v>
      </c>
      <c r="C382" s="119">
        <f t="shared" ca="1" si="59"/>
        <v>-0.82321336786289956</v>
      </c>
      <c r="D382" s="118">
        <f t="shared" ca="1" si="52"/>
        <v>0.72203736624359494</v>
      </c>
      <c r="E382" s="119">
        <f t="shared" ca="1" si="53"/>
        <v>-0.662173607032148</v>
      </c>
      <c r="F382" s="2">
        <f t="shared" ca="1" si="54"/>
        <v>0.05</v>
      </c>
      <c r="G382" s="2">
        <f t="shared" ca="1" si="55"/>
        <v>0.12</v>
      </c>
      <c r="H382" s="72">
        <f t="shared" ca="1" si="56"/>
        <v>3283.2251171200792</v>
      </c>
      <c r="I382" s="72">
        <f t="shared" ca="1" si="57"/>
        <v>1150.1271898182279</v>
      </c>
      <c r="J382" s="72">
        <f t="shared" ca="1" si="58"/>
        <v>4433.3523069383073</v>
      </c>
    </row>
    <row r="383" spans="2:10" x14ac:dyDescent="0.35">
      <c r="B383" s="118">
        <f t="shared" ca="1" si="59"/>
        <v>2.3574152944471174</v>
      </c>
      <c r="C383" s="119">
        <f t="shared" ca="1" si="59"/>
        <v>-0.74662161531859039</v>
      </c>
      <c r="D383" s="118">
        <f t="shared" ca="1" si="52"/>
        <v>2.3574152944471174</v>
      </c>
      <c r="E383" s="119">
        <f t="shared" ca="1" si="53"/>
        <v>-0.26005373649581448</v>
      </c>
      <c r="F383" s="2" t="str">
        <f t="shared" ca="1" si="54"/>
        <v>D</v>
      </c>
      <c r="G383" s="2">
        <f t="shared" ca="1" si="55"/>
        <v>0.12</v>
      </c>
      <c r="H383" s="72">
        <f t="shared" ca="1" si="56"/>
        <v>0</v>
      </c>
      <c r="I383" s="72">
        <f t="shared" ca="1" si="57"/>
        <v>1150.1271898182279</v>
      </c>
      <c r="J383" s="72">
        <f t="shared" ca="1" si="58"/>
        <v>1150.1271898182279</v>
      </c>
    </row>
    <row r="384" spans="2:10" x14ac:dyDescent="0.35">
      <c r="B384" s="118">
        <f t="shared" ref="B384:C403" ca="1" si="60">NORMSINV(RAND())</f>
        <v>-2.0049337128084628</v>
      </c>
      <c r="C384" s="119">
        <f t="shared" ca="1" si="60"/>
        <v>-0.55380869622378048</v>
      </c>
      <c r="D384" s="118">
        <f t="shared" ca="1" si="52"/>
        <v>-2.0049337128084628</v>
      </c>
      <c r="E384" s="119">
        <f t="shared" ca="1" si="53"/>
        <v>-0.9436062309074027</v>
      </c>
      <c r="F384" s="2">
        <f t="shared" ca="1" si="54"/>
        <v>0.01</v>
      </c>
      <c r="G384" s="2">
        <f t="shared" ca="1" si="55"/>
        <v>0.05</v>
      </c>
      <c r="H384" s="72">
        <f t="shared" ca="1" si="56"/>
        <v>3443.7147154459058</v>
      </c>
      <c r="I384" s="72">
        <f t="shared" ca="1" si="57"/>
        <v>1342.7489181356559</v>
      </c>
      <c r="J384" s="72">
        <f t="shared" ca="1" si="58"/>
        <v>4786.4636335815612</v>
      </c>
    </row>
    <row r="385" spans="2:10" x14ac:dyDescent="0.35">
      <c r="B385" s="118">
        <f t="shared" ca="1" si="60"/>
        <v>0.28772251834952706</v>
      </c>
      <c r="C385" s="119">
        <f t="shared" ca="1" si="60"/>
        <v>-1.3667390758651035</v>
      </c>
      <c r="D385" s="118">
        <f t="shared" ca="1" si="52"/>
        <v>0.28772251834952706</v>
      </c>
      <c r="E385" s="119">
        <f t="shared" ca="1" si="53"/>
        <v>-1.281580835287107</v>
      </c>
      <c r="F385" s="2">
        <f t="shared" ca="1" si="54"/>
        <v>0.05</v>
      </c>
      <c r="G385" s="2">
        <f t="shared" ca="1" si="55"/>
        <v>0.05</v>
      </c>
      <c r="H385" s="72">
        <f t="shared" ca="1" si="56"/>
        <v>3283.2251171200792</v>
      </c>
      <c r="I385" s="72">
        <f t="shared" ca="1" si="57"/>
        <v>1342.7489181356559</v>
      </c>
      <c r="J385" s="72">
        <f t="shared" ca="1" si="58"/>
        <v>4625.9740352557346</v>
      </c>
    </row>
    <row r="386" spans="2:10" x14ac:dyDescent="0.35">
      <c r="B386" s="118">
        <f t="shared" ca="1" si="60"/>
        <v>0.16652491655420132</v>
      </c>
      <c r="C386" s="119">
        <f t="shared" ca="1" si="60"/>
        <v>0.47334919658899022</v>
      </c>
      <c r="D386" s="118">
        <f t="shared" ca="1" si="52"/>
        <v>0.16652491655420132</v>
      </c>
      <c r="E386" s="119">
        <f t="shared" ca="1" si="53"/>
        <v>0.49709058403059608</v>
      </c>
      <c r="F386" s="2">
        <f t="shared" ca="1" si="54"/>
        <v>0.05</v>
      </c>
      <c r="G386" s="2">
        <f t="shared" ca="1" si="55"/>
        <v>0.12</v>
      </c>
      <c r="H386" s="72">
        <f t="shared" ca="1" si="56"/>
        <v>3283.2251171200792</v>
      </c>
      <c r="I386" s="72">
        <f t="shared" ca="1" si="57"/>
        <v>1150.1271898182279</v>
      </c>
      <c r="J386" s="72">
        <f t="shared" ca="1" si="58"/>
        <v>4433.3523069383073</v>
      </c>
    </row>
    <row r="387" spans="2:10" x14ac:dyDescent="0.35">
      <c r="B387" s="118">
        <f t="shared" ca="1" si="60"/>
        <v>-1.5886282970891987</v>
      </c>
      <c r="C387" s="119">
        <f t="shared" ca="1" si="60"/>
        <v>-1.55182850410295</v>
      </c>
      <c r="D387" s="118">
        <f t="shared" ca="1" si="52"/>
        <v>-1.5886282970891987</v>
      </c>
      <c r="E387" s="119">
        <f t="shared" ca="1" si="53"/>
        <v>-1.8382008607613354</v>
      </c>
      <c r="F387" s="2">
        <f t="shared" ca="1" si="54"/>
        <v>0.01</v>
      </c>
      <c r="G387" s="2">
        <f t="shared" ca="1" si="55"/>
        <v>0.01</v>
      </c>
      <c r="H387" s="72">
        <f t="shared" ca="1" si="56"/>
        <v>3443.7147154459058</v>
      </c>
      <c r="I387" s="72">
        <f t="shared" ca="1" si="57"/>
        <v>1479.2201120631812</v>
      </c>
      <c r="J387" s="72">
        <f t="shared" ca="1" si="58"/>
        <v>4922.934827509087</v>
      </c>
    </row>
    <row r="388" spans="2:10" x14ac:dyDescent="0.35">
      <c r="B388" s="118">
        <f t="shared" ca="1" si="60"/>
        <v>-0.30252622004428797</v>
      </c>
      <c r="C388" s="119">
        <f t="shared" ca="1" si="60"/>
        <v>0.41268520687428523</v>
      </c>
      <c r="D388" s="118">
        <f t="shared" ca="1" si="52"/>
        <v>-0.30252622004428797</v>
      </c>
      <c r="E388" s="119">
        <f t="shared" ca="1" si="53"/>
        <v>0.34384202848590861</v>
      </c>
      <c r="F388" s="2">
        <f t="shared" ca="1" si="54"/>
        <v>0.05</v>
      </c>
      <c r="G388" s="2">
        <f t="shared" ca="1" si="55"/>
        <v>0.12</v>
      </c>
      <c r="H388" s="72">
        <f t="shared" ca="1" si="56"/>
        <v>3283.2251171200792</v>
      </c>
      <c r="I388" s="72">
        <f t="shared" ca="1" si="57"/>
        <v>1150.1271898182279</v>
      </c>
      <c r="J388" s="72">
        <f t="shared" ca="1" si="58"/>
        <v>4433.3523069383073</v>
      </c>
    </row>
    <row r="389" spans="2:10" x14ac:dyDescent="0.35">
      <c r="B389" s="118">
        <f t="shared" ca="1" si="60"/>
        <v>-0.13151351370142247</v>
      </c>
      <c r="C389" s="119">
        <f t="shared" ca="1" si="60"/>
        <v>0.54473828381839817</v>
      </c>
      <c r="D389" s="118">
        <f t="shared" ca="1" si="52"/>
        <v>-0.13151351370142247</v>
      </c>
      <c r="E389" s="119">
        <f t="shared" ca="1" si="53"/>
        <v>0.50742963274550668</v>
      </c>
      <c r="F389" s="2">
        <f t="shared" ca="1" si="54"/>
        <v>0.05</v>
      </c>
      <c r="G389" s="2">
        <f t="shared" ca="1" si="55"/>
        <v>0.12</v>
      </c>
      <c r="H389" s="72">
        <f t="shared" ca="1" si="56"/>
        <v>3283.2251171200792</v>
      </c>
      <c r="I389" s="72">
        <f t="shared" ca="1" si="57"/>
        <v>1150.1271898182279</v>
      </c>
      <c r="J389" s="72">
        <f t="shared" ca="1" si="58"/>
        <v>4433.3523069383073</v>
      </c>
    </row>
    <row r="390" spans="2:10" x14ac:dyDescent="0.35">
      <c r="B390" s="118">
        <f t="shared" ca="1" si="60"/>
        <v>-0.91379071463336725</v>
      </c>
      <c r="C390" s="119">
        <f t="shared" ca="1" si="60"/>
        <v>1.4299775888203554</v>
      </c>
      <c r="D390" s="118">
        <f t="shared" ca="1" si="52"/>
        <v>-0.91379071463336725</v>
      </c>
      <c r="E390" s="119">
        <f t="shared" ca="1" si="53"/>
        <v>1.2183280315634391</v>
      </c>
      <c r="F390" s="2">
        <f t="shared" ca="1" si="54"/>
        <v>0.05</v>
      </c>
      <c r="G390" s="2" t="str">
        <f t="shared" ca="1" si="55"/>
        <v>D</v>
      </c>
      <c r="H390" s="72">
        <f t="shared" ca="1" si="56"/>
        <v>3283.2251171200792</v>
      </c>
      <c r="I390" s="72">
        <f t="shared" ca="1" si="57"/>
        <v>0</v>
      </c>
      <c r="J390" s="72">
        <f t="shared" ca="1" si="58"/>
        <v>3283.2251171200792</v>
      </c>
    </row>
    <row r="391" spans="2:10" x14ac:dyDescent="0.35">
      <c r="B391" s="118">
        <f t="shared" ca="1" si="60"/>
        <v>-0.43842476596958868</v>
      </c>
      <c r="C391" s="119">
        <f t="shared" ca="1" si="60"/>
        <v>0.23726046031331571</v>
      </c>
      <c r="D391" s="118">
        <f t="shared" ca="1" si="52"/>
        <v>-0.43842476596958868</v>
      </c>
      <c r="E391" s="119">
        <f t="shared" ca="1" si="53"/>
        <v>0.14478187236827511</v>
      </c>
      <c r="F391" s="2">
        <f t="shared" ca="1" si="54"/>
        <v>0.05</v>
      </c>
      <c r="G391" s="2">
        <f t="shared" ca="1" si="55"/>
        <v>0.12</v>
      </c>
      <c r="H391" s="72">
        <f t="shared" ca="1" si="56"/>
        <v>3283.2251171200792</v>
      </c>
      <c r="I391" s="72">
        <f t="shared" ca="1" si="57"/>
        <v>1150.1271898182279</v>
      </c>
      <c r="J391" s="72">
        <f t="shared" ca="1" si="58"/>
        <v>4433.3523069383073</v>
      </c>
    </row>
    <row r="392" spans="2:10" x14ac:dyDescent="0.35">
      <c r="B392" s="118">
        <f t="shared" ca="1" si="60"/>
        <v>3.8672484986453544E-2</v>
      </c>
      <c r="C392" s="119">
        <f t="shared" ca="1" si="60"/>
        <v>-0.50512394141180483</v>
      </c>
      <c r="D392" s="118">
        <f t="shared" ca="1" si="52"/>
        <v>3.8672484986453544E-2</v>
      </c>
      <c r="E392" s="119">
        <f t="shared" ca="1" si="53"/>
        <v>-0.48718386833168004</v>
      </c>
      <c r="F392" s="2">
        <f t="shared" ca="1" si="54"/>
        <v>0.05</v>
      </c>
      <c r="G392" s="2">
        <f t="shared" ca="1" si="55"/>
        <v>0.12</v>
      </c>
      <c r="H392" s="72">
        <f t="shared" ca="1" si="56"/>
        <v>3283.2251171200792</v>
      </c>
      <c r="I392" s="72">
        <f t="shared" ca="1" si="57"/>
        <v>1150.1271898182279</v>
      </c>
      <c r="J392" s="72">
        <f t="shared" ca="1" si="58"/>
        <v>4433.3523069383073</v>
      </c>
    </row>
    <row r="393" spans="2:10" x14ac:dyDescent="0.35">
      <c r="B393" s="118">
        <f t="shared" ca="1" si="60"/>
        <v>-1.4479548436586243</v>
      </c>
      <c r="C393" s="119">
        <f t="shared" ca="1" si="60"/>
        <v>-1.4726510402545261E-2</v>
      </c>
      <c r="D393" s="118">
        <f t="shared" ca="1" si="52"/>
        <v>-1.4479548436586243</v>
      </c>
      <c r="E393" s="119">
        <f t="shared" ca="1" si="53"/>
        <v>-0.30401994320293463</v>
      </c>
      <c r="F393" s="2">
        <f t="shared" ca="1" si="54"/>
        <v>0.01</v>
      </c>
      <c r="G393" s="2">
        <f t="shared" ca="1" si="55"/>
        <v>0.12</v>
      </c>
      <c r="H393" s="72">
        <f t="shared" ca="1" si="56"/>
        <v>3443.7147154459058</v>
      </c>
      <c r="I393" s="72">
        <f t="shared" ca="1" si="57"/>
        <v>1150.1271898182279</v>
      </c>
      <c r="J393" s="72">
        <f t="shared" ca="1" si="58"/>
        <v>4593.8419052641339</v>
      </c>
    </row>
    <row r="394" spans="2:10" x14ac:dyDescent="0.35">
      <c r="B394" s="118">
        <f t="shared" ca="1" si="60"/>
        <v>-0.15793246869227928</v>
      </c>
      <c r="C394" s="119">
        <f t="shared" ca="1" si="60"/>
        <v>0.50474505298054839</v>
      </c>
      <c r="D394" s="118">
        <f t="shared" ca="1" si="52"/>
        <v>-0.15793246869227928</v>
      </c>
      <c r="E394" s="119">
        <f t="shared" ca="1" si="53"/>
        <v>0.46296063826010614</v>
      </c>
      <c r="F394" s="2">
        <f t="shared" ca="1" si="54"/>
        <v>0.05</v>
      </c>
      <c r="G394" s="2">
        <f t="shared" ca="1" si="55"/>
        <v>0.12</v>
      </c>
      <c r="H394" s="72">
        <f t="shared" ca="1" si="56"/>
        <v>3283.2251171200792</v>
      </c>
      <c r="I394" s="72">
        <f t="shared" ca="1" si="57"/>
        <v>1150.1271898182279</v>
      </c>
      <c r="J394" s="72">
        <f t="shared" ca="1" si="58"/>
        <v>4433.3523069383073</v>
      </c>
    </row>
    <row r="395" spans="2:10" x14ac:dyDescent="0.35">
      <c r="B395" s="118">
        <f t="shared" ca="1" si="60"/>
        <v>-0.21267728024126237</v>
      </c>
      <c r="C395" s="119">
        <f t="shared" ca="1" si="60"/>
        <v>-1.0504623013054806</v>
      </c>
      <c r="D395" s="118">
        <f t="shared" ca="1" si="52"/>
        <v>-0.21267728024126237</v>
      </c>
      <c r="E395" s="119">
        <f t="shared" ca="1" si="53"/>
        <v>-1.0717741089395272</v>
      </c>
      <c r="F395" s="2">
        <f t="shared" ca="1" si="54"/>
        <v>0.05</v>
      </c>
      <c r="G395" s="2">
        <f t="shared" ca="1" si="55"/>
        <v>0.05</v>
      </c>
      <c r="H395" s="72">
        <f t="shared" ca="1" si="56"/>
        <v>3283.2251171200792</v>
      </c>
      <c r="I395" s="72">
        <f t="shared" ca="1" si="57"/>
        <v>1342.7489181356559</v>
      </c>
      <c r="J395" s="72">
        <f t="shared" ca="1" si="58"/>
        <v>4625.9740352557346</v>
      </c>
    </row>
    <row r="396" spans="2:10" x14ac:dyDescent="0.35">
      <c r="B396" s="118">
        <f t="shared" ca="1" si="60"/>
        <v>-0.29210869844416448</v>
      </c>
      <c r="C396" s="119">
        <f t="shared" ca="1" si="60"/>
        <v>-1.3968922740085954</v>
      </c>
      <c r="D396" s="118">
        <f t="shared" ca="1" si="52"/>
        <v>-0.29210869844416448</v>
      </c>
      <c r="E396" s="119">
        <f t="shared" ca="1" si="53"/>
        <v>-1.4270910584716821</v>
      </c>
      <c r="F396" s="2">
        <f t="shared" ca="1" si="54"/>
        <v>0.05</v>
      </c>
      <c r="G396" s="2">
        <f t="shared" ca="1" si="55"/>
        <v>0.05</v>
      </c>
      <c r="H396" s="72">
        <f t="shared" ca="1" si="56"/>
        <v>3283.2251171200792</v>
      </c>
      <c r="I396" s="72">
        <f t="shared" ca="1" si="57"/>
        <v>1342.7489181356559</v>
      </c>
      <c r="J396" s="72">
        <f t="shared" ca="1" si="58"/>
        <v>4625.9740352557346</v>
      </c>
    </row>
    <row r="397" spans="2:10" x14ac:dyDescent="0.35">
      <c r="B397" s="118">
        <f t="shared" ca="1" si="60"/>
        <v>-0.35486911036007679</v>
      </c>
      <c r="C397" s="119">
        <f t="shared" ca="1" si="60"/>
        <v>-0.58797457689183485</v>
      </c>
      <c r="D397" s="118">
        <f t="shared" ca="1" si="52"/>
        <v>-0.35486911036007679</v>
      </c>
      <c r="E397" s="119">
        <f t="shared" ca="1" si="53"/>
        <v>-0.6470689001175467</v>
      </c>
      <c r="F397" s="2">
        <f t="shared" ca="1" si="54"/>
        <v>0.05</v>
      </c>
      <c r="G397" s="2">
        <f t="shared" ca="1" si="55"/>
        <v>0.12</v>
      </c>
      <c r="H397" s="72">
        <f t="shared" ca="1" si="56"/>
        <v>3283.2251171200792</v>
      </c>
      <c r="I397" s="72">
        <f t="shared" ca="1" si="57"/>
        <v>1150.1271898182279</v>
      </c>
      <c r="J397" s="72">
        <f t="shared" ca="1" si="58"/>
        <v>4433.3523069383073</v>
      </c>
    </row>
    <row r="398" spans="2:10" x14ac:dyDescent="0.35">
      <c r="B398" s="118">
        <f t="shared" ca="1" si="60"/>
        <v>-9.0132976194441938E-2</v>
      </c>
      <c r="C398" s="119">
        <f t="shared" ca="1" si="60"/>
        <v>-1.3396632436278049</v>
      </c>
      <c r="D398" s="118">
        <f t="shared" ca="1" si="52"/>
        <v>-9.0132976194441938E-2</v>
      </c>
      <c r="E398" s="119">
        <f t="shared" ca="1" si="53"/>
        <v>-1.3306231448588681</v>
      </c>
      <c r="F398" s="2">
        <f t="shared" ca="1" si="54"/>
        <v>0.05</v>
      </c>
      <c r="G398" s="2">
        <f t="shared" ca="1" si="55"/>
        <v>0.05</v>
      </c>
      <c r="H398" s="72">
        <f t="shared" ca="1" si="56"/>
        <v>3283.2251171200792</v>
      </c>
      <c r="I398" s="72">
        <f t="shared" ca="1" si="57"/>
        <v>1342.7489181356559</v>
      </c>
      <c r="J398" s="72">
        <f t="shared" ca="1" si="58"/>
        <v>4625.9740352557346</v>
      </c>
    </row>
    <row r="399" spans="2:10" x14ac:dyDescent="0.35">
      <c r="B399" s="118">
        <f t="shared" ca="1" si="60"/>
        <v>2.492014950375669</v>
      </c>
      <c r="C399" s="119">
        <f t="shared" ca="1" si="60"/>
        <v>-3.2497457823711433E-2</v>
      </c>
      <c r="D399" s="118">
        <f t="shared" ca="1" si="52"/>
        <v>2.492014950375669</v>
      </c>
      <c r="E399" s="119">
        <f t="shared" ca="1" si="53"/>
        <v>0.46656211423284977</v>
      </c>
      <c r="F399" s="2" t="str">
        <f t="shared" ca="1" si="54"/>
        <v>D</v>
      </c>
      <c r="G399" s="2">
        <f t="shared" ca="1" si="55"/>
        <v>0.12</v>
      </c>
      <c r="H399" s="72">
        <f t="shared" ca="1" si="56"/>
        <v>0</v>
      </c>
      <c r="I399" s="72">
        <f t="shared" ca="1" si="57"/>
        <v>1150.1271898182279</v>
      </c>
      <c r="J399" s="72">
        <f t="shared" ca="1" si="58"/>
        <v>1150.1271898182279</v>
      </c>
    </row>
    <row r="400" spans="2:10" x14ac:dyDescent="0.35">
      <c r="B400" s="118">
        <f t="shared" ca="1" si="60"/>
        <v>-0.69746681353067164</v>
      </c>
      <c r="C400" s="119">
        <f t="shared" ca="1" si="60"/>
        <v>1.2330061986659389</v>
      </c>
      <c r="D400" s="118">
        <f t="shared" ca="1" si="52"/>
        <v>-0.69746681353067164</v>
      </c>
      <c r="E400" s="119">
        <f t="shared" ca="1" si="53"/>
        <v>1.0686010518619835</v>
      </c>
      <c r="F400" s="2">
        <f t="shared" ca="1" si="54"/>
        <v>0.05</v>
      </c>
      <c r="G400" s="2" t="str">
        <f t="shared" ca="1" si="55"/>
        <v>D</v>
      </c>
      <c r="H400" s="72">
        <f t="shared" ca="1" si="56"/>
        <v>3283.2251171200792</v>
      </c>
      <c r="I400" s="72">
        <f t="shared" ca="1" si="57"/>
        <v>0</v>
      </c>
      <c r="J400" s="72">
        <f t="shared" ca="1" si="58"/>
        <v>3283.2251171200792</v>
      </c>
    </row>
    <row r="401" spans="2:10" x14ac:dyDescent="0.35">
      <c r="B401" s="118">
        <f t="shared" ca="1" si="60"/>
        <v>0.20147770414234309</v>
      </c>
      <c r="C401" s="119">
        <f t="shared" ca="1" si="60"/>
        <v>-0.41643328124065093</v>
      </c>
      <c r="D401" s="118">
        <f t="shared" ca="1" si="52"/>
        <v>0.20147770414234309</v>
      </c>
      <c r="E401" s="119">
        <f t="shared" ca="1" si="53"/>
        <v>-0.36772407955253816</v>
      </c>
      <c r="F401" s="2">
        <f t="shared" ca="1" si="54"/>
        <v>0.05</v>
      </c>
      <c r="G401" s="2">
        <f t="shared" ca="1" si="55"/>
        <v>0.12</v>
      </c>
      <c r="H401" s="72">
        <f t="shared" ca="1" si="56"/>
        <v>3283.2251171200792</v>
      </c>
      <c r="I401" s="72">
        <f t="shared" ca="1" si="57"/>
        <v>1150.1271898182279</v>
      </c>
      <c r="J401" s="72">
        <f t="shared" ca="1" si="58"/>
        <v>4433.3523069383073</v>
      </c>
    </row>
    <row r="402" spans="2:10" x14ac:dyDescent="0.35">
      <c r="B402" s="118">
        <f t="shared" ca="1" si="60"/>
        <v>0.47169159941095923</v>
      </c>
      <c r="C402" s="119">
        <f t="shared" ca="1" si="60"/>
        <v>0.19090499240841141</v>
      </c>
      <c r="D402" s="118">
        <f t="shared" ca="1" si="52"/>
        <v>0.47169159941095923</v>
      </c>
      <c r="E402" s="119">
        <f t="shared" ca="1" si="53"/>
        <v>0.28138624818239355</v>
      </c>
      <c r="F402" s="2">
        <f t="shared" ca="1" si="54"/>
        <v>0.05</v>
      </c>
      <c r="G402" s="2">
        <f t="shared" ca="1" si="55"/>
        <v>0.12</v>
      </c>
      <c r="H402" s="72">
        <f t="shared" ca="1" si="56"/>
        <v>3283.2251171200792</v>
      </c>
      <c r="I402" s="72">
        <f t="shared" ca="1" si="57"/>
        <v>1150.1271898182279</v>
      </c>
      <c r="J402" s="72">
        <f t="shared" ca="1" si="58"/>
        <v>4433.3523069383073</v>
      </c>
    </row>
    <row r="403" spans="2:10" x14ac:dyDescent="0.35">
      <c r="B403" s="118">
        <f t="shared" ca="1" si="60"/>
        <v>-1.0797797197003778</v>
      </c>
      <c r="C403" s="119">
        <f t="shared" ca="1" si="60"/>
        <v>1.9730833495471047</v>
      </c>
      <c r="D403" s="118">
        <f t="shared" ca="1" si="52"/>
        <v>-1.0797797197003778</v>
      </c>
      <c r="E403" s="119">
        <f t="shared" ca="1" si="53"/>
        <v>1.7172630266086879</v>
      </c>
      <c r="F403" s="2">
        <f t="shared" ca="1" si="54"/>
        <v>0.05</v>
      </c>
      <c r="G403" s="2" t="str">
        <f t="shared" ca="1" si="55"/>
        <v>D</v>
      </c>
      <c r="H403" s="72">
        <f t="shared" ca="1" si="56"/>
        <v>3283.2251171200792</v>
      </c>
      <c r="I403" s="72">
        <f t="shared" ca="1" si="57"/>
        <v>0</v>
      </c>
      <c r="J403" s="72">
        <f t="shared" ca="1" si="58"/>
        <v>3283.2251171200792</v>
      </c>
    </row>
    <row r="404" spans="2:10" x14ac:dyDescent="0.35">
      <c r="B404" s="118">
        <f t="shared" ref="B404:C423" ca="1" si="61">NORMSINV(RAND())</f>
        <v>-1.4481808716539473</v>
      </c>
      <c r="C404" s="119">
        <f t="shared" ca="1" si="61"/>
        <v>1.3367356314878771</v>
      </c>
      <c r="D404" s="118">
        <f t="shared" ca="1" si="52"/>
        <v>-1.4481808716539473</v>
      </c>
      <c r="E404" s="119">
        <f t="shared" ca="1" si="53"/>
        <v>1.0200919129261501</v>
      </c>
      <c r="F404" s="2">
        <f t="shared" ca="1" si="54"/>
        <v>0.01</v>
      </c>
      <c r="G404" s="2" t="str">
        <f t="shared" ca="1" si="55"/>
        <v>D</v>
      </c>
      <c r="H404" s="72">
        <f t="shared" ca="1" si="56"/>
        <v>3443.7147154459058</v>
      </c>
      <c r="I404" s="72">
        <f t="shared" ca="1" si="57"/>
        <v>0</v>
      </c>
      <c r="J404" s="72">
        <f t="shared" ca="1" si="58"/>
        <v>3443.7147154459058</v>
      </c>
    </row>
    <row r="405" spans="2:10" x14ac:dyDescent="0.35">
      <c r="B405" s="118">
        <f t="shared" ca="1" si="61"/>
        <v>1.0159113386701211</v>
      </c>
      <c r="C405" s="119">
        <f t="shared" ca="1" si="61"/>
        <v>0.62568399240930495</v>
      </c>
      <c r="D405" s="118">
        <f t="shared" ca="1" si="52"/>
        <v>1.0159113386701211</v>
      </c>
      <c r="E405" s="119">
        <f t="shared" ca="1" si="53"/>
        <v>0.81622487638611241</v>
      </c>
      <c r="F405" s="2">
        <f t="shared" ca="1" si="54"/>
        <v>0.12</v>
      </c>
      <c r="G405" s="2">
        <f t="shared" ca="1" si="55"/>
        <v>0.12</v>
      </c>
      <c r="H405" s="72">
        <f t="shared" ca="1" si="56"/>
        <v>3042.2414210881088</v>
      </c>
      <c r="I405" s="72">
        <f t="shared" ca="1" si="57"/>
        <v>1150.1271898182279</v>
      </c>
      <c r="J405" s="72">
        <f t="shared" ca="1" si="58"/>
        <v>4192.3686109063365</v>
      </c>
    </row>
    <row r="406" spans="2:10" x14ac:dyDescent="0.35">
      <c r="B406" s="118">
        <f t="shared" ca="1" si="61"/>
        <v>1.4511850813542473</v>
      </c>
      <c r="C406" s="119">
        <f t="shared" ca="1" si="61"/>
        <v>-0.2221565557690125</v>
      </c>
      <c r="D406" s="118">
        <f t="shared" ca="1" si="52"/>
        <v>1.4511850813542473</v>
      </c>
      <c r="E406" s="119">
        <f t="shared" ca="1" si="53"/>
        <v>7.2568934411555402E-2</v>
      </c>
      <c r="F406" s="2" t="str">
        <f t="shared" ca="1" si="54"/>
        <v>D</v>
      </c>
      <c r="G406" s="2">
        <f t="shared" ca="1" si="55"/>
        <v>0.12</v>
      </c>
      <c r="H406" s="72">
        <f t="shared" ca="1" si="56"/>
        <v>0</v>
      </c>
      <c r="I406" s="72">
        <f t="shared" ca="1" si="57"/>
        <v>1150.1271898182279</v>
      </c>
      <c r="J406" s="72">
        <f t="shared" ca="1" si="58"/>
        <v>1150.1271898182279</v>
      </c>
    </row>
    <row r="407" spans="2:10" x14ac:dyDescent="0.35">
      <c r="B407" s="118">
        <f t="shared" ca="1" si="61"/>
        <v>-0.40599331907651681</v>
      </c>
      <c r="C407" s="119">
        <f t="shared" ca="1" si="61"/>
        <v>1.0744095665573452</v>
      </c>
      <c r="D407" s="118">
        <f t="shared" ca="1" si="52"/>
        <v>-0.40599331907651681</v>
      </c>
      <c r="E407" s="119">
        <f t="shared" ca="1" si="53"/>
        <v>0.97150342131683154</v>
      </c>
      <c r="F407" s="2">
        <f t="shared" ca="1" si="54"/>
        <v>0.05</v>
      </c>
      <c r="G407" s="2" t="str">
        <f t="shared" ca="1" si="55"/>
        <v>D</v>
      </c>
      <c r="H407" s="72">
        <f t="shared" ca="1" si="56"/>
        <v>3283.2251171200792</v>
      </c>
      <c r="I407" s="72">
        <f t="shared" ca="1" si="57"/>
        <v>0</v>
      </c>
      <c r="J407" s="72">
        <f t="shared" ca="1" si="58"/>
        <v>3283.2251171200792</v>
      </c>
    </row>
    <row r="408" spans="2:10" x14ac:dyDescent="0.35">
      <c r="B408" s="118">
        <f t="shared" ca="1" si="61"/>
        <v>-4.5953053996084445E-2</v>
      </c>
      <c r="C408" s="119">
        <f t="shared" ca="1" si="61"/>
        <v>-0.65855007820274936</v>
      </c>
      <c r="D408" s="118">
        <f t="shared" ref="D408:D471" ca="1" si="62">+B408</f>
        <v>-4.5953053996084445E-2</v>
      </c>
      <c r="E408" s="119">
        <f t="shared" ref="E408:E471" ca="1" si="63">+$C$21*B408+C408*(1-$C$21^2)^0.5</f>
        <v>-0.65443527546589464</v>
      </c>
      <c r="F408" s="2">
        <f t="shared" ref="F408:F471" ca="1" si="64">+IF(D408&lt;$I$17,$H$17,IF(D408&lt;$I$18,$H$18,IF(D408&lt;$I$19,$H$19,$H$20)))</f>
        <v>0.05</v>
      </c>
      <c r="G408" s="2">
        <f t="shared" ref="G408:G471" ca="1" si="65">+IF(E408&lt;$J$17,$H$17,IF(E408&lt;$J$18,$H$18,IF(E408&lt;$J$19,$H$19,$H$20)))</f>
        <v>0.12</v>
      </c>
      <c r="H408" s="72">
        <f t="shared" ref="H408:H471" ca="1" si="66">+IF(F408="D",0,$C$10+NPV($E$10+F408,$C$11:$C$13))</f>
        <v>3283.2251171200792</v>
      </c>
      <c r="I408" s="72">
        <f t="shared" ref="I408:I471" ca="1" si="67">+IF(G408="D",0,$D$10+NPV($E$10+G408,$D$11:$D$14))</f>
        <v>1150.1271898182279</v>
      </c>
      <c r="J408" s="72">
        <f t="shared" ref="J408:J471" ca="1" si="68">+I408+H408</f>
        <v>4433.3523069383073</v>
      </c>
    </row>
    <row r="409" spans="2:10" x14ac:dyDescent="0.35">
      <c r="B409" s="118">
        <f t="shared" ca="1" si="61"/>
        <v>0.49244756183446903</v>
      </c>
      <c r="C409" s="119">
        <f t="shared" ca="1" si="61"/>
        <v>-0.13858221250405858</v>
      </c>
      <c r="D409" s="118">
        <f t="shared" ca="1" si="62"/>
        <v>0.49244756183446903</v>
      </c>
      <c r="E409" s="119">
        <f t="shared" ca="1" si="63"/>
        <v>-3.7292770857462257E-2</v>
      </c>
      <c r="F409" s="2">
        <f t="shared" ca="1" si="64"/>
        <v>0.05</v>
      </c>
      <c r="G409" s="2">
        <f t="shared" ca="1" si="65"/>
        <v>0.12</v>
      </c>
      <c r="H409" s="72">
        <f t="shared" ca="1" si="66"/>
        <v>3283.2251171200792</v>
      </c>
      <c r="I409" s="72">
        <f t="shared" ca="1" si="67"/>
        <v>1150.1271898182279</v>
      </c>
      <c r="J409" s="72">
        <f t="shared" ca="1" si="68"/>
        <v>4433.3523069383073</v>
      </c>
    </row>
    <row r="410" spans="2:10" x14ac:dyDescent="0.35">
      <c r="B410" s="118">
        <f t="shared" ca="1" si="61"/>
        <v>-0.55240882511270151</v>
      </c>
      <c r="C410" s="119">
        <f t="shared" ca="1" si="61"/>
        <v>-1.2420756258614891</v>
      </c>
      <c r="D410" s="118">
        <f t="shared" ca="1" si="62"/>
        <v>-0.55240882511270151</v>
      </c>
      <c r="E410" s="119">
        <f t="shared" ca="1" si="63"/>
        <v>-1.3274623671460257</v>
      </c>
      <c r="F410" s="2">
        <f t="shared" ca="1" si="64"/>
        <v>0.05</v>
      </c>
      <c r="G410" s="2">
        <f t="shared" ca="1" si="65"/>
        <v>0.05</v>
      </c>
      <c r="H410" s="72">
        <f t="shared" ca="1" si="66"/>
        <v>3283.2251171200792</v>
      </c>
      <c r="I410" s="72">
        <f t="shared" ca="1" si="67"/>
        <v>1342.7489181356559</v>
      </c>
      <c r="J410" s="72">
        <f t="shared" ca="1" si="68"/>
        <v>4625.9740352557346</v>
      </c>
    </row>
    <row r="411" spans="2:10" x14ac:dyDescent="0.35">
      <c r="B411" s="118">
        <f t="shared" ca="1" si="61"/>
        <v>-1.5108155424949747</v>
      </c>
      <c r="C411" s="119">
        <f t="shared" ca="1" si="61"/>
        <v>1.0125304816617597</v>
      </c>
      <c r="D411" s="118">
        <f t="shared" ca="1" si="62"/>
        <v>-1.5108155424949747</v>
      </c>
      <c r="E411" s="119">
        <f t="shared" ca="1" si="63"/>
        <v>0.68991010313532153</v>
      </c>
      <c r="F411" s="2">
        <f t="shared" ca="1" si="64"/>
        <v>0.01</v>
      </c>
      <c r="G411" s="2">
        <f t="shared" ca="1" si="65"/>
        <v>0.12</v>
      </c>
      <c r="H411" s="72">
        <f t="shared" ca="1" si="66"/>
        <v>3443.7147154459058</v>
      </c>
      <c r="I411" s="72">
        <f t="shared" ca="1" si="67"/>
        <v>1150.1271898182279</v>
      </c>
      <c r="J411" s="72">
        <f t="shared" ca="1" si="68"/>
        <v>4593.8419052641339</v>
      </c>
    </row>
    <row r="412" spans="2:10" x14ac:dyDescent="0.35">
      <c r="B412" s="118">
        <f t="shared" ca="1" si="61"/>
        <v>-0.87084672099273608</v>
      </c>
      <c r="C412" s="119">
        <f t="shared" ca="1" si="61"/>
        <v>-1.7654881850329174</v>
      </c>
      <c r="D412" s="118">
        <f t="shared" ca="1" si="62"/>
        <v>-0.87084672099273608</v>
      </c>
      <c r="E412" s="119">
        <f t="shared" ca="1" si="63"/>
        <v>-1.9039874242957555</v>
      </c>
      <c r="F412" s="2">
        <f t="shared" ca="1" si="64"/>
        <v>0.05</v>
      </c>
      <c r="G412" s="2">
        <f t="shared" ca="1" si="65"/>
        <v>0.01</v>
      </c>
      <c r="H412" s="72">
        <f t="shared" ca="1" si="66"/>
        <v>3283.2251171200792</v>
      </c>
      <c r="I412" s="72">
        <f t="shared" ca="1" si="67"/>
        <v>1479.2201120631812</v>
      </c>
      <c r="J412" s="72">
        <f t="shared" ca="1" si="68"/>
        <v>4762.4452291832604</v>
      </c>
    </row>
    <row r="413" spans="2:10" x14ac:dyDescent="0.35">
      <c r="B413" s="118">
        <f t="shared" ca="1" si="61"/>
        <v>-0.20827266048041984</v>
      </c>
      <c r="C413" s="119">
        <f t="shared" ca="1" si="61"/>
        <v>1.2256330351411295</v>
      </c>
      <c r="D413" s="118">
        <f t="shared" ca="1" si="62"/>
        <v>-0.20827266048041984</v>
      </c>
      <c r="E413" s="119">
        <f t="shared" ca="1" si="63"/>
        <v>1.1592156871016805</v>
      </c>
      <c r="F413" s="2">
        <f t="shared" ca="1" si="64"/>
        <v>0.05</v>
      </c>
      <c r="G413" s="2" t="str">
        <f t="shared" ca="1" si="65"/>
        <v>D</v>
      </c>
      <c r="H413" s="72">
        <f t="shared" ca="1" si="66"/>
        <v>3283.2251171200792</v>
      </c>
      <c r="I413" s="72">
        <f t="shared" ca="1" si="67"/>
        <v>0</v>
      </c>
      <c r="J413" s="72">
        <f t="shared" ca="1" si="68"/>
        <v>3283.2251171200792</v>
      </c>
    </row>
    <row r="414" spans="2:10" x14ac:dyDescent="0.35">
      <c r="B414" s="118">
        <f t="shared" ca="1" si="61"/>
        <v>-2.3212547256225843E-2</v>
      </c>
      <c r="C414" s="119">
        <f t="shared" ca="1" si="61"/>
        <v>0.6117794108954514</v>
      </c>
      <c r="D414" s="118">
        <f t="shared" ca="1" si="62"/>
        <v>-2.3212547256225843E-2</v>
      </c>
      <c r="E414" s="119">
        <f t="shared" ca="1" si="63"/>
        <v>0.59477644728249224</v>
      </c>
      <c r="F414" s="2">
        <f t="shared" ca="1" si="64"/>
        <v>0.05</v>
      </c>
      <c r="G414" s="2">
        <f t="shared" ca="1" si="65"/>
        <v>0.12</v>
      </c>
      <c r="H414" s="72">
        <f t="shared" ca="1" si="66"/>
        <v>3283.2251171200792</v>
      </c>
      <c r="I414" s="72">
        <f t="shared" ca="1" si="67"/>
        <v>1150.1271898182279</v>
      </c>
      <c r="J414" s="72">
        <f t="shared" ca="1" si="68"/>
        <v>4433.3523069383073</v>
      </c>
    </row>
    <row r="415" spans="2:10" x14ac:dyDescent="0.35">
      <c r="B415" s="118">
        <f t="shared" ca="1" si="61"/>
        <v>-0.64317107432262888</v>
      </c>
      <c r="C415" s="119">
        <f t="shared" ca="1" si="61"/>
        <v>1.6186466593068485</v>
      </c>
      <c r="D415" s="118">
        <f t="shared" ca="1" si="62"/>
        <v>-0.64317107432262888</v>
      </c>
      <c r="E415" s="119">
        <f t="shared" ca="1" si="63"/>
        <v>1.4573091408004273</v>
      </c>
      <c r="F415" s="2">
        <f t="shared" ca="1" si="64"/>
        <v>0.05</v>
      </c>
      <c r="G415" s="2" t="str">
        <f t="shared" ca="1" si="65"/>
        <v>D</v>
      </c>
      <c r="H415" s="72">
        <f t="shared" ca="1" si="66"/>
        <v>3283.2251171200792</v>
      </c>
      <c r="I415" s="72">
        <f t="shared" ca="1" si="67"/>
        <v>0</v>
      </c>
      <c r="J415" s="72">
        <f t="shared" ca="1" si="68"/>
        <v>3283.2251171200792</v>
      </c>
    </row>
    <row r="416" spans="2:10" x14ac:dyDescent="0.35">
      <c r="B416" s="118">
        <f t="shared" ca="1" si="61"/>
        <v>0.5977895375812613</v>
      </c>
      <c r="C416" s="119">
        <f t="shared" ca="1" si="61"/>
        <v>1.1341942263099716</v>
      </c>
      <c r="D416" s="118">
        <f t="shared" ca="1" si="62"/>
        <v>0.5977895375812613</v>
      </c>
      <c r="E416" s="119">
        <f t="shared" ca="1" si="63"/>
        <v>1.2308367569843235</v>
      </c>
      <c r="F416" s="2">
        <f t="shared" ca="1" si="64"/>
        <v>0.05</v>
      </c>
      <c r="G416" s="2" t="str">
        <f t="shared" ca="1" si="65"/>
        <v>D</v>
      </c>
      <c r="H416" s="72">
        <f t="shared" ca="1" si="66"/>
        <v>3283.2251171200792</v>
      </c>
      <c r="I416" s="72">
        <f t="shared" ca="1" si="67"/>
        <v>0</v>
      </c>
      <c r="J416" s="72">
        <f t="shared" ca="1" si="68"/>
        <v>3283.2251171200792</v>
      </c>
    </row>
    <row r="417" spans="2:10" x14ac:dyDescent="0.35">
      <c r="B417" s="118">
        <f t="shared" ca="1" si="61"/>
        <v>0.20751782780501829</v>
      </c>
      <c r="C417" s="119">
        <f t="shared" ca="1" si="61"/>
        <v>0.59865344499562501</v>
      </c>
      <c r="D417" s="118">
        <f t="shared" ca="1" si="62"/>
        <v>0.20751782780501829</v>
      </c>
      <c r="E417" s="119">
        <f t="shared" ca="1" si="63"/>
        <v>0.62806175476044246</v>
      </c>
      <c r="F417" s="2">
        <f t="shared" ca="1" si="64"/>
        <v>0.05</v>
      </c>
      <c r="G417" s="2">
        <f t="shared" ca="1" si="65"/>
        <v>0.12</v>
      </c>
      <c r="H417" s="72">
        <f t="shared" ca="1" si="66"/>
        <v>3283.2251171200792</v>
      </c>
      <c r="I417" s="72">
        <f t="shared" ca="1" si="67"/>
        <v>1150.1271898182279</v>
      </c>
      <c r="J417" s="72">
        <f t="shared" ca="1" si="68"/>
        <v>4433.3523069383073</v>
      </c>
    </row>
    <row r="418" spans="2:10" x14ac:dyDescent="0.35">
      <c r="B418" s="118">
        <f t="shared" ca="1" si="61"/>
        <v>1.5549359523898483</v>
      </c>
      <c r="C418" s="119">
        <f t="shared" ca="1" si="61"/>
        <v>-0.75320437872230839</v>
      </c>
      <c r="D418" s="118">
        <f t="shared" ca="1" si="62"/>
        <v>1.5549359523898483</v>
      </c>
      <c r="E418" s="119">
        <f t="shared" ca="1" si="63"/>
        <v>-0.42699936948189848</v>
      </c>
      <c r="F418" s="2" t="str">
        <f t="shared" ca="1" si="64"/>
        <v>D</v>
      </c>
      <c r="G418" s="2">
        <f t="shared" ca="1" si="65"/>
        <v>0.12</v>
      </c>
      <c r="H418" s="72">
        <f t="shared" ca="1" si="66"/>
        <v>0</v>
      </c>
      <c r="I418" s="72">
        <f t="shared" ca="1" si="67"/>
        <v>1150.1271898182279</v>
      </c>
      <c r="J418" s="72">
        <f t="shared" ca="1" si="68"/>
        <v>1150.1271898182279</v>
      </c>
    </row>
    <row r="419" spans="2:10" x14ac:dyDescent="0.35">
      <c r="B419" s="118">
        <f t="shared" ca="1" si="61"/>
        <v>1.139338050153921</v>
      </c>
      <c r="C419" s="119">
        <f t="shared" ca="1" si="61"/>
        <v>-9.2137075730034768E-2</v>
      </c>
      <c r="D419" s="118">
        <f t="shared" ca="1" si="62"/>
        <v>1.139338050153921</v>
      </c>
      <c r="E419" s="119">
        <f t="shared" ca="1" si="63"/>
        <v>0.13759208125848138</v>
      </c>
      <c r="F419" s="2">
        <f t="shared" ca="1" si="64"/>
        <v>0.12</v>
      </c>
      <c r="G419" s="2">
        <f t="shared" ca="1" si="65"/>
        <v>0.12</v>
      </c>
      <c r="H419" s="72">
        <f t="shared" ca="1" si="66"/>
        <v>3042.2414210881088</v>
      </c>
      <c r="I419" s="72">
        <f t="shared" ca="1" si="67"/>
        <v>1150.1271898182279</v>
      </c>
      <c r="J419" s="72">
        <f t="shared" ca="1" si="68"/>
        <v>4192.3686109063365</v>
      </c>
    </row>
    <row r="420" spans="2:10" x14ac:dyDescent="0.35">
      <c r="B420" s="118">
        <f t="shared" ca="1" si="61"/>
        <v>-0.77517131647119941</v>
      </c>
      <c r="C420" s="119">
        <f t="shared" ca="1" si="61"/>
        <v>1.2594637043260914</v>
      </c>
      <c r="D420" s="118">
        <f t="shared" ca="1" si="62"/>
        <v>-0.77517131647119941</v>
      </c>
      <c r="E420" s="119">
        <f t="shared" ca="1" si="63"/>
        <v>1.0789831067675466</v>
      </c>
      <c r="F420" s="2">
        <f t="shared" ca="1" si="64"/>
        <v>0.05</v>
      </c>
      <c r="G420" s="2" t="str">
        <f t="shared" ca="1" si="65"/>
        <v>D</v>
      </c>
      <c r="H420" s="72">
        <f t="shared" ca="1" si="66"/>
        <v>3283.2251171200792</v>
      </c>
      <c r="I420" s="72">
        <f t="shared" ca="1" si="67"/>
        <v>0</v>
      </c>
      <c r="J420" s="72">
        <f t="shared" ca="1" si="68"/>
        <v>3283.2251171200792</v>
      </c>
    </row>
    <row r="421" spans="2:10" x14ac:dyDescent="0.35">
      <c r="B421" s="118">
        <f t="shared" ca="1" si="61"/>
        <v>1.6111824270560029</v>
      </c>
      <c r="C421" s="119">
        <f t="shared" ca="1" si="61"/>
        <v>0.22719001489441273</v>
      </c>
      <c r="D421" s="118">
        <f t="shared" ca="1" si="62"/>
        <v>1.6111824270560029</v>
      </c>
      <c r="E421" s="119">
        <f t="shared" ca="1" si="63"/>
        <v>0.5448363298698492</v>
      </c>
      <c r="F421" s="2" t="str">
        <f t="shared" ca="1" si="64"/>
        <v>D</v>
      </c>
      <c r="G421" s="2">
        <f t="shared" ca="1" si="65"/>
        <v>0.12</v>
      </c>
      <c r="H421" s="72">
        <f t="shared" ca="1" si="66"/>
        <v>0</v>
      </c>
      <c r="I421" s="72">
        <f t="shared" ca="1" si="67"/>
        <v>1150.1271898182279</v>
      </c>
      <c r="J421" s="72">
        <f t="shared" ca="1" si="68"/>
        <v>1150.1271898182279</v>
      </c>
    </row>
    <row r="422" spans="2:10" x14ac:dyDescent="0.35">
      <c r="B422" s="118">
        <f t="shared" ca="1" si="61"/>
        <v>-0.16858519049500914</v>
      </c>
      <c r="C422" s="119">
        <f t="shared" ca="1" si="61"/>
        <v>1.9402114204560987</v>
      </c>
      <c r="D422" s="118">
        <f t="shared" ca="1" si="62"/>
        <v>-0.16858519049500914</v>
      </c>
      <c r="E422" s="119">
        <f t="shared" ca="1" si="63"/>
        <v>1.8672941511961958</v>
      </c>
      <c r="F422" s="2">
        <f t="shared" ca="1" si="64"/>
        <v>0.05</v>
      </c>
      <c r="G422" s="2" t="str">
        <f t="shared" ca="1" si="65"/>
        <v>D</v>
      </c>
      <c r="H422" s="72">
        <f t="shared" ca="1" si="66"/>
        <v>3283.2251171200792</v>
      </c>
      <c r="I422" s="72">
        <f t="shared" ca="1" si="67"/>
        <v>0</v>
      </c>
      <c r="J422" s="72">
        <f t="shared" ca="1" si="68"/>
        <v>3283.2251171200792</v>
      </c>
    </row>
    <row r="423" spans="2:10" x14ac:dyDescent="0.35">
      <c r="B423" s="118">
        <f t="shared" ca="1" si="61"/>
        <v>-0.20139473149868281</v>
      </c>
      <c r="C423" s="119">
        <f t="shared" ca="1" si="61"/>
        <v>-1.6087308299118057</v>
      </c>
      <c r="D423" s="118">
        <f t="shared" ca="1" si="62"/>
        <v>-0.20139473149868281</v>
      </c>
      <c r="E423" s="119">
        <f t="shared" ca="1" si="63"/>
        <v>-1.6165068130069515</v>
      </c>
      <c r="F423" s="2">
        <f t="shared" ca="1" si="64"/>
        <v>0.05</v>
      </c>
      <c r="G423" s="2">
        <f t="shared" ca="1" si="65"/>
        <v>0.05</v>
      </c>
      <c r="H423" s="72">
        <f t="shared" ca="1" si="66"/>
        <v>3283.2251171200792</v>
      </c>
      <c r="I423" s="72">
        <f t="shared" ca="1" si="67"/>
        <v>1342.7489181356559</v>
      </c>
      <c r="J423" s="72">
        <f t="shared" ca="1" si="68"/>
        <v>4625.9740352557346</v>
      </c>
    </row>
    <row r="424" spans="2:10" x14ac:dyDescent="0.35">
      <c r="B424" s="118">
        <f t="shared" ref="B424:C443" ca="1" si="69">NORMSINV(RAND())</f>
        <v>-1.325151126693058</v>
      </c>
      <c r="C424" s="119">
        <f t="shared" ca="1" si="69"/>
        <v>-0.16688559595706876</v>
      </c>
      <c r="D424" s="118">
        <f t="shared" ca="1" si="62"/>
        <v>-1.325151126693058</v>
      </c>
      <c r="E424" s="119">
        <f t="shared" ca="1" si="63"/>
        <v>-0.4285440475446507</v>
      </c>
      <c r="F424" s="2">
        <f t="shared" ca="1" si="64"/>
        <v>0.01</v>
      </c>
      <c r="G424" s="2">
        <f t="shared" ca="1" si="65"/>
        <v>0.12</v>
      </c>
      <c r="H424" s="72">
        <f t="shared" ca="1" si="66"/>
        <v>3443.7147154459058</v>
      </c>
      <c r="I424" s="72">
        <f t="shared" ca="1" si="67"/>
        <v>1150.1271898182279</v>
      </c>
      <c r="J424" s="72">
        <f t="shared" ca="1" si="68"/>
        <v>4593.8419052641339</v>
      </c>
    </row>
    <row r="425" spans="2:10" x14ac:dyDescent="0.35">
      <c r="B425" s="118">
        <f t="shared" ca="1" si="69"/>
        <v>-0.60751518781513636</v>
      </c>
      <c r="C425" s="119">
        <f t="shared" ca="1" si="69"/>
        <v>1.1879706780666324</v>
      </c>
      <c r="D425" s="118">
        <f t="shared" ca="1" si="62"/>
        <v>-0.60751518781513636</v>
      </c>
      <c r="E425" s="119">
        <f t="shared" ca="1" si="63"/>
        <v>1.0424657586975299</v>
      </c>
      <c r="F425" s="2">
        <f t="shared" ca="1" si="64"/>
        <v>0.05</v>
      </c>
      <c r="G425" s="2" t="str">
        <f t="shared" ca="1" si="65"/>
        <v>D</v>
      </c>
      <c r="H425" s="72">
        <f t="shared" ca="1" si="66"/>
        <v>3283.2251171200792</v>
      </c>
      <c r="I425" s="72">
        <f t="shared" ca="1" si="67"/>
        <v>0</v>
      </c>
      <c r="J425" s="72">
        <f t="shared" ca="1" si="68"/>
        <v>3283.2251171200792</v>
      </c>
    </row>
    <row r="426" spans="2:10" x14ac:dyDescent="0.35">
      <c r="B426" s="118">
        <f t="shared" ca="1" si="69"/>
        <v>0.73574082082644521</v>
      </c>
      <c r="C426" s="119">
        <f t="shared" ca="1" si="69"/>
        <v>-0.87015657971852467</v>
      </c>
      <c r="D426" s="118">
        <f t="shared" ca="1" si="62"/>
        <v>0.73574082082644521</v>
      </c>
      <c r="E426" s="119">
        <f t="shared" ca="1" si="63"/>
        <v>-0.70542768248903853</v>
      </c>
      <c r="F426" s="2">
        <f t="shared" ca="1" si="64"/>
        <v>0.05</v>
      </c>
      <c r="G426" s="2">
        <f t="shared" ca="1" si="65"/>
        <v>0.12</v>
      </c>
      <c r="H426" s="72">
        <f t="shared" ca="1" si="66"/>
        <v>3283.2251171200792</v>
      </c>
      <c r="I426" s="72">
        <f t="shared" ca="1" si="67"/>
        <v>1150.1271898182279</v>
      </c>
      <c r="J426" s="72">
        <f t="shared" ca="1" si="68"/>
        <v>4433.3523069383073</v>
      </c>
    </row>
    <row r="427" spans="2:10" x14ac:dyDescent="0.35">
      <c r="B427" s="118">
        <f t="shared" ca="1" si="69"/>
        <v>-1.9065365737095261</v>
      </c>
      <c r="C427" s="119">
        <f t="shared" ca="1" si="69"/>
        <v>1.4797951241979961</v>
      </c>
      <c r="D427" s="118">
        <f t="shared" ca="1" si="62"/>
        <v>-1.9065365737095261</v>
      </c>
      <c r="E427" s="119">
        <f t="shared" ca="1" si="63"/>
        <v>1.0685898765155148</v>
      </c>
      <c r="F427" s="2">
        <f t="shared" ca="1" si="64"/>
        <v>0.01</v>
      </c>
      <c r="G427" s="2" t="str">
        <f t="shared" ca="1" si="65"/>
        <v>D</v>
      </c>
      <c r="H427" s="72">
        <f t="shared" ca="1" si="66"/>
        <v>3443.7147154459058</v>
      </c>
      <c r="I427" s="72">
        <f t="shared" ca="1" si="67"/>
        <v>0</v>
      </c>
      <c r="J427" s="72">
        <f t="shared" ca="1" si="68"/>
        <v>3443.7147154459058</v>
      </c>
    </row>
    <row r="428" spans="2:10" x14ac:dyDescent="0.35">
      <c r="B428" s="118">
        <f t="shared" ca="1" si="69"/>
        <v>0.95836407014321423</v>
      </c>
      <c r="C428" s="119">
        <f t="shared" ca="1" si="69"/>
        <v>1.7240008762156045</v>
      </c>
      <c r="D428" s="118">
        <f t="shared" ca="1" si="62"/>
        <v>0.95836407014321423</v>
      </c>
      <c r="E428" s="119">
        <f t="shared" ca="1" si="63"/>
        <v>1.8808417991643767</v>
      </c>
      <c r="F428" s="2">
        <f t="shared" ca="1" si="64"/>
        <v>0.12</v>
      </c>
      <c r="G428" s="2" t="str">
        <f t="shared" ca="1" si="65"/>
        <v>D</v>
      </c>
      <c r="H428" s="72">
        <f t="shared" ca="1" si="66"/>
        <v>3042.2414210881088</v>
      </c>
      <c r="I428" s="72">
        <f t="shared" ca="1" si="67"/>
        <v>0</v>
      </c>
      <c r="J428" s="72">
        <f t="shared" ca="1" si="68"/>
        <v>3042.2414210881088</v>
      </c>
    </row>
    <row r="429" spans="2:10" x14ac:dyDescent="0.35">
      <c r="B429" s="118">
        <f t="shared" ca="1" si="69"/>
        <v>8.5351499381717447E-2</v>
      </c>
      <c r="C429" s="119">
        <f t="shared" ca="1" si="69"/>
        <v>-0.17514394039407175</v>
      </c>
      <c r="D429" s="118">
        <f t="shared" ca="1" si="62"/>
        <v>8.5351499381717447E-2</v>
      </c>
      <c r="E429" s="119">
        <f t="shared" ca="1" si="63"/>
        <v>-0.15453501432601935</v>
      </c>
      <c r="F429" s="2">
        <f t="shared" ca="1" si="64"/>
        <v>0.05</v>
      </c>
      <c r="G429" s="2">
        <f t="shared" ca="1" si="65"/>
        <v>0.12</v>
      </c>
      <c r="H429" s="72">
        <f t="shared" ca="1" si="66"/>
        <v>3283.2251171200792</v>
      </c>
      <c r="I429" s="72">
        <f t="shared" ca="1" si="67"/>
        <v>1150.1271898182279</v>
      </c>
      <c r="J429" s="72">
        <f t="shared" ca="1" si="68"/>
        <v>4433.3523069383073</v>
      </c>
    </row>
    <row r="430" spans="2:10" x14ac:dyDescent="0.35">
      <c r="B430" s="118">
        <f t="shared" ca="1" si="69"/>
        <v>1.0047753478643966</v>
      </c>
      <c r="C430" s="119">
        <f t="shared" ca="1" si="69"/>
        <v>5.0344763908257047E-2</v>
      </c>
      <c r="D430" s="118">
        <f t="shared" ca="1" si="62"/>
        <v>1.0047753478643966</v>
      </c>
      <c r="E430" s="119">
        <f t="shared" ca="1" si="63"/>
        <v>0.25028266269132587</v>
      </c>
      <c r="F430" s="2">
        <f t="shared" ca="1" si="64"/>
        <v>0.12</v>
      </c>
      <c r="G430" s="2">
        <f t="shared" ca="1" si="65"/>
        <v>0.12</v>
      </c>
      <c r="H430" s="72">
        <f t="shared" ca="1" si="66"/>
        <v>3042.2414210881088</v>
      </c>
      <c r="I430" s="72">
        <f t="shared" ca="1" si="67"/>
        <v>1150.1271898182279</v>
      </c>
      <c r="J430" s="72">
        <f t="shared" ca="1" si="68"/>
        <v>4192.3686109063365</v>
      </c>
    </row>
    <row r="431" spans="2:10" x14ac:dyDescent="0.35">
      <c r="B431" s="118">
        <f t="shared" ca="1" si="69"/>
        <v>-0.21913102788172784</v>
      </c>
      <c r="C431" s="119">
        <f t="shared" ca="1" si="69"/>
        <v>-1.0783586167238961</v>
      </c>
      <c r="D431" s="118">
        <f t="shared" ca="1" si="62"/>
        <v>-0.21913102788172784</v>
      </c>
      <c r="E431" s="119">
        <f t="shared" ca="1" si="63"/>
        <v>-1.1003975538591615</v>
      </c>
      <c r="F431" s="2">
        <f t="shared" ca="1" si="64"/>
        <v>0.05</v>
      </c>
      <c r="G431" s="2">
        <f t="shared" ca="1" si="65"/>
        <v>0.05</v>
      </c>
      <c r="H431" s="72">
        <f t="shared" ca="1" si="66"/>
        <v>3283.2251171200792</v>
      </c>
      <c r="I431" s="72">
        <f t="shared" ca="1" si="67"/>
        <v>1342.7489181356559</v>
      </c>
      <c r="J431" s="72">
        <f t="shared" ca="1" si="68"/>
        <v>4625.9740352557346</v>
      </c>
    </row>
    <row r="432" spans="2:10" x14ac:dyDescent="0.35">
      <c r="B432" s="118">
        <f t="shared" ca="1" si="69"/>
        <v>-1.0086860742795998</v>
      </c>
      <c r="C432" s="119">
        <f t="shared" ca="1" si="69"/>
        <v>-0.14438592240474687</v>
      </c>
      <c r="D432" s="118">
        <f t="shared" ca="1" si="62"/>
        <v>-1.0086860742795998</v>
      </c>
      <c r="E432" s="119">
        <f t="shared" ca="1" si="63"/>
        <v>-0.3432059492290061</v>
      </c>
      <c r="F432" s="2">
        <f t="shared" ca="1" si="64"/>
        <v>0.05</v>
      </c>
      <c r="G432" s="2">
        <f t="shared" ca="1" si="65"/>
        <v>0.12</v>
      </c>
      <c r="H432" s="72">
        <f t="shared" ca="1" si="66"/>
        <v>3283.2251171200792</v>
      </c>
      <c r="I432" s="72">
        <f t="shared" ca="1" si="67"/>
        <v>1150.1271898182279</v>
      </c>
      <c r="J432" s="72">
        <f t="shared" ca="1" si="68"/>
        <v>4433.3523069383073</v>
      </c>
    </row>
    <row r="433" spans="2:10" x14ac:dyDescent="0.35">
      <c r="B433" s="118">
        <f t="shared" ca="1" si="69"/>
        <v>0.21407928649149077</v>
      </c>
      <c r="C433" s="119">
        <f t="shared" ca="1" si="69"/>
        <v>0.77264455100717722</v>
      </c>
      <c r="D433" s="118">
        <f t="shared" ca="1" si="62"/>
        <v>0.21407928649149077</v>
      </c>
      <c r="E433" s="119">
        <f t="shared" ca="1" si="63"/>
        <v>0.79984981830205604</v>
      </c>
      <c r="F433" s="2">
        <f t="shared" ca="1" si="64"/>
        <v>0.05</v>
      </c>
      <c r="G433" s="2">
        <f t="shared" ca="1" si="65"/>
        <v>0.12</v>
      </c>
      <c r="H433" s="72">
        <f t="shared" ca="1" si="66"/>
        <v>3283.2251171200792</v>
      </c>
      <c r="I433" s="72">
        <f t="shared" ca="1" si="67"/>
        <v>1150.1271898182279</v>
      </c>
      <c r="J433" s="72">
        <f t="shared" ca="1" si="68"/>
        <v>4433.3523069383073</v>
      </c>
    </row>
    <row r="434" spans="2:10" x14ac:dyDescent="0.35">
      <c r="B434" s="118">
        <f t="shared" ca="1" si="69"/>
        <v>7.7272304267010719E-2</v>
      </c>
      <c r="C434" s="119">
        <f t="shared" ca="1" si="69"/>
        <v>0.20348300797805088</v>
      </c>
      <c r="D434" s="118">
        <f t="shared" ca="1" si="62"/>
        <v>7.7272304267010719E-2</v>
      </c>
      <c r="E434" s="119">
        <f t="shared" ca="1" si="63"/>
        <v>0.21482627720256342</v>
      </c>
      <c r="F434" s="2">
        <f t="shared" ca="1" si="64"/>
        <v>0.05</v>
      </c>
      <c r="G434" s="2">
        <f t="shared" ca="1" si="65"/>
        <v>0.12</v>
      </c>
      <c r="H434" s="72">
        <f t="shared" ca="1" si="66"/>
        <v>3283.2251171200792</v>
      </c>
      <c r="I434" s="72">
        <f t="shared" ca="1" si="67"/>
        <v>1150.1271898182279</v>
      </c>
      <c r="J434" s="72">
        <f t="shared" ca="1" si="68"/>
        <v>4433.3523069383073</v>
      </c>
    </row>
    <row r="435" spans="2:10" x14ac:dyDescent="0.35">
      <c r="B435" s="118">
        <f t="shared" ca="1" si="69"/>
        <v>1.0677852164348558</v>
      </c>
      <c r="C435" s="119">
        <f t="shared" ca="1" si="69"/>
        <v>4.4371275797071306E-2</v>
      </c>
      <c r="D435" s="118">
        <f t="shared" ca="1" si="62"/>
        <v>1.0677852164348558</v>
      </c>
      <c r="E435" s="119">
        <f t="shared" ca="1" si="63"/>
        <v>0.25703183726262302</v>
      </c>
      <c r="F435" s="2">
        <f t="shared" ca="1" si="64"/>
        <v>0.12</v>
      </c>
      <c r="G435" s="2">
        <f t="shared" ca="1" si="65"/>
        <v>0.12</v>
      </c>
      <c r="H435" s="72">
        <f t="shared" ca="1" si="66"/>
        <v>3042.2414210881088</v>
      </c>
      <c r="I435" s="72">
        <f t="shared" ca="1" si="67"/>
        <v>1150.1271898182279</v>
      </c>
      <c r="J435" s="72">
        <f t="shared" ca="1" si="68"/>
        <v>4192.3686109063365</v>
      </c>
    </row>
    <row r="436" spans="2:10" x14ac:dyDescent="0.35">
      <c r="B436" s="118">
        <f t="shared" ca="1" si="69"/>
        <v>1.6313149504862556</v>
      </c>
      <c r="C436" s="119">
        <f t="shared" ca="1" si="69"/>
        <v>-0.32707892343176054</v>
      </c>
      <c r="D436" s="118">
        <f t="shared" ca="1" si="62"/>
        <v>1.6313149504862556</v>
      </c>
      <c r="E436" s="119">
        <f t="shared" ca="1" si="63"/>
        <v>5.7924028865863897E-3</v>
      </c>
      <c r="F436" s="2" t="str">
        <f t="shared" ca="1" si="64"/>
        <v>D</v>
      </c>
      <c r="G436" s="2">
        <f t="shared" ca="1" si="65"/>
        <v>0.12</v>
      </c>
      <c r="H436" s="72">
        <f t="shared" ca="1" si="66"/>
        <v>0</v>
      </c>
      <c r="I436" s="72">
        <f t="shared" ca="1" si="67"/>
        <v>1150.1271898182279</v>
      </c>
      <c r="J436" s="72">
        <f t="shared" ca="1" si="68"/>
        <v>1150.1271898182279</v>
      </c>
    </row>
    <row r="437" spans="2:10" x14ac:dyDescent="0.35">
      <c r="B437" s="118">
        <f t="shared" ca="1" si="69"/>
        <v>-2.030383120660916</v>
      </c>
      <c r="C437" s="119">
        <f t="shared" ca="1" si="69"/>
        <v>1.5958916743962184</v>
      </c>
      <c r="D437" s="118">
        <f t="shared" ca="1" si="62"/>
        <v>-2.030383120660916</v>
      </c>
      <c r="E437" s="119">
        <f t="shared" ca="1" si="63"/>
        <v>1.1575714906784602</v>
      </c>
      <c r="F437" s="2">
        <f t="shared" ca="1" si="64"/>
        <v>0.01</v>
      </c>
      <c r="G437" s="2" t="str">
        <f t="shared" ca="1" si="65"/>
        <v>D</v>
      </c>
      <c r="H437" s="72">
        <f t="shared" ca="1" si="66"/>
        <v>3443.7147154459058</v>
      </c>
      <c r="I437" s="72">
        <f t="shared" ca="1" si="67"/>
        <v>0</v>
      </c>
      <c r="J437" s="72">
        <f t="shared" ca="1" si="68"/>
        <v>3443.7147154459058</v>
      </c>
    </row>
    <row r="438" spans="2:10" x14ac:dyDescent="0.35">
      <c r="B438" s="118">
        <f t="shared" ca="1" si="69"/>
        <v>-1.4093364173625686</v>
      </c>
      <c r="C438" s="119">
        <f t="shared" ca="1" si="69"/>
        <v>-0.33066426709031299</v>
      </c>
      <c r="D438" s="118">
        <f t="shared" ca="1" si="62"/>
        <v>-1.4093364173625686</v>
      </c>
      <c r="E438" s="119">
        <f t="shared" ca="1" si="63"/>
        <v>-0.60585077568956924</v>
      </c>
      <c r="F438" s="2">
        <f t="shared" ca="1" si="64"/>
        <v>0.01</v>
      </c>
      <c r="G438" s="2">
        <f t="shared" ca="1" si="65"/>
        <v>0.12</v>
      </c>
      <c r="H438" s="72">
        <f t="shared" ca="1" si="66"/>
        <v>3443.7147154459058</v>
      </c>
      <c r="I438" s="72">
        <f t="shared" ca="1" si="67"/>
        <v>1150.1271898182279</v>
      </c>
      <c r="J438" s="72">
        <f t="shared" ca="1" si="68"/>
        <v>4593.8419052641339</v>
      </c>
    </row>
    <row r="439" spans="2:10" x14ac:dyDescent="0.35">
      <c r="B439" s="118">
        <f t="shared" ca="1" si="69"/>
        <v>0.32060826803702858</v>
      </c>
      <c r="C439" s="119">
        <f t="shared" ca="1" si="69"/>
        <v>1.3684301642296925</v>
      </c>
      <c r="D439" s="118">
        <f t="shared" ca="1" si="62"/>
        <v>0.32060826803702858</v>
      </c>
      <c r="E439" s="119">
        <f t="shared" ca="1" si="63"/>
        <v>1.4049039140056983</v>
      </c>
      <c r="F439" s="2">
        <f t="shared" ca="1" si="64"/>
        <v>0.05</v>
      </c>
      <c r="G439" s="2" t="str">
        <f t="shared" ca="1" si="65"/>
        <v>D</v>
      </c>
      <c r="H439" s="72">
        <f t="shared" ca="1" si="66"/>
        <v>3283.2251171200792</v>
      </c>
      <c r="I439" s="72">
        <f t="shared" ca="1" si="67"/>
        <v>0</v>
      </c>
      <c r="J439" s="72">
        <f t="shared" ca="1" si="68"/>
        <v>3283.2251171200792</v>
      </c>
    </row>
    <row r="440" spans="2:10" x14ac:dyDescent="0.35">
      <c r="B440" s="118">
        <f t="shared" ca="1" si="69"/>
        <v>-1.0176928128106397</v>
      </c>
      <c r="C440" s="119">
        <f t="shared" ca="1" si="69"/>
        <v>0.34162256886332304</v>
      </c>
      <c r="D440" s="118">
        <f t="shared" ca="1" si="62"/>
        <v>-1.0176928128106397</v>
      </c>
      <c r="E440" s="119">
        <f t="shared" ca="1" si="63"/>
        <v>0.13118182877145193</v>
      </c>
      <c r="F440" s="2">
        <f t="shared" ca="1" si="64"/>
        <v>0.05</v>
      </c>
      <c r="G440" s="2">
        <f t="shared" ca="1" si="65"/>
        <v>0.12</v>
      </c>
      <c r="H440" s="72">
        <f t="shared" ca="1" si="66"/>
        <v>3283.2251171200792</v>
      </c>
      <c r="I440" s="72">
        <f t="shared" ca="1" si="67"/>
        <v>1150.1271898182279</v>
      </c>
      <c r="J440" s="72">
        <f t="shared" ca="1" si="68"/>
        <v>4433.3523069383073</v>
      </c>
    </row>
    <row r="441" spans="2:10" x14ac:dyDescent="0.35">
      <c r="B441" s="118">
        <f t="shared" ca="1" si="69"/>
        <v>-0.8388072181475611</v>
      </c>
      <c r="C441" s="119">
        <f t="shared" ca="1" si="69"/>
        <v>0.89297439605954576</v>
      </c>
      <c r="D441" s="118">
        <f t="shared" ca="1" si="62"/>
        <v>-0.8388072181475611</v>
      </c>
      <c r="E441" s="119">
        <f t="shared" ca="1" si="63"/>
        <v>0.70717120585683202</v>
      </c>
      <c r="F441" s="2">
        <f t="shared" ca="1" si="64"/>
        <v>0.05</v>
      </c>
      <c r="G441" s="2">
        <f t="shared" ca="1" si="65"/>
        <v>0.12</v>
      </c>
      <c r="H441" s="72">
        <f t="shared" ca="1" si="66"/>
        <v>3283.2251171200792</v>
      </c>
      <c r="I441" s="72">
        <f t="shared" ca="1" si="67"/>
        <v>1150.1271898182279</v>
      </c>
      <c r="J441" s="72">
        <f t="shared" ca="1" si="68"/>
        <v>4433.3523069383073</v>
      </c>
    </row>
    <row r="442" spans="2:10" x14ac:dyDescent="0.35">
      <c r="B442" s="118">
        <f t="shared" ca="1" si="69"/>
        <v>-0.49059816853877752</v>
      </c>
      <c r="C442" s="119">
        <f t="shared" ca="1" si="69"/>
        <v>-5.9221487623164294E-2</v>
      </c>
      <c r="D442" s="118">
        <f t="shared" ca="1" si="62"/>
        <v>-0.49059816853877752</v>
      </c>
      <c r="E442" s="119">
        <f t="shared" ca="1" si="63"/>
        <v>-0.15614460430187627</v>
      </c>
      <c r="F442" s="2">
        <f t="shared" ca="1" si="64"/>
        <v>0.05</v>
      </c>
      <c r="G442" s="2">
        <f t="shared" ca="1" si="65"/>
        <v>0.12</v>
      </c>
      <c r="H442" s="72">
        <f t="shared" ca="1" si="66"/>
        <v>3283.2251171200792</v>
      </c>
      <c r="I442" s="72">
        <f t="shared" ca="1" si="67"/>
        <v>1150.1271898182279</v>
      </c>
      <c r="J442" s="72">
        <f t="shared" ca="1" si="68"/>
        <v>4433.3523069383073</v>
      </c>
    </row>
    <row r="443" spans="2:10" x14ac:dyDescent="0.35">
      <c r="B443" s="118">
        <f t="shared" ca="1" si="69"/>
        <v>1.1318890446446102</v>
      </c>
      <c r="C443" s="119">
        <f t="shared" ca="1" si="69"/>
        <v>0.88252878115640387</v>
      </c>
      <c r="D443" s="118">
        <f t="shared" ca="1" si="62"/>
        <v>1.1318890446446102</v>
      </c>
      <c r="E443" s="119">
        <f t="shared" ca="1" si="63"/>
        <v>1.0910758877903426</v>
      </c>
      <c r="F443" s="2">
        <f t="shared" ca="1" si="64"/>
        <v>0.12</v>
      </c>
      <c r="G443" s="2" t="str">
        <f t="shared" ca="1" si="65"/>
        <v>D</v>
      </c>
      <c r="H443" s="72">
        <f t="shared" ca="1" si="66"/>
        <v>3042.2414210881088</v>
      </c>
      <c r="I443" s="72">
        <f t="shared" ca="1" si="67"/>
        <v>0</v>
      </c>
      <c r="J443" s="72">
        <f t="shared" ca="1" si="68"/>
        <v>3042.2414210881088</v>
      </c>
    </row>
    <row r="444" spans="2:10" x14ac:dyDescent="0.35">
      <c r="B444" s="118">
        <f t="shared" ref="B444:C463" ca="1" si="70">NORMSINV(RAND())</f>
        <v>1.0235120373148734</v>
      </c>
      <c r="C444" s="119">
        <f t="shared" ca="1" si="70"/>
        <v>-0.48737509351579078</v>
      </c>
      <c r="D444" s="118">
        <f t="shared" ca="1" si="62"/>
        <v>1.0235120373148734</v>
      </c>
      <c r="E444" s="119">
        <f t="shared" ca="1" si="63"/>
        <v>-0.27282570951899399</v>
      </c>
      <c r="F444" s="2">
        <f t="shared" ca="1" si="64"/>
        <v>0.12</v>
      </c>
      <c r="G444" s="2">
        <f t="shared" ca="1" si="65"/>
        <v>0.12</v>
      </c>
      <c r="H444" s="72">
        <f t="shared" ca="1" si="66"/>
        <v>3042.2414210881088</v>
      </c>
      <c r="I444" s="72">
        <f t="shared" ca="1" si="67"/>
        <v>1150.1271898182279</v>
      </c>
      <c r="J444" s="72">
        <f t="shared" ca="1" si="68"/>
        <v>4192.3686109063365</v>
      </c>
    </row>
    <row r="445" spans="2:10" x14ac:dyDescent="0.35">
      <c r="B445" s="118">
        <f t="shared" ca="1" si="70"/>
        <v>-0.50904009191068289</v>
      </c>
      <c r="C445" s="119">
        <f t="shared" ca="1" si="70"/>
        <v>-0.69003473058591758</v>
      </c>
      <c r="D445" s="118">
        <f t="shared" ca="1" si="62"/>
        <v>-0.50904009191068289</v>
      </c>
      <c r="E445" s="119">
        <f t="shared" ca="1" si="63"/>
        <v>-0.77790121627588016</v>
      </c>
      <c r="F445" s="2">
        <f t="shared" ca="1" si="64"/>
        <v>0.05</v>
      </c>
      <c r="G445" s="2">
        <f t="shared" ca="1" si="65"/>
        <v>0.12</v>
      </c>
      <c r="H445" s="72">
        <f t="shared" ca="1" si="66"/>
        <v>3283.2251171200792</v>
      </c>
      <c r="I445" s="72">
        <f t="shared" ca="1" si="67"/>
        <v>1150.1271898182279</v>
      </c>
      <c r="J445" s="72">
        <f t="shared" ca="1" si="68"/>
        <v>4433.3523069383073</v>
      </c>
    </row>
    <row r="446" spans="2:10" x14ac:dyDescent="0.35">
      <c r="B446" s="118">
        <f t="shared" ca="1" si="70"/>
        <v>-1.903583557690556</v>
      </c>
      <c r="C446" s="119">
        <f t="shared" ca="1" si="70"/>
        <v>1.6055140486983996</v>
      </c>
      <c r="D446" s="118">
        <f t="shared" ca="1" si="62"/>
        <v>-1.903583557690556</v>
      </c>
      <c r="E446" s="119">
        <f t="shared" ca="1" si="63"/>
        <v>1.1923593661342975</v>
      </c>
      <c r="F446" s="2">
        <f t="shared" ca="1" si="64"/>
        <v>0.01</v>
      </c>
      <c r="G446" s="2" t="str">
        <f t="shared" ca="1" si="65"/>
        <v>D</v>
      </c>
      <c r="H446" s="72">
        <f t="shared" ca="1" si="66"/>
        <v>3443.7147154459058</v>
      </c>
      <c r="I446" s="72">
        <f t="shared" ca="1" si="67"/>
        <v>0</v>
      </c>
      <c r="J446" s="72">
        <f t="shared" ca="1" si="68"/>
        <v>3443.7147154459058</v>
      </c>
    </row>
    <row r="447" spans="2:10" x14ac:dyDescent="0.35">
      <c r="B447" s="118">
        <f t="shared" ca="1" si="70"/>
        <v>0.71976999581786172</v>
      </c>
      <c r="C447" s="119">
        <f t="shared" ca="1" si="70"/>
        <v>1.1469929459452315</v>
      </c>
      <c r="D447" s="118">
        <f t="shared" ca="1" si="62"/>
        <v>0.71976999581786172</v>
      </c>
      <c r="E447" s="119">
        <f t="shared" ca="1" si="63"/>
        <v>1.2677729816185741</v>
      </c>
      <c r="F447" s="2">
        <f t="shared" ca="1" si="64"/>
        <v>0.05</v>
      </c>
      <c r="G447" s="2" t="str">
        <f t="shared" ca="1" si="65"/>
        <v>D</v>
      </c>
      <c r="H447" s="72">
        <f t="shared" ca="1" si="66"/>
        <v>3283.2251171200792</v>
      </c>
      <c r="I447" s="72">
        <f t="shared" ca="1" si="67"/>
        <v>0</v>
      </c>
      <c r="J447" s="72">
        <f t="shared" ca="1" si="68"/>
        <v>3283.2251171200792</v>
      </c>
    </row>
    <row r="448" spans="2:10" x14ac:dyDescent="0.35">
      <c r="B448" s="118">
        <f t="shared" ca="1" si="70"/>
        <v>1.1807787985525047</v>
      </c>
      <c r="C448" s="119">
        <f t="shared" ca="1" si="70"/>
        <v>0.71493704299272876</v>
      </c>
      <c r="D448" s="118">
        <f t="shared" ca="1" si="62"/>
        <v>1.1807787985525047</v>
      </c>
      <c r="E448" s="119">
        <f t="shared" ca="1" si="63"/>
        <v>0.93664814112907102</v>
      </c>
      <c r="F448" s="2">
        <f t="shared" ca="1" si="64"/>
        <v>0.12</v>
      </c>
      <c r="G448" s="2" t="str">
        <f t="shared" ca="1" si="65"/>
        <v>D</v>
      </c>
      <c r="H448" s="72">
        <f t="shared" ca="1" si="66"/>
        <v>3042.2414210881088</v>
      </c>
      <c r="I448" s="72">
        <f t="shared" ca="1" si="67"/>
        <v>0</v>
      </c>
      <c r="J448" s="72">
        <f t="shared" ca="1" si="68"/>
        <v>3042.2414210881088</v>
      </c>
    </row>
    <row r="449" spans="2:10" x14ac:dyDescent="0.35">
      <c r="B449" s="118">
        <f t="shared" ca="1" si="70"/>
        <v>0.31882042896254875</v>
      </c>
      <c r="C449" s="119">
        <f t="shared" ca="1" si="70"/>
        <v>0.35781116410281283</v>
      </c>
      <c r="D449" s="118">
        <f t="shared" ca="1" si="62"/>
        <v>0.31882042896254875</v>
      </c>
      <c r="E449" s="119">
        <f t="shared" ca="1" si="63"/>
        <v>0.41434599632176916</v>
      </c>
      <c r="F449" s="2">
        <f t="shared" ca="1" si="64"/>
        <v>0.05</v>
      </c>
      <c r="G449" s="2">
        <f t="shared" ca="1" si="65"/>
        <v>0.12</v>
      </c>
      <c r="H449" s="72">
        <f t="shared" ca="1" si="66"/>
        <v>3283.2251171200792</v>
      </c>
      <c r="I449" s="72">
        <f t="shared" ca="1" si="67"/>
        <v>1150.1271898182279</v>
      </c>
      <c r="J449" s="72">
        <f t="shared" ca="1" si="68"/>
        <v>4433.3523069383073</v>
      </c>
    </row>
    <row r="450" spans="2:10" x14ac:dyDescent="0.35">
      <c r="B450" s="118">
        <f t="shared" ca="1" si="70"/>
        <v>-0.76720251449623433</v>
      </c>
      <c r="C450" s="119">
        <f t="shared" ca="1" si="70"/>
        <v>-1.456037269869433</v>
      </c>
      <c r="D450" s="118">
        <f t="shared" ca="1" si="62"/>
        <v>-0.76720251449623433</v>
      </c>
      <c r="E450" s="119">
        <f t="shared" ca="1" si="63"/>
        <v>-1.5800598459613262</v>
      </c>
      <c r="F450" s="2">
        <f t="shared" ca="1" si="64"/>
        <v>0.05</v>
      </c>
      <c r="G450" s="2">
        <f t="shared" ca="1" si="65"/>
        <v>0.05</v>
      </c>
      <c r="H450" s="72">
        <f t="shared" ca="1" si="66"/>
        <v>3283.2251171200792</v>
      </c>
      <c r="I450" s="72">
        <f t="shared" ca="1" si="67"/>
        <v>1342.7489181356559</v>
      </c>
      <c r="J450" s="72">
        <f t="shared" ca="1" si="68"/>
        <v>4625.9740352557346</v>
      </c>
    </row>
    <row r="451" spans="2:10" x14ac:dyDescent="0.35">
      <c r="B451" s="118">
        <f t="shared" ca="1" si="70"/>
        <v>-0.68868303631487993</v>
      </c>
      <c r="C451" s="119">
        <f t="shared" ca="1" si="70"/>
        <v>0.99814248265974104</v>
      </c>
      <c r="D451" s="118">
        <f t="shared" ca="1" si="62"/>
        <v>-0.68868303631487993</v>
      </c>
      <c r="E451" s="119">
        <f t="shared" ca="1" si="63"/>
        <v>0.84023930198149277</v>
      </c>
      <c r="F451" s="2">
        <f t="shared" ca="1" si="64"/>
        <v>0.05</v>
      </c>
      <c r="G451" s="2">
        <f t="shared" ca="1" si="65"/>
        <v>0.12</v>
      </c>
      <c r="H451" s="72">
        <f t="shared" ca="1" si="66"/>
        <v>3283.2251171200792</v>
      </c>
      <c r="I451" s="72">
        <f t="shared" ca="1" si="67"/>
        <v>1150.1271898182279</v>
      </c>
      <c r="J451" s="72">
        <f t="shared" ca="1" si="68"/>
        <v>4433.3523069383073</v>
      </c>
    </row>
    <row r="452" spans="2:10" x14ac:dyDescent="0.35">
      <c r="B452" s="118">
        <f t="shared" ca="1" si="70"/>
        <v>1.638667270666742</v>
      </c>
      <c r="C452" s="119">
        <f t="shared" ca="1" si="70"/>
        <v>-0.12153234201061351</v>
      </c>
      <c r="D452" s="118">
        <f t="shared" ca="1" si="62"/>
        <v>1.638667270666742</v>
      </c>
      <c r="E452" s="119">
        <f t="shared" ca="1" si="63"/>
        <v>0.20865656406478245</v>
      </c>
      <c r="F452" s="2" t="str">
        <f t="shared" ca="1" si="64"/>
        <v>D</v>
      </c>
      <c r="G452" s="2">
        <f t="shared" ca="1" si="65"/>
        <v>0.12</v>
      </c>
      <c r="H452" s="72">
        <f t="shared" ca="1" si="66"/>
        <v>0</v>
      </c>
      <c r="I452" s="72">
        <f t="shared" ca="1" si="67"/>
        <v>1150.1271898182279</v>
      </c>
      <c r="J452" s="72">
        <f t="shared" ca="1" si="68"/>
        <v>1150.1271898182279</v>
      </c>
    </row>
    <row r="453" spans="2:10" x14ac:dyDescent="0.35">
      <c r="B453" s="118">
        <f t="shared" ca="1" si="70"/>
        <v>-3.9955971300195285E-2</v>
      </c>
      <c r="C453" s="119">
        <f t="shared" ca="1" si="70"/>
        <v>0.95525885459587134</v>
      </c>
      <c r="D453" s="118">
        <f t="shared" ca="1" si="62"/>
        <v>-3.9955971300195285E-2</v>
      </c>
      <c r="E453" s="119">
        <f t="shared" ca="1" si="63"/>
        <v>0.92796751215411866</v>
      </c>
      <c r="F453" s="2">
        <f t="shared" ca="1" si="64"/>
        <v>0.05</v>
      </c>
      <c r="G453" s="2" t="str">
        <f t="shared" ca="1" si="65"/>
        <v>D</v>
      </c>
      <c r="H453" s="72">
        <f t="shared" ca="1" si="66"/>
        <v>3283.2251171200792</v>
      </c>
      <c r="I453" s="72">
        <f t="shared" ca="1" si="67"/>
        <v>0</v>
      </c>
      <c r="J453" s="72">
        <f t="shared" ca="1" si="68"/>
        <v>3283.2251171200792</v>
      </c>
    </row>
    <row r="454" spans="2:10" x14ac:dyDescent="0.35">
      <c r="B454" s="118">
        <f t="shared" ca="1" si="70"/>
        <v>-1.4921373418720236</v>
      </c>
      <c r="C454" s="119">
        <f t="shared" ca="1" si="70"/>
        <v>-0.14694528015532435</v>
      </c>
      <c r="D454" s="118">
        <f t="shared" ca="1" si="62"/>
        <v>-1.4921373418720236</v>
      </c>
      <c r="E454" s="119">
        <f t="shared" ca="1" si="63"/>
        <v>-0.44240385097075174</v>
      </c>
      <c r="F454" s="2">
        <f t="shared" ca="1" si="64"/>
        <v>0.01</v>
      </c>
      <c r="G454" s="2">
        <f t="shared" ca="1" si="65"/>
        <v>0.12</v>
      </c>
      <c r="H454" s="72">
        <f t="shared" ca="1" si="66"/>
        <v>3443.7147154459058</v>
      </c>
      <c r="I454" s="72">
        <f t="shared" ca="1" si="67"/>
        <v>1150.1271898182279</v>
      </c>
      <c r="J454" s="72">
        <f t="shared" ca="1" si="68"/>
        <v>4593.8419052641339</v>
      </c>
    </row>
    <row r="455" spans="2:10" x14ac:dyDescent="0.35">
      <c r="B455" s="118">
        <f t="shared" ca="1" si="70"/>
        <v>-0.31377879946610188</v>
      </c>
      <c r="C455" s="119">
        <f t="shared" ca="1" si="70"/>
        <v>0.32573981822361198</v>
      </c>
      <c r="D455" s="118">
        <f t="shared" ca="1" si="62"/>
        <v>-0.31377879946610188</v>
      </c>
      <c r="E455" s="119">
        <f t="shared" ca="1" si="63"/>
        <v>0.25640277752869745</v>
      </c>
      <c r="F455" s="2">
        <f t="shared" ca="1" si="64"/>
        <v>0.05</v>
      </c>
      <c r="G455" s="2">
        <f t="shared" ca="1" si="65"/>
        <v>0.12</v>
      </c>
      <c r="H455" s="72">
        <f t="shared" ca="1" si="66"/>
        <v>3283.2251171200792</v>
      </c>
      <c r="I455" s="72">
        <f t="shared" ca="1" si="67"/>
        <v>1150.1271898182279</v>
      </c>
      <c r="J455" s="72">
        <f t="shared" ca="1" si="68"/>
        <v>4433.3523069383073</v>
      </c>
    </row>
    <row r="456" spans="2:10" x14ac:dyDescent="0.35">
      <c r="B456" s="118">
        <f t="shared" ca="1" si="70"/>
        <v>-0.71119965195580059</v>
      </c>
      <c r="C456" s="119">
        <f t="shared" ca="1" si="70"/>
        <v>-1.0590821489238285</v>
      </c>
      <c r="D456" s="118">
        <f t="shared" ca="1" si="62"/>
        <v>-0.71119965195580059</v>
      </c>
      <c r="E456" s="119">
        <f t="shared" ca="1" si="63"/>
        <v>-1.1799242746126337</v>
      </c>
      <c r="F456" s="2">
        <f t="shared" ca="1" si="64"/>
        <v>0.05</v>
      </c>
      <c r="G456" s="2">
        <f t="shared" ca="1" si="65"/>
        <v>0.05</v>
      </c>
      <c r="H456" s="72">
        <f t="shared" ca="1" si="66"/>
        <v>3283.2251171200792</v>
      </c>
      <c r="I456" s="72">
        <f t="shared" ca="1" si="67"/>
        <v>1342.7489181356559</v>
      </c>
      <c r="J456" s="72">
        <f t="shared" ca="1" si="68"/>
        <v>4625.9740352557346</v>
      </c>
    </row>
    <row r="457" spans="2:10" x14ac:dyDescent="0.35">
      <c r="B457" s="118">
        <f t="shared" ca="1" si="70"/>
        <v>-0.98546348961547559</v>
      </c>
      <c r="C457" s="119">
        <f t="shared" ca="1" si="70"/>
        <v>0.34533175877118361</v>
      </c>
      <c r="D457" s="118">
        <f t="shared" ca="1" si="62"/>
        <v>-0.98546348961547559</v>
      </c>
      <c r="E457" s="119">
        <f t="shared" ca="1" si="63"/>
        <v>0.14126194246382046</v>
      </c>
      <c r="F457" s="2">
        <f t="shared" ca="1" si="64"/>
        <v>0.05</v>
      </c>
      <c r="G457" s="2">
        <f t="shared" ca="1" si="65"/>
        <v>0.12</v>
      </c>
      <c r="H457" s="72">
        <f t="shared" ca="1" si="66"/>
        <v>3283.2251171200792</v>
      </c>
      <c r="I457" s="72">
        <f t="shared" ca="1" si="67"/>
        <v>1150.1271898182279</v>
      </c>
      <c r="J457" s="72">
        <f t="shared" ca="1" si="68"/>
        <v>4433.3523069383073</v>
      </c>
    </row>
    <row r="458" spans="2:10" x14ac:dyDescent="0.35">
      <c r="B458" s="118">
        <f t="shared" ca="1" si="70"/>
        <v>0.80583022910295177</v>
      </c>
      <c r="C458" s="119">
        <f t="shared" ca="1" si="70"/>
        <v>0.14542588571771869</v>
      </c>
      <c r="D458" s="118">
        <f t="shared" ca="1" si="62"/>
        <v>0.80583022910295177</v>
      </c>
      <c r="E458" s="119">
        <f t="shared" ca="1" si="63"/>
        <v>0.30365373198087459</v>
      </c>
      <c r="F458" s="2">
        <f t="shared" ca="1" si="64"/>
        <v>0.05</v>
      </c>
      <c r="G458" s="2">
        <f t="shared" ca="1" si="65"/>
        <v>0.12</v>
      </c>
      <c r="H458" s="72">
        <f t="shared" ca="1" si="66"/>
        <v>3283.2251171200792</v>
      </c>
      <c r="I458" s="72">
        <f t="shared" ca="1" si="67"/>
        <v>1150.1271898182279</v>
      </c>
      <c r="J458" s="72">
        <f t="shared" ca="1" si="68"/>
        <v>4433.3523069383073</v>
      </c>
    </row>
    <row r="459" spans="2:10" x14ac:dyDescent="0.35">
      <c r="B459" s="118">
        <f t="shared" ca="1" si="70"/>
        <v>-8.8719942791323197E-2</v>
      </c>
      <c r="C459" s="119">
        <f t="shared" ca="1" si="70"/>
        <v>1.8627766182998797</v>
      </c>
      <c r="D459" s="118">
        <f t="shared" ca="1" si="62"/>
        <v>-8.8719942791323197E-2</v>
      </c>
      <c r="E459" s="119">
        <f t="shared" ca="1" si="63"/>
        <v>1.8073968992904916</v>
      </c>
      <c r="F459" s="2">
        <f t="shared" ca="1" si="64"/>
        <v>0.05</v>
      </c>
      <c r="G459" s="2" t="str">
        <f t="shared" ca="1" si="65"/>
        <v>D</v>
      </c>
      <c r="H459" s="72">
        <f t="shared" ca="1" si="66"/>
        <v>3283.2251171200792</v>
      </c>
      <c r="I459" s="72">
        <f t="shared" ca="1" si="67"/>
        <v>0</v>
      </c>
      <c r="J459" s="72">
        <f t="shared" ca="1" si="68"/>
        <v>3283.2251171200792</v>
      </c>
    </row>
    <row r="460" spans="2:10" x14ac:dyDescent="0.35">
      <c r="B460" s="118">
        <f t="shared" ca="1" si="70"/>
        <v>0.52206071675949794</v>
      </c>
      <c r="C460" s="119">
        <f t="shared" ca="1" si="70"/>
        <v>0.48210528253925039</v>
      </c>
      <c r="D460" s="118">
        <f t="shared" ca="1" si="62"/>
        <v>0.52206071675949794</v>
      </c>
      <c r="E460" s="119">
        <f t="shared" ca="1" si="63"/>
        <v>0.57677692116049151</v>
      </c>
      <c r="F460" s="2">
        <f t="shared" ca="1" si="64"/>
        <v>0.05</v>
      </c>
      <c r="G460" s="2">
        <f t="shared" ca="1" si="65"/>
        <v>0.12</v>
      </c>
      <c r="H460" s="72">
        <f t="shared" ca="1" si="66"/>
        <v>3283.2251171200792</v>
      </c>
      <c r="I460" s="72">
        <f t="shared" ca="1" si="67"/>
        <v>1150.1271898182279</v>
      </c>
      <c r="J460" s="72">
        <f t="shared" ca="1" si="68"/>
        <v>4433.3523069383073</v>
      </c>
    </row>
    <row r="461" spans="2:10" x14ac:dyDescent="0.35">
      <c r="B461" s="118">
        <f t="shared" ca="1" si="70"/>
        <v>-0.82793245495033962</v>
      </c>
      <c r="C461" s="119">
        <f t="shared" ca="1" si="70"/>
        <v>-1.0445013774359166</v>
      </c>
      <c r="D461" s="118">
        <f t="shared" ca="1" si="62"/>
        <v>-0.82793245495033962</v>
      </c>
      <c r="E461" s="119">
        <f t="shared" ca="1" si="63"/>
        <v>-1.1889846551309393</v>
      </c>
      <c r="F461" s="2">
        <f t="shared" ca="1" si="64"/>
        <v>0.05</v>
      </c>
      <c r="G461" s="2">
        <f t="shared" ca="1" si="65"/>
        <v>0.05</v>
      </c>
      <c r="H461" s="72">
        <f t="shared" ca="1" si="66"/>
        <v>3283.2251171200792</v>
      </c>
      <c r="I461" s="72">
        <f t="shared" ca="1" si="67"/>
        <v>1342.7489181356559</v>
      </c>
      <c r="J461" s="72">
        <f t="shared" ca="1" si="68"/>
        <v>4625.9740352557346</v>
      </c>
    </row>
    <row r="462" spans="2:10" x14ac:dyDescent="0.35">
      <c r="B462" s="118">
        <f t="shared" ca="1" si="70"/>
        <v>0.46438060801172948</v>
      </c>
      <c r="C462" s="119">
        <f t="shared" ca="1" si="70"/>
        <v>1.2935964779593567</v>
      </c>
      <c r="D462" s="118">
        <f t="shared" ca="1" si="62"/>
        <v>0.46438060801172948</v>
      </c>
      <c r="E462" s="119">
        <f t="shared" ca="1" si="63"/>
        <v>1.3603366432271018</v>
      </c>
      <c r="F462" s="2">
        <f t="shared" ca="1" si="64"/>
        <v>0.05</v>
      </c>
      <c r="G462" s="2" t="str">
        <f t="shared" ca="1" si="65"/>
        <v>D</v>
      </c>
      <c r="H462" s="72">
        <f t="shared" ca="1" si="66"/>
        <v>3283.2251171200792</v>
      </c>
      <c r="I462" s="72">
        <f t="shared" ca="1" si="67"/>
        <v>0</v>
      </c>
      <c r="J462" s="72">
        <f t="shared" ca="1" si="68"/>
        <v>3283.2251171200792</v>
      </c>
    </row>
    <row r="463" spans="2:10" x14ac:dyDescent="0.35">
      <c r="B463" s="118">
        <f t="shared" ca="1" si="70"/>
        <v>-1.6322098631653101</v>
      </c>
      <c r="C463" s="119">
        <f t="shared" ca="1" si="70"/>
        <v>-0.23954108800245866</v>
      </c>
      <c r="D463" s="118">
        <f t="shared" ca="1" si="62"/>
        <v>-1.6322098631653101</v>
      </c>
      <c r="E463" s="119">
        <f t="shared" ca="1" si="63"/>
        <v>-0.56114334784792008</v>
      </c>
      <c r="F463" s="2">
        <f t="shared" ca="1" si="64"/>
        <v>0.01</v>
      </c>
      <c r="G463" s="2">
        <f t="shared" ca="1" si="65"/>
        <v>0.12</v>
      </c>
      <c r="H463" s="72">
        <f t="shared" ca="1" si="66"/>
        <v>3443.7147154459058</v>
      </c>
      <c r="I463" s="72">
        <f t="shared" ca="1" si="67"/>
        <v>1150.1271898182279</v>
      </c>
      <c r="J463" s="72">
        <f t="shared" ca="1" si="68"/>
        <v>4593.8419052641339</v>
      </c>
    </row>
    <row r="464" spans="2:10" x14ac:dyDescent="0.35">
      <c r="B464" s="118">
        <f t="shared" ref="B464:C483" ca="1" si="71">NORMSINV(RAND())</f>
        <v>-0.33045389842197126</v>
      </c>
      <c r="C464" s="119">
        <f t="shared" ca="1" si="71"/>
        <v>0.32982628804069969</v>
      </c>
      <c r="D464" s="118">
        <f t="shared" ca="1" si="62"/>
        <v>-0.33045389842197126</v>
      </c>
      <c r="E464" s="119">
        <f t="shared" ca="1" si="63"/>
        <v>0.25707166409798327</v>
      </c>
      <c r="F464" s="2">
        <f t="shared" ca="1" si="64"/>
        <v>0.05</v>
      </c>
      <c r="G464" s="2">
        <f t="shared" ca="1" si="65"/>
        <v>0.12</v>
      </c>
      <c r="H464" s="72">
        <f t="shared" ca="1" si="66"/>
        <v>3283.2251171200792</v>
      </c>
      <c r="I464" s="72">
        <f t="shared" ca="1" si="67"/>
        <v>1150.1271898182279</v>
      </c>
      <c r="J464" s="72">
        <f t="shared" ca="1" si="68"/>
        <v>4433.3523069383073</v>
      </c>
    </row>
    <row r="465" spans="2:10" x14ac:dyDescent="0.35">
      <c r="B465" s="118">
        <f t="shared" ca="1" si="71"/>
        <v>1.1715300074938497</v>
      </c>
      <c r="C465" s="119">
        <f t="shared" ca="1" si="71"/>
        <v>-2.1089110411282391E-2</v>
      </c>
      <c r="D465" s="118">
        <f t="shared" ca="1" si="62"/>
        <v>1.1715300074938497</v>
      </c>
      <c r="E465" s="119">
        <f t="shared" ca="1" si="63"/>
        <v>0.2136429776440267</v>
      </c>
      <c r="F465" s="2">
        <f t="shared" ca="1" si="64"/>
        <v>0.12</v>
      </c>
      <c r="G465" s="2">
        <f t="shared" ca="1" si="65"/>
        <v>0.12</v>
      </c>
      <c r="H465" s="72">
        <f t="shared" ca="1" si="66"/>
        <v>3042.2414210881088</v>
      </c>
      <c r="I465" s="72">
        <f t="shared" ca="1" si="67"/>
        <v>1150.1271898182279</v>
      </c>
      <c r="J465" s="72">
        <f t="shared" ca="1" si="68"/>
        <v>4192.3686109063365</v>
      </c>
    </row>
    <row r="466" spans="2:10" x14ac:dyDescent="0.35">
      <c r="B466" s="118">
        <f t="shared" ca="1" si="71"/>
        <v>-0.57317277771813979</v>
      </c>
      <c r="C466" s="119">
        <f t="shared" ca="1" si="71"/>
        <v>8.2006565689883654E-2</v>
      </c>
      <c r="D466" s="118">
        <f t="shared" ca="1" si="62"/>
        <v>-0.57317277771813979</v>
      </c>
      <c r="E466" s="119">
        <f t="shared" ca="1" si="63"/>
        <v>-3.4284858944330004E-2</v>
      </c>
      <c r="F466" s="2">
        <f t="shared" ca="1" si="64"/>
        <v>0.05</v>
      </c>
      <c r="G466" s="2">
        <f t="shared" ca="1" si="65"/>
        <v>0.12</v>
      </c>
      <c r="H466" s="72">
        <f t="shared" ca="1" si="66"/>
        <v>3283.2251171200792</v>
      </c>
      <c r="I466" s="72">
        <f t="shared" ca="1" si="67"/>
        <v>1150.1271898182279</v>
      </c>
      <c r="J466" s="72">
        <f t="shared" ca="1" si="68"/>
        <v>4433.3523069383073</v>
      </c>
    </row>
    <row r="467" spans="2:10" x14ac:dyDescent="0.35">
      <c r="B467" s="118">
        <f t="shared" ca="1" si="71"/>
        <v>0.12742701474694387</v>
      </c>
      <c r="C467" s="119">
        <f t="shared" ca="1" si="71"/>
        <v>1.6820289165459132</v>
      </c>
      <c r="D467" s="118">
        <f t="shared" ca="1" si="62"/>
        <v>0.12742701474694387</v>
      </c>
      <c r="E467" s="119">
        <f t="shared" ca="1" si="63"/>
        <v>1.6735304342069555</v>
      </c>
      <c r="F467" s="2">
        <f t="shared" ca="1" si="64"/>
        <v>0.05</v>
      </c>
      <c r="G467" s="2" t="str">
        <f t="shared" ca="1" si="65"/>
        <v>D</v>
      </c>
      <c r="H467" s="72">
        <f t="shared" ca="1" si="66"/>
        <v>3283.2251171200792</v>
      </c>
      <c r="I467" s="72">
        <f t="shared" ca="1" si="67"/>
        <v>0</v>
      </c>
      <c r="J467" s="72">
        <f t="shared" ca="1" si="68"/>
        <v>3283.2251171200792</v>
      </c>
    </row>
    <row r="468" spans="2:10" x14ac:dyDescent="0.35">
      <c r="B468" s="118">
        <f t="shared" ca="1" si="71"/>
        <v>3.1360363456798179</v>
      </c>
      <c r="C468" s="119">
        <f t="shared" ca="1" si="71"/>
        <v>-0.29588300438457132</v>
      </c>
      <c r="D468" s="118">
        <f t="shared" ca="1" si="62"/>
        <v>3.1360363456798179</v>
      </c>
      <c r="E468" s="119">
        <f t="shared" ca="1" si="63"/>
        <v>0.33730231541441258</v>
      </c>
      <c r="F468" s="2" t="str">
        <f t="shared" ca="1" si="64"/>
        <v>D</v>
      </c>
      <c r="G468" s="2">
        <f t="shared" ca="1" si="65"/>
        <v>0.12</v>
      </c>
      <c r="H468" s="72">
        <f t="shared" ca="1" si="66"/>
        <v>0</v>
      </c>
      <c r="I468" s="72">
        <f t="shared" ca="1" si="67"/>
        <v>1150.1271898182279</v>
      </c>
      <c r="J468" s="72">
        <f t="shared" ca="1" si="68"/>
        <v>1150.1271898182279</v>
      </c>
    </row>
    <row r="469" spans="2:10" x14ac:dyDescent="0.35">
      <c r="B469" s="118">
        <f t="shared" ca="1" si="71"/>
        <v>-0.92868236492813128</v>
      </c>
      <c r="C469" s="119">
        <f t="shared" ca="1" si="71"/>
        <v>-0.85732497402724639</v>
      </c>
      <c r="D469" s="118">
        <f t="shared" ca="1" si="62"/>
        <v>-0.92868236492813128</v>
      </c>
      <c r="E469" s="119">
        <f t="shared" ca="1" si="63"/>
        <v>-1.0257399650302641</v>
      </c>
      <c r="F469" s="2">
        <f t="shared" ca="1" si="64"/>
        <v>0.05</v>
      </c>
      <c r="G469" s="2">
        <f t="shared" ca="1" si="65"/>
        <v>0.05</v>
      </c>
      <c r="H469" s="72">
        <f t="shared" ca="1" si="66"/>
        <v>3283.2251171200792</v>
      </c>
      <c r="I469" s="72">
        <f t="shared" ca="1" si="67"/>
        <v>1342.7489181356559</v>
      </c>
      <c r="J469" s="72">
        <f t="shared" ca="1" si="68"/>
        <v>4625.9740352557346</v>
      </c>
    </row>
    <row r="470" spans="2:10" x14ac:dyDescent="0.35">
      <c r="B470" s="118">
        <f t="shared" ca="1" si="71"/>
        <v>6.1395217048000363E-2</v>
      </c>
      <c r="C470" s="119">
        <f t="shared" ca="1" si="71"/>
        <v>-0.11878036218236152</v>
      </c>
      <c r="D470" s="118">
        <f t="shared" ca="1" si="62"/>
        <v>6.1395217048000363E-2</v>
      </c>
      <c r="E470" s="119">
        <f t="shared" ca="1" si="63"/>
        <v>-0.10410146811430609</v>
      </c>
      <c r="F470" s="2">
        <f t="shared" ca="1" si="64"/>
        <v>0.05</v>
      </c>
      <c r="G470" s="2">
        <f t="shared" ca="1" si="65"/>
        <v>0.12</v>
      </c>
      <c r="H470" s="72">
        <f t="shared" ca="1" si="66"/>
        <v>3283.2251171200792</v>
      </c>
      <c r="I470" s="72">
        <f t="shared" ca="1" si="67"/>
        <v>1150.1271898182279</v>
      </c>
      <c r="J470" s="72">
        <f t="shared" ca="1" si="68"/>
        <v>4433.3523069383073</v>
      </c>
    </row>
    <row r="471" spans="2:10" x14ac:dyDescent="0.35">
      <c r="B471" s="118">
        <f t="shared" ca="1" si="71"/>
        <v>-1.8857472912023414</v>
      </c>
      <c r="C471" s="119">
        <f t="shared" ca="1" si="71"/>
        <v>0.89794970509639149</v>
      </c>
      <c r="D471" s="118">
        <f t="shared" ca="1" si="62"/>
        <v>-1.8857472912023414</v>
      </c>
      <c r="E471" s="119">
        <f t="shared" ca="1" si="63"/>
        <v>0.50265797862704786</v>
      </c>
      <c r="F471" s="2">
        <f t="shared" ca="1" si="64"/>
        <v>0.01</v>
      </c>
      <c r="G471" s="2">
        <f t="shared" ca="1" si="65"/>
        <v>0.12</v>
      </c>
      <c r="H471" s="72">
        <f t="shared" ca="1" si="66"/>
        <v>3443.7147154459058</v>
      </c>
      <c r="I471" s="72">
        <f t="shared" ca="1" si="67"/>
        <v>1150.1271898182279</v>
      </c>
      <c r="J471" s="72">
        <f t="shared" ca="1" si="68"/>
        <v>4593.8419052641339</v>
      </c>
    </row>
    <row r="472" spans="2:10" x14ac:dyDescent="0.35">
      <c r="B472" s="118">
        <f t="shared" ca="1" si="71"/>
        <v>-0.53111820114521979</v>
      </c>
      <c r="C472" s="119">
        <f t="shared" ca="1" si="71"/>
        <v>-0.43163553607085864</v>
      </c>
      <c r="D472" s="118">
        <f t="shared" ref="D472:D523" ca="1" si="72">+B472</f>
        <v>-0.53111820114521979</v>
      </c>
      <c r="E472" s="119">
        <f t="shared" ref="E472:E523" ca="1" si="73">+$C$21*B472+C472*(1-$C$21^2)^0.5</f>
        <v>-0.52913836751955867</v>
      </c>
      <c r="F472" s="2">
        <f t="shared" ref="F472:F523" ca="1" si="74">+IF(D472&lt;$I$17,$H$17,IF(D472&lt;$I$18,$H$18,IF(D472&lt;$I$19,$H$19,$H$20)))</f>
        <v>0.05</v>
      </c>
      <c r="G472" s="2">
        <f t="shared" ref="G472:G523" ca="1" si="75">+IF(E472&lt;$J$17,$H$17,IF(E472&lt;$J$18,$H$18,IF(E472&lt;$J$19,$H$19,$H$20)))</f>
        <v>0.12</v>
      </c>
      <c r="H472" s="72">
        <f t="shared" ref="H472:H523" ca="1" si="76">+IF(F472="D",0,$C$10+NPV($E$10+F472,$C$11:$C$13))</f>
        <v>3283.2251171200792</v>
      </c>
      <c r="I472" s="72">
        <f t="shared" ref="I472:I523" ca="1" si="77">+IF(G472="D",0,$D$10+NPV($E$10+G472,$D$11:$D$14))</f>
        <v>1150.1271898182279</v>
      </c>
      <c r="J472" s="72">
        <f t="shared" ref="J472:J523" ca="1" si="78">+I472+H472</f>
        <v>4433.3523069383073</v>
      </c>
    </row>
    <row r="473" spans="2:10" x14ac:dyDescent="0.35">
      <c r="B473" s="118">
        <f t="shared" ca="1" si="71"/>
        <v>0.60701653166037761</v>
      </c>
      <c r="C473" s="119">
        <f t="shared" ca="1" si="71"/>
        <v>0.91199305587386437</v>
      </c>
      <c r="D473" s="118">
        <f t="shared" ca="1" si="72"/>
        <v>0.60701653166037761</v>
      </c>
      <c r="E473" s="119">
        <f t="shared" ca="1" si="73"/>
        <v>1.014970360673082</v>
      </c>
      <c r="F473" s="2">
        <f t="shared" ca="1" si="74"/>
        <v>0.05</v>
      </c>
      <c r="G473" s="2" t="str">
        <f t="shared" ca="1" si="75"/>
        <v>D</v>
      </c>
      <c r="H473" s="72">
        <f t="shared" ca="1" si="76"/>
        <v>3283.2251171200792</v>
      </c>
      <c r="I473" s="72">
        <f t="shared" ca="1" si="77"/>
        <v>0</v>
      </c>
      <c r="J473" s="72">
        <f t="shared" ca="1" si="78"/>
        <v>3283.2251171200792</v>
      </c>
    </row>
    <row r="474" spans="2:10" x14ac:dyDescent="0.35">
      <c r="B474" s="118">
        <f t="shared" ca="1" si="71"/>
        <v>-1.078487138633246</v>
      </c>
      <c r="C474" s="119">
        <f t="shared" ca="1" si="71"/>
        <v>-1.1276172046370965</v>
      </c>
      <c r="D474" s="118">
        <f t="shared" ca="1" si="72"/>
        <v>-1.078487138633246</v>
      </c>
      <c r="E474" s="119">
        <f t="shared" ca="1" si="73"/>
        <v>-1.3205321383444122</v>
      </c>
      <c r="F474" s="2">
        <f t="shared" ca="1" si="74"/>
        <v>0.05</v>
      </c>
      <c r="G474" s="2">
        <f t="shared" ca="1" si="75"/>
        <v>0.05</v>
      </c>
      <c r="H474" s="72">
        <f t="shared" ca="1" si="76"/>
        <v>3283.2251171200792</v>
      </c>
      <c r="I474" s="72">
        <f t="shared" ca="1" si="77"/>
        <v>1342.7489181356559</v>
      </c>
      <c r="J474" s="72">
        <f t="shared" ca="1" si="78"/>
        <v>4625.9740352557346</v>
      </c>
    </row>
    <row r="475" spans="2:10" x14ac:dyDescent="0.35">
      <c r="B475" s="118">
        <f t="shared" ca="1" si="71"/>
        <v>-1.6549067778670026</v>
      </c>
      <c r="C475" s="119">
        <f t="shared" ca="1" si="71"/>
        <v>-0.53304477860546751</v>
      </c>
      <c r="D475" s="118">
        <f t="shared" ca="1" si="72"/>
        <v>-1.6549067778670026</v>
      </c>
      <c r="E475" s="119">
        <f t="shared" ca="1" si="73"/>
        <v>-0.85325644262868949</v>
      </c>
      <c r="F475" s="2">
        <f t="shared" ca="1" si="74"/>
        <v>0.01</v>
      </c>
      <c r="G475" s="2">
        <f t="shared" ca="1" si="75"/>
        <v>0.05</v>
      </c>
      <c r="H475" s="72">
        <f t="shared" ca="1" si="76"/>
        <v>3443.7147154459058</v>
      </c>
      <c r="I475" s="72">
        <f t="shared" ca="1" si="77"/>
        <v>1342.7489181356559</v>
      </c>
      <c r="J475" s="72">
        <f t="shared" ca="1" si="78"/>
        <v>4786.4636335815612</v>
      </c>
    </row>
    <row r="476" spans="2:10" x14ac:dyDescent="0.35">
      <c r="B476" s="118">
        <f t="shared" ca="1" si="71"/>
        <v>1.0116817284165862</v>
      </c>
      <c r="C476" s="119">
        <f t="shared" ca="1" si="71"/>
        <v>1.0688138922885713</v>
      </c>
      <c r="D476" s="118">
        <f t="shared" ca="1" si="72"/>
        <v>1.0116817284165862</v>
      </c>
      <c r="E476" s="119">
        <f t="shared" ca="1" si="73"/>
        <v>1.2495558121253252</v>
      </c>
      <c r="F476" s="2">
        <f t="shared" ca="1" si="74"/>
        <v>0.12</v>
      </c>
      <c r="G476" s="2" t="str">
        <f t="shared" ca="1" si="75"/>
        <v>D</v>
      </c>
      <c r="H476" s="72">
        <f t="shared" ca="1" si="76"/>
        <v>3042.2414210881088</v>
      </c>
      <c r="I476" s="72">
        <f t="shared" ca="1" si="77"/>
        <v>0</v>
      </c>
      <c r="J476" s="72">
        <f t="shared" ca="1" si="78"/>
        <v>3042.2414210881088</v>
      </c>
    </row>
    <row r="477" spans="2:10" x14ac:dyDescent="0.35">
      <c r="B477" s="118">
        <f t="shared" ca="1" si="71"/>
        <v>1.3341429406350624</v>
      </c>
      <c r="C477" s="119">
        <f t="shared" ca="1" si="71"/>
        <v>0.46711694140893328</v>
      </c>
      <c r="D477" s="118">
        <f t="shared" ca="1" si="72"/>
        <v>1.3341429406350624</v>
      </c>
      <c r="E477" s="119">
        <f t="shared" ca="1" si="73"/>
        <v>0.72450785079158564</v>
      </c>
      <c r="F477" s="2" t="str">
        <f t="shared" ca="1" si="74"/>
        <v>D</v>
      </c>
      <c r="G477" s="2">
        <f t="shared" ca="1" si="75"/>
        <v>0.12</v>
      </c>
      <c r="H477" s="72">
        <f t="shared" ca="1" si="76"/>
        <v>0</v>
      </c>
      <c r="I477" s="72">
        <f t="shared" ca="1" si="77"/>
        <v>1150.1271898182279</v>
      </c>
      <c r="J477" s="72">
        <f t="shared" ca="1" si="78"/>
        <v>1150.1271898182279</v>
      </c>
    </row>
    <row r="478" spans="2:10" x14ac:dyDescent="0.35">
      <c r="B478" s="118">
        <f t="shared" ca="1" si="71"/>
        <v>-0.75551635031522213</v>
      </c>
      <c r="C478" s="119">
        <f t="shared" ca="1" si="71"/>
        <v>1.6371960058231676</v>
      </c>
      <c r="D478" s="118">
        <f t="shared" ca="1" si="72"/>
        <v>-0.75551635031522213</v>
      </c>
      <c r="E478" s="119">
        <f t="shared" ca="1" si="73"/>
        <v>1.4530146592127304</v>
      </c>
      <c r="F478" s="2">
        <f t="shared" ca="1" si="74"/>
        <v>0.05</v>
      </c>
      <c r="G478" s="2" t="str">
        <f t="shared" ca="1" si="75"/>
        <v>D</v>
      </c>
      <c r="H478" s="72">
        <f t="shared" ca="1" si="76"/>
        <v>3283.2251171200792</v>
      </c>
      <c r="I478" s="72">
        <f t="shared" ca="1" si="77"/>
        <v>0</v>
      </c>
      <c r="J478" s="72">
        <f t="shared" ca="1" si="78"/>
        <v>3283.2251171200792</v>
      </c>
    </row>
    <row r="479" spans="2:10" x14ac:dyDescent="0.35">
      <c r="B479" s="118">
        <f t="shared" ca="1" si="71"/>
        <v>-0.7763413459326326</v>
      </c>
      <c r="C479" s="119">
        <f t="shared" ca="1" si="71"/>
        <v>0.82255009386160449</v>
      </c>
      <c r="D479" s="118">
        <f t="shared" ca="1" si="72"/>
        <v>-0.7763413459326326</v>
      </c>
      <c r="E479" s="119">
        <f t="shared" ca="1" si="73"/>
        <v>0.65066293794920971</v>
      </c>
      <c r="F479" s="2">
        <f t="shared" ca="1" si="74"/>
        <v>0.05</v>
      </c>
      <c r="G479" s="2">
        <f t="shared" ca="1" si="75"/>
        <v>0.12</v>
      </c>
      <c r="H479" s="72">
        <f t="shared" ca="1" si="76"/>
        <v>3283.2251171200792</v>
      </c>
      <c r="I479" s="72">
        <f t="shared" ca="1" si="77"/>
        <v>1150.1271898182279</v>
      </c>
      <c r="J479" s="72">
        <f t="shared" ca="1" si="78"/>
        <v>4433.3523069383073</v>
      </c>
    </row>
    <row r="480" spans="2:10" x14ac:dyDescent="0.35">
      <c r="B480" s="118">
        <f t="shared" ca="1" si="71"/>
        <v>0.15108743193781499</v>
      </c>
      <c r="C480" s="119">
        <f t="shared" ca="1" si="71"/>
        <v>0.50135536882841125</v>
      </c>
      <c r="D480" s="118">
        <f t="shared" ca="1" si="72"/>
        <v>0.15108743193781499</v>
      </c>
      <c r="E480" s="119">
        <f t="shared" ca="1" si="73"/>
        <v>0.52144341976135111</v>
      </c>
      <c r="F480" s="2">
        <f t="shared" ca="1" si="74"/>
        <v>0.05</v>
      </c>
      <c r="G480" s="2">
        <f t="shared" ca="1" si="75"/>
        <v>0.12</v>
      </c>
      <c r="H480" s="72">
        <f t="shared" ca="1" si="76"/>
        <v>3283.2251171200792</v>
      </c>
      <c r="I480" s="72">
        <f t="shared" ca="1" si="77"/>
        <v>1150.1271898182279</v>
      </c>
      <c r="J480" s="72">
        <f t="shared" ca="1" si="78"/>
        <v>4433.3523069383073</v>
      </c>
    </row>
    <row r="481" spans="2:10" x14ac:dyDescent="0.35">
      <c r="B481" s="118">
        <f t="shared" ca="1" si="71"/>
        <v>1.3708871702772356</v>
      </c>
      <c r="C481" s="119">
        <f t="shared" ca="1" si="71"/>
        <v>0.68697226487802421</v>
      </c>
      <c r="D481" s="118">
        <f t="shared" ca="1" si="72"/>
        <v>1.3708871702772356</v>
      </c>
      <c r="E481" s="119">
        <f t="shared" ca="1" si="73"/>
        <v>0.94727004061354669</v>
      </c>
      <c r="F481" s="2" t="str">
        <f t="shared" ca="1" si="74"/>
        <v>D</v>
      </c>
      <c r="G481" s="2" t="str">
        <f t="shared" ca="1" si="75"/>
        <v>D</v>
      </c>
      <c r="H481" s="72">
        <f t="shared" ca="1" si="76"/>
        <v>0</v>
      </c>
      <c r="I481" s="72">
        <f t="shared" ca="1" si="77"/>
        <v>0</v>
      </c>
      <c r="J481" s="72">
        <f t="shared" ca="1" si="78"/>
        <v>0</v>
      </c>
    </row>
    <row r="482" spans="2:10" x14ac:dyDescent="0.35">
      <c r="B482" s="118">
        <f t="shared" ca="1" si="71"/>
        <v>0.10113067733156726</v>
      </c>
      <c r="C482" s="119">
        <f t="shared" ca="1" si="71"/>
        <v>0.20125197323951363</v>
      </c>
      <c r="D482" s="118">
        <f t="shared" ca="1" si="72"/>
        <v>0.10113067733156726</v>
      </c>
      <c r="E482" s="119">
        <f t="shared" ca="1" si="73"/>
        <v>0.21741199313233878</v>
      </c>
      <c r="F482" s="2">
        <f t="shared" ca="1" si="74"/>
        <v>0.05</v>
      </c>
      <c r="G482" s="2">
        <f t="shared" ca="1" si="75"/>
        <v>0.12</v>
      </c>
      <c r="H482" s="72">
        <f t="shared" ca="1" si="76"/>
        <v>3283.2251171200792</v>
      </c>
      <c r="I482" s="72">
        <f t="shared" ca="1" si="77"/>
        <v>1150.1271898182279</v>
      </c>
      <c r="J482" s="72">
        <f t="shared" ca="1" si="78"/>
        <v>4433.3523069383073</v>
      </c>
    </row>
    <row r="483" spans="2:10" x14ac:dyDescent="0.35">
      <c r="B483" s="118">
        <f t="shared" ca="1" si="71"/>
        <v>-0.18827860788438738</v>
      </c>
      <c r="C483" s="119">
        <f t="shared" ca="1" si="71"/>
        <v>-0.69382080726532847</v>
      </c>
      <c r="D483" s="118">
        <f t="shared" ca="1" si="72"/>
        <v>-0.18827860788438738</v>
      </c>
      <c r="E483" s="119">
        <f t="shared" ca="1" si="73"/>
        <v>-0.71745850186726401</v>
      </c>
      <c r="F483" s="2">
        <f t="shared" ca="1" si="74"/>
        <v>0.05</v>
      </c>
      <c r="G483" s="2">
        <f t="shared" ca="1" si="75"/>
        <v>0.12</v>
      </c>
      <c r="H483" s="72">
        <f t="shared" ca="1" si="76"/>
        <v>3283.2251171200792</v>
      </c>
      <c r="I483" s="72">
        <f t="shared" ca="1" si="77"/>
        <v>1150.1271898182279</v>
      </c>
      <c r="J483" s="72">
        <f t="shared" ca="1" si="78"/>
        <v>4433.3523069383073</v>
      </c>
    </row>
    <row r="484" spans="2:10" x14ac:dyDescent="0.35">
      <c r="B484" s="118">
        <f t="shared" ref="B484:C503" ca="1" si="79">NORMSINV(RAND())</f>
        <v>-0.43023194271512916</v>
      </c>
      <c r="C484" s="119">
        <f t="shared" ca="1" si="79"/>
        <v>9.8632808851092393E-2</v>
      </c>
      <c r="D484" s="118">
        <f t="shared" ca="1" si="72"/>
        <v>-0.43023194271512916</v>
      </c>
      <c r="E484" s="119">
        <f t="shared" ca="1" si="73"/>
        <v>1.059363289003204E-2</v>
      </c>
      <c r="F484" s="2">
        <f t="shared" ca="1" si="74"/>
        <v>0.05</v>
      </c>
      <c r="G484" s="2">
        <f t="shared" ca="1" si="75"/>
        <v>0.12</v>
      </c>
      <c r="H484" s="72">
        <f t="shared" ca="1" si="76"/>
        <v>3283.2251171200792</v>
      </c>
      <c r="I484" s="72">
        <f t="shared" ca="1" si="77"/>
        <v>1150.1271898182279</v>
      </c>
      <c r="J484" s="72">
        <f t="shared" ca="1" si="78"/>
        <v>4433.3523069383073</v>
      </c>
    </row>
    <row r="485" spans="2:10" x14ac:dyDescent="0.35">
      <c r="B485" s="118">
        <f t="shared" ca="1" si="79"/>
        <v>0.81480783831481962</v>
      </c>
      <c r="C485" s="119">
        <f t="shared" ca="1" si="79"/>
        <v>-1.5570906405222682</v>
      </c>
      <c r="D485" s="118">
        <f t="shared" ca="1" si="72"/>
        <v>0.81480783831481962</v>
      </c>
      <c r="E485" s="119">
        <f t="shared" ca="1" si="73"/>
        <v>-1.3626694533542301</v>
      </c>
      <c r="F485" s="2">
        <f t="shared" ca="1" si="74"/>
        <v>0.05</v>
      </c>
      <c r="G485" s="2">
        <f t="shared" ca="1" si="75"/>
        <v>0.05</v>
      </c>
      <c r="H485" s="72">
        <f t="shared" ca="1" si="76"/>
        <v>3283.2251171200792</v>
      </c>
      <c r="I485" s="72">
        <f t="shared" ca="1" si="77"/>
        <v>1342.7489181356559</v>
      </c>
      <c r="J485" s="72">
        <f t="shared" ca="1" si="78"/>
        <v>4625.9740352557346</v>
      </c>
    </row>
    <row r="486" spans="2:10" x14ac:dyDescent="0.35">
      <c r="B486" s="118">
        <f t="shared" ca="1" si="79"/>
        <v>1.1136030444831759</v>
      </c>
      <c r="C486" s="119">
        <f t="shared" ca="1" si="79"/>
        <v>-0.8600943128938886</v>
      </c>
      <c r="D486" s="118">
        <f t="shared" ca="1" si="72"/>
        <v>1.1136030444831759</v>
      </c>
      <c r="E486" s="119">
        <f t="shared" ca="1" si="73"/>
        <v>-0.61999627000725499</v>
      </c>
      <c r="F486" s="2">
        <f t="shared" ca="1" si="74"/>
        <v>0.12</v>
      </c>
      <c r="G486" s="2">
        <f t="shared" ca="1" si="75"/>
        <v>0.12</v>
      </c>
      <c r="H486" s="72">
        <f t="shared" ca="1" si="76"/>
        <v>3042.2414210881088</v>
      </c>
      <c r="I486" s="72">
        <f t="shared" ca="1" si="77"/>
        <v>1150.1271898182279</v>
      </c>
      <c r="J486" s="72">
        <f t="shared" ca="1" si="78"/>
        <v>4192.3686109063365</v>
      </c>
    </row>
    <row r="487" spans="2:10" x14ac:dyDescent="0.35">
      <c r="B487" s="118">
        <f t="shared" ca="1" si="79"/>
        <v>-1.6443358162348467</v>
      </c>
      <c r="C487" s="119">
        <f t="shared" ca="1" si="79"/>
        <v>-1.5923445866263073</v>
      </c>
      <c r="D487" s="118">
        <f t="shared" ca="1" si="72"/>
        <v>-1.6443358162348467</v>
      </c>
      <c r="E487" s="119">
        <f t="shared" ca="1" si="73"/>
        <v>-1.889039856013953</v>
      </c>
      <c r="F487" s="2">
        <f t="shared" ca="1" si="74"/>
        <v>0.01</v>
      </c>
      <c r="G487" s="2">
        <f t="shared" ca="1" si="75"/>
        <v>0.01</v>
      </c>
      <c r="H487" s="72">
        <f t="shared" ca="1" si="76"/>
        <v>3443.7147154459058</v>
      </c>
      <c r="I487" s="72">
        <f t="shared" ca="1" si="77"/>
        <v>1479.2201120631812</v>
      </c>
      <c r="J487" s="72">
        <f t="shared" ca="1" si="78"/>
        <v>4922.934827509087</v>
      </c>
    </row>
    <row r="488" spans="2:10" x14ac:dyDescent="0.35">
      <c r="B488" s="118">
        <f t="shared" ca="1" si="79"/>
        <v>-1.8278682274971821E-2</v>
      </c>
      <c r="C488" s="119">
        <f t="shared" ca="1" si="79"/>
        <v>0.6317520589547424</v>
      </c>
      <c r="D488" s="118">
        <f t="shared" ca="1" si="72"/>
        <v>-1.8278682274971821E-2</v>
      </c>
      <c r="E488" s="119">
        <f t="shared" ca="1" si="73"/>
        <v>0.61533233890172367</v>
      </c>
      <c r="F488" s="2">
        <f t="shared" ca="1" si="74"/>
        <v>0.05</v>
      </c>
      <c r="G488" s="2">
        <f t="shared" ca="1" si="75"/>
        <v>0.12</v>
      </c>
      <c r="H488" s="72">
        <f t="shared" ca="1" si="76"/>
        <v>3283.2251171200792</v>
      </c>
      <c r="I488" s="72">
        <f t="shared" ca="1" si="77"/>
        <v>1150.1271898182279</v>
      </c>
      <c r="J488" s="72">
        <f t="shared" ca="1" si="78"/>
        <v>4433.3523069383073</v>
      </c>
    </row>
    <row r="489" spans="2:10" x14ac:dyDescent="0.35">
      <c r="B489" s="118">
        <f t="shared" ca="1" si="79"/>
        <v>0.86867355547712388</v>
      </c>
      <c r="C489" s="119">
        <f t="shared" ca="1" si="79"/>
        <v>0.87728366392426183</v>
      </c>
      <c r="D489" s="118">
        <f t="shared" ca="1" si="72"/>
        <v>0.86867355547712388</v>
      </c>
      <c r="E489" s="119">
        <f t="shared" ca="1" si="73"/>
        <v>1.0332936456129145</v>
      </c>
      <c r="F489" s="2">
        <f t="shared" ca="1" si="74"/>
        <v>0.12</v>
      </c>
      <c r="G489" s="2" t="str">
        <f t="shared" ca="1" si="75"/>
        <v>D</v>
      </c>
      <c r="H489" s="72">
        <f t="shared" ca="1" si="76"/>
        <v>3042.2414210881088</v>
      </c>
      <c r="I489" s="72">
        <f t="shared" ca="1" si="77"/>
        <v>0</v>
      </c>
      <c r="J489" s="72">
        <f t="shared" ca="1" si="78"/>
        <v>3042.2414210881088</v>
      </c>
    </row>
    <row r="490" spans="2:10" x14ac:dyDescent="0.35">
      <c r="B490" s="118">
        <f t="shared" ca="1" si="79"/>
        <v>-0.99643924951898699</v>
      </c>
      <c r="C490" s="119">
        <f t="shared" ca="1" si="79"/>
        <v>-0.8601755793109539</v>
      </c>
      <c r="D490" s="118">
        <f t="shared" ca="1" si="72"/>
        <v>-0.99643924951898699</v>
      </c>
      <c r="E490" s="119">
        <f t="shared" ca="1" si="73"/>
        <v>-1.0420843533097013</v>
      </c>
      <c r="F490" s="2">
        <f t="shared" ca="1" si="74"/>
        <v>0.05</v>
      </c>
      <c r="G490" s="2">
        <f t="shared" ca="1" si="75"/>
        <v>0.05</v>
      </c>
      <c r="H490" s="72">
        <f t="shared" ca="1" si="76"/>
        <v>3283.2251171200792</v>
      </c>
      <c r="I490" s="72">
        <f t="shared" ca="1" si="77"/>
        <v>1342.7489181356559</v>
      </c>
      <c r="J490" s="72">
        <f t="shared" ca="1" si="78"/>
        <v>4625.9740352557346</v>
      </c>
    </row>
    <row r="491" spans="2:10" x14ac:dyDescent="0.35">
      <c r="B491" s="118">
        <f t="shared" ca="1" si="79"/>
        <v>-0.19310253040412256</v>
      </c>
      <c r="C491" s="119">
        <f t="shared" ca="1" si="79"/>
        <v>1.3698376246357882</v>
      </c>
      <c r="D491" s="118">
        <f t="shared" ca="1" si="72"/>
        <v>-0.19310253040412256</v>
      </c>
      <c r="E491" s="119">
        <f t="shared" ca="1" si="73"/>
        <v>1.3035407782487101</v>
      </c>
      <c r="F491" s="2">
        <f t="shared" ca="1" si="74"/>
        <v>0.05</v>
      </c>
      <c r="G491" s="2" t="str">
        <f t="shared" ca="1" si="75"/>
        <v>D</v>
      </c>
      <c r="H491" s="72">
        <f t="shared" ca="1" si="76"/>
        <v>3283.2251171200792</v>
      </c>
      <c r="I491" s="72">
        <f t="shared" ca="1" si="77"/>
        <v>0</v>
      </c>
      <c r="J491" s="72">
        <f t="shared" ca="1" si="78"/>
        <v>3283.2251171200792</v>
      </c>
    </row>
    <row r="492" spans="2:10" x14ac:dyDescent="0.35">
      <c r="B492" s="118">
        <f t="shared" ca="1" si="79"/>
        <v>-0.96450606789270099</v>
      </c>
      <c r="C492" s="119">
        <f t="shared" ca="1" si="79"/>
        <v>-2.1893605194589507</v>
      </c>
      <c r="D492" s="118">
        <f t="shared" ca="1" si="72"/>
        <v>-0.96450606789270099</v>
      </c>
      <c r="E492" s="119">
        <f t="shared" ca="1" si="73"/>
        <v>-2.3380276678462004</v>
      </c>
      <c r="F492" s="2">
        <f t="shared" ca="1" si="74"/>
        <v>0.05</v>
      </c>
      <c r="G492" s="2">
        <f t="shared" ca="1" si="75"/>
        <v>0.01</v>
      </c>
      <c r="H492" s="72">
        <f t="shared" ca="1" si="76"/>
        <v>3283.2251171200792</v>
      </c>
      <c r="I492" s="72">
        <f t="shared" ca="1" si="77"/>
        <v>1479.2201120631812</v>
      </c>
      <c r="J492" s="72">
        <f t="shared" ca="1" si="78"/>
        <v>4762.4452291832604</v>
      </c>
    </row>
    <row r="493" spans="2:10" x14ac:dyDescent="0.35">
      <c r="B493" s="118">
        <f t="shared" ca="1" si="79"/>
        <v>0.62999546191913658</v>
      </c>
      <c r="C493" s="119">
        <f t="shared" ca="1" si="79"/>
        <v>-0.60877605518219657</v>
      </c>
      <c r="D493" s="118">
        <f t="shared" ca="1" si="72"/>
        <v>0.62999546191913658</v>
      </c>
      <c r="E493" s="119">
        <f t="shared" ca="1" si="73"/>
        <v>-0.47047718874449129</v>
      </c>
      <c r="F493" s="2">
        <f t="shared" ca="1" si="74"/>
        <v>0.05</v>
      </c>
      <c r="G493" s="2">
        <f t="shared" ca="1" si="75"/>
        <v>0.12</v>
      </c>
      <c r="H493" s="72">
        <f t="shared" ca="1" si="76"/>
        <v>3283.2251171200792</v>
      </c>
      <c r="I493" s="72">
        <f t="shared" ca="1" si="77"/>
        <v>1150.1271898182279</v>
      </c>
      <c r="J493" s="72">
        <f t="shared" ca="1" si="78"/>
        <v>4433.3523069383073</v>
      </c>
    </row>
    <row r="494" spans="2:10" x14ac:dyDescent="0.35">
      <c r="B494" s="118">
        <f t="shared" ca="1" si="79"/>
        <v>1.203734426349458</v>
      </c>
      <c r="C494" s="119">
        <f t="shared" ca="1" si="79"/>
        <v>1.9193551410106031</v>
      </c>
      <c r="D494" s="118">
        <f t="shared" ca="1" si="72"/>
        <v>1.203734426349458</v>
      </c>
      <c r="E494" s="119">
        <f t="shared" ca="1" si="73"/>
        <v>2.1213231775353445</v>
      </c>
      <c r="F494" s="2">
        <f t="shared" ca="1" si="74"/>
        <v>0.12</v>
      </c>
      <c r="G494" s="2" t="str">
        <f t="shared" ca="1" si="75"/>
        <v>D</v>
      </c>
      <c r="H494" s="72">
        <f t="shared" ca="1" si="76"/>
        <v>3042.2414210881088</v>
      </c>
      <c r="I494" s="72">
        <f t="shared" ca="1" si="77"/>
        <v>0</v>
      </c>
      <c r="J494" s="72">
        <f t="shared" ca="1" si="78"/>
        <v>3042.2414210881088</v>
      </c>
    </row>
    <row r="495" spans="2:10" x14ac:dyDescent="0.35">
      <c r="B495" s="118">
        <f t="shared" ca="1" si="79"/>
        <v>-0.16232127105133426</v>
      </c>
      <c r="C495" s="119">
        <f t="shared" ca="1" si="79"/>
        <v>1.6857778586365526</v>
      </c>
      <c r="D495" s="118">
        <f t="shared" ca="1" si="72"/>
        <v>-0.16232127105133426</v>
      </c>
      <c r="E495" s="119">
        <f t="shared" ca="1" si="73"/>
        <v>1.6192539751262234</v>
      </c>
      <c r="F495" s="2">
        <f t="shared" ca="1" si="74"/>
        <v>0.05</v>
      </c>
      <c r="G495" s="2" t="str">
        <f t="shared" ca="1" si="75"/>
        <v>D</v>
      </c>
      <c r="H495" s="72">
        <f t="shared" ca="1" si="76"/>
        <v>3283.2251171200792</v>
      </c>
      <c r="I495" s="72">
        <f t="shared" ca="1" si="77"/>
        <v>0</v>
      </c>
      <c r="J495" s="72">
        <f t="shared" ca="1" si="78"/>
        <v>3283.2251171200792</v>
      </c>
    </row>
    <row r="496" spans="2:10" x14ac:dyDescent="0.35">
      <c r="B496" s="118">
        <f t="shared" ca="1" si="79"/>
        <v>1.2557938915345335</v>
      </c>
      <c r="C496" s="119">
        <f t="shared" ca="1" si="79"/>
        <v>-0.94803366976110603</v>
      </c>
      <c r="D496" s="118">
        <f t="shared" ca="1" si="72"/>
        <v>1.2557938915345335</v>
      </c>
      <c r="E496" s="119">
        <f t="shared" ca="1" si="73"/>
        <v>-0.67772072165026287</v>
      </c>
      <c r="F496" s="2">
        <f t="shared" ca="1" si="74"/>
        <v>0.12</v>
      </c>
      <c r="G496" s="2">
        <f t="shared" ca="1" si="75"/>
        <v>0.12</v>
      </c>
      <c r="H496" s="72">
        <f t="shared" ca="1" si="76"/>
        <v>3042.2414210881088</v>
      </c>
      <c r="I496" s="72">
        <f t="shared" ca="1" si="77"/>
        <v>1150.1271898182279</v>
      </c>
      <c r="J496" s="72">
        <f t="shared" ca="1" si="78"/>
        <v>4192.3686109063365</v>
      </c>
    </row>
    <row r="497" spans="2:10" x14ac:dyDescent="0.35">
      <c r="B497" s="118">
        <f t="shared" ca="1" si="79"/>
        <v>-2.7544765819468499E-2</v>
      </c>
      <c r="C497" s="119">
        <f t="shared" ca="1" si="79"/>
        <v>1.0199179021192295</v>
      </c>
      <c r="D497" s="118">
        <f t="shared" ca="1" si="72"/>
        <v>-2.7544765819468499E-2</v>
      </c>
      <c r="E497" s="119">
        <f t="shared" ca="1" si="73"/>
        <v>0.99380242272490238</v>
      </c>
      <c r="F497" s="2">
        <f t="shared" ca="1" si="74"/>
        <v>0.05</v>
      </c>
      <c r="G497" s="2" t="str">
        <f t="shared" ca="1" si="75"/>
        <v>D</v>
      </c>
      <c r="H497" s="72">
        <f t="shared" ca="1" si="76"/>
        <v>3283.2251171200792</v>
      </c>
      <c r="I497" s="72">
        <f t="shared" ca="1" si="77"/>
        <v>0</v>
      </c>
      <c r="J497" s="72">
        <f t="shared" ca="1" si="78"/>
        <v>3283.2251171200792</v>
      </c>
    </row>
    <row r="498" spans="2:10" x14ac:dyDescent="0.35">
      <c r="B498" s="118">
        <f t="shared" ca="1" si="79"/>
        <v>-0.1670331191124689</v>
      </c>
      <c r="C498" s="119">
        <f t="shared" ca="1" si="79"/>
        <v>-1.2291152089171757</v>
      </c>
      <c r="D498" s="118">
        <f t="shared" ca="1" si="72"/>
        <v>-0.1670331191124689</v>
      </c>
      <c r="E498" s="119">
        <f t="shared" ca="1" si="73"/>
        <v>-1.2376886625990637</v>
      </c>
      <c r="F498" s="2">
        <f t="shared" ca="1" si="74"/>
        <v>0.05</v>
      </c>
      <c r="G498" s="2">
        <f t="shared" ca="1" si="75"/>
        <v>0.05</v>
      </c>
      <c r="H498" s="72">
        <f t="shared" ca="1" si="76"/>
        <v>3283.2251171200792</v>
      </c>
      <c r="I498" s="72">
        <f t="shared" ca="1" si="77"/>
        <v>1342.7489181356559</v>
      </c>
      <c r="J498" s="72">
        <f t="shared" ca="1" si="78"/>
        <v>4625.9740352557346</v>
      </c>
    </row>
    <row r="499" spans="2:10" x14ac:dyDescent="0.35">
      <c r="B499" s="118">
        <f t="shared" ca="1" si="79"/>
        <v>0.55502392889541596</v>
      </c>
      <c r="C499" s="119">
        <f t="shared" ca="1" si="79"/>
        <v>2.5150426892200444</v>
      </c>
      <c r="D499" s="118">
        <f t="shared" ca="1" si="72"/>
        <v>0.55502392889541596</v>
      </c>
      <c r="E499" s="119">
        <f t="shared" ca="1" si="73"/>
        <v>2.5752332937416105</v>
      </c>
      <c r="F499" s="2">
        <f t="shared" ca="1" si="74"/>
        <v>0.05</v>
      </c>
      <c r="G499" s="2" t="str">
        <f t="shared" ca="1" si="75"/>
        <v>D</v>
      </c>
      <c r="H499" s="72">
        <f t="shared" ca="1" si="76"/>
        <v>3283.2251171200792</v>
      </c>
      <c r="I499" s="72">
        <f t="shared" ca="1" si="77"/>
        <v>0</v>
      </c>
      <c r="J499" s="72">
        <f t="shared" ca="1" si="78"/>
        <v>3283.2251171200792</v>
      </c>
    </row>
    <row r="500" spans="2:10" x14ac:dyDescent="0.35">
      <c r="B500" s="118">
        <f t="shared" ca="1" si="79"/>
        <v>0.6418504192115394</v>
      </c>
      <c r="C500" s="119">
        <f t="shared" ca="1" si="79"/>
        <v>1.2042019664586188</v>
      </c>
      <c r="D500" s="118">
        <f t="shared" ca="1" si="72"/>
        <v>0.6418504192115394</v>
      </c>
      <c r="E500" s="119">
        <f t="shared" ca="1" si="73"/>
        <v>1.3082422298741956</v>
      </c>
      <c r="F500" s="2">
        <f t="shared" ca="1" si="74"/>
        <v>0.05</v>
      </c>
      <c r="G500" s="2" t="str">
        <f t="shared" ca="1" si="75"/>
        <v>D</v>
      </c>
      <c r="H500" s="72">
        <f t="shared" ca="1" si="76"/>
        <v>3283.2251171200792</v>
      </c>
      <c r="I500" s="72">
        <f t="shared" ca="1" si="77"/>
        <v>0</v>
      </c>
      <c r="J500" s="72">
        <f t="shared" ca="1" si="78"/>
        <v>3283.2251171200792</v>
      </c>
    </row>
    <row r="501" spans="2:10" x14ac:dyDescent="0.35">
      <c r="B501" s="118">
        <f t="shared" ca="1" si="79"/>
        <v>0.15134528873855496</v>
      </c>
      <c r="C501" s="119">
        <f t="shared" ca="1" si="79"/>
        <v>-0.61406459901394772</v>
      </c>
      <c r="D501" s="118">
        <f t="shared" ca="1" si="72"/>
        <v>0.15134528873855496</v>
      </c>
      <c r="E501" s="119">
        <f t="shared" ca="1" si="73"/>
        <v>-0.57138891692866101</v>
      </c>
      <c r="F501" s="2">
        <f t="shared" ca="1" si="74"/>
        <v>0.05</v>
      </c>
      <c r="G501" s="2">
        <f t="shared" ca="1" si="75"/>
        <v>0.12</v>
      </c>
      <c r="H501" s="72">
        <f t="shared" ca="1" si="76"/>
        <v>3283.2251171200792</v>
      </c>
      <c r="I501" s="72">
        <f t="shared" ca="1" si="77"/>
        <v>1150.1271898182279</v>
      </c>
      <c r="J501" s="72">
        <f t="shared" ca="1" si="78"/>
        <v>4433.3523069383073</v>
      </c>
    </row>
    <row r="502" spans="2:10" x14ac:dyDescent="0.35">
      <c r="B502" s="118">
        <f t="shared" ca="1" si="79"/>
        <v>-1.1718858699390537</v>
      </c>
      <c r="C502" s="119">
        <f t="shared" ca="1" si="79"/>
        <v>0.57247076724539547</v>
      </c>
      <c r="D502" s="118">
        <f t="shared" ca="1" si="72"/>
        <v>-1.1718858699390537</v>
      </c>
      <c r="E502" s="119">
        <f t="shared" ca="1" si="73"/>
        <v>0.32652733497651421</v>
      </c>
      <c r="F502" s="2">
        <f t="shared" ca="1" si="74"/>
        <v>0.05</v>
      </c>
      <c r="G502" s="2">
        <f t="shared" ca="1" si="75"/>
        <v>0.12</v>
      </c>
      <c r="H502" s="72">
        <f t="shared" ca="1" si="76"/>
        <v>3283.2251171200792</v>
      </c>
      <c r="I502" s="72">
        <f t="shared" ca="1" si="77"/>
        <v>1150.1271898182279</v>
      </c>
      <c r="J502" s="72">
        <f t="shared" ca="1" si="78"/>
        <v>4433.3523069383073</v>
      </c>
    </row>
    <row r="503" spans="2:10" x14ac:dyDescent="0.35">
      <c r="B503" s="118">
        <f t="shared" ca="1" si="79"/>
        <v>-1.164519488026871</v>
      </c>
      <c r="C503" s="119">
        <f t="shared" ca="1" si="79"/>
        <v>0.29671419133454929</v>
      </c>
      <c r="D503" s="118">
        <f t="shared" ca="1" si="72"/>
        <v>-1.164519488026871</v>
      </c>
      <c r="E503" s="119">
        <f t="shared" ca="1" si="73"/>
        <v>5.7815449679499309E-2</v>
      </c>
      <c r="F503" s="2">
        <f t="shared" ca="1" si="74"/>
        <v>0.05</v>
      </c>
      <c r="G503" s="2">
        <f t="shared" ca="1" si="75"/>
        <v>0.12</v>
      </c>
      <c r="H503" s="72">
        <f t="shared" ca="1" si="76"/>
        <v>3283.2251171200792</v>
      </c>
      <c r="I503" s="72">
        <f t="shared" ca="1" si="77"/>
        <v>1150.1271898182279</v>
      </c>
      <c r="J503" s="72">
        <f t="shared" ca="1" si="78"/>
        <v>4433.3523069383073</v>
      </c>
    </row>
    <row r="504" spans="2:10" x14ac:dyDescent="0.35">
      <c r="B504" s="118">
        <f t="shared" ref="B504:C523" ca="1" si="80">NORMSINV(RAND())</f>
        <v>0.35425170807626188</v>
      </c>
      <c r="C504" s="119">
        <f t="shared" ca="1" si="80"/>
        <v>0.18518237270235779</v>
      </c>
      <c r="D504" s="118">
        <f t="shared" ca="1" si="72"/>
        <v>0.35425170807626188</v>
      </c>
      <c r="E504" s="119">
        <f t="shared" ca="1" si="73"/>
        <v>0.25229127060672318</v>
      </c>
      <c r="F504" s="2">
        <f t="shared" ca="1" si="74"/>
        <v>0.05</v>
      </c>
      <c r="G504" s="2">
        <f t="shared" ca="1" si="75"/>
        <v>0.12</v>
      </c>
      <c r="H504" s="72">
        <f t="shared" ca="1" si="76"/>
        <v>3283.2251171200792</v>
      </c>
      <c r="I504" s="72">
        <f t="shared" ca="1" si="77"/>
        <v>1150.1271898182279</v>
      </c>
      <c r="J504" s="72">
        <f t="shared" ca="1" si="78"/>
        <v>4433.3523069383073</v>
      </c>
    </row>
    <row r="505" spans="2:10" x14ac:dyDescent="0.35">
      <c r="B505" s="118">
        <f t="shared" ca="1" si="80"/>
        <v>-0.27819872388957712</v>
      </c>
      <c r="C505" s="119">
        <f t="shared" ca="1" si="80"/>
        <v>1.0128791689158674</v>
      </c>
      <c r="D505" s="118">
        <f t="shared" ca="1" si="72"/>
        <v>-0.27819872388957712</v>
      </c>
      <c r="E505" s="119">
        <f t="shared" ca="1" si="73"/>
        <v>0.93677510919735141</v>
      </c>
      <c r="F505" s="2">
        <f t="shared" ca="1" si="74"/>
        <v>0.05</v>
      </c>
      <c r="G505" s="2" t="str">
        <f t="shared" ca="1" si="75"/>
        <v>D</v>
      </c>
      <c r="H505" s="72">
        <f t="shared" ca="1" si="76"/>
        <v>3283.2251171200792</v>
      </c>
      <c r="I505" s="72">
        <f t="shared" ca="1" si="77"/>
        <v>0</v>
      </c>
      <c r="J505" s="72">
        <f t="shared" ca="1" si="78"/>
        <v>3283.2251171200792</v>
      </c>
    </row>
    <row r="506" spans="2:10" x14ac:dyDescent="0.35">
      <c r="B506" s="118">
        <f t="shared" ca="1" si="80"/>
        <v>-5.1621250445038694E-2</v>
      </c>
      <c r="C506" s="119">
        <f t="shared" ca="1" si="80"/>
        <v>0.30087597339945715</v>
      </c>
      <c r="D506" s="118">
        <f t="shared" ca="1" si="72"/>
        <v>-5.1621250445038694E-2</v>
      </c>
      <c r="E506" s="119">
        <f t="shared" ca="1" si="73"/>
        <v>0.28447279418774213</v>
      </c>
      <c r="F506" s="2">
        <f t="shared" ca="1" si="74"/>
        <v>0.05</v>
      </c>
      <c r="G506" s="2">
        <f t="shared" ca="1" si="75"/>
        <v>0.12</v>
      </c>
      <c r="H506" s="72">
        <f t="shared" ca="1" si="76"/>
        <v>3283.2251171200792</v>
      </c>
      <c r="I506" s="72">
        <f t="shared" ca="1" si="77"/>
        <v>1150.1271898182279</v>
      </c>
      <c r="J506" s="72">
        <f t="shared" ca="1" si="78"/>
        <v>4433.3523069383073</v>
      </c>
    </row>
    <row r="507" spans="2:10" x14ac:dyDescent="0.35">
      <c r="B507" s="118">
        <f t="shared" ca="1" si="80"/>
        <v>0.34795917330967818</v>
      </c>
      <c r="C507" s="119">
        <f t="shared" ca="1" si="80"/>
        <v>-0.81971746710533255</v>
      </c>
      <c r="D507" s="118">
        <f t="shared" ca="1" si="72"/>
        <v>0.34795917330967818</v>
      </c>
      <c r="E507" s="119">
        <f t="shared" ca="1" si="73"/>
        <v>-0.73356397639995208</v>
      </c>
      <c r="F507" s="2">
        <f t="shared" ca="1" si="74"/>
        <v>0.05</v>
      </c>
      <c r="G507" s="2">
        <f t="shared" ca="1" si="75"/>
        <v>0.12</v>
      </c>
      <c r="H507" s="72">
        <f t="shared" ca="1" si="76"/>
        <v>3283.2251171200792</v>
      </c>
      <c r="I507" s="72">
        <f t="shared" ca="1" si="77"/>
        <v>1150.1271898182279</v>
      </c>
      <c r="J507" s="72">
        <f t="shared" ca="1" si="78"/>
        <v>4433.3523069383073</v>
      </c>
    </row>
    <row r="508" spans="2:10" x14ac:dyDescent="0.35">
      <c r="B508" s="118">
        <f t="shared" ca="1" si="80"/>
        <v>1.6927099704185227</v>
      </c>
      <c r="C508" s="119">
        <f t="shared" ca="1" si="80"/>
        <v>-1.901796845705453</v>
      </c>
      <c r="D508" s="118">
        <f t="shared" ca="1" si="72"/>
        <v>1.6927099704185227</v>
      </c>
      <c r="E508" s="119">
        <f t="shared" ca="1" si="73"/>
        <v>-1.5248307524814591</v>
      </c>
      <c r="F508" s="2" t="str">
        <f t="shared" ca="1" si="74"/>
        <v>D</v>
      </c>
      <c r="G508" s="2">
        <f t="shared" ca="1" si="75"/>
        <v>0.05</v>
      </c>
      <c r="H508" s="72">
        <f t="shared" ca="1" si="76"/>
        <v>0</v>
      </c>
      <c r="I508" s="72">
        <f t="shared" ca="1" si="77"/>
        <v>1342.7489181356559</v>
      </c>
      <c r="J508" s="72">
        <f t="shared" ca="1" si="78"/>
        <v>1342.7489181356559</v>
      </c>
    </row>
    <row r="509" spans="2:10" x14ac:dyDescent="0.35">
      <c r="B509" s="118">
        <f t="shared" ca="1" si="80"/>
        <v>0.27431981411752615</v>
      </c>
      <c r="C509" s="119">
        <f t="shared" ca="1" si="80"/>
        <v>-0.72966169920108459</v>
      </c>
      <c r="D509" s="118">
        <f t="shared" ca="1" si="72"/>
        <v>0.27431981411752615</v>
      </c>
      <c r="E509" s="119">
        <f t="shared" ca="1" si="73"/>
        <v>-0.66005557633441525</v>
      </c>
      <c r="F509" s="2">
        <f t="shared" ca="1" si="74"/>
        <v>0.05</v>
      </c>
      <c r="G509" s="2">
        <f t="shared" ca="1" si="75"/>
        <v>0.12</v>
      </c>
      <c r="H509" s="72">
        <f t="shared" ca="1" si="76"/>
        <v>3283.2251171200792</v>
      </c>
      <c r="I509" s="72">
        <f t="shared" ca="1" si="77"/>
        <v>1150.1271898182279</v>
      </c>
      <c r="J509" s="72">
        <f t="shared" ca="1" si="78"/>
        <v>4433.3523069383073</v>
      </c>
    </row>
    <row r="510" spans="2:10" x14ac:dyDescent="0.35">
      <c r="B510" s="118">
        <f t="shared" ca="1" si="80"/>
        <v>2.257481229734247</v>
      </c>
      <c r="C510" s="119">
        <f t="shared" ca="1" si="80"/>
        <v>-0.11523672916644931</v>
      </c>
      <c r="D510" s="118">
        <f t="shared" ca="1" si="72"/>
        <v>2.257481229734247</v>
      </c>
      <c r="E510" s="119">
        <f t="shared" ca="1" si="73"/>
        <v>0.33858777151280917</v>
      </c>
      <c r="F510" s="2" t="str">
        <f t="shared" ca="1" si="74"/>
        <v>D</v>
      </c>
      <c r="G510" s="2">
        <f t="shared" ca="1" si="75"/>
        <v>0.12</v>
      </c>
      <c r="H510" s="72">
        <f t="shared" ca="1" si="76"/>
        <v>0</v>
      </c>
      <c r="I510" s="72">
        <f t="shared" ca="1" si="77"/>
        <v>1150.1271898182279</v>
      </c>
      <c r="J510" s="72">
        <f t="shared" ca="1" si="78"/>
        <v>1150.1271898182279</v>
      </c>
    </row>
    <row r="511" spans="2:10" x14ac:dyDescent="0.35">
      <c r="B511" s="118">
        <f t="shared" ca="1" si="80"/>
        <v>0.1782565883967584</v>
      </c>
      <c r="C511" s="119">
        <f t="shared" ca="1" si="80"/>
        <v>1.0025138262846804</v>
      </c>
      <c r="D511" s="118">
        <f t="shared" ca="1" si="72"/>
        <v>0.1782565883967584</v>
      </c>
      <c r="E511" s="119">
        <f t="shared" ca="1" si="73"/>
        <v>1.0179102514724083</v>
      </c>
      <c r="F511" s="2">
        <f t="shared" ca="1" si="74"/>
        <v>0.05</v>
      </c>
      <c r="G511" s="2" t="str">
        <f t="shared" ca="1" si="75"/>
        <v>D</v>
      </c>
      <c r="H511" s="72">
        <f t="shared" ca="1" si="76"/>
        <v>3283.2251171200792</v>
      </c>
      <c r="I511" s="72">
        <f t="shared" ca="1" si="77"/>
        <v>0</v>
      </c>
      <c r="J511" s="72">
        <f t="shared" ca="1" si="78"/>
        <v>3283.2251171200792</v>
      </c>
    </row>
    <row r="512" spans="2:10" x14ac:dyDescent="0.35">
      <c r="B512" s="118">
        <f t="shared" ca="1" si="80"/>
        <v>0.99160164695780573</v>
      </c>
      <c r="C512" s="119">
        <f t="shared" ca="1" si="80"/>
        <v>0.85264311505442214</v>
      </c>
      <c r="D512" s="118">
        <f t="shared" ca="1" si="72"/>
        <v>0.99160164695780573</v>
      </c>
      <c r="E512" s="119">
        <f t="shared" ca="1" si="73"/>
        <v>1.0337365552237627</v>
      </c>
      <c r="F512" s="2">
        <f t="shared" ca="1" si="74"/>
        <v>0.12</v>
      </c>
      <c r="G512" s="2" t="str">
        <f t="shared" ca="1" si="75"/>
        <v>D</v>
      </c>
      <c r="H512" s="72">
        <f t="shared" ca="1" si="76"/>
        <v>3042.2414210881088</v>
      </c>
      <c r="I512" s="72">
        <f t="shared" ca="1" si="77"/>
        <v>0</v>
      </c>
      <c r="J512" s="72">
        <f t="shared" ca="1" si="78"/>
        <v>3042.2414210881088</v>
      </c>
    </row>
    <row r="513" spans="2:10" x14ac:dyDescent="0.35">
      <c r="B513" s="118">
        <f t="shared" ca="1" si="80"/>
        <v>-1.188083868760117</v>
      </c>
      <c r="C513" s="119">
        <f t="shared" ca="1" si="80"/>
        <v>1.4440489303442379</v>
      </c>
      <c r="D513" s="118">
        <f t="shared" ca="1" si="72"/>
        <v>-1.188083868760117</v>
      </c>
      <c r="E513" s="119">
        <f t="shared" ca="1" si="73"/>
        <v>1.1772564434300687</v>
      </c>
      <c r="F513" s="2">
        <f t="shared" ca="1" si="74"/>
        <v>0.05</v>
      </c>
      <c r="G513" s="2" t="str">
        <f t="shared" ca="1" si="75"/>
        <v>D</v>
      </c>
      <c r="H513" s="72">
        <f t="shared" ca="1" si="76"/>
        <v>3283.2251171200792</v>
      </c>
      <c r="I513" s="72">
        <f t="shared" ca="1" si="77"/>
        <v>0</v>
      </c>
      <c r="J513" s="72">
        <f t="shared" ca="1" si="78"/>
        <v>3283.2251171200792</v>
      </c>
    </row>
    <row r="514" spans="2:10" x14ac:dyDescent="0.35">
      <c r="B514" s="118">
        <f t="shared" ca="1" si="80"/>
        <v>6.2727503094176157E-2</v>
      </c>
      <c r="C514" s="119">
        <f t="shared" ca="1" si="80"/>
        <v>0.41005102805772498</v>
      </c>
      <c r="D514" s="118">
        <f t="shared" ca="1" si="72"/>
        <v>6.2727503094176157E-2</v>
      </c>
      <c r="E514" s="119">
        <f t="shared" ca="1" si="73"/>
        <v>0.41431181551687302</v>
      </c>
      <c r="F514" s="2">
        <f t="shared" ca="1" si="74"/>
        <v>0.05</v>
      </c>
      <c r="G514" s="2">
        <f t="shared" ca="1" si="75"/>
        <v>0.12</v>
      </c>
      <c r="H514" s="72">
        <f t="shared" ca="1" si="76"/>
        <v>3283.2251171200792</v>
      </c>
      <c r="I514" s="72">
        <f t="shared" ca="1" si="77"/>
        <v>1150.1271898182279</v>
      </c>
      <c r="J514" s="72">
        <f t="shared" ca="1" si="78"/>
        <v>4433.3523069383073</v>
      </c>
    </row>
    <row r="515" spans="2:10" x14ac:dyDescent="0.35">
      <c r="B515" s="118">
        <f t="shared" ca="1" si="80"/>
        <v>0.79900283772296898</v>
      </c>
      <c r="C515" s="119">
        <f t="shared" ca="1" si="80"/>
        <v>-2.4099284182759524</v>
      </c>
      <c r="D515" s="118">
        <f t="shared" ca="1" si="72"/>
        <v>0.79900283772296898</v>
      </c>
      <c r="E515" s="119">
        <f t="shared" ca="1" si="73"/>
        <v>-2.2014374090188595</v>
      </c>
      <c r="F515" s="2">
        <f t="shared" ca="1" si="74"/>
        <v>0.05</v>
      </c>
      <c r="G515" s="2">
        <f t="shared" ca="1" si="75"/>
        <v>0.01</v>
      </c>
      <c r="H515" s="72">
        <f t="shared" ca="1" si="76"/>
        <v>3283.2251171200792</v>
      </c>
      <c r="I515" s="72">
        <f t="shared" ca="1" si="77"/>
        <v>1479.2201120631812</v>
      </c>
      <c r="J515" s="72">
        <f t="shared" ca="1" si="78"/>
        <v>4762.4452291832604</v>
      </c>
    </row>
    <row r="516" spans="2:10" x14ac:dyDescent="0.35">
      <c r="B516" s="118">
        <f t="shared" ca="1" si="80"/>
        <v>-0.75144334037575145</v>
      </c>
      <c r="C516" s="119">
        <f t="shared" ca="1" si="80"/>
        <v>2.0481752658864955E-2</v>
      </c>
      <c r="D516" s="118">
        <f t="shared" ca="1" si="72"/>
        <v>-0.75144334037575145</v>
      </c>
      <c r="E516" s="119">
        <f t="shared" ca="1" si="73"/>
        <v>-0.13022073085430558</v>
      </c>
      <c r="F516" s="2">
        <f t="shared" ca="1" si="74"/>
        <v>0.05</v>
      </c>
      <c r="G516" s="2">
        <f t="shared" ca="1" si="75"/>
        <v>0.12</v>
      </c>
      <c r="H516" s="72">
        <f t="shared" ca="1" si="76"/>
        <v>3283.2251171200792</v>
      </c>
      <c r="I516" s="72">
        <f t="shared" ca="1" si="77"/>
        <v>1150.1271898182279</v>
      </c>
      <c r="J516" s="72">
        <f t="shared" ca="1" si="78"/>
        <v>4433.3523069383073</v>
      </c>
    </row>
    <row r="517" spans="2:10" x14ac:dyDescent="0.35">
      <c r="B517" s="118">
        <f t="shared" ca="1" si="80"/>
        <v>-1.1728399528191864</v>
      </c>
      <c r="C517" s="119">
        <f t="shared" ca="1" si="80"/>
        <v>-0.54096293408023843</v>
      </c>
      <c r="D517" s="118">
        <f t="shared" ca="1" si="72"/>
        <v>-1.1728399528191864</v>
      </c>
      <c r="E517" s="119">
        <f t="shared" ca="1" si="73"/>
        <v>-0.76460125386601185</v>
      </c>
      <c r="F517" s="2">
        <f t="shared" ca="1" si="74"/>
        <v>0.05</v>
      </c>
      <c r="G517" s="2">
        <f t="shared" ca="1" si="75"/>
        <v>0.12</v>
      </c>
      <c r="H517" s="72">
        <f t="shared" ca="1" si="76"/>
        <v>3283.2251171200792</v>
      </c>
      <c r="I517" s="72">
        <f t="shared" ca="1" si="77"/>
        <v>1150.1271898182279</v>
      </c>
      <c r="J517" s="72">
        <f t="shared" ca="1" si="78"/>
        <v>4433.3523069383073</v>
      </c>
    </row>
    <row r="518" spans="2:10" x14ac:dyDescent="0.35">
      <c r="B518" s="118">
        <f t="shared" ca="1" si="80"/>
        <v>-0.85670848073013017</v>
      </c>
      <c r="C518" s="119">
        <f t="shared" ca="1" si="80"/>
        <v>-0.31864767055019838</v>
      </c>
      <c r="D518" s="118">
        <f t="shared" ca="1" si="72"/>
        <v>-0.85670848073013017</v>
      </c>
      <c r="E518" s="119">
        <f t="shared" ca="1" si="73"/>
        <v>-0.4835513763758118</v>
      </c>
      <c r="F518" s="2">
        <f t="shared" ca="1" si="74"/>
        <v>0.05</v>
      </c>
      <c r="G518" s="2">
        <f t="shared" ca="1" si="75"/>
        <v>0.12</v>
      </c>
      <c r="H518" s="72">
        <f t="shared" ca="1" si="76"/>
        <v>3283.2251171200792</v>
      </c>
      <c r="I518" s="72">
        <f t="shared" ca="1" si="77"/>
        <v>1150.1271898182279</v>
      </c>
      <c r="J518" s="72">
        <f t="shared" ca="1" si="78"/>
        <v>4433.3523069383073</v>
      </c>
    </row>
    <row r="519" spans="2:10" x14ac:dyDescent="0.35">
      <c r="B519" s="118">
        <f t="shared" ca="1" si="80"/>
        <v>-2.5240036819077138</v>
      </c>
      <c r="C519" s="119">
        <f t="shared" ca="1" si="80"/>
        <v>-0.80465408827598817</v>
      </c>
      <c r="D519" s="118">
        <f t="shared" ca="1" si="72"/>
        <v>-2.5240036819077138</v>
      </c>
      <c r="E519" s="119">
        <f t="shared" ca="1" si="73"/>
        <v>-1.293197510669776</v>
      </c>
      <c r="F519" s="2">
        <f t="shared" ca="1" si="74"/>
        <v>0.01</v>
      </c>
      <c r="G519" s="2">
        <f t="shared" ca="1" si="75"/>
        <v>0.05</v>
      </c>
      <c r="H519" s="72">
        <f t="shared" ca="1" si="76"/>
        <v>3443.7147154459058</v>
      </c>
      <c r="I519" s="72">
        <f t="shared" ca="1" si="77"/>
        <v>1342.7489181356559</v>
      </c>
      <c r="J519" s="72">
        <f t="shared" ca="1" si="78"/>
        <v>4786.4636335815612</v>
      </c>
    </row>
    <row r="520" spans="2:10" x14ac:dyDescent="0.35">
      <c r="B520" s="118">
        <f t="shared" ca="1" si="80"/>
        <v>0.57250687642853404</v>
      </c>
      <c r="C520" s="119">
        <f t="shared" ca="1" si="80"/>
        <v>-0.21933402090628981</v>
      </c>
      <c r="D520" s="118">
        <f t="shared" ca="1" si="72"/>
        <v>0.57250687642853404</v>
      </c>
      <c r="E520" s="119">
        <f t="shared" ca="1" si="73"/>
        <v>-0.10040119849563239</v>
      </c>
      <c r="F520" s="2">
        <f t="shared" ca="1" si="74"/>
        <v>0.05</v>
      </c>
      <c r="G520" s="2">
        <f t="shared" ca="1" si="75"/>
        <v>0.12</v>
      </c>
      <c r="H520" s="72">
        <f t="shared" ca="1" si="76"/>
        <v>3283.2251171200792</v>
      </c>
      <c r="I520" s="72">
        <f t="shared" ca="1" si="77"/>
        <v>1150.1271898182279</v>
      </c>
      <c r="J520" s="72">
        <f t="shared" ca="1" si="78"/>
        <v>4433.3523069383073</v>
      </c>
    </row>
    <row r="521" spans="2:10" x14ac:dyDescent="0.35">
      <c r="B521" s="118">
        <f t="shared" ca="1" si="80"/>
        <v>-2.2569375438476458</v>
      </c>
      <c r="C521" s="119">
        <f t="shared" ca="1" si="80"/>
        <v>2.4084744324655731</v>
      </c>
      <c r="D521" s="118">
        <f t="shared" ca="1" si="72"/>
        <v>-2.2569375438476458</v>
      </c>
      <c r="E521" s="119">
        <f t="shared" ca="1" si="73"/>
        <v>1.9084258584624538</v>
      </c>
      <c r="F521" s="2">
        <f t="shared" ca="1" si="74"/>
        <v>0.01</v>
      </c>
      <c r="G521" s="2" t="str">
        <f t="shared" ca="1" si="75"/>
        <v>D</v>
      </c>
      <c r="H521" s="72">
        <f t="shared" ca="1" si="76"/>
        <v>3443.7147154459058</v>
      </c>
      <c r="I521" s="72">
        <f t="shared" ca="1" si="77"/>
        <v>0</v>
      </c>
      <c r="J521" s="72">
        <f t="shared" ca="1" si="78"/>
        <v>3443.7147154459058</v>
      </c>
    </row>
    <row r="522" spans="2:10" x14ac:dyDescent="0.35">
      <c r="B522" s="118">
        <f t="shared" ca="1" si="80"/>
        <v>0.4442409554303704</v>
      </c>
      <c r="C522" s="119">
        <f t="shared" ca="1" si="80"/>
        <v>1.5039683620039304</v>
      </c>
      <c r="D522" s="118">
        <f t="shared" ca="1" si="72"/>
        <v>0.4442409554303704</v>
      </c>
      <c r="E522" s="119">
        <f t="shared" ca="1" si="73"/>
        <v>1.562430221565692</v>
      </c>
      <c r="F522" s="2">
        <f t="shared" ca="1" si="74"/>
        <v>0.05</v>
      </c>
      <c r="G522" s="2" t="str">
        <f t="shared" ca="1" si="75"/>
        <v>D</v>
      </c>
      <c r="H522" s="72">
        <f t="shared" ca="1" si="76"/>
        <v>3283.2251171200792</v>
      </c>
      <c r="I522" s="72">
        <f t="shared" ca="1" si="77"/>
        <v>0</v>
      </c>
      <c r="J522" s="72">
        <f t="shared" ca="1" si="78"/>
        <v>3283.2251171200792</v>
      </c>
    </row>
    <row r="523" spans="2:10" x14ac:dyDescent="0.35">
      <c r="B523" s="120">
        <f t="shared" ca="1" si="80"/>
        <v>1.9345143402969938</v>
      </c>
      <c r="C523" s="121">
        <f t="shared" ca="1" si="80"/>
        <v>-1.7326832838994088</v>
      </c>
      <c r="D523" s="118">
        <f t="shared" ca="1" si="72"/>
        <v>1.9345143402969938</v>
      </c>
      <c r="E523" s="119">
        <f t="shared" ca="1" si="73"/>
        <v>-1.3107731045019912</v>
      </c>
      <c r="F523" s="2" t="str">
        <f t="shared" ca="1" si="74"/>
        <v>D</v>
      </c>
      <c r="G523" s="2">
        <f t="shared" ca="1" si="75"/>
        <v>0.05</v>
      </c>
      <c r="H523" s="72">
        <f t="shared" ca="1" si="76"/>
        <v>0</v>
      </c>
      <c r="I523" s="72">
        <f t="shared" ca="1" si="77"/>
        <v>1342.7489181356559</v>
      </c>
      <c r="J523" s="72">
        <f t="shared" ca="1" si="78"/>
        <v>1342.7489181356559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1"/>
  <dimension ref="A2:E15"/>
  <sheetViews>
    <sheetView zoomScale="130" zoomScaleNormal="130" workbookViewId="0">
      <selection activeCell="B11" sqref="B11"/>
    </sheetView>
  </sheetViews>
  <sheetFormatPr defaultRowHeight="14.5" x14ac:dyDescent="0.35"/>
  <sheetData>
    <row r="2" spans="1:5" ht="16.5" x14ac:dyDescent="0.45">
      <c r="A2" s="18" t="s">
        <v>0</v>
      </c>
      <c r="B2" s="20">
        <v>1600</v>
      </c>
      <c r="D2" s="6" t="s">
        <v>22</v>
      </c>
      <c r="E2" s="23">
        <v>0.02</v>
      </c>
    </row>
    <row r="3" spans="1:5" ht="16.5" x14ac:dyDescent="0.45">
      <c r="A3" s="18" t="s">
        <v>1</v>
      </c>
      <c r="B3" s="20">
        <v>1500</v>
      </c>
      <c r="D3" s="6" t="s">
        <v>23</v>
      </c>
      <c r="E3" s="23">
        <v>0.03</v>
      </c>
    </row>
    <row r="4" spans="1:5" x14ac:dyDescent="0.35">
      <c r="A4" s="19" t="s">
        <v>2</v>
      </c>
      <c r="B4" s="21">
        <v>0.2</v>
      </c>
      <c r="D4" s="6" t="s">
        <v>8</v>
      </c>
      <c r="E4" s="23">
        <v>0.3</v>
      </c>
    </row>
    <row r="5" spans="1:5" ht="16.5" x14ac:dyDescent="0.45">
      <c r="A5" s="18" t="s">
        <v>26</v>
      </c>
      <c r="B5" s="21">
        <v>0.05</v>
      </c>
    </row>
    <row r="6" spans="1:5" x14ac:dyDescent="0.35">
      <c r="A6" s="18" t="s">
        <v>3</v>
      </c>
      <c r="B6" s="22">
        <v>2</v>
      </c>
    </row>
    <row r="7" spans="1:5" x14ac:dyDescent="0.35">
      <c r="A7" s="6"/>
    </row>
    <row r="8" spans="1:5" ht="17" thickBot="1" x14ac:dyDescent="0.5">
      <c r="A8" s="7" t="s">
        <v>5</v>
      </c>
      <c r="B8" s="7">
        <v>0.5</v>
      </c>
      <c r="C8" s="7">
        <v>1.5</v>
      </c>
    </row>
    <row r="9" spans="1:5" ht="17" thickTop="1" x14ac:dyDescent="0.45">
      <c r="A9" s="4" t="s">
        <v>6</v>
      </c>
      <c r="B9" s="2">
        <f>+BlackCall($B$2,$B$3,$B$4,$B$5,B8)</f>
        <v>142.68949189382445</v>
      </c>
      <c r="C9" s="2">
        <f>+BlackCall($B$2,$B$3,$B$4,$B$5,C8)</f>
        <v>191.37018516149433</v>
      </c>
      <c r="D9" t="s">
        <v>27</v>
      </c>
    </row>
    <row r="10" spans="1:5" ht="16.5" x14ac:dyDescent="0.45">
      <c r="A10" s="4" t="s">
        <v>7</v>
      </c>
      <c r="B10" s="2">
        <f>+B9*EXP(-$B$5*($B$6-B8))</f>
        <v>132.37924667202648</v>
      </c>
      <c r="C10" s="2">
        <f>+C9*EXP(-$B$5*($B$6-C8))</f>
        <v>186.64523845470276</v>
      </c>
      <c r="D10" t="s">
        <v>28</v>
      </c>
    </row>
    <row r="12" spans="1:5" x14ac:dyDescent="0.35">
      <c r="A12" s="4" t="s">
        <v>9</v>
      </c>
      <c r="B12" s="3">
        <f>+(1-E4)*(B10*E2+C10*E3)</f>
        <v>5.772859460957128</v>
      </c>
    </row>
    <row r="14" spans="1:5" x14ac:dyDescent="0.35">
      <c r="A14" s="4" t="s">
        <v>10</v>
      </c>
      <c r="B14" s="3">
        <f>+(B2-B3)*EXP(-B5*B6)</f>
        <v>90.483741803595947</v>
      </c>
      <c r="C14" t="s">
        <v>34</v>
      </c>
    </row>
    <row r="15" spans="1:5" x14ac:dyDescent="0.35">
      <c r="A15" s="4" t="s">
        <v>11</v>
      </c>
      <c r="B15" s="3">
        <f>+B14-B12</f>
        <v>84.710882342638826</v>
      </c>
      <c r="C15" t="s">
        <v>35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I1013"/>
  <sheetViews>
    <sheetView zoomScale="110" zoomScaleNormal="110" workbookViewId="0">
      <selection activeCell="N10" sqref="N10"/>
    </sheetView>
  </sheetViews>
  <sheetFormatPr defaultRowHeight="14.5" x14ac:dyDescent="0.35"/>
  <cols>
    <col min="8" max="8" width="9.54296875" bestFit="1" customWidth="1"/>
  </cols>
  <sheetData>
    <row r="1" spans="1:9" x14ac:dyDescent="0.35">
      <c r="A1" t="s">
        <v>29</v>
      </c>
    </row>
    <row r="3" spans="1:9" ht="16.5" x14ac:dyDescent="0.45">
      <c r="A3" s="4" t="s">
        <v>0</v>
      </c>
      <c r="B3">
        <v>1600</v>
      </c>
      <c r="D3" s="6" t="s">
        <v>22</v>
      </c>
      <c r="E3" s="8">
        <v>0.02</v>
      </c>
      <c r="G3" s="6" t="s">
        <v>30</v>
      </c>
    </row>
    <row r="4" spans="1:9" ht="16.5" x14ac:dyDescent="0.45">
      <c r="A4" s="4" t="s">
        <v>1</v>
      </c>
      <c r="B4" s="24">
        <v>1500</v>
      </c>
      <c r="D4" s="6" t="s">
        <v>23</v>
      </c>
      <c r="E4" s="8">
        <v>0.03</v>
      </c>
      <c r="H4">
        <v>0.5</v>
      </c>
      <c r="I4">
        <v>1.5</v>
      </c>
    </row>
    <row r="5" spans="1:9" ht="16.5" x14ac:dyDescent="0.45">
      <c r="A5" s="5" t="s">
        <v>12</v>
      </c>
      <c r="B5" s="1">
        <v>0.2</v>
      </c>
      <c r="D5" s="6" t="s">
        <v>8</v>
      </c>
      <c r="E5" s="8">
        <v>0.3</v>
      </c>
      <c r="G5" s="4" t="s">
        <v>7</v>
      </c>
      <c r="H5" s="3">
        <f ca="1">+AVERAGE(G14:G1013)*EXP(-$B$6*H4)</f>
        <v>207.69641778367091</v>
      </c>
      <c r="I5" s="3">
        <f ca="1">+AVERAGE(H14:H1013)*EXP(-$B$6*I4)</f>
        <v>215.32604692141945</v>
      </c>
    </row>
    <row r="6" spans="1:9" ht="16.5" x14ac:dyDescent="0.45">
      <c r="A6" s="4" t="s">
        <v>4</v>
      </c>
      <c r="B6" s="25">
        <v>0.05</v>
      </c>
    </row>
    <row r="7" spans="1:9" x14ac:dyDescent="0.35">
      <c r="A7" s="4" t="s">
        <v>3</v>
      </c>
      <c r="B7" s="26">
        <v>2</v>
      </c>
      <c r="G7" s="4" t="s">
        <v>9</v>
      </c>
      <c r="H7" s="3">
        <f ca="1">+(1-E5)*(H5*E3+I5*E4)</f>
        <v>7.4295968343212015</v>
      </c>
    </row>
    <row r="8" spans="1:9" x14ac:dyDescent="0.35">
      <c r="H8" s="3"/>
    </row>
    <row r="9" spans="1:9" x14ac:dyDescent="0.35">
      <c r="A9" s="4" t="s">
        <v>13</v>
      </c>
      <c r="B9" s="24">
        <f>+B3/EXP(B6*B7)</f>
        <v>1447.7398688575352</v>
      </c>
      <c r="G9" s="4" t="s">
        <v>24</v>
      </c>
      <c r="H9">
        <f>+BlackScholesCall(B9,B4,B10,B6,B7)</f>
        <v>207.03031970412155</v>
      </c>
      <c r="I9" t="s">
        <v>32</v>
      </c>
    </row>
    <row r="10" spans="1:9" ht="16.5" x14ac:dyDescent="0.45">
      <c r="A10" s="5" t="s">
        <v>14</v>
      </c>
      <c r="B10" s="27">
        <f>+B5</f>
        <v>0.2</v>
      </c>
      <c r="G10" s="4" t="s">
        <v>25</v>
      </c>
      <c r="H10" s="3">
        <f ca="1">+H9-H7</f>
        <v>199.60072286980036</v>
      </c>
      <c r="I10" t="s">
        <v>31</v>
      </c>
    </row>
    <row r="11" spans="1:9" ht="15" thickBot="1" x14ac:dyDescent="0.4">
      <c r="A11" s="5"/>
      <c r="B11" s="9"/>
    </row>
    <row r="12" spans="1:9" ht="15" thickBot="1" x14ac:dyDescent="0.4">
      <c r="A12" s="122" t="s">
        <v>33</v>
      </c>
      <c r="B12" s="123"/>
      <c r="C12" s="123"/>
      <c r="D12" s="123"/>
      <c r="E12" s="123"/>
      <c r="F12" s="123"/>
      <c r="G12" s="123"/>
      <c r="H12" s="124"/>
    </row>
    <row r="13" spans="1:9" ht="17" thickBot="1" x14ac:dyDescent="0.5">
      <c r="A13" s="17"/>
      <c r="B13" s="13" t="s">
        <v>20</v>
      </c>
      <c r="C13" s="13" t="s">
        <v>21</v>
      </c>
      <c r="D13" s="13" t="s">
        <v>18</v>
      </c>
      <c r="E13" s="13" t="s">
        <v>19</v>
      </c>
      <c r="F13" s="13" t="s">
        <v>17</v>
      </c>
      <c r="G13" s="13" t="s">
        <v>16</v>
      </c>
      <c r="H13" s="14" t="s">
        <v>15</v>
      </c>
    </row>
    <row r="14" spans="1:9" x14ac:dyDescent="0.35">
      <c r="A14" s="15">
        <v>1</v>
      </c>
      <c r="B14" s="10">
        <f ca="1">+($B$6-0.5*$B$10^2)*$H$4+$B$10*SQRT($H$4)*_xlfn.NORM.S.INV(RAND())</f>
        <v>-0.13703615698333776</v>
      </c>
      <c r="C14" s="10">
        <f ca="1">+($B$6-0.5*$B$10^2)+$B$10*_xlfn.NORM.S.INV(RAND())</f>
        <v>0.1589681832100211</v>
      </c>
      <c r="D14" s="11">
        <f>+$B$9</f>
        <v>1447.7398688575352</v>
      </c>
      <c r="E14" s="11">
        <f ca="1">+D14*EXP(B14)</f>
        <v>1262.3404175815742</v>
      </c>
      <c r="F14" s="11">
        <f ca="1">+E14*EXP(C14)</f>
        <v>1479.8424885729653</v>
      </c>
      <c r="G14" s="12">
        <f ca="1">+BlackScholesCall(E14,$B$4,$B$10,$B$6,$B$7-$H$4)</f>
        <v>74.764918298659211</v>
      </c>
      <c r="H14" s="12">
        <f ca="1">+BlackScholesCall(F14,$B$4,$B$10,$B$6,$B$7-$I$4)</f>
        <v>91.656975451392782</v>
      </c>
    </row>
    <row r="15" spans="1:9" x14ac:dyDescent="0.35">
      <c r="A15" s="15">
        <v>2</v>
      </c>
      <c r="B15" s="10">
        <f t="shared" ref="B15:B78" ca="1" si="0">+($B$6-0.5*$B$10^2)*$H$4+$B$10*SQRT($H$4)*_xlfn.NORM.S.INV(RAND())</f>
        <v>1.415409812350921E-2</v>
      </c>
      <c r="C15" s="10">
        <f t="shared" ref="C15:C78" ca="1" si="1">+($B$6-0.5*$B$10^2)+$B$10*_xlfn.NORM.S.INV(RAND())</f>
        <v>-0.16009614341985154</v>
      </c>
      <c r="D15" s="11">
        <f t="shared" ref="D15:D78" si="2">+$B$9</f>
        <v>1447.7398688575352</v>
      </c>
      <c r="E15" s="11">
        <f t="shared" ref="E15:F15" ca="1" si="3">+D15*EXP(B15)</f>
        <v>1468.3770266633394</v>
      </c>
      <c r="F15" s="11">
        <f t="shared" ca="1" si="3"/>
        <v>1251.1480676951539</v>
      </c>
      <c r="G15" s="12">
        <f t="shared" ref="G15:G78" ca="1" si="4">+BlackScholesCall(E15,$B$4,$B$10,$B$6,$B$7-$H$4)</f>
        <v>181.09004800286118</v>
      </c>
      <c r="H15" s="12">
        <f t="shared" ref="H15:H78" ca="1" si="5">+BlackScholesCall(F15,$B$4,$B$10,$B$6,$B$7-$I$4)</f>
        <v>12.954355136202054</v>
      </c>
    </row>
    <row r="16" spans="1:9" x14ac:dyDescent="0.35">
      <c r="A16" s="15">
        <v>3</v>
      </c>
      <c r="B16" s="10">
        <f t="shared" ca="1" si="0"/>
        <v>4.6781980754890394E-2</v>
      </c>
      <c r="C16" s="10">
        <f t="shared" ca="1" si="1"/>
        <v>1.924392859161481E-2</v>
      </c>
      <c r="D16" s="11">
        <f t="shared" si="2"/>
        <v>1447.7398688575352</v>
      </c>
      <c r="E16" s="11">
        <f t="shared" ref="E16:F16" ca="1" si="6">+D16*EXP(B16)</f>
        <v>1517.0772318810345</v>
      </c>
      <c r="F16" s="11">
        <f t="shared" ca="1" si="6"/>
        <v>1546.5544771167549</v>
      </c>
      <c r="G16" s="12">
        <f t="shared" ca="1" si="4"/>
        <v>213.15846565532934</v>
      </c>
      <c r="H16" s="12">
        <f t="shared" ca="1" si="5"/>
        <v>133.07263023095038</v>
      </c>
    </row>
    <row r="17" spans="1:8" x14ac:dyDescent="0.35">
      <c r="A17" s="15">
        <v>4</v>
      </c>
      <c r="B17" s="10">
        <f t="shared" ca="1" si="0"/>
        <v>0.20273656642926935</v>
      </c>
      <c r="C17" s="10">
        <f t="shared" ca="1" si="1"/>
        <v>-0.10737023263742038</v>
      </c>
      <c r="D17" s="11">
        <f t="shared" si="2"/>
        <v>1447.7398688575352</v>
      </c>
      <c r="E17" s="11">
        <f t="shared" ref="E17:F17" ca="1" si="7">+D17*EXP(B17)</f>
        <v>1773.1190938971813</v>
      </c>
      <c r="F17" s="11">
        <f t="shared" ca="1" si="7"/>
        <v>1592.6032842573366</v>
      </c>
      <c r="G17" s="12">
        <f t="shared" ca="1" si="4"/>
        <v>414.0784919406201</v>
      </c>
      <c r="H17" s="12">
        <f t="shared" ca="1" si="5"/>
        <v>165.97851017010225</v>
      </c>
    </row>
    <row r="18" spans="1:8" x14ac:dyDescent="0.35">
      <c r="A18" s="15">
        <v>5</v>
      </c>
      <c r="B18" s="10">
        <f t="shared" ca="1" si="0"/>
        <v>-6.5397159106493283E-2</v>
      </c>
      <c r="C18" s="10">
        <f t="shared" ca="1" si="1"/>
        <v>1.1180989322833405E-2</v>
      </c>
      <c r="D18" s="11">
        <f t="shared" si="2"/>
        <v>1447.7398688575352</v>
      </c>
      <c r="E18" s="11">
        <f t="shared" ref="E18:F18" ca="1" si="8">+D18*EXP(B18)</f>
        <v>1356.0912355912872</v>
      </c>
      <c r="F18" s="11">
        <f t="shared" ca="1" si="8"/>
        <v>1371.3387595721399</v>
      </c>
      <c r="G18" s="12">
        <f t="shared" ca="1" si="4"/>
        <v>116.89851454921052</v>
      </c>
      <c r="H18" s="12">
        <f t="shared" ca="1" si="5"/>
        <v>42.269370651363943</v>
      </c>
    </row>
    <row r="19" spans="1:8" x14ac:dyDescent="0.35">
      <c r="A19" s="15">
        <v>6</v>
      </c>
      <c r="B19" s="10">
        <f t="shared" ca="1" si="0"/>
        <v>0.1741594245278808</v>
      </c>
      <c r="C19" s="10">
        <f t="shared" ca="1" si="1"/>
        <v>5.4074902808295161E-2</v>
      </c>
      <c r="D19" s="11">
        <f t="shared" si="2"/>
        <v>1447.7398688575352</v>
      </c>
      <c r="E19" s="11">
        <f t="shared" ref="E19:F19" ca="1" si="9">+D19*EXP(B19)</f>
        <v>1723.1655817563039</v>
      </c>
      <c r="F19" s="11">
        <f t="shared" ca="1" si="9"/>
        <v>1818.9109749451322</v>
      </c>
      <c r="G19" s="12">
        <f t="shared" ca="1" si="4"/>
        <v>371.4277820479947</v>
      </c>
      <c r="H19" s="12">
        <f t="shared" ca="1" si="5"/>
        <v>362.10436034641543</v>
      </c>
    </row>
    <row r="20" spans="1:8" x14ac:dyDescent="0.35">
      <c r="A20" s="15">
        <v>7</v>
      </c>
      <c r="B20" s="10">
        <f t="shared" ca="1" si="0"/>
        <v>1.2207316274191152E-2</v>
      </c>
      <c r="C20" s="10">
        <f t="shared" ca="1" si="1"/>
        <v>-0.19837875455366349</v>
      </c>
      <c r="D20" s="11">
        <f t="shared" si="2"/>
        <v>1447.7398688575352</v>
      </c>
      <c r="E20" s="11">
        <f t="shared" ref="E20:F20" ca="1" si="10">+D20*EXP(B20)</f>
        <v>1465.5211976598662</v>
      </c>
      <c r="F20" s="11">
        <f t="shared" ca="1" si="10"/>
        <v>1201.8141309058503</v>
      </c>
      <c r="G20" s="12">
        <f t="shared" ca="1" si="4"/>
        <v>179.28457733801406</v>
      </c>
      <c r="H20" s="12">
        <f t="shared" ca="1" si="5"/>
        <v>7.0102760110036968</v>
      </c>
    </row>
    <row r="21" spans="1:8" x14ac:dyDescent="0.35">
      <c r="A21" s="15">
        <v>8</v>
      </c>
      <c r="B21" s="10">
        <f t="shared" ca="1" si="0"/>
        <v>7.3988455970155187E-2</v>
      </c>
      <c r="C21" s="10">
        <f t="shared" ca="1" si="1"/>
        <v>-0.15554170883530952</v>
      </c>
      <c r="D21" s="11">
        <f t="shared" si="2"/>
        <v>1447.7398688575352</v>
      </c>
      <c r="E21" s="11">
        <f t="shared" ref="E21:F21" ca="1" si="11">+D21*EXP(B21)</f>
        <v>1558.9181470725086</v>
      </c>
      <c r="F21" s="11">
        <f t="shared" ca="1" si="11"/>
        <v>1334.3581321998206</v>
      </c>
      <c r="G21" s="12">
        <f t="shared" ca="1" si="4"/>
        <v>242.53411250696843</v>
      </c>
      <c r="H21" s="12">
        <f t="shared" ca="1" si="5"/>
        <v>30.625235105013132</v>
      </c>
    </row>
    <row r="22" spans="1:8" x14ac:dyDescent="0.35">
      <c r="A22" s="15">
        <v>9</v>
      </c>
      <c r="B22" s="10">
        <f t="shared" ca="1" si="0"/>
        <v>4.944769894757689E-2</v>
      </c>
      <c r="C22" s="10">
        <f t="shared" ca="1" si="1"/>
        <v>-0.15955624473593902</v>
      </c>
      <c r="D22" s="11">
        <f t="shared" si="2"/>
        <v>1447.7398688575352</v>
      </c>
      <c r="E22" s="11">
        <f t="shared" ref="E22:F22" ca="1" si="12">+D22*EXP(B22)</f>
        <v>1521.1267272665368</v>
      </c>
      <c r="F22" s="11">
        <f t="shared" ca="1" si="12"/>
        <v>1296.7940243827675</v>
      </c>
      <c r="G22" s="12">
        <f t="shared" ca="1" si="4"/>
        <v>215.93034246194236</v>
      </c>
      <c r="H22" s="12">
        <f t="shared" ca="1" si="5"/>
        <v>21.291004445473106</v>
      </c>
    </row>
    <row r="23" spans="1:8" x14ac:dyDescent="0.35">
      <c r="A23" s="15">
        <v>10</v>
      </c>
      <c r="B23" s="10">
        <f t="shared" ca="1" si="0"/>
        <v>0.14922598738231491</v>
      </c>
      <c r="C23" s="10">
        <f t="shared" ca="1" si="1"/>
        <v>5.216209844850607E-2</v>
      </c>
      <c r="D23" s="11">
        <f t="shared" si="2"/>
        <v>1447.7398688575352</v>
      </c>
      <c r="E23" s="11">
        <f t="shared" ref="E23:F23" ca="1" si="13">+D23*EXP(B23)</f>
        <v>1680.7323425719976</v>
      </c>
      <c r="F23" s="11">
        <f t="shared" ca="1" si="13"/>
        <v>1770.7296885957426</v>
      </c>
      <c r="G23" s="12">
        <f t="shared" ca="1" si="4"/>
        <v>336.3200272280269</v>
      </c>
      <c r="H23" s="12">
        <f t="shared" ca="1" si="5"/>
        <v>317.05649391034262</v>
      </c>
    </row>
    <row r="24" spans="1:8" x14ac:dyDescent="0.35">
      <c r="A24" s="15">
        <v>11</v>
      </c>
      <c r="B24" s="10">
        <f t="shared" ca="1" si="0"/>
        <v>0.14482950053719756</v>
      </c>
      <c r="C24" s="10">
        <f t="shared" ca="1" si="1"/>
        <v>-0.2348873364372028</v>
      </c>
      <c r="D24" s="11">
        <f t="shared" si="2"/>
        <v>1447.7398688575352</v>
      </c>
      <c r="E24" s="11">
        <f t="shared" ref="E24:F24" ca="1" si="14">+D24*EXP(B24)</f>
        <v>1673.3592446779389</v>
      </c>
      <c r="F24" s="11">
        <f t="shared" ca="1" si="14"/>
        <v>1323.0580918410271</v>
      </c>
      <c r="G24" s="12">
        <f t="shared" ca="1" si="4"/>
        <v>330.33539402618749</v>
      </c>
      <c r="H24" s="12">
        <f t="shared" ca="1" si="5"/>
        <v>27.563201365037514</v>
      </c>
    </row>
    <row r="25" spans="1:8" x14ac:dyDescent="0.35">
      <c r="A25" s="15">
        <v>12</v>
      </c>
      <c r="B25" s="10">
        <f t="shared" ca="1" si="0"/>
        <v>0.19318340601091488</v>
      </c>
      <c r="C25" s="10">
        <f t="shared" ca="1" si="1"/>
        <v>-1.2478520393404052E-2</v>
      </c>
      <c r="D25" s="11">
        <f t="shared" si="2"/>
        <v>1447.7398688575352</v>
      </c>
      <c r="E25" s="11">
        <f t="shared" ref="E25:F25" ca="1" si="15">+D25*EXP(B25)</f>
        <v>1756.2608556900602</v>
      </c>
      <c r="F25" s="11">
        <f t="shared" ca="1" si="15"/>
        <v>1734.4814885357944</v>
      </c>
      <c r="G25" s="12">
        <f t="shared" ca="1" si="4"/>
        <v>399.53678086280502</v>
      </c>
      <c r="H25" s="12">
        <f t="shared" ca="1" si="5"/>
        <v>284.03582597471541</v>
      </c>
    </row>
    <row r="26" spans="1:8" x14ac:dyDescent="0.35">
      <c r="A26" s="15">
        <v>13</v>
      </c>
      <c r="B26" s="10">
        <f t="shared" ca="1" si="0"/>
        <v>-0.21969908286640583</v>
      </c>
      <c r="C26" s="10">
        <f t="shared" ca="1" si="1"/>
        <v>0.38908913708525461</v>
      </c>
      <c r="D26" s="11">
        <f t="shared" si="2"/>
        <v>1447.7398688575352</v>
      </c>
      <c r="E26" s="11">
        <f t="shared" ref="E26:F26" ca="1" si="16">+D26*EXP(B26)</f>
        <v>1162.1881290249471</v>
      </c>
      <c r="F26" s="11">
        <f t="shared" ca="1" si="16"/>
        <v>1714.9667342046898</v>
      </c>
      <c r="G26" s="12">
        <f t="shared" ca="1" si="4"/>
        <v>41.713378791212108</v>
      </c>
      <c r="H26" s="12">
        <f t="shared" ca="1" si="5"/>
        <v>266.63947298006383</v>
      </c>
    </row>
    <row r="27" spans="1:8" x14ac:dyDescent="0.35">
      <c r="A27" s="15">
        <v>14</v>
      </c>
      <c r="B27" s="10">
        <f t="shared" ca="1" si="0"/>
        <v>-6.9267368729289375E-2</v>
      </c>
      <c r="C27" s="10">
        <f t="shared" ca="1" si="1"/>
        <v>0.29038763133304679</v>
      </c>
      <c r="D27" s="11">
        <f t="shared" si="2"/>
        <v>1447.7398688575352</v>
      </c>
      <c r="E27" s="11">
        <f t="shared" ref="E27:F27" ca="1" si="17">+D27*EXP(B27)</f>
        <v>1350.8530212740318</v>
      </c>
      <c r="F27" s="11">
        <f t="shared" ca="1" si="17"/>
        <v>1806.0170430400028</v>
      </c>
      <c r="G27" s="12">
        <f t="shared" ca="1" si="4"/>
        <v>114.26057484230887</v>
      </c>
      <c r="H27" s="12">
        <f t="shared" ca="1" si="5"/>
        <v>349.93826763068478</v>
      </c>
    </row>
    <row r="28" spans="1:8" x14ac:dyDescent="0.35">
      <c r="A28" s="15">
        <v>15</v>
      </c>
      <c r="B28" s="10">
        <f t="shared" ca="1" si="0"/>
        <v>0.24003260750717054</v>
      </c>
      <c r="C28" s="10">
        <f t="shared" ca="1" si="1"/>
        <v>0.28164389027143089</v>
      </c>
      <c r="D28" s="11">
        <f t="shared" si="2"/>
        <v>1447.7398688575352</v>
      </c>
      <c r="E28" s="11">
        <f t="shared" ref="E28:F28" ca="1" si="18">+D28*EXP(B28)</f>
        <v>1840.4980912478275</v>
      </c>
      <c r="F28" s="11">
        <f t="shared" ca="1" si="18"/>
        <v>2439.2244173250733</v>
      </c>
      <c r="G28" s="12">
        <f t="shared" ca="1" si="4"/>
        <v>473.5329935551847</v>
      </c>
      <c r="H28" s="12">
        <f t="shared" ca="1" si="5"/>
        <v>976.26936290263643</v>
      </c>
    </row>
    <row r="29" spans="1:8" x14ac:dyDescent="0.35">
      <c r="A29" s="15">
        <v>16</v>
      </c>
      <c r="B29" s="10">
        <f t="shared" ca="1" si="0"/>
        <v>0.1622482989772564</v>
      </c>
      <c r="C29" s="10">
        <f t="shared" ca="1" si="1"/>
        <v>-0.32532479666650294</v>
      </c>
      <c r="D29" s="11">
        <f t="shared" si="2"/>
        <v>1447.7398688575352</v>
      </c>
      <c r="E29" s="11">
        <f t="shared" ref="E29:F29" ca="1" si="19">+D29*EXP(B29)</f>
        <v>1702.7624932651042</v>
      </c>
      <c r="F29" s="11">
        <f t="shared" ca="1" si="19"/>
        <v>1229.8929481306088</v>
      </c>
      <c r="G29" s="12">
        <f t="shared" ca="1" si="4"/>
        <v>354.40937671354118</v>
      </c>
      <c r="H29" s="12">
        <f t="shared" ca="1" si="5"/>
        <v>10.047382572541892</v>
      </c>
    </row>
    <row r="30" spans="1:8" x14ac:dyDescent="0.35">
      <c r="A30" s="15">
        <v>17</v>
      </c>
      <c r="B30" s="10">
        <f t="shared" ca="1" si="0"/>
        <v>-0.12952597838522134</v>
      </c>
      <c r="C30" s="10">
        <f t="shared" ca="1" si="1"/>
        <v>0.30446904476360215</v>
      </c>
      <c r="D30" s="11">
        <f t="shared" si="2"/>
        <v>1447.7398688575352</v>
      </c>
      <c r="E30" s="11">
        <f t="shared" ref="E30:F30" ca="1" si="20">+D30*EXP(B30)</f>
        <v>1271.8565086130413</v>
      </c>
      <c r="F30" s="11">
        <f t="shared" ca="1" si="20"/>
        <v>1724.516455653039</v>
      </c>
      <c r="G30" s="12">
        <f t="shared" ca="1" si="4"/>
        <v>78.546187884513358</v>
      </c>
      <c r="H30" s="12">
        <f t="shared" ca="1" si="5"/>
        <v>275.1161983848865</v>
      </c>
    </row>
    <row r="31" spans="1:8" x14ac:dyDescent="0.35">
      <c r="A31" s="15">
        <v>18</v>
      </c>
      <c r="B31" s="10">
        <f t="shared" ca="1" si="0"/>
        <v>0.12825393370946886</v>
      </c>
      <c r="C31" s="10">
        <f t="shared" ca="1" si="1"/>
        <v>1.6759146578790112E-2</v>
      </c>
      <c r="D31" s="11">
        <f t="shared" si="2"/>
        <v>1447.7398688575352</v>
      </c>
      <c r="E31" s="11">
        <f t="shared" ref="E31:F31" ca="1" si="21">+D31*EXP(B31)</f>
        <v>1645.8509790589646</v>
      </c>
      <c r="F31" s="11">
        <f t="shared" ca="1" si="21"/>
        <v>1673.6664677506183</v>
      </c>
      <c r="G31" s="12">
        <f t="shared" ca="1" si="4"/>
        <v>308.33162540741876</v>
      </c>
      <c r="H31" s="12">
        <f t="shared" ca="1" si="5"/>
        <v>230.87683955080797</v>
      </c>
    </row>
    <row r="32" spans="1:8" x14ac:dyDescent="0.35">
      <c r="A32" s="15">
        <v>19</v>
      </c>
      <c r="B32" s="10">
        <f t="shared" ca="1" si="0"/>
        <v>4.6977774056417308E-2</v>
      </c>
      <c r="C32" s="10">
        <f t="shared" ca="1" si="1"/>
        <v>0.21127690234151383</v>
      </c>
      <c r="D32" s="11">
        <f t="shared" si="2"/>
        <v>1447.7398688575352</v>
      </c>
      <c r="E32" s="11">
        <f t="shared" ref="E32:F32" ca="1" si="22">+D32*EXP(B32)</f>
        <v>1517.3742945214244</v>
      </c>
      <c r="F32" s="11">
        <f t="shared" ca="1" si="22"/>
        <v>1874.34320172752</v>
      </c>
      <c r="G32" s="12">
        <f t="shared" ca="1" si="4"/>
        <v>213.36127177909532</v>
      </c>
      <c r="H32" s="12">
        <f t="shared" ca="1" si="5"/>
        <v>415.13860355223733</v>
      </c>
    </row>
    <row r="33" spans="1:8" x14ac:dyDescent="0.35">
      <c r="A33" s="15">
        <v>20</v>
      </c>
      <c r="B33" s="10">
        <f t="shared" ca="1" si="0"/>
        <v>0.37792874540532229</v>
      </c>
      <c r="C33" s="10">
        <f t="shared" ca="1" si="1"/>
        <v>-0.13539865854366995</v>
      </c>
      <c r="D33" s="11">
        <f t="shared" si="2"/>
        <v>1447.7398688575352</v>
      </c>
      <c r="E33" s="11">
        <f t="shared" ref="E33:F33" ca="1" si="23">+D33*EXP(B33)</f>
        <v>2112.627375763926</v>
      </c>
      <c r="F33" s="11">
        <f t="shared" ca="1" si="23"/>
        <v>1845.1004419784219</v>
      </c>
      <c r="G33" s="12">
        <f t="shared" ca="1" si="4"/>
        <v>728.57008593386377</v>
      </c>
      <c r="H33" s="12">
        <f t="shared" ca="1" si="5"/>
        <v>387.02621697461609</v>
      </c>
    </row>
    <row r="34" spans="1:8" x14ac:dyDescent="0.35">
      <c r="A34" s="15">
        <v>21</v>
      </c>
      <c r="B34" s="10">
        <f t="shared" ca="1" si="0"/>
        <v>-9.7667724017281118E-2</v>
      </c>
      <c r="C34" s="10">
        <f t="shared" ca="1" si="1"/>
        <v>5.6976323748140031E-2</v>
      </c>
      <c r="D34" s="11">
        <f t="shared" si="2"/>
        <v>1447.7398688575352</v>
      </c>
      <c r="E34" s="11">
        <f t="shared" ref="E34:F34" ca="1" si="24">+D34*EXP(B34)</f>
        <v>1313.0279802070618</v>
      </c>
      <c r="F34" s="11">
        <f t="shared" ca="1" si="24"/>
        <v>1390.0117897992511</v>
      </c>
      <c r="G34" s="12">
        <f t="shared" ca="1" si="4"/>
        <v>96.201073232264832</v>
      </c>
      <c r="H34" s="12">
        <f t="shared" ca="1" si="5"/>
        <v>49.131053169153006</v>
      </c>
    </row>
    <row r="35" spans="1:8" x14ac:dyDescent="0.35">
      <c r="A35" s="15">
        <v>22</v>
      </c>
      <c r="B35" s="10">
        <f t="shared" ca="1" si="0"/>
        <v>-1.4462222445222335E-2</v>
      </c>
      <c r="C35" s="10">
        <f t="shared" ca="1" si="1"/>
        <v>-7.8535881337514934E-2</v>
      </c>
      <c r="D35" s="11">
        <f t="shared" si="2"/>
        <v>1447.7398688575352</v>
      </c>
      <c r="E35" s="11">
        <f t="shared" ref="E35:F35" ca="1" si="25">+D35*EXP(B35)</f>
        <v>1426.953007246176</v>
      </c>
      <c r="F35" s="11">
        <f t="shared" ca="1" si="25"/>
        <v>1319.173660060068</v>
      </c>
      <c r="G35" s="12">
        <f t="shared" ca="1" si="4"/>
        <v>155.75691578082433</v>
      </c>
      <c r="H35" s="12">
        <f t="shared" ca="1" si="5"/>
        <v>26.562176221129903</v>
      </c>
    </row>
    <row r="36" spans="1:8" x14ac:dyDescent="0.35">
      <c r="A36" s="15">
        <v>23</v>
      </c>
      <c r="B36" s="10">
        <f t="shared" ca="1" si="0"/>
        <v>-0.21518578860434157</v>
      </c>
      <c r="C36" s="10">
        <f t="shared" ca="1" si="1"/>
        <v>-0.48197624569593112</v>
      </c>
      <c r="D36" s="11">
        <f t="shared" si="2"/>
        <v>1447.7398688575352</v>
      </c>
      <c r="E36" s="11">
        <f t="shared" ref="E36:F36" ca="1" si="26">+D36*EXP(B36)</f>
        <v>1167.4452806513143</v>
      </c>
      <c r="F36" s="11">
        <f t="shared" ca="1" si="26"/>
        <v>720.96952876326407</v>
      </c>
      <c r="G36" s="12">
        <f t="shared" ca="1" si="4"/>
        <v>43.148520196601964</v>
      </c>
      <c r="H36" s="12">
        <f t="shared" ca="1" si="5"/>
        <v>7.5963503438189104E-6</v>
      </c>
    </row>
    <row r="37" spans="1:8" x14ac:dyDescent="0.35">
      <c r="A37" s="15">
        <v>24</v>
      </c>
      <c r="B37" s="10">
        <f t="shared" ca="1" si="0"/>
        <v>8.9986269781894945E-2</v>
      </c>
      <c r="C37" s="10">
        <f t="shared" ca="1" si="1"/>
        <v>-0.2300728179088318</v>
      </c>
      <c r="D37" s="11">
        <f t="shared" si="2"/>
        <v>1447.7398688575352</v>
      </c>
      <c r="E37" s="11">
        <f t="shared" ref="E37:F37" ca="1" si="27">+D37*EXP(B37)</f>
        <v>1584.057984387739</v>
      </c>
      <c r="F37" s="11">
        <f t="shared" ca="1" si="27"/>
        <v>1258.4956525514328</v>
      </c>
      <c r="G37" s="12">
        <f t="shared" ca="1" si="4"/>
        <v>260.93403784084728</v>
      </c>
      <c r="H37" s="12">
        <f t="shared" ca="1" si="5"/>
        <v>14.094610581192541</v>
      </c>
    </row>
    <row r="38" spans="1:8" x14ac:dyDescent="0.35">
      <c r="A38" s="15">
        <v>25</v>
      </c>
      <c r="B38" s="10">
        <f t="shared" ca="1" si="0"/>
        <v>0.12006737158079329</v>
      </c>
      <c r="C38" s="10">
        <f t="shared" ca="1" si="1"/>
        <v>-0.37345437050144503</v>
      </c>
      <c r="D38" s="11">
        <f t="shared" si="2"/>
        <v>1447.7398688575352</v>
      </c>
      <c r="E38" s="11">
        <f t="shared" ref="E38:F38" ca="1" si="28">+D38*EXP(B38)</f>
        <v>1632.4321198705982</v>
      </c>
      <c r="F38" s="11">
        <f t="shared" ca="1" si="28"/>
        <v>1123.6885589868671</v>
      </c>
      <c r="G38" s="12">
        <f t="shared" ca="1" si="4"/>
        <v>297.79167719162251</v>
      </c>
      <c r="H38" s="12">
        <f t="shared" ca="1" si="5"/>
        <v>2.1860046505159048</v>
      </c>
    </row>
    <row r="39" spans="1:8" x14ac:dyDescent="0.35">
      <c r="A39" s="15">
        <v>26</v>
      </c>
      <c r="B39" s="10">
        <f t="shared" ca="1" si="0"/>
        <v>0.17679578299347931</v>
      </c>
      <c r="C39" s="10">
        <f t="shared" ca="1" si="1"/>
        <v>0.11485504534001059</v>
      </c>
      <c r="D39" s="11">
        <f t="shared" si="2"/>
        <v>1447.7398688575352</v>
      </c>
      <c r="E39" s="11">
        <f t="shared" ref="E39:F39" ca="1" si="29">+D39*EXP(B39)</f>
        <v>1727.7144575242617</v>
      </c>
      <c r="F39" s="11">
        <f t="shared" ca="1" si="29"/>
        <v>1937.9960156905368</v>
      </c>
      <c r="G39" s="12">
        <f t="shared" ca="1" si="4"/>
        <v>375.25525376966493</v>
      </c>
      <c r="H39" s="12">
        <f t="shared" ca="1" si="5"/>
        <v>477.11314287216601</v>
      </c>
    </row>
    <row r="40" spans="1:8" x14ac:dyDescent="0.35">
      <c r="A40" s="15">
        <v>27</v>
      </c>
      <c r="B40" s="10">
        <f t="shared" ca="1" si="0"/>
        <v>-0.2218954077690376</v>
      </c>
      <c r="C40" s="10">
        <f t="shared" ca="1" si="1"/>
        <v>0.25519273552544497</v>
      </c>
      <c r="D40" s="11">
        <f t="shared" si="2"/>
        <v>1447.7398688575352</v>
      </c>
      <c r="E40" s="11">
        <f t="shared" ref="E40:F40" ca="1" si="30">+D40*EXP(B40)</f>
        <v>1159.6383873511561</v>
      </c>
      <c r="F40" s="11">
        <f t="shared" ca="1" si="30"/>
        <v>1496.7572834708678</v>
      </c>
      <c r="G40" s="12">
        <f t="shared" ca="1" si="4"/>
        <v>41.028900547707735</v>
      </c>
      <c r="H40" s="12">
        <f t="shared" ca="1" si="5"/>
        <v>101.40225347852083</v>
      </c>
    </row>
    <row r="41" spans="1:8" x14ac:dyDescent="0.35">
      <c r="A41" s="15">
        <v>28</v>
      </c>
      <c r="B41" s="10">
        <f t="shared" ca="1" si="0"/>
        <v>-0.11401349066904866</v>
      </c>
      <c r="C41" s="10">
        <f t="shared" ca="1" si="1"/>
        <v>-0.20625784597777574</v>
      </c>
      <c r="D41" s="11">
        <f t="shared" si="2"/>
        <v>1447.7398688575352</v>
      </c>
      <c r="E41" s="11">
        <f t="shared" ref="E41:F41" ca="1" si="31">+D41*EXP(B41)</f>
        <v>1291.7399894820476</v>
      </c>
      <c r="F41" s="11">
        <f t="shared" ca="1" si="31"/>
        <v>1050.9897009904676</v>
      </c>
      <c r="G41" s="12">
        <f t="shared" ca="1" si="4"/>
        <v>86.810128743111989</v>
      </c>
      <c r="H41" s="12">
        <f t="shared" ca="1" si="5"/>
        <v>0.57186926913422731</v>
      </c>
    </row>
    <row r="42" spans="1:8" x14ac:dyDescent="0.35">
      <c r="A42" s="15">
        <v>29</v>
      </c>
      <c r="B42" s="10">
        <f t="shared" ca="1" si="0"/>
        <v>-1.6946632501601451E-2</v>
      </c>
      <c r="C42" s="10">
        <f t="shared" ca="1" si="1"/>
        <v>-9.6194606779480551E-2</v>
      </c>
      <c r="D42" s="11">
        <f t="shared" si="2"/>
        <v>1447.7398688575352</v>
      </c>
      <c r="E42" s="11">
        <f t="shared" ref="E42:F42" ca="1" si="32">+D42*EXP(B42)</f>
        <v>1423.4122709865833</v>
      </c>
      <c r="F42" s="11">
        <f t="shared" ca="1" si="32"/>
        <v>1292.8672030160826</v>
      </c>
      <c r="G42" s="12">
        <f t="shared" ca="1" si="4"/>
        <v>153.67858169214355</v>
      </c>
      <c r="H42" s="12">
        <f t="shared" ca="1" si="5"/>
        <v>20.450585727162263</v>
      </c>
    </row>
    <row r="43" spans="1:8" x14ac:dyDescent="0.35">
      <c r="A43" s="15">
        <v>30</v>
      </c>
      <c r="B43" s="10">
        <f t="shared" ca="1" si="0"/>
        <v>-0.118060745423768</v>
      </c>
      <c r="C43" s="10">
        <f t="shared" ca="1" si="1"/>
        <v>0.29304318562139309</v>
      </c>
      <c r="D43" s="11">
        <f t="shared" si="2"/>
        <v>1447.7398688575352</v>
      </c>
      <c r="E43" s="11">
        <f t="shared" ref="E43:F43" ca="1" si="33">+D43*EXP(B43)</f>
        <v>1286.5225539350831</v>
      </c>
      <c r="F43" s="11">
        <f t="shared" ca="1" si="33"/>
        <v>1724.5843577890221</v>
      </c>
      <c r="G43" s="12">
        <f t="shared" ca="1" si="4"/>
        <v>84.594157031165253</v>
      </c>
      <c r="H43" s="12">
        <f t="shared" ca="1" si="5"/>
        <v>275.17672511595242</v>
      </c>
    </row>
    <row r="44" spans="1:8" x14ac:dyDescent="0.35">
      <c r="A44" s="15">
        <v>31</v>
      </c>
      <c r="B44" s="10">
        <f t="shared" ca="1" si="0"/>
        <v>0.26084498928030503</v>
      </c>
      <c r="C44" s="10">
        <f t="shared" ca="1" si="1"/>
        <v>3.970772869780629E-2</v>
      </c>
      <c r="D44" s="11">
        <f t="shared" si="2"/>
        <v>1447.7398688575352</v>
      </c>
      <c r="E44" s="11">
        <f t="shared" ref="E44:F44" ca="1" si="34">+D44*EXP(B44)</f>
        <v>1879.2046306617067</v>
      </c>
      <c r="F44" s="11">
        <f t="shared" ca="1" si="34"/>
        <v>1955.3248576400583</v>
      </c>
      <c r="G44" s="12">
        <f t="shared" ca="1" si="4"/>
        <v>508.53273621984522</v>
      </c>
      <c r="H44" s="12">
        <f t="shared" ca="1" si="5"/>
        <v>494.12486392980827</v>
      </c>
    </row>
    <row r="45" spans="1:8" x14ac:dyDescent="0.35">
      <c r="A45" s="15">
        <v>32</v>
      </c>
      <c r="B45" s="10">
        <f t="shared" ca="1" si="0"/>
        <v>0.1159479794008883</v>
      </c>
      <c r="C45" s="10">
        <f t="shared" ca="1" si="1"/>
        <v>0.16111128836201474</v>
      </c>
      <c r="D45" s="11">
        <f t="shared" si="2"/>
        <v>1447.7398688575352</v>
      </c>
      <c r="E45" s="11">
        <f t="shared" ref="E45:F45" ca="1" si="35">+D45*EXP(B45)</f>
        <v>1625.7213234527617</v>
      </c>
      <c r="F45" s="11">
        <f t="shared" ca="1" si="35"/>
        <v>1909.9229425091455</v>
      </c>
      <c r="G45" s="12">
        <f t="shared" ca="1" si="4"/>
        <v>292.57028853453107</v>
      </c>
      <c r="H45" s="12">
        <f t="shared" ca="1" si="5"/>
        <v>449.66869893827493</v>
      </c>
    </row>
    <row r="46" spans="1:8" x14ac:dyDescent="0.35">
      <c r="A46" s="15">
        <v>33</v>
      </c>
      <c r="B46" s="10">
        <f t="shared" ca="1" si="0"/>
        <v>-8.7621393674163245E-2</v>
      </c>
      <c r="C46" s="10">
        <f t="shared" ca="1" si="1"/>
        <v>-0.24642705815241947</v>
      </c>
      <c r="D46" s="11">
        <f t="shared" si="2"/>
        <v>1447.7398688575352</v>
      </c>
      <c r="E46" s="11">
        <f t="shared" ref="E46:F46" ca="1" si="36">+D46*EXP(B46)</f>
        <v>1326.2855766367538</v>
      </c>
      <c r="F46" s="11">
        <f t="shared" ca="1" si="36"/>
        <v>1036.6093819417717</v>
      </c>
      <c r="G46" s="12">
        <f t="shared" ca="1" si="4"/>
        <v>102.33191308840264</v>
      </c>
      <c r="H46" s="12">
        <f t="shared" ca="1" si="5"/>
        <v>0.4238972364750051</v>
      </c>
    </row>
    <row r="47" spans="1:8" x14ac:dyDescent="0.35">
      <c r="A47" s="15">
        <v>34</v>
      </c>
      <c r="B47" s="10">
        <f t="shared" ca="1" si="0"/>
        <v>4.4126022149505062E-2</v>
      </c>
      <c r="C47" s="10">
        <f t="shared" ca="1" si="1"/>
        <v>5.4571402539546621E-4</v>
      </c>
      <c r="D47" s="11">
        <f t="shared" si="2"/>
        <v>1447.7398688575352</v>
      </c>
      <c r="E47" s="11">
        <f t="shared" ref="E47:F47" ca="1" si="37">+D47*EXP(B47)</f>
        <v>1513.0532836374182</v>
      </c>
      <c r="F47" s="11">
        <f t="shared" ca="1" si="37"/>
        <v>1513.8792033729649</v>
      </c>
      <c r="G47" s="12">
        <f t="shared" ca="1" si="4"/>
        <v>210.4196545465561</v>
      </c>
      <c r="H47" s="12">
        <f t="shared" ca="1" si="5"/>
        <v>111.80114040765682</v>
      </c>
    </row>
    <row r="48" spans="1:8" x14ac:dyDescent="0.35">
      <c r="A48" s="15">
        <v>35</v>
      </c>
      <c r="B48" s="10">
        <f t="shared" ca="1" si="0"/>
        <v>-0.17276956501047869</v>
      </c>
      <c r="C48" s="10">
        <f t="shared" ca="1" si="1"/>
        <v>0.11021284457426647</v>
      </c>
      <c r="D48" s="11">
        <f t="shared" si="2"/>
        <v>1447.7398688575352</v>
      </c>
      <c r="E48" s="11">
        <f t="shared" ref="E48:F48" ca="1" si="38">+D48*EXP(B48)</f>
        <v>1218.0291043938403</v>
      </c>
      <c r="F48" s="11">
        <f t="shared" ca="1" si="38"/>
        <v>1359.9486052948582</v>
      </c>
      <c r="G48" s="12">
        <f t="shared" ca="1" si="4"/>
        <v>58.635073845777583</v>
      </c>
      <c r="H48" s="12">
        <f t="shared" ca="1" si="5"/>
        <v>38.411536670608484</v>
      </c>
    </row>
    <row r="49" spans="1:8" x14ac:dyDescent="0.35">
      <c r="A49" s="15">
        <v>36</v>
      </c>
      <c r="B49" s="10">
        <f t="shared" ca="1" si="0"/>
        <v>-0.20729901697121361</v>
      </c>
      <c r="C49" s="10">
        <f t="shared" ca="1" si="1"/>
        <v>0.28716827748344587</v>
      </c>
      <c r="D49" s="11">
        <f t="shared" si="2"/>
        <v>1447.7398688575352</v>
      </c>
      <c r="E49" s="11">
        <f t="shared" ref="E49:F49" ca="1" si="39">+D49*EXP(B49)</f>
        <v>1176.6890588433655</v>
      </c>
      <c r="F49" s="11">
        <f t="shared" ca="1" si="39"/>
        <v>1568.1128496177728</v>
      </c>
      <c r="G49" s="12">
        <f t="shared" ca="1" si="4"/>
        <v>45.750436998432917</v>
      </c>
      <c r="H49" s="12">
        <f t="shared" ca="1" si="5"/>
        <v>148.07372888588122</v>
      </c>
    </row>
    <row r="50" spans="1:8" x14ac:dyDescent="0.35">
      <c r="A50" s="15">
        <v>37</v>
      </c>
      <c r="B50" s="10">
        <f t="shared" ca="1" si="0"/>
        <v>-0.18471581146143173</v>
      </c>
      <c r="C50" s="10">
        <f t="shared" ca="1" si="1"/>
        <v>6.5706814047375682E-3</v>
      </c>
      <c r="D50" s="11">
        <f t="shared" si="2"/>
        <v>1447.7398688575352</v>
      </c>
      <c r="E50" s="11">
        <f t="shared" ref="E50:F50" ca="1" si="40">+D50*EXP(B50)</f>
        <v>1203.5647976347004</v>
      </c>
      <c r="F50" s="11">
        <f t="shared" ca="1" si="40"/>
        <v>1211.4990767338873</v>
      </c>
      <c r="G50" s="12">
        <f t="shared" ca="1" si="4"/>
        <v>53.892290814319722</v>
      </c>
      <c r="H50" s="12">
        <f t="shared" ca="1" si="5"/>
        <v>7.9626311134305894</v>
      </c>
    </row>
    <row r="51" spans="1:8" x14ac:dyDescent="0.35">
      <c r="A51" s="15">
        <v>38</v>
      </c>
      <c r="B51" s="10">
        <f t="shared" ca="1" si="0"/>
        <v>0.15659241416865172</v>
      </c>
      <c r="C51" s="10">
        <f t="shared" ca="1" si="1"/>
        <v>-0.2899938878095133</v>
      </c>
      <c r="D51" s="11">
        <f t="shared" si="2"/>
        <v>1447.7398688575352</v>
      </c>
      <c r="E51" s="11">
        <f t="shared" ref="E51:F51" ca="1" si="41">+D51*EXP(B51)</f>
        <v>1693.1590483363218</v>
      </c>
      <c r="F51" s="11">
        <f t="shared" ca="1" si="41"/>
        <v>1266.936973722517</v>
      </c>
      <c r="G51" s="12">
        <f t="shared" ca="1" si="4"/>
        <v>346.48623380874528</v>
      </c>
      <c r="H51" s="12">
        <f t="shared" ca="1" si="5"/>
        <v>15.495913242775288</v>
      </c>
    </row>
    <row r="52" spans="1:8" x14ac:dyDescent="0.35">
      <c r="A52" s="15">
        <v>39</v>
      </c>
      <c r="B52" s="10">
        <f t="shared" ca="1" si="0"/>
        <v>0.13467004902483337</v>
      </c>
      <c r="C52" s="10">
        <f t="shared" ca="1" si="1"/>
        <v>0.2201631589600129</v>
      </c>
      <c r="D52" s="11">
        <f t="shared" si="2"/>
        <v>1447.7398688575352</v>
      </c>
      <c r="E52" s="11">
        <f t="shared" ref="E52:F52" ca="1" si="42">+D52*EXP(B52)</f>
        <v>1656.4448982933493</v>
      </c>
      <c r="F52" s="11">
        <f t="shared" ca="1" si="42"/>
        <v>2064.3942402043454</v>
      </c>
      <c r="G52" s="12">
        <f t="shared" ca="1" si="4"/>
        <v>316.74377850801329</v>
      </c>
      <c r="H52" s="12">
        <f t="shared" ca="1" si="5"/>
        <v>602.02935815094702</v>
      </c>
    </row>
    <row r="53" spans="1:8" x14ac:dyDescent="0.35">
      <c r="A53" s="15">
        <v>40</v>
      </c>
      <c r="B53" s="10">
        <f t="shared" ca="1" si="0"/>
        <v>-4.6299058635060411E-2</v>
      </c>
      <c r="C53" s="10">
        <f t="shared" ca="1" si="1"/>
        <v>-0.24305510922338272</v>
      </c>
      <c r="D53" s="11">
        <f t="shared" si="2"/>
        <v>1447.7398688575352</v>
      </c>
      <c r="E53" s="11">
        <f t="shared" ref="E53:F53" ca="1" si="43">+D53*EXP(B53)</f>
        <v>1382.2388928016521</v>
      </c>
      <c r="F53" s="11">
        <f t="shared" ca="1" si="43"/>
        <v>1083.9908493115277</v>
      </c>
      <c r="G53" s="12">
        <f t="shared" ca="1" si="4"/>
        <v>130.55620491501327</v>
      </c>
      <c r="H53" s="12">
        <f t="shared" ca="1" si="5"/>
        <v>1.0876459035489709</v>
      </c>
    </row>
    <row r="54" spans="1:8" x14ac:dyDescent="0.35">
      <c r="A54" s="15">
        <v>41</v>
      </c>
      <c r="B54" s="10">
        <f t="shared" ca="1" si="0"/>
        <v>0.23780763383108117</v>
      </c>
      <c r="C54" s="10">
        <f t="shared" ca="1" si="1"/>
        <v>0.23075578584654063</v>
      </c>
      <c r="D54" s="11">
        <f t="shared" si="2"/>
        <v>1447.7398688575352</v>
      </c>
      <c r="E54" s="11">
        <f t="shared" ref="E54:F54" ca="1" si="44">+D54*EXP(B54)</f>
        <v>1836.4075837671487</v>
      </c>
      <c r="F54" s="11">
        <f t="shared" ca="1" si="44"/>
        <v>2313.0501132469562</v>
      </c>
      <c r="G54" s="12">
        <f t="shared" ca="1" si="4"/>
        <v>469.86775814955877</v>
      </c>
      <c r="H54" s="12">
        <f t="shared" ca="1" si="5"/>
        <v>850.12678478979319</v>
      </c>
    </row>
    <row r="55" spans="1:8" x14ac:dyDescent="0.35">
      <c r="A55" s="15">
        <v>42</v>
      </c>
      <c r="B55" s="10">
        <f t="shared" ca="1" si="0"/>
        <v>-0.14254843145783952</v>
      </c>
      <c r="C55" s="10">
        <f t="shared" ca="1" si="1"/>
        <v>-0.21741561570114512</v>
      </c>
      <c r="D55" s="11">
        <f t="shared" si="2"/>
        <v>1447.7398688575352</v>
      </c>
      <c r="E55" s="11">
        <f t="shared" ref="E55:F55" ca="1" si="45">+D55*EXP(B55)</f>
        <v>1255.4011937436073</v>
      </c>
      <c r="F55" s="11">
        <f t="shared" ca="1" si="45"/>
        <v>1010.0901477687586</v>
      </c>
      <c r="G55" s="12">
        <f t="shared" ca="1" si="4"/>
        <v>72.078500187879229</v>
      </c>
      <c r="H55" s="12">
        <f t="shared" ca="1" si="5"/>
        <v>0.23612411516042897</v>
      </c>
    </row>
    <row r="56" spans="1:8" x14ac:dyDescent="0.35">
      <c r="A56" s="15">
        <v>43</v>
      </c>
      <c r="B56" s="10">
        <f t="shared" ca="1" si="0"/>
        <v>0.17007605613126958</v>
      </c>
      <c r="C56" s="10">
        <f t="shared" ca="1" si="1"/>
        <v>4.4512565164457334E-2</v>
      </c>
      <c r="D56" s="11">
        <f t="shared" si="2"/>
        <v>1447.7398688575352</v>
      </c>
      <c r="E56" s="11">
        <f t="shared" ref="E56:F56" ca="1" si="46">+D56*EXP(B56)</f>
        <v>1716.1436082868747</v>
      </c>
      <c r="F56" s="11">
        <f t="shared" ca="1" si="46"/>
        <v>1794.2592282344067</v>
      </c>
      <c r="G56" s="12">
        <f t="shared" ca="1" si="4"/>
        <v>365.54288519219426</v>
      </c>
      <c r="H56" s="12">
        <f t="shared" ca="1" si="5"/>
        <v>338.91103369155508</v>
      </c>
    </row>
    <row r="57" spans="1:8" x14ac:dyDescent="0.35">
      <c r="A57" s="15">
        <v>44</v>
      </c>
      <c r="B57" s="10">
        <f t="shared" ca="1" si="0"/>
        <v>0.14948213071558875</v>
      </c>
      <c r="C57" s="10">
        <f t="shared" ca="1" si="1"/>
        <v>-0.38801694920512231</v>
      </c>
      <c r="D57" s="11">
        <f t="shared" si="2"/>
        <v>1447.7398688575352</v>
      </c>
      <c r="E57" s="11">
        <f t="shared" ref="E57:F57" ca="1" si="47">+D57*EXP(B57)</f>
        <v>1681.1629060971991</v>
      </c>
      <c r="F57" s="11">
        <f t="shared" ca="1" si="47"/>
        <v>1140.5023357622404</v>
      </c>
      <c r="G57" s="12">
        <f t="shared" ca="1" si="4"/>
        <v>336.6706087432774</v>
      </c>
      <c r="H57" s="12">
        <f t="shared" ca="1" si="5"/>
        <v>2.8719149732283995</v>
      </c>
    </row>
    <row r="58" spans="1:8" x14ac:dyDescent="0.35">
      <c r="A58" s="15">
        <v>45</v>
      </c>
      <c r="B58" s="10">
        <f t="shared" ca="1" si="0"/>
        <v>-8.6662514196919435E-2</v>
      </c>
      <c r="C58" s="10">
        <f t="shared" ca="1" si="1"/>
        <v>-1.8856561083544644E-2</v>
      </c>
      <c r="D58" s="11">
        <f t="shared" si="2"/>
        <v>1447.7398688575352</v>
      </c>
      <c r="E58" s="11">
        <f t="shared" ref="E58:F58" ca="1" si="48">+D58*EXP(B58)</f>
        <v>1327.5579345786255</v>
      </c>
      <c r="F58" s="11">
        <f t="shared" ca="1" si="48"/>
        <v>1302.7593005713936</v>
      </c>
      <c r="G58" s="12">
        <f t="shared" ca="1" si="4"/>
        <v>102.93164476911579</v>
      </c>
      <c r="H58" s="12">
        <f t="shared" ca="1" si="5"/>
        <v>22.615083051225838</v>
      </c>
    </row>
    <row r="59" spans="1:8" x14ac:dyDescent="0.35">
      <c r="A59" s="15">
        <v>46</v>
      </c>
      <c r="B59" s="10">
        <f t="shared" ca="1" si="0"/>
        <v>-0.12061640748909465</v>
      </c>
      <c r="C59" s="10">
        <f t="shared" ca="1" si="1"/>
        <v>-4.0373643741550086E-2</v>
      </c>
      <c r="D59" s="11">
        <f t="shared" si="2"/>
        <v>1447.7398688575352</v>
      </c>
      <c r="E59" s="11">
        <f t="shared" ref="E59:F59" ca="1" si="49">+D59*EXP(B59)</f>
        <v>1283.2388348731995</v>
      </c>
      <c r="F59" s="11">
        <f t="shared" ca="1" si="49"/>
        <v>1232.4617328006523</v>
      </c>
      <c r="G59" s="12">
        <f t="shared" ca="1" si="4"/>
        <v>83.216806228607084</v>
      </c>
      <c r="H59" s="12">
        <f t="shared" ca="1" si="5"/>
        <v>10.369195582944258</v>
      </c>
    </row>
    <row r="60" spans="1:8" x14ac:dyDescent="0.35">
      <c r="A60" s="15">
        <v>47</v>
      </c>
      <c r="B60" s="10">
        <f t="shared" ca="1" si="0"/>
        <v>-7.0748437213008691E-2</v>
      </c>
      <c r="C60" s="10">
        <f t="shared" ca="1" si="1"/>
        <v>0.11648149919846221</v>
      </c>
      <c r="D60" s="11">
        <f t="shared" si="2"/>
        <v>1447.7398688575352</v>
      </c>
      <c r="E60" s="11">
        <f t="shared" ref="E60:F60" ca="1" si="50">+D60*EXP(B60)</f>
        <v>1348.8537962980899</v>
      </c>
      <c r="F60" s="11">
        <f t="shared" ca="1" si="50"/>
        <v>1515.4867753734932</v>
      </c>
      <c r="G60" s="12">
        <f t="shared" ca="1" si="4"/>
        <v>113.26249010434287</v>
      </c>
      <c r="H60" s="12">
        <f t="shared" ca="1" si="5"/>
        <v>112.80448660293553</v>
      </c>
    </row>
    <row r="61" spans="1:8" x14ac:dyDescent="0.35">
      <c r="A61" s="15">
        <v>48</v>
      </c>
      <c r="B61" s="10">
        <f t="shared" ca="1" si="0"/>
        <v>1.1590341513716934E-2</v>
      </c>
      <c r="C61" s="10">
        <f t="shared" ca="1" si="1"/>
        <v>5.9674327345241446E-2</v>
      </c>
      <c r="D61" s="11">
        <f t="shared" si="2"/>
        <v>1447.7398688575352</v>
      </c>
      <c r="E61" s="11">
        <f t="shared" ref="E61:F61" ca="1" si="51">+D61*EXP(B61)</f>
        <v>1464.6172869436921</v>
      </c>
      <c r="F61" s="11">
        <f t="shared" ca="1" si="51"/>
        <v>1554.6777634888001</v>
      </c>
      <c r="G61" s="12">
        <f t="shared" ca="1" si="4"/>
        <v>178.71490430107394</v>
      </c>
      <c r="H61" s="12">
        <f t="shared" ca="1" si="5"/>
        <v>138.63821854769117</v>
      </c>
    </row>
    <row r="62" spans="1:8" x14ac:dyDescent="0.35">
      <c r="A62" s="15">
        <v>49</v>
      </c>
      <c r="B62" s="10">
        <f t="shared" ca="1" si="0"/>
        <v>-0.13107284884853698</v>
      </c>
      <c r="C62" s="10">
        <f t="shared" ca="1" si="1"/>
        <v>0.24602925756816896</v>
      </c>
      <c r="D62" s="11">
        <f t="shared" si="2"/>
        <v>1447.7398688575352</v>
      </c>
      <c r="E62" s="11">
        <f t="shared" ref="E62:F62" ca="1" si="52">+D62*EXP(B62)</f>
        <v>1269.8906322163555</v>
      </c>
      <c r="F62" s="11">
        <f t="shared" ca="1" si="52"/>
        <v>1624.1101048031339</v>
      </c>
      <c r="G62" s="12">
        <f t="shared" ca="1" si="4"/>
        <v>77.755814587052953</v>
      </c>
      <c r="H62" s="12">
        <f t="shared" ca="1" si="5"/>
        <v>190.2495466580915</v>
      </c>
    </row>
    <row r="63" spans="1:8" x14ac:dyDescent="0.35">
      <c r="A63" s="15">
        <v>50</v>
      </c>
      <c r="B63" s="10">
        <f t="shared" ca="1" si="0"/>
        <v>6.8953655401829718E-3</v>
      </c>
      <c r="C63" s="10">
        <f t="shared" ca="1" si="1"/>
        <v>0.1517484113936671</v>
      </c>
      <c r="D63" s="11">
        <f t="shared" si="2"/>
        <v>1447.7398688575352</v>
      </c>
      <c r="E63" s="11">
        <f t="shared" ref="E63:F63" ca="1" si="53">+D63*EXP(B63)</f>
        <v>1457.7570608709057</v>
      </c>
      <c r="F63" s="11">
        <f t="shared" ca="1" si="53"/>
        <v>1696.6358966830162</v>
      </c>
      <c r="G63" s="12">
        <f t="shared" ca="1" si="4"/>
        <v>174.4194968853958</v>
      </c>
      <c r="H63" s="12">
        <f t="shared" ca="1" si="5"/>
        <v>250.57760705318969</v>
      </c>
    </row>
    <row r="64" spans="1:8" x14ac:dyDescent="0.35">
      <c r="A64" s="15">
        <v>51</v>
      </c>
      <c r="B64" s="10">
        <f t="shared" ca="1" si="0"/>
        <v>0.15672951039734823</v>
      </c>
      <c r="C64" s="10">
        <f t="shared" ca="1" si="1"/>
        <v>5.6936175594316719E-2</v>
      </c>
      <c r="D64" s="11">
        <f t="shared" si="2"/>
        <v>1447.7398688575352</v>
      </c>
      <c r="E64" s="11">
        <f t="shared" ref="E64:F64" ca="1" si="54">+D64*EXP(B64)</f>
        <v>1693.3911899689397</v>
      </c>
      <c r="F64" s="11">
        <f t="shared" ca="1" si="54"/>
        <v>1792.6040069965832</v>
      </c>
      <c r="G64" s="12">
        <f t="shared" ca="1" si="4"/>
        <v>346.67708094203726</v>
      </c>
      <c r="H64" s="12">
        <f t="shared" ca="1" si="5"/>
        <v>337.36408762176688</v>
      </c>
    </row>
    <row r="65" spans="1:8" x14ac:dyDescent="0.35">
      <c r="A65" s="15">
        <v>52</v>
      </c>
      <c r="B65" s="10">
        <f t="shared" ca="1" si="0"/>
        <v>0.19654164891507125</v>
      </c>
      <c r="C65" s="10">
        <f t="shared" ca="1" si="1"/>
        <v>0.24535355906083595</v>
      </c>
      <c r="D65" s="11">
        <f t="shared" si="2"/>
        <v>1447.7398688575352</v>
      </c>
      <c r="E65" s="11">
        <f t="shared" ref="E65:F65" ca="1" si="55">+D65*EXP(B65)</f>
        <v>1762.1687207171251</v>
      </c>
      <c r="F65" s="11">
        <f t="shared" ca="1" si="55"/>
        <v>2252.1804531078174</v>
      </c>
      <c r="G65" s="12">
        <f t="shared" ca="1" si="4"/>
        <v>404.61634601513788</v>
      </c>
      <c r="H65" s="12">
        <f t="shared" ca="1" si="5"/>
        <v>789.29733064572724</v>
      </c>
    </row>
    <row r="66" spans="1:8" x14ac:dyDescent="0.35">
      <c r="A66" s="15">
        <v>53</v>
      </c>
      <c r="B66" s="10">
        <f t="shared" ca="1" si="0"/>
        <v>-7.8358341834062796E-3</v>
      </c>
      <c r="C66" s="10">
        <f t="shared" ca="1" si="1"/>
        <v>7.8645460412227752E-2</v>
      </c>
      <c r="D66" s="11">
        <f t="shared" si="2"/>
        <v>1447.7398688575352</v>
      </c>
      <c r="E66" s="11">
        <f t="shared" ref="E66:F66" ca="1" si="56">+D66*EXP(B66)</f>
        <v>1436.4399492706882</v>
      </c>
      <c r="F66" s="11">
        <f t="shared" ca="1" si="56"/>
        <v>1553.9704797646145</v>
      </c>
      <c r="G66" s="12">
        <f t="shared" ca="1" si="4"/>
        <v>161.39412787952426</v>
      </c>
      <c r="H66" s="12">
        <f t="shared" ca="1" si="5"/>
        <v>138.14939620306961</v>
      </c>
    </row>
    <row r="67" spans="1:8" x14ac:dyDescent="0.35">
      <c r="A67" s="15">
        <v>54</v>
      </c>
      <c r="B67" s="10">
        <f t="shared" ca="1" si="0"/>
        <v>-9.0226562517789835E-2</v>
      </c>
      <c r="C67" s="10">
        <f t="shared" ca="1" si="1"/>
        <v>0.19326227387894698</v>
      </c>
      <c r="D67" s="11">
        <f t="shared" si="2"/>
        <v>1447.7398688575352</v>
      </c>
      <c r="E67" s="11">
        <f t="shared" ref="E67:F67" ca="1" si="57">+D67*EXP(B67)</f>
        <v>1322.8348755558522</v>
      </c>
      <c r="F67" s="11">
        <f t="shared" ca="1" si="57"/>
        <v>1604.8645180784856</v>
      </c>
      <c r="G67" s="12">
        <f t="shared" ca="1" si="4"/>
        <v>100.7153928852573</v>
      </c>
      <c r="H67" s="12">
        <f t="shared" ca="1" si="5"/>
        <v>175.26585716917634</v>
      </c>
    </row>
    <row r="68" spans="1:8" x14ac:dyDescent="0.35">
      <c r="A68" s="15">
        <v>55</v>
      </c>
      <c r="B68" s="10">
        <f t="shared" ca="1" si="0"/>
        <v>3.3210152811991758E-2</v>
      </c>
      <c r="C68" s="10">
        <f t="shared" ca="1" si="1"/>
        <v>0.21164963186428698</v>
      </c>
      <c r="D68" s="11">
        <f t="shared" si="2"/>
        <v>1447.7398688575352</v>
      </c>
      <c r="E68" s="11">
        <f t="shared" ref="E68:F68" ca="1" si="58">+D68*EXP(B68)</f>
        <v>1496.6268094249942</v>
      </c>
      <c r="F68" s="11">
        <f t="shared" ca="1" si="58"/>
        <v>1849.4039794703594</v>
      </c>
      <c r="G68" s="12">
        <f t="shared" ca="1" si="4"/>
        <v>199.40296086227886</v>
      </c>
      <c r="H68" s="12">
        <f t="shared" ca="1" si="5"/>
        <v>391.14588606408438</v>
      </c>
    </row>
    <row r="69" spans="1:8" x14ac:dyDescent="0.35">
      <c r="A69" s="15">
        <v>56</v>
      </c>
      <c r="B69" s="10">
        <f t="shared" ca="1" si="0"/>
        <v>1.8485894884139147E-3</v>
      </c>
      <c r="C69" s="10">
        <f t="shared" ca="1" si="1"/>
        <v>0.14474996905401954</v>
      </c>
      <c r="D69" s="11">
        <f t="shared" si="2"/>
        <v>1447.7398688575352</v>
      </c>
      <c r="E69" s="11">
        <f t="shared" ref="E69:F69" ca="1" si="59">+D69*EXP(B69)</f>
        <v>1450.4186207545247</v>
      </c>
      <c r="F69" s="11">
        <f t="shared" ca="1" si="59"/>
        <v>1676.3221342344029</v>
      </c>
      <c r="G69" s="12">
        <f t="shared" ca="1" si="4"/>
        <v>169.88011760595168</v>
      </c>
      <c r="H69" s="12">
        <f t="shared" ca="1" si="5"/>
        <v>233.12874629828093</v>
      </c>
    </row>
    <row r="70" spans="1:8" x14ac:dyDescent="0.35">
      <c r="A70" s="15">
        <v>57</v>
      </c>
      <c r="B70" s="10">
        <f t="shared" ca="1" si="0"/>
        <v>2.1579787970249734E-3</v>
      </c>
      <c r="C70" s="10">
        <f t="shared" ca="1" si="1"/>
        <v>-4.7213658065202654E-3</v>
      </c>
      <c r="D70" s="11">
        <f t="shared" si="2"/>
        <v>1447.7398688575352</v>
      </c>
      <c r="E70" s="11">
        <f t="shared" ref="E70:F70" ca="1" si="60">+D70*EXP(B70)</f>
        <v>1450.8674341942562</v>
      </c>
      <c r="F70" s="11">
        <f t="shared" ca="1" si="60"/>
        <v>1444.033503738206</v>
      </c>
      <c r="G70" s="12">
        <f t="shared" ca="1" si="4"/>
        <v>170.15608525427638</v>
      </c>
      <c r="H70" s="12">
        <f t="shared" ca="1" si="5"/>
        <v>72.817619568771647</v>
      </c>
    </row>
    <row r="71" spans="1:8" x14ac:dyDescent="0.35">
      <c r="A71" s="15">
        <v>58</v>
      </c>
      <c r="B71" s="10">
        <f t="shared" ca="1" si="0"/>
        <v>2.2144323788835081E-2</v>
      </c>
      <c r="C71" s="10">
        <f t="shared" ca="1" si="1"/>
        <v>9.0825910615272537E-2</v>
      </c>
      <c r="D71" s="11">
        <f t="shared" si="2"/>
        <v>1447.7398688575352</v>
      </c>
      <c r="E71" s="11">
        <f t="shared" ref="E71:F71" ca="1" si="61">+D71*EXP(B71)</f>
        <v>1480.1566888764571</v>
      </c>
      <c r="F71" s="11">
        <f t="shared" ca="1" si="61"/>
        <v>1620.8875403741279</v>
      </c>
      <c r="G71" s="12">
        <f t="shared" ca="1" si="4"/>
        <v>188.6269635491459</v>
      </c>
      <c r="H71" s="12">
        <f t="shared" ca="1" si="5"/>
        <v>187.70729852900513</v>
      </c>
    </row>
    <row r="72" spans="1:8" x14ac:dyDescent="0.35">
      <c r="A72" s="15">
        <v>59</v>
      </c>
      <c r="B72" s="10">
        <f t="shared" ca="1" si="0"/>
        <v>-4.480355269406569E-2</v>
      </c>
      <c r="C72" s="10">
        <f t="shared" ca="1" si="1"/>
        <v>0.16365264126471785</v>
      </c>
      <c r="D72" s="11">
        <f t="shared" si="2"/>
        <v>1447.7398688575352</v>
      </c>
      <c r="E72" s="11">
        <f t="shared" ref="E72:F72" ca="1" si="62">+D72*EXP(B72)</f>
        <v>1384.307585763459</v>
      </c>
      <c r="F72" s="11">
        <f t="shared" ca="1" si="62"/>
        <v>1630.4445665008318</v>
      </c>
      <c r="G72" s="12">
        <f t="shared" ca="1" si="4"/>
        <v>131.67124132201059</v>
      </c>
      <c r="H72" s="12">
        <f t="shared" ca="1" si="5"/>
        <v>195.28445976370585</v>
      </c>
    </row>
    <row r="73" spans="1:8" x14ac:dyDescent="0.35">
      <c r="A73" s="15">
        <v>60</v>
      </c>
      <c r="B73" s="10">
        <f t="shared" ca="1" si="0"/>
        <v>0.38758456377492945</v>
      </c>
      <c r="C73" s="10">
        <f t="shared" ca="1" si="1"/>
        <v>0.31903818023044483</v>
      </c>
      <c r="D73" s="11">
        <f t="shared" si="2"/>
        <v>1447.7398688575352</v>
      </c>
      <c r="E73" s="11">
        <f t="shared" ref="E73:F73" ca="1" si="63">+D73*EXP(B73)</f>
        <v>2133.1253249641918</v>
      </c>
      <c r="F73" s="11">
        <f t="shared" ca="1" si="63"/>
        <v>2934.7620397620735</v>
      </c>
      <c r="G73" s="12">
        <f t="shared" ca="1" si="4"/>
        <v>748.40355085824717</v>
      </c>
      <c r="H73" s="12">
        <f t="shared" ca="1" si="5"/>
        <v>1471.7971953216318</v>
      </c>
    </row>
    <row r="74" spans="1:8" x14ac:dyDescent="0.35">
      <c r="A74" s="15">
        <v>61</v>
      </c>
      <c r="B74" s="10">
        <f t="shared" ca="1" si="0"/>
        <v>-2.2934501550647052E-2</v>
      </c>
      <c r="C74" s="10">
        <f t="shared" ca="1" si="1"/>
        <v>-0.12737122155778971</v>
      </c>
      <c r="D74" s="11">
        <f t="shared" si="2"/>
        <v>1447.7398688575352</v>
      </c>
      <c r="E74" s="11">
        <f t="shared" ref="E74:F74" ca="1" si="64">+D74*EXP(B74)</f>
        <v>1414.9145317701525</v>
      </c>
      <c r="F74" s="11">
        <f t="shared" ca="1" si="64"/>
        <v>1245.7003553078089</v>
      </c>
      <c r="G74" s="12">
        <f t="shared" ca="1" si="4"/>
        <v>148.74791173991173</v>
      </c>
      <c r="H74" s="12">
        <f t="shared" ca="1" si="5"/>
        <v>12.155065754900818</v>
      </c>
    </row>
    <row r="75" spans="1:8" x14ac:dyDescent="0.35">
      <c r="A75" s="15">
        <v>62</v>
      </c>
      <c r="B75" s="10">
        <f t="shared" ca="1" si="0"/>
        <v>-0.19637751514379986</v>
      </c>
      <c r="C75" s="10">
        <f t="shared" ca="1" si="1"/>
        <v>-0.17259517207580072</v>
      </c>
      <c r="D75" s="11">
        <f t="shared" si="2"/>
        <v>1447.7398688575352</v>
      </c>
      <c r="E75" s="11">
        <f t="shared" ref="E75:F75" ca="1" si="65">+D75*EXP(B75)</f>
        <v>1189.6107039953531</v>
      </c>
      <c r="F75" s="11">
        <f t="shared" ca="1" si="65"/>
        <v>1001.0314736295338</v>
      </c>
      <c r="G75" s="12">
        <f t="shared" ca="1" si="4"/>
        <v>49.557018041955757</v>
      </c>
      <c r="H75" s="12">
        <f t="shared" ca="1" si="5"/>
        <v>0.19136890906661908</v>
      </c>
    </row>
    <row r="76" spans="1:8" x14ac:dyDescent="0.35">
      <c r="A76" s="15">
        <v>63</v>
      </c>
      <c r="B76" s="10">
        <f t="shared" ca="1" si="0"/>
        <v>4.7411019069429912E-2</v>
      </c>
      <c r="C76" s="10">
        <f t="shared" ca="1" si="1"/>
        <v>0.25551988759123989</v>
      </c>
      <c r="D76" s="11">
        <f t="shared" si="2"/>
        <v>1447.7398688575352</v>
      </c>
      <c r="E76" s="11">
        <f t="shared" ref="E76:F76" ca="1" si="66">+D76*EXP(B76)</f>
        <v>1518.0318317944866</v>
      </c>
      <c r="F76" s="11">
        <f t="shared" ca="1" si="66"/>
        <v>1959.980522918175</v>
      </c>
      <c r="G76" s="12">
        <f t="shared" ca="1" si="4"/>
        <v>213.81047646443915</v>
      </c>
      <c r="H76" s="12">
        <f t="shared" ca="1" si="5"/>
        <v>498.70337884763171</v>
      </c>
    </row>
    <row r="77" spans="1:8" x14ac:dyDescent="0.35">
      <c r="A77" s="15">
        <v>64</v>
      </c>
      <c r="B77" s="10">
        <f t="shared" ca="1" si="0"/>
        <v>4.2436198533028574E-2</v>
      </c>
      <c r="C77" s="10">
        <f t="shared" ca="1" si="1"/>
        <v>7.1813084656675547E-2</v>
      </c>
      <c r="D77" s="11">
        <f t="shared" si="2"/>
        <v>1447.7398688575352</v>
      </c>
      <c r="E77" s="11">
        <f t="shared" ref="E77:F77" ca="1" si="67">+D77*EXP(B77)</f>
        <v>1510.4986495141741</v>
      </c>
      <c r="F77" s="11">
        <f t="shared" ca="1" si="67"/>
        <v>1622.9620610379795</v>
      </c>
      <c r="G77" s="12">
        <f t="shared" ca="1" si="4"/>
        <v>208.68901369454318</v>
      </c>
      <c r="H77" s="12">
        <f t="shared" ca="1" si="5"/>
        <v>189.34236730287421</v>
      </c>
    </row>
    <row r="78" spans="1:8" x14ac:dyDescent="0.35">
      <c r="A78" s="15">
        <v>65</v>
      </c>
      <c r="B78" s="10">
        <f t="shared" ca="1" si="0"/>
        <v>-1.2487778527382386E-2</v>
      </c>
      <c r="C78" s="10">
        <f t="shared" ca="1" si="1"/>
        <v>-1.3557581904248682E-2</v>
      </c>
      <c r="D78" s="11">
        <f t="shared" si="2"/>
        <v>1447.7398688575352</v>
      </c>
      <c r="E78" s="11">
        <f t="shared" ref="E78:F78" ca="1" si="68">+D78*EXP(B78)</f>
        <v>1429.773229201217</v>
      </c>
      <c r="F78" s="11">
        <f t="shared" ca="1" si="68"/>
        <v>1410.5197716166583</v>
      </c>
      <c r="G78" s="12">
        <f t="shared" ca="1" si="4"/>
        <v>157.42230914977858</v>
      </c>
      <c r="H78" s="12">
        <f t="shared" ca="1" si="5"/>
        <v>57.448281399658413</v>
      </c>
    </row>
    <row r="79" spans="1:8" x14ac:dyDescent="0.35">
      <c r="A79" s="15">
        <v>66</v>
      </c>
      <c r="B79" s="10">
        <f t="shared" ref="B79:B142" ca="1" si="69">+($B$6-0.5*$B$10^2)*$H$4+$B$10*SQRT($H$4)*_xlfn.NORM.S.INV(RAND())</f>
        <v>-9.8233381447865697E-2</v>
      </c>
      <c r="C79" s="10">
        <f t="shared" ref="C79:C142" ca="1" si="70">+($B$6-0.5*$B$10^2)+$B$10*_xlfn.NORM.S.INV(RAND())</f>
        <v>-0.14370365652687672</v>
      </c>
      <c r="D79" s="11">
        <f t="shared" ref="D79:D142" si="71">+$B$9</f>
        <v>1447.7398688575352</v>
      </c>
      <c r="E79" s="11">
        <f t="shared" ref="E79:F79" ca="1" si="72">+D79*EXP(B79)</f>
        <v>1312.2854661975741</v>
      </c>
      <c r="F79" s="11">
        <f t="shared" ca="1" si="72"/>
        <v>1136.6286897260807</v>
      </c>
      <c r="G79" s="12">
        <f t="shared" ref="G79:G142" ca="1" si="73">+BlackScholesCall(E79,$B$4,$B$10,$B$6,$B$7-$H$4)</f>
        <v>95.86409836686056</v>
      </c>
      <c r="H79" s="12">
        <f t="shared" ref="H79:H142" ca="1" si="74">+BlackScholesCall(F79,$B$4,$B$10,$B$6,$B$7-$I$4)</f>
        <v>2.6999896840628494</v>
      </c>
    </row>
    <row r="80" spans="1:8" x14ac:dyDescent="0.35">
      <c r="A80" s="15">
        <v>67</v>
      </c>
      <c r="B80" s="10">
        <f t="shared" ca="1" si="69"/>
        <v>4.5882139871228245E-2</v>
      </c>
      <c r="C80" s="10">
        <f t="shared" ca="1" si="70"/>
        <v>8.2268786838598229E-2</v>
      </c>
      <c r="D80" s="11">
        <f t="shared" si="71"/>
        <v>1447.7398688575352</v>
      </c>
      <c r="E80" s="11">
        <f t="shared" ref="E80:F80" ca="1" si="75">+D80*EXP(B80)</f>
        <v>1515.7127177789748</v>
      </c>
      <c r="F80" s="11">
        <f t="shared" ca="1" si="75"/>
        <v>1645.6814536190566</v>
      </c>
      <c r="G80" s="12">
        <f t="shared" ca="1" si="73"/>
        <v>212.22799316792805</v>
      </c>
      <c r="H80" s="12">
        <f t="shared" ca="1" si="74"/>
        <v>207.59319272760831</v>
      </c>
    </row>
    <row r="81" spans="1:8" x14ac:dyDescent="0.35">
      <c r="A81" s="15">
        <v>68</v>
      </c>
      <c r="B81" s="10">
        <f t="shared" ca="1" si="69"/>
        <v>-0.10719624793907129</v>
      </c>
      <c r="C81" s="10">
        <f t="shared" ca="1" si="70"/>
        <v>0.10884092517883939</v>
      </c>
      <c r="D81" s="11">
        <f t="shared" si="71"/>
        <v>1447.7398688575352</v>
      </c>
      <c r="E81" s="11">
        <f t="shared" ref="E81:F81" ca="1" si="76">+D81*EXP(B81)</f>
        <v>1300.5761795389253</v>
      </c>
      <c r="F81" s="11">
        <f t="shared" ca="1" si="76"/>
        <v>1450.1228927843913</v>
      </c>
      <c r="G81" s="12">
        <f t="shared" ca="1" si="73"/>
        <v>90.640057065526378</v>
      </c>
      <c r="H81" s="12">
        <f t="shared" ca="1" si="74"/>
        <v>75.846522191154349</v>
      </c>
    </row>
    <row r="82" spans="1:8" x14ac:dyDescent="0.35">
      <c r="A82" s="15">
        <v>69</v>
      </c>
      <c r="B82" s="10">
        <f t="shared" ca="1" si="69"/>
        <v>-4.0712517173072914E-3</v>
      </c>
      <c r="C82" s="10">
        <f t="shared" ca="1" si="70"/>
        <v>-4.9784012753410017E-2</v>
      </c>
      <c r="D82" s="11">
        <f t="shared" si="71"/>
        <v>1447.7398688575352</v>
      </c>
      <c r="E82" s="11">
        <f t="shared" ref="E82:F82" ca="1" si="77">+D82*EXP(B82)</f>
        <v>1441.8577373739231</v>
      </c>
      <c r="F82" s="11">
        <f t="shared" ca="1" si="77"/>
        <v>1371.833772337309</v>
      </c>
      <c r="G82" s="12">
        <f t="shared" ca="1" si="73"/>
        <v>164.65785089688313</v>
      </c>
      <c r="H82" s="12">
        <f t="shared" ca="1" si="74"/>
        <v>42.442619119802885</v>
      </c>
    </row>
    <row r="83" spans="1:8" x14ac:dyDescent="0.35">
      <c r="A83" s="15">
        <v>70</v>
      </c>
      <c r="B83" s="10">
        <f t="shared" ca="1" si="69"/>
        <v>-0.10719670653959157</v>
      </c>
      <c r="C83" s="10">
        <f t="shared" ca="1" si="70"/>
        <v>0.28255914018475048</v>
      </c>
      <c r="D83" s="11">
        <f t="shared" si="71"/>
        <v>1447.7398688575352</v>
      </c>
      <c r="E83" s="11">
        <f t="shared" ref="E83:F83" ca="1" si="78">+D83*EXP(B83)</f>
        <v>1300.5755830941494</v>
      </c>
      <c r="F83" s="11">
        <f t="shared" ca="1" si="78"/>
        <v>1725.2398130711706</v>
      </c>
      <c r="G83" s="12">
        <f t="shared" ca="1" si="73"/>
        <v>90.639795281037834</v>
      </c>
      <c r="H83" s="12">
        <f t="shared" ca="1" si="74"/>
        <v>275.7611669401897</v>
      </c>
    </row>
    <row r="84" spans="1:8" x14ac:dyDescent="0.35">
      <c r="A84" s="15">
        <v>71</v>
      </c>
      <c r="B84" s="10">
        <f t="shared" ca="1" si="69"/>
        <v>-6.6851247573798553E-2</v>
      </c>
      <c r="C84" s="10">
        <f t="shared" ca="1" si="70"/>
        <v>0.17561635404336631</v>
      </c>
      <c r="D84" s="11">
        <f t="shared" si="71"/>
        <v>1447.7398688575352</v>
      </c>
      <c r="E84" s="11">
        <f t="shared" ref="E84:F84" ca="1" si="79">+D84*EXP(B84)</f>
        <v>1354.1207919119026</v>
      </c>
      <c r="F84" s="11">
        <f t="shared" ca="1" si="79"/>
        <v>1614.0858119913337</v>
      </c>
      <c r="G84" s="12">
        <f t="shared" ca="1" si="73"/>
        <v>115.90233524387236</v>
      </c>
      <c r="H84" s="12">
        <f t="shared" ca="1" si="74"/>
        <v>182.38493188248503</v>
      </c>
    </row>
    <row r="85" spans="1:8" x14ac:dyDescent="0.35">
      <c r="A85" s="15">
        <v>72</v>
      </c>
      <c r="B85" s="10">
        <f t="shared" ca="1" si="69"/>
        <v>2.1892338579135296E-2</v>
      </c>
      <c r="C85" s="10">
        <f t="shared" ca="1" si="70"/>
        <v>-2.1849498390110321E-2</v>
      </c>
      <c r="D85" s="11">
        <f t="shared" si="71"/>
        <v>1447.7398688575352</v>
      </c>
      <c r="E85" s="11">
        <f t="shared" ref="E85:F85" ca="1" si="80">+D85*EXP(B85)</f>
        <v>1479.7837582712939</v>
      </c>
      <c r="F85" s="11">
        <f t="shared" ca="1" si="80"/>
        <v>1447.8018916357003</v>
      </c>
      <c r="G85" s="12">
        <f t="shared" ca="1" si="73"/>
        <v>188.3861563891553</v>
      </c>
      <c r="H85" s="12">
        <f t="shared" ca="1" si="74"/>
        <v>74.683517285221455</v>
      </c>
    </row>
    <row r="86" spans="1:8" x14ac:dyDescent="0.35">
      <c r="A86" s="15">
        <v>73</v>
      </c>
      <c r="B86" s="10">
        <f t="shared" ca="1" si="69"/>
        <v>-2.5398423286139227E-2</v>
      </c>
      <c r="C86" s="10">
        <f t="shared" ca="1" si="70"/>
        <v>8.1393164341122481E-2</v>
      </c>
      <c r="D86" s="11">
        <f t="shared" si="71"/>
        <v>1447.7398688575352</v>
      </c>
      <c r="E86" s="11">
        <f t="shared" ref="E86:F86" ca="1" si="81">+D86*EXP(B86)</f>
        <v>1411.4325844858072</v>
      </c>
      <c r="F86" s="11">
        <f t="shared" ca="1" si="81"/>
        <v>1531.118279868854</v>
      </c>
      <c r="G86" s="12">
        <f t="shared" ca="1" si="73"/>
        <v>146.75109700565247</v>
      </c>
      <c r="H86" s="12">
        <f t="shared" ca="1" si="74"/>
        <v>122.79650462760253</v>
      </c>
    </row>
    <row r="87" spans="1:8" x14ac:dyDescent="0.35">
      <c r="A87" s="15">
        <v>74</v>
      </c>
      <c r="B87" s="10">
        <f t="shared" ca="1" si="69"/>
        <v>-0.11636258831801723</v>
      </c>
      <c r="C87" s="10">
        <f t="shared" ca="1" si="70"/>
        <v>0.17588108432071597</v>
      </c>
      <c r="D87" s="11">
        <f t="shared" si="71"/>
        <v>1447.7398688575352</v>
      </c>
      <c r="E87" s="11">
        <f t="shared" ref="E87:F87" ca="1" si="82">+D87*EXP(B87)</f>
        <v>1288.7091273989304</v>
      </c>
      <c r="F87" s="11">
        <f t="shared" ca="1" si="82"/>
        <v>1536.5230824905188</v>
      </c>
      <c r="G87" s="12">
        <f t="shared" ca="1" si="73"/>
        <v>85.518736236354357</v>
      </c>
      <c r="H87" s="12">
        <f t="shared" ca="1" si="74"/>
        <v>126.34913939885132</v>
      </c>
    </row>
    <row r="88" spans="1:8" x14ac:dyDescent="0.35">
      <c r="A88" s="15">
        <v>75</v>
      </c>
      <c r="B88" s="10">
        <f t="shared" ca="1" si="69"/>
        <v>-2.5077227506684542E-2</v>
      </c>
      <c r="C88" s="10">
        <f t="shared" ca="1" si="70"/>
        <v>-3.7509314139535635E-2</v>
      </c>
      <c r="D88" s="11">
        <f t="shared" si="71"/>
        <v>1447.7398688575352</v>
      </c>
      <c r="E88" s="11">
        <f t="shared" ref="E88:F88" ca="1" si="83">+D88*EXP(B88)</f>
        <v>1411.8860034891659</v>
      </c>
      <c r="F88" s="11">
        <f t="shared" ca="1" si="83"/>
        <v>1359.9080505865982</v>
      </c>
      <c r="G88" s="12">
        <f t="shared" ca="1" si="73"/>
        <v>147.01034386977312</v>
      </c>
      <c r="H88" s="12">
        <f t="shared" ca="1" si="74"/>
        <v>38.398238665506199</v>
      </c>
    </row>
    <row r="89" spans="1:8" x14ac:dyDescent="0.35">
      <c r="A89" s="15">
        <v>76</v>
      </c>
      <c r="B89" s="10">
        <f t="shared" ca="1" si="69"/>
        <v>0.11278609007048275</v>
      </c>
      <c r="C89" s="10">
        <f t="shared" ca="1" si="70"/>
        <v>7.9312445032239276E-2</v>
      </c>
      <c r="D89" s="11">
        <f t="shared" si="71"/>
        <v>1447.7398688575352</v>
      </c>
      <c r="E89" s="11">
        <f t="shared" ref="E89:F89" ca="1" si="84">+D89*EXP(B89)</f>
        <v>1620.5890905978858</v>
      </c>
      <c r="F89" s="11">
        <f t="shared" ca="1" si="84"/>
        <v>1754.356572518001</v>
      </c>
      <c r="G89" s="12">
        <f t="shared" ca="1" si="73"/>
        <v>288.59994024263517</v>
      </c>
      <c r="H89" s="12">
        <f t="shared" ca="1" si="74"/>
        <v>302.03597121128246</v>
      </c>
    </row>
    <row r="90" spans="1:8" x14ac:dyDescent="0.35">
      <c r="A90" s="15">
        <v>77</v>
      </c>
      <c r="B90" s="10">
        <f t="shared" ca="1" si="69"/>
        <v>0.2318209921253509</v>
      </c>
      <c r="C90" s="10">
        <f t="shared" ca="1" si="70"/>
        <v>-0.23665509435434753</v>
      </c>
      <c r="D90" s="11">
        <f t="shared" si="71"/>
        <v>1447.7398688575352</v>
      </c>
      <c r="E90" s="11">
        <f t="shared" ref="E90:F90" ca="1" si="85">+D90*EXP(B90)</f>
        <v>1825.4465122782431</v>
      </c>
      <c r="F90" s="11">
        <f t="shared" ca="1" si="85"/>
        <v>1440.7582348925196</v>
      </c>
      <c r="G90" s="12">
        <f t="shared" ca="1" si="73"/>
        <v>460.07981411823062</v>
      </c>
      <c r="H90" s="12">
        <f t="shared" ca="1" si="74"/>
        <v>71.218413036077209</v>
      </c>
    </row>
    <row r="91" spans="1:8" x14ac:dyDescent="0.35">
      <c r="A91" s="15">
        <v>78</v>
      </c>
      <c r="B91" s="10">
        <f t="shared" ca="1" si="69"/>
        <v>-6.7961056510191756E-2</v>
      </c>
      <c r="C91" s="10">
        <f t="shared" ca="1" si="70"/>
        <v>4.2717663040033341E-2</v>
      </c>
      <c r="D91" s="11">
        <f t="shared" si="71"/>
        <v>1447.7398688575352</v>
      </c>
      <c r="E91" s="11">
        <f t="shared" ref="E91:F91" ca="1" si="86">+D91*EXP(B91)</f>
        <v>1352.6188101666276</v>
      </c>
      <c r="F91" s="11">
        <f t="shared" ca="1" si="86"/>
        <v>1411.6514155818834</v>
      </c>
      <c r="G91" s="12">
        <f t="shared" ca="1" si="73"/>
        <v>115.14612790355136</v>
      </c>
      <c r="H91" s="12">
        <f t="shared" ca="1" si="74"/>
        <v>57.931236601534124</v>
      </c>
    </row>
    <row r="92" spans="1:8" x14ac:dyDescent="0.35">
      <c r="A92" s="15">
        <v>79</v>
      </c>
      <c r="B92" s="10">
        <f t="shared" ca="1" si="69"/>
        <v>0.26390623913661621</v>
      </c>
      <c r="C92" s="10">
        <f t="shared" ca="1" si="70"/>
        <v>0.23828020633459082</v>
      </c>
      <c r="D92" s="11">
        <f t="shared" si="71"/>
        <v>1447.7398688575352</v>
      </c>
      <c r="E92" s="11">
        <f t="shared" ref="E92:F92" ca="1" si="87">+D92*EXP(B92)</f>
        <v>1884.9661598080409</v>
      </c>
      <c r="F92" s="11">
        <f t="shared" ca="1" si="87"/>
        <v>2392.144095139512</v>
      </c>
      <c r="G92" s="12">
        <f t="shared" ca="1" si="73"/>
        <v>513.78895452166671</v>
      </c>
      <c r="H92" s="12">
        <f t="shared" ca="1" si="74"/>
        <v>929.19613807922065</v>
      </c>
    </row>
    <row r="93" spans="1:8" x14ac:dyDescent="0.35">
      <c r="A93" s="15">
        <v>80</v>
      </c>
      <c r="B93" s="10">
        <f t="shared" ca="1" si="69"/>
        <v>0.10368298480783197</v>
      </c>
      <c r="C93" s="10">
        <f t="shared" ca="1" si="70"/>
        <v>-0.1162111968787399</v>
      </c>
      <c r="D93" s="11">
        <f t="shared" si="71"/>
        <v>1447.7398688575352</v>
      </c>
      <c r="E93" s="11">
        <f t="shared" ref="E93:F93" ca="1" si="88">+D93*EXP(B93)</f>
        <v>1605.9036405284539</v>
      </c>
      <c r="F93" s="11">
        <f t="shared" ca="1" si="88"/>
        <v>1429.7154195718542</v>
      </c>
      <c r="G93" s="12">
        <f t="shared" ca="1" si="73"/>
        <v>277.35086353225279</v>
      </c>
      <c r="H93" s="12">
        <f t="shared" ca="1" si="74"/>
        <v>65.981422867774427</v>
      </c>
    </row>
    <row r="94" spans="1:8" x14ac:dyDescent="0.35">
      <c r="A94" s="15">
        <v>81</v>
      </c>
      <c r="B94" s="10">
        <f t="shared" ca="1" si="69"/>
        <v>7.2278395476274793E-2</v>
      </c>
      <c r="C94" s="10">
        <f t="shared" ca="1" si="70"/>
        <v>2.9571524094974953E-2</v>
      </c>
      <c r="D94" s="11">
        <f t="shared" si="71"/>
        <v>1447.7398688575352</v>
      </c>
      <c r="E94" s="11">
        <f t="shared" ref="E94:F94" ca="1" si="89">+D94*EXP(B94)</f>
        <v>1556.254580814812</v>
      </c>
      <c r="F94" s="11">
        <f t="shared" ca="1" si="89"/>
        <v>1602.9626107649297</v>
      </c>
      <c r="G94" s="12">
        <f t="shared" ca="1" si="73"/>
        <v>240.61669085549102</v>
      </c>
      <c r="H94" s="12">
        <f t="shared" ca="1" si="74"/>
        <v>173.81169531117212</v>
      </c>
    </row>
    <row r="95" spans="1:8" x14ac:dyDescent="0.35">
      <c r="A95" s="15">
        <v>82</v>
      </c>
      <c r="B95" s="10">
        <f t="shared" ca="1" si="69"/>
        <v>0.39128422295646864</v>
      </c>
      <c r="C95" s="10">
        <f t="shared" ca="1" si="70"/>
        <v>-2.4995780502101911E-2</v>
      </c>
      <c r="D95" s="11">
        <f t="shared" si="71"/>
        <v>1447.7398688575352</v>
      </c>
      <c r="E95" s="11">
        <f t="shared" ref="E95:F95" ca="1" si="90">+D95*EXP(B95)</f>
        <v>2141.0317782309985</v>
      </c>
      <c r="F95" s="11">
        <f t="shared" ca="1" si="90"/>
        <v>2088.1783263218094</v>
      </c>
      <c r="G95" s="12">
        <f t="shared" ca="1" si="73"/>
        <v>756.06898842122268</v>
      </c>
      <c r="H95" s="12">
        <f t="shared" ca="1" si="74"/>
        <v>625.68373927760922</v>
      </c>
    </row>
    <row r="96" spans="1:8" x14ac:dyDescent="0.35">
      <c r="A96" s="15">
        <v>83</v>
      </c>
      <c r="B96" s="10">
        <f t="shared" ca="1" si="69"/>
        <v>-1.1161696048584399E-2</v>
      </c>
      <c r="C96" s="10">
        <f t="shared" ca="1" si="70"/>
        <v>0.26289837377499392</v>
      </c>
      <c r="D96" s="11">
        <f t="shared" si="71"/>
        <v>1447.7398688575352</v>
      </c>
      <c r="E96" s="11">
        <f t="shared" ref="E96:F96" ca="1" si="91">+D96*EXP(B96)</f>
        <v>1431.6704841093347</v>
      </c>
      <c r="F96" s="11">
        <f t="shared" ca="1" si="91"/>
        <v>1862.1659639502732</v>
      </c>
      <c r="G96" s="12">
        <f t="shared" ca="1" si="73"/>
        <v>158.54763670364093</v>
      </c>
      <c r="H96" s="12">
        <f t="shared" ca="1" si="74"/>
        <v>403.39919176755416</v>
      </c>
    </row>
    <row r="97" spans="1:8" x14ac:dyDescent="0.35">
      <c r="A97" s="15">
        <v>84</v>
      </c>
      <c r="B97" s="10">
        <f t="shared" ca="1" si="69"/>
        <v>-0.16340049618786329</v>
      </c>
      <c r="C97" s="10">
        <f t="shared" ca="1" si="70"/>
        <v>0.2056806410592211</v>
      </c>
      <c r="D97" s="11">
        <f t="shared" si="71"/>
        <v>1447.7398688575352</v>
      </c>
      <c r="E97" s="11">
        <f t="shared" ref="E97:F97" ca="1" si="92">+D97*EXP(B97)</f>
        <v>1229.4945292090067</v>
      </c>
      <c r="F97" s="11">
        <f t="shared" ca="1" si="92"/>
        <v>1510.2629490604065</v>
      </c>
      <c r="G97" s="12">
        <f t="shared" ca="1" si="73"/>
        <v>62.576271481847982</v>
      </c>
      <c r="H97" s="12">
        <f t="shared" ca="1" si="74"/>
        <v>109.56088456833538</v>
      </c>
    </row>
    <row r="98" spans="1:8" x14ac:dyDescent="0.35">
      <c r="A98" s="15">
        <v>85</v>
      </c>
      <c r="B98" s="10">
        <f t="shared" ca="1" si="69"/>
        <v>5.7171950610229089E-2</v>
      </c>
      <c r="C98" s="10">
        <f t="shared" ca="1" si="70"/>
        <v>0.10251539345939634</v>
      </c>
      <c r="D98" s="11">
        <f t="shared" si="71"/>
        <v>1447.7398688575352</v>
      </c>
      <c r="E98" s="11">
        <f t="shared" ref="E98:F98" ca="1" si="93">+D98*EXP(B98)</f>
        <v>1532.9217882835178</v>
      </c>
      <c r="F98" s="11">
        <f t="shared" ca="1" si="93"/>
        <v>1698.4073743133233</v>
      </c>
      <c r="G98" s="12">
        <f t="shared" ca="1" si="73"/>
        <v>224.09251801153573</v>
      </c>
      <c r="H98" s="12">
        <f t="shared" ca="1" si="74"/>
        <v>252.11722030849614</v>
      </c>
    </row>
    <row r="99" spans="1:8" x14ac:dyDescent="0.35">
      <c r="A99" s="15">
        <v>86</v>
      </c>
      <c r="B99" s="10">
        <f t="shared" ca="1" si="69"/>
        <v>3.5510955521742188E-2</v>
      </c>
      <c r="C99" s="10">
        <f t="shared" ca="1" si="70"/>
        <v>4.9981972118830861E-2</v>
      </c>
      <c r="D99" s="11">
        <f t="shared" si="71"/>
        <v>1447.7398688575352</v>
      </c>
      <c r="E99" s="11">
        <f t="shared" ref="E99:F99" ca="1" si="94">+D99*EXP(B99)</f>
        <v>1500.0742168249551</v>
      </c>
      <c r="F99" s="11">
        <f t="shared" ca="1" si="94"/>
        <v>1576.9562371310637</v>
      </c>
      <c r="G99" s="12">
        <f t="shared" ca="1" si="73"/>
        <v>201.69299700749684</v>
      </c>
      <c r="H99" s="12">
        <f t="shared" ca="1" si="74"/>
        <v>154.43655811031476</v>
      </c>
    </row>
    <row r="100" spans="1:8" x14ac:dyDescent="0.35">
      <c r="A100" s="15">
        <v>87</v>
      </c>
      <c r="B100" s="10">
        <f t="shared" ca="1" si="69"/>
        <v>1.5763045348045679E-2</v>
      </c>
      <c r="C100" s="10">
        <f t="shared" ca="1" si="70"/>
        <v>0.28356612766470735</v>
      </c>
      <c r="D100" s="11">
        <f t="shared" si="71"/>
        <v>1447.7398688575352</v>
      </c>
      <c r="E100" s="11">
        <f t="shared" ref="E100:F100" ca="1" si="95">+D100*EXP(B100)</f>
        <v>1470.7414694267018</v>
      </c>
      <c r="F100" s="11">
        <f t="shared" ca="1" si="95"/>
        <v>1952.9338927796468</v>
      </c>
      <c r="G100" s="12">
        <f t="shared" ca="1" si="73"/>
        <v>182.59132043730642</v>
      </c>
      <c r="H100" s="12">
        <f t="shared" ca="1" si="74"/>
        <v>491.77479184341769</v>
      </c>
    </row>
    <row r="101" spans="1:8" x14ac:dyDescent="0.35">
      <c r="A101" s="15">
        <v>88</v>
      </c>
      <c r="B101" s="10">
        <f t="shared" ca="1" si="69"/>
        <v>0.14705142898933593</v>
      </c>
      <c r="C101" s="10">
        <f t="shared" ca="1" si="70"/>
        <v>9.5125204252971954E-2</v>
      </c>
      <c r="D101" s="11">
        <f t="shared" si="71"/>
        <v>1447.7398688575352</v>
      </c>
      <c r="E101" s="11">
        <f t="shared" ref="E101:F101" ca="1" si="96">+D101*EXP(B101)</f>
        <v>1677.0814629142678</v>
      </c>
      <c r="F101" s="11">
        <f t="shared" ca="1" si="96"/>
        <v>1844.4483997892744</v>
      </c>
      <c r="G101" s="12">
        <f t="shared" ca="1" si="73"/>
        <v>333.3521990801662</v>
      </c>
      <c r="H101" s="12">
        <f t="shared" ca="1" si="74"/>
        <v>386.40259917466415</v>
      </c>
    </row>
    <row r="102" spans="1:8" x14ac:dyDescent="0.35">
      <c r="A102" s="15">
        <v>89</v>
      </c>
      <c r="B102" s="10">
        <f t="shared" ca="1" si="69"/>
        <v>0.24448290725990768</v>
      </c>
      <c r="C102" s="10">
        <f t="shared" ca="1" si="70"/>
        <v>0.31490643054758305</v>
      </c>
      <c r="D102" s="11">
        <f t="shared" si="71"/>
        <v>1447.7398688575352</v>
      </c>
      <c r="E102" s="11">
        <f t="shared" ref="E102:F102" ca="1" si="97">+D102*EXP(B102)</f>
        <v>1848.707112201766</v>
      </c>
      <c r="F102" s="11">
        <f t="shared" ca="1" si="97"/>
        <v>2532.9711139180399</v>
      </c>
      <c r="G102" s="12">
        <f t="shared" ca="1" si="73"/>
        <v>480.90856782016704</v>
      </c>
      <c r="H102" s="12">
        <f t="shared" ca="1" si="74"/>
        <v>1070.0095064210745</v>
      </c>
    </row>
    <row r="103" spans="1:8" x14ac:dyDescent="0.35">
      <c r="A103" s="15">
        <v>90</v>
      </c>
      <c r="B103" s="10">
        <f t="shared" ca="1" si="69"/>
        <v>0.1005702366657166</v>
      </c>
      <c r="C103" s="10">
        <f t="shared" ca="1" si="70"/>
        <v>0.18249936872646239</v>
      </c>
      <c r="D103" s="11">
        <f t="shared" si="71"/>
        <v>1447.7398688575352</v>
      </c>
      <c r="E103" s="11">
        <f t="shared" ref="E103:F103" ca="1" si="98">+D103*EXP(B103)</f>
        <v>1600.9126388504837</v>
      </c>
      <c r="F103" s="11">
        <f t="shared" ca="1" si="98"/>
        <v>1921.4367906362017</v>
      </c>
      <c r="G103" s="12">
        <f t="shared" ca="1" si="73"/>
        <v>273.566227541393</v>
      </c>
      <c r="H103" s="12">
        <f t="shared" ca="1" si="74"/>
        <v>460.90595161012607</v>
      </c>
    </row>
    <row r="104" spans="1:8" x14ac:dyDescent="0.35">
      <c r="A104" s="15">
        <v>91</v>
      </c>
      <c r="B104" s="10">
        <f t="shared" ca="1" si="69"/>
        <v>2.4531216156673773E-2</v>
      </c>
      <c r="C104" s="10">
        <f t="shared" ca="1" si="70"/>
        <v>-5.6351767624167992E-2</v>
      </c>
      <c r="D104" s="11">
        <f t="shared" si="71"/>
        <v>1447.7398688575352</v>
      </c>
      <c r="E104" s="11">
        <f t="shared" ref="E104:F104" ca="1" si="99">+D104*EXP(B104)</f>
        <v>1483.6938833522327</v>
      </c>
      <c r="F104" s="11">
        <f t="shared" ca="1" si="99"/>
        <v>1402.3972276730033</v>
      </c>
      <c r="G104" s="12">
        <f t="shared" ca="1" si="73"/>
        <v>190.91806742877577</v>
      </c>
      <c r="H104" s="12">
        <f t="shared" ca="1" si="74"/>
        <v>54.055605748752441</v>
      </c>
    </row>
    <row r="105" spans="1:8" x14ac:dyDescent="0.35">
      <c r="A105" s="15">
        <v>92</v>
      </c>
      <c r="B105" s="10">
        <f t="shared" ca="1" si="69"/>
        <v>4.2852775472661635E-2</v>
      </c>
      <c r="C105" s="10">
        <f t="shared" ca="1" si="70"/>
        <v>-0.36630921000785222</v>
      </c>
      <c r="D105" s="11">
        <f t="shared" si="71"/>
        <v>1447.7398688575352</v>
      </c>
      <c r="E105" s="11">
        <f t="shared" ref="E105:F105" ca="1" si="100">+D105*EXP(B105)</f>
        <v>1511.1280195003185</v>
      </c>
      <c r="F105" s="11">
        <f t="shared" ca="1" si="100"/>
        <v>1047.64752132334</v>
      </c>
      <c r="G105" s="12">
        <f t="shared" ca="1" si="73"/>
        <v>209.11479411395237</v>
      </c>
      <c r="H105" s="12">
        <f t="shared" ca="1" si="74"/>
        <v>0.53400351473297469</v>
      </c>
    </row>
    <row r="106" spans="1:8" x14ac:dyDescent="0.35">
      <c r="A106" s="15">
        <v>93</v>
      </c>
      <c r="B106" s="10">
        <f t="shared" ca="1" si="69"/>
        <v>0.17800726828370067</v>
      </c>
      <c r="C106" s="10">
        <f t="shared" ca="1" si="70"/>
        <v>1.5619173683646716E-2</v>
      </c>
      <c r="D106" s="11">
        <f t="shared" si="71"/>
        <v>1447.7398688575352</v>
      </c>
      <c r="E106" s="11">
        <f t="shared" ref="E106:F106" ca="1" si="101">+D106*EXP(B106)</f>
        <v>1729.8088265677413</v>
      </c>
      <c r="F106" s="11">
        <f t="shared" ca="1" si="101"/>
        <v>1757.0391147836567</v>
      </c>
      <c r="G106" s="12">
        <f t="shared" ca="1" si="73"/>
        <v>377.02144249186904</v>
      </c>
      <c r="H106" s="12">
        <f t="shared" ca="1" si="74"/>
        <v>304.48556211060281</v>
      </c>
    </row>
    <row r="107" spans="1:8" x14ac:dyDescent="0.35">
      <c r="A107" s="15">
        <v>94</v>
      </c>
      <c r="B107" s="10">
        <f t="shared" ca="1" si="69"/>
        <v>0.1650401704284073</v>
      </c>
      <c r="C107" s="10">
        <f t="shared" ca="1" si="70"/>
        <v>1.3536182423868729E-2</v>
      </c>
      <c r="D107" s="11">
        <f t="shared" si="71"/>
        <v>1447.7398688575352</v>
      </c>
      <c r="E107" s="11">
        <f t="shared" ref="E107:F107" ca="1" si="102">+D107*EXP(B107)</f>
        <v>1707.5230295686558</v>
      </c>
      <c r="F107" s="11">
        <f t="shared" ca="1" si="102"/>
        <v>1730.7935142362298</v>
      </c>
      <c r="G107" s="12">
        <f t="shared" ca="1" si="73"/>
        <v>358.35796499833123</v>
      </c>
      <c r="H107" s="12">
        <f t="shared" ca="1" si="74"/>
        <v>280.72616952806288</v>
      </c>
    </row>
    <row r="108" spans="1:8" x14ac:dyDescent="0.35">
      <c r="A108" s="15">
        <v>95</v>
      </c>
      <c r="B108" s="10">
        <f t="shared" ca="1" si="69"/>
        <v>0.33163005984847999</v>
      </c>
      <c r="C108" s="10">
        <f t="shared" ca="1" si="70"/>
        <v>8.5210963922609004E-2</v>
      </c>
      <c r="D108" s="11">
        <f t="shared" si="71"/>
        <v>1447.7398688575352</v>
      </c>
      <c r="E108" s="11">
        <f t="shared" ref="E108:F108" ca="1" si="103">+D108*EXP(B108)</f>
        <v>2017.0452420637484</v>
      </c>
      <c r="F108" s="11">
        <f t="shared" ca="1" si="103"/>
        <v>2196.4549032057912</v>
      </c>
      <c r="G108" s="12">
        <f t="shared" ca="1" si="73"/>
        <v>636.98110191002752</v>
      </c>
      <c r="H108" s="12">
        <f t="shared" ca="1" si="74"/>
        <v>733.64009098999236</v>
      </c>
    </row>
    <row r="109" spans="1:8" x14ac:dyDescent="0.35">
      <c r="A109" s="15">
        <v>96</v>
      </c>
      <c r="B109" s="10">
        <f t="shared" ca="1" si="69"/>
        <v>-9.6301032112265122E-2</v>
      </c>
      <c r="C109" s="10">
        <f t="shared" ca="1" si="70"/>
        <v>0.30661802882858524</v>
      </c>
      <c r="D109" s="11">
        <f t="shared" si="71"/>
        <v>1447.7398688575352</v>
      </c>
      <c r="E109" s="11">
        <f t="shared" ref="E109:F109" ca="1" si="104">+D109*EXP(B109)</f>
        <v>1314.823711745036</v>
      </c>
      <c r="F109" s="11">
        <f t="shared" ca="1" si="104"/>
        <v>1786.6111728532883</v>
      </c>
      <c r="G109" s="12">
        <f t="shared" ca="1" si="73"/>
        <v>97.018837314523068</v>
      </c>
      <c r="H109" s="12">
        <f t="shared" ca="1" si="74"/>
        <v>331.77495561828914</v>
      </c>
    </row>
    <row r="110" spans="1:8" x14ac:dyDescent="0.35">
      <c r="A110" s="15">
        <v>97</v>
      </c>
      <c r="B110" s="10">
        <f t="shared" ca="1" si="69"/>
        <v>-6.7561060351020163E-3</v>
      </c>
      <c r="C110" s="10">
        <f t="shared" ca="1" si="70"/>
        <v>0.17525566918064514</v>
      </c>
      <c r="D110" s="11">
        <f t="shared" si="71"/>
        <v>1447.7398688575352</v>
      </c>
      <c r="E110" s="11">
        <f t="shared" ref="E110:F110" ca="1" si="105">+D110*EXP(B110)</f>
        <v>1437.9917515287943</v>
      </c>
      <c r="F110" s="11">
        <f t="shared" ca="1" si="105"/>
        <v>1713.440251397393</v>
      </c>
      <c r="G110" s="12">
        <f t="shared" ca="1" si="73"/>
        <v>162.32566317575527</v>
      </c>
      <c r="H110" s="12">
        <f t="shared" ca="1" si="74"/>
        <v>265.29121775276144</v>
      </c>
    </row>
    <row r="111" spans="1:8" x14ac:dyDescent="0.35">
      <c r="A111" s="15">
        <v>98</v>
      </c>
      <c r="B111" s="10">
        <f t="shared" ca="1" si="69"/>
        <v>0.10468263783380616</v>
      </c>
      <c r="C111" s="10">
        <f t="shared" ca="1" si="70"/>
        <v>0.27903918069664613</v>
      </c>
      <c r="D111" s="11">
        <f t="shared" si="71"/>
        <v>1447.7398688575352</v>
      </c>
      <c r="E111" s="11">
        <f t="shared" ref="E111:F111" ca="1" si="106">+D111*EXP(B111)</f>
        <v>1607.5097896242801</v>
      </c>
      <c r="F111" s="11">
        <f t="shared" ca="1" si="106"/>
        <v>2124.9014987576015</v>
      </c>
      <c r="G111" s="12">
        <f t="shared" ca="1" si="73"/>
        <v>278.57298916377783</v>
      </c>
      <c r="H111" s="12">
        <f t="shared" ca="1" si="74"/>
        <v>662.25776662848466</v>
      </c>
    </row>
    <row r="112" spans="1:8" x14ac:dyDescent="0.35">
      <c r="A112" s="15">
        <v>99</v>
      </c>
      <c r="B112" s="10">
        <f t="shared" ca="1" si="69"/>
        <v>-0.33310237490263195</v>
      </c>
      <c r="C112" s="10">
        <f t="shared" ca="1" si="70"/>
        <v>0.4156301629561604</v>
      </c>
      <c r="D112" s="11">
        <f t="shared" si="71"/>
        <v>1447.7398688575352</v>
      </c>
      <c r="E112" s="11">
        <f t="shared" ref="E112:F112" ca="1" si="107">+D112*EXP(B112)</f>
        <v>1037.5905582181101</v>
      </c>
      <c r="F112" s="11">
        <f t="shared" ca="1" si="107"/>
        <v>1572.287267259826</v>
      </c>
      <c r="G112" s="12">
        <f t="shared" ca="1" si="73"/>
        <v>16.481621639224187</v>
      </c>
      <c r="H112" s="12">
        <f t="shared" ca="1" si="74"/>
        <v>151.06246110327345</v>
      </c>
    </row>
    <row r="113" spans="1:8" x14ac:dyDescent="0.35">
      <c r="A113" s="15">
        <v>100</v>
      </c>
      <c r="B113" s="10">
        <f t="shared" ca="1" si="69"/>
        <v>0.14098081830853409</v>
      </c>
      <c r="C113" s="10">
        <f t="shared" ca="1" si="70"/>
        <v>-0.26906763722770877</v>
      </c>
      <c r="D113" s="11">
        <f t="shared" si="71"/>
        <v>1447.7398688575352</v>
      </c>
      <c r="E113" s="11">
        <f t="shared" ref="E113:F113" ca="1" si="108">+D113*EXP(B113)</f>
        <v>1666.9313940024074</v>
      </c>
      <c r="F113" s="11">
        <f t="shared" ca="1" si="108"/>
        <v>1273.6882307008036</v>
      </c>
      <c r="G113" s="12">
        <f t="shared" ca="1" si="73"/>
        <v>325.14741483011494</v>
      </c>
      <c r="H113" s="12">
        <f t="shared" ca="1" si="74"/>
        <v>16.689424174728344</v>
      </c>
    </row>
    <row r="114" spans="1:8" x14ac:dyDescent="0.35">
      <c r="A114" s="15">
        <v>101</v>
      </c>
      <c r="B114" s="10">
        <f t="shared" ca="1" si="69"/>
        <v>1.620336374213133E-2</v>
      </c>
      <c r="C114" s="10">
        <f t="shared" ca="1" si="70"/>
        <v>5.5388042869292373E-2</v>
      </c>
      <c r="D114" s="11">
        <f t="shared" si="71"/>
        <v>1447.7398688575352</v>
      </c>
      <c r="E114" s="11">
        <f t="shared" ref="E114:F114" ca="1" si="109">+D114*EXP(B114)</f>
        <v>1471.3892065434529</v>
      </c>
      <c r="F114" s="11">
        <f t="shared" ca="1" si="109"/>
        <v>1555.1858184028906</v>
      </c>
      <c r="G114" s="12">
        <f t="shared" ca="1" si="73"/>
        <v>183.00361047023773</v>
      </c>
      <c r="H114" s="12">
        <f t="shared" ca="1" si="74"/>
        <v>138.98984292960722</v>
      </c>
    </row>
    <row r="115" spans="1:8" x14ac:dyDescent="0.35">
      <c r="A115" s="15">
        <v>102</v>
      </c>
      <c r="B115" s="10">
        <f t="shared" ca="1" si="69"/>
        <v>0.13668516188160351</v>
      </c>
      <c r="C115" s="10">
        <f t="shared" ca="1" si="70"/>
        <v>-8.3236614824181529E-2</v>
      </c>
      <c r="D115" s="11">
        <f t="shared" si="71"/>
        <v>1447.7398688575352</v>
      </c>
      <c r="E115" s="11">
        <f t="shared" ref="E115:F115" ca="1" si="110">+D115*EXP(B115)</f>
        <v>1659.7861871108</v>
      </c>
      <c r="F115" s="11">
        <f t="shared" ca="1" si="110"/>
        <v>1527.2247146847778</v>
      </c>
      <c r="G115" s="12">
        <f t="shared" ca="1" si="73"/>
        <v>319.4132202479567</v>
      </c>
      <c r="H115" s="12">
        <f t="shared" ca="1" si="74"/>
        <v>120.26805969131419</v>
      </c>
    </row>
    <row r="116" spans="1:8" x14ac:dyDescent="0.35">
      <c r="A116" s="15">
        <v>103</v>
      </c>
      <c r="B116" s="10">
        <f t="shared" ca="1" si="69"/>
        <v>4.5462770572189629E-2</v>
      </c>
      <c r="C116" s="10">
        <f t="shared" ca="1" si="70"/>
        <v>0.12875797901547037</v>
      </c>
      <c r="D116" s="11">
        <f t="shared" si="71"/>
        <v>1447.7398688575352</v>
      </c>
      <c r="E116" s="11">
        <f t="shared" ref="E116:F116" ca="1" si="111">+D116*EXP(B116)</f>
        <v>1515.0772076650053</v>
      </c>
      <c r="F116" s="11">
        <f t="shared" ca="1" si="111"/>
        <v>1723.2712582288891</v>
      </c>
      <c r="G116" s="12">
        <f t="shared" ca="1" si="73"/>
        <v>211.79524485477475</v>
      </c>
      <c r="H116" s="12">
        <f t="shared" ca="1" si="74"/>
        <v>274.00687812710635</v>
      </c>
    </row>
    <row r="117" spans="1:8" x14ac:dyDescent="0.35">
      <c r="A117" s="15">
        <v>104</v>
      </c>
      <c r="B117" s="10">
        <f t="shared" ca="1" si="69"/>
        <v>-4.9875890697978625E-2</v>
      </c>
      <c r="C117" s="10">
        <f t="shared" ca="1" si="70"/>
        <v>-1.420998441427021E-2</v>
      </c>
      <c r="D117" s="11">
        <f t="shared" si="71"/>
        <v>1447.7398688575352</v>
      </c>
      <c r="E117" s="11">
        <f t="shared" ref="E117:F117" ca="1" si="112">+D117*EXP(B117)</f>
        <v>1377.3036878725181</v>
      </c>
      <c r="F117" s="11">
        <f t="shared" ca="1" si="112"/>
        <v>1357.8706227092105</v>
      </c>
      <c r="G117" s="12">
        <f t="shared" ca="1" si="73"/>
        <v>127.9163953833563</v>
      </c>
      <c r="H117" s="12">
        <f t="shared" ca="1" si="74"/>
        <v>37.734131768854184</v>
      </c>
    </row>
    <row r="118" spans="1:8" x14ac:dyDescent="0.35">
      <c r="A118" s="15">
        <v>105</v>
      </c>
      <c r="B118" s="10">
        <f t="shared" ca="1" si="69"/>
        <v>1.6121934257298694E-2</v>
      </c>
      <c r="C118" s="10">
        <f t="shared" ca="1" si="70"/>
        <v>-8.7909788386611454E-4</v>
      </c>
      <c r="D118" s="11">
        <f t="shared" si="71"/>
        <v>1447.7398688575352</v>
      </c>
      <c r="E118" s="11">
        <f t="shared" ref="E118:F118" ca="1" si="113">+D118*EXP(B118)</f>
        <v>1471.2693969564586</v>
      </c>
      <c r="F118" s="11">
        <f t="shared" ca="1" si="113"/>
        <v>1469.9765754845664</v>
      </c>
      <c r="G118" s="12">
        <f t="shared" ca="1" si="73"/>
        <v>182.92731773735477</v>
      </c>
      <c r="H118" s="12">
        <f t="shared" ca="1" si="74"/>
        <v>86.220872920386</v>
      </c>
    </row>
    <row r="119" spans="1:8" x14ac:dyDescent="0.35">
      <c r="A119" s="15">
        <v>106</v>
      </c>
      <c r="B119" s="10">
        <f t="shared" ca="1" si="69"/>
        <v>-3.1820114584646626E-2</v>
      </c>
      <c r="C119" s="10">
        <f t="shared" ca="1" si="70"/>
        <v>-5.6165865582524635E-2</v>
      </c>
      <c r="D119" s="11">
        <f t="shared" si="71"/>
        <v>1447.7398688575352</v>
      </c>
      <c r="E119" s="11">
        <f t="shared" ref="E119:F119" ca="1" si="114">+D119*EXP(B119)</f>
        <v>1402.3978403564315</v>
      </c>
      <c r="F119" s="11">
        <f t="shared" ca="1" si="114"/>
        <v>1325.8021189660644</v>
      </c>
      <c r="G119" s="12">
        <f t="shared" ca="1" si="73"/>
        <v>141.63422278626956</v>
      </c>
      <c r="H119" s="12">
        <f t="shared" ca="1" si="74"/>
        <v>28.286124598757738</v>
      </c>
    </row>
    <row r="120" spans="1:8" x14ac:dyDescent="0.35">
      <c r="A120" s="15">
        <v>107</v>
      </c>
      <c r="B120" s="10">
        <f t="shared" ca="1" si="69"/>
        <v>1.188893645472954E-2</v>
      </c>
      <c r="C120" s="10">
        <f t="shared" ca="1" si="70"/>
        <v>0.15218836443655387</v>
      </c>
      <c r="D120" s="11">
        <f t="shared" si="71"/>
        <v>1447.7398688575352</v>
      </c>
      <c r="E120" s="11">
        <f t="shared" ref="E120:F120" ca="1" si="115">+D120*EXP(B120)</f>
        <v>1465.054679554454</v>
      </c>
      <c r="F120" s="11">
        <f t="shared" ca="1" si="115"/>
        <v>1705.87969894301</v>
      </c>
      <c r="G120" s="12">
        <f t="shared" ca="1" si="73"/>
        <v>178.99045559529532</v>
      </c>
      <c r="H120" s="12">
        <f t="shared" ca="1" si="74"/>
        <v>258.64164145244786</v>
      </c>
    </row>
    <row r="121" spans="1:8" x14ac:dyDescent="0.35">
      <c r="A121" s="15">
        <v>108</v>
      </c>
      <c r="B121" s="10">
        <f t="shared" ca="1" si="69"/>
        <v>1.791557936267402E-2</v>
      </c>
      <c r="C121" s="10">
        <f t="shared" ca="1" si="70"/>
        <v>-0.17171554416754245</v>
      </c>
      <c r="D121" s="11">
        <f t="shared" si="71"/>
        <v>1447.7398688575352</v>
      </c>
      <c r="E121" s="11">
        <f t="shared" ref="E121:F121" ca="1" si="116">+D121*EXP(B121)</f>
        <v>1473.9107001811731</v>
      </c>
      <c r="F121" s="11">
        <f t="shared" ca="1" si="116"/>
        <v>1241.3551731644668</v>
      </c>
      <c r="G121" s="12">
        <f t="shared" ca="1" si="73"/>
        <v>184.61271762431625</v>
      </c>
      <c r="H121" s="12">
        <f t="shared" ca="1" si="74"/>
        <v>11.544886420349826</v>
      </c>
    </row>
    <row r="122" spans="1:8" x14ac:dyDescent="0.35">
      <c r="A122" s="15">
        <v>109</v>
      </c>
      <c r="B122" s="10">
        <f t="shared" ca="1" si="69"/>
        <v>0.13265044329481268</v>
      </c>
      <c r="C122" s="10">
        <f t="shared" ca="1" si="70"/>
        <v>0.31519826260528394</v>
      </c>
      <c r="D122" s="11">
        <f t="shared" si="71"/>
        <v>1447.7398688575352</v>
      </c>
      <c r="E122" s="11">
        <f t="shared" ref="E122:F122" ca="1" si="117">+D122*EXP(B122)</f>
        <v>1653.1029085720322</v>
      </c>
      <c r="F122" s="11">
        <f t="shared" ca="1" si="117"/>
        <v>2265.6287973831008</v>
      </c>
      <c r="G122" s="12">
        <f t="shared" ca="1" si="73"/>
        <v>314.08153394423005</v>
      </c>
      <c r="H122" s="12">
        <f t="shared" ca="1" si="74"/>
        <v>802.73440134953717</v>
      </c>
    </row>
    <row r="123" spans="1:8" x14ac:dyDescent="0.35">
      <c r="A123" s="15">
        <v>110</v>
      </c>
      <c r="B123" s="10">
        <f t="shared" ca="1" si="69"/>
        <v>-8.4224071900423109E-2</v>
      </c>
      <c r="C123" s="10">
        <f t="shared" ca="1" si="70"/>
        <v>0.37235402934451201</v>
      </c>
      <c r="D123" s="11">
        <f t="shared" si="71"/>
        <v>1447.7398688575352</v>
      </c>
      <c r="E123" s="11">
        <f t="shared" ref="E123:F123" ca="1" si="118">+D123*EXP(B123)</f>
        <v>1330.7990580376397</v>
      </c>
      <c r="F123" s="11">
        <f t="shared" ca="1" si="118"/>
        <v>1931.1845800643362</v>
      </c>
      <c r="G123" s="12">
        <f t="shared" ca="1" si="73"/>
        <v>104.46831130562089</v>
      </c>
      <c r="H123" s="12">
        <f t="shared" ca="1" si="74"/>
        <v>470.44033581124245</v>
      </c>
    </row>
    <row r="124" spans="1:8" x14ac:dyDescent="0.35">
      <c r="A124" s="15">
        <v>111</v>
      </c>
      <c r="B124" s="10">
        <f t="shared" ca="1" si="69"/>
        <v>4.1284631473786956E-2</v>
      </c>
      <c r="C124" s="10">
        <f t="shared" ca="1" si="70"/>
        <v>0.24228028518380407</v>
      </c>
      <c r="D124" s="11">
        <f t="shared" si="71"/>
        <v>1447.7398688575352</v>
      </c>
      <c r="E124" s="11">
        <f t="shared" ref="E124:F124" ca="1" si="119">+D124*EXP(B124)</f>
        <v>1508.7602101832117</v>
      </c>
      <c r="F124" s="11">
        <f t="shared" ca="1" si="119"/>
        <v>1922.3887356594662</v>
      </c>
      <c r="G124" s="12">
        <f t="shared" ca="1" si="73"/>
        <v>207.51492778056092</v>
      </c>
      <c r="H124" s="12">
        <f t="shared" ca="1" si="74"/>
        <v>461.83624446284853</v>
      </c>
    </row>
    <row r="125" spans="1:8" x14ac:dyDescent="0.35">
      <c r="A125" s="15">
        <v>112</v>
      </c>
      <c r="B125" s="10">
        <f t="shared" ca="1" si="69"/>
        <v>-0.29172792078150761</v>
      </c>
      <c r="C125" s="10">
        <f t="shared" ca="1" si="70"/>
        <v>-2.5096216582560268E-2</v>
      </c>
      <c r="D125" s="11">
        <f t="shared" si="71"/>
        <v>1447.7398688575352</v>
      </c>
      <c r="E125" s="11">
        <f t="shared" ref="E125:F125" ca="1" si="120">+D125*EXP(B125)</f>
        <v>1081.4207744325781</v>
      </c>
      <c r="F125" s="11">
        <f t="shared" ca="1" si="120"/>
        <v>1054.6189236669177</v>
      </c>
      <c r="G125" s="12">
        <f t="shared" ca="1" si="73"/>
        <v>23.544449382341696</v>
      </c>
      <c r="H125" s="12">
        <f t="shared" ca="1" si="74"/>
        <v>0.61558528964576809</v>
      </c>
    </row>
    <row r="126" spans="1:8" x14ac:dyDescent="0.35">
      <c r="A126" s="15">
        <v>113</v>
      </c>
      <c r="B126" s="10">
        <f t="shared" ca="1" si="69"/>
        <v>-0.10706794888420379</v>
      </c>
      <c r="C126" s="10">
        <f t="shared" ca="1" si="70"/>
        <v>6.5579857749524767E-2</v>
      </c>
      <c r="D126" s="11">
        <f t="shared" si="71"/>
        <v>1447.7398688575352</v>
      </c>
      <c r="E126" s="11">
        <f t="shared" ref="E126:F126" ca="1" si="121">+D126*EXP(B126)</f>
        <v>1300.7430529381641</v>
      </c>
      <c r="F126" s="11">
        <f t="shared" ca="1" si="121"/>
        <v>1388.9048211177974</v>
      </c>
      <c r="G126" s="12">
        <f t="shared" ca="1" si="73"/>
        <v>90.713316457062319</v>
      </c>
      <c r="H126" s="12">
        <f t="shared" ca="1" si="74"/>
        <v>48.70547767064005</v>
      </c>
    </row>
    <row r="127" spans="1:8" x14ac:dyDescent="0.35">
      <c r="A127" s="15">
        <v>114</v>
      </c>
      <c r="B127" s="10">
        <f t="shared" ca="1" si="69"/>
        <v>-1.0646976785773858E-2</v>
      </c>
      <c r="C127" s="10">
        <f t="shared" ca="1" si="70"/>
        <v>-0.32180443113658086</v>
      </c>
      <c r="D127" s="11">
        <f t="shared" si="71"/>
        <v>1447.7398688575352</v>
      </c>
      <c r="E127" s="11">
        <f t="shared" ref="E127:F127" ca="1" si="122">+D127*EXP(B127)</f>
        <v>1432.4075821685142</v>
      </c>
      <c r="F127" s="11">
        <f t="shared" ca="1" si="122"/>
        <v>1038.2662153019237</v>
      </c>
      <c r="G127" s="12">
        <f t="shared" ca="1" si="73"/>
        <v>158.98590920793924</v>
      </c>
      <c r="H127" s="12">
        <f t="shared" ca="1" si="74"/>
        <v>0.4390494815859487</v>
      </c>
    </row>
    <row r="128" spans="1:8" x14ac:dyDescent="0.35">
      <c r="A128" s="15">
        <v>115</v>
      </c>
      <c r="B128" s="10">
        <f t="shared" ca="1" si="69"/>
        <v>-9.1609230693878801E-2</v>
      </c>
      <c r="C128" s="10">
        <f t="shared" ca="1" si="70"/>
        <v>0.29183095162540751</v>
      </c>
      <c r="D128" s="11">
        <f t="shared" si="71"/>
        <v>1447.7398688575352</v>
      </c>
      <c r="E128" s="11">
        <f t="shared" ref="E128:F128" ca="1" si="123">+D128*EXP(B128)</f>
        <v>1321.007097767482</v>
      </c>
      <c r="F128" s="11">
        <f t="shared" ca="1" si="123"/>
        <v>1768.6655756292885</v>
      </c>
      <c r="G128" s="12">
        <f t="shared" ca="1" si="73"/>
        <v>99.865066044764603</v>
      </c>
      <c r="H128" s="12">
        <f t="shared" ca="1" si="74"/>
        <v>315.15398920288021</v>
      </c>
    </row>
    <row r="129" spans="1:8" x14ac:dyDescent="0.35">
      <c r="A129" s="15">
        <v>116</v>
      </c>
      <c r="B129" s="10">
        <f t="shared" ca="1" si="69"/>
        <v>0.24878021156936808</v>
      </c>
      <c r="C129" s="10">
        <f t="shared" ca="1" si="70"/>
        <v>-0.32423261606364062</v>
      </c>
      <c r="D129" s="11">
        <f t="shared" si="71"/>
        <v>1447.7398688575352</v>
      </c>
      <c r="E129" s="11">
        <f t="shared" ref="E129:F129" ca="1" si="124">+D129*EXP(B129)</f>
        <v>1856.668663594472</v>
      </c>
      <c r="F129" s="11">
        <f t="shared" ca="1" si="124"/>
        <v>1342.5237320529131</v>
      </c>
      <c r="G129" s="12">
        <f t="shared" ca="1" si="73"/>
        <v>488.08673902357168</v>
      </c>
      <c r="H129" s="12">
        <f t="shared" ca="1" si="74"/>
        <v>32.979548059243257</v>
      </c>
    </row>
    <row r="130" spans="1:8" x14ac:dyDescent="0.35">
      <c r="A130" s="15">
        <v>117</v>
      </c>
      <c r="B130" s="10">
        <f t="shared" ca="1" si="69"/>
        <v>-3.3155995990796265E-2</v>
      </c>
      <c r="C130" s="10">
        <f t="shared" ca="1" si="70"/>
        <v>-1.9582734106711443E-2</v>
      </c>
      <c r="D130" s="11">
        <f t="shared" si="71"/>
        <v>1447.7398688575352</v>
      </c>
      <c r="E130" s="11">
        <f t="shared" ref="E130:F130" ca="1" si="125">+D130*EXP(B130)</f>
        <v>1400.5256539454044</v>
      </c>
      <c r="F130" s="11">
        <f t="shared" ca="1" si="125"/>
        <v>1373.3663273143957</v>
      </c>
      <c r="G130" s="12">
        <f t="shared" ca="1" si="73"/>
        <v>140.58558492207453</v>
      </c>
      <c r="H130" s="12">
        <f t="shared" ca="1" si="74"/>
        <v>42.981963776534258</v>
      </c>
    </row>
    <row r="131" spans="1:8" x14ac:dyDescent="0.35">
      <c r="A131" s="15">
        <v>118</v>
      </c>
      <c r="B131" s="10">
        <f t="shared" ca="1" si="69"/>
        <v>-1.7798687792207148E-2</v>
      </c>
      <c r="C131" s="10">
        <f t="shared" ca="1" si="70"/>
        <v>-0.18386869781230633</v>
      </c>
      <c r="D131" s="11">
        <f t="shared" si="71"/>
        <v>1447.7398688575352</v>
      </c>
      <c r="E131" s="11">
        <f t="shared" ref="E131:F131" ca="1" si="126">+D131*EXP(B131)</f>
        <v>1422.1999615810421</v>
      </c>
      <c r="F131" s="11">
        <f t="shared" ca="1" si="126"/>
        <v>1183.3344324398856</v>
      </c>
      <c r="G131" s="12">
        <f t="shared" ca="1" si="73"/>
        <v>152.97020093217043</v>
      </c>
      <c r="H131" s="12">
        <f t="shared" ca="1" si="74"/>
        <v>5.4436616782624299</v>
      </c>
    </row>
    <row r="132" spans="1:8" x14ac:dyDescent="0.35">
      <c r="A132" s="15">
        <v>119</v>
      </c>
      <c r="B132" s="10">
        <f t="shared" ca="1" si="69"/>
        <v>7.6082462288826119E-2</v>
      </c>
      <c r="C132" s="10">
        <f t="shared" ca="1" si="70"/>
        <v>0.11175773221461933</v>
      </c>
      <c r="D132" s="11">
        <f t="shared" si="71"/>
        <v>1447.7398688575352</v>
      </c>
      <c r="E132" s="11">
        <f t="shared" ref="E132:F132" ca="1" si="127">+D132*EXP(B132)</f>
        <v>1562.1859517304977</v>
      </c>
      <c r="F132" s="11">
        <f t="shared" ca="1" si="127"/>
        <v>1746.9018084269885</v>
      </c>
      <c r="G132" s="12">
        <f t="shared" ca="1" si="73"/>
        <v>244.8950313893248</v>
      </c>
      <c r="H132" s="12">
        <f t="shared" ca="1" si="74"/>
        <v>295.25307077037041</v>
      </c>
    </row>
    <row r="133" spans="1:8" x14ac:dyDescent="0.35">
      <c r="A133" s="15">
        <v>120</v>
      </c>
      <c r="B133" s="10">
        <f t="shared" ca="1" si="69"/>
        <v>0.16894066239614602</v>
      </c>
      <c r="C133" s="10">
        <f t="shared" ca="1" si="70"/>
        <v>4.1072488342587157E-2</v>
      </c>
      <c r="D133" s="11">
        <f t="shared" si="71"/>
        <v>1447.7398688575352</v>
      </c>
      <c r="E133" s="11">
        <f t="shared" ref="E133:F133" ca="1" si="128">+D133*EXP(B133)</f>
        <v>1714.1962153235406</v>
      </c>
      <c r="F133" s="11">
        <f t="shared" ca="1" si="128"/>
        <v>1786.0684006986489</v>
      </c>
      <c r="G133" s="12">
        <f t="shared" ca="1" si="73"/>
        <v>363.91594728664472</v>
      </c>
      <c r="H133" s="12">
        <f t="shared" ca="1" si="74"/>
        <v>331.26966733194809</v>
      </c>
    </row>
    <row r="134" spans="1:8" x14ac:dyDescent="0.35">
      <c r="A134" s="15">
        <v>121</v>
      </c>
      <c r="B134" s="10">
        <f t="shared" ca="1" si="69"/>
        <v>-5.4958219278735163E-2</v>
      </c>
      <c r="C134" s="10">
        <f t="shared" ca="1" si="70"/>
        <v>0.11241591586621721</v>
      </c>
      <c r="D134" s="11">
        <f t="shared" si="71"/>
        <v>1447.7398688575352</v>
      </c>
      <c r="E134" s="11">
        <f t="shared" ref="E134:F134" ca="1" si="129">+D134*EXP(B134)</f>
        <v>1370.3215357998924</v>
      </c>
      <c r="F134" s="11">
        <f t="shared" ca="1" si="129"/>
        <v>1533.3598771060419</v>
      </c>
      <c r="G134" s="12">
        <f t="shared" ca="1" si="73"/>
        <v>124.23075740210584</v>
      </c>
      <c r="H134" s="12">
        <f t="shared" ca="1" si="74"/>
        <v>124.2639216337185</v>
      </c>
    </row>
    <row r="135" spans="1:8" x14ac:dyDescent="0.35">
      <c r="A135" s="15">
        <v>122</v>
      </c>
      <c r="B135" s="10">
        <f t="shared" ca="1" si="69"/>
        <v>0.13592593807652842</v>
      </c>
      <c r="C135" s="10">
        <f t="shared" ca="1" si="70"/>
        <v>-0.22094236201626236</v>
      </c>
      <c r="D135" s="11">
        <f t="shared" si="71"/>
        <v>1447.7398688575352</v>
      </c>
      <c r="E135" s="11">
        <f t="shared" ref="E135:F135" ca="1" si="130">+D135*EXP(B135)</f>
        <v>1658.5265161728003</v>
      </c>
      <c r="F135" s="11">
        <f t="shared" ca="1" si="130"/>
        <v>1329.7450143320764</v>
      </c>
      <c r="G135" s="12">
        <f t="shared" ca="1" si="73"/>
        <v>318.40593036961343</v>
      </c>
      <c r="H135" s="12">
        <f t="shared" ca="1" si="74"/>
        <v>29.347983971229837</v>
      </c>
    </row>
    <row r="136" spans="1:8" x14ac:dyDescent="0.35">
      <c r="A136" s="15">
        <v>123</v>
      </c>
      <c r="B136" s="10">
        <f t="shared" ca="1" si="69"/>
        <v>-0.15722735351431683</v>
      </c>
      <c r="C136" s="10">
        <f t="shared" ca="1" si="70"/>
        <v>-6.7590905452316441E-2</v>
      </c>
      <c r="D136" s="11">
        <f t="shared" si="71"/>
        <v>1447.7398688575352</v>
      </c>
      <c r="E136" s="11">
        <f t="shared" ref="E136:F136" ca="1" si="131">+D136*EXP(B136)</f>
        <v>1237.1078492323657</v>
      </c>
      <c r="F136" s="11">
        <f t="shared" ca="1" si="131"/>
        <v>1156.2538855090397</v>
      </c>
      <c r="G136" s="12">
        <f t="shared" ca="1" si="73"/>
        <v>65.282656821832688</v>
      </c>
      <c r="H136" s="12">
        <f t="shared" ca="1" si="74"/>
        <v>3.6662472051445789</v>
      </c>
    </row>
    <row r="137" spans="1:8" x14ac:dyDescent="0.35">
      <c r="A137" s="15">
        <v>124</v>
      </c>
      <c r="B137" s="10">
        <f t="shared" ca="1" si="69"/>
        <v>3.0512911076448674E-2</v>
      </c>
      <c r="C137" s="10">
        <f t="shared" ca="1" si="70"/>
        <v>0.18438830112494736</v>
      </c>
      <c r="D137" s="11">
        <f t="shared" si="71"/>
        <v>1447.7398688575352</v>
      </c>
      <c r="E137" s="11">
        <f t="shared" ref="E137:F137" ca="1" si="132">+D137*EXP(B137)</f>
        <v>1492.59548430529</v>
      </c>
      <c r="F137" s="11">
        <f t="shared" ca="1" si="132"/>
        <v>1794.8201850219932</v>
      </c>
      <c r="G137" s="12">
        <f t="shared" ca="1" si="73"/>
        <v>196.74006946392433</v>
      </c>
      <c r="H137" s="12">
        <f t="shared" ca="1" si="74"/>
        <v>339.43560721280437</v>
      </c>
    </row>
    <row r="138" spans="1:8" x14ac:dyDescent="0.35">
      <c r="A138" s="15">
        <v>125</v>
      </c>
      <c r="B138" s="10">
        <f t="shared" ca="1" si="69"/>
        <v>-6.8230590885283479E-2</v>
      </c>
      <c r="C138" s="10">
        <f t="shared" ca="1" si="70"/>
        <v>-3.163842162949649E-2</v>
      </c>
      <c r="D138" s="11">
        <f t="shared" si="71"/>
        <v>1447.7398688575352</v>
      </c>
      <c r="E138" s="11">
        <f t="shared" ref="E138:F138" ca="1" si="133">+D138*EXP(B138)</f>
        <v>1352.2542820295307</v>
      </c>
      <c r="F138" s="11">
        <f t="shared" ca="1" si="133"/>
        <v>1310.1408057351734</v>
      </c>
      <c r="G138" s="12">
        <f t="shared" ca="1" si="73"/>
        <v>114.96300730999519</v>
      </c>
      <c r="H138" s="12">
        <f t="shared" ca="1" si="74"/>
        <v>24.334184449233021</v>
      </c>
    </row>
    <row r="139" spans="1:8" x14ac:dyDescent="0.35">
      <c r="A139" s="15">
        <v>126</v>
      </c>
      <c r="B139" s="10">
        <f t="shared" ca="1" si="69"/>
        <v>0.27970639509354356</v>
      </c>
      <c r="C139" s="10">
        <f t="shared" ca="1" si="70"/>
        <v>0.36272162179220868</v>
      </c>
      <c r="D139" s="11">
        <f t="shared" si="71"/>
        <v>1447.7398688575352</v>
      </c>
      <c r="E139" s="11">
        <f t="shared" ref="E139:F139" ca="1" si="134">+D139*EXP(B139)</f>
        <v>1914.9854493235528</v>
      </c>
      <c r="F139" s="11">
        <f t="shared" ca="1" si="134"/>
        <v>2752.2854689232222</v>
      </c>
      <c r="G139" s="12">
        <f t="shared" ca="1" si="73"/>
        <v>541.35408363818601</v>
      </c>
      <c r="H139" s="12">
        <f t="shared" ca="1" si="74"/>
        <v>1289.3208298862646</v>
      </c>
    </row>
    <row r="140" spans="1:8" x14ac:dyDescent="0.35">
      <c r="A140" s="15">
        <v>127</v>
      </c>
      <c r="B140" s="10">
        <f t="shared" ca="1" si="69"/>
        <v>3.4062237432919792E-2</v>
      </c>
      <c r="C140" s="10">
        <f t="shared" ca="1" si="70"/>
        <v>-4.1832053592299759E-2</v>
      </c>
      <c r="D140" s="11">
        <f t="shared" si="71"/>
        <v>1447.7398688575352</v>
      </c>
      <c r="E140" s="11">
        <f t="shared" ref="E140:F140" ca="1" si="135">+D140*EXP(B140)</f>
        <v>1497.9026055785239</v>
      </c>
      <c r="F140" s="11">
        <f t="shared" ca="1" si="135"/>
        <v>1436.5347833281155</v>
      </c>
      <c r="G140" s="12">
        <f t="shared" ca="1" si="73"/>
        <v>200.24906731706574</v>
      </c>
      <c r="H140" s="12">
        <f t="shared" ca="1" si="74"/>
        <v>69.187227081920923</v>
      </c>
    </row>
    <row r="141" spans="1:8" x14ac:dyDescent="0.35">
      <c r="A141" s="15">
        <v>128</v>
      </c>
      <c r="B141" s="10">
        <f t="shared" ca="1" si="69"/>
        <v>-5.0893341246804877E-2</v>
      </c>
      <c r="C141" s="10">
        <f t="shared" ca="1" si="70"/>
        <v>-1.5711979152141356E-2</v>
      </c>
      <c r="D141" s="11">
        <f t="shared" si="71"/>
        <v>1447.7398688575352</v>
      </c>
      <c r="E141" s="11">
        <f t="shared" ref="E141:F141" ca="1" si="136">+D141*EXP(B141)</f>
        <v>1375.9030621339332</v>
      </c>
      <c r="F141" s="11">
        <f t="shared" ca="1" si="136"/>
        <v>1354.4538479647549</v>
      </c>
      <c r="G141" s="12">
        <f t="shared" ca="1" si="73"/>
        <v>127.17243363327032</v>
      </c>
      <c r="H141" s="12">
        <f t="shared" ca="1" si="74"/>
        <v>36.637851243680984</v>
      </c>
    </row>
    <row r="142" spans="1:8" x14ac:dyDescent="0.35">
      <c r="A142" s="15">
        <v>129</v>
      </c>
      <c r="B142" s="10">
        <f t="shared" ca="1" si="69"/>
        <v>9.1907674029302749E-2</v>
      </c>
      <c r="C142" s="10">
        <f t="shared" ca="1" si="70"/>
        <v>-0.195760660324198</v>
      </c>
      <c r="D142" s="11">
        <f t="shared" si="71"/>
        <v>1447.7398688575352</v>
      </c>
      <c r="E142" s="11">
        <f t="shared" ref="E142:F142" ca="1" si="137">+D142*EXP(B142)</f>
        <v>1587.1045260088201</v>
      </c>
      <c r="F142" s="11">
        <f t="shared" ca="1" si="137"/>
        <v>1304.9316226313479</v>
      </c>
      <c r="G142" s="12">
        <f t="shared" ca="1" si="73"/>
        <v>263.20012769448476</v>
      </c>
      <c r="H142" s="12">
        <f t="shared" ca="1" si="74"/>
        <v>23.111653590590436</v>
      </c>
    </row>
    <row r="143" spans="1:8" x14ac:dyDescent="0.35">
      <c r="A143" s="15">
        <v>130</v>
      </c>
      <c r="B143" s="10">
        <f t="shared" ref="B143:B206" ca="1" si="138">+($B$6-0.5*$B$10^2)*$H$4+$B$10*SQRT($H$4)*_xlfn.NORM.S.INV(RAND())</f>
        <v>-2.7109817179879821E-2</v>
      </c>
      <c r="C143" s="10">
        <f t="shared" ref="C143:C206" ca="1" si="139">+($B$6-0.5*$B$10^2)+$B$10*_xlfn.NORM.S.INV(RAND())</f>
        <v>0.33825824312386032</v>
      </c>
      <c r="D143" s="11">
        <f t="shared" ref="D143:D206" si="140">+$B$9</f>
        <v>1447.7398688575352</v>
      </c>
      <c r="E143" s="11">
        <f t="shared" ref="E143:F143" ca="1" si="141">+D143*EXP(B143)</f>
        <v>1409.019133151287</v>
      </c>
      <c r="F143" s="11">
        <f t="shared" ca="1" si="141"/>
        <v>1976.1530587149139</v>
      </c>
      <c r="G143" s="12">
        <f t="shared" ref="G143:G206" ca="1" si="142">+BlackScholesCall(E143,$B$4,$B$10,$B$6,$B$7-$H$4)</f>
        <v>145.37511284964501</v>
      </c>
      <c r="H143" s="12">
        <f t="shared" ref="H143:H206" ca="1" si="143">+BlackScholesCall(F143,$B$4,$B$10,$B$6,$B$7-$I$4)</f>
        <v>514.63177876785312</v>
      </c>
    </row>
    <row r="144" spans="1:8" x14ac:dyDescent="0.35">
      <c r="A144" s="15">
        <v>131</v>
      </c>
      <c r="B144" s="10">
        <f t="shared" ca="1" si="138"/>
        <v>4.8579092048014111E-2</v>
      </c>
      <c r="C144" s="10">
        <f t="shared" ca="1" si="139"/>
        <v>-1.5188985238349523E-3</v>
      </c>
      <c r="D144" s="11">
        <f t="shared" si="140"/>
        <v>1447.7398688575352</v>
      </c>
      <c r="E144" s="11">
        <f t="shared" ref="E144:F144" ca="1" si="144">+D144*EXP(B144)</f>
        <v>1519.8060397583001</v>
      </c>
      <c r="F144" s="11">
        <f t="shared" ca="1" si="144"/>
        <v>1517.4993608570539</v>
      </c>
      <c r="G144" s="12">
        <f t="shared" ca="1" si="142"/>
        <v>215.02461211606374</v>
      </c>
      <c r="H144" s="12">
        <f t="shared" ca="1" si="143"/>
        <v>114.0670573775684</v>
      </c>
    </row>
    <row r="145" spans="1:8" x14ac:dyDescent="0.35">
      <c r="A145" s="15">
        <v>132</v>
      </c>
      <c r="B145" s="10">
        <f t="shared" ca="1" si="138"/>
        <v>1.5611115302516937E-3</v>
      </c>
      <c r="C145" s="10">
        <f t="shared" ca="1" si="139"/>
        <v>0.45630536702865854</v>
      </c>
      <c r="D145" s="11">
        <f t="shared" si="140"/>
        <v>1447.7398688575352</v>
      </c>
      <c r="E145" s="11">
        <f t="shared" ref="E145:F145" ca="1" si="145">+D145*EXP(B145)</f>
        <v>1450.0017172990979</v>
      </c>
      <c r="F145" s="11">
        <f t="shared" ca="1" si="145"/>
        <v>2288.4394166390516</v>
      </c>
      <c r="G145" s="12">
        <f t="shared" ca="1" si="142"/>
        <v>169.62396506715368</v>
      </c>
      <c r="H145" s="12">
        <f t="shared" ca="1" si="143"/>
        <v>825.5292546419148</v>
      </c>
    </row>
    <row r="146" spans="1:8" x14ac:dyDescent="0.35">
      <c r="A146" s="15">
        <v>133</v>
      </c>
      <c r="B146" s="10">
        <f t="shared" ca="1" si="138"/>
        <v>0.11397187174044654</v>
      </c>
      <c r="C146" s="10">
        <f t="shared" ca="1" si="139"/>
        <v>-0.38671585671812048</v>
      </c>
      <c r="D146" s="11">
        <f t="shared" si="140"/>
        <v>1447.7398688575352</v>
      </c>
      <c r="E146" s="11">
        <f t="shared" ref="E146:F146" ca="1" si="146">+D146*EXP(B146)</f>
        <v>1622.5118952239993</v>
      </c>
      <c r="F146" s="11">
        <f t="shared" ca="1" si="146"/>
        <v>1102.1465024954791</v>
      </c>
      <c r="G146" s="12">
        <f t="shared" ca="1" si="142"/>
        <v>290.08510486395858</v>
      </c>
      <c r="H146" s="12">
        <f t="shared" ca="1" si="143"/>
        <v>1.5113160336592664</v>
      </c>
    </row>
    <row r="147" spans="1:8" x14ac:dyDescent="0.35">
      <c r="A147" s="15">
        <v>134</v>
      </c>
      <c r="B147" s="10">
        <f t="shared" ca="1" si="138"/>
        <v>-9.3630595382422063E-2</v>
      </c>
      <c r="C147" s="10">
        <f t="shared" ca="1" si="139"/>
        <v>0.30387516511402857</v>
      </c>
      <c r="D147" s="11">
        <f t="shared" si="140"/>
        <v>1447.7398688575352</v>
      </c>
      <c r="E147" s="11">
        <f t="shared" ref="E147:F147" ca="1" si="147">+D147*EXP(B147)</f>
        <v>1318.3395576107573</v>
      </c>
      <c r="F147" s="11">
        <f t="shared" ca="1" si="147"/>
        <v>1786.4817786790541</v>
      </c>
      <c r="G147" s="12">
        <f t="shared" ca="1" si="142"/>
        <v>98.631424410844943</v>
      </c>
      <c r="H147" s="12">
        <f t="shared" ca="1" si="143"/>
        <v>331.65448334847747</v>
      </c>
    </row>
    <row r="148" spans="1:8" x14ac:dyDescent="0.35">
      <c r="A148" s="15">
        <v>135</v>
      </c>
      <c r="B148" s="10">
        <f t="shared" ca="1" si="138"/>
        <v>-1.2886903948758969E-2</v>
      </c>
      <c r="C148" s="10">
        <f t="shared" ca="1" si="139"/>
        <v>0.19966598911189046</v>
      </c>
      <c r="D148" s="11">
        <f t="shared" si="140"/>
        <v>1447.7398688575352</v>
      </c>
      <c r="E148" s="11">
        <f t="shared" ref="E148:F148" ca="1" si="148">+D148*EXP(B148)</f>
        <v>1429.2026842257148</v>
      </c>
      <c r="F148" s="11">
        <f t="shared" ca="1" si="148"/>
        <v>1745.0491377183866</v>
      </c>
      <c r="G148" s="12">
        <f t="shared" ca="1" si="142"/>
        <v>157.08467917772089</v>
      </c>
      <c r="H148" s="12">
        <f t="shared" ca="1" si="143"/>
        <v>293.57309690934721</v>
      </c>
    </row>
    <row r="149" spans="1:8" x14ac:dyDescent="0.35">
      <c r="A149" s="15">
        <v>136</v>
      </c>
      <c r="B149" s="10">
        <f t="shared" ca="1" si="138"/>
        <v>-9.6216599714657944E-2</v>
      </c>
      <c r="C149" s="10">
        <f t="shared" ca="1" si="139"/>
        <v>0.10416167764191342</v>
      </c>
      <c r="D149" s="11">
        <f t="shared" si="140"/>
        <v>1447.7398688575352</v>
      </c>
      <c r="E149" s="11">
        <f t="shared" ref="E149:F149" ca="1" si="149">+D149*EXP(B149)</f>
        <v>1314.9347301501584</v>
      </c>
      <c r="F149" s="11">
        <f t="shared" ca="1" si="149"/>
        <v>1459.2880899445499</v>
      </c>
      <c r="G149" s="12">
        <f t="shared" ca="1" si="142"/>
        <v>97.069524707883659</v>
      </c>
      <c r="H149" s="12">
        <f t="shared" ca="1" si="143"/>
        <v>80.541217508572117</v>
      </c>
    </row>
    <row r="150" spans="1:8" x14ac:dyDescent="0.35">
      <c r="A150" s="15">
        <v>137</v>
      </c>
      <c r="B150" s="10">
        <f t="shared" ca="1" si="138"/>
        <v>-3.6550729889572815E-2</v>
      </c>
      <c r="C150" s="10">
        <f t="shared" ca="1" si="139"/>
        <v>-7.7067475208430589E-2</v>
      </c>
      <c r="D150" s="11">
        <f t="shared" si="140"/>
        <v>1447.7398688575352</v>
      </c>
      <c r="E150" s="11">
        <f t="shared" ref="E150:F150" ca="1" si="150">+D150*EXP(B150)</f>
        <v>1395.7793028894271</v>
      </c>
      <c r="F150" s="11">
        <f t="shared" ca="1" si="150"/>
        <v>1292.2506965923581</v>
      </c>
      <c r="G150" s="12">
        <f t="shared" ca="1" si="142"/>
        <v>137.94517209862693</v>
      </c>
      <c r="H150" s="12">
        <f t="shared" ca="1" si="143"/>
        <v>20.320862855745162</v>
      </c>
    </row>
    <row r="151" spans="1:8" x14ac:dyDescent="0.35">
      <c r="A151" s="15">
        <v>138</v>
      </c>
      <c r="B151" s="10">
        <f t="shared" ca="1" si="138"/>
        <v>-9.4887900300704819E-2</v>
      </c>
      <c r="C151" s="10">
        <f t="shared" ca="1" si="139"/>
        <v>0.53317383476276392</v>
      </c>
      <c r="D151" s="11">
        <f t="shared" si="140"/>
        <v>1447.7398688575352</v>
      </c>
      <c r="E151" s="11">
        <f t="shared" ref="E151:F151" ca="1" si="151">+D151*EXP(B151)</f>
        <v>1316.6830443903366</v>
      </c>
      <c r="F151" s="11">
        <f t="shared" ca="1" si="151"/>
        <v>2244.0663696317124</v>
      </c>
      <c r="G151" s="12">
        <f t="shared" ca="1" si="142"/>
        <v>97.869748916112599</v>
      </c>
      <c r="H151" s="12">
        <f t="shared" ca="1" si="143"/>
        <v>781.1908741982088</v>
      </c>
    </row>
    <row r="152" spans="1:8" x14ac:dyDescent="0.35">
      <c r="A152" s="15">
        <v>139</v>
      </c>
      <c r="B152" s="10">
        <f t="shared" ca="1" si="138"/>
        <v>-0.12301405713076828</v>
      </c>
      <c r="C152" s="10">
        <f t="shared" ca="1" si="139"/>
        <v>0.11699310208410056</v>
      </c>
      <c r="D152" s="11">
        <f t="shared" si="140"/>
        <v>1447.7398688575352</v>
      </c>
      <c r="E152" s="11">
        <f t="shared" ref="E152:F152" ca="1" si="152">+D152*EXP(B152)</f>
        <v>1280.1657632872641</v>
      </c>
      <c r="F152" s="11">
        <f t="shared" ca="1" si="152"/>
        <v>1439.0492812606769</v>
      </c>
      <c r="G152" s="12">
        <f t="shared" ca="1" si="142"/>
        <v>81.939941106942797</v>
      </c>
      <c r="H152" s="12">
        <f t="shared" ca="1" si="143"/>
        <v>70.392317503608979</v>
      </c>
    </row>
    <row r="153" spans="1:8" x14ac:dyDescent="0.35">
      <c r="A153" s="15">
        <v>140</v>
      </c>
      <c r="B153" s="10">
        <f t="shared" ca="1" si="138"/>
        <v>-1.3581889175461957E-2</v>
      </c>
      <c r="C153" s="10">
        <f t="shared" ca="1" si="139"/>
        <v>0.17021508514413319</v>
      </c>
      <c r="D153" s="11">
        <f t="shared" si="140"/>
        <v>1447.7398688575352</v>
      </c>
      <c r="E153" s="11">
        <f t="shared" ref="E153:F153" ca="1" si="153">+D153*EXP(B153)</f>
        <v>1428.2097545499073</v>
      </c>
      <c r="F153" s="11">
        <f t="shared" ca="1" si="153"/>
        <v>1693.2280998180445</v>
      </c>
      <c r="G153" s="12">
        <f t="shared" ca="1" si="142"/>
        <v>156.49795703487212</v>
      </c>
      <c r="H153" s="12">
        <f t="shared" ca="1" si="143"/>
        <v>247.62372058982191</v>
      </c>
    </row>
    <row r="154" spans="1:8" x14ac:dyDescent="0.35">
      <c r="A154" s="15">
        <v>141</v>
      </c>
      <c r="B154" s="10">
        <f t="shared" ca="1" si="138"/>
        <v>8.7495858286365982E-2</v>
      </c>
      <c r="C154" s="10">
        <f t="shared" ca="1" si="139"/>
        <v>-0.16253859468311094</v>
      </c>
      <c r="D154" s="11">
        <f t="shared" si="140"/>
        <v>1447.7398688575352</v>
      </c>
      <c r="E154" s="11">
        <f t="shared" ref="E154:F154" ca="1" si="154">+D154*EXP(B154)</f>
        <v>1580.1179363806571</v>
      </c>
      <c r="F154" s="11">
        <f t="shared" ca="1" si="154"/>
        <v>1343.0738338679973</v>
      </c>
      <c r="G154" s="12">
        <f t="shared" ca="1" si="142"/>
        <v>258.01479186320933</v>
      </c>
      <c r="H154" s="12">
        <f t="shared" ca="1" si="143"/>
        <v>33.142491607441912</v>
      </c>
    </row>
    <row r="155" spans="1:8" x14ac:dyDescent="0.35">
      <c r="A155" s="15">
        <v>142</v>
      </c>
      <c r="B155" s="10">
        <f t="shared" ca="1" si="138"/>
        <v>0.11205454871174393</v>
      </c>
      <c r="C155" s="10">
        <f t="shared" ca="1" si="139"/>
        <v>0.24968586532262921</v>
      </c>
      <c r="D155" s="11">
        <f t="shared" si="140"/>
        <v>1447.7398688575352</v>
      </c>
      <c r="E155" s="11">
        <f t="shared" ref="E155:F155" ca="1" si="155">+D155*EXP(B155)</f>
        <v>1619.4039961782339</v>
      </c>
      <c r="F155" s="11">
        <f t="shared" ca="1" si="155"/>
        <v>2078.7027957718956</v>
      </c>
      <c r="G155" s="12">
        <f t="shared" ca="1" si="142"/>
        <v>287.68598136935509</v>
      </c>
      <c r="H155" s="12">
        <f t="shared" ca="1" si="143"/>
        <v>616.2563064641879</v>
      </c>
    </row>
    <row r="156" spans="1:8" x14ac:dyDescent="0.35">
      <c r="A156" s="15">
        <v>143</v>
      </c>
      <c r="B156" s="10">
        <f t="shared" ca="1" si="138"/>
        <v>3.5431809702972106E-3</v>
      </c>
      <c r="C156" s="10">
        <f t="shared" ca="1" si="139"/>
        <v>0.44710299659898767</v>
      </c>
      <c r="D156" s="11">
        <f t="shared" si="140"/>
        <v>1447.7398688575352</v>
      </c>
      <c r="E156" s="11">
        <f t="shared" ref="E156:F156" ca="1" si="156">+D156*EXP(B156)</f>
        <v>1452.878571511545</v>
      </c>
      <c r="F156" s="11">
        <f t="shared" ca="1" si="156"/>
        <v>2271.9757032622097</v>
      </c>
      <c r="G156" s="12">
        <f t="shared" ca="1" si="142"/>
        <v>171.39535719190269</v>
      </c>
      <c r="H156" s="12">
        <f t="shared" ca="1" si="143"/>
        <v>809.07652510983894</v>
      </c>
    </row>
    <row r="157" spans="1:8" x14ac:dyDescent="0.35">
      <c r="A157" s="15">
        <v>144</v>
      </c>
      <c r="B157" s="10">
        <f t="shared" ca="1" si="138"/>
        <v>3.0569499492004784E-2</v>
      </c>
      <c r="C157" s="10">
        <f t="shared" ca="1" si="139"/>
        <v>0.25026497340391035</v>
      </c>
      <c r="D157" s="11">
        <f t="shared" si="140"/>
        <v>1447.7398688575352</v>
      </c>
      <c r="E157" s="11">
        <f t="shared" ref="E157:F157" ca="1" si="157">+D157*EXP(B157)</f>
        <v>1492.6799503086893</v>
      </c>
      <c r="F157" s="11">
        <f t="shared" ca="1" si="157"/>
        <v>1917.1469208255935</v>
      </c>
      <c r="G157" s="12">
        <f t="shared" ca="1" si="142"/>
        <v>196.79569655731598</v>
      </c>
      <c r="H157" s="12">
        <f t="shared" ca="1" si="143"/>
        <v>456.71591687454406</v>
      </c>
    </row>
    <row r="158" spans="1:8" x14ac:dyDescent="0.35">
      <c r="A158" s="15">
        <v>145</v>
      </c>
      <c r="B158" s="10">
        <f t="shared" ca="1" si="138"/>
        <v>0.20072647526758142</v>
      </c>
      <c r="C158" s="10">
        <f t="shared" ca="1" si="139"/>
        <v>-2.2341821203123412E-2</v>
      </c>
      <c r="D158" s="11">
        <f t="shared" si="140"/>
        <v>1447.7398688575352</v>
      </c>
      <c r="E158" s="11">
        <f t="shared" ref="E158:F158" ca="1" si="158">+D158*EXP(B158)</f>
        <v>1769.5585425931292</v>
      </c>
      <c r="F158" s="11">
        <f t="shared" ca="1" si="158"/>
        <v>1730.4617550175235</v>
      </c>
      <c r="G158" s="12">
        <f t="shared" ca="1" si="142"/>
        <v>410.99522875245566</v>
      </c>
      <c r="H158" s="12">
        <f t="shared" ca="1" si="143"/>
        <v>280.42893121182169</v>
      </c>
    </row>
    <row r="159" spans="1:8" x14ac:dyDescent="0.35">
      <c r="A159" s="15">
        <v>146</v>
      </c>
      <c r="B159" s="10">
        <f t="shared" ca="1" si="138"/>
        <v>0.21303491424287585</v>
      </c>
      <c r="C159" s="10">
        <f t="shared" ca="1" si="139"/>
        <v>0.18065984640415078</v>
      </c>
      <c r="D159" s="11">
        <f t="shared" si="140"/>
        <v>1447.7398688575352</v>
      </c>
      <c r="E159" s="11">
        <f t="shared" ref="E159:F159" ca="1" si="159">+D159*EXP(B159)</f>
        <v>1791.4736395716006</v>
      </c>
      <c r="F159" s="11">
        <f t="shared" ca="1" si="159"/>
        <v>2146.1990414683878</v>
      </c>
      <c r="G159" s="12">
        <f t="shared" ca="1" si="142"/>
        <v>430.07070995057643</v>
      </c>
      <c r="H159" s="12">
        <f t="shared" ca="1" si="143"/>
        <v>683.49083525847072</v>
      </c>
    </row>
    <row r="160" spans="1:8" x14ac:dyDescent="0.35">
      <c r="A160" s="15">
        <v>147</v>
      </c>
      <c r="B160" s="10">
        <f t="shared" ca="1" si="138"/>
        <v>2.6447503151529987E-2</v>
      </c>
      <c r="C160" s="10">
        <f t="shared" ca="1" si="139"/>
        <v>0.30402845675494083</v>
      </c>
      <c r="D160" s="11">
        <f t="shared" si="140"/>
        <v>1447.7398688575352</v>
      </c>
      <c r="E160" s="11">
        <f t="shared" ref="E160:F160" ca="1" si="160">+D160*EXP(B160)</f>
        <v>1486.5397925637683</v>
      </c>
      <c r="F160" s="11">
        <f t="shared" ca="1" si="160"/>
        <v>2014.7187130485879</v>
      </c>
      <c r="G160" s="12">
        <f t="shared" ca="1" si="142"/>
        <v>192.77067881495577</v>
      </c>
      <c r="H160" s="12">
        <f t="shared" ca="1" si="143"/>
        <v>552.74247914658281</v>
      </c>
    </row>
    <row r="161" spans="1:8" x14ac:dyDescent="0.35">
      <c r="A161" s="15">
        <v>148</v>
      </c>
      <c r="B161" s="10">
        <f t="shared" ca="1" si="138"/>
        <v>-4.1388451459463925E-4</v>
      </c>
      <c r="C161" s="10">
        <f t="shared" ca="1" si="139"/>
        <v>0.23572342568526</v>
      </c>
      <c r="D161" s="11">
        <f t="shared" si="140"/>
        <v>1447.7398688575352</v>
      </c>
      <c r="E161" s="11">
        <f t="shared" ref="E161:F161" ca="1" si="161">+D161*EXP(B161)</f>
        <v>1447.1407957267515</v>
      </c>
      <c r="F161" s="11">
        <f t="shared" ca="1" si="161"/>
        <v>1831.8257927126201</v>
      </c>
      <c r="G161" s="12">
        <f t="shared" ca="1" si="142"/>
        <v>167.87122193327036</v>
      </c>
      <c r="H161" s="12">
        <f t="shared" ca="1" si="143"/>
        <v>374.36084283094078</v>
      </c>
    </row>
    <row r="162" spans="1:8" x14ac:dyDescent="0.35">
      <c r="A162" s="15">
        <v>149</v>
      </c>
      <c r="B162" s="10">
        <f t="shared" ca="1" si="138"/>
        <v>-0.14251179218668908</v>
      </c>
      <c r="C162" s="10">
        <f t="shared" ca="1" si="139"/>
        <v>-0.49301140513195241</v>
      </c>
      <c r="D162" s="11">
        <f t="shared" si="140"/>
        <v>1447.7398688575352</v>
      </c>
      <c r="E162" s="11">
        <f t="shared" ref="E162:F162" ca="1" si="162">+D162*EXP(B162)</f>
        <v>1255.4471915710058</v>
      </c>
      <c r="F162" s="11">
        <f t="shared" ca="1" si="162"/>
        <v>766.80743779497254</v>
      </c>
      <c r="G162" s="12">
        <f t="shared" ca="1" si="142"/>
        <v>72.09611075845163</v>
      </c>
      <c r="H162" s="12">
        <f t="shared" ca="1" si="143"/>
        <v>7.4287631737846201E-5</v>
      </c>
    </row>
    <row r="163" spans="1:8" x14ac:dyDescent="0.35">
      <c r="A163" s="15">
        <v>150</v>
      </c>
      <c r="B163" s="10">
        <f t="shared" ca="1" si="138"/>
        <v>4.9215951788008659E-2</v>
      </c>
      <c r="C163" s="10">
        <f t="shared" ca="1" si="139"/>
        <v>-2.6649530327309628E-2</v>
      </c>
      <c r="D163" s="11">
        <f t="shared" si="140"/>
        <v>1447.7398688575352</v>
      </c>
      <c r="E163" s="11">
        <f t="shared" ref="E163:F163" ca="1" si="163">+D163*EXP(B163)</f>
        <v>1520.7742513123774</v>
      </c>
      <c r="F163" s="11">
        <f t="shared" ca="1" si="163"/>
        <v>1480.7815914445073</v>
      </c>
      <c r="G163" s="12">
        <f t="shared" ca="1" si="142"/>
        <v>215.68845114574606</v>
      </c>
      <c r="H163" s="12">
        <f t="shared" ca="1" si="143"/>
        <v>92.184018636130418</v>
      </c>
    </row>
    <row r="164" spans="1:8" x14ac:dyDescent="0.35">
      <c r="A164" s="15">
        <v>151</v>
      </c>
      <c r="B164" s="10">
        <f t="shared" ca="1" si="138"/>
        <v>-5.247665810089068E-2</v>
      </c>
      <c r="C164" s="10">
        <f t="shared" ca="1" si="139"/>
        <v>-8.0127086382177012E-2</v>
      </c>
      <c r="D164" s="11">
        <f t="shared" si="140"/>
        <v>1447.7398688575352</v>
      </c>
      <c r="E164" s="11">
        <f t="shared" ref="E164:F164" ca="1" si="164">+D164*EXP(B164)</f>
        <v>1373.7262953365903</v>
      </c>
      <c r="F164" s="11">
        <f t="shared" ca="1" si="164"/>
        <v>1267.9480495162447</v>
      </c>
      <c r="G164" s="12">
        <f t="shared" ca="1" si="142"/>
        <v>126.02081048235425</v>
      </c>
      <c r="H164" s="12">
        <f t="shared" ca="1" si="143"/>
        <v>15.670478826394969</v>
      </c>
    </row>
    <row r="165" spans="1:8" x14ac:dyDescent="0.35">
      <c r="A165" s="15">
        <v>152</v>
      </c>
      <c r="B165" s="10">
        <f t="shared" ca="1" si="138"/>
        <v>8.7571431461932206E-2</v>
      </c>
      <c r="C165" s="10">
        <f t="shared" ca="1" si="139"/>
        <v>0.19713266480474304</v>
      </c>
      <c r="D165" s="11">
        <f t="shared" si="140"/>
        <v>1447.7398688575352</v>
      </c>
      <c r="E165" s="11">
        <f t="shared" ref="E165:F165" ca="1" si="165">+D165*EXP(B165)</f>
        <v>1580.2373554232597</v>
      </c>
      <c r="F165" s="11">
        <f t="shared" ca="1" si="165"/>
        <v>1924.5799295525987</v>
      </c>
      <c r="G165" s="12">
        <f t="shared" ca="1" si="142"/>
        <v>258.1030805177578</v>
      </c>
      <c r="H165" s="12">
        <f t="shared" ca="1" si="143"/>
        <v>463.97827838711873</v>
      </c>
    </row>
    <row r="166" spans="1:8" x14ac:dyDescent="0.35">
      <c r="A166" s="15">
        <v>153</v>
      </c>
      <c r="B166" s="10">
        <f t="shared" ca="1" si="138"/>
        <v>8.2183887610064857E-2</v>
      </c>
      <c r="C166" s="10">
        <f t="shared" ca="1" si="139"/>
        <v>-0.31534667572715969</v>
      </c>
      <c r="D166" s="11">
        <f t="shared" si="140"/>
        <v>1447.7398688575352</v>
      </c>
      <c r="E166" s="11">
        <f t="shared" ref="E166:F166" ca="1" si="166">+D166*EXP(B166)</f>
        <v>1571.7466499359602</v>
      </c>
      <c r="F166" s="11">
        <f t="shared" ca="1" si="166"/>
        <v>1146.6456351713314</v>
      </c>
      <c r="G166" s="12">
        <f t="shared" ca="1" si="142"/>
        <v>251.85576306528083</v>
      </c>
      <c r="H166" s="12">
        <f t="shared" ca="1" si="143"/>
        <v>3.1629586714292799</v>
      </c>
    </row>
    <row r="167" spans="1:8" x14ac:dyDescent="0.35">
      <c r="A167" s="15">
        <v>154</v>
      </c>
      <c r="B167" s="10">
        <f t="shared" ca="1" si="138"/>
        <v>-0.2881399497865455</v>
      </c>
      <c r="C167" s="10">
        <f t="shared" ca="1" si="139"/>
        <v>-0.20096105846009479</v>
      </c>
      <c r="D167" s="11">
        <f t="shared" si="140"/>
        <v>1447.7398688575352</v>
      </c>
      <c r="E167" s="11">
        <f t="shared" ref="E167:F167" ca="1" si="167">+D167*EXP(B167)</f>
        <v>1085.3078499917392</v>
      </c>
      <c r="F167" s="11">
        <f t="shared" ca="1" si="167"/>
        <v>887.72135113457364</v>
      </c>
      <c r="G167" s="12">
        <f t="shared" ca="1" si="142"/>
        <v>24.26016557834771</v>
      </c>
      <c r="H167" s="12">
        <f t="shared" ca="1" si="143"/>
        <v>8.2616581272232925E-3</v>
      </c>
    </row>
    <row r="168" spans="1:8" x14ac:dyDescent="0.35">
      <c r="A168" s="15">
        <v>155</v>
      </c>
      <c r="B168" s="10">
        <f t="shared" ca="1" si="138"/>
        <v>9.0015439284549567E-2</v>
      </c>
      <c r="C168" s="10">
        <f t="shared" ca="1" si="139"/>
        <v>0.38763661423588425</v>
      </c>
      <c r="D168" s="11">
        <f t="shared" si="140"/>
        <v>1447.7398688575352</v>
      </c>
      <c r="E168" s="11">
        <f t="shared" ref="E168:F168" ca="1" si="168">+D168*EXP(B168)</f>
        <v>1584.104191245232</v>
      </c>
      <c r="F168" s="11">
        <f t="shared" ca="1" si="168"/>
        <v>2334.1684016117356</v>
      </c>
      <c r="G168" s="12">
        <f t="shared" ca="1" si="142"/>
        <v>260.96835008235212</v>
      </c>
      <c r="H168" s="12">
        <f t="shared" ca="1" si="143"/>
        <v>871.23627730885801</v>
      </c>
    </row>
    <row r="169" spans="1:8" x14ac:dyDescent="0.35">
      <c r="A169" s="15">
        <v>156</v>
      </c>
      <c r="B169" s="10">
        <f t="shared" ca="1" si="138"/>
        <v>4.4930261627604148E-2</v>
      </c>
      <c r="C169" s="10">
        <f t="shared" ca="1" si="139"/>
        <v>0.12088039889569796</v>
      </c>
      <c r="D169" s="11">
        <f t="shared" si="140"/>
        <v>1447.7398688575352</v>
      </c>
      <c r="E169" s="11">
        <f t="shared" ref="E169:F169" ca="1" si="169">+D169*EXP(B169)</f>
        <v>1514.2706302740837</v>
      </c>
      <c r="F169" s="11">
        <f t="shared" ca="1" si="169"/>
        <v>1708.8391661197204</v>
      </c>
      <c r="G169" s="12">
        <f t="shared" ca="1" si="142"/>
        <v>211.24656890207314</v>
      </c>
      <c r="H169" s="12">
        <f t="shared" ca="1" si="143"/>
        <v>261.23886306107897</v>
      </c>
    </row>
    <row r="170" spans="1:8" x14ac:dyDescent="0.35">
      <c r="A170" s="15">
        <v>157</v>
      </c>
      <c r="B170" s="10">
        <f t="shared" ca="1" si="138"/>
        <v>0.24005213759856597</v>
      </c>
      <c r="C170" s="10">
        <f t="shared" ca="1" si="139"/>
        <v>0.4021849980269524</v>
      </c>
      <c r="D170" s="11">
        <f t="shared" si="140"/>
        <v>1447.7398688575352</v>
      </c>
      <c r="E170" s="11">
        <f t="shared" ref="E170:F170" ca="1" si="170">+D170*EXP(B170)</f>
        <v>1840.5340366947703</v>
      </c>
      <c r="F170" s="11">
        <f t="shared" ca="1" si="170"/>
        <v>2751.7601593418626</v>
      </c>
      <c r="G170" s="12">
        <f t="shared" ca="1" si="142"/>
        <v>473.56523157532934</v>
      </c>
      <c r="H170" s="12">
        <f t="shared" ca="1" si="143"/>
        <v>1288.7955217914891</v>
      </c>
    </row>
    <row r="171" spans="1:8" x14ac:dyDescent="0.35">
      <c r="A171" s="15">
        <v>158</v>
      </c>
      <c r="B171" s="10">
        <f t="shared" ca="1" si="138"/>
        <v>0.1559128953462553</v>
      </c>
      <c r="C171" s="10">
        <f t="shared" ca="1" si="139"/>
        <v>-0.24781869173350082</v>
      </c>
      <c r="D171" s="11">
        <f t="shared" si="140"/>
        <v>1447.7398688575352</v>
      </c>
      <c r="E171" s="11">
        <f t="shared" ref="E171:F171" ca="1" si="171">+D171*EXP(B171)</f>
        <v>1692.0089057097041</v>
      </c>
      <c r="F171" s="11">
        <f t="shared" ca="1" si="171"/>
        <v>1320.6153904679347</v>
      </c>
      <c r="G171" s="12">
        <f t="shared" ca="1" si="142"/>
        <v>345.54118399369031</v>
      </c>
      <c r="H171" s="12">
        <f t="shared" ca="1" si="143"/>
        <v>26.930671157466008</v>
      </c>
    </row>
    <row r="172" spans="1:8" x14ac:dyDescent="0.35">
      <c r="A172" s="15">
        <v>159</v>
      </c>
      <c r="B172" s="10">
        <f t="shared" ca="1" si="138"/>
        <v>0.15202431454141729</v>
      </c>
      <c r="C172" s="10">
        <f t="shared" ca="1" si="139"/>
        <v>-5.7189676995543184E-2</v>
      </c>
      <c r="D172" s="11">
        <f t="shared" si="140"/>
        <v>1447.7398688575352</v>
      </c>
      <c r="E172" s="11">
        <f t="shared" ref="E172:F172" ca="1" si="172">+D172*EXP(B172)</f>
        <v>1685.4421682765803</v>
      </c>
      <c r="F172" s="11">
        <f t="shared" ca="1" si="172"/>
        <v>1591.7567281450663</v>
      </c>
      <c r="G172" s="12">
        <f t="shared" ca="1" si="142"/>
        <v>340.16147246343894</v>
      </c>
      <c r="H172" s="12">
        <f t="shared" ca="1" si="143"/>
        <v>165.34501902272495</v>
      </c>
    </row>
    <row r="173" spans="1:8" x14ac:dyDescent="0.35">
      <c r="A173" s="15">
        <v>160</v>
      </c>
      <c r="B173" s="10">
        <f t="shared" ca="1" si="138"/>
        <v>-0.10573840144295761</v>
      </c>
      <c r="C173" s="10">
        <f t="shared" ca="1" si="139"/>
        <v>-0.24888630280661903</v>
      </c>
      <c r="D173" s="11">
        <f t="shared" si="140"/>
        <v>1447.7398688575352</v>
      </c>
      <c r="E173" s="11">
        <f t="shared" ref="E173:F173" ca="1" si="173">+D173*EXP(B173)</f>
        <v>1302.4736027050001</v>
      </c>
      <c r="F173" s="11">
        <f t="shared" ca="1" si="173"/>
        <v>1015.4977892161098</v>
      </c>
      <c r="G173" s="12">
        <f t="shared" ca="1" si="142"/>
        <v>91.475079637513375</v>
      </c>
      <c r="H173" s="12">
        <f t="shared" ca="1" si="143"/>
        <v>0.267004252383237</v>
      </c>
    </row>
    <row r="174" spans="1:8" x14ac:dyDescent="0.35">
      <c r="A174" s="15">
        <v>161</v>
      </c>
      <c r="B174" s="10">
        <f t="shared" ca="1" si="138"/>
        <v>-4.6439577988766613E-2</v>
      </c>
      <c r="C174" s="10">
        <f t="shared" ca="1" si="139"/>
        <v>2.3078904615147729E-2</v>
      </c>
      <c r="D174" s="11">
        <f t="shared" si="140"/>
        <v>1447.7398688575352</v>
      </c>
      <c r="E174" s="11">
        <f t="shared" ref="E174:F174" ca="1" si="174">+D174*EXP(B174)</f>
        <v>1382.0446751317584</v>
      </c>
      <c r="F174" s="11">
        <f t="shared" ca="1" si="174"/>
        <v>1414.3116635366503</v>
      </c>
      <c r="G174" s="12">
        <f t="shared" ca="1" si="142"/>
        <v>130.45177816968362</v>
      </c>
      <c r="H174" s="12">
        <f t="shared" ca="1" si="143"/>
        <v>59.076473611502479</v>
      </c>
    </row>
    <row r="175" spans="1:8" x14ac:dyDescent="0.35">
      <c r="A175" s="15">
        <v>162</v>
      </c>
      <c r="B175" s="10">
        <f t="shared" ca="1" si="138"/>
        <v>6.9705562308212704E-2</v>
      </c>
      <c r="C175" s="10">
        <f t="shared" ca="1" si="139"/>
        <v>0.16576653682184903</v>
      </c>
      <c r="D175" s="11">
        <f t="shared" si="140"/>
        <v>1447.7398688575352</v>
      </c>
      <c r="E175" s="11">
        <f t="shared" ref="E175:F175" ca="1" si="175">+D175*EXP(B175)</f>
        <v>1552.2557437874605</v>
      </c>
      <c r="F175" s="11">
        <f t="shared" ca="1" si="175"/>
        <v>1832.1235947798452</v>
      </c>
      <c r="G175" s="12">
        <f t="shared" ca="1" si="142"/>
        <v>237.74984870104265</v>
      </c>
      <c r="H175" s="12">
        <f t="shared" ca="1" si="143"/>
        <v>374.64425018271095</v>
      </c>
    </row>
    <row r="176" spans="1:8" x14ac:dyDescent="0.35">
      <c r="A176" s="15">
        <v>163</v>
      </c>
      <c r="B176" s="10">
        <f t="shared" ca="1" si="138"/>
        <v>-0.12956241468824564</v>
      </c>
      <c r="C176" s="10">
        <f t="shared" ca="1" si="139"/>
        <v>0.32278684739058938</v>
      </c>
      <c r="D176" s="11">
        <f t="shared" si="140"/>
        <v>1447.7398688575352</v>
      </c>
      <c r="E176" s="11">
        <f t="shared" ref="E176:F176" ca="1" si="176">+D176*EXP(B176)</f>
        <v>1271.8101677081411</v>
      </c>
      <c r="F176" s="11">
        <f t="shared" ca="1" si="176"/>
        <v>1756.3329107403351</v>
      </c>
      <c r="G176" s="12">
        <f t="shared" ca="1" si="142"/>
        <v>78.527501424346326</v>
      </c>
      <c r="H176" s="12">
        <f t="shared" ca="1" si="143"/>
        <v>303.84024082217661</v>
      </c>
    </row>
    <row r="177" spans="1:8" x14ac:dyDescent="0.35">
      <c r="A177" s="15">
        <v>164</v>
      </c>
      <c r="B177" s="10">
        <f t="shared" ca="1" si="138"/>
        <v>0.17190352065490483</v>
      </c>
      <c r="C177" s="10">
        <f t="shared" ca="1" si="139"/>
        <v>8.8892660356183567E-2</v>
      </c>
      <c r="D177" s="11">
        <f t="shared" si="140"/>
        <v>1447.7398688575352</v>
      </c>
      <c r="E177" s="11">
        <f t="shared" ref="E177:F177" ca="1" si="177">+D177*EXP(B177)</f>
        <v>1719.2826672343074</v>
      </c>
      <c r="F177" s="11">
        <f t="shared" ca="1" si="177"/>
        <v>1879.1129121745087</v>
      </c>
      <c r="G177" s="12">
        <f t="shared" ca="1" si="142"/>
        <v>368.17008336846493</v>
      </c>
      <c r="H177" s="12">
        <f t="shared" ca="1" si="143"/>
        <v>419.74858695426633</v>
      </c>
    </row>
    <row r="178" spans="1:8" x14ac:dyDescent="0.35">
      <c r="A178" s="15">
        <v>165</v>
      </c>
      <c r="B178" s="10">
        <f t="shared" ca="1" si="138"/>
        <v>-1.6394974551155281E-2</v>
      </c>
      <c r="C178" s="10">
        <f t="shared" ca="1" si="139"/>
        <v>0.20742191667480045</v>
      </c>
      <c r="D178" s="11">
        <f t="shared" si="140"/>
        <v>1447.7398688575352</v>
      </c>
      <c r="E178" s="11">
        <f t="shared" ref="E178:F178" ca="1" si="178">+D178*EXP(B178)</f>
        <v>1424.1977243135025</v>
      </c>
      <c r="F178" s="11">
        <f t="shared" ca="1" si="178"/>
        <v>1752.4776232463187</v>
      </c>
      <c r="G178" s="12">
        <f t="shared" ca="1" si="142"/>
        <v>154.13841787792637</v>
      </c>
      <c r="H178" s="12">
        <f t="shared" ca="1" si="143"/>
        <v>300.32293633877589</v>
      </c>
    </row>
    <row r="179" spans="1:8" x14ac:dyDescent="0.35">
      <c r="A179" s="15">
        <v>166</v>
      </c>
      <c r="B179" s="10">
        <f t="shared" ca="1" si="138"/>
        <v>0.114975579237105</v>
      </c>
      <c r="C179" s="10">
        <f t="shared" ca="1" si="139"/>
        <v>0.11821901646166146</v>
      </c>
      <c r="D179" s="11">
        <f t="shared" si="140"/>
        <v>1447.7398688575352</v>
      </c>
      <c r="E179" s="11">
        <f t="shared" ref="E179:F179" ca="1" si="179">+D179*EXP(B179)</f>
        <v>1624.1412401327152</v>
      </c>
      <c r="F179" s="11">
        <f t="shared" ca="1" si="179"/>
        <v>1827.9556750335294</v>
      </c>
      <c r="G179" s="12">
        <f t="shared" ca="1" si="142"/>
        <v>291.34579724603213</v>
      </c>
      <c r="H179" s="12">
        <f t="shared" ca="1" si="143"/>
        <v>370.68094746976385</v>
      </c>
    </row>
    <row r="180" spans="1:8" x14ac:dyDescent="0.35">
      <c r="A180" s="15">
        <v>167</v>
      </c>
      <c r="B180" s="10">
        <f t="shared" ca="1" si="138"/>
        <v>-0.19422095763667652</v>
      </c>
      <c r="C180" s="10">
        <f t="shared" ca="1" si="139"/>
        <v>9.8813794002440808E-2</v>
      </c>
      <c r="D180" s="11">
        <f t="shared" si="140"/>
        <v>1447.7398688575352</v>
      </c>
      <c r="E180" s="11">
        <f t="shared" ref="E180:F180" ca="1" si="180">+D180*EXP(B180)</f>
        <v>1192.1789361644423</v>
      </c>
      <c r="F180" s="11">
        <f t="shared" ca="1" si="180"/>
        <v>1315.9995166443091</v>
      </c>
      <c r="G180" s="12">
        <f t="shared" ca="1" si="142"/>
        <v>50.337327415665243</v>
      </c>
      <c r="H180" s="12">
        <f t="shared" ca="1" si="143"/>
        <v>25.763462116593473</v>
      </c>
    </row>
    <row r="181" spans="1:8" x14ac:dyDescent="0.35">
      <c r="A181" s="15">
        <v>168</v>
      </c>
      <c r="B181" s="10">
        <f t="shared" ca="1" si="138"/>
        <v>-7.2249966685424605E-2</v>
      </c>
      <c r="C181" s="10">
        <f t="shared" ca="1" si="139"/>
        <v>0.14854020575484334</v>
      </c>
      <c r="D181" s="11">
        <f t="shared" si="140"/>
        <v>1447.7398688575352</v>
      </c>
      <c r="E181" s="11">
        <f t="shared" ref="E181:F181" ca="1" si="181">+D181*EXP(B181)</f>
        <v>1346.8299723648508</v>
      </c>
      <c r="F181" s="11">
        <f t="shared" ca="1" si="181"/>
        <v>1562.5105714212843</v>
      </c>
      <c r="G181" s="12">
        <f t="shared" ca="1" si="142"/>
        <v>112.25704014037149</v>
      </c>
      <c r="H181" s="12">
        <f t="shared" ca="1" si="143"/>
        <v>144.10484348117859</v>
      </c>
    </row>
    <row r="182" spans="1:8" x14ac:dyDescent="0.35">
      <c r="A182" s="15">
        <v>169</v>
      </c>
      <c r="B182" s="10">
        <f t="shared" ca="1" si="138"/>
        <v>-6.1435919891413462E-2</v>
      </c>
      <c r="C182" s="10">
        <f t="shared" ca="1" si="139"/>
        <v>9.5304164253146459E-2</v>
      </c>
      <c r="D182" s="11">
        <f t="shared" si="140"/>
        <v>1447.7398688575352</v>
      </c>
      <c r="E182" s="11">
        <f t="shared" ref="E182:F182" ca="1" si="182">+D182*EXP(B182)</f>
        <v>1361.4736909313269</v>
      </c>
      <c r="F182" s="11">
        <f t="shared" ca="1" si="182"/>
        <v>1497.6120510354244</v>
      </c>
      <c r="G182" s="12">
        <f t="shared" ca="1" si="142"/>
        <v>119.64341445534046</v>
      </c>
      <c r="H182" s="12">
        <f t="shared" ca="1" si="143"/>
        <v>101.90877704690615</v>
      </c>
    </row>
    <row r="183" spans="1:8" x14ac:dyDescent="0.35">
      <c r="A183" s="15">
        <v>170</v>
      </c>
      <c r="B183" s="10">
        <f t="shared" ca="1" si="138"/>
        <v>2.7059251441446455E-2</v>
      </c>
      <c r="C183" s="10">
        <f t="shared" ca="1" si="139"/>
        <v>3.0384212668521402E-2</v>
      </c>
      <c r="D183" s="11">
        <f t="shared" si="140"/>
        <v>1447.7398688575352</v>
      </c>
      <c r="E183" s="11">
        <f t="shared" ref="E183:F183" ca="1" si="183">+D183*EXP(B183)</f>
        <v>1487.4494589548224</v>
      </c>
      <c r="F183" s="11">
        <f t="shared" ca="1" si="183"/>
        <v>1533.3380537513704</v>
      </c>
      <c r="G183" s="12">
        <f t="shared" ca="1" si="142"/>
        <v>193.36458262778513</v>
      </c>
      <c r="H183" s="12">
        <f t="shared" ca="1" si="143"/>
        <v>124.24959424672431</v>
      </c>
    </row>
    <row r="184" spans="1:8" x14ac:dyDescent="0.35">
      <c r="A184" s="15">
        <v>171</v>
      </c>
      <c r="B184" s="10">
        <f t="shared" ca="1" si="138"/>
        <v>-2.1713333491760807E-2</v>
      </c>
      <c r="C184" s="10">
        <f t="shared" ca="1" si="139"/>
        <v>8.9701222742246442E-2</v>
      </c>
      <c r="D184" s="11">
        <f t="shared" si="140"/>
        <v>1447.7398688575352</v>
      </c>
      <c r="E184" s="11">
        <f t="shared" ref="E184:F184" ca="1" si="184">+D184*EXP(B184)</f>
        <v>1416.6434356286361</v>
      </c>
      <c r="F184" s="11">
        <f t="shared" ca="1" si="184"/>
        <v>1549.5917644953665</v>
      </c>
      <c r="G184" s="12">
        <f t="shared" ca="1" si="142"/>
        <v>149.74449314115657</v>
      </c>
      <c r="H184" s="12">
        <f t="shared" ca="1" si="143"/>
        <v>135.14107577003983</v>
      </c>
    </row>
    <row r="185" spans="1:8" x14ac:dyDescent="0.35">
      <c r="A185" s="15">
        <v>172</v>
      </c>
      <c r="B185" s="10">
        <f t="shared" ca="1" si="138"/>
        <v>0.16776563654236382</v>
      </c>
      <c r="C185" s="10">
        <f t="shared" ca="1" si="139"/>
        <v>-4.2967222432536659E-2</v>
      </c>
      <c r="D185" s="11">
        <f t="shared" si="140"/>
        <v>1447.7398688575352</v>
      </c>
      <c r="E185" s="11">
        <f t="shared" ref="E185:F185" ca="1" si="185">+D185*EXP(B185)</f>
        <v>1712.1831733718634</v>
      </c>
      <c r="F185" s="11">
        <f t="shared" ca="1" si="185"/>
        <v>1640.1735236712791</v>
      </c>
      <c r="G185" s="12">
        <f t="shared" ca="1" si="142"/>
        <v>362.23652130256232</v>
      </c>
      <c r="H185" s="12">
        <f t="shared" ca="1" si="143"/>
        <v>203.11224703823518</v>
      </c>
    </row>
    <row r="186" spans="1:8" x14ac:dyDescent="0.35">
      <c r="A186" s="15">
        <v>173</v>
      </c>
      <c r="B186" s="10">
        <f t="shared" ca="1" si="138"/>
        <v>5.2478675574320309E-2</v>
      </c>
      <c r="C186" s="10">
        <f t="shared" ca="1" si="139"/>
        <v>-4.5975429332252502E-2</v>
      </c>
      <c r="D186" s="11">
        <f t="shared" si="140"/>
        <v>1447.7398688575352</v>
      </c>
      <c r="E186" s="11">
        <f t="shared" ref="E186:F186" ca="1" si="186">+D186*EXP(B186)</f>
        <v>1525.7442210460497</v>
      </c>
      <c r="F186" s="11">
        <f t="shared" ca="1" si="186"/>
        <v>1457.1855582513003</v>
      </c>
      <c r="G186" s="12">
        <f t="shared" ca="1" si="142"/>
        <v>219.11004700525734</v>
      </c>
      <c r="H186" s="12">
        <f t="shared" ca="1" si="143"/>
        <v>79.449855720999722</v>
      </c>
    </row>
    <row r="187" spans="1:8" x14ac:dyDescent="0.35">
      <c r="A187" s="15">
        <v>174</v>
      </c>
      <c r="B187" s="10">
        <f t="shared" ca="1" si="138"/>
        <v>-0.11981851895111974</v>
      </c>
      <c r="C187" s="10">
        <f t="shared" ca="1" si="139"/>
        <v>-1.1088632510847345E-2</v>
      </c>
      <c r="D187" s="11">
        <f t="shared" si="140"/>
        <v>1447.7398688575352</v>
      </c>
      <c r="E187" s="11">
        <f t="shared" ref="E187:F187" ca="1" si="187">+D187*EXP(B187)</f>
        <v>1284.2631250113686</v>
      </c>
      <c r="F187" s="11">
        <f t="shared" ca="1" si="187"/>
        <v>1270.1010672091261</v>
      </c>
      <c r="G187" s="12">
        <f t="shared" ca="1" si="142"/>
        <v>83.645006310118674</v>
      </c>
      <c r="H187" s="12">
        <f t="shared" ca="1" si="143"/>
        <v>16.047080315219347</v>
      </c>
    </row>
    <row r="188" spans="1:8" x14ac:dyDescent="0.35">
      <c r="A188" s="15">
        <v>175</v>
      </c>
      <c r="B188" s="10">
        <f t="shared" ca="1" si="138"/>
        <v>9.2260901397853715E-2</v>
      </c>
      <c r="C188" s="10">
        <f t="shared" ca="1" si="139"/>
        <v>0.3932086785893294</v>
      </c>
      <c r="D188" s="11">
        <f t="shared" si="140"/>
        <v>1447.7398688575352</v>
      </c>
      <c r="E188" s="11">
        <f t="shared" ref="E188:F188" ca="1" si="188">+D188*EXP(B188)</f>
        <v>1587.6652337869941</v>
      </c>
      <c r="F188" s="11">
        <f t="shared" ca="1" si="188"/>
        <v>2352.4873359514499</v>
      </c>
      <c r="G188" s="12">
        <f t="shared" ca="1" si="142"/>
        <v>263.61803221613218</v>
      </c>
      <c r="H188" s="12">
        <f t="shared" ca="1" si="143"/>
        <v>889.54907299142678</v>
      </c>
    </row>
    <row r="189" spans="1:8" x14ac:dyDescent="0.35">
      <c r="A189" s="15">
        <v>176</v>
      </c>
      <c r="B189" s="10">
        <f t="shared" ca="1" si="138"/>
        <v>-4.9704305555893558E-2</v>
      </c>
      <c r="C189" s="10">
        <f t="shared" ca="1" si="139"/>
        <v>0.26126178163702363</v>
      </c>
      <c r="D189" s="11">
        <f t="shared" si="140"/>
        <v>1447.7398688575352</v>
      </c>
      <c r="E189" s="11">
        <f t="shared" ref="E189:F189" ca="1" si="189">+D189*EXP(B189)</f>
        <v>1377.5400329975723</v>
      </c>
      <c r="F189" s="11">
        <f t="shared" ca="1" si="189"/>
        <v>1788.828802323578</v>
      </c>
      <c r="G189" s="12">
        <f t="shared" ca="1" si="142"/>
        <v>128.04216146819817</v>
      </c>
      <c r="H189" s="12">
        <f t="shared" ca="1" si="143"/>
        <v>333.84103685497007</v>
      </c>
    </row>
    <row r="190" spans="1:8" x14ac:dyDescent="0.35">
      <c r="A190" s="15">
        <v>177</v>
      </c>
      <c r="B190" s="10">
        <f t="shared" ca="1" si="138"/>
        <v>-9.1928002048985893E-2</v>
      </c>
      <c r="C190" s="10">
        <f t="shared" ca="1" si="139"/>
        <v>5.5776586448596961E-2</v>
      </c>
      <c r="D190" s="11">
        <f t="shared" si="140"/>
        <v>1447.7398688575352</v>
      </c>
      <c r="E190" s="11">
        <f t="shared" ref="E190:F190" ca="1" si="190">+D190*EXP(B190)</f>
        <v>1320.5860656548743</v>
      </c>
      <c r="F190" s="11">
        <f t="shared" ca="1" si="190"/>
        <v>1396.3367688042631</v>
      </c>
      <c r="G190" s="12">
        <f t="shared" ca="1" si="142"/>
        <v>99.669772802937473</v>
      </c>
      <c r="H190" s="12">
        <f t="shared" ca="1" si="143"/>
        <v>51.608477950027748</v>
      </c>
    </row>
    <row r="191" spans="1:8" x14ac:dyDescent="0.35">
      <c r="A191" s="15">
        <v>178</v>
      </c>
      <c r="B191" s="10">
        <f t="shared" ca="1" si="138"/>
        <v>-6.8021821996228721E-2</v>
      </c>
      <c r="C191" s="10">
        <f t="shared" ca="1" si="139"/>
        <v>0.17928150951279731</v>
      </c>
      <c r="D191" s="11">
        <f t="shared" si="140"/>
        <v>1447.7398688575352</v>
      </c>
      <c r="E191" s="11">
        <f t="shared" ref="E191:F191" ca="1" si="191">+D191*EXP(B191)</f>
        <v>1352.5366201243894</v>
      </c>
      <c r="F191" s="11">
        <f t="shared" ca="1" si="191"/>
        <v>1618.1173062200639</v>
      </c>
      <c r="G191" s="12">
        <f t="shared" ca="1" si="142"/>
        <v>115.10482579004099</v>
      </c>
      <c r="H191" s="12">
        <f t="shared" ca="1" si="143"/>
        <v>185.53241009956105</v>
      </c>
    </row>
    <row r="192" spans="1:8" x14ac:dyDescent="0.35">
      <c r="A192" s="15">
        <v>179</v>
      </c>
      <c r="B192" s="10">
        <f t="shared" ca="1" si="138"/>
        <v>9.5293726079392196E-2</v>
      </c>
      <c r="C192" s="10">
        <f t="shared" ca="1" si="139"/>
        <v>4.6442301149894574E-2</v>
      </c>
      <c r="D192" s="11">
        <f t="shared" si="140"/>
        <v>1447.7398688575352</v>
      </c>
      <c r="E192" s="11">
        <f t="shared" ref="E192:F192" ca="1" si="192">+D192*EXP(B192)</f>
        <v>1592.4876531739203</v>
      </c>
      <c r="F192" s="11">
        <f t="shared" ca="1" si="192"/>
        <v>1668.1907509403825</v>
      </c>
      <c r="G192" s="12">
        <f t="shared" ca="1" si="142"/>
        <v>267.22292884056765</v>
      </c>
      <c r="H192" s="12">
        <f t="shared" ca="1" si="143"/>
        <v>226.25599326304882</v>
      </c>
    </row>
    <row r="193" spans="1:8" x14ac:dyDescent="0.35">
      <c r="A193" s="15">
        <v>180</v>
      </c>
      <c r="B193" s="10">
        <f t="shared" ca="1" si="138"/>
        <v>0.14656570358940618</v>
      </c>
      <c r="C193" s="10">
        <f t="shared" ca="1" si="139"/>
        <v>1.4296863384539803E-2</v>
      </c>
      <c r="D193" s="11">
        <f t="shared" si="140"/>
        <v>1447.7398688575352</v>
      </c>
      <c r="E193" s="11">
        <f t="shared" ref="E193:F193" ca="1" si="193">+D193*EXP(B193)</f>
        <v>1676.2670596541657</v>
      </c>
      <c r="F193" s="11">
        <f t="shared" ca="1" si="193"/>
        <v>1700.4045548967995</v>
      </c>
      <c r="G193" s="12">
        <f t="shared" ca="1" si="142"/>
        <v>332.69135573899052</v>
      </c>
      <c r="H193" s="12">
        <f t="shared" ca="1" si="143"/>
        <v>253.856309868484</v>
      </c>
    </row>
    <row r="194" spans="1:8" x14ac:dyDescent="0.35">
      <c r="A194" s="15">
        <v>181</v>
      </c>
      <c r="B194" s="10">
        <f t="shared" ca="1" si="138"/>
        <v>3.9271855933607096E-2</v>
      </c>
      <c r="C194" s="10">
        <f t="shared" ca="1" si="139"/>
        <v>-5.1555817425272599E-2</v>
      </c>
      <c r="D194" s="11">
        <f t="shared" si="140"/>
        <v>1447.7398688575352</v>
      </c>
      <c r="E194" s="11">
        <f t="shared" ref="E194:F194" ca="1" si="194">+D194*EXP(B194)</f>
        <v>1505.7264686807116</v>
      </c>
      <c r="F194" s="11">
        <f t="shared" ca="1" si="194"/>
        <v>1430.0646710419371</v>
      </c>
      <c r="G194" s="12">
        <f t="shared" ca="1" si="142"/>
        <v>205.47309616877476</v>
      </c>
      <c r="H194" s="12">
        <f t="shared" ca="1" si="143"/>
        <v>66.143388693943052</v>
      </c>
    </row>
    <row r="195" spans="1:8" x14ac:dyDescent="0.35">
      <c r="A195" s="15">
        <v>182</v>
      </c>
      <c r="B195" s="10">
        <f t="shared" ca="1" si="138"/>
        <v>1.9736791665454077E-2</v>
      </c>
      <c r="C195" s="10">
        <f t="shared" ca="1" si="139"/>
        <v>-6.2879746481017892E-2</v>
      </c>
      <c r="D195" s="11">
        <f t="shared" si="140"/>
        <v>1447.7398688575352</v>
      </c>
      <c r="E195" s="11">
        <f t="shared" ref="E195:F195" ca="1" si="195">+D195*EXP(B195)</f>
        <v>1476.5974503101161</v>
      </c>
      <c r="F195" s="11">
        <f t="shared" ca="1" si="195"/>
        <v>1386.6082737336578</v>
      </c>
      <c r="G195" s="12">
        <f t="shared" ca="1" si="142"/>
        <v>186.33453748215811</v>
      </c>
      <c r="H195" s="12">
        <f t="shared" ca="1" si="143"/>
        <v>47.830160779871676</v>
      </c>
    </row>
    <row r="196" spans="1:8" x14ac:dyDescent="0.35">
      <c r="A196" s="15">
        <v>183</v>
      </c>
      <c r="B196" s="10">
        <f t="shared" ca="1" si="138"/>
        <v>-0.13460442646927373</v>
      </c>
      <c r="C196" s="10">
        <f t="shared" ca="1" si="139"/>
        <v>0.34917620740477817</v>
      </c>
      <c r="D196" s="11">
        <f t="shared" si="140"/>
        <v>1447.7398688575352</v>
      </c>
      <c r="E196" s="11">
        <f t="shared" ref="E196:F196" ca="1" si="196">+D196*EXP(B196)</f>
        <v>1265.4138246284915</v>
      </c>
      <c r="F196" s="11">
        <f t="shared" ca="1" si="196"/>
        <v>1794.2290125170937</v>
      </c>
      <c r="G196" s="12">
        <f t="shared" ca="1" si="142"/>
        <v>75.973851509176995</v>
      </c>
      <c r="H196" s="12">
        <f t="shared" ca="1" si="143"/>
        <v>338.88278220231291</v>
      </c>
    </row>
    <row r="197" spans="1:8" x14ac:dyDescent="0.35">
      <c r="A197" s="15">
        <v>184</v>
      </c>
      <c r="B197" s="10">
        <f t="shared" ca="1" si="138"/>
        <v>0.22791010250726423</v>
      </c>
      <c r="C197" s="10">
        <f t="shared" ca="1" si="139"/>
        <v>0.19802795395793968</v>
      </c>
      <c r="D197" s="11">
        <f t="shared" si="140"/>
        <v>1447.7398688575352</v>
      </c>
      <c r="E197" s="11">
        <f t="shared" ref="E197:F197" ca="1" si="197">+D197*EXP(B197)</f>
        <v>1818.3213344386866</v>
      </c>
      <c r="F197" s="11">
        <f t="shared" ca="1" si="197"/>
        <v>2216.5272864088661</v>
      </c>
      <c r="G197" s="12">
        <f t="shared" ca="1" si="142"/>
        <v>453.74407964552483</v>
      </c>
      <c r="H197" s="12">
        <f t="shared" ca="1" si="143"/>
        <v>753.68315991801364</v>
      </c>
    </row>
    <row r="198" spans="1:8" x14ac:dyDescent="0.35">
      <c r="A198" s="15">
        <v>185</v>
      </c>
      <c r="B198" s="10">
        <f t="shared" ca="1" si="138"/>
        <v>6.9130073778238196E-3</v>
      </c>
      <c r="C198" s="10">
        <f t="shared" ca="1" si="139"/>
        <v>-0.30183253651375119</v>
      </c>
      <c r="D198" s="11">
        <f t="shared" si="140"/>
        <v>1447.7398688575352</v>
      </c>
      <c r="E198" s="11">
        <f t="shared" ref="E198:F198" ca="1" si="198">+D198*EXP(B198)</f>
        <v>1457.7827786111468</v>
      </c>
      <c r="F198" s="11">
        <f t="shared" ca="1" si="198"/>
        <v>1077.974804872033</v>
      </c>
      <c r="G198" s="12">
        <f t="shared" ca="1" si="142"/>
        <v>174.43550640077081</v>
      </c>
      <c r="H198" s="12">
        <f t="shared" ca="1" si="143"/>
        <v>0.97165067085334655</v>
      </c>
    </row>
    <row r="199" spans="1:8" x14ac:dyDescent="0.35">
      <c r="A199" s="15">
        <v>186</v>
      </c>
      <c r="B199" s="10">
        <f t="shared" ca="1" si="138"/>
        <v>-6.8031492766849569E-2</v>
      </c>
      <c r="C199" s="10">
        <f t="shared" ca="1" si="139"/>
        <v>-5.4285094386535837E-3</v>
      </c>
      <c r="D199" s="11">
        <f t="shared" si="140"/>
        <v>1447.7398688575352</v>
      </c>
      <c r="E199" s="11">
        <f t="shared" ref="E199:F199" ca="1" si="199">+D199*EXP(B199)</f>
        <v>1352.5235401162267</v>
      </c>
      <c r="F199" s="11">
        <f t="shared" ca="1" si="199"/>
        <v>1345.2012458659708</v>
      </c>
      <c r="G199" s="12">
        <f t="shared" ca="1" si="142"/>
        <v>115.09825357880527</v>
      </c>
      <c r="H199" s="12">
        <f t="shared" ca="1" si="143"/>
        <v>33.777837175737773</v>
      </c>
    </row>
    <row r="200" spans="1:8" x14ac:dyDescent="0.35">
      <c r="A200" s="15">
        <v>187</v>
      </c>
      <c r="B200" s="10">
        <f t="shared" ca="1" si="138"/>
        <v>-6.0408290600843448E-2</v>
      </c>
      <c r="C200" s="10">
        <f t="shared" ca="1" si="139"/>
        <v>0.33629995027830639</v>
      </c>
      <c r="D200" s="11">
        <f t="shared" si="140"/>
        <v>1447.7398688575352</v>
      </c>
      <c r="E200" s="11">
        <f t="shared" ref="E200:F200" ca="1" si="200">+D200*EXP(B200)</f>
        <v>1362.8735002938338</v>
      </c>
      <c r="F200" s="11">
        <f t="shared" ca="1" si="200"/>
        <v>1907.6942024395723</v>
      </c>
      <c r="G200" s="12">
        <f t="shared" ca="1" si="142"/>
        <v>120.3629592750915</v>
      </c>
      <c r="H200" s="12">
        <f t="shared" ca="1" si="143"/>
        <v>447.49676140690804</v>
      </c>
    </row>
    <row r="201" spans="1:8" x14ac:dyDescent="0.35">
      <c r="A201" s="15">
        <v>188</v>
      </c>
      <c r="B201" s="10">
        <f t="shared" ca="1" si="138"/>
        <v>0.16008983481551964</v>
      </c>
      <c r="C201" s="10">
        <f t="shared" ca="1" si="139"/>
        <v>-0.28350107054642704</v>
      </c>
      <c r="D201" s="11">
        <f t="shared" si="140"/>
        <v>1447.7398688575352</v>
      </c>
      <c r="E201" s="11">
        <f t="shared" ref="E201:F201" ca="1" si="201">+D201*EXP(B201)</f>
        <v>1699.0911051526805</v>
      </c>
      <c r="F201" s="11">
        <f t="shared" ca="1" si="201"/>
        <v>1279.6574098017011</v>
      </c>
      <c r="G201" s="12">
        <f t="shared" ca="1" si="142"/>
        <v>351.37362553550633</v>
      </c>
      <c r="H201" s="12">
        <f t="shared" ca="1" si="143"/>
        <v>17.800241203129758</v>
      </c>
    </row>
    <row r="202" spans="1:8" x14ac:dyDescent="0.35">
      <c r="A202" s="15">
        <v>189</v>
      </c>
      <c r="B202" s="10">
        <f t="shared" ca="1" si="138"/>
        <v>-3.626108856035367E-3</v>
      </c>
      <c r="C202" s="10">
        <f t="shared" ca="1" si="139"/>
        <v>7.8131113955555859E-2</v>
      </c>
      <c r="D202" s="11">
        <f t="shared" si="140"/>
        <v>1447.7398688575352</v>
      </c>
      <c r="E202" s="11">
        <f t="shared" ref="E202:F202" ca="1" si="202">+D202*EXP(B202)</f>
        <v>1442.4997129275014</v>
      </c>
      <c r="F202" s="11">
        <f t="shared" ca="1" si="202"/>
        <v>1559.7236128975562</v>
      </c>
      <c r="G202" s="12">
        <f t="shared" ca="1" si="142"/>
        <v>165.04670750985701</v>
      </c>
      <c r="H202" s="12">
        <f t="shared" ca="1" si="143"/>
        <v>142.14867349781218</v>
      </c>
    </row>
    <row r="203" spans="1:8" x14ac:dyDescent="0.35">
      <c r="A203" s="15">
        <v>190</v>
      </c>
      <c r="B203" s="10">
        <f t="shared" ca="1" si="138"/>
        <v>0.17852786804918147</v>
      </c>
      <c r="C203" s="10">
        <f t="shared" ca="1" si="139"/>
        <v>0.16132848031695018</v>
      </c>
      <c r="D203" s="11">
        <f t="shared" si="140"/>
        <v>1447.7398688575352</v>
      </c>
      <c r="E203" s="11">
        <f t="shared" ref="E203:F203" ca="1" si="203">+D203*EXP(B203)</f>
        <v>1730.7095990878161</v>
      </c>
      <c r="F203" s="11">
        <f t="shared" ca="1" si="203"/>
        <v>2033.7064742718328</v>
      </c>
      <c r="G203" s="12">
        <f t="shared" ca="1" si="142"/>
        <v>377.78183019031644</v>
      </c>
      <c r="H203" s="12">
        <f t="shared" ca="1" si="143"/>
        <v>571.55968228369534</v>
      </c>
    </row>
    <row r="204" spans="1:8" x14ac:dyDescent="0.35">
      <c r="A204" s="15">
        <v>191</v>
      </c>
      <c r="B204" s="10">
        <f t="shared" ca="1" si="138"/>
        <v>0.12069225437427819</v>
      </c>
      <c r="C204" s="10">
        <f t="shared" ca="1" si="139"/>
        <v>0.57181825443343914</v>
      </c>
      <c r="D204" s="11">
        <f t="shared" si="140"/>
        <v>1447.7398688575352</v>
      </c>
      <c r="E204" s="11">
        <f t="shared" ref="E204:F204" ca="1" si="204">+D204*EXP(B204)</f>
        <v>1633.4525173950617</v>
      </c>
      <c r="F204" s="11">
        <f t="shared" ca="1" si="204"/>
        <v>2893.6368542750847</v>
      </c>
      <c r="G204" s="12">
        <f t="shared" ca="1" si="142"/>
        <v>298.58853633334672</v>
      </c>
      <c r="H204" s="12">
        <f t="shared" ca="1" si="143"/>
        <v>1430.6720257763163</v>
      </c>
    </row>
    <row r="205" spans="1:8" x14ac:dyDescent="0.35">
      <c r="A205" s="15">
        <v>192</v>
      </c>
      <c r="B205" s="10">
        <f t="shared" ca="1" si="138"/>
        <v>-0.2400583294764449</v>
      </c>
      <c r="C205" s="10">
        <f t="shared" ca="1" si="139"/>
        <v>-6.4454101624514731E-2</v>
      </c>
      <c r="D205" s="11">
        <f t="shared" si="140"/>
        <v>1447.7398688575352</v>
      </c>
      <c r="E205" s="11">
        <f t="shared" ref="E205:F205" ca="1" si="205">+D205*EXP(B205)</f>
        <v>1138.7660908530372</v>
      </c>
      <c r="F205" s="11">
        <f t="shared" ca="1" si="205"/>
        <v>1067.6833396779587</v>
      </c>
      <c r="G205" s="12">
        <f t="shared" ca="1" si="142"/>
        <v>35.706253410876599</v>
      </c>
      <c r="H205" s="12">
        <f t="shared" ca="1" si="143"/>
        <v>0.79758005107681029</v>
      </c>
    </row>
    <row r="206" spans="1:8" x14ac:dyDescent="0.35">
      <c r="A206" s="15">
        <v>193</v>
      </c>
      <c r="B206" s="10">
        <f t="shared" ca="1" si="138"/>
        <v>-1.6789878966519255E-2</v>
      </c>
      <c r="C206" s="10">
        <f t="shared" ca="1" si="139"/>
        <v>0.22831230447270939</v>
      </c>
      <c r="D206" s="11">
        <f t="shared" si="140"/>
        <v>1447.7398688575352</v>
      </c>
      <c r="E206" s="11">
        <f t="shared" ref="E206:F206" ca="1" si="206">+D206*EXP(B206)</f>
        <v>1423.6354133806626</v>
      </c>
      <c r="F206" s="11">
        <f t="shared" ca="1" si="206"/>
        <v>1788.766103944401</v>
      </c>
      <c r="G206" s="12">
        <f t="shared" ca="1" si="142"/>
        <v>153.80914816815289</v>
      </c>
      <c r="H206" s="12">
        <f t="shared" ca="1" si="143"/>
        <v>333.78258801428569</v>
      </c>
    </row>
    <row r="207" spans="1:8" x14ac:dyDescent="0.35">
      <c r="A207" s="15">
        <v>194</v>
      </c>
      <c r="B207" s="10">
        <f t="shared" ref="B207:B270" ca="1" si="207">+($B$6-0.5*$B$10^2)*$H$4+$B$10*SQRT($H$4)*_xlfn.NORM.S.INV(RAND())</f>
        <v>-9.9773225311356337E-2</v>
      </c>
      <c r="C207" s="10">
        <f t="shared" ref="C207:C270" ca="1" si="208">+($B$6-0.5*$B$10^2)+$B$10*_xlfn.NORM.S.INV(RAND())</f>
        <v>0.21407341176909642</v>
      </c>
      <c r="D207" s="11">
        <f t="shared" ref="D207:D270" si="209">+$B$9</f>
        <v>1447.7398688575352</v>
      </c>
      <c r="E207" s="11">
        <f t="shared" ref="E207:F207" ca="1" si="210">+D207*EXP(B207)</f>
        <v>1310.2663064696324</v>
      </c>
      <c r="F207" s="11">
        <f t="shared" ca="1" si="210"/>
        <v>1623.0446772134835</v>
      </c>
      <c r="G207" s="12">
        <f t="shared" ref="G207:G270" ca="1" si="211">+BlackScholesCall(E207,$B$4,$B$10,$B$6,$B$7-$H$4)</f>
        <v>94.951181089082581</v>
      </c>
      <c r="H207" s="12">
        <f t="shared" ref="H207:H270" ca="1" si="212">+BlackScholesCall(F207,$B$4,$B$10,$B$6,$B$7-$I$4)</f>
        <v>189.40759500718605</v>
      </c>
    </row>
    <row r="208" spans="1:8" x14ac:dyDescent="0.35">
      <c r="A208" s="15">
        <v>195</v>
      </c>
      <c r="B208" s="10">
        <f t="shared" ca="1" si="207"/>
        <v>0.15384807850537158</v>
      </c>
      <c r="C208" s="10">
        <f t="shared" ca="1" si="208"/>
        <v>7.9117857844755862E-3</v>
      </c>
      <c r="D208" s="11">
        <f t="shared" si="209"/>
        <v>1447.7398688575352</v>
      </c>
      <c r="E208" s="11">
        <f t="shared" ref="E208:F208" ca="1" si="213">+D208*EXP(B208)</f>
        <v>1688.5188216584206</v>
      </c>
      <c r="F208" s="11">
        <f t="shared" ca="1" si="213"/>
        <v>1701.9310080786081</v>
      </c>
      <c r="G208" s="12">
        <f t="shared" ca="1" si="211"/>
        <v>342.67856402024131</v>
      </c>
      <c r="H208" s="12">
        <f t="shared" ca="1" si="212"/>
        <v>255.18785000258504</v>
      </c>
    </row>
    <row r="209" spans="1:8" x14ac:dyDescent="0.35">
      <c r="A209" s="15">
        <v>196</v>
      </c>
      <c r="B209" s="10">
        <f t="shared" ca="1" si="207"/>
        <v>0.28767374276197616</v>
      </c>
      <c r="C209" s="10">
        <f t="shared" ca="1" si="208"/>
        <v>0.11361299267622868</v>
      </c>
      <c r="D209" s="11">
        <f t="shared" si="209"/>
        <v>1447.7398688575352</v>
      </c>
      <c r="E209" s="11">
        <f t="shared" ref="E209:F209" ca="1" si="214">+D209*EXP(B209)</f>
        <v>1930.3037462449788</v>
      </c>
      <c r="F209" s="11">
        <f t="shared" ca="1" si="214"/>
        <v>2162.5549387076949</v>
      </c>
      <c r="G209" s="12">
        <f t="shared" ca="1" si="211"/>
        <v>555.52886817288527</v>
      </c>
      <c r="H209" s="12">
        <f t="shared" ca="1" si="212"/>
        <v>699.80585342286622</v>
      </c>
    </row>
    <row r="210" spans="1:8" x14ac:dyDescent="0.35">
      <c r="A210" s="15">
        <v>197</v>
      </c>
      <c r="B210" s="10">
        <f t="shared" ca="1" si="207"/>
        <v>-5.0692773648485512E-2</v>
      </c>
      <c r="C210" s="10">
        <f t="shared" ca="1" si="208"/>
        <v>0.18112043024990493</v>
      </c>
      <c r="D210" s="11">
        <f t="shared" si="209"/>
        <v>1447.7398688575352</v>
      </c>
      <c r="E210" s="11">
        <f t="shared" ref="E210:F210" ca="1" si="215">+D210*EXP(B210)</f>
        <v>1376.179051382951</v>
      </c>
      <c r="F210" s="11">
        <f t="shared" ca="1" si="215"/>
        <v>1649.432494209377</v>
      </c>
      <c r="G210" s="12">
        <f t="shared" ca="1" si="211"/>
        <v>127.31884606767085</v>
      </c>
      <c r="H210" s="12">
        <f t="shared" ca="1" si="212"/>
        <v>210.66468507524633</v>
      </c>
    </row>
    <row r="211" spans="1:8" x14ac:dyDescent="0.35">
      <c r="A211" s="15">
        <v>198</v>
      </c>
      <c r="B211" s="10">
        <f t="shared" ca="1" si="207"/>
        <v>3.502485306205174E-2</v>
      </c>
      <c r="C211" s="10">
        <f t="shared" ca="1" si="208"/>
        <v>-6.0104625418146082E-3</v>
      </c>
      <c r="D211" s="11">
        <f t="shared" si="209"/>
        <v>1447.7398688575352</v>
      </c>
      <c r="E211" s="11">
        <f t="shared" ref="E211:F211" ca="1" si="216">+D211*EXP(B211)</f>
        <v>1499.3452042601937</v>
      </c>
      <c r="F211" s="11">
        <f t="shared" ca="1" si="216"/>
        <v>1490.3604743123967</v>
      </c>
      <c r="G211" s="12">
        <f t="shared" ca="1" si="211"/>
        <v>201.2077463576129</v>
      </c>
      <c r="H211" s="12">
        <f t="shared" ca="1" si="212"/>
        <v>97.654278616878628</v>
      </c>
    </row>
    <row r="212" spans="1:8" x14ac:dyDescent="0.35">
      <c r="A212" s="15">
        <v>199</v>
      </c>
      <c r="B212" s="10">
        <f t="shared" ca="1" si="207"/>
        <v>7.4795688585723524E-2</v>
      </c>
      <c r="C212" s="10">
        <f t="shared" ca="1" si="208"/>
        <v>0.16179711753985551</v>
      </c>
      <c r="D212" s="11">
        <f t="shared" si="209"/>
        <v>1447.7398688575352</v>
      </c>
      <c r="E212" s="11">
        <f t="shared" ref="E212:F212" ca="1" si="217">+D212*EXP(B212)</f>
        <v>1560.1770646971484</v>
      </c>
      <c r="F212" s="11">
        <f t="shared" ca="1" si="217"/>
        <v>1834.1780194982171</v>
      </c>
      <c r="G212" s="12">
        <f t="shared" ca="1" si="211"/>
        <v>243.4425444791442</v>
      </c>
      <c r="H212" s="12">
        <f t="shared" ca="1" si="212"/>
        <v>376.60030261001702</v>
      </c>
    </row>
    <row r="213" spans="1:8" x14ac:dyDescent="0.35">
      <c r="A213" s="15">
        <v>200</v>
      </c>
      <c r="B213" s="10">
        <f t="shared" ca="1" si="207"/>
        <v>6.320433208996501E-2</v>
      </c>
      <c r="C213" s="10">
        <f t="shared" ca="1" si="208"/>
        <v>3.779353226838051E-2</v>
      </c>
      <c r="D213" s="11">
        <f t="shared" si="209"/>
        <v>1447.7398688575352</v>
      </c>
      <c r="E213" s="11">
        <f t="shared" ref="E213:F213" ca="1" si="218">+D213*EXP(B213)</f>
        <v>1542.196904682753</v>
      </c>
      <c r="F213" s="11">
        <f t="shared" ca="1" si="218"/>
        <v>1601.5973798250027</v>
      </c>
      <c r="G213" s="12">
        <f t="shared" ca="1" si="211"/>
        <v>230.60186325426253</v>
      </c>
      <c r="H213" s="12">
        <f t="shared" ca="1" si="212"/>
        <v>172.77089918754427</v>
      </c>
    </row>
    <row r="214" spans="1:8" x14ac:dyDescent="0.35">
      <c r="A214" s="15">
        <v>201</v>
      </c>
      <c r="B214" s="10">
        <f t="shared" ca="1" si="207"/>
        <v>0.33637430698089055</v>
      </c>
      <c r="C214" s="10">
        <f t="shared" ca="1" si="208"/>
        <v>-1.6771276013214993E-2</v>
      </c>
      <c r="D214" s="11">
        <f t="shared" si="209"/>
        <v>1447.7398688575352</v>
      </c>
      <c r="E214" s="11">
        <f t="shared" ref="E214:F214" ca="1" si="219">+D214*EXP(B214)</f>
        <v>2026.6373388166346</v>
      </c>
      <c r="F214" s="11">
        <f t="shared" ca="1" si="219"/>
        <v>1992.9314798105313</v>
      </c>
      <c r="G214" s="12">
        <f t="shared" ca="1" si="211"/>
        <v>646.09613713798944</v>
      </c>
      <c r="H214" s="12">
        <f t="shared" ca="1" si="212"/>
        <v>531.19223695272967</v>
      </c>
    </row>
    <row r="215" spans="1:8" x14ac:dyDescent="0.35">
      <c r="A215" s="15">
        <v>202</v>
      </c>
      <c r="B215" s="10">
        <f t="shared" ca="1" si="207"/>
        <v>-0.11613143480888276</v>
      </c>
      <c r="C215" s="10">
        <f t="shared" ca="1" si="208"/>
        <v>0.2293787111003677</v>
      </c>
      <c r="D215" s="11">
        <f t="shared" si="209"/>
        <v>1447.7398688575352</v>
      </c>
      <c r="E215" s="11">
        <f t="shared" ref="E215:F215" ca="1" si="220">+D215*EXP(B215)</f>
        <v>1289.0070514677527</v>
      </c>
      <c r="F215" s="11">
        <f t="shared" ca="1" si="220"/>
        <v>1621.3366563266325</v>
      </c>
      <c r="G215" s="12">
        <f t="shared" ca="1" si="211"/>
        <v>85.645170913128936</v>
      </c>
      <c r="H215" s="12">
        <f t="shared" ca="1" si="212"/>
        <v>188.0608155927232</v>
      </c>
    </row>
    <row r="216" spans="1:8" x14ac:dyDescent="0.35">
      <c r="A216" s="15">
        <v>203</v>
      </c>
      <c r="B216" s="10">
        <f t="shared" ca="1" si="207"/>
        <v>-0.10620246875019423</v>
      </c>
      <c r="C216" s="10">
        <f t="shared" ca="1" si="208"/>
        <v>-5.4318542711795634E-2</v>
      </c>
      <c r="D216" s="11">
        <f t="shared" si="209"/>
        <v>1447.7398688575352</v>
      </c>
      <c r="E216" s="11">
        <f t="shared" ref="E216:F216" ca="1" si="221">+D216*EXP(B216)</f>
        <v>1301.8693075151116</v>
      </c>
      <c r="F216" s="11">
        <f t="shared" ca="1" si="221"/>
        <v>1233.0399419576249</v>
      </c>
      <c r="G216" s="12">
        <f t="shared" ca="1" si="211"/>
        <v>91.208656566307468</v>
      </c>
      <c r="H216" s="12">
        <f t="shared" ca="1" si="212"/>
        <v>10.442713836545693</v>
      </c>
    </row>
    <row r="217" spans="1:8" x14ac:dyDescent="0.35">
      <c r="A217" s="15">
        <v>204</v>
      </c>
      <c r="B217" s="10">
        <f t="shared" ca="1" si="207"/>
        <v>0.10351053488223501</v>
      </c>
      <c r="C217" s="10">
        <f t="shared" ca="1" si="208"/>
        <v>0.17425634993281985</v>
      </c>
      <c r="D217" s="11">
        <f t="shared" si="209"/>
        <v>1447.7398688575352</v>
      </c>
      <c r="E217" s="11">
        <f t="shared" ref="E217:F217" ca="1" si="222">+D217*EXP(B217)</f>
        <v>1605.6267264427217</v>
      </c>
      <c r="F217" s="11">
        <f t="shared" ca="1" si="222"/>
        <v>1911.2749148344831</v>
      </c>
      <c r="G217" s="12">
        <f t="shared" ca="1" si="211"/>
        <v>277.14036413492772</v>
      </c>
      <c r="H217" s="12">
        <f t="shared" ca="1" si="212"/>
        <v>450.98674357109894</v>
      </c>
    </row>
    <row r="218" spans="1:8" x14ac:dyDescent="0.35">
      <c r="A218" s="15">
        <v>205</v>
      </c>
      <c r="B218" s="10">
        <f t="shared" ca="1" si="207"/>
        <v>-7.3773770431195193E-2</v>
      </c>
      <c r="C218" s="10">
        <f t="shared" ca="1" si="208"/>
        <v>0.16886447178670658</v>
      </c>
      <c r="D218" s="11">
        <f t="shared" si="209"/>
        <v>1447.7398688575352</v>
      </c>
      <c r="E218" s="11">
        <f t="shared" ref="E218:F218" ca="1" si="223">+D218*EXP(B218)</f>
        <v>1344.7792306687988</v>
      </c>
      <c r="F218" s="11">
        <f t="shared" ca="1" si="223"/>
        <v>1592.1643716260351</v>
      </c>
      <c r="G218" s="12">
        <f t="shared" ca="1" si="211"/>
        <v>111.24326919062048</v>
      </c>
      <c r="H218" s="12">
        <f t="shared" ca="1" si="212"/>
        <v>165.64993829447644</v>
      </c>
    </row>
    <row r="219" spans="1:8" x14ac:dyDescent="0.35">
      <c r="A219" s="15">
        <v>206</v>
      </c>
      <c r="B219" s="10">
        <f t="shared" ca="1" si="207"/>
        <v>-0.11625011481937077</v>
      </c>
      <c r="C219" s="10">
        <f t="shared" ca="1" si="208"/>
        <v>-0.10754145996069397</v>
      </c>
      <c r="D219" s="11">
        <f t="shared" si="209"/>
        <v>1447.7398688575352</v>
      </c>
      <c r="E219" s="11">
        <f t="shared" ref="E219:F219" ca="1" si="224">+D219*EXP(B219)</f>
        <v>1288.8540811748028</v>
      </c>
      <c r="F219" s="11">
        <f t="shared" ca="1" si="224"/>
        <v>1157.4416026898448</v>
      </c>
      <c r="G219" s="12">
        <f t="shared" ca="1" si="211"/>
        <v>85.580238770118854</v>
      </c>
      <c r="H219" s="12">
        <f t="shared" ca="1" si="212"/>
        <v>3.7327504210960853</v>
      </c>
    </row>
    <row r="220" spans="1:8" x14ac:dyDescent="0.35">
      <c r="A220" s="15">
        <v>207</v>
      </c>
      <c r="B220" s="10">
        <f t="shared" ca="1" si="207"/>
        <v>-6.2898454060607983E-2</v>
      </c>
      <c r="C220" s="10">
        <f t="shared" ca="1" si="208"/>
        <v>0.19565665770117788</v>
      </c>
      <c r="D220" s="11">
        <f t="shared" si="209"/>
        <v>1447.7398688575352</v>
      </c>
      <c r="E220" s="11">
        <f t="shared" ref="E220:F220" ca="1" si="225">+D220*EXP(B220)</f>
        <v>1359.4839445286048</v>
      </c>
      <c r="F220" s="11">
        <f t="shared" ca="1" si="225"/>
        <v>1653.281057111534</v>
      </c>
      <c r="G220" s="12">
        <f t="shared" ca="1" si="211"/>
        <v>118.62465640081962</v>
      </c>
      <c r="H220" s="12">
        <f t="shared" ca="1" si="212"/>
        <v>213.83242557048561</v>
      </c>
    </row>
    <row r="221" spans="1:8" x14ac:dyDescent="0.35">
      <c r="A221" s="15">
        <v>208</v>
      </c>
      <c r="B221" s="10">
        <f t="shared" ca="1" si="207"/>
        <v>2.9409056909818772E-2</v>
      </c>
      <c r="C221" s="10">
        <f t="shared" ca="1" si="208"/>
        <v>0.24385890914217753</v>
      </c>
      <c r="D221" s="11">
        <f t="shared" si="209"/>
        <v>1447.7398688575352</v>
      </c>
      <c r="E221" s="11">
        <f t="shared" ref="E221:F221" ca="1" si="226">+D221*EXP(B221)</f>
        <v>1490.948785585676</v>
      </c>
      <c r="F221" s="11">
        <f t="shared" ca="1" si="226"/>
        <v>1902.6955576449927</v>
      </c>
      <c r="G221" s="12">
        <f t="shared" ca="1" si="211"/>
        <v>195.65702905303931</v>
      </c>
      <c r="H221" s="12">
        <f t="shared" ca="1" si="212"/>
        <v>442.62955195277505</v>
      </c>
    </row>
    <row r="222" spans="1:8" x14ac:dyDescent="0.35">
      <c r="A222" s="15">
        <v>209</v>
      </c>
      <c r="B222" s="10">
        <f t="shared" ca="1" si="207"/>
        <v>1.3429548384532261E-2</v>
      </c>
      <c r="C222" s="10">
        <f t="shared" ca="1" si="208"/>
        <v>0.48323540430800083</v>
      </c>
      <c r="D222" s="11">
        <f t="shared" si="209"/>
        <v>1447.7398688575352</v>
      </c>
      <c r="E222" s="11">
        <f t="shared" ref="E222:F222" ca="1" si="227">+D222*EXP(B222)</f>
        <v>1467.3134998075302</v>
      </c>
      <c r="F222" s="11">
        <f t="shared" ca="1" si="227"/>
        <v>2378.9722862803328</v>
      </c>
      <c r="G222" s="12">
        <f t="shared" ca="1" si="211"/>
        <v>180.4166812190382</v>
      </c>
      <c r="H222" s="12">
        <f t="shared" ca="1" si="212"/>
        <v>916.02708677920441</v>
      </c>
    </row>
    <row r="223" spans="1:8" x14ac:dyDescent="0.35">
      <c r="A223" s="15">
        <v>210</v>
      </c>
      <c r="B223" s="10">
        <f t="shared" ca="1" si="207"/>
        <v>5.5253513086909491E-2</v>
      </c>
      <c r="C223" s="10">
        <f t="shared" ca="1" si="208"/>
        <v>2.1671360524801196E-2</v>
      </c>
      <c r="D223" s="11">
        <f t="shared" si="209"/>
        <v>1447.7398688575352</v>
      </c>
      <c r="E223" s="11">
        <f t="shared" ref="E223:F223" ca="1" si="228">+D223*EXP(B223)</f>
        <v>1529.983792686143</v>
      </c>
      <c r="F223" s="11">
        <f t="shared" ca="1" si="228"/>
        <v>1563.5025093283416</v>
      </c>
      <c r="G223" s="12">
        <f t="shared" ca="1" si="211"/>
        <v>222.04721391831629</v>
      </c>
      <c r="H223" s="12">
        <f t="shared" ca="1" si="212"/>
        <v>144.80402204783582</v>
      </c>
    </row>
    <row r="224" spans="1:8" x14ac:dyDescent="0.35">
      <c r="A224" s="15">
        <v>211</v>
      </c>
      <c r="B224" s="10">
        <f t="shared" ca="1" si="207"/>
        <v>7.4853028534769883E-2</v>
      </c>
      <c r="C224" s="10">
        <f t="shared" ca="1" si="208"/>
        <v>0.20665470679185968</v>
      </c>
      <c r="D224" s="11">
        <f t="shared" si="209"/>
        <v>1447.7398688575352</v>
      </c>
      <c r="E224" s="11">
        <f t="shared" ref="E224:F224" ca="1" si="229">+D224*EXP(B224)</f>
        <v>1560.2665277354201</v>
      </c>
      <c r="F224" s="11">
        <f t="shared" ca="1" si="229"/>
        <v>1918.4380984234569</v>
      </c>
      <c r="G224" s="12">
        <f t="shared" ca="1" si="211"/>
        <v>243.50715376919391</v>
      </c>
      <c r="H224" s="12">
        <f t="shared" ca="1" si="212"/>
        <v>457.97665243739993</v>
      </c>
    </row>
    <row r="225" spans="1:8" x14ac:dyDescent="0.35">
      <c r="A225" s="15">
        <v>212</v>
      </c>
      <c r="B225" s="10">
        <f t="shared" ca="1" si="207"/>
        <v>-4.2666245417885711E-2</v>
      </c>
      <c r="C225" s="10">
        <f t="shared" ca="1" si="208"/>
        <v>-0.25382306287206469</v>
      </c>
      <c r="D225" s="11">
        <f t="shared" si="209"/>
        <v>1447.7398688575352</v>
      </c>
      <c r="E225" s="11">
        <f t="shared" ref="E225:F225" ca="1" si="230">+D225*EXP(B225)</f>
        <v>1387.2694405083314</v>
      </c>
      <c r="F225" s="11">
        <f t="shared" ca="1" si="230"/>
        <v>1076.2839499763847</v>
      </c>
      <c r="G225" s="12">
        <f t="shared" ca="1" si="211"/>
        <v>133.27641435749081</v>
      </c>
      <c r="H225" s="12">
        <f t="shared" ca="1" si="212"/>
        <v>0.94101031724998663</v>
      </c>
    </row>
    <row r="226" spans="1:8" x14ac:dyDescent="0.35">
      <c r="A226" s="15">
        <v>213</v>
      </c>
      <c r="B226" s="10">
        <f t="shared" ca="1" si="207"/>
        <v>0.25714288292471499</v>
      </c>
      <c r="C226" s="10">
        <f t="shared" ca="1" si="208"/>
        <v>0.130659318464632</v>
      </c>
      <c r="D226" s="11">
        <f t="shared" si="209"/>
        <v>1447.7398688575352</v>
      </c>
      <c r="E226" s="11">
        <f t="shared" ref="E226:F226" ca="1" si="231">+D226*EXP(B226)</f>
        <v>1872.2604771835847</v>
      </c>
      <c r="F226" s="11">
        <f t="shared" ca="1" si="231"/>
        <v>2133.5896237937827</v>
      </c>
      <c r="G226" s="12">
        <f t="shared" ca="1" si="211"/>
        <v>502.21303234931793</v>
      </c>
      <c r="H226" s="12">
        <f t="shared" ca="1" si="212"/>
        <v>670.9179080207241</v>
      </c>
    </row>
    <row r="227" spans="1:8" x14ac:dyDescent="0.35">
      <c r="A227" s="15">
        <v>214</v>
      </c>
      <c r="B227" s="10">
        <f t="shared" ca="1" si="207"/>
        <v>-0.21524006538859264</v>
      </c>
      <c r="C227" s="10">
        <f t="shared" ca="1" si="208"/>
        <v>0.16388868150894531</v>
      </c>
      <c r="D227" s="11">
        <f t="shared" si="209"/>
        <v>1447.7398688575352</v>
      </c>
      <c r="E227" s="11">
        <f t="shared" ref="E227:F227" ca="1" si="232">+D227*EXP(B227)</f>
        <v>1167.3819171952894</v>
      </c>
      <c r="F227" s="11">
        <f t="shared" ca="1" si="232"/>
        <v>1375.2729841851146</v>
      </c>
      <c r="G227" s="12">
        <f t="shared" ca="1" si="211"/>
        <v>43.13103076911068</v>
      </c>
      <c r="H227" s="12">
        <f t="shared" ca="1" si="212"/>
        <v>43.659239733183597</v>
      </c>
    </row>
    <row r="228" spans="1:8" x14ac:dyDescent="0.35">
      <c r="A228" s="15">
        <v>215</v>
      </c>
      <c r="B228" s="10">
        <f t="shared" ca="1" si="207"/>
        <v>-0.14229264185741242</v>
      </c>
      <c r="C228" s="10">
        <f t="shared" ca="1" si="208"/>
        <v>0.18758714633965998</v>
      </c>
      <c r="D228" s="11">
        <f t="shared" si="209"/>
        <v>1447.7398688575352</v>
      </c>
      <c r="E228" s="11">
        <f t="shared" ref="E228:F228" ca="1" si="233">+D228*EXP(B228)</f>
        <v>1255.722353386228</v>
      </c>
      <c r="F228" s="11">
        <f t="shared" ca="1" si="233"/>
        <v>1514.8222929946603</v>
      </c>
      <c r="G228" s="12">
        <f t="shared" ca="1" si="211"/>
        <v>72.201513101940407</v>
      </c>
      <c r="H228" s="12">
        <f t="shared" ca="1" si="212"/>
        <v>112.3892031268274</v>
      </c>
    </row>
    <row r="229" spans="1:8" x14ac:dyDescent="0.35">
      <c r="A229" s="15">
        <v>216</v>
      </c>
      <c r="B229" s="10">
        <f t="shared" ca="1" si="207"/>
        <v>-0.17450188830863433</v>
      </c>
      <c r="C229" s="10">
        <f t="shared" ca="1" si="208"/>
        <v>0.11646250575260765</v>
      </c>
      <c r="D229" s="11">
        <f t="shared" si="209"/>
        <v>1447.7398688575352</v>
      </c>
      <c r="E229" s="11">
        <f t="shared" ref="E229:F229" ca="1" si="234">+D229*EXP(B229)</f>
        <v>1215.9209107621539</v>
      </c>
      <c r="F229" s="11">
        <f t="shared" ca="1" si="234"/>
        <v>1366.1058493500009</v>
      </c>
      <c r="G229" s="12">
        <f t="shared" ca="1" si="211"/>
        <v>57.927926414939179</v>
      </c>
      <c r="H229" s="12">
        <f t="shared" ca="1" si="212"/>
        <v>40.466465720772476</v>
      </c>
    </row>
    <row r="230" spans="1:8" x14ac:dyDescent="0.35">
      <c r="A230" s="15">
        <v>217</v>
      </c>
      <c r="B230" s="10">
        <f t="shared" ca="1" si="207"/>
        <v>-8.1689834493814062E-2</v>
      </c>
      <c r="C230" s="10">
        <f t="shared" ca="1" si="208"/>
        <v>-0.15087124475278837</v>
      </c>
      <c r="D230" s="11">
        <f t="shared" si="209"/>
        <v>1447.7398688575352</v>
      </c>
      <c r="E230" s="11">
        <f t="shared" ref="E230:F230" ca="1" si="235">+D230*EXP(B230)</f>
        <v>1334.175895838262</v>
      </c>
      <c r="F230" s="11">
        <f t="shared" ca="1" si="235"/>
        <v>1147.3357896365342</v>
      </c>
      <c r="G230" s="12">
        <f t="shared" ca="1" si="211"/>
        <v>106.08297205789836</v>
      </c>
      <c r="H230" s="12">
        <f t="shared" ca="1" si="212"/>
        <v>3.1971126225337301</v>
      </c>
    </row>
    <row r="231" spans="1:8" x14ac:dyDescent="0.35">
      <c r="A231" s="15">
        <v>218</v>
      </c>
      <c r="B231" s="10">
        <f t="shared" ca="1" si="207"/>
        <v>-0.11920746157060173</v>
      </c>
      <c r="C231" s="10">
        <f t="shared" ca="1" si="208"/>
        <v>1.6387682671692279E-2</v>
      </c>
      <c r="D231" s="11">
        <f t="shared" si="209"/>
        <v>1447.7398688575352</v>
      </c>
      <c r="E231" s="11">
        <f t="shared" ref="E231:F231" ca="1" si="236">+D231*EXP(B231)</f>
        <v>1285.0481232875031</v>
      </c>
      <c r="F231" s="11">
        <f t="shared" ca="1" si="236"/>
        <v>1306.2805843937376</v>
      </c>
      <c r="G231" s="12">
        <f t="shared" ca="1" si="211"/>
        <v>83.974053282445368</v>
      </c>
      <c r="H231" s="12">
        <f t="shared" ca="1" si="212"/>
        <v>23.423920330351336</v>
      </c>
    </row>
    <row r="232" spans="1:8" x14ac:dyDescent="0.35">
      <c r="A232" s="15">
        <v>219</v>
      </c>
      <c r="B232" s="10">
        <f t="shared" ca="1" si="207"/>
        <v>-8.850155198588755E-2</v>
      </c>
      <c r="C232" s="10">
        <f t="shared" ca="1" si="208"/>
        <v>2.3977077943596534E-2</v>
      </c>
      <c r="D232" s="11">
        <f t="shared" si="209"/>
        <v>1447.7398688575352</v>
      </c>
      <c r="E232" s="11">
        <f t="shared" ref="E232:F232" ca="1" si="237">+D232*EXP(B232)</f>
        <v>1325.1187489346335</v>
      </c>
      <c r="F232" s="11">
        <f t="shared" ca="1" si="237"/>
        <v>1357.2751926939834</v>
      </c>
      <c r="G232" s="12">
        <f t="shared" ca="1" si="211"/>
        <v>101.78366628204128</v>
      </c>
      <c r="H232" s="12">
        <f t="shared" ca="1" si="212"/>
        <v>37.541517708945321</v>
      </c>
    </row>
    <row r="233" spans="1:8" x14ac:dyDescent="0.35">
      <c r="A233" s="15">
        <v>220</v>
      </c>
      <c r="B233" s="10">
        <f t="shared" ca="1" si="207"/>
        <v>0.14843484923168571</v>
      </c>
      <c r="C233" s="10">
        <f t="shared" ca="1" si="208"/>
        <v>-0.31037493875103961</v>
      </c>
      <c r="D233" s="11">
        <f t="shared" si="209"/>
        <v>1447.7398688575352</v>
      </c>
      <c r="E233" s="11">
        <f t="shared" ref="E233:F233" ca="1" si="238">+D233*EXP(B233)</f>
        <v>1679.4031769409391</v>
      </c>
      <c r="F233" s="11">
        <f t="shared" ca="1" si="238"/>
        <v>1231.2914029822175</v>
      </c>
      <c r="G233" s="12">
        <f t="shared" ca="1" si="211"/>
        <v>335.23853021836339</v>
      </c>
      <c r="H233" s="12">
        <f t="shared" ca="1" si="212"/>
        <v>10.221609434558985</v>
      </c>
    </row>
    <row r="234" spans="1:8" x14ac:dyDescent="0.35">
      <c r="A234" s="15">
        <v>221</v>
      </c>
      <c r="B234" s="10">
        <f t="shared" ca="1" si="207"/>
        <v>0.24985378412427267</v>
      </c>
      <c r="C234" s="10">
        <f t="shared" ca="1" si="208"/>
        <v>2.675629371573721E-2</v>
      </c>
      <c r="D234" s="11">
        <f t="shared" si="209"/>
        <v>1447.7398688575352</v>
      </c>
      <c r="E234" s="11">
        <f t="shared" ref="E234:F234" ca="1" si="239">+D234*EXP(B234)</f>
        <v>1858.6630024574436</v>
      </c>
      <c r="F234" s="11">
        <f t="shared" ca="1" si="239"/>
        <v>1909.0652170251121</v>
      </c>
      <c r="G234" s="12">
        <f t="shared" ca="1" si="211"/>
        <v>489.88861263092963</v>
      </c>
      <c r="H234" s="12">
        <f t="shared" ca="1" si="212"/>
        <v>448.83270449411748</v>
      </c>
    </row>
    <row r="235" spans="1:8" x14ac:dyDescent="0.35">
      <c r="A235" s="15">
        <v>222</v>
      </c>
      <c r="B235" s="10">
        <f t="shared" ca="1" si="207"/>
        <v>0.39711872136107695</v>
      </c>
      <c r="C235" s="10">
        <f t="shared" ca="1" si="208"/>
        <v>0.18729318443843262</v>
      </c>
      <c r="D235" s="11">
        <f t="shared" si="209"/>
        <v>1447.7398688575352</v>
      </c>
      <c r="E235" s="11">
        <f t="shared" ref="E235:F235" ca="1" si="240">+D235*EXP(B235)</f>
        <v>2153.5601375312867</v>
      </c>
      <c r="F235" s="11">
        <f t="shared" ca="1" si="240"/>
        <v>2597.1521948003974</v>
      </c>
      <c r="G235" s="12">
        <f t="shared" ca="1" si="211"/>
        <v>768.23193131874518</v>
      </c>
      <c r="H235" s="12">
        <f t="shared" ca="1" si="212"/>
        <v>1134.1888411077343</v>
      </c>
    </row>
    <row r="236" spans="1:8" x14ac:dyDescent="0.35">
      <c r="A236" s="15">
        <v>223</v>
      </c>
      <c r="B236" s="10">
        <f t="shared" ca="1" si="207"/>
        <v>0.11637397649971518</v>
      </c>
      <c r="C236" s="10">
        <f t="shared" ca="1" si="208"/>
        <v>-0.22911782048149767</v>
      </c>
      <c r="D236" s="11">
        <f t="shared" si="209"/>
        <v>1447.7398688575352</v>
      </c>
      <c r="E236" s="11">
        <f t="shared" ref="E236:F236" ca="1" si="241">+D236*EXP(B236)</f>
        <v>1626.4140235536947</v>
      </c>
      <c r="F236" s="11">
        <f t="shared" ca="1" si="241"/>
        <v>1293.3810844654531</v>
      </c>
      <c r="G236" s="12">
        <f t="shared" ca="1" si="211"/>
        <v>293.10769145772099</v>
      </c>
      <c r="H236" s="12">
        <f t="shared" ca="1" si="212"/>
        <v>20.559173562184668</v>
      </c>
    </row>
    <row r="237" spans="1:8" x14ac:dyDescent="0.35">
      <c r="A237" s="15">
        <v>224</v>
      </c>
      <c r="B237" s="10">
        <f t="shared" ca="1" si="207"/>
        <v>-0.21257264504990137</v>
      </c>
      <c r="C237" s="10">
        <f t="shared" ca="1" si="208"/>
        <v>0.41036949623794483</v>
      </c>
      <c r="D237" s="11">
        <f t="shared" si="209"/>
        <v>1447.7398688575352</v>
      </c>
      <c r="E237" s="11">
        <f t="shared" ref="E237:F237" ca="1" si="242">+D237*EXP(B237)</f>
        <v>1170.4999721971205</v>
      </c>
      <c r="F237" s="11">
        <f t="shared" ca="1" si="242"/>
        <v>1764.3819876589882</v>
      </c>
      <c r="G237" s="12">
        <f t="shared" ca="1" si="211"/>
        <v>43.997242807726082</v>
      </c>
      <c r="H237" s="12">
        <f t="shared" ca="1" si="212"/>
        <v>311.21381501390556</v>
      </c>
    </row>
    <row r="238" spans="1:8" x14ac:dyDescent="0.35">
      <c r="A238" s="15">
        <v>225</v>
      </c>
      <c r="B238" s="10">
        <f t="shared" ca="1" si="207"/>
        <v>0.35519667139576777</v>
      </c>
      <c r="C238" s="10">
        <f t="shared" ca="1" si="208"/>
        <v>0.20290447464205072</v>
      </c>
      <c r="D238" s="11">
        <f t="shared" si="209"/>
        <v>1447.7398688575352</v>
      </c>
      <c r="E238" s="11">
        <f t="shared" ref="E238:F238" ca="1" si="243">+D238*EXP(B238)</f>
        <v>2065.1447083519711</v>
      </c>
      <c r="F238" s="11">
        <f t="shared" ca="1" si="243"/>
        <v>2529.7102621284239</v>
      </c>
      <c r="G238" s="12">
        <f t="shared" ca="1" si="211"/>
        <v>682.87016012253684</v>
      </c>
      <c r="H238" s="12">
        <f t="shared" ca="1" si="212"/>
        <v>1066.7487833082182</v>
      </c>
    </row>
    <row r="239" spans="1:8" x14ac:dyDescent="0.35">
      <c r="A239" s="15">
        <v>226</v>
      </c>
      <c r="B239" s="10">
        <f t="shared" ca="1" si="207"/>
        <v>0.21576939830289044</v>
      </c>
      <c r="C239" s="10">
        <f t="shared" ca="1" si="208"/>
        <v>0.11577207797902497</v>
      </c>
      <c r="D239" s="11">
        <f t="shared" si="209"/>
        <v>1447.7398688575352</v>
      </c>
      <c r="E239" s="11">
        <f t="shared" ref="E239:F239" ca="1" si="244">+D239*EXP(B239)</f>
        <v>1796.3790995773672</v>
      </c>
      <c r="F239" s="11">
        <f t="shared" ca="1" si="244"/>
        <v>2016.8665729159763</v>
      </c>
      <c r="G239" s="12">
        <f t="shared" ca="1" si="211"/>
        <v>434.37185890304181</v>
      </c>
      <c r="H239" s="12">
        <f t="shared" ca="1" si="212"/>
        <v>554.86948039196955</v>
      </c>
    </row>
    <row r="240" spans="1:8" x14ac:dyDescent="0.35">
      <c r="A240" s="15">
        <v>227</v>
      </c>
      <c r="B240" s="10">
        <f t="shared" ca="1" si="207"/>
        <v>-7.220425235456987E-2</v>
      </c>
      <c r="C240" s="10">
        <f t="shared" ca="1" si="208"/>
        <v>-2.9657841444066697E-2</v>
      </c>
      <c r="D240" s="11">
        <f t="shared" si="209"/>
        <v>1447.7398688575352</v>
      </c>
      <c r="E240" s="11">
        <f t="shared" ref="E240:F240" ca="1" si="245">+D240*EXP(B240)</f>
        <v>1346.8915432031367</v>
      </c>
      <c r="F240" s="11">
        <f t="shared" ca="1" si="245"/>
        <v>1307.5321890721032</v>
      </c>
      <c r="G240" s="12">
        <f t="shared" ca="1" si="211"/>
        <v>112.287555956294</v>
      </c>
      <c r="H240" s="12">
        <f t="shared" ca="1" si="212"/>
        <v>23.716341743578369</v>
      </c>
    </row>
    <row r="241" spans="1:8" x14ac:dyDescent="0.35">
      <c r="A241" s="15">
        <v>228</v>
      </c>
      <c r="B241" s="10">
        <f t="shared" ca="1" si="207"/>
        <v>2.2121485004816623E-2</v>
      </c>
      <c r="C241" s="10">
        <f t="shared" ca="1" si="208"/>
        <v>9.075812395235594E-2</v>
      </c>
      <c r="D241" s="11">
        <f t="shared" si="209"/>
        <v>1447.7398688575352</v>
      </c>
      <c r="E241" s="11">
        <f t="shared" ref="E241:F241" ca="1" si="246">+D241*EXP(B241)</f>
        <v>1480.1228842835558</v>
      </c>
      <c r="F241" s="11">
        <f t="shared" ca="1" si="246"/>
        <v>1620.7406533723006</v>
      </c>
      <c r="G241" s="12">
        <f t="shared" ca="1" si="211"/>
        <v>188.60512950974544</v>
      </c>
      <c r="H241" s="12">
        <f t="shared" ca="1" si="212"/>
        <v>187.59173340832399</v>
      </c>
    </row>
    <row r="242" spans="1:8" x14ac:dyDescent="0.35">
      <c r="A242" s="15">
        <v>229</v>
      </c>
      <c r="B242" s="10">
        <f t="shared" ca="1" si="207"/>
        <v>2.0179046916501867E-2</v>
      </c>
      <c r="C242" s="10">
        <f t="shared" ca="1" si="208"/>
        <v>0.12127151273707677</v>
      </c>
      <c r="D242" s="11">
        <f t="shared" si="209"/>
        <v>1447.7398688575352</v>
      </c>
      <c r="E242" s="11">
        <f t="shared" ref="E242:F242" ca="1" si="247">+D242*EXP(B242)</f>
        <v>1477.2506277111211</v>
      </c>
      <c r="F242" s="11">
        <f t="shared" ca="1" si="247"/>
        <v>1667.7146045363063</v>
      </c>
      <c r="G242" s="12">
        <f t="shared" ca="1" si="211"/>
        <v>186.75425721421618</v>
      </c>
      <c r="H242" s="12">
        <f t="shared" ca="1" si="212"/>
        <v>225.85562612760145</v>
      </c>
    </row>
    <row r="243" spans="1:8" x14ac:dyDescent="0.35">
      <c r="A243" s="15">
        <v>230</v>
      </c>
      <c r="B243" s="10">
        <f t="shared" ca="1" si="207"/>
        <v>0.23645289225766924</v>
      </c>
      <c r="C243" s="10">
        <f t="shared" ca="1" si="208"/>
        <v>-0.10157801392485213</v>
      </c>
      <c r="D243" s="11">
        <f t="shared" si="209"/>
        <v>1447.7398688575352</v>
      </c>
      <c r="E243" s="11">
        <f t="shared" ref="E243:F243" ca="1" si="248">+D243*EXP(B243)</f>
        <v>1833.9214105090709</v>
      </c>
      <c r="F243" s="11">
        <f t="shared" ca="1" si="248"/>
        <v>1656.784221506063</v>
      </c>
      <c r="G243" s="12">
        <f t="shared" ca="1" si="211"/>
        <v>467.64335547178598</v>
      </c>
      <c r="H243" s="12">
        <f t="shared" ca="1" si="212"/>
        <v>216.73006249906189</v>
      </c>
    </row>
    <row r="244" spans="1:8" x14ac:dyDescent="0.35">
      <c r="A244" s="15">
        <v>231</v>
      </c>
      <c r="B244" s="10">
        <f t="shared" ca="1" si="207"/>
        <v>-4.9740615427482773E-2</v>
      </c>
      <c r="C244" s="10">
        <f t="shared" ca="1" si="208"/>
        <v>-0.16052121940840158</v>
      </c>
      <c r="D244" s="11">
        <f t="shared" si="209"/>
        <v>1447.7398688575352</v>
      </c>
      <c r="E244" s="11">
        <f t="shared" ref="E244:F244" ca="1" si="249">+D244*EXP(B244)</f>
        <v>1377.4900156039332</v>
      </c>
      <c r="F244" s="11">
        <f t="shared" ca="1" si="249"/>
        <v>1173.2079030405123</v>
      </c>
      <c r="G244" s="12">
        <f t="shared" ca="1" si="211"/>
        <v>128.01554027289455</v>
      </c>
      <c r="H244" s="12">
        <f t="shared" ca="1" si="212"/>
        <v>4.7122263551850949</v>
      </c>
    </row>
    <row r="245" spans="1:8" x14ac:dyDescent="0.35">
      <c r="A245" s="15">
        <v>232</v>
      </c>
      <c r="B245" s="10">
        <f t="shared" ca="1" si="207"/>
        <v>0.16759114000913994</v>
      </c>
      <c r="C245" s="10">
        <f t="shared" ca="1" si="208"/>
        <v>-0.12727597820501677</v>
      </c>
      <c r="D245" s="11">
        <f t="shared" si="209"/>
        <v>1447.7398688575352</v>
      </c>
      <c r="E245" s="11">
        <f t="shared" ref="E245:F245" ca="1" si="250">+D245*EXP(B245)</f>
        <v>1711.8844294095168</v>
      </c>
      <c r="F245" s="11">
        <f t="shared" ca="1" si="250"/>
        <v>1507.2982217118904</v>
      </c>
      <c r="G245" s="12">
        <f t="shared" ca="1" si="211"/>
        <v>361.98749247051364</v>
      </c>
      <c r="H245" s="12">
        <f t="shared" ca="1" si="212"/>
        <v>107.74168136899686</v>
      </c>
    </row>
    <row r="246" spans="1:8" x14ac:dyDescent="0.35">
      <c r="A246" s="15">
        <v>233</v>
      </c>
      <c r="B246" s="10">
        <f t="shared" ca="1" si="207"/>
        <v>0.26000672496625687</v>
      </c>
      <c r="C246" s="10">
        <f t="shared" ca="1" si="208"/>
        <v>0.1867851290672122</v>
      </c>
      <c r="D246" s="11">
        <f t="shared" si="209"/>
        <v>1447.7398688575352</v>
      </c>
      <c r="E246" s="11">
        <f t="shared" ref="E246:F246" ca="1" si="251">+D246*EXP(B246)</f>
        <v>1877.6300205429691</v>
      </c>
      <c r="F246" s="11">
        <f t="shared" ca="1" si="251"/>
        <v>2263.2356281949142</v>
      </c>
      <c r="G246" s="12">
        <f t="shared" ca="1" si="211"/>
        <v>507.09823219883515</v>
      </c>
      <c r="H246" s="12">
        <f t="shared" ca="1" si="212"/>
        <v>800.34312154401414</v>
      </c>
    </row>
    <row r="247" spans="1:8" x14ac:dyDescent="0.35">
      <c r="A247" s="15">
        <v>234</v>
      </c>
      <c r="B247" s="10">
        <f t="shared" ca="1" si="207"/>
        <v>3.7949765244528033E-2</v>
      </c>
      <c r="C247" s="10">
        <f t="shared" ca="1" si="208"/>
        <v>-0.15483812477525244</v>
      </c>
      <c r="D247" s="11">
        <f t="shared" si="209"/>
        <v>1447.7398688575352</v>
      </c>
      <c r="E247" s="11">
        <f t="shared" ref="E247:F247" ca="1" si="252">+D247*EXP(B247)</f>
        <v>1503.7370771039843</v>
      </c>
      <c r="F247" s="11">
        <f t="shared" ca="1" si="252"/>
        <v>1288.0317393293687</v>
      </c>
      <c r="G247" s="12">
        <f t="shared" ca="1" si="211"/>
        <v>204.13904811221835</v>
      </c>
      <c r="H247" s="12">
        <f t="shared" ca="1" si="212"/>
        <v>19.449138469742223</v>
      </c>
    </row>
    <row r="248" spans="1:8" x14ac:dyDescent="0.35">
      <c r="A248" s="15">
        <v>235</v>
      </c>
      <c r="B248" s="10">
        <f t="shared" ca="1" si="207"/>
        <v>3.01077839068166E-2</v>
      </c>
      <c r="C248" s="10">
        <f t="shared" ca="1" si="208"/>
        <v>-0.23680354398475686</v>
      </c>
      <c r="D248" s="11">
        <f t="shared" si="209"/>
        <v>1447.7398688575352</v>
      </c>
      <c r="E248" s="11">
        <f t="shared" ref="E248:F248" ca="1" si="253">+D248*EXP(B248)</f>
        <v>1491.9909157931618</v>
      </c>
      <c r="F248" s="11">
        <f t="shared" ca="1" si="253"/>
        <v>1177.399118782095</v>
      </c>
      <c r="G248" s="12">
        <f t="shared" ca="1" si="211"/>
        <v>196.34212565470045</v>
      </c>
      <c r="H248" s="12">
        <f t="shared" ca="1" si="212"/>
        <v>5.0047159439678808</v>
      </c>
    </row>
    <row r="249" spans="1:8" x14ac:dyDescent="0.35">
      <c r="A249" s="15">
        <v>236</v>
      </c>
      <c r="B249" s="10">
        <f t="shared" ca="1" si="207"/>
        <v>0.23277032881566617</v>
      </c>
      <c r="C249" s="10">
        <f t="shared" ca="1" si="208"/>
        <v>8.6575584139062911E-2</v>
      </c>
      <c r="D249" s="11">
        <f t="shared" si="209"/>
        <v>1447.7398688575352</v>
      </c>
      <c r="E249" s="11">
        <f t="shared" ref="E249:F249" ca="1" si="254">+D249*EXP(B249)</f>
        <v>1827.1802984717669</v>
      </c>
      <c r="F249" s="11">
        <f t="shared" ca="1" si="254"/>
        <v>1992.4191270988817</v>
      </c>
      <c r="G249" s="12">
        <f t="shared" ca="1" si="211"/>
        <v>461.62473700919827</v>
      </c>
      <c r="H249" s="12">
        <f t="shared" ca="1" si="212"/>
        <v>530.6860543832579</v>
      </c>
    </row>
    <row r="250" spans="1:8" x14ac:dyDescent="0.35">
      <c r="A250" s="15">
        <v>237</v>
      </c>
      <c r="B250" s="10">
        <f t="shared" ca="1" si="207"/>
        <v>0.28441479987431223</v>
      </c>
      <c r="C250" s="10">
        <f t="shared" ca="1" si="208"/>
        <v>-0.13523918170357399</v>
      </c>
      <c r="D250" s="11">
        <f t="shared" si="209"/>
        <v>1447.7398688575352</v>
      </c>
      <c r="E250" s="11">
        <f t="shared" ref="E250:F250" ca="1" si="255">+D250*EXP(B250)</f>
        <v>1924.0232360507584</v>
      </c>
      <c r="F250" s="11">
        <f t="shared" ca="1" si="255"/>
        <v>1680.6476875410522</v>
      </c>
      <c r="G250" s="12">
        <f t="shared" ca="1" si="211"/>
        <v>549.708712948325</v>
      </c>
      <c r="H250" s="12">
        <f t="shared" ca="1" si="212"/>
        <v>236.81151165202255</v>
      </c>
    </row>
    <row r="251" spans="1:8" x14ac:dyDescent="0.35">
      <c r="A251" s="15">
        <v>238</v>
      </c>
      <c r="B251" s="10">
        <f t="shared" ca="1" si="207"/>
        <v>7.0800717112412856E-2</v>
      </c>
      <c r="C251" s="10">
        <f t="shared" ca="1" si="208"/>
        <v>7.5084261582107945E-2</v>
      </c>
      <c r="D251" s="11">
        <f t="shared" si="209"/>
        <v>1447.7398688575352</v>
      </c>
      <c r="E251" s="11">
        <f t="shared" ref="E251:F251" ca="1" si="256">+D251*EXP(B251)</f>
        <v>1553.9566353223856</v>
      </c>
      <c r="F251" s="11">
        <f t="shared" ca="1" si="256"/>
        <v>1675.1263712277357</v>
      </c>
      <c r="G251" s="12">
        <f t="shared" ca="1" si="211"/>
        <v>238.96751265285502</v>
      </c>
      <c r="H251" s="12">
        <f t="shared" ca="1" si="212"/>
        <v>232.11391689705852</v>
      </c>
    </row>
    <row r="252" spans="1:8" x14ac:dyDescent="0.35">
      <c r="A252" s="15">
        <v>239</v>
      </c>
      <c r="B252" s="10">
        <f t="shared" ca="1" si="207"/>
        <v>-2.6806258534421881E-2</v>
      </c>
      <c r="C252" s="10">
        <f t="shared" ca="1" si="208"/>
        <v>-0.1949451108355213</v>
      </c>
      <c r="D252" s="11">
        <f t="shared" si="209"/>
        <v>1447.7398688575352</v>
      </c>
      <c r="E252" s="11">
        <f t="shared" ref="E252:F252" ca="1" si="257">+D252*EXP(B252)</f>
        <v>1409.4469180163828</v>
      </c>
      <c r="F252" s="11">
        <f t="shared" ca="1" si="257"/>
        <v>1159.8054318381201</v>
      </c>
      <c r="G252" s="12">
        <f t="shared" ca="1" si="211"/>
        <v>145.61852332929584</v>
      </c>
      <c r="H252" s="12">
        <f t="shared" ca="1" si="212"/>
        <v>3.8680271208685113</v>
      </c>
    </row>
    <row r="253" spans="1:8" x14ac:dyDescent="0.35">
      <c r="A253" s="15">
        <v>240</v>
      </c>
      <c r="B253" s="10">
        <f t="shared" ca="1" si="207"/>
        <v>-6.6092150802660038E-2</v>
      </c>
      <c r="C253" s="10">
        <f t="shared" ca="1" si="208"/>
        <v>1.8477623518438124E-2</v>
      </c>
      <c r="D253" s="11">
        <f t="shared" si="209"/>
        <v>1447.7398688575352</v>
      </c>
      <c r="E253" s="11">
        <f t="shared" ref="E253:F253" ca="1" si="258">+D253*EXP(B253)</f>
        <v>1355.1490908726071</v>
      </c>
      <c r="F253" s="11">
        <f t="shared" ca="1" si="258"/>
        <v>1380.4217963012934</v>
      </c>
      <c r="G253" s="12">
        <f t="shared" ca="1" si="211"/>
        <v>116.42162087400163</v>
      </c>
      <c r="H253" s="12">
        <f t="shared" ca="1" si="212"/>
        <v>45.523063384384841</v>
      </c>
    </row>
    <row r="254" spans="1:8" x14ac:dyDescent="0.35">
      <c r="A254" s="15">
        <v>241</v>
      </c>
      <c r="B254" s="10">
        <f t="shared" ca="1" si="207"/>
        <v>1.5597821397726312E-2</v>
      </c>
      <c r="C254" s="10">
        <f t="shared" ca="1" si="208"/>
        <v>0.39069035548645703</v>
      </c>
      <c r="D254" s="11">
        <f t="shared" si="209"/>
        <v>1447.7398688575352</v>
      </c>
      <c r="E254" s="11">
        <f t="shared" ref="E254:F254" ca="1" si="259">+D254*EXP(B254)</f>
        <v>1470.4984877849704</v>
      </c>
      <c r="F254" s="11">
        <f t="shared" ca="1" si="259"/>
        <v>2173.3979232810061</v>
      </c>
      <c r="G254" s="12">
        <f t="shared" ca="1" si="211"/>
        <v>182.43677337149018</v>
      </c>
      <c r="H254" s="12">
        <f t="shared" ca="1" si="212"/>
        <v>710.62527029485977</v>
      </c>
    </row>
    <row r="255" spans="1:8" x14ac:dyDescent="0.35">
      <c r="A255" s="15">
        <v>242</v>
      </c>
      <c r="B255" s="10">
        <f t="shared" ca="1" si="207"/>
        <v>-7.7877136544602689E-3</v>
      </c>
      <c r="C255" s="10">
        <f t="shared" ca="1" si="208"/>
        <v>-0.11887718788590135</v>
      </c>
      <c r="D255" s="11">
        <f t="shared" si="209"/>
        <v>1447.7398688575352</v>
      </c>
      <c r="E255" s="11">
        <f t="shared" ref="E255:F255" ca="1" si="260">+D255*EXP(B255)</f>
        <v>1436.5090731839725</v>
      </c>
      <c r="F255" s="11">
        <f t="shared" ca="1" si="260"/>
        <v>1275.5005983443905</v>
      </c>
      <c r="G255" s="12">
        <f t="shared" ca="1" si="211"/>
        <v>161.43556620330014</v>
      </c>
      <c r="H255" s="12">
        <f t="shared" ca="1" si="212"/>
        <v>17.021111399318158</v>
      </c>
    </row>
    <row r="256" spans="1:8" x14ac:dyDescent="0.35">
      <c r="A256" s="15">
        <v>243</v>
      </c>
      <c r="B256" s="10">
        <f t="shared" ca="1" si="207"/>
        <v>0.13791267786208744</v>
      </c>
      <c r="C256" s="10">
        <f t="shared" ca="1" si="208"/>
        <v>1.2645594268172061E-2</v>
      </c>
      <c r="D256" s="11">
        <f t="shared" si="209"/>
        <v>1447.7398688575352</v>
      </c>
      <c r="E256" s="11">
        <f t="shared" ref="E256:F256" ca="1" si="261">+D256*EXP(B256)</f>
        <v>1661.8248521706471</v>
      </c>
      <c r="F256" s="11">
        <f t="shared" ca="1" si="261"/>
        <v>1682.9730489354047</v>
      </c>
      <c r="G256" s="12">
        <f t="shared" ca="1" si="211"/>
        <v>321.04574208107283</v>
      </c>
      <c r="H256" s="12">
        <f t="shared" ca="1" si="212"/>
        <v>238.79881054645307</v>
      </c>
    </row>
    <row r="257" spans="1:8" x14ac:dyDescent="0.35">
      <c r="A257" s="15">
        <v>244</v>
      </c>
      <c r="B257" s="10">
        <f t="shared" ca="1" si="207"/>
        <v>-5.048479272607112E-2</v>
      </c>
      <c r="C257" s="10">
        <f t="shared" ca="1" si="208"/>
        <v>8.7881065656788854E-2</v>
      </c>
      <c r="D257" s="11">
        <f t="shared" si="209"/>
        <v>1447.7398688575352</v>
      </c>
      <c r="E257" s="11">
        <f t="shared" ref="E257:F257" ca="1" si="262">+D257*EXP(B257)</f>
        <v>1376.465300137573</v>
      </c>
      <c r="F257" s="11">
        <f t="shared" ca="1" si="262"/>
        <v>1502.9050004850649</v>
      </c>
      <c r="G257" s="12">
        <f t="shared" ca="1" si="211"/>
        <v>127.47079612743607</v>
      </c>
      <c r="H257" s="12">
        <f t="shared" ca="1" si="212"/>
        <v>105.07502984579651</v>
      </c>
    </row>
    <row r="258" spans="1:8" x14ac:dyDescent="0.35">
      <c r="A258" s="15">
        <v>245</v>
      </c>
      <c r="B258" s="10">
        <f t="shared" ca="1" si="207"/>
        <v>-0.15463902259412404</v>
      </c>
      <c r="C258" s="10">
        <f t="shared" ca="1" si="208"/>
        <v>0.40296428203909529</v>
      </c>
      <c r="D258" s="11">
        <f t="shared" si="209"/>
        <v>1447.7398688575352</v>
      </c>
      <c r="E258" s="11">
        <f t="shared" ref="E258:F258" ca="1" si="263">+D258*EXP(B258)</f>
        <v>1240.314041283179</v>
      </c>
      <c r="F258" s="11">
        <f t="shared" ca="1" si="263"/>
        <v>1855.8241603605052</v>
      </c>
      <c r="G258" s="12">
        <f t="shared" ca="1" si="211"/>
        <v>66.443799690996002</v>
      </c>
      <c r="H258" s="12">
        <f t="shared" ca="1" si="212"/>
        <v>397.30350218671902</v>
      </c>
    </row>
    <row r="259" spans="1:8" x14ac:dyDescent="0.35">
      <c r="A259" s="15">
        <v>246</v>
      </c>
      <c r="B259" s="10">
        <f t="shared" ca="1" si="207"/>
        <v>-0.25587202641595636</v>
      </c>
      <c r="C259" s="10">
        <f t="shared" ca="1" si="208"/>
        <v>0.24225008667038578</v>
      </c>
      <c r="D259" s="11">
        <f t="shared" si="209"/>
        <v>1447.7398688575352</v>
      </c>
      <c r="E259" s="11">
        <f t="shared" ref="E259:F259" ca="1" si="264">+D259*EXP(B259)</f>
        <v>1120.8996287410184</v>
      </c>
      <c r="F259" s="11">
        <f t="shared" ca="1" si="264"/>
        <v>1428.1525550804465</v>
      </c>
      <c r="G259" s="12">
        <f t="shared" ca="1" si="211"/>
        <v>31.539046943689328</v>
      </c>
      <c r="H259" s="12">
        <f t="shared" ca="1" si="212"/>
        <v>65.259578444190197</v>
      </c>
    </row>
    <row r="260" spans="1:8" x14ac:dyDescent="0.35">
      <c r="A260" s="15">
        <v>247</v>
      </c>
      <c r="B260" s="10">
        <f t="shared" ca="1" si="207"/>
        <v>-0.18088715189713317</v>
      </c>
      <c r="C260" s="10">
        <f t="shared" ca="1" si="208"/>
        <v>1.7010574001024098E-2</v>
      </c>
      <c r="D260" s="11">
        <f t="shared" si="209"/>
        <v>1447.7398688575352</v>
      </c>
      <c r="E260" s="11">
        <f t="shared" ref="E260:F260" ca="1" si="265">+D260*EXP(B260)</f>
        <v>1208.1816700850975</v>
      </c>
      <c r="F260" s="11">
        <f t="shared" ca="1" si="265"/>
        <v>1228.9093286659524</v>
      </c>
      <c r="G260" s="12">
        <f t="shared" ca="1" si="211"/>
        <v>55.378475167695797</v>
      </c>
      <c r="H260" s="12">
        <f t="shared" ca="1" si="212"/>
        <v>9.9262160995068598</v>
      </c>
    </row>
    <row r="261" spans="1:8" x14ac:dyDescent="0.35">
      <c r="A261" s="15">
        <v>248</v>
      </c>
      <c r="B261" s="10">
        <f t="shared" ca="1" si="207"/>
        <v>0.31081733570568276</v>
      </c>
      <c r="C261" s="10">
        <f t="shared" ca="1" si="208"/>
        <v>4.9333448599285235E-3</v>
      </c>
      <c r="D261" s="11">
        <f t="shared" si="209"/>
        <v>1447.7398688575352</v>
      </c>
      <c r="E261" s="11">
        <f t="shared" ref="E261:F261" ca="1" si="266">+D261*EXP(B261)</f>
        <v>1975.4988820295241</v>
      </c>
      <c r="F261" s="11">
        <f t="shared" ca="1" si="266"/>
        <v>1985.2687786046222</v>
      </c>
      <c r="G261" s="12">
        <f t="shared" ca="1" si="211"/>
        <v>597.73483000709916</v>
      </c>
      <c r="H261" s="12">
        <f t="shared" ca="1" si="212"/>
        <v>523.62492643550536</v>
      </c>
    </row>
    <row r="262" spans="1:8" x14ac:dyDescent="0.35">
      <c r="A262" s="15">
        <v>249</v>
      </c>
      <c r="B262" s="10">
        <f t="shared" ca="1" si="207"/>
        <v>0.15636489487985267</v>
      </c>
      <c r="C262" s="10">
        <f t="shared" ca="1" si="208"/>
        <v>0.20044843546285429</v>
      </c>
      <c r="D262" s="11">
        <f t="shared" si="209"/>
        <v>1447.7398688575352</v>
      </c>
      <c r="E262" s="11">
        <f t="shared" ref="E262:F262" ca="1" si="267">+D262*EXP(B262)</f>
        <v>1692.7738658137089</v>
      </c>
      <c r="F262" s="11">
        <f t="shared" ca="1" si="267"/>
        <v>2068.4860431931465</v>
      </c>
      <c r="G262" s="12">
        <f t="shared" ca="1" si="211"/>
        <v>346.16964414807831</v>
      </c>
      <c r="H262" s="12">
        <f t="shared" ca="1" si="212"/>
        <v>606.09665375474515</v>
      </c>
    </row>
    <row r="263" spans="1:8" x14ac:dyDescent="0.35">
      <c r="A263" s="15">
        <v>250</v>
      </c>
      <c r="B263" s="10">
        <f t="shared" ca="1" si="207"/>
        <v>0.33314342076868314</v>
      </c>
      <c r="C263" s="10">
        <f t="shared" ca="1" si="208"/>
        <v>0.15984224332279801</v>
      </c>
      <c r="D263" s="11">
        <f t="shared" si="209"/>
        <v>1447.7398688575352</v>
      </c>
      <c r="E263" s="11">
        <f t="shared" ref="E263:F263" ca="1" si="268">+D263*EXP(B263)</f>
        <v>2020.1000704532912</v>
      </c>
      <c r="F263" s="11">
        <f t="shared" ca="1" si="268"/>
        <v>2370.2354432047764</v>
      </c>
      <c r="G263" s="12">
        <f t="shared" ca="1" si="211"/>
        <v>639.88192370521233</v>
      </c>
      <c r="H263" s="12">
        <f t="shared" ca="1" si="212"/>
        <v>907.29231003554037</v>
      </c>
    </row>
    <row r="264" spans="1:8" x14ac:dyDescent="0.35">
      <c r="A264" s="15">
        <v>251</v>
      </c>
      <c r="B264" s="10">
        <f t="shared" ca="1" si="207"/>
        <v>0.18546871921787389</v>
      </c>
      <c r="C264" s="10">
        <f t="shared" ca="1" si="208"/>
        <v>-0.42177295138960003</v>
      </c>
      <c r="D264" s="11">
        <f t="shared" si="209"/>
        <v>1447.7398688575352</v>
      </c>
      <c r="E264" s="11">
        <f t="shared" ref="E264:F264" ca="1" si="269">+D264*EXP(B264)</f>
        <v>1742.7639822774331</v>
      </c>
      <c r="F264" s="11">
        <f t="shared" ca="1" si="269"/>
        <v>1143.0491640720284</v>
      </c>
      <c r="G264" s="12">
        <f t="shared" ca="1" si="211"/>
        <v>388.00106319277984</v>
      </c>
      <c r="H264" s="12">
        <f t="shared" ca="1" si="212"/>
        <v>2.9897805194397051</v>
      </c>
    </row>
    <row r="265" spans="1:8" x14ac:dyDescent="0.35">
      <c r="A265" s="15">
        <v>252</v>
      </c>
      <c r="B265" s="10">
        <f t="shared" ca="1" si="207"/>
        <v>2.9657334299521908E-2</v>
      </c>
      <c r="C265" s="10">
        <f t="shared" ca="1" si="208"/>
        <v>-0.10365116782784842</v>
      </c>
      <c r="D265" s="11">
        <f t="shared" si="209"/>
        <v>1447.7398688575352</v>
      </c>
      <c r="E265" s="11">
        <f t="shared" ref="E265:F265" ca="1" si="270">+D265*EXP(B265)</f>
        <v>1491.3190004144258</v>
      </c>
      <c r="F265" s="11">
        <f t="shared" ca="1" si="270"/>
        <v>1344.483326946279</v>
      </c>
      <c r="G265" s="12">
        <f t="shared" ca="1" si="211"/>
        <v>195.90028323761078</v>
      </c>
      <c r="H265" s="12">
        <f t="shared" ca="1" si="212"/>
        <v>33.562508972270109</v>
      </c>
    </row>
    <row r="266" spans="1:8" x14ac:dyDescent="0.35">
      <c r="A266" s="15">
        <v>253</v>
      </c>
      <c r="B266" s="10">
        <f t="shared" ca="1" si="207"/>
        <v>-4.6452496779192158E-2</v>
      </c>
      <c r="C266" s="10">
        <f t="shared" ca="1" si="208"/>
        <v>-0.13139193418561224</v>
      </c>
      <c r="D266" s="11">
        <f t="shared" si="209"/>
        <v>1447.7398688575352</v>
      </c>
      <c r="E266" s="11">
        <f t="shared" ref="E266:F266" ca="1" si="271">+D266*EXP(B266)</f>
        <v>1382.0268209015694</v>
      </c>
      <c r="F266" s="11">
        <f t="shared" ca="1" si="271"/>
        <v>1211.8634281834159</v>
      </c>
      <c r="G266" s="12">
        <f t="shared" ca="1" si="211"/>
        <v>130.44218054763837</v>
      </c>
      <c r="H266" s="12">
        <f t="shared" ca="1" si="212"/>
        <v>8.000340286437563</v>
      </c>
    </row>
    <row r="267" spans="1:8" x14ac:dyDescent="0.35">
      <c r="A267" s="15">
        <v>254</v>
      </c>
      <c r="B267" s="10">
        <f t="shared" ca="1" si="207"/>
        <v>-0.17682645412255715</v>
      </c>
      <c r="C267" s="10">
        <f t="shared" ca="1" si="208"/>
        <v>0.40225504782381383</v>
      </c>
      <c r="D267" s="11">
        <f t="shared" si="209"/>
        <v>1447.7398688575352</v>
      </c>
      <c r="E267" s="11">
        <f t="shared" ref="E267:F267" ca="1" si="272">+D267*EXP(B267)</f>
        <v>1213.097705215403</v>
      </c>
      <c r="F267" s="11">
        <f t="shared" ca="1" si="272"/>
        <v>1813.8147479147842</v>
      </c>
      <c r="G267" s="12">
        <f t="shared" ca="1" si="211"/>
        <v>56.989448841437479</v>
      </c>
      <c r="H267" s="12">
        <f t="shared" ca="1" si="212"/>
        <v>357.28703238865023</v>
      </c>
    </row>
    <row r="268" spans="1:8" x14ac:dyDescent="0.35">
      <c r="A268" s="15">
        <v>255</v>
      </c>
      <c r="B268" s="10">
        <f t="shared" ca="1" si="207"/>
        <v>0.11229013783996306</v>
      </c>
      <c r="C268" s="10">
        <f t="shared" ca="1" si="208"/>
        <v>-0.30354906047919206</v>
      </c>
      <c r="D268" s="11">
        <f t="shared" si="209"/>
        <v>1447.7398688575352</v>
      </c>
      <c r="E268" s="11">
        <f t="shared" ref="E268:F268" ca="1" si="273">+D268*EXP(B268)</f>
        <v>1619.7855550977299</v>
      </c>
      <c r="F268" s="11">
        <f t="shared" ca="1" si="273"/>
        <v>1195.7154469452562</v>
      </c>
      <c r="G268" s="12">
        <f t="shared" ca="1" si="211"/>
        <v>287.98012715500317</v>
      </c>
      <c r="H268" s="12">
        <f t="shared" ca="1" si="212"/>
        <v>6.4582568392699073</v>
      </c>
    </row>
    <row r="269" spans="1:8" x14ac:dyDescent="0.35">
      <c r="A269" s="15">
        <v>256</v>
      </c>
      <c r="B269" s="10">
        <f t="shared" ca="1" si="207"/>
        <v>-0.17595859758338306</v>
      </c>
      <c r="C269" s="10">
        <f t="shared" ca="1" si="208"/>
        <v>-0.2350240413969277</v>
      </c>
      <c r="D269" s="11">
        <f t="shared" si="209"/>
        <v>1447.7398688575352</v>
      </c>
      <c r="E269" s="11">
        <f t="shared" ref="E269:F269" ca="1" si="274">+D269*EXP(B269)</f>
        <v>1214.1509569611319</v>
      </c>
      <c r="F269" s="11">
        <f t="shared" ca="1" si="274"/>
        <v>959.84927722744646</v>
      </c>
      <c r="G269" s="12">
        <f t="shared" ca="1" si="211"/>
        <v>57.338428256595535</v>
      </c>
      <c r="H269" s="12">
        <f t="shared" ca="1" si="212"/>
        <v>6.8556270598557623E-2</v>
      </c>
    </row>
    <row r="270" spans="1:8" x14ac:dyDescent="0.35">
      <c r="A270" s="15">
        <v>257</v>
      </c>
      <c r="B270" s="10">
        <f t="shared" ca="1" si="207"/>
        <v>0.17610526508605084</v>
      </c>
      <c r="C270" s="10">
        <f t="shared" ca="1" si="208"/>
        <v>3.1926330028271589E-2</v>
      </c>
      <c r="D270" s="11">
        <f t="shared" si="209"/>
        <v>1447.7398688575352</v>
      </c>
      <c r="E270" s="11">
        <f t="shared" ref="E270:F270" ca="1" si="275">+D270*EXP(B270)</f>
        <v>1726.5218515576942</v>
      </c>
      <c r="F270" s="11">
        <f t="shared" ca="1" si="275"/>
        <v>1782.5327110534388</v>
      </c>
      <c r="G270" s="12">
        <f t="shared" ca="1" si="211"/>
        <v>374.25063834264961</v>
      </c>
      <c r="H270" s="12">
        <f t="shared" ca="1" si="212"/>
        <v>327.98197602844834</v>
      </c>
    </row>
    <row r="271" spans="1:8" x14ac:dyDescent="0.35">
      <c r="A271" s="15">
        <v>258</v>
      </c>
      <c r="B271" s="10">
        <f t="shared" ref="B271:B334" ca="1" si="276">+($B$6-0.5*$B$10^2)*$H$4+$B$10*SQRT($H$4)*_xlfn.NORM.S.INV(RAND())</f>
        <v>-5.0168436856247528E-2</v>
      </c>
      <c r="C271" s="10">
        <f t="shared" ref="C271:C334" ca="1" si="277">+($B$6-0.5*$B$10^2)+$B$10*_xlfn.NORM.S.INV(RAND())</f>
        <v>2.0529179095802076E-3</v>
      </c>
      <c r="D271" s="11">
        <f t="shared" ref="D271:D334" si="278">+$B$9</f>
        <v>1447.7398688575352</v>
      </c>
      <c r="E271" s="11">
        <f t="shared" ref="E271:F271" ca="1" si="279">+D271*EXP(B271)</f>
        <v>1376.900821901181</v>
      </c>
      <c r="F271" s="11">
        <f t="shared" ca="1" si="279"/>
        <v>1379.7303896996214</v>
      </c>
      <c r="G271" s="12">
        <f t="shared" ref="G271:G334" ca="1" si="280">+BlackScholesCall(E271,$B$4,$B$10,$B$6,$B$7-$H$4)</f>
        <v>127.70217051047246</v>
      </c>
      <c r="H271" s="12">
        <f t="shared" ref="H271:H334" ca="1" si="281">+BlackScholesCall(F271,$B$4,$B$10,$B$6,$B$7-$I$4)</f>
        <v>45.269814322389493</v>
      </c>
    </row>
    <row r="272" spans="1:8" x14ac:dyDescent="0.35">
      <c r="A272" s="15">
        <v>259</v>
      </c>
      <c r="B272" s="10">
        <f t="shared" ca="1" si="276"/>
        <v>0.14420556476371194</v>
      </c>
      <c r="C272" s="10">
        <f t="shared" ca="1" si="277"/>
        <v>2.1477119734319927E-2</v>
      </c>
      <c r="D272" s="11">
        <f t="shared" si="278"/>
        <v>1447.7398688575352</v>
      </c>
      <c r="E272" s="11">
        <f t="shared" ref="E272:F272" ca="1" si="282">+D272*EXP(B272)</f>
        <v>1672.3155016314643</v>
      </c>
      <c r="F272" s="11">
        <f t="shared" ca="1" si="282"/>
        <v>1708.6204896683842</v>
      </c>
      <c r="G272" s="12">
        <f t="shared" ca="1" si="280"/>
        <v>329.4911016993841</v>
      </c>
      <c r="H272" s="12">
        <f t="shared" ca="1" si="281"/>
        <v>261.04670192538697</v>
      </c>
    </row>
    <row r="273" spans="1:8" x14ac:dyDescent="0.35">
      <c r="A273" s="15">
        <v>260</v>
      </c>
      <c r="B273" s="10">
        <f t="shared" ca="1" si="276"/>
        <v>0.10943866955258143</v>
      </c>
      <c r="C273" s="10">
        <f t="shared" ca="1" si="277"/>
        <v>-0.11561929947334448</v>
      </c>
      <c r="D273" s="11">
        <f t="shared" si="278"/>
        <v>1447.7398688575352</v>
      </c>
      <c r="E273" s="11">
        <f t="shared" ref="E273:F273" ca="1" si="283">+D273*EXP(B273)</f>
        <v>1615.1733668343863</v>
      </c>
      <c r="F273" s="11">
        <f t="shared" ca="1" si="283"/>
        <v>1438.8195195919457</v>
      </c>
      <c r="G273" s="12">
        <f t="shared" ca="1" si="280"/>
        <v>284.43204513860587</v>
      </c>
      <c r="H273" s="12">
        <f t="shared" ca="1" si="281"/>
        <v>70.281688449747207</v>
      </c>
    </row>
    <row r="274" spans="1:8" x14ac:dyDescent="0.35">
      <c r="A274" s="15">
        <v>261</v>
      </c>
      <c r="B274" s="10">
        <f t="shared" ca="1" si="276"/>
        <v>-0.1971835718925285</v>
      </c>
      <c r="C274" s="10">
        <f t="shared" ca="1" si="277"/>
        <v>-0.11887470838246672</v>
      </c>
      <c r="D274" s="11">
        <f t="shared" si="278"/>
        <v>1447.7398688575352</v>
      </c>
      <c r="E274" s="11">
        <f t="shared" ref="E274:F274" ca="1" si="284">+D274*EXP(B274)</f>
        <v>1188.652196616606</v>
      </c>
      <c r="F274" s="11">
        <f t="shared" ca="1" si="284"/>
        <v>1055.4269204114021</v>
      </c>
      <c r="G274" s="12">
        <f t="shared" ca="1" si="280"/>
        <v>49.267818173270257</v>
      </c>
      <c r="H274" s="12">
        <f t="shared" ca="1" si="281"/>
        <v>0.62570004142396485</v>
      </c>
    </row>
    <row r="275" spans="1:8" x14ac:dyDescent="0.35">
      <c r="A275" s="15">
        <v>262</v>
      </c>
      <c r="B275" s="10">
        <f t="shared" ca="1" si="276"/>
        <v>5.1989536689436434E-2</v>
      </c>
      <c r="C275" s="10">
        <f t="shared" ca="1" si="277"/>
        <v>5.2424042189220463E-3</v>
      </c>
      <c r="D275" s="11">
        <f t="shared" si="278"/>
        <v>1447.7398688575352</v>
      </c>
      <c r="E275" s="11">
        <f t="shared" ref="E275:F275" ca="1" si="285">+D275*EXP(B275)</f>
        <v>1524.9981027117708</v>
      </c>
      <c r="F275" s="11">
        <f t="shared" ca="1" si="285"/>
        <v>1533.0137514770283</v>
      </c>
      <c r="G275" s="12">
        <f t="shared" ca="1" si="280"/>
        <v>218.59488739613028</v>
      </c>
      <c r="H275" s="12">
        <f t="shared" ca="1" si="281"/>
        <v>124.03677976198912</v>
      </c>
    </row>
    <row r="276" spans="1:8" x14ac:dyDescent="0.35">
      <c r="A276" s="15">
        <v>263</v>
      </c>
      <c r="B276" s="10">
        <f t="shared" ca="1" si="276"/>
        <v>9.4481168800455456E-2</v>
      </c>
      <c r="C276" s="10">
        <f t="shared" ca="1" si="277"/>
        <v>0.39734019507990381</v>
      </c>
      <c r="D276" s="11">
        <f t="shared" si="278"/>
        <v>1447.7398688575352</v>
      </c>
      <c r="E276" s="11">
        <f t="shared" ref="E276:F276" ca="1" si="286">+D276*EXP(B276)</f>
        <v>1591.1941913168077</v>
      </c>
      <c r="F276" s="11">
        <f t="shared" ca="1" si="286"/>
        <v>2367.4773834941639</v>
      </c>
      <c r="G276" s="12">
        <f t="shared" ca="1" si="280"/>
        <v>266.2541589006529</v>
      </c>
      <c r="H276" s="12">
        <f t="shared" ca="1" si="281"/>
        <v>904.53494555045791</v>
      </c>
    </row>
    <row r="277" spans="1:8" x14ac:dyDescent="0.35">
      <c r="A277" s="15">
        <v>264</v>
      </c>
      <c r="B277" s="10">
        <f t="shared" ca="1" si="276"/>
        <v>0.34026683923769041</v>
      </c>
      <c r="C277" s="10">
        <f t="shared" ca="1" si="277"/>
        <v>4.4548413924699472E-2</v>
      </c>
      <c r="D277" s="11">
        <f t="shared" si="278"/>
        <v>1447.7398688575352</v>
      </c>
      <c r="E277" s="11">
        <f t="shared" ref="E277:F277" ca="1" si="287">+D277*EXP(B277)</f>
        <v>2034.5414635809711</v>
      </c>
      <c r="F277" s="11">
        <f t="shared" ca="1" si="287"/>
        <v>2127.226210374276</v>
      </c>
      <c r="G277" s="12">
        <f t="shared" ca="1" si="280"/>
        <v>653.62126028243438</v>
      </c>
      <c r="H277" s="12">
        <f t="shared" ca="1" si="281"/>
        <v>664.574749475516</v>
      </c>
    </row>
    <row r="278" spans="1:8" x14ac:dyDescent="0.35">
      <c r="A278" s="15">
        <v>265</v>
      </c>
      <c r="B278" s="10">
        <f t="shared" ca="1" si="276"/>
        <v>3.650570014964058E-2</v>
      </c>
      <c r="C278" s="10">
        <f t="shared" ca="1" si="277"/>
        <v>-0.34404126036610039</v>
      </c>
      <c r="D278" s="11">
        <f t="shared" si="278"/>
        <v>1447.7398688575352</v>
      </c>
      <c r="E278" s="11">
        <f t="shared" ref="E278:F278" ca="1" si="288">+D278*EXP(B278)</f>
        <v>1501.5671500141186</v>
      </c>
      <c r="F278" s="11">
        <f t="shared" ca="1" si="288"/>
        <v>1064.4604691191221</v>
      </c>
      <c r="G278" s="12">
        <f t="shared" ca="1" si="280"/>
        <v>202.68837587853761</v>
      </c>
      <c r="H278" s="12">
        <f t="shared" ca="1" si="281"/>
        <v>0.74887487108615503</v>
      </c>
    </row>
    <row r="279" spans="1:8" x14ac:dyDescent="0.35">
      <c r="A279" s="15">
        <v>266</v>
      </c>
      <c r="B279" s="10">
        <f t="shared" ca="1" si="276"/>
        <v>0.13917728092199716</v>
      </c>
      <c r="C279" s="10">
        <f t="shared" ca="1" si="277"/>
        <v>0.14864299405087961</v>
      </c>
      <c r="D279" s="11">
        <f t="shared" si="278"/>
        <v>1447.7398688575352</v>
      </c>
      <c r="E279" s="11">
        <f t="shared" ref="E279:F279" ca="1" si="289">+D279*EXP(B279)</f>
        <v>1663.9277303365707</v>
      </c>
      <c r="F279" s="11">
        <f t="shared" ca="1" si="289"/>
        <v>1930.5866186450789</v>
      </c>
      <c r="G279" s="12">
        <f t="shared" ca="1" si="280"/>
        <v>322.73266586168097</v>
      </c>
      <c r="H279" s="12">
        <f t="shared" ca="1" si="281"/>
        <v>469.85494643708762</v>
      </c>
    </row>
    <row r="280" spans="1:8" x14ac:dyDescent="0.35">
      <c r="A280" s="15">
        <v>267</v>
      </c>
      <c r="B280" s="10">
        <f t="shared" ca="1" si="276"/>
        <v>7.2451314098952835E-2</v>
      </c>
      <c r="C280" s="10">
        <f t="shared" ca="1" si="277"/>
        <v>-9.9527341966167582E-2</v>
      </c>
      <c r="D280" s="11">
        <f t="shared" si="278"/>
        <v>1447.7398688575352</v>
      </c>
      <c r="E280" s="11">
        <f t="shared" ref="E280:F280" ca="1" si="290">+D280*EXP(B280)</f>
        <v>1556.5237094814715</v>
      </c>
      <c r="F280" s="11">
        <f t="shared" ca="1" si="290"/>
        <v>1409.066743743688</v>
      </c>
      <c r="G280" s="12">
        <f t="shared" ca="1" si="280"/>
        <v>240.81014396551927</v>
      </c>
      <c r="H280" s="12">
        <f t="shared" ca="1" si="281"/>
        <v>56.831858174867534</v>
      </c>
    </row>
    <row r="281" spans="1:8" x14ac:dyDescent="0.35">
      <c r="A281" s="15">
        <v>268</v>
      </c>
      <c r="B281" s="10">
        <f t="shared" ca="1" si="276"/>
        <v>-7.350024810388002E-2</v>
      </c>
      <c r="C281" s="10">
        <f t="shared" ca="1" si="277"/>
        <v>0.16676006253853312</v>
      </c>
      <c r="D281" s="11">
        <f t="shared" si="278"/>
        <v>1447.7398688575352</v>
      </c>
      <c r="E281" s="11">
        <f t="shared" ref="E281:F281" ca="1" si="291">+D281*EXP(B281)</f>
        <v>1345.1471081227517</v>
      </c>
      <c r="F281" s="11">
        <f t="shared" ca="1" si="291"/>
        <v>1589.2519656587328</v>
      </c>
      <c r="G281" s="12">
        <f t="shared" ca="1" si="280"/>
        <v>111.42475241528473</v>
      </c>
      <c r="H281" s="12">
        <f t="shared" ca="1" si="281"/>
        <v>163.4766314766149</v>
      </c>
    </row>
    <row r="282" spans="1:8" x14ac:dyDescent="0.35">
      <c r="A282" s="15">
        <v>269</v>
      </c>
      <c r="B282" s="10">
        <f t="shared" ca="1" si="276"/>
        <v>2.5764086848618813E-2</v>
      </c>
      <c r="C282" s="10">
        <f t="shared" ca="1" si="277"/>
        <v>0.34889792201502923</v>
      </c>
      <c r="D282" s="11">
        <f t="shared" si="278"/>
        <v>1447.7398688575352</v>
      </c>
      <c r="E282" s="11">
        <f t="shared" ref="E282:F282" ca="1" si="292">+D282*EXP(B282)</f>
        <v>1485.5242141055694</v>
      </c>
      <c r="F282" s="11">
        <f t="shared" ca="1" si="292"/>
        <v>2105.7372389747684</v>
      </c>
      <c r="G282" s="12">
        <f t="shared" ca="1" si="280"/>
        <v>192.1086190323939</v>
      </c>
      <c r="H282" s="12">
        <f t="shared" ca="1" si="281"/>
        <v>643.16455591600788</v>
      </c>
    </row>
    <row r="283" spans="1:8" x14ac:dyDescent="0.35">
      <c r="A283" s="15">
        <v>270</v>
      </c>
      <c r="B283" s="10">
        <f t="shared" ca="1" si="276"/>
        <v>0.31771625457648878</v>
      </c>
      <c r="C283" s="10">
        <f t="shared" ca="1" si="277"/>
        <v>0.20212144575786903</v>
      </c>
      <c r="D283" s="11">
        <f t="shared" si="278"/>
        <v>1447.7398688575352</v>
      </c>
      <c r="E283" s="11">
        <f t="shared" ref="E283:F283" ca="1" si="293">+D283*EXP(B283)</f>
        <v>1989.1748088586578</v>
      </c>
      <c r="F283" s="11">
        <f t="shared" ca="1" si="293"/>
        <v>2434.7432988977357</v>
      </c>
      <c r="G283" s="12">
        <f t="shared" ca="1" si="280"/>
        <v>610.60967996831164</v>
      </c>
      <c r="H283" s="12">
        <f t="shared" ca="1" si="281"/>
        <v>971.78876905822813</v>
      </c>
    </row>
    <row r="284" spans="1:8" x14ac:dyDescent="0.35">
      <c r="A284" s="15">
        <v>271</v>
      </c>
      <c r="B284" s="10">
        <f t="shared" ca="1" si="276"/>
        <v>9.0506169799798419E-2</v>
      </c>
      <c r="C284" s="10">
        <f t="shared" ca="1" si="277"/>
        <v>-8.2495615375259498E-2</v>
      </c>
      <c r="D284" s="11">
        <f t="shared" si="278"/>
        <v>1447.7398688575352</v>
      </c>
      <c r="E284" s="11">
        <f t="shared" ref="E284:F284" ca="1" si="294">+D284*EXP(B284)</f>
        <v>1584.8817502815787</v>
      </c>
      <c r="F284" s="11">
        <f t="shared" ca="1" si="294"/>
        <v>1459.3836421453843</v>
      </c>
      <c r="G284" s="12">
        <f t="shared" ca="1" si="280"/>
        <v>261.54601526773001</v>
      </c>
      <c r="H284" s="12">
        <f t="shared" ca="1" si="281"/>
        <v>80.591018667687877</v>
      </c>
    </row>
    <row r="285" spans="1:8" x14ac:dyDescent="0.35">
      <c r="A285" s="15">
        <v>272</v>
      </c>
      <c r="B285" s="10">
        <f t="shared" ca="1" si="276"/>
        <v>0.307357421980123</v>
      </c>
      <c r="C285" s="10">
        <f t="shared" ca="1" si="277"/>
        <v>8.5139653705520235E-2</v>
      </c>
      <c r="D285" s="11">
        <f t="shared" si="278"/>
        <v>1447.7398688575352</v>
      </c>
      <c r="E285" s="11">
        <f t="shared" ref="E285:F285" ca="1" si="295">+D285*EXP(B285)</f>
        <v>1968.6756370589812</v>
      </c>
      <c r="F285" s="11">
        <f t="shared" ca="1" si="295"/>
        <v>2143.6301098447552</v>
      </c>
      <c r="G285" s="12">
        <f t="shared" ca="1" si="280"/>
        <v>591.32838636749761</v>
      </c>
      <c r="H285" s="12">
        <f t="shared" ca="1" si="281"/>
        <v>680.92896500405436</v>
      </c>
    </row>
    <row r="286" spans="1:8" x14ac:dyDescent="0.35">
      <c r="A286" s="15">
        <v>273</v>
      </c>
      <c r="B286" s="10">
        <f t="shared" ca="1" si="276"/>
        <v>9.6305785656426571E-2</v>
      </c>
      <c r="C286" s="10">
        <f t="shared" ca="1" si="277"/>
        <v>-0.13191277343794419</v>
      </c>
      <c r="D286" s="11">
        <f t="shared" si="278"/>
        <v>1447.7398688575352</v>
      </c>
      <c r="E286" s="11">
        <f t="shared" ref="E286:F286" ca="1" si="296">+D286*EXP(B286)</f>
        <v>1594.1001613941814</v>
      </c>
      <c r="F286" s="11">
        <f t="shared" ca="1" si="296"/>
        <v>1397.0971803615337</v>
      </c>
      <c r="G286" s="12">
        <f t="shared" ca="1" si="280"/>
        <v>268.43256658486314</v>
      </c>
      <c r="H286" s="12">
        <f t="shared" ca="1" si="281"/>
        <v>51.911579587465326</v>
      </c>
    </row>
    <row r="287" spans="1:8" x14ac:dyDescent="0.35">
      <c r="A287" s="15">
        <v>274</v>
      </c>
      <c r="B287" s="10">
        <f t="shared" ca="1" si="276"/>
        <v>2.4756448900006583E-2</v>
      </c>
      <c r="C287" s="10">
        <f t="shared" ca="1" si="277"/>
        <v>0.141165272936426</v>
      </c>
      <c r="D287" s="11">
        <f t="shared" si="278"/>
        <v>1447.7398688575352</v>
      </c>
      <c r="E287" s="11">
        <f t="shared" ref="E287:F287" ca="1" si="297">+D287*EXP(B287)</f>
        <v>1484.0280974324103</v>
      </c>
      <c r="F287" s="11">
        <f t="shared" ca="1" si="297"/>
        <v>1709.0289625807654</v>
      </c>
      <c r="G287" s="12">
        <f t="shared" ca="1" si="280"/>
        <v>191.13520473127528</v>
      </c>
      <c r="H287" s="12">
        <f t="shared" ca="1" si="281"/>
        <v>261.40567831721091</v>
      </c>
    </row>
    <row r="288" spans="1:8" x14ac:dyDescent="0.35">
      <c r="A288" s="15">
        <v>275</v>
      </c>
      <c r="B288" s="10">
        <f t="shared" ca="1" si="276"/>
        <v>-4.7862447610447015E-2</v>
      </c>
      <c r="C288" s="10">
        <f t="shared" ca="1" si="277"/>
        <v>-0.64970532449849627</v>
      </c>
      <c r="D288" s="11">
        <f t="shared" si="278"/>
        <v>1447.7398688575352</v>
      </c>
      <c r="E288" s="11">
        <f t="shared" ref="E288:F288" ca="1" si="298">+D288*EXP(B288)</f>
        <v>1380.07960409918</v>
      </c>
      <c r="F288" s="11">
        <f t="shared" ca="1" si="298"/>
        <v>720.67706350266462</v>
      </c>
      <c r="G288" s="12">
        <f t="shared" ca="1" si="280"/>
        <v>129.39769147159336</v>
      </c>
      <c r="H288" s="12">
        <f t="shared" ca="1" si="281"/>
        <v>7.4787684011868617E-6</v>
      </c>
    </row>
    <row r="289" spans="1:8" x14ac:dyDescent="0.35">
      <c r="A289" s="15">
        <v>276</v>
      </c>
      <c r="B289" s="10">
        <f t="shared" ca="1" si="276"/>
        <v>0.1139838094437447</v>
      </c>
      <c r="C289" s="10">
        <f t="shared" ca="1" si="277"/>
        <v>9.169999432500163E-2</v>
      </c>
      <c r="D289" s="11">
        <f t="shared" si="278"/>
        <v>1447.7398688575352</v>
      </c>
      <c r="E289" s="11">
        <f t="shared" ref="E289:F289" ca="1" si="299">+D289*EXP(B289)</f>
        <v>1622.5312644052137</v>
      </c>
      <c r="F289" s="11">
        <f t="shared" ca="1" si="299"/>
        <v>1778.3526051096057</v>
      </c>
      <c r="G289" s="12">
        <f t="shared" ca="1" si="280"/>
        <v>290.10007980535079</v>
      </c>
      <c r="H289" s="12">
        <f t="shared" ca="1" si="281"/>
        <v>324.10377259320489</v>
      </c>
    </row>
    <row r="290" spans="1:8" x14ac:dyDescent="0.35">
      <c r="A290" s="15">
        <v>277</v>
      </c>
      <c r="B290" s="10">
        <f t="shared" ca="1" si="276"/>
        <v>-0.16088320863164757</v>
      </c>
      <c r="C290" s="10">
        <f t="shared" ca="1" si="277"/>
        <v>4.708238899069489E-2</v>
      </c>
      <c r="D290" s="11">
        <f t="shared" si="278"/>
        <v>1447.7398688575352</v>
      </c>
      <c r="E290" s="11">
        <f t="shared" ref="E290:F290" ca="1" si="300">+D290*EXP(B290)</f>
        <v>1232.5934192500852</v>
      </c>
      <c r="F290" s="11">
        <f t="shared" ca="1" si="300"/>
        <v>1292.0147343677465</v>
      </c>
      <c r="G290" s="12">
        <f t="shared" ca="1" si="280"/>
        <v>63.669242502005261</v>
      </c>
      <c r="H290" s="12">
        <f t="shared" ca="1" si="281"/>
        <v>20.271371256875142</v>
      </c>
    </row>
    <row r="291" spans="1:8" x14ac:dyDescent="0.35">
      <c r="A291" s="15">
        <v>278</v>
      </c>
      <c r="B291" s="10">
        <f t="shared" ca="1" si="276"/>
        <v>1.1261986580875499E-2</v>
      </c>
      <c r="C291" s="10">
        <f t="shared" ca="1" si="277"/>
        <v>0.48637936957433048</v>
      </c>
      <c r="D291" s="11">
        <f t="shared" si="278"/>
        <v>1447.7398688575352</v>
      </c>
      <c r="E291" s="11">
        <f t="shared" ref="E291:F291" ca="1" si="301">+D291*EXP(B291)</f>
        <v>1464.1364515794514</v>
      </c>
      <c r="F291" s="11">
        <f t="shared" ca="1" si="301"/>
        <v>2381.2962574403709</v>
      </c>
      <c r="G291" s="12">
        <f t="shared" ca="1" si="280"/>
        <v>178.41221706267629</v>
      </c>
      <c r="H291" s="12">
        <f t="shared" ca="1" si="281"/>
        <v>918.3505414091926</v>
      </c>
    </row>
    <row r="292" spans="1:8" x14ac:dyDescent="0.35">
      <c r="A292" s="15">
        <v>279</v>
      </c>
      <c r="B292" s="10">
        <f t="shared" ca="1" si="276"/>
        <v>0.23163319324583714</v>
      </c>
      <c r="C292" s="10">
        <f t="shared" ca="1" si="277"/>
        <v>0.24706405027942333</v>
      </c>
      <c r="D292" s="11">
        <f t="shared" si="278"/>
        <v>1447.7398688575352</v>
      </c>
      <c r="E292" s="11">
        <f t="shared" ref="E292:F292" ca="1" si="302">+D292*EXP(B292)</f>
        <v>1825.1037276569164</v>
      </c>
      <c r="F292" s="11">
        <f t="shared" ca="1" si="302"/>
        <v>2336.6093264876135</v>
      </c>
      <c r="G292" s="12">
        <f t="shared" ca="1" si="280"/>
        <v>459.77451816656298</v>
      </c>
      <c r="H292" s="12">
        <f t="shared" ca="1" si="281"/>
        <v>873.67631085300309</v>
      </c>
    </row>
    <row r="293" spans="1:8" x14ac:dyDescent="0.35">
      <c r="A293" s="15">
        <v>280</v>
      </c>
      <c r="B293" s="10">
        <f t="shared" ca="1" si="276"/>
        <v>-0.2324860392777891</v>
      </c>
      <c r="C293" s="10">
        <f t="shared" ca="1" si="277"/>
        <v>0.39975459097634491</v>
      </c>
      <c r="D293" s="11">
        <f t="shared" si="278"/>
        <v>1447.7398688575352</v>
      </c>
      <c r="E293" s="11">
        <f t="shared" ref="E293:F293" ca="1" si="303">+D293*EXP(B293)</f>
        <v>1147.4218889088099</v>
      </c>
      <c r="F293" s="11">
        <f t="shared" ca="1" si="303"/>
        <v>1711.3322845660427</v>
      </c>
      <c r="G293" s="12">
        <f t="shared" ca="1" si="280"/>
        <v>37.853319161299481</v>
      </c>
      <c r="H293" s="12">
        <f t="shared" ca="1" si="281"/>
        <v>263.43248747109715</v>
      </c>
    </row>
    <row r="294" spans="1:8" x14ac:dyDescent="0.35">
      <c r="A294" s="15">
        <v>281</v>
      </c>
      <c r="B294" s="10">
        <f t="shared" ca="1" si="276"/>
        <v>4.8489744477813998E-2</v>
      </c>
      <c r="C294" s="10">
        <f t="shared" ca="1" si="277"/>
        <v>-0.29373232178344422</v>
      </c>
      <c r="D294" s="11">
        <f t="shared" si="278"/>
        <v>1447.7398688575352</v>
      </c>
      <c r="E294" s="11">
        <f t="shared" ref="E294:F294" ca="1" si="304">+D294*EXP(B294)</f>
        <v>1519.6702548475885</v>
      </c>
      <c r="F294" s="11">
        <f t="shared" ca="1" si="304"/>
        <v>1132.8777217890381</v>
      </c>
      <c r="G294" s="12">
        <f t="shared" ca="1" si="280"/>
        <v>214.93158479407396</v>
      </c>
      <c r="H294" s="12">
        <f t="shared" ca="1" si="281"/>
        <v>2.5416818592224075</v>
      </c>
    </row>
    <row r="295" spans="1:8" x14ac:dyDescent="0.35">
      <c r="A295" s="15">
        <v>282</v>
      </c>
      <c r="B295" s="10">
        <f t="shared" ca="1" si="276"/>
        <v>0.25732247346002335</v>
      </c>
      <c r="C295" s="10">
        <f t="shared" ca="1" si="277"/>
        <v>0.26488067396870707</v>
      </c>
      <c r="D295" s="11">
        <f t="shared" si="278"/>
        <v>1447.7398688575352</v>
      </c>
      <c r="E295" s="11">
        <f t="shared" ref="E295:F295" ca="1" si="305">+D295*EXP(B295)</f>
        <v>1872.5967476395108</v>
      </c>
      <c r="F295" s="11">
        <f t="shared" ca="1" si="305"/>
        <v>2440.5093723418991</v>
      </c>
      <c r="G295" s="12">
        <f t="shared" ca="1" si="280"/>
        <v>502.51867000200741</v>
      </c>
      <c r="H295" s="12">
        <f t="shared" ca="1" si="281"/>
        <v>977.55417236550102</v>
      </c>
    </row>
    <row r="296" spans="1:8" x14ac:dyDescent="0.35">
      <c r="A296" s="15">
        <v>283</v>
      </c>
      <c r="B296" s="10">
        <f t="shared" ca="1" si="276"/>
        <v>0.20326456617856903</v>
      </c>
      <c r="C296" s="10">
        <f t="shared" ca="1" si="277"/>
        <v>-0.42137333671877986</v>
      </c>
      <c r="D296" s="11">
        <f t="shared" si="278"/>
        <v>1447.7398688575352</v>
      </c>
      <c r="E296" s="11">
        <f t="shared" ref="E296:F296" ca="1" si="306">+D296*EXP(B296)</f>
        <v>1774.055547536125</v>
      </c>
      <c r="F296" s="11">
        <f t="shared" ca="1" si="306"/>
        <v>1164.0378415523678</v>
      </c>
      <c r="G296" s="12">
        <f t="shared" ca="1" si="280"/>
        <v>414.8904605623477</v>
      </c>
      <c r="H296" s="12">
        <f t="shared" ca="1" si="281"/>
        <v>4.1201722198389916</v>
      </c>
    </row>
    <row r="297" spans="1:8" x14ac:dyDescent="0.35">
      <c r="A297" s="15">
        <v>284</v>
      </c>
      <c r="B297" s="10">
        <f t="shared" ca="1" si="276"/>
        <v>-0.19382973244520563</v>
      </c>
      <c r="C297" s="10">
        <f t="shared" ca="1" si="277"/>
        <v>0.34461393714358624</v>
      </c>
      <c r="D297" s="11">
        <f t="shared" si="278"/>
        <v>1447.7398688575352</v>
      </c>
      <c r="E297" s="11">
        <f t="shared" ref="E297:F297" ca="1" si="307">+D297*EXP(B297)</f>
        <v>1192.6454378446654</v>
      </c>
      <c r="F297" s="11">
        <f t="shared" ca="1" si="307"/>
        <v>1683.3533303157867</v>
      </c>
      <c r="G297" s="12">
        <f t="shared" ca="1" si="280"/>
        <v>50.479914217574446</v>
      </c>
      <c r="H297" s="12">
        <f t="shared" ca="1" si="281"/>
        <v>239.12429896441608</v>
      </c>
    </row>
    <row r="298" spans="1:8" x14ac:dyDescent="0.35">
      <c r="A298" s="15">
        <v>285</v>
      </c>
      <c r="B298" s="10">
        <f t="shared" ca="1" si="276"/>
        <v>0.20277421261696632</v>
      </c>
      <c r="C298" s="10">
        <f t="shared" ca="1" si="277"/>
        <v>-1.2480703031142223E-2</v>
      </c>
      <c r="D298" s="11">
        <f t="shared" si="278"/>
        <v>1447.7398688575352</v>
      </c>
      <c r="E298" s="11">
        <f t="shared" ref="E298:F298" ca="1" si="308">+D298*EXP(B298)</f>
        <v>1773.1858463278786</v>
      </c>
      <c r="F298" s="11">
        <f t="shared" ca="1" si="308"/>
        <v>1751.1927703696756</v>
      </c>
      <c r="G298" s="12">
        <f t="shared" ca="1" si="280"/>
        <v>414.13635645149725</v>
      </c>
      <c r="H298" s="12">
        <f t="shared" ca="1" si="281"/>
        <v>299.15285632069617</v>
      </c>
    </row>
    <row r="299" spans="1:8" x14ac:dyDescent="0.35">
      <c r="A299" s="15">
        <v>286</v>
      </c>
      <c r="B299" s="10">
        <f t="shared" ca="1" si="276"/>
        <v>-0.1133696623670052</v>
      </c>
      <c r="C299" s="10">
        <f t="shared" ca="1" si="277"/>
        <v>-0.2083962240108336</v>
      </c>
      <c r="D299" s="11">
        <f t="shared" si="278"/>
        <v>1447.7398688575352</v>
      </c>
      <c r="E299" s="11">
        <f t="shared" ref="E299:F299" ca="1" si="309">+D299*EXP(B299)</f>
        <v>1292.5719160263475</v>
      </c>
      <c r="F299" s="11">
        <f t="shared" ca="1" si="309"/>
        <v>1049.4201178177696</v>
      </c>
      <c r="G299" s="12">
        <f t="shared" ca="1" si="280"/>
        <v>87.16658981880903</v>
      </c>
      <c r="H299" s="12">
        <f t="shared" ca="1" si="281"/>
        <v>0.55380776647655772</v>
      </c>
    </row>
    <row r="300" spans="1:8" x14ac:dyDescent="0.35">
      <c r="A300" s="15">
        <v>287</v>
      </c>
      <c r="B300" s="10">
        <f t="shared" ca="1" si="276"/>
        <v>0.17231082506271134</v>
      </c>
      <c r="C300" s="10">
        <f t="shared" ca="1" si="277"/>
        <v>-0.28057737174484576</v>
      </c>
      <c r="D300" s="11">
        <f t="shared" si="278"/>
        <v>1447.7398688575352</v>
      </c>
      <c r="E300" s="11">
        <f t="shared" ref="E300:F300" ca="1" si="310">+D300*EXP(B300)</f>
        <v>1719.9830812741172</v>
      </c>
      <c r="F300" s="11">
        <f t="shared" ca="1" si="310"/>
        <v>1299.1849191536396</v>
      </c>
      <c r="G300" s="12">
        <f t="shared" ca="1" si="280"/>
        <v>368.75707208784979</v>
      </c>
      <c r="H300" s="12">
        <f t="shared" ca="1" si="281"/>
        <v>21.81478462816716</v>
      </c>
    </row>
    <row r="301" spans="1:8" x14ac:dyDescent="0.35">
      <c r="A301" s="15">
        <v>288</v>
      </c>
      <c r="B301" s="10">
        <f t="shared" ca="1" si="276"/>
        <v>-8.1788265843302191E-2</v>
      </c>
      <c r="C301" s="10">
        <f t="shared" ca="1" si="277"/>
        <v>-0.43525522049577803</v>
      </c>
      <c r="D301" s="11">
        <f t="shared" si="278"/>
        <v>1447.7398688575352</v>
      </c>
      <c r="E301" s="11">
        <f t="shared" ref="E301:F301" ca="1" si="311">+D301*EXP(B301)</f>
        <v>1334.0445775674034</v>
      </c>
      <c r="F301" s="11">
        <f t="shared" ca="1" si="311"/>
        <v>863.25956971337757</v>
      </c>
      <c r="G301" s="12">
        <f t="shared" ca="1" si="280"/>
        <v>106.01992122933518</v>
      </c>
      <c r="H301" s="12">
        <f t="shared" ca="1" si="281"/>
        <v>3.6264170730042067E-3</v>
      </c>
    </row>
    <row r="302" spans="1:8" x14ac:dyDescent="0.35">
      <c r="A302" s="15">
        <v>289</v>
      </c>
      <c r="B302" s="10">
        <f t="shared" ca="1" si="276"/>
        <v>6.2495577392834359E-2</v>
      </c>
      <c r="C302" s="10">
        <f t="shared" ca="1" si="277"/>
        <v>0.23762183026529685</v>
      </c>
      <c r="D302" s="11">
        <f t="shared" si="278"/>
        <v>1447.7398688575352</v>
      </c>
      <c r="E302" s="11">
        <f t="shared" ref="E302:F302" ca="1" si="312">+D302*EXP(B302)</f>
        <v>1541.1042526395322</v>
      </c>
      <c r="F302" s="11">
        <f t="shared" ca="1" si="312"/>
        <v>1954.4738697859493</v>
      </c>
      <c r="G302" s="12">
        <f t="shared" ca="1" si="280"/>
        <v>229.83092644103021</v>
      </c>
      <c r="H302" s="12">
        <f t="shared" ca="1" si="281"/>
        <v>493.28833017224201</v>
      </c>
    </row>
    <row r="303" spans="1:8" x14ac:dyDescent="0.35">
      <c r="A303" s="15">
        <v>290</v>
      </c>
      <c r="B303" s="10">
        <f t="shared" ca="1" si="276"/>
        <v>-0.10741898852612718</v>
      </c>
      <c r="C303" s="10">
        <f t="shared" ca="1" si="277"/>
        <v>0.38203229981260267</v>
      </c>
      <c r="D303" s="11">
        <f t="shared" si="278"/>
        <v>1447.7398688575352</v>
      </c>
      <c r="E303" s="11">
        <f t="shared" ref="E303:F303" ca="1" si="313">+D303*EXP(B303)</f>
        <v>1300.2865206977715</v>
      </c>
      <c r="F303" s="11">
        <f t="shared" ca="1" si="313"/>
        <v>1905.2570627141035</v>
      </c>
      <c r="G303" s="12">
        <f t="shared" ca="1" si="280"/>
        <v>90.51297524357318</v>
      </c>
      <c r="H303" s="12">
        <f t="shared" ca="1" si="281"/>
        <v>445.12299814294556</v>
      </c>
    </row>
    <row r="304" spans="1:8" x14ac:dyDescent="0.35">
      <c r="A304" s="15">
        <v>291</v>
      </c>
      <c r="B304" s="10">
        <f t="shared" ca="1" si="276"/>
        <v>-0.11575493109326791</v>
      </c>
      <c r="C304" s="10">
        <f t="shared" ca="1" si="277"/>
        <v>0.27663108109836243</v>
      </c>
      <c r="D304" s="11">
        <f t="shared" si="278"/>
        <v>1447.7398688575352</v>
      </c>
      <c r="E304" s="11">
        <f t="shared" ref="E304:F304" ca="1" si="314">+D304*EXP(B304)</f>
        <v>1289.4924587851792</v>
      </c>
      <c r="F304" s="11">
        <f t="shared" ca="1" si="314"/>
        <v>1700.4276517016954</v>
      </c>
      <c r="G304" s="12">
        <f t="shared" ca="1" si="280"/>
        <v>85.851406682132904</v>
      </c>
      <c r="H304" s="12">
        <f t="shared" ca="1" si="281"/>
        <v>253.87644234165168</v>
      </c>
    </row>
    <row r="305" spans="1:8" x14ac:dyDescent="0.35">
      <c r="A305" s="15">
        <v>292</v>
      </c>
      <c r="B305" s="10">
        <f t="shared" ca="1" si="276"/>
        <v>-0.1548655432624842</v>
      </c>
      <c r="C305" s="10">
        <f t="shared" ca="1" si="277"/>
        <v>6.9710099097123793E-2</v>
      </c>
      <c r="D305" s="11">
        <f t="shared" si="278"/>
        <v>1447.7398688575352</v>
      </c>
      <c r="E305" s="11">
        <f t="shared" ref="E305:F305" ca="1" si="315">+D305*EXP(B305)</f>
        <v>1240.0331163364256</v>
      </c>
      <c r="F305" s="11">
        <f t="shared" ca="1" si="315"/>
        <v>1329.5601657293032</v>
      </c>
      <c r="G305" s="12">
        <f t="shared" ca="1" si="280"/>
        <v>66.341553189666456</v>
      </c>
      <c r="H305" s="12">
        <f t="shared" ca="1" si="281"/>
        <v>29.29759074968365</v>
      </c>
    </row>
    <row r="306" spans="1:8" x14ac:dyDescent="0.35">
      <c r="A306" s="15">
        <v>293</v>
      </c>
      <c r="B306" s="10">
        <f t="shared" ca="1" si="276"/>
        <v>2.7311828359135919E-2</v>
      </c>
      <c r="C306" s="10">
        <f t="shared" ca="1" si="277"/>
        <v>0.18533610986578997</v>
      </c>
      <c r="D306" s="11">
        <f t="shared" si="278"/>
        <v>1447.7398688575352</v>
      </c>
      <c r="E306" s="11">
        <f t="shared" ref="E306:F306" ca="1" si="316">+D306*EXP(B306)</f>
        <v>1487.825201804372</v>
      </c>
      <c r="F306" s="11">
        <f t="shared" ca="1" si="316"/>
        <v>1790.7805163559779</v>
      </c>
      <c r="G306" s="12">
        <f t="shared" ca="1" si="280"/>
        <v>193.61014267220844</v>
      </c>
      <c r="H306" s="12">
        <f t="shared" ca="1" si="281"/>
        <v>335.66148200218277</v>
      </c>
    </row>
    <row r="307" spans="1:8" x14ac:dyDescent="0.35">
      <c r="A307" s="15">
        <v>294</v>
      </c>
      <c r="B307" s="10">
        <f t="shared" ca="1" si="276"/>
        <v>8.4872028952180573E-2</v>
      </c>
      <c r="C307" s="10">
        <f t="shared" ca="1" si="277"/>
        <v>0.23536232122816181</v>
      </c>
      <c r="D307" s="11">
        <f t="shared" si="278"/>
        <v>1447.7398688575352</v>
      </c>
      <c r="E307" s="11">
        <f t="shared" ref="E307:F307" ca="1" si="317">+D307*EXP(B307)</f>
        <v>1575.9774109791595</v>
      </c>
      <c r="F307" s="11">
        <f t="shared" ca="1" si="317"/>
        <v>1994.1900529821737</v>
      </c>
      <c r="G307" s="12">
        <f t="shared" ca="1" si="280"/>
        <v>254.96105101242233</v>
      </c>
      <c r="H307" s="12">
        <f t="shared" ca="1" si="281"/>
        <v>532.43577679275563</v>
      </c>
    </row>
    <row r="308" spans="1:8" x14ac:dyDescent="0.35">
      <c r="A308" s="15">
        <v>295</v>
      </c>
      <c r="B308" s="10">
        <f t="shared" ca="1" si="276"/>
        <v>0.36535937505977573</v>
      </c>
      <c r="C308" s="10">
        <f t="shared" ca="1" si="277"/>
        <v>-2.195050364308275E-2</v>
      </c>
      <c r="D308" s="11">
        <f t="shared" si="278"/>
        <v>1447.7398688575352</v>
      </c>
      <c r="E308" s="11">
        <f t="shared" ref="E308:F308" ca="1" si="318">+D308*EXP(B308)</f>
        <v>2086.2391688681982</v>
      </c>
      <c r="F308" s="11">
        <f t="shared" ca="1" si="318"/>
        <v>2040.9441117248671</v>
      </c>
      <c r="G308" s="12">
        <f t="shared" ca="1" si="280"/>
        <v>703.12798310525159</v>
      </c>
      <c r="H308" s="12">
        <f t="shared" ca="1" si="281"/>
        <v>578.73996726244172</v>
      </c>
    </row>
    <row r="309" spans="1:8" x14ac:dyDescent="0.35">
      <c r="A309" s="15">
        <v>296</v>
      </c>
      <c r="B309" s="10">
        <f t="shared" ca="1" si="276"/>
        <v>8.9570733678917561E-2</v>
      </c>
      <c r="C309" s="10">
        <f t="shared" ca="1" si="277"/>
        <v>6.317530972395112E-2</v>
      </c>
      <c r="D309" s="11">
        <f t="shared" si="278"/>
        <v>1447.7398688575352</v>
      </c>
      <c r="E309" s="11">
        <f t="shared" ref="E309:F309" ca="1" si="319">+D309*EXP(B309)</f>
        <v>1583.3998878469217</v>
      </c>
      <c r="F309" s="11">
        <f t="shared" ca="1" si="319"/>
        <v>1686.6590396064908</v>
      </c>
      <c r="G309" s="12">
        <f t="shared" ca="1" si="280"/>
        <v>260.44554201280766</v>
      </c>
      <c r="H309" s="12">
        <f t="shared" ca="1" si="281"/>
        <v>241.95947869058023</v>
      </c>
    </row>
    <row r="310" spans="1:8" x14ac:dyDescent="0.35">
      <c r="A310" s="15">
        <v>297</v>
      </c>
      <c r="B310" s="10">
        <f t="shared" ca="1" si="276"/>
        <v>-0.10236440476566515</v>
      </c>
      <c r="C310" s="10">
        <f t="shared" ca="1" si="277"/>
        <v>-5.5918169595413375E-2</v>
      </c>
      <c r="D310" s="11">
        <f t="shared" si="278"/>
        <v>1447.7398688575352</v>
      </c>
      <c r="E310" s="11">
        <f t="shared" ref="E310:F310" ca="1" si="320">+D310*EXP(B310)</f>
        <v>1306.8755662420201</v>
      </c>
      <c r="F310" s="11">
        <f t="shared" ca="1" si="320"/>
        <v>1235.8031157522146</v>
      </c>
      <c r="G310" s="12">
        <f t="shared" ca="1" si="280"/>
        <v>93.429450783144375</v>
      </c>
      <c r="H310" s="12">
        <f t="shared" ca="1" si="281"/>
        <v>10.799594626098724</v>
      </c>
    </row>
    <row r="311" spans="1:8" x14ac:dyDescent="0.35">
      <c r="A311" s="15">
        <v>298</v>
      </c>
      <c r="B311" s="10">
        <f t="shared" ca="1" si="276"/>
        <v>-1.565330395079852E-2</v>
      </c>
      <c r="C311" s="10">
        <f t="shared" ca="1" si="277"/>
        <v>0.18386877356010276</v>
      </c>
      <c r="D311" s="11">
        <f t="shared" si="278"/>
        <v>1447.7398688575352</v>
      </c>
      <c r="E311" s="11">
        <f t="shared" ref="E311:F311" ca="1" si="321">+D311*EXP(B311)</f>
        <v>1425.2544016995587</v>
      </c>
      <c r="F311" s="11">
        <f t="shared" ca="1" si="321"/>
        <v>1712.9535432358339</v>
      </c>
      <c r="G311" s="12">
        <f t="shared" ca="1" si="280"/>
        <v>154.7581265966819</v>
      </c>
      <c r="H311" s="12">
        <f t="shared" ca="1" si="281"/>
        <v>264.86173360202929</v>
      </c>
    </row>
    <row r="312" spans="1:8" x14ac:dyDescent="0.35">
      <c r="A312" s="15">
        <v>299</v>
      </c>
      <c r="B312" s="10">
        <f t="shared" ca="1" si="276"/>
        <v>5.5246107478428973E-2</v>
      </c>
      <c r="C312" s="10">
        <f t="shared" ca="1" si="277"/>
        <v>0.22158758789328345</v>
      </c>
      <c r="D312" s="11">
        <f t="shared" si="278"/>
        <v>1447.7398688575352</v>
      </c>
      <c r="E312" s="11">
        <f t="shared" ref="E312:F312" ca="1" si="322">+D312*EXP(B312)</f>
        <v>1529.9724622671474</v>
      </c>
      <c r="F312" s="11">
        <f t="shared" ca="1" si="322"/>
        <v>1909.4921652115734</v>
      </c>
      <c r="G312" s="12">
        <f t="shared" ca="1" si="280"/>
        <v>222.03934176685505</v>
      </c>
      <c r="H312" s="12">
        <f t="shared" ca="1" si="281"/>
        <v>449.24881554065496</v>
      </c>
    </row>
    <row r="313" spans="1:8" x14ac:dyDescent="0.35">
      <c r="A313" s="15">
        <v>300</v>
      </c>
      <c r="B313" s="10">
        <f t="shared" ca="1" si="276"/>
        <v>-0.18611525503960263</v>
      </c>
      <c r="C313" s="10">
        <f t="shared" ca="1" si="277"/>
        <v>-7.0434060502897855E-2</v>
      </c>
      <c r="D313" s="11">
        <f t="shared" si="278"/>
        <v>1447.7398688575352</v>
      </c>
      <c r="E313" s="11">
        <f t="shared" ref="E313:F313" ca="1" si="323">+D313*EXP(B313)</f>
        <v>1201.8816546142784</v>
      </c>
      <c r="F313" s="11">
        <f t="shared" ca="1" si="323"/>
        <v>1120.1407126423464</v>
      </c>
      <c r="G313" s="12">
        <f t="shared" ca="1" si="280"/>
        <v>53.356910721093072</v>
      </c>
      <c r="H313" s="12">
        <f t="shared" ca="1" si="281"/>
        <v>2.0602333134471991</v>
      </c>
    </row>
    <row r="314" spans="1:8" x14ac:dyDescent="0.35">
      <c r="A314" s="15">
        <v>301</v>
      </c>
      <c r="B314" s="10">
        <f t="shared" ca="1" si="276"/>
        <v>-8.9727218752431392E-2</v>
      </c>
      <c r="C314" s="10">
        <f t="shared" ca="1" si="277"/>
        <v>8.8045829961221109E-2</v>
      </c>
      <c r="D314" s="11">
        <f t="shared" si="278"/>
        <v>1447.7398688575352</v>
      </c>
      <c r="E314" s="11">
        <f t="shared" ref="E314:F314" ca="1" si="324">+D314*EXP(B314)</f>
        <v>1323.495589851613</v>
      </c>
      <c r="F314" s="11">
        <f t="shared" ca="1" si="324"/>
        <v>1445.307700552705</v>
      </c>
      <c r="G314" s="12">
        <f t="shared" ca="1" si="280"/>
        <v>101.02378205062394</v>
      </c>
      <c r="H314" s="12">
        <f t="shared" ca="1" si="281"/>
        <v>73.445431179335628</v>
      </c>
    </row>
    <row r="315" spans="1:8" x14ac:dyDescent="0.35">
      <c r="A315" s="15">
        <v>302</v>
      </c>
      <c r="B315" s="10">
        <f t="shared" ca="1" si="276"/>
        <v>1.4412454940697032E-2</v>
      </c>
      <c r="C315" s="10">
        <f t="shared" ca="1" si="277"/>
        <v>1.6346398907860934E-2</v>
      </c>
      <c r="D315" s="11">
        <f t="shared" si="278"/>
        <v>1447.7398688575352</v>
      </c>
      <c r="E315" s="11">
        <f t="shared" ref="E315:F315" ca="1" si="325">+D315*EXP(B315)</f>
        <v>1468.7564408883952</v>
      </c>
      <c r="F315" s="11">
        <f t="shared" ca="1" si="325"/>
        <v>1492.9626225219827</v>
      </c>
      <c r="G315" s="12">
        <f t="shared" ca="1" si="280"/>
        <v>181.33055875877494</v>
      </c>
      <c r="H315" s="12">
        <f t="shared" ca="1" si="281"/>
        <v>99.169800778060221</v>
      </c>
    </row>
    <row r="316" spans="1:8" x14ac:dyDescent="0.35">
      <c r="A316" s="15">
        <v>303</v>
      </c>
      <c r="B316" s="10">
        <f t="shared" ca="1" si="276"/>
        <v>7.2362681364538328E-2</v>
      </c>
      <c r="C316" s="10">
        <f t="shared" ca="1" si="277"/>
        <v>-7.453115036549679E-2</v>
      </c>
      <c r="D316" s="11">
        <f t="shared" si="278"/>
        <v>1447.7398688575352</v>
      </c>
      <c r="E316" s="11">
        <f t="shared" ref="E316:F316" ca="1" si="326">+D316*EXP(B316)</f>
        <v>1556.3857566425781</v>
      </c>
      <c r="F316" s="11">
        <f t="shared" ca="1" si="326"/>
        <v>1444.6038911944888</v>
      </c>
      <c r="G316" s="12">
        <f t="shared" ca="1" si="280"/>
        <v>240.71097370396785</v>
      </c>
      <c r="H316" s="12">
        <f t="shared" ca="1" si="281"/>
        <v>73.098264230531981</v>
      </c>
    </row>
    <row r="317" spans="1:8" x14ac:dyDescent="0.35">
      <c r="A317" s="15">
        <v>304</v>
      </c>
      <c r="B317" s="10">
        <f t="shared" ca="1" si="276"/>
        <v>8.9290896970264447E-2</v>
      </c>
      <c r="C317" s="10">
        <f t="shared" ca="1" si="277"/>
        <v>-0.29579924223623022</v>
      </c>
      <c r="D317" s="11">
        <f t="shared" si="278"/>
        <v>1447.7398688575352</v>
      </c>
      <c r="E317" s="11">
        <f t="shared" ref="E317:F317" ca="1" si="327">+D317*EXP(B317)</f>
        <v>1582.9568564249435</v>
      </c>
      <c r="F317" s="11">
        <f t="shared" ca="1" si="327"/>
        <v>1177.6198014955191</v>
      </c>
      <c r="G317" s="12">
        <f t="shared" ca="1" si="280"/>
        <v>260.11688914387821</v>
      </c>
      <c r="H317" s="12">
        <f t="shared" ca="1" si="281"/>
        <v>5.0205113309149425</v>
      </c>
    </row>
    <row r="318" spans="1:8" x14ac:dyDescent="0.35">
      <c r="A318" s="15">
        <v>305</v>
      </c>
      <c r="B318" s="10">
        <f t="shared" ca="1" si="276"/>
        <v>4.7880883382525503E-2</v>
      </c>
      <c r="C318" s="10">
        <f t="shared" ca="1" si="277"/>
        <v>-0.11728844209859668</v>
      </c>
      <c r="D318" s="11">
        <f t="shared" si="278"/>
        <v>1447.7398688575352</v>
      </c>
      <c r="E318" s="11">
        <f t="shared" ref="E318:F318" ca="1" si="328">+D318*EXP(B318)</f>
        <v>1518.7452683744586</v>
      </c>
      <c r="F318" s="11">
        <f t="shared" ca="1" si="328"/>
        <v>1350.6636584805292</v>
      </c>
      <c r="G318" s="12">
        <f t="shared" ca="1" si="280"/>
        <v>214.29833760819395</v>
      </c>
      <c r="H318" s="12">
        <f t="shared" ca="1" si="281"/>
        <v>35.447173638459276</v>
      </c>
    </row>
    <row r="319" spans="1:8" x14ac:dyDescent="0.35">
      <c r="A319" s="15">
        <v>306</v>
      </c>
      <c r="B319" s="10">
        <f t="shared" ca="1" si="276"/>
        <v>-8.6007107554107315E-2</v>
      </c>
      <c r="C319" s="10">
        <f t="shared" ca="1" si="277"/>
        <v>7.0463096888107229E-2</v>
      </c>
      <c r="D319" s="11">
        <f t="shared" si="278"/>
        <v>1447.7398688575352</v>
      </c>
      <c r="E319" s="11">
        <f t="shared" ref="E319:F319" ca="1" si="329">+D319*EXP(B319)</f>
        <v>1328.4283100614464</v>
      </c>
      <c r="F319" s="11">
        <f t="shared" ca="1" si="329"/>
        <v>1425.4101809474516</v>
      </c>
      <c r="G319" s="12">
        <f t="shared" ca="1" si="280"/>
        <v>103.34304148493857</v>
      </c>
      <c r="H319" s="12">
        <f t="shared" ca="1" si="281"/>
        <v>64.004554292947205</v>
      </c>
    </row>
    <row r="320" spans="1:8" x14ac:dyDescent="0.35">
      <c r="A320" s="15">
        <v>307</v>
      </c>
      <c r="B320" s="10">
        <f t="shared" ca="1" si="276"/>
        <v>-0.13943291038746186</v>
      </c>
      <c r="C320" s="10">
        <f t="shared" ca="1" si="277"/>
        <v>0.17386248786858255</v>
      </c>
      <c r="D320" s="11">
        <f t="shared" si="278"/>
        <v>1447.7398688575352</v>
      </c>
      <c r="E320" s="11">
        <f t="shared" ref="E320:F320" ca="1" si="330">+D320*EXP(B320)</f>
        <v>1259.3185217047751</v>
      </c>
      <c r="F320" s="11">
        <f t="shared" ca="1" si="330"/>
        <v>1498.4529462687565</v>
      </c>
      <c r="G320" s="12">
        <f t="shared" ca="1" si="280"/>
        <v>73.587686767134244</v>
      </c>
      <c r="H320" s="12">
        <f t="shared" ca="1" si="281"/>
        <v>102.40838603182544</v>
      </c>
    </row>
    <row r="321" spans="1:8" x14ac:dyDescent="0.35">
      <c r="A321" s="15">
        <v>308</v>
      </c>
      <c r="B321" s="10">
        <f t="shared" ca="1" si="276"/>
        <v>0.23392245002223921</v>
      </c>
      <c r="C321" s="10">
        <f t="shared" ca="1" si="277"/>
        <v>9.0435822705323077E-2</v>
      </c>
      <c r="D321" s="11">
        <f t="shared" si="278"/>
        <v>1447.7398688575352</v>
      </c>
      <c r="E321" s="11">
        <f t="shared" ref="E321:F321" ca="1" si="331">+D321*EXP(B321)</f>
        <v>1829.2866447920069</v>
      </c>
      <c r="F321" s="11">
        <f t="shared" ca="1" si="331"/>
        <v>2002.4309189724586</v>
      </c>
      <c r="G321" s="12">
        <f t="shared" ca="1" si="280"/>
        <v>463.5033191787295</v>
      </c>
      <c r="H321" s="12">
        <f t="shared" ca="1" si="281"/>
        <v>540.58241982629534</v>
      </c>
    </row>
    <row r="322" spans="1:8" x14ac:dyDescent="0.35">
      <c r="A322" s="15">
        <v>309</v>
      </c>
      <c r="B322" s="10">
        <f t="shared" ca="1" si="276"/>
        <v>-0.15099555089436206</v>
      </c>
      <c r="C322" s="10">
        <f t="shared" ca="1" si="277"/>
        <v>1.7037723267082756E-2</v>
      </c>
      <c r="D322" s="11">
        <f t="shared" si="278"/>
        <v>1447.7398688575352</v>
      </c>
      <c r="E322" s="11">
        <f t="shared" ref="E322:F322" ca="1" si="332">+D322*EXP(B322)</f>
        <v>1244.8413329126038</v>
      </c>
      <c r="F322" s="11">
        <f t="shared" ca="1" si="332"/>
        <v>1266.2323043276363</v>
      </c>
      <c r="G322" s="12">
        <f t="shared" ca="1" si="280"/>
        <v>68.105031032416605</v>
      </c>
      <c r="H322" s="12">
        <f t="shared" ca="1" si="281"/>
        <v>15.375110119642869</v>
      </c>
    </row>
    <row r="323" spans="1:8" x14ac:dyDescent="0.35">
      <c r="A323" s="15">
        <v>310</v>
      </c>
      <c r="B323" s="10">
        <f t="shared" ca="1" si="276"/>
        <v>7.319276957189487E-2</v>
      </c>
      <c r="C323" s="10">
        <f t="shared" ca="1" si="277"/>
        <v>-0.41776925510350549</v>
      </c>
      <c r="D323" s="11">
        <f t="shared" si="278"/>
        <v>1447.7398688575352</v>
      </c>
      <c r="E323" s="11">
        <f t="shared" ref="E323:F323" ca="1" si="333">+D323*EXP(B323)</f>
        <v>1557.6782304646892</v>
      </c>
      <c r="F323" s="11">
        <f t="shared" ca="1" si="333"/>
        <v>1025.7531709817472</v>
      </c>
      <c r="G323" s="12">
        <f t="shared" ca="1" si="280"/>
        <v>241.64075479707139</v>
      </c>
      <c r="H323" s="12">
        <f t="shared" ca="1" si="281"/>
        <v>0.33537478194977766</v>
      </c>
    </row>
    <row r="324" spans="1:8" x14ac:dyDescent="0.35">
      <c r="A324" s="15">
        <v>311</v>
      </c>
      <c r="B324" s="10">
        <f t="shared" ca="1" si="276"/>
        <v>4.4127429811353577E-2</v>
      </c>
      <c r="C324" s="10">
        <f t="shared" ca="1" si="277"/>
        <v>8.6810181921212842E-2</v>
      </c>
      <c r="D324" s="11">
        <f t="shared" si="278"/>
        <v>1447.7398688575352</v>
      </c>
      <c r="E324" s="11">
        <f t="shared" ref="E324:F324" ca="1" si="334">+D324*EXP(B324)</f>
        <v>1513.0554135062996</v>
      </c>
      <c r="F324" s="11">
        <f t="shared" ca="1" si="334"/>
        <v>1650.2738452806946</v>
      </c>
      <c r="G324" s="12">
        <f t="shared" ca="1" si="280"/>
        <v>210.42110006551388</v>
      </c>
      <c r="H324" s="12">
        <f t="shared" ca="1" si="281"/>
        <v>211.35579033617091</v>
      </c>
    </row>
    <row r="325" spans="1:8" x14ac:dyDescent="0.35">
      <c r="A325" s="15">
        <v>312</v>
      </c>
      <c r="B325" s="10">
        <f t="shared" ca="1" si="276"/>
        <v>-4.2085006902227544E-2</v>
      </c>
      <c r="C325" s="10">
        <f t="shared" ca="1" si="277"/>
        <v>0.17375948096158728</v>
      </c>
      <c r="D325" s="11">
        <f t="shared" si="278"/>
        <v>1447.7398688575352</v>
      </c>
      <c r="E325" s="11">
        <f t="shared" ref="E325:F325" ca="1" si="335">+D325*EXP(B325)</f>
        <v>1388.0760093204724</v>
      </c>
      <c r="F325" s="11">
        <f t="shared" ca="1" si="335"/>
        <v>1651.490318037605</v>
      </c>
      <c r="G325" s="12">
        <f t="shared" ca="1" si="280"/>
        <v>133.7153080200917</v>
      </c>
      <c r="H325" s="12">
        <f t="shared" ca="1" si="281"/>
        <v>212.35642636794501</v>
      </c>
    </row>
    <row r="326" spans="1:8" x14ac:dyDescent="0.35">
      <c r="A326" s="15">
        <v>313</v>
      </c>
      <c r="B326" s="10">
        <f t="shared" ca="1" si="276"/>
        <v>8.2310852483880106E-3</v>
      </c>
      <c r="C326" s="10">
        <f t="shared" ca="1" si="277"/>
        <v>-7.7861778143404461E-2</v>
      </c>
      <c r="D326" s="11">
        <f t="shared" si="278"/>
        <v>1447.7398688575352</v>
      </c>
      <c r="E326" s="11">
        <f t="shared" ref="E326:F326" ca="1" si="336">+D326*EXP(B326)</f>
        <v>1459.7055167126259</v>
      </c>
      <c r="F326" s="11">
        <f t="shared" ca="1" si="336"/>
        <v>1350.3623128755653</v>
      </c>
      <c r="G326" s="12">
        <f t="shared" ca="1" si="280"/>
        <v>175.63441878691197</v>
      </c>
      <c r="H326" s="12">
        <f t="shared" ca="1" si="281"/>
        <v>35.353648797456515</v>
      </c>
    </row>
    <row r="327" spans="1:8" x14ac:dyDescent="0.35">
      <c r="A327" s="15">
        <v>314</v>
      </c>
      <c r="B327" s="10">
        <f t="shared" ca="1" si="276"/>
        <v>3.9562962772901736E-2</v>
      </c>
      <c r="C327" s="10">
        <f t="shared" ca="1" si="277"/>
        <v>-0.13436749536015102</v>
      </c>
      <c r="D327" s="11">
        <f t="shared" si="278"/>
        <v>1447.7398688575352</v>
      </c>
      <c r="E327" s="11">
        <f t="shared" ref="E327:F327" ca="1" si="337">+D327*EXP(B327)</f>
        <v>1506.1648597600765</v>
      </c>
      <c r="F327" s="11">
        <f t="shared" ca="1" si="337"/>
        <v>1316.7928178208094</v>
      </c>
      <c r="G327" s="12">
        <f t="shared" ca="1" si="280"/>
        <v>205.76759490209827</v>
      </c>
      <c r="H327" s="12">
        <f t="shared" ca="1" si="281"/>
        <v>25.961466742008497</v>
      </c>
    </row>
    <row r="328" spans="1:8" x14ac:dyDescent="0.35">
      <c r="A328" s="15">
        <v>315</v>
      </c>
      <c r="B328" s="10">
        <f t="shared" ca="1" si="276"/>
        <v>6.3374813330891996E-2</v>
      </c>
      <c r="C328" s="10">
        <f t="shared" ca="1" si="277"/>
        <v>0.25220943586801375</v>
      </c>
      <c r="D328" s="11">
        <f t="shared" si="278"/>
        <v>1447.7398688575352</v>
      </c>
      <c r="E328" s="11">
        <f t="shared" ref="E328:F328" ca="1" si="338">+D328*EXP(B328)</f>
        <v>1542.4598427371832</v>
      </c>
      <c r="F328" s="11">
        <f t="shared" ca="1" si="338"/>
        <v>1984.9383951023731</v>
      </c>
      <c r="G328" s="12">
        <f t="shared" ca="1" si="280"/>
        <v>230.78754569008652</v>
      </c>
      <c r="H328" s="12">
        <f t="shared" ca="1" si="281"/>
        <v>523.29880890562572</v>
      </c>
    </row>
    <row r="329" spans="1:8" x14ac:dyDescent="0.35">
      <c r="A329" s="15">
        <v>316</v>
      </c>
      <c r="B329" s="10">
        <f t="shared" ca="1" si="276"/>
        <v>-0.14472840453187158</v>
      </c>
      <c r="C329" s="10">
        <f t="shared" ca="1" si="277"/>
        <v>-0.19145400497871148</v>
      </c>
      <c r="D329" s="11">
        <f t="shared" si="278"/>
        <v>1447.7398688575352</v>
      </c>
      <c r="E329" s="11">
        <f t="shared" ref="E329:F329" ca="1" si="339">+D329*EXP(B329)</f>
        <v>1252.6674337883185</v>
      </c>
      <c r="F329" s="11">
        <f t="shared" ca="1" si="339"/>
        <v>1034.3996599510294</v>
      </c>
      <c r="G329" s="12">
        <f t="shared" ca="1" si="280"/>
        <v>71.036576632769197</v>
      </c>
      <c r="H329" s="12">
        <f t="shared" ca="1" si="281"/>
        <v>0.40439548687467486</v>
      </c>
    </row>
    <row r="330" spans="1:8" x14ac:dyDescent="0.35">
      <c r="A330" s="15">
        <v>317</v>
      </c>
      <c r="B330" s="10">
        <f t="shared" ca="1" si="276"/>
        <v>-1.8717808292887293E-2</v>
      </c>
      <c r="C330" s="10">
        <f t="shared" ca="1" si="277"/>
        <v>0.1218472631240342</v>
      </c>
      <c r="D330" s="11">
        <f t="shared" si="278"/>
        <v>1447.7398688575352</v>
      </c>
      <c r="E330" s="11">
        <f t="shared" ref="E330:F330" ca="1" si="340">+D330*EXP(B330)</f>
        <v>1420.8933889810985</v>
      </c>
      <c r="F330" s="11">
        <f t="shared" ca="1" si="340"/>
        <v>1605.0149706991392</v>
      </c>
      <c r="G330" s="12">
        <f t="shared" ca="1" si="280"/>
        <v>152.2085829345242</v>
      </c>
      <c r="H330" s="12">
        <f t="shared" ca="1" si="281"/>
        <v>175.38109943709719</v>
      </c>
    </row>
    <row r="331" spans="1:8" x14ac:dyDescent="0.35">
      <c r="A331" s="15">
        <v>318</v>
      </c>
      <c r="B331" s="10">
        <f t="shared" ca="1" si="276"/>
        <v>7.2686503536900704E-2</v>
      </c>
      <c r="C331" s="10">
        <f t="shared" ca="1" si="277"/>
        <v>1.5025883935344696E-2</v>
      </c>
      <c r="D331" s="11">
        <f t="shared" si="278"/>
        <v>1447.7398688575352</v>
      </c>
      <c r="E331" s="11">
        <f t="shared" ref="E331:F331" ca="1" si="341">+D331*EXP(B331)</f>
        <v>1556.8898304700642</v>
      </c>
      <c r="F331" s="11">
        <f t="shared" ca="1" si="341"/>
        <v>1580.4601150755152</v>
      </c>
      <c r="G331" s="12">
        <f t="shared" ca="1" si="280"/>
        <v>241.07341924486559</v>
      </c>
      <c r="H331" s="12">
        <f t="shared" ca="1" si="281"/>
        <v>156.99009032608308</v>
      </c>
    </row>
    <row r="332" spans="1:8" x14ac:dyDescent="0.35">
      <c r="A332" s="15">
        <v>319</v>
      </c>
      <c r="B332" s="10">
        <f t="shared" ca="1" si="276"/>
        <v>6.2685707812567187E-2</v>
      </c>
      <c r="C332" s="10">
        <f t="shared" ca="1" si="277"/>
        <v>-2.9430686175402551E-3</v>
      </c>
      <c r="D332" s="11">
        <f t="shared" si="278"/>
        <v>1447.7398688575352</v>
      </c>
      <c r="E332" s="11">
        <f t="shared" ref="E332:F332" ca="1" si="342">+D332*EXP(B332)</f>
        <v>1541.3972912948373</v>
      </c>
      <c r="F332" s="11">
        <f t="shared" ca="1" si="342"/>
        <v>1536.867522279789</v>
      </c>
      <c r="G332" s="12">
        <f t="shared" ca="1" si="280"/>
        <v>230.03757722777527</v>
      </c>
      <c r="H332" s="12">
        <f t="shared" ca="1" si="281"/>
        <v>126.57721657708134</v>
      </c>
    </row>
    <row r="333" spans="1:8" x14ac:dyDescent="0.35">
      <c r="A333" s="15">
        <v>320</v>
      </c>
      <c r="B333" s="10">
        <f t="shared" ca="1" si="276"/>
        <v>0.14217577094026013</v>
      </c>
      <c r="C333" s="10">
        <f t="shared" ca="1" si="277"/>
        <v>-0.15636010998059366</v>
      </c>
      <c r="D333" s="11">
        <f t="shared" si="278"/>
        <v>1447.7398688575352</v>
      </c>
      <c r="E333" s="11">
        <f t="shared" ref="E333:F333" ca="1" si="343">+D333*EXP(B333)</f>
        <v>1668.9244886482597</v>
      </c>
      <c r="F333" s="11">
        <f t="shared" ca="1" si="343"/>
        <v>1427.3495889056246</v>
      </c>
      <c r="G333" s="12">
        <f t="shared" ca="1" si="280"/>
        <v>326.75309839228623</v>
      </c>
      <c r="H333" s="12">
        <f t="shared" ca="1" si="281"/>
        <v>64.890577080227899</v>
      </c>
    </row>
    <row r="334" spans="1:8" x14ac:dyDescent="0.35">
      <c r="A334" s="15">
        <v>321</v>
      </c>
      <c r="B334" s="10">
        <f t="shared" ca="1" si="276"/>
        <v>-0.10574619239432551</v>
      </c>
      <c r="C334" s="10">
        <f t="shared" ca="1" si="277"/>
        <v>5.8757926669678967E-2</v>
      </c>
      <c r="D334" s="11">
        <f t="shared" si="278"/>
        <v>1447.7398688575352</v>
      </c>
      <c r="E334" s="11">
        <f t="shared" ref="E334:F334" ca="1" si="344">+D334*EXP(B334)</f>
        <v>1302.4634552360328</v>
      </c>
      <c r="F334" s="11">
        <f t="shared" ca="1" si="344"/>
        <v>1381.2865721679946</v>
      </c>
      <c r="G334" s="12">
        <f t="shared" ca="1" si="280"/>
        <v>91.470602068928088</v>
      </c>
      <c r="H334" s="12">
        <f t="shared" ca="1" si="281"/>
        <v>45.841112223365428</v>
      </c>
    </row>
    <row r="335" spans="1:8" x14ac:dyDescent="0.35">
      <c r="A335" s="15">
        <v>322</v>
      </c>
      <c r="B335" s="10">
        <f t="shared" ref="B335:B398" ca="1" si="345">+($B$6-0.5*$B$10^2)*$H$4+$B$10*SQRT($H$4)*_xlfn.NORM.S.INV(RAND())</f>
        <v>-0.11657926479546969</v>
      </c>
      <c r="C335" s="10">
        <f t="shared" ref="C335:C398" ca="1" si="346">+($B$6-0.5*$B$10^2)+$B$10*_xlfn.NORM.S.INV(RAND())</f>
        <v>5.7946038550945468E-2</v>
      </c>
      <c r="D335" s="11">
        <f t="shared" ref="D335:D398" si="347">+$B$9</f>
        <v>1447.7398688575352</v>
      </c>
      <c r="E335" s="11">
        <f t="shared" ref="E335:F335" ca="1" si="348">+D335*EXP(B335)</f>
        <v>1288.4299246941664</v>
      </c>
      <c r="F335" s="11">
        <f t="shared" ca="1" si="348"/>
        <v>1365.2948368447076</v>
      </c>
      <c r="G335" s="12">
        <f t="shared" ref="G335:G398" ca="1" si="349">+BlackScholesCall(E335,$B$4,$B$10,$B$6,$B$7-$H$4)</f>
        <v>85.400346614526939</v>
      </c>
      <c r="H335" s="12">
        <f t="shared" ref="H335:H398" ca="1" si="350">+BlackScholesCall(F335,$B$4,$B$10,$B$6,$B$7-$I$4)</f>
        <v>40.191701281900464</v>
      </c>
    </row>
    <row r="336" spans="1:8" x14ac:dyDescent="0.35">
      <c r="A336" s="15">
        <v>323</v>
      </c>
      <c r="B336" s="10">
        <f t="shared" ca="1" si="345"/>
        <v>9.7268543989336279E-2</v>
      </c>
      <c r="C336" s="10">
        <f t="shared" ca="1" si="346"/>
        <v>-0.13941286403548464</v>
      </c>
      <c r="D336" s="11">
        <f t="shared" si="347"/>
        <v>1447.7398688575352</v>
      </c>
      <c r="E336" s="11">
        <f t="shared" ref="E336:F336" ca="1" si="351">+D336*EXP(B336)</f>
        <v>1595.6356336338001</v>
      </c>
      <c r="F336" s="11">
        <f t="shared" ca="1" si="351"/>
        <v>1387.9936806099699</v>
      </c>
      <c r="G336" s="12">
        <f t="shared" ca="1" si="349"/>
        <v>269.58637866183528</v>
      </c>
      <c r="H336" s="12">
        <f t="shared" ca="1" si="350"/>
        <v>48.356975612877136</v>
      </c>
    </row>
    <row r="337" spans="1:8" x14ac:dyDescent="0.35">
      <c r="A337" s="15">
        <v>324</v>
      </c>
      <c r="B337" s="10">
        <f t="shared" ca="1" si="345"/>
        <v>2.9773093895212384E-2</v>
      </c>
      <c r="C337" s="10">
        <f t="shared" ca="1" si="346"/>
        <v>0.33897701507389666</v>
      </c>
      <c r="D337" s="11">
        <f t="shared" si="347"/>
        <v>1447.7398688575352</v>
      </c>
      <c r="E337" s="11">
        <f t="shared" ref="E337:F337" ca="1" si="352">+D337*EXP(B337)</f>
        <v>1491.4916448913941</v>
      </c>
      <c r="F337" s="11">
        <f t="shared" ca="1" si="352"/>
        <v>2093.3250571529866</v>
      </c>
      <c r="G337" s="12">
        <f t="shared" ca="1" si="349"/>
        <v>196.01376855775629</v>
      </c>
      <c r="H337" s="12">
        <f t="shared" ca="1" si="350"/>
        <v>630.8061610647926</v>
      </c>
    </row>
    <row r="338" spans="1:8" x14ac:dyDescent="0.35">
      <c r="A338" s="15">
        <v>325</v>
      </c>
      <c r="B338" s="10">
        <f t="shared" ca="1" si="345"/>
        <v>0.10588126398426327</v>
      </c>
      <c r="C338" s="10">
        <f t="shared" ca="1" si="346"/>
        <v>8.276187750608599E-2</v>
      </c>
      <c r="D338" s="11">
        <f t="shared" si="347"/>
        <v>1447.7398688575352</v>
      </c>
      <c r="E338" s="11">
        <f t="shared" ref="E338:F338" ca="1" si="353">+D338*EXP(B338)</f>
        <v>1609.4377481151462</v>
      </c>
      <c r="F338" s="11">
        <f t="shared" ca="1" si="353"/>
        <v>1748.3050412558759</v>
      </c>
      <c r="G338" s="12">
        <f t="shared" ca="1" si="349"/>
        <v>280.04266048660395</v>
      </c>
      <c r="H338" s="12">
        <f t="shared" ca="1" si="350"/>
        <v>296.52703602366137</v>
      </c>
    </row>
    <row r="339" spans="1:8" x14ac:dyDescent="0.35">
      <c r="A339" s="15">
        <v>326</v>
      </c>
      <c r="B339" s="10">
        <f t="shared" ca="1" si="345"/>
        <v>8.1316807603775548E-2</v>
      </c>
      <c r="C339" s="10">
        <f t="shared" ca="1" si="346"/>
        <v>-0.38022439413244047</v>
      </c>
      <c r="D339" s="11">
        <f t="shared" si="347"/>
        <v>1447.7398688575352</v>
      </c>
      <c r="E339" s="11">
        <f t="shared" ref="E339:F339" ca="1" si="354">+D339*EXP(B339)</f>
        <v>1570.3844105114802</v>
      </c>
      <c r="F339" s="11">
        <f t="shared" ca="1" si="354"/>
        <v>1073.6843404779102</v>
      </c>
      <c r="G339" s="12">
        <f t="shared" ca="1" si="349"/>
        <v>250.85915995835705</v>
      </c>
      <c r="H339" s="12">
        <f t="shared" ca="1" si="350"/>
        <v>0.89550833404042862</v>
      </c>
    </row>
    <row r="340" spans="1:8" x14ac:dyDescent="0.35">
      <c r="A340" s="15">
        <v>327</v>
      </c>
      <c r="B340" s="10">
        <f t="shared" ca="1" si="345"/>
        <v>1.8725966055248722E-2</v>
      </c>
      <c r="C340" s="10">
        <f t="shared" ca="1" si="346"/>
        <v>-0.30202714264270181</v>
      </c>
      <c r="D340" s="11">
        <f t="shared" si="347"/>
        <v>1447.7398688575352</v>
      </c>
      <c r="E340" s="11">
        <f t="shared" ref="E340:F340" ca="1" si="355">+D340*EXP(B340)</f>
        <v>1475.1056219075817</v>
      </c>
      <c r="F340" s="11">
        <f t="shared" ca="1" si="355"/>
        <v>1090.5721345973025</v>
      </c>
      <c r="G340" s="12">
        <f t="shared" ca="1" si="349"/>
        <v>185.37756825774864</v>
      </c>
      <c r="H340" s="12">
        <f t="shared" ca="1" si="350"/>
        <v>1.2277874500119985</v>
      </c>
    </row>
    <row r="341" spans="1:8" x14ac:dyDescent="0.35">
      <c r="A341" s="15">
        <v>328</v>
      </c>
      <c r="B341" s="10">
        <f t="shared" ca="1" si="345"/>
        <v>-8.5399172281914286E-3</v>
      </c>
      <c r="C341" s="10">
        <f t="shared" ca="1" si="346"/>
        <v>-0.13824776480992623</v>
      </c>
      <c r="D341" s="11">
        <f t="shared" si="347"/>
        <v>1447.7398688575352</v>
      </c>
      <c r="E341" s="11">
        <f t="shared" ref="E341:F341" ca="1" si="356">+D341*EXP(B341)</f>
        <v>1435.4289322193026</v>
      </c>
      <c r="F341" s="11">
        <f t="shared" ca="1" si="356"/>
        <v>1250.0904981425674</v>
      </c>
      <c r="G341" s="12">
        <f t="shared" ca="1" si="349"/>
        <v>160.78864456923725</v>
      </c>
      <c r="H341" s="12">
        <f t="shared" ca="1" si="350"/>
        <v>12.796159116294831</v>
      </c>
    </row>
    <row r="342" spans="1:8" x14ac:dyDescent="0.35">
      <c r="A342" s="15">
        <v>329</v>
      </c>
      <c r="B342" s="10">
        <f t="shared" ca="1" si="345"/>
        <v>-0.13485132631563462</v>
      </c>
      <c r="C342" s="10">
        <f t="shared" ca="1" si="346"/>
        <v>-4.1828389846038691E-2</v>
      </c>
      <c r="D342" s="11">
        <f t="shared" si="347"/>
        <v>1447.7398688575352</v>
      </c>
      <c r="E342" s="11">
        <f t="shared" ref="E342:F342" ca="1" si="357">+D342*EXP(B342)</f>
        <v>1265.1014327159521</v>
      </c>
      <c r="F342" s="11">
        <f t="shared" ca="1" si="357"/>
        <v>1213.2757257598855</v>
      </c>
      <c r="G342" s="12">
        <f t="shared" ca="1" si="349"/>
        <v>75.850435507084455</v>
      </c>
      <c r="H342" s="12">
        <f t="shared" ca="1" si="350"/>
        <v>8.1478304556529508</v>
      </c>
    </row>
    <row r="343" spans="1:8" x14ac:dyDescent="0.35">
      <c r="A343" s="15">
        <v>330</v>
      </c>
      <c r="B343" s="10">
        <f t="shared" ca="1" si="345"/>
        <v>7.2999387503795254E-2</v>
      </c>
      <c r="C343" s="10">
        <f t="shared" ca="1" si="346"/>
        <v>-0.3212687978716896</v>
      </c>
      <c r="D343" s="11">
        <f t="shared" si="347"/>
        <v>1447.7398688575352</v>
      </c>
      <c r="E343" s="11">
        <f t="shared" ref="E343:F343" ca="1" si="358">+D343*EXP(B343)</f>
        <v>1557.3770325511248</v>
      </c>
      <c r="F343" s="11">
        <f t="shared" ca="1" si="358"/>
        <v>1129.4538743665407</v>
      </c>
      <c r="G343" s="12">
        <f t="shared" ca="1" si="349"/>
        <v>241.4239468755751</v>
      </c>
      <c r="H343" s="12">
        <f t="shared" ca="1" si="350"/>
        <v>2.4039492192213956</v>
      </c>
    </row>
    <row r="344" spans="1:8" x14ac:dyDescent="0.35">
      <c r="A344" s="15">
        <v>331</v>
      </c>
      <c r="B344" s="10">
        <f t="shared" ca="1" si="345"/>
        <v>-0.21993123001606313</v>
      </c>
      <c r="C344" s="10">
        <f t="shared" ca="1" si="346"/>
        <v>-0.23747934877762852</v>
      </c>
      <c r="D344" s="11">
        <f t="shared" si="347"/>
        <v>1447.7398688575352</v>
      </c>
      <c r="E344" s="11">
        <f t="shared" ref="E344:F344" ca="1" si="359">+D344*EXP(B344)</f>
        <v>1161.9183616775003</v>
      </c>
      <c r="F344" s="11">
        <f t="shared" ca="1" si="359"/>
        <v>916.3041301976674</v>
      </c>
      <c r="G344" s="12">
        <f t="shared" ca="1" si="349"/>
        <v>41.640603030213526</v>
      </c>
      <c r="H344" s="12">
        <f t="shared" ca="1" si="350"/>
        <v>2.0142869185698964E-2</v>
      </c>
    </row>
    <row r="345" spans="1:8" x14ac:dyDescent="0.35">
      <c r="A345" s="15">
        <v>332</v>
      </c>
      <c r="B345" s="10">
        <f t="shared" ca="1" si="345"/>
        <v>-0.21924759692917151</v>
      </c>
      <c r="C345" s="10">
        <f t="shared" ca="1" si="346"/>
        <v>3.2580067004114539E-2</v>
      </c>
      <c r="D345" s="11">
        <f t="shared" si="347"/>
        <v>1447.7398688575352</v>
      </c>
      <c r="E345" s="11">
        <f t="shared" ref="E345:F345" ca="1" si="360">+D345*EXP(B345)</f>
        <v>1162.7129590894042</v>
      </c>
      <c r="F345" s="11">
        <f t="shared" ca="1" si="360"/>
        <v>1201.2180688188976</v>
      </c>
      <c r="G345" s="12">
        <f t="shared" ca="1" si="349"/>
        <v>41.855205590280605</v>
      </c>
      <c r="H345" s="12">
        <f t="shared" ca="1" si="350"/>
        <v>6.9547372355069257</v>
      </c>
    </row>
    <row r="346" spans="1:8" x14ac:dyDescent="0.35">
      <c r="A346" s="15">
        <v>333</v>
      </c>
      <c r="B346" s="10">
        <f t="shared" ca="1" si="345"/>
        <v>0.12422913228905005</v>
      </c>
      <c r="C346" s="10">
        <f t="shared" ca="1" si="346"/>
        <v>-2.0211929536903983E-2</v>
      </c>
      <c r="D346" s="11">
        <f t="shared" si="347"/>
        <v>1447.7398688575352</v>
      </c>
      <c r="E346" s="11">
        <f t="shared" ref="E346:F346" ca="1" si="361">+D346*EXP(B346)</f>
        <v>1639.2400684260938</v>
      </c>
      <c r="F346" s="11">
        <f t="shared" ca="1" si="361"/>
        <v>1606.4404520429814</v>
      </c>
      <c r="G346" s="12">
        <f t="shared" ca="1" si="349"/>
        <v>303.12267944489167</v>
      </c>
      <c r="H346" s="12">
        <f t="shared" ca="1" si="350"/>
        <v>176.47449046477664</v>
      </c>
    </row>
    <row r="347" spans="1:8" x14ac:dyDescent="0.35">
      <c r="A347" s="15">
        <v>334</v>
      </c>
      <c r="B347" s="10">
        <f t="shared" ca="1" si="345"/>
        <v>-0.11130403270604029</v>
      </c>
      <c r="C347" s="10">
        <f t="shared" ca="1" si="346"/>
        <v>1.4449673681948744E-2</v>
      </c>
      <c r="D347" s="11">
        <f t="shared" si="347"/>
        <v>1447.7398688575352</v>
      </c>
      <c r="E347" s="11">
        <f t="shared" ref="E347:F347" ca="1" si="362">+D347*EXP(B347)</f>
        <v>1295.2446504043844</v>
      </c>
      <c r="F347" s="11">
        <f t="shared" ca="1" si="362"/>
        <v>1314.0963856441299</v>
      </c>
      <c r="G347" s="12">
        <f t="shared" ca="1" si="349"/>
        <v>88.317600873307811</v>
      </c>
      <c r="H347" s="12">
        <f t="shared" ca="1" si="350"/>
        <v>25.292814956662426</v>
      </c>
    </row>
    <row r="348" spans="1:8" x14ac:dyDescent="0.35">
      <c r="A348" s="15">
        <v>335</v>
      </c>
      <c r="B348" s="10">
        <f t="shared" ca="1" si="345"/>
        <v>-0.10086866000823952</v>
      </c>
      <c r="C348" s="10">
        <f t="shared" ca="1" si="346"/>
        <v>0.13270774673605704</v>
      </c>
      <c r="D348" s="11">
        <f t="shared" si="347"/>
        <v>1447.7398688575352</v>
      </c>
      <c r="E348" s="11">
        <f t="shared" ref="E348:F348" ca="1" si="363">+D348*EXP(B348)</f>
        <v>1308.8317811532208</v>
      </c>
      <c r="F348" s="11">
        <f t="shared" ca="1" si="363"/>
        <v>1494.5762412194106</v>
      </c>
      <c r="G348" s="12">
        <f t="shared" ca="1" si="349"/>
        <v>94.305648585964263</v>
      </c>
      <c r="H348" s="12">
        <f t="shared" ca="1" si="350"/>
        <v>100.11587597313508</v>
      </c>
    </row>
    <row r="349" spans="1:8" x14ac:dyDescent="0.35">
      <c r="A349" s="15">
        <v>336</v>
      </c>
      <c r="B349" s="10">
        <f t="shared" ca="1" si="345"/>
        <v>0.30486095998665391</v>
      </c>
      <c r="C349" s="10">
        <f t="shared" ca="1" si="346"/>
        <v>4.4259356347412578E-2</v>
      </c>
      <c r="D349" s="11">
        <f t="shared" si="347"/>
        <v>1447.7398688575352</v>
      </c>
      <c r="E349" s="11">
        <f t="shared" ref="E349:F349" ca="1" si="364">+D349*EXP(B349)</f>
        <v>1963.7670427624746</v>
      </c>
      <c r="F349" s="11">
        <f t="shared" ca="1" si="364"/>
        <v>2052.6342034778486</v>
      </c>
      <c r="G349" s="12">
        <f t="shared" ca="1" si="349"/>
        <v>586.72691119549677</v>
      </c>
      <c r="H349" s="12">
        <f t="shared" ca="1" si="350"/>
        <v>590.34540409153124</v>
      </c>
    </row>
    <row r="350" spans="1:8" x14ac:dyDescent="0.35">
      <c r="A350" s="15">
        <v>337</v>
      </c>
      <c r="B350" s="10">
        <f t="shared" ca="1" si="345"/>
        <v>0.24566156730131816</v>
      </c>
      <c r="C350" s="10">
        <f t="shared" ca="1" si="346"/>
        <v>-4.7852734291190163E-2</v>
      </c>
      <c r="D350" s="11">
        <f t="shared" si="347"/>
        <v>1447.7398688575352</v>
      </c>
      <c r="E350" s="11">
        <f t="shared" ref="E350:F350" ca="1" si="365">+D350*EXP(B350)</f>
        <v>1850.887394056329</v>
      </c>
      <c r="F350" s="11">
        <f t="shared" ca="1" si="365"/>
        <v>1764.4031282967046</v>
      </c>
      <c r="G350" s="12">
        <f t="shared" ca="1" si="349"/>
        <v>482.87190646941053</v>
      </c>
      <c r="H350" s="12">
        <f t="shared" ca="1" si="350"/>
        <v>311.23323384198852</v>
      </c>
    </row>
    <row r="351" spans="1:8" x14ac:dyDescent="0.35">
      <c r="A351" s="15">
        <v>338</v>
      </c>
      <c r="B351" s="10">
        <f t="shared" ca="1" si="345"/>
        <v>6.4856973040638394E-2</v>
      </c>
      <c r="C351" s="10">
        <f t="shared" ca="1" si="346"/>
        <v>5.8869834164362762E-3</v>
      </c>
      <c r="D351" s="11">
        <f t="shared" si="347"/>
        <v>1447.7398688575352</v>
      </c>
      <c r="E351" s="11">
        <f t="shared" ref="E351:F351" ca="1" si="366">+D351*EXP(B351)</f>
        <v>1544.7477096432331</v>
      </c>
      <c r="F351" s="11">
        <f t="shared" ca="1" si="366"/>
        <v>1553.8684342285974</v>
      </c>
      <c r="G351" s="12">
        <f t="shared" ca="1" si="349"/>
        <v>232.40585438837059</v>
      </c>
      <c r="H351" s="12">
        <f t="shared" ca="1" si="350"/>
        <v>138.07893605446702</v>
      </c>
    </row>
    <row r="352" spans="1:8" x14ac:dyDescent="0.35">
      <c r="A352" s="15">
        <v>339</v>
      </c>
      <c r="B352" s="10">
        <f t="shared" ca="1" si="345"/>
        <v>2.6532054005827393E-2</v>
      </c>
      <c r="C352" s="10">
        <f t="shared" ca="1" si="346"/>
        <v>4.5504500127965156E-2</v>
      </c>
      <c r="D352" s="11">
        <f t="shared" si="347"/>
        <v>1447.7398688575352</v>
      </c>
      <c r="E352" s="11">
        <f t="shared" ref="E352:F352" ca="1" si="367">+D352*EXP(B352)</f>
        <v>1486.6654860868491</v>
      </c>
      <c r="F352" s="11">
        <f t="shared" ca="1" si="367"/>
        <v>1555.8782596245887</v>
      </c>
      <c r="G352" s="12">
        <f t="shared" ca="1" si="349"/>
        <v>192.85269175403778</v>
      </c>
      <c r="H352" s="12">
        <f t="shared" ca="1" si="350"/>
        <v>139.46974514675242</v>
      </c>
    </row>
    <row r="353" spans="1:8" x14ac:dyDescent="0.35">
      <c r="A353" s="15">
        <v>340</v>
      </c>
      <c r="B353" s="10">
        <f t="shared" ca="1" si="345"/>
        <v>-6.9723178248573658E-2</v>
      </c>
      <c r="C353" s="10">
        <f t="shared" ca="1" si="346"/>
        <v>8.886459158558617E-2</v>
      </c>
      <c r="D353" s="11">
        <f t="shared" si="347"/>
        <v>1447.7398688575352</v>
      </c>
      <c r="E353" s="11">
        <f t="shared" ref="E353:F353" ca="1" si="368">+D353*EXP(B353)</f>
        <v>1350.23742991464</v>
      </c>
      <c r="F353" s="11">
        <f t="shared" ca="1" si="368"/>
        <v>1475.7185778451403</v>
      </c>
      <c r="G353" s="12">
        <f t="shared" ca="1" si="349"/>
        <v>113.95273578524268</v>
      </c>
      <c r="H353" s="12">
        <f t="shared" ca="1" si="350"/>
        <v>89.362256290740106</v>
      </c>
    </row>
    <row r="354" spans="1:8" x14ac:dyDescent="0.35">
      <c r="A354" s="15">
        <v>341</v>
      </c>
      <c r="B354" s="10">
        <f t="shared" ca="1" si="345"/>
        <v>0.18360988378243898</v>
      </c>
      <c r="C354" s="10">
        <f t="shared" ca="1" si="346"/>
        <v>-0.25857736785698648</v>
      </c>
      <c r="D354" s="11">
        <f t="shared" si="347"/>
        <v>1447.7398688575352</v>
      </c>
      <c r="E354" s="11">
        <f t="shared" ref="E354:F354" ca="1" si="369">+D354*EXP(B354)</f>
        <v>1739.527479826213</v>
      </c>
      <c r="F354" s="11">
        <f t="shared" ca="1" si="369"/>
        <v>1343.1749070958285</v>
      </c>
      <c r="G354" s="12">
        <f t="shared" ca="1" si="349"/>
        <v>385.24940728201818</v>
      </c>
      <c r="H354" s="12">
        <f t="shared" ca="1" si="350"/>
        <v>33.172490039955903</v>
      </c>
    </row>
    <row r="355" spans="1:8" x14ac:dyDescent="0.35">
      <c r="A355" s="15">
        <v>342</v>
      </c>
      <c r="B355" s="10">
        <f t="shared" ca="1" si="345"/>
        <v>0.22171441065834718</v>
      </c>
      <c r="C355" s="10">
        <f t="shared" ca="1" si="346"/>
        <v>3.0121648675314965E-2</v>
      </c>
      <c r="D355" s="11">
        <f t="shared" si="347"/>
        <v>1447.7398688575352</v>
      </c>
      <c r="E355" s="11">
        <f t="shared" ref="E355:F355" ca="1" si="370">+D355*EXP(B355)</f>
        <v>1807.090403388587</v>
      </c>
      <c r="F355" s="11">
        <f t="shared" ca="1" si="370"/>
        <v>1862.3510381930776</v>
      </c>
      <c r="G355" s="12">
        <f t="shared" ca="1" si="349"/>
        <v>443.80186482874819</v>
      </c>
      <c r="H355" s="12">
        <f t="shared" ca="1" si="350"/>
        <v>403.57727520280628</v>
      </c>
    </row>
    <row r="356" spans="1:8" x14ac:dyDescent="0.35">
      <c r="A356" s="15">
        <v>343</v>
      </c>
      <c r="B356" s="10">
        <f t="shared" ca="1" si="345"/>
        <v>-0.14658272017004542</v>
      </c>
      <c r="C356" s="10">
        <f t="shared" ca="1" si="346"/>
        <v>-0.16349937728585492</v>
      </c>
      <c r="D356" s="11">
        <f t="shared" si="347"/>
        <v>1447.7398688575352</v>
      </c>
      <c r="E356" s="11">
        <f t="shared" ref="E356:F356" ca="1" si="371">+D356*EXP(B356)</f>
        <v>1250.3467452858756</v>
      </c>
      <c r="F356" s="11">
        <f t="shared" ca="1" si="371"/>
        <v>1061.7532294009809</v>
      </c>
      <c r="G356" s="12">
        <f t="shared" ca="1" si="349"/>
        <v>70.159362432579258</v>
      </c>
      <c r="H356" s="12">
        <f t="shared" ca="1" si="350"/>
        <v>0.70995240406619686</v>
      </c>
    </row>
    <row r="357" spans="1:8" x14ac:dyDescent="0.35">
      <c r="A357" s="15">
        <v>344</v>
      </c>
      <c r="B357" s="10">
        <f t="shared" ca="1" si="345"/>
        <v>-3.0919973737179411E-2</v>
      </c>
      <c r="C357" s="10">
        <f t="shared" ca="1" si="346"/>
        <v>-0.13437038835180928</v>
      </c>
      <c r="D357" s="11">
        <f t="shared" si="347"/>
        <v>1447.7398688575352</v>
      </c>
      <c r="E357" s="11">
        <f t="shared" ref="E357:F357" ca="1" si="372">+D357*EXP(B357)</f>
        <v>1403.6607642563567</v>
      </c>
      <c r="F357" s="11">
        <f t="shared" ca="1" si="372"/>
        <v>1227.1731436672442</v>
      </c>
      <c r="G357" s="12">
        <f t="shared" ca="1" si="349"/>
        <v>142.34387673798562</v>
      </c>
      <c r="H357" s="12">
        <f t="shared" ca="1" si="350"/>
        <v>9.7151003190784309</v>
      </c>
    </row>
    <row r="358" spans="1:8" x14ac:dyDescent="0.35">
      <c r="A358" s="15">
        <v>345</v>
      </c>
      <c r="B358" s="10">
        <f t="shared" ca="1" si="345"/>
        <v>5.9720571898286313E-2</v>
      </c>
      <c r="C358" s="10">
        <f t="shared" ca="1" si="346"/>
        <v>0.22896026731692587</v>
      </c>
      <c r="D358" s="11">
        <f t="shared" si="347"/>
        <v>1447.7398688575352</v>
      </c>
      <c r="E358" s="11">
        <f t="shared" ref="E358:F358" ca="1" si="373">+D358*EXP(B358)</f>
        <v>1536.833608142322</v>
      </c>
      <c r="F358" s="11">
        <f t="shared" ca="1" si="373"/>
        <v>1932.2487275289766</v>
      </c>
      <c r="G358" s="12">
        <f t="shared" ca="1" si="349"/>
        <v>226.82819964441035</v>
      </c>
      <c r="H358" s="12">
        <f t="shared" ca="1" si="350"/>
        <v>471.48227274142005</v>
      </c>
    </row>
    <row r="359" spans="1:8" x14ac:dyDescent="0.35">
      <c r="A359" s="15">
        <v>346</v>
      </c>
      <c r="B359" s="10">
        <f t="shared" ca="1" si="345"/>
        <v>-2.4201325819142062E-3</v>
      </c>
      <c r="C359" s="10">
        <f t="shared" ca="1" si="346"/>
        <v>-0.38588313580099887</v>
      </c>
      <c r="D359" s="11">
        <f t="shared" si="347"/>
        <v>1447.7398688575352</v>
      </c>
      <c r="E359" s="11">
        <f t="shared" ref="E359:F359" ca="1" si="374">+D359*EXP(B359)</f>
        <v>1444.2403827490052</v>
      </c>
      <c r="F359" s="11">
        <f t="shared" ca="1" si="374"/>
        <v>981.86678256057462</v>
      </c>
      <c r="G359" s="12">
        <f t="shared" ca="1" si="349"/>
        <v>166.1033206983534</v>
      </c>
      <c r="H359" s="12">
        <f t="shared" ca="1" si="350"/>
        <v>0.12047000154527865</v>
      </c>
    </row>
    <row r="360" spans="1:8" x14ac:dyDescent="0.35">
      <c r="A360" s="15">
        <v>347</v>
      </c>
      <c r="B360" s="10">
        <f t="shared" ca="1" si="345"/>
        <v>9.8891516313051986E-2</v>
      </c>
      <c r="C360" s="10">
        <f t="shared" ca="1" si="346"/>
        <v>1.7268241605030189E-3</v>
      </c>
      <c r="D360" s="11">
        <f t="shared" si="347"/>
        <v>1447.7398688575352</v>
      </c>
      <c r="E360" s="11">
        <f t="shared" ref="E360:F360" ca="1" si="375">+D360*EXP(B360)</f>
        <v>1598.2274087266419</v>
      </c>
      <c r="F360" s="11">
        <f t="shared" ca="1" si="375"/>
        <v>1600.9896506966954</v>
      </c>
      <c r="G360" s="12">
        <f t="shared" ca="1" si="349"/>
        <v>271.53826255739034</v>
      </c>
      <c r="H360" s="12">
        <f t="shared" ca="1" si="350"/>
        <v>172.30841078431263</v>
      </c>
    </row>
    <row r="361" spans="1:8" x14ac:dyDescent="0.35">
      <c r="A361" s="15">
        <v>348</v>
      </c>
      <c r="B361" s="10">
        <f t="shared" ca="1" si="345"/>
        <v>-0.17598379286367877</v>
      </c>
      <c r="C361" s="10">
        <f t="shared" ca="1" si="346"/>
        <v>-0.18186350047153249</v>
      </c>
      <c r="D361" s="11">
        <f t="shared" si="347"/>
        <v>1447.7398688575352</v>
      </c>
      <c r="E361" s="11">
        <f t="shared" ref="E361:F361" ca="1" si="376">+D361*EXP(B361)</f>
        <v>1214.1203664728196</v>
      </c>
      <c r="F361" s="11">
        <f t="shared" ca="1" si="376"/>
        <v>1012.2305244775059</v>
      </c>
      <c r="G361" s="12">
        <f t="shared" ca="1" si="349"/>
        <v>57.328273461873664</v>
      </c>
      <c r="H361" s="12">
        <f t="shared" ca="1" si="350"/>
        <v>0.24795072855951439</v>
      </c>
    </row>
    <row r="362" spans="1:8" x14ac:dyDescent="0.35">
      <c r="A362" s="15">
        <v>349</v>
      </c>
      <c r="B362" s="10">
        <f t="shared" ca="1" si="345"/>
        <v>0.25065486764845213</v>
      </c>
      <c r="C362" s="10">
        <f t="shared" ca="1" si="346"/>
        <v>-9.5789216213244058E-3</v>
      </c>
      <c r="D362" s="11">
        <f t="shared" si="347"/>
        <v>1447.7398688575352</v>
      </c>
      <c r="E362" s="11">
        <f t="shared" ref="E362:F362" ca="1" si="377">+D362*EXP(B362)</f>
        <v>1860.1525433093739</v>
      </c>
      <c r="F362" s="11">
        <f t="shared" ca="1" si="377"/>
        <v>1842.4193558927559</v>
      </c>
      <c r="G362" s="12">
        <f t="shared" ca="1" si="349"/>
        <v>491.23537640839936</v>
      </c>
      <c r="H362" s="12">
        <f t="shared" ca="1" si="350"/>
        <v>384.4629757620055</v>
      </c>
    </row>
    <row r="363" spans="1:8" x14ac:dyDescent="0.35">
      <c r="A363" s="15">
        <v>350</v>
      </c>
      <c r="B363" s="10">
        <f t="shared" ca="1" si="345"/>
        <v>0.22264640688134985</v>
      </c>
      <c r="C363" s="10">
        <f t="shared" ca="1" si="346"/>
        <v>-2.1642139035298685E-2</v>
      </c>
      <c r="D363" s="11">
        <f t="shared" si="347"/>
        <v>1447.7398688575352</v>
      </c>
      <c r="E363" s="11">
        <f t="shared" ref="E363:F363" ca="1" si="378">+D363*EXP(B363)</f>
        <v>1808.7753898977335</v>
      </c>
      <c r="F363" s="11">
        <f t="shared" ca="1" si="378"/>
        <v>1770.050181107033</v>
      </c>
      <c r="G363" s="12">
        <f t="shared" ca="1" si="349"/>
        <v>445.28997897146496</v>
      </c>
      <c r="H363" s="12">
        <f t="shared" ca="1" si="350"/>
        <v>316.42991326342963</v>
      </c>
    </row>
    <row r="364" spans="1:8" x14ac:dyDescent="0.35">
      <c r="A364" s="15">
        <v>351</v>
      </c>
      <c r="B364" s="10">
        <f t="shared" ca="1" si="345"/>
        <v>-0.1729417337822387</v>
      </c>
      <c r="C364" s="10">
        <f t="shared" ca="1" si="346"/>
        <v>-0.18331760010440123</v>
      </c>
      <c r="D364" s="11">
        <f t="shared" si="347"/>
        <v>1447.7398688575352</v>
      </c>
      <c r="E364" s="11">
        <f t="shared" ref="E364:F364" ca="1" si="379">+D364*EXP(B364)</f>
        <v>1217.8194158703946</v>
      </c>
      <c r="F364" s="11">
        <f t="shared" ca="1" si="379"/>
        <v>1013.8391824067266</v>
      </c>
      <c r="G364" s="12">
        <f t="shared" ca="1" si="349"/>
        <v>58.564494993268056</v>
      </c>
      <c r="H364" s="12">
        <f t="shared" ca="1" si="350"/>
        <v>0.25717762616349304</v>
      </c>
    </row>
    <row r="365" spans="1:8" x14ac:dyDescent="0.35">
      <c r="A365" s="15">
        <v>352</v>
      </c>
      <c r="B365" s="10">
        <f t="shared" ca="1" si="345"/>
        <v>0.17174666731812394</v>
      </c>
      <c r="C365" s="10">
        <f t="shared" ca="1" si="346"/>
        <v>-3.239805013901885E-3</v>
      </c>
      <c r="D365" s="11">
        <f t="shared" si="347"/>
        <v>1447.7398688575352</v>
      </c>
      <c r="E365" s="11">
        <f t="shared" ref="E365:F365" ca="1" si="380">+D365*EXP(B365)</f>
        <v>1719.0130131597057</v>
      </c>
      <c r="F365" s="11">
        <f t="shared" ca="1" si="380"/>
        <v>1713.4527581153188</v>
      </c>
      <c r="G365" s="12">
        <f t="shared" ca="1" si="349"/>
        <v>367.94417337111508</v>
      </c>
      <c r="H365" s="12">
        <f t="shared" ca="1" si="350"/>
        <v>265.30225655072036</v>
      </c>
    </row>
    <row r="366" spans="1:8" x14ac:dyDescent="0.35">
      <c r="A366" s="15">
        <v>353</v>
      </c>
      <c r="B366" s="10">
        <f t="shared" ca="1" si="345"/>
        <v>-2.2432783343047012E-2</v>
      </c>
      <c r="C366" s="10">
        <f t="shared" ca="1" si="346"/>
        <v>-5.1119794600994056E-2</v>
      </c>
      <c r="D366" s="11">
        <f t="shared" si="347"/>
        <v>1447.7398688575352</v>
      </c>
      <c r="E366" s="11">
        <f t="shared" ref="E366:F366" ca="1" si="381">+D366*EXP(B366)</f>
        <v>1415.6245982646892</v>
      </c>
      <c r="F366" s="11">
        <f t="shared" ca="1" si="381"/>
        <v>1345.0767186313421</v>
      </c>
      <c r="G366" s="12">
        <f t="shared" ca="1" si="349"/>
        <v>149.15680251330218</v>
      </c>
      <c r="H366" s="12">
        <f t="shared" ca="1" si="350"/>
        <v>33.740419692149658</v>
      </c>
    </row>
    <row r="367" spans="1:8" x14ac:dyDescent="0.35">
      <c r="A367" s="15">
        <v>354</v>
      </c>
      <c r="B367" s="10">
        <f t="shared" ca="1" si="345"/>
        <v>-0.25439570710867798</v>
      </c>
      <c r="C367" s="10">
        <f t="shared" ca="1" si="346"/>
        <v>0.10399187857795474</v>
      </c>
      <c r="D367" s="11">
        <f t="shared" si="347"/>
        <v>1447.7398688575352</v>
      </c>
      <c r="E367" s="11">
        <f t="shared" ref="E367:F367" ca="1" si="382">+D367*EXP(B367)</f>
        <v>1122.5556566166342</v>
      </c>
      <c r="F367" s="11">
        <f t="shared" ca="1" si="382"/>
        <v>1245.5781513429426</v>
      </c>
      <c r="G367" s="12">
        <f t="shared" ca="1" si="349"/>
        <v>31.910525313331362</v>
      </c>
      <c r="H367" s="12">
        <f t="shared" ca="1" si="350"/>
        <v>12.137576630331409</v>
      </c>
    </row>
    <row r="368" spans="1:8" x14ac:dyDescent="0.35">
      <c r="A368" s="15">
        <v>355</v>
      </c>
      <c r="B368" s="10">
        <f t="shared" ca="1" si="345"/>
        <v>-3.1478314192411046E-2</v>
      </c>
      <c r="C368" s="10">
        <f t="shared" ca="1" si="346"/>
        <v>-8.4105597225848858E-2</v>
      </c>
      <c r="D368" s="11">
        <f t="shared" si="347"/>
        <v>1447.7398688575352</v>
      </c>
      <c r="E368" s="11">
        <f t="shared" ref="E368:F368" ca="1" si="383">+D368*EXP(B368)</f>
        <v>1402.8772624169922</v>
      </c>
      <c r="F368" s="11">
        <f t="shared" ca="1" si="383"/>
        <v>1289.7130062248441</v>
      </c>
      <c r="G368" s="12">
        <f t="shared" ca="1" si="349"/>
        <v>141.90340109865178</v>
      </c>
      <c r="H368" s="12">
        <f t="shared" ca="1" si="350"/>
        <v>19.793187449660735</v>
      </c>
    </row>
    <row r="369" spans="1:8" x14ac:dyDescent="0.35">
      <c r="A369" s="15">
        <v>356</v>
      </c>
      <c r="B369" s="10">
        <f t="shared" ca="1" si="345"/>
        <v>-0.15728015153034725</v>
      </c>
      <c r="C369" s="10">
        <f t="shared" ca="1" si="346"/>
        <v>0.31913978665915332</v>
      </c>
      <c r="D369" s="11">
        <f t="shared" si="347"/>
        <v>1447.7398688575352</v>
      </c>
      <c r="E369" s="11">
        <f t="shared" ref="E369:F369" ca="1" si="384">+D369*EXP(B369)</f>
        <v>1237.0425341165801</v>
      </c>
      <c r="F369" s="11">
        <f t="shared" ca="1" si="384"/>
        <v>1702.1008196341143</v>
      </c>
      <c r="G369" s="12">
        <f t="shared" ca="1" si="349"/>
        <v>65.259134512837591</v>
      </c>
      <c r="H369" s="12">
        <f t="shared" ca="1" si="350"/>
        <v>255.33610316201953</v>
      </c>
    </row>
    <row r="370" spans="1:8" x14ac:dyDescent="0.35">
      <c r="A370" s="15">
        <v>357</v>
      </c>
      <c r="B370" s="10">
        <f t="shared" ca="1" si="345"/>
        <v>-4.9451311321988094E-3</v>
      </c>
      <c r="C370" s="10">
        <f t="shared" ca="1" si="346"/>
        <v>0.29920719978233146</v>
      </c>
      <c r="D370" s="11">
        <f t="shared" si="347"/>
        <v>1447.7398688575352</v>
      </c>
      <c r="E370" s="11">
        <f t="shared" ref="E370:F370" ca="1" si="385">+D370*EXP(B370)</f>
        <v>1440.5982779660055</v>
      </c>
      <c r="F370" s="11">
        <f t="shared" ca="1" si="385"/>
        <v>1943.0632019614932</v>
      </c>
      <c r="G370" s="12">
        <f t="shared" ca="1" si="349"/>
        <v>163.8962782180688</v>
      </c>
      <c r="H370" s="12">
        <f t="shared" ca="1" si="350"/>
        <v>482.08248497213549</v>
      </c>
    </row>
    <row r="371" spans="1:8" x14ac:dyDescent="0.35">
      <c r="A371" s="15">
        <v>358</v>
      </c>
      <c r="B371" s="10">
        <f t="shared" ca="1" si="345"/>
        <v>8.2778141850365736E-2</v>
      </c>
      <c r="C371" s="10">
        <f t="shared" ca="1" si="346"/>
        <v>-0.11034386364371421</v>
      </c>
      <c r="D371" s="11">
        <f t="shared" si="347"/>
        <v>1447.7398688575352</v>
      </c>
      <c r="E371" s="11">
        <f t="shared" ref="E371:F371" ca="1" si="386">+D371*EXP(B371)</f>
        <v>1572.6809446241589</v>
      </c>
      <c r="F371" s="11">
        <f t="shared" ca="1" si="386"/>
        <v>1408.376901237388</v>
      </c>
      <c r="G371" s="12">
        <f t="shared" ca="1" si="349"/>
        <v>252.54020326314026</v>
      </c>
      <c r="H371" s="12">
        <f t="shared" ca="1" si="350"/>
        <v>56.540655840036152</v>
      </c>
    </row>
    <row r="372" spans="1:8" x14ac:dyDescent="0.35">
      <c r="A372" s="15">
        <v>359</v>
      </c>
      <c r="B372" s="10">
        <f t="shared" ca="1" si="345"/>
        <v>-0.12279934375409791</v>
      </c>
      <c r="C372" s="10">
        <f t="shared" ca="1" si="346"/>
        <v>-0.12912054505399531</v>
      </c>
      <c r="D372" s="11">
        <f t="shared" si="347"/>
        <v>1447.7398688575352</v>
      </c>
      <c r="E372" s="11">
        <f t="shared" ref="E372:F372" ca="1" si="387">+D372*EXP(B372)</f>
        <v>1280.4406615121043</v>
      </c>
      <c r="F372" s="11">
        <f t="shared" ca="1" si="387"/>
        <v>1125.338343747158</v>
      </c>
      <c r="G372" s="12">
        <f t="shared" ca="1" si="349"/>
        <v>82.053683927476982</v>
      </c>
      <c r="H372" s="12">
        <f t="shared" ca="1" si="350"/>
        <v>2.2466249394119444</v>
      </c>
    </row>
    <row r="373" spans="1:8" x14ac:dyDescent="0.35">
      <c r="A373" s="15">
        <v>360</v>
      </c>
      <c r="B373" s="10">
        <f t="shared" ca="1" si="345"/>
        <v>-3.6021219610699026E-2</v>
      </c>
      <c r="C373" s="10">
        <f t="shared" ca="1" si="346"/>
        <v>-0.16192787760880351</v>
      </c>
      <c r="D373" s="11">
        <f t="shared" si="347"/>
        <v>1447.7398688575352</v>
      </c>
      <c r="E373" s="11">
        <f t="shared" ref="E373:F373" ca="1" si="388">+D373*EXP(B373)</f>
        <v>1396.5185780869811</v>
      </c>
      <c r="F373" s="11">
        <f t="shared" ca="1" si="388"/>
        <v>1187.7426014586188</v>
      </c>
      <c r="G373" s="12">
        <f t="shared" ca="1" si="349"/>
        <v>138.35472444764321</v>
      </c>
      <c r="H373" s="12">
        <f t="shared" ca="1" si="350"/>
        <v>5.7891617825106891</v>
      </c>
    </row>
    <row r="374" spans="1:8" x14ac:dyDescent="0.35">
      <c r="A374" s="15">
        <v>361</v>
      </c>
      <c r="B374" s="10">
        <f t="shared" ca="1" si="345"/>
        <v>3.2525664326401006E-2</v>
      </c>
      <c r="C374" s="10">
        <f t="shared" ca="1" si="346"/>
        <v>-0.34987245462466787</v>
      </c>
      <c r="D374" s="11">
        <f t="shared" si="347"/>
        <v>1447.7398688575352</v>
      </c>
      <c r="E374" s="11">
        <f t="shared" ref="E374:F374" ca="1" si="389">+D374*EXP(B374)</f>
        <v>1495.6027361298891</v>
      </c>
      <c r="F374" s="11">
        <f t="shared" ca="1" si="389"/>
        <v>1054.0678680099734</v>
      </c>
      <c r="G374" s="12">
        <f t="shared" ca="1" si="349"/>
        <v>198.72497011340943</v>
      </c>
      <c r="H374" s="12">
        <f t="shared" ca="1" si="350"/>
        <v>0.60876795514724158</v>
      </c>
    </row>
    <row r="375" spans="1:8" x14ac:dyDescent="0.35">
      <c r="A375" s="15">
        <v>362</v>
      </c>
      <c r="B375" s="10">
        <f t="shared" ca="1" si="345"/>
        <v>0.10402740699333092</v>
      </c>
      <c r="C375" s="10">
        <f t="shared" ca="1" si="346"/>
        <v>-0.19337135398763311</v>
      </c>
      <c r="D375" s="11">
        <f t="shared" si="347"/>
        <v>1447.7398688575352</v>
      </c>
      <c r="E375" s="11">
        <f t="shared" ref="E375:F375" ca="1" si="390">+D375*EXP(B375)</f>
        <v>1606.4568446324399</v>
      </c>
      <c r="F375" s="11">
        <f t="shared" ca="1" si="390"/>
        <v>1324.0029455545571</v>
      </c>
      <c r="G375" s="12">
        <f t="shared" ca="1" si="349"/>
        <v>277.77156924385474</v>
      </c>
      <c r="H375" s="12">
        <f t="shared" ca="1" si="350"/>
        <v>27.810644872429179</v>
      </c>
    </row>
    <row r="376" spans="1:8" x14ac:dyDescent="0.35">
      <c r="A376" s="15">
        <v>363</v>
      </c>
      <c r="B376" s="10">
        <f t="shared" ca="1" si="345"/>
        <v>0.14984838512589849</v>
      </c>
      <c r="C376" s="10">
        <f t="shared" ca="1" si="346"/>
        <v>-5.4483786592582822E-2</v>
      </c>
      <c r="D376" s="11">
        <f t="shared" si="347"/>
        <v>1447.7398688575352</v>
      </c>
      <c r="E376" s="11">
        <f t="shared" ref="E376:F376" ca="1" si="391">+D376*EXP(B376)</f>
        <v>1681.7787521972975</v>
      </c>
      <c r="F376" s="11">
        <f t="shared" ca="1" si="391"/>
        <v>1592.6005206812952</v>
      </c>
      <c r="G376" s="12">
        <f t="shared" ca="1" si="349"/>
        <v>337.17226377387101</v>
      </c>
      <c r="H376" s="12">
        <f t="shared" ca="1" si="350"/>
        <v>165.97644049252881</v>
      </c>
    </row>
    <row r="377" spans="1:8" x14ac:dyDescent="0.35">
      <c r="A377" s="15">
        <v>364</v>
      </c>
      <c r="B377" s="10">
        <f t="shared" ca="1" si="345"/>
        <v>-0.15511921629778946</v>
      </c>
      <c r="C377" s="10">
        <f t="shared" ca="1" si="346"/>
        <v>0.21011789251610827</v>
      </c>
      <c r="D377" s="11">
        <f t="shared" si="347"/>
        <v>1447.7398688575352</v>
      </c>
      <c r="E377" s="11">
        <f t="shared" ref="E377:F377" ca="1" si="392">+D377*EXP(B377)</f>
        <v>1239.718593266623</v>
      </c>
      <c r="F377" s="11">
        <f t="shared" ca="1" si="392"/>
        <v>1529.5939460831739</v>
      </c>
      <c r="G377" s="12">
        <f t="shared" ca="1" si="349"/>
        <v>66.227193937664424</v>
      </c>
      <c r="H377" s="12">
        <f t="shared" ca="1" si="350"/>
        <v>121.80352277003647</v>
      </c>
    </row>
    <row r="378" spans="1:8" x14ac:dyDescent="0.35">
      <c r="A378" s="15">
        <v>365</v>
      </c>
      <c r="B378" s="10">
        <f t="shared" ca="1" si="345"/>
        <v>6.6966951708927469E-2</v>
      </c>
      <c r="C378" s="10">
        <f t="shared" ca="1" si="346"/>
        <v>7.3870285360042864E-2</v>
      </c>
      <c r="D378" s="11">
        <f t="shared" si="347"/>
        <v>1447.7398688575352</v>
      </c>
      <c r="E378" s="11">
        <f t="shared" ref="E378:F378" ca="1" si="393">+D378*EXP(B378)</f>
        <v>1548.0105353943243</v>
      </c>
      <c r="F378" s="11">
        <f t="shared" ca="1" si="393"/>
        <v>1666.6920711081389</v>
      </c>
      <c r="G378" s="12">
        <f t="shared" ca="1" si="349"/>
        <v>234.72200199437873</v>
      </c>
      <c r="H378" s="12">
        <f t="shared" ca="1" si="350"/>
        <v>224.99661932012236</v>
      </c>
    </row>
    <row r="379" spans="1:8" x14ac:dyDescent="0.35">
      <c r="A379" s="15">
        <v>366</v>
      </c>
      <c r="B379" s="10">
        <f t="shared" ca="1" si="345"/>
        <v>0.10607034937025625</v>
      </c>
      <c r="C379" s="10">
        <f t="shared" ca="1" si="346"/>
        <v>9.4837687921289909E-2</v>
      </c>
      <c r="D379" s="11">
        <f t="shared" si="347"/>
        <v>1447.7398688575352</v>
      </c>
      <c r="E379" s="11">
        <f t="shared" ref="E379:F379" ca="1" si="394">+D379*EXP(B379)</f>
        <v>1609.7420980461357</v>
      </c>
      <c r="F379" s="11">
        <f t="shared" ca="1" si="394"/>
        <v>1769.8798563919559</v>
      </c>
      <c r="G379" s="12">
        <f t="shared" ca="1" si="349"/>
        <v>280.27493098988282</v>
      </c>
      <c r="H379" s="12">
        <f t="shared" ca="1" si="350"/>
        <v>316.27289729892527</v>
      </c>
    </row>
    <row r="380" spans="1:8" x14ac:dyDescent="0.35">
      <c r="A380" s="15">
        <v>367</v>
      </c>
      <c r="B380" s="10">
        <f t="shared" ca="1" si="345"/>
        <v>6.4624592795143931E-2</v>
      </c>
      <c r="C380" s="10">
        <f t="shared" ca="1" si="346"/>
        <v>7.9130950570081626E-2</v>
      </c>
      <c r="D380" s="11">
        <f t="shared" si="347"/>
        <v>1447.7398688575352</v>
      </c>
      <c r="E380" s="11">
        <f t="shared" ref="E380:F380" ca="1" si="395">+D380*EXP(B380)</f>
        <v>1544.3887824966434</v>
      </c>
      <c r="F380" s="11">
        <f t="shared" ca="1" si="395"/>
        <v>1671.5630931833587</v>
      </c>
      <c r="G380" s="12">
        <f t="shared" ca="1" si="349"/>
        <v>232.15165489959406</v>
      </c>
      <c r="H380" s="12">
        <f t="shared" ca="1" si="350"/>
        <v>229.09825478006223</v>
      </c>
    </row>
    <row r="381" spans="1:8" x14ac:dyDescent="0.35">
      <c r="A381" s="15">
        <v>368</v>
      </c>
      <c r="B381" s="10">
        <f t="shared" ca="1" si="345"/>
        <v>-5.0345144478719767E-2</v>
      </c>
      <c r="C381" s="10">
        <f t="shared" ca="1" si="346"/>
        <v>2.0003142008489391E-2</v>
      </c>
      <c r="D381" s="11">
        <f t="shared" si="347"/>
        <v>1447.7398688575352</v>
      </c>
      <c r="E381" s="11">
        <f t="shared" ref="E381:F381" ca="1" si="396">+D381*EXP(B381)</f>
        <v>1376.6575345265626</v>
      </c>
      <c r="F381" s="11">
        <f t="shared" ca="1" si="396"/>
        <v>1404.4722743388054</v>
      </c>
      <c r="G381" s="12">
        <f t="shared" ca="1" si="349"/>
        <v>127.57289458800881</v>
      </c>
      <c r="H381" s="12">
        <f t="shared" ca="1" si="350"/>
        <v>54.910011833441331</v>
      </c>
    </row>
    <row r="382" spans="1:8" x14ac:dyDescent="0.35">
      <c r="A382" s="15">
        <v>369</v>
      </c>
      <c r="B382" s="10">
        <f t="shared" ca="1" si="345"/>
        <v>-3.3408172085728806E-2</v>
      </c>
      <c r="C382" s="10">
        <f t="shared" ca="1" si="346"/>
        <v>-0.18857757018538179</v>
      </c>
      <c r="D382" s="11">
        <f t="shared" si="347"/>
        <v>1447.7398688575352</v>
      </c>
      <c r="E382" s="11">
        <f t="shared" ref="E382:F382" ca="1" si="397">+D382*EXP(B382)</f>
        <v>1400.1725193830587</v>
      </c>
      <c r="F382" s="11">
        <f t="shared" ca="1" si="397"/>
        <v>1159.5336367262191</v>
      </c>
      <c r="G382" s="12">
        <f t="shared" ca="1" si="349"/>
        <v>140.38824095208247</v>
      </c>
      <c r="H382" s="12">
        <f t="shared" ca="1" si="350"/>
        <v>3.8522732078886222</v>
      </c>
    </row>
    <row r="383" spans="1:8" x14ac:dyDescent="0.35">
      <c r="A383" s="15">
        <v>370</v>
      </c>
      <c r="B383" s="10">
        <f t="shared" ca="1" si="345"/>
        <v>-2.2046492327667588E-2</v>
      </c>
      <c r="C383" s="10">
        <f t="shared" ca="1" si="346"/>
        <v>-0.15307612955817157</v>
      </c>
      <c r="D383" s="11">
        <f t="shared" si="347"/>
        <v>1447.7398688575352</v>
      </c>
      <c r="E383" s="11">
        <f t="shared" ref="E383:F383" ca="1" si="398">+D383*EXP(B383)</f>
        <v>1416.1715469620312</v>
      </c>
      <c r="F383" s="11">
        <f t="shared" ca="1" si="398"/>
        <v>1215.166382030505</v>
      </c>
      <c r="G383" s="12">
        <f t="shared" ca="1" si="349"/>
        <v>149.47215041466495</v>
      </c>
      <c r="H383" s="12">
        <f t="shared" ca="1" si="350"/>
        <v>8.3485934245495628</v>
      </c>
    </row>
    <row r="384" spans="1:8" x14ac:dyDescent="0.35">
      <c r="A384" s="15">
        <v>371</v>
      </c>
      <c r="B384" s="10">
        <f t="shared" ca="1" si="345"/>
        <v>1.9384271367944347E-2</v>
      </c>
      <c r="C384" s="10">
        <f t="shared" ca="1" si="346"/>
        <v>6.3070899473016306E-2</v>
      </c>
      <c r="D384" s="11">
        <f t="shared" si="347"/>
        <v>1447.7398688575352</v>
      </c>
      <c r="E384" s="11">
        <f t="shared" ref="E384:F384" ca="1" si="399">+D384*EXP(B384)</f>
        <v>1476.0770114756467</v>
      </c>
      <c r="F384" s="11">
        <f t="shared" ca="1" si="399"/>
        <v>1572.1730962865608</v>
      </c>
      <c r="G384" s="12">
        <f t="shared" ca="1" si="349"/>
        <v>186.00042828266237</v>
      </c>
      <c r="H384" s="12">
        <f t="shared" ca="1" si="350"/>
        <v>150.98036577138237</v>
      </c>
    </row>
    <row r="385" spans="1:8" x14ac:dyDescent="0.35">
      <c r="A385" s="15">
        <v>372</v>
      </c>
      <c r="B385" s="10">
        <f t="shared" ca="1" si="345"/>
        <v>0.15634493014203948</v>
      </c>
      <c r="C385" s="10">
        <f t="shared" ca="1" si="346"/>
        <v>0.2981850732365191</v>
      </c>
      <c r="D385" s="11">
        <f t="shared" si="347"/>
        <v>1447.7398688575352</v>
      </c>
      <c r="E385" s="11">
        <f t="shared" ref="E385:F385" ca="1" si="400">+D385*EXP(B385)</f>
        <v>1692.7400703646608</v>
      </c>
      <c r="F385" s="11">
        <f t="shared" ca="1" si="400"/>
        <v>2280.8168186993862</v>
      </c>
      <c r="G385" s="12">
        <f t="shared" ca="1" si="349"/>
        <v>346.1418714044537</v>
      </c>
      <c r="H385" s="12">
        <f t="shared" ca="1" si="350"/>
        <v>817.91150037544685</v>
      </c>
    </row>
    <row r="386" spans="1:8" x14ac:dyDescent="0.35">
      <c r="A386" s="15">
        <v>373</v>
      </c>
      <c r="B386" s="10">
        <f t="shared" ca="1" si="345"/>
        <v>-2.5068633293110272E-2</v>
      </c>
      <c r="C386" s="10">
        <f t="shared" ca="1" si="346"/>
        <v>-4.8081139425389205E-2</v>
      </c>
      <c r="D386" s="11">
        <f t="shared" si="347"/>
        <v>1447.7398688575352</v>
      </c>
      <c r="E386" s="11">
        <f t="shared" ref="E386:F386" ca="1" si="401">+D386*EXP(B386)</f>
        <v>1411.8981375911637</v>
      </c>
      <c r="F386" s="11">
        <f t="shared" ca="1" si="401"/>
        <v>1345.6186316977412</v>
      </c>
      <c r="G386" s="12">
        <f t="shared" ca="1" si="349"/>
        <v>147.01728486990271</v>
      </c>
      <c r="H386" s="12">
        <f t="shared" ca="1" si="350"/>
        <v>33.903458648459662</v>
      </c>
    </row>
    <row r="387" spans="1:8" x14ac:dyDescent="0.35">
      <c r="A387" s="15">
        <v>374</v>
      </c>
      <c r="B387" s="10">
        <f t="shared" ca="1" si="345"/>
        <v>0.12235239989659712</v>
      </c>
      <c r="C387" s="10">
        <f t="shared" ca="1" si="346"/>
        <v>-0.23182590416510249</v>
      </c>
      <c r="D387" s="11">
        <f t="shared" si="347"/>
        <v>1447.7398688575352</v>
      </c>
      <c r="E387" s="11">
        <f t="shared" ref="E387:F387" ca="1" si="402">+D387*EXP(B387)</f>
        <v>1636.1665384893802</v>
      </c>
      <c r="F387" s="11">
        <f t="shared" ca="1" si="402"/>
        <v>1297.6178039703886</v>
      </c>
      <c r="G387" s="12">
        <f t="shared" ca="1" si="349"/>
        <v>300.71172908856647</v>
      </c>
      <c r="H387" s="12">
        <f t="shared" ca="1" si="350"/>
        <v>21.470434000943044</v>
      </c>
    </row>
    <row r="388" spans="1:8" x14ac:dyDescent="0.35">
      <c r="A388" s="15">
        <v>375</v>
      </c>
      <c r="B388" s="10">
        <f t="shared" ca="1" si="345"/>
        <v>0.11065371182831756</v>
      </c>
      <c r="C388" s="10">
        <f t="shared" ca="1" si="346"/>
        <v>0.35921117981119277</v>
      </c>
      <c r="D388" s="11">
        <f t="shared" si="347"/>
        <v>1447.7398688575352</v>
      </c>
      <c r="E388" s="11">
        <f t="shared" ref="E388:F388" ca="1" si="403">+D388*EXP(B388)</f>
        <v>1617.1370635033797</v>
      </c>
      <c r="F388" s="11">
        <f t="shared" ca="1" si="403"/>
        <v>2316.0624429218988</v>
      </c>
      <c r="G388" s="12">
        <f t="shared" ca="1" si="349"/>
        <v>285.94068831580717</v>
      </c>
      <c r="H388" s="12">
        <f t="shared" ca="1" si="350"/>
        <v>853.1377320497138</v>
      </c>
    </row>
    <row r="389" spans="1:8" x14ac:dyDescent="0.35">
      <c r="A389" s="15">
        <v>376</v>
      </c>
      <c r="B389" s="10">
        <f t="shared" ca="1" si="345"/>
        <v>-0.2204376932746972</v>
      </c>
      <c r="C389" s="10">
        <f t="shared" ca="1" si="346"/>
        <v>-2.5907928807106316E-2</v>
      </c>
      <c r="D389" s="11">
        <f t="shared" si="347"/>
        <v>1447.7398688575352</v>
      </c>
      <c r="E389" s="11">
        <f t="shared" ref="E389:F389" ca="1" si="404">+D389*EXP(B389)</f>
        <v>1161.3300417115777</v>
      </c>
      <c r="F389" s="11">
        <f t="shared" ca="1" si="404"/>
        <v>1131.6287958732109</v>
      </c>
      <c r="G389" s="12">
        <f t="shared" ca="1" si="349"/>
        <v>41.482183585589951</v>
      </c>
      <c r="H389" s="12">
        <f t="shared" ca="1" si="350"/>
        <v>2.4907046527652028</v>
      </c>
    </row>
    <row r="390" spans="1:8" x14ac:dyDescent="0.35">
      <c r="A390" s="15">
        <v>377</v>
      </c>
      <c r="B390" s="10">
        <f t="shared" ca="1" si="345"/>
        <v>4.899345228667034E-2</v>
      </c>
      <c r="C390" s="10">
        <f t="shared" ca="1" si="346"/>
        <v>-0.14623173439116235</v>
      </c>
      <c r="D390" s="11">
        <f t="shared" si="347"/>
        <v>1447.7398688575352</v>
      </c>
      <c r="E390" s="11">
        <f t="shared" ref="E390:F390" ca="1" si="405">+D390*EXP(B390)</f>
        <v>1520.4359174407671</v>
      </c>
      <c r="F390" s="11">
        <f t="shared" ca="1" si="405"/>
        <v>1313.5919705463052</v>
      </c>
      <c r="G390" s="12">
        <f t="shared" ca="1" si="349"/>
        <v>215.45637629773512</v>
      </c>
      <c r="H390" s="12">
        <f t="shared" ca="1" si="350"/>
        <v>25.169102422095762</v>
      </c>
    </row>
    <row r="391" spans="1:8" x14ac:dyDescent="0.35">
      <c r="A391" s="15">
        <v>378</v>
      </c>
      <c r="B391" s="10">
        <f t="shared" ca="1" si="345"/>
        <v>-6.0444363177637184E-2</v>
      </c>
      <c r="C391" s="10">
        <f t="shared" ca="1" si="346"/>
        <v>0.41425266064111632</v>
      </c>
      <c r="D391" s="11">
        <f t="shared" si="347"/>
        <v>1447.7398688575352</v>
      </c>
      <c r="E391" s="11">
        <f t="shared" ref="E391:F391" ca="1" si="406">+D391*EXP(B391)</f>
        <v>1362.8243388215301</v>
      </c>
      <c r="F391" s="11">
        <f t="shared" ca="1" si="406"/>
        <v>2062.2795047197515</v>
      </c>
      <c r="G391" s="12">
        <f t="shared" ca="1" si="349"/>
        <v>120.33764911143226</v>
      </c>
      <c r="H391" s="12">
        <f t="shared" ca="1" si="350"/>
        <v>599.92767468690067</v>
      </c>
    </row>
    <row r="392" spans="1:8" x14ac:dyDescent="0.35">
      <c r="A392" s="15">
        <v>379</v>
      </c>
      <c r="B392" s="10">
        <f t="shared" ca="1" si="345"/>
        <v>-1.3811444234489368E-2</v>
      </c>
      <c r="C392" s="10">
        <f t="shared" ca="1" si="346"/>
        <v>-0.12386227976434497</v>
      </c>
      <c r="D392" s="11">
        <f t="shared" si="347"/>
        <v>1447.7398688575352</v>
      </c>
      <c r="E392" s="11">
        <f t="shared" ref="E392:F392" ca="1" si="407">+D392*EXP(B392)</f>
        <v>1427.8819394026505</v>
      </c>
      <c r="F392" s="11">
        <f t="shared" ca="1" si="407"/>
        <v>1261.5358474799295</v>
      </c>
      <c r="G392" s="12">
        <f t="shared" ca="1" si="349"/>
        <v>156.30449150034792</v>
      </c>
      <c r="H392" s="12">
        <f t="shared" ca="1" si="350"/>
        <v>14.587862793405236</v>
      </c>
    </row>
    <row r="393" spans="1:8" x14ac:dyDescent="0.35">
      <c r="A393" s="15">
        <v>380</v>
      </c>
      <c r="B393" s="10">
        <f t="shared" ca="1" si="345"/>
        <v>0.1614234593080347</v>
      </c>
      <c r="C393" s="10">
        <f t="shared" ca="1" si="346"/>
        <v>4.297184358590609E-2</v>
      </c>
      <c r="D393" s="11">
        <f t="shared" si="347"/>
        <v>1447.7398688575352</v>
      </c>
      <c r="E393" s="11">
        <f t="shared" ref="E393:F393" ca="1" si="408">+D393*EXP(B393)</f>
        <v>1701.3585663003209</v>
      </c>
      <c r="F393" s="11">
        <f t="shared" ca="1" si="408"/>
        <v>1776.0626718295453</v>
      </c>
      <c r="G393" s="12">
        <f t="shared" ca="1" si="349"/>
        <v>353.24753758851875</v>
      </c>
      <c r="H393" s="12">
        <f t="shared" ca="1" si="350"/>
        <v>321.98331062899319</v>
      </c>
    </row>
    <row r="394" spans="1:8" x14ac:dyDescent="0.35">
      <c r="A394" s="15">
        <v>381</v>
      </c>
      <c r="B394" s="10">
        <f t="shared" ca="1" si="345"/>
        <v>8.5554069816090525E-2</v>
      </c>
      <c r="C394" s="10">
        <f t="shared" ca="1" si="346"/>
        <v>-8.6428656711925039E-2</v>
      </c>
      <c r="D394" s="11">
        <f t="shared" si="347"/>
        <v>1447.7398688575352</v>
      </c>
      <c r="E394" s="11">
        <f t="shared" ref="E394:F394" ca="1" si="409">+D394*EXP(B394)</f>
        <v>1577.0526586137773</v>
      </c>
      <c r="F394" s="11">
        <f t="shared" ca="1" si="409"/>
        <v>1446.474248068007</v>
      </c>
      <c r="G394" s="12">
        <f t="shared" ca="1" si="349"/>
        <v>255.7526823039691</v>
      </c>
      <c r="H394" s="12">
        <f t="shared" ca="1" si="350"/>
        <v>74.022981083092645</v>
      </c>
    </row>
    <row r="395" spans="1:8" x14ac:dyDescent="0.35">
      <c r="A395" s="15">
        <v>382</v>
      </c>
      <c r="B395" s="10">
        <f t="shared" ca="1" si="345"/>
        <v>0.22692267884292799</v>
      </c>
      <c r="C395" s="10">
        <f t="shared" ca="1" si="346"/>
        <v>0.12885675554780063</v>
      </c>
      <c r="D395" s="11">
        <f t="shared" si="347"/>
        <v>1447.7398688575352</v>
      </c>
      <c r="E395" s="11">
        <f t="shared" ref="E395:F395" ca="1" si="410">+D395*EXP(B395)</f>
        <v>1816.5267670686478</v>
      </c>
      <c r="F395" s="11">
        <f t="shared" ca="1" si="410"/>
        <v>2066.3485490100616</v>
      </c>
      <c r="G395" s="12">
        <f t="shared" ca="1" si="349"/>
        <v>452.15175341617305</v>
      </c>
      <c r="H395" s="12">
        <f t="shared" ca="1" si="350"/>
        <v>603.97184048711483</v>
      </c>
    </row>
    <row r="396" spans="1:8" x14ac:dyDescent="0.35">
      <c r="A396" s="15">
        <v>383</v>
      </c>
      <c r="B396" s="10">
        <f t="shared" ca="1" si="345"/>
        <v>-0.29853433445547534</v>
      </c>
      <c r="C396" s="10">
        <f t="shared" ca="1" si="346"/>
        <v>0.21604594627504856</v>
      </c>
      <c r="D396" s="11">
        <f t="shared" si="347"/>
        <v>1447.7398688575352</v>
      </c>
      <c r="E396" s="11">
        <f t="shared" ref="E396:F396" ca="1" si="411">+D396*EXP(B396)</f>
        <v>1074.0851701845506</v>
      </c>
      <c r="F396" s="11">
        <f t="shared" ca="1" si="411"/>
        <v>1333.1109100388128</v>
      </c>
      <c r="G396" s="12">
        <f t="shared" ca="1" si="349"/>
        <v>22.234729941278061</v>
      </c>
      <c r="H396" s="12">
        <f t="shared" ca="1" si="350"/>
        <v>30.276178655081708</v>
      </c>
    </row>
    <row r="397" spans="1:8" x14ac:dyDescent="0.35">
      <c r="A397" s="15">
        <v>384</v>
      </c>
      <c r="B397" s="10">
        <f t="shared" ca="1" si="345"/>
        <v>1.449389064715996E-2</v>
      </c>
      <c r="C397" s="10">
        <f t="shared" ca="1" si="346"/>
        <v>0.1654183985788249</v>
      </c>
      <c r="D397" s="11">
        <f t="shared" si="347"/>
        <v>1447.7398688575352</v>
      </c>
      <c r="E397" s="11">
        <f t="shared" ref="E397:F397" ca="1" si="412">+D397*EXP(B397)</f>
        <v>1468.8760549771434</v>
      </c>
      <c r="F397" s="11">
        <f t="shared" ca="1" si="412"/>
        <v>1733.1072894313779</v>
      </c>
      <c r="G397" s="12">
        <f t="shared" ca="1" si="349"/>
        <v>181.40641336608928</v>
      </c>
      <c r="H397" s="12">
        <f t="shared" ca="1" si="350"/>
        <v>282.80143530721375</v>
      </c>
    </row>
    <row r="398" spans="1:8" x14ac:dyDescent="0.35">
      <c r="A398" s="15">
        <v>385</v>
      </c>
      <c r="B398" s="10">
        <f t="shared" ca="1" si="345"/>
        <v>0.33647658106272987</v>
      </c>
      <c r="C398" s="10">
        <f t="shared" ca="1" si="346"/>
        <v>8.8426777942553131E-2</v>
      </c>
      <c r="D398" s="11">
        <f t="shared" si="347"/>
        <v>1447.7398688575352</v>
      </c>
      <c r="E398" s="11">
        <f t="shared" ref="E398:F398" ca="1" si="413">+D398*EXP(B398)</f>
        <v>2026.8446218893455</v>
      </c>
      <c r="F398" s="11">
        <f t="shared" ca="1" si="413"/>
        <v>2214.2350373524182</v>
      </c>
      <c r="G398" s="12">
        <f t="shared" ca="1" si="349"/>
        <v>646.29332028444742</v>
      </c>
      <c r="H398" s="12">
        <f t="shared" ca="1" si="350"/>
        <v>751.39395565509517</v>
      </c>
    </row>
    <row r="399" spans="1:8" x14ac:dyDescent="0.35">
      <c r="A399" s="15">
        <v>386</v>
      </c>
      <c r="B399" s="10">
        <f t="shared" ref="B399:B462" ca="1" si="414">+($B$6-0.5*$B$10^2)*$H$4+$B$10*SQRT($H$4)*_xlfn.NORM.S.INV(RAND())</f>
        <v>0.1148869387936826</v>
      </c>
      <c r="C399" s="10">
        <f t="shared" ref="C399:C462" ca="1" si="415">+($B$6-0.5*$B$10^2)+$B$10*_xlfn.NORM.S.INV(RAND())</f>
        <v>7.168183095592548E-2</v>
      </c>
      <c r="D399" s="11">
        <f t="shared" ref="D399:D462" si="416">+$B$9</f>
        <v>1447.7398688575352</v>
      </c>
      <c r="E399" s="11">
        <f t="shared" ref="E399:F399" ca="1" si="417">+D399*EXP(B399)</f>
        <v>1623.9972819133638</v>
      </c>
      <c r="F399" s="11">
        <f t="shared" ca="1" si="417"/>
        <v>1744.68216557867</v>
      </c>
      <c r="G399" s="12">
        <f t="shared" ref="G399:G462" ca="1" si="418">+BlackScholesCall(E399,$B$4,$B$10,$B$6,$B$7-$H$4)</f>
        <v>291.23432989261539</v>
      </c>
      <c r="H399" s="12">
        <f t="shared" ref="H399:H462" ca="1" si="419">+BlackScholesCall(F399,$B$4,$B$10,$B$6,$B$7-$I$4)</f>
        <v>293.240607718403</v>
      </c>
    </row>
    <row r="400" spans="1:8" x14ac:dyDescent="0.35">
      <c r="A400" s="15">
        <v>387</v>
      </c>
      <c r="B400" s="10">
        <f t="shared" ca="1" si="414"/>
        <v>7.5836637758680867E-2</v>
      </c>
      <c r="C400" s="10">
        <f t="shared" ca="1" si="415"/>
        <v>-1.933644443841756E-2</v>
      </c>
      <c r="D400" s="11">
        <f t="shared" si="416"/>
        <v>1447.7398688575352</v>
      </c>
      <c r="E400" s="11">
        <f t="shared" ref="E400:F400" ca="1" si="420">+D400*EXP(B400)</f>
        <v>1561.8019753002602</v>
      </c>
      <c r="F400" s="11">
        <f t="shared" ca="1" si="420"/>
        <v>1531.8923826913572</v>
      </c>
      <c r="G400" s="12">
        <f t="shared" ca="1" si="418"/>
        <v>244.61713162307285</v>
      </c>
      <c r="H400" s="12">
        <f t="shared" ca="1" si="419"/>
        <v>123.30228920914226</v>
      </c>
    </row>
    <row r="401" spans="1:8" x14ac:dyDescent="0.35">
      <c r="A401" s="15">
        <v>388</v>
      </c>
      <c r="B401" s="10">
        <f t="shared" ca="1" si="414"/>
        <v>3.0924348516048524E-2</v>
      </c>
      <c r="C401" s="10">
        <f t="shared" ca="1" si="415"/>
        <v>0.21091694543396167</v>
      </c>
      <c r="D401" s="11">
        <f t="shared" si="416"/>
        <v>1447.7398688575352</v>
      </c>
      <c r="E401" s="11">
        <f t="shared" ref="E401:F401" ca="1" si="421">+D401*EXP(B401)</f>
        <v>1493.2097203208928</v>
      </c>
      <c r="F401" s="11">
        <f t="shared" ca="1" si="421"/>
        <v>1843.8299874629806</v>
      </c>
      <c r="G401" s="12">
        <f t="shared" ca="1" si="418"/>
        <v>197.1447524442674</v>
      </c>
      <c r="H401" s="12">
        <f t="shared" ca="1" si="419"/>
        <v>385.81128464251492</v>
      </c>
    </row>
    <row r="402" spans="1:8" x14ac:dyDescent="0.35">
      <c r="A402" s="15">
        <v>389</v>
      </c>
      <c r="B402" s="10">
        <f t="shared" ca="1" si="414"/>
        <v>0.14344553128085957</v>
      </c>
      <c r="C402" s="10">
        <f t="shared" ca="1" si="415"/>
        <v>-0.16734948798143082</v>
      </c>
      <c r="D402" s="11">
        <f t="shared" si="416"/>
        <v>1447.7398688575352</v>
      </c>
      <c r="E402" s="11">
        <f t="shared" ref="E402:F402" ca="1" si="422">+D402*EXP(B402)</f>
        <v>1671.0449687412606</v>
      </c>
      <c r="F402" s="11">
        <f t="shared" ca="1" si="422"/>
        <v>1413.5435002747768</v>
      </c>
      <c r="G402" s="12">
        <f t="shared" ca="1" si="418"/>
        <v>328.46433586461558</v>
      </c>
      <c r="H402" s="12">
        <f t="shared" ca="1" si="419"/>
        <v>58.744350433429531</v>
      </c>
    </row>
    <row r="403" spans="1:8" x14ac:dyDescent="0.35">
      <c r="A403" s="15">
        <v>390</v>
      </c>
      <c r="B403" s="10">
        <f t="shared" ca="1" si="414"/>
        <v>-2.1725694403835608E-2</v>
      </c>
      <c r="C403" s="10">
        <f t="shared" ca="1" si="415"/>
        <v>0.10184012880598546</v>
      </c>
      <c r="D403" s="11">
        <f t="shared" si="416"/>
        <v>1447.7398688575352</v>
      </c>
      <c r="E403" s="11">
        <f t="shared" ref="E403:F403" ca="1" si="423">+D403*EXP(B403)</f>
        <v>1416.6259247319126</v>
      </c>
      <c r="F403" s="11">
        <f t="shared" ca="1" si="423"/>
        <v>1568.4973570786121</v>
      </c>
      <c r="G403" s="12">
        <f t="shared" ca="1" si="418"/>
        <v>149.73438252890867</v>
      </c>
      <c r="H403" s="12">
        <f t="shared" ca="1" si="419"/>
        <v>148.34790815280917</v>
      </c>
    </row>
    <row r="404" spans="1:8" x14ac:dyDescent="0.35">
      <c r="A404" s="15">
        <v>391</v>
      </c>
      <c r="B404" s="10">
        <f t="shared" ca="1" si="414"/>
        <v>-3.5893955156498451E-2</v>
      </c>
      <c r="C404" s="10">
        <f t="shared" ca="1" si="415"/>
        <v>9.7700687662633276E-2</v>
      </c>
      <c r="D404" s="11">
        <f t="shared" si="416"/>
        <v>1447.7398688575352</v>
      </c>
      <c r="E404" s="11">
        <f t="shared" ref="E404:F404" ca="1" si="424">+D404*EXP(B404)</f>
        <v>1396.696316571258</v>
      </c>
      <c r="F404" s="11">
        <f t="shared" ca="1" si="424"/>
        <v>1540.0430364038823</v>
      </c>
      <c r="G404" s="12">
        <f t="shared" ca="1" si="418"/>
        <v>138.4532842747675</v>
      </c>
      <c r="H404" s="12">
        <f t="shared" ca="1" si="419"/>
        <v>128.68931462888304</v>
      </c>
    </row>
    <row r="405" spans="1:8" x14ac:dyDescent="0.35">
      <c r="A405" s="15">
        <v>392</v>
      </c>
      <c r="B405" s="10">
        <f t="shared" ca="1" si="414"/>
        <v>3.1221728576915131E-2</v>
      </c>
      <c r="C405" s="10">
        <f t="shared" ca="1" si="415"/>
        <v>0.18693201558209607</v>
      </c>
      <c r="D405" s="11">
        <f t="shared" si="416"/>
        <v>1447.7398688575352</v>
      </c>
      <c r="E405" s="11">
        <f t="shared" ref="E405:F405" ca="1" si="425">+D405*EXP(B405)</f>
        <v>1493.6538371508805</v>
      </c>
      <c r="F405" s="11">
        <f t="shared" ca="1" si="425"/>
        <v>1800.6673990023291</v>
      </c>
      <c r="G405" s="12">
        <f t="shared" ca="1" si="418"/>
        <v>197.43758985992906</v>
      </c>
      <c r="H405" s="12">
        <f t="shared" ca="1" si="419"/>
        <v>344.91279571666155</v>
      </c>
    </row>
    <row r="406" spans="1:8" x14ac:dyDescent="0.35">
      <c r="A406" s="15">
        <v>393</v>
      </c>
      <c r="B406" s="10">
        <f t="shared" ca="1" si="414"/>
        <v>0.10068238284447371</v>
      </c>
      <c r="C406" s="10">
        <f t="shared" ca="1" si="415"/>
        <v>0.12225863830272737</v>
      </c>
      <c r="D406" s="11">
        <f t="shared" si="416"/>
        <v>1447.7398688575352</v>
      </c>
      <c r="E406" s="11">
        <f t="shared" ref="E406:F406" ca="1" si="426">+D406*EXP(B406)</f>
        <v>1601.0921851529824</v>
      </c>
      <c r="F406" s="11">
        <f t="shared" ca="1" si="426"/>
        <v>1809.3083594376776</v>
      </c>
      <c r="G406" s="12">
        <f t="shared" ca="1" si="418"/>
        <v>273.70203219418454</v>
      </c>
      <c r="H406" s="12">
        <f t="shared" ca="1" si="419"/>
        <v>353.03674620532456</v>
      </c>
    </row>
    <row r="407" spans="1:8" x14ac:dyDescent="0.35">
      <c r="A407" s="15">
        <v>394</v>
      </c>
      <c r="B407" s="10">
        <f t="shared" ca="1" si="414"/>
        <v>0.1227473309706005</v>
      </c>
      <c r="C407" s="10">
        <f t="shared" ca="1" si="415"/>
        <v>0.10528128634101228</v>
      </c>
      <c r="D407" s="11">
        <f t="shared" si="416"/>
        <v>1447.7398688575352</v>
      </c>
      <c r="E407" s="11">
        <f t="shared" ref="E407:F407" ca="1" si="427">+D407*EXP(B407)</f>
        <v>1636.8128391113733</v>
      </c>
      <c r="F407" s="11">
        <f t="shared" ca="1" si="427"/>
        <v>1818.536845206236</v>
      </c>
      <c r="G407" s="12">
        <f t="shared" ca="1" si="418"/>
        <v>301.21813011465929</v>
      </c>
      <c r="H407" s="12">
        <f t="shared" ca="1" si="419"/>
        <v>361.7503262892983</v>
      </c>
    </row>
    <row r="408" spans="1:8" x14ac:dyDescent="0.35">
      <c r="A408" s="15">
        <v>395</v>
      </c>
      <c r="B408" s="10">
        <f t="shared" ca="1" si="414"/>
        <v>0.1041150603859009</v>
      </c>
      <c r="C408" s="10">
        <f t="shared" ca="1" si="415"/>
        <v>-3.6964646677916768E-2</v>
      </c>
      <c r="D408" s="11">
        <f t="shared" si="416"/>
        <v>1447.7398688575352</v>
      </c>
      <c r="E408" s="11">
        <f t="shared" ref="E408:F408" ca="1" si="428">+D408*EXP(B408)</f>
        <v>1606.5976621963678</v>
      </c>
      <c r="F408" s="11">
        <f t="shared" ca="1" si="428"/>
        <v>1548.2945625550071</v>
      </c>
      <c r="G408" s="12">
        <f t="shared" ca="1" si="418"/>
        <v>277.87869802675391</v>
      </c>
      <c r="H408" s="12">
        <f t="shared" ca="1" si="419"/>
        <v>134.25581799244844</v>
      </c>
    </row>
    <row r="409" spans="1:8" x14ac:dyDescent="0.35">
      <c r="A409" s="15">
        <v>396</v>
      </c>
      <c r="B409" s="10">
        <f t="shared" ca="1" si="414"/>
        <v>7.6455105593032313E-2</v>
      </c>
      <c r="C409" s="10">
        <f t="shared" ca="1" si="415"/>
        <v>-0.29635484120072619</v>
      </c>
      <c r="D409" s="11">
        <f t="shared" si="416"/>
        <v>1447.7398688575352</v>
      </c>
      <c r="E409" s="11">
        <f t="shared" ref="E409:F409" ca="1" si="429">+D409*EXP(B409)</f>
        <v>1562.7681983437481</v>
      </c>
      <c r="F409" s="11">
        <f t="shared" ca="1" si="429"/>
        <v>1161.9549561851329</v>
      </c>
      <c r="G409" s="12">
        <f t="shared" ca="1" si="418"/>
        <v>245.31667328522838</v>
      </c>
      <c r="H409" s="12">
        <f t="shared" ca="1" si="419"/>
        <v>3.9944707539952162</v>
      </c>
    </row>
    <row r="410" spans="1:8" x14ac:dyDescent="0.35">
      <c r="A410" s="15">
        <v>397</v>
      </c>
      <c r="B410" s="10">
        <f t="shared" ca="1" si="414"/>
        <v>4.4277884471376427E-2</v>
      </c>
      <c r="C410" s="10">
        <f t="shared" ca="1" si="415"/>
        <v>0.21650604168852969</v>
      </c>
      <c r="D410" s="11">
        <f t="shared" si="416"/>
        <v>1447.7398688575352</v>
      </c>
      <c r="E410" s="11">
        <f t="shared" ref="E410:F410" ca="1" si="430">+D410*EXP(B410)</f>
        <v>1513.283076870212</v>
      </c>
      <c r="F410" s="11">
        <f t="shared" ca="1" si="430"/>
        <v>1879.0898840665186</v>
      </c>
      <c r="G410" s="12">
        <f t="shared" ca="1" si="418"/>
        <v>210.57563800545404</v>
      </c>
      <c r="H410" s="12">
        <f t="shared" ca="1" si="419"/>
        <v>419.7263147522749</v>
      </c>
    </row>
    <row r="411" spans="1:8" x14ac:dyDescent="0.35">
      <c r="A411" s="15">
        <v>398</v>
      </c>
      <c r="B411" s="10">
        <f t="shared" ca="1" si="414"/>
        <v>-0.19678735664768537</v>
      </c>
      <c r="C411" s="10">
        <f t="shared" ca="1" si="415"/>
        <v>8.073170548772976E-2</v>
      </c>
      <c r="D411" s="11">
        <f t="shared" si="416"/>
        <v>1447.7398688575352</v>
      </c>
      <c r="E411" s="11">
        <f t="shared" ref="E411:F411" ca="1" si="431">+D411*EXP(B411)</f>
        <v>1189.1232520512315</v>
      </c>
      <c r="F411" s="11">
        <f t="shared" ca="1" si="431"/>
        <v>1289.1047408271872</v>
      </c>
      <c r="G411" s="12">
        <f t="shared" ca="1" si="418"/>
        <v>49.409807140120904</v>
      </c>
      <c r="H411" s="12">
        <f t="shared" ca="1" si="419"/>
        <v>19.668205705681345</v>
      </c>
    </row>
    <row r="412" spans="1:8" x14ac:dyDescent="0.35">
      <c r="A412" s="15">
        <v>399</v>
      </c>
      <c r="B412" s="10">
        <f t="shared" ca="1" si="414"/>
        <v>0.28060721582966125</v>
      </c>
      <c r="C412" s="10">
        <f t="shared" ca="1" si="415"/>
        <v>0.12592954200988238</v>
      </c>
      <c r="D412" s="11">
        <f t="shared" si="416"/>
        <v>1447.7398688575352</v>
      </c>
      <c r="E412" s="11">
        <f t="shared" ref="E412:F412" ca="1" si="432">+D412*EXP(B412)</f>
        <v>1916.7112851433071</v>
      </c>
      <c r="F412" s="11">
        <f t="shared" ca="1" si="432"/>
        <v>2173.938255768554</v>
      </c>
      <c r="G412" s="12">
        <f t="shared" ca="1" si="418"/>
        <v>542.94754791910441</v>
      </c>
      <c r="H412" s="12">
        <f t="shared" ca="1" si="419"/>
        <v>711.16449560170622</v>
      </c>
    </row>
    <row r="413" spans="1:8" x14ac:dyDescent="0.35">
      <c r="A413" s="15">
        <v>400</v>
      </c>
      <c r="B413" s="10">
        <f t="shared" ca="1" si="414"/>
        <v>0.15719800648770788</v>
      </c>
      <c r="C413" s="10">
        <f t="shared" ca="1" si="415"/>
        <v>0.26524823708959866</v>
      </c>
      <c r="D413" s="11">
        <f t="shared" si="416"/>
        <v>1447.7398688575352</v>
      </c>
      <c r="E413" s="11">
        <f t="shared" ref="E413:F413" ca="1" si="433">+D413*EXP(B413)</f>
        <v>1694.1847229899342</v>
      </c>
      <c r="F413" s="11">
        <f t="shared" ca="1" si="433"/>
        <v>2208.8010849390475</v>
      </c>
      <c r="G413" s="12">
        <f t="shared" ca="1" si="418"/>
        <v>347.32971172403882</v>
      </c>
      <c r="H413" s="12">
        <f t="shared" ca="1" si="419"/>
        <v>745.96752030023481</v>
      </c>
    </row>
    <row r="414" spans="1:8" x14ac:dyDescent="0.35">
      <c r="A414" s="15">
        <v>401</v>
      </c>
      <c r="B414" s="10">
        <f t="shared" ca="1" si="414"/>
        <v>1.0691898540352671E-2</v>
      </c>
      <c r="C414" s="10">
        <f t="shared" ca="1" si="415"/>
        <v>0.1397950648940213</v>
      </c>
      <c r="D414" s="11">
        <f t="shared" si="416"/>
        <v>1447.7398688575352</v>
      </c>
      <c r="E414" s="11">
        <f t="shared" ref="E414:F414" ca="1" si="434">+D414*EXP(B414)</f>
        <v>1463.3020027759537</v>
      </c>
      <c r="F414" s="11">
        <f t="shared" ca="1" si="434"/>
        <v>1682.8530426008733</v>
      </c>
      <c r="G414" s="12">
        <f t="shared" ca="1" si="418"/>
        <v>177.88750737561554</v>
      </c>
      <c r="H414" s="12">
        <f t="shared" ca="1" si="419"/>
        <v>238.69612399862217</v>
      </c>
    </row>
    <row r="415" spans="1:8" x14ac:dyDescent="0.35">
      <c r="A415" s="15">
        <v>402</v>
      </c>
      <c r="B415" s="10">
        <f t="shared" ca="1" si="414"/>
        <v>-0.11908511539229182</v>
      </c>
      <c r="C415" s="10">
        <f t="shared" ca="1" si="415"/>
        <v>-2.5799381645928182E-2</v>
      </c>
      <c r="D415" s="11">
        <f t="shared" si="416"/>
        <v>1447.7398688575352</v>
      </c>
      <c r="E415" s="11">
        <f t="shared" ref="E415:F415" ca="1" si="435">+D415*EXP(B415)</f>
        <v>1285.2053536324015</v>
      </c>
      <c r="F415" s="11">
        <f t="shared" ca="1" si="435"/>
        <v>1252.4719170487031</v>
      </c>
      <c r="G415" s="12">
        <f t="shared" ca="1" si="418"/>
        <v>84.040051348082955</v>
      </c>
      <c r="H415" s="12">
        <f t="shared" ca="1" si="419"/>
        <v>13.154463182924445</v>
      </c>
    </row>
    <row r="416" spans="1:8" x14ac:dyDescent="0.35">
      <c r="A416" s="15">
        <v>403</v>
      </c>
      <c r="B416" s="10">
        <f t="shared" ca="1" si="414"/>
        <v>-0.1304103093040419</v>
      </c>
      <c r="C416" s="10">
        <f t="shared" ca="1" si="415"/>
        <v>-7.6146697147037243E-2</v>
      </c>
      <c r="D416" s="11">
        <f t="shared" si="416"/>
        <v>1447.7398688575352</v>
      </c>
      <c r="E416" s="11">
        <f t="shared" ref="E416:F416" ca="1" si="436">+D416*EXP(B416)</f>
        <v>1270.7322637536836</v>
      </c>
      <c r="F416" s="11">
        <f t="shared" ca="1" si="436"/>
        <v>1177.5624985145919</v>
      </c>
      <c r="G416" s="12">
        <f t="shared" ca="1" si="418"/>
        <v>78.093601491303616</v>
      </c>
      <c r="H416" s="12">
        <f t="shared" ca="1" si="419"/>
        <v>5.0164060244723601</v>
      </c>
    </row>
    <row r="417" spans="1:8" x14ac:dyDescent="0.35">
      <c r="A417" s="15">
        <v>404</v>
      </c>
      <c r="B417" s="10">
        <f t="shared" ca="1" si="414"/>
        <v>-4.7560230395390424E-2</v>
      </c>
      <c r="C417" s="10">
        <f t="shared" ca="1" si="415"/>
        <v>-4.6065137159999173E-2</v>
      </c>
      <c r="D417" s="11">
        <f t="shared" si="416"/>
        <v>1447.7398688575352</v>
      </c>
      <c r="E417" s="11">
        <f t="shared" ref="E417:F417" ca="1" si="437">+D417*EXP(B417)</f>
        <v>1380.4967509449912</v>
      </c>
      <c r="F417" s="11">
        <f t="shared" ca="1" si="437"/>
        <v>1318.34644967995</v>
      </c>
      <c r="G417" s="12">
        <f t="shared" ca="1" si="418"/>
        <v>129.62107461141773</v>
      </c>
      <c r="H417" s="12">
        <f t="shared" ca="1" si="419"/>
        <v>26.352361798083678</v>
      </c>
    </row>
    <row r="418" spans="1:8" x14ac:dyDescent="0.35">
      <c r="A418" s="15">
        <v>405</v>
      </c>
      <c r="B418" s="10">
        <f t="shared" ca="1" si="414"/>
        <v>0.3093824852206592</v>
      </c>
      <c r="C418" s="10">
        <f t="shared" ca="1" si="415"/>
        <v>-0.11095840842489058</v>
      </c>
      <c r="D418" s="11">
        <f t="shared" si="416"/>
        <v>1447.7398688575352</v>
      </c>
      <c r="E418" s="11">
        <f t="shared" ref="E418:F418" ca="1" si="438">+D418*EXP(B418)</f>
        <v>1972.6663691027181</v>
      </c>
      <c r="F418" s="11">
        <f t="shared" ca="1" si="438"/>
        <v>1765.4890003605215</v>
      </c>
      <c r="G418" s="12">
        <f t="shared" ca="1" si="418"/>
        <v>595.0739301271658</v>
      </c>
      <c r="H418" s="12">
        <f t="shared" ca="1" si="419"/>
        <v>312.23102868008505</v>
      </c>
    </row>
    <row r="419" spans="1:8" x14ac:dyDescent="0.35">
      <c r="A419" s="15">
        <v>406</v>
      </c>
      <c r="B419" s="10">
        <f t="shared" ca="1" si="414"/>
        <v>0.1010034603646409</v>
      </c>
      <c r="C419" s="10">
        <f t="shared" ca="1" si="415"/>
        <v>5.7972338820579616E-2</v>
      </c>
      <c r="D419" s="11">
        <f t="shared" si="416"/>
        <v>1447.7398688575352</v>
      </c>
      <c r="E419" s="11">
        <f t="shared" ref="E419:F419" ca="1" si="439">+D419*EXP(B419)</f>
        <v>1601.6063423991</v>
      </c>
      <c r="F419" s="11">
        <f t="shared" ca="1" si="439"/>
        <v>1697.1993110810713</v>
      </c>
      <c r="G419" s="12">
        <f t="shared" ca="1" si="418"/>
        <v>274.09107124741206</v>
      </c>
      <c r="H419" s="12">
        <f t="shared" ca="1" si="419"/>
        <v>251.06697604532133</v>
      </c>
    </row>
    <row r="420" spans="1:8" x14ac:dyDescent="0.35">
      <c r="A420" s="15">
        <v>407</v>
      </c>
      <c r="B420" s="10">
        <f t="shared" ca="1" si="414"/>
        <v>0.2094051876268973</v>
      </c>
      <c r="C420" s="10">
        <f t="shared" ca="1" si="415"/>
        <v>0.24787373155162309</v>
      </c>
      <c r="D420" s="11">
        <f t="shared" si="416"/>
        <v>1447.7398688575352</v>
      </c>
      <c r="E420" s="11">
        <f t="shared" ref="E420:F420" ca="1" si="440">+D420*EXP(B420)</f>
        <v>1784.9828670114637</v>
      </c>
      <c r="F420" s="11">
        <f t="shared" ca="1" si="440"/>
        <v>2287.0952175304201</v>
      </c>
      <c r="G420" s="12">
        <f t="shared" ca="1" si="418"/>
        <v>424.39686009213824</v>
      </c>
      <c r="H420" s="12">
        <f t="shared" ca="1" si="419"/>
        <v>824.1858809673779</v>
      </c>
    </row>
    <row r="421" spans="1:8" x14ac:dyDescent="0.35">
      <c r="A421" s="15">
        <v>408</v>
      </c>
      <c r="B421" s="10">
        <f t="shared" ca="1" si="414"/>
        <v>6.6565526807845971E-2</v>
      </c>
      <c r="C421" s="10">
        <f t="shared" ca="1" si="415"/>
        <v>-6.7468746818661982E-2</v>
      </c>
      <c r="D421" s="11">
        <f t="shared" si="416"/>
        <v>1447.7398688575352</v>
      </c>
      <c r="E421" s="11">
        <f t="shared" ref="E421:F421" ca="1" si="441">+D421*EXP(B421)</f>
        <v>1547.3892501263119</v>
      </c>
      <c r="F421" s="11">
        <f t="shared" ca="1" si="441"/>
        <v>1446.4328315974883</v>
      </c>
      <c r="G421" s="12">
        <f t="shared" ca="1" si="418"/>
        <v>234.2802356040512</v>
      </c>
      <c r="H421" s="12">
        <f t="shared" ca="1" si="419"/>
        <v>74.002430615598314</v>
      </c>
    </row>
    <row r="422" spans="1:8" x14ac:dyDescent="0.35">
      <c r="A422" s="15">
        <v>409</v>
      </c>
      <c r="B422" s="10">
        <f t="shared" ca="1" si="414"/>
        <v>0.15224968940679673</v>
      </c>
      <c r="C422" s="10">
        <f t="shared" ca="1" si="415"/>
        <v>6.978375264774897E-2</v>
      </c>
      <c r="D422" s="11">
        <f t="shared" si="416"/>
        <v>1447.7398688575352</v>
      </c>
      <c r="E422" s="11">
        <f t="shared" ref="E422:F422" ca="1" si="442">+D422*EXP(B422)</f>
        <v>1685.8220673866078</v>
      </c>
      <c r="F422" s="11">
        <f t="shared" ca="1" si="442"/>
        <v>1807.6670139365801</v>
      </c>
      <c r="G422" s="12">
        <f t="shared" ca="1" si="418"/>
        <v>340.47195022917322</v>
      </c>
      <c r="H422" s="12">
        <f t="shared" ca="1" si="419"/>
        <v>351.49094763440553</v>
      </c>
    </row>
    <row r="423" spans="1:8" x14ac:dyDescent="0.35">
      <c r="A423" s="15">
        <v>410</v>
      </c>
      <c r="B423" s="10">
        <f t="shared" ca="1" si="414"/>
        <v>9.8509245304363502E-2</v>
      </c>
      <c r="C423" s="10">
        <f t="shared" ca="1" si="415"/>
        <v>-0.27973162679555652</v>
      </c>
      <c r="D423" s="11">
        <f t="shared" si="416"/>
        <v>1447.7398688575352</v>
      </c>
      <c r="E423" s="11">
        <f t="shared" ref="E423:F423" ca="1" si="443">+D423*EXP(B423)</f>
        <v>1597.6165694834999</v>
      </c>
      <c r="F423" s="11">
        <f t="shared" ca="1" si="443"/>
        <v>1207.7767197137509</v>
      </c>
      <c r="G423" s="12">
        <f t="shared" ca="1" si="418"/>
        <v>271.07774728976005</v>
      </c>
      <c r="H423" s="12">
        <f t="shared" ca="1" si="419"/>
        <v>7.5852987681786175</v>
      </c>
    </row>
    <row r="424" spans="1:8" x14ac:dyDescent="0.35">
      <c r="A424" s="15">
        <v>411</v>
      </c>
      <c r="B424" s="10">
        <f t="shared" ca="1" si="414"/>
        <v>0.24208579470776093</v>
      </c>
      <c r="C424" s="10">
        <f t="shared" ca="1" si="415"/>
        <v>0.33401197173425856</v>
      </c>
      <c r="D424" s="11">
        <f t="shared" si="416"/>
        <v>1447.7398688575352</v>
      </c>
      <c r="E424" s="11">
        <f t="shared" ref="E424:F424" ca="1" si="444">+D424*EXP(B424)</f>
        <v>1844.2808604092211</v>
      </c>
      <c r="F424" s="11">
        <f t="shared" ca="1" si="444"/>
        <v>2575.6486252264981</v>
      </c>
      <c r="G424" s="12">
        <f t="shared" ca="1" si="418"/>
        <v>476.92841617306499</v>
      </c>
      <c r="H424" s="12">
        <f t="shared" ca="1" si="419"/>
        <v>1112.6857172651171</v>
      </c>
    </row>
    <row r="425" spans="1:8" x14ac:dyDescent="0.35">
      <c r="A425" s="15">
        <v>412</v>
      </c>
      <c r="B425" s="10">
        <f t="shared" ca="1" si="414"/>
        <v>-7.8051084256981956E-2</v>
      </c>
      <c r="C425" s="10">
        <f t="shared" ca="1" si="415"/>
        <v>-3.7871520365898484E-2</v>
      </c>
      <c r="D425" s="11">
        <f t="shared" si="416"/>
        <v>1447.7398688575352</v>
      </c>
      <c r="E425" s="11">
        <f t="shared" ref="E425:F425" ca="1" si="445">+D425*EXP(B425)</f>
        <v>1339.0394719983228</v>
      </c>
      <c r="F425" s="11">
        <f t="shared" ca="1" si="445"/>
        <v>1289.2762631588544</v>
      </c>
      <c r="G425" s="12">
        <f t="shared" ca="1" si="418"/>
        <v>108.43295268828172</v>
      </c>
      <c r="H425" s="12">
        <f t="shared" ca="1" si="419"/>
        <v>19.703390377801384</v>
      </c>
    </row>
    <row r="426" spans="1:8" x14ac:dyDescent="0.35">
      <c r="A426" s="15">
        <v>413</v>
      </c>
      <c r="B426" s="10">
        <f t="shared" ca="1" si="414"/>
        <v>0.1749639244405638</v>
      </c>
      <c r="C426" s="10">
        <f t="shared" ca="1" si="415"/>
        <v>-7.5991228214852574E-2</v>
      </c>
      <c r="D426" s="11">
        <f t="shared" si="416"/>
        <v>1447.7398688575352</v>
      </c>
      <c r="E426" s="11">
        <f t="shared" ref="E426:F426" ca="1" si="446">+D426*EXP(B426)</f>
        <v>1724.5524260996422</v>
      </c>
      <c r="F426" s="11">
        <f t="shared" ca="1" si="446"/>
        <v>1598.3571579545362</v>
      </c>
      <c r="G426" s="12">
        <f t="shared" ca="1" si="418"/>
        <v>372.59343134692108</v>
      </c>
      <c r="H426" s="12">
        <f t="shared" ca="1" si="419"/>
        <v>170.31091824965893</v>
      </c>
    </row>
    <row r="427" spans="1:8" x14ac:dyDescent="0.35">
      <c r="A427" s="15">
        <v>414</v>
      </c>
      <c r="B427" s="10">
        <f t="shared" ca="1" si="414"/>
        <v>0.23632831046795394</v>
      </c>
      <c r="C427" s="10">
        <f t="shared" ca="1" si="415"/>
        <v>0.17363161020490997</v>
      </c>
      <c r="D427" s="11">
        <f t="shared" si="416"/>
        <v>1447.7398688575352</v>
      </c>
      <c r="E427" s="11">
        <f t="shared" ref="E427:F427" ca="1" si="447">+D427*EXP(B427)</f>
        <v>1833.692951528762</v>
      </c>
      <c r="F427" s="11">
        <f t="shared" ca="1" si="447"/>
        <v>2181.3927521056939</v>
      </c>
      <c r="G427" s="12">
        <f t="shared" ca="1" si="418"/>
        <v>467.43907695711209</v>
      </c>
      <c r="H427" s="12">
        <f t="shared" ca="1" si="419"/>
        <v>718.60432983028136</v>
      </c>
    </row>
    <row r="428" spans="1:8" x14ac:dyDescent="0.35">
      <c r="A428" s="15">
        <v>415</v>
      </c>
      <c r="B428" s="10">
        <f t="shared" ca="1" si="414"/>
        <v>0.10170783058327319</v>
      </c>
      <c r="C428" s="10">
        <f t="shared" ca="1" si="415"/>
        <v>0.20265797781330508</v>
      </c>
      <c r="D428" s="11">
        <f t="shared" si="416"/>
        <v>1447.7398688575352</v>
      </c>
      <c r="E428" s="11">
        <f t="shared" ref="E428:F428" ca="1" si="448">+D428*EXP(B428)</f>
        <v>1602.7348636103663</v>
      </c>
      <c r="F428" s="11">
        <f t="shared" ca="1" si="448"/>
        <v>1962.794921082372</v>
      </c>
      <c r="G428" s="12">
        <f t="shared" ca="1" si="418"/>
        <v>274.94571048007447</v>
      </c>
      <c r="H428" s="12">
        <f t="shared" ca="1" si="419"/>
        <v>501.47268310850291</v>
      </c>
    </row>
    <row r="429" spans="1:8" x14ac:dyDescent="0.35">
      <c r="A429" s="15">
        <v>416</v>
      </c>
      <c r="B429" s="10">
        <f t="shared" ca="1" si="414"/>
        <v>4.1516969647109173E-2</v>
      </c>
      <c r="C429" s="10">
        <f t="shared" ca="1" si="415"/>
        <v>-2.0820267078780028E-2</v>
      </c>
      <c r="D429" s="11">
        <f t="shared" si="416"/>
        <v>1447.7398688575352</v>
      </c>
      <c r="E429" s="11">
        <f t="shared" ref="E429:F429" ca="1" si="449">+D429*EXP(B429)</f>
        <v>1509.1107934997933</v>
      </c>
      <c r="F429" s="11">
        <f t="shared" ca="1" si="449"/>
        <v>1478.0155328093638</v>
      </c>
      <c r="G429" s="12">
        <f t="shared" ca="1" si="418"/>
        <v>207.75146370219295</v>
      </c>
      <c r="H429" s="12">
        <f t="shared" ca="1" si="419"/>
        <v>90.636414934792697</v>
      </c>
    </row>
    <row r="430" spans="1:8" x14ac:dyDescent="0.35">
      <c r="A430" s="15">
        <v>417</v>
      </c>
      <c r="B430" s="10">
        <f t="shared" ca="1" si="414"/>
        <v>-4.6280082895890702E-2</v>
      </c>
      <c r="C430" s="10">
        <f t="shared" ca="1" si="415"/>
        <v>0.23155992054703367</v>
      </c>
      <c r="D430" s="11">
        <f t="shared" si="416"/>
        <v>1447.7398688575352</v>
      </c>
      <c r="E430" s="11">
        <f t="shared" ref="E430:F430" ca="1" si="450">+D430*EXP(B430)</f>
        <v>1382.2651220552111</v>
      </c>
      <c r="F430" s="11">
        <f t="shared" ca="1" si="450"/>
        <v>1742.4348373716994</v>
      </c>
      <c r="G430" s="12">
        <f t="shared" ca="1" si="418"/>
        <v>130.57031122293108</v>
      </c>
      <c r="H430" s="12">
        <f t="shared" ca="1" si="419"/>
        <v>291.20645773496585</v>
      </c>
    </row>
    <row r="431" spans="1:8" x14ac:dyDescent="0.35">
      <c r="A431" s="15">
        <v>418</v>
      </c>
      <c r="B431" s="10">
        <f t="shared" ca="1" si="414"/>
        <v>5.0280770380495166E-2</v>
      </c>
      <c r="C431" s="10">
        <f t="shared" ca="1" si="415"/>
        <v>-0.1827703908206153</v>
      </c>
      <c r="D431" s="11">
        <f t="shared" si="416"/>
        <v>1447.7398688575352</v>
      </c>
      <c r="E431" s="11">
        <f t="shared" ref="E431:F431" ca="1" si="451">+D431*EXP(B431)</f>
        <v>1522.394462472545</v>
      </c>
      <c r="F431" s="11">
        <f t="shared" ca="1" si="451"/>
        <v>1268.0927611312834</v>
      </c>
      <c r="G431" s="12">
        <f t="shared" ca="1" si="418"/>
        <v>216.80131927886828</v>
      </c>
      <c r="H431" s="12">
        <f t="shared" ca="1" si="419"/>
        <v>15.695583120900693</v>
      </c>
    </row>
    <row r="432" spans="1:8" x14ac:dyDescent="0.35">
      <c r="A432" s="15">
        <v>419</v>
      </c>
      <c r="B432" s="10">
        <f t="shared" ca="1" si="414"/>
        <v>5.5919422469586103E-2</v>
      </c>
      <c r="C432" s="10">
        <f t="shared" ca="1" si="415"/>
        <v>0.10334267605694548</v>
      </c>
      <c r="D432" s="11">
        <f t="shared" si="416"/>
        <v>1447.7398688575352</v>
      </c>
      <c r="E432" s="11">
        <f t="shared" ref="E432:F432" ca="1" si="452">+D432*EXP(B432)</f>
        <v>1531.0029625487614</v>
      </c>
      <c r="F432" s="11">
        <f t="shared" ca="1" si="452"/>
        <v>1697.6852876899793</v>
      </c>
      <c r="G432" s="12">
        <f t="shared" ca="1" si="418"/>
        <v>222.75580365499809</v>
      </c>
      <c r="H432" s="12">
        <f t="shared" ca="1" si="419"/>
        <v>251.48931049590919</v>
      </c>
    </row>
    <row r="433" spans="1:8" x14ac:dyDescent="0.35">
      <c r="A433" s="15">
        <v>420</v>
      </c>
      <c r="B433" s="10">
        <f t="shared" ca="1" si="414"/>
        <v>-0.15496652194066529</v>
      </c>
      <c r="C433" s="10">
        <f t="shared" ca="1" si="415"/>
        <v>0.10030521982331433</v>
      </c>
      <c r="D433" s="11">
        <f t="shared" si="416"/>
        <v>1447.7398688575352</v>
      </c>
      <c r="E433" s="11">
        <f t="shared" ref="E433:F433" ca="1" si="453">+D433*EXP(B433)</f>
        <v>1239.9079057533431</v>
      </c>
      <c r="F433" s="11">
        <f t="shared" ca="1" si="453"/>
        <v>1370.728468190101</v>
      </c>
      <c r="G433" s="12">
        <f t="shared" ca="1" si="418"/>
        <v>66.29601250418051</v>
      </c>
      <c r="H433" s="12">
        <f t="shared" ca="1" si="419"/>
        <v>42.056419875017809</v>
      </c>
    </row>
    <row r="434" spans="1:8" x14ac:dyDescent="0.35">
      <c r="A434" s="15">
        <v>421</v>
      </c>
      <c r="B434" s="10">
        <f t="shared" ca="1" si="414"/>
        <v>0.19923099115017628</v>
      </c>
      <c r="C434" s="10">
        <f t="shared" ca="1" si="415"/>
        <v>-0.20783007716286162</v>
      </c>
      <c r="D434" s="11">
        <f t="shared" si="416"/>
        <v>1447.7398688575352</v>
      </c>
      <c r="E434" s="11">
        <f t="shared" ref="E434:F434" ca="1" si="454">+D434*EXP(B434)</f>
        <v>1766.9141736965435</v>
      </c>
      <c r="F434" s="11">
        <f t="shared" ca="1" si="454"/>
        <v>1435.3440021467852</v>
      </c>
      <c r="G434" s="12">
        <f t="shared" ca="1" si="418"/>
        <v>408.70943895770438</v>
      </c>
      <c r="H434" s="12">
        <f t="shared" ca="1" si="419"/>
        <v>68.620860993268593</v>
      </c>
    </row>
    <row r="435" spans="1:8" x14ac:dyDescent="0.35">
      <c r="A435" s="15">
        <v>422</v>
      </c>
      <c r="B435" s="10">
        <f t="shared" ca="1" si="414"/>
        <v>0.23203039380846402</v>
      </c>
      <c r="C435" s="10">
        <f t="shared" ca="1" si="415"/>
        <v>0.49274633715821547</v>
      </c>
      <c r="D435" s="11">
        <f t="shared" si="416"/>
        <v>1447.7398688575352</v>
      </c>
      <c r="E435" s="11">
        <f t="shared" ref="E435:F435" ca="1" si="455">+D435*EXP(B435)</f>
        <v>1825.8288038752023</v>
      </c>
      <c r="F435" s="11">
        <f t="shared" ca="1" si="455"/>
        <v>2988.5262120399834</v>
      </c>
      <c r="G435" s="12">
        <f t="shared" ca="1" si="418"/>
        <v>460.42035437338518</v>
      </c>
      <c r="H435" s="12">
        <f t="shared" ca="1" si="419"/>
        <v>1525.5613559831409</v>
      </c>
    </row>
    <row r="436" spans="1:8" x14ac:dyDescent="0.35">
      <c r="A436" s="15">
        <v>423</v>
      </c>
      <c r="B436" s="10">
        <f t="shared" ca="1" si="414"/>
        <v>-0.33863942030746652</v>
      </c>
      <c r="C436" s="10">
        <f t="shared" ca="1" si="415"/>
        <v>0.14810159355477789</v>
      </c>
      <c r="D436" s="11">
        <f t="shared" si="416"/>
        <v>1447.7398688575352</v>
      </c>
      <c r="E436" s="11">
        <f t="shared" ref="E436:F436" ca="1" si="456">+D436*EXP(B436)</f>
        <v>1031.8612485473616</v>
      </c>
      <c r="F436" s="11">
        <f t="shared" ca="1" si="456"/>
        <v>1196.5779833838853</v>
      </c>
      <c r="G436" s="12">
        <f t="shared" ca="1" si="418"/>
        <v>15.68834072237739</v>
      </c>
      <c r="H436" s="12">
        <f t="shared" ca="1" si="419"/>
        <v>6.5341679562484956</v>
      </c>
    </row>
    <row r="437" spans="1:8" x14ac:dyDescent="0.35">
      <c r="A437" s="15">
        <v>424</v>
      </c>
      <c r="B437" s="10">
        <f t="shared" ca="1" si="414"/>
        <v>-8.9110988453197329E-2</v>
      </c>
      <c r="C437" s="10">
        <f t="shared" ca="1" si="415"/>
        <v>2.2931899360970568E-2</v>
      </c>
      <c r="D437" s="11">
        <f t="shared" si="416"/>
        <v>1447.7398688575352</v>
      </c>
      <c r="E437" s="11">
        <f t="shared" ref="E437:F437" ca="1" si="457">+D437*EXP(B437)</f>
        <v>1324.3114192785713</v>
      </c>
      <c r="F437" s="11">
        <f t="shared" ca="1" si="457"/>
        <v>1355.0312816496792</v>
      </c>
      <c r="G437" s="12">
        <f t="shared" ca="1" si="418"/>
        <v>101.40531003780143</v>
      </c>
      <c r="H437" s="12">
        <f t="shared" ca="1" si="419"/>
        <v>36.821593014001508</v>
      </c>
    </row>
    <row r="438" spans="1:8" x14ac:dyDescent="0.35">
      <c r="A438" s="15">
        <v>425</v>
      </c>
      <c r="B438" s="10">
        <f t="shared" ca="1" si="414"/>
        <v>-0.17154036005797463</v>
      </c>
      <c r="C438" s="10">
        <f t="shared" ca="1" si="415"/>
        <v>-0.14547450831156375</v>
      </c>
      <c r="D438" s="11">
        <f t="shared" si="416"/>
        <v>1447.7398688575352</v>
      </c>
      <c r="E438" s="11">
        <f t="shared" ref="E438:F438" ca="1" si="458">+D438*EXP(B438)</f>
        <v>1219.5272323657841</v>
      </c>
      <c r="F438" s="11">
        <f t="shared" ca="1" si="458"/>
        <v>1054.4177943206294</v>
      </c>
      <c r="G438" s="12">
        <f t="shared" ca="1" si="418"/>
        <v>59.14089284908323</v>
      </c>
      <c r="H438" s="12">
        <f t="shared" ca="1" si="419"/>
        <v>0.61308946503055672</v>
      </c>
    </row>
    <row r="439" spans="1:8" x14ac:dyDescent="0.35">
      <c r="A439" s="15">
        <v>426</v>
      </c>
      <c r="B439" s="10">
        <f t="shared" ca="1" si="414"/>
        <v>0.11403505118854847</v>
      </c>
      <c r="C439" s="10">
        <f t="shared" ca="1" si="415"/>
        <v>-0.28579528325620474</v>
      </c>
      <c r="D439" s="11">
        <f t="shared" si="416"/>
        <v>1447.7398688575352</v>
      </c>
      <c r="E439" s="11">
        <f t="shared" ref="E439:F439" ca="1" si="459">+D439*EXP(B439)</f>
        <v>1622.6144078683903</v>
      </c>
      <c r="F439" s="11">
        <f t="shared" ca="1" si="459"/>
        <v>1219.2591219384119</v>
      </c>
      <c r="G439" s="12">
        <f t="shared" ca="1" si="418"/>
        <v>290.16436394059485</v>
      </c>
      <c r="H439" s="12">
        <f t="shared" ca="1" si="419"/>
        <v>8.7964017681307922</v>
      </c>
    </row>
    <row r="440" spans="1:8" x14ac:dyDescent="0.35">
      <c r="A440" s="15">
        <v>427</v>
      </c>
      <c r="B440" s="10">
        <f t="shared" ca="1" si="414"/>
        <v>0.23083845921029716</v>
      </c>
      <c r="C440" s="10">
        <f t="shared" ca="1" si="415"/>
        <v>0.26868573295066173</v>
      </c>
      <c r="D440" s="11">
        <f t="shared" si="416"/>
        <v>1447.7398688575352</v>
      </c>
      <c r="E440" s="11">
        <f t="shared" ref="E440:F440" ca="1" si="460">+D440*EXP(B440)</f>
        <v>1823.6538318232533</v>
      </c>
      <c r="F440" s="11">
        <f t="shared" ca="1" si="460"/>
        <v>2385.7840713572577</v>
      </c>
      <c r="G440" s="12">
        <f t="shared" ca="1" si="418"/>
        <v>458.48373559019524</v>
      </c>
      <c r="H440" s="12">
        <f t="shared" ca="1" si="419"/>
        <v>922.83739506873576</v>
      </c>
    </row>
    <row r="441" spans="1:8" x14ac:dyDescent="0.35">
      <c r="A441" s="15">
        <v>428</v>
      </c>
      <c r="B441" s="10">
        <f t="shared" ca="1" si="414"/>
        <v>0.16302166637502119</v>
      </c>
      <c r="C441" s="10">
        <f t="shared" ca="1" si="415"/>
        <v>0.21084242027723374</v>
      </c>
      <c r="D441" s="11">
        <f t="shared" si="416"/>
        <v>1447.7398688575352</v>
      </c>
      <c r="E441" s="11">
        <f t="shared" ref="E441:F441" ca="1" si="461">+D441*EXP(B441)</f>
        <v>1704.0798636035079</v>
      </c>
      <c r="F441" s="11">
        <f t="shared" ca="1" si="461"/>
        <v>2104.0576946224164</v>
      </c>
      <c r="G441" s="12">
        <f t="shared" ca="1" si="418"/>
        <v>355.50068051168978</v>
      </c>
      <c r="H441" s="12">
        <f t="shared" ca="1" si="419"/>
        <v>641.49190886706651</v>
      </c>
    </row>
    <row r="442" spans="1:8" x14ac:dyDescent="0.35">
      <c r="A442" s="15">
        <v>429</v>
      </c>
      <c r="B442" s="10">
        <f t="shared" ca="1" si="414"/>
        <v>0.16094381300415983</v>
      </c>
      <c r="C442" s="10">
        <f t="shared" ca="1" si="415"/>
        <v>0.4063437589763641</v>
      </c>
      <c r="D442" s="11">
        <f t="shared" si="416"/>
        <v>1447.7398688575352</v>
      </c>
      <c r="E442" s="11">
        <f t="shared" ref="E442:F442" ca="1" si="462">+D442*EXP(B442)</f>
        <v>1700.5427116289093</v>
      </c>
      <c r="F442" s="11">
        <f t="shared" ca="1" si="462"/>
        <v>2553.0563273758999</v>
      </c>
      <c r="G442" s="12">
        <f t="shared" ca="1" si="418"/>
        <v>352.57292123601064</v>
      </c>
      <c r="H442" s="12">
        <f t="shared" ca="1" si="419"/>
        <v>1090.0940268023942</v>
      </c>
    </row>
    <row r="443" spans="1:8" x14ac:dyDescent="0.35">
      <c r="A443" s="15">
        <v>430</v>
      </c>
      <c r="B443" s="10">
        <f t="shared" ca="1" si="414"/>
        <v>-0.12591517239416455</v>
      </c>
      <c r="C443" s="10">
        <f t="shared" ca="1" si="415"/>
        <v>-0.15796336598984365</v>
      </c>
      <c r="D443" s="11">
        <f t="shared" si="416"/>
        <v>1447.7398688575352</v>
      </c>
      <c r="E443" s="11">
        <f t="shared" ref="E443:F443" ca="1" si="463">+D443*EXP(B443)</f>
        <v>1276.4572368840486</v>
      </c>
      <c r="F443" s="11">
        <f t="shared" ca="1" si="463"/>
        <v>1089.9426616447017</v>
      </c>
      <c r="G443" s="12">
        <f t="shared" ca="1" si="418"/>
        <v>80.41466531703378</v>
      </c>
      <c r="H443" s="12">
        <f t="shared" ca="1" si="419"/>
        <v>1.2137547844159471</v>
      </c>
    </row>
    <row r="444" spans="1:8" x14ac:dyDescent="0.35">
      <c r="A444" s="15">
        <v>431</v>
      </c>
      <c r="B444" s="10">
        <f t="shared" ca="1" si="414"/>
        <v>-0.1109630022101981</v>
      </c>
      <c r="C444" s="10">
        <f t="shared" ca="1" si="415"/>
        <v>0.41280113797871876</v>
      </c>
      <c r="D444" s="11">
        <f t="shared" si="416"/>
        <v>1447.7398688575352</v>
      </c>
      <c r="E444" s="11">
        <f t="shared" ref="E444:F444" ca="1" si="464">+D444*EXP(B444)</f>
        <v>1295.6864436579531</v>
      </c>
      <c r="F444" s="11">
        <f t="shared" ca="1" si="464"/>
        <v>1957.8398830810231</v>
      </c>
      <c r="G444" s="12">
        <f t="shared" ca="1" si="418"/>
        <v>88.508711561855819</v>
      </c>
      <c r="H444" s="12">
        <f t="shared" ca="1" si="419"/>
        <v>496.5978113179483</v>
      </c>
    </row>
    <row r="445" spans="1:8" x14ac:dyDescent="0.35">
      <c r="A445" s="15">
        <v>432</v>
      </c>
      <c r="B445" s="10">
        <f t="shared" ca="1" si="414"/>
        <v>-0.16686718068262646</v>
      </c>
      <c r="C445" s="10">
        <f t="shared" ca="1" si="415"/>
        <v>-0.17553714073610563</v>
      </c>
      <c r="D445" s="11">
        <f t="shared" si="416"/>
        <v>1447.7398688575352</v>
      </c>
      <c r="E445" s="11">
        <f t="shared" ref="E445:F445" ca="1" si="465">+D445*EXP(B445)</f>
        <v>1225.2396390303431</v>
      </c>
      <c r="F445" s="11">
        <f t="shared" ca="1" si="465"/>
        <v>1027.9836968655407</v>
      </c>
      <c r="G445" s="12">
        <f t="shared" ca="1" si="418"/>
        <v>61.094835498473458</v>
      </c>
      <c r="H445" s="12">
        <f t="shared" ca="1" si="419"/>
        <v>0.35211752704264754</v>
      </c>
    </row>
    <row r="446" spans="1:8" x14ac:dyDescent="0.35">
      <c r="A446" s="15">
        <v>433</v>
      </c>
      <c r="B446" s="10">
        <f t="shared" ca="1" si="414"/>
        <v>0.19447313169706548</v>
      </c>
      <c r="C446" s="10">
        <f t="shared" ca="1" si="415"/>
        <v>-0.38717458013810635</v>
      </c>
      <c r="D446" s="11">
        <f t="shared" si="416"/>
        <v>1447.7398688575352</v>
      </c>
      <c r="E446" s="11">
        <f t="shared" ref="E446:F446" ca="1" si="466">+D446*EXP(B446)</f>
        <v>1758.5274117308156</v>
      </c>
      <c r="F446" s="11">
        <f t="shared" ca="1" si="466"/>
        <v>1193.9918400340187</v>
      </c>
      <c r="G446" s="12">
        <f t="shared" ca="1" si="418"/>
        <v>401.48342409229167</v>
      </c>
      <c r="H446" s="12">
        <f t="shared" ca="1" si="419"/>
        <v>6.308657022576952</v>
      </c>
    </row>
    <row r="447" spans="1:8" x14ac:dyDescent="0.35">
      <c r="A447" s="15">
        <v>434</v>
      </c>
      <c r="B447" s="10">
        <f t="shared" ca="1" si="414"/>
        <v>7.1532459095132617E-2</v>
      </c>
      <c r="C447" s="10">
        <f t="shared" ca="1" si="415"/>
        <v>5.0904781846801035E-2</v>
      </c>
      <c r="D447" s="11">
        <f t="shared" si="416"/>
        <v>1447.7398688575352</v>
      </c>
      <c r="E447" s="11">
        <f t="shared" ref="E447:F447" ca="1" si="467">+D447*EXP(B447)</f>
        <v>1555.0941467634591</v>
      </c>
      <c r="F447" s="11">
        <f t="shared" ca="1" si="467"/>
        <v>1636.3053584575825</v>
      </c>
      <c r="G447" s="12">
        <f t="shared" ca="1" si="418"/>
        <v>239.78329067256345</v>
      </c>
      <c r="H447" s="12">
        <f t="shared" ca="1" si="419"/>
        <v>199.98646296777929</v>
      </c>
    </row>
    <row r="448" spans="1:8" x14ac:dyDescent="0.35">
      <c r="A448" s="15">
        <v>435</v>
      </c>
      <c r="B448" s="10">
        <f t="shared" ca="1" si="414"/>
        <v>-1.5280011340921631E-2</v>
      </c>
      <c r="C448" s="10">
        <f t="shared" ca="1" si="415"/>
        <v>0.17050103805726424</v>
      </c>
      <c r="D448" s="11">
        <f t="shared" si="416"/>
        <v>1447.7398688575352</v>
      </c>
      <c r="E448" s="11">
        <f t="shared" ref="E448:F448" ca="1" si="468">+D448*EXP(B448)</f>
        <v>1425.7865379499931</v>
      </c>
      <c r="F448" s="11">
        <f t="shared" ca="1" si="468"/>
        <v>1690.8386627002053</v>
      </c>
      <c r="G448" s="12">
        <f t="shared" ca="1" si="418"/>
        <v>155.07067973517815</v>
      </c>
      <c r="H448" s="12">
        <f t="shared" ca="1" si="419"/>
        <v>245.55881109886514</v>
      </c>
    </row>
    <row r="449" spans="1:8" x14ac:dyDescent="0.35">
      <c r="A449" s="15">
        <v>436</v>
      </c>
      <c r="B449" s="10">
        <f t="shared" ca="1" si="414"/>
        <v>-6.2292028510292669E-2</v>
      </c>
      <c r="C449" s="10">
        <f t="shared" ca="1" si="415"/>
        <v>9.6258854238138528E-2</v>
      </c>
      <c r="D449" s="11">
        <f t="shared" si="416"/>
        <v>1447.7398688575352</v>
      </c>
      <c r="E449" s="11">
        <f t="shared" ref="E449:F449" ca="1" si="469">+D449*EXP(B449)</f>
        <v>1360.3086203547832</v>
      </c>
      <c r="F449" s="11">
        <f t="shared" ca="1" si="469"/>
        <v>1497.7596949546723</v>
      </c>
      <c r="G449" s="12">
        <f t="shared" ca="1" si="418"/>
        <v>119.04631882404249</v>
      </c>
      <c r="H449" s="12">
        <f t="shared" ca="1" si="419"/>
        <v>101.99640442441455</v>
      </c>
    </row>
    <row r="450" spans="1:8" x14ac:dyDescent="0.35">
      <c r="A450" s="15">
        <v>437</v>
      </c>
      <c r="B450" s="10">
        <f t="shared" ca="1" si="414"/>
        <v>-0.21593799824134746</v>
      </c>
      <c r="C450" s="10">
        <f t="shared" ca="1" si="415"/>
        <v>1.5979918121727648E-2</v>
      </c>
      <c r="D450" s="11">
        <f t="shared" si="416"/>
        <v>1447.7398688575352</v>
      </c>
      <c r="E450" s="11">
        <f t="shared" ref="E450:F450" ca="1" si="470">+D450*EXP(B450)</f>
        <v>1166.5674472592914</v>
      </c>
      <c r="F450" s="11">
        <f t="shared" ca="1" si="470"/>
        <v>1185.358842150132</v>
      </c>
      <c r="G450" s="12">
        <f t="shared" ca="1" si="418"/>
        <v>42.906640501072957</v>
      </c>
      <c r="H450" s="12">
        <f t="shared" ca="1" si="419"/>
        <v>5.6002238121487693</v>
      </c>
    </row>
    <row r="451" spans="1:8" x14ac:dyDescent="0.35">
      <c r="A451" s="15">
        <v>438</v>
      </c>
      <c r="B451" s="10">
        <f t="shared" ca="1" si="414"/>
        <v>0.1382127129194905</v>
      </c>
      <c r="C451" s="10">
        <f t="shared" ca="1" si="415"/>
        <v>9.1493363627113584E-3</v>
      </c>
      <c r="D451" s="11">
        <f t="shared" si="416"/>
        <v>1447.7398688575352</v>
      </c>
      <c r="E451" s="11">
        <f t="shared" ref="E451:F451" ca="1" si="471">+D451*EXP(B451)</f>
        <v>1662.3235326926408</v>
      </c>
      <c r="F451" s="11">
        <f t="shared" ca="1" si="471"/>
        <v>1677.6024793643903</v>
      </c>
      <c r="G451" s="12">
        <f t="shared" ca="1" si="418"/>
        <v>321.44550915524292</v>
      </c>
      <c r="H451" s="12">
        <f t="shared" ca="1" si="419"/>
        <v>234.21692328370159</v>
      </c>
    </row>
    <row r="452" spans="1:8" x14ac:dyDescent="0.35">
      <c r="A452" s="15">
        <v>439</v>
      </c>
      <c r="B452" s="10">
        <f t="shared" ca="1" si="414"/>
        <v>-0.15136389846854725</v>
      </c>
      <c r="C452" s="10">
        <f t="shared" ca="1" si="415"/>
        <v>-0.13684837641993422</v>
      </c>
      <c r="D452" s="11">
        <f t="shared" si="416"/>
        <v>1447.7398688575352</v>
      </c>
      <c r="E452" s="11">
        <f t="shared" ref="E452:F452" ca="1" si="472">+D452*EXP(B452)</f>
        <v>1244.3828830670077</v>
      </c>
      <c r="F452" s="11">
        <f t="shared" ca="1" si="472"/>
        <v>1085.2293578293679</v>
      </c>
      <c r="G452" s="12">
        <f t="shared" ca="1" si="418"/>
        <v>67.935654722019876</v>
      </c>
      <c r="H452" s="12">
        <f t="shared" ca="1" si="419"/>
        <v>1.1129294228161548</v>
      </c>
    </row>
    <row r="453" spans="1:8" x14ac:dyDescent="0.35">
      <c r="A453" s="15">
        <v>440</v>
      </c>
      <c r="B453" s="10">
        <f t="shared" ca="1" si="414"/>
        <v>7.3403961217957697E-2</v>
      </c>
      <c r="C453" s="10">
        <f t="shared" ca="1" si="415"/>
        <v>0.14584885631960617</v>
      </c>
      <c r="D453" s="11">
        <f t="shared" si="416"/>
        <v>1447.7398688575352</v>
      </c>
      <c r="E453" s="11">
        <f t="shared" ref="E453:F453" ca="1" si="473">+D453*EXP(B453)</f>
        <v>1558.0072338343762</v>
      </c>
      <c r="F453" s="11">
        <f t="shared" ca="1" si="473"/>
        <v>1802.6475525719079</v>
      </c>
      <c r="G453" s="12">
        <f t="shared" ca="1" si="418"/>
        <v>241.87766907646369</v>
      </c>
      <c r="H453" s="12">
        <f t="shared" ca="1" si="419"/>
        <v>346.77138528185947</v>
      </c>
    </row>
    <row r="454" spans="1:8" x14ac:dyDescent="0.35">
      <c r="A454" s="15">
        <v>441</v>
      </c>
      <c r="B454" s="10">
        <f t="shared" ca="1" si="414"/>
        <v>2.3268890825843304E-3</v>
      </c>
      <c r="C454" s="10">
        <f t="shared" ca="1" si="415"/>
        <v>-0.25731991220542705</v>
      </c>
      <c r="D454" s="11">
        <f t="shared" si="416"/>
        <v>1447.7398688575352</v>
      </c>
      <c r="E454" s="11">
        <f t="shared" ref="E454:F454" ca="1" si="474">+D454*EXP(B454)</f>
        <v>1451.1125213251607</v>
      </c>
      <c r="F454" s="11">
        <f t="shared" ca="1" si="474"/>
        <v>1121.8853363625872</v>
      </c>
      <c r="G454" s="12">
        <f t="shared" ca="1" si="418"/>
        <v>170.30687656761665</v>
      </c>
      <c r="H454" s="12">
        <f t="shared" ca="1" si="419"/>
        <v>2.1213063080753756</v>
      </c>
    </row>
    <row r="455" spans="1:8" x14ac:dyDescent="0.35">
      <c r="A455" s="15">
        <v>442</v>
      </c>
      <c r="B455" s="10">
        <f t="shared" ca="1" si="414"/>
        <v>1.4733506951559373E-2</v>
      </c>
      <c r="C455" s="10">
        <f t="shared" ca="1" si="415"/>
        <v>0.11381631937359457</v>
      </c>
      <c r="D455" s="11">
        <f t="shared" si="416"/>
        <v>1447.7398688575352</v>
      </c>
      <c r="E455" s="11">
        <f t="shared" ref="E455:F455" ca="1" si="475">+D455*EXP(B455)</f>
        <v>1469.2280638009006</v>
      </c>
      <c r="F455" s="11">
        <f t="shared" ca="1" si="475"/>
        <v>1646.3380462664277</v>
      </c>
      <c r="G455" s="12">
        <f t="shared" ca="1" si="418"/>
        <v>181.62973045171475</v>
      </c>
      <c r="H455" s="12">
        <f t="shared" ca="1" si="419"/>
        <v>208.1296845375407</v>
      </c>
    </row>
    <row r="456" spans="1:8" x14ac:dyDescent="0.35">
      <c r="A456" s="15">
        <v>443</v>
      </c>
      <c r="B456" s="10">
        <f t="shared" ca="1" si="414"/>
        <v>-0.12410137745457488</v>
      </c>
      <c r="C456" s="10">
        <f t="shared" ca="1" si="415"/>
        <v>0.13470426555793963</v>
      </c>
      <c r="D456" s="11">
        <f t="shared" si="416"/>
        <v>1447.7398688575352</v>
      </c>
      <c r="E456" s="11">
        <f t="shared" ref="E456:F456" ca="1" si="476">+D456*EXP(B456)</f>
        <v>1278.7745695086987</v>
      </c>
      <c r="F456" s="11">
        <f t="shared" ca="1" si="476"/>
        <v>1463.1717594218364</v>
      </c>
      <c r="G456" s="12">
        <f t="shared" ca="1" si="418"/>
        <v>81.36575581250753</v>
      </c>
      <c r="H456" s="12">
        <f t="shared" ca="1" si="419"/>
        <v>82.57954134918316</v>
      </c>
    </row>
    <row r="457" spans="1:8" x14ac:dyDescent="0.35">
      <c r="A457" s="15">
        <v>444</v>
      </c>
      <c r="B457" s="10">
        <f t="shared" ca="1" si="414"/>
        <v>-4.5306464290157195E-2</v>
      </c>
      <c r="C457" s="10">
        <f t="shared" ca="1" si="415"/>
        <v>0.28021003895775354</v>
      </c>
      <c r="D457" s="11">
        <f t="shared" si="416"/>
        <v>1447.7398688575352</v>
      </c>
      <c r="E457" s="11">
        <f t="shared" ref="E457:F457" ca="1" si="477">+D457*EXP(B457)</f>
        <v>1383.6115764562664</v>
      </c>
      <c r="F457" s="11">
        <f t="shared" ca="1" si="477"/>
        <v>1831.0822837314026</v>
      </c>
      <c r="G457" s="12">
        <f t="shared" ca="1" si="418"/>
        <v>131.29552894520668</v>
      </c>
      <c r="H457" s="12">
        <f t="shared" ca="1" si="419"/>
        <v>373.65342279136098</v>
      </c>
    </row>
    <row r="458" spans="1:8" x14ac:dyDescent="0.35">
      <c r="A458" s="15">
        <v>445</v>
      </c>
      <c r="B458" s="10">
        <f t="shared" ca="1" si="414"/>
        <v>0.1775485030765932</v>
      </c>
      <c r="C458" s="10">
        <f t="shared" ca="1" si="415"/>
        <v>-6.0735980258206965E-2</v>
      </c>
      <c r="D458" s="11">
        <f t="shared" si="416"/>
        <v>1447.7398688575352</v>
      </c>
      <c r="E458" s="11">
        <f t="shared" ref="E458:F458" ca="1" si="478">+D458*EXP(B458)</f>
        <v>1729.015432467884</v>
      </c>
      <c r="F458" s="11">
        <f t="shared" ca="1" si="478"/>
        <v>1627.1274378575338</v>
      </c>
      <c r="G458" s="12">
        <f t="shared" ca="1" si="418"/>
        <v>376.35207804593006</v>
      </c>
      <c r="H458" s="12">
        <f t="shared" ca="1" si="419"/>
        <v>192.64167523005449</v>
      </c>
    </row>
    <row r="459" spans="1:8" x14ac:dyDescent="0.35">
      <c r="A459" s="15">
        <v>446</v>
      </c>
      <c r="B459" s="10">
        <f t="shared" ca="1" si="414"/>
        <v>-7.1631223003054648E-2</v>
      </c>
      <c r="C459" s="10">
        <f t="shared" ca="1" si="415"/>
        <v>0.26021054123008669</v>
      </c>
      <c r="D459" s="11">
        <f t="shared" si="416"/>
        <v>1447.7398688575352</v>
      </c>
      <c r="E459" s="11">
        <f t="shared" ref="E459:F459" ca="1" si="479">+D459*EXP(B459)</f>
        <v>1347.6635727673747</v>
      </c>
      <c r="F459" s="11">
        <f t="shared" ca="1" si="479"/>
        <v>1748.1934622835743</v>
      </c>
      <c r="G459" s="12">
        <f t="shared" ca="1" si="418"/>
        <v>112.67057922867969</v>
      </c>
      <c r="H459" s="12">
        <f t="shared" ca="1" si="419"/>
        <v>296.42568772997447</v>
      </c>
    </row>
    <row r="460" spans="1:8" x14ac:dyDescent="0.35">
      <c r="A460" s="15">
        <v>447</v>
      </c>
      <c r="B460" s="10">
        <f t="shared" ca="1" si="414"/>
        <v>8.454999117869598E-2</v>
      </c>
      <c r="C460" s="10">
        <f t="shared" ca="1" si="415"/>
        <v>-0.24465094711003468</v>
      </c>
      <c r="D460" s="11">
        <f t="shared" si="416"/>
        <v>1447.7398688575352</v>
      </c>
      <c r="E460" s="11">
        <f t="shared" ref="E460:F460" ca="1" si="480">+D460*EXP(B460)</f>
        <v>1575.469968434885</v>
      </c>
      <c r="F460" s="11">
        <f t="shared" ca="1" si="480"/>
        <v>1233.5579960028745</v>
      </c>
      <c r="G460" s="12">
        <f t="shared" ca="1" si="418"/>
        <v>254.58779583838839</v>
      </c>
      <c r="H460" s="12">
        <f t="shared" ca="1" si="419"/>
        <v>10.508923301118188</v>
      </c>
    </row>
    <row r="461" spans="1:8" x14ac:dyDescent="0.35">
      <c r="A461" s="15">
        <v>448</v>
      </c>
      <c r="B461" s="10">
        <f t="shared" ca="1" si="414"/>
        <v>-9.7886984767135629E-3</v>
      </c>
      <c r="C461" s="10">
        <f t="shared" ca="1" si="415"/>
        <v>0.27839973929623829</v>
      </c>
      <c r="D461" s="11">
        <f t="shared" si="416"/>
        <v>1447.7398688575352</v>
      </c>
      <c r="E461" s="11">
        <f t="shared" ref="E461:F461" ca="1" si="481">+D461*EXP(B461)</f>
        <v>1433.6375142625404</v>
      </c>
      <c r="F461" s="11">
        <f t="shared" ca="1" si="481"/>
        <v>1893.855446537372</v>
      </c>
      <c r="G461" s="12">
        <f t="shared" ca="1" si="418"/>
        <v>159.71855273261974</v>
      </c>
      <c r="H461" s="12">
        <f t="shared" ca="1" si="419"/>
        <v>434.03613632577049</v>
      </c>
    </row>
    <row r="462" spans="1:8" x14ac:dyDescent="0.35">
      <c r="A462" s="15">
        <v>449</v>
      </c>
      <c r="B462" s="10">
        <f t="shared" ca="1" si="414"/>
        <v>0.17561790407039329</v>
      </c>
      <c r="C462" s="10">
        <f t="shared" ca="1" si="415"/>
        <v>0.11934429264766584</v>
      </c>
      <c r="D462" s="11">
        <f t="shared" si="416"/>
        <v>1447.7398688575352</v>
      </c>
      <c r="E462" s="11">
        <f t="shared" ref="E462:F462" ca="1" si="482">+D462*EXP(B462)</f>
        <v>1725.680617123649</v>
      </c>
      <c r="F462" s="11">
        <f t="shared" ca="1" si="482"/>
        <v>1944.4240713827919</v>
      </c>
      <c r="G462" s="12">
        <f t="shared" ca="1" si="418"/>
        <v>373.54249564073575</v>
      </c>
      <c r="H462" s="12">
        <f t="shared" ca="1" si="419"/>
        <v>483.41781805856499</v>
      </c>
    </row>
    <row r="463" spans="1:8" x14ac:dyDescent="0.35">
      <c r="A463" s="15">
        <v>450</v>
      </c>
      <c r="B463" s="10">
        <f t="shared" ref="B463:B526" ca="1" si="483">+($B$6-0.5*$B$10^2)*$H$4+$B$10*SQRT($H$4)*_xlfn.NORM.S.INV(RAND())</f>
        <v>1.7829982812828514E-2</v>
      </c>
      <c r="C463" s="10">
        <f t="shared" ref="C463:C526" ca="1" si="484">+($B$6-0.5*$B$10^2)+$B$10*_xlfn.NORM.S.INV(RAND())</f>
        <v>0.27163372719894641</v>
      </c>
      <c r="D463" s="11">
        <f t="shared" ref="D463:D526" si="485">+$B$9</f>
        <v>1447.7398688575352</v>
      </c>
      <c r="E463" s="11">
        <f t="shared" ref="E463:F463" ca="1" si="486">+D463*EXP(B463)</f>
        <v>1473.7845439098051</v>
      </c>
      <c r="F463" s="11">
        <f t="shared" ca="1" si="486"/>
        <v>1933.7620209087613</v>
      </c>
      <c r="G463" s="12">
        <f t="shared" ref="G463:G526" ca="1" si="487">+BlackScholesCall(E463,$B$4,$B$10,$B$6,$B$7-$H$4)</f>
        <v>184.53205332009327</v>
      </c>
      <c r="H463" s="12">
        <f t="shared" ref="H463:H526" ca="1" si="488">+BlackScholesCall(F463,$B$4,$B$10,$B$6,$B$7-$I$4)</f>
        <v>472.96433759062097</v>
      </c>
    </row>
    <row r="464" spans="1:8" x14ac:dyDescent="0.35">
      <c r="A464" s="15">
        <v>451</v>
      </c>
      <c r="B464" s="10">
        <f t="shared" ca="1" si="483"/>
        <v>-0.1351496789686471</v>
      </c>
      <c r="C464" s="10">
        <f t="shared" ca="1" si="484"/>
        <v>2.4969822970395322E-2</v>
      </c>
      <c r="D464" s="11">
        <f t="shared" si="485"/>
        <v>1447.7398688575352</v>
      </c>
      <c r="E464" s="11">
        <f t="shared" ref="E464:F464" ca="1" si="489">+D464*EXP(B464)</f>
        <v>1264.7240426476349</v>
      </c>
      <c r="F464" s="11">
        <f t="shared" ca="1" si="489"/>
        <v>1296.7015530258197</v>
      </c>
      <c r="G464" s="12">
        <f t="shared" ca="1" si="487"/>
        <v>75.701502535213024</v>
      </c>
      <c r="H464" s="12">
        <f t="shared" ca="1" si="488"/>
        <v>21.270930963994658</v>
      </c>
    </row>
    <row r="465" spans="1:8" x14ac:dyDescent="0.35">
      <c r="A465" s="15">
        <v>452</v>
      </c>
      <c r="B465" s="10">
        <f t="shared" ca="1" si="483"/>
        <v>-0.15584453420552524</v>
      </c>
      <c r="C465" s="10">
        <f t="shared" ca="1" si="484"/>
        <v>5.6367656427076446E-2</v>
      </c>
      <c r="D465" s="11">
        <f t="shared" si="485"/>
        <v>1447.7398688575352</v>
      </c>
      <c r="E465" s="11">
        <f t="shared" ref="E465:F465" ca="1" si="490">+D465*EXP(B465)</f>
        <v>1238.8197291908857</v>
      </c>
      <c r="F465" s="11">
        <f t="shared" ca="1" si="490"/>
        <v>1310.6546581977025</v>
      </c>
      <c r="G465" s="12">
        <f t="shared" ca="1" si="487"/>
        <v>65.901044745542663</v>
      </c>
      <c r="H465" s="12">
        <f t="shared" ca="1" si="488"/>
        <v>24.457228957365373</v>
      </c>
    </row>
    <row r="466" spans="1:8" x14ac:dyDescent="0.35">
      <c r="A466" s="15">
        <v>453</v>
      </c>
      <c r="B466" s="10">
        <f t="shared" ca="1" si="483"/>
        <v>-0.17335045622043865</v>
      </c>
      <c r="C466" s="10">
        <f t="shared" ca="1" si="484"/>
        <v>0.28003128512292308</v>
      </c>
      <c r="D466" s="11">
        <f t="shared" si="485"/>
        <v>1447.7398688575352</v>
      </c>
      <c r="E466" s="11">
        <f t="shared" ref="E466:F466" ca="1" si="491">+D466*EXP(B466)</f>
        <v>1217.3217674564173</v>
      </c>
      <c r="F466" s="11">
        <f t="shared" ca="1" si="491"/>
        <v>1610.7251126737842</v>
      </c>
      <c r="G466" s="12">
        <f t="shared" ca="1" si="487"/>
        <v>58.397207308866996</v>
      </c>
      <c r="H466" s="12">
        <f t="shared" ca="1" si="488"/>
        <v>179.77733547140178</v>
      </c>
    </row>
    <row r="467" spans="1:8" x14ac:dyDescent="0.35">
      <c r="A467" s="15">
        <v>454</v>
      </c>
      <c r="B467" s="10">
        <f t="shared" ca="1" si="483"/>
        <v>-5.4125688073641667E-2</v>
      </c>
      <c r="C467" s="10">
        <f t="shared" ca="1" si="484"/>
        <v>0.1252486729122666</v>
      </c>
      <c r="D467" s="11">
        <f t="shared" si="485"/>
        <v>1447.7398688575352</v>
      </c>
      <c r="E467" s="11">
        <f t="shared" ref="E467:F467" ca="1" si="492">+D467*EXP(B467)</f>
        <v>1371.4628462618236</v>
      </c>
      <c r="F467" s="11">
        <f t="shared" ca="1" si="492"/>
        <v>1554.4575060967911</v>
      </c>
      <c r="G467" s="12">
        <f t="shared" ca="1" si="487"/>
        <v>124.8292712995592</v>
      </c>
      <c r="H467" s="12">
        <f t="shared" ca="1" si="488"/>
        <v>138.48590694830955</v>
      </c>
    </row>
    <row r="468" spans="1:8" x14ac:dyDescent="0.35">
      <c r="A468" s="15">
        <v>455</v>
      </c>
      <c r="B468" s="10">
        <f t="shared" ca="1" si="483"/>
        <v>0.17695586778897376</v>
      </c>
      <c r="C468" s="10">
        <f t="shared" ca="1" si="484"/>
        <v>0.28510676859121042</v>
      </c>
      <c r="D468" s="11">
        <f t="shared" si="485"/>
        <v>1447.7398688575352</v>
      </c>
      <c r="E468" s="11">
        <f t="shared" ref="E468:F468" ca="1" si="493">+D468*EXP(B468)</f>
        <v>1727.9910604792406</v>
      </c>
      <c r="F468" s="11">
        <f t="shared" ca="1" si="493"/>
        <v>2298.0622449291054</v>
      </c>
      <c r="G468" s="12">
        <f t="shared" ca="1" si="487"/>
        <v>375.48837141239005</v>
      </c>
      <c r="H468" s="12">
        <f t="shared" ca="1" si="488"/>
        <v>835.14651210628426</v>
      </c>
    </row>
    <row r="469" spans="1:8" x14ac:dyDescent="0.35">
      <c r="A469" s="15">
        <v>456</v>
      </c>
      <c r="B469" s="10">
        <f t="shared" ca="1" si="483"/>
        <v>0.12029958696652804</v>
      </c>
      <c r="C469" s="10">
        <f t="shared" ca="1" si="484"/>
        <v>-0.16159541233282712</v>
      </c>
      <c r="D469" s="11">
        <f t="shared" si="485"/>
        <v>1447.7398688575352</v>
      </c>
      <c r="E469" s="11">
        <f t="shared" ref="E469:F469" ca="1" si="494">+D469*EXP(B469)</f>
        <v>1632.8112397420298</v>
      </c>
      <c r="F469" s="11">
        <f t="shared" ca="1" si="494"/>
        <v>1389.1718856432965</v>
      </c>
      <c r="G469" s="12">
        <f t="shared" ca="1" si="487"/>
        <v>298.08765353374747</v>
      </c>
      <c r="H469" s="12">
        <f t="shared" ca="1" si="488"/>
        <v>48.807932896658315</v>
      </c>
    </row>
    <row r="470" spans="1:8" x14ac:dyDescent="0.35">
      <c r="A470" s="15">
        <v>457</v>
      </c>
      <c r="B470" s="10">
        <f t="shared" ca="1" si="483"/>
        <v>0.18068635698023217</v>
      </c>
      <c r="C470" s="10">
        <f t="shared" ca="1" si="484"/>
        <v>0.17193082304716684</v>
      </c>
      <c r="D470" s="11">
        <f t="shared" si="485"/>
        <v>1447.7398688575352</v>
      </c>
      <c r="E470" s="11">
        <f t="shared" ref="E470:F470" ca="1" si="495">+D470*EXP(B470)</f>
        <v>1734.4493512551576</v>
      </c>
      <c r="F470" s="11">
        <f t="shared" ca="1" si="495"/>
        <v>2059.8245500035418</v>
      </c>
      <c r="G470" s="12">
        <f t="shared" ca="1" si="487"/>
        <v>380.94362034927485</v>
      </c>
      <c r="H470" s="12">
        <f t="shared" ca="1" si="488"/>
        <v>597.48821050993365</v>
      </c>
    </row>
    <row r="471" spans="1:8" x14ac:dyDescent="0.35">
      <c r="A471" s="15">
        <v>458</v>
      </c>
      <c r="B471" s="10">
        <f t="shared" ca="1" si="483"/>
        <v>-0.15965941566208852</v>
      </c>
      <c r="C471" s="10">
        <f t="shared" ca="1" si="484"/>
        <v>0.15356510878991486</v>
      </c>
      <c r="D471" s="11">
        <f t="shared" si="485"/>
        <v>1447.7398688575352</v>
      </c>
      <c r="E471" s="11">
        <f t="shared" ref="E471:F471" ca="1" si="496">+D471*EXP(B471)</f>
        <v>1234.1027817961474</v>
      </c>
      <c r="F471" s="11">
        <f t="shared" ca="1" si="496"/>
        <v>1438.9437282402043</v>
      </c>
      <c r="G471" s="12">
        <f t="shared" ca="1" si="487"/>
        <v>64.205876669267639</v>
      </c>
      <c r="H471" s="12">
        <f t="shared" ca="1" si="488"/>
        <v>70.341481433332433</v>
      </c>
    </row>
    <row r="472" spans="1:8" x14ac:dyDescent="0.35">
      <c r="A472" s="15">
        <v>459</v>
      </c>
      <c r="B472" s="10">
        <f t="shared" ca="1" si="483"/>
        <v>-7.9581416682064018E-2</v>
      </c>
      <c r="C472" s="10">
        <f t="shared" ca="1" si="484"/>
        <v>4.9281123021156614E-2</v>
      </c>
      <c r="D472" s="11">
        <f t="shared" si="485"/>
        <v>1447.7398688575352</v>
      </c>
      <c r="E472" s="11">
        <f t="shared" ref="E472:F472" ca="1" si="497">+D472*EXP(B472)</f>
        <v>1336.9918636362052</v>
      </c>
      <c r="F472" s="11">
        <f t="shared" ca="1" si="497"/>
        <v>1404.5308544267398</v>
      </c>
      <c r="G472" s="12">
        <f t="shared" ca="1" si="487"/>
        <v>107.44008060440524</v>
      </c>
      <c r="H472" s="12">
        <f t="shared" ca="1" si="488"/>
        <v>54.934254890159309</v>
      </c>
    </row>
    <row r="473" spans="1:8" x14ac:dyDescent="0.35">
      <c r="A473" s="15">
        <v>460</v>
      </c>
      <c r="B473" s="10">
        <f t="shared" ca="1" si="483"/>
        <v>-0.21373597741274558</v>
      </c>
      <c r="C473" s="10">
        <f t="shared" ca="1" si="484"/>
        <v>-5.839288329248539E-2</v>
      </c>
      <c r="D473" s="11">
        <f t="shared" si="485"/>
        <v>1447.7398688575352</v>
      </c>
      <c r="E473" s="11">
        <f t="shared" ref="E473:F473" ca="1" si="498">+D473*EXP(B473)</f>
        <v>1169.1390834352037</v>
      </c>
      <c r="F473" s="11">
        <f t="shared" ca="1" si="498"/>
        <v>1102.8246681176361</v>
      </c>
      <c r="G473" s="12">
        <f t="shared" ca="1" si="487"/>
        <v>43.617780370769083</v>
      </c>
      <c r="H473" s="12">
        <f t="shared" ca="1" si="488"/>
        <v>1.5295067309871548</v>
      </c>
    </row>
    <row r="474" spans="1:8" x14ac:dyDescent="0.35">
      <c r="A474" s="15">
        <v>461</v>
      </c>
      <c r="B474" s="10">
        <f t="shared" ca="1" si="483"/>
        <v>-0.16962458171432665</v>
      </c>
      <c r="C474" s="10">
        <f t="shared" ca="1" si="484"/>
        <v>-0.27979428482181168</v>
      </c>
      <c r="D474" s="11">
        <f t="shared" si="485"/>
        <v>1447.7398688575352</v>
      </c>
      <c r="E474" s="11">
        <f t="shared" ref="E474:F474" ca="1" si="499">+D474*EXP(B474)</f>
        <v>1221.8658156153547</v>
      </c>
      <c r="F474" s="11">
        <f t="shared" ca="1" si="499"/>
        <v>923.65630826202027</v>
      </c>
      <c r="G474" s="12">
        <f t="shared" ca="1" si="487"/>
        <v>59.935972793429471</v>
      </c>
      <c r="H474" s="12">
        <f t="shared" ca="1" si="488"/>
        <v>2.5040606250238295E-2</v>
      </c>
    </row>
    <row r="475" spans="1:8" x14ac:dyDescent="0.35">
      <c r="A475" s="15">
        <v>462</v>
      </c>
      <c r="B475" s="10">
        <f t="shared" ca="1" si="483"/>
        <v>-5.3783487228492646E-2</v>
      </c>
      <c r="C475" s="10">
        <f t="shared" ca="1" si="484"/>
        <v>-0.13454504237411738</v>
      </c>
      <c r="D475" s="11">
        <f t="shared" si="485"/>
        <v>1447.7398688575352</v>
      </c>
      <c r="E475" s="11">
        <f t="shared" ref="E475:F475" ca="1" si="500">+D475*EXP(B475)</f>
        <v>1371.9322423161875</v>
      </c>
      <c r="F475" s="11">
        <f t="shared" ca="1" si="500"/>
        <v>1199.2245021090905</v>
      </c>
      <c r="G475" s="12">
        <f t="shared" ca="1" si="487"/>
        <v>125.07587511893337</v>
      </c>
      <c r="H475" s="12">
        <f t="shared" ca="1" si="488"/>
        <v>6.7715020688194016</v>
      </c>
    </row>
    <row r="476" spans="1:8" x14ac:dyDescent="0.35">
      <c r="A476" s="15">
        <v>463</v>
      </c>
      <c r="B476" s="10">
        <f t="shared" ca="1" si="483"/>
        <v>-0.14789449395824883</v>
      </c>
      <c r="C476" s="10">
        <f t="shared" ca="1" si="484"/>
        <v>-0.17350035297868072</v>
      </c>
      <c r="D476" s="11">
        <f t="shared" si="485"/>
        <v>1447.7398688575352</v>
      </c>
      <c r="E476" s="11">
        <f t="shared" ref="E476:F476" ca="1" si="501">+D476*EXP(B476)</f>
        <v>1248.7076484963861</v>
      </c>
      <c r="F476" s="11">
        <f t="shared" ca="1" si="501"/>
        <v>1049.8095663174724</v>
      </c>
      <c r="G476" s="12">
        <f t="shared" ca="1" si="487"/>
        <v>69.543811478775467</v>
      </c>
      <c r="H476" s="12">
        <f t="shared" ca="1" si="488"/>
        <v>0.55824271622663346</v>
      </c>
    </row>
    <row r="477" spans="1:8" x14ac:dyDescent="0.35">
      <c r="A477" s="15">
        <v>464</v>
      </c>
      <c r="B477" s="10">
        <f t="shared" ca="1" si="483"/>
        <v>-6.4787791162294855E-2</v>
      </c>
      <c r="C477" s="10">
        <f t="shared" ca="1" si="484"/>
        <v>-0.12443398426006858</v>
      </c>
      <c r="D477" s="11">
        <f t="shared" si="485"/>
        <v>1447.7398688575352</v>
      </c>
      <c r="E477" s="11">
        <f t="shared" ref="E477:F477" ca="1" si="502">+D477*EXP(B477)</f>
        <v>1356.9178459490133</v>
      </c>
      <c r="F477" s="11">
        <f t="shared" ca="1" si="502"/>
        <v>1198.153778116694</v>
      </c>
      <c r="G477" s="12">
        <f t="shared" ca="1" si="487"/>
        <v>117.31780506082225</v>
      </c>
      <c r="H477" s="12">
        <f t="shared" ca="1" si="488"/>
        <v>6.6746748535259854</v>
      </c>
    </row>
    <row r="478" spans="1:8" x14ac:dyDescent="0.35">
      <c r="A478" s="15">
        <v>465</v>
      </c>
      <c r="B478" s="10">
        <f t="shared" ca="1" si="483"/>
        <v>0.11527849708074958</v>
      </c>
      <c r="C478" s="10">
        <f t="shared" ca="1" si="484"/>
        <v>-0.11548850796792398</v>
      </c>
      <c r="D478" s="11">
        <f t="shared" si="485"/>
        <v>1447.7398688575352</v>
      </c>
      <c r="E478" s="11">
        <f t="shared" ref="E478:F478" ca="1" si="503">+D478*EXP(B478)</f>
        <v>1624.633296017442</v>
      </c>
      <c r="F478" s="11">
        <f t="shared" ca="1" si="503"/>
        <v>1447.4358596470181</v>
      </c>
      <c r="G478" s="12">
        <f t="shared" ca="1" si="487"/>
        <v>291.72691596013806</v>
      </c>
      <c r="H478" s="12">
        <f t="shared" ca="1" si="488"/>
        <v>74.501064093873993</v>
      </c>
    </row>
    <row r="479" spans="1:8" x14ac:dyDescent="0.35">
      <c r="A479" s="15">
        <v>466</v>
      </c>
      <c r="B479" s="10">
        <f t="shared" ca="1" si="483"/>
        <v>-9.6465731712993302E-2</v>
      </c>
      <c r="C479" s="10">
        <f t="shared" ca="1" si="484"/>
        <v>-0.10417337304723603</v>
      </c>
      <c r="D479" s="11">
        <f t="shared" si="485"/>
        <v>1447.7398688575352</v>
      </c>
      <c r="E479" s="11">
        <f t="shared" ref="E479:F479" ca="1" si="504">+D479*EXP(B479)</f>
        <v>1314.6071786366313</v>
      </c>
      <c r="F479" s="11">
        <f t="shared" ca="1" si="504"/>
        <v>1184.5518583897656</v>
      </c>
      <c r="G479" s="12">
        <f t="shared" ca="1" si="487"/>
        <v>96.920019006255018</v>
      </c>
      <c r="H479" s="12">
        <f t="shared" ca="1" si="488"/>
        <v>5.5373887812574907</v>
      </c>
    </row>
    <row r="480" spans="1:8" x14ac:dyDescent="0.35">
      <c r="A480" s="15">
        <v>467</v>
      </c>
      <c r="B480" s="10">
        <f t="shared" ca="1" si="483"/>
        <v>4.3246891447704286E-2</v>
      </c>
      <c r="C480" s="10">
        <f t="shared" ca="1" si="484"/>
        <v>1.361730171582157E-2</v>
      </c>
      <c r="D480" s="11">
        <f t="shared" si="485"/>
        <v>1447.7398688575352</v>
      </c>
      <c r="E480" s="11">
        <f t="shared" ref="E480:F480" ca="1" si="505">+D480*EXP(B480)</f>
        <v>1511.7236965683519</v>
      </c>
      <c r="F480" s="11">
        <f t="shared" ca="1" si="505"/>
        <v>1532.4500927755857</v>
      </c>
      <c r="G480" s="12">
        <f t="shared" ca="1" si="487"/>
        <v>209.51813461677295</v>
      </c>
      <c r="H480" s="12">
        <f t="shared" ca="1" si="488"/>
        <v>123.66731911425245</v>
      </c>
    </row>
    <row r="481" spans="1:8" x14ac:dyDescent="0.35">
      <c r="A481" s="15">
        <v>468</v>
      </c>
      <c r="B481" s="10">
        <f t="shared" ca="1" si="483"/>
        <v>0.28249148884064501</v>
      </c>
      <c r="C481" s="10">
        <f t="shared" ca="1" si="484"/>
        <v>0.28009735914947598</v>
      </c>
      <c r="D481" s="11">
        <f t="shared" si="485"/>
        <v>1447.7398688575352</v>
      </c>
      <c r="E481" s="11">
        <f t="shared" ref="E481:F481" ca="1" si="506">+D481*EXP(B481)</f>
        <v>1920.3262972530401</v>
      </c>
      <c r="F481" s="11">
        <f t="shared" ca="1" si="506"/>
        <v>2541.0883594696329</v>
      </c>
      <c r="G481" s="12">
        <f t="shared" ca="1" si="487"/>
        <v>546.28823508626897</v>
      </c>
      <c r="H481" s="12">
        <f t="shared" ca="1" si="488"/>
        <v>1078.126452144932</v>
      </c>
    </row>
    <row r="482" spans="1:8" x14ac:dyDescent="0.35">
      <c r="A482" s="15">
        <v>469</v>
      </c>
      <c r="B482" s="10">
        <f t="shared" ca="1" si="483"/>
        <v>1.2976634897865713E-2</v>
      </c>
      <c r="C482" s="10">
        <f t="shared" ca="1" si="484"/>
        <v>0.38817570722863448</v>
      </c>
      <c r="D482" s="11">
        <f t="shared" si="485"/>
        <v>1447.7398688575352</v>
      </c>
      <c r="E482" s="11">
        <f t="shared" ref="E482:F482" ca="1" si="507">+D482*EXP(B482)</f>
        <v>1466.6490842070502</v>
      </c>
      <c r="F482" s="11">
        <f t="shared" ca="1" si="507"/>
        <v>2162.2643253164242</v>
      </c>
      <c r="G482" s="12">
        <f t="shared" ca="1" si="487"/>
        <v>179.99661126946205</v>
      </c>
      <c r="H482" s="12">
        <f t="shared" ca="1" si="488"/>
        <v>699.51590844145062</v>
      </c>
    </row>
    <row r="483" spans="1:8" x14ac:dyDescent="0.35">
      <c r="A483" s="15">
        <v>470</v>
      </c>
      <c r="B483" s="10">
        <f t="shared" ca="1" si="483"/>
        <v>9.0645703905710806E-2</v>
      </c>
      <c r="C483" s="10">
        <f t="shared" ca="1" si="484"/>
        <v>0.36922986343073705</v>
      </c>
      <c r="D483" s="11">
        <f t="shared" si="485"/>
        <v>1447.7398688575352</v>
      </c>
      <c r="E483" s="11">
        <f t="shared" ref="E483:F483" ca="1" si="508">+D483*EXP(B483)</f>
        <v>1585.1029107689376</v>
      </c>
      <c r="F483" s="11">
        <f t="shared" ca="1" si="508"/>
        <v>2293.0417162552762</v>
      </c>
      <c r="G483" s="12">
        <f t="shared" ca="1" si="487"/>
        <v>261.71041182456474</v>
      </c>
      <c r="H483" s="12">
        <f t="shared" ca="1" si="488"/>
        <v>830.12881736783584</v>
      </c>
    </row>
    <row r="484" spans="1:8" x14ac:dyDescent="0.35">
      <c r="A484" s="15">
        <v>471</v>
      </c>
      <c r="B484" s="10">
        <f t="shared" ca="1" si="483"/>
        <v>-0.24827966883272207</v>
      </c>
      <c r="C484" s="10">
        <f t="shared" ca="1" si="484"/>
        <v>-1.5285007960681864E-2</v>
      </c>
      <c r="D484" s="11">
        <f t="shared" si="485"/>
        <v>1447.7398688575352</v>
      </c>
      <c r="E484" s="11">
        <f t="shared" ref="E484:F484" ca="1" si="509">+D484*EXP(B484)</f>
        <v>1129.4422879631254</v>
      </c>
      <c r="F484" s="11">
        <f t="shared" ca="1" si="509"/>
        <v>1112.310020573959</v>
      </c>
      <c r="G484" s="12">
        <f t="shared" ca="1" si="487"/>
        <v>33.487530866288893</v>
      </c>
      <c r="H484" s="12">
        <f t="shared" ca="1" si="488"/>
        <v>1.8038330391499855</v>
      </c>
    </row>
    <row r="485" spans="1:8" x14ac:dyDescent="0.35">
      <c r="A485" s="15">
        <v>472</v>
      </c>
      <c r="B485" s="10">
        <f t="shared" ca="1" si="483"/>
        <v>9.8305611857417707E-2</v>
      </c>
      <c r="C485" s="10">
        <f t="shared" ca="1" si="484"/>
        <v>-0.10159678325305818</v>
      </c>
      <c r="D485" s="11">
        <f t="shared" si="485"/>
        <v>1447.7398688575352</v>
      </c>
      <c r="E485" s="11">
        <f t="shared" ref="E485:F485" ca="1" si="510">+D485*EXP(B485)</f>
        <v>1597.2912744361579</v>
      </c>
      <c r="F485" s="11">
        <f t="shared" ca="1" si="510"/>
        <v>1442.98294103905</v>
      </c>
      <c r="G485" s="12">
        <f t="shared" ca="1" si="487"/>
        <v>270.83262810017754</v>
      </c>
      <c r="H485" s="12">
        <f t="shared" ca="1" si="488"/>
        <v>72.302379980985393</v>
      </c>
    </row>
    <row r="486" spans="1:8" x14ac:dyDescent="0.35">
      <c r="A486" s="15">
        <v>473</v>
      </c>
      <c r="B486" s="10">
        <f t="shared" ca="1" si="483"/>
        <v>-1.1795465944342297E-2</v>
      </c>
      <c r="C486" s="10">
        <f t="shared" ca="1" si="484"/>
        <v>-0.10296870738628536</v>
      </c>
      <c r="D486" s="11">
        <f t="shared" si="485"/>
        <v>1447.7398688575352</v>
      </c>
      <c r="E486" s="11">
        <f t="shared" ref="E486:F486" ca="1" si="511">+D486*EXP(B486)</f>
        <v>1430.7634219205765</v>
      </c>
      <c r="F486" s="11">
        <f t="shared" ca="1" si="511"/>
        <v>1290.7706665411574</v>
      </c>
      <c r="G486" s="12">
        <f t="shared" ca="1" si="487"/>
        <v>158.00912951101839</v>
      </c>
      <c r="H486" s="12">
        <f t="shared" ca="1" si="488"/>
        <v>20.011884347214135</v>
      </c>
    </row>
    <row r="487" spans="1:8" x14ac:dyDescent="0.35">
      <c r="A487" s="15">
        <v>474</v>
      </c>
      <c r="B487" s="10">
        <f t="shared" ca="1" si="483"/>
        <v>0.10971277816223957</v>
      </c>
      <c r="C487" s="10">
        <f t="shared" ca="1" si="484"/>
        <v>0.16669334238554534</v>
      </c>
      <c r="D487" s="11">
        <f t="shared" si="485"/>
        <v>1447.7398688575352</v>
      </c>
      <c r="E487" s="11">
        <f t="shared" ref="E487:F487" ca="1" si="512">+D487*EXP(B487)</f>
        <v>1615.6161604443241</v>
      </c>
      <c r="F487" s="11">
        <f t="shared" ca="1" si="512"/>
        <v>1908.6758889572657</v>
      </c>
      <c r="G487" s="12">
        <f t="shared" ca="1" si="487"/>
        <v>284.77196934189294</v>
      </c>
      <c r="H487" s="12">
        <f t="shared" ca="1" si="488"/>
        <v>448.45329355173249</v>
      </c>
    </row>
    <row r="488" spans="1:8" x14ac:dyDescent="0.35">
      <c r="A488" s="15">
        <v>475</v>
      </c>
      <c r="B488" s="10">
        <f t="shared" ca="1" si="483"/>
        <v>-1.6844777786399229E-2</v>
      </c>
      <c r="C488" s="10">
        <f t="shared" ca="1" si="484"/>
        <v>0.24193052161301085</v>
      </c>
      <c r="D488" s="11">
        <f t="shared" si="485"/>
        <v>1447.7398688575352</v>
      </c>
      <c r="E488" s="11">
        <f t="shared" ref="E488:F488" ca="1" si="513">+D488*EXP(B488)</f>
        <v>1423.5572596218228</v>
      </c>
      <c r="F488" s="11">
        <f t="shared" ca="1" si="513"/>
        <v>1813.1929883470179</v>
      </c>
      <c r="G488" s="12">
        <f t="shared" ca="1" si="487"/>
        <v>153.7634120170211</v>
      </c>
      <c r="H488" s="12">
        <f t="shared" ca="1" si="488"/>
        <v>356.70007187919896</v>
      </c>
    </row>
    <row r="489" spans="1:8" x14ac:dyDescent="0.35">
      <c r="A489" s="15">
        <v>476</v>
      </c>
      <c r="B489" s="10">
        <f t="shared" ca="1" si="483"/>
        <v>7.591120242701771E-2</v>
      </c>
      <c r="C489" s="10">
        <f t="shared" ca="1" si="484"/>
        <v>-0.37493674052408221</v>
      </c>
      <c r="D489" s="11">
        <f t="shared" si="485"/>
        <v>1447.7398688575352</v>
      </c>
      <c r="E489" s="11">
        <f t="shared" ref="E489:F489" ca="1" si="514">+D489*EXP(B489)</f>
        <v>1561.9184348883878</v>
      </c>
      <c r="F489" s="11">
        <f t="shared" ca="1" si="514"/>
        <v>1073.5577051945468</v>
      </c>
      <c r="G489" s="12">
        <f t="shared" ca="1" si="487"/>
        <v>244.7014046706455</v>
      </c>
      <c r="H489" s="12">
        <f t="shared" ca="1" si="488"/>
        <v>0.89334056353877855</v>
      </c>
    </row>
    <row r="490" spans="1:8" x14ac:dyDescent="0.35">
      <c r="A490" s="15">
        <v>477</v>
      </c>
      <c r="B490" s="10">
        <f t="shared" ca="1" si="483"/>
        <v>0.10289640460305635</v>
      </c>
      <c r="C490" s="10">
        <f t="shared" ca="1" si="484"/>
        <v>-4.1341916750444602E-2</v>
      </c>
      <c r="D490" s="11">
        <f t="shared" si="485"/>
        <v>1447.7398688575352</v>
      </c>
      <c r="E490" s="11">
        <f t="shared" ref="E490:F490" ca="1" si="515">+D490*EXP(B490)</f>
        <v>1604.6409651768577</v>
      </c>
      <c r="F490" s="11">
        <f t="shared" ca="1" si="515"/>
        <v>1539.6546177720752</v>
      </c>
      <c r="G490" s="12">
        <f t="shared" ca="1" si="487"/>
        <v>276.39151862265055</v>
      </c>
      <c r="H490" s="12">
        <f t="shared" ca="1" si="488"/>
        <v>128.4300643415512</v>
      </c>
    </row>
    <row r="491" spans="1:8" x14ac:dyDescent="0.35">
      <c r="A491" s="15">
        <v>478</v>
      </c>
      <c r="B491" s="10">
        <f t="shared" ca="1" si="483"/>
        <v>0.12628855629891017</v>
      </c>
      <c r="C491" s="10">
        <f t="shared" ca="1" si="484"/>
        <v>0.13055108028046047</v>
      </c>
      <c r="D491" s="11">
        <f t="shared" si="485"/>
        <v>1447.7398688575352</v>
      </c>
      <c r="E491" s="11">
        <f t="shared" ref="E491:F491" ca="1" si="516">+D491*EXP(B491)</f>
        <v>1642.6194373633095</v>
      </c>
      <c r="F491" s="11">
        <f t="shared" ca="1" si="516"/>
        <v>1871.6928071126335</v>
      </c>
      <c r="G491" s="12">
        <f t="shared" ca="1" si="487"/>
        <v>305.7814577812735</v>
      </c>
      <c r="H491" s="12">
        <f t="shared" ca="1" si="488"/>
        <v>412.57976011876758</v>
      </c>
    </row>
    <row r="492" spans="1:8" x14ac:dyDescent="0.35">
      <c r="A492" s="15">
        <v>479</v>
      </c>
      <c r="B492" s="10">
        <f t="shared" ca="1" si="483"/>
        <v>2.1395447776140226E-2</v>
      </c>
      <c r="C492" s="10">
        <f t="shared" ca="1" si="484"/>
        <v>9.2610392237347045E-2</v>
      </c>
      <c r="D492" s="11">
        <f t="shared" si="485"/>
        <v>1447.7398688575352</v>
      </c>
      <c r="E492" s="11">
        <f t="shared" ref="E492:F492" ca="1" si="517">+D492*EXP(B492)</f>
        <v>1479.0486499807866</v>
      </c>
      <c r="F492" s="11">
        <f t="shared" ca="1" si="517"/>
        <v>1622.5670100871414</v>
      </c>
      <c r="G492" s="12">
        <f t="shared" ca="1" si="487"/>
        <v>187.91190356349989</v>
      </c>
      <c r="H492" s="12">
        <f t="shared" ca="1" si="488"/>
        <v>189.03058259410227</v>
      </c>
    </row>
    <row r="493" spans="1:8" x14ac:dyDescent="0.35">
      <c r="A493" s="15">
        <v>480</v>
      </c>
      <c r="B493" s="10">
        <f t="shared" ca="1" si="483"/>
        <v>-3.5267571819980734E-2</v>
      </c>
      <c r="C493" s="10">
        <f t="shared" ca="1" si="484"/>
        <v>1.8051607099371009E-2</v>
      </c>
      <c r="D493" s="11">
        <f t="shared" si="485"/>
        <v>1447.7398688575352</v>
      </c>
      <c r="E493" s="11">
        <f t="shared" ref="E493:F493" ca="1" si="518">+D493*EXP(B493)</f>
        <v>1397.5714579285016</v>
      </c>
      <c r="F493" s="11">
        <f t="shared" ca="1" si="518"/>
        <v>1423.0289518234924</v>
      </c>
      <c r="G493" s="12">
        <f t="shared" ca="1" si="487"/>
        <v>138.93910109950139</v>
      </c>
      <c r="H493" s="12">
        <f t="shared" ca="1" si="488"/>
        <v>62.926800271352704</v>
      </c>
    </row>
    <row r="494" spans="1:8" x14ac:dyDescent="0.35">
      <c r="A494" s="15">
        <v>481</v>
      </c>
      <c r="B494" s="10">
        <f t="shared" ca="1" si="483"/>
        <v>-0.12258722109795196</v>
      </c>
      <c r="C494" s="10">
        <f t="shared" ca="1" si="484"/>
        <v>-0.21086517206735061</v>
      </c>
      <c r="D494" s="11">
        <f t="shared" si="485"/>
        <v>1447.7398688575352</v>
      </c>
      <c r="E494" s="11">
        <f t="shared" ref="E494:F494" ca="1" si="519">+D494*EXP(B494)</f>
        <v>1280.7123007956661</v>
      </c>
      <c r="F494" s="11">
        <f t="shared" ca="1" si="519"/>
        <v>1037.2274461251984</v>
      </c>
      <c r="G494" s="12">
        <f t="shared" ca="1" si="487"/>
        <v>82.16617053021497</v>
      </c>
      <c r="H494" s="12">
        <f t="shared" ca="1" si="488"/>
        <v>0.42949574611826868</v>
      </c>
    </row>
    <row r="495" spans="1:8" x14ac:dyDescent="0.35">
      <c r="A495" s="15">
        <v>482</v>
      </c>
      <c r="B495" s="10">
        <f t="shared" ca="1" si="483"/>
        <v>0.15221146824865706</v>
      </c>
      <c r="C495" s="10">
        <f t="shared" ca="1" si="484"/>
        <v>0.18065236305078292</v>
      </c>
      <c r="D495" s="11">
        <f t="shared" si="485"/>
        <v>1447.7398688575352</v>
      </c>
      <c r="E495" s="11">
        <f t="shared" ref="E495:F495" ca="1" si="520">+D495*EXP(B495)</f>
        <v>1685.7576345461316</v>
      </c>
      <c r="F495" s="11">
        <f t="shared" ca="1" si="520"/>
        <v>2019.5353506953022</v>
      </c>
      <c r="G495" s="12">
        <f t="shared" ca="1" si="487"/>
        <v>340.41928508588535</v>
      </c>
      <c r="H495" s="12">
        <f t="shared" ca="1" si="488"/>
        <v>557.51292013930788</v>
      </c>
    </row>
    <row r="496" spans="1:8" x14ac:dyDescent="0.35">
      <c r="A496" s="15">
        <v>483</v>
      </c>
      <c r="B496" s="10">
        <f t="shared" ca="1" si="483"/>
        <v>0.201330772312519</v>
      </c>
      <c r="C496" s="10">
        <f t="shared" ca="1" si="484"/>
        <v>0.43657933867802878</v>
      </c>
      <c r="D496" s="11">
        <f t="shared" si="485"/>
        <v>1447.7398688575352</v>
      </c>
      <c r="E496" s="11">
        <f t="shared" ref="E496:F496" ca="1" si="521">+D496*EXP(B496)</f>
        <v>1770.628204755553</v>
      </c>
      <c r="F496" s="11">
        <f t="shared" ca="1" si="521"/>
        <v>2739.8789490255199</v>
      </c>
      <c r="G496" s="12">
        <f t="shared" ca="1" si="487"/>
        <v>411.92083993996152</v>
      </c>
      <c r="H496" s="12">
        <f t="shared" ca="1" si="488"/>
        <v>1276.9143477673051</v>
      </c>
    </row>
    <row r="497" spans="1:8" x14ac:dyDescent="0.35">
      <c r="A497" s="15">
        <v>484</v>
      </c>
      <c r="B497" s="10">
        <f t="shared" ca="1" si="483"/>
        <v>-6.7615689617170585E-2</v>
      </c>
      <c r="C497" s="10">
        <f t="shared" ca="1" si="484"/>
        <v>-4.2873512718912571E-2</v>
      </c>
      <c r="D497" s="11">
        <f t="shared" si="485"/>
        <v>1447.7398688575352</v>
      </c>
      <c r="E497" s="11">
        <f t="shared" ref="E497:F497" ca="1" si="522">+D497*EXP(B497)</f>
        <v>1353.0860406008542</v>
      </c>
      <c r="F497" s="11">
        <f t="shared" ca="1" si="522"/>
        <v>1296.3004851867631</v>
      </c>
      <c r="G497" s="12">
        <f t="shared" ca="1" si="487"/>
        <v>115.38107492092138</v>
      </c>
      <c r="H497" s="12">
        <f t="shared" ca="1" si="488"/>
        <v>21.184026516439189</v>
      </c>
    </row>
    <row r="498" spans="1:8" x14ac:dyDescent="0.35">
      <c r="A498" s="15">
        <v>485</v>
      </c>
      <c r="B498" s="10">
        <f t="shared" ca="1" si="483"/>
        <v>-0.22685395902136163</v>
      </c>
      <c r="C498" s="10">
        <f t="shared" ca="1" si="484"/>
        <v>3.6427813112389934E-2</v>
      </c>
      <c r="D498" s="11">
        <f t="shared" si="485"/>
        <v>1447.7398688575352</v>
      </c>
      <c r="E498" s="11">
        <f t="shared" ref="E498:F498" ca="1" si="523">+D498*EXP(B498)</f>
        <v>1153.9024935873895</v>
      </c>
      <c r="F498" s="11">
        <f t="shared" ca="1" si="523"/>
        <v>1196.7116256851461</v>
      </c>
      <c r="G498" s="12">
        <f t="shared" ca="1" si="487"/>
        <v>39.516564450902763</v>
      </c>
      <c r="H498" s="12">
        <f t="shared" ca="1" si="488"/>
        <v>6.5459926356513876</v>
      </c>
    </row>
    <row r="499" spans="1:8" x14ac:dyDescent="0.35">
      <c r="A499" s="15">
        <v>486</v>
      </c>
      <c r="B499" s="10">
        <f t="shared" ca="1" si="483"/>
        <v>3.7094966764919017E-2</v>
      </c>
      <c r="C499" s="10">
        <f t="shared" ca="1" si="484"/>
        <v>-0.20824760275836005</v>
      </c>
      <c r="D499" s="11">
        <f t="shared" si="485"/>
        <v>1447.7398688575352</v>
      </c>
      <c r="E499" s="11">
        <f t="shared" ref="E499:F499" ca="1" si="524">+D499*EXP(B499)</f>
        <v>1502.4522341558777</v>
      </c>
      <c r="F499" s="11">
        <f t="shared" ca="1" si="524"/>
        <v>1220.0001640987084</v>
      </c>
      <c r="G499" s="12">
        <f t="shared" ca="1" si="487"/>
        <v>203.27952511133731</v>
      </c>
      <c r="H499" s="12">
        <f t="shared" ca="1" si="488"/>
        <v>8.8794434348932327</v>
      </c>
    </row>
    <row r="500" spans="1:8" x14ac:dyDescent="0.35">
      <c r="A500" s="15">
        <v>487</v>
      </c>
      <c r="B500" s="10">
        <f t="shared" ca="1" si="483"/>
        <v>-0.13505422379245285</v>
      </c>
      <c r="C500" s="10">
        <f t="shared" ca="1" si="484"/>
        <v>0.13786616783111996</v>
      </c>
      <c r="D500" s="11">
        <f t="shared" si="485"/>
        <v>1447.7398688575352</v>
      </c>
      <c r="E500" s="11">
        <f t="shared" ref="E500:F500" ca="1" si="525">+D500*EXP(B500)</f>
        <v>1264.8447728660335</v>
      </c>
      <c r="F500" s="11">
        <f t="shared" ca="1" si="525"/>
        <v>1451.8165613807187</v>
      </c>
      <c r="G500" s="12">
        <f t="shared" ca="1" si="487"/>
        <v>75.749128181323726</v>
      </c>
      <c r="H500" s="12">
        <f t="shared" ca="1" si="488"/>
        <v>76.70179827031302</v>
      </c>
    </row>
    <row r="501" spans="1:8" x14ac:dyDescent="0.35">
      <c r="A501" s="15">
        <v>488</v>
      </c>
      <c r="B501" s="10">
        <f t="shared" ca="1" si="483"/>
        <v>0.13516343489419275</v>
      </c>
      <c r="C501" s="10">
        <f t="shared" ca="1" si="484"/>
        <v>6.1290262297669547E-2</v>
      </c>
      <c r="D501" s="11">
        <f t="shared" si="485"/>
        <v>1447.7398688575352</v>
      </c>
      <c r="E501" s="11">
        <f t="shared" ref="E501:F501" ca="1" si="526">+D501*EXP(B501)</f>
        <v>1657.2623664465743</v>
      </c>
      <c r="F501" s="11">
        <f t="shared" ca="1" si="526"/>
        <v>1762.0137417569861</v>
      </c>
      <c r="G501" s="12">
        <f t="shared" ca="1" si="487"/>
        <v>317.39616098817555</v>
      </c>
      <c r="H501" s="12">
        <f t="shared" ca="1" si="488"/>
        <v>309.04016909887014</v>
      </c>
    </row>
    <row r="502" spans="1:8" x14ac:dyDescent="0.35">
      <c r="A502" s="15">
        <v>489</v>
      </c>
      <c r="B502" s="10">
        <f t="shared" ca="1" si="483"/>
        <v>1.0171692761104403E-2</v>
      </c>
      <c r="C502" s="10">
        <f t="shared" ca="1" si="484"/>
        <v>-1.492245257845265E-2</v>
      </c>
      <c r="D502" s="11">
        <f t="shared" si="485"/>
        <v>1447.7398688575352</v>
      </c>
      <c r="E502" s="11">
        <f t="shared" ref="E502:F502" ca="1" si="527">+D502*EXP(B502)</f>
        <v>1462.5409825780387</v>
      </c>
      <c r="F502" s="11">
        <f t="shared" ca="1" si="527"/>
        <v>1440.8783161622798</v>
      </c>
      <c r="G502" s="12">
        <f t="shared" ca="1" si="487"/>
        <v>177.40961071050856</v>
      </c>
      <c r="H502" s="12">
        <f t="shared" ca="1" si="488"/>
        <v>71.276674355246087</v>
      </c>
    </row>
    <row r="503" spans="1:8" x14ac:dyDescent="0.35">
      <c r="A503" s="15">
        <v>490</v>
      </c>
      <c r="B503" s="10">
        <f t="shared" ca="1" si="483"/>
        <v>-4.0389100278090014E-2</v>
      </c>
      <c r="C503" s="10">
        <f t="shared" ca="1" si="484"/>
        <v>8.5806938494071491E-2</v>
      </c>
      <c r="D503" s="11">
        <f t="shared" si="485"/>
        <v>1447.7398688575352</v>
      </c>
      <c r="E503" s="11">
        <f t="shared" ref="E503:F503" ca="1" si="528">+D503*EXP(B503)</f>
        <v>1390.4320538705804</v>
      </c>
      <c r="F503" s="11">
        <f t="shared" ca="1" si="528"/>
        <v>1515.0091332056122</v>
      </c>
      <c r="G503" s="12">
        <f t="shared" ca="1" si="487"/>
        <v>135.00168911831463</v>
      </c>
      <c r="H503" s="12">
        <f t="shared" ca="1" si="488"/>
        <v>112.50589421953214</v>
      </c>
    </row>
    <row r="504" spans="1:8" x14ac:dyDescent="0.35">
      <c r="A504" s="15">
        <v>491</v>
      </c>
      <c r="B504" s="10">
        <f t="shared" ca="1" si="483"/>
        <v>-6.984751941870862E-2</v>
      </c>
      <c r="C504" s="10">
        <f t="shared" ca="1" si="484"/>
        <v>0.11443651669297704</v>
      </c>
      <c r="D504" s="11">
        <f t="shared" si="485"/>
        <v>1447.7398688575352</v>
      </c>
      <c r="E504" s="11">
        <f t="shared" ref="E504:F504" ca="1" si="529">+D504*EXP(B504)</f>
        <v>1350.0695502500375</v>
      </c>
      <c r="F504" s="11">
        <f t="shared" ca="1" si="529"/>
        <v>1513.7539518536455</v>
      </c>
      <c r="G504" s="12">
        <f t="shared" ca="1" si="487"/>
        <v>113.86886344055608</v>
      </c>
      <c r="H504" s="12">
        <f t="shared" ca="1" si="488"/>
        <v>111.7231585881176</v>
      </c>
    </row>
    <row r="505" spans="1:8" x14ac:dyDescent="0.35">
      <c r="A505" s="15">
        <v>492</v>
      </c>
      <c r="B505" s="10">
        <f t="shared" ca="1" si="483"/>
        <v>0.16129952367889233</v>
      </c>
      <c r="C505" s="10">
        <f t="shared" ca="1" si="484"/>
        <v>-8.4471454045666972E-2</v>
      </c>
      <c r="D505" s="11">
        <f t="shared" si="485"/>
        <v>1447.7398688575352</v>
      </c>
      <c r="E505" s="11">
        <f t="shared" ref="E505:F505" ca="1" si="530">+D505*EXP(B505)</f>
        <v>1701.1477204219377</v>
      </c>
      <c r="F505" s="11">
        <f t="shared" ca="1" si="530"/>
        <v>1563.3511633906294</v>
      </c>
      <c r="G505" s="12">
        <f t="shared" ca="1" si="487"/>
        <v>353.07315353410445</v>
      </c>
      <c r="H505" s="12">
        <f t="shared" ca="1" si="488"/>
        <v>144.69724488699399</v>
      </c>
    </row>
    <row r="506" spans="1:8" x14ac:dyDescent="0.35">
      <c r="A506" s="15">
        <v>493</v>
      </c>
      <c r="B506" s="10">
        <f t="shared" ca="1" si="483"/>
        <v>-1.3022867476287905E-2</v>
      </c>
      <c r="C506" s="10">
        <f t="shared" ca="1" si="484"/>
        <v>-0.43875007920494302</v>
      </c>
      <c r="D506" s="11">
        <f t="shared" si="485"/>
        <v>1447.7398688575352</v>
      </c>
      <c r="E506" s="11">
        <f t="shared" ref="E506:F506" ca="1" si="531">+D506*EXP(B506)</f>
        <v>1429.0083779967931</v>
      </c>
      <c r="F506" s="11">
        <f t="shared" ca="1" si="531"/>
        <v>921.48450458876005</v>
      </c>
      <c r="G506" s="12">
        <f t="shared" ca="1" si="487"/>
        <v>156.96977749691666</v>
      </c>
      <c r="H506" s="12">
        <f t="shared" ca="1" si="488"/>
        <v>2.3492545287615241E-2</v>
      </c>
    </row>
    <row r="507" spans="1:8" x14ac:dyDescent="0.35">
      <c r="A507" s="15">
        <v>494</v>
      </c>
      <c r="B507" s="10">
        <f t="shared" ca="1" si="483"/>
        <v>-5.6955155414793804E-2</v>
      </c>
      <c r="C507" s="10">
        <f t="shared" ca="1" si="484"/>
        <v>0.2022420407908733</v>
      </c>
      <c r="D507" s="11">
        <f t="shared" si="485"/>
        <v>1447.7398688575352</v>
      </c>
      <c r="E507" s="11">
        <f t="shared" ref="E507:F507" ca="1" si="532">+D507*EXP(B507)</f>
        <v>1367.5878216417764</v>
      </c>
      <c r="F507" s="11">
        <f t="shared" ca="1" si="532"/>
        <v>1674.124788887269</v>
      </c>
      <c r="G507" s="12">
        <f t="shared" ca="1" si="487"/>
        <v>122.80345915089208</v>
      </c>
      <c r="H507" s="12">
        <f t="shared" ca="1" si="488"/>
        <v>231.26497807020814</v>
      </c>
    </row>
    <row r="508" spans="1:8" x14ac:dyDescent="0.35">
      <c r="A508" s="15">
        <v>495</v>
      </c>
      <c r="B508" s="10">
        <f t="shared" ca="1" si="483"/>
        <v>-5.0768521297207513E-3</v>
      </c>
      <c r="C508" s="10">
        <f t="shared" ca="1" si="484"/>
        <v>0.11292274607017928</v>
      </c>
      <c r="D508" s="11">
        <f t="shared" si="485"/>
        <v>1447.7398688575352</v>
      </c>
      <c r="E508" s="11">
        <f t="shared" ref="E508:F508" ca="1" si="533">+D508*EXP(B508)</f>
        <v>1440.4085334207482</v>
      </c>
      <c r="F508" s="11">
        <f t="shared" ca="1" si="533"/>
        <v>1612.6028057932554</v>
      </c>
      <c r="G508" s="12">
        <f t="shared" ca="1" si="487"/>
        <v>163.78169312028831</v>
      </c>
      <c r="H508" s="12">
        <f t="shared" ca="1" si="488"/>
        <v>181.23242767516831</v>
      </c>
    </row>
    <row r="509" spans="1:8" x14ac:dyDescent="0.35">
      <c r="A509" s="15">
        <v>496</v>
      </c>
      <c r="B509" s="10">
        <f t="shared" ca="1" si="483"/>
        <v>-4.0979038258464218E-2</v>
      </c>
      <c r="C509" s="10">
        <f t="shared" ca="1" si="484"/>
        <v>6.3929614447371746E-2</v>
      </c>
      <c r="D509" s="11">
        <f t="shared" si="485"/>
        <v>1447.7398688575352</v>
      </c>
      <c r="E509" s="11">
        <f t="shared" ref="E509:F509" ca="1" si="534">+D509*EXP(B509)</f>
        <v>1389.6120270991237</v>
      </c>
      <c r="F509" s="11">
        <f t="shared" ca="1" si="534"/>
        <v>1481.3505499713619</v>
      </c>
      <c r="G509" s="12">
        <f t="shared" ca="1" si="487"/>
        <v>134.55322787388673</v>
      </c>
      <c r="H509" s="12">
        <f t="shared" ca="1" si="488"/>
        <v>92.504136965578027</v>
      </c>
    </row>
    <row r="510" spans="1:8" x14ac:dyDescent="0.35">
      <c r="A510" s="15">
        <v>497</v>
      </c>
      <c r="B510" s="10">
        <f t="shared" ca="1" si="483"/>
        <v>5.502498587811213E-2</v>
      </c>
      <c r="C510" s="10">
        <f t="shared" ca="1" si="484"/>
        <v>-0.15439023028873824</v>
      </c>
      <c r="D510" s="11">
        <f t="shared" si="485"/>
        <v>1447.7398688575352</v>
      </c>
      <c r="E510" s="11">
        <f t="shared" ref="E510:F510" ca="1" si="535">+D510*EXP(B510)</f>
        <v>1529.634189708913</v>
      </c>
      <c r="F510" s="11">
        <f t="shared" ca="1" si="535"/>
        <v>1310.8009791582485</v>
      </c>
      <c r="G510" s="12">
        <f t="shared" ca="1" si="487"/>
        <v>221.80437196802768</v>
      </c>
      <c r="H510" s="12">
        <f t="shared" ca="1" si="488"/>
        <v>24.492347187646317</v>
      </c>
    </row>
    <row r="511" spans="1:8" x14ac:dyDescent="0.35">
      <c r="A511" s="15">
        <v>498</v>
      </c>
      <c r="B511" s="10">
        <f t="shared" ca="1" si="483"/>
        <v>-0.16584085252363939</v>
      </c>
      <c r="C511" s="10">
        <f t="shared" ca="1" si="484"/>
        <v>4.7112058319339109E-2</v>
      </c>
      <c r="D511" s="11">
        <f t="shared" si="485"/>
        <v>1447.7398688575352</v>
      </c>
      <c r="E511" s="11">
        <f t="shared" ref="E511:F511" ca="1" si="536">+D511*EXP(B511)</f>
        <v>1226.4977824969824</v>
      </c>
      <c r="F511" s="11">
        <f t="shared" ca="1" si="536"/>
        <v>1285.6633811284257</v>
      </c>
      <c r="G511" s="12">
        <f t="shared" ca="1" si="487"/>
        <v>61.530568728334288</v>
      </c>
      <c r="H511" s="12">
        <f t="shared" ca="1" si="488"/>
        <v>18.971922488583573</v>
      </c>
    </row>
    <row r="512" spans="1:8" x14ac:dyDescent="0.35">
      <c r="A512" s="15">
        <v>499</v>
      </c>
      <c r="B512" s="10">
        <f t="shared" ca="1" si="483"/>
        <v>-4.2916991890182284E-2</v>
      </c>
      <c r="C512" s="10">
        <f t="shared" ca="1" si="484"/>
        <v>-0.11635835890814969</v>
      </c>
      <c r="D512" s="11">
        <f t="shared" si="485"/>
        <v>1447.7398688575352</v>
      </c>
      <c r="E512" s="11">
        <f t="shared" ref="E512:F512" ca="1" si="537">+D512*EXP(B512)</f>
        <v>1386.9216311978003</v>
      </c>
      <c r="F512" s="11">
        <f t="shared" ca="1" si="537"/>
        <v>1234.5768483432239</v>
      </c>
      <c r="G512" s="12">
        <f t="shared" ca="1" si="487"/>
        <v>133.08738848145174</v>
      </c>
      <c r="H512" s="12">
        <f t="shared" ca="1" si="488"/>
        <v>10.640077616264023</v>
      </c>
    </row>
    <row r="513" spans="1:8" x14ac:dyDescent="0.35">
      <c r="A513" s="15">
        <v>500</v>
      </c>
      <c r="B513" s="10">
        <f t="shared" ca="1" si="483"/>
        <v>-4.5528333304123349E-2</v>
      </c>
      <c r="C513" s="10">
        <f t="shared" ca="1" si="484"/>
        <v>0.36606001231795926</v>
      </c>
      <c r="D513" s="11">
        <f t="shared" si="485"/>
        <v>1447.7398688575352</v>
      </c>
      <c r="E513" s="11">
        <f t="shared" ref="E513:F513" ca="1" si="538">+D513*EXP(B513)</f>
        <v>1383.3046299723021</v>
      </c>
      <c r="F513" s="11">
        <f t="shared" ca="1" si="538"/>
        <v>1994.7830713407513</v>
      </c>
      <c r="G513" s="12">
        <f t="shared" ca="1" si="487"/>
        <v>131.13001662531815</v>
      </c>
      <c r="H513" s="12">
        <f t="shared" ca="1" si="488"/>
        <v>533.02177206975921</v>
      </c>
    </row>
    <row r="514" spans="1:8" x14ac:dyDescent="0.35">
      <c r="A514" s="15">
        <v>501</v>
      </c>
      <c r="B514" s="10">
        <f t="shared" ca="1" si="483"/>
        <v>-0.11174961844812738</v>
      </c>
      <c r="C514" s="10">
        <f t="shared" ca="1" si="484"/>
        <v>-6.5239970213055304E-3</v>
      </c>
      <c r="D514" s="11">
        <f t="shared" si="485"/>
        <v>1447.7398688575352</v>
      </c>
      <c r="E514" s="11">
        <f t="shared" ref="E514:F514" ca="1" si="539">+D514*EXP(B514)</f>
        <v>1294.6676364197988</v>
      </c>
      <c r="F514" s="11">
        <f t="shared" ca="1" si="539"/>
        <v>1286.2487209667302</v>
      </c>
      <c r="G514" s="12">
        <f t="shared" ca="1" si="487"/>
        <v>88.068360742701714</v>
      </c>
      <c r="H514" s="12">
        <f t="shared" ca="1" si="488"/>
        <v>19.089060690925521</v>
      </c>
    </row>
    <row r="515" spans="1:8" x14ac:dyDescent="0.35">
      <c r="A515" s="15">
        <v>502</v>
      </c>
      <c r="B515" s="10">
        <f t="shared" ca="1" si="483"/>
        <v>-1.2034779956341956E-2</v>
      </c>
      <c r="C515" s="10">
        <f t="shared" ca="1" si="484"/>
        <v>0.20272795600369947</v>
      </c>
      <c r="D515" s="11">
        <f t="shared" si="485"/>
        <v>1447.7398688575352</v>
      </c>
      <c r="E515" s="11">
        <f t="shared" ref="E515:F515" ca="1" si="540">+D515*EXP(B515)</f>
        <v>1430.4210611533529</v>
      </c>
      <c r="F515" s="11">
        <f t="shared" ca="1" si="540"/>
        <v>1751.8928032681895</v>
      </c>
      <c r="G515" s="12">
        <f t="shared" ca="1" si="487"/>
        <v>157.8061125510593</v>
      </c>
      <c r="H515" s="12">
        <f t="shared" ca="1" si="488"/>
        <v>299.79022353063465</v>
      </c>
    </row>
    <row r="516" spans="1:8" x14ac:dyDescent="0.35">
      <c r="A516" s="15">
        <v>503</v>
      </c>
      <c r="B516" s="10">
        <f t="shared" ca="1" si="483"/>
        <v>1.3126633016295474E-2</v>
      </c>
      <c r="C516" s="10">
        <f t="shared" ca="1" si="484"/>
        <v>-5.32262490748317E-3</v>
      </c>
      <c r="D516" s="11">
        <f t="shared" si="485"/>
        <v>1447.7398688575352</v>
      </c>
      <c r="E516" s="11">
        <f t="shared" ref="E516:F516" ca="1" si="541">+D516*EXP(B516)</f>
        <v>1466.8690953102912</v>
      </c>
      <c r="F516" s="11">
        <f t="shared" ca="1" si="541"/>
        <v>1459.0822429583848</v>
      </c>
      <c r="G516" s="12">
        <f t="shared" ca="1" si="487"/>
        <v>180.13565976451673</v>
      </c>
      <c r="H516" s="12">
        <f t="shared" ca="1" si="488"/>
        <v>80.43399134020774</v>
      </c>
    </row>
    <row r="517" spans="1:8" x14ac:dyDescent="0.35">
      <c r="A517" s="15">
        <v>504</v>
      </c>
      <c r="B517" s="10">
        <f t="shared" ca="1" si="483"/>
        <v>-0.11013115416823378</v>
      </c>
      <c r="C517" s="10">
        <f t="shared" ca="1" si="484"/>
        <v>-0.31624080629784712</v>
      </c>
      <c r="D517" s="11">
        <f t="shared" si="485"/>
        <v>1447.7398688575352</v>
      </c>
      <c r="E517" s="11">
        <f t="shared" ref="E517:F517" ca="1" si="542">+D517*EXP(B517)</f>
        <v>1296.7647063022671</v>
      </c>
      <c r="F517" s="11">
        <f t="shared" ca="1" si="542"/>
        <v>945.19092843836393</v>
      </c>
      <c r="G517" s="12">
        <f t="shared" ca="1" si="487"/>
        <v>88.97616128185382</v>
      </c>
      <c r="H517" s="12">
        <f t="shared" ca="1" si="488"/>
        <v>4.616638202778045E-2</v>
      </c>
    </row>
    <row r="518" spans="1:8" x14ac:dyDescent="0.35">
      <c r="A518" s="15">
        <v>505</v>
      </c>
      <c r="B518" s="10">
        <f t="shared" ca="1" si="483"/>
        <v>-2.4184028702093227E-2</v>
      </c>
      <c r="C518" s="10">
        <f t="shared" ca="1" si="484"/>
        <v>-0.35228715661737819</v>
      </c>
      <c r="D518" s="11">
        <f t="shared" si="485"/>
        <v>1447.7398688575352</v>
      </c>
      <c r="E518" s="11">
        <f t="shared" ref="E518:F518" ca="1" si="543">+D518*EXP(B518)</f>
        <v>1413.1476617516478</v>
      </c>
      <c r="F518" s="11">
        <f t="shared" ca="1" si="543"/>
        <v>993.55331355098633</v>
      </c>
      <c r="G518" s="12">
        <f t="shared" ca="1" si="487"/>
        <v>147.73293688427361</v>
      </c>
      <c r="H518" s="12">
        <f t="shared" ca="1" si="488"/>
        <v>0.16022881611737327</v>
      </c>
    </row>
    <row r="519" spans="1:8" x14ac:dyDescent="0.35">
      <c r="A519" s="15">
        <v>506</v>
      </c>
      <c r="B519" s="10">
        <f t="shared" ca="1" si="483"/>
        <v>-0.10437330637884383</v>
      </c>
      <c r="C519" s="10">
        <f t="shared" ca="1" si="484"/>
        <v>0.33970686329331845</v>
      </c>
      <c r="D519" s="11">
        <f t="shared" si="485"/>
        <v>1447.7398688575352</v>
      </c>
      <c r="E519" s="11">
        <f t="shared" ref="E519:F519" ca="1" si="544">+D519*EXP(B519)</f>
        <v>1304.2528171132997</v>
      </c>
      <c r="F519" s="11">
        <f t="shared" ca="1" si="544"/>
        <v>1831.8697858998235</v>
      </c>
      <c r="G519" s="12">
        <f t="shared" ca="1" si="487"/>
        <v>92.262126149635662</v>
      </c>
      <c r="H519" s="12">
        <f t="shared" ca="1" si="488"/>
        <v>374.40270737684341</v>
      </c>
    </row>
    <row r="520" spans="1:8" x14ac:dyDescent="0.35">
      <c r="A520" s="15">
        <v>507</v>
      </c>
      <c r="B520" s="10">
        <f t="shared" ca="1" si="483"/>
        <v>9.5196616561182452E-3</v>
      </c>
      <c r="C520" s="10">
        <f t="shared" ca="1" si="484"/>
        <v>0.14400744735365115</v>
      </c>
      <c r="D520" s="11">
        <f t="shared" si="485"/>
        <v>1447.7398688575352</v>
      </c>
      <c r="E520" s="11">
        <f t="shared" ref="E520:F520" ca="1" si="545">+D520*EXP(B520)</f>
        <v>1461.587671193193</v>
      </c>
      <c r="F520" s="11">
        <f t="shared" ca="1" si="545"/>
        <v>1687.9769455914141</v>
      </c>
      <c r="G520" s="12">
        <f t="shared" ca="1" si="487"/>
        <v>176.81182437732684</v>
      </c>
      <c r="H520" s="12">
        <f t="shared" ca="1" si="488"/>
        <v>243.09265939493957</v>
      </c>
    </row>
    <row r="521" spans="1:8" x14ac:dyDescent="0.35">
      <c r="A521" s="15">
        <v>508</v>
      </c>
      <c r="B521" s="10">
        <f t="shared" ca="1" si="483"/>
        <v>7.8904201859190753E-2</v>
      </c>
      <c r="C521" s="10">
        <f t="shared" ca="1" si="484"/>
        <v>-0.13681762283242102</v>
      </c>
      <c r="D521" s="11">
        <f t="shared" si="485"/>
        <v>1447.7398688575352</v>
      </c>
      <c r="E521" s="11">
        <f t="shared" ref="E521:F521" ca="1" si="546">+D521*EXP(B521)</f>
        <v>1566.6002587301602</v>
      </c>
      <c r="F521" s="11">
        <f t="shared" ca="1" si="546"/>
        <v>1366.2779370430439</v>
      </c>
      <c r="G521" s="12">
        <f t="shared" ca="1" si="487"/>
        <v>248.0990751391671</v>
      </c>
      <c r="H521" s="12">
        <f t="shared" ca="1" si="488"/>
        <v>40.524927933468575</v>
      </c>
    </row>
    <row r="522" spans="1:8" x14ac:dyDescent="0.35">
      <c r="A522" s="15">
        <v>509</v>
      </c>
      <c r="B522" s="10">
        <f t="shared" ca="1" si="483"/>
        <v>2.9619446112483572E-2</v>
      </c>
      <c r="C522" s="10">
        <f t="shared" ca="1" si="484"/>
        <v>9.4478050447991374E-2</v>
      </c>
      <c r="D522" s="11">
        <f t="shared" si="485"/>
        <v>1447.7398688575352</v>
      </c>
      <c r="E522" s="11">
        <f t="shared" ref="E522:F522" ca="1" si="547">+D522*EXP(B522)</f>
        <v>1491.262498111596</v>
      </c>
      <c r="F522" s="11">
        <f t="shared" ca="1" si="547"/>
        <v>1639.024300067101</v>
      </c>
      <c r="G522" s="12">
        <f t="shared" ca="1" si="487"/>
        <v>195.86314878867177</v>
      </c>
      <c r="H522" s="12">
        <f t="shared" ca="1" si="488"/>
        <v>202.18174414096575</v>
      </c>
    </row>
    <row r="523" spans="1:8" x14ac:dyDescent="0.35">
      <c r="A523" s="15">
        <v>510</v>
      </c>
      <c r="B523" s="10">
        <f t="shared" ca="1" si="483"/>
        <v>0.22415599503876338</v>
      </c>
      <c r="C523" s="10">
        <f t="shared" ca="1" si="484"/>
        <v>-0.18527239398961259</v>
      </c>
      <c r="D523" s="11">
        <f t="shared" si="485"/>
        <v>1447.7398688575352</v>
      </c>
      <c r="E523" s="11">
        <f t="shared" ref="E523:F523" ca="1" si="548">+D523*EXP(B523)</f>
        <v>1811.5079578128984</v>
      </c>
      <c r="F523" s="11">
        <f t="shared" ca="1" si="548"/>
        <v>1505.1419764979059</v>
      </c>
      <c r="G523" s="12">
        <f t="shared" ca="1" si="487"/>
        <v>447.70594109363515</v>
      </c>
      <c r="H523" s="12">
        <f t="shared" ca="1" si="488"/>
        <v>106.42850058677959</v>
      </c>
    </row>
    <row r="524" spans="1:8" x14ac:dyDescent="0.35">
      <c r="A524" s="15">
        <v>511</v>
      </c>
      <c r="B524" s="10">
        <f t="shared" ca="1" si="483"/>
        <v>7.0683436073534604E-4</v>
      </c>
      <c r="C524" s="10">
        <f t="shared" ca="1" si="484"/>
        <v>0.17785500268113991</v>
      </c>
      <c r="D524" s="11">
        <f t="shared" si="485"/>
        <v>1447.7398688575352</v>
      </c>
      <c r="E524" s="11">
        <f t="shared" ref="E524:F524" ca="1" si="549">+D524*EXP(B524)</f>
        <v>1448.7635428836179</v>
      </c>
      <c r="F524" s="11">
        <f t="shared" ca="1" si="549"/>
        <v>1730.7683905480803</v>
      </c>
      <c r="G524" s="12">
        <f t="shared" ca="1" si="487"/>
        <v>168.86431362604765</v>
      </c>
      <c r="H524" s="12">
        <f t="shared" ca="1" si="488"/>
        <v>280.70365722001793</v>
      </c>
    </row>
    <row r="525" spans="1:8" x14ac:dyDescent="0.35">
      <c r="A525" s="15">
        <v>512</v>
      </c>
      <c r="B525" s="10">
        <f t="shared" ca="1" si="483"/>
        <v>0.15956699398184715</v>
      </c>
      <c r="C525" s="10">
        <f t="shared" ca="1" si="484"/>
        <v>4.9373962402015054E-2</v>
      </c>
      <c r="D525" s="11">
        <f t="shared" si="485"/>
        <v>1447.7398688575352</v>
      </c>
      <c r="E525" s="11">
        <f t="shared" ref="E525:F525" ca="1" si="550">+D525*EXP(B525)</f>
        <v>1698.2029831362363</v>
      </c>
      <c r="F525" s="11">
        <f t="shared" ca="1" si="550"/>
        <v>1784.1544145079606</v>
      </c>
      <c r="G525" s="12">
        <f t="shared" ca="1" si="487"/>
        <v>350.64051376994166</v>
      </c>
      <c r="H525" s="12">
        <f t="shared" ca="1" si="488"/>
        <v>329.4891035560297</v>
      </c>
    </row>
    <row r="526" spans="1:8" x14ac:dyDescent="0.35">
      <c r="A526" s="15">
        <v>513</v>
      </c>
      <c r="B526" s="10">
        <f t="shared" ca="1" si="483"/>
        <v>-6.0918544388444823E-2</v>
      </c>
      <c r="C526" s="10">
        <f t="shared" ca="1" si="484"/>
        <v>8.2657494854224356E-2</v>
      </c>
      <c r="D526" s="11">
        <f t="shared" si="485"/>
        <v>1447.7398688575352</v>
      </c>
      <c r="E526" s="11">
        <f t="shared" ref="E526:F526" ca="1" si="551">+D526*EXP(B526)</f>
        <v>1362.1782663162567</v>
      </c>
      <c r="F526" s="11">
        <f t="shared" ca="1" si="551"/>
        <v>1479.5567944396603</v>
      </c>
      <c r="G526" s="12">
        <f t="shared" ca="1" si="487"/>
        <v>120.00529509131024</v>
      </c>
      <c r="H526" s="12">
        <f t="shared" ca="1" si="488"/>
        <v>91.496967821260228</v>
      </c>
    </row>
    <row r="527" spans="1:8" x14ac:dyDescent="0.35">
      <c r="A527" s="15">
        <v>514</v>
      </c>
      <c r="B527" s="10">
        <f t="shared" ref="B527:B590" ca="1" si="552">+($B$6-0.5*$B$10^2)*$H$4+$B$10*SQRT($H$4)*_xlfn.NORM.S.INV(RAND())</f>
        <v>0.14838720275113104</v>
      </c>
      <c r="C527" s="10">
        <f t="shared" ref="C527:C590" ca="1" si="553">+($B$6-0.5*$B$10^2)+$B$10*_xlfn.NORM.S.INV(RAND())</f>
        <v>0.22155364331034902</v>
      </c>
      <c r="D527" s="11">
        <f t="shared" ref="D527:D590" si="554">+$B$9</f>
        <v>1447.7398688575352</v>
      </c>
      <c r="E527" s="11">
        <f t="shared" ref="E527:F527" ca="1" si="555">+D527*EXP(B527)</f>
        <v>1679.3231611963749</v>
      </c>
      <c r="F527" s="11">
        <f t="shared" ca="1" si="555"/>
        <v>2095.8191415496422</v>
      </c>
      <c r="G527" s="12">
        <f t="shared" ref="G527:G590" ca="1" si="556">+BlackScholesCall(E527,$B$4,$B$10,$B$6,$B$7-$H$4)</f>
        <v>335.17346087686178</v>
      </c>
      <c r="H527" s="12">
        <f t="shared" ref="H527:H590" ca="1" si="557">+BlackScholesCall(F527,$B$4,$B$10,$B$6,$B$7-$I$4)</f>
        <v>633.28890144150887</v>
      </c>
    </row>
    <row r="528" spans="1:8" x14ac:dyDescent="0.35">
      <c r="A528" s="15">
        <v>515</v>
      </c>
      <c r="B528" s="10">
        <f t="shared" ca="1" si="552"/>
        <v>-8.3228647003843623E-2</v>
      </c>
      <c r="C528" s="10">
        <f t="shared" ca="1" si="553"/>
        <v>-0.15647379909879217</v>
      </c>
      <c r="D528" s="11">
        <f t="shared" si="554"/>
        <v>1447.7398688575352</v>
      </c>
      <c r="E528" s="11">
        <f t="shared" ref="E528:F528" ca="1" si="558">+D528*EXP(B528)</f>
        <v>1332.1244280960925</v>
      </c>
      <c r="F528" s="11">
        <f t="shared" ca="1" si="558"/>
        <v>1139.171430894042</v>
      </c>
      <c r="G528" s="12">
        <f t="shared" ca="1" si="556"/>
        <v>105.10038782260642</v>
      </c>
      <c r="H528" s="12">
        <f t="shared" ca="1" si="557"/>
        <v>2.8118580382865375</v>
      </c>
    </row>
    <row r="529" spans="1:8" x14ac:dyDescent="0.35">
      <c r="A529" s="15">
        <v>516</v>
      </c>
      <c r="B529" s="10">
        <f t="shared" ca="1" si="552"/>
        <v>1.0264279819713441E-2</v>
      </c>
      <c r="C529" s="10">
        <f t="shared" ca="1" si="553"/>
        <v>0.11351189711197915</v>
      </c>
      <c r="D529" s="11">
        <f t="shared" si="554"/>
        <v>1447.7398688575352</v>
      </c>
      <c r="E529" s="11">
        <f t="shared" ref="E529:F529" ca="1" si="559">+D529*EXP(B529)</f>
        <v>1462.6764012146205</v>
      </c>
      <c r="F529" s="11">
        <f t="shared" ca="1" si="559"/>
        <v>1638.497733989977</v>
      </c>
      <c r="G529" s="12">
        <f t="shared" ca="1" si="556"/>
        <v>177.49460462339175</v>
      </c>
      <c r="H529" s="12">
        <f t="shared" ca="1" si="557"/>
        <v>201.75591205277965</v>
      </c>
    </row>
    <row r="530" spans="1:8" x14ac:dyDescent="0.35">
      <c r="A530" s="15">
        <v>517</v>
      </c>
      <c r="B530" s="10">
        <f t="shared" ca="1" si="552"/>
        <v>0.11319610862840214</v>
      </c>
      <c r="C530" s="10">
        <f t="shared" ca="1" si="553"/>
        <v>-0.10462910219066945</v>
      </c>
      <c r="D530" s="11">
        <f t="shared" si="554"/>
        <v>1447.7398688575352</v>
      </c>
      <c r="E530" s="11">
        <f t="shared" ref="E530:F530" ca="1" si="560">+D530*EXP(B530)</f>
        <v>1621.2536984412566</v>
      </c>
      <c r="F530" s="11">
        <f t="shared" ca="1" si="560"/>
        <v>1460.1959450939239</v>
      </c>
      <c r="G530" s="12">
        <f t="shared" ca="1" si="556"/>
        <v>289.1129621614383</v>
      </c>
      <c r="H530" s="12">
        <f t="shared" ca="1" si="557"/>
        <v>81.015097018533538</v>
      </c>
    </row>
    <row r="531" spans="1:8" x14ac:dyDescent="0.35">
      <c r="A531" s="15">
        <v>518</v>
      </c>
      <c r="B531" s="10">
        <f t="shared" ca="1" si="552"/>
        <v>-0.12591437260660354</v>
      </c>
      <c r="C531" s="10">
        <f t="shared" ca="1" si="553"/>
        <v>-0.16924487875856439</v>
      </c>
      <c r="D531" s="11">
        <f t="shared" si="554"/>
        <v>1447.7398688575352</v>
      </c>
      <c r="E531" s="11">
        <f t="shared" ref="E531:F531" ca="1" si="561">+D531*EXP(B531)</f>
        <v>1276.458257779077</v>
      </c>
      <c r="F531" s="11">
        <f t="shared" ca="1" si="561"/>
        <v>1077.7164213201218</v>
      </c>
      <c r="G531" s="12">
        <f t="shared" ca="1" si="556"/>
        <v>80.415082848432235</v>
      </c>
      <c r="H531" s="12">
        <f t="shared" ca="1" si="557"/>
        <v>0.96691422097616098</v>
      </c>
    </row>
    <row r="532" spans="1:8" x14ac:dyDescent="0.35">
      <c r="A532" s="15">
        <v>519</v>
      </c>
      <c r="B532" s="10">
        <f t="shared" ca="1" si="552"/>
        <v>6.007221099778845E-3</v>
      </c>
      <c r="C532" s="10">
        <f t="shared" ca="1" si="553"/>
        <v>0.56531337475581922</v>
      </c>
      <c r="D532" s="11">
        <f t="shared" si="554"/>
        <v>1447.7398688575352</v>
      </c>
      <c r="E532" s="11">
        <f t="shared" ref="E532:F532" ca="1" si="562">+D532*EXP(B532)</f>
        <v>1456.4629368114447</v>
      </c>
      <c r="F532" s="11">
        <f t="shared" ca="1" si="562"/>
        <v>2563.3736555294845</v>
      </c>
      <c r="G532" s="12">
        <f t="shared" ca="1" si="556"/>
        <v>173.61480289355848</v>
      </c>
      <c r="H532" s="12">
        <f t="shared" ca="1" si="557"/>
        <v>1100.4110575199313</v>
      </c>
    </row>
    <row r="533" spans="1:8" x14ac:dyDescent="0.35">
      <c r="A533" s="15">
        <v>520</v>
      </c>
      <c r="B533" s="10">
        <f t="shared" ca="1" si="552"/>
        <v>0.14714241421892837</v>
      </c>
      <c r="C533" s="10">
        <f t="shared" ca="1" si="553"/>
        <v>0.35139114341619293</v>
      </c>
      <c r="D533" s="11">
        <f t="shared" si="554"/>
        <v>1447.7398688575352</v>
      </c>
      <c r="E533" s="11">
        <f t="shared" ref="E533:F533" ca="1" si="563">+D533*EXP(B533)</f>
        <v>1677.2340594981285</v>
      </c>
      <c r="F533" s="11">
        <f t="shared" ca="1" si="563"/>
        <v>2383.4218015511779</v>
      </c>
      <c r="G533" s="12">
        <f t="shared" ca="1" si="556"/>
        <v>333.47607129030825</v>
      </c>
      <c r="H533" s="12">
        <f t="shared" ca="1" si="557"/>
        <v>920.47562470342154</v>
      </c>
    </row>
    <row r="534" spans="1:8" x14ac:dyDescent="0.35">
      <c r="A534" s="15">
        <v>521</v>
      </c>
      <c r="B534" s="10">
        <f t="shared" ca="1" si="552"/>
        <v>0.10379705081065266</v>
      </c>
      <c r="C534" s="10">
        <f t="shared" ca="1" si="553"/>
        <v>0.53803331494543571</v>
      </c>
      <c r="D534" s="11">
        <f t="shared" si="554"/>
        <v>1447.7398688575352</v>
      </c>
      <c r="E534" s="11">
        <f t="shared" ref="E534:F534" ca="1" si="564">+D534*EXP(B534)</f>
        <v>1606.08682998529</v>
      </c>
      <c r="F534" s="11">
        <f t="shared" ca="1" si="564"/>
        <v>2750.6410538457735</v>
      </c>
      <c r="G534" s="12">
        <f t="shared" ca="1" si="556"/>
        <v>277.49015037244112</v>
      </c>
      <c r="H534" s="12">
        <f t="shared" ca="1" si="557"/>
        <v>1287.6764194942796</v>
      </c>
    </row>
    <row r="535" spans="1:8" x14ac:dyDescent="0.35">
      <c r="A535" s="15">
        <v>522</v>
      </c>
      <c r="B535" s="10">
        <f t="shared" ca="1" si="552"/>
        <v>-7.7659779296512021E-2</v>
      </c>
      <c r="C535" s="10">
        <f t="shared" ca="1" si="553"/>
        <v>0.13610727095411052</v>
      </c>
      <c r="D535" s="11">
        <f t="shared" si="554"/>
        <v>1447.7398688575352</v>
      </c>
      <c r="E535" s="11">
        <f t="shared" ref="E535:F535" ca="1" si="565">+D535*EXP(B535)</f>
        <v>1339.5635473159293</v>
      </c>
      <c r="F535" s="11">
        <f t="shared" ca="1" si="565"/>
        <v>1534.8783405129436</v>
      </c>
      <c r="G535" s="12">
        <f t="shared" ca="1" si="556"/>
        <v>108.6878928368053</v>
      </c>
      <c r="H535" s="12">
        <f t="shared" ca="1" si="557"/>
        <v>125.26279865612071</v>
      </c>
    </row>
    <row r="536" spans="1:8" x14ac:dyDescent="0.35">
      <c r="A536" s="15">
        <v>523</v>
      </c>
      <c r="B536" s="10">
        <f t="shared" ca="1" si="552"/>
        <v>0.15222152959590635</v>
      </c>
      <c r="C536" s="10">
        <f t="shared" ca="1" si="553"/>
        <v>5.3508852120642443E-2</v>
      </c>
      <c r="D536" s="11">
        <f t="shared" si="554"/>
        <v>1447.7398688575352</v>
      </c>
      <c r="E536" s="11">
        <f t="shared" ref="E536:F536" ca="1" si="566">+D536*EXP(B536)</f>
        <v>1685.7745956243966</v>
      </c>
      <c r="F536" s="11">
        <f t="shared" ca="1" si="566"/>
        <v>1778.4354390535236</v>
      </c>
      <c r="G536" s="12">
        <f t="shared" ca="1" si="556"/>
        <v>340.43314821804051</v>
      </c>
      <c r="H536" s="12">
        <f t="shared" ca="1" si="557"/>
        <v>324.18053088398324</v>
      </c>
    </row>
    <row r="537" spans="1:8" x14ac:dyDescent="0.35">
      <c r="A537" s="15">
        <v>524</v>
      </c>
      <c r="B537" s="10">
        <f t="shared" ca="1" si="552"/>
        <v>5.0262252503071682E-2</v>
      </c>
      <c r="C537" s="10">
        <f t="shared" ca="1" si="553"/>
        <v>-4.0791039137719892E-2</v>
      </c>
      <c r="D537" s="11">
        <f t="shared" si="554"/>
        <v>1447.7398688575352</v>
      </c>
      <c r="E537" s="11">
        <f t="shared" ref="E537:F537" ca="1" si="567">+D537*EXP(B537)</f>
        <v>1522.3662712195205</v>
      </c>
      <c r="F537" s="11">
        <f t="shared" ca="1" si="567"/>
        <v>1461.516861484037</v>
      </c>
      <c r="G537" s="12">
        <f t="shared" ca="1" si="556"/>
        <v>216.78193433950435</v>
      </c>
      <c r="H537" s="12">
        <f t="shared" ca="1" si="557"/>
        <v>81.707423718922314</v>
      </c>
    </row>
    <row r="538" spans="1:8" x14ac:dyDescent="0.35">
      <c r="A538" s="15">
        <v>525</v>
      </c>
      <c r="B538" s="10">
        <f t="shared" ca="1" si="552"/>
        <v>-0.13972913241986296</v>
      </c>
      <c r="C538" s="10">
        <f t="shared" ca="1" si="553"/>
        <v>4.3617972751174822E-2</v>
      </c>
      <c r="D538" s="11">
        <f t="shared" si="554"/>
        <v>1447.7398688575352</v>
      </c>
      <c r="E538" s="11">
        <f t="shared" ref="E538:F538" ca="1" si="568">+D538*EXP(B538)</f>
        <v>1258.9455390584017</v>
      </c>
      <c r="F538" s="11">
        <f t="shared" ca="1" si="568"/>
        <v>1315.073384238271</v>
      </c>
      <c r="G538" s="12">
        <f t="shared" ca="1" si="556"/>
        <v>73.443171188102554</v>
      </c>
      <c r="H538" s="12">
        <f t="shared" ca="1" si="557"/>
        <v>25.533659577635547</v>
      </c>
    </row>
    <row r="539" spans="1:8" x14ac:dyDescent="0.35">
      <c r="A539" s="15">
        <v>526</v>
      </c>
      <c r="B539" s="10">
        <f t="shared" ca="1" si="552"/>
        <v>0.14621531427389556</v>
      </c>
      <c r="C539" s="10">
        <f t="shared" ca="1" si="553"/>
        <v>6.1332504761846131E-2</v>
      </c>
      <c r="D539" s="11">
        <f t="shared" si="554"/>
        <v>1447.7398688575352</v>
      </c>
      <c r="E539" s="11">
        <f t="shared" ref="E539:F539" ca="1" si="569">+D539*EXP(B539)</f>
        <v>1675.6798164743964</v>
      </c>
      <c r="F539" s="11">
        <f t="shared" ca="1" si="569"/>
        <v>1781.6705729262592</v>
      </c>
      <c r="G539" s="12">
        <f t="shared" ca="1" si="556"/>
        <v>332.21511117901127</v>
      </c>
      <c r="H539" s="12">
        <f t="shared" ca="1" si="557"/>
        <v>327.18132547914865</v>
      </c>
    </row>
    <row r="540" spans="1:8" x14ac:dyDescent="0.35">
      <c r="A540" s="15">
        <v>527</v>
      </c>
      <c r="B540" s="10">
        <f t="shared" ca="1" si="552"/>
        <v>5.2042736224129756E-2</v>
      </c>
      <c r="C540" s="10">
        <f t="shared" ca="1" si="553"/>
        <v>0.21987010965893072</v>
      </c>
      <c r="D540" s="11">
        <f t="shared" si="554"/>
        <v>1447.7398688575352</v>
      </c>
      <c r="E540" s="11">
        <f t="shared" ref="E540:F540" ca="1" si="570">+D540*EXP(B540)</f>
        <v>1525.0792340592989</v>
      </c>
      <c r="F540" s="11">
        <f t="shared" ca="1" si="570"/>
        <v>1900.1189227387483</v>
      </c>
      <c r="G540" s="12">
        <f t="shared" ca="1" si="556"/>
        <v>218.65087931541814</v>
      </c>
      <c r="H540" s="12">
        <f t="shared" ca="1" si="557"/>
        <v>440.12290493267164</v>
      </c>
    </row>
    <row r="541" spans="1:8" x14ac:dyDescent="0.35">
      <c r="A541" s="15">
        <v>528</v>
      </c>
      <c r="B541" s="10">
        <f t="shared" ca="1" si="552"/>
        <v>-0.14332551580701625</v>
      </c>
      <c r="C541" s="10">
        <f t="shared" ca="1" si="553"/>
        <v>0.13318434757890271</v>
      </c>
      <c r="D541" s="11">
        <f t="shared" si="554"/>
        <v>1447.7398688575352</v>
      </c>
      <c r="E541" s="11">
        <f t="shared" ref="E541:F541" ca="1" si="571">+D541*EXP(B541)</f>
        <v>1254.4260200691836</v>
      </c>
      <c r="F541" s="11">
        <f t="shared" ca="1" si="571"/>
        <v>1433.1322894477535</v>
      </c>
      <c r="G541" s="12">
        <f t="shared" ca="1" si="556"/>
        <v>71.705766392869918</v>
      </c>
      <c r="H541" s="12">
        <f t="shared" ca="1" si="557"/>
        <v>67.576294364645378</v>
      </c>
    </row>
    <row r="542" spans="1:8" x14ac:dyDescent="0.35">
      <c r="A542" s="15">
        <v>529</v>
      </c>
      <c r="B542" s="10">
        <f t="shared" ca="1" si="552"/>
        <v>6.4280430484538659E-2</v>
      </c>
      <c r="C542" s="10">
        <f t="shared" ca="1" si="553"/>
        <v>-0.11612055173872166</v>
      </c>
      <c r="D542" s="11">
        <f t="shared" si="554"/>
        <v>1447.7398688575352</v>
      </c>
      <c r="E542" s="11">
        <f t="shared" ref="E542:F542" ca="1" si="572">+D542*EXP(B542)</f>
        <v>1543.8573535389412</v>
      </c>
      <c r="F542" s="11">
        <f t="shared" ca="1" si="572"/>
        <v>1374.6010011025542</v>
      </c>
      <c r="G542" s="12">
        <f t="shared" ca="1" si="556"/>
        <v>231.77550089383249</v>
      </c>
      <c r="H542" s="12">
        <f t="shared" ca="1" si="557"/>
        <v>43.419745381472183</v>
      </c>
    </row>
    <row r="543" spans="1:8" x14ac:dyDescent="0.35">
      <c r="A543" s="15">
        <v>530</v>
      </c>
      <c r="B543" s="10">
        <f t="shared" ca="1" si="552"/>
        <v>-1.223401317521762E-2</v>
      </c>
      <c r="C543" s="10">
        <f t="shared" ca="1" si="553"/>
        <v>-0.16834993183157923</v>
      </c>
      <c r="D543" s="11">
        <f t="shared" si="554"/>
        <v>1447.7398688575352</v>
      </c>
      <c r="E543" s="11">
        <f t="shared" ref="E543:F543" ca="1" si="573">+D543*EXP(B543)</f>
        <v>1430.1361021485841</v>
      </c>
      <c r="F543" s="11">
        <f t="shared" ca="1" si="573"/>
        <v>1208.5480546345982</v>
      </c>
      <c r="G543" s="12">
        <f t="shared" ca="1" si="556"/>
        <v>157.63723333698738</v>
      </c>
      <c r="H543" s="12">
        <f t="shared" ca="1" si="557"/>
        <v>7.662312015284499</v>
      </c>
    </row>
    <row r="544" spans="1:8" x14ac:dyDescent="0.35">
      <c r="A544" s="15">
        <v>531</v>
      </c>
      <c r="B544" s="10">
        <f t="shared" ca="1" si="552"/>
        <v>-1.3310010301417045E-2</v>
      </c>
      <c r="C544" s="10">
        <f t="shared" ca="1" si="553"/>
        <v>-0.11785442198811438</v>
      </c>
      <c r="D544" s="11">
        <f t="shared" si="554"/>
        <v>1447.7398688575352</v>
      </c>
      <c r="E544" s="11">
        <f t="shared" ref="E544:F544" ca="1" si="574">+D544*EXP(B544)</f>
        <v>1428.5981073999501</v>
      </c>
      <c r="F544" s="11">
        <f t="shared" ca="1" si="574"/>
        <v>1269.774336588029</v>
      </c>
      <c r="G544" s="12">
        <f t="shared" ca="1" si="556"/>
        <v>156.72730439001793</v>
      </c>
      <c r="H544" s="12">
        <f t="shared" ca="1" si="557"/>
        <v>15.98950038060579</v>
      </c>
    </row>
    <row r="545" spans="1:8" x14ac:dyDescent="0.35">
      <c r="A545" s="15">
        <v>532</v>
      </c>
      <c r="B545" s="10">
        <f t="shared" ca="1" si="552"/>
        <v>0.15267428441790704</v>
      </c>
      <c r="C545" s="10">
        <f t="shared" ca="1" si="553"/>
        <v>0.38364185430673237</v>
      </c>
      <c r="D545" s="11">
        <f t="shared" si="554"/>
        <v>1447.7398688575352</v>
      </c>
      <c r="E545" s="11">
        <f t="shared" ref="E545:F545" ca="1" si="575">+D545*EXP(B545)</f>
        <v>1686.538011008329</v>
      </c>
      <c r="F545" s="11">
        <f t="shared" ca="1" si="575"/>
        <v>2475.1964533719006</v>
      </c>
      <c r="G545" s="12">
        <f t="shared" ca="1" si="556"/>
        <v>341.05731644245157</v>
      </c>
      <c r="H545" s="12">
        <f t="shared" ca="1" si="557"/>
        <v>1012.2380329585633</v>
      </c>
    </row>
    <row r="546" spans="1:8" x14ac:dyDescent="0.35">
      <c r="A546" s="15">
        <v>533</v>
      </c>
      <c r="B546" s="10">
        <f t="shared" ca="1" si="552"/>
        <v>-9.0720219586104128E-3</v>
      </c>
      <c r="C546" s="10">
        <f t="shared" ca="1" si="553"/>
        <v>6.430247696605329E-2</v>
      </c>
      <c r="D546" s="11">
        <f t="shared" si="554"/>
        <v>1447.7398688575352</v>
      </c>
      <c r="E546" s="11">
        <f t="shared" ref="E546:F546" ca="1" si="576">+D546*EXP(B546)</f>
        <v>1434.6653368686543</v>
      </c>
      <c r="F546" s="11">
        <f t="shared" ca="1" si="576"/>
        <v>1529.9485146049926</v>
      </c>
      <c r="G546" s="12">
        <f t="shared" ca="1" si="556"/>
        <v>160.33208369328486</v>
      </c>
      <c r="H546" s="12">
        <f t="shared" ca="1" si="557"/>
        <v>122.0341413650707</v>
      </c>
    </row>
    <row r="547" spans="1:8" x14ac:dyDescent="0.35">
      <c r="A547" s="15">
        <v>534</v>
      </c>
      <c r="B547" s="10">
        <f t="shared" ca="1" si="552"/>
        <v>-9.7133634992471851E-2</v>
      </c>
      <c r="C547" s="10">
        <f t="shared" ca="1" si="553"/>
        <v>-1.6910135881160956E-2</v>
      </c>
      <c r="D547" s="11">
        <f t="shared" si="554"/>
        <v>1447.7398688575352</v>
      </c>
      <c r="E547" s="11">
        <f t="shared" ref="E547:F547" ca="1" si="577">+D547*EXP(B547)</f>
        <v>1313.7294413452312</v>
      </c>
      <c r="F547" s="11">
        <f t="shared" ca="1" si="577"/>
        <v>1291.7008759230828</v>
      </c>
      <c r="G547" s="12">
        <f t="shared" ca="1" si="556"/>
        <v>96.520041156556204</v>
      </c>
      <c r="H547" s="12">
        <f t="shared" ca="1" si="557"/>
        <v>20.205677326043741</v>
      </c>
    </row>
    <row r="548" spans="1:8" x14ac:dyDescent="0.35">
      <c r="A548" s="15">
        <v>535</v>
      </c>
      <c r="B548" s="10">
        <f t="shared" ca="1" si="552"/>
        <v>-7.4759976755645302E-2</v>
      </c>
      <c r="C548" s="10">
        <f t="shared" ca="1" si="553"/>
        <v>0.27750386142440397</v>
      </c>
      <c r="D548" s="11">
        <f t="shared" si="554"/>
        <v>1447.7398688575352</v>
      </c>
      <c r="E548" s="11">
        <f t="shared" ref="E548:F548" ca="1" si="578">+D548*EXP(B548)</f>
        <v>1343.4536546396942</v>
      </c>
      <c r="F548" s="11">
        <f t="shared" ca="1" si="578"/>
        <v>1773.1320700548347</v>
      </c>
      <c r="G548" s="12">
        <f t="shared" ca="1" si="556"/>
        <v>110.59068855451699</v>
      </c>
      <c r="H548" s="12">
        <f t="shared" ca="1" si="557"/>
        <v>319.27389571732192</v>
      </c>
    </row>
    <row r="549" spans="1:8" x14ac:dyDescent="0.35">
      <c r="A549" s="15">
        <v>536</v>
      </c>
      <c r="B549" s="10">
        <f t="shared" ca="1" si="552"/>
        <v>8.4461147205416708E-3</v>
      </c>
      <c r="C549" s="10">
        <f t="shared" ca="1" si="553"/>
        <v>4.2292254289904629E-2</v>
      </c>
      <c r="D549" s="11">
        <f t="shared" si="554"/>
        <v>1447.7398688575352</v>
      </c>
      <c r="E549" s="11">
        <f t="shared" ref="E549:F549" ca="1" si="579">+D549*EXP(B549)</f>
        <v>1460.0194301684971</v>
      </c>
      <c r="F549" s="11">
        <f t="shared" ca="1" si="579"/>
        <v>1523.0912675091736</v>
      </c>
      <c r="G549" s="12">
        <f t="shared" ca="1" si="556"/>
        <v>175.83053048916054</v>
      </c>
      <c r="H549" s="12">
        <f t="shared" ca="1" si="557"/>
        <v>117.61240824740219</v>
      </c>
    </row>
    <row r="550" spans="1:8" x14ac:dyDescent="0.35">
      <c r="A550" s="15">
        <v>537</v>
      </c>
      <c r="B550" s="10">
        <f t="shared" ca="1" si="552"/>
        <v>7.104213762749962E-3</v>
      </c>
      <c r="C550" s="10">
        <f t="shared" ca="1" si="553"/>
        <v>5.6980584539272294E-2</v>
      </c>
      <c r="D550" s="11">
        <f t="shared" si="554"/>
        <v>1447.7398688575352</v>
      </c>
      <c r="E550" s="11">
        <f t="shared" ref="E550:F550" ca="1" si="580">+D550*EXP(B550)</f>
        <v>1458.0615426361342</v>
      </c>
      <c r="F550" s="11">
        <f t="shared" ca="1" si="580"/>
        <v>1543.5553548966643</v>
      </c>
      <c r="G550" s="12">
        <f t="shared" ca="1" si="556"/>
        <v>174.60908456779543</v>
      </c>
      <c r="H550" s="12">
        <f t="shared" ca="1" si="557"/>
        <v>131.0450037806271</v>
      </c>
    </row>
    <row r="551" spans="1:8" x14ac:dyDescent="0.35">
      <c r="A551" s="15">
        <v>538</v>
      </c>
      <c r="B551" s="10">
        <f t="shared" ca="1" si="552"/>
        <v>0.19162324294689498</v>
      </c>
      <c r="C551" s="10">
        <f t="shared" ca="1" si="553"/>
        <v>-3.5254667723156732E-2</v>
      </c>
      <c r="D551" s="11">
        <f t="shared" si="554"/>
        <v>1447.7398688575352</v>
      </c>
      <c r="E551" s="11">
        <f t="shared" ref="E551:F551" ca="1" si="581">+D551*EXP(B551)</f>
        <v>1753.522938726054</v>
      </c>
      <c r="F551" s="11">
        <f t="shared" ca="1" si="581"/>
        <v>1692.7800958151201</v>
      </c>
      <c r="G551" s="12">
        <f t="shared" ca="1" si="556"/>
        <v>397.18888293789314</v>
      </c>
      <c r="H551" s="12">
        <f t="shared" ca="1" si="557"/>
        <v>247.23616770313629</v>
      </c>
    </row>
    <row r="552" spans="1:8" x14ac:dyDescent="0.35">
      <c r="A552" s="15">
        <v>539</v>
      </c>
      <c r="B552" s="10">
        <f t="shared" ca="1" si="552"/>
        <v>2.8458869996909587E-2</v>
      </c>
      <c r="C552" s="10">
        <f t="shared" ca="1" si="553"/>
        <v>0.14662271613276961</v>
      </c>
      <c r="D552" s="11">
        <f t="shared" si="554"/>
        <v>1447.7398688575352</v>
      </c>
      <c r="E552" s="11">
        <f t="shared" ref="E552:F552" ca="1" si="582">+D552*EXP(B552)</f>
        <v>1489.532778404078</v>
      </c>
      <c r="F552" s="11">
        <f t="shared" ca="1" si="582"/>
        <v>1724.7553517891208</v>
      </c>
      <c r="G552" s="12">
        <f t="shared" ca="1" si="556"/>
        <v>194.7278982276157</v>
      </c>
      <c r="H552" s="12">
        <f t="shared" ca="1" si="557"/>
        <v>275.32916166180758</v>
      </c>
    </row>
    <row r="553" spans="1:8" x14ac:dyDescent="0.35">
      <c r="A553" s="15">
        <v>540</v>
      </c>
      <c r="B553" s="10">
        <f t="shared" ca="1" si="552"/>
        <v>0.2994555482618918</v>
      </c>
      <c r="C553" s="10">
        <f t="shared" ca="1" si="553"/>
        <v>0.41437769700342886</v>
      </c>
      <c r="D553" s="11">
        <f t="shared" si="554"/>
        <v>1447.7398688575352</v>
      </c>
      <c r="E553" s="11">
        <f t="shared" ref="E553:F553" ca="1" si="583">+D553*EXP(B553)</f>
        <v>1953.1807108824196</v>
      </c>
      <c r="F553" s="11">
        <f t="shared" ca="1" si="583"/>
        <v>2955.9996199326224</v>
      </c>
      <c r="G553" s="12">
        <f t="shared" ca="1" si="556"/>
        <v>576.82424169485034</v>
      </c>
      <c r="H553" s="12">
        <f t="shared" ca="1" si="557"/>
        <v>1493.0347699563695</v>
      </c>
    </row>
    <row r="554" spans="1:8" x14ac:dyDescent="0.35">
      <c r="A554" s="15">
        <v>541</v>
      </c>
      <c r="B554" s="10">
        <f t="shared" ca="1" si="552"/>
        <v>-0.16512564170432409</v>
      </c>
      <c r="C554" s="10">
        <f t="shared" ca="1" si="553"/>
        <v>0.40825193983697217</v>
      </c>
      <c r="D554" s="11">
        <f t="shared" si="554"/>
        <v>1447.7398688575352</v>
      </c>
      <c r="E554" s="11">
        <f t="shared" ref="E554:F554" ca="1" si="584">+D554*EXP(B554)</f>
        <v>1227.3753007487583</v>
      </c>
      <c r="F554" s="11">
        <f t="shared" ca="1" si="584"/>
        <v>1846.2008396602025</v>
      </c>
      <c r="G554" s="12">
        <f t="shared" ca="1" si="556"/>
        <v>61.835631592369339</v>
      </c>
      <c r="H554" s="12">
        <f t="shared" ca="1" si="557"/>
        <v>388.07898546915021</v>
      </c>
    </row>
    <row r="555" spans="1:8" x14ac:dyDescent="0.35">
      <c r="A555" s="15">
        <v>542</v>
      </c>
      <c r="B555" s="10">
        <f t="shared" ca="1" si="552"/>
        <v>0.32920610070571593</v>
      </c>
      <c r="C555" s="10">
        <f t="shared" ca="1" si="553"/>
        <v>-0.22368740540813029</v>
      </c>
      <c r="D555" s="11">
        <f t="shared" si="554"/>
        <v>1447.7398688575352</v>
      </c>
      <c r="E555" s="11">
        <f t="shared" ref="E555:F555" ca="1" si="585">+D555*EXP(B555)</f>
        <v>2012.1619276761819</v>
      </c>
      <c r="F555" s="11">
        <f t="shared" ca="1" si="585"/>
        <v>1608.8543221569057</v>
      </c>
      <c r="G555" s="12">
        <f t="shared" ca="1" si="556"/>
        <v>632.34807858960971</v>
      </c>
      <c r="H555" s="12">
        <f t="shared" ca="1" si="557"/>
        <v>178.33222384274109</v>
      </c>
    </row>
    <row r="556" spans="1:8" x14ac:dyDescent="0.35">
      <c r="A556" s="15">
        <v>543</v>
      </c>
      <c r="B556" s="10">
        <f t="shared" ca="1" si="552"/>
        <v>-9.6797529042100594E-2</v>
      </c>
      <c r="C556" s="10">
        <f t="shared" ca="1" si="553"/>
        <v>-2.7677335514042806E-2</v>
      </c>
      <c r="D556" s="11">
        <f t="shared" si="554"/>
        <v>1447.7398688575352</v>
      </c>
      <c r="E556" s="11">
        <f t="shared" ref="E556:F556" ca="1" si="586">+D556*EXP(B556)</f>
        <v>1314.1710678401341</v>
      </c>
      <c r="F556" s="11">
        <f t="shared" ca="1" si="586"/>
        <v>1278.2970528798751</v>
      </c>
      <c r="G556" s="12">
        <f t="shared" ca="1" si="556"/>
        <v>96.72116820275329</v>
      </c>
      <c r="H556" s="12">
        <f t="shared" ca="1" si="557"/>
        <v>17.542427692267381</v>
      </c>
    </row>
    <row r="557" spans="1:8" x14ac:dyDescent="0.35">
      <c r="A557" s="15">
        <v>544</v>
      </c>
      <c r="B557" s="10">
        <f t="shared" ca="1" si="552"/>
        <v>0.1529769350309142</v>
      </c>
      <c r="C557" s="10">
        <f t="shared" ca="1" si="553"/>
        <v>-9.3954278270606567E-2</v>
      </c>
      <c r="D557" s="11">
        <f t="shared" si="554"/>
        <v>1447.7398688575352</v>
      </c>
      <c r="E557" s="11">
        <f t="shared" ref="E557:F557" ca="1" si="587">+D557*EXP(B557)</f>
        <v>1687.0485200202565</v>
      </c>
      <c r="F557" s="11">
        <f t="shared" ca="1" si="587"/>
        <v>1535.7614029003009</v>
      </c>
      <c r="G557" s="12">
        <f t="shared" ca="1" si="556"/>
        <v>341.47491661887261</v>
      </c>
      <c r="H557" s="12">
        <f t="shared" ca="1" si="557"/>
        <v>125.8454882359589</v>
      </c>
    </row>
    <row r="558" spans="1:8" x14ac:dyDescent="0.35">
      <c r="A558" s="15">
        <v>545</v>
      </c>
      <c r="B558" s="10">
        <f t="shared" ca="1" si="552"/>
        <v>1.0404998700085389E-2</v>
      </c>
      <c r="C558" s="10">
        <f t="shared" ca="1" si="553"/>
        <v>1.4167875404265819E-2</v>
      </c>
      <c r="D558" s="11">
        <f t="shared" si="554"/>
        <v>1447.7398688575352</v>
      </c>
      <c r="E558" s="11">
        <f t="shared" ref="E558:F558" ca="1" si="588">+D558*EXP(B558)</f>
        <v>1462.8822418826403</v>
      </c>
      <c r="F558" s="11">
        <f t="shared" ca="1" si="588"/>
        <v>1483.7556922818021</v>
      </c>
      <c r="G558" s="12">
        <f t="shared" ca="1" si="556"/>
        <v>177.6238351809551</v>
      </c>
      <c r="H558" s="12">
        <f t="shared" ca="1" si="557"/>
        <v>93.864083495026193</v>
      </c>
    </row>
    <row r="559" spans="1:8" x14ac:dyDescent="0.35">
      <c r="A559" s="15">
        <v>546</v>
      </c>
      <c r="B559" s="10">
        <f t="shared" ca="1" si="552"/>
        <v>6.6366204694178373E-3</v>
      </c>
      <c r="C559" s="10">
        <f t="shared" ca="1" si="553"/>
        <v>0.43579917718672379</v>
      </c>
      <c r="D559" s="11">
        <f t="shared" si="554"/>
        <v>1447.7398688575352</v>
      </c>
      <c r="E559" s="11">
        <f t="shared" ref="E559:F559" ca="1" si="589">+D559*EXP(B559)</f>
        <v>1457.379922210521</v>
      </c>
      <c r="F559" s="11">
        <f t="shared" ca="1" si="589"/>
        <v>2253.3982877635581</v>
      </c>
      <c r="G559" s="12">
        <f t="shared" ca="1" si="556"/>
        <v>174.18480566761957</v>
      </c>
      <c r="H559" s="12">
        <f t="shared" ca="1" si="557"/>
        <v>790.51407640626007</v>
      </c>
    </row>
    <row r="560" spans="1:8" x14ac:dyDescent="0.35">
      <c r="A560" s="15">
        <v>547</v>
      </c>
      <c r="B560" s="10">
        <f t="shared" ca="1" si="552"/>
        <v>4.7465240403420643E-2</v>
      </c>
      <c r="C560" s="10">
        <f t="shared" ca="1" si="553"/>
        <v>0.33031881719217049</v>
      </c>
      <c r="D560" s="11">
        <f t="shared" si="554"/>
        <v>1447.7398688575352</v>
      </c>
      <c r="E560" s="11">
        <f t="shared" ref="E560:F560" ca="1" si="590">+D560*EXP(B560)</f>
        <v>1518.1141437369586</v>
      </c>
      <c r="F560" s="11">
        <f t="shared" ca="1" si="590"/>
        <v>2112.321726448547</v>
      </c>
      <c r="G560" s="12">
        <f t="shared" ca="1" si="556"/>
        <v>213.86673804186682</v>
      </c>
      <c r="H560" s="12">
        <f t="shared" ca="1" si="557"/>
        <v>649.72308653972937</v>
      </c>
    </row>
    <row r="561" spans="1:8" x14ac:dyDescent="0.35">
      <c r="A561" s="15">
        <v>548</v>
      </c>
      <c r="B561" s="10">
        <f t="shared" ca="1" si="552"/>
        <v>5.262333809191904E-2</v>
      </c>
      <c r="C561" s="10">
        <f t="shared" ca="1" si="553"/>
        <v>9.6554219632599803E-2</v>
      </c>
      <c r="D561" s="11">
        <f t="shared" si="554"/>
        <v>1447.7398688575352</v>
      </c>
      <c r="E561" s="11">
        <f t="shared" ref="E561:F561" ca="1" si="591">+D561*EXP(B561)</f>
        <v>1525.9649550118588</v>
      </c>
      <c r="F561" s="11">
        <f t="shared" ca="1" si="591"/>
        <v>1680.6509472507898</v>
      </c>
      <c r="G561" s="12">
        <f t="shared" ca="1" si="556"/>
        <v>219.26255407602378</v>
      </c>
      <c r="H561" s="12">
        <f t="shared" ca="1" si="557"/>
        <v>236.81429382282931</v>
      </c>
    </row>
    <row r="562" spans="1:8" x14ac:dyDescent="0.35">
      <c r="A562" s="15">
        <v>549</v>
      </c>
      <c r="B562" s="10">
        <f t="shared" ca="1" si="552"/>
        <v>-4.4421842260084561E-2</v>
      </c>
      <c r="C562" s="10">
        <f t="shared" ca="1" si="553"/>
        <v>0.15565420959512671</v>
      </c>
      <c r="D562" s="11">
        <f t="shared" si="554"/>
        <v>1447.7398688575352</v>
      </c>
      <c r="E562" s="11">
        <f t="shared" ref="E562:F562" ca="1" si="592">+D562*EXP(B562)</f>
        <v>1384.836091274401</v>
      </c>
      <c r="F562" s="11">
        <f t="shared" ca="1" si="592"/>
        <v>1618.0730995653962</v>
      </c>
      <c r="G562" s="12">
        <f t="shared" ca="1" si="556"/>
        <v>131.95691236022924</v>
      </c>
      <c r="H562" s="12">
        <f t="shared" ca="1" si="557"/>
        <v>185.49778330924255</v>
      </c>
    </row>
    <row r="563" spans="1:8" x14ac:dyDescent="0.35">
      <c r="A563" s="15">
        <v>550</v>
      </c>
      <c r="B563" s="10">
        <f t="shared" ca="1" si="552"/>
        <v>0.25895034848187903</v>
      </c>
      <c r="C563" s="10">
        <f t="shared" ca="1" si="553"/>
        <v>-5.0864453845284111E-2</v>
      </c>
      <c r="D563" s="11">
        <f t="shared" si="554"/>
        <v>1447.7398688575352</v>
      </c>
      <c r="E563" s="11">
        <f t="shared" ref="E563:F563" ca="1" si="593">+D563*EXP(B563)</f>
        <v>1875.6475836271306</v>
      </c>
      <c r="F563" s="11">
        <f t="shared" ca="1" si="593"/>
        <v>1782.6295043559751</v>
      </c>
      <c r="G563" s="12">
        <f t="shared" ca="1" si="556"/>
        <v>505.29342691091233</v>
      </c>
      <c r="H563" s="12">
        <f t="shared" ca="1" si="557"/>
        <v>328.0718910992257</v>
      </c>
    </row>
    <row r="564" spans="1:8" x14ac:dyDescent="0.35">
      <c r="A564" s="15">
        <v>551</v>
      </c>
      <c r="B564" s="10">
        <f t="shared" ca="1" si="552"/>
        <v>-1.9251404219601635E-2</v>
      </c>
      <c r="C564" s="10">
        <f t="shared" ca="1" si="553"/>
        <v>-0.21418671256036451</v>
      </c>
      <c r="D564" s="11">
        <f t="shared" si="554"/>
        <v>1447.7398688575352</v>
      </c>
      <c r="E564" s="11">
        <f t="shared" ref="E564:F564" ca="1" si="594">+D564*EXP(B564)</f>
        <v>1420.1354083021288</v>
      </c>
      <c r="F564" s="11">
        <f t="shared" ca="1" si="594"/>
        <v>1146.3299742190602</v>
      </c>
      <c r="G564" s="12">
        <f t="shared" ca="1" si="556"/>
        <v>151.76762379284742</v>
      </c>
      <c r="H564" s="12">
        <f t="shared" ca="1" si="557"/>
        <v>3.1474373349923823</v>
      </c>
    </row>
    <row r="565" spans="1:8" x14ac:dyDescent="0.35">
      <c r="A565" s="15">
        <v>552</v>
      </c>
      <c r="B565" s="10">
        <f t="shared" ca="1" si="552"/>
        <v>-3.3649330513152616E-3</v>
      </c>
      <c r="C565" s="10">
        <f t="shared" ca="1" si="553"/>
        <v>-7.9925331436457248E-2</v>
      </c>
      <c r="D565" s="11">
        <f t="shared" si="554"/>
        <v>1447.7398688575352</v>
      </c>
      <c r="E565" s="11">
        <f t="shared" ref="E565:F565" ca="1" si="595">+D565*EXP(B565)</f>
        <v>1442.8765081535901</v>
      </c>
      <c r="F565" s="11">
        <f t="shared" ca="1" si="595"/>
        <v>1332.042348469349</v>
      </c>
      <c r="G565" s="12">
        <f t="shared" ca="1" si="556"/>
        <v>165.27514846074484</v>
      </c>
      <c r="H565" s="12">
        <f t="shared" ca="1" si="557"/>
        <v>29.979328130219926</v>
      </c>
    </row>
    <row r="566" spans="1:8" x14ac:dyDescent="0.35">
      <c r="A566" s="15">
        <v>553</v>
      </c>
      <c r="B566" s="10">
        <f t="shared" ca="1" si="552"/>
        <v>-5.8302031371541663E-2</v>
      </c>
      <c r="C566" s="10">
        <f t="shared" ca="1" si="553"/>
        <v>-6.9561800047889144E-2</v>
      </c>
      <c r="D566" s="11">
        <f t="shared" si="554"/>
        <v>1447.7398688575352</v>
      </c>
      <c r="E566" s="11">
        <f t="shared" ref="E566:F566" ca="1" si="596">+D566*EXP(B566)</f>
        <v>1365.7470903826722</v>
      </c>
      <c r="F566" s="11">
        <f t="shared" ca="1" si="596"/>
        <v>1273.9722789232451</v>
      </c>
      <c r="G566" s="12">
        <f t="shared" ca="1" si="556"/>
        <v>121.84740177288495</v>
      </c>
      <c r="H566" s="12">
        <f t="shared" ca="1" si="557"/>
        <v>16.741089758115635</v>
      </c>
    </row>
    <row r="567" spans="1:8" x14ac:dyDescent="0.35">
      <c r="A567" s="15">
        <v>554</v>
      </c>
      <c r="B567" s="10">
        <f t="shared" ca="1" si="552"/>
        <v>0.11206610865365384</v>
      </c>
      <c r="C567" s="10">
        <f t="shared" ca="1" si="553"/>
        <v>-0.11755414494033073</v>
      </c>
      <c r="D567" s="11">
        <f t="shared" si="554"/>
        <v>1447.7398688575352</v>
      </c>
      <c r="E567" s="11">
        <f t="shared" ref="E567:F567" ca="1" si="597">+D567*EXP(B567)</f>
        <v>1619.4227165025611</v>
      </c>
      <c r="F567" s="11">
        <f t="shared" ca="1" si="597"/>
        <v>1439.8163820022451</v>
      </c>
      <c r="G567" s="12">
        <f t="shared" ca="1" si="556"/>
        <v>287.70041037211524</v>
      </c>
      <c r="H567" s="12">
        <f t="shared" ca="1" si="557"/>
        <v>70.76242119752294</v>
      </c>
    </row>
    <row r="568" spans="1:8" x14ac:dyDescent="0.35">
      <c r="A568" s="15">
        <v>555</v>
      </c>
      <c r="B568" s="10">
        <f t="shared" ca="1" si="552"/>
        <v>-4.9830409394086575E-2</v>
      </c>
      <c r="C568" s="10">
        <f t="shared" ca="1" si="553"/>
        <v>-1.6407253231592901E-2</v>
      </c>
      <c r="D568" s="11">
        <f t="shared" si="554"/>
        <v>1447.7398688575352</v>
      </c>
      <c r="E568" s="11">
        <f t="shared" ref="E568:F568" ca="1" si="598">+D568*EXP(B568)</f>
        <v>1377.3663308646298</v>
      </c>
      <c r="F568" s="11">
        <f t="shared" ca="1" si="598"/>
        <v>1354.9519150039894</v>
      </c>
      <c r="G568" s="12">
        <f t="shared" ca="1" si="556"/>
        <v>127.94972312113566</v>
      </c>
      <c r="H568" s="12">
        <f t="shared" ca="1" si="557"/>
        <v>36.796301411809111</v>
      </c>
    </row>
    <row r="569" spans="1:8" x14ac:dyDescent="0.35">
      <c r="A569" s="15">
        <v>556</v>
      </c>
      <c r="B569" s="10">
        <f t="shared" ca="1" si="552"/>
        <v>-0.17575236947239115</v>
      </c>
      <c r="C569" s="10">
        <f t="shared" ca="1" si="553"/>
        <v>-0.14679846003706173</v>
      </c>
      <c r="D569" s="11">
        <f t="shared" si="554"/>
        <v>1447.7398688575352</v>
      </c>
      <c r="E569" s="11">
        <f t="shared" ref="E569:F569" ca="1" si="599">+D569*EXP(B569)</f>
        <v>1214.4013748401605</v>
      </c>
      <c r="F569" s="11">
        <f t="shared" ca="1" si="599"/>
        <v>1048.5967059121485</v>
      </c>
      <c r="G569" s="12">
        <f t="shared" ca="1" si="556"/>
        <v>57.421599729687443</v>
      </c>
      <c r="H569" s="12">
        <f t="shared" ca="1" si="557"/>
        <v>0.54453085304745485</v>
      </c>
    </row>
    <row r="570" spans="1:8" x14ac:dyDescent="0.35">
      <c r="A570" s="15">
        <v>557</v>
      </c>
      <c r="B570" s="10">
        <f t="shared" ca="1" si="552"/>
        <v>4.9084232153931408E-2</v>
      </c>
      <c r="C570" s="10">
        <f t="shared" ca="1" si="553"/>
        <v>0.16713314946960969</v>
      </c>
      <c r="D570" s="11">
        <f t="shared" si="554"/>
        <v>1447.7398688575352</v>
      </c>
      <c r="E570" s="11">
        <f t="shared" ref="E570:F570" ca="1" si="600">+D570*EXP(B570)</f>
        <v>1520.5739486766649</v>
      </c>
      <c r="F570" s="11">
        <f t="shared" ca="1" si="600"/>
        <v>1797.184027735276</v>
      </c>
      <c r="G570" s="12">
        <f t="shared" ca="1" si="556"/>
        <v>215.55104350555632</v>
      </c>
      <c r="H570" s="12">
        <f t="shared" ca="1" si="557"/>
        <v>341.64784703460714</v>
      </c>
    </row>
    <row r="571" spans="1:8" x14ac:dyDescent="0.35">
      <c r="A571" s="15">
        <v>558</v>
      </c>
      <c r="B571" s="10">
        <f t="shared" ca="1" si="552"/>
        <v>0.13683709903644187</v>
      </c>
      <c r="C571" s="10">
        <f t="shared" ca="1" si="553"/>
        <v>-0.11117634558806527</v>
      </c>
      <c r="D571" s="11">
        <f t="shared" si="554"/>
        <v>1447.7398688575352</v>
      </c>
      <c r="E571" s="11">
        <f t="shared" ref="E571:F571" ca="1" si="601">+D571*EXP(B571)</f>
        <v>1660.0383894606782</v>
      </c>
      <c r="F571" s="11">
        <f t="shared" ca="1" si="601"/>
        <v>1485.3707177681695</v>
      </c>
      <c r="G571" s="12">
        <f t="shared" ca="1" si="556"/>
        <v>319.61502402703036</v>
      </c>
      <c r="H571" s="12">
        <f t="shared" ca="1" si="557"/>
        <v>94.783357283906753</v>
      </c>
    </row>
    <row r="572" spans="1:8" x14ac:dyDescent="0.35">
      <c r="A572" s="15">
        <v>559</v>
      </c>
      <c r="B572" s="10">
        <f t="shared" ca="1" si="552"/>
        <v>0.27663012274001997</v>
      </c>
      <c r="C572" s="10">
        <f t="shared" ca="1" si="553"/>
        <v>0.19209085115921934</v>
      </c>
      <c r="D572" s="11">
        <f t="shared" si="554"/>
        <v>1447.7398688575352</v>
      </c>
      <c r="E572" s="11">
        <f t="shared" ref="E572:F572" ca="1" si="602">+D572*EXP(B572)</f>
        <v>1909.1034844300318</v>
      </c>
      <c r="F572" s="11">
        <f t="shared" ca="1" si="602"/>
        <v>2313.4145727674249</v>
      </c>
      <c r="G572" s="12">
        <f t="shared" ca="1" si="556"/>
        <v>535.93018570602317</v>
      </c>
      <c r="H572" s="12">
        <f t="shared" ca="1" si="557"/>
        <v>850.49107462339111</v>
      </c>
    </row>
    <row r="573" spans="1:8" x14ac:dyDescent="0.35">
      <c r="A573" s="15">
        <v>560</v>
      </c>
      <c r="B573" s="10">
        <f t="shared" ca="1" si="552"/>
        <v>0.11512396609919677</v>
      </c>
      <c r="C573" s="10">
        <f t="shared" ca="1" si="553"/>
        <v>2.9076160634415118E-2</v>
      </c>
      <c r="D573" s="11">
        <f t="shared" si="554"/>
        <v>1447.7398688575352</v>
      </c>
      <c r="E573" s="11">
        <f t="shared" ref="E573:F573" ca="1" si="603">+D573*EXP(B573)</f>
        <v>1624.3822592365245</v>
      </c>
      <c r="F573" s="11">
        <f t="shared" ca="1" si="603"/>
        <v>1672.3064075541565</v>
      </c>
      <c r="G573" s="12">
        <f t="shared" ca="1" si="556"/>
        <v>291.5324542103798</v>
      </c>
      <c r="H573" s="12">
        <f t="shared" ca="1" si="557"/>
        <v>229.72628306299362</v>
      </c>
    </row>
    <row r="574" spans="1:8" x14ac:dyDescent="0.35">
      <c r="A574" s="15">
        <v>561</v>
      </c>
      <c r="B574" s="10">
        <f t="shared" ca="1" si="552"/>
        <v>4.0075168692221913E-2</v>
      </c>
      <c r="C574" s="10">
        <f t="shared" ca="1" si="553"/>
        <v>6.4951929365413108E-2</v>
      </c>
      <c r="D574" s="11">
        <f t="shared" si="554"/>
        <v>1447.7398688575352</v>
      </c>
      <c r="E574" s="11">
        <f t="shared" ref="E574:F574" ca="1" si="604">+D574*EXP(B574)</f>
        <v>1506.9365239253234</v>
      </c>
      <c r="F574" s="11">
        <f t="shared" ca="1" si="604"/>
        <v>1608.0636081849782</v>
      </c>
      <c r="G574" s="12">
        <f t="shared" ca="1" si="556"/>
        <v>206.28643415677402</v>
      </c>
      <c r="H574" s="12">
        <f t="shared" ca="1" si="557"/>
        <v>177.72282674581606</v>
      </c>
    </row>
    <row r="575" spans="1:8" x14ac:dyDescent="0.35">
      <c r="A575" s="15">
        <v>562</v>
      </c>
      <c r="B575" s="10">
        <f t="shared" ca="1" si="552"/>
        <v>0.18763094941939346</v>
      </c>
      <c r="C575" s="10">
        <f t="shared" ca="1" si="553"/>
        <v>0.24383668825501911</v>
      </c>
      <c r="D575" s="11">
        <f t="shared" si="554"/>
        <v>1447.7398688575352</v>
      </c>
      <c r="E575" s="11">
        <f t="shared" ref="E575:F575" ca="1" si="605">+D575*EXP(B575)</f>
        <v>1746.5363160513284</v>
      </c>
      <c r="F575" s="11">
        <f t="shared" ca="1" si="605"/>
        <v>2228.817703153994</v>
      </c>
      <c r="G575" s="12">
        <f t="shared" ca="1" si="556"/>
        <v>391.21546181036229</v>
      </c>
      <c r="H575" s="12">
        <f t="shared" ca="1" si="557"/>
        <v>765.95844594876121</v>
      </c>
    </row>
    <row r="576" spans="1:8" x14ac:dyDescent="0.35">
      <c r="A576" s="15">
        <v>563</v>
      </c>
      <c r="B576" s="10">
        <f t="shared" ca="1" si="552"/>
        <v>0.21125247199793667</v>
      </c>
      <c r="C576" s="10">
        <f t="shared" ca="1" si="553"/>
        <v>-0.27120392417635009</v>
      </c>
      <c r="D576" s="11">
        <f t="shared" si="554"/>
        <v>1447.7398688575352</v>
      </c>
      <c r="E576" s="11">
        <f t="shared" ref="E576:F576" ca="1" si="606">+D576*EXP(B576)</f>
        <v>1788.283285431404</v>
      </c>
      <c r="F576" s="11">
        <f t="shared" ca="1" si="606"/>
        <v>1363.4962555121044</v>
      </c>
      <c r="G576" s="12">
        <f t="shared" ca="1" si="556"/>
        <v>427.27940496026213</v>
      </c>
      <c r="H576" s="12">
        <f t="shared" ca="1" si="557"/>
        <v>39.586797946527497</v>
      </c>
    </row>
    <row r="577" spans="1:8" x14ac:dyDescent="0.35">
      <c r="A577" s="15">
        <v>564</v>
      </c>
      <c r="B577" s="10">
        <f t="shared" ca="1" si="552"/>
        <v>0.10458157817332688</v>
      </c>
      <c r="C577" s="10">
        <f t="shared" ca="1" si="553"/>
        <v>-0.18902651794820366</v>
      </c>
      <c r="D577" s="11">
        <f t="shared" si="554"/>
        <v>1447.7398688575352</v>
      </c>
      <c r="E577" s="11">
        <f t="shared" ref="E577:F577" ca="1" si="607">+D577*EXP(B577)</f>
        <v>1607.3473434392399</v>
      </c>
      <c r="F577" s="11">
        <f t="shared" ca="1" si="607"/>
        <v>1330.5051597359072</v>
      </c>
      <c r="G577" s="12">
        <f t="shared" ca="1" si="556"/>
        <v>278.44929078892869</v>
      </c>
      <c r="H577" s="12">
        <f t="shared" ca="1" si="557"/>
        <v>29.555849005596201</v>
      </c>
    </row>
    <row r="578" spans="1:8" x14ac:dyDescent="0.35">
      <c r="A578" s="15">
        <v>565</v>
      </c>
      <c r="B578" s="10">
        <f t="shared" ca="1" si="552"/>
        <v>-3.6173417721016746E-2</v>
      </c>
      <c r="C578" s="10">
        <f t="shared" ca="1" si="553"/>
        <v>-0.21917590257680394</v>
      </c>
      <c r="D578" s="11">
        <f t="shared" si="554"/>
        <v>1447.7398688575352</v>
      </c>
      <c r="E578" s="11">
        <f t="shared" ref="E578:F578" ca="1" si="608">+D578*EXP(B578)</f>
        <v>1396.306046772215</v>
      </c>
      <c r="F578" s="11">
        <f t="shared" ca="1" si="608"/>
        <v>1121.4856829885041</v>
      </c>
      <c r="G578" s="12">
        <f t="shared" ca="1" si="556"/>
        <v>138.2369191613335</v>
      </c>
      <c r="H578" s="12">
        <f t="shared" ca="1" si="557"/>
        <v>2.1071846525392672</v>
      </c>
    </row>
    <row r="579" spans="1:8" x14ac:dyDescent="0.35">
      <c r="A579" s="15">
        <v>566</v>
      </c>
      <c r="B579" s="10">
        <f t="shared" ca="1" si="552"/>
        <v>-9.2721806061370926E-2</v>
      </c>
      <c r="C579" s="10">
        <f t="shared" ca="1" si="553"/>
        <v>-3.4973292259460678E-2</v>
      </c>
      <c r="D579" s="11">
        <f t="shared" si="554"/>
        <v>1447.7398688575352</v>
      </c>
      <c r="E579" s="11">
        <f t="shared" ref="E579:F579" ca="1" si="609">+D579*EXP(B579)</f>
        <v>1319.5381950942099</v>
      </c>
      <c r="F579" s="11">
        <f t="shared" ca="1" si="609"/>
        <v>1274.1872583499601</v>
      </c>
      <c r="G579" s="12">
        <f t="shared" ca="1" si="556"/>
        <v>99.184669568533025</v>
      </c>
      <c r="H579" s="12">
        <f t="shared" ca="1" si="557"/>
        <v>16.780271090506687</v>
      </c>
    </row>
    <row r="580" spans="1:8" x14ac:dyDescent="0.35">
      <c r="A580" s="15">
        <v>567</v>
      </c>
      <c r="B580" s="10">
        <f t="shared" ca="1" si="552"/>
        <v>2.2135394663400906E-2</v>
      </c>
      <c r="C580" s="10">
        <f t="shared" ca="1" si="553"/>
        <v>-1.5397699972302462E-3</v>
      </c>
      <c r="D580" s="11">
        <f t="shared" si="554"/>
        <v>1447.7398688575352</v>
      </c>
      <c r="E580" s="11">
        <f t="shared" ref="E580:F580" ca="1" si="610">+D580*EXP(B580)</f>
        <v>1480.1434724307258</v>
      </c>
      <c r="F580" s="11">
        <f t="shared" ca="1" si="610"/>
        <v>1477.8661456499474</v>
      </c>
      <c r="G580" s="12">
        <f t="shared" ca="1" si="556"/>
        <v>188.61842704299488</v>
      </c>
      <c r="H580" s="12">
        <f t="shared" ca="1" si="557"/>
        <v>90.553244050041485</v>
      </c>
    </row>
    <row r="581" spans="1:8" x14ac:dyDescent="0.35">
      <c r="A581" s="15">
        <v>568</v>
      </c>
      <c r="B581" s="10">
        <f t="shared" ca="1" si="552"/>
        <v>-0.17279560588550835</v>
      </c>
      <c r="C581" s="10">
        <f t="shared" ca="1" si="553"/>
        <v>-0.13293760588460424</v>
      </c>
      <c r="D581" s="11">
        <f t="shared" si="554"/>
        <v>1447.7398688575352</v>
      </c>
      <c r="E581" s="11">
        <f t="shared" ref="E581:F581" ca="1" si="611">+D581*EXP(B581)</f>
        <v>1217.9973862631359</v>
      </c>
      <c r="F581" s="11">
        <f t="shared" ca="1" si="611"/>
        <v>1066.3807277596018</v>
      </c>
      <c r="G581" s="12">
        <f t="shared" ca="1" si="556"/>
        <v>58.624394418429176</v>
      </c>
      <c r="H581" s="12">
        <f t="shared" ca="1" si="557"/>
        <v>0.77757791522236097</v>
      </c>
    </row>
    <row r="582" spans="1:8" x14ac:dyDescent="0.35">
      <c r="A582" s="15">
        <v>569</v>
      </c>
      <c r="B582" s="10">
        <f t="shared" ca="1" si="552"/>
        <v>0.20198229360938574</v>
      </c>
      <c r="C582" s="10">
        <f t="shared" ca="1" si="553"/>
        <v>0.11438612752933348</v>
      </c>
      <c r="D582" s="11">
        <f t="shared" si="554"/>
        <v>1447.7398688575352</v>
      </c>
      <c r="E582" s="11">
        <f t="shared" ref="E582:F582" ca="1" si="612">+D582*EXP(B582)</f>
        <v>1771.7821826195413</v>
      </c>
      <c r="F582" s="11">
        <f t="shared" ca="1" si="612"/>
        <v>1986.4955385483747</v>
      </c>
      <c r="G582" s="12">
        <f t="shared" ca="1" si="556"/>
        <v>412.92005234114094</v>
      </c>
      <c r="H582" s="12">
        <f t="shared" ca="1" si="557"/>
        <v>524.83595901161357</v>
      </c>
    </row>
    <row r="583" spans="1:8" x14ac:dyDescent="0.35">
      <c r="A583" s="15">
        <v>570</v>
      </c>
      <c r="B583" s="10">
        <f t="shared" ca="1" si="552"/>
        <v>3.3838130299628164E-2</v>
      </c>
      <c r="C583" s="10">
        <f t="shared" ca="1" si="553"/>
        <v>-0.25545903655691082</v>
      </c>
      <c r="D583" s="11">
        <f t="shared" si="554"/>
        <v>1447.7398688575352</v>
      </c>
      <c r="E583" s="11">
        <f t="shared" ref="E583:F583" ca="1" si="613">+D583*EXP(B583)</f>
        <v>1497.5669525321634</v>
      </c>
      <c r="F583" s="11">
        <f t="shared" ca="1" si="613"/>
        <v>1159.9567535355734</v>
      </c>
      <c r="G583" s="12">
        <f t="shared" ca="1" si="556"/>
        <v>200.02630559470003</v>
      </c>
      <c r="H583" s="12">
        <f t="shared" ca="1" si="557"/>
        <v>3.8768207485468409</v>
      </c>
    </row>
    <row r="584" spans="1:8" x14ac:dyDescent="0.35">
      <c r="A584" s="15">
        <v>571</v>
      </c>
      <c r="B584" s="10">
        <f t="shared" ca="1" si="552"/>
        <v>0.15102592434701956</v>
      </c>
      <c r="C584" s="10">
        <f t="shared" ca="1" si="553"/>
        <v>0.1710222606968983</v>
      </c>
      <c r="D584" s="11">
        <f t="shared" si="554"/>
        <v>1447.7398688575352</v>
      </c>
      <c r="E584" s="11">
        <f t="shared" ref="E584:F584" ca="1" si="614">+D584*EXP(B584)</f>
        <v>1683.7602790730996</v>
      </c>
      <c r="F584" s="11">
        <f t="shared" ca="1" si="614"/>
        <v>1997.8104668487188</v>
      </c>
      <c r="G584" s="12">
        <f t="shared" ca="1" si="556"/>
        <v>338.78803968923899</v>
      </c>
      <c r="H584" s="12">
        <f t="shared" ca="1" si="557"/>
        <v>536.01390862837161</v>
      </c>
    </row>
    <row r="585" spans="1:8" x14ac:dyDescent="0.35">
      <c r="A585" s="15">
        <v>572</v>
      </c>
      <c r="B585" s="10">
        <f t="shared" ca="1" si="552"/>
        <v>8.8931621150283843E-2</v>
      </c>
      <c r="C585" s="10">
        <f t="shared" ca="1" si="553"/>
        <v>0.15819756070664531</v>
      </c>
      <c r="D585" s="11">
        <f t="shared" si="554"/>
        <v>1447.7398688575352</v>
      </c>
      <c r="E585" s="11">
        <f t="shared" ref="E585:F585" ca="1" si="615">+D585*EXP(B585)</f>
        <v>1582.3882404534586</v>
      </c>
      <c r="F585" s="11">
        <f t="shared" ca="1" si="615"/>
        <v>1853.6057776183595</v>
      </c>
      <c r="G585" s="12">
        <f t="shared" ca="1" si="556"/>
        <v>259.69531405194971</v>
      </c>
      <c r="H585" s="12">
        <f t="shared" ca="1" si="557"/>
        <v>395.17428718740302</v>
      </c>
    </row>
    <row r="586" spans="1:8" x14ac:dyDescent="0.35">
      <c r="A586" s="15">
        <v>573</v>
      </c>
      <c r="B586" s="10">
        <f t="shared" ca="1" si="552"/>
        <v>8.6683227343997429E-2</v>
      </c>
      <c r="C586" s="10">
        <f t="shared" ca="1" si="553"/>
        <v>-1.1814347666215488E-2</v>
      </c>
      <c r="D586" s="11">
        <f t="shared" si="554"/>
        <v>1447.7398688575352</v>
      </c>
      <c r="E586" s="11">
        <f t="shared" ref="E586:F586" ca="1" si="616">+D586*EXP(B586)</f>
        <v>1578.8344052421558</v>
      </c>
      <c r="F586" s="11">
        <f t="shared" ca="1" si="616"/>
        <v>1560.2912599393046</v>
      </c>
      <c r="G586" s="12">
        <f t="shared" ca="1" si="556"/>
        <v>257.06661043028146</v>
      </c>
      <c r="H586" s="12">
        <f t="shared" ca="1" si="557"/>
        <v>142.54611576560808</v>
      </c>
    </row>
    <row r="587" spans="1:8" x14ac:dyDescent="0.35">
      <c r="A587" s="15">
        <v>574</v>
      </c>
      <c r="B587" s="10">
        <f t="shared" ca="1" si="552"/>
        <v>-3.6763476137475354E-4</v>
      </c>
      <c r="C587" s="10">
        <f t="shared" ca="1" si="553"/>
        <v>1.328492514373885E-2</v>
      </c>
      <c r="D587" s="11">
        <f t="shared" si="554"/>
        <v>1447.7398688575352</v>
      </c>
      <c r="E587" s="11">
        <f t="shared" ref="E587:F587" ca="1" si="617">+D587*EXP(B587)</f>
        <v>1447.2077271791979</v>
      </c>
      <c r="F587" s="11">
        <f t="shared" ca="1" si="617"/>
        <v>1466.5620492102876</v>
      </c>
      <c r="G587" s="12">
        <f t="shared" ca="1" si="556"/>
        <v>167.91212649940428</v>
      </c>
      <c r="H587" s="12">
        <f t="shared" ca="1" si="557"/>
        <v>84.382632451644326</v>
      </c>
    </row>
    <row r="588" spans="1:8" x14ac:dyDescent="0.35">
      <c r="A588" s="15">
        <v>575</v>
      </c>
      <c r="B588" s="10">
        <f t="shared" ca="1" si="552"/>
        <v>-0.1415132200866035</v>
      </c>
      <c r="C588" s="10">
        <f t="shared" ca="1" si="553"/>
        <v>1.1280457666819847E-2</v>
      </c>
      <c r="D588" s="11">
        <f t="shared" si="554"/>
        <v>1447.7398688575352</v>
      </c>
      <c r="E588" s="11">
        <f t="shared" ref="E588:F588" ca="1" si="618">+D588*EXP(B588)</f>
        <v>1256.7014722502602</v>
      </c>
      <c r="F588" s="11">
        <f t="shared" ca="1" si="618"/>
        <v>1270.9578983376055</v>
      </c>
      <c r="G588" s="12">
        <f t="shared" ca="1" si="556"/>
        <v>72.577332393679342</v>
      </c>
      <c r="H588" s="12">
        <f t="shared" ca="1" si="557"/>
        <v>16.198812291164273</v>
      </c>
    </row>
    <row r="589" spans="1:8" x14ac:dyDescent="0.35">
      <c r="A589" s="15">
        <v>576</v>
      </c>
      <c r="B589" s="10">
        <f t="shared" ca="1" si="552"/>
        <v>9.1774403953137379E-2</v>
      </c>
      <c r="C589" s="10">
        <f t="shared" ca="1" si="553"/>
        <v>2.6705376103561315E-2</v>
      </c>
      <c r="D589" s="11">
        <f t="shared" si="554"/>
        <v>1447.7398688575352</v>
      </c>
      <c r="E589" s="11">
        <f t="shared" ref="E589:F589" ca="1" si="619">+D589*EXP(B589)</f>
        <v>1586.8930265613433</v>
      </c>
      <c r="F589" s="11">
        <f t="shared" ca="1" si="619"/>
        <v>1629.842540614379</v>
      </c>
      <c r="G589" s="12">
        <f t="shared" ca="1" si="556"/>
        <v>263.04256117656007</v>
      </c>
      <c r="H589" s="12">
        <f t="shared" ca="1" si="557"/>
        <v>194.80381904286764</v>
      </c>
    </row>
    <row r="590" spans="1:8" x14ac:dyDescent="0.35">
      <c r="A590" s="15">
        <v>577</v>
      </c>
      <c r="B590" s="10">
        <f t="shared" ca="1" si="552"/>
        <v>2.676627017331628E-2</v>
      </c>
      <c r="C590" s="10">
        <f t="shared" ca="1" si="553"/>
        <v>8.2172397261486396E-2</v>
      </c>
      <c r="D590" s="11">
        <f t="shared" si="554"/>
        <v>1447.7398688575352</v>
      </c>
      <c r="E590" s="11">
        <f t="shared" ref="E590:F590" ca="1" si="620">+D590*EXP(B590)</f>
        <v>1487.0137279596847</v>
      </c>
      <c r="F590" s="11">
        <f t="shared" ca="1" si="620"/>
        <v>1614.3659785951245</v>
      </c>
      <c r="G590" s="12">
        <f t="shared" ca="1" si="556"/>
        <v>193.07999750146325</v>
      </c>
      <c r="H590" s="12">
        <f t="shared" ca="1" si="557"/>
        <v>182.60298317141064</v>
      </c>
    </row>
    <row r="591" spans="1:8" x14ac:dyDescent="0.35">
      <c r="A591" s="15">
        <v>578</v>
      </c>
      <c r="B591" s="10">
        <f t="shared" ref="B591:B654" ca="1" si="621">+($B$6-0.5*$B$10^2)*$H$4+$B$10*SQRT($H$4)*_xlfn.NORM.S.INV(RAND())</f>
        <v>0.10668316939017294</v>
      </c>
      <c r="C591" s="10">
        <f t="shared" ref="C591:C654" ca="1" si="622">+($B$6-0.5*$B$10^2)+$B$10*_xlfn.NORM.S.INV(RAND())</f>
        <v>-3.220251758983441E-2</v>
      </c>
      <c r="D591" s="11">
        <f t="shared" ref="D591:D654" si="623">+$B$9</f>
        <v>1447.7398688575352</v>
      </c>
      <c r="E591" s="11">
        <f t="shared" ref="E591:F591" ca="1" si="624">+D591*EXP(B591)</f>
        <v>1610.7288825604917</v>
      </c>
      <c r="F591" s="11">
        <f t="shared" ca="1" si="624"/>
        <v>1559.6856289442894</v>
      </c>
      <c r="G591" s="12">
        <f t="shared" ref="G591:G654" ca="1" si="625">+BlackScholesCall(E591,$B$4,$B$10,$B$6,$B$7-$H$4)</f>
        <v>281.02851275785645</v>
      </c>
      <c r="H591" s="12">
        <f t="shared" ref="H591:H654" ca="1" si="626">+BlackScholesCall(F591,$B$4,$B$10,$B$6,$B$7-$I$4)</f>
        <v>142.12209688127575</v>
      </c>
    </row>
    <row r="592" spans="1:8" x14ac:dyDescent="0.35">
      <c r="A592" s="15">
        <v>579</v>
      </c>
      <c r="B592" s="10">
        <f t="shared" ca="1" si="621"/>
        <v>-5.128563072427654E-2</v>
      </c>
      <c r="C592" s="10">
        <f t="shared" ca="1" si="622"/>
        <v>3.9376041416407798E-4</v>
      </c>
      <c r="D592" s="11">
        <f t="shared" si="623"/>
        <v>1447.7398688575352</v>
      </c>
      <c r="E592" s="11">
        <f t="shared" ref="E592:F592" ca="1" si="627">+D592*EXP(B592)</f>
        <v>1375.3634156963672</v>
      </c>
      <c r="F592" s="11">
        <f t="shared" ca="1" si="627"/>
        <v>1375.905086001721</v>
      </c>
      <c r="G592" s="12">
        <f t="shared" ca="1" si="625"/>
        <v>126.88641070545793</v>
      </c>
      <c r="H592" s="12">
        <f t="shared" ca="1" si="626"/>
        <v>43.88531094975059</v>
      </c>
    </row>
    <row r="593" spans="1:8" x14ac:dyDescent="0.35">
      <c r="A593" s="15">
        <v>580</v>
      </c>
      <c r="B593" s="10">
        <f t="shared" ca="1" si="621"/>
        <v>-1.4986103603348882E-2</v>
      </c>
      <c r="C593" s="10">
        <f t="shared" ca="1" si="622"/>
        <v>0.2411796379193924</v>
      </c>
      <c r="D593" s="11">
        <f t="shared" si="623"/>
        <v>1447.7398688575352</v>
      </c>
      <c r="E593" s="11">
        <f t="shared" ref="E593:F593" ca="1" si="628">+D593*EXP(B593)</f>
        <v>1426.2056492326315</v>
      </c>
      <c r="F593" s="11">
        <f t="shared" ca="1" si="628"/>
        <v>1815.2027392809682</v>
      </c>
      <c r="G593" s="12">
        <f t="shared" ca="1" si="625"/>
        <v>155.31706923830063</v>
      </c>
      <c r="H593" s="12">
        <f t="shared" ca="1" si="626"/>
        <v>358.59795074545104</v>
      </c>
    </row>
    <row r="594" spans="1:8" x14ac:dyDescent="0.35">
      <c r="A594" s="15">
        <v>581</v>
      </c>
      <c r="B594" s="10">
        <f t="shared" ca="1" si="621"/>
        <v>-0.25252667555260905</v>
      </c>
      <c r="C594" s="10">
        <f t="shared" ca="1" si="622"/>
        <v>0.30801867215259804</v>
      </c>
      <c r="D594" s="11">
        <f t="shared" si="623"/>
        <v>1447.7398688575352</v>
      </c>
      <c r="E594" s="11">
        <f t="shared" ref="E594:F594" ca="1" si="629">+D594*EXP(B594)</f>
        <v>1124.6557104844292</v>
      </c>
      <c r="F594" s="11">
        <f t="shared" ca="1" si="629"/>
        <v>1530.3487121078808</v>
      </c>
      <c r="G594" s="12">
        <f t="shared" ca="1" si="625"/>
        <v>32.385912439664338</v>
      </c>
      <c r="H594" s="12">
        <f t="shared" ca="1" si="626"/>
        <v>122.29469631896882</v>
      </c>
    </row>
    <row r="595" spans="1:8" x14ac:dyDescent="0.35">
      <c r="A595" s="15">
        <v>582</v>
      </c>
      <c r="B595" s="10">
        <f t="shared" ca="1" si="621"/>
        <v>0.13934569667086927</v>
      </c>
      <c r="C595" s="10">
        <f t="shared" ca="1" si="622"/>
        <v>-0.11984447492090938</v>
      </c>
      <c r="D595" s="11">
        <f t="shared" si="623"/>
        <v>1447.7398688575352</v>
      </c>
      <c r="E595" s="11">
        <f t="shared" ref="E595:F595" ca="1" si="630">+D595*EXP(B595)</f>
        <v>1664.2079855703796</v>
      </c>
      <c r="F595" s="11">
        <f t="shared" ca="1" si="630"/>
        <v>1476.2496493408585</v>
      </c>
      <c r="G595" s="12">
        <f t="shared" ca="1" si="625"/>
        <v>322.95771366511349</v>
      </c>
      <c r="H595" s="12">
        <f t="shared" ca="1" si="626"/>
        <v>89.655962917188504</v>
      </c>
    </row>
    <row r="596" spans="1:8" x14ac:dyDescent="0.35">
      <c r="A596" s="15">
        <v>583</v>
      </c>
      <c r="B596" s="10">
        <f t="shared" ca="1" si="621"/>
        <v>3.8833632669374396E-2</v>
      </c>
      <c r="C596" s="10">
        <f t="shared" ca="1" si="622"/>
        <v>0.22165693027944175</v>
      </c>
      <c r="D596" s="11">
        <f t="shared" si="623"/>
        <v>1447.7398688575352</v>
      </c>
      <c r="E596" s="11">
        <f t="shared" ref="E596:F596" ca="1" si="631">+D596*EXP(B596)</f>
        <v>1505.0667688710241</v>
      </c>
      <c r="F596" s="11">
        <f t="shared" ca="1" si="631"/>
        <v>1878.5387090753877</v>
      </c>
      <c r="G596" s="12">
        <f t="shared" ca="1" si="625"/>
        <v>205.03028350764657</v>
      </c>
      <c r="H596" s="12">
        <f t="shared" ca="1" si="626"/>
        <v>419.19327598845211</v>
      </c>
    </row>
    <row r="597" spans="1:8" x14ac:dyDescent="0.35">
      <c r="A597" s="15">
        <v>584</v>
      </c>
      <c r="B597" s="10">
        <f t="shared" ca="1" si="621"/>
        <v>-0.15004092157058507</v>
      </c>
      <c r="C597" s="10">
        <f t="shared" ca="1" si="622"/>
        <v>-0.42465629154600326</v>
      </c>
      <c r="D597" s="11">
        <f t="shared" si="623"/>
        <v>1447.7398688575352</v>
      </c>
      <c r="E597" s="11">
        <f t="shared" ref="E597:F597" ca="1" si="632">+D597*EXP(B597)</f>
        <v>1246.0302623556158</v>
      </c>
      <c r="F597" s="11">
        <f t="shared" ca="1" si="632"/>
        <v>814.89697573659805</v>
      </c>
      <c r="G597" s="12">
        <f t="shared" ca="1" si="625"/>
        <v>68.545498669632991</v>
      </c>
      <c r="H597" s="12">
        <f t="shared" ca="1" si="626"/>
        <v>5.9273552587739767E-4</v>
      </c>
    </row>
    <row r="598" spans="1:8" x14ac:dyDescent="0.35">
      <c r="A598" s="15">
        <v>585</v>
      </c>
      <c r="B598" s="10">
        <f t="shared" ca="1" si="621"/>
        <v>6.5343848327709952E-2</v>
      </c>
      <c r="C598" s="10">
        <f t="shared" ca="1" si="622"/>
        <v>-0.21713430296498268</v>
      </c>
      <c r="D598" s="11">
        <f t="shared" si="623"/>
        <v>1447.7398688575352</v>
      </c>
      <c r="E598" s="11">
        <f t="shared" ref="E598:F598" ca="1" si="633">+D598*EXP(B598)</f>
        <v>1545.4999922468626</v>
      </c>
      <c r="F598" s="11">
        <f t="shared" ca="1" si="633"/>
        <v>1243.8521970637198</v>
      </c>
      <c r="G598" s="12">
        <f t="shared" ca="1" si="625"/>
        <v>232.9390151906847</v>
      </c>
      <c r="H598" s="12">
        <f t="shared" ca="1" si="626"/>
        <v>11.8926070649471</v>
      </c>
    </row>
    <row r="599" spans="1:8" x14ac:dyDescent="0.35">
      <c r="A599" s="15">
        <v>586</v>
      </c>
      <c r="B599" s="10">
        <f t="shared" ca="1" si="621"/>
        <v>-0.10584606383845435</v>
      </c>
      <c r="C599" s="10">
        <f t="shared" ca="1" si="622"/>
        <v>-4.2799167370930327E-2</v>
      </c>
      <c r="D599" s="11">
        <f t="shared" si="623"/>
        <v>1447.7398688575352</v>
      </c>
      <c r="E599" s="11">
        <f t="shared" ref="E599:F599" ca="1" si="634">+D599*EXP(B599)</f>
        <v>1302.3333828252009</v>
      </c>
      <c r="F599" s="11">
        <f t="shared" ca="1" si="634"/>
        <v>1247.7705489506632</v>
      </c>
      <c r="G599" s="12">
        <f t="shared" ca="1" si="625"/>
        <v>91.413218924139699</v>
      </c>
      <c r="H599" s="12">
        <f t="shared" ca="1" si="626"/>
        <v>12.454261099667406</v>
      </c>
    </row>
    <row r="600" spans="1:8" x14ac:dyDescent="0.35">
      <c r="A600" s="15">
        <v>587</v>
      </c>
      <c r="B600" s="10">
        <f t="shared" ca="1" si="621"/>
        <v>-0.11554456334384371</v>
      </c>
      <c r="C600" s="10">
        <f t="shared" ca="1" si="622"/>
        <v>-0.1359593968461196</v>
      </c>
      <c r="D600" s="11">
        <f t="shared" si="623"/>
        <v>1447.7398688575352</v>
      </c>
      <c r="E600" s="11">
        <f t="shared" ref="E600:F600" ca="1" si="635">+D600*EXP(B600)</f>
        <v>1289.7637549466142</v>
      </c>
      <c r="F600" s="11">
        <f t="shared" ca="1" si="635"/>
        <v>1125.8065015227603</v>
      </c>
      <c r="G600" s="12">
        <f t="shared" ca="1" si="625"/>
        <v>85.966800067315887</v>
      </c>
      <c r="H600" s="12">
        <f t="shared" ca="1" si="626"/>
        <v>2.2640788942961407</v>
      </c>
    </row>
    <row r="601" spans="1:8" x14ac:dyDescent="0.35">
      <c r="A601" s="15">
        <v>588</v>
      </c>
      <c r="B601" s="10">
        <f t="shared" ca="1" si="621"/>
        <v>5.8683867594909553E-2</v>
      </c>
      <c r="C601" s="10">
        <f t="shared" ca="1" si="622"/>
        <v>-1.522240279295789E-2</v>
      </c>
      <c r="D601" s="11">
        <f t="shared" si="623"/>
        <v>1447.7398688575352</v>
      </c>
      <c r="E601" s="11">
        <f t="shared" ref="E601:F601" ca="1" si="636">+D601*EXP(B601)</f>
        <v>1535.2411917022964</v>
      </c>
      <c r="F601" s="11">
        <f t="shared" ca="1" si="636"/>
        <v>1512.0481069962918</v>
      </c>
      <c r="G601" s="12">
        <f t="shared" ca="1" si="625"/>
        <v>225.71285426795919</v>
      </c>
      <c r="H601" s="12">
        <f t="shared" ca="1" si="626"/>
        <v>110.66387178044306</v>
      </c>
    </row>
    <row r="602" spans="1:8" x14ac:dyDescent="0.35">
      <c r="A602" s="15">
        <v>589</v>
      </c>
      <c r="B602" s="10">
        <f t="shared" ca="1" si="621"/>
        <v>5.1323606298857447E-2</v>
      </c>
      <c r="C602" s="10">
        <f t="shared" ca="1" si="622"/>
        <v>5.0310022643752325E-2</v>
      </c>
      <c r="D602" s="11">
        <f t="shared" si="623"/>
        <v>1447.7398688575352</v>
      </c>
      <c r="E602" s="11">
        <f t="shared" ref="E602:F602" ca="1" si="637">+D602*EXP(B602)</f>
        <v>1523.982898194887</v>
      </c>
      <c r="F602" s="11">
        <f t="shared" ca="1" si="637"/>
        <v>1602.6159424660646</v>
      </c>
      <c r="G602" s="12">
        <f t="shared" ca="1" si="625"/>
        <v>217.89478084780694</v>
      </c>
      <c r="H602" s="12">
        <f t="shared" ca="1" si="626"/>
        <v>173.54716879790658</v>
      </c>
    </row>
    <row r="603" spans="1:8" x14ac:dyDescent="0.35">
      <c r="A603" s="15">
        <v>590</v>
      </c>
      <c r="B603" s="10">
        <f t="shared" ca="1" si="621"/>
        <v>-2.8418290275437574E-2</v>
      </c>
      <c r="C603" s="10">
        <f t="shared" ca="1" si="622"/>
        <v>-0.29665480330335225</v>
      </c>
      <c r="D603" s="11">
        <f t="shared" si="623"/>
        <v>1447.7398688575352</v>
      </c>
      <c r="E603" s="11">
        <f t="shared" ref="E603:F603" ca="1" si="638">+D603*EXP(B603)</f>
        <v>1407.1766751906409</v>
      </c>
      <c r="F603" s="11">
        <f t="shared" ca="1" si="638"/>
        <v>1045.9552008047094</v>
      </c>
      <c r="G603" s="12">
        <f t="shared" ca="1" si="625"/>
        <v>144.32913324272181</v>
      </c>
      <c r="H603" s="12">
        <f t="shared" ca="1" si="626"/>
        <v>0.51566936783140882</v>
      </c>
    </row>
    <row r="604" spans="1:8" x14ac:dyDescent="0.35">
      <c r="A604" s="15">
        <v>591</v>
      </c>
      <c r="B604" s="10">
        <f t="shared" ca="1" si="621"/>
        <v>0.16342275354179975</v>
      </c>
      <c r="C604" s="10">
        <f t="shared" ca="1" si="622"/>
        <v>-0.17730556525844235</v>
      </c>
      <c r="D604" s="11">
        <f t="shared" si="623"/>
        <v>1447.7398688575352</v>
      </c>
      <c r="E604" s="11">
        <f t="shared" ref="E604:F604" ca="1" si="639">+D604*EXP(B604)</f>
        <v>1704.763485254736</v>
      </c>
      <c r="F604" s="11">
        <f t="shared" ca="1" si="639"/>
        <v>1427.780038700065</v>
      </c>
      <c r="G604" s="12">
        <f t="shared" ca="1" si="625"/>
        <v>356.06740645713762</v>
      </c>
      <c r="H604" s="12">
        <f t="shared" ca="1" si="626"/>
        <v>65.088231755780157</v>
      </c>
    </row>
    <row r="605" spans="1:8" x14ac:dyDescent="0.35">
      <c r="A605" s="15">
        <v>592</v>
      </c>
      <c r="B605" s="10">
        <f t="shared" ca="1" si="621"/>
        <v>-2.8581250792140425E-2</v>
      </c>
      <c r="C605" s="10">
        <f t="shared" ca="1" si="622"/>
        <v>-9.4167903603884412E-2</v>
      </c>
      <c r="D605" s="11">
        <f t="shared" si="623"/>
        <v>1447.7398688575352</v>
      </c>
      <c r="E605" s="11">
        <f t="shared" ref="E605:F605" ca="1" si="640">+D605*EXP(B605)</f>
        <v>1406.9473796361281</v>
      </c>
      <c r="F605" s="11">
        <f t="shared" ca="1" si="640"/>
        <v>1280.5049276196801</v>
      </c>
      <c r="G605" s="12">
        <f t="shared" ca="1" si="625"/>
        <v>144.1992310254019</v>
      </c>
      <c r="H605" s="12">
        <f t="shared" ca="1" si="626"/>
        <v>17.962266353615973</v>
      </c>
    </row>
    <row r="606" spans="1:8" x14ac:dyDescent="0.35">
      <c r="A606" s="15">
        <v>593</v>
      </c>
      <c r="B606" s="10">
        <f t="shared" ca="1" si="621"/>
        <v>-3.2154642279595115E-2</v>
      </c>
      <c r="C606" s="10">
        <f t="shared" ca="1" si="622"/>
        <v>0.39703434747223088</v>
      </c>
      <c r="D606" s="11">
        <f t="shared" si="623"/>
        <v>1447.7398688575352</v>
      </c>
      <c r="E606" s="11">
        <f t="shared" ref="E606:F606" ca="1" si="641">+D606*EXP(B606)</f>
        <v>1401.9287779010615</v>
      </c>
      <c r="F606" s="11">
        <f t="shared" ca="1" si="641"/>
        <v>2085.2387027691484</v>
      </c>
      <c r="G606" s="12">
        <f t="shared" ca="1" si="625"/>
        <v>141.37111631677874</v>
      </c>
      <c r="H606" s="12">
        <f t="shared" ca="1" si="626"/>
        <v>622.75856211459654</v>
      </c>
    </row>
    <row r="607" spans="1:8" x14ac:dyDescent="0.35">
      <c r="A607" s="15">
        <v>594</v>
      </c>
      <c r="B607" s="10">
        <f t="shared" ca="1" si="621"/>
        <v>0.22882623702909921</v>
      </c>
      <c r="C607" s="10">
        <f t="shared" ca="1" si="622"/>
        <v>-2.2380607372350876E-2</v>
      </c>
      <c r="D607" s="11">
        <f t="shared" si="623"/>
        <v>1447.7398688575352</v>
      </c>
      <c r="E607" s="11">
        <f t="shared" ref="E607:F607" ca="1" si="642">+D607*EXP(B607)</f>
        <v>1819.9879246788164</v>
      </c>
      <c r="F607" s="11">
        <f t="shared" ca="1" si="642"/>
        <v>1779.7079163522196</v>
      </c>
      <c r="G607" s="12">
        <f t="shared" ca="1" si="625"/>
        <v>455.22408736183274</v>
      </c>
      <c r="H607" s="12">
        <f t="shared" ca="1" si="626"/>
        <v>325.36015112567884</v>
      </c>
    </row>
    <row r="608" spans="1:8" x14ac:dyDescent="0.35">
      <c r="A608" s="15">
        <v>595</v>
      </c>
      <c r="B608" s="10">
        <f t="shared" ca="1" si="621"/>
        <v>1.0202020698376363E-2</v>
      </c>
      <c r="C608" s="10">
        <f t="shared" ca="1" si="622"/>
        <v>-0.16059670152651417</v>
      </c>
      <c r="D608" s="11">
        <f t="shared" si="623"/>
        <v>1447.7398688575352</v>
      </c>
      <c r="E608" s="11">
        <f t="shared" ref="E608:F608" ca="1" si="643">+D608*EXP(B608)</f>
        <v>1462.5853391018334</v>
      </c>
      <c r="F608" s="11">
        <f t="shared" ca="1" si="643"/>
        <v>1245.5895455735335</v>
      </c>
      <c r="G608" s="12">
        <f t="shared" ca="1" si="625"/>
        <v>177.43744842760611</v>
      </c>
      <c r="H608" s="12">
        <f t="shared" ca="1" si="626"/>
        <v>12.139206497158739</v>
      </c>
    </row>
    <row r="609" spans="1:8" x14ac:dyDescent="0.35">
      <c r="A609" s="15">
        <v>596</v>
      </c>
      <c r="B609" s="10">
        <f t="shared" ca="1" si="621"/>
        <v>-0.13603179698586465</v>
      </c>
      <c r="C609" s="10">
        <f t="shared" ca="1" si="622"/>
        <v>0.16628460543422108</v>
      </c>
      <c r="D609" s="11">
        <f t="shared" si="623"/>
        <v>1447.7398688575352</v>
      </c>
      <c r="E609" s="11">
        <f t="shared" ref="E609:F609" ca="1" si="644">+D609*EXP(B609)</f>
        <v>1263.6088986994023</v>
      </c>
      <c r="F609" s="11">
        <f t="shared" ca="1" si="644"/>
        <v>1492.2073067823292</v>
      </c>
      <c r="G609" s="12">
        <f t="shared" ca="1" si="625"/>
        <v>75.262456744234726</v>
      </c>
      <c r="H609" s="12">
        <f t="shared" ca="1" si="626"/>
        <v>98.728605500383082</v>
      </c>
    </row>
    <row r="610" spans="1:8" x14ac:dyDescent="0.35">
      <c r="A610" s="15">
        <v>597</v>
      </c>
      <c r="B610" s="10">
        <f t="shared" ca="1" si="621"/>
        <v>-2.0992540256678509E-2</v>
      </c>
      <c r="C610" s="10">
        <f t="shared" ca="1" si="622"/>
        <v>6.9662407416353225E-2</v>
      </c>
      <c r="D610" s="11">
        <f t="shared" si="623"/>
        <v>1447.7398688575352</v>
      </c>
      <c r="E610" s="11">
        <f t="shared" ref="E610:F610" ca="1" si="645">+D610*EXP(B610)</f>
        <v>1417.6649107255059</v>
      </c>
      <c r="F610" s="11">
        <f t="shared" ca="1" si="645"/>
        <v>1519.9440065831441</v>
      </c>
      <c r="G610" s="12">
        <f t="shared" ca="1" si="625"/>
        <v>150.33488068989834</v>
      </c>
      <c r="H610" s="12">
        <f t="shared" ca="1" si="626"/>
        <v>115.61026545698473</v>
      </c>
    </row>
    <row r="611" spans="1:8" x14ac:dyDescent="0.35">
      <c r="A611" s="15">
        <v>598</v>
      </c>
      <c r="B611" s="10">
        <f t="shared" ca="1" si="621"/>
        <v>7.8959436904719488E-2</v>
      </c>
      <c r="C611" s="10">
        <f t="shared" ca="1" si="622"/>
        <v>0.56807280774018687</v>
      </c>
      <c r="D611" s="11">
        <f t="shared" si="623"/>
        <v>1447.7398688575352</v>
      </c>
      <c r="E611" s="11">
        <f t="shared" ref="E611:F611" ca="1" si="646">+D611*EXP(B611)</f>
        <v>1566.686792356599</v>
      </c>
      <c r="F611" s="11">
        <f t="shared" ca="1" si="646"/>
        <v>2764.9868356350285</v>
      </c>
      <c r="G611" s="12">
        <f t="shared" ca="1" si="625"/>
        <v>248.16205301418586</v>
      </c>
      <c r="H611" s="12">
        <f t="shared" ca="1" si="626"/>
        <v>1302.0221634053214</v>
      </c>
    </row>
    <row r="612" spans="1:8" x14ac:dyDescent="0.35">
      <c r="A612" s="15">
        <v>599</v>
      </c>
      <c r="B612" s="10">
        <f t="shared" ca="1" si="621"/>
        <v>-0.29889292812217083</v>
      </c>
      <c r="C612" s="10">
        <f t="shared" ca="1" si="622"/>
        <v>-0.33738020514366784</v>
      </c>
      <c r="D612" s="11">
        <f t="shared" si="623"/>
        <v>1447.7398688575352</v>
      </c>
      <c r="E612" s="11">
        <f t="shared" ref="E612:F612" ca="1" si="647">+D612*EXP(B612)</f>
        <v>1073.7000790947702</v>
      </c>
      <c r="F612" s="11">
        <f t="shared" ca="1" si="647"/>
        <v>766.23259690665589</v>
      </c>
      <c r="G612" s="12">
        <f t="shared" ca="1" si="625"/>
        <v>22.167439614625152</v>
      </c>
      <c r="H612" s="12">
        <f t="shared" ca="1" si="626"/>
        <v>7.2332088653309558E-5</v>
      </c>
    </row>
    <row r="613" spans="1:8" x14ac:dyDescent="0.35">
      <c r="A613" s="15">
        <v>600</v>
      </c>
      <c r="B613" s="10">
        <f t="shared" ca="1" si="621"/>
        <v>0.19156202715408133</v>
      </c>
      <c r="C613" s="10">
        <f t="shared" ca="1" si="622"/>
        <v>-9.4171419134229536E-2</v>
      </c>
      <c r="D613" s="11">
        <f t="shared" si="623"/>
        <v>1447.7398688575352</v>
      </c>
      <c r="E613" s="11">
        <f t="shared" ref="E613:F613" ca="1" si="648">+D613*EXP(B613)</f>
        <v>1753.4155987146282</v>
      </c>
      <c r="F613" s="11">
        <f t="shared" ca="1" si="648"/>
        <v>1595.8304152381479</v>
      </c>
      <c r="G613" s="12">
        <f t="shared" ca="1" si="625"/>
        <v>397.09691374491786</v>
      </c>
      <c r="H613" s="12">
        <f t="shared" ca="1" si="626"/>
        <v>168.40269144320337</v>
      </c>
    </row>
    <row r="614" spans="1:8" x14ac:dyDescent="0.35">
      <c r="A614" s="15">
        <v>601</v>
      </c>
      <c r="B614" s="10">
        <f t="shared" ca="1" si="621"/>
        <v>-0.14589501080609546</v>
      </c>
      <c r="C614" s="10">
        <f t="shared" ca="1" si="622"/>
        <v>-0.25588523274655151</v>
      </c>
      <c r="D614" s="11">
        <f t="shared" si="623"/>
        <v>1447.7398688575352</v>
      </c>
      <c r="E614" s="11">
        <f t="shared" ref="E614:F614" ca="1" si="649">+D614*EXP(B614)</f>
        <v>1251.206916190685</v>
      </c>
      <c r="F614" s="11">
        <f t="shared" ca="1" si="649"/>
        <v>968.72295675990028</v>
      </c>
      <c r="G614" s="12">
        <f t="shared" ca="1" si="625"/>
        <v>70.483725885660022</v>
      </c>
      <c r="H614" s="12">
        <f t="shared" ca="1" si="626"/>
        <v>8.6411103114125254E-2</v>
      </c>
    </row>
    <row r="615" spans="1:8" x14ac:dyDescent="0.35">
      <c r="A615" s="15">
        <v>602</v>
      </c>
      <c r="B615" s="10">
        <f t="shared" ca="1" si="621"/>
        <v>2.810815180281067E-2</v>
      </c>
      <c r="C615" s="10">
        <f t="shared" ca="1" si="622"/>
        <v>3.5804193984177314E-2</v>
      </c>
      <c r="D615" s="11">
        <f t="shared" si="623"/>
        <v>1447.7398688575352</v>
      </c>
      <c r="E615" s="11">
        <f t="shared" ref="E615:F615" ca="1" si="650">+D615*EXP(B615)</f>
        <v>1489.0104637559639</v>
      </c>
      <c r="F615" s="11">
        <f t="shared" ca="1" si="650"/>
        <v>1543.2891878448661</v>
      </c>
      <c r="G615" s="12">
        <f t="shared" ca="1" si="625"/>
        <v>194.38568559217913</v>
      </c>
      <c r="H615" s="12">
        <f t="shared" ca="1" si="626"/>
        <v>130.86577131020715</v>
      </c>
    </row>
    <row r="616" spans="1:8" x14ac:dyDescent="0.35">
      <c r="A616" s="15">
        <v>603</v>
      </c>
      <c r="B616" s="10">
        <f t="shared" ca="1" si="621"/>
        <v>0.13995434799406387</v>
      </c>
      <c r="C616" s="10">
        <f t="shared" ca="1" si="622"/>
        <v>-1.4424302884784496E-2</v>
      </c>
      <c r="D616" s="11">
        <f t="shared" si="623"/>
        <v>1447.7398688575352</v>
      </c>
      <c r="E616" s="11">
        <f t="shared" ref="E616:F616" ca="1" si="651">+D616*EXP(B616)</f>
        <v>1665.2212162836954</v>
      </c>
      <c r="F616" s="11">
        <f t="shared" ca="1" si="651"/>
        <v>1641.3739645520106</v>
      </c>
      <c r="G616" s="12">
        <f t="shared" ca="1" si="625"/>
        <v>323.77179375653895</v>
      </c>
      <c r="H616" s="12">
        <f t="shared" ca="1" si="626"/>
        <v>204.08586744681475</v>
      </c>
    </row>
    <row r="617" spans="1:8" x14ac:dyDescent="0.35">
      <c r="A617" s="15">
        <v>604</v>
      </c>
      <c r="B617" s="10">
        <f t="shared" ca="1" si="621"/>
        <v>0.13641630264843074</v>
      </c>
      <c r="C617" s="10">
        <f t="shared" ca="1" si="622"/>
        <v>-8.8518302899176421E-2</v>
      </c>
      <c r="D617" s="11">
        <f t="shared" si="623"/>
        <v>1447.7398688575352</v>
      </c>
      <c r="E617" s="11">
        <f t="shared" ref="E617:F617" ca="1" si="652">+D617*EXP(B617)</f>
        <v>1659.3399982529875</v>
      </c>
      <c r="F617" s="11">
        <f t="shared" ca="1" si="652"/>
        <v>1518.7712639979145</v>
      </c>
      <c r="G617" s="12">
        <f t="shared" ca="1" si="625"/>
        <v>319.0563023177574</v>
      </c>
      <c r="H617" s="12">
        <f t="shared" ca="1" si="626"/>
        <v>114.86864991330538</v>
      </c>
    </row>
    <row r="618" spans="1:8" x14ac:dyDescent="0.35">
      <c r="A618" s="15">
        <v>605</v>
      </c>
      <c r="B618" s="10">
        <f t="shared" ca="1" si="621"/>
        <v>3.0009089764885803E-2</v>
      </c>
      <c r="C618" s="10">
        <f t="shared" ca="1" si="622"/>
        <v>0.12945970369052845</v>
      </c>
      <c r="D618" s="11">
        <f t="shared" si="623"/>
        <v>1447.7398688575352</v>
      </c>
      <c r="E618" s="11">
        <f t="shared" ref="E618:F618" ca="1" si="653">+D618*EXP(B618)</f>
        <v>1491.8436722961139</v>
      </c>
      <c r="F618" s="11">
        <f t="shared" ca="1" si="653"/>
        <v>1698.0362268972119</v>
      </c>
      <c r="G618" s="12">
        <f t="shared" ca="1" si="625"/>
        <v>196.24526149679252</v>
      </c>
      <c r="H618" s="12">
        <f t="shared" ca="1" si="626"/>
        <v>251.79442160647454</v>
      </c>
    </row>
    <row r="619" spans="1:8" x14ac:dyDescent="0.35">
      <c r="A619" s="15">
        <v>606</v>
      </c>
      <c r="B619" s="10">
        <f t="shared" ca="1" si="621"/>
        <v>-5.6209966071353007E-2</v>
      </c>
      <c r="C619" s="10">
        <f t="shared" ca="1" si="622"/>
        <v>-5.301054484084522E-2</v>
      </c>
      <c r="D619" s="11">
        <f t="shared" si="623"/>
        <v>1447.7398688575352</v>
      </c>
      <c r="E619" s="11">
        <f t="shared" ref="E619:F619" ca="1" si="654">+D619*EXP(B619)</f>
        <v>1368.6073133226739</v>
      </c>
      <c r="F619" s="11">
        <f t="shared" ca="1" si="654"/>
        <v>1297.9461341847496</v>
      </c>
      <c r="G619" s="12">
        <f t="shared" ca="1" si="625"/>
        <v>123.33470737767993</v>
      </c>
      <c r="H619" s="12">
        <f t="shared" ca="1" si="626"/>
        <v>21.542252228481004</v>
      </c>
    </row>
    <row r="620" spans="1:8" x14ac:dyDescent="0.35">
      <c r="A620" s="15">
        <v>607</v>
      </c>
      <c r="B620" s="10">
        <f t="shared" ca="1" si="621"/>
        <v>-0.17624659142336324</v>
      </c>
      <c r="C620" s="10">
        <f t="shared" ca="1" si="622"/>
        <v>0.70601763056117772</v>
      </c>
      <c r="D620" s="11">
        <f t="shared" si="623"/>
        <v>1447.7398688575352</v>
      </c>
      <c r="E620" s="11">
        <f t="shared" ref="E620:F620" ca="1" si="655">+D620*EXP(B620)</f>
        <v>1213.8013393110023</v>
      </c>
      <c r="F620" s="11">
        <f t="shared" ca="1" si="655"/>
        <v>2459.0489472497561</v>
      </c>
      <c r="G620" s="12">
        <f t="shared" ca="1" si="625"/>
        <v>57.222437519221671</v>
      </c>
      <c r="H620" s="12">
        <f t="shared" ca="1" si="626"/>
        <v>996.09186821503977</v>
      </c>
    </row>
    <row r="621" spans="1:8" x14ac:dyDescent="0.35">
      <c r="A621" s="15">
        <v>608</v>
      </c>
      <c r="B621" s="10">
        <f t="shared" ca="1" si="621"/>
        <v>-5.5308666156645807E-3</v>
      </c>
      <c r="C621" s="10">
        <f t="shared" ca="1" si="622"/>
        <v>-0.1817335091967979</v>
      </c>
      <c r="D621" s="11">
        <f t="shared" si="623"/>
        <v>1447.7398688575352</v>
      </c>
      <c r="E621" s="11">
        <f t="shared" ref="E621:F621" ca="1" si="656">+D621*EXP(B621)</f>
        <v>1439.7547155135296</v>
      </c>
      <c r="F621" s="11">
        <f t="shared" ca="1" si="656"/>
        <v>1200.5013406640483</v>
      </c>
      <c r="G621" s="12">
        <f t="shared" ca="1" si="625"/>
        <v>163.38715937998541</v>
      </c>
      <c r="H621" s="12">
        <f t="shared" ca="1" si="626"/>
        <v>6.8884154909860911</v>
      </c>
    </row>
    <row r="622" spans="1:8" x14ac:dyDescent="0.35">
      <c r="A622" s="15">
        <v>609</v>
      </c>
      <c r="B622" s="10">
        <f t="shared" ca="1" si="621"/>
        <v>0.30900399853195032</v>
      </c>
      <c r="C622" s="10">
        <f t="shared" ca="1" si="622"/>
        <v>-0.1840847309221422</v>
      </c>
      <c r="D622" s="11">
        <f t="shared" si="623"/>
        <v>1447.7398688575352</v>
      </c>
      <c r="E622" s="11">
        <f t="shared" ref="E622:F622" ca="1" si="657">+D622*EXP(B622)</f>
        <v>1971.9198824172972</v>
      </c>
      <c r="F622" s="11">
        <f t="shared" ca="1" si="657"/>
        <v>1640.3717563605069</v>
      </c>
      <c r="G622" s="12">
        <f t="shared" ca="1" si="625"/>
        <v>594.37300321138105</v>
      </c>
      <c r="H622" s="12">
        <f t="shared" ca="1" si="626"/>
        <v>203.27290828665059</v>
      </c>
    </row>
    <row r="623" spans="1:8" x14ac:dyDescent="0.35">
      <c r="A623" s="15">
        <v>610</v>
      </c>
      <c r="B623" s="10">
        <f t="shared" ca="1" si="621"/>
        <v>1.9651902911969867E-2</v>
      </c>
      <c r="C623" s="10">
        <f t="shared" ca="1" si="622"/>
        <v>0.14354764552894003</v>
      </c>
      <c r="D623" s="11">
        <f t="shared" si="623"/>
        <v>1447.7398688575352</v>
      </c>
      <c r="E623" s="11">
        <f t="shared" ref="E623:F623" ca="1" si="658">+D623*EXP(B623)</f>
        <v>1476.4721091132658</v>
      </c>
      <c r="F623" s="11">
        <f t="shared" ca="1" si="658"/>
        <v>1704.3830158119563</v>
      </c>
      <c r="G623" s="12">
        <f t="shared" ca="1" si="625"/>
        <v>186.25404588656761</v>
      </c>
      <c r="H623" s="12">
        <f t="shared" ca="1" si="626"/>
        <v>257.33097230693579</v>
      </c>
    </row>
    <row r="624" spans="1:8" x14ac:dyDescent="0.35">
      <c r="A624" s="15">
        <v>611</v>
      </c>
      <c r="B624" s="10">
        <f t="shared" ca="1" si="621"/>
        <v>2.095704670200195E-2</v>
      </c>
      <c r="C624" s="10">
        <f t="shared" ca="1" si="622"/>
        <v>0.36123574588388352</v>
      </c>
      <c r="D624" s="11">
        <f t="shared" si="623"/>
        <v>1447.7398688575352</v>
      </c>
      <c r="E624" s="11">
        <f t="shared" ref="E624:F624" ca="1" si="659">+D624*EXP(B624)</f>
        <v>1478.4003755764127</v>
      </c>
      <c r="F624" s="11">
        <f t="shared" ca="1" si="659"/>
        <v>2121.6549518960569</v>
      </c>
      <c r="G624" s="12">
        <f t="shared" ca="1" si="625"/>
        <v>187.49413221588361</v>
      </c>
      <c r="H624" s="12">
        <f t="shared" ca="1" si="626"/>
        <v>659.02231938767272</v>
      </c>
    </row>
    <row r="625" spans="1:8" x14ac:dyDescent="0.35">
      <c r="A625" s="15">
        <v>612</v>
      </c>
      <c r="B625" s="10">
        <f t="shared" ca="1" si="621"/>
        <v>-0.13207163623556928</v>
      </c>
      <c r="C625" s="10">
        <f t="shared" ca="1" si="622"/>
        <v>-0.19679849460193005</v>
      </c>
      <c r="D625" s="11">
        <f t="shared" si="623"/>
        <v>1447.7398688575352</v>
      </c>
      <c r="E625" s="11">
        <f t="shared" ref="E625:F625" ca="1" si="660">+D625*EXP(B625)</f>
        <v>1268.6229146655244</v>
      </c>
      <c r="F625" s="11">
        <f t="shared" ca="1" si="660"/>
        <v>1041.9912004274534</v>
      </c>
      <c r="G625" s="12">
        <f t="shared" ca="1" si="625"/>
        <v>77.248680542623049</v>
      </c>
      <c r="H625" s="12">
        <f t="shared" ca="1" si="626"/>
        <v>0.47483877511951178</v>
      </c>
    </row>
    <row r="626" spans="1:8" x14ac:dyDescent="0.35">
      <c r="A626" s="15">
        <v>613</v>
      </c>
      <c r="B626" s="10">
        <f t="shared" ca="1" si="621"/>
        <v>-0.10990541861682637</v>
      </c>
      <c r="C626" s="10">
        <f t="shared" ca="1" si="622"/>
        <v>0.20125831578421907</v>
      </c>
      <c r="D626" s="11">
        <f t="shared" si="623"/>
        <v>1447.7398688575352</v>
      </c>
      <c r="E626" s="11">
        <f t="shared" ref="E626:F626" ca="1" si="661">+D626*EXP(B626)</f>
        <v>1297.0574652400969</v>
      </c>
      <c r="F626" s="11">
        <f t="shared" ca="1" si="661"/>
        <v>1586.2242813326238</v>
      </c>
      <c r="G626" s="12">
        <f t="shared" ca="1" si="625"/>
        <v>89.103327124143391</v>
      </c>
      <c r="H626" s="12">
        <f t="shared" ca="1" si="626"/>
        <v>161.23017287224684</v>
      </c>
    </row>
    <row r="627" spans="1:8" x14ac:dyDescent="0.35">
      <c r="A627" s="15">
        <v>614</v>
      </c>
      <c r="B627" s="10">
        <f t="shared" ca="1" si="621"/>
        <v>-1.4577468104939505E-2</v>
      </c>
      <c r="C627" s="10">
        <f t="shared" ca="1" si="622"/>
        <v>0.48829791406785217</v>
      </c>
      <c r="D627" s="11">
        <f t="shared" si="623"/>
        <v>1447.7398688575352</v>
      </c>
      <c r="E627" s="11">
        <f t="shared" ref="E627:F627" ca="1" si="662">+D627*EXP(B627)</f>
        <v>1426.7885665811889</v>
      </c>
      <c r="F627" s="11">
        <f t="shared" ca="1" si="662"/>
        <v>2325.0093841126263</v>
      </c>
      <c r="G627" s="12">
        <f t="shared" ca="1" si="625"/>
        <v>155.66008329208307</v>
      </c>
      <c r="H627" s="12">
        <f t="shared" ca="1" si="626"/>
        <v>862.08082599598879</v>
      </c>
    </row>
    <row r="628" spans="1:8" x14ac:dyDescent="0.35">
      <c r="A628" s="15">
        <v>615</v>
      </c>
      <c r="B628" s="10">
        <f t="shared" ca="1" si="621"/>
        <v>-0.13474596149644164</v>
      </c>
      <c r="C628" s="10">
        <f t="shared" ca="1" si="622"/>
        <v>0.26759934109070727</v>
      </c>
      <c r="D628" s="11">
        <f t="shared" si="623"/>
        <v>1447.7398688575352</v>
      </c>
      <c r="E628" s="11">
        <f t="shared" ref="E628:F628" ca="1" si="663">+D628*EXP(B628)</f>
        <v>1265.2347369223346</v>
      </c>
      <c r="F628" s="11">
        <f t="shared" ca="1" si="663"/>
        <v>1653.4384172012012</v>
      </c>
      <c r="G628" s="12">
        <f t="shared" ca="1" si="625"/>
        <v>75.903084883189365</v>
      </c>
      <c r="H628" s="12">
        <f t="shared" ca="1" si="626"/>
        <v>213.9622973592916</v>
      </c>
    </row>
    <row r="629" spans="1:8" x14ac:dyDescent="0.35">
      <c r="A629" s="15">
        <v>616</v>
      </c>
      <c r="B629" s="10">
        <f t="shared" ca="1" si="621"/>
        <v>0.12116360877893559</v>
      </c>
      <c r="C629" s="10">
        <f t="shared" ca="1" si="622"/>
        <v>-9.0980736248010896E-2</v>
      </c>
      <c r="D629" s="11">
        <f t="shared" si="623"/>
        <v>1447.7398688575352</v>
      </c>
      <c r="E629" s="11">
        <f t="shared" ref="E629:F629" ca="1" si="664">+D629*EXP(B629)</f>
        <v>1634.2226339185841</v>
      </c>
      <c r="F629" s="11">
        <f t="shared" ca="1" si="664"/>
        <v>1492.1029515444632</v>
      </c>
      <c r="G629" s="12">
        <f t="shared" ca="1" si="625"/>
        <v>299.19045208489092</v>
      </c>
      <c r="H629" s="12">
        <f t="shared" ca="1" si="626"/>
        <v>98.667732391118875</v>
      </c>
    </row>
    <row r="630" spans="1:8" x14ac:dyDescent="0.35">
      <c r="A630" s="15">
        <v>617</v>
      </c>
      <c r="B630" s="10">
        <f t="shared" ca="1" si="621"/>
        <v>0.1355044223420537</v>
      </c>
      <c r="C630" s="10">
        <f t="shared" ca="1" si="622"/>
        <v>-1.5192409337670965E-2</v>
      </c>
      <c r="D630" s="11">
        <f t="shared" si="623"/>
        <v>1447.7398688575352</v>
      </c>
      <c r="E630" s="11">
        <f t="shared" ref="E630:F630" ca="1" si="665">+D630*EXP(B630)</f>
        <v>1657.8275684692662</v>
      </c>
      <c r="F630" s="11">
        <f t="shared" ca="1" si="665"/>
        <v>1632.8315292423631</v>
      </c>
      <c r="G630" s="12">
        <f t="shared" ca="1" si="625"/>
        <v>317.84749274196054</v>
      </c>
      <c r="H630" s="12">
        <f t="shared" ca="1" si="626"/>
        <v>197.19448110863368</v>
      </c>
    </row>
    <row r="631" spans="1:8" x14ac:dyDescent="0.35">
      <c r="A631" s="15">
        <v>618</v>
      </c>
      <c r="B631" s="10">
        <f t="shared" ca="1" si="621"/>
        <v>4.7951407406243908E-2</v>
      </c>
      <c r="C631" s="10">
        <f t="shared" ca="1" si="622"/>
        <v>-0.18448322889608443</v>
      </c>
      <c r="D631" s="11">
        <f t="shared" si="623"/>
        <v>1447.7398688575352</v>
      </c>
      <c r="E631" s="11">
        <f t="shared" ref="E631:F631" ca="1" si="666">+D631*EXP(B631)</f>
        <v>1518.852380178721</v>
      </c>
      <c r="F631" s="11">
        <f t="shared" ca="1" si="666"/>
        <v>1262.9772212268792</v>
      </c>
      <c r="G631" s="12">
        <f t="shared" ca="1" si="625"/>
        <v>214.37162467082078</v>
      </c>
      <c r="H631" s="12">
        <f t="shared" ca="1" si="626"/>
        <v>14.826187542622108</v>
      </c>
    </row>
    <row r="632" spans="1:8" x14ac:dyDescent="0.35">
      <c r="A632" s="15">
        <v>619</v>
      </c>
      <c r="B632" s="10">
        <f t="shared" ca="1" si="621"/>
        <v>4.806264800110286E-2</v>
      </c>
      <c r="C632" s="10">
        <f t="shared" ca="1" si="622"/>
        <v>9.500122916960399E-2</v>
      </c>
      <c r="D632" s="11">
        <f t="shared" si="623"/>
        <v>1447.7398688575352</v>
      </c>
      <c r="E632" s="11">
        <f t="shared" ref="E632:F632" ca="1" si="667">+D632*EXP(B632)</f>
        <v>1519.0213476188399</v>
      </c>
      <c r="F632" s="11">
        <f t="shared" ca="1" si="667"/>
        <v>1670.4073292472972</v>
      </c>
      <c r="G632" s="12">
        <f t="shared" ca="1" si="625"/>
        <v>214.48725632500236</v>
      </c>
      <c r="H632" s="12">
        <f t="shared" ca="1" si="626"/>
        <v>228.12285596589732</v>
      </c>
    </row>
    <row r="633" spans="1:8" x14ac:dyDescent="0.35">
      <c r="A633" s="15">
        <v>620</v>
      </c>
      <c r="B633" s="10">
        <f t="shared" ca="1" si="621"/>
        <v>0.16474228395294899</v>
      </c>
      <c r="C633" s="10">
        <f t="shared" ca="1" si="622"/>
        <v>-0.18367174454816712</v>
      </c>
      <c r="D633" s="11">
        <f t="shared" si="623"/>
        <v>1447.7398688575352</v>
      </c>
      <c r="E633" s="11">
        <f t="shared" ref="E633:F633" ca="1" si="668">+D633*EXP(B633)</f>
        <v>1707.0144573037744</v>
      </c>
      <c r="F633" s="11">
        <f t="shared" ca="1" si="668"/>
        <v>1420.5926854473742</v>
      </c>
      <c r="G633" s="12">
        <f t="shared" ca="1" si="625"/>
        <v>357.93547857958856</v>
      </c>
      <c r="H633" s="12">
        <f t="shared" ca="1" si="626"/>
        <v>61.835678669551726</v>
      </c>
    </row>
    <row r="634" spans="1:8" x14ac:dyDescent="0.35">
      <c r="A634" s="15">
        <v>621</v>
      </c>
      <c r="B634" s="10">
        <f t="shared" ca="1" si="621"/>
        <v>3.7777976526201292E-3</v>
      </c>
      <c r="C634" s="10">
        <f t="shared" ca="1" si="622"/>
        <v>0.26124002997671303</v>
      </c>
      <c r="D634" s="11">
        <f t="shared" si="623"/>
        <v>1447.7398688575352</v>
      </c>
      <c r="E634" s="11">
        <f t="shared" ref="E634:F634" ca="1" si="669">+D634*EXP(B634)</f>
        <v>1453.2194810517801</v>
      </c>
      <c r="F634" s="11">
        <f t="shared" ca="1" si="669"/>
        <v>1887.0626314914721</v>
      </c>
      <c r="G634" s="12">
        <f t="shared" ca="1" si="625"/>
        <v>171.60585742548108</v>
      </c>
      <c r="H634" s="12">
        <f t="shared" ca="1" si="626"/>
        <v>427.44592390449634</v>
      </c>
    </row>
    <row r="635" spans="1:8" x14ac:dyDescent="0.35">
      <c r="A635" s="15">
        <v>622</v>
      </c>
      <c r="B635" s="10">
        <f t="shared" ca="1" si="621"/>
        <v>-1.8965308134405931E-3</v>
      </c>
      <c r="C635" s="10">
        <f t="shared" ca="1" si="622"/>
        <v>0.23939929283867631</v>
      </c>
      <c r="D635" s="11">
        <f t="shared" si="623"/>
        <v>1447.7398688575352</v>
      </c>
      <c r="E635" s="11">
        <f t="shared" ref="E635:F635" ca="1" si="670">+D635*EXP(B635)</f>
        <v>1444.9967875776854</v>
      </c>
      <c r="F635" s="11">
        <f t="shared" ca="1" si="670"/>
        <v>1835.8478002062659</v>
      </c>
      <c r="G635" s="12">
        <f t="shared" ca="1" si="625"/>
        <v>166.56349624718609</v>
      </c>
      <c r="H635" s="12">
        <f t="shared" ca="1" si="626"/>
        <v>378.19131646442133</v>
      </c>
    </row>
    <row r="636" spans="1:8" x14ac:dyDescent="0.35">
      <c r="A636" s="15">
        <v>623</v>
      </c>
      <c r="B636" s="10">
        <f t="shared" ca="1" si="621"/>
        <v>9.1831516736739408E-2</v>
      </c>
      <c r="C636" s="10">
        <f t="shared" ca="1" si="622"/>
        <v>0.11374323001367191</v>
      </c>
      <c r="D636" s="11">
        <f t="shared" si="623"/>
        <v>1447.7398688575352</v>
      </c>
      <c r="E636" s="11">
        <f t="shared" ref="E636:F636" ca="1" si="671">+D636*EXP(B636)</f>
        <v>1586.9836610275374</v>
      </c>
      <c r="F636" s="11">
        <f t="shared" ca="1" si="671"/>
        <v>1778.1586738519186</v>
      </c>
      <c r="G636" s="12">
        <f t="shared" ca="1" si="625"/>
        <v>263.11007908489762</v>
      </c>
      <c r="H636" s="12">
        <f t="shared" ca="1" si="626"/>
        <v>323.9240805432712</v>
      </c>
    </row>
    <row r="637" spans="1:8" x14ac:dyDescent="0.35">
      <c r="A637" s="15">
        <v>624</v>
      </c>
      <c r="B637" s="10">
        <f t="shared" ca="1" si="621"/>
        <v>0.15965410496532834</v>
      </c>
      <c r="C637" s="10">
        <f t="shared" ca="1" si="622"/>
        <v>-0.14215795932510747</v>
      </c>
      <c r="D637" s="11">
        <f t="shared" si="623"/>
        <v>1447.7398688575352</v>
      </c>
      <c r="E637" s="11">
        <f t="shared" ref="E637:F637" ca="1" si="672">+D637*EXP(B637)</f>
        <v>1698.3509217116921</v>
      </c>
      <c r="F637" s="11">
        <f t="shared" ca="1" si="672"/>
        <v>1473.2926219601186</v>
      </c>
      <c r="G637" s="12">
        <f t="shared" ca="1" si="625"/>
        <v>350.76259770154047</v>
      </c>
      <c r="H637" s="12">
        <f t="shared" ca="1" si="626"/>
        <v>88.027395120353958</v>
      </c>
    </row>
    <row r="638" spans="1:8" x14ac:dyDescent="0.35">
      <c r="A638" s="15">
        <v>625</v>
      </c>
      <c r="B638" s="10">
        <f t="shared" ca="1" si="621"/>
        <v>1.6643279692506972E-2</v>
      </c>
      <c r="C638" s="10">
        <f t="shared" ca="1" si="622"/>
        <v>-0.35184692245586047</v>
      </c>
      <c r="D638" s="11">
        <f t="shared" si="623"/>
        <v>1447.7398688575352</v>
      </c>
      <c r="E638" s="11">
        <f t="shared" ref="E638:F638" ca="1" si="673">+D638*EXP(B638)</f>
        <v>1472.0366365215677</v>
      </c>
      <c r="F638" s="11">
        <f t="shared" ca="1" si="673"/>
        <v>1035.4125915725647</v>
      </c>
      <c r="G638" s="12">
        <f t="shared" ca="1" si="625"/>
        <v>183.41614151157921</v>
      </c>
      <c r="H638" s="12">
        <f t="shared" ca="1" si="626"/>
        <v>0.41323620081693591</v>
      </c>
    </row>
    <row r="639" spans="1:8" x14ac:dyDescent="0.35">
      <c r="A639" s="15">
        <v>626</v>
      </c>
      <c r="B639" s="10">
        <f t="shared" ca="1" si="621"/>
        <v>-1.2403074726956471E-2</v>
      </c>
      <c r="C639" s="10">
        <f t="shared" ca="1" si="622"/>
        <v>7.2825193497400506E-3</v>
      </c>
      <c r="D639" s="11">
        <f t="shared" si="623"/>
        <v>1447.7398688575352</v>
      </c>
      <c r="E639" s="11">
        <f t="shared" ref="E639:F639" ca="1" si="674">+D639*EXP(B639)</f>
        <v>1429.8943415567435</v>
      </c>
      <c r="F639" s="11">
        <f t="shared" ca="1" si="674"/>
        <v>1440.3455842656685</v>
      </c>
      <c r="G639" s="12">
        <f t="shared" ca="1" si="625"/>
        <v>157.49402594886897</v>
      </c>
      <c r="H639" s="12">
        <f t="shared" ca="1" si="626"/>
        <v>71.018417283990061</v>
      </c>
    </row>
    <row r="640" spans="1:8" x14ac:dyDescent="0.35">
      <c r="A640" s="15">
        <v>627</v>
      </c>
      <c r="B640" s="10">
        <f t="shared" ca="1" si="621"/>
        <v>0.20554508992605669</v>
      </c>
      <c r="C640" s="10">
        <f t="shared" ca="1" si="622"/>
        <v>0.2744070788712919</v>
      </c>
      <c r="D640" s="11">
        <f t="shared" si="623"/>
        <v>1447.7398688575352</v>
      </c>
      <c r="E640" s="11">
        <f t="shared" ref="E640:F640" ca="1" si="675">+D640*EXP(B640)</f>
        <v>1778.1059400944152</v>
      </c>
      <c r="F640" s="11">
        <f t="shared" ca="1" si="675"/>
        <v>2339.543437242226</v>
      </c>
      <c r="G640" s="12">
        <f t="shared" ca="1" si="625"/>
        <v>418.40739539812103</v>
      </c>
      <c r="H640" s="12">
        <f t="shared" ca="1" si="626"/>
        <v>876.60938142425516</v>
      </c>
    </row>
    <row r="641" spans="1:8" x14ac:dyDescent="0.35">
      <c r="A641" s="15">
        <v>628</v>
      </c>
      <c r="B641" s="10">
        <f t="shared" ca="1" si="621"/>
        <v>2.6331558923220325E-2</v>
      </c>
      <c r="C641" s="10">
        <f t="shared" ca="1" si="622"/>
        <v>-3.4958750819775855E-2</v>
      </c>
      <c r="D641" s="11">
        <f t="shared" si="623"/>
        <v>1447.7398688575352</v>
      </c>
      <c r="E641" s="11">
        <f t="shared" ref="E641:F641" ca="1" si="676">+D641*EXP(B641)</f>
        <v>1486.3674468461065</v>
      </c>
      <c r="F641" s="11">
        <f t="shared" ca="1" si="676"/>
        <v>1435.3036611018601</v>
      </c>
      <c r="G641" s="12">
        <f t="shared" ca="1" si="625"/>
        <v>192.65825215238294</v>
      </c>
      <c r="H641" s="12">
        <f t="shared" ca="1" si="626"/>
        <v>68.6017224539479</v>
      </c>
    </row>
    <row r="642" spans="1:8" x14ac:dyDescent="0.35">
      <c r="A642" s="15">
        <v>629</v>
      </c>
      <c r="B642" s="10">
        <f t="shared" ca="1" si="621"/>
        <v>0.37307718495653269</v>
      </c>
      <c r="C642" s="10">
        <f t="shared" ca="1" si="622"/>
        <v>0.12216186826745523</v>
      </c>
      <c r="D642" s="11">
        <f t="shared" si="623"/>
        <v>1447.7398688575352</v>
      </c>
      <c r="E642" s="11">
        <f t="shared" ref="E642:F642" ca="1" si="677">+D642*EXP(B642)</f>
        <v>2102.402659315067</v>
      </c>
      <c r="F642" s="11">
        <f t="shared" ca="1" si="677"/>
        <v>2375.5825282630549</v>
      </c>
      <c r="G642" s="12">
        <f t="shared" ca="1" si="625"/>
        <v>718.69934758762747</v>
      </c>
      <c r="H642" s="12">
        <f t="shared" ca="1" si="626"/>
        <v>912.63810663787035</v>
      </c>
    </row>
    <row r="643" spans="1:8" x14ac:dyDescent="0.35">
      <c r="A643" s="15">
        <v>630</v>
      </c>
      <c r="B643" s="10">
        <f t="shared" ca="1" si="621"/>
        <v>-0.10560251884881916</v>
      </c>
      <c r="C643" s="10">
        <f t="shared" ca="1" si="622"/>
        <v>0.22059705579014266</v>
      </c>
      <c r="D643" s="11">
        <f t="shared" si="623"/>
        <v>1447.7398688575352</v>
      </c>
      <c r="E643" s="11">
        <f t="shared" ref="E643:F643" ca="1" si="678">+D643*EXP(B643)</f>
        <v>1302.6505982219653</v>
      </c>
      <c r="F643" s="11">
        <f t="shared" ca="1" si="678"/>
        <v>1624.1720304138107</v>
      </c>
      <c r="G643" s="12">
        <f t="shared" ca="1" si="625"/>
        <v>91.553199357114636</v>
      </c>
      <c r="H643" s="12">
        <f t="shared" ca="1" si="626"/>
        <v>190.29852697378078</v>
      </c>
    </row>
    <row r="644" spans="1:8" x14ac:dyDescent="0.35">
      <c r="A644" s="15">
        <v>631</v>
      </c>
      <c r="B644" s="10">
        <f t="shared" ca="1" si="621"/>
        <v>-0.15964098392240711</v>
      </c>
      <c r="C644" s="10">
        <f t="shared" ca="1" si="622"/>
        <v>0.25105481614044439</v>
      </c>
      <c r="D644" s="11">
        <f t="shared" si="623"/>
        <v>1447.7398688575352</v>
      </c>
      <c r="E644" s="11">
        <f t="shared" ref="E644:F644" ca="1" si="679">+D644*EXP(B644)</f>
        <v>1234.125528666993</v>
      </c>
      <c r="F644" s="11">
        <f t="shared" ca="1" si="679"/>
        <v>1586.3209409344895</v>
      </c>
      <c r="G644" s="12">
        <f t="shared" ca="1" si="625"/>
        <v>64.213985509847078</v>
      </c>
      <c r="H644" s="12">
        <f t="shared" ca="1" si="626"/>
        <v>161.30168747553046</v>
      </c>
    </row>
    <row r="645" spans="1:8" x14ac:dyDescent="0.35">
      <c r="A645" s="15">
        <v>632</v>
      </c>
      <c r="B645" s="10">
        <f t="shared" ca="1" si="621"/>
        <v>-4.0329430527725522E-2</v>
      </c>
      <c r="C645" s="10">
        <f t="shared" ca="1" si="622"/>
        <v>0.36438252434984553</v>
      </c>
      <c r="D645" s="11">
        <f t="shared" si="623"/>
        <v>1447.7398688575352</v>
      </c>
      <c r="E645" s="11">
        <f t="shared" ref="E645:F645" ca="1" si="680">+D645*EXP(B645)</f>
        <v>1390.515023079485</v>
      </c>
      <c r="F645" s="11">
        <f t="shared" ca="1" si="680"/>
        <v>2001.8199125342628</v>
      </c>
      <c r="G645" s="12">
        <f t="shared" ca="1" si="625"/>
        <v>135.047107406441</v>
      </c>
      <c r="H645" s="12">
        <f t="shared" ca="1" si="626"/>
        <v>539.97815485339561</v>
      </c>
    </row>
    <row r="646" spans="1:8" x14ac:dyDescent="0.35">
      <c r="A646" s="15">
        <v>633</v>
      </c>
      <c r="B646" s="10">
        <f t="shared" ca="1" si="621"/>
        <v>-0.17532645500496907</v>
      </c>
      <c r="C646" s="10">
        <f t="shared" ca="1" si="622"/>
        <v>-0.27559672385605605</v>
      </c>
      <c r="D646" s="11">
        <f t="shared" si="623"/>
        <v>1447.7398688575352</v>
      </c>
      <c r="E646" s="11">
        <f t="shared" ref="E646:F646" ca="1" si="681">+D646*EXP(B646)</f>
        <v>1214.9187161187092</v>
      </c>
      <c r="F646" s="11">
        <f t="shared" ca="1" si="681"/>
        <v>922.26788526628297</v>
      </c>
      <c r="G646" s="12">
        <f t="shared" ca="1" si="625"/>
        <v>57.593667126434696</v>
      </c>
      <c r="H646" s="12">
        <f t="shared" ca="1" si="626"/>
        <v>2.4040684540628909E-2</v>
      </c>
    </row>
    <row r="647" spans="1:8" x14ac:dyDescent="0.35">
      <c r="A647" s="15">
        <v>634</v>
      </c>
      <c r="B647" s="10">
        <f t="shared" ca="1" si="621"/>
        <v>-0.12218424307061544</v>
      </c>
      <c r="C647" s="10">
        <f t="shared" ca="1" si="622"/>
        <v>0.18759049544162992</v>
      </c>
      <c r="D647" s="11">
        <f t="shared" si="623"/>
        <v>1447.7398688575352</v>
      </c>
      <c r="E647" s="11">
        <f t="shared" ref="E647:F647" ca="1" si="682">+D647*EXP(B647)</f>
        <v>1281.2285037144577</v>
      </c>
      <c r="F647" s="11">
        <f t="shared" ca="1" si="682"/>
        <v>1545.5964407046613</v>
      </c>
      <c r="G647" s="12">
        <f t="shared" ca="1" si="625"/>
        <v>82.380184227272593</v>
      </c>
      <c r="H647" s="12">
        <f t="shared" ca="1" si="626"/>
        <v>132.42331990856394</v>
      </c>
    </row>
    <row r="648" spans="1:8" x14ac:dyDescent="0.35">
      <c r="A648" s="15">
        <v>635</v>
      </c>
      <c r="B648" s="10">
        <f t="shared" ca="1" si="621"/>
        <v>3.0928052907131465E-2</v>
      </c>
      <c r="C648" s="10">
        <f t="shared" ca="1" si="622"/>
        <v>0.5350206666776276</v>
      </c>
      <c r="D648" s="11">
        <f t="shared" si="623"/>
        <v>1447.7398688575352</v>
      </c>
      <c r="E648" s="11">
        <f t="shared" ref="E648:F648" ca="1" si="683">+D648*EXP(B648)</f>
        <v>1493.2152517639111</v>
      </c>
      <c r="F648" s="11">
        <f t="shared" ca="1" si="683"/>
        <v>2549.6404489842089</v>
      </c>
      <c r="G648" s="12">
        <f t="shared" ca="1" si="625"/>
        <v>197.14839849711689</v>
      </c>
      <c r="H648" s="12">
        <f t="shared" ca="1" si="626"/>
        <v>1086.6782550888909</v>
      </c>
    </row>
    <row r="649" spans="1:8" x14ac:dyDescent="0.35">
      <c r="A649" s="15">
        <v>636</v>
      </c>
      <c r="B649" s="10">
        <f t="shared" ca="1" si="621"/>
        <v>0.15462665695219774</v>
      </c>
      <c r="C649" s="10">
        <f t="shared" ca="1" si="622"/>
        <v>5.3824279489830096E-2</v>
      </c>
      <c r="D649" s="11">
        <f t="shared" si="623"/>
        <v>1447.7398688575352</v>
      </c>
      <c r="E649" s="11">
        <f t="shared" ref="E649:F649" ca="1" si="684">+D649*EXP(B649)</f>
        <v>1689.8339779297521</v>
      </c>
      <c r="F649" s="11">
        <f t="shared" ca="1" si="684"/>
        <v>1783.2803574357276</v>
      </c>
      <c r="G649" s="12">
        <f t="shared" ca="1" si="625"/>
        <v>343.75636908494334</v>
      </c>
      <c r="H649" s="12">
        <f t="shared" ca="1" si="626"/>
        <v>328.67662478689363</v>
      </c>
    </row>
    <row r="650" spans="1:8" x14ac:dyDescent="0.35">
      <c r="A650" s="15">
        <v>637</v>
      </c>
      <c r="B650" s="10">
        <f t="shared" ca="1" si="621"/>
        <v>7.8598603804052591E-2</v>
      </c>
      <c r="C650" s="10">
        <f t="shared" ca="1" si="622"/>
        <v>-0.2709220985787375</v>
      </c>
      <c r="D650" s="11">
        <f t="shared" si="623"/>
        <v>1447.7398688575352</v>
      </c>
      <c r="E650" s="11">
        <f t="shared" ref="E650:F650" ca="1" si="685">+D650*EXP(B650)</f>
        <v>1566.1215818829955</v>
      </c>
      <c r="F650" s="11">
        <f t="shared" ca="1" si="685"/>
        <v>1194.4431989185582</v>
      </c>
      <c r="G650" s="12">
        <f t="shared" ca="1" si="625"/>
        <v>247.75081838994333</v>
      </c>
      <c r="H650" s="12">
        <f t="shared" ca="1" si="626"/>
        <v>6.3475642439110231</v>
      </c>
    </row>
    <row r="651" spans="1:8" x14ac:dyDescent="0.35">
      <c r="A651" s="15">
        <v>638</v>
      </c>
      <c r="B651" s="10">
        <f t="shared" ca="1" si="621"/>
        <v>0.22790085679102307</v>
      </c>
      <c r="C651" s="10">
        <f t="shared" ca="1" si="622"/>
        <v>0.25259658805765672</v>
      </c>
      <c r="D651" s="11">
        <f t="shared" si="623"/>
        <v>1447.7398688575352</v>
      </c>
      <c r="E651" s="11">
        <f t="shared" ref="E651:F651" ca="1" si="686">+D651*EXP(B651)</f>
        <v>1818.3045228333106</v>
      </c>
      <c r="F651" s="11">
        <f t="shared" ca="1" si="686"/>
        <v>2340.8194821163415</v>
      </c>
      <c r="G651" s="12">
        <f t="shared" ca="1" si="625"/>
        <v>453.72915623014251</v>
      </c>
      <c r="H651" s="12">
        <f t="shared" ca="1" si="626"/>
        <v>877.88498431575977</v>
      </c>
    </row>
    <row r="652" spans="1:8" x14ac:dyDescent="0.35">
      <c r="A652" s="15">
        <v>639</v>
      </c>
      <c r="B652" s="10">
        <f t="shared" ca="1" si="621"/>
        <v>-5.9405177102690408E-3</v>
      </c>
      <c r="C652" s="10">
        <f t="shared" ca="1" si="622"/>
        <v>2.2423037806460214E-2</v>
      </c>
      <c r="D652" s="11">
        <f t="shared" si="623"/>
        <v>1447.7398688575352</v>
      </c>
      <c r="E652" s="11">
        <f t="shared" ref="E652:F652" ca="1" si="687">+D652*EXP(B652)</f>
        <v>1439.1650392073759</v>
      </c>
      <c r="F652" s="11">
        <f t="shared" ca="1" si="687"/>
        <v>1471.8000115264977</v>
      </c>
      <c r="G652" s="12">
        <f t="shared" ca="1" si="625"/>
        <v>163.0317314497421</v>
      </c>
      <c r="H652" s="12">
        <f t="shared" ca="1" si="626"/>
        <v>87.211655999003824</v>
      </c>
    </row>
    <row r="653" spans="1:8" x14ac:dyDescent="0.35">
      <c r="A653" s="15">
        <v>640</v>
      </c>
      <c r="B653" s="10">
        <f t="shared" ca="1" si="621"/>
        <v>7.6530835622791338E-2</v>
      </c>
      <c r="C653" s="10">
        <f t="shared" ca="1" si="622"/>
        <v>-0.44142313022230995</v>
      </c>
      <c r="D653" s="11">
        <f t="shared" si="623"/>
        <v>1447.7398688575352</v>
      </c>
      <c r="E653" s="11">
        <f t="shared" ref="E653:F653" ca="1" si="688">+D653*EXP(B653)</f>
        <v>1562.8865513072953</v>
      </c>
      <c r="F653" s="11">
        <f t="shared" ca="1" si="688"/>
        <v>1005.1244198018535</v>
      </c>
      <c r="G653" s="12">
        <f t="shared" ca="1" si="625"/>
        <v>245.40241640043689</v>
      </c>
      <c r="H653" s="12">
        <f t="shared" ca="1" si="626"/>
        <v>0.21057136143246957</v>
      </c>
    </row>
    <row r="654" spans="1:8" x14ac:dyDescent="0.35">
      <c r="A654" s="15">
        <v>641</v>
      </c>
      <c r="B654" s="10">
        <f t="shared" ca="1" si="621"/>
        <v>-7.8136081150888534E-2</v>
      </c>
      <c r="C654" s="10">
        <f t="shared" ca="1" si="622"/>
        <v>-0.21129562555103293</v>
      </c>
      <c r="D654" s="11">
        <f t="shared" si="623"/>
        <v>1447.7398688575352</v>
      </c>
      <c r="E654" s="11">
        <f t="shared" ref="E654:F654" ca="1" si="689">+D654*EXP(B654)</f>
        <v>1338.9256626391743</v>
      </c>
      <c r="F654" s="11">
        <f t="shared" ca="1" si="689"/>
        <v>1083.9068011732709</v>
      </c>
      <c r="G654" s="12">
        <f t="shared" ca="1" si="625"/>
        <v>108.37763343931749</v>
      </c>
      <c r="H654" s="12">
        <f t="shared" ca="1" si="626"/>
        <v>1.0859479036404487</v>
      </c>
    </row>
    <row r="655" spans="1:8" x14ac:dyDescent="0.35">
      <c r="A655" s="15">
        <v>642</v>
      </c>
      <c r="B655" s="10">
        <f t="shared" ref="B655:B718" ca="1" si="690">+($B$6-0.5*$B$10^2)*$H$4+$B$10*SQRT($H$4)*_xlfn.NORM.S.INV(RAND())</f>
        <v>9.4262966268913867E-2</v>
      </c>
      <c r="C655" s="10">
        <f t="shared" ref="C655:C718" ca="1" si="691">+($B$6-0.5*$B$10^2)+$B$10*_xlfn.NORM.S.INV(RAND())</f>
        <v>0.12192958523653989</v>
      </c>
      <c r="D655" s="11">
        <f t="shared" ref="D655:D718" si="692">+$B$9</f>
        <v>1447.7398688575352</v>
      </c>
      <c r="E655" s="11">
        <f t="shared" ref="E655:F655" ca="1" si="693">+D655*EXP(B655)</f>
        <v>1590.8470265935762</v>
      </c>
      <c r="F655" s="11">
        <f t="shared" ca="1" si="693"/>
        <v>1797.1394039976512</v>
      </c>
      <c r="G655" s="12">
        <f t="shared" ref="G655:G718" ca="1" si="694">+BlackScholesCall(E655,$B$4,$B$10,$B$6,$B$7-$H$4)</f>
        <v>265.99437415567456</v>
      </c>
      <c r="H655" s="12">
        <f t="shared" ref="H655:H718" ca="1" si="695">+BlackScholesCall(F655,$B$4,$B$10,$B$6,$B$7-$I$4)</f>
        <v>341.60605969898552</v>
      </c>
    </row>
    <row r="656" spans="1:8" x14ac:dyDescent="0.35">
      <c r="A656" s="15">
        <v>643</v>
      </c>
      <c r="B656" s="10">
        <f t="shared" ca="1" si="690"/>
        <v>-0.31903667798717328</v>
      </c>
      <c r="C656" s="10">
        <f t="shared" ca="1" si="691"/>
        <v>-0.31277717996493237</v>
      </c>
      <c r="D656" s="11">
        <f t="shared" si="692"/>
        <v>1447.7398688575352</v>
      </c>
      <c r="E656" s="11">
        <f t="shared" ref="E656:F656" ca="1" si="696">+D656*EXP(B656)</f>
        <v>1052.2881159106721</v>
      </c>
      <c r="F656" s="11">
        <f t="shared" ca="1" si="696"/>
        <v>769.65706866713936</v>
      </c>
      <c r="G656" s="12">
        <f t="shared" ca="1" si="694"/>
        <v>18.649998199533627</v>
      </c>
      <c r="H656" s="12">
        <f t="shared" ca="1" si="695"/>
        <v>8.4733204319180529E-5</v>
      </c>
    </row>
    <row r="657" spans="1:8" x14ac:dyDescent="0.35">
      <c r="A657" s="15">
        <v>644</v>
      </c>
      <c r="B657" s="10">
        <f t="shared" ca="1" si="690"/>
        <v>9.1619393521405149E-2</v>
      </c>
      <c r="C657" s="10">
        <f t="shared" ca="1" si="691"/>
        <v>-0.11604882095975019</v>
      </c>
      <c r="D657" s="11">
        <f t="shared" si="692"/>
        <v>1447.7398688575352</v>
      </c>
      <c r="E657" s="11">
        <f t="shared" ref="E657:F657" ca="1" si="697">+D657*EXP(B657)</f>
        <v>1586.6470606523164</v>
      </c>
      <c r="F657" s="11">
        <f t="shared" ca="1" si="697"/>
        <v>1412.8009196480939</v>
      </c>
      <c r="G657" s="12">
        <f t="shared" ca="1" si="694"/>
        <v>262.85936372407264</v>
      </c>
      <c r="H657" s="12">
        <f t="shared" ca="1" si="695"/>
        <v>58.424391088846278</v>
      </c>
    </row>
    <row r="658" spans="1:8" x14ac:dyDescent="0.35">
      <c r="A658" s="15">
        <v>645</v>
      </c>
      <c r="B658" s="10">
        <f t="shared" ca="1" si="690"/>
        <v>-0.19129156066526065</v>
      </c>
      <c r="C658" s="10">
        <f t="shared" ca="1" si="691"/>
        <v>0.2812369781107722</v>
      </c>
      <c r="D658" s="11">
        <f t="shared" si="692"/>
        <v>1447.7398688575352</v>
      </c>
      <c r="E658" s="11">
        <f t="shared" ref="E658:F658" ca="1" si="698">+D658*EXP(B658)</f>
        <v>1195.676421790228</v>
      </c>
      <c r="F658" s="11">
        <f t="shared" ca="1" si="698"/>
        <v>1583.9932732399197</v>
      </c>
      <c r="G658" s="12">
        <f t="shared" ca="1" si="694"/>
        <v>51.412706859471541</v>
      </c>
      <c r="H658" s="12">
        <f t="shared" ca="1" si="695"/>
        <v>159.58330387315414</v>
      </c>
    </row>
    <row r="659" spans="1:8" x14ac:dyDescent="0.35">
      <c r="A659" s="15">
        <v>646</v>
      </c>
      <c r="B659" s="10">
        <f t="shared" ca="1" si="690"/>
        <v>0.29942617568726254</v>
      </c>
      <c r="C659" s="10">
        <f t="shared" ca="1" si="691"/>
        <v>-0.34681027742777248</v>
      </c>
      <c r="D659" s="11">
        <f t="shared" si="692"/>
        <v>1447.7398688575352</v>
      </c>
      <c r="E659" s="11">
        <f t="shared" ref="E659:F659" ca="1" si="699">+D659*EXP(B659)</f>
        <v>1953.123341778768</v>
      </c>
      <c r="F659" s="11">
        <f t="shared" ca="1" si="699"/>
        <v>1380.7399173944632</v>
      </c>
      <c r="G659" s="12">
        <f t="shared" ca="1" si="694"/>
        <v>576.77065828741479</v>
      </c>
      <c r="H659" s="12">
        <f t="shared" ca="1" si="695"/>
        <v>45.639894758970058</v>
      </c>
    </row>
    <row r="660" spans="1:8" x14ac:dyDescent="0.35">
      <c r="A660" s="15">
        <v>647</v>
      </c>
      <c r="B660" s="10">
        <f t="shared" ca="1" si="690"/>
        <v>0.17089673581744563</v>
      </c>
      <c r="C660" s="10">
        <f t="shared" ca="1" si="691"/>
        <v>0.22294326891648822</v>
      </c>
      <c r="D660" s="11">
        <f t="shared" si="692"/>
        <v>1447.7398688575352</v>
      </c>
      <c r="E660" s="11">
        <f t="shared" ref="E660:F660" ca="1" si="700">+D660*EXP(B660)</f>
        <v>1717.5525905672439</v>
      </c>
      <c r="F660" s="11">
        <f t="shared" ca="1" si="700"/>
        <v>2146.5107868275245</v>
      </c>
      <c r="G660" s="12">
        <f t="shared" ca="1" si="694"/>
        <v>366.72140251601309</v>
      </c>
      <c r="H660" s="12">
        <f t="shared" ca="1" si="695"/>
        <v>683.80173615740864</v>
      </c>
    </row>
    <row r="661" spans="1:8" x14ac:dyDescent="0.35">
      <c r="A661" s="15">
        <v>648</v>
      </c>
      <c r="B661" s="10">
        <f t="shared" ca="1" si="690"/>
        <v>-3.8317488182296605E-2</v>
      </c>
      <c r="C661" s="10">
        <f t="shared" ca="1" si="691"/>
        <v>3.8110122353875404E-2</v>
      </c>
      <c r="D661" s="11">
        <f t="shared" si="692"/>
        <v>1447.7398688575352</v>
      </c>
      <c r="E661" s="11">
        <f t="shared" ref="E661:F661" ca="1" si="701">+D661*EXP(B661)</f>
        <v>1393.315475365979</v>
      </c>
      <c r="F661" s="11">
        <f t="shared" ca="1" si="701"/>
        <v>1447.4396882049714</v>
      </c>
      <c r="G661" s="12">
        <f t="shared" ca="1" si="694"/>
        <v>136.58479770640179</v>
      </c>
      <c r="H661" s="12">
        <f t="shared" ca="1" si="695"/>
        <v>74.50297113496265</v>
      </c>
    </row>
    <row r="662" spans="1:8" x14ac:dyDescent="0.35">
      <c r="A662" s="15">
        <v>649</v>
      </c>
      <c r="B662" s="10">
        <f t="shared" ca="1" si="690"/>
        <v>0.11770026590117885</v>
      </c>
      <c r="C662" s="10">
        <f t="shared" ca="1" si="691"/>
        <v>0.25845168977663324</v>
      </c>
      <c r="D662" s="11">
        <f t="shared" si="692"/>
        <v>1447.7398688575352</v>
      </c>
      <c r="E662" s="11">
        <f t="shared" ref="E662:F662" ca="1" si="702">+D662*EXP(B662)</f>
        <v>1628.5725503347103</v>
      </c>
      <c r="F662" s="11">
        <f t="shared" ca="1" si="702"/>
        <v>2108.8770139334511</v>
      </c>
      <c r="G662" s="12">
        <f t="shared" ca="1" si="694"/>
        <v>294.78460328946574</v>
      </c>
      <c r="H662" s="12">
        <f t="shared" ca="1" si="695"/>
        <v>646.29174140104851</v>
      </c>
    </row>
    <row r="663" spans="1:8" x14ac:dyDescent="0.35">
      <c r="A663" s="15">
        <v>650</v>
      </c>
      <c r="B663" s="10">
        <f t="shared" ca="1" si="690"/>
        <v>-0.26528212735913603</v>
      </c>
      <c r="C663" s="10">
        <f t="shared" ca="1" si="691"/>
        <v>-0.10514569620024061</v>
      </c>
      <c r="D663" s="11">
        <f t="shared" si="692"/>
        <v>1447.7398688575352</v>
      </c>
      <c r="E663" s="11">
        <f t="shared" ref="E663:F663" ca="1" si="703">+D663*EXP(B663)</f>
        <v>1110.4013226162122</v>
      </c>
      <c r="F663" s="11">
        <f t="shared" ca="1" si="703"/>
        <v>999.57589564404623</v>
      </c>
      <c r="G663" s="12">
        <f t="shared" ca="1" si="694"/>
        <v>29.253099309037282</v>
      </c>
      <c r="H663" s="12">
        <f t="shared" ca="1" si="695"/>
        <v>0.18492101052866694</v>
      </c>
    </row>
    <row r="664" spans="1:8" x14ac:dyDescent="0.35">
      <c r="A664" s="15">
        <v>651</v>
      </c>
      <c r="B664" s="10">
        <f t="shared" ca="1" si="690"/>
        <v>-0.12774514686871985</v>
      </c>
      <c r="C664" s="10">
        <f t="shared" ca="1" si="691"/>
        <v>-0.18049894799317423</v>
      </c>
      <c r="D664" s="11">
        <f t="shared" si="692"/>
        <v>1447.7398688575352</v>
      </c>
      <c r="E664" s="11">
        <f t="shared" ref="E664:F664" ca="1" si="704">+D664*EXP(B664)</f>
        <v>1274.1234887237435</v>
      </c>
      <c r="F664" s="11">
        <f t="shared" ca="1" si="704"/>
        <v>1063.7065291258998</v>
      </c>
      <c r="G664" s="12">
        <f t="shared" ca="1" si="694"/>
        <v>79.463581229918475</v>
      </c>
      <c r="H664" s="12">
        <f t="shared" ca="1" si="695"/>
        <v>0.7378560324839345</v>
      </c>
    </row>
    <row r="665" spans="1:8" x14ac:dyDescent="0.35">
      <c r="A665" s="15">
        <v>652</v>
      </c>
      <c r="B665" s="10">
        <f t="shared" ca="1" si="690"/>
        <v>-6.1918230275105519E-3</v>
      </c>
      <c r="C665" s="10">
        <f t="shared" ca="1" si="691"/>
        <v>0.45908156878893258</v>
      </c>
      <c r="D665" s="11">
        <f t="shared" si="692"/>
        <v>1447.7398688575352</v>
      </c>
      <c r="E665" s="11">
        <f t="shared" ref="E665:F665" ca="1" si="705">+D665*EXP(B665)</f>
        <v>1438.8034148216036</v>
      </c>
      <c r="F665" s="11">
        <f t="shared" ca="1" si="705"/>
        <v>2277.0787580685196</v>
      </c>
      <c r="G665" s="12">
        <f t="shared" ca="1" si="694"/>
        <v>162.81395020654668</v>
      </c>
      <c r="H665" s="12">
        <f t="shared" ca="1" si="695"/>
        <v>814.17596468426518</v>
      </c>
    </row>
    <row r="666" spans="1:8" x14ac:dyDescent="0.35">
      <c r="A666" s="15">
        <v>653</v>
      </c>
      <c r="B666" s="10">
        <f t="shared" ca="1" si="690"/>
        <v>6.2876809162330446E-2</v>
      </c>
      <c r="C666" s="10">
        <f t="shared" ca="1" si="691"/>
        <v>-9.3190879915363775E-2</v>
      </c>
      <c r="D666" s="11">
        <f t="shared" si="692"/>
        <v>1447.7398688575352</v>
      </c>
      <c r="E666" s="11">
        <f t="shared" ref="E666:F666" ca="1" si="706">+D666*EXP(B666)</f>
        <v>1541.6918825452215</v>
      </c>
      <c r="F666" s="11">
        <f t="shared" ca="1" si="706"/>
        <v>1404.5115042090597</v>
      </c>
      <c r="G666" s="12">
        <f t="shared" ca="1" si="694"/>
        <v>230.24540196096609</v>
      </c>
      <c r="H666" s="12">
        <f t="shared" ca="1" si="695"/>
        <v>54.926246161366407</v>
      </c>
    </row>
    <row r="667" spans="1:8" x14ac:dyDescent="0.35">
      <c r="A667" s="15">
        <v>654</v>
      </c>
      <c r="B667" s="10">
        <f t="shared" ca="1" si="690"/>
        <v>0.20515082065378054</v>
      </c>
      <c r="C667" s="10">
        <f t="shared" ca="1" si="691"/>
        <v>-4.4161608782878406E-3</v>
      </c>
      <c r="D667" s="11">
        <f t="shared" si="692"/>
        <v>1447.7398688575352</v>
      </c>
      <c r="E667" s="11">
        <f t="shared" ref="E667:F667" ca="1" si="707">+D667*EXP(B667)</f>
        <v>1777.4050257429597</v>
      </c>
      <c r="F667" s="11">
        <f t="shared" ca="1" si="707"/>
        <v>1769.5730256182887</v>
      </c>
      <c r="G667" s="12">
        <f t="shared" ca="1" si="694"/>
        <v>417.79821994828058</v>
      </c>
      <c r="H667" s="12">
        <f t="shared" ca="1" si="695"/>
        <v>315.99008426372529</v>
      </c>
    </row>
    <row r="668" spans="1:8" x14ac:dyDescent="0.35">
      <c r="A668" s="15">
        <v>655</v>
      </c>
      <c r="B668" s="10">
        <f t="shared" ca="1" si="690"/>
        <v>4.9114530530067008E-2</v>
      </c>
      <c r="C668" s="10">
        <f t="shared" ca="1" si="691"/>
        <v>-5.2965016083626595E-2</v>
      </c>
      <c r="D668" s="11">
        <f t="shared" si="692"/>
        <v>1447.7398688575352</v>
      </c>
      <c r="E668" s="11">
        <f t="shared" ref="E668:F668" ca="1" si="708">+D668*EXP(B668)</f>
        <v>1520.6200202960479</v>
      </c>
      <c r="F668" s="11">
        <f t="shared" ca="1" si="708"/>
        <v>1442.176085914273</v>
      </c>
      <c r="G668" s="12">
        <f t="shared" ca="1" si="694"/>
        <v>215.58264526002142</v>
      </c>
      <c r="H668" s="12">
        <f t="shared" ca="1" si="695"/>
        <v>71.908129029633528</v>
      </c>
    </row>
    <row r="669" spans="1:8" x14ac:dyDescent="0.35">
      <c r="A669" s="15">
        <v>656</v>
      </c>
      <c r="B669" s="10">
        <f t="shared" ca="1" si="690"/>
        <v>0.14444463649753436</v>
      </c>
      <c r="C669" s="10">
        <f t="shared" ca="1" si="691"/>
        <v>-7.2751119346975729E-2</v>
      </c>
      <c r="D669" s="11">
        <f t="shared" si="692"/>
        <v>1447.7398688575352</v>
      </c>
      <c r="E669" s="11">
        <f t="shared" ref="E669:F669" ca="1" si="709">+D669*EXP(B669)</f>
        <v>1672.7153527925884</v>
      </c>
      <c r="F669" s="11">
        <f t="shared" ca="1" si="709"/>
        <v>1555.3446273731597</v>
      </c>
      <c r="G669" s="12">
        <f t="shared" ca="1" si="694"/>
        <v>329.81445902698488</v>
      </c>
      <c r="H669" s="12">
        <f t="shared" ca="1" si="695"/>
        <v>139.09983915165628</v>
      </c>
    </row>
    <row r="670" spans="1:8" x14ac:dyDescent="0.35">
      <c r="A670" s="15">
        <v>657</v>
      </c>
      <c r="B670" s="10">
        <f t="shared" ca="1" si="690"/>
        <v>6.0559141109470138E-2</v>
      </c>
      <c r="C670" s="10">
        <f t="shared" ca="1" si="691"/>
        <v>-0.16880092916450926</v>
      </c>
      <c r="D670" s="11">
        <f t="shared" si="692"/>
        <v>1447.7398688575352</v>
      </c>
      <c r="E670" s="11">
        <f t="shared" ref="E670:F670" ca="1" si="710">+D670*EXP(B670)</f>
        <v>1538.1228899893015</v>
      </c>
      <c r="F670" s="11">
        <f t="shared" ca="1" si="710"/>
        <v>1299.2170855867776</v>
      </c>
      <c r="G670" s="12">
        <f t="shared" ca="1" si="694"/>
        <v>227.73293948667947</v>
      </c>
      <c r="H670" s="12">
        <f t="shared" ca="1" si="695"/>
        <v>21.821894217653607</v>
      </c>
    </row>
    <row r="671" spans="1:8" x14ac:dyDescent="0.35">
      <c r="A671" s="15">
        <v>658</v>
      </c>
      <c r="B671" s="10">
        <f t="shared" ca="1" si="690"/>
        <v>-9.8384968194927896E-2</v>
      </c>
      <c r="C671" s="10">
        <f t="shared" ca="1" si="691"/>
        <v>9.4361663335756227E-2</v>
      </c>
      <c r="D671" s="11">
        <f t="shared" si="692"/>
        <v>1447.7398688575352</v>
      </c>
      <c r="E671" s="11">
        <f t="shared" ref="E671:F671" ca="1" si="711">+D671*EXP(B671)</f>
        <v>1312.0865561889777</v>
      </c>
      <c r="F671" s="11">
        <f t="shared" ca="1" si="711"/>
        <v>1441.9268715796795</v>
      </c>
      <c r="G671" s="12">
        <f t="shared" ca="1" si="694"/>
        <v>95.773942509543986</v>
      </c>
      <c r="H671" s="12">
        <f t="shared" ca="1" si="695"/>
        <v>71.786613509803033</v>
      </c>
    </row>
    <row r="672" spans="1:8" x14ac:dyDescent="0.35">
      <c r="A672" s="15">
        <v>659</v>
      </c>
      <c r="B672" s="10">
        <f t="shared" ca="1" si="690"/>
        <v>-4.0135699017614684E-2</v>
      </c>
      <c r="C672" s="10">
        <f t="shared" ca="1" si="691"/>
        <v>-0.28142693146435283</v>
      </c>
      <c r="D672" s="11">
        <f t="shared" si="692"/>
        <v>1447.7398688575352</v>
      </c>
      <c r="E672" s="11">
        <f t="shared" ref="E672:F672" ca="1" si="712">+D672*EXP(B672)</f>
        <v>1390.7844357507572</v>
      </c>
      <c r="F672" s="11">
        <f t="shared" ca="1" si="712"/>
        <v>1049.6334403227561</v>
      </c>
      <c r="G672" s="12">
        <f t="shared" ca="1" si="694"/>
        <v>135.19464216590018</v>
      </c>
      <c r="H672" s="12">
        <f t="shared" ca="1" si="695"/>
        <v>0.55623325647263044</v>
      </c>
    </row>
    <row r="673" spans="1:8" x14ac:dyDescent="0.35">
      <c r="A673" s="15">
        <v>660</v>
      </c>
      <c r="B673" s="10">
        <f t="shared" ca="1" si="690"/>
        <v>3.4305813089157339E-2</v>
      </c>
      <c r="C673" s="10">
        <f t="shared" ca="1" si="691"/>
        <v>-0.18236134775827839</v>
      </c>
      <c r="D673" s="11">
        <f t="shared" si="692"/>
        <v>1447.7398688575352</v>
      </c>
      <c r="E673" s="11">
        <f t="shared" ref="E673:F673" ca="1" si="713">+D673*EXP(B673)</f>
        <v>1498.2675026268726</v>
      </c>
      <c r="F673" s="11">
        <f t="shared" ca="1" si="713"/>
        <v>1248.5065719201928</v>
      </c>
      <c r="G673" s="12">
        <f t="shared" ca="1" si="694"/>
        <v>200.49136438765584</v>
      </c>
      <c r="H673" s="12">
        <f t="shared" ca="1" si="695"/>
        <v>12.561971174982943</v>
      </c>
    </row>
    <row r="674" spans="1:8" x14ac:dyDescent="0.35">
      <c r="A674" s="15">
        <v>661</v>
      </c>
      <c r="B674" s="10">
        <f t="shared" ca="1" si="690"/>
        <v>-1.7426159870520402E-2</v>
      </c>
      <c r="C674" s="10">
        <f t="shared" ca="1" si="691"/>
        <v>-0.34980833482874185</v>
      </c>
      <c r="D674" s="11">
        <f t="shared" si="692"/>
        <v>1447.7398688575352</v>
      </c>
      <c r="E674" s="11">
        <f t="shared" ref="E674:F674" ca="1" si="714">+D674*EXP(B674)</f>
        <v>1422.7298694735675</v>
      </c>
      <c r="F674" s="11">
        <f t="shared" ca="1" si="714"/>
        <v>1002.7729721409956</v>
      </c>
      <c r="G674" s="12">
        <f t="shared" ca="1" si="694"/>
        <v>153.27963618423087</v>
      </c>
      <c r="H674" s="12">
        <f t="shared" ca="1" si="695"/>
        <v>0.19934249822713834</v>
      </c>
    </row>
    <row r="675" spans="1:8" x14ac:dyDescent="0.35">
      <c r="A675" s="15">
        <v>662</v>
      </c>
      <c r="B675" s="10">
        <f t="shared" ca="1" si="690"/>
        <v>3.1308244517221459E-2</v>
      </c>
      <c r="C675" s="10">
        <f t="shared" ca="1" si="691"/>
        <v>0.15013249314447949</v>
      </c>
      <c r="D675" s="11">
        <f t="shared" si="692"/>
        <v>1447.7398688575352</v>
      </c>
      <c r="E675" s="11">
        <f t="shared" ref="E675:F675" ca="1" si="715">+D675*EXP(B675)</f>
        <v>1493.7830676072604</v>
      </c>
      <c r="F675" s="11">
        <f t="shared" ca="1" si="715"/>
        <v>1735.7582799919319</v>
      </c>
      <c r="G675" s="12">
        <f t="shared" ca="1" si="694"/>
        <v>197.52283770123324</v>
      </c>
      <c r="H675" s="12">
        <f t="shared" ca="1" si="695"/>
        <v>285.1839410777186</v>
      </c>
    </row>
    <row r="676" spans="1:8" x14ac:dyDescent="0.35">
      <c r="A676" s="15">
        <v>663</v>
      </c>
      <c r="B676" s="10">
        <f t="shared" ca="1" si="690"/>
        <v>-0.13857362527473605</v>
      </c>
      <c r="C676" s="10">
        <f t="shared" ca="1" si="691"/>
        <v>-8.4582034701170775E-2</v>
      </c>
      <c r="D676" s="11">
        <f t="shared" si="692"/>
        <v>1447.7398688575352</v>
      </c>
      <c r="E676" s="11">
        <f t="shared" ref="E676:F676" ca="1" si="716">+D676*EXP(B676)</f>
        <v>1260.4011004179297</v>
      </c>
      <c r="F676" s="11">
        <f t="shared" ca="1" si="716"/>
        <v>1158.1778710170968</v>
      </c>
      <c r="G676" s="12">
        <f t="shared" ca="1" si="694"/>
        <v>74.008120255301606</v>
      </c>
      <c r="H676" s="12">
        <f t="shared" ca="1" si="695"/>
        <v>3.7744662645478115</v>
      </c>
    </row>
    <row r="677" spans="1:8" x14ac:dyDescent="0.35">
      <c r="A677" s="15">
        <v>664</v>
      </c>
      <c r="B677" s="10">
        <f t="shared" ca="1" si="690"/>
        <v>-6.1314923376173724E-2</v>
      </c>
      <c r="C677" s="10">
        <f t="shared" ca="1" si="691"/>
        <v>4.0964392332237184E-2</v>
      </c>
      <c r="D677" s="11">
        <f t="shared" si="692"/>
        <v>1447.7398688575352</v>
      </c>
      <c r="E677" s="11">
        <f t="shared" ref="E677:F677" ca="1" si="717">+D677*EXP(B677)</f>
        <v>1361.6384344700161</v>
      </c>
      <c r="F677" s="11">
        <f t="shared" ca="1" si="717"/>
        <v>1418.5753568849116</v>
      </c>
      <c r="G677" s="12">
        <f t="shared" ca="1" si="694"/>
        <v>119.72797609098211</v>
      </c>
      <c r="H677" s="12">
        <f t="shared" ca="1" si="695"/>
        <v>60.941021985176235</v>
      </c>
    </row>
    <row r="678" spans="1:8" x14ac:dyDescent="0.35">
      <c r="A678" s="15">
        <v>665</v>
      </c>
      <c r="B678" s="10">
        <f t="shared" ca="1" si="690"/>
        <v>-2.3842295426747089E-4</v>
      </c>
      <c r="C678" s="10">
        <f t="shared" ca="1" si="691"/>
        <v>-0.27338178788968814</v>
      </c>
      <c r="D678" s="11">
        <f t="shared" si="692"/>
        <v>1447.7398688575352</v>
      </c>
      <c r="E678" s="11">
        <f t="shared" ref="E678:F678" ca="1" si="718">+D678*EXP(B678)</f>
        <v>1447.3947355864734</v>
      </c>
      <c r="F678" s="11">
        <f t="shared" ca="1" si="718"/>
        <v>1101.1811961964959</v>
      </c>
      <c r="G678" s="12">
        <f t="shared" ca="1" si="694"/>
        <v>168.02644071193856</v>
      </c>
      <c r="H678" s="12">
        <f t="shared" ca="1" si="695"/>
        <v>1.4857370643915253</v>
      </c>
    </row>
    <row r="679" spans="1:8" x14ac:dyDescent="0.35">
      <c r="A679" s="15">
        <v>666</v>
      </c>
      <c r="B679" s="10">
        <f t="shared" ca="1" si="690"/>
        <v>8.7287976897868783E-2</v>
      </c>
      <c r="C679" s="10">
        <f t="shared" ca="1" si="691"/>
        <v>-0.49466947630986813</v>
      </c>
      <c r="D679" s="11">
        <f t="shared" si="692"/>
        <v>1447.7398688575352</v>
      </c>
      <c r="E679" s="11">
        <f t="shared" ref="E679:F679" ca="1" si="719">+D679*EXP(B679)</f>
        <v>1579.789493409826</v>
      </c>
      <c r="F679" s="11">
        <f t="shared" ca="1" si="719"/>
        <v>963.31205967856363</v>
      </c>
      <c r="G679" s="12">
        <f t="shared" ca="1" si="694"/>
        <v>257.7720297806186</v>
      </c>
      <c r="H679" s="12">
        <f t="shared" ca="1" si="695"/>
        <v>7.5089032430539104E-2</v>
      </c>
    </row>
    <row r="680" spans="1:8" x14ac:dyDescent="0.35">
      <c r="A680" s="15">
        <v>667</v>
      </c>
      <c r="B680" s="10">
        <f t="shared" ca="1" si="690"/>
        <v>-0.22163031718588189</v>
      </c>
      <c r="C680" s="10">
        <f t="shared" ca="1" si="691"/>
        <v>-1.5536456765564879E-2</v>
      </c>
      <c r="D680" s="11">
        <f t="shared" si="692"/>
        <v>1447.7398688575352</v>
      </c>
      <c r="E680" s="11">
        <f t="shared" ref="E680:F680" ca="1" si="720">+D680*EXP(B680)</f>
        <v>1159.9458373167538</v>
      </c>
      <c r="F680" s="11">
        <f t="shared" ca="1" si="720"/>
        <v>1142.0636614914156</v>
      </c>
      <c r="G680" s="12">
        <f t="shared" ca="1" si="694"/>
        <v>41.111036031490585</v>
      </c>
      <c r="H680" s="12">
        <f t="shared" ca="1" si="695"/>
        <v>2.943709778291165</v>
      </c>
    </row>
    <row r="681" spans="1:8" x14ac:dyDescent="0.35">
      <c r="A681" s="15">
        <v>668</v>
      </c>
      <c r="B681" s="10">
        <f t="shared" ca="1" si="690"/>
        <v>2.8504566546850595E-2</v>
      </c>
      <c r="C681" s="10">
        <f t="shared" ca="1" si="691"/>
        <v>-9.5042014797827257E-2</v>
      </c>
      <c r="D681" s="11">
        <f t="shared" si="692"/>
        <v>1447.7398688575352</v>
      </c>
      <c r="E681" s="11">
        <f t="shared" ref="E681:F681" ca="1" si="721">+D681*EXP(B681)</f>
        <v>1489.6008464683014</v>
      </c>
      <c r="F681" s="11">
        <f t="shared" ca="1" si="721"/>
        <v>1354.5457807765454</v>
      </c>
      <c r="G681" s="12">
        <f t="shared" ca="1" si="694"/>
        <v>194.77251567666553</v>
      </c>
      <c r="H681" s="12">
        <f t="shared" ca="1" si="695"/>
        <v>36.667063089856356</v>
      </c>
    </row>
    <row r="682" spans="1:8" x14ac:dyDescent="0.35">
      <c r="A682" s="15">
        <v>669</v>
      </c>
      <c r="B682" s="10">
        <f t="shared" ca="1" si="690"/>
        <v>0.1437383785905863</v>
      </c>
      <c r="C682" s="10">
        <f t="shared" ca="1" si="691"/>
        <v>-0.1763711164129321</v>
      </c>
      <c r="D682" s="11">
        <f t="shared" si="692"/>
        <v>1447.7398688575352</v>
      </c>
      <c r="E682" s="11">
        <f t="shared" ref="E682:F682" ca="1" si="722">+D682*EXP(B682)</f>
        <v>1671.5344014258135</v>
      </c>
      <c r="F682" s="11">
        <f t="shared" ca="1" si="722"/>
        <v>1401.2586821987411</v>
      </c>
      <c r="G682" s="12">
        <f t="shared" ca="1" si="694"/>
        <v>328.85973753371263</v>
      </c>
      <c r="H682" s="12">
        <f t="shared" ca="1" si="695"/>
        <v>53.590392289262581</v>
      </c>
    </row>
    <row r="683" spans="1:8" x14ac:dyDescent="0.35">
      <c r="A683" s="15">
        <v>670</v>
      </c>
      <c r="B683" s="10">
        <f t="shared" ca="1" si="690"/>
        <v>-7.415449964072951E-2</v>
      </c>
      <c r="C683" s="10">
        <f t="shared" ca="1" si="691"/>
        <v>6.5828805295124443E-2</v>
      </c>
      <c r="D683" s="11">
        <f t="shared" si="692"/>
        <v>1447.7398688575352</v>
      </c>
      <c r="E683" s="11">
        <f t="shared" ref="E683:F683" ca="1" si="723">+D683*EXP(B683)</f>
        <v>1344.2673313889959</v>
      </c>
      <c r="F683" s="11">
        <f t="shared" ca="1" si="723"/>
        <v>1435.7364668822156</v>
      </c>
      <c r="G683" s="12">
        <f t="shared" ca="1" si="694"/>
        <v>110.9910090516554</v>
      </c>
      <c r="H683" s="12">
        <f t="shared" ca="1" si="695"/>
        <v>68.807220105115903</v>
      </c>
    </row>
    <row r="684" spans="1:8" x14ac:dyDescent="0.35">
      <c r="A684" s="15">
        <v>671</v>
      </c>
      <c r="B684" s="10">
        <f t="shared" ca="1" si="690"/>
        <v>0.10023689404585605</v>
      </c>
      <c r="C684" s="10">
        <f t="shared" ca="1" si="691"/>
        <v>-0.12389075128331786</v>
      </c>
      <c r="D684" s="11">
        <f t="shared" si="692"/>
        <v>1447.7398688575352</v>
      </c>
      <c r="E684" s="11">
        <f t="shared" ref="E684:F684" ca="1" si="724">+D684*EXP(B684)</f>
        <v>1600.3790753719461</v>
      </c>
      <c r="F684" s="11">
        <f t="shared" ca="1" si="724"/>
        <v>1413.8970709573534</v>
      </c>
      <c r="G684" s="12">
        <f t="shared" ca="1" si="694"/>
        <v>273.1628046358403</v>
      </c>
      <c r="H684" s="12">
        <f t="shared" ca="1" si="695"/>
        <v>58.897076181851503</v>
      </c>
    </row>
    <row r="685" spans="1:8" x14ac:dyDescent="0.35">
      <c r="A685" s="15">
        <v>672</v>
      </c>
      <c r="B685" s="10">
        <f t="shared" ca="1" si="690"/>
        <v>-5.7815938805985706E-2</v>
      </c>
      <c r="C685" s="10">
        <f t="shared" ca="1" si="691"/>
        <v>-0.13797470078883636</v>
      </c>
      <c r="D685" s="11">
        <f t="shared" si="692"/>
        <v>1447.7398688575352</v>
      </c>
      <c r="E685" s="11">
        <f t="shared" ref="E685:F685" ca="1" si="725">+D685*EXP(B685)</f>
        <v>1366.4111312693308</v>
      </c>
      <c r="F685" s="11">
        <f t="shared" ca="1" si="725"/>
        <v>1190.3090623350029</v>
      </c>
      <c r="G685" s="12">
        <f t="shared" ca="1" si="694"/>
        <v>122.19183288880299</v>
      </c>
      <c r="H685" s="12">
        <f t="shared" ca="1" si="695"/>
        <v>5.9982221421827688</v>
      </c>
    </row>
    <row r="686" spans="1:8" x14ac:dyDescent="0.35">
      <c r="A686" s="15">
        <v>673</v>
      </c>
      <c r="B686" s="10">
        <f t="shared" ca="1" si="690"/>
        <v>-6.0513922160090577E-2</v>
      </c>
      <c r="C686" s="10">
        <f t="shared" ca="1" si="691"/>
        <v>-0.33855504992477081</v>
      </c>
      <c r="D686" s="11">
        <f t="shared" si="692"/>
        <v>1447.7398688575352</v>
      </c>
      <c r="E686" s="11">
        <f t="shared" ref="E686:F686" ca="1" si="726">+D686*EXP(B686)</f>
        <v>1362.7295454441626</v>
      </c>
      <c r="F686" s="11">
        <f t="shared" ca="1" si="726"/>
        <v>971.35299143061968</v>
      </c>
      <c r="G686" s="12">
        <f t="shared" ca="1" si="694"/>
        <v>120.2888540857208</v>
      </c>
      <c r="H686" s="12">
        <f t="shared" ca="1" si="695"/>
        <v>9.2443960667232705E-2</v>
      </c>
    </row>
    <row r="687" spans="1:8" x14ac:dyDescent="0.35">
      <c r="A687" s="15">
        <v>674</v>
      </c>
      <c r="B687" s="10">
        <f t="shared" ca="1" si="690"/>
        <v>-0.37353529217743048</v>
      </c>
      <c r="C687" s="10">
        <f t="shared" ca="1" si="691"/>
        <v>-4.1438969419682128E-2</v>
      </c>
      <c r="D687" s="11">
        <f t="shared" si="692"/>
        <v>1447.7398688575352</v>
      </c>
      <c r="E687" s="11">
        <f t="shared" ref="E687:F687" ca="1" si="727">+D687*EXP(B687)</f>
        <v>996.47456605478544</v>
      </c>
      <c r="F687" s="11">
        <f t="shared" ca="1" si="727"/>
        <v>956.02555764348904</v>
      </c>
      <c r="G687" s="12">
        <f t="shared" ca="1" si="694"/>
        <v>11.395336172911598</v>
      </c>
      <c r="H687" s="12">
        <f t="shared" ca="1" si="695"/>
        <v>6.1935862037654887E-2</v>
      </c>
    </row>
    <row r="688" spans="1:8" x14ac:dyDescent="0.35">
      <c r="A688" s="15">
        <v>675</v>
      </c>
      <c r="B688" s="10">
        <f t="shared" ca="1" si="690"/>
        <v>0.10050893011352363</v>
      </c>
      <c r="C688" s="10">
        <f t="shared" ca="1" si="691"/>
        <v>-0.40778056654349948</v>
      </c>
      <c r="D688" s="11">
        <f t="shared" si="692"/>
        <v>1447.7398688575352</v>
      </c>
      <c r="E688" s="11">
        <f t="shared" ref="E688:F688" ca="1" si="728">+D688*EXP(B688)</f>
        <v>1600.8144954246818</v>
      </c>
      <c r="F688" s="11">
        <f t="shared" ca="1" si="728"/>
        <v>1064.7414426328601</v>
      </c>
      <c r="G688" s="12">
        <f t="shared" ca="1" si="694"/>
        <v>273.49200502563417</v>
      </c>
      <c r="H688" s="12">
        <f t="shared" ca="1" si="695"/>
        <v>0.75301718721699551</v>
      </c>
    </row>
    <row r="689" spans="1:8" x14ac:dyDescent="0.35">
      <c r="A689" s="15">
        <v>676</v>
      </c>
      <c r="B689" s="10">
        <f t="shared" ca="1" si="690"/>
        <v>4.1537832064033484E-2</v>
      </c>
      <c r="C689" s="10">
        <f t="shared" ca="1" si="691"/>
        <v>-0.49891506120447993</v>
      </c>
      <c r="D689" s="11">
        <f t="shared" si="692"/>
        <v>1447.7398688575352</v>
      </c>
      <c r="E689" s="11">
        <f t="shared" ref="E689:F689" ca="1" si="729">+D689*EXP(B689)</f>
        <v>1509.1422775267677</v>
      </c>
      <c r="F689" s="11">
        <f t="shared" ca="1" si="729"/>
        <v>916.33468913223874</v>
      </c>
      <c r="G689" s="12">
        <f t="shared" ca="1" si="694"/>
        <v>207.77271159613315</v>
      </c>
      <c r="H689" s="12">
        <f t="shared" ca="1" si="695"/>
        <v>2.0161291755755983E-2</v>
      </c>
    </row>
    <row r="690" spans="1:8" x14ac:dyDescent="0.35">
      <c r="A690" s="15">
        <v>677</v>
      </c>
      <c r="B690" s="10">
        <f t="shared" ca="1" si="690"/>
        <v>0.2857643079697752</v>
      </c>
      <c r="C690" s="10">
        <f t="shared" ca="1" si="691"/>
        <v>0.23294192208093134</v>
      </c>
      <c r="D690" s="11">
        <f t="shared" si="692"/>
        <v>1447.7398688575352</v>
      </c>
      <c r="E690" s="11">
        <f t="shared" ref="E690:F690" ca="1" si="730">+D690*EXP(B690)</f>
        <v>1926.62147376076</v>
      </c>
      <c r="F690" s="11">
        <f t="shared" ca="1" si="730"/>
        <v>2431.9900171287013</v>
      </c>
      <c r="G690" s="12">
        <f t="shared" ca="1" si="694"/>
        <v>552.11509202106208</v>
      </c>
      <c r="H690" s="12">
        <f t="shared" ca="1" si="695"/>
        <v>969.03582311276296</v>
      </c>
    </row>
    <row r="691" spans="1:8" x14ac:dyDescent="0.35">
      <c r="A691" s="15">
        <v>678</v>
      </c>
      <c r="B691" s="10">
        <f t="shared" ca="1" si="690"/>
        <v>-0.15364802958822926</v>
      </c>
      <c r="C691" s="10">
        <f t="shared" ca="1" si="691"/>
        <v>-6.9062064416325175E-2</v>
      </c>
      <c r="D691" s="11">
        <f t="shared" si="692"/>
        <v>1447.7398688575352</v>
      </c>
      <c r="E691" s="11">
        <f t="shared" ref="E691:F691" ca="1" si="731">+D691*EXP(B691)</f>
        <v>1241.5437930602673</v>
      </c>
      <c r="F691" s="11">
        <f t="shared" ca="1" si="731"/>
        <v>1158.6940306482397</v>
      </c>
      <c r="G691" s="12">
        <f t="shared" ca="1" si="694"/>
        <v>66.892533189582139</v>
      </c>
      <c r="H691" s="12">
        <f t="shared" ca="1" si="695"/>
        <v>3.8039364709582202</v>
      </c>
    </row>
    <row r="692" spans="1:8" x14ac:dyDescent="0.35">
      <c r="A692" s="15">
        <v>679</v>
      </c>
      <c r="B692" s="10">
        <f t="shared" ca="1" si="690"/>
        <v>-0.37472425524012576</v>
      </c>
      <c r="C692" s="10">
        <f t="shared" ca="1" si="691"/>
        <v>-0.13562350245115082</v>
      </c>
      <c r="D692" s="11">
        <f t="shared" si="692"/>
        <v>1447.7398688575352</v>
      </c>
      <c r="E692" s="11">
        <f t="shared" ref="E692:F692" ca="1" si="732">+D692*EXP(B692)</f>
        <v>995.2904986485222</v>
      </c>
      <c r="F692" s="11">
        <f t="shared" ca="1" si="732"/>
        <v>869.05911597134343</v>
      </c>
      <c r="G692" s="12">
        <f t="shared" ca="1" si="694"/>
        <v>11.268825395074046</v>
      </c>
      <c r="H692" s="12">
        <f t="shared" ca="1" si="695"/>
        <v>4.4316419900026216E-3</v>
      </c>
    </row>
    <row r="693" spans="1:8" x14ac:dyDescent="0.35">
      <c r="A693" s="15">
        <v>680</v>
      </c>
      <c r="B693" s="10">
        <f t="shared" ca="1" si="690"/>
        <v>-0.20478911870163602</v>
      </c>
      <c r="C693" s="10">
        <f t="shared" ca="1" si="691"/>
        <v>3.9253996490220835E-2</v>
      </c>
      <c r="D693" s="11">
        <f t="shared" si="692"/>
        <v>1447.7398688575352</v>
      </c>
      <c r="E693" s="11">
        <f t="shared" ref="E693:F693" ca="1" si="733">+D693*EXP(B693)</f>
        <v>1179.6461381076865</v>
      </c>
      <c r="F693" s="11">
        <f t="shared" ca="1" si="733"/>
        <v>1226.8728173738114</v>
      </c>
      <c r="G693" s="12">
        <f t="shared" ca="1" si="694"/>
        <v>46.604054410458275</v>
      </c>
      <c r="H693" s="12">
        <f t="shared" ca="1" si="695"/>
        <v>9.6789361037800745</v>
      </c>
    </row>
    <row r="694" spans="1:8" x14ac:dyDescent="0.35">
      <c r="A694" s="15">
        <v>681</v>
      </c>
      <c r="B694" s="10">
        <f t="shared" ca="1" si="690"/>
        <v>0.18294517193561516</v>
      </c>
      <c r="C694" s="10">
        <f t="shared" ca="1" si="691"/>
        <v>0.4663402722288903</v>
      </c>
      <c r="D694" s="11">
        <f t="shared" si="692"/>
        <v>1447.7398688575352</v>
      </c>
      <c r="E694" s="11">
        <f t="shared" ref="E694:F694" ca="1" si="734">+D694*EXP(B694)</f>
        <v>1738.3715795153726</v>
      </c>
      <c r="F694" s="11">
        <f t="shared" ca="1" si="734"/>
        <v>2771.2239267113259</v>
      </c>
      <c r="G694" s="12">
        <f t="shared" ca="1" si="694"/>
        <v>384.26805791439187</v>
      </c>
      <c r="H694" s="12">
        <f t="shared" ca="1" si="695"/>
        <v>1308.2592399718774</v>
      </c>
    </row>
    <row r="695" spans="1:8" x14ac:dyDescent="0.35">
      <c r="A695" s="15">
        <v>682</v>
      </c>
      <c r="B695" s="10">
        <f t="shared" ca="1" si="690"/>
        <v>-0.10046704382252736</v>
      </c>
      <c r="C695" s="10">
        <f t="shared" ca="1" si="691"/>
        <v>0.16031963736748564</v>
      </c>
      <c r="D695" s="11">
        <f t="shared" si="692"/>
        <v>1447.7398688575352</v>
      </c>
      <c r="E695" s="11">
        <f t="shared" ref="E695:F695" ca="1" si="735">+D695*EXP(B695)</f>
        <v>1309.3575347494168</v>
      </c>
      <c r="F695" s="11">
        <f t="shared" ca="1" si="735"/>
        <v>1537.0365168398052</v>
      </c>
      <c r="G695" s="12">
        <f t="shared" ca="1" si="694"/>
        <v>94.541941497104688</v>
      </c>
      <c r="H695" s="12">
        <f t="shared" ca="1" si="695"/>
        <v>126.68919239632578</v>
      </c>
    </row>
    <row r="696" spans="1:8" x14ac:dyDescent="0.35">
      <c r="A696" s="15">
        <v>683</v>
      </c>
      <c r="B696" s="10">
        <f t="shared" ca="1" si="690"/>
        <v>-7.9771395876153312E-2</v>
      </c>
      <c r="C696" s="10">
        <f t="shared" ca="1" si="691"/>
        <v>4.3828542210913216E-2</v>
      </c>
      <c r="D696" s="11">
        <f t="shared" si="692"/>
        <v>1447.7398688575352</v>
      </c>
      <c r="E696" s="11">
        <f t="shared" ref="E696:F696" ca="1" si="736">+D696*EXP(B696)</f>
        <v>1336.7378871253377</v>
      </c>
      <c r="F696" s="11">
        <f t="shared" ca="1" si="736"/>
        <v>1396.6280218739805</v>
      </c>
      <c r="G696" s="12">
        <f t="shared" ca="1" si="694"/>
        <v>107.31728463829518</v>
      </c>
      <c r="H696" s="12">
        <f t="shared" ca="1" si="695"/>
        <v>51.72443852701457</v>
      </c>
    </row>
    <row r="697" spans="1:8" x14ac:dyDescent="0.35">
      <c r="A697" s="15">
        <v>684</v>
      </c>
      <c r="B697" s="10">
        <f t="shared" ca="1" si="690"/>
        <v>-8.9697583917571974E-2</v>
      </c>
      <c r="C697" s="10">
        <f t="shared" ca="1" si="691"/>
        <v>-0.12617910732682436</v>
      </c>
      <c r="D697" s="11">
        <f t="shared" si="692"/>
        <v>1447.7398688575352</v>
      </c>
      <c r="E697" s="11">
        <f t="shared" ref="E697:F697" ca="1" si="737">+D697*EXP(B697)</f>
        <v>1323.5348120060237</v>
      </c>
      <c r="F697" s="11">
        <f t="shared" ca="1" si="737"/>
        <v>1166.6389681985684</v>
      </c>
      <c r="G697" s="12">
        <f t="shared" ca="1" si="694"/>
        <v>101.04210587289026</v>
      </c>
      <c r="H697" s="12">
        <f t="shared" ca="1" si="695"/>
        <v>4.2816279008356588</v>
      </c>
    </row>
    <row r="698" spans="1:8" x14ac:dyDescent="0.35">
      <c r="A698" s="15">
        <v>685</v>
      </c>
      <c r="B698" s="10">
        <f t="shared" ca="1" si="690"/>
        <v>-6.8891155770406873E-2</v>
      </c>
      <c r="C698" s="10">
        <f t="shared" ca="1" si="691"/>
        <v>-8.0159608576512928E-2</v>
      </c>
      <c r="D698" s="11">
        <f t="shared" si="692"/>
        <v>1447.7398688575352</v>
      </c>
      <c r="E698" s="11">
        <f t="shared" ref="E698:F698" ca="1" si="738">+D698*EXP(B698)</f>
        <v>1351.3613252954653</v>
      </c>
      <c r="F698" s="11">
        <f t="shared" ca="1" si="738"/>
        <v>1247.2646392335341</v>
      </c>
      <c r="G698" s="12">
        <f t="shared" ca="1" si="694"/>
        <v>114.51510706554427</v>
      </c>
      <c r="H698" s="12">
        <f t="shared" ca="1" si="695"/>
        <v>12.380633498706942</v>
      </c>
    </row>
    <row r="699" spans="1:8" x14ac:dyDescent="0.35">
      <c r="A699" s="15">
        <v>686</v>
      </c>
      <c r="B699" s="10">
        <f t="shared" ca="1" si="690"/>
        <v>0.11675636257834063</v>
      </c>
      <c r="C699" s="10">
        <f t="shared" ca="1" si="691"/>
        <v>0.16087826804086802</v>
      </c>
      <c r="D699" s="11">
        <f t="shared" si="692"/>
        <v>1447.7398688575352</v>
      </c>
      <c r="E699" s="11">
        <f t="shared" ref="E699:F699" ca="1" si="739">+D699*EXP(B699)</f>
        <v>1627.0360605559486</v>
      </c>
      <c r="F699" s="11">
        <f t="shared" ca="1" si="739"/>
        <v>1911.0221574220636</v>
      </c>
      <c r="G699" s="12">
        <f t="shared" ca="1" si="694"/>
        <v>293.59058033681777</v>
      </c>
      <c r="H699" s="12">
        <f t="shared" ca="1" si="695"/>
        <v>450.74029898518552</v>
      </c>
    </row>
    <row r="700" spans="1:8" x14ac:dyDescent="0.35">
      <c r="A700" s="15">
        <v>687</v>
      </c>
      <c r="B700" s="10">
        <f t="shared" ca="1" si="690"/>
        <v>0.27771332634170393</v>
      </c>
      <c r="C700" s="10">
        <f t="shared" ca="1" si="691"/>
        <v>0.14007109519489752</v>
      </c>
      <c r="D700" s="11">
        <f t="shared" si="692"/>
        <v>1447.7398688575352</v>
      </c>
      <c r="E700" s="11">
        <f t="shared" ref="E700:F700" ca="1" si="740">+D700*EXP(B700)</f>
        <v>1911.1725526090975</v>
      </c>
      <c r="F700" s="11">
        <f t="shared" ca="1" si="740"/>
        <v>2198.528011582674</v>
      </c>
      <c r="G700" s="12">
        <f t="shared" ca="1" si="694"/>
        <v>537.83689395512306</v>
      </c>
      <c r="H700" s="12">
        <f t="shared" ca="1" si="695"/>
        <v>735.7098795589684</v>
      </c>
    </row>
    <row r="701" spans="1:8" x14ac:dyDescent="0.35">
      <c r="A701" s="15">
        <v>688</v>
      </c>
      <c r="B701" s="10">
        <f t="shared" ca="1" si="690"/>
        <v>0.11611299438241278</v>
      </c>
      <c r="C701" s="10">
        <f t="shared" ca="1" si="691"/>
        <v>6.5660289595221133E-2</v>
      </c>
      <c r="D701" s="11">
        <f t="shared" si="692"/>
        <v>1447.7398688575352</v>
      </c>
      <c r="E701" s="11">
        <f t="shared" ref="E701:F701" ca="1" si="741">+D701*EXP(B701)</f>
        <v>1625.9896139622831</v>
      </c>
      <c r="F701" s="11">
        <f t="shared" ca="1" si="741"/>
        <v>1736.3355960001286</v>
      </c>
      <c r="G701" s="12">
        <f t="shared" ca="1" si="694"/>
        <v>292.77838792324224</v>
      </c>
      <c r="H701" s="12">
        <f t="shared" ca="1" si="695"/>
        <v>285.70345864217938</v>
      </c>
    </row>
    <row r="702" spans="1:8" x14ac:dyDescent="0.35">
      <c r="A702" s="15">
        <v>689</v>
      </c>
      <c r="B702" s="10">
        <f t="shared" ca="1" si="690"/>
        <v>0.1177050652666768</v>
      </c>
      <c r="C702" s="10">
        <f t="shared" ca="1" si="691"/>
        <v>-0.46406298366951693</v>
      </c>
      <c r="D702" s="11">
        <f t="shared" si="692"/>
        <v>1447.7398688575352</v>
      </c>
      <c r="E702" s="11">
        <f t="shared" ref="E702:F702" ca="1" si="742">+D702*EXP(B702)</f>
        <v>1628.5803664683756</v>
      </c>
      <c r="F702" s="11">
        <f t="shared" ca="1" si="742"/>
        <v>1023.927487214548</v>
      </c>
      <c r="G702" s="12">
        <f t="shared" ca="1" si="694"/>
        <v>294.79068180446279</v>
      </c>
      <c r="H702" s="12">
        <f t="shared" ca="1" si="695"/>
        <v>0.32219114413372729</v>
      </c>
    </row>
    <row r="703" spans="1:8" x14ac:dyDescent="0.35">
      <c r="A703" s="15">
        <v>690</v>
      </c>
      <c r="B703" s="10">
        <f t="shared" ca="1" si="690"/>
        <v>8.5755436876561314E-2</v>
      </c>
      <c r="C703" s="10">
        <f t="shared" ca="1" si="691"/>
        <v>-0.37808066170853361</v>
      </c>
      <c r="D703" s="11">
        <f t="shared" si="692"/>
        <v>1447.7398688575352</v>
      </c>
      <c r="E703" s="11">
        <f t="shared" ref="E703:F703" ca="1" si="743">+D703*EXP(B703)</f>
        <v>1577.3702570477083</v>
      </c>
      <c r="F703" s="11">
        <f t="shared" ca="1" si="743"/>
        <v>1080.7750302957456</v>
      </c>
      <c r="G703" s="12">
        <f t="shared" ca="1" si="694"/>
        <v>255.98669534916371</v>
      </c>
      <c r="H703" s="12">
        <f t="shared" ca="1" si="695"/>
        <v>1.0242608346639415</v>
      </c>
    </row>
    <row r="704" spans="1:8" x14ac:dyDescent="0.35">
      <c r="A704" s="15">
        <v>691</v>
      </c>
      <c r="B704" s="10">
        <f t="shared" ca="1" si="690"/>
        <v>0.12603456933976254</v>
      </c>
      <c r="C704" s="10">
        <f t="shared" ca="1" si="691"/>
        <v>0.37516631262191014</v>
      </c>
      <c r="D704" s="11">
        <f t="shared" si="692"/>
        <v>1447.7398688575352</v>
      </c>
      <c r="E704" s="11">
        <f t="shared" ref="E704:F704" ca="1" si="744">+D704*EXP(B704)</f>
        <v>1642.2022864250687</v>
      </c>
      <c r="F704" s="11">
        <f t="shared" ca="1" si="744"/>
        <v>2389.7876466153748</v>
      </c>
      <c r="G704" s="12">
        <f t="shared" ca="1" si="694"/>
        <v>305.45281040131863</v>
      </c>
      <c r="H704" s="12">
        <f t="shared" ca="1" si="695"/>
        <v>926.84015347663581</v>
      </c>
    </row>
    <row r="705" spans="1:8" x14ac:dyDescent="0.35">
      <c r="A705" s="15">
        <v>692</v>
      </c>
      <c r="B705" s="10">
        <f t="shared" ca="1" si="690"/>
        <v>-0.13828053458244249</v>
      </c>
      <c r="C705" s="10">
        <f t="shared" ca="1" si="691"/>
        <v>-0.21591763603138653</v>
      </c>
      <c r="D705" s="11">
        <f t="shared" si="692"/>
        <v>1447.7398688575352</v>
      </c>
      <c r="E705" s="11">
        <f t="shared" ref="E705:F705" ca="1" si="745">+D705*EXP(B705)</f>
        <v>1260.7705663898928</v>
      </c>
      <c r="F705" s="11">
        <f t="shared" ca="1" si="745"/>
        <v>1015.9310255686079</v>
      </c>
      <c r="G705" s="12">
        <f t="shared" ca="1" si="694"/>
        <v>74.151940270016098</v>
      </c>
      <c r="H705" s="12">
        <f t="shared" ca="1" si="695"/>
        <v>0.26962447947411228</v>
      </c>
    </row>
    <row r="706" spans="1:8" x14ac:dyDescent="0.35">
      <c r="A706" s="15">
        <v>693</v>
      </c>
      <c r="B706" s="10">
        <f t="shared" ca="1" si="690"/>
        <v>9.5353704140621109E-2</v>
      </c>
      <c r="C706" s="10">
        <f t="shared" ca="1" si="691"/>
        <v>-6.1104714891612552E-2</v>
      </c>
      <c r="D706" s="11">
        <f t="shared" si="692"/>
        <v>1447.7398688575352</v>
      </c>
      <c r="E706" s="11">
        <f t="shared" ref="E706:F706" ca="1" si="746">+D706*EXP(B706)</f>
        <v>1592.5831703603278</v>
      </c>
      <c r="F706" s="11">
        <f t="shared" ca="1" si="746"/>
        <v>1498.1823677326718</v>
      </c>
      <c r="G706" s="12">
        <f t="shared" ca="1" si="694"/>
        <v>267.29452292501753</v>
      </c>
      <c r="H706" s="12">
        <f t="shared" ca="1" si="695"/>
        <v>102.24748344528234</v>
      </c>
    </row>
    <row r="707" spans="1:8" x14ac:dyDescent="0.35">
      <c r="A707" s="15">
        <v>694</v>
      </c>
      <c r="B707" s="10">
        <f t="shared" ca="1" si="690"/>
        <v>5.5382182349221452E-2</v>
      </c>
      <c r="C707" s="10">
        <f t="shared" ca="1" si="691"/>
        <v>0.14251405787277932</v>
      </c>
      <c r="D707" s="11">
        <f t="shared" si="692"/>
        <v>1447.7398688575352</v>
      </c>
      <c r="E707" s="11">
        <f t="shared" ref="E707:F707" ca="1" si="747">+D707*EXP(B707)</f>
        <v>1530.1806672376772</v>
      </c>
      <c r="F707" s="11">
        <f t="shared" ca="1" si="747"/>
        <v>1764.5573565950033</v>
      </c>
      <c r="G707" s="12">
        <f t="shared" ca="1" si="694"/>
        <v>222.18401762998258</v>
      </c>
      <c r="H707" s="12">
        <f t="shared" ca="1" si="695"/>
        <v>311.37490910492033</v>
      </c>
    </row>
    <row r="708" spans="1:8" x14ac:dyDescent="0.35">
      <c r="A708" s="15">
        <v>695</v>
      </c>
      <c r="B708" s="10">
        <f t="shared" ca="1" si="690"/>
        <v>4.2154423873794283E-2</v>
      </c>
      <c r="C708" s="10">
        <f t="shared" ca="1" si="691"/>
        <v>-3.2689544325999673E-3</v>
      </c>
      <c r="D708" s="11">
        <f t="shared" si="692"/>
        <v>1447.7398688575352</v>
      </c>
      <c r="E708" s="11">
        <f t="shared" ref="E708:F708" ca="1" si="748">+D708*EXP(B708)</f>
        <v>1510.0730892308009</v>
      </c>
      <c r="F708" s="11">
        <f t="shared" ca="1" si="748"/>
        <v>1505.144788695826</v>
      </c>
      <c r="G708" s="12">
        <f t="shared" ca="1" si="694"/>
        <v>208.40133229250102</v>
      </c>
      <c r="H708" s="12">
        <f t="shared" ca="1" si="695"/>
        <v>106.43020778942389</v>
      </c>
    </row>
    <row r="709" spans="1:8" x14ac:dyDescent="0.35">
      <c r="A709" s="15">
        <v>696</v>
      </c>
      <c r="B709" s="10">
        <f t="shared" ca="1" si="690"/>
        <v>3.6317446469407336E-2</v>
      </c>
      <c r="C709" s="10">
        <f t="shared" ca="1" si="691"/>
        <v>-0.22507964421387686</v>
      </c>
      <c r="D709" s="11">
        <f t="shared" si="692"/>
        <v>1447.7398688575352</v>
      </c>
      <c r="E709" s="11">
        <f t="shared" ref="E709:F709" ca="1" si="749">+D709*EXP(B709)</f>
        <v>1501.2845010776971</v>
      </c>
      <c r="F709" s="11">
        <f t="shared" ca="1" si="749"/>
        <v>1198.7045493992005</v>
      </c>
      <c r="G709" s="12">
        <f t="shared" ca="1" si="694"/>
        <v>202.4997570902442</v>
      </c>
      <c r="H709" s="12">
        <f t="shared" ca="1" si="695"/>
        <v>6.7243442883365816</v>
      </c>
    </row>
    <row r="710" spans="1:8" x14ac:dyDescent="0.35">
      <c r="A710" s="15">
        <v>697</v>
      </c>
      <c r="B710" s="10">
        <f t="shared" ca="1" si="690"/>
        <v>0.13100253035218479</v>
      </c>
      <c r="C710" s="10">
        <f t="shared" ca="1" si="691"/>
        <v>-1.2975882346581626E-2</v>
      </c>
      <c r="D710" s="11">
        <f t="shared" si="692"/>
        <v>1447.7398688575352</v>
      </c>
      <c r="E710" s="11">
        <f t="shared" ref="E710:F710" ca="1" si="750">+D710*EXP(B710)</f>
        <v>1650.3809822582768</v>
      </c>
      <c r="F710" s="11">
        <f t="shared" ca="1" si="750"/>
        <v>1629.1041740224057</v>
      </c>
      <c r="G710" s="12">
        <f t="shared" ca="1" si="694"/>
        <v>311.91901502591065</v>
      </c>
      <c r="H710" s="12">
        <f t="shared" ca="1" si="695"/>
        <v>194.21493245425427</v>
      </c>
    </row>
    <row r="711" spans="1:8" x14ac:dyDescent="0.35">
      <c r="A711" s="15">
        <v>698</v>
      </c>
      <c r="B711" s="10">
        <f t="shared" ca="1" si="690"/>
        <v>-1.1280555008939989E-2</v>
      </c>
      <c r="C711" s="10">
        <f t="shared" ca="1" si="691"/>
        <v>3.3606474491948285E-3</v>
      </c>
      <c r="D711" s="11">
        <f t="shared" si="692"/>
        <v>1447.7398688575352</v>
      </c>
      <c r="E711" s="11">
        <f t="shared" ref="E711:F711" ca="1" si="751">+D711*EXP(B711)</f>
        <v>1431.5003273565494</v>
      </c>
      <c r="F711" s="11">
        <f t="shared" ca="1" si="751"/>
        <v>1436.3191879907204</v>
      </c>
      <c r="G711" s="12">
        <f t="shared" ca="1" si="694"/>
        <v>158.44654821222821</v>
      </c>
      <c r="H711" s="12">
        <f t="shared" ca="1" si="695"/>
        <v>69.084478285806426</v>
      </c>
    </row>
    <row r="712" spans="1:8" x14ac:dyDescent="0.35">
      <c r="A712" s="15">
        <v>699</v>
      </c>
      <c r="B712" s="10">
        <f t="shared" ca="1" si="690"/>
        <v>-5.8210359402789486E-2</v>
      </c>
      <c r="C712" s="10">
        <f t="shared" ca="1" si="691"/>
        <v>0.14431016521522563</v>
      </c>
      <c r="D712" s="11">
        <f t="shared" si="692"/>
        <v>1447.7398688575352</v>
      </c>
      <c r="E712" s="11">
        <f t="shared" ref="E712:F712" ca="1" si="752">+D712*EXP(B712)</f>
        <v>1365.8722968461393</v>
      </c>
      <c r="F712" s="11">
        <f t="shared" ca="1" si="752"/>
        <v>1577.9135479054867</v>
      </c>
      <c r="G712" s="12">
        <f t="shared" ca="1" si="694"/>
        <v>121.9123048906207</v>
      </c>
      <c r="H712" s="12">
        <f t="shared" ca="1" si="695"/>
        <v>155.13240962728139</v>
      </c>
    </row>
    <row r="713" spans="1:8" x14ac:dyDescent="0.35">
      <c r="A713" s="15">
        <v>700</v>
      </c>
      <c r="B713" s="10">
        <f t="shared" ca="1" si="690"/>
        <v>0.10039535606391538</v>
      </c>
      <c r="C713" s="10">
        <f t="shared" ca="1" si="691"/>
        <v>-0.320537073287543</v>
      </c>
      <c r="D713" s="11">
        <f t="shared" si="692"/>
        <v>1447.7398688575352</v>
      </c>
      <c r="E713" s="11">
        <f t="shared" ref="E713:F713" ca="1" si="753">+D713*EXP(B713)</f>
        <v>1600.632694763879</v>
      </c>
      <c r="F713" s="11">
        <f t="shared" ca="1" si="753"/>
        <v>1161.6738184636451</v>
      </c>
      <c r="G713" s="12">
        <f t="shared" ca="1" si="694"/>
        <v>273.35453575205895</v>
      </c>
      <c r="H713" s="12">
        <f t="shared" ca="1" si="695"/>
        <v>3.9777450455588195</v>
      </c>
    </row>
    <row r="714" spans="1:8" x14ac:dyDescent="0.35">
      <c r="A714" s="15">
        <v>701</v>
      </c>
      <c r="B714" s="10">
        <f t="shared" ca="1" si="690"/>
        <v>-7.6102910341312169E-3</v>
      </c>
      <c r="C714" s="10">
        <f t="shared" ca="1" si="691"/>
        <v>-2.2538364354368852E-2</v>
      </c>
      <c r="D714" s="11">
        <f t="shared" si="692"/>
        <v>1447.7398688575352</v>
      </c>
      <c r="E714" s="11">
        <f t="shared" ref="E714:F714" ca="1" si="754">+D714*EXP(B714)</f>
        <v>1436.7639649989815</v>
      </c>
      <c r="F714" s="11">
        <f t="shared" ca="1" si="754"/>
        <v>1404.7438512078716</v>
      </c>
      <c r="G714" s="12">
        <f t="shared" ca="1" si="694"/>
        <v>161.5884138047079</v>
      </c>
      <c r="H714" s="12">
        <f t="shared" ca="1" si="695"/>
        <v>55.022459203917037</v>
      </c>
    </row>
    <row r="715" spans="1:8" x14ac:dyDescent="0.35">
      <c r="A715" s="15">
        <v>702</v>
      </c>
      <c r="B715" s="10">
        <f t="shared" ca="1" si="690"/>
        <v>-0.21433550656387618</v>
      </c>
      <c r="C715" s="10">
        <f t="shared" ca="1" si="691"/>
        <v>5.7348350760037387E-2</v>
      </c>
      <c r="D715" s="11">
        <f t="shared" si="692"/>
        <v>1447.7398688575352</v>
      </c>
      <c r="E715" s="11">
        <f t="shared" ref="E715:F715" ca="1" si="755">+D715*EXP(B715)</f>
        <v>1168.4383605458465</v>
      </c>
      <c r="F715" s="11">
        <f t="shared" ca="1" si="755"/>
        <v>1237.4050353956547</v>
      </c>
      <c r="G715" s="12">
        <f t="shared" ca="1" si="694"/>
        <v>43.423241165830859</v>
      </c>
      <c r="H715" s="12">
        <f t="shared" ca="1" si="695"/>
        <v>11.010733673313041</v>
      </c>
    </row>
    <row r="716" spans="1:8" x14ac:dyDescent="0.35">
      <c r="A716" s="15">
        <v>703</v>
      </c>
      <c r="B716" s="10">
        <f t="shared" ca="1" si="690"/>
        <v>-4.8766286868035399E-2</v>
      </c>
      <c r="C716" s="10">
        <f t="shared" ca="1" si="691"/>
        <v>-0.17263089348277583</v>
      </c>
      <c r="D716" s="11">
        <f t="shared" si="692"/>
        <v>1447.7398688575352</v>
      </c>
      <c r="E716" s="11">
        <f t="shared" ref="E716:F716" ca="1" si="756">+D716*EXP(B716)</f>
        <v>1378.8327975156453</v>
      </c>
      <c r="F716" s="11">
        <f t="shared" ca="1" si="756"/>
        <v>1160.2162949437115</v>
      </c>
      <c r="G716" s="12">
        <f t="shared" ca="1" si="694"/>
        <v>128.73124326027005</v>
      </c>
      <c r="H716" s="12">
        <f t="shared" ca="1" si="695"/>
        <v>3.8919410534983641</v>
      </c>
    </row>
    <row r="717" spans="1:8" x14ac:dyDescent="0.35">
      <c r="A717" s="15">
        <v>704</v>
      </c>
      <c r="B717" s="10">
        <f t="shared" ca="1" si="690"/>
        <v>6.8807615200973046E-2</v>
      </c>
      <c r="C717" s="10">
        <f t="shared" ca="1" si="691"/>
        <v>0.13424835973790269</v>
      </c>
      <c r="D717" s="11">
        <f t="shared" si="692"/>
        <v>1447.7398688575352</v>
      </c>
      <c r="E717" s="11">
        <f t="shared" ref="E717:F717" ca="1" si="757">+D717*EXP(B717)</f>
        <v>1550.8625258442551</v>
      </c>
      <c r="F717" s="11">
        <f t="shared" ca="1" si="757"/>
        <v>1773.685533682346</v>
      </c>
      <c r="G717" s="12">
        <f t="shared" ca="1" si="694"/>
        <v>236.75437116221531</v>
      </c>
      <c r="H717" s="12">
        <f t="shared" ca="1" si="695"/>
        <v>319.78521319161473</v>
      </c>
    </row>
    <row r="718" spans="1:8" x14ac:dyDescent="0.35">
      <c r="A718" s="15">
        <v>705</v>
      </c>
      <c r="B718" s="10">
        <f t="shared" ca="1" si="690"/>
        <v>3.5702913520934045E-3</v>
      </c>
      <c r="C718" s="10">
        <f t="shared" ca="1" si="691"/>
        <v>0.15698255541860889</v>
      </c>
      <c r="D718" s="11">
        <f t="shared" si="692"/>
        <v>1447.7398688575352</v>
      </c>
      <c r="E718" s="11">
        <f t="shared" ref="E718:F718" ca="1" si="758">+D718*EXP(B718)</f>
        <v>1452.9179601382402</v>
      </c>
      <c r="F718" s="11">
        <f t="shared" ca="1" si="758"/>
        <v>1699.8779868010586</v>
      </c>
      <c r="G718" s="12">
        <f t="shared" ca="1" si="694"/>
        <v>171.41967198511054</v>
      </c>
      <c r="H718" s="12">
        <f t="shared" ca="1" si="695"/>
        <v>253.39744982498678</v>
      </c>
    </row>
    <row r="719" spans="1:8" x14ac:dyDescent="0.35">
      <c r="A719" s="15">
        <v>706</v>
      </c>
      <c r="B719" s="10">
        <f t="shared" ref="B719:B782" ca="1" si="759">+($B$6-0.5*$B$10^2)*$H$4+$B$10*SQRT($H$4)*_xlfn.NORM.S.INV(RAND())</f>
        <v>-1.6770009025949113E-2</v>
      </c>
      <c r="C719" s="10">
        <f t="shared" ref="C719:C782" ca="1" si="760">+($B$6-0.5*$B$10^2)+$B$10*_xlfn.NORM.S.INV(RAND())</f>
        <v>-9.6473450648204007E-2</v>
      </c>
      <c r="D719" s="11">
        <f t="shared" ref="D719:D782" si="761">+$B$9</f>
        <v>1447.7398688575352</v>
      </c>
      <c r="E719" s="11">
        <f t="shared" ref="E719:F719" ca="1" si="762">+D719*EXP(B719)</f>
        <v>1423.6637012127578</v>
      </c>
      <c r="F719" s="11">
        <f t="shared" ca="1" si="762"/>
        <v>1292.7350523767618</v>
      </c>
      <c r="G719" s="12">
        <f t="shared" ref="G719:G782" ca="1" si="763">+BlackScholesCall(E719,$B$4,$B$10,$B$6,$B$7-$H$4)</f>
        <v>153.82570409722712</v>
      </c>
      <c r="H719" s="12">
        <f t="shared" ref="H719:H782" ca="1" si="764">+BlackScholesCall(F719,$B$4,$B$10,$B$6,$B$7-$I$4)</f>
        <v>20.422728578352348</v>
      </c>
    </row>
    <row r="720" spans="1:8" x14ac:dyDescent="0.35">
      <c r="A720" s="15">
        <v>707</v>
      </c>
      <c r="B720" s="10">
        <f t="shared" ca="1" si="759"/>
        <v>0.21719075838009577</v>
      </c>
      <c r="C720" s="10">
        <f t="shared" ca="1" si="760"/>
        <v>0.19034406944010299</v>
      </c>
      <c r="D720" s="11">
        <f t="shared" si="761"/>
        <v>1447.7398688575352</v>
      </c>
      <c r="E720" s="11">
        <f t="shared" ref="E720:F720" ca="1" si="765">+D720*EXP(B720)</f>
        <v>1798.9342165534961</v>
      </c>
      <c r="F720" s="11">
        <f t="shared" ca="1" si="765"/>
        <v>2176.109081419188</v>
      </c>
      <c r="G720" s="12">
        <f t="shared" ca="1" si="763"/>
        <v>436.61660341459356</v>
      </c>
      <c r="H720" s="12">
        <f t="shared" ca="1" si="764"/>
        <v>713.33093462427337</v>
      </c>
    </row>
    <row r="721" spans="1:8" x14ac:dyDescent="0.35">
      <c r="A721" s="15">
        <v>708</v>
      </c>
      <c r="B721" s="10">
        <f t="shared" ca="1" si="759"/>
        <v>0.12324163667669658</v>
      </c>
      <c r="C721" s="10">
        <f t="shared" ca="1" si="760"/>
        <v>0.19186881144068271</v>
      </c>
      <c r="D721" s="11">
        <f t="shared" si="761"/>
        <v>1447.7398688575352</v>
      </c>
      <c r="E721" s="11">
        <f t="shared" ref="E721:F721" ca="1" si="766">+D721*EXP(B721)</f>
        <v>1637.6221250384049</v>
      </c>
      <c r="F721" s="11">
        <f t="shared" ca="1" si="766"/>
        <v>1983.9981519057212</v>
      </c>
      <c r="G721" s="12">
        <f t="shared" ca="1" si="763"/>
        <v>301.85266690090873</v>
      </c>
      <c r="H721" s="12">
        <f t="shared" ca="1" si="764"/>
        <v>522.37077733465139</v>
      </c>
    </row>
    <row r="722" spans="1:8" x14ac:dyDescent="0.35">
      <c r="A722" s="15">
        <v>709</v>
      </c>
      <c r="B722" s="10">
        <f t="shared" ca="1" si="759"/>
        <v>-8.9576646923723774E-2</v>
      </c>
      <c r="C722" s="10">
        <f t="shared" ca="1" si="760"/>
        <v>-0.24958989532199941</v>
      </c>
      <c r="D722" s="11">
        <f t="shared" si="761"/>
        <v>1447.7398688575352</v>
      </c>
      <c r="E722" s="11">
        <f t="shared" ref="E722:F722" ca="1" si="767">+D722*EXP(B722)</f>
        <v>1323.6948860066802</v>
      </c>
      <c r="F722" s="11">
        <f t="shared" ca="1" si="767"/>
        <v>1031.317475176043</v>
      </c>
      <c r="G722" s="12">
        <f t="shared" ca="1" si="763"/>
        <v>101.11690887232453</v>
      </c>
      <c r="H722" s="12">
        <f t="shared" ca="1" si="764"/>
        <v>0.37849645094691553</v>
      </c>
    </row>
    <row r="723" spans="1:8" x14ac:dyDescent="0.35">
      <c r="A723" s="15">
        <v>710</v>
      </c>
      <c r="B723" s="10">
        <f t="shared" ca="1" si="759"/>
        <v>-0.2177219314460408</v>
      </c>
      <c r="C723" s="10">
        <f t="shared" ca="1" si="760"/>
        <v>-0.49016435211931153</v>
      </c>
      <c r="D723" s="11">
        <f t="shared" si="761"/>
        <v>1447.7398688575352</v>
      </c>
      <c r="E723" s="11">
        <f t="shared" ref="E723:F723" ca="1" si="768">+D723*EXP(B723)</f>
        <v>1164.4882240037271</v>
      </c>
      <c r="F723" s="11">
        <f t="shared" ca="1" si="768"/>
        <v>713.27898319513156</v>
      </c>
      <c r="G723" s="12">
        <f t="shared" ca="1" si="763"/>
        <v>42.337315969348822</v>
      </c>
      <c r="H723" s="12">
        <f t="shared" ca="1" si="764"/>
        <v>5.0165407503447508E-6</v>
      </c>
    </row>
    <row r="724" spans="1:8" x14ac:dyDescent="0.35">
      <c r="A724" s="15">
        <v>711</v>
      </c>
      <c r="B724" s="10">
        <f t="shared" ca="1" si="759"/>
        <v>6.2816598571523358E-2</v>
      </c>
      <c r="C724" s="10">
        <f t="shared" ca="1" si="760"/>
        <v>-0.12792296947457785</v>
      </c>
      <c r="D724" s="11">
        <f t="shared" si="761"/>
        <v>1447.7398688575352</v>
      </c>
      <c r="E724" s="11">
        <f t="shared" ref="E724:F724" ca="1" si="769">+D724*EXP(B724)</f>
        <v>1541.5990591606342</v>
      </c>
      <c r="F724" s="11">
        <f t="shared" ca="1" si="769"/>
        <v>1356.4856282649732</v>
      </c>
      <c r="G724" s="12">
        <f t="shared" ca="1" si="763"/>
        <v>230.17990947290855</v>
      </c>
      <c r="H724" s="12">
        <f t="shared" ca="1" si="764"/>
        <v>37.287126056861496</v>
      </c>
    </row>
    <row r="725" spans="1:8" x14ac:dyDescent="0.35">
      <c r="A725" s="15">
        <v>712</v>
      </c>
      <c r="B725" s="10">
        <f t="shared" ca="1" si="759"/>
        <v>0.15111627779077513</v>
      </c>
      <c r="C725" s="10">
        <f t="shared" ca="1" si="760"/>
        <v>0.21344777563581765</v>
      </c>
      <c r="D725" s="11">
        <f t="shared" si="761"/>
        <v>1447.7398688575352</v>
      </c>
      <c r="E725" s="11">
        <f t="shared" ref="E725:F725" ca="1" si="770">+D725*EXP(B725)</f>
        <v>1683.9124194858741</v>
      </c>
      <c r="F725" s="11">
        <f t="shared" ca="1" si="770"/>
        <v>2084.5805973615293</v>
      </c>
      <c r="G725" s="12">
        <f t="shared" ca="1" si="763"/>
        <v>338.91220281785627</v>
      </c>
      <c r="H725" s="12">
        <f t="shared" ca="1" si="764"/>
        <v>622.10374837408654</v>
      </c>
    </row>
    <row r="726" spans="1:8" x14ac:dyDescent="0.35">
      <c r="A726" s="15">
        <v>713</v>
      </c>
      <c r="B726" s="10">
        <f t="shared" ca="1" si="759"/>
        <v>-5.9978224797278878E-2</v>
      </c>
      <c r="C726" s="10">
        <f t="shared" ca="1" si="760"/>
        <v>-0.37216880451776202</v>
      </c>
      <c r="D726" s="11">
        <f t="shared" si="761"/>
        <v>1447.7398688575352</v>
      </c>
      <c r="E726" s="11">
        <f t="shared" ref="E726:F726" ca="1" si="771">+D726*EXP(B726)</f>
        <v>1363.4597516351857</v>
      </c>
      <c r="F726" s="11">
        <f t="shared" ca="1" si="771"/>
        <v>939.74811718320063</v>
      </c>
      <c r="G726" s="12">
        <f t="shared" ca="1" si="763"/>
        <v>120.66500577347074</v>
      </c>
      <c r="H726" s="12">
        <f t="shared" ca="1" si="764"/>
        <v>3.9692886719798759E-2</v>
      </c>
    </row>
    <row r="727" spans="1:8" x14ac:dyDescent="0.35">
      <c r="A727" s="15">
        <v>714</v>
      </c>
      <c r="B727" s="10">
        <f t="shared" ca="1" si="759"/>
        <v>-0.24772036350392806</v>
      </c>
      <c r="C727" s="10">
        <f t="shared" ca="1" si="760"/>
        <v>0.43631878766072885</v>
      </c>
      <c r="D727" s="11">
        <f t="shared" si="761"/>
        <v>1447.7398688575352</v>
      </c>
      <c r="E727" s="11">
        <f t="shared" ref="E727:F727" ca="1" si="772">+D727*EXP(B727)</f>
        <v>1130.0741677437404</v>
      </c>
      <c r="F727" s="11">
        <f t="shared" ca="1" si="772"/>
        <v>1748.2268634641657</v>
      </c>
      <c r="G727" s="12">
        <f t="shared" ca="1" si="763"/>
        <v>33.634843319502409</v>
      </c>
      <c r="H727" s="12">
        <f t="shared" ca="1" si="764"/>
        <v>296.45602548602096</v>
      </c>
    </row>
    <row r="728" spans="1:8" x14ac:dyDescent="0.35">
      <c r="A728" s="15">
        <v>715</v>
      </c>
      <c r="B728" s="10">
        <f t="shared" ca="1" si="759"/>
        <v>-1.3551052191720373E-2</v>
      </c>
      <c r="C728" s="10">
        <f t="shared" ca="1" si="760"/>
        <v>1.3075052936490424E-2</v>
      </c>
      <c r="D728" s="11">
        <f t="shared" si="761"/>
        <v>1447.7398688575352</v>
      </c>
      <c r="E728" s="11">
        <f t="shared" ref="E728:F728" ca="1" si="773">+D728*EXP(B728)</f>
        <v>1428.2537969099512</v>
      </c>
      <c r="F728" s="11">
        <f t="shared" ca="1" si="773"/>
        <v>1447.0509097432132</v>
      </c>
      <c r="G728" s="12">
        <f t="shared" ca="1" si="763"/>
        <v>156.52395846133697</v>
      </c>
      <c r="H728" s="12">
        <f t="shared" ca="1" si="764"/>
        <v>74.309462738842058</v>
      </c>
    </row>
    <row r="729" spans="1:8" x14ac:dyDescent="0.35">
      <c r="A729" s="15">
        <v>716</v>
      </c>
      <c r="B729" s="10">
        <f t="shared" ca="1" si="759"/>
        <v>-3.0877109106720951E-2</v>
      </c>
      <c r="C729" s="10">
        <f t="shared" ca="1" si="760"/>
        <v>0.15565359873572854</v>
      </c>
      <c r="D729" s="11">
        <f t="shared" si="761"/>
        <v>1447.7398688575352</v>
      </c>
      <c r="E729" s="11">
        <f t="shared" ref="E729:F729" ca="1" si="774">+D729*EXP(B729)</f>
        <v>1403.7209329458506</v>
      </c>
      <c r="F729" s="11">
        <f t="shared" ca="1" si="774"/>
        <v>1640.1375641125173</v>
      </c>
      <c r="G729" s="12">
        <f t="shared" ca="1" si="763"/>
        <v>142.37773197127467</v>
      </c>
      <c r="H729" s="12">
        <f t="shared" ca="1" si="764"/>
        <v>203.08310788641234</v>
      </c>
    </row>
    <row r="730" spans="1:8" x14ac:dyDescent="0.35">
      <c r="A730" s="15">
        <v>717</v>
      </c>
      <c r="B730" s="10">
        <f t="shared" ca="1" si="759"/>
        <v>-0.18641194249969723</v>
      </c>
      <c r="C730" s="10">
        <f t="shared" ca="1" si="760"/>
        <v>0.25107636594618277</v>
      </c>
      <c r="D730" s="11">
        <f t="shared" si="761"/>
        <v>1447.7398688575352</v>
      </c>
      <c r="E730" s="11">
        <f t="shared" ref="E730:F730" ca="1" si="775">+D730*EXP(B730)</f>
        <v>1201.5251242904899</v>
      </c>
      <c r="F730" s="11">
        <f t="shared" ca="1" si="775"/>
        <v>1544.4502977328627</v>
      </c>
      <c r="G730" s="12">
        <f t="shared" ca="1" si="763"/>
        <v>53.243944406924754</v>
      </c>
      <c r="H730" s="12">
        <f t="shared" ca="1" si="764"/>
        <v>131.64850107663267</v>
      </c>
    </row>
    <row r="731" spans="1:8" x14ac:dyDescent="0.35">
      <c r="A731" s="15">
        <v>718</v>
      </c>
      <c r="B731" s="10">
        <f t="shared" ca="1" si="759"/>
        <v>3.833461826412396E-2</v>
      </c>
      <c r="C731" s="10">
        <f t="shared" ca="1" si="760"/>
        <v>0.28839851597046162</v>
      </c>
      <c r="D731" s="11">
        <f t="shared" si="761"/>
        <v>1447.7398688575352</v>
      </c>
      <c r="E731" s="11">
        <f t="shared" ref="E731:F731" ca="1" si="776">+D731*EXP(B731)</f>
        <v>1504.3159062337113</v>
      </c>
      <c r="F731" s="11">
        <f t="shared" ca="1" si="776"/>
        <v>2007.192066377524</v>
      </c>
      <c r="G731" s="12">
        <f t="shared" ca="1" si="763"/>
        <v>204.5267989581863</v>
      </c>
      <c r="H731" s="12">
        <f t="shared" ca="1" si="764"/>
        <v>545.29232836485176</v>
      </c>
    </row>
    <row r="732" spans="1:8" x14ac:dyDescent="0.35">
      <c r="A732" s="15">
        <v>719</v>
      </c>
      <c r="B732" s="10">
        <f t="shared" ca="1" si="759"/>
        <v>7.0258187874251671E-2</v>
      </c>
      <c r="C732" s="10">
        <f t="shared" ca="1" si="760"/>
        <v>-5.8139282174926102E-2</v>
      </c>
      <c r="D732" s="11">
        <f t="shared" si="761"/>
        <v>1447.7398688575352</v>
      </c>
      <c r="E732" s="11">
        <f t="shared" ref="E732:F732" ca="1" si="777">+D732*EXP(B732)</f>
        <v>1553.1137970657605</v>
      </c>
      <c r="F732" s="11">
        <f t="shared" ca="1" si="777"/>
        <v>1465.3916358157064</v>
      </c>
      <c r="G732" s="12">
        <f t="shared" ca="1" si="763"/>
        <v>238.36380466737774</v>
      </c>
      <c r="H732" s="12">
        <f t="shared" ca="1" si="764"/>
        <v>83.757666759158269</v>
      </c>
    </row>
    <row r="733" spans="1:8" x14ac:dyDescent="0.35">
      <c r="A733" s="15">
        <v>720</v>
      </c>
      <c r="B733" s="10">
        <f t="shared" ca="1" si="759"/>
        <v>-2.1834337752232126E-2</v>
      </c>
      <c r="C733" s="10">
        <f t="shared" ca="1" si="760"/>
        <v>4.6587290982806548E-3</v>
      </c>
      <c r="D733" s="11">
        <f t="shared" si="761"/>
        <v>1447.7398688575352</v>
      </c>
      <c r="E733" s="11">
        <f t="shared" ref="E733:F733" ca="1" si="778">+D733*EXP(B733)</f>
        <v>1416.4720261082066</v>
      </c>
      <c r="F733" s="11">
        <f t="shared" ca="1" si="778"/>
        <v>1423.0863808335253</v>
      </c>
      <c r="G733" s="12">
        <f t="shared" ca="1" si="763"/>
        <v>149.64553792022173</v>
      </c>
      <c r="H733" s="12">
        <f t="shared" ca="1" si="764"/>
        <v>62.952661639224857</v>
      </c>
    </row>
    <row r="734" spans="1:8" x14ac:dyDescent="0.35">
      <c r="A734" s="15">
        <v>721</v>
      </c>
      <c r="B734" s="10">
        <f t="shared" ca="1" si="759"/>
        <v>-0.21303152685616261</v>
      </c>
      <c r="C734" s="10">
        <f t="shared" ca="1" si="760"/>
        <v>-2.7825520059139852E-2</v>
      </c>
      <c r="D734" s="11">
        <f t="shared" si="761"/>
        <v>1447.7398688575352</v>
      </c>
      <c r="E734" s="11">
        <f t="shared" ref="E734:F734" ca="1" si="779">+D734*EXP(B734)</f>
        <v>1169.9629742743614</v>
      </c>
      <c r="F734" s="11">
        <f t="shared" ca="1" si="779"/>
        <v>1137.8569016584606</v>
      </c>
      <c r="G734" s="12">
        <f t="shared" ca="1" si="763"/>
        <v>43.84725001698132</v>
      </c>
      <c r="H734" s="12">
        <f t="shared" ca="1" si="764"/>
        <v>2.7535582456000185</v>
      </c>
    </row>
    <row r="735" spans="1:8" x14ac:dyDescent="0.35">
      <c r="A735" s="15">
        <v>722</v>
      </c>
      <c r="B735" s="10">
        <f t="shared" ca="1" si="759"/>
        <v>2.6963431621781171E-2</v>
      </c>
      <c r="C735" s="10">
        <f t="shared" ca="1" si="760"/>
        <v>-0.12287868598854265</v>
      </c>
      <c r="D735" s="11">
        <f t="shared" si="761"/>
        <v>1447.7398688575352</v>
      </c>
      <c r="E735" s="11">
        <f t="shared" ref="E735:F735" ca="1" si="780">+D735*EXP(B735)</f>
        <v>1487.3069386441482</v>
      </c>
      <c r="F735" s="11">
        <f t="shared" ca="1" si="780"/>
        <v>1315.3310393238405</v>
      </c>
      <c r="G735" s="12">
        <f t="shared" ca="1" si="763"/>
        <v>193.27147842571549</v>
      </c>
      <c r="H735" s="12">
        <f t="shared" ca="1" si="764"/>
        <v>25.597445416721712</v>
      </c>
    </row>
    <row r="736" spans="1:8" x14ac:dyDescent="0.35">
      <c r="A736" s="15">
        <v>723</v>
      </c>
      <c r="B736" s="10">
        <f t="shared" ca="1" si="759"/>
        <v>9.142524309100665E-2</v>
      </c>
      <c r="C736" s="10">
        <f t="shared" ca="1" si="760"/>
        <v>-0.30056217423399345</v>
      </c>
      <c r="D736" s="11">
        <f t="shared" si="761"/>
        <v>1447.7398688575352</v>
      </c>
      <c r="E736" s="11">
        <f t="shared" ref="E736:F736" ca="1" si="781">+D736*EXP(B736)</f>
        <v>1586.3390423445114</v>
      </c>
      <c r="F736" s="11">
        <f t="shared" ca="1" si="781"/>
        <v>1174.5283915151135</v>
      </c>
      <c r="G736" s="12">
        <f t="shared" ca="1" si="763"/>
        <v>262.63001966752199</v>
      </c>
      <c r="H736" s="12">
        <f t="shared" ca="1" si="764"/>
        <v>4.8028541423489912</v>
      </c>
    </row>
    <row r="737" spans="1:8" x14ac:dyDescent="0.35">
      <c r="A737" s="15">
        <v>724</v>
      </c>
      <c r="B737" s="10">
        <f t="shared" ca="1" si="759"/>
        <v>-1.8531417243145963E-2</v>
      </c>
      <c r="C737" s="10">
        <f t="shared" ca="1" si="760"/>
        <v>5.9336485869430938E-2</v>
      </c>
      <c r="D737" s="11">
        <f t="shared" si="761"/>
        <v>1447.7398688575352</v>
      </c>
      <c r="E737" s="11">
        <f t="shared" ref="E737:F737" ca="1" si="782">+D737*EXP(B737)</f>
        <v>1421.1582554750462</v>
      </c>
      <c r="F737" s="11">
        <f t="shared" ca="1" si="782"/>
        <v>1508.0368383056209</v>
      </c>
      <c r="G737" s="12">
        <f t="shared" ca="1" si="763"/>
        <v>152.36282236768034</v>
      </c>
      <c r="H737" s="12">
        <f t="shared" ca="1" si="764"/>
        <v>108.19343302030154</v>
      </c>
    </row>
    <row r="738" spans="1:8" x14ac:dyDescent="0.35">
      <c r="A738" s="15">
        <v>725</v>
      </c>
      <c r="B738" s="10">
        <f t="shared" ca="1" si="759"/>
        <v>0.23213301484973897</v>
      </c>
      <c r="C738" s="10">
        <f t="shared" ca="1" si="760"/>
        <v>0.44935121889064045</v>
      </c>
      <c r="D738" s="11">
        <f t="shared" si="761"/>
        <v>1447.7398688575352</v>
      </c>
      <c r="E738" s="11">
        <f t="shared" ref="E738:F738" ca="1" si="783">+D738*EXP(B738)</f>
        <v>1826.0161819425475</v>
      </c>
      <c r="F738" s="11">
        <f t="shared" ca="1" si="783"/>
        <v>2861.9060760012258</v>
      </c>
      <c r="G738" s="12">
        <f t="shared" ca="1" si="763"/>
        <v>460.58729057368282</v>
      </c>
      <c r="H738" s="12">
        <f t="shared" ca="1" si="764"/>
        <v>1398.9412667585111</v>
      </c>
    </row>
    <row r="739" spans="1:8" x14ac:dyDescent="0.35">
      <c r="A739" s="15">
        <v>726</v>
      </c>
      <c r="B739" s="10">
        <f t="shared" ca="1" si="759"/>
        <v>-6.715000438528923E-2</v>
      </c>
      <c r="C739" s="10">
        <f t="shared" ca="1" si="760"/>
        <v>-2.8398526043471525E-3</v>
      </c>
      <c r="D739" s="11">
        <f t="shared" si="761"/>
        <v>1447.7398688575352</v>
      </c>
      <c r="E739" s="11">
        <f t="shared" ref="E739:F739" ca="1" si="784">+D739*EXP(B739)</f>
        <v>1353.7162995271742</v>
      </c>
      <c r="F739" s="11">
        <f t="shared" ca="1" si="784"/>
        <v>1349.8773983052167</v>
      </c>
      <c r="G739" s="12">
        <f t="shared" ca="1" si="763"/>
        <v>115.69841714517372</v>
      </c>
      <c r="H739" s="12">
        <f t="shared" ca="1" si="764"/>
        <v>35.20350414067417</v>
      </c>
    </row>
    <row r="740" spans="1:8" x14ac:dyDescent="0.35">
      <c r="A740" s="15">
        <v>727</v>
      </c>
      <c r="B740" s="10">
        <f t="shared" ca="1" si="759"/>
        <v>1.2421358129097535E-3</v>
      </c>
      <c r="C740" s="10">
        <f t="shared" ca="1" si="760"/>
        <v>-0.22733431394754369</v>
      </c>
      <c r="D740" s="11">
        <f t="shared" si="761"/>
        <v>1447.7398688575352</v>
      </c>
      <c r="E740" s="11">
        <f t="shared" ref="E740:F740" ca="1" si="785">+D740*EXP(B740)</f>
        <v>1449.5392757189136</v>
      </c>
      <c r="F740" s="11">
        <f t="shared" ca="1" si="785"/>
        <v>1154.7818493478323</v>
      </c>
      <c r="G740" s="12">
        <f t="shared" ca="1" si="763"/>
        <v>169.34005209481984</v>
      </c>
      <c r="H740" s="12">
        <f t="shared" ca="1" si="764"/>
        <v>3.5851660650262076</v>
      </c>
    </row>
    <row r="741" spans="1:8" x14ac:dyDescent="0.35">
      <c r="A741" s="15">
        <v>728</v>
      </c>
      <c r="B741" s="10">
        <f t="shared" ca="1" si="759"/>
        <v>0.16399888160517506</v>
      </c>
      <c r="C741" s="10">
        <f t="shared" ca="1" si="760"/>
        <v>0.28146515022833563</v>
      </c>
      <c r="D741" s="11">
        <f t="shared" si="761"/>
        <v>1447.7398688575352</v>
      </c>
      <c r="E741" s="11">
        <f t="shared" ref="E741:F741" ca="1" si="786">+D741*EXP(B741)</f>
        <v>1705.7459303199205</v>
      </c>
      <c r="F741" s="11">
        <f t="shared" ca="1" si="786"/>
        <v>2260.2324479699923</v>
      </c>
      <c r="G741" s="12">
        <f t="shared" ca="1" si="763"/>
        <v>356.88235586836686</v>
      </c>
      <c r="H741" s="12">
        <f t="shared" ca="1" si="764"/>
        <v>797.34238185761365</v>
      </c>
    </row>
    <row r="742" spans="1:8" x14ac:dyDescent="0.35">
      <c r="A742" s="15">
        <v>729</v>
      </c>
      <c r="B742" s="10">
        <f t="shared" ca="1" si="759"/>
        <v>9.9418477759887297E-2</v>
      </c>
      <c r="C742" s="10">
        <f t="shared" ca="1" si="760"/>
        <v>-0.39391481909766646</v>
      </c>
      <c r="D742" s="11">
        <f t="shared" si="761"/>
        <v>1447.7398688575352</v>
      </c>
      <c r="E742" s="11">
        <f t="shared" ref="E742:F742" ca="1" si="787">+D742*EXP(B742)</f>
        <v>1599.069834897879</v>
      </c>
      <c r="F742" s="11">
        <f t="shared" ca="1" si="787"/>
        <v>1078.4310871959124</v>
      </c>
      <c r="G742" s="12">
        <f t="shared" ca="1" si="763"/>
        <v>272.17386493241452</v>
      </c>
      <c r="H742" s="12">
        <f t="shared" ca="1" si="764"/>
        <v>0.98006303121726646</v>
      </c>
    </row>
    <row r="743" spans="1:8" x14ac:dyDescent="0.35">
      <c r="A743" s="15">
        <v>730</v>
      </c>
      <c r="B743" s="10">
        <f t="shared" ca="1" si="759"/>
        <v>-0.2162375650564286</v>
      </c>
      <c r="C743" s="10">
        <f t="shared" ca="1" si="760"/>
        <v>0.12610371031865281</v>
      </c>
      <c r="D743" s="11">
        <f t="shared" si="761"/>
        <v>1447.7398688575352</v>
      </c>
      <c r="E743" s="11">
        <f t="shared" ref="E743:F743" ca="1" si="788">+D743*EXP(B743)</f>
        <v>1166.2180347033548</v>
      </c>
      <c r="F743" s="11">
        <f t="shared" ca="1" si="788"/>
        <v>1322.9575183253717</v>
      </c>
      <c r="G743" s="12">
        <f t="shared" ca="1" si="763"/>
        <v>42.810613207894733</v>
      </c>
      <c r="H743" s="12">
        <f t="shared" ca="1" si="764"/>
        <v>27.53695401321221</v>
      </c>
    </row>
    <row r="744" spans="1:8" x14ac:dyDescent="0.35">
      <c r="A744" s="15">
        <v>731</v>
      </c>
      <c r="B744" s="10">
        <f t="shared" ca="1" si="759"/>
        <v>-2.9446172561385708E-2</v>
      </c>
      <c r="C744" s="10">
        <f t="shared" ca="1" si="760"/>
        <v>0.21663537941602487</v>
      </c>
      <c r="D744" s="11">
        <f t="shared" si="761"/>
        <v>1447.7398688575352</v>
      </c>
      <c r="E744" s="11">
        <f t="shared" ref="E744:F744" ca="1" si="789">+D744*EXP(B744)</f>
        <v>1405.7310063290042</v>
      </c>
      <c r="F744" s="11">
        <f t="shared" ca="1" si="789"/>
        <v>1745.7649670010362</v>
      </c>
      <c r="G744" s="12">
        <f t="shared" ca="1" si="763"/>
        <v>143.51112626738291</v>
      </c>
      <c r="H744" s="12">
        <f t="shared" ca="1" si="764"/>
        <v>294.22192534297619</v>
      </c>
    </row>
    <row r="745" spans="1:8" x14ac:dyDescent="0.35">
      <c r="A745" s="15">
        <v>732</v>
      </c>
      <c r="B745" s="10">
        <f t="shared" ca="1" si="759"/>
        <v>-1.3202937220754274E-3</v>
      </c>
      <c r="C745" s="10">
        <f t="shared" ca="1" si="760"/>
        <v>-1.8291400388120889E-2</v>
      </c>
      <c r="D745" s="11">
        <f t="shared" si="761"/>
        <v>1447.7398688575352</v>
      </c>
      <c r="E745" s="11">
        <f t="shared" ref="E745:F745" ca="1" si="790">+D745*EXP(B745)</f>
        <v>1445.8296882746818</v>
      </c>
      <c r="F745" s="11">
        <f t="shared" ca="1" si="790"/>
        <v>1419.6238400332138</v>
      </c>
      <c r="G745" s="12">
        <f t="shared" ca="1" si="763"/>
        <v>167.07092780674634</v>
      </c>
      <c r="H745" s="12">
        <f t="shared" ca="1" si="764"/>
        <v>61.405010278700615</v>
      </c>
    </row>
    <row r="746" spans="1:8" x14ac:dyDescent="0.35">
      <c r="A746" s="15">
        <v>733</v>
      </c>
      <c r="B746" s="10">
        <f t="shared" ca="1" si="759"/>
        <v>-0.1339270444444513</v>
      </c>
      <c r="C746" s="10">
        <f t="shared" ca="1" si="760"/>
        <v>0.32408934198343509</v>
      </c>
      <c r="D746" s="11">
        <f t="shared" si="761"/>
        <v>1447.7398688575352</v>
      </c>
      <c r="E746" s="11">
        <f t="shared" ref="E746:F746" ca="1" si="791">+D746*EXP(B746)</f>
        <v>1266.2712835881127</v>
      </c>
      <c r="F746" s="11">
        <f t="shared" ca="1" si="791"/>
        <v>1750.9630078559978</v>
      </c>
      <c r="G746" s="12">
        <f t="shared" ca="1" si="763"/>
        <v>76.313229138271367</v>
      </c>
      <c r="H746" s="12">
        <f t="shared" ca="1" si="764"/>
        <v>298.94373156320466</v>
      </c>
    </row>
    <row r="747" spans="1:8" x14ac:dyDescent="0.35">
      <c r="A747" s="15">
        <v>734</v>
      </c>
      <c r="B747" s="10">
        <f t="shared" ca="1" si="759"/>
        <v>-8.8659150539802736E-2</v>
      </c>
      <c r="C747" s="10">
        <f t="shared" ca="1" si="760"/>
        <v>0.28399290012820477</v>
      </c>
      <c r="D747" s="11">
        <f t="shared" si="761"/>
        <v>1447.7398688575352</v>
      </c>
      <c r="E747" s="11">
        <f t="shared" ref="E747:F747" ca="1" si="792">+D747*EXP(B747)</f>
        <v>1324.9099285913599</v>
      </c>
      <c r="F747" s="11">
        <f t="shared" ca="1" si="792"/>
        <v>1760.04148330885</v>
      </c>
      <c r="G747" s="12">
        <f t="shared" ca="1" si="763"/>
        <v>101.68572572833091</v>
      </c>
      <c r="H747" s="12">
        <f t="shared" ca="1" si="764"/>
        <v>307.23259303788359</v>
      </c>
    </row>
    <row r="748" spans="1:8" x14ac:dyDescent="0.35">
      <c r="A748" s="15">
        <v>735</v>
      </c>
      <c r="B748" s="10">
        <f t="shared" ca="1" si="759"/>
        <v>0.15759840388533963</v>
      </c>
      <c r="C748" s="10">
        <f t="shared" ca="1" si="760"/>
        <v>0.24945593193884727</v>
      </c>
      <c r="D748" s="11">
        <f t="shared" si="761"/>
        <v>1447.7398688575352</v>
      </c>
      <c r="E748" s="11">
        <f t="shared" ref="E748:F748" ca="1" si="793">+D748*EXP(B748)</f>
        <v>1694.8632059664717</v>
      </c>
      <c r="F748" s="11">
        <f t="shared" ca="1" si="793"/>
        <v>2175.0637295848237</v>
      </c>
      <c r="G748" s="12">
        <f t="shared" ca="1" si="763"/>
        <v>347.88803392552586</v>
      </c>
      <c r="H748" s="12">
        <f t="shared" ca="1" si="764"/>
        <v>712.28768291441452</v>
      </c>
    </row>
    <row r="749" spans="1:8" x14ac:dyDescent="0.35">
      <c r="A749" s="15">
        <v>736</v>
      </c>
      <c r="B749" s="10">
        <f t="shared" ca="1" si="759"/>
        <v>-0.3124977306669332</v>
      </c>
      <c r="C749" s="10">
        <f t="shared" ca="1" si="760"/>
        <v>-0.30370104783794372</v>
      </c>
      <c r="D749" s="11">
        <f t="shared" si="761"/>
        <v>1447.7398688575352</v>
      </c>
      <c r="E749" s="11">
        <f t="shared" ref="E749:F749" ca="1" si="794">+D749*EXP(B749)</f>
        <v>1059.1915183609435</v>
      </c>
      <c r="F749" s="11">
        <f t="shared" ca="1" si="794"/>
        <v>781.7696482706715</v>
      </c>
      <c r="G749" s="12">
        <f t="shared" ca="1" si="763"/>
        <v>19.736628902131685</v>
      </c>
      <c r="H749" s="12">
        <f t="shared" ca="1" si="764"/>
        <v>1.4639789074182702E-4</v>
      </c>
    </row>
    <row r="750" spans="1:8" x14ac:dyDescent="0.35">
      <c r="A750" s="15">
        <v>737</v>
      </c>
      <c r="B750" s="10">
        <f t="shared" ca="1" si="759"/>
        <v>-8.5767659817720915E-2</v>
      </c>
      <c r="C750" s="10">
        <f t="shared" ca="1" si="760"/>
        <v>5.8468183095660736E-2</v>
      </c>
      <c r="D750" s="11">
        <f t="shared" si="761"/>
        <v>1447.7398688575352</v>
      </c>
      <c r="E750" s="11">
        <f t="shared" ref="E750:F750" ca="1" si="795">+D750*EXP(B750)</f>
        <v>1328.7464372991456</v>
      </c>
      <c r="F750" s="11">
        <f t="shared" ca="1" si="795"/>
        <v>1408.7519245676999</v>
      </c>
      <c r="G750" s="12">
        <f t="shared" ca="1" si="763"/>
        <v>103.49364062261213</v>
      </c>
      <c r="H750" s="12">
        <f t="shared" ca="1" si="764"/>
        <v>56.698848006299158</v>
      </c>
    </row>
    <row r="751" spans="1:8" x14ac:dyDescent="0.35">
      <c r="A751" s="15">
        <v>738</v>
      </c>
      <c r="B751" s="10">
        <f t="shared" ca="1" si="759"/>
        <v>-1.234563174777225E-3</v>
      </c>
      <c r="C751" s="10">
        <f t="shared" ca="1" si="760"/>
        <v>0.13344444949222342</v>
      </c>
      <c r="D751" s="11">
        <f t="shared" si="761"/>
        <v>1447.7398688575352</v>
      </c>
      <c r="E751" s="11">
        <f t="shared" ref="E751:F751" ca="1" si="796">+D751*EXP(B751)</f>
        <v>1445.9536453585358</v>
      </c>
      <c r="F751" s="11">
        <f t="shared" ca="1" si="796"/>
        <v>1652.3747829535434</v>
      </c>
      <c r="G751" s="12">
        <f t="shared" ca="1" si="763"/>
        <v>167.14651098288323</v>
      </c>
      <c r="H751" s="12">
        <f t="shared" ca="1" si="764"/>
        <v>213.08499461478368</v>
      </c>
    </row>
    <row r="752" spans="1:8" x14ac:dyDescent="0.35">
      <c r="A752" s="15">
        <v>739</v>
      </c>
      <c r="B752" s="10">
        <f t="shared" ca="1" si="759"/>
        <v>-6.5115972607172307E-2</v>
      </c>
      <c r="C752" s="10">
        <f t="shared" ca="1" si="760"/>
        <v>-0.13978209488058987</v>
      </c>
      <c r="D752" s="11">
        <f t="shared" si="761"/>
        <v>1447.7398688575352</v>
      </c>
      <c r="E752" s="11">
        <f t="shared" ref="E752:F752" ca="1" si="797">+D752*EXP(B752)</f>
        <v>1356.4726037538594</v>
      </c>
      <c r="F752" s="11">
        <f t="shared" ca="1" si="797"/>
        <v>1179.5176240937312</v>
      </c>
      <c r="G752" s="12">
        <f t="shared" ca="1" si="763"/>
        <v>117.09185812764008</v>
      </c>
      <c r="H752" s="12">
        <f t="shared" ca="1" si="764"/>
        <v>5.1580057679470883</v>
      </c>
    </row>
    <row r="753" spans="1:8" x14ac:dyDescent="0.35">
      <c r="A753" s="15">
        <v>740</v>
      </c>
      <c r="B753" s="10">
        <f t="shared" ca="1" si="759"/>
        <v>0.16754777291394357</v>
      </c>
      <c r="C753" s="10">
        <f t="shared" ca="1" si="760"/>
        <v>-0.21570875963285455</v>
      </c>
      <c r="D753" s="11">
        <f t="shared" si="761"/>
        <v>1447.7398688575352</v>
      </c>
      <c r="E753" s="11">
        <f t="shared" ref="E753:F753" ca="1" si="798">+D753*EXP(B753)</f>
        <v>1711.810191564253</v>
      </c>
      <c r="F753" s="11">
        <f t="shared" ca="1" si="798"/>
        <v>1379.6676578586541</v>
      </c>
      <c r="G753" s="12">
        <f t="shared" ca="1" si="763"/>
        <v>361.92561707245795</v>
      </c>
      <c r="H753" s="12">
        <f t="shared" ca="1" si="764"/>
        <v>45.246882446477741</v>
      </c>
    </row>
    <row r="754" spans="1:8" x14ac:dyDescent="0.35">
      <c r="A754" s="15">
        <v>741</v>
      </c>
      <c r="B754" s="10">
        <f t="shared" ca="1" si="759"/>
        <v>-0.14422807920820768</v>
      </c>
      <c r="C754" s="10">
        <f t="shared" ca="1" si="760"/>
        <v>-3.7856891947558119E-2</v>
      </c>
      <c r="D754" s="11">
        <f t="shared" si="761"/>
        <v>1447.7398688575352</v>
      </c>
      <c r="E754" s="11">
        <f t="shared" ref="E754:F754" ca="1" si="799">+D754*EXP(B754)</f>
        <v>1253.29433184098</v>
      </c>
      <c r="F754" s="11">
        <f t="shared" ca="1" si="799"/>
        <v>1206.7353531987808</v>
      </c>
      <c r="G754" s="12">
        <f t="shared" ca="1" si="763"/>
        <v>71.274688291222049</v>
      </c>
      <c r="H754" s="12">
        <f t="shared" ca="1" si="764"/>
        <v>7.4822897429673674</v>
      </c>
    </row>
    <row r="755" spans="1:8" x14ac:dyDescent="0.35">
      <c r="A755" s="15">
        <v>742</v>
      </c>
      <c r="B755" s="10">
        <f t="shared" ca="1" si="759"/>
        <v>0.14547064159319201</v>
      </c>
      <c r="C755" s="10">
        <f t="shared" ca="1" si="760"/>
        <v>9.5741004997450696E-2</v>
      </c>
      <c r="D755" s="11">
        <f t="shared" si="761"/>
        <v>1447.7398688575352</v>
      </c>
      <c r="E755" s="11">
        <f t="shared" ref="E755:F755" ca="1" si="800">+D755*EXP(B755)</f>
        <v>1674.43244799172</v>
      </c>
      <c r="F755" s="11">
        <f t="shared" ca="1" si="800"/>
        <v>1842.6693902020961</v>
      </c>
      <c r="G755" s="12">
        <f t="shared" ca="1" si="763"/>
        <v>331.20427085329607</v>
      </c>
      <c r="H755" s="12">
        <f t="shared" ca="1" si="764"/>
        <v>384.70191133705771</v>
      </c>
    </row>
    <row r="756" spans="1:8" x14ac:dyDescent="0.35">
      <c r="A756" s="15">
        <v>743</v>
      </c>
      <c r="B756" s="10">
        <f t="shared" ca="1" si="759"/>
        <v>-7.1319297554815239E-2</v>
      </c>
      <c r="C756" s="10">
        <f t="shared" ca="1" si="760"/>
        <v>0.12310018259382283</v>
      </c>
      <c r="D756" s="11">
        <f t="shared" si="761"/>
        <v>1447.7398688575352</v>
      </c>
      <c r="E756" s="11">
        <f t="shared" ref="E756:F756" ca="1" si="801">+D756*EXP(B756)</f>
        <v>1348.0840089003416</v>
      </c>
      <c r="F756" s="11">
        <f t="shared" ca="1" si="801"/>
        <v>1524.6799425342163</v>
      </c>
      <c r="G756" s="12">
        <f t="shared" ca="1" si="763"/>
        <v>112.87947112506697</v>
      </c>
      <c r="H756" s="12">
        <f t="shared" ca="1" si="764"/>
        <v>118.62959894618973</v>
      </c>
    </row>
    <row r="757" spans="1:8" x14ac:dyDescent="0.35">
      <c r="A757" s="15">
        <v>744</v>
      </c>
      <c r="B757" s="10">
        <f t="shared" ca="1" si="759"/>
        <v>0.10703453670851205</v>
      </c>
      <c r="C757" s="10">
        <f t="shared" ca="1" si="760"/>
        <v>0.27938474736900942</v>
      </c>
      <c r="D757" s="11">
        <f t="shared" si="761"/>
        <v>1447.7398688575352</v>
      </c>
      <c r="E757" s="11">
        <f t="shared" ref="E757:F757" ca="1" si="802">+D757*EXP(B757)</f>
        <v>1611.2949394896568</v>
      </c>
      <c r="F757" s="11">
        <f t="shared" ca="1" si="802"/>
        <v>2130.6410850292714</v>
      </c>
      <c r="G757" s="12">
        <f t="shared" ca="1" si="763"/>
        <v>281.46113895528549</v>
      </c>
      <c r="H757" s="12">
        <f t="shared" ca="1" si="764"/>
        <v>667.9785933909418</v>
      </c>
    </row>
    <row r="758" spans="1:8" x14ac:dyDescent="0.35">
      <c r="A758" s="15">
        <v>745</v>
      </c>
      <c r="B758" s="10">
        <f t="shared" ca="1" si="759"/>
        <v>7.9527889934383436E-2</v>
      </c>
      <c r="C758" s="10">
        <f t="shared" ca="1" si="760"/>
        <v>-0.24767655485750015</v>
      </c>
      <c r="D758" s="11">
        <f t="shared" si="761"/>
        <v>1447.7398688575352</v>
      </c>
      <c r="E758" s="11">
        <f t="shared" ref="E758:F758" ca="1" si="803">+D758*EXP(B758)</f>
        <v>1567.5776333869012</v>
      </c>
      <c r="F758" s="11">
        <f t="shared" ca="1" si="803"/>
        <v>1223.6705193579019</v>
      </c>
      <c r="G758" s="12">
        <f t="shared" ca="1" si="763"/>
        <v>248.81077012263631</v>
      </c>
      <c r="H758" s="12">
        <f t="shared" ca="1" si="764"/>
        <v>9.2997646969458287</v>
      </c>
    </row>
    <row r="759" spans="1:8" x14ac:dyDescent="0.35">
      <c r="A759" s="15">
        <v>746</v>
      </c>
      <c r="B759" s="10">
        <f t="shared" ca="1" si="759"/>
        <v>2.8348285821751362E-2</v>
      </c>
      <c r="C759" s="10">
        <f t="shared" ca="1" si="760"/>
        <v>0.36141764335577331</v>
      </c>
      <c r="D759" s="11">
        <f t="shared" si="761"/>
        <v>1447.7398688575352</v>
      </c>
      <c r="E759" s="11">
        <f t="shared" ref="E759:F759" ca="1" si="804">+D759*EXP(B759)</f>
        <v>1489.3680687577153</v>
      </c>
      <c r="F759" s="11">
        <f t="shared" ca="1" si="804"/>
        <v>2137.7835295234845</v>
      </c>
      <c r="G759" s="12">
        <f t="shared" ca="1" si="763"/>
        <v>194.61995322852988</v>
      </c>
      <c r="H759" s="12">
        <f t="shared" ca="1" si="764"/>
        <v>675.09915717014701</v>
      </c>
    </row>
    <row r="760" spans="1:8" x14ac:dyDescent="0.35">
      <c r="A760" s="15">
        <v>747</v>
      </c>
      <c r="B760" s="10">
        <f t="shared" ca="1" si="759"/>
        <v>-4.1455092957190846E-2</v>
      </c>
      <c r="C760" s="10">
        <f t="shared" ca="1" si="760"/>
        <v>5.323287571119481E-3</v>
      </c>
      <c r="D760" s="11">
        <f t="shared" si="761"/>
        <v>1447.7398688575352</v>
      </c>
      <c r="E760" s="11">
        <f t="shared" ref="E760:F760" ca="1" si="805">+D760*EXP(B760)</f>
        <v>1388.9506532017822</v>
      </c>
      <c r="F760" s="11">
        <f t="shared" ca="1" si="805"/>
        <v>1396.3641515360487</v>
      </c>
      <c r="G760" s="12">
        <f t="shared" ca="1" si="763"/>
        <v>134.19210191652166</v>
      </c>
      <c r="H760" s="12">
        <f t="shared" ca="1" si="764"/>
        <v>51.61937315383517</v>
      </c>
    </row>
    <row r="761" spans="1:8" x14ac:dyDescent="0.35">
      <c r="A761" s="15">
        <v>748</v>
      </c>
      <c r="B761" s="10">
        <f t="shared" ca="1" si="759"/>
        <v>-0.1400518853969161</v>
      </c>
      <c r="C761" s="10">
        <f t="shared" ca="1" si="760"/>
        <v>-5.2555078676034483E-2</v>
      </c>
      <c r="D761" s="11">
        <f t="shared" si="761"/>
        <v>1447.7398688575352</v>
      </c>
      <c r="E761" s="11">
        <f t="shared" ref="E761:F761" ca="1" si="806">+D761*EXP(B761)</f>
        <v>1258.5392762025226</v>
      </c>
      <c r="F761" s="11">
        <f t="shared" ca="1" si="806"/>
        <v>1194.1046589282564</v>
      </c>
      <c r="G761" s="12">
        <f t="shared" ca="1" si="763"/>
        <v>73.285957422403214</v>
      </c>
      <c r="H761" s="12">
        <f t="shared" ca="1" si="764"/>
        <v>6.3183642564455766</v>
      </c>
    </row>
    <row r="762" spans="1:8" x14ac:dyDescent="0.35">
      <c r="A762" s="15">
        <v>749</v>
      </c>
      <c r="B762" s="10">
        <f t="shared" ca="1" si="759"/>
        <v>-0.11978061486086684</v>
      </c>
      <c r="C762" s="10">
        <f t="shared" ca="1" si="760"/>
        <v>-0.1048533372351298</v>
      </c>
      <c r="D762" s="11">
        <f t="shared" si="761"/>
        <v>1447.7398688575352</v>
      </c>
      <c r="E762" s="11">
        <f t="shared" ref="E762:F762" ca="1" si="807">+D762*EXP(B762)</f>
        <v>1284.3118047593425</v>
      </c>
      <c r="F762" s="11">
        <f t="shared" ca="1" si="807"/>
        <v>1156.467010683953</v>
      </c>
      <c r="G762" s="12">
        <f t="shared" ca="1" si="763"/>
        <v>83.665389099686877</v>
      </c>
      <c r="H762" s="12">
        <f t="shared" ca="1" si="764"/>
        <v>3.6781090700398735</v>
      </c>
    </row>
    <row r="763" spans="1:8" x14ac:dyDescent="0.35">
      <c r="A763" s="15">
        <v>750</v>
      </c>
      <c r="B763" s="10">
        <f t="shared" ca="1" si="759"/>
        <v>-6.1314412436839244E-2</v>
      </c>
      <c r="C763" s="10">
        <f t="shared" ca="1" si="760"/>
        <v>0.40598737669876306</v>
      </c>
      <c r="D763" s="11">
        <f t="shared" si="761"/>
        <v>1447.7398688575352</v>
      </c>
      <c r="E763" s="11">
        <f t="shared" ref="E763:F763" ca="1" si="808">+D763*EXP(B763)</f>
        <v>1361.6391301848294</v>
      </c>
      <c r="F763" s="11">
        <f t="shared" ca="1" si="808"/>
        <v>2043.525685904975</v>
      </c>
      <c r="G763" s="12">
        <f t="shared" ca="1" si="763"/>
        <v>119.72833326503167</v>
      </c>
      <c r="H763" s="12">
        <f t="shared" ca="1" si="764"/>
        <v>581.30202336338425</v>
      </c>
    </row>
    <row r="764" spans="1:8" x14ac:dyDescent="0.35">
      <c r="A764" s="15">
        <v>751</v>
      </c>
      <c r="B764" s="10">
        <f t="shared" ca="1" si="759"/>
        <v>-0.12501513385320828</v>
      </c>
      <c r="C764" s="10">
        <f t="shared" ca="1" si="760"/>
        <v>0.14958592669101994</v>
      </c>
      <c r="D764" s="11">
        <f t="shared" si="761"/>
        <v>1447.7398688575352</v>
      </c>
      <c r="E764" s="11">
        <f t="shared" ref="E764:F764" ca="1" si="809">+D764*EXP(B764)</f>
        <v>1277.6066147577294</v>
      </c>
      <c r="F764" s="11">
        <f t="shared" ca="1" si="809"/>
        <v>1483.7526041939407</v>
      </c>
      <c r="G764" s="12">
        <f t="shared" ca="1" si="763"/>
        <v>80.885564377546302</v>
      </c>
      <c r="H764" s="12">
        <f t="shared" ca="1" si="764"/>
        <v>93.862330430751058</v>
      </c>
    </row>
    <row r="765" spans="1:8" x14ac:dyDescent="0.35">
      <c r="A765" s="15">
        <v>752</v>
      </c>
      <c r="B765" s="10">
        <f t="shared" ca="1" si="759"/>
        <v>5.7097411641612791E-2</v>
      </c>
      <c r="C765" s="10">
        <f t="shared" ca="1" si="760"/>
        <v>0.12614984430055079</v>
      </c>
      <c r="D765" s="11">
        <f t="shared" si="761"/>
        <v>1447.7398688575352</v>
      </c>
      <c r="E765" s="11">
        <f t="shared" ref="E765:F765" ca="1" si="810">+D765*EXP(B765)</f>
        <v>1532.8075301328449</v>
      </c>
      <c r="F765" s="11">
        <f t="shared" ca="1" si="810"/>
        <v>1738.8967930922995</v>
      </c>
      <c r="G765" s="12">
        <f t="shared" ca="1" si="763"/>
        <v>224.01282624248017</v>
      </c>
      <c r="H765" s="12">
        <f t="shared" ca="1" si="764"/>
        <v>288.01109911298499</v>
      </c>
    </row>
    <row r="766" spans="1:8" x14ac:dyDescent="0.35">
      <c r="A766" s="15">
        <v>753</v>
      </c>
      <c r="B766" s="10">
        <f t="shared" ca="1" si="759"/>
        <v>0.25024847224237784</v>
      </c>
      <c r="C766" s="10">
        <f t="shared" ca="1" si="760"/>
        <v>5.502424901582282E-2</v>
      </c>
      <c r="D766" s="11">
        <f t="shared" si="761"/>
        <v>1447.7398688575352</v>
      </c>
      <c r="E766" s="11">
        <f t="shared" ref="E766:F766" ca="1" si="811">+D766*EXP(B766)</f>
        <v>1859.396739449186</v>
      </c>
      <c r="F766" s="11">
        <f t="shared" ca="1" si="811"/>
        <v>1964.5758124756194</v>
      </c>
      <c r="G766" s="12">
        <f t="shared" ca="1" si="763"/>
        <v>490.55191509632118</v>
      </c>
      <c r="H766" s="12">
        <f t="shared" ca="1" si="764"/>
        <v>503.22562607254235</v>
      </c>
    </row>
    <row r="767" spans="1:8" x14ac:dyDescent="0.35">
      <c r="A767" s="15">
        <v>754</v>
      </c>
      <c r="B767" s="10">
        <f t="shared" ca="1" si="759"/>
        <v>-2.8250531941805809E-2</v>
      </c>
      <c r="C767" s="10">
        <f t="shared" ca="1" si="760"/>
        <v>-0.30968758014891462</v>
      </c>
      <c r="D767" s="11">
        <f t="shared" si="761"/>
        <v>1447.7398688575352</v>
      </c>
      <c r="E767" s="11">
        <f t="shared" ref="E767:F767" ca="1" si="812">+D767*EXP(B767)</f>
        <v>1407.4127606068907</v>
      </c>
      <c r="F767" s="11">
        <f t="shared" ca="1" si="812"/>
        <v>1032.5851551306571</v>
      </c>
      <c r="G767" s="12">
        <f t="shared" ca="1" si="763"/>
        <v>144.46294479496328</v>
      </c>
      <c r="H767" s="12">
        <f t="shared" ca="1" si="764"/>
        <v>0.38896859768880709</v>
      </c>
    </row>
    <row r="768" spans="1:8" x14ac:dyDescent="0.35">
      <c r="A768" s="15">
        <v>755</v>
      </c>
      <c r="B768" s="10">
        <f t="shared" ca="1" si="759"/>
        <v>-0.1901768938631434</v>
      </c>
      <c r="C768" s="10">
        <f t="shared" ca="1" si="760"/>
        <v>0.33696735529252808</v>
      </c>
      <c r="D768" s="11">
        <f t="shared" si="761"/>
        <v>1447.7398688575352</v>
      </c>
      <c r="E768" s="11">
        <f t="shared" ref="E768:F768" ca="1" si="813">+D768*EXP(B768)</f>
        <v>1197.0099456830051</v>
      </c>
      <c r="F768" s="11">
        <f t="shared" ca="1" si="813"/>
        <v>1676.6438561601185</v>
      </c>
      <c r="G768" s="12">
        <f t="shared" ca="1" si="763"/>
        <v>51.826603636999494</v>
      </c>
      <c r="H768" s="12">
        <f t="shared" ca="1" si="764"/>
        <v>233.40202894719846</v>
      </c>
    </row>
    <row r="769" spans="1:8" x14ac:dyDescent="0.35">
      <c r="A769" s="15">
        <v>756</v>
      </c>
      <c r="B769" s="10">
        <f t="shared" ca="1" si="759"/>
        <v>-8.5235264867791039E-2</v>
      </c>
      <c r="C769" s="10">
        <f t="shared" ca="1" si="760"/>
        <v>0.289535142990062</v>
      </c>
      <c r="D769" s="11">
        <f t="shared" si="761"/>
        <v>1447.7398688575352</v>
      </c>
      <c r="E769" s="11">
        <f t="shared" ref="E769:F769" ca="1" si="814">+D769*EXP(B769)</f>
        <v>1329.4540435383813</v>
      </c>
      <c r="F769" s="11">
        <f t="shared" ca="1" si="814"/>
        <v>1775.8931995406704</v>
      </c>
      <c r="G769" s="12">
        <f t="shared" ca="1" si="763"/>
        <v>103.82906012514127</v>
      </c>
      <c r="H769" s="12">
        <f t="shared" ca="1" si="764"/>
        <v>321.82649699990816</v>
      </c>
    </row>
    <row r="770" spans="1:8" x14ac:dyDescent="0.35">
      <c r="A770" s="15">
        <v>757</v>
      </c>
      <c r="B770" s="10">
        <f t="shared" ca="1" si="759"/>
        <v>0.10680533348718677</v>
      </c>
      <c r="C770" s="10">
        <f t="shared" ca="1" si="760"/>
        <v>-8.0643218849627052E-2</v>
      </c>
      <c r="D770" s="11">
        <f t="shared" si="761"/>
        <v>1447.7398688575352</v>
      </c>
      <c r="E770" s="11">
        <f t="shared" ref="E770:F770" ca="1" si="815">+D770*EXP(B770)</f>
        <v>1610.9256678197655</v>
      </c>
      <c r="F770" s="11">
        <f t="shared" ca="1" si="815"/>
        <v>1486.115611712461</v>
      </c>
      <c r="G770" s="12">
        <f t="shared" ca="1" si="763"/>
        <v>281.17888352392572</v>
      </c>
      <c r="H770" s="12">
        <f t="shared" ca="1" si="764"/>
        <v>95.208995189589814</v>
      </c>
    </row>
    <row r="771" spans="1:8" x14ac:dyDescent="0.35">
      <c r="A771" s="15">
        <v>758</v>
      </c>
      <c r="B771" s="10">
        <f t="shared" ca="1" si="759"/>
        <v>-5.5268151608755284E-2</v>
      </c>
      <c r="C771" s="10">
        <f t="shared" ca="1" si="760"/>
        <v>1.8888518125191697E-2</v>
      </c>
      <c r="D771" s="11">
        <f t="shared" si="761"/>
        <v>1447.7398688575352</v>
      </c>
      <c r="E771" s="11">
        <f t="shared" ref="E771:F771" ca="1" si="816">+D771*EXP(B771)</f>
        <v>1369.8968946618329</v>
      </c>
      <c r="F771" s="11">
        <f t="shared" ca="1" si="816"/>
        <v>1396.0181361429065</v>
      </c>
      <c r="G771" s="12">
        <f t="shared" ca="1" si="763"/>
        <v>124.00846599486442</v>
      </c>
      <c r="H771" s="12">
        <f t="shared" ca="1" si="764"/>
        <v>51.481806187434188</v>
      </c>
    </row>
    <row r="772" spans="1:8" x14ac:dyDescent="0.35">
      <c r="A772" s="15">
        <v>759</v>
      </c>
      <c r="B772" s="10">
        <f t="shared" ca="1" si="759"/>
        <v>0.14409859736614161</v>
      </c>
      <c r="C772" s="10">
        <f t="shared" ca="1" si="760"/>
        <v>-0.1397085053606644</v>
      </c>
      <c r="D772" s="11">
        <f t="shared" si="761"/>
        <v>1447.7398688575352</v>
      </c>
      <c r="E772" s="11">
        <f t="shared" ref="E772:F772" ca="1" si="817">+D772*EXP(B772)</f>
        <v>1672.1366279613344</v>
      </c>
      <c r="F772" s="11">
        <f t="shared" ca="1" si="817"/>
        <v>1454.109551598267</v>
      </c>
      <c r="G772" s="12">
        <f t="shared" ca="1" si="763"/>
        <v>329.34648203485494</v>
      </c>
      <c r="H772" s="12">
        <f t="shared" ca="1" si="764"/>
        <v>77.868600761828361</v>
      </c>
    </row>
    <row r="773" spans="1:8" x14ac:dyDescent="0.35">
      <c r="A773" s="15">
        <v>760</v>
      </c>
      <c r="B773" s="10">
        <f t="shared" ca="1" si="759"/>
        <v>0.24968762104089487</v>
      </c>
      <c r="C773" s="10">
        <f t="shared" ca="1" si="760"/>
        <v>0.12971106595100154</v>
      </c>
      <c r="D773" s="11">
        <f t="shared" si="761"/>
        <v>1447.7398688575352</v>
      </c>
      <c r="E773" s="11">
        <f t="shared" ref="E773:F773" ca="1" si="818">+D773*EXP(B773)</f>
        <v>1858.3541869395747</v>
      </c>
      <c r="F773" s="11">
        <f t="shared" ca="1" si="818"/>
        <v>2115.735098126087</v>
      </c>
      <c r="G773" s="12">
        <f t="shared" ca="1" si="763"/>
        <v>489.60950188056495</v>
      </c>
      <c r="H773" s="12">
        <f t="shared" ca="1" si="764"/>
        <v>653.12365737948357</v>
      </c>
    </row>
    <row r="774" spans="1:8" x14ac:dyDescent="0.35">
      <c r="A774" s="15">
        <v>761</v>
      </c>
      <c r="B774" s="10">
        <f t="shared" ca="1" si="759"/>
        <v>-5.5990415212547523E-2</v>
      </c>
      <c r="C774" s="10">
        <f t="shared" ca="1" si="760"/>
        <v>0.38728136888715703</v>
      </c>
      <c r="D774" s="11">
        <f t="shared" si="761"/>
        <v>1447.7398688575352</v>
      </c>
      <c r="E774" s="11">
        <f t="shared" ref="E774:F774" ca="1" si="819">+D774*EXP(B774)</f>
        <v>1368.9078252212969</v>
      </c>
      <c r="F774" s="11">
        <f t="shared" ca="1" si="819"/>
        <v>2016.3613655291194</v>
      </c>
      <c r="G774" s="12">
        <f t="shared" ca="1" si="763"/>
        <v>123.4915372366587</v>
      </c>
      <c r="H774" s="12">
        <f t="shared" ca="1" si="764"/>
        <v>554.36914150051803</v>
      </c>
    </row>
    <row r="775" spans="1:8" x14ac:dyDescent="0.35">
      <c r="A775" s="15">
        <v>762</v>
      </c>
      <c r="B775" s="10">
        <f t="shared" ca="1" si="759"/>
        <v>8.6816061385199275E-2</v>
      </c>
      <c r="C775" s="10">
        <f t="shared" ca="1" si="760"/>
        <v>8.6516591551435068E-2</v>
      </c>
      <c r="D775" s="11">
        <f t="shared" si="761"/>
        <v>1447.7398688575352</v>
      </c>
      <c r="E775" s="11">
        <f t="shared" ref="E775:F775" ca="1" si="820">+D775*EXP(B775)</f>
        <v>1579.0441421263831</v>
      </c>
      <c r="F775" s="11">
        <f t="shared" ca="1" si="820"/>
        <v>1721.7415061800284</v>
      </c>
      <c r="G775" s="12">
        <f t="shared" ca="1" si="763"/>
        <v>257.22145443255295</v>
      </c>
      <c r="H775" s="12">
        <f t="shared" ca="1" si="764"/>
        <v>272.64568834968691</v>
      </c>
    </row>
    <row r="776" spans="1:8" x14ac:dyDescent="0.35">
      <c r="A776" s="15">
        <v>763</v>
      </c>
      <c r="B776" s="10">
        <f t="shared" ca="1" si="759"/>
        <v>2.4867117413248672E-2</v>
      </c>
      <c r="C776" s="10">
        <f t="shared" ca="1" si="760"/>
        <v>0.22365211579126798</v>
      </c>
      <c r="D776" s="11">
        <f t="shared" si="761"/>
        <v>1447.7398688575352</v>
      </c>
      <c r="E776" s="11">
        <f t="shared" ref="E776:F776" ca="1" si="821">+D776*EXP(B776)</f>
        <v>1484.1923417037297</v>
      </c>
      <c r="F776" s="11">
        <f t="shared" ca="1" si="821"/>
        <v>1856.1841764656554</v>
      </c>
      <c r="G776" s="12">
        <f t="shared" ca="1" si="763"/>
        <v>191.24195517525368</v>
      </c>
      <c r="H776" s="12">
        <f t="shared" ca="1" si="764"/>
        <v>397.64920001692803</v>
      </c>
    </row>
    <row r="777" spans="1:8" x14ac:dyDescent="0.35">
      <c r="A777" s="15">
        <v>764</v>
      </c>
      <c r="B777" s="10">
        <f t="shared" ca="1" si="759"/>
        <v>7.098709509248409E-2</v>
      </c>
      <c r="C777" s="10">
        <f t="shared" ca="1" si="760"/>
        <v>-8.6347622194712578E-2</v>
      </c>
      <c r="D777" s="11">
        <f t="shared" si="761"/>
        <v>1447.7398688575352</v>
      </c>
      <c r="E777" s="11">
        <f t="shared" ref="E777:F777" ca="1" si="822">+D777*EXP(B777)</f>
        <v>1554.2462856125746</v>
      </c>
      <c r="F777" s="11">
        <f t="shared" ca="1" si="822"/>
        <v>1425.6717442828408</v>
      </c>
      <c r="G777" s="12">
        <f t="shared" ca="1" si="763"/>
        <v>239.17512923097649</v>
      </c>
      <c r="H777" s="12">
        <f t="shared" ca="1" si="764"/>
        <v>64.12361863395779</v>
      </c>
    </row>
    <row r="778" spans="1:8" x14ac:dyDescent="0.35">
      <c r="A778" s="15">
        <v>765</v>
      </c>
      <c r="B778" s="10">
        <f t="shared" ca="1" si="759"/>
        <v>1.0346249038060955E-2</v>
      </c>
      <c r="C778" s="10">
        <f t="shared" ca="1" si="760"/>
        <v>0.21550201940208114</v>
      </c>
      <c r="D778" s="11">
        <f t="shared" si="761"/>
        <v>1447.7398688575352</v>
      </c>
      <c r="E778" s="11">
        <f t="shared" ref="E778:F778" ca="1" si="823">+D778*EXP(B778)</f>
        <v>1462.7963005698844</v>
      </c>
      <c r="F778" s="11">
        <f t="shared" ca="1" si="823"/>
        <v>1814.5761198986211</v>
      </c>
      <c r="G778" s="12">
        <f t="shared" ca="1" si="763"/>
        <v>177.56987420461746</v>
      </c>
      <c r="H778" s="12">
        <f t="shared" ca="1" si="764"/>
        <v>358.00602238782653</v>
      </c>
    </row>
    <row r="779" spans="1:8" x14ac:dyDescent="0.35">
      <c r="A779" s="15">
        <v>766</v>
      </c>
      <c r="B779" s="10">
        <f t="shared" ca="1" si="759"/>
        <v>0.23335392289763607</v>
      </c>
      <c r="C779" s="10">
        <f t="shared" ca="1" si="760"/>
        <v>9.0121266008359208E-2</v>
      </c>
      <c r="D779" s="11">
        <f t="shared" si="761"/>
        <v>1447.7398688575352</v>
      </c>
      <c r="E779" s="11">
        <f t="shared" ref="E779:F779" ca="1" si="824">+D779*EXP(B779)</f>
        <v>1828.2469412935932</v>
      </c>
      <c r="F779" s="11">
        <f t="shared" ca="1" si="824"/>
        <v>2000.6633851792221</v>
      </c>
      <c r="G779" s="12">
        <f t="shared" ca="1" si="763"/>
        <v>462.57581127535946</v>
      </c>
      <c r="H779" s="12">
        <f t="shared" ca="1" si="764"/>
        <v>538.8344931597137</v>
      </c>
    </row>
    <row r="780" spans="1:8" x14ac:dyDescent="0.35">
      <c r="A780" s="15">
        <v>767</v>
      </c>
      <c r="B780" s="10">
        <f t="shared" ca="1" si="759"/>
        <v>-4.9401170110809745E-2</v>
      </c>
      <c r="C780" s="10">
        <f t="shared" ca="1" si="760"/>
        <v>0.17957960973520862</v>
      </c>
      <c r="D780" s="11">
        <f t="shared" si="761"/>
        <v>1447.7398688575352</v>
      </c>
      <c r="E780" s="11">
        <f t="shared" ref="E780:F780" ca="1" si="825">+D780*EXP(B780)</f>
        <v>1377.9576775068247</v>
      </c>
      <c r="F780" s="11">
        <f t="shared" ca="1" si="825"/>
        <v>1649.0214788475007</v>
      </c>
      <c r="G780" s="12">
        <f t="shared" ca="1" si="763"/>
        <v>128.26456313215226</v>
      </c>
      <c r="H780" s="12">
        <f t="shared" ca="1" si="764"/>
        <v>210.32735590051766</v>
      </c>
    </row>
    <row r="781" spans="1:8" x14ac:dyDescent="0.35">
      <c r="A781" s="15">
        <v>768</v>
      </c>
      <c r="B781" s="10">
        <f t="shared" ca="1" si="759"/>
        <v>4.9606615223786843E-2</v>
      </c>
      <c r="C781" s="10">
        <f t="shared" ca="1" si="760"/>
        <v>-0.43327282172398507</v>
      </c>
      <c r="D781" s="11">
        <f t="shared" si="761"/>
        <v>1447.7398688575352</v>
      </c>
      <c r="E781" s="11">
        <f t="shared" ref="E781:F781" ca="1" si="826">+D781*EXP(B781)</f>
        <v>1521.368478270253</v>
      </c>
      <c r="F781" s="11">
        <f t="shared" ca="1" si="826"/>
        <v>986.4303321455576</v>
      </c>
      <c r="G781" s="12">
        <f t="shared" ca="1" si="763"/>
        <v>216.09631565898894</v>
      </c>
      <c r="H781" s="12">
        <f t="shared" ca="1" si="764"/>
        <v>0.13481432557906592</v>
      </c>
    </row>
    <row r="782" spans="1:8" x14ac:dyDescent="0.35">
      <c r="A782" s="15">
        <v>769</v>
      </c>
      <c r="B782" s="10">
        <f t="shared" ca="1" si="759"/>
        <v>-3.0325925352023275E-2</v>
      </c>
      <c r="C782" s="10">
        <f t="shared" ca="1" si="760"/>
        <v>-5.9939924076760909E-3</v>
      </c>
      <c r="D782" s="11">
        <f t="shared" si="761"/>
        <v>1447.7398688575352</v>
      </c>
      <c r="E782" s="11">
        <f t="shared" ref="E782:F782" ca="1" si="827">+D782*EXP(B782)</f>
        <v>1404.4948543870892</v>
      </c>
      <c r="F782" s="11">
        <f t="shared" ca="1" si="827"/>
        <v>1396.1015028655613</v>
      </c>
      <c r="G782" s="12">
        <f t="shared" ca="1" si="763"/>
        <v>142.81356559604035</v>
      </c>
      <c r="H782" s="12">
        <f t="shared" ca="1" si="764"/>
        <v>51.51492930059112</v>
      </c>
    </row>
    <row r="783" spans="1:8" x14ac:dyDescent="0.35">
      <c r="A783" s="15">
        <v>770</v>
      </c>
      <c r="B783" s="10">
        <f t="shared" ref="B783:B846" ca="1" si="828">+($B$6-0.5*$B$10^2)*$H$4+$B$10*SQRT($H$4)*_xlfn.NORM.S.INV(RAND())</f>
        <v>-0.28993854811635644</v>
      </c>
      <c r="C783" s="10">
        <f t="shared" ref="C783:C846" ca="1" si="829">+($B$6-0.5*$B$10^2)+$B$10*_xlfn.NORM.S.INV(RAND())</f>
        <v>3.1823318966651075E-2</v>
      </c>
      <c r="D783" s="11">
        <f t="shared" ref="D783:D846" si="830">+$B$9</f>
        <v>1447.7398688575352</v>
      </c>
      <c r="E783" s="11">
        <f t="shared" ref="E783:F783" ca="1" si="831">+D783*EXP(B783)</f>
        <v>1083.3575715149743</v>
      </c>
      <c r="F783" s="11">
        <f t="shared" ca="1" si="831"/>
        <v>1118.3880416822296</v>
      </c>
      <c r="G783" s="12">
        <f t="shared" ref="G783:G846" ca="1" si="832">+BlackScholesCall(E783,$B$4,$B$10,$B$6,$B$7-$H$4)</f>
        <v>23.899172187637078</v>
      </c>
      <c r="H783" s="12">
        <f t="shared" ref="H783:H846" ca="1" si="833">+BlackScholesCall(F783,$B$4,$B$10,$B$6,$B$7-$I$4)</f>
        <v>2.0003588860728811</v>
      </c>
    </row>
    <row r="784" spans="1:8" x14ac:dyDescent="0.35">
      <c r="A784" s="15">
        <v>771</v>
      </c>
      <c r="B784" s="10">
        <f t="shared" ca="1" si="828"/>
        <v>3.8393817986237477E-2</v>
      </c>
      <c r="C784" s="10">
        <f t="shared" ca="1" si="829"/>
        <v>-0.14135629024036961</v>
      </c>
      <c r="D784" s="11">
        <f t="shared" si="830"/>
        <v>1447.7398688575352</v>
      </c>
      <c r="E784" s="11">
        <f t="shared" ref="E784:F784" ca="1" si="834">+D784*EXP(B784)</f>
        <v>1504.4049639534014</v>
      </c>
      <c r="F784" s="11">
        <f t="shared" ca="1" si="834"/>
        <v>1306.0942001325022</v>
      </c>
      <c r="G784" s="12">
        <f t="shared" ca="1" si="832"/>
        <v>204.5864869121325</v>
      </c>
      <c r="H784" s="12">
        <f t="shared" ca="1" si="833"/>
        <v>23.380595938760223</v>
      </c>
    </row>
    <row r="785" spans="1:8" x14ac:dyDescent="0.35">
      <c r="A785" s="15">
        <v>772</v>
      </c>
      <c r="B785" s="10">
        <f t="shared" ca="1" si="828"/>
        <v>0.10655420112024469</v>
      </c>
      <c r="C785" s="10">
        <f t="shared" ca="1" si="829"/>
        <v>-0.37362998397871483</v>
      </c>
      <c r="D785" s="11">
        <f t="shared" si="830"/>
        <v>1447.7398688575352</v>
      </c>
      <c r="E785" s="11">
        <f t="shared" ref="E785:F785" ca="1" si="835">+D785*EXP(B785)</f>
        <v>1610.5211630380859</v>
      </c>
      <c r="F785" s="11">
        <f t="shared" ca="1" si="835"/>
        <v>1108.4114303015704</v>
      </c>
      <c r="G785" s="12">
        <f t="shared" ca="1" si="832"/>
        <v>280.86981951837254</v>
      </c>
      <c r="H785" s="12">
        <f t="shared" ca="1" si="833"/>
        <v>1.6864798863950199</v>
      </c>
    </row>
    <row r="786" spans="1:8" x14ac:dyDescent="0.35">
      <c r="A786" s="15">
        <v>773</v>
      </c>
      <c r="B786" s="10">
        <f t="shared" ca="1" si="828"/>
        <v>-7.2571044190540876E-2</v>
      </c>
      <c r="C786" s="10">
        <f t="shared" ca="1" si="829"/>
        <v>-0.12455197948150634</v>
      </c>
      <c r="D786" s="11">
        <f t="shared" si="830"/>
        <v>1447.7398688575352</v>
      </c>
      <c r="E786" s="11">
        <f t="shared" ref="E786:F786" ca="1" si="836">+D786*EXP(B786)</f>
        <v>1346.3976049729442</v>
      </c>
      <c r="F786" s="11">
        <f t="shared" ca="1" si="836"/>
        <v>1188.7241695707773</v>
      </c>
      <c r="G786" s="12">
        <f t="shared" ca="1" si="832"/>
        <v>112.04287880296476</v>
      </c>
      <c r="H786" s="12">
        <f t="shared" ca="1" si="833"/>
        <v>5.8684223557254995</v>
      </c>
    </row>
    <row r="787" spans="1:8" x14ac:dyDescent="0.35">
      <c r="A787" s="15">
        <v>774</v>
      </c>
      <c r="B787" s="10">
        <f t="shared" ca="1" si="828"/>
        <v>0.22032504347382803</v>
      </c>
      <c r="C787" s="10">
        <f t="shared" ca="1" si="829"/>
        <v>0.22646066026497813</v>
      </c>
      <c r="D787" s="11">
        <f t="shared" si="830"/>
        <v>1447.7398688575352</v>
      </c>
      <c r="E787" s="11">
        <f t="shared" ref="E787:F787" ca="1" si="837">+D787*EXP(B787)</f>
        <v>1804.5814346256896</v>
      </c>
      <c r="F787" s="11">
        <f t="shared" ca="1" si="837"/>
        <v>2263.2217086717142</v>
      </c>
      <c r="G787" s="12">
        <f t="shared" ca="1" si="832"/>
        <v>441.58838240723321</v>
      </c>
      <c r="H787" s="12">
        <f t="shared" ca="1" si="833"/>
        <v>800.32921315246858</v>
      </c>
    </row>
    <row r="788" spans="1:8" x14ac:dyDescent="0.35">
      <c r="A788" s="15">
        <v>775</v>
      </c>
      <c r="B788" s="10">
        <f t="shared" ca="1" si="828"/>
        <v>0.18782466061516245</v>
      </c>
      <c r="C788" s="10">
        <f t="shared" ca="1" si="829"/>
        <v>0.30637724570304348</v>
      </c>
      <c r="D788" s="11">
        <f t="shared" si="830"/>
        <v>1447.7398688575352</v>
      </c>
      <c r="E788" s="11">
        <f t="shared" ref="E788:F788" ca="1" si="838">+D788*EXP(B788)</f>
        <v>1746.8746724602188</v>
      </c>
      <c r="F788" s="11">
        <f t="shared" ca="1" si="838"/>
        <v>2373.1199774286679</v>
      </c>
      <c r="G788" s="12">
        <f t="shared" ca="1" si="832"/>
        <v>391.50414970919815</v>
      </c>
      <c r="H788" s="12">
        <f t="shared" ca="1" si="833"/>
        <v>910.17613965342412</v>
      </c>
    </row>
    <row r="789" spans="1:8" x14ac:dyDescent="0.35">
      <c r="A789" s="15">
        <v>776</v>
      </c>
      <c r="B789" s="10">
        <f t="shared" ca="1" si="828"/>
        <v>2.2910161210581412E-2</v>
      </c>
      <c r="C789" s="10">
        <f t="shared" ca="1" si="829"/>
        <v>-0.25962282282473748</v>
      </c>
      <c r="D789" s="11">
        <f t="shared" si="830"/>
        <v>1447.7398688575352</v>
      </c>
      <c r="E789" s="11">
        <f t="shared" ref="E789:F789" ca="1" si="839">+D789*EXP(B789)</f>
        <v>1481.2906824307722</v>
      </c>
      <c r="F789" s="11">
        <f t="shared" ca="1" si="839"/>
        <v>1142.5824044649478</v>
      </c>
      <c r="G789" s="12">
        <f t="shared" ca="1" si="832"/>
        <v>189.36007720231419</v>
      </c>
      <c r="H789" s="12">
        <f t="shared" ca="1" si="833"/>
        <v>2.9678869871442757</v>
      </c>
    </row>
    <row r="790" spans="1:8" x14ac:dyDescent="0.35">
      <c r="A790" s="15">
        <v>777</v>
      </c>
      <c r="B790" s="10">
        <f t="shared" ca="1" si="828"/>
        <v>8.2437637794552474E-2</v>
      </c>
      <c r="C790" s="10">
        <f t="shared" ca="1" si="829"/>
        <v>-0.18502313344450316</v>
      </c>
      <c r="D790" s="11">
        <f t="shared" si="830"/>
        <v>1447.7398688575352</v>
      </c>
      <c r="E790" s="11">
        <f t="shared" ref="E790:F790" ca="1" si="840">+D790*EXP(B790)</f>
        <v>1572.1455315443495</v>
      </c>
      <c r="F790" s="11">
        <f t="shared" ca="1" si="840"/>
        <v>1306.5866599058838</v>
      </c>
      <c r="G790" s="12">
        <f t="shared" ca="1" si="832"/>
        <v>252.14788220119203</v>
      </c>
      <c r="H790" s="12">
        <f t="shared" ca="1" si="833"/>
        <v>23.495191220263621</v>
      </c>
    </row>
    <row r="791" spans="1:8" x14ac:dyDescent="0.35">
      <c r="A791" s="15">
        <v>778</v>
      </c>
      <c r="B791" s="10">
        <f t="shared" ca="1" si="828"/>
        <v>-7.1219041121784663E-3</v>
      </c>
      <c r="C791" s="10">
        <f t="shared" ca="1" si="829"/>
        <v>6.8522907101485897E-2</v>
      </c>
      <c r="D791" s="11">
        <f t="shared" si="830"/>
        <v>1447.7398688575352</v>
      </c>
      <c r="E791" s="11">
        <f t="shared" ref="E791:F791" ca="1" si="841">+D791*EXP(B791)</f>
        <v>1437.4658331070714</v>
      </c>
      <c r="F791" s="11">
        <f t="shared" ca="1" si="841"/>
        <v>1539.4183222278891</v>
      </c>
      <c r="G791" s="12">
        <f t="shared" ca="1" si="832"/>
        <v>162.00966232269457</v>
      </c>
      <c r="H791" s="12">
        <f t="shared" ca="1" si="833"/>
        <v>128.27247188316392</v>
      </c>
    </row>
    <row r="792" spans="1:8" x14ac:dyDescent="0.35">
      <c r="A792" s="15">
        <v>779</v>
      </c>
      <c r="B792" s="10">
        <f t="shared" ca="1" si="828"/>
        <v>-1.0461333461807446E-2</v>
      </c>
      <c r="C792" s="10">
        <f t="shared" ca="1" si="829"/>
        <v>5.1572556941995133E-2</v>
      </c>
      <c r="D792" s="11">
        <f t="shared" si="830"/>
        <v>1447.7398688575352</v>
      </c>
      <c r="E792" s="11">
        <f t="shared" ref="E792:F792" ca="1" si="842">+D792*EXP(B792)</f>
        <v>1432.6735237577193</v>
      </c>
      <c r="F792" s="11">
        <f t="shared" ca="1" si="842"/>
        <v>1508.4986017854908</v>
      </c>
      <c r="G792" s="12">
        <f t="shared" ca="1" si="832"/>
        <v>159.14418327318174</v>
      </c>
      <c r="H792" s="12">
        <f t="shared" ca="1" si="833"/>
        <v>108.47635400768786</v>
      </c>
    </row>
    <row r="793" spans="1:8" x14ac:dyDescent="0.35">
      <c r="A793" s="15">
        <v>780</v>
      </c>
      <c r="B793" s="10">
        <f t="shared" ca="1" si="828"/>
        <v>-9.2001506772667191E-2</v>
      </c>
      <c r="C793" s="10">
        <f t="shared" ca="1" si="829"/>
        <v>1.4418107601858347E-2</v>
      </c>
      <c r="D793" s="11">
        <f t="shared" si="830"/>
        <v>1447.7398688575352</v>
      </c>
      <c r="E793" s="11">
        <f t="shared" ref="E793:F793" ca="1" si="843">+D793*EXP(B793)</f>
        <v>1320.4889999084603</v>
      </c>
      <c r="F793" s="11">
        <f t="shared" ca="1" si="843"/>
        <v>1339.6658672556159</v>
      </c>
      <c r="G793" s="12">
        <f t="shared" ca="1" si="832"/>
        <v>99.624780313771794</v>
      </c>
      <c r="H793" s="12">
        <f t="shared" ca="1" si="833"/>
        <v>32.141876089456218</v>
      </c>
    </row>
    <row r="794" spans="1:8" x14ac:dyDescent="0.35">
      <c r="A794" s="15">
        <v>781</v>
      </c>
      <c r="B794" s="10">
        <f t="shared" ca="1" si="828"/>
        <v>2.7230440763082127E-2</v>
      </c>
      <c r="C794" s="10">
        <f t="shared" ca="1" si="829"/>
        <v>0.42284192559849487</v>
      </c>
      <c r="D794" s="11">
        <f t="shared" si="830"/>
        <v>1447.7398688575352</v>
      </c>
      <c r="E794" s="11">
        <f t="shared" ref="E794:F794" ca="1" si="844">+D794*EXP(B794)</f>
        <v>1487.7041162153482</v>
      </c>
      <c r="F794" s="11">
        <f t="shared" ca="1" si="844"/>
        <v>2270.6723921030739</v>
      </c>
      <c r="G794" s="12">
        <f t="shared" ca="1" si="832"/>
        <v>193.53099373020348</v>
      </c>
      <c r="H794" s="12">
        <f t="shared" ca="1" si="833"/>
        <v>807.7741695259474</v>
      </c>
    </row>
    <row r="795" spans="1:8" x14ac:dyDescent="0.35">
      <c r="A795" s="15">
        <v>782</v>
      </c>
      <c r="B795" s="10">
        <f t="shared" ca="1" si="828"/>
        <v>-5.4661036287507112E-2</v>
      </c>
      <c r="C795" s="10">
        <f t="shared" ca="1" si="829"/>
        <v>-0.27013386953725227</v>
      </c>
      <c r="D795" s="11">
        <f t="shared" si="830"/>
        <v>1447.7398688575352</v>
      </c>
      <c r="E795" s="11">
        <f t="shared" ref="E795:F795" ca="1" si="845">+D795*EXP(B795)</f>
        <v>1370.7288325706843</v>
      </c>
      <c r="F795" s="11">
        <f t="shared" ca="1" si="845"/>
        <v>1046.2462132090045</v>
      </c>
      <c r="G795" s="12">
        <f t="shared" ca="1" si="832"/>
        <v>124.44417037873018</v>
      </c>
      <c r="H795" s="12">
        <f t="shared" ca="1" si="833"/>
        <v>0.51878286232362392</v>
      </c>
    </row>
    <row r="796" spans="1:8" x14ac:dyDescent="0.35">
      <c r="A796" s="15">
        <v>783</v>
      </c>
      <c r="B796" s="10">
        <f t="shared" ca="1" si="828"/>
        <v>0.15917973441597311</v>
      </c>
      <c r="C796" s="10">
        <f t="shared" ca="1" si="829"/>
        <v>0.29778818162550391</v>
      </c>
      <c r="D796" s="11">
        <f t="shared" si="830"/>
        <v>1447.7398688575352</v>
      </c>
      <c r="E796" s="11">
        <f t="shared" ref="E796:F796" ca="1" si="846">+D796*EXP(B796)</f>
        <v>1697.545465109511</v>
      </c>
      <c r="F796" s="11">
        <f t="shared" ca="1" si="846"/>
        <v>2286.3840343388856</v>
      </c>
      <c r="G796" s="12">
        <f t="shared" ca="1" si="832"/>
        <v>350.09807164885342</v>
      </c>
      <c r="H796" s="12">
        <f t="shared" ca="1" si="833"/>
        <v>823.4751393713002</v>
      </c>
    </row>
    <row r="797" spans="1:8" x14ac:dyDescent="0.35">
      <c r="A797" s="15">
        <v>784</v>
      </c>
      <c r="B797" s="10">
        <f t="shared" ca="1" si="828"/>
        <v>2.3355925836889821E-2</v>
      </c>
      <c r="C797" s="10">
        <f t="shared" ca="1" si="829"/>
        <v>0.21581127827112076</v>
      </c>
      <c r="D797" s="11">
        <f t="shared" si="830"/>
        <v>1447.7398688575352</v>
      </c>
      <c r="E797" s="11">
        <f t="shared" ref="E797:F797" ca="1" si="847">+D797*EXP(B797)</f>
        <v>1481.9511366108991</v>
      </c>
      <c r="F797" s="11">
        <f t="shared" ca="1" si="847"/>
        <v>1838.906006940462</v>
      </c>
      <c r="G797" s="12">
        <f t="shared" ca="1" si="832"/>
        <v>189.78766006240903</v>
      </c>
      <c r="H797" s="12">
        <f t="shared" ca="1" si="833"/>
        <v>381.10797931433103</v>
      </c>
    </row>
    <row r="798" spans="1:8" x14ac:dyDescent="0.35">
      <c r="A798" s="15">
        <v>785</v>
      </c>
      <c r="B798" s="10">
        <f t="shared" ca="1" si="828"/>
        <v>-0.15016349700017168</v>
      </c>
      <c r="C798" s="10">
        <f t="shared" ca="1" si="829"/>
        <v>-0.18828443592365102</v>
      </c>
      <c r="D798" s="11">
        <f t="shared" si="830"/>
        <v>1447.7398688575352</v>
      </c>
      <c r="E798" s="11">
        <f t="shared" ref="E798:F798" ca="1" si="848">+D798*EXP(B798)</f>
        <v>1245.8775390211852</v>
      </c>
      <c r="F798" s="11">
        <f t="shared" ca="1" si="848"/>
        <v>1032.0588558771808</v>
      </c>
      <c r="G798" s="12">
        <f t="shared" ca="1" si="832"/>
        <v>68.488820644624241</v>
      </c>
      <c r="H798" s="12">
        <f t="shared" ca="1" si="833"/>
        <v>0.38459074817789052</v>
      </c>
    </row>
    <row r="799" spans="1:8" x14ac:dyDescent="0.35">
      <c r="A799" s="15">
        <v>786</v>
      </c>
      <c r="B799" s="10">
        <f t="shared" ca="1" si="828"/>
        <v>0.13102424156513165</v>
      </c>
      <c r="C799" s="10">
        <f t="shared" ca="1" si="829"/>
        <v>0.23810264017706564</v>
      </c>
      <c r="D799" s="11">
        <f t="shared" si="830"/>
        <v>1447.7398688575352</v>
      </c>
      <c r="E799" s="11">
        <f t="shared" ref="E799:F799" ca="1" si="849">+D799*EXP(B799)</f>
        <v>1650.4168144202047</v>
      </c>
      <c r="F799" s="11">
        <f t="shared" ca="1" si="849"/>
        <v>2094.1139136402362</v>
      </c>
      <c r="G799" s="12">
        <f t="shared" ca="1" si="832"/>
        <v>311.94744911457065</v>
      </c>
      <c r="H799" s="12">
        <f t="shared" ca="1" si="833"/>
        <v>631.59139932360154</v>
      </c>
    </row>
    <row r="800" spans="1:8" x14ac:dyDescent="0.35">
      <c r="A800" s="15">
        <v>787</v>
      </c>
      <c r="B800" s="10">
        <f t="shared" ca="1" si="828"/>
        <v>5.8427551990205842E-2</v>
      </c>
      <c r="C800" s="10">
        <f t="shared" ca="1" si="829"/>
        <v>0.49680313362425776</v>
      </c>
      <c r="D800" s="11">
        <f t="shared" si="830"/>
        <v>1447.7398688575352</v>
      </c>
      <c r="E800" s="11">
        <f t="shared" ref="E800:F800" ca="1" si="850">+D800*EXP(B800)</f>
        <v>1534.8477358544701</v>
      </c>
      <c r="F800" s="11">
        <f t="shared" ca="1" si="850"/>
        <v>2522.4592408020603</v>
      </c>
      <c r="G800" s="12">
        <f t="shared" ca="1" si="832"/>
        <v>225.43763470840395</v>
      </c>
      <c r="H800" s="12">
        <f t="shared" ca="1" si="833"/>
        <v>1059.49806626492</v>
      </c>
    </row>
    <row r="801" spans="1:8" x14ac:dyDescent="0.35">
      <c r="A801" s="15">
        <v>788</v>
      </c>
      <c r="B801" s="10">
        <f t="shared" ca="1" si="828"/>
        <v>0.15393454558511993</v>
      </c>
      <c r="C801" s="10">
        <f t="shared" ca="1" si="829"/>
        <v>-7.1204755871242559E-2</v>
      </c>
      <c r="D801" s="11">
        <f t="shared" si="830"/>
        <v>1447.7398688575352</v>
      </c>
      <c r="E801" s="11">
        <f t="shared" ref="E801:F801" ca="1" si="851">+D801*EXP(B801)</f>
        <v>1688.664829262364</v>
      </c>
      <c r="F801" s="11">
        <f t="shared" ca="1" si="851"/>
        <v>1572.6049039788502</v>
      </c>
      <c r="G801" s="12">
        <f t="shared" ca="1" si="832"/>
        <v>342.79816683782315</v>
      </c>
      <c r="H801" s="12">
        <f t="shared" ca="1" si="833"/>
        <v>151.29096366832187</v>
      </c>
    </row>
    <row r="802" spans="1:8" x14ac:dyDescent="0.35">
      <c r="A802" s="15">
        <v>789</v>
      </c>
      <c r="B802" s="10">
        <f t="shared" ca="1" si="828"/>
        <v>7.82285884026271E-2</v>
      </c>
      <c r="C802" s="10">
        <f t="shared" ca="1" si="829"/>
        <v>9.7309127485369781E-2</v>
      </c>
      <c r="D802" s="11">
        <f t="shared" si="830"/>
        <v>1447.7398688575352</v>
      </c>
      <c r="E802" s="11">
        <f t="shared" ref="E802:F802" ca="1" si="852">+D802*EXP(B802)</f>
        <v>1565.5421999739192</v>
      </c>
      <c r="F802" s="11">
        <f t="shared" ca="1" si="852"/>
        <v>1725.5422434796048</v>
      </c>
      <c r="G802" s="12">
        <f t="shared" ca="1" si="832"/>
        <v>247.32956013954754</v>
      </c>
      <c r="H802" s="12">
        <f t="shared" ca="1" si="833"/>
        <v>276.03094168669008</v>
      </c>
    </row>
    <row r="803" spans="1:8" x14ac:dyDescent="0.35">
      <c r="A803" s="15">
        <v>790</v>
      </c>
      <c r="B803" s="10">
        <f t="shared" ca="1" si="828"/>
        <v>-0.15208628209313146</v>
      </c>
      <c r="C803" s="10">
        <f t="shared" ca="1" si="829"/>
        <v>-7.2871760675780189E-2</v>
      </c>
      <c r="D803" s="11">
        <f t="shared" si="830"/>
        <v>1447.7398688575352</v>
      </c>
      <c r="E803" s="11">
        <f t="shared" ref="E803:F803" ca="1" si="853">+D803*EXP(B803)</f>
        <v>1243.4842858545996</v>
      </c>
      <c r="F803" s="11">
        <f t="shared" ca="1" si="853"/>
        <v>1156.0922712403158</v>
      </c>
      <c r="G803" s="12">
        <f t="shared" ca="1" si="832"/>
        <v>67.604418707679088</v>
      </c>
      <c r="H803" s="12">
        <f t="shared" ca="1" si="833"/>
        <v>3.6572730485488805</v>
      </c>
    </row>
    <row r="804" spans="1:8" x14ac:dyDescent="0.35">
      <c r="A804" s="15">
        <v>791</v>
      </c>
      <c r="B804" s="10">
        <f t="shared" ca="1" si="828"/>
        <v>0.19440169488381343</v>
      </c>
      <c r="C804" s="10">
        <f t="shared" ca="1" si="829"/>
        <v>1.5770813922752491E-2</v>
      </c>
      <c r="D804" s="11">
        <f t="shared" si="830"/>
        <v>1447.7398688575352</v>
      </c>
      <c r="E804" s="11">
        <f t="shared" ref="E804:F804" ca="1" si="854">+D804*EXP(B804)</f>
        <v>1758.4017926234731</v>
      </c>
      <c r="F804" s="11">
        <f t="shared" ca="1" si="854"/>
        <v>1786.3530477878037</v>
      </c>
      <c r="G804" s="12">
        <f t="shared" ca="1" si="832"/>
        <v>401.37546563833257</v>
      </c>
      <c r="H804" s="12">
        <f t="shared" ca="1" si="833"/>
        <v>331.53463735825994</v>
      </c>
    </row>
    <row r="805" spans="1:8" x14ac:dyDescent="0.35">
      <c r="A805" s="15">
        <v>792</v>
      </c>
      <c r="B805" s="10">
        <f t="shared" ca="1" si="828"/>
        <v>0.34986621291674841</v>
      </c>
      <c r="C805" s="10">
        <f t="shared" ca="1" si="829"/>
        <v>-3.4152160154118746E-2</v>
      </c>
      <c r="D805" s="11">
        <f t="shared" si="830"/>
        <v>1447.7398688575352</v>
      </c>
      <c r="E805" s="11">
        <f t="shared" ref="E805:F805" ca="1" si="855">+D805*EXP(B805)</f>
        <v>2054.165827461255</v>
      </c>
      <c r="F805" s="11">
        <f t="shared" ca="1" si="855"/>
        <v>1985.1960639026322</v>
      </c>
      <c r="G805" s="12">
        <f t="shared" ca="1" si="832"/>
        <v>672.35720116578818</v>
      </c>
      <c r="H805" s="12">
        <f t="shared" ca="1" si="833"/>
        <v>523.55314952882986</v>
      </c>
    </row>
    <row r="806" spans="1:8" x14ac:dyDescent="0.35">
      <c r="A806" s="15">
        <v>793</v>
      </c>
      <c r="B806" s="10">
        <f t="shared" ca="1" si="828"/>
        <v>-6.623818866026799E-3</v>
      </c>
      <c r="C806" s="10">
        <f t="shared" ca="1" si="829"/>
        <v>0.10344474203253592</v>
      </c>
      <c r="D806" s="11">
        <f t="shared" si="830"/>
        <v>1447.7398688575352</v>
      </c>
      <c r="E806" s="11">
        <f t="shared" ref="E806:F806" ca="1" si="856">+D806*EXP(B806)</f>
        <v>1438.181991969665</v>
      </c>
      <c r="F806" s="11">
        <f t="shared" ca="1" si="856"/>
        <v>1594.9215537289813</v>
      </c>
      <c r="G806" s="12">
        <f t="shared" ca="1" si="832"/>
        <v>162.44004481950742</v>
      </c>
      <c r="H806" s="12">
        <f t="shared" ca="1" si="833"/>
        <v>167.71848595564325</v>
      </c>
    </row>
    <row r="807" spans="1:8" x14ac:dyDescent="0.35">
      <c r="A807" s="15">
        <v>794</v>
      </c>
      <c r="B807" s="10">
        <f t="shared" ca="1" si="828"/>
        <v>-6.4496941460914101E-2</v>
      </c>
      <c r="C807" s="10">
        <f t="shared" ca="1" si="829"/>
        <v>-0.19535967491319786</v>
      </c>
      <c r="D807" s="11">
        <f t="shared" si="830"/>
        <v>1447.7398688575352</v>
      </c>
      <c r="E807" s="11">
        <f t="shared" ref="E807:F807" ca="1" si="857">+D807*EXP(B807)</f>
        <v>1357.3125624981185</v>
      </c>
      <c r="F807" s="11">
        <f t="shared" ca="1" si="857"/>
        <v>1116.4421897670695</v>
      </c>
      <c r="G807" s="12">
        <f t="shared" ca="1" si="832"/>
        <v>117.51831069666707</v>
      </c>
      <c r="H807" s="12">
        <f t="shared" ca="1" si="833"/>
        <v>1.9355898571312551</v>
      </c>
    </row>
    <row r="808" spans="1:8" x14ac:dyDescent="0.35">
      <c r="A808" s="15">
        <v>795</v>
      </c>
      <c r="B808" s="10">
        <f t="shared" ca="1" si="828"/>
        <v>-6.2420688262378676E-2</v>
      </c>
      <c r="C808" s="10">
        <f t="shared" ca="1" si="829"/>
        <v>-8.6175796623182366E-2</v>
      </c>
      <c r="D808" s="11">
        <f t="shared" si="830"/>
        <v>1447.7398688575352</v>
      </c>
      <c r="E808" s="11">
        <f t="shared" ref="E808:F808" ca="1" si="858">+D808*EXP(B808)</f>
        <v>1360.1336146432652</v>
      </c>
      <c r="F808" s="11">
        <f t="shared" ca="1" si="858"/>
        <v>1247.8313746604028</v>
      </c>
      <c r="G808" s="12">
        <f t="shared" ca="1" si="832"/>
        <v>118.95676914778107</v>
      </c>
      <c r="H808" s="12">
        <f t="shared" ca="1" si="833"/>
        <v>12.46313570739386</v>
      </c>
    </row>
    <row r="809" spans="1:8" x14ac:dyDescent="0.35">
      <c r="A809" s="15">
        <v>796</v>
      </c>
      <c r="B809" s="10">
        <f t="shared" ca="1" si="828"/>
        <v>0.34265932400415366</v>
      </c>
      <c r="C809" s="10">
        <f t="shared" ca="1" si="829"/>
        <v>-0.13513988752159792</v>
      </c>
      <c r="D809" s="11">
        <f t="shared" si="830"/>
        <v>1447.7398688575352</v>
      </c>
      <c r="E809" s="11">
        <f t="shared" ref="E809:F809" ca="1" si="859">+D809*EXP(B809)</f>
        <v>2039.4149005265303</v>
      </c>
      <c r="F809" s="11">
        <f t="shared" ca="1" si="859"/>
        <v>1781.6200052840859</v>
      </c>
      <c r="G809" s="12">
        <f t="shared" ca="1" si="832"/>
        <v>658.26719014586001</v>
      </c>
      <c r="H809" s="12">
        <f t="shared" ca="1" si="833"/>
        <v>327.13437679924186</v>
      </c>
    </row>
    <row r="810" spans="1:8" x14ac:dyDescent="0.35">
      <c r="A810" s="15">
        <v>797</v>
      </c>
      <c r="B810" s="10">
        <f t="shared" ca="1" si="828"/>
        <v>1.0635074376844623E-2</v>
      </c>
      <c r="C810" s="10">
        <f t="shared" ca="1" si="829"/>
        <v>-5.0552652764843692E-2</v>
      </c>
      <c r="D810" s="11">
        <f t="shared" si="830"/>
        <v>1447.7398688575352</v>
      </c>
      <c r="E810" s="11">
        <f t="shared" ref="E810:F810" ca="1" si="860">+D810*EXP(B810)</f>
        <v>1463.2188542261324</v>
      </c>
      <c r="F810" s="11">
        <f t="shared" ca="1" si="860"/>
        <v>1391.0878276143521</v>
      </c>
      <c r="G810" s="12">
        <f t="shared" ca="1" si="832"/>
        <v>177.83526296854404</v>
      </c>
      <c r="H810" s="12">
        <f t="shared" ca="1" si="833"/>
        <v>49.54702199862902</v>
      </c>
    </row>
    <row r="811" spans="1:8" x14ac:dyDescent="0.35">
      <c r="A811" s="15">
        <v>798</v>
      </c>
      <c r="B811" s="10">
        <f t="shared" ca="1" si="828"/>
        <v>0.23477754605498213</v>
      </c>
      <c r="C811" s="10">
        <f t="shared" ca="1" si="829"/>
        <v>0.40249032604816459</v>
      </c>
      <c r="D811" s="11">
        <f t="shared" si="830"/>
        <v>1447.7398688575352</v>
      </c>
      <c r="E811" s="11">
        <f t="shared" ref="E811:F811" ca="1" si="861">+D811*EXP(B811)</f>
        <v>1830.851529512724</v>
      </c>
      <c r="F811" s="11">
        <f t="shared" ca="1" si="861"/>
        <v>2738.1198571567506</v>
      </c>
      <c r="G811" s="12">
        <f t="shared" ca="1" si="832"/>
        <v>464.90017720560218</v>
      </c>
      <c r="H811" s="12">
        <f t="shared" ca="1" si="833"/>
        <v>1275.1552617317186</v>
      </c>
    </row>
    <row r="812" spans="1:8" x14ac:dyDescent="0.35">
      <c r="A812" s="15">
        <v>799</v>
      </c>
      <c r="B812" s="10">
        <f t="shared" ca="1" si="828"/>
        <v>-6.2256746601414462E-2</v>
      </c>
      <c r="C812" s="10">
        <f t="shared" ca="1" si="829"/>
        <v>5.5452695111792419E-2</v>
      </c>
      <c r="D812" s="11">
        <f t="shared" si="830"/>
        <v>1447.7398688575352</v>
      </c>
      <c r="E812" s="11">
        <f t="shared" ref="E812:F812" ca="1" si="862">+D812*EXP(B812)</f>
        <v>1360.3566154862478</v>
      </c>
      <c r="F812" s="11">
        <f t="shared" ca="1" si="862"/>
        <v>1437.922808013449</v>
      </c>
      <c r="G812" s="12">
        <f t="shared" ca="1" si="832"/>
        <v>119.07088413279041</v>
      </c>
      <c r="H812" s="12">
        <f t="shared" ca="1" si="833"/>
        <v>69.850915698477479</v>
      </c>
    </row>
    <row r="813" spans="1:8" x14ac:dyDescent="0.35">
      <c r="A813" s="15">
        <v>800</v>
      </c>
      <c r="B813" s="10">
        <f t="shared" ca="1" si="828"/>
        <v>4.1295874522065637E-2</v>
      </c>
      <c r="C813" s="10">
        <f t="shared" ca="1" si="829"/>
        <v>0.21219612483019415</v>
      </c>
      <c r="D813" s="11">
        <f t="shared" si="830"/>
        <v>1447.7398688575352</v>
      </c>
      <c r="E813" s="11">
        <f t="shared" ref="E813:F813" ca="1" si="863">+D813*EXP(B813)</f>
        <v>1508.7771733424543</v>
      </c>
      <c r="F813" s="11">
        <f t="shared" ca="1" si="863"/>
        <v>1865.4375346270795</v>
      </c>
      <c r="G813" s="12">
        <f t="shared" ca="1" si="832"/>
        <v>207.52636993953809</v>
      </c>
      <c r="H813" s="12">
        <f t="shared" ca="1" si="833"/>
        <v>406.54875002788208</v>
      </c>
    </row>
    <row r="814" spans="1:8" x14ac:dyDescent="0.35">
      <c r="A814" s="15">
        <v>801</v>
      </c>
      <c r="B814" s="10">
        <f t="shared" ca="1" si="828"/>
        <v>-0.35059707057679018</v>
      </c>
      <c r="C814" s="10">
        <f t="shared" ca="1" si="829"/>
        <v>0.28046380159080753</v>
      </c>
      <c r="D814" s="11">
        <f t="shared" si="830"/>
        <v>1447.7398688575352</v>
      </c>
      <c r="E814" s="11">
        <f t="shared" ref="E814:F814" ca="1" si="864">+D814*EXP(B814)</f>
        <v>1019.5960899935418</v>
      </c>
      <c r="F814" s="11">
        <f t="shared" ca="1" si="864"/>
        <v>1349.6838235735038</v>
      </c>
      <c r="G814" s="12">
        <f t="shared" ca="1" si="832"/>
        <v>14.084658992531814</v>
      </c>
      <c r="H814" s="12">
        <f t="shared" ca="1" si="833"/>
        <v>35.143688615218252</v>
      </c>
    </row>
    <row r="815" spans="1:8" x14ac:dyDescent="0.35">
      <c r="A815" s="15">
        <v>802</v>
      </c>
      <c r="B815" s="10">
        <f t="shared" ca="1" si="828"/>
        <v>8.6645270668471622E-2</v>
      </c>
      <c r="C815" s="10">
        <f t="shared" ca="1" si="829"/>
        <v>0.13732836463210671</v>
      </c>
      <c r="D815" s="11">
        <f t="shared" si="830"/>
        <v>1447.7398688575352</v>
      </c>
      <c r="E815" s="11">
        <f t="shared" ref="E815:F815" ca="1" si="865">+D815*EXP(B815)</f>
        <v>1578.7744790742331</v>
      </c>
      <c r="F815" s="11">
        <f t="shared" ca="1" si="865"/>
        <v>1811.1776418150762</v>
      </c>
      <c r="G815" s="12">
        <f t="shared" ca="1" si="832"/>
        <v>257.02237509497854</v>
      </c>
      <c r="H815" s="12">
        <f t="shared" ca="1" si="833"/>
        <v>354.79869635841351</v>
      </c>
    </row>
    <row r="816" spans="1:8" x14ac:dyDescent="0.35">
      <c r="A816" s="15">
        <v>803</v>
      </c>
      <c r="B816" s="10">
        <f t="shared" ca="1" si="828"/>
        <v>-3.8066150792036964E-2</v>
      </c>
      <c r="C816" s="10">
        <f t="shared" ca="1" si="829"/>
        <v>-0.10399348404665509</v>
      </c>
      <c r="D816" s="11">
        <f t="shared" si="830"/>
        <v>1447.7398688575352</v>
      </c>
      <c r="E816" s="11">
        <f t="shared" ref="E816:F816" ca="1" si="866">+D816*EXP(B816)</f>
        <v>1393.6657116532595</v>
      </c>
      <c r="F816" s="11">
        <f t="shared" ca="1" si="866"/>
        <v>1256.0149795987877</v>
      </c>
      <c r="G816" s="12">
        <f t="shared" ca="1" si="832"/>
        <v>136.77774798642486</v>
      </c>
      <c r="H816" s="12">
        <f t="shared" ca="1" si="833"/>
        <v>13.701512874507955</v>
      </c>
    </row>
    <row r="817" spans="1:8" x14ac:dyDescent="0.35">
      <c r="A817" s="15">
        <v>804</v>
      </c>
      <c r="B817" s="10">
        <f t="shared" ca="1" si="828"/>
        <v>0.23886280398585069</v>
      </c>
      <c r="C817" s="10">
        <f t="shared" ca="1" si="829"/>
        <v>-4.1431841681408191E-2</v>
      </c>
      <c r="D817" s="11">
        <f t="shared" si="830"/>
        <v>1447.7398688575352</v>
      </c>
      <c r="E817" s="11">
        <f t="shared" ref="E817:F817" ca="1" si="867">+D817*EXP(B817)</f>
        <v>1838.3463289146603</v>
      </c>
      <c r="F817" s="11">
        <f t="shared" ca="1" si="867"/>
        <v>1763.7365379919077</v>
      </c>
      <c r="G817" s="12">
        <f t="shared" ca="1" si="832"/>
        <v>471.60410417280923</v>
      </c>
      <c r="H817" s="12">
        <f t="shared" ca="1" si="833"/>
        <v>310.62106440451589</v>
      </c>
    </row>
    <row r="818" spans="1:8" x14ac:dyDescent="0.35">
      <c r="A818" s="15">
        <v>805</v>
      </c>
      <c r="B818" s="10">
        <f t="shared" ca="1" si="828"/>
        <v>-0.18455274975591146</v>
      </c>
      <c r="C818" s="10">
        <f t="shared" ca="1" si="829"/>
        <v>0.33234661005764177</v>
      </c>
      <c r="D818" s="11">
        <f t="shared" si="830"/>
        <v>1447.7398688575352</v>
      </c>
      <c r="E818" s="11">
        <f t="shared" ref="E818:F818" ca="1" si="868">+D818*EXP(B818)</f>
        <v>1203.761068965041</v>
      </c>
      <c r="F818" s="11">
        <f t="shared" ca="1" si="868"/>
        <v>1678.3270430273965</v>
      </c>
      <c r="G818" s="12">
        <f t="shared" ca="1" si="832"/>
        <v>53.954944871116709</v>
      </c>
      <c r="H818" s="12">
        <f t="shared" ca="1" si="833"/>
        <v>234.83344930714861</v>
      </c>
    </row>
    <row r="819" spans="1:8" x14ac:dyDescent="0.35">
      <c r="A819" s="15">
        <v>806</v>
      </c>
      <c r="B819" s="10">
        <f t="shared" ca="1" si="828"/>
        <v>-1.8105190611651424E-3</v>
      </c>
      <c r="C819" s="10">
        <f t="shared" ca="1" si="829"/>
        <v>-0.28665190331600587</v>
      </c>
      <c r="D819" s="11">
        <f t="shared" si="830"/>
        <v>1447.7398688575352</v>
      </c>
      <c r="E819" s="11">
        <f t="shared" ref="E819:F819" ca="1" si="869">+D819*EXP(B819)</f>
        <v>1445.1210796286293</v>
      </c>
      <c r="F819" s="11">
        <f t="shared" ca="1" si="869"/>
        <v>1084.9579243814676</v>
      </c>
      <c r="G819" s="12">
        <f t="shared" ca="1" si="832"/>
        <v>166.63917145531627</v>
      </c>
      <c r="H819" s="12">
        <f t="shared" ca="1" si="833"/>
        <v>1.1073460304206435</v>
      </c>
    </row>
    <row r="820" spans="1:8" x14ac:dyDescent="0.35">
      <c r="A820" s="15">
        <v>807</v>
      </c>
      <c r="B820" s="10">
        <f t="shared" ca="1" si="828"/>
        <v>0.31676483589483029</v>
      </c>
      <c r="C820" s="10">
        <f t="shared" ca="1" si="829"/>
        <v>-0.16662244581083585</v>
      </c>
      <c r="D820" s="11">
        <f t="shared" si="830"/>
        <v>1447.7398688575352</v>
      </c>
      <c r="E820" s="11">
        <f t="shared" ref="E820:F820" ca="1" si="870">+D820*EXP(B820)</f>
        <v>1987.2831707970126</v>
      </c>
      <c r="F820" s="11">
        <f t="shared" ca="1" si="870"/>
        <v>1682.273276181553</v>
      </c>
      <c r="G820" s="12">
        <f t="shared" ca="1" si="832"/>
        <v>608.82617916796085</v>
      </c>
      <c r="H820" s="12">
        <f t="shared" ca="1" si="833"/>
        <v>238.20022561312589</v>
      </c>
    </row>
    <row r="821" spans="1:8" x14ac:dyDescent="0.35">
      <c r="A821" s="15">
        <v>808</v>
      </c>
      <c r="B821" s="10">
        <f t="shared" ca="1" si="828"/>
        <v>2.7390025756670686E-2</v>
      </c>
      <c r="C821" s="10">
        <f t="shared" ca="1" si="829"/>
        <v>4.756729940303088E-2</v>
      </c>
      <c r="D821" s="11">
        <f t="shared" si="830"/>
        <v>1447.7398688575352</v>
      </c>
      <c r="E821" s="11">
        <f t="shared" ref="E821:F821" ca="1" si="871">+D821*EXP(B821)</f>
        <v>1487.9415504121594</v>
      </c>
      <c r="F821" s="11">
        <f t="shared" ca="1" si="871"/>
        <v>1560.4292667546745</v>
      </c>
      <c r="G821" s="12">
        <f t="shared" ca="1" si="832"/>
        <v>193.68620921708168</v>
      </c>
      <c r="H821" s="12">
        <f t="shared" ca="1" si="833"/>
        <v>142.64281894459441</v>
      </c>
    </row>
    <row r="822" spans="1:8" x14ac:dyDescent="0.35">
      <c r="A822" s="15">
        <v>809</v>
      </c>
      <c r="B822" s="10">
        <f t="shared" ca="1" si="828"/>
        <v>3.9050722183125615E-2</v>
      </c>
      <c r="C822" s="10">
        <f t="shared" ca="1" si="829"/>
        <v>7.2495739458648817E-2</v>
      </c>
      <c r="D822" s="11">
        <f t="shared" si="830"/>
        <v>1447.7398688575352</v>
      </c>
      <c r="E822" s="11">
        <f t="shared" ref="E822:F822" ca="1" si="872">+D822*EXP(B822)</f>
        <v>1505.3935385518935</v>
      </c>
      <c r="F822" s="11">
        <f t="shared" ca="1" si="872"/>
        <v>1618.5814069378932</v>
      </c>
      <c r="G822" s="12">
        <f t="shared" ca="1" si="832"/>
        <v>205.24956894609818</v>
      </c>
      <c r="H822" s="12">
        <f t="shared" ca="1" si="833"/>
        <v>185.89608843129145</v>
      </c>
    </row>
    <row r="823" spans="1:8" x14ac:dyDescent="0.35">
      <c r="A823" s="15">
        <v>810</v>
      </c>
      <c r="B823" s="10">
        <f t="shared" ca="1" si="828"/>
        <v>0.25106031621573394</v>
      </c>
      <c r="C823" s="10">
        <f t="shared" ca="1" si="829"/>
        <v>-6.7596599601300877E-3</v>
      </c>
      <c r="D823" s="11">
        <f t="shared" si="830"/>
        <v>1447.7398688575352</v>
      </c>
      <c r="E823" s="11">
        <f t="shared" ref="E823:F823" ca="1" si="873">+D823*EXP(B823)</f>
        <v>1860.9068924075311</v>
      </c>
      <c r="F823" s="11">
        <f t="shared" ca="1" si="873"/>
        <v>1848.3702141748381</v>
      </c>
      <c r="G823" s="12">
        <f t="shared" ca="1" si="832"/>
        <v>491.9177344311754</v>
      </c>
      <c r="H823" s="12">
        <f t="shared" ca="1" si="833"/>
        <v>390.15570181810699</v>
      </c>
    </row>
    <row r="824" spans="1:8" x14ac:dyDescent="0.35">
      <c r="A824" s="15">
        <v>811</v>
      </c>
      <c r="B824" s="10">
        <f t="shared" ca="1" si="828"/>
        <v>0.11897154741778942</v>
      </c>
      <c r="C824" s="10">
        <f t="shared" ca="1" si="829"/>
        <v>-1.9406382722373917E-2</v>
      </c>
      <c r="D824" s="11">
        <f t="shared" si="830"/>
        <v>1447.7398688575352</v>
      </c>
      <c r="E824" s="11">
        <f t="shared" ref="E824:F824" ca="1" si="874">+D824*EXP(B824)</f>
        <v>1630.644241088477</v>
      </c>
      <c r="F824" s="11">
        <f t="shared" ca="1" si="874"/>
        <v>1599.3044147561354</v>
      </c>
      <c r="G824" s="12">
        <f t="shared" ca="1" si="832"/>
        <v>296.39732630306321</v>
      </c>
      <c r="H824" s="12">
        <f t="shared" ca="1" si="833"/>
        <v>171.02858090991185</v>
      </c>
    </row>
    <row r="825" spans="1:8" x14ac:dyDescent="0.35">
      <c r="A825" s="15">
        <v>812</v>
      </c>
      <c r="B825" s="10">
        <f t="shared" ca="1" si="828"/>
        <v>-0.21313135300262676</v>
      </c>
      <c r="C825" s="10">
        <f t="shared" ca="1" si="829"/>
        <v>-0.16573660827126133</v>
      </c>
      <c r="D825" s="11">
        <f t="shared" si="830"/>
        <v>1447.7398688575352</v>
      </c>
      <c r="E825" s="11">
        <f t="shared" ref="E825:F825" ca="1" si="875">+D825*EXP(B825)</f>
        <v>1169.8461872084322</v>
      </c>
      <c r="F825" s="11">
        <f t="shared" ca="1" si="875"/>
        <v>991.17484033194796</v>
      </c>
      <c r="G825" s="12">
        <f t="shared" ca="1" si="832"/>
        <v>43.814674146163043</v>
      </c>
      <c r="H825" s="12">
        <f t="shared" ca="1" si="833"/>
        <v>0.1513086801863075</v>
      </c>
    </row>
    <row r="826" spans="1:8" x14ac:dyDescent="0.35">
      <c r="A826" s="15">
        <v>813</v>
      </c>
      <c r="B826" s="10">
        <f t="shared" ca="1" si="828"/>
        <v>4.595379239937929E-3</v>
      </c>
      <c r="C826" s="10">
        <f t="shared" ca="1" si="829"/>
        <v>5.8639608829515494E-2</v>
      </c>
      <c r="D826" s="11">
        <f t="shared" si="830"/>
        <v>1447.7398688575352</v>
      </c>
      <c r="E826" s="11">
        <f t="shared" ref="E826:F826" ca="1" si="876">+D826*EXP(B826)</f>
        <v>1454.4080923689737</v>
      </c>
      <c r="F826" s="11">
        <f t="shared" ca="1" si="876"/>
        <v>1542.2441829641075</v>
      </c>
      <c r="G826" s="12">
        <f t="shared" ca="1" si="832"/>
        <v>172.34075884429035</v>
      </c>
      <c r="H826" s="12">
        <f t="shared" ca="1" si="833"/>
        <v>130.16321553790544</v>
      </c>
    </row>
    <row r="827" spans="1:8" x14ac:dyDescent="0.35">
      <c r="A827" s="15">
        <v>814</v>
      </c>
      <c r="B827" s="10">
        <f t="shared" ca="1" si="828"/>
        <v>-0.16143522538319571</v>
      </c>
      <c r="C827" s="10">
        <f t="shared" ca="1" si="829"/>
        <v>0.33292876364376878</v>
      </c>
      <c r="D827" s="11">
        <f t="shared" si="830"/>
        <v>1447.7398688575352</v>
      </c>
      <c r="E827" s="11">
        <f t="shared" ref="E827:F827" ca="1" si="877">+D827*EXP(B827)</f>
        <v>1231.9131947997303</v>
      </c>
      <c r="F827" s="11">
        <f t="shared" ca="1" si="877"/>
        <v>1718.5779360834154</v>
      </c>
      <c r="G827" s="12">
        <f t="shared" ca="1" si="832"/>
        <v>63.428315589875467</v>
      </c>
      <c r="H827" s="12">
        <f t="shared" ca="1" si="833"/>
        <v>269.83648959917332</v>
      </c>
    </row>
    <row r="828" spans="1:8" x14ac:dyDescent="0.35">
      <c r="A828" s="15">
        <v>815</v>
      </c>
      <c r="B828" s="10">
        <f t="shared" ca="1" si="828"/>
        <v>0.11468929735195918</v>
      </c>
      <c r="C828" s="10">
        <f t="shared" ca="1" si="829"/>
        <v>2.873150831399714E-2</v>
      </c>
      <c r="D828" s="11">
        <f t="shared" si="830"/>
        <v>1447.7398688575352</v>
      </c>
      <c r="E828" s="11">
        <f t="shared" ref="E828:F828" ca="1" si="878">+D828*EXP(B828)</f>
        <v>1623.6763444655264</v>
      </c>
      <c r="F828" s="11">
        <f t="shared" ca="1" si="878"/>
        <v>1671.0036516376751</v>
      </c>
      <c r="G828" s="12">
        <f t="shared" ca="1" si="832"/>
        <v>290.98588326173365</v>
      </c>
      <c r="H828" s="12">
        <f t="shared" ca="1" si="833"/>
        <v>228.62594908896858</v>
      </c>
    </row>
    <row r="829" spans="1:8" x14ac:dyDescent="0.35">
      <c r="A829" s="15">
        <v>816</v>
      </c>
      <c r="B829" s="10">
        <f t="shared" ca="1" si="828"/>
        <v>-0.20531846599238729</v>
      </c>
      <c r="C829" s="10">
        <f t="shared" ca="1" si="829"/>
        <v>0.20044566248161805</v>
      </c>
      <c r="D829" s="11">
        <f t="shared" si="830"/>
        <v>1447.7398688575352</v>
      </c>
      <c r="E829" s="11">
        <f t="shared" ref="E829:F829" ca="1" si="879">+D829*EXP(B829)</f>
        <v>1179.0218608647449</v>
      </c>
      <c r="F829" s="11">
        <f t="shared" ca="1" si="879"/>
        <v>1440.7024767810672</v>
      </c>
      <c r="G829" s="12">
        <f t="shared" ca="1" si="832"/>
        <v>46.422982778736582</v>
      </c>
      <c r="H829" s="12">
        <f t="shared" ca="1" si="833"/>
        <v>71.191369773058568</v>
      </c>
    </row>
    <row r="830" spans="1:8" x14ac:dyDescent="0.35">
      <c r="A830" s="15">
        <v>817</v>
      </c>
      <c r="B830" s="10">
        <f t="shared" ca="1" si="828"/>
        <v>0.37265977405586803</v>
      </c>
      <c r="C830" s="10">
        <f t="shared" ca="1" si="829"/>
        <v>-0.29724598952972414</v>
      </c>
      <c r="D830" s="11">
        <f t="shared" si="830"/>
        <v>1447.7398688575352</v>
      </c>
      <c r="E830" s="11">
        <f t="shared" ref="E830:F830" ca="1" si="880">+D830*EXP(B830)</f>
        <v>2101.5252766547646</v>
      </c>
      <c r="F830" s="11">
        <f t="shared" ca="1" si="880"/>
        <v>1561.141701895632</v>
      </c>
      <c r="G830" s="12">
        <f t="shared" ca="1" si="832"/>
        <v>717.85306804428478</v>
      </c>
      <c r="H830" s="12">
        <f t="shared" ca="1" si="833"/>
        <v>143.14250799395063</v>
      </c>
    </row>
    <row r="831" spans="1:8" x14ac:dyDescent="0.35">
      <c r="A831" s="15">
        <v>818</v>
      </c>
      <c r="B831" s="10">
        <f t="shared" ca="1" si="828"/>
        <v>3.7896923032672246E-2</v>
      </c>
      <c r="C831" s="10">
        <f t="shared" ca="1" si="829"/>
        <v>9.9329122239931233E-2</v>
      </c>
      <c r="D831" s="11">
        <f t="shared" si="830"/>
        <v>1447.7398688575352</v>
      </c>
      <c r="E831" s="11">
        <f t="shared" ref="E831:F831" ca="1" si="881">+D831*EXP(B831)</f>
        <v>1503.6576184101859</v>
      </c>
      <c r="F831" s="11">
        <f t="shared" ca="1" si="881"/>
        <v>1660.6841807250423</v>
      </c>
      <c r="G831" s="12">
        <f t="shared" ca="1" si="832"/>
        <v>204.08584538330592</v>
      </c>
      <c r="H831" s="12">
        <f t="shared" ca="1" si="833"/>
        <v>219.97154452170753</v>
      </c>
    </row>
    <row r="832" spans="1:8" x14ac:dyDescent="0.35">
      <c r="A832" s="15">
        <v>819</v>
      </c>
      <c r="B832" s="10">
        <f t="shared" ca="1" si="828"/>
        <v>8.4616907461203733E-2</v>
      </c>
      <c r="C832" s="10">
        <f t="shared" ca="1" si="829"/>
        <v>-0.27354443844808995</v>
      </c>
      <c r="D832" s="11">
        <f t="shared" si="830"/>
        <v>1447.7398688575352</v>
      </c>
      <c r="E832" s="11">
        <f t="shared" ref="E832:F832" ca="1" si="882">+D832*EXP(B832)</f>
        <v>1575.5753965557647</v>
      </c>
      <c r="F832" s="11">
        <f t="shared" ca="1" si="882"/>
        <v>1198.5063800717883</v>
      </c>
      <c r="G832" s="12">
        <f t="shared" ca="1" si="832"/>
        <v>254.66532673350639</v>
      </c>
      <c r="H832" s="12">
        <f t="shared" ca="1" si="833"/>
        <v>6.7064395299941566</v>
      </c>
    </row>
    <row r="833" spans="1:8" x14ac:dyDescent="0.35">
      <c r="A833" s="15">
        <v>820</v>
      </c>
      <c r="B833" s="10">
        <f t="shared" ca="1" si="828"/>
        <v>0.11079544853140424</v>
      </c>
      <c r="C833" s="10">
        <f t="shared" ca="1" si="829"/>
        <v>-6.3231037527618217E-2</v>
      </c>
      <c r="D833" s="11">
        <f t="shared" si="830"/>
        <v>1447.7398688575352</v>
      </c>
      <c r="E833" s="11">
        <f t="shared" ref="E833:F833" ca="1" si="883">+D833*EXP(B833)</f>
        <v>1617.3662874235374</v>
      </c>
      <c r="F833" s="11">
        <f t="shared" ca="1" si="883"/>
        <v>1518.2647034934432</v>
      </c>
      <c r="G833" s="12">
        <f t="shared" ca="1" si="832"/>
        <v>286.11698686709417</v>
      </c>
      <c r="H833" s="12">
        <f t="shared" ca="1" si="833"/>
        <v>114.54905908166995</v>
      </c>
    </row>
    <row r="834" spans="1:8" x14ac:dyDescent="0.35">
      <c r="A834" s="15">
        <v>821</v>
      </c>
      <c r="B834" s="10">
        <f t="shared" ca="1" si="828"/>
        <v>9.5566904176055081E-2</v>
      </c>
      <c r="C834" s="10">
        <f t="shared" ca="1" si="829"/>
        <v>0.15531182765244295</v>
      </c>
      <c r="D834" s="11">
        <f t="shared" si="830"/>
        <v>1447.7398688575352</v>
      </c>
      <c r="E834" s="11">
        <f t="shared" ref="E834:F834" ca="1" si="884">+D834*EXP(B834)</f>
        <v>1592.9227453460935</v>
      </c>
      <c r="F834" s="11">
        <f t="shared" ca="1" si="884"/>
        <v>1860.5690114476522</v>
      </c>
      <c r="G834" s="12">
        <f t="shared" ca="1" si="832"/>
        <v>267.54910865017575</v>
      </c>
      <c r="H834" s="12">
        <f t="shared" ca="1" si="833"/>
        <v>401.8630071233888</v>
      </c>
    </row>
    <row r="835" spans="1:8" x14ac:dyDescent="0.35">
      <c r="A835" s="15">
        <v>822</v>
      </c>
      <c r="B835" s="10">
        <f t="shared" ca="1" si="828"/>
        <v>-4.1877850973015496E-2</v>
      </c>
      <c r="C835" s="10">
        <f t="shared" ca="1" si="829"/>
        <v>-0.10799608030295518</v>
      </c>
      <c r="D835" s="11">
        <f t="shared" si="830"/>
        <v>1447.7398688575352</v>
      </c>
      <c r="E835" s="11">
        <f t="shared" ref="E835:F835" ca="1" si="885">+D835*EXP(B835)</f>
        <v>1388.3635872817117</v>
      </c>
      <c r="F835" s="11">
        <f t="shared" ca="1" si="885"/>
        <v>1246.2383546904416</v>
      </c>
      <c r="G835" s="12">
        <f t="shared" ca="1" si="832"/>
        <v>133.8719767714997</v>
      </c>
      <c r="H835" s="12">
        <f t="shared" ca="1" si="833"/>
        <v>12.232289112365578</v>
      </c>
    </row>
    <row r="836" spans="1:8" x14ac:dyDescent="0.35">
      <c r="A836" s="15">
        <v>823</v>
      </c>
      <c r="B836" s="10">
        <f t="shared" ca="1" si="828"/>
        <v>0.1606345267222794</v>
      </c>
      <c r="C836" s="10">
        <f t="shared" ca="1" si="829"/>
        <v>-7.8275882899376648E-2</v>
      </c>
      <c r="D836" s="11">
        <f t="shared" si="830"/>
        <v>1447.7398688575352</v>
      </c>
      <c r="E836" s="11">
        <f t="shared" ref="E836:F836" ca="1" si="886">+D836*EXP(B836)</f>
        <v>1700.0168384233268</v>
      </c>
      <c r="F836" s="11">
        <f t="shared" ca="1" si="886"/>
        <v>1572.0213464298038</v>
      </c>
      <c r="G836" s="12">
        <f t="shared" ca="1" si="832"/>
        <v>352.13830258983694</v>
      </c>
      <c r="H836" s="12">
        <f t="shared" ca="1" si="833"/>
        <v>150.87127971840789</v>
      </c>
    </row>
    <row r="837" spans="1:8" x14ac:dyDescent="0.35">
      <c r="A837" s="15">
        <v>824</v>
      </c>
      <c r="B837" s="10">
        <f t="shared" ca="1" si="828"/>
        <v>5.0820680299046052E-2</v>
      </c>
      <c r="C837" s="10">
        <f t="shared" ca="1" si="829"/>
        <v>-1.4558080087967232E-3</v>
      </c>
      <c r="D837" s="11">
        <f t="shared" si="830"/>
        <v>1447.7398688575352</v>
      </c>
      <c r="E837" s="11">
        <f t="shared" ref="E837:F837" ca="1" si="887">+D837*EXP(B837)</f>
        <v>1523.2166402737835</v>
      </c>
      <c r="F837" s="11">
        <f t="shared" ca="1" si="887"/>
        <v>1521.0007426418604</v>
      </c>
      <c r="G837" s="12">
        <f t="shared" ca="1" si="832"/>
        <v>217.36699885783912</v>
      </c>
      <c r="H837" s="12">
        <f t="shared" ca="1" si="833"/>
        <v>116.2805841882348</v>
      </c>
    </row>
    <row r="838" spans="1:8" x14ac:dyDescent="0.35">
      <c r="A838" s="15">
        <v>825</v>
      </c>
      <c r="B838" s="10">
        <f t="shared" ca="1" si="828"/>
        <v>-0.16411017865282834</v>
      </c>
      <c r="C838" s="10">
        <f t="shared" ca="1" si="829"/>
        <v>7.9856613803485382E-2</v>
      </c>
      <c r="D838" s="11">
        <f t="shared" si="830"/>
        <v>1447.7398688575352</v>
      </c>
      <c r="E838" s="11">
        <f t="shared" ref="E838:F838" ca="1" si="888">+D838*EXP(B838)</f>
        <v>1228.6222880445951</v>
      </c>
      <c r="F838" s="11">
        <f t="shared" ca="1" si="888"/>
        <v>1330.7598094277798</v>
      </c>
      <c r="G838" s="12">
        <f t="shared" ca="1" si="832"/>
        <v>62.27076663219492</v>
      </c>
      <c r="H838" s="12">
        <f t="shared" ca="1" si="833"/>
        <v>29.625712735847969</v>
      </c>
    </row>
    <row r="839" spans="1:8" x14ac:dyDescent="0.35">
      <c r="A839" s="15">
        <v>826</v>
      </c>
      <c r="B839" s="10">
        <f t="shared" ca="1" si="828"/>
        <v>8.558121446528974E-2</v>
      </c>
      <c r="C839" s="10">
        <f t="shared" ca="1" si="829"/>
        <v>-6.6030099927424507E-2</v>
      </c>
      <c r="D839" s="11">
        <f t="shared" si="830"/>
        <v>1447.7398688575352</v>
      </c>
      <c r="E839" s="11">
        <f t="shared" ref="E839:F839" ca="1" si="889">+D839*EXP(B839)</f>
        <v>1577.0954677359809</v>
      </c>
      <c r="F839" s="11">
        <f t="shared" ca="1" si="889"/>
        <v>1476.323305388946</v>
      </c>
      <c r="G839" s="12">
        <f t="shared" ca="1" si="832"/>
        <v>255.78421997430303</v>
      </c>
      <c r="H839" s="12">
        <f t="shared" ca="1" si="833"/>
        <v>89.69674023458424</v>
      </c>
    </row>
    <row r="840" spans="1:8" x14ac:dyDescent="0.35">
      <c r="A840" s="15">
        <v>827</v>
      </c>
      <c r="B840" s="10">
        <f t="shared" ca="1" si="828"/>
        <v>-0.10044919236013887</v>
      </c>
      <c r="C840" s="10">
        <f t="shared" ca="1" si="829"/>
        <v>-5.6820582158480612E-2</v>
      </c>
      <c r="D840" s="11">
        <f t="shared" si="830"/>
        <v>1447.7398688575352</v>
      </c>
      <c r="E840" s="11">
        <f t="shared" ref="E840:F840" ca="1" si="890">+D840*EXP(B840)</f>
        <v>1309.3809089048323</v>
      </c>
      <c r="F840" s="11">
        <f t="shared" ca="1" si="890"/>
        <v>1237.0553709880685</v>
      </c>
      <c r="G840" s="12">
        <f t="shared" ca="1" si="832"/>
        <v>94.552454618062768</v>
      </c>
      <c r="H840" s="12">
        <f t="shared" ca="1" si="833"/>
        <v>10.964378996296318</v>
      </c>
    </row>
    <row r="841" spans="1:8" x14ac:dyDescent="0.35">
      <c r="A841" s="15">
        <v>828</v>
      </c>
      <c r="B841" s="10">
        <f t="shared" ca="1" si="828"/>
        <v>-0.11670594286796122</v>
      </c>
      <c r="C841" s="10">
        <f t="shared" ca="1" si="829"/>
        <v>-0.23826712954533782</v>
      </c>
      <c r="D841" s="11">
        <f t="shared" si="830"/>
        <v>1447.7398688575352</v>
      </c>
      <c r="E841" s="11">
        <f t="shared" ref="E841:F841" ca="1" si="891">+D841*EXP(B841)</f>
        <v>1288.2667192122617</v>
      </c>
      <c r="F841" s="11">
        <f t="shared" ca="1" si="891"/>
        <v>1015.1440837294588</v>
      </c>
      <c r="G841" s="12">
        <f t="shared" ca="1" si="832"/>
        <v>85.331187805098125</v>
      </c>
      <c r="H841" s="12">
        <f t="shared" ca="1" si="833"/>
        <v>0.26488156904819427</v>
      </c>
    </row>
    <row r="842" spans="1:8" x14ac:dyDescent="0.35">
      <c r="A842" s="15">
        <v>829</v>
      </c>
      <c r="B842" s="10">
        <f t="shared" ca="1" si="828"/>
        <v>7.3624175420598598E-2</v>
      </c>
      <c r="C842" s="10">
        <f t="shared" ca="1" si="829"/>
        <v>0.26547213684541926</v>
      </c>
      <c r="D842" s="11">
        <f t="shared" si="830"/>
        <v>1447.7398688575352</v>
      </c>
      <c r="E842" s="11">
        <f t="shared" ref="E842:F842" ca="1" si="892">+D842*EXP(B842)</f>
        <v>1558.3503669350882</v>
      </c>
      <c r="F842" s="11">
        <f t="shared" ca="1" si="892"/>
        <v>2032.161371175795</v>
      </c>
      <c r="G842" s="12">
        <f t="shared" ca="1" si="832"/>
        <v>242.12485980251608</v>
      </c>
      <c r="H842" s="12">
        <f t="shared" ca="1" si="833"/>
        <v>570.02734263014463</v>
      </c>
    </row>
    <row r="843" spans="1:8" x14ac:dyDescent="0.35">
      <c r="A843" s="15">
        <v>830</v>
      </c>
      <c r="B843" s="10">
        <f t="shared" ca="1" si="828"/>
        <v>-0.13097445378400058</v>
      </c>
      <c r="C843" s="10">
        <f t="shared" ca="1" si="829"/>
        <v>-0.23324539210255504</v>
      </c>
      <c r="D843" s="11">
        <f t="shared" si="830"/>
        <v>1447.7398688575352</v>
      </c>
      <c r="E843" s="11">
        <f t="shared" ref="E843:F843" ca="1" si="893">+D843*EXP(B843)</f>
        <v>1270.0155893345477</v>
      </c>
      <c r="F843" s="11">
        <f t="shared" ca="1" si="893"/>
        <v>1005.8005417274985</v>
      </c>
      <c r="G843" s="12">
        <f t="shared" ca="1" si="832"/>
        <v>77.805910198187064</v>
      </c>
      <c r="H843" s="12">
        <f t="shared" ca="1" si="833"/>
        <v>0.21390116505247381</v>
      </c>
    </row>
    <row r="844" spans="1:8" x14ac:dyDescent="0.35">
      <c r="A844" s="15">
        <v>831</v>
      </c>
      <c r="B844" s="10">
        <f t="shared" ca="1" si="828"/>
        <v>-0.10871407274449316</v>
      </c>
      <c r="C844" s="10">
        <f t="shared" ca="1" si="829"/>
        <v>-4.7318136500460573E-2</v>
      </c>
      <c r="D844" s="11">
        <f t="shared" si="830"/>
        <v>1447.7398688575352</v>
      </c>
      <c r="E844" s="11">
        <f t="shared" ref="E844:F844" ca="1" si="894">+D844*EXP(B844)</f>
        <v>1298.6036301231923</v>
      </c>
      <c r="F844" s="11">
        <f t="shared" ca="1" si="894"/>
        <v>1238.5872554648056</v>
      </c>
      <c r="G844" s="12">
        <f t="shared" ca="1" si="832"/>
        <v>89.776696361213908</v>
      </c>
      <c r="H844" s="12">
        <f t="shared" ca="1" si="833"/>
        <v>11.168571938130242</v>
      </c>
    </row>
    <row r="845" spans="1:8" x14ac:dyDescent="0.35">
      <c r="A845" s="15">
        <v>832</v>
      </c>
      <c r="B845" s="10">
        <f t="shared" ca="1" si="828"/>
        <v>0.20436036016895914</v>
      </c>
      <c r="C845" s="10">
        <f t="shared" ca="1" si="829"/>
        <v>0.11036766957618051</v>
      </c>
      <c r="D845" s="11">
        <f t="shared" si="830"/>
        <v>1447.7398688575352</v>
      </c>
      <c r="E845" s="11">
        <f t="shared" ref="E845:F845" ca="1" si="895">+D845*EXP(B845)</f>
        <v>1776.0006124443216</v>
      </c>
      <c r="F845" s="11">
        <f t="shared" ca="1" si="895"/>
        <v>1983.2395796171775</v>
      </c>
      <c r="G845" s="12">
        <f t="shared" ca="1" si="832"/>
        <v>416.57834563052234</v>
      </c>
      <c r="H845" s="12">
        <f t="shared" ca="1" si="833"/>
        <v>521.62213423816797</v>
      </c>
    </row>
    <row r="846" spans="1:8" x14ac:dyDescent="0.35">
      <c r="A846" s="15">
        <v>833</v>
      </c>
      <c r="B846" s="10">
        <f t="shared" ca="1" si="828"/>
        <v>-7.2880524718170386E-2</v>
      </c>
      <c r="C846" s="10">
        <f t="shared" ca="1" si="829"/>
        <v>1.5612518727692565E-2</v>
      </c>
      <c r="D846" s="11">
        <f t="shared" si="830"/>
        <v>1447.7398688575352</v>
      </c>
      <c r="E846" s="11">
        <f t="shared" ref="E846:F846" ca="1" si="896">+D846*EXP(B846)</f>
        <v>1345.9809856028746</v>
      </c>
      <c r="F846" s="11">
        <f t="shared" ca="1" si="896"/>
        <v>1367.1600379241575</v>
      </c>
      <c r="G846" s="12">
        <f t="shared" ca="1" si="832"/>
        <v>111.83673172924773</v>
      </c>
      <c r="H846" s="12">
        <f t="shared" ca="1" si="833"/>
        <v>40.825480103925088</v>
      </c>
    </row>
    <row r="847" spans="1:8" x14ac:dyDescent="0.35">
      <c r="A847" s="15">
        <v>834</v>
      </c>
      <c r="B847" s="10">
        <f t="shared" ref="B847:B910" ca="1" si="897">+($B$6-0.5*$B$10^2)*$H$4+$B$10*SQRT($H$4)*_xlfn.NORM.S.INV(RAND())</f>
        <v>0.1201587149433543</v>
      </c>
      <c r="C847" s="10">
        <f t="shared" ref="C847:C910" ca="1" si="898">+($B$6-0.5*$B$10^2)+$B$10*_xlfn.NORM.S.INV(RAND())</f>
        <v>-0.22815015222545751</v>
      </c>
      <c r="D847" s="11">
        <f t="shared" ref="D847:D910" si="899">+$B$9</f>
        <v>1447.7398688575352</v>
      </c>
      <c r="E847" s="11">
        <f t="shared" ref="E847:F847" ca="1" si="900">+D847*EXP(B847)</f>
        <v>1632.5812385199754</v>
      </c>
      <c r="F847" s="11">
        <f t="shared" ca="1" si="900"/>
        <v>1299.5423863063097</v>
      </c>
      <c r="G847" s="12">
        <f t="shared" ref="G847:G910" ca="1" si="901">+BlackScholesCall(E847,$B$4,$B$10,$B$6,$B$7-$H$4)</f>
        <v>297.90808044713799</v>
      </c>
      <c r="H847" s="12">
        <f t="shared" ref="H847:H910" ca="1" si="902">+BlackScholesCall(F847,$B$4,$B$10,$B$6,$B$7-$I$4)</f>
        <v>21.89388782970741</v>
      </c>
    </row>
    <row r="848" spans="1:8" x14ac:dyDescent="0.35">
      <c r="A848" s="15">
        <v>835</v>
      </c>
      <c r="B848" s="10">
        <f t="shared" ca="1" si="897"/>
        <v>9.5781956377047062E-3</v>
      </c>
      <c r="C848" s="10">
        <f t="shared" ca="1" si="898"/>
        <v>0.14087120393996261</v>
      </c>
      <c r="D848" s="11">
        <f t="shared" si="899"/>
        <v>1447.7398688575352</v>
      </c>
      <c r="E848" s="11">
        <f t="shared" ref="E848:F848" ca="1" si="903">+D848*EXP(B848)</f>
        <v>1461.6732262429402</v>
      </c>
      <c r="F848" s="11">
        <f t="shared" ca="1" si="903"/>
        <v>1682.7898293375974</v>
      </c>
      <c r="G848" s="12">
        <f t="shared" ca="1" si="901"/>
        <v>176.86543354356877</v>
      </c>
      <c r="H848" s="12">
        <f t="shared" ca="1" si="902"/>
        <v>238.64203945186568</v>
      </c>
    </row>
    <row r="849" spans="1:8" x14ac:dyDescent="0.35">
      <c r="A849" s="15">
        <v>836</v>
      </c>
      <c r="B849" s="10">
        <f t="shared" ca="1" si="897"/>
        <v>4.102663144989882E-2</v>
      </c>
      <c r="C849" s="10">
        <f t="shared" ca="1" si="898"/>
        <v>0.12650778945175836</v>
      </c>
      <c r="D849" s="11">
        <f t="shared" si="899"/>
        <v>1447.7398688575352</v>
      </c>
      <c r="E849" s="11">
        <f t="shared" ref="E849:F849" ca="1" si="904">+D849*EXP(B849)</f>
        <v>1508.3710002231915</v>
      </c>
      <c r="F849" s="11">
        <f t="shared" ca="1" si="904"/>
        <v>1711.7873356061302</v>
      </c>
      <c r="G849" s="12">
        <f t="shared" ca="1" si="901"/>
        <v>207.25247104795028</v>
      </c>
      <c r="H849" s="12">
        <f t="shared" ca="1" si="902"/>
        <v>263.83342755510057</v>
      </c>
    </row>
    <row r="850" spans="1:8" x14ac:dyDescent="0.35">
      <c r="A850" s="15">
        <v>837</v>
      </c>
      <c r="B850" s="10">
        <f t="shared" ca="1" si="897"/>
        <v>0.11991074274200361</v>
      </c>
      <c r="C850" s="10">
        <f t="shared" ca="1" si="898"/>
        <v>0.13661260224949748</v>
      </c>
      <c r="D850" s="11">
        <f t="shared" si="899"/>
        <v>1447.7398688575352</v>
      </c>
      <c r="E850" s="11">
        <f t="shared" ref="E850:F850" ca="1" si="905">+D850*EXP(B850)</f>
        <v>1632.1764539461112</v>
      </c>
      <c r="F850" s="11">
        <f t="shared" ca="1" si="905"/>
        <v>1871.1009000352174</v>
      </c>
      <c r="G850" s="12">
        <f t="shared" ca="1" si="901"/>
        <v>297.59214051327308</v>
      </c>
      <c r="H850" s="12">
        <f t="shared" ca="1" si="902"/>
        <v>412.00857719549185</v>
      </c>
    </row>
    <row r="851" spans="1:8" x14ac:dyDescent="0.35">
      <c r="A851" s="15">
        <v>838</v>
      </c>
      <c r="B851" s="10">
        <f t="shared" ca="1" si="897"/>
        <v>0.19091998282009809</v>
      </c>
      <c r="C851" s="10">
        <f t="shared" ca="1" si="898"/>
        <v>0.18739965092203523</v>
      </c>
      <c r="D851" s="11">
        <f t="shared" si="899"/>
        <v>1447.7398688575352</v>
      </c>
      <c r="E851" s="11">
        <f t="shared" ref="E851:F851" ca="1" si="906">+D851*EXP(B851)</f>
        <v>1752.2901894843253</v>
      </c>
      <c r="F851" s="11">
        <f t="shared" ca="1" si="906"/>
        <v>2113.4533385842392</v>
      </c>
      <c r="G851" s="12">
        <f t="shared" ca="1" si="901"/>
        <v>396.13302572191901</v>
      </c>
      <c r="H851" s="12">
        <f t="shared" ca="1" si="902"/>
        <v>650.85040652693078</v>
      </c>
    </row>
    <row r="852" spans="1:8" x14ac:dyDescent="0.35">
      <c r="A852" s="15">
        <v>839</v>
      </c>
      <c r="B852" s="10">
        <f t="shared" ca="1" si="897"/>
        <v>-0.10384452688055008</v>
      </c>
      <c r="C852" s="10">
        <f t="shared" ca="1" si="898"/>
        <v>8.281913859001222E-2</v>
      </c>
      <c r="D852" s="11">
        <f t="shared" si="899"/>
        <v>1447.7398688575352</v>
      </c>
      <c r="E852" s="11">
        <f t="shared" ref="E852:F852" ca="1" si="907">+D852*EXP(B852)</f>
        <v>1304.9426616353273</v>
      </c>
      <c r="F852" s="11">
        <f t="shared" ca="1" si="907"/>
        <v>1417.6183439853341</v>
      </c>
      <c r="G852" s="12">
        <f t="shared" ca="1" si="901"/>
        <v>92.568336037480947</v>
      </c>
      <c r="H852" s="12">
        <f t="shared" ca="1" si="902"/>
        <v>60.519400056097311</v>
      </c>
    </row>
    <row r="853" spans="1:8" x14ac:dyDescent="0.35">
      <c r="A853" s="15">
        <v>840</v>
      </c>
      <c r="B853" s="10">
        <f t="shared" ca="1" si="897"/>
        <v>5.2562720195828971E-3</v>
      </c>
      <c r="C853" s="10">
        <f t="shared" ca="1" si="898"/>
        <v>5.0238854276063304E-2</v>
      </c>
      <c r="D853" s="11">
        <f t="shared" si="899"/>
        <v>1447.7398688575352</v>
      </c>
      <c r="E853" s="11">
        <f t="shared" ref="E853:F853" ca="1" si="908">+D853*EXP(B853)</f>
        <v>1455.3696178735113</v>
      </c>
      <c r="F853" s="11">
        <f t="shared" ca="1" si="908"/>
        <v>1530.3535016410942</v>
      </c>
      <c r="G853" s="12">
        <f t="shared" ca="1" si="901"/>
        <v>172.93636221824477</v>
      </c>
      <c r="H853" s="12">
        <f t="shared" ca="1" si="902"/>
        <v>122.2978162787407</v>
      </c>
    </row>
    <row r="854" spans="1:8" x14ac:dyDescent="0.35">
      <c r="A854" s="15">
        <v>841</v>
      </c>
      <c r="B854" s="10">
        <f t="shared" ca="1" si="897"/>
        <v>-5.8656042832975729E-3</v>
      </c>
      <c r="C854" s="10">
        <f t="shared" ca="1" si="898"/>
        <v>0.21473445533713761</v>
      </c>
      <c r="D854" s="11">
        <f t="shared" si="899"/>
        <v>1447.7398688575352</v>
      </c>
      <c r="E854" s="11">
        <f t="shared" ref="E854:F854" ca="1" si="909">+D854*EXP(B854)</f>
        <v>1439.272856030854</v>
      </c>
      <c r="F854" s="11">
        <f t="shared" ca="1" si="909"/>
        <v>1784.0257721030493</v>
      </c>
      <c r="G854" s="12">
        <f t="shared" ca="1" si="901"/>
        <v>163.0966897251742</v>
      </c>
      <c r="H854" s="12">
        <f t="shared" ca="1" si="902"/>
        <v>329.36949852345469</v>
      </c>
    </row>
    <row r="855" spans="1:8" x14ac:dyDescent="0.35">
      <c r="A855" s="15">
        <v>842</v>
      </c>
      <c r="B855" s="10">
        <f t="shared" ca="1" si="897"/>
        <v>-0.10578817790388423</v>
      </c>
      <c r="C855" s="10">
        <f t="shared" ca="1" si="898"/>
        <v>-0.2125731101967924</v>
      </c>
      <c r="D855" s="11">
        <f t="shared" si="899"/>
        <v>1447.7398688575352</v>
      </c>
      <c r="E855" s="11">
        <f t="shared" ref="E855:F855" ca="1" si="910">+D855*EXP(B855)</f>
        <v>1302.4087717921473</v>
      </c>
      <c r="F855" s="11">
        <f t="shared" ca="1" si="910"/>
        <v>1052.9990607172801</v>
      </c>
      <c r="G855" s="12">
        <f t="shared" ca="1" si="901"/>
        <v>91.446475203084901</v>
      </c>
      <c r="H855" s="12">
        <f t="shared" ca="1" si="902"/>
        <v>0.59573031674226939</v>
      </c>
    </row>
    <row r="856" spans="1:8" x14ac:dyDescent="0.35">
      <c r="A856" s="15">
        <v>843</v>
      </c>
      <c r="B856" s="10">
        <f t="shared" ca="1" si="897"/>
        <v>4.2747047531483895E-2</v>
      </c>
      <c r="C856" s="10">
        <f t="shared" ca="1" si="898"/>
        <v>-4.4870907896047335E-2</v>
      </c>
      <c r="D856" s="11">
        <f t="shared" si="899"/>
        <v>1447.7398688575352</v>
      </c>
      <c r="E856" s="11">
        <f t="shared" ref="E856:F856" ca="1" si="911">+D856*EXP(B856)</f>
        <v>1510.9682594916578</v>
      </c>
      <c r="F856" s="11">
        <f t="shared" ca="1" si="911"/>
        <v>1444.6683344415578</v>
      </c>
      <c r="G856" s="12">
        <f t="shared" ca="1" si="901"/>
        <v>209.00667710842254</v>
      </c>
      <c r="H856" s="12">
        <f t="shared" ca="1" si="902"/>
        <v>73.130011834717379</v>
      </c>
    </row>
    <row r="857" spans="1:8" x14ac:dyDescent="0.35">
      <c r="A857" s="15">
        <v>844</v>
      </c>
      <c r="B857" s="10">
        <f t="shared" ca="1" si="897"/>
        <v>-8.0426960501982919E-2</v>
      </c>
      <c r="C857" s="10">
        <f t="shared" ca="1" si="898"/>
        <v>-0.11365953205771095</v>
      </c>
      <c r="D857" s="11">
        <f t="shared" si="899"/>
        <v>1447.7398688575352</v>
      </c>
      <c r="E857" s="11">
        <f t="shared" ref="E857:F857" ca="1" si="912">+D857*EXP(B857)</f>
        <v>1335.8618562313388</v>
      </c>
      <c r="F857" s="11">
        <f t="shared" ca="1" si="912"/>
        <v>1192.3392533751623</v>
      </c>
      <c r="G857" s="12">
        <f t="shared" ca="1" si="901"/>
        <v>106.89433209410151</v>
      </c>
      <c r="H857" s="12">
        <f t="shared" ca="1" si="902"/>
        <v>6.1678150958021263</v>
      </c>
    </row>
    <row r="858" spans="1:8" x14ac:dyDescent="0.35">
      <c r="A858" s="15">
        <v>845</v>
      </c>
      <c r="B858" s="10">
        <f t="shared" ca="1" si="897"/>
        <v>-1.3606468173808992E-3</v>
      </c>
      <c r="C858" s="10">
        <f t="shared" ca="1" si="898"/>
        <v>-0.17382229615829589</v>
      </c>
      <c r="D858" s="11">
        <f t="shared" si="899"/>
        <v>1447.7398688575352</v>
      </c>
      <c r="E858" s="11">
        <f t="shared" ref="E858:F858" ca="1" si="913">+D858*EXP(B858)</f>
        <v>1445.7713457486338</v>
      </c>
      <c r="F858" s="11">
        <f t="shared" ca="1" si="913"/>
        <v>1215.0930840807353</v>
      </c>
      <c r="G858" s="12">
        <f t="shared" ca="1" si="901"/>
        <v>167.03535905183742</v>
      </c>
      <c r="H858" s="12">
        <f t="shared" ca="1" si="902"/>
        <v>8.3407389035208439</v>
      </c>
    </row>
    <row r="859" spans="1:8" x14ac:dyDescent="0.35">
      <c r="A859" s="15">
        <v>846</v>
      </c>
      <c r="B859" s="10">
        <f t="shared" ca="1" si="897"/>
        <v>8.4195628781637638E-2</v>
      </c>
      <c r="C859" s="10">
        <f t="shared" ca="1" si="898"/>
        <v>0.10039114571789015</v>
      </c>
      <c r="D859" s="11">
        <f t="shared" si="899"/>
        <v>1447.7398688575352</v>
      </c>
      <c r="E859" s="11">
        <f t="shared" ref="E859:F859" ca="1" si="914">+D859*EXP(B859)</f>
        <v>1574.911780026709</v>
      </c>
      <c r="F859" s="11">
        <f t="shared" ca="1" si="914"/>
        <v>1741.2276383727194</v>
      </c>
      <c r="G859" s="12">
        <f t="shared" ca="1" si="901"/>
        <v>254.17746623495771</v>
      </c>
      <c r="H859" s="12">
        <f t="shared" ca="1" si="902"/>
        <v>290.11520610850039</v>
      </c>
    </row>
    <row r="860" spans="1:8" x14ac:dyDescent="0.35">
      <c r="A860" s="15">
        <v>847</v>
      </c>
      <c r="B860" s="10">
        <f t="shared" ca="1" si="897"/>
        <v>-0.17504712922724691</v>
      </c>
      <c r="C860" s="10">
        <f t="shared" ca="1" si="898"/>
        <v>0.38012578314490253</v>
      </c>
      <c r="D860" s="11">
        <f t="shared" si="899"/>
        <v>1447.7398688575352</v>
      </c>
      <c r="E860" s="11">
        <f t="shared" ref="E860:F860" ca="1" si="915">+D860*EXP(B860)</f>
        <v>1215.2581216341064</v>
      </c>
      <c r="F860" s="11">
        <f t="shared" ca="1" si="915"/>
        <v>1777.2767608517647</v>
      </c>
      <c r="G860" s="12">
        <f t="shared" ca="1" si="901"/>
        <v>57.706730741656429</v>
      </c>
      <c r="H860" s="12">
        <f t="shared" ca="1" si="902"/>
        <v>323.10718439756806</v>
      </c>
    </row>
    <row r="861" spans="1:8" x14ac:dyDescent="0.35">
      <c r="A861" s="15">
        <v>848</v>
      </c>
      <c r="B861" s="10">
        <f t="shared" ca="1" si="897"/>
        <v>0.41640928484725925</v>
      </c>
      <c r="C861" s="10">
        <f t="shared" ca="1" si="898"/>
        <v>0.10995618984193248</v>
      </c>
      <c r="D861" s="11">
        <f t="shared" si="899"/>
        <v>1447.7398688575352</v>
      </c>
      <c r="E861" s="11">
        <f t="shared" ref="E861:F861" ca="1" si="916">+D861*EXP(B861)</f>
        <v>2195.5068128081316</v>
      </c>
      <c r="F861" s="11">
        <f t="shared" ca="1" si="916"/>
        <v>2450.6887412677634</v>
      </c>
      <c r="G861" s="12">
        <f t="shared" ca="1" si="901"/>
        <v>809.09049219807321</v>
      </c>
      <c r="H861" s="12">
        <f t="shared" ca="1" si="902"/>
        <v>987.73246054413926</v>
      </c>
    </row>
    <row r="862" spans="1:8" x14ac:dyDescent="0.35">
      <c r="A862" s="15">
        <v>849</v>
      </c>
      <c r="B862" s="10">
        <f t="shared" ca="1" si="897"/>
        <v>6.7263853333592055E-2</v>
      </c>
      <c r="C862" s="10">
        <f t="shared" ca="1" si="898"/>
        <v>5.8116705532776043E-2</v>
      </c>
      <c r="D862" s="11">
        <f t="shared" si="899"/>
        <v>1447.7398688575352</v>
      </c>
      <c r="E862" s="11">
        <f t="shared" ref="E862:F862" ca="1" si="917">+D862*EXP(B862)</f>
        <v>1548.4702104730429</v>
      </c>
      <c r="F862" s="11">
        <f t="shared" ca="1" si="917"/>
        <v>1641.1286200631073</v>
      </c>
      <c r="G862" s="12">
        <f t="shared" ca="1" si="901"/>
        <v>235.04907889139429</v>
      </c>
      <c r="H862" s="12">
        <f t="shared" ca="1" si="902"/>
        <v>203.88674373905656</v>
      </c>
    </row>
    <row r="863" spans="1:8" x14ac:dyDescent="0.35">
      <c r="A863" s="15">
        <v>850</v>
      </c>
      <c r="B863" s="10">
        <f t="shared" ca="1" si="897"/>
        <v>5.9694497174301996E-2</v>
      </c>
      <c r="C863" s="10">
        <f t="shared" ca="1" si="898"/>
        <v>3.4082613002859918E-2</v>
      </c>
      <c r="D863" s="11">
        <f t="shared" si="899"/>
        <v>1447.7398688575352</v>
      </c>
      <c r="E863" s="11">
        <f t="shared" ref="E863:F863" ca="1" si="918">+D863*EXP(B863)</f>
        <v>1536.7935361526152</v>
      </c>
      <c r="F863" s="11">
        <f t="shared" ca="1" si="918"/>
        <v>1590.0742916088611</v>
      </c>
      <c r="G863" s="12">
        <f t="shared" ca="1" si="901"/>
        <v>226.80010408815167</v>
      </c>
      <c r="H863" s="12">
        <f t="shared" ca="1" si="902"/>
        <v>164.08904622850127</v>
      </c>
    </row>
    <row r="864" spans="1:8" x14ac:dyDescent="0.35">
      <c r="A864" s="15">
        <v>851</v>
      </c>
      <c r="B864" s="10">
        <f t="shared" ca="1" si="897"/>
        <v>-0.30458657787393445</v>
      </c>
      <c r="C864" s="10">
        <f t="shared" ca="1" si="898"/>
        <v>1.2926406007339339E-2</v>
      </c>
      <c r="D864" s="11">
        <f t="shared" si="899"/>
        <v>1447.7398688575352</v>
      </c>
      <c r="E864" s="11">
        <f t="shared" ref="E864:F864" ca="1" si="919">+D864*EXP(B864)</f>
        <v>1067.6041773386148</v>
      </c>
      <c r="F864" s="11">
        <f t="shared" ca="1" si="919"/>
        <v>1081.4940419984807</v>
      </c>
      <c r="G864" s="12">
        <f t="shared" ca="1" si="901"/>
        <v>21.121481810950627</v>
      </c>
      <c r="H864" s="12">
        <f t="shared" ca="1" si="902"/>
        <v>1.0381534623716462</v>
      </c>
    </row>
    <row r="865" spans="1:8" x14ac:dyDescent="0.35">
      <c r="A865" s="15">
        <v>852</v>
      </c>
      <c r="B865" s="10">
        <f t="shared" ca="1" si="897"/>
        <v>-0.33637348302216119</v>
      </c>
      <c r="C865" s="10">
        <f t="shared" ca="1" si="898"/>
        <v>-0.19873010205954697</v>
      </c>
      <c r="D865" s="11">
        <f t="shared" si="899"/>
        <v>1447.7398688575352</v>
      </c>
      <c r="E865" s="11">
        <f t="shared" ref="E865:F865" ca="1" si="920">+D865*EXP(B865)</f>
        <v>1034.2020324569182</v>
      </c>
      <c r="F865" s="11">
        <f t="shared" ca="1" si="920"/>
        <v>847.80895639949142</v>
      </c>
      <c r="G865" s="12">
        <f t="shared" ca="1" si="901"/>
        <v>16.008991415863846</v>
      </c>
      <c r="H865" s="12">
        <f t="shared" ca="1" si="902"/>
        <v>2.0900985541053574E-3</v>
      </c>
    </row>
    <row r="866" spans="1:8" x14ac:dyDescent="0.35">
      <c r="A866" s="15">
        <v>853</v>
      </c>
      <c r="B866" s="10">
        <f t="shared" ca="1" si="897"/>
        <v>-0.48258476676971185</v>
      </c>
      <c r="C866" s="10">
        <f t="shared" ca="1" si="898"/>
        <v>0.18898485362831596</v>
      </c>
      <c r="D866" s="11">
        <f t="shared" si="899"/>
        <v>1447.7398688575352</v>
      </c>
      <c r="E866" s="11">
        <f t="shared" ref="E866:F866" ca="1" si="921">+D866*EXP(B866)</f>
        <v>893.52484577366863</v>
      </c>
      <c r="F866" s="11">
        <f t="shared" ca="1" si="921"/>
        <v>1079.3982566645557</v>
      </c>
      <c r="G866" s="12">
        <f t="shared" ca="1" si="901"/>
        <v>3.7926084219051504</v>
      </c>
      <c r="H866" s="12">
        <f t="shared" ca="1" si="902"/>
        <v>0.99809949503989515</v>
      </c>
    </row>
    <row r="867" spans="1:8" x14ac:dyDescent="0.35">
      <c r="A867" s="15">
        <v>854</v>
      </c>
      <c r="B867" s="10">
        <f t="shared" ca="1" si="897"/>
        <v>0.16814059937985637</v>
      </c>
      <c r="C867" s="10">
        <f t="shared" ca="1" si="898"/>
        <v>0.19358489105062679</v>
      </c>
      <c r="D867" s="11">
        <f t="shared" si="899"/>
        <v>1447.7398688575352</v>
      </c>
      <c r="E867" s="11">
        <f t="shared" ref="E867:F867" ca="1" si="922">+D867*EXP(B867)</f>
        <v>1712.8252988119232</v>
      </c>
      <c r="F867" s="11">
        <f t="shared" ca="1" si="922"/>
        <v>2078.6717742662436</v>
      </c>
      <c r="G867" s="12">
        <f t="shared" ca="1" si="901"/>
        <v>362.77196784317198</v>
      </c>
      <c r="H867" s="12">
        <f t="shared" ca="1" si="902"/>
        <v>616.22544986497701</v>
      </c>
    </row>
    <row r="868" spans="1:8" x14ac:dyDescent="0.35">
      <c r="A868" s="15">
        <v>855</v>
      </c>
      <c r="B868" s="10">
        <f t="shared" ca="1" si="897"/>
        <v>0.16208797166360051</v>
      </c>
      <c r="C868" s="10">
        <f t="shared" ca="1" si="898"/>
        <v>-0.31994039530621288</v>
      </c>
      <c r="D868" s="11">
        <f t="shared" si="899"/>
        <v>1447.7398688575352</v>
      </c>
      <c r="E868" s="11">
        <f t="shared" ref="E868:F868" ca="1" si="923">+D868*EXP(B868)</f>
        <v>1702.4895158122204</v>
      </c>
      <c r="F868" s="11">
        <f t="shared" ca="1" si="923"/>
        <v>1236.3348116968359</v>
      </c>
      <c r="G868" s="12">
        <f t="shared" ca="1" si="901"/>
        <v>354.18337594748073</v>
      </c>
      <c r="H868" s="12">
        <f t="shared" ca="1" si="902"/>
        <v>10.869326874504878</v>
      </c>
    </row>
    <row r="869" spans="1:8" x14ac:dyDescent="0.35">
      <c r="A869" s="15">
        <v>856</v>
      </c>
      <c r="B869" s="10">
        <f t="shared" ca="1" si="897"/>
        <v>2.4459152313749004E-2</v>
      </c>
      <c r="C869" s="10">
        <f t="shared" ca="1" si="898"/>
        <v>-7.9972141354632889E-4</v>
      </c>
      <c r="D869" s="11">
        <f t="shared" si="899"/>
        <v>1447.7398688575352</v>
      </c>
      <c r="E869" s="11">
        <f t="shared" ref="E869:F869" ca="1" si="924">+D869*EXP(B869)</f>
        <v>1483.5869665217392</v>
      </c>
      <c r="F869" s="11">
        <f t="shared" ca="1" si="924"/>
        <v>1482.4009845465528</v>
      </c>
      <c r="G869" s="12">
        <f t="shared" ca="1" si="901"/>
        <v>190.848628114294</v>
      </c>
      <c r="H869" s="12">
        <f t="shared" ca="1" si="902"/>
        <v>93.096751515890219</v>
      </c>
    </row>
    <row r="870" spans="1:8" x14ac:dyDescent="0.35">
      <c r="A870" s="15">
        <v>857</v>
      </c>
      <c r="B870" s="10">
        <f t="shared" ca="1" si="897"/>
        <v>-5.531157593945471E-5</v>
      </c>
      <c r="C870" s="10">
        <f t="shared" ca="1" si="898"/>
        <v>-7.0618258530774136E-2</v>
      </c>
      <c r="D870" s="11">
        <f t="shared" si="899"/>
        <v>1447.7398688575352</v>
      </c>
      <c r="E870" s="11">
        <f t="shared" ref="E870:F870" ca="1" si="925">+D870*EXP(B870)</f>
        <v>1447.6597942983838</v>
      </c>
      <c r="F870" s="11">
        <f t="shared" ca="1" si="925"/>
        <v>1348.9547848589475</v>
      </c>
      <c r="G870" s="12">
        <f t="shared" ca="1" si="901"/>
        <v>168.18853016368803</v>
      </c>
      <c r="H870" s="12">
        <f t="shared" ca="1" si="902"/>
        <v>34.91903250430579</v>
      </c>
    </row>
    <row r="871" spans="1:8" x14ac:dyDescent="0.35">
      <c r="A871" s="15">
        <v>858</v>
      </c>
      <c r="B871" s="10">
        <f t="shared" ca="1" si="897"/>
        <v>-1.4592151222664607E-3</v>
      </c>
      <c r="C871" s="10">
        <f t="shared" ca="1" si="898"/>
        <v>-2.029381376713961E-2</v>
      </c>
      <c r="D871" s="11">
        <f t="shared" si="899"/>
        <v>1447.7398688575352</v>
      </c>
      <c r="E871" s="11">
        <f t="shared" ref="E871:F871" ca="1" si="926">+D871*EXP(B871)</f>
        <v>1445.6288455409488</v>
      </c>
      <c r="F871" s="11">
        <f t="shared" ca="1" si="926"/>
        <v>1416.5872025202427</v>
      </c>
      <c r="G871" s="12">
        <f t="shared" ca="1" si="901"/>
        <v>166.94849873749547</v>
      </c>
      <c r="H871" s="12">
        <f t="shared" ca="1" si="902"/>
        <v>60.067136343256038</v>
      </c>
    </row>
    <row r="872" spans="1:8" x14ac:dyDescent="0.35">
      <c r="A872" s="15">
        <v>859</v>
      </c>
      <c r="B872" s="10">
        <f t="shared" ca="1" si="897"/>
        <v>-1.1947444892748002E-2</v>
      </c>
      <c r="C872" s="10">
        <f t="shared" ca="1" si="898"/>
        <v>4.7638187343344088E-2</v>
      </c>
      <c r="D872" s="11">
        <f t="shared" si="899"/>
        <v>1447.7398688575352</v>
      </c>
      <c r="E872" s="11">
        <f t="shared" ref="E872:F872" ca="1" si="927">+D872*EXP(B872)</f>
        <v>1430.5459925230598</v>
      </c>
      <c r="F872" s="11">
        <f t="shared" ca="1" si="927"/>
        <v>1500.3439348066079</v>
      </c>
      <c r="G872" s="12">
        <f t="shared" ca="1" si="901"/>
        <v>157.88018072690159</v>
      </c>
      <c r="H872" s="12">
        <f t="shared" ca="1" si="902"/>
        <v>103.53661820772447</v>
      </c>
    </row>
    <row r="873" spans="1:8" x14ac:dyDescent="0.35">
      <c r="A873" s="15">
        <v>860</v>
      </c>
      <c r="B873" s="10">
        <f t="shared" ca="1" si="897"/>
        <v>-0.13848124082774238</v>
      </c>
      <c r="C873" s="10">
        <f t="shared" ca="1" si="898"/>
        <v>-0.27312730393667151</v>
      </c>
      <c r="D873" s="11">
        <f t="shared" si="899"/>
        <v>1447.7398688575352</v>
      </c>
      <c r="E873" s="11">
        <f t="shared" ref="E873:F873" ca="1" si="928">+D873*EXP(B873)</f>
        <v>1260.5175472554374</v>
      </c>
      <c r="F873" s="11">
        <f t="shared" ca="1" si="928"/>
        <v>959.24868998808302</v>
      </c>
      <c r="G873" s="12">
        <f t="shared" ca="1" si="901"/>
        <v>74.053430588876097</v>
      </c>
      <c r="H873" s="12">
        <f t="shared" ca="1" si="902"/>
        <v>6.747632665170622E-2</v>
      </c>
    </row>
    <row r="874" spans="1:8" x14ac:dyDescent="0.35">
      <c r="A874" s="15">
        <v>861</v>
      </c>
      <c r="B874" s="10">
        <f t="shared" ca="1" si="897"/>
        <v>0.10302517675112557</v>
      </c>
      <c r="C874" s="10">
        <f t="shared" ca="1" si="898"/>
        <v>0.27986021336185452</v>
      </c>
      <c r="D874" s="11">
        <f t="shared" si="899"/>
        <v>1447.7398688575352</v>
      </c>
      <c r="E874" s="11">
        <f t="shared" ref="E874:F874" ca="1" si="929">+D874*EXP(B874)</f>
        <v>1604.8476115456863</v>
      </c>
      <c r="F874" s="11">
        <f t="shared" ca="1" si="929"/>
        <v>2123.1249138563367</v>
      </c>
      <c r="G874" s="12">
        <f t="shared" ca="1" si="901"/>
        <v>276.54843633221799</v>
      </c>
      <c r="H874" s="12">
        <f t="shared" ca="1" si="902"/>
        <v>660.48721092283313</v>
      </c>
    </row>
    <row r="875" spans="1:8" x14ac:dyDescent="0.35">
      <c r="A875" s="15">
        <v>862</v>
      </c>
      <c r="B875" s="10">
        <f t="shared" ca="1" si="897"/>
        <v>0.15222498732235684</v>
      </c>
      <c r="C875" s="10">
        <f t="shared" ca="1" si="898"/>
        <v>0.15345075216214041</v>
      </c>
      <c r="D875" s="11">
        <f t="shared" si="899"/>
        <v>1447.7398688575352</v>
      </c>
      <c r="E875" s="11">
        <f t="shared" ref="E875:F875" ca="1" si="930">+D875*EXP(B875)</f>
        <v>1685.7804245818829</v>
      </c>
      <c r="F875" s="11">
        <f t="shared" ca="1" si="930"/>
        <v>1965.3677319032515</v>
      </c>
      <c r="G875" s="12">
        <f t="shared" ca="1" si="901"/>
        <v>340.43791255726296</v>
      </c>
      <c r="H875" s="12">
        <f t="shared" ca="1" si="902"/>
        <v>504.00526126077852</v>
      </c>
    </row>
    <row r="876" spans="1:8" x14ac:dyDescent="0.35">
      <c r="A876" s="15">
        <v>863</v>
      </c>
      <c r="B876" s="10">
        <f t="shared" ca="1" si="897"/>
        <v>-0.12812441416060044</v>
      </c>
      <c r="C876" s="10">
        <f t="shared" ca="1" si="898"/>
        <v>-0.26561717695435716</v>
      </c>
      <c r="D876" s="11">
        <f t="shared" si="899"/>
        <v>1447.7398688575352</v>
      </c>
      <c r="E876" s="11">
        <f t="shared" ref="E876:F876" ca="1" si="931">+D876*EXP(B876)</f>
        <v>1273.6403469843749</v>
      </c>
      <c r="F876" s="11">
        <f t="shared" ca="1" si="931"/>
        <v>976.54156736115931</v>
      </c>
      <c r="G876" s="12">
        <f t="shared" ca="1" si="901"/>
        <v>79.267529660254695</v>
      </c>
      <c r="H876" s="12">
        <f t="shared" ca="1" si="902"/>
        <v>0.1054534886993026</v>
      </c>
    </row>
    <row r="877" spans="1:8" x14ac:dyDescent="0.35">
      <c r="A877" s="15">
        <v>864</v>
      </c>
      <c r="B877" s="10">
        <f t="shared" ca="1" si="897"/>
        <v>0.21090903129406435</v>
      </c>
      <c r="C877" s="10">
        <f t="shared" ca="1" si="898"/>
        <v>-0.17930092241097814</v>
      </c>
      <c r="D877" s="11">
        <f t="shared" si="899"/>
        <v>1447.7398688575352</v>
      </c>
      <c r="E877" s="11">
        <f t="shared" ref="E877:F877" ca="1" si="932">+D877*EXP(B877)</f>
        <v>1787.6692216144231</v>
      </c>
      <c r="F877" s="11">
        <f t="shared" ca="1" si="932"/>
        <v>1494.2310670857507</v>
      </c>
      <c r="G877" s="12">
        <f t="shared" ca="1" si="901"/>
        <v>426.74269815184971</v>
      </c>
      <c r="H877" s="12">
        <f t="shared" ca="1" si="902"/>
        <v>99.913094520396953</v>
      </c>
    </row>
    <row r="878" spans="1:8" x14ac:dyDescent="0.35">
      <c r="A878" s="15">
        <v>865</v>
      </c>
      <c r="B878" s="10">
        <f t="shared" ca="1" si="897"/>
        <v>-0.11886893668729233</v>
      </c>
      <c r="C878" s="10">
        <f t="shared" ca="1" si="898"/>
        <v>9.7423259557521749E-2</v>
      </c>
      <c r="D878" s="11">
        <f t="shared" si="899"/>
        <v>1447.7398688575352</v>
      </c>
      <c r="E878" s="11">
        <f t="shared" ref="E878:F878" ca="1" si="933">+D878*EXP(B878)</f>
        <v>1285.4832176944726</v>
      </c>
      <c r="F878" s="11">
        <f t="shared" ca="1" si="933"/>
        <v>1417.0226600054982</v>
      </c>
      <c r="G878" s="12">
        <f t="shared" ca="1" si="901"/>
        <v>84.156760950386456</v>
      </c>
      <c r="H878" s="12">
        <f t="shared" ca="1" si="902"/>
        <v>60.257875018118284</v>
      </c>
    </row>
    <row r="879" spans="1:8" x14ac:dyDescent="0.35">
      <c r="A879" s="15">
        <v>866</v>
      </c>
      <c r="B879" s="10">
        <f t="shared" ca="1" si="897"/>
        <v>0.10190134723708406</v>
      </c>
      <c r="C879" s="10">
        <f t="shared" ca="1" si="898"/>
        <v>0.20866458997756709</v>
      </c>
      <c r="D879" s="11">
        <f t="shared" si="899"/>
        <v>1447.7398688575352</v>
      </c>
      <c r="E879" s="11">
        <f t="shared" ref="E879:F879" ca="1" si="934">+D879*EXP(B879)</f>
        <v>1603.0450495102191</v>
      </c>
      <c r="F879" s="11">
        <f t="shared" ca="1" si="934"/>
        <v>1975.0023070132677</v>
      </c>
      <c r="G879" s="12">
        <f t="shared" ca="1" si="901"/>
        <v>275.18079474456954</v>
      </c>
      <c r="H879" s="12">
        <f t="shared" ca="1" si="902"/>
        <v>513.49723883253046</v>
      </c>
    </row>
    <row r="880" spans="1:8" x14ac:dyDescent="0.35">
      <c r="A880" s="15">
        <v>867</v>
      </c>
      <c r="B880" s="10">
        <f t="shared" ca="1" si="897"/>
        <v>-0.20904514776272454</v>
      </c>
      <c r="C880" s="10">
        <f t="shared" ca="1" si="898"/>
        <v>-0.16429111598715893</v>
      </c>
      <c r="D880" s="11">
        <f t="shared" si="899"/>
        <v>1447.7398688575352</v>
      </c>
      <c r="E880" s="11">
        <f t="shared" ref="E880:F880" ca="1" si="935">+D880*EXP(B880)</f>
        <v>1174.6361986484765</v>
      </c>
      <c r="F880" s="11">
        <f t="shared" ca="1" si="935"/>
        <v>996.67291255839939</v>
      </c>
      <c r="G880" s="12">
        <f t="shared" ca="1" si="901"/>
        <v>45.163918134253549</v>
      </c>
      <c r="H880" s="12">
        <f t="shared" ca="1" si="902"/>
        <v>0.17262971058597554</v>
      </c>
    </row>
    <row r="881" spans="1:8" x14ac:dyDescent="0.35">
      <c r="A881" s="15">
        <v>868</v>
      </c>
      <c r="B881" s="10">
        <f t="shared" ca="1" si="897"/>
        <v>-0.10402302518121634</v>
      </c>
      <c r="C881" s="10">
        <f t="shared" ca="1" si="898"/>
        <v>-0.20018689952793503</v>
      </c>
      <c r="D881" s="11">
        <f t="shared" si="899"/>
        <v>1447.7398688575352</v>
      </c>
      <c r="E881" s="11">
        <f t="shared" ref="E881:F881" ca="1" si="936">+D881*EXP(B881)</f>
        <v>1304.7097523753305</v>
      </c>
      <c r="F881" s="11">
        <f t="shared" ca="1" si="936"/>
        <v>1068.0063695694785</v>
      </c>
      <c r="G881" s="12">
        <f t="shared" ca="1" si="901"/>
        <v>92.464885929071215</v>
      </c>
      <c r="H881" s="12">
        <f t="shared" ca="1" si="902"/>
        <v>0.8026078317258154</v>
      </c>
    </row>
    <row r="882" spans="1:8" x14ac:dyDescent="0.35">
      <c r="A882" s="15">
        <v>869</v>
      </c>
      <c r="B882" s="10">
        <f t="shared" ca="1" si="897"/>
        <v>3.1719851236683597E-2</v>
      </c>
      <c r="C882" s="10">
        <f t="shared" ca="1" si="898"/>
        <v>0.17438020289974224</v>
      </c>
      <c r="D882" s="11">
        <f t="shared" si="899"/>
        <v>1447.7398688575352</v>
      </c>
      <c r="E882" s="11">
        <f t="shared" ref="E882:F882" ca="1" si="937">+D882*EXP(B882)</f>
        <v>1494.3980453111014</v>
      </c>
      <c r="F882" s="11">
        <f t="shared" ca="1" si="937"/>
        <v>1779.0929991192952</v>
      </c>
      <c r="G882" s="12">
        <f t="shared" ca="1" si="901"/>
        <v>197.92874152260026</v>
      </c>
      <c r="H882" s="12">
        <f t="shared" ca="1" si="902"/>
        <v>324.78999513802478</v>
      </c>
    </row>
    <row r="883" spans="1:8" x14ac:dyDescent="0.35">
      <c r="A883" s="15">
        <v>870</v>
      </c>
      <c r="B883" s="10">
        <f t="shared" ca="1" si="897"/>
        <v>-9.5420924893123746E-2</v>
      </c>
      <c r="C883" s="10">
        <f t="shared" ca="1" si="898"/>
        <v>0.3559348696768122</v>
      </c>
      <c r="D883" s="11">
        <f t="shared" si="899"/>
        <v>1447.7398688575352</v>
      </c>
      <c r="E883" s="11">
        <f t="shared" ref="E883:F883" ca="1" si="938">+D883*EXP(B883)</f>
        <v>1315.9814069588706</v>
      </c>
      <c r="F883" s="11">
        <f t="shared" ca="1" si="938"/>
        <v>1878.5826332707968</v>
      </c>
      <c r="G883" s="12">
        <f t="shared" ca="1" si="901"/>
        <v>97.548149188093021</v>
      </c>
      <c r="H883" s="12">
        <f t="shared" ca="1" si="902"/>
        <v>419.23575179190379</v>
      </c>
    </row>
    <row r="884" spans="1:8" x14ac:dyDescent="0.35">
      <c r="A884" s="15">
        <v>871</v>
      </c>
      <c r="B884" s="10">
        <f t="shared" ca="1" si="897"/>
        <v>0.11222025961726105</v>
      </c>
      <c r="C884" s="10">
        <f t="shared" ca="1" si="898"/>
        <v>-3.5748736045237053E-2</v>
      </c>
      <c r="D884" s="11">
        <f t="shared" si="899"/>
        <v>1447.7398688575352</v>
      </c>
      <c r="E884" s="11">
        <f t="shared" ref="E884:F884" ca="1" si="939">+D884*EXP(B884)</f>
        <v>1619.6723713165682</v>
      </c>
      <c r="F884" s="11">
        <f t="shared" ca="1" si="939"/>
        <v>1562.7938560498205</v>
      </c>
      <c r="G884" s="12">
        <f t="shared" ca="1" si="901"/>
        <v>287.89286158211894</v>
      </c>
      <c r="H884" s="12">
        <f t="shared" ca="1" si="902"/>
        <v>144.30436308294816</v>
      </c>
    </row>
    <row r="885" spans="1:8" x14ac:dyDescent="0.35">
      <c r="A885" s="15">
        <v>872</v>
      </c>
      <c r="B885" s="10">
        <f t="shared" ca="1" si="897"/>
        <v>0.16320078018152656</v>
      </c>
      <c r="C885" s="10">
        <f t="shared" ca="1" si="898"/>
        <v>0.12220016372545972</v>
      </c>
      <c r="D885" s="11">
        <f t="shared" si="899"/>
        <v>1447.7398688575352</v>
      </c>
      <c r="E885" s="11">
        <f t="shared" ref="E885:F885" ca="1" si="940">+D885*EXP(B885)</f>
        <v>1704.385115171036</v>
      </c>
      <c r="F885" s="11">
        <f t="shared" ca="1" si="940"/>
        <v>1925.9215359284262</v>
      </c>
      <c r="G885" s="12">
        <f t="shared" ca="1" si="901"/>
        <v>355.7537005319457</v>
      </c>
      <c r="H885" s="12">
        <f t="shared" ca="1" si="902"/>
        <v>465.29024739190572</v>
      </c>
    </row>
    <row r="886" spans="1:8" x14ac:dyDescent="0.35">
      <c r="A886" s="15">
        <v>873</v>
      </c>
      <c r="B886" s="10">
        <f t="shared" ca="1" si="897"/>
        <v>0.1598041569418554</v>
      </c>
      <c r="C886" s="10">
        <f t="shared" ca="1" si="898"/>
        <v>0.24429521183255951</v>
      </c>
      <c r="D886" s="11">
        <f t="shared" si="899"/>
        <v>1447.7398688575352</v>
      </c>
      <c r="E886" s="11">
        <f t="shared" ref="E886:F886" ca="1" si="941">+D886*EXP(B886)</f>
        <v>1698.6057817449789</v>
      </c>
      <c r="F886" s="11">
        <f t="shared" ca="1" si="941"/>
        <v>2168.6459747297063</v>
      </c>
      <c r="G886" s="12">
        <f t="shared" ca="1" si="901"/>
        <v>350.97294861737669</v>
      </c>
      <c r="H886" s="12">
        <f t="shared" ca="1" si="902"/>
        <v>705.88332834711605</v>
      </c>
    </row>
    <row r="887" spans="1:8" x14ac:dyDescent="0.35">
      <c r="A887" s="15">
        <v>874</v>
      </c>
      <c r="B887" s="10">
        <f t="shared" ca="1" si="897"/>
        <v>3.7200034804222834E-2</v>
      </c>
      <c r="C887" s="10">
        <f t="shared" ca="1" si="898"/>
        <v>-0.10035214936469555</v>
      </c>
      <c r="D887" s="11">
        <f t="shared" si="899"/>
        <v>1447.7398688575352</v>
      </c>
      <c r="E887" s="11">
        <f t="shared" ref="E887:F887" ca="1" si="942">+D887*EXP(B887)</f>
        <v>1502.6101021595639</v>
      </c>
      <c r="F887" s="11">
        <f t="shared" ca="1" si="942"/>
        <v>1359.1391408850589</v>
      </c>
      <c r="G887" s="12">
        <f t="shared" ca="1" si="901"/>
        <v>203.38504663382662</v>
      </c>
      <c r="H887" s="12">
        <f t="shared" ca="1" si="902"/>
        <v>38.146695225246219</v>
      </c>
    </row>
    <row r="888" spans="1:8" x14ac:dyDescent="0.35">
      <c r="A888" s="15">
        <v>875</v>
      </c>
      <c r="B888" s="10">
        <f t="shared" ca="1" si="897"/>
        <v>-8.4413116906594809E-2</v>
      </c>
      <c r="C888" s="10">
        <f t="shared" ca="1" si="898"/>
        <v>-6.5505381426159859E-2</v>
      </c>
      <c r="D888" s="11">
        <f t="shared" si="899"/>
        <v>1447.7398688575352</v>
      </c>
      <c r="E888" s="11">
        <f t="shared" ref="E888:F888" ca="1" si="943">+D888*EXP(B888)</f>
        <v>1330.547500900059</v>
      </c>
      <c r="F888" s="11">
        <f t="shared" ca="1" si="943"/>
        <v>1246.1828147525566</v>
      </c>
      <c r="G888" s="12">
        <f t="shared" ca="1" si="901"/>
        <v>104.34858453038771</v>
      </c>
      <c r="H888" s="12">
        <f t="shared" ca="1" si="902"/>
        <v>12.224299802013689</v>
      </c>
    </row>
    <row r="889" spans="1:8" x14ac:dyDescent="0.35">
      <c r="A889" s="15">
        <v>876</v>
      </c>
      <c r="B889" s="10">
        <f t="shared" ca="1" si="897"/>
        <v>-0.12421028138594446</v>
      </c>
      <c r="C889" s="10">
        <f t="shared" ca="1" si="898"/>
        <v>0.19689710494583634</v>
      </c>
      <c r="D889" s="11">
        <f t="shared" si="899"/>
        <v>1447.7398688575352</v>
      </c>
      <c r="E889" s="11">
        <f t="shared" ref="E889:F889" ca="1" si="944">+D889*EXP(B889)</f>
        <v>1278.635313513644</v>
      </c>
      <c r="F889" s="11">
        <f t="shared" ca="1" si="944"/>
        <v>1556.8903287106843</v>
      </c>
      <c r="G889" s="12">
        <f t="shared" ca="1" si="901"/>
        <v>81.308413287335213</v>
      </c>
      <c r="H889" s="12">
        <f t="shared" ca="1" si="902"/>
        <v>140.17254358236289</v>
      </c>
    </row>
    <row r="890" spans="1:8" x14ac:dyDescent="0.35">
      <c r="A890" s="15">
        <v>877</v>
      </c>
      <c r="B890" s="10">
        <f t="shared" ca="1" si="897"/>
        <v>2.1174827519276091E-3</v>
      </c>
      <c r="C890" s="10">
        <f t="shared" ca="1" si="898"/>
        <v>0.16339057036862284</v>
      </c>
      <c r="D890" s="11">
        <f t="shared" si="899"/>
        <v>1447.7398688575352</v>
      </c>
      <c r="E890" s="11">
        <f t="shared" ref="E890:F890" ca="1" si="945">+D890*EXP(B890)</f>
        <v>1450.808680990855</v>
      </c>
      <c r="F890" s="11">
        <f t="shared" ca="1" si="945"/>
        <v>1708.3221369703101</v>
      </c>
      <c r="G890" s="12">
        <f t="shared" ca="1" si="901"/>
        <v>170.11994659546235</v>
      </c>
      <c r="H890" s="12">
        <f t="shared" ca="1" si="902"/>
        <v>260.78458994175594</v>
      </c>
    </row>
    <row r="891" spans="1:8" x14ac:dyDescent="0.35">
      <c r="A891" s="15">
        <v>878</v>
      </c>
      <c r="B891" s="10">
        <f t="shared" ca="1" si="897"/>
        <v>-2.8219666541923448E-3</v>
      </c>
      <c r="C891" s="10">
        <f t="shared" ca="1" si="898"/>
        <v>6.4703975293934207E-2</v>
      </c>
      <c r="D891" s="11">
        <f t="shared" si="899"/>
        <v>1447.7398688575352</v>
      </c>
      <c r="E891" s="11">
        <f t="shared" ref="E891:F891" ca="1" si="946">+D891*EXP(B891)</f>
        <v>1443.6601543402364</v>
      </c>
      <c r="F891" s="11">
        <f t="shared" ca="1" si="946"/>
        <v>1540.158969252685</v>
      </c>
      <c r="G891" s="12">
        <f t="shared" ca="1" si="901"/>
        <v>165.75074710579588</v>
      </c>
      <c r="H891" s="12">
        <f t="shared" ca="1" si="902"/>
        <v>128.76674284465014</v>
      </c>
    </row>
    <row r="892" spans="1:8" x14ac:dyDescent="0.35">
      <c r="A892" s="15">
        <v>879</v>
      </c>
      <c r="B892" s="10">
        <f t="shared" ca="1" si="897"/>
        <v>0.13593056901536726</v>
      </c>
      <c r="C892" s="10">
        <f t="shared" ca="1" si="898"/>
        <v>-7.9455834104772832E-2</v>
      </c>
      <c r="D892" s="11">
        <f t="shared" si="899"/>
        <v>1447.7398688575352</v>
      </c>
      <c r="E892" s="11">
        <f t="shared" ref="E892:F892" ca="1" si="947">+D892*EXP(B892)</f>
        <v>1658.5341967254433</v>
      </c>
      <c r="F892" s="11">
        <f t="shared" ca="1" si="947"/>
        <v>1531.8533836439385</v>
      </c>
      <c r="G892" s="12">
        <f t="shared" ca="1" si="901"/>
        <v>318.41206876959359</v>
      </c>
      <c r="H892" s="12">
        <f t="shared" ca="1" si="902"/>
        <v>123.27678352766156</v>
      </c>
    </row>
    <row r="893" spans="1:8" x14ac:dyDescent="0.35">
      <c r="A893" s="15">
        <v>880</v>
      </c>
      <c r="B893" s="10">
        <f t="shared" ca="1" si="897"/>
        <v>-0.23181452724681506</v>
      </c>
      <c r="C893" s="10">
        <f t="shared" ca="1" si="898"/>
        <v>0.15787085953082663</v>
      </c>
      <c r="D893" s="11">
        <f t="shared" si="899"/>
        <v>1447.7398688575352</v>
      </c>
      <c r="E893" s="11">
        <f t="shared" ref="E893:F893" ca="1" si="948">+D893*EXP(B893)</f>
        <v>1148.1926552722948</v>
      </c>
      <c r="F893" s="11">
        <f t="shared" ca="1" si="948"/>
        <v>1344.550775736348</v>
      </c>
      <c r="G893" s="12">
        <f t="shared" ca="1" si="901"/>
        <v>38.048623772646181</v>
      </c>
      <c r="H893" s="12">
        <f t="shared" ca="1" si="902"/>
        <v>33.582699057759385</v>
      </c>
    </row>
    <row r="894" spans="1:8" x14ac:dyDescent="0.35">
      <c r="A894" s="15">
        <v>881</v>
      </c>
      <c r="B894" s="10">
        <f t="shared" ca="1" si="897"/>
        <v>-3.2838435555033706E-2</v>
      </c>
      <c r="C894" s="10">
        <f t="shared" ca="1" si="898"/>
        <v>-0.14194971435622719</v>
      </c>
      <c r="D894" s="11">
        <f t="shared" si="899"/>
        <v>1447.7398688575352</v>
      </c>
      <c r="E894" s="11">
        <f t="shared" ref="E894:F894" ca="1" si="949">+D894*EXP(B894)</f>
        <v>1400.9704761075898</v>
      </c>
      <c r="F894" s="11">
        <f t="shared" ca="1" si="949"/>
        <v>1215.5728891085669</v>
      </c>
      <c r="G894" s="12">
        <f t="shared" ca="1" si="901"/>
        <v>140.83437125052637</v>
      </c>
      <c r="H894" s="12">
        <f t="shared" ca="1" si="902"/>
        <v>8.3922590582584888</v>
      </c>
    </row>
    <row r="895" spans="1:8" x14ac:dyDescent="0.35">
      <c r="A895" s="15">
        <v>882</v>
      </c>
      <c r="B895" s="10">
        <f t="shared" ca="1" si="897"/>
        <v>0.25023074858941263</v>
      </c>
      <c r="C895" s="10">
        <f t="shared" ca="1" si="898"/>
        <v>4.4512538258699649E-3</v>
      </c>
      <c r="D895" s="11">
        <f t="shared" si="899"/>
        <v>1447.7398688575352</v>
      </c>
      <c r="E895" s="11">
        <f t="shared" ref="E895:F895" ca="1" si="950">+D895*EXP(B895)</f>
        <v>1859.363784438694</v>
      </c>
      <c r="F895" s="11">
        <f t="shared" ca="1" si="950"/>
        <v>1867.6587323610959</v>
      </c>
      <c r="G895" s="12">
        <f t="shared" ca="1" si="901"/>
        <v>490.52211925980487</v>
      </c>
      <c r="H895" s="12">
        <f t="shared" ca="1" si="902"/>
        <v>408.68897491145572</v>
      </c>
    </row>
    <row r="896" spans="1:8" x14ac:dyDescent="0.35">
      <c r="A896" s="15">
        <v>883</v>
      </c>
      <c r="B896" s="10">
        <f t="shared" ca="1" si="897"/>
        <v>-0.13495507914578558</v>
      </c>
      <c r="C896" s="10">
        <f t="shared" ca="1" si="898"/>
        <v>-0.23503345348862051</v>
      </c>
      <c r="D896" s="11">
        <f t="shared" si="899"/>
        <v>1447.7398688575352</v>
      </c>
      <c r="E896" s="11">
        <f t="shared" ref="E896:F896" ca="1" si="951">+D896*EXP(B896)</f>
        <v>1264.9701816708314</v>
      </c>
      <c r="F896" s="11">
        <f t="shared" ca="1" si="951"/>
        <v>1000.0150967252838</v>
      </c>
      <c r="G896" s="12">
        <f t="shared" ca="1" si="901"/>
        <v>75.798618611057918</v>
      </c>
      <c r="H896" s="12">
        <f t="shared" ca="1" si="902"/>
        <v>0.18684613373576298</v>
      </c>
    </row>
    <row r="897" spans="1:8" x14ac:dyDescent="0.35">
      <c r="A897" s="15">
        <v>884</v>
      </c>
      <c r="B897" s="10">
        <f t="shared" ca="1" si="897"/>
        <v>3.7303878676368522E-2</v>
      </c>
      <c r="C897" s="10">
        <f t="shared" ca="1" si="898"/>
        <v>5.6100847280374476E-3</v>
      </c>
      <c r="D897" s="11">
        <f t="shared" si="899"/>
        <v>1447.7398688575352</v>
      </c>
      <c r="E897" s="11">
        <f t="shared" ref="E897:F897" ca="1" si="952">+D897*EXP(B897)</f>
        <v>1502.7661471129129</v>
      </c>
      <c r="F897" s="11">
        <f t="shared" ca="1" si="952"/>
        <v>1511.2204851272938</v>
      </c>
      <c r="G897" s="12">
        <f t="shared" ca="1" si="901"/>
        <v>203.4893737426637</v>
      </c>
      <c r="H897" s="12">
        <f t="shared" ca="1" si="902"/>
        <v>110.15180579053515</v>
      </c>
    </row>
    <row r="898" spans="1:8" x14ac:dyDescent="0.35">
      <c r="A898" s="15">
        <v>885</v>
      </c>
      <c r="B898" s="10">
        <f t="shared" ca="1" si="897"/>
        <v>9.3384128052654836E-2</v>
      </c>
      <c r="C898" s="10">
        <f t="shared" ca="1" si="898"/>
        <v>0.57913269456814354</v>
      </c>
      <c r="D898" s="11">
        <f t="shared" si="899"/>
        <v>1447.7398688575352</v>
      </c>
      <c r="E898" s="11">
        <f t="shared" ref="E898:F898" ca="1" si="953">+D898*EXP(B898)</f>
        <v>1589.4495436010602</v>
      </c>
      <c r="F898" s="11">
        <f t="shared" ca="1" si="953"/>
        <v>2836.3569137628206</v>
      </c>
      <c r="G898" s="12">
        <f t="shared" ca="1" si="901"/>
        <v>264.94963087560416</v>
      </c>
      <c r="H898" s="12">
        <f t="shared" ca="1" si="902"/>
        <v>1373.3921265705801</v>
      </c>
    </row>
    <row r="899" spans="1:8" x14ac:dyDescent="0.35">
      <c r="A899" s="15">
        <v>886</v>
      </c>
      <c r="B899" s="10">
        <f t="shared" ca="1" si="897"/>
        <v>-1.8394433725338256E-2</v>
      </c>
      <c r="C899" s="10">
        <f t="shared" ca="1" si="898"/>
        <v>0.19153793082102116</v>
      </c>
      <c r="D899" s="11">
        <f t="shared" si="899"/>
        <v>1447.7398688575352</v>
      </c>
      <c r="E899" s="11">
        <f t="shared" ref="E899:F899" ca="1" si="954">+D899*EXP(B899)</f>
        <v>1421.3529440665022</v>
      </c>
      <c r="F899" s="11">
        <f t="shared" ca="1" si="954"/>
        <v>1721.4158595174808</v>
      </c>
      <c r="G899" s="12">
        <f t="shared" ca="1" si="901"/>
        <v>152.47624534423551</v>
      </c>
      <c r="H899" s="12">
        <f t="shared" ca="1" si="902"/>
        <v>272.35615841565595</v>
      </c>
    </row>
    <row r="900" spans="1:8" x14ac:dyDescent="0.35">
      <c r="A900" s="15">
        <v>887</v>
      </c>
      <c r="B900" s="10">
        <f t="shared" ca="1" si="897"/>
        <v>-0.19695561809377116</v>
      </c>
      <c r="C900" s="10">
        <f t="shared" ca="1" si="898"/>
        <v>0.16280754161315675</v>
      </c>
      <c r="D900" s="11">
        <f t="shared" si="899"/>
        <v>1447.7398688575352</v>
      </c>
      <c r="E900" s="11">
        <f t="shared" ref="E900:F900" ca="1" si="955">+D900*EXP(B900)</f>
        <v>1188.9231852855007</v>
      </c>
      <c r="F900" s="11">
        <f t="shared" ca="1" si="955"/>
        <v>1399.1369087560422</v>
      </c>
      <c r="G900" s="12">
        <f t="shared" ca="1" si="901"/>
        <v>49.349469120793742</v>
      </c>
      <c r="H900" s="12">
        <f t="shared" ca="1" si="902"/>
        <v>52.730202614539337</v>
      </c>
    </row>
    <row r="901" spans="1:8" x14ac:dyDescent="0.35">
      <c r="A901" s="15">
        <v>888</v>
      </c>
      <c r="B901" s="10">
        <f t="shared" ca="1" si="897"/>
        <v>-0.10218264420292215</v>
      </c>
      <c r="C901" s="10">
        <f t="shared" ca="1" si="898"/>
        <v>8.1475374537024733E-2</v>
      </c>
      <c r="D901" s="11">
        <f t="shared" si="899"/>
        <v>1447.7398688575352</v>
      </c>
      <c r="E901" s="11">
        <f t="shared" ref="E901:F901" ca="1" si="956">+D901*EXP(B901)</f>
        <v>1307.1131262692434</v>
      </c>
      <c r="F901" s="11">
        <f t="shared" ca="1" si="956"/>
        <v>1418.0693865218998</v>
      </c>
      <c r="G901" s="12">
        <f t="shared" ca="1" si="901"/>
        <v>93.535602959900018</v>
      </c>
      <c r="H901" s="12">
        <f t="shared" ca="1" si="902"/>
        <v>60.717887046582632</v>
      </c>
    </row>
    <row r="902" spans="1:8" x14ac:dyDescent="0.35">
      <c r="A902" s="15">
        <v>889</v>
      </c>
      <c r="B902" s="10">
        <f t="shared" ca="1" si="897"/>
        <v>-6.0087041421600554E-2</v>
      </c>
      <c r="C902" s="10">
        <f t="shared" ca="1" si="898"/>
        <v>0.2972183696913212</v>
      </c>
      <c r="D902" s="11">
        <f t="shared" si="899"/>
        <v>1447.7398688575352</v>
      </c>
      <c r="E902" s="11">
        <f t="shared" ref="E902:F902" ca="1" si="957">+D902*EXP(B902)</f>
        <v>1363.3113926197241</v>
      </c>
      <c r="F902" s="11">
        <f t="shared" ca="1" si="957"/>
        <v>1835.16603098717</v>
      </c>
      <c r="G902" s="12">
        <f t="shared" ca="1" si="901"/>
        <v>120.5885299472659</v>
      </c>
      <c r="H902" s="12">
        <f t="shared" ca="1" si="902"/>
        <v>377.54157992820183</v>
      </c>
    </row>
    <row r="903" spans="1:8" x14ac:dyDescent="0.35">
      <c r="A903" s="15">
        <v>890</v>
      </c>
      <c r="B903" s="10">
        <f t="shared" ca="1" si="897"/>
        <v>-5.7541494232413642E-2</v>
      </c>
      <c r="C903" s="10">
        <f t="shared" ca="1" si="898"/>
        <v>0.37569498348886021</v>
      </c>
      <c r="D903" s="11">
        <f t="shared" si="899"/>
        <v>1447.7398688575352</v>
      </c>
      <c r="E903" s="11">
        <f t="shared" ref="E903:F903" ca="1" si="958">+D903*EXP(B903)</f>
        <v>1366.786186853207</v>
      </c>
      <c r="F903" s="11">
        <f t="shared" ca="1" si="958"/>
        <v>1990.044735236721</v>
      </c>
      <c r="G903" s="12">
        <f t="shared" ca="1" si="901"/>
        <v>122.38660234126087</v>
      </c>
      <c r="H903" s="12">
        <f t="shared" ca="1" si="902"/>
        <v>528.34064063131723</v>
      </c>
    </row>
    <row r="904" spans="1:8" x14ac:dyDescent="0.35">
      <c r="A904" s="15">
        <v>891</v>
      </c>
      <c r="B904" s="10">
        <f t="shared" ca="1" si="897"/>
        <v>-2.1345386694022535E-2</v>
      </c>
      <c r="C904" s="10">
        <f t="shared" ca="1" si="898"/>
        <v>0.18666973973251685</v>
      </c>
      <c r="D904" s="11">
        <f t="shared" si="899"/>
        <v>1447.7398688575352</v>
      </c>
      <c r="E904" s="11">
        <f t="shared" ref="E904:F904" ca="1" si="959">+D904*EXP(B904)</f>
        <v>1417.1647809521019</v>
      </c>
      <c r="F904" s="11">
        <f t="shared" ca="1" si="959"/>
        <v>1708.0083468760856</v>
      </c>
      <c r="G904" s="12">
        <f t="shared" ca="1" si="901"/>
        <v>150.04567099222402</v>
      </c>
      <c r="H904" s="12">
        <f t="shared" ca="1" si="902"/>
        <v>260.50899600047387</v>
      </c>
    </row>
    <row r="905" spans="1:8" x14ac:dyDescent="0.35">
      <c r="A905" s="15">
        <v>892</v>
      </c>
      <c r="B905" s="10">
        <f t="shared" ca="1" si="897"/>
        <v>-0.24985624988646993</v>
      </c>
      <c r="C905" s="10">
        <f t="shared" ca="1" si="898"/>
        <v>-0.14263570712414206</v>
      </c>
      <c r="D905" s="11">
        <f t="shared" si="899"/>
        <v>1447.7398688575352</v>
      </c>
      <c r="E905" s="11">
        <f t="shared" ref="E905:F905" ca="1" si="960">+D905*EXP(B905)</f>
        <v>1127.6630335885336</v>
      </c>
      <c r="F905" s="11">
        <f t="shared" ca="1" si="960"/>
        <v>977.76264980227438</v>
      </c>
      <c r="G905" s="12">
        <f t="shared" ca="1" si="901"/>
        <v>33.075095311347638</v>
      </c>
      <c r="H905" s="12">
        <f t="shared" ca="1" si="902"/>
        <v>0.10874170425356544</v>
      </c>
    </row>
    <row r="906" spans="1:8" x14ac:dyDescent="0.35">
      <c r="A906" s="15">
        <v>893</v>
      </c>
      <c r="B906" s="10">
        <f t="shared" ca="1" si="897"/>
        <v>-0.11908502740675424</v>
      </c>
      <c r="C906" s="10">
        <f t="shared" ca="1" si="898"/>
        <v>6.3884290994161819E-2</v>
      </c>
      <c r="D906" s="11">
        <f t="shared" si="899"/>
        <v>1447.7398688575352</v>
      </c>
      <c r="E906" s="11">
        <f t="shared" ref="E906:F906" ca="1" si="961">+D906*EXP(B906)</f>
        <v>1285.2054667118905</v>
      </c>
      <c r="F906" s="11">
        <f t="shared" ca="1" si="961"/>
        <v>1369.989249642739</v>
      </c>
      <c r="G906" s="12">
        <f t="shared" ca="1" si="901"/>
        <v>84.040098824695917</v>
      </c>
      <c r="H906" s="12">
        <f t="shared" ca="1" si="902"/>
        <v>41.799433528295936</v>
      </c>
    </row>
    <row r="907" spans="1:8" x14ac:dyDescent="0.35">
      <c r="A907" s="15">
        <v>894</v>
      </c>
      <c r="B907" s="10">
        <f t="shared" ca="1" si="897"/>
        <v>-0.11618655301945814</v>
      </c>
      <c r="C907" s="10">
        <f t="shared" ca="1" si="898"/>
        <v>-0.10337925476192483</v>
      </c>
      <c r="D907" s="11">
        <f t="shared" si="899"/>
        <v>1447.7398688575352</v>
      </c>
      <c r="E907" s="11">
        <f t="shared" ref="E907:F907" ca="1" si="962">+D907*EXP(B907)</f>
        <v>1288.9360056636335</v>
      </c>
      <c r="F907" s="11">
        <f t="shared" ca="1" si="962"/>
        <v>1162.3430300686512</v>
      </c>
      <c r="G907" s="12">
        <f t="shared" ca="1" si="901"/>
        <v>85.615010098052039</v>
      </c>
      <c r="H907" s="12">
        <f t="shared" ca="1" si="902"/>
        <v>4.0176520707619403</v>
      </c>
    </row>
    <row r="908" spans="1:8" x14ac:dyDescent="0.35">
      <c r="A908" s="15">
        <v>895</v>
      </c>
      <c r="B908" s="10">
        <f t="shared" ca="1" si="897"/>
        <v>0.18774405034616115</v>
      </c>
      <c r="C908" s="10">
        <f t="shared" ca="1" si="898"/>
        <v>2.998359246928211E-2</v>
      </c>
      <c r="D908" s="11">
        <f t="shared" si="899"/>
        <v>1447.7398688575352</v>
      </c>
      <c r="E908" s="11">
        <f t="shared" ref="E908:F908" ca="1" si="963">+D908*EXP(B908)</f>
        <v>1746.7338620984169</v>
      </c>
      <c r="F908" s="11">
        <f t="shared" ca="1" si="963"/>
        <v>1799.9002956477866</v>
      </c>
      <c r="G908" s="12">
        <f t="shared" ca="1" si="901"/>
        <v>391.38400191813594</v>
      </c>
      <c r="H908" s="12">
        <f t="shared" ca="1" si="902"/>
        <v>344.19328925615378</v>
      </c>
    </row>
    <row r="909" spans="1:8" x14ac:dyDescent="0.35">
      <c r="A909" s="15">
        <v>896</v>
      </c>
      <c r="B909" s="10">
        <f t="shared" ca="1" si="897"/>
        <v>-1.0319232094191527E-2</v>
      </c>
      <c r="C909" s="10">
        <f t="shared" ca="1" si="898"/>
        <v>0.12661888651725925</v>
      </c>
      <c r="D909" s="11">
        <f t="shared" si="899"/>
        <v>1447.7398688575352</v>
      </c>
      <c r="E909" s="11">
        <f t="shared" ref="E909:F909" ca="1" si="964">+D909*EXP(B909)</f>
        <v>1432.8771230903214</v>
      </c>
      <c r="F909" s="11">
        <f t="shared" ca="1" si="964"/>
        <v>1626.2931495778337</v>
      </c>
      <c r="G909" s="12">
        <f t="shared" ca="1" si="901"/>
        <v>159.2654073779114</v>
      </c>
      <c r="H909" s="12">
        <f t="shared" ca="1" si="902"/>
        <v>191.97912355518042</v>
      </c>
    </row>
    <row r="910" spans="1:8" x14ac:dyDescent="0.35">
      <c r="A910" s="15">
        <v>897</v>
      </c>
      <c r="B910" s="10">
        <f t="shared" ca="1" si="897"/>
        <v>2.1218627856283926E-2</v>
      </c>
      <c r="C910" s="10">
        <f t="shared" ca="1" si="898"/>
        <v>-0.15326907088188804</v>
      </c>
      <c r="D910" s="11">
        <f t="shared" si="899"/>
        <v>1447.7398688575352</v>
      </c>
      <c r="E910" s="11">
        <f t="shared" ref="E910:F910" ca="1" si="965">+D910*EXP(B910)</f>
        <v>1478.7871478371087</v>
      </c>
      <c r="F910" s="11">
        <f t="shared" ca="1" si="965"/>
        <v>1268.6498011422259</v>
      </c>
      <c r="G910" s="12">
        <f t="shared" ca="1" si="901"/>
        <v>187.74333016908724</v>
      </c>
      <c r="H910" s="12">
        <f t="shared" ca="1" si="902"/>
        <v>15.792497020647943</v>
      </c>
    </row>
    <row r="911" spans="1:8" x14ac:dyDescent="0.35">
      <c r="A911" s="15">
        <v>898</v>
      </c>
      <c r="B911" s="10">
        <f t="shared" ref="B911:B974" ca="1" si="966">+($B$6-0.5*$B$10^2)*$H$4+$B$10*SQRT($H$4)*_xlfn.NORM.S.INV(RAND())</f>
        <v>7.6474731242458405E-2</v>
      </c>
      <c r="C911" s="10">
        <f t="shared" ref="C911:C974" ca="1" si="967">+($B$6-0.5*$B$10^2)+$B$10*_xlfn.NORM.S.INV(RAND())</f>
        <v>9.9573258675187334E-2</v>
      </c>
      <c r="D911" s="11">
        <f t="shared" ref="D911:D974" si="968">+$B$9</f>
        <v>1447.7398688575352</v>
      </c>
      <c r="E911" s="11">
        <f t="shared" ref="E911:F911" ca="1" si="969">+D911*EXP(B911)</f>
        <v>1562.7988689855076</v>
      </c>
      <c r="F911" s="11">
        <f t="shared" ca="1" si="969"/>
        <v>1726.4229675597169</v>
      </c>
      <c r="G911" s="12">
        <f t="shared" ref="G911:G974" ca="1" si="970">+BlackScholesCall(E911,$B$4,$B$10,$B$6,$B$7-$H$4)</f>
        <v>245.33889205731168</v>
      </c>
      <c r="H911" s="12">
        <f t="shared" ref="H911:H974" ca="1" si="971">+BlackScholesCall(F911,$B$4,$B$10,$B$6,$B$7-$I$4)</f>
        <v>276.81696284665964</v>
      </c>
    </row>
    <row r="912" spans="1:8" x14ac:dyDescent="0.35">
      <c r="A912" s="15">
        <v>899</v>
      </c>
      <c r="B912" s="10">
        <f t="shared" ca="1" si="966"/>
        <v>-1.1028154895833933E-2</v>
      </c>
      <c r="C912" s="10">
        <f t="shared" ca="1" si="967"/>
        <v>-0.18396297205079151</v>
      </c>
      <c r="D912" s="11">
        <f t="shared" si="968"/>
        <v>1447.7398688575352</v>
      </c>
      <c r="E912" s="11">
        <f t="shared" ref="E912:F912" ca="1" si="972">+D912*EXP(B912)</f>
        <v>1431.8616838023711</v>
      </c>
      <c r="F912" s="11">
        <f t="shared" ca="1" si="972"/>
        <v>1191.2611100219726</v>
      </c>
      <c r="G912" s="12">
        <f t="shared" ca="1" si="970"/>
        <v>158.66126480214564</v>
      </c>
      <c r="H912" s="12">
        <f t="shared" ca="1" si="971"/>
        <v>6.0772840909781678</v>
      </c>
    </row>
    <row r="913" spans="1:8" x14ac:dyDescent="0.35">
      <c r="A913" s="15">
        <v>900</v>
      </c>
      <c r="B913" s="10">
        <f t="shared" ca="1" si="966"/>
        <v>0.11606310293315945</v>
      </c>
      <c r="C913" s="10">
        <f t="shared" ca="1" si="967"/>
        <v>0.36586692527928033</v>
      </c>
      <c r="D913" s="11">
        <f t="shared" si="968"/>
        <v>1447.7398688575352</v>
      </c>
      <c r="E913" s="11">
        <f t="shared" ref="E913:F913" ca="1" si="973">+D913*EXP(B913)</f>
        <v>1625.9084930076096</v>
      </c>
      <c r="F913" s="11">
        <f t="shared" ca="1" si="973"/>
        <v>2344.175304337602</v>
      </c>
      <c r="G913" s="12">
        <f t="shared" ca="1" si="970"/>
        <v>292.71546079111818</v>
      </c>
      <c r="H913" s="12">
        <f t="shared" ca="1" si="971"/>
        <v>881.23967345531605</v>
      </c>
    </row>
    <row r="914" spans="1:8" x14ac:dyDescent="0.35">
      <c r="A914" s="15">
        <v>901</v>
      </c>
      <c r="B914" s="10">
        <f t="shared" ca="1" si="966"/>
        <v>-7.9549789246132971E-3</v>
      </c>
      <c r="C914" s="10">
        <f t="shared" ca="1" si="967"/>
        <v>1.3879209021223766E-2</v>
      </c>
      <c r="D914" s="11">
        <f t="shared" si="968"/>
        <v>1447.7398688575352</v>
      </c>
      <c r="E914" s="11">
        <f t="shared" ref="E914:F914" ca="1" si="974">+D914*EXP(B914)</f>
        <v>1436.2688151997374</v>
      </c>
      <c r="F914" s="11">
        <f t="shared" ca="1" si="974"/>
        <v>1456.3420685068015</v>
      </c>
      <c r="G914" s="12">
        <f t="shared" ca="1" si="970"/>
        <v>161.29155920670519</v>
      </c>
      <c r="H914" s="12">
        <f t="shared" ca="1" si="971"/>
        <v>79.014427405447691</v>
      </c>
    </row>
    <row r="915" spans="1:8" x14ac:dyDescent="0.35">
      <c r="A915" s="15">
        <v>902</v>
      </c>
      <c r="B915" s="10">
        <f t="shared" ca="1" si="966"/>
        <v>0.2145729504109658</v>
      </c>
      <c r="C915" s="10">
        <f t="shared" ca="1" si="967"/>
        <v>0.25728799713293715</v>
      </c>
      <c r="D915" s="11">
        <f t="shared" si="968"/>
        <v>1447.7398688575352</v>
      </c>
      <c r="E915" s="11">
        <f t="shared" ref="E915:F915" ca="1" si="975">+D915*EXP(B915)</f>
        <v>1794.2311108251226</v>
      </c>
      <c r="F915" s="11">
        <f t="shared" ca="1" si="975"/>
        <v>2320.6900499807739</v>
      </c>
      <c r="G915" s="12">
        <f t="shared" ca="1" si="970"/>
        <v>432.48711130204356</v>
      </c>
      <c r="H915" s="12">
        <f t="shared" ca="1" si="971"/>
        <v>857.76330217653572</v>
      </c>
    </row>
    <row r="916" spans="1:8" x14ac:dyDescent="0.35">
      <c r="A916" s="15">
        <v>903</v>
      </c>
      <c r="B916" s="10">
        <f t="shared" ca="1" si="966"/>
        <v>-2.0339257676011184E-2</v>
      </c>
      <c r="C916" s="10">
        <f t="shared" ca="1" si="967"/>
        <v>-0.10273419707754761</v>
      </c>
      <c r="D916" s="11">
        <f t="shared" si="968"/>
        <v>1447.7398688575352</v>
      </c>
      <c r="E916" s="11">
        <f t="shared" ref="E916:F916" ca="1" si="976">+D916*EXP(B916)</f>
        <v>1418.5913490969826</v>
      </c>
      <c r="F916" s="11">
        <f t="shared" ca="1" si="976"/>
        <v>1280.0897267423645</v>
      </c>
      <c r="G916" s="12">
        <f t="shared" ca="1" si="970"/>
        <v>150.87135583750239</v>
      </c>
      <c r="H916" s="12">
        <f t="shared" ca="1" si="971"/>
        <v>17.882754823354531</v>
      </c>
    </row>
    <row r="917" spans="1:8" x14ac:dyDescent="0.35">
      <c r="A917" s="15">
        <v>904</v>
      </c>
      <c r="B917" s="10">
        <f t="shared" ca="1" si="966"/>
        <v>7.4807516121692674E-2</v>
      </c>
      <c r="C917" s="10">
        <f t="shared" ca="1" si="967"/>
        <v>0.15043878975718197</v>
      </c>
      <c r="D917" s="11">
        <f t="shared" si="968"/>
        <v>1447.7398688575352</v>
      </c>
      <c r="E917" s="11">
        <f t="shared" ref="E917:F917" ca="1" si="977">+D917*EXP(B917)</f>
        <v>1560.195517856627</v>
      </c>
      <c r="F917" s="11">
        <f t="shared" ca="1" si="977"/>
        <v>1813.4841417078408</v>
      </c>
      <c r="G917" s="12">
        <f t="shared" ca="1" si="970"/>
        <v>243.45587058704268</v>
      </c>
      <c r="H917" s="12">
        <f t="shared" ca="1" si="971"/>
        <v>356.97490860641597</v>
      </c>
    </row>
    <row r="918" spans="1:8" x14ac:dyDescent="0.35">
      <c r="A918" s="15">
        <v>905</v>
      </c>
      <c r="B918" s="10">
        <f t="shared" ca="1" si="966"/>
        <v>-9.0839637893087785E-2</v>
      </c>
      <c r="C918" s="10">
        <f t="shared" ca="1" si="967"/>
        <v>-4.9584509847925312E-2</v>
      </c>
      <c r="D918" s="11">
        <f t="shared" si="968"/>
        <v>1447.7398688575352</v>
      </c>
      <c r="E918" s="11">
        <f t="shared" ref="E918:F918" ca="1" si="978">+D918*EXP(B918)</f>
        <v>1322.0241266185624</v>
      </c>
      <c r="F918" s="11">
        <f t="shared" ca="1" si="978"/>
        <v>1258.0708566143217</v>
      </c>
      <c r="G918" s="12">
        <f t="shared" ca="1" si="970"/>
        <v>100.33770668303498</v>
      </c>
      <c r="H918" s="12">
        <f t="shared" ca="1" si="971"/>
        <v>14.026701099444693</v>
      </c>
    </row>
    <row r="919" spans="1:8" x14ac:dyDescent="0.35">
      <c r="A919" s="15">
        <v>906</v>
      </c>
      <c r="B919" s="10">
        <f t="shared" ca="1" si="966"/>
        <v>-0.13065599130405942</v>
      </c>
      <c r="C919" s="10">
        <f t="shared" ca="1" si="967"/>
        <v>-5.8062561344676245E-2</v>
      </c>
      <c r="D919" s="11">
        <f t="shared" si="968"/>
        <v>1447.7398688575352</v>
      </c>
      <c r="E919" s="11">
        <f t="shared" ref="E919:F919" ca="1" si="979">+D919*EXP(B919)</f>
        <v>1270.4201060569715</v>
      </c>
      <c r="F919" s="11">
        <f t="shared" ca="1" si="979"/>
        <v>1198.7568681157345</v>
      </c>
      <c r="G919" s="12">
        <f t="shared" ca="1" si="970"/>
        <v>77.968215012659243</v>
      </c>
      <c r="H919" s="12">
        <f t="shared" ca="1" si="971"/>
        <v>6.7290776243828105</v>
      </c>
    </row>
    <row r="920" spans="1:8" x14ac:dyDescent="0.35">
      <c r="A920" s="15">
        <v>907</v>
      </c>
      <c r="B920" s="10">
        <f t="shared" ca="1" si="966"/>
        <v>7.5705389153275543E-2</v>
      </c>
      <c r="C920" s="10">
        <f t="shared" ca="1" si="967"/>
        <v>8.1287957666369176E-2</v>
      </c>
      <c r="D920" s="11">
        <f t="shared" si="968"/>
        <v>1447.7398688575352</v>
      </c>
      <c r="E920" s="11">
        <f t="shared" ref="E920:F920" ca="1" si="980">+D920*EXP(B920)</f>
        <v>1561.597004420448</v>
      </c>
      <c r="F920" s="11">
        <f t="shared" ca="1" si="980"/>
        <v>1693.8380271854237</v>
      </c>
      <c r="G920" s="12">
        <f t="shared" ca="1" si="970"/>
        <v>244.46883841578608</v>
      </c>
      <c r="H920" s="12">
        <f t="shared" ca="1" si="971"/>
        <v>248.15163987122241</v>
      </c>
    </row>
    <row r="921" spans="1:8" x14ac:dyDescent="0.35">
      <c r="A921" s="15">
        <v>908</v>
      </c>
      <c r="B921" s="10">
        <f t="shared" ca="1" si="966"/>
        <v>-8.8410825199675247E-2</v>
      </c>
      <c r="C921" s="10">
        <f t="shared" ca="1" si="967"/>
        <v>-6.480964146088905E-2</v>
      </c>
      <c r="D921" s="11">
        <f t="shared" si="968"/>
        <v>1447.7398688575352</v>
      </c>
      <c r="E921" s="11">
        <f t="shared" ref="E921:F921" ca="1" si="981">+D921*EXP(B921)</f>
        <v>1325.2389781539969</v>
      </c>
      <c r="F921" s="11">
        <f t="shared" ca="1" si="981"/>
        <v>1242.0747446587736</v>
      </c>
      <c r="G921" s="12">
        <f t="shared" ca="1" si="970"/>
        <v>101.84008022075056</v>
      </c>
      <c r="H921" s="12">
        <f t="shared" ca="1" si="971"/>
        <v>11.644283380486399</v>
      </c>
    </row>
    <row r="922" spans="1:8" x14ac:dyDescent="0.35">
      <c r="A922" s="15">
        <v>909</v>
      </c>
      <c r="B922" s="10">
        <f t="shared" ca="1" si="966"/>
        <v>-1.7111152443586707E-2</v>
      </c>
      <c r="C922" s="10">
        <f t="shared" ca="1" si="967"/>
        <v>7.4311140043426704E-2</v>
      </c>
      <c r="D922" s="11">
        <f t="shared" si="968"/>
        <v>1447.7398688575352</v>
      </c>
      <c r="E922" s="11">
        <f t="shared" ref="E922:F922" ca="1" si="982">+D922*EXP(B922)</f>
        <v>1423.1781105448988</v>
      </c>
      <c r="F922" s="11">
        <f t="shared" ca="1" si="982"/>
        <v>1532.9647673982702</v>
      </c>
      <c r="G922" s="12">
        <f t="shared" ca="1" si="970"/>
        <v>153.54162813346682</v>
      </c>
      <c r="H922" s="12">
        <f t="shared" ca="1" si="971"/>
        <v>124.00465081958976</v>
      </c>
    </row>
    <row r="923" spans="1:8" x14ac:dyDescent="0.35">
      <c r="A923" s="15">
        <v>910</v>
      </c>
      <c r="B923" s="10">
        <f t="shared" ca="1" si="966"/>
        <v>-0.1273370393427623</v>
      </c>
      <c r="C923" s="10">
        <f t="shared" ca="1" si="967"/>
        <v>-0.36017016389830925</v>
      </c>
      <c r="D923" s="11">
        <f t="shared" si="968"/>
        <v>1447.7398688575352</v>
      </c>
      <c r="E923" s="11">
        <f t="shared" ref="E923:F923" ca="1" si="983">+D923*EXP(B923)</f>
        <v>1274.6435742266767</v>
      </c>
      <c r="F923" s="11">
        <f t="shared" ca="1" si="983"/>
        <v>889.1373339680847</v>
      </c>
      <c r="G923" s="12">
        <f t="shared" ca="1" si="970"/>
        <v>79.674948211083574</v>
      </c>
      <c r="H923" s="12">
        <f t="shared" ca="1" si="971"/>
        <v>8.6497104783149481E-3</v>
      </c>
    </row>
    <row r="924" spans="1:8" x14ac:dyDescent="0.35">
      <c r="A924" s="15">
        <v>911</v>
      </c>
      <c r="B924" s="10">
        <f t="shared" ca="1" si="966"/>
        <v>-2.6820894843778434E-2</v>
      </c>
      <c r="C924" s="10">
        <f t="shared" ca="1" si="967"/>
        <v>-0.10751842762425934</v>
      </c>
      <c r="D924" s="11">
        <f t="shared" si="968"/>
        <v>1447.7398688575352</v>
      </c>
      <c r="E924" s="11">
        <f t="shared" ref="E924:F924" ca="1" si="984">+D924*EXP(B924)</f>
        <v>1409.4262890662353</v>
      </c>
      <c r="F924" s="11">
        <f t="shared" ca="1" si="984"/>
        <v>1265.7493353672742</v>
      </c>
      <c r="G924" s="12">
        <f t="shared" ca="1" si="970"/>
        <v>145.60678063328135</v>
      </c>
      <c r="H924" s="12">
        <f t="shared" ca="1" si="971"/>
        <v>15.292720460226434</v>
      </c>
    </row>
    <row r="925" spans="1:8" x14ac:dyDescent="0.35">
      <c r="A925" s="15">
        <v>912</v>
      </c>
      <c r="B925" s="10">
        <f t="shared" ca="1" si="966"/>
        <v>-2.1482283917357209E-2</v>
      </c>
      <c r="C925" s="10">
        <f t="shared" ca="1" si="967"/>
        <v>9.6192863364187933E-2</v>
      </c>
      <c r="D925" s="11">
        <f t="shared" si="968"/>
        <v>1447.7398688575352</v>
      </c>
      <c r="E925" s="11">
        <f t="shared" ref="E925:F925" ca="1" si="985">+D925*EXP(B925)</f>
        <v>1416.970788307412</v>
      </c>
      <c r="F925" s="11">
        <f t="shared" ca="1" si="985"/>
        <v>1560.0442850211139</v>
      </c>
      <c r="G925" s="12">
        <f t="shared" ca="1" si="970"/>
        <v>149.93356688273172</v>
      </c>
      <c r="H925" s="12">
        <f t="shared" ca="1" si="971"/>
        <v>142.37313206245972</v>
      </c>
    </row>
    <row r="926" spans="1:8" x14ac:dyDescent="0.35">
      <c r="A926" s="15">
        <v>913</v>
      </c>
      <c r="B926" s="10">
        <f t="shared" ca="1" si="966"/>
        <v>5.2973412687611722E-2</v>
      </c>
      <c r="C926" s="10">
        <f t="shared" ca="1" si="967"/>
        <v>0.35513297258028631</v>
      </c>
      <c r="D926" s="11">
        <f t="shared" si="968"/>
        <v>1447.7398688575352</v>
      </c>
      <c r="E926" s="11">
        <f t="shared" ref="E926:F926" ca="1" si="986">+D926*EXP(B926)</f>
        <v>1526.4992500926364</v>
      </c>
      <c r="F926" s="11">
        <f t="shared" ca="1" si="986"/>
        <v>2177.3532082827974</v>
      </c>
      <c r="G926" s="12">
        <f t="shared" ca="1" si="970"/>
        <v>219.63189339093503</v>
      </c>
      <c r="H926" s="12">
        <f t="shared" ca="1" si="971"/>
        <v>714.57259132061881</v>
      </c>
    </row>
    <row r="927" spans="1:8" x14ac:dyDescent="0.35">
      <c r="A927" s="15">
        <v>914</v>
      </c>
      <c r="B927" s="10">
        <f t="shared" ca="1" si="966"/>
        <v>-0.12941422822415138</v>
      </c>
      <c r="C927" s="10">
        <f t="shared" ca="1" si="967"/>
        <v>-3.2589671590311689E-2</v>
      </c>
      <c r="D927" s="11">
        <f t="shared" si="968"/>
        <v>1447.7398688575352</v>
      </c>
      <c r="E927" s="11">
        <f t="shared" ref="E927:F927" ca="1" si="987">+D927*EXP(B927)</f>
        <v>1271.9986467245674</v>
      </c>
      <c r="F927" s="11">
        <f t="shared" ca="1" si="987"/>
        <v>1231.2128364211321</v>
      </c>
      <c r="G927" s="12">
        <f t="shared" ca="1" si="970"/>
        <v>78.603520160768255</v>
      </c>
      <c r="H927" s="12">
        <f t="shared" ca="1" si="971"/>
        <v>10.211759937858375</v>
      </c>
    </row>
    <row r="928" spans="1:8" x14ac:dyDescent="0.35">
      <c r="A928" s="15">
        <v>915</v>
      </c>
      <c r="B928" s="10">
        <f t="shared" ca="1" si="966"/>
        <v>0.16788882444798203</v>
      </c>
      <c r="C928" s="10">
        <f t="shared" ca="1" si="967"/>
        <v>0.13646921821024871</v>
      </c>
      <c r="D928" s="11">
        <f t="shared" si="968"/>
        <v>1447.7398688575352</v>
      </c>
      <c r="E928" s="11">
        <f t="shared" ref="E928:F928" ca="1" si="988">+D928*EXP(B928)</f>
        <v>1712.3941066229718</v>
      </c>
      <c r="F928" s="11">
        <f t="shared" ca="1" si="988"/>
        <v>1962.7796785897697</v>
      </c>
      <c r="G928" s="12">
        <f t="shared" ca="1" si="970"/>
        <v>362.41238432468413</v>
      </c>
      <c r="H928" s="12">
        <f t="shared" ca="1" si="971"/>
        <v>501.45768176947217</v>
      </c>
    </row>
    <row r="929" spans="1:8" x14ac:dyDescent="0.35">
      <c r="A929" s="15">
        <v>916</v>
      </c>
      <c r="B929" s="10">
        <f t="shared" ca="1" si="966"/>
        <v>7.3492517458037282E-2</v>
      </c>
      <c r="C929" s="10">
        <f t="shared" ca="1" si="967"/>
        <v>0.21043971773172285</v>
      </c>
      <c r="D929" s="11">
        <f t="shared" si="968"/>
        <v>1447.7398688575352</v>
      </c>
      <c r="E929" s="11">
        <f t="shared" ref="E929:F929" ca="1" si="989">+D929*EXP(B929)</f>
        <v>1558.1452112063098</v>
      </c>
      <c r="F929" s="11">
        <f t="shared" ca="1" si="989"/>
        <v>1923.0949943711225</v>
      </c>
      <c r="G929" s="12">
        <f t="shared" ca="1" si="970"/>
        <v>241.97705455172309</v>
      </c>
      <c r="H929" s="12">
        <f t="shared" ca="1" si="971"/>
        <v>462.52655512127421</v>
      </c>
    </row>
    <row r="930" spans="1:8" x14ac:dyDescent="0.35">
      <c r="A930" s="15">
        <v>917</v>
      </c>
      <c r="B930" s="10">
        <f t="shared" ca="1" si="966"/>
        <v>-3.3666143852298429E-2</v>
      </c>
      <c r="C930" s="10">
        <f t="shared" ca="1" si="967"/>
        <v>0.11877272291920375</v>
      </c>
      <c r="D930" s="11">
        <f t="shared" si="968"/>
        <v>1447.7398688575352</v>
      </c>
      <c r="E930" s="11">
        <f t="shared" ref="E930:F930" ca="1" si="990">+D930*EXP(B930)</f>
        <v>1399.8113609910683</v>
      </c>
      <c r="F930" s="11">
        <f t="shared" ca="1" si="990"/>
        <v>1576.3471000153168</v>
      </c>
      <c r="G930" s="12">
        <f t="shared" ca="1" si="970"/>
        <v>140.1865613985243</v>
      </c>
      <c r="H930" s="12">
        <f t="shared" ca="1" si="971"/>
        <v>153.99449963627592</v>
      </c>
    </row>
    <row r="931" spans="1:8" x14ac:dyDescent="0.35">
      <c r="A931" s="15">
        <v>918</v>
      </c>
      <c r="B931" s="10">
        <f t="shared" ca="1" si="966"/>
        <v>-0.14158865734687104</v>
      </c>
      <c r="C931" s="10">
        <f t="shared" ca="1" si="967"/>
        <v>-0.34178727043614665</v>
      </c>
      <c r="D931" s="11">
        <f t="shared" si="968"/>
        <v>1447.7398688575352</v>
      </c>
      <c r="E931" s="11">
        <f t="shared" ref="E931:F931" ca="1" si="991">+D931*EXP(B931)</f>
        <v>1256.6066737099354</v>
      </c>
      <c r="F931" s="11">
        <f t="shared" ca="1" si="991"/>
        <v>892.81820332211066</v>
      </c>
      <c r="G931" s="12">
        <f t="shared" ca="1" si="970"/>
        <v>72.540893448395252</v>
      </c>
      <c r="H931" s="12">
        <f t="shared" ca="1" si="971"/>
        <v>9.7373684871522315E-3</v>
      </c>
    </row>
    <row r="932" spans="1:8" x14ac:dyDescent="0.35">
      <c r="A932" s="15">
        <v>919</v>
      </c>
      <c r="B932" s="10">
        <f t="shared" ca="1" si="966"/>
        <v>8.6924338085324571E-2</v>
      </c>
      <c r="C932" s="10">
        <f t="shared" ca="1" si="967"/>
        <v>-0.26602211113264485</v>
      </c>
      <c r="D932" s="11">
        <f t="shared" si="968"/>
        <v>1447.7398688575352</v>
      </c>
      <c r="E932" s="11">
        <f t="shared" ref="E932:F932" ca="1" si="992">+D932*EXP(B932)</f>
        <v>1579.2151250720124</v>
      </c>
      <c r="F932" s="11">
        <f t="shared" ca="1" si="992"/>
        <v>1210.3455001908326</v>
      </c>
      <c r="G932" s="12">
        <f t="shared" ca="1" si="970"/>
        <v>257.3477146622115</v>
      </c>
      <c r="H932" s="12">
        <f t="shared" ca="1" si="971"/>
        <v>7.8441564693531802</v>
      </c>
    </row>
    <row r="933" spans="1:8" x14ac:dyDescent="0.35">
      <c r="A933" s="15">
        <v>920</v>
      </c>
      <c r="B933" s="10">
        <f t="shared" ca="1" si="966"/>
        <v>-0.2940485012260915</v>
      </c>
      <c r="C933" s="10">
        <f t="shared" ca="1" si="967"/>
        <v>-0.2683893853464272</v>
      </c>
      <c r="D933" s="11">
        <f t="shared" si="968"/>
        <v>1447.7398688575352</v>
      </c>
      <c r="E933" s="11">
        <f t="shared" ref="E933:F933" ca="1" si="993">+D933*EXP(B933)</f>
        <v>1078.9141600560779</v>
      </c>
      <c r="F933" s="11">
        <f t="shared" ca="1" si="993"/>
        <v>824.94855074387988</v>
      </c>
      <c r="G933" s="12">
        <f t="shared" ca="1" si="970"/>
        <v>23.090920674068542</v>
      </c>
      <c r="H933" s="12">
        <f t="shared" ca="1" si="971"/>
        <v>8.8238921580981525E-4</v>
      </c>
    </row>
    <row r="934" spans="1:8" x14ac:dyDescent="0.35">
      <c r="A934" s="15">
        <v>921</v>
      </c>
      <c r="B934" s="10">
        <f t="shared" ca="1" si="966"/>
        <v>0.24521905302206215</v>
      </c>
      <c r="C934" s="10">
        <f t="shared" ca="1" si="967"/>
        <v>0.36058595229357571</v>
      </c>
      <c r="D934" s="11">
        <f t="shared" si="968"/>
        <v>1447.7398688575352</v>
      </c>
      <c r="E934" s="11">
        <f t="shared" ref="E934:F934" ca="1" si="994">+D934*EXP(B934)</f>
        <v>1850.0685311477916</v>
      </c>
      <c r="F934" s="11">
        <f t="shared" ca="1" si="994"/>
        <v>2653.3119034367419</v>
      </c>
      <c r="G934" s="12">
        <f t="shared" ca="1" si="970"/>
        <v>482.13430731301969</v>
      </c>
      <c r="H934" s="12">
        <f t="shared" ca="1" si="971"/>
        <v>1190.3478037669388</v>
      </c>
    </row>
    <row r="935" spans="1:8" x14ac:dyDescent="0.35">
      <c r="A935" s="15">
        <v>922</v>
      </c>
      <c r="B935" s="10">
        <f t="shared" ca="1" si="966"/>
        <v>-0.14890977746444006</v>
      </c>
      <c r="C935" s="10">
        <f t="shared" ca="1" si="967"/>
        <v>-0.47503361613505168</v>
      </c>
      <c r="D935" s="11">
        <f t="shared" si="968"/>
        <v>1447.7398688575352</v>
      </c>
      <c r="E935" s="11">
        <f t="shared" ref="E935:F935" ca="1" si="995">+D935*EXP(B935)</f>
        <v>1247.4404995833568</v>
      </c>
      <c r="F935" s="11">
        <f t="shared" ca="1" si="995"/>
        <v>775.73852775072055</v>
      </c>
      <c r="G935" s="12">
        <f t="shared" ca="1" si="970"/>
        <v>69.070224757804056</v>
      </c>
      <c r="H935" s="12">
        <f t="shared" ca="1" si="971"/>
        <v>1.1178056187500411E-4</v>
      </c>
    </row>
    <row r="936" spans="1:8" x14ac:dyDescent="0.35">
      <c r="A936" s="15">
        <v>923</v>
      </c>
      <c r="B936" s="10">
        <f t="shared" ca="1" si="966"/>
        <v>-0.16653817430500434</v>
      </c>
      <c r="C936" s="10">
        <f t="shared" ca="1" si="967"/>
        <v>-3.5364068432154963E-2</v>
      </c>
      <c r="D936" s="11">
        <f t="shared" si="968"/>
        <v>1447.7398688575352</v>
      </c>
      <c r="E936" s="11">
        <f t="shared" ref="E936:F936" ca="1" si="996">+D936*EXP(B936)</f>
        <v>1225.6428170061254</v>
      </c>
      <c r="F936" s="11">
        <f t="shared" ca="1" si="996"/>
        <v>1183.0565505406721</v>
      </c>
      <c r="G936" s="12">
        <f t="shared" ca="1" si="970"/>
        <v>61.234256484970103</v>
      </c>
      <c r="H936" s="12">
        <f t="shared" ca="1" si="971"/>
        <v>5.4224469006715736</v>
      </c>
    </row>
    <row r="937" spans="1:8" x14ac:dyDescent="0.35">
      <c r="A937" s="15">
        <v>924</v>
      </c>
      <c r="B937" s="10">
        <f t="shared" ca="1" si="966"/>
        <v>-0.20866912425149925</v>
      </c>
      <c r="C937" s="10">
        <f t="shared" ca="1" si="967"/>
        <v>0.179909380422106</v>
      </c>
      <c r="D937" s="11">
        <f t="shared" si="968"/>
        <v>1447.7398688575352</v>
      </c>
      <c r="E937" s="11">
        <f t="shared" ref="E937:F937" ca="1" si="997">+D937*EXP(B937)</f>
        <v>1175.0779725297823</v>
      </c>
      <c r="F937" s="11">
        <f t="shared" ca="1" si="997"/>
        <v>1406.6962717362544</v>
      </c>
      <c r="G937" s="12">
        <f t="shared" ca="1" si="970"/>
        <v>45.289716585507335</v>
      </c>
      <c r="H937" s="12">
        <f t="shared" ca="1" si="971"/>
        <v>55.835125701514016</v>
      </c>
    </row>
    <row r="938" spans="1:8" x14ac:dyDescent="0.35">
      <c r="A938" s="15">
        <v>925</v>
      </c>
      <c r="B938" s="10">
        <f t="shared" ca="1" si="966"/>
        <v>-8.450121327704424E-3</v>
      </c>
      <c r="C938" s="10">
        <f t="shared" ca="1" si="967"/>
        <v>0.32450492762717753</v>
      </c>
      <c r="D938" s="11">
        <f t="shared" si="968"/>
        <v>1447.7398688575352</v>
      </c>
      <c r="E938" s="11">
        <f t="shared" ref="E938:F938" ca="1" si="998">+D938*EXP(B938)</f>
        <v>1435.5578336401793</v>
      </c>
      <c r="F938" s="11">
        <f t="shared" ca="1" si="998"/>
        <v>1985.8726417493351</v>
      </c>
      <c r="G938" s="12">
        <f t="shared" ca="1" si="970"/>
        <v>160.86577923903269</v>
      </c>
      <c r="H938" s="12">
        <f t="shared" ca="1" si="971"/>
        <v>524.2210257550928</v>
      </c>
    </row>
    <row r="939" spans="1:8" x14ac:dyDescent="0.35">
      <c r="A939" s="15">
        <v>926</v>
      </c>
      <c r="B939" s="10">
        <f t="shared" ca="1" si="966"/>
        <v>-0.14357199332046511</v>
      </c>
      <c r="C939" s="10">
        <f t="shared" ca="1" si="967"/>
        <v>7.3612073241385467E-2</v>
      </c>
      <c r="D939" s="11">
        <f t="shared" si="968"/>
        <v>1447.7398688575352</v>
      </c>
      <c r="E939" s="11">
        <f t="shared" ref="E939:F939" ca="1" si="999">+D939*EXP(B939)</f>
        <v>1254.116870363742</v>
      </c>
      <c r="F939" s="11">
        <f t="shared" ca="1" si="999"/>
        <v>1349.9178100690508</v>
      </c>
      <c r="G939" s="12">
        <f t="shared" ca="1" si="970"/>
        <v>71.587848597960999</v>
      </c>
      <c r="H939" s="12">
        <f t="shared" ca="1" si="971"/>
        <v>35.216000297020571</v>
      </c>
    </row>
    <row r="940" spans="1:8" x14ac:dyDescent="0.35">
      <c r="A940" s="15">
        <v>927</v>
      </c>
      <c r="B940" s="10">
        <f t="shared" ca="1" si="966"/>
        <v>1.713761863853594E-2</v>
      </c>
      <c r="C940" s="10">
        <f t="shared" ca="1" si="967"/>
        <v>0.20387106800036597</v>
      </c>
      <c r="D940" s="11">
        <f t="shared" si="968"/>
        <v>1447.7398688575352</v>
      </c>
      <c r="E940" s="11">
        <f t="shared" ref="E940:F940" ca="1" si="1000">+D940*EXP(B940)</f>
        <v>1472.7645014521509</v>
      </c>
      <c r="F940" s="11">
        <f t="shared" ca="1" si="1000"/>
        <v>1805.8155461871922</v>
      </c>
      <c r="G940" s="12">
        <f t="shared" ca="1" si="970"/>
        <v>183.88044481016993</v>
      </c>
      <c r="H940" s="12">
        <f t="shared" ca="1" si="971"/>
        <v>349.74873806077403</v>
      </c>
    </row>
    <row r="941" spans="1:8" x14ac:dyDescent="0.35">
      <c r="A941" s="15">
        <v>928</v>
      </c>
      <c r="B941" s="10">
        <f t="shared" ca="1" si="966"/>
        <v>-0.3503676901558237</v>
      </c>
      <c r="C941" s="10">
        <f t="shared" ca="1" si="967"/>
        <v>0.1818994445705153</v>
      </c>
      <c r="D941" s="11">
        <f t="shared" si="968"/>
        <v>1447.7398688575352</v>
      </c>
      <c r="E941" s="11">
        <f t="shared" ref="E941:F941" ca="1" si="1001">+D941*EXP(B941)</f>
        <v>1019.8299921991479</v>
      </c>
      <c r="F941" s="11">
        <f t="shared" ca="1" si="1001"/>
        <v>1223.2795204042009</v>
      </c>
      <c r="G941" s="12">
        <f t="shared" ca="1" si="970"/>
        <v>14.114060842431272</v>
      </c>
      <c r="H941" s="12">
        <f t="shared" ca="1" si="971"/>
        <v>9.2542681996987994</v>
      </c>
    </row>
    <row r="942" spans="1:8" x14ac:dyDescent="0.35">
      <c r="A942" s="15">
        <v>929</v>
      </c>
      <c r="B942" s="10">
        <f t="shared" ca="1" si="966"/>
        <v>2.8503888988746125E-2</v>
      </c>
      <c r="C942" s="10">
        <f t="shared" ca="1" si="967"/>
        <v>8.1347538853698942E-2</v>
      </c>
      <c r="D942" s="11">
        <f t="shared" si="968"/>
        <v>1447.7398688575352</v>
      </c>
      <c r="E942" s="11">
        <f t="shared" ref="E942:F942" ca="1" si="1002">+D942*EXP(B942)</f>
        <v>1489.5998371775172</v>
      </c>
      <c r="F942" s="11">
        <f t="shared" ca="1" si="1002"/>
        <v>1615.8401806381098</v>
      </c>
      <c r="G942" s="12">
        <f t="shared" ca="1" si="970"/>
        <v>194.77185406970762</v>
      </c>
      <c r="H942" s="12">
        <f t="shared" ca="1" si="971"/>
        <v>183.75202319338632</v>
      </c>
    </row>
    <row r="943" spans="1:8" x14ac:dyDescent="0.35">
      <c r="A943" s="15">
        <v>930</v>
      </c>
      <c r="B943" s="10">
        <f t="shared" ca="1" si="966"/>
        <v>7.9238021105730687E-3</v>
      </c>
      <c r="C943" s="10">
        <f t="shared" ca="1" si="967"/>
        <v>0.20738647500886892</v>
      </c>
      <c r="D943" s="11">
        <f t="shared" si="968"/>
        <v>1447.7398688575352</v>
      </c>
      <c r="E943" s="11">
        <f t="shared" ref="E943:F943" ca="1" si="1003">+D943*EXP(B943)</f>
        <v>1459.25704272894</v>
      </c>
      <c r="F943" s="11">
        <f t="shared" ca="1" si="1003"/>
        <v>1795.5545331816811</v>
      </c>
      <c r="G943" s="12">
        <f t="shared" ca="1" si="970"/>
        <v>175.35442423270877</v>
      </c>
      <c r="H943" s="12">
        <f t="shared" ca="1" si="971"/>
        <v>340.12256275559184</v>
      </c>
    </row>
    <row r="944" spans="1:8" x14ac:dyDescent="0.35">
      <c r="A944" s="15">
        <v>931</v>
      </c>
      <c r="B944" s="10">
        <f t="shared" ca="1" si="966"/>
        <v>-0.26438458220579053</v>
      </c>
      <c r="C944" s="10">
        <f t="shared" ca="1" si="967"/>
        <v>0.2131784876402954</v>
      </c>
      <c r="D944" s="11">
        <f t="shared" si="968"/>
        <v>1447.7398688575352</v>
      </c>
      <c r="E944" s="11">
        <f t="shared" ref="E944:F944" ca="1" si="1004">+D944*EXP(B944)</f>
        <v>1111.3984053380407</v>
      </c>
      <c r="F944" s="11">
        <f t="shared" ca="1" si="1004"/>
        <v>1375.4728111697702</v>
      </c>
      <c r="G944" s="12">
        <f t="shared" ca="1" si="970"/>
        <v>29.465121128109104</v>
      </c>
      <c r="H944" s="12">
        <f t="shared" ca="1" si="971"/>
        <v>43.730624987834403</v>
      </c>
    </row>
    <row r="945" spans="1:8" x14ac:dyDescent="0.35">
      <c r="A945" s="15">
        <v>932</v>
      </c>
      <c r="B945" s="10">
        <f t="shared" ca="1" si="966"/>
        <v>-0.3300366150069331</v>
      </c>
      <c r="C945" s="10">
        <f t="shared" ca="1" si="967"/>
        <v>-0.24526375812176007</v>
      </c>
      <c r="D945" s="11">
        <f t="shared" si="968"/>
        <v>1447.7398688575352</v>
      </c>
      <c r="E945" s="11">
        <f t="shared" ref="E945:F945" ca="1" si="1005">+D945*EXP(B945)</f>
        <v>1040.776442822965</v>
      </c>
      <c r="F945" s="11">
        <f t="shared" ca="1" si="1005"/>
        <v>814.40561066762564</v>
      </c>
      <c r="G945" s="12">
        <f t="shared" ca="1" si="970"/>
        <v>16.935199699430228</v>
      </c>
      <c r="H945" s="12">
        <f t="shared" ca="1" si="971"/>
        <v>5.8114127841528418E-4</v>
      </c>
    </row>
    <row r="946" spans="1:8" x14ac:dyDescent="0.35">
      <c r="A946" s="15">
        <v>933</v>
      </c>
      <c r="B946" s="10">
        <f t="shared" ca="1" si="966"/>
        <v>6.8007549635743875E-2</v>
      </c>
      <c r="C946" s="10">
        <f t="shared" ca="1" si="967"/>
        <v>0.11750175914872302</v>
      </c>
      <c r="D946" s="11">
        <f t="shared" si="968"/>
        <v>1447.7398688575352</v>
      </c>
      <c r="E946" s="11">
        <f t="shared" ref="E946:F946" ca="1" si="1006">+D946*EXP(B946)</f>
        <v>1549.622230365934</v>
      </c>
      <c r="F946" s="11">
        <f t="shared" ca="1" si="1006"/>
        <v>1742.8347217477799</v>
      </c>
      <c r="G946" s="12">
        <f t="shared" ca="1" si="970"/>
        <v>235.86962137995636</v>
      </c>
      <c r="H946" s="12">
        <f t="shared" ca="1" si="971"/>
        <v>291.56815639403044</v>
      </c>
    </row>
    <row r="947" spans="1:8" x14ac:dyDescent="0.35">
      <c r="A947" s="15">
        <v>934</v>
      </c>
      <c r="B947" s="10">
        <f t="shared" ca="1" si="966"/>
        <v>2.7489165084324037E-2</v>
      </c>
      <c r="C947" s="10">
        <f t="shared" ca="1" si="967"/>
        <v>-2.4325735813609271E-2</v>
      </c>
      <c r="D947" s="11">
        <f t="shared" si="968"/>
        <v>1447.7398688575352</v>
      </c>
      <c r="E947" s="11">
        <f t="shared" ref="E947:F947" ca="1" si="1007">+D947*EXP(B947)</f>
        <v>1488.0890712494922</v>
      </c>
      <c r="F947" s="11">
        <f t="shared" ca="1" si="1007"/>
        <v>1452.3269431522592</v>
      </c>
      <c r="G947" s="12">
        <f t="shared" ca="1" si="970"/>
        <v>193.78267528223807</v>
      </c>
      <c r="H947" s="12">
        <f t="shared" ca="1" si="971"/>
        <v>76.960626110480575</v>
      </c>
    </row>
    <row r="948" spans="1:8" x14ac:dyDescent="0.35">
      <c r="A948" s="15">
        <v>935</v>
      </c>
      <c r="B948" s="10">
        <f t="shared" ca="1" si="966"/>
        <v>-1.3258288065759287E-2</v>
      </c>
      <c r="C948" s="10">
        <f t="shared" ca="1" si="967"/>
        <v>0.1374693375121615</v>
      </c>
      <c r="D948" s="11">
        <f t="shared" si="968"/>
        <v>1447.7398688575352</v>
      </c>
      <c r="E948" s="11">
        <f t="shared" ref="E948:F948" ca="1" si="1008">+D948*EXP(B948)</f>
        <v>1428.6719995988396</v>
      </c>
      <c r="F948" s="11">
        <f t="shared" ca="1" si="1008"/>
        <v>1639.2104265738797</v>
      </c>
      <c r="G948" s="12">
        <f t="shared" ca="1" si="970"/>
        <v>156.77096145608255</v>
      </c>
      <c r="H948" s="12">
        <f t="shared" ca="1" si="971"/>
        <v>202.33234191265069</v>
      </c>
    </row>
    <row r="949" spans="1:8" x14ac:dyDescent="0.35">
      <c r="A949" s="15">
        <v>936</v>
      </c>
      <c r="B949" s="10">
        <f t="shared" ca="1" si="966"/>
        <v>-0.13120003682708758</v>
      </c>
      <c r="C949" s="10">
        <f t="shared" ca="1" si="967"/>
        <v>7.6099332277855397E-2</v>
      </c>
      <c r="D949" s="11">
        <f t="shared" si="968"/>
        <v>1447.7398688575352</v>
      </c>
      <c r="E949" s="11">
        <f t="shared" ref="E949:F949" ca="1" si="1009">+D949*EXP(B949)</f>
        <v>1269.7291276648</v>
      </c>
      <c r="F949" s="11">
        <f t="shared" ca="1" si="1009"/>
        <v>1370.126299074705</v>
      </c>
      <c r="G949" s="12">
        <f t="shared" ca="1" si="970"/>
        <v>77.691095767963475</v>
      </c>
      <c r="H949" s="12">
        <f t="shared" ca="1" si="971"/>
        <v>41.846999547887776</v>
      </c>
    </row>
    <row r="950" spans="1:8" x14ac:dyDescent="0.35">
      <c r="A950" s="15">
        <v>937</v>
      </c>
      <c r="B950" s="10">
        <f t="shared" ca="1" si="966"/>
        <v>-0.10282606524347608</v>
      </c>
      <c r="C950" s="10">
        <f t="shared" ca="1" si="967"/>
        <v>-0.20993123631098273</v>
      </c>
      <c r="D950" s="11">
        <f t="shared" si="968"/>
        <v>1447.7398688575352</v>
      </c>
      <c r="E950" s="11">
        <f t="shared" ref="E950:F950" ca="1" si="1010">+D950*EXP(B950)</f>
        <v>1306.2723726896943</v>
      </c>
      <c r="F950" s="11">
        <f t="shared" ca="1" si="1010"/>
        <v>1058.9166187579733</v>
      </c>
      <c r="G950" s="12">
        <f t="shared" ca="1" si="970"/>
        <v>93.160230801830437</v>
      </c>
      <c r="H950" s="12">
        <f t="shared" ca="1" si="971"/>
        <v>0.6710435521403415</v>
      </c>
    </row>
    <row r="951" spans="1:8" x14ac:dyDescent="0.35">
      <c r="A951" s="15">
        <v>938</v>
      </c>
      <c r="B951" s="10">
        <f t="shared" ca="1" si="966"/>
        <v>-0.35080862894222531</v>
      </c>
      <c r="C951" s="10">
        <f t="shared" ca="1" si="967"/>
        <v>0.14677410423893519</v>
      </c>
      <c r="D951" s="11">
        <f t="shared" si="968"/>
        <v>1447.7398688575352</v>
      </c>
      <c r="E951" s="11">
        <f t="shared" ref="E951:F951" ca="1" si="1011">+D951*EXP(B951)</f>
        <v>1019.3804087267314</v>
      </c>
      <c r="F951" s="11">
        <f t="shared" ca="1" si="1011"/>
        <v>1180.5366279405616</v>
      </c>
      <c r="G951" s="12">
        <f t="shared" ca="1" si="970"/>
        <v>14.057587639088737</v>
      </c>
      <c r="H951" s="12">
        <f t="shared" ca="1" si="971"/>
        <v>5.2330666527060572</v>
      </c>
    </row>
    <row r="952" spans="1:8" x14ac:dyDescent="0.35">
      <c r="A952" s="15">
        <v>939</v>
      </c>
      <c r="B952" s="10">
        <f t="shared" ca="1" si="966"/>
        <v>0.14496719279386072</v>
      </c>
      <c r="C952" s="10">
        <f t="shared" ca="1" si="967"/>
        <v>-2.9043114826345778E-5</v>
      </c>
      <c r="D952" s="11">
        <f t="shared" si="968"/>
        <v>1447.7398688575352</v>
      </c>
      <c r="E952" s="11">
        <f t="shared" ref="E952:F952" ca="1" si="1012">+D952*EXP(B952)</f>
        <v>1673.5896691520156</v>
      </c>
      <c r="F952" s="11">
        <f t="shared" ca="1" si="1012"/>
        <v>1673.541063600914</v>
      </c>
      <c r="G952" s="12">
        <f t="shared" ca="1" si="970"/>
        <v>330.52188377122889</v>
      </c>
      <c r="H952" s="12">
        <f t="shared" ca="1" si="971"/>
        <v>230.77067508063783</v>
      </c>
    </row>
    <row r="953" spans="1:8" x14ac:dyDescent="0.35">
      <c r="A953" s="15">
        <v>940</v>
      </c>
      <c r="B953" s="10">
        <f t="shared" ca="1" si="966"/>
        <v>5.4045444523516672E-2</v>
      </c>
      <c r="C953" s="10">
        <f t="shared" ca="1" si="967"/>
        <v>0.17254746031085985</v>
      </c>
      <c r="D953" s="11">
        <f t="shared" si="968"/>
        <v>1447.7398688575352</v>
      </c>
      <c r="E953" s="11">
        <f t="shared" ref="E953:F953" ca="1" si="1013">+D953*EXP(B953)</f>
        <v>1528.1365833661091</v>
      </c>
      <c r="F953" s="11">
        <f t="shared" ca="1" si="1013"/>
        <v>1815.927822518631</v>
      </c>
      <c r="G953" s="12">
        <f t="shared" ca="1" si="970"/>
        <v>220.76539664223117</v>
      </c>
      <c r="H953" s="12">
        <f t="shared" ca="1" si="971"/>
        <v>359.28310478170533</v>
      </c>
    </row>
    <row r="954" spans="1:8" x14ac:dyDescent="0.35">
      <c r="A954" s="15">
        <v>941</v>
      </c>
      <c r="B954" s="10">
        <f t="shared" ca="1" si="966"/>
        <v>0.17734610932588291</v>
      </c>
      <c r="C954" s="10">
        <f t="shared" ca="1" si="967"/>
        <v>0.1164943788352497</v>
      </c>
      <c r="D954" s="11">
        <f t="shared" si="968"/>
        <v>1447.7398688575352</v>
      </c>
      <c r="E954" s="11">
        <f t="shared" ref="E954:F954" ca="1" si="1014">+D954*EXP(B954)</f>
        <v>1728.6655259601105</v>
      </c>
      <c r="F954" s="11">
        <f t="shared" ca="1" si="1014"/>
        <v>1942.244217072807</v>
      </c>
      <c r="G954" s="12">
        <f t="shared" ca="1" si="970"/>
        <v>376.05698492983834</v>
      </c>
      <c r="H954" s="12">
        <f t="shared" ca="1" si="971"/>
        <v>481.27901764588046</v>
      </c>
    </row>
    <row r="955" spans="1:8" x14ac:dyDescent="0.35">
      <c r="A955" s="15">
        <v>942</v>
      </c>
      <c r="B955" s="10">
        <f t="shared" ca="1" si="966"/>
        <v>-0.24441542122272292</v>
      </c>
      <c r="C955" s="10">
        <f t="shared" ca="1" si="967"/>
        <v>-8.4775892785910884E-2</v>
      </c>
      <c r="D955" s="11">
        <f t="shared" si="968"/>
        <v>1447.7398688575352</v>
      </c>
      <c r="E955" s="11">
        <f t="shared" ref="E955:F955" ca="1" si="1015">+D955*EXP(B955)</f>
        <v>1133.815176144893</v>
      </c>
      <c r="F955" s="11">
        <f t="shared" ca="1" si="1015"/>
        <v>1041.6565841288443</v>
      </c>
      <c r="G955" s="12">
        <f t="shared" ca="1" si="970"/>
        <v>34.51606256848342</v>
      </c>
      <c r="H955" s="12">
        <f t="shared" ca="1" si="971"/>
        <v>0.47152381650633934</v>
      </c>
    </row>
    <row r="956" spans="1:8" x14ac:dyDescent="0.35">
      <c r="A956" s="15">
        <v>943</v>
      </c>
      <c r="B956" s="10">
        <f t="shared" ca="1" si="966"/>
        <v>0.15618585216953884</v>
      </c>
      <c r="C956" s="10">
        <f t="shared" ca="1" si="967"/>
        <v>0.27787582783889031</v>
      </c>
      <c r="D956" s="11">
        <f t="shared" si="968"/>
        <v>1447.7398688575352</v>
      </c>
      <c r="E956" s="11">
        <f t="shared" ref="E956:F956" ca="1" si="1016">+D956*EXP(B956)</f>
        <v>1692.4708141232327</v>
      </c>
      <c r="F956" s="11">
        <f t="shared" ca="1" si="1016"/>
        <v>2234.6068560383164</v>
      </c>
      <c r="G956" s="12">
        <f t="shared" ca="1" si="970"/>
        <v>345.92062512930465</v>
      </c>
      <c r="H956" s="12">
        <f t="shared" ca="1" si="971"/>
        <v>771.74112340935631</v>
      </c>
    </row>
    <row r="957" spans="1:8" x14ac:dyDescent="0.35">
      <c r="A957" s="15">
        <v>944</v>
      </c>
      <c r="B957" s="10">
        <f t="shared" ca="1" si="966"/>
        <v>2.6692147806629415E-2</v>
      </c>
      <c r="C957" s="10">
        <f t="shared" ca="1" si="967"/>
        <v>8.4652251323644623E-2</v>
      </c>
      <c r="D957" s="11">
        <f t="shared" si="968"/>
        <v>1447.7398688575352</v>
      </c>
      <c r="E957" s="11">
        <f t="shared" ref="E957:F957" ca="1" si="1017">+D957*EXP(B957)</f>
        <v>1486.9035110676914</v>
      </c>
      <c r="F957" s="11">
        <f t="shared" ca="1" si="1017"/>
        <v>1618.2543853542536</v>
      </c>
      <c r="G957" s="12">
        <f t="shared" ca="1" si="970"/>
        <v>193.00804301461869</v>
      </c>
      <c r="H957" s="12">
        <f t="shared" ca="1" si="971"/>
        <v>185.63979924490855</v>
      </c>
    </row>
    <row r="958" spans="1:8" x14ac:dyDescent="0.35">
      <c r="A958" s="15">
        <v>945</v>
      </c>
      <c r="B958" s="10">
        <f t="shared" ca="1" si="966"/>
        <v>-0.21399832911570488</v>
      </c>
      <c r="C958" s="10">
        <f t="shared" ca="1" si="967"/>
        <v>1.5771631883519759E-2</v>
      </c>
      <c r="D958" s="11">
        <f t="shared" si="968"/>
        <v>1447.7398688575352</v>
      </c>
      <c r="E958" s="11">
        <f t="shared" ref="E958:F958" ca="1" si="1018">+D958*EXP(B958)</f>
        <v>1168.8323980371456</v>
      </c>
      <c r="F958" s="11">
        <f t="shared" ca="1" si="1018"/>
        <v>1187.4129298579276</v>
      </c>
      <c r="G958" s="12">
        <f t="shared" ca="1" si="970"/>
        <v>43.532565641424696</v>
      </c>
      <c r="H958" s="12">
        <f t="shared" ca="1" si="971"/>
        <v>5.7627333285611257</v>
      </c>
    </row>
    <row r="959" spans="1:8" x14ac:dyDescent="0.35">
      <c r="A959" s="15">
        <v>946</v>
      </c>
      <c r="B959" s="10">
        <f t="shared" ca="1" si="966"/>
        <v>-0.11294545602533206</v>
      </c>
      <c r="C959" s="10">
        <f t="shared" ca="1" si="967"/>
        <v>-0.13839862585144133</v>
      </c>
      <c r="D959" s="11">
        <f t="shared" si="968"/>
        <v>1447.7398688575352</v>
      </c>
      <c r="E959" s="11">
        <f t="shared" ref="E959:F959" ca="1" si="1019">+D959*EXP(B959)</f>
        <v>1293.1203495464588</v>
      </c>
      <c r="F959" s="11">
        <f t="shared" ca="1" si="1019"/>
        <v>1125.9865079563813</v>
      </c>
      <c r="G959" s="12">
        <f t="shared" ca="1" si="970"/>
        <v>87.402050137761421</v>
      </c>
      <c r="H959" s="12">
        <f t="shared" ca="1" si="971"/>
        <v>2.2708197953329332</v>
      </c>
    </row>
    <row r="960" spans="1:8" x14ac:dyDescent="0.35">
      <c r="A960" s="15">
        <v>947</v>
      </c>
      <c r="B960" s="10">
        <f t="shared" ca="1" si="966"/>
        <v>1.543085179334952E-2</v>
      </c>
      <c r="C960" s="10">
        <f t="shared" ca="1" si="967"/>
        <v>-0.29433486895462502</v>
      </c>
      <c r="D960" s="11">
        <f t="shared" si="968"/>
        <v>1447.7398688575352</v>
      </c>
      <c r="E960" s="11">
        <f t="shared" ref="E960:F960" ca="1" si="1020">+D960*EXP(B960)</f>
        <v>1470.2529797309901</v>
      </c>
      <c r="F960" s="11">
        <f t="shared" ca="1" si="1020"/>
        <v>1095.3781127212444</v>
      </c>
      <c r="G960" s="12">
        <f t="shared" ca="1" si="970"/>
        <v>182.28068191731381</v>
      </c>
      <c r="H960" s="12">
        <f t="shared" ca="1" si="971"/>
        <v>1.339515631252123</v>
      </c>
    </row>
    <row r="961" spans="1:8" x14ac:dyDescent="0.35">
      <c r="A961" s="15">
        <v>948</v>
      </c>
      <c r="B961" s="10">
        <f t="shared" ca="1" si="966"/>
        <v>2.7683703209368766E-2</v>
      </c>
      <c r="C961" s="10">
        <f t="shared" ca="1" si="967"/>
        <v>0.27790685229657808</v>
      </c>
      <c r="D961" s="11">
        <f t="shared" si="968"/>
        <v>1447.7398688575352</v>
      </c>
      <c r="E961" s="11">
        <f t="shared" ref="E961:F961" ca="1" si="1021">+D961*EXP(B961)</f>
        <v>1488.3785894675655</v>
      </c>
      <c r="F961" s="11">
        <f t="shared" ca="1" si="1021"/>
        <v>1965.2003211909903</v>
      </c>
      <c r="G961" s="12">
        <f t="shared" ca="1" si="970"/>
        <v>193.97205955464892</v>
      </c>
      <c r="H961" s="12">
        <f t="shared" ca="1" si="971"/>
        <v>503.84044009268359</v>
      </c>
    </row>
    <row r="962" spans="1:8" x14ac:dyDescent="0.35">
      <c r="A962" s="15">
        <v>949</v>
      </c>
      <c r="B962" s="10">
        <f t="shared" ca="1" si="966"/>
        <v>0.14702595951353492</v>
      </c>
      <c r="C962" s="10">
        <f t="shared" ca="1" si="967"/>
        <v>-0.1493020593259273</v>
      </c>
      <c r="D962" s="11">
        <f t="shared" si="968"/>
        <v>1447.7398688575352</v>
      </c>
      <c r="E962" s="11">
        <f t="shared" ref="E962:F962" ca="1" si="1022">+D962*EXP(B962)</f>
        <v>1677.0387490724836</v>
      </c>
      <c r="F962" s="11">
        <f t="shared" ca="1" si="1022"/>
        <v>1444.4484156726071</v>
      </c>
      <c r="G962" s="12">
        <f t="shared" ca="1" si="970"/>
        <v>333.31752831779841</v>
      </c>
      <c r="H962" s="12">
        <f t="shared" ca="1" si="971"/>
        <v>73.021703465797032</v>
      </c>
    </row>
    <row r="963" spans="1:8" x14ac:dyDescent="0.35">
      <c r="A963" s="15">
        <v>950</v>
      </c>
      <c r="B963" s="10">
        <f t="shared" ca="1" si="966"/>
        <v>-7.3101569591143625E-2</v>
      </c>
      <c r="C963" s="10">
        <f t="shared" ca="1" si="967"/>
        <v>6.8675820858173364E-2</v>
      </c>
      <c r="D963" s="11">
        <f t="shared" si="968"/>
        <v>1447.7398688575352</v>
      </c>
      <c r="E963" s="11">
        <f t="shared" ref="E963:F963" ca="1" si="1023">+D963*EXP(B963)</f>
        <v>1345.6834962873429</v>
      </c>
      <c r="F963" s="11">
        <f t="shared" ca="1" si="1023"/>
        <v>1441.3466936960945</v>
      </c>
      <c r="G963" s="12">
        <f t="shared" ca="1" si="970"/>
        <v>111.6896598092643</v>
      </c>
      <c r="H963" s="12">
        <f t="shared" ca="1" si="971"/>
        <v>71.504192498795533</v>
      </c>
    </row>
    <row r="964" spans="1:8" x14ac:dyDescent="0.35">
      <c r="A964" s="15">
        <v>951</v>
      </c>
      <c r="B964" s="10">
        <f t="shared" ca="1" si="966"/>
        <v>-9.4807874187519653E-2</v>
      </c>
      <c r="C964" s="10">
        <f t="shared" ca="1" si="967"/>
        <v>-1.8024932049023168E-2</v>
      </c>
      <c r="D964" s="11">
        <f t="shared" si="968"/>
        <v>1447.7398688575352</v>
      </c>
      <c r="E964" s="11">
        <f t="shared" ref="E964:F964" ca="1" si="1024">+D964*EXP(B964)</f>
        <v>1316.7884176329251</v>
      </c>
      <c r="F964" s="11">
        <f t="shared" ca="1" si="1024"/>
        <v>1293.2660274858547</v>
      </c>
      <c r="G964" s="12">
        <f t="shared" ca="1" si="970"/>
        <v>97.918099691567591</v>
      </c>
      <c r="H964" s="12">
        <f t="shared" ca="1" si="971"/>
        <v>20.534824677133116</v>
      </c>
    </row>
    <row r="965" spans="1:8" x14ac:dyDescent="0.35">
      <c r="A965" s="15">
        <v>952</v>
      </c>
      <c r="B965" s="10">
        <f t="shared" ca="1" si="966"/>
        <v>4.0203325072389766E-2</v>
      </c>
      <c r="C965" s="10">
        <f t="shared" ca="1" si="967"/>
        <v>0.17773381553630496</v>
      </c>
      <c r="D965" s="11">
        <f t="shared" si="968"/>
        <v>1447.7398688575352</v>
      </c>
      <c r="E965" s="11">
        <f t="shared" ref="E965:F965" ca="1" si="1025">+D965*EXP(B965)</f>
        <v>1507.1296598309073</v>
      </c>
      <c r="F965" s="11">
        <f t="shared" ca="1" si="1025"/>
        <v>1800.2774102887608</v>
      </c>
      <c r="G965" s="12">
        <f t="shared" ca="1" si="970"/>
        <v>206.41638293372353</v>
      </c>
      <c r="H965" s="12">
        <f t="shared" ca="1" si="971"/>
        <v>344.54696953154325</v>
      </c>
    </row>
    <row r="966" spans="1:8" x14ac:dyDescent="0.35">
      <c r="A966" s="15">
        <v>953</v>
      </c>
      <c r="B966" s="10">
        <f t="shared" ca="1" si="966"/>
        <v>0.1523618147821777</v>
      </c>
      <c r="C966" s="10">
        <f t="shared" ca="1" si="967"/>
        <v>-2.5260985101677735E-2</v>
      </c>
      <c r="D966" s="11">
        <f t="shared" si="968"/>
        <v>1447.7398688575352</v>
      </c>
      <c r="E966" s="11">
        <f t="shared" ref="E966:F966" ca="1" si="1026">+D966*EXP(B966)</f>
        <v>1686.0111014162969</v>
      </c>
      <c r="F966" s="11">
        <f t="shared" ca="1" si="1026"/>
        <v>1643.9542354454477</v>
      </c>
      <c r="G966" s="12">
        <f t="shared" ca="1" si="970"/>
        <v>340.62647537267208</v>
      </c>
      <c r="H966" s="12">
        <f t="shared" ca="1" si="971"/>
        <v>206.18426047815342</v>
      </c>
    </row>
    <row r="967" spans="1:8" x14ac:dyDescent="0.35">
      <c r="A967" s="15">
        <v>954</v>
      </c>
      <c r="B967" s="10">
        <f t="shared" ca="1" si="966"/>
        <v>0.24353116094699412</v>
      </c>
      <c r="C967" s="10">
        <f t="shared" ca="1" si="967"/>
        <v>0.17467183409236445</v>
      </c>
      <c r="D967" s="11">
        <f t="shared" si="968"/>
        <v>1447.7398688575352</v>
      </c>
      <c r="E967" s="11">
        <f t="shared" ref="E967:F967" ca="1" si="1027">+D967*EXP(B967)</f>
        <v>1846.9484490574057</v>
      </c>
      <c r="F967" s="11">
        <f t="shared" ca="1" si="1027"/>
        <v>2199.4484497754729</v>
      </c>
      <c r="G967" s="12">
        <f t="shared" ca="1" si="970"/>
        <v>479.32623677812376</v>
      </c>
      <c r="H967" s="12">
        <f t="shared" ca="1" si="971"/>
        <v>736.62886660503545</v>
      </c>
    </row>
    <row r="968" spans="1:8" x14ac:dyDescent="0.35">
      <c r="A968" s="15">
        <v>955</v>
      </c>
      <c r="B968" s="10">
        <f t="shared" ca="1" si="966"/>
        <v>-2.4778620518514892E-3</v>
      </c>
      <c r="C968" s="10">
        <f t="shared" ca="1" si="967"/>
        <v>-0.11624913793138611</v>
      </c>
      <c r="D968" s="11">
        <f t="shared" si="968"/>
        <v>1447.7398688575352</v>
      </c>
      <c r="E968" s="11">
        <f t="shared" ref="E968:F968" ca="1" si="1028">+D968*EXP(B968)</f>
        <v>1444.1570099238049</v>
      </c>
      <c r="F968" s="11">
        <f t="shared" ca="1" si="1028"/>
        <v>1285.6656878948131</v>
      </c>
      <c r="G968" s="12">
        <f t="shared" ca="1" si="970"/>
        <v>166.05263701339402</v>
      </c>
      <c r="H968" s="12">
        <f t="shared" ca="1" si="971"/>
        <v>18.972383083460841</v>
      </c>
    </row>
    <row r="969" spans="1:8" x14ac:dyDescent="0.35">
      <c r="A969" s="15">
        <v>956</v>
      </c>
      <c r="B969" s="10">
        <f t="shared" ca="1" si="966"/>
        <v>7.0930189522135385E-3</v>
      </c>
      <c r="C969" s="10">
        <f t="shared" ca="1" si="967"/>
        <v>0.57485075236713945</v>
      </c>
      <c r="D969" s="11">
        <f t="shared" si="968"/>
        <v>1447.7398688575352</v>
      </c>
      <c r="E969" s="11">
        <f t="shared" ref="E969:F969" ca="1" si="1029">+D969*EXP(B969)</f>
        <v>1458.0452200047782</v>
      </c>
      <c r="F969" s="11">
        <f t="shared" ca="1" si="1029"/>
        <v>2590.7499779343198</v>
      </c>
      <c r="G969" s="12">
        <f t="shared" ca="1" si="970"/>
        <v>174.59891866633154</v>
      </c>
      <c r="H969" s="12">
        <f t="shared" ca="1" si="971"/>
        <v>1127.7867453239021</v>
      </c>
    </row>
    <row r="970" spans="1:8" x14ac:dyDescent="0.35">
      <c r="A970" s="15">
        <v>957</v>
      </c>
      <c r="B970" s="10">
        <f t="shared" ca="1" si="966"/>
        <v>-2.2917759072622682E-3</v>
      </c>
      <c r="C970" s="10">
        <f t="shared" ca="1" si="967"/>
        <v>3.8829564414500473E-2</v>
      </c>
      <c r="D970" s="11">
        <f t="shared" si="968"/>
        <v>1447.7398688575352</v>
      </c>
      <c r="E970" s="11">
        <f t="shared" ref="E970:F970" ca="1" si="1030">+D970*EXP(B970)</f>
        <v>1444.4257725396869</v>
      </c>
      <c r="F970" s="11">
        <f t="shared" ca="1" si="1030"/>
        <v>1501.6153336108471</v>
      </c>
      <c r="G970" s="12">
        <f t="shared" ca="1" si="970"/>
        <v>166.21604919972719</v>
      </c>
      <c r="H970" s="12">
        <f t="shared" ca="1" si="971"/>
        <v>104.29884645247728</v>
      </c>
    </row>
    <row r="971" spans="1:8" x14ac:dyDescent="0.35">
      <c r="A971" s="15">
        <v>958</v>
      </c>
      <c r="B971" s="10">
        <f t="shared" ca="1" si="966"/>
        <v>4.0317066040190225E-2</v>
      </c>
      <c r="C971" s="10">
        <f t="shared" ca="1" si="967"/>
        <v>-0.23244967681519799</v>
      </c>
      <c r="D971" s="11">
        <f t="shared" si="968"/>
        <v>1447.7398688575352</v>
      </c>
      <c r="E971" s="11">
        <f t="shared" ref="E971:F971" ca="1" si="1031">+D971*EXP(B971)</f>
        <v>1507.3010919662606</v>
      </c>
      <c r="F971" s="11">
        <f t="shared" ca="1" si="1031"/>
        <v>1194.6712207759244</v>
      </c>
      <c r="G971" s="12">
        <f t="shared" ca="1" si="970"/>
        <v>206.53175917951842</v>
      </c>
      <c r="H971" s="12">
        <f t="shared" ca="1" si="971"/>
        <v>6.3672919700421033</v>
      </c>
    </row>
    <row r="972" spans="1:8" x14ac:dyDescent="0.35">
      <c r="A972" s="15">
        <v>959</v>
      </c>
      <c r="B972" s="10">
        <f t="shared" ca="1" si="966"/>
        <v>8.5307708842349603E-2</v>
      </c>
      <c r="C972" s="10">
        <f t="shared" ca="1" si="967"/>
        <v>0.35077072560854172</v>
      </c>
      <c r="D972" s="11">
        <f t="shared" si="968"/>
        <v>1447.7398688575352</v>
      </c>
      <c r="E972" s="11">
        <f t="shared" ref="E972:F972" ca="1" si="1032">+D972*EXP(B972)</f>
        <v>1576.6641822398342</v>
      </c>
      <c r="F972" s="11">
        <f t="shared" ca="1" si="1032"/>
        <v>2239.1180568054492</v>
      </c>
      <c r="G972" s="12">
        <f t="shared" ca="1" si="970"/>
        <v>255.46656085378277</v>
      </c>
      <c r="H972" s="12">
        <f t="shared" ca="1" si="971"/>
        <v>776.24754611349135</v>
      </c>
    </row>
    <row r="973" spans="1:8" x14ac:dyDescent="0.35">
      <c r="A973" s="15">
        <v>960</v>
      </c>
      <c r="B973" s="10">
        <f t="shared" ca="1" si="966"/>
        <v>-0.24040497337646882</v>
      </c>
      <c r="C973" s="10">
        <f t="shared" ca="1" si="967"/>
        <v>-3.504575831898972E-2</v>
      </c>
      <c r="D973" s="11">
        <f t="shared" si="968"/>
        <v>1447.7398688575352</v>
      </c>
      <c r="E973" s="11">
        <f t="shared" ref="E973:F973" ca="1" si="1033">+D973*EXP(B973)</f>
        <v>1138.3714129443858</v>
      </c>
      <c r="F973" s="11">
        <f t="shared" ca="1" si="1033"/>
        <v>1099.1673048529703</v>
      </c>
      <c r="G973" s="12">
        <f t="shared" ca="1" si="970"/>
        <v>35.610367278234065</v>
      </c>
      <c r="H973" s="12">
        <f t="shared" ca="1" si="971"/>
        <v>1.4335426413851344</v>
      </c>
    </row>
    <row r="974" spans="1:8" x14ac:dyDescent="0.35">
      <c r="A974" s="15">
        <v>961</v>
      </c>
      <c r="B974" s="10">
        <f t="shared" ca="1" si="966"/>
        <v>0.12590864037935678</v>
      </c>
      <c r="C974" s="10">
        <f t="shared" ca="1" si="967"/>
        <v>0.13921246282717853</v>
      </c>
      <c r="D974" s="11">
        <f t="shared" si="968"/>
        <v>1447.7398688575352</v>
      </c>
      <c r="E974" s="11">
        <f t="shared" ref="E974:F974" ca="1" si="1034">+D974*EXP(B974)</f>
        <v>1641.9954986189232</v>
      </c>
      <c r="F974" s="11">
        <f t="shared" ca="1" si="1034"/>
        <v>1887.2575290378609</v>
      </c>
      <c r="G974" s="12">
        <f t="shared" ca="1" si="970"/>
        <v>305.28994160941079</v>
      </c>
      <c r="H974" s="12">
        <f t="shared" ca="1" si="971"/>
        <v>427.6348442716303</v>
      </c>
    </row>
    <row r="975" spans="1:8" x14ac:dyDescent="0.35">
      <c r="A975" s="15">
        <v>962</v>
      </c>
      <c r="B975" s="10">
        <f t="shared" ref="B975:B1013" ca="1" si="1035">+($B$6-0.5*$B$10^2)*$H$4+$B$10*SQRT($H$4)*_xlfn.NORM.S.INV(RAND())</f>
        <v>-0.21126032724573784</v>
      </c>
      <c r="C975" s="10">
        <f t="shared" ref="C975:C1013" ca="1" si="1036">+($B$6-0.5*$B$10^2)+$B$10*_xlfn.NORM.S.INV(RAND())</f>
        <v>-0.1355006607434554</v>
      </c>
      <c r="D975" s="11">
        <f t="shared" ref="D975:D1013" si="1037">+$B$9</f>
        <v>1447.7398688575352</v>
      </c>
      <c r="E975" s="11">
        <f t="shared" ref="E975:F975" ca="1" si="1038">+D975*EXP(B975)</f>
        <v>1172.0370484961111</v>
      </c>
      <c r="F975" s="11">
        <f t="shared" ca="1" si="1038"/>
        <v>1023.5148563508831</v>
      </c>
      <c r="G975" s="12">
        <f t="shared" ref="G975:G1013" ca="1" si="1039">+BlackScholesCall(E975,$B$4,$B$10,$B$6,$B$7-$H$4)</f>
        <v>44.428445783109112</v>
      </c>
      <c r="H975" s="12">
        <f t="shared" ref="H975:H1013" ca="1" si="1040">+BlackScholesCall(F975,$B$4,$B$10,$B$6,$B$7-$I$4)</f>
        <v>0.31927482223510939</v>
      </c>
    </row>
    <row r="976" spans="1:8" x14ac:dyDescent="0.35">
      <c r="A976" s="15">
        <v>963</v>
      </c>
      <c r="B976" s="10">
        <f t="shared" ca="1" si="1035"/>
        <v>-0.19764856584771467</v>
      </c>
      <c r="C976" s="10">
        <f t="shared" ca="1" si="1036"/>
        <v>0.26266951888769541</v>
      </c>
      <c r="D976" s="11">
        <f t="shared" si="1037"/>
        <v>1447.7398688575352</v>
      </c>
      <c r="E976" s="11">
        <f t="shared" ref="E976:F976" ca="1" si="1041">+D976*EXP(B976)</f>
        <v>1188.0996090152642</v>
      </c>
      <c r="F976" s="11">
        <f t="shared" ca="1" si="1041"/>
        <v>1545.0010381414802</v>
      </c>
      <c r="G976" s="12">
        <f t="shared" ca="1" si="1039"/>
        <v>49.10159150030978</v>
      </c>
      <c r="H976" s="12">
        <f t="shared" ca="1" si="1040"/>
        <v>132.02054444783232</v>
      </c>
    </row>
    <row r="977" spans="1:8" x14ac:dyDescent="0.35">
      <c r="A977" s="15">
        <v>964</v>
      </c>
      <c r="B977" s="10">
        <f t="shared" ca="1" si="1035"/>
        <v>2.9717991858470308E-2</v>
      </c>
      <c r="C977" s="10">
        <f t="shared" ca="1" si="1036"/>
        <v>0.1428607240460408</v>
      </c>
      <c r="D977" s="11">
        <f t="shared" si="1037"/>
        <v>1447.7398688575352</v>
      </c>
      <c r="E977" s="11">
        <f t="shared" ref="E977:F977" ca="1" si="1042">+D977*EXP(B977)</f>
        <v>1491.4094629281942</v>
      </c>
      <c r="F977" s="11">
        <f t="shared" ca="1" si="1042"/>
        <v>1720.4439107128778</v>
      </c>
      <c r="G977" s="12">
        <f t="shared" ca="1" si="1039"/>
        <v>195.95974370766373</v>
      </c>
      <c r="H977" s="12">
        <f t="shared" ca="1" si="1040"/>
        <v>271.4924971767889</v>
      </c>
    </row>
    <row r="978" spans="1:8" x14ac:dyDescent="0.35">
      <c r="A978" s="15">
        <v>965</v>
      </c>
      <c r="B978" s="10">
        <f t="shared" ca="1" si="1035"/>
        <v>1.5620287561132306E-2</v>
      </c>
      <c r="C978" s="10">
        <f t="shared" ca="1" si="1036"/>
        <v>8.009204369459292E-3</v>
      </c>
      <c r="D978" s="11">
        <f t="shared" si="1037"/>
        <v>1447.7398688575352</v>
      </c>
      <c r="E978" s="11">
        <f t="shared" ref="E978:F978" ca="1" si="1043">+D978*EXP(B978)</f>
        <v>1470.5315246153893</v>
      </c>
      <c r="F978" s="11">
        <f t="shared" ca="1" si="1043"/>
        <v>1482.3566036528875</v>
      </c>
      <c r="G978" s="12">
        <f t="shared" ca="1" si="1039"/>
        <v>182.45778264081105</v>
      </c>
      <c r="H978" s="12">
        <f t="shared" ca="1" si="1040"/>
        <v>93.071671594978852</v>
      </c>
    </row>
    <row r="979" spans="1:8" x14ac:dyDescent="0.35">
      <c r="A979" s="15">
        <v>966</v>
      </c>
      <c r="B979" s="10">
        <f t="shared" ca="1" si="1035"/>
        <v>9.4958484879718294E-2</v>
      </c>
      <c r="C979" s="10">
        <f t="shared" ca="1" si="1036"/>
        <v>-0.16982777172751676</v>
      </c>
      <c r="D979" s="11">
        <f t="shared" si="1037"/>
        <v>1447.7398688575352</v>
      </c>
      <c r="E979" s="11">
        <f t="shared" ref="E979:F979" ca="1" si="1044">+D979*EXP(B979)</f>
        <v>1591.9538751797909</v>
      </c>
      <c r="F979" s="11">
        <f t="shared" ca="1" si="1044"/>
        <v>1343.3068096228692</v>
      </c>
      <c r="G979" s="12">
        <f t="shared" ca="1" si="1039"/>
        <v>266.82297715531604</v>
      </c>
      <c r="H979" s="12">
        <f t="shared" ca="1" si="1040"/>
        <v>33.211666569407043</v>
      </c>
    </row>
    <row r="980" spans="1:8" x14ac:dyDescent="0.35">
      <c r="A980" s="15">
        <v>967</v>
      </c>
      <c r="B980" s="10">
        <f t="shared" ca="1" si="1035"/>
        <v>0.18026539671271441</v>
      </c>
      <c r="C980" s="10">
        <f t="shared" ca="1" si="1036"/>
        <v>8.7928458494482026E-2</v>
      </c>
      <c r="D980" s="11">
        <f t="shared" si="1037"/>
        <v>1447.7398688575352</v>
      </c>
      <c r="E980" s="11">
        <f t="shared" ref="E980:F980" ca="1" si="1045">+D980*EXP(B980)</f>
        <v>1733.7193706494525</v>
      </c>
      <c r="F980" s="11">
        <f t="shared" ca="1" si="1045"/>
        <v>1893.0655220772633</v>
      </c>
      <c r="G980" s="12">
        <f t="shared" ca="1" si="1039"/>
        <v>380.32584007610785</v>
      </c>
      <c r="H980" s="12">
        <f t="shared" ca="1" si="1040"/>
        <v>433.26917563284906</v>
      </c>
    </row>
    <row r="981" spans="1:8" x14ac:dyDescent="0.35">
      <c r="A981" s="15">
        <v>968</v>
      </c>
      <c r="B981" s="10">
        <f t="shared" ca="1" si="1035"/>
        <v>0.1031884399017966</v>
      </c>
      <c r="C981" s="10">
        <f t="shared" ca="1" si="1036"/>
        <v>0.38159880498016274</v>
      </c>
      <c r="D981" s="11">
        <f t="shared" si="1037"/>
        <v>1447.7398688575352</v>
      </c>
      <c r="E981" s="11">
        <f t="shared" ref="E981:F981" ca="1" si="1046">+D981*EXP(B981)</f>
        <v>1605.1096454127494</v>
      </c>
      <c r="F981" s="11">
        <f t="shared" ca="1" si="1046"/>
        <v>2350.8826987699331</v>
      </c>
      <c r="G981" s="12">
        <f t="shared" ca="1" si="1039"/>
        <v>276.74746137008333</v>
      </c>
      <c r="H981" s="12">
        <f t="shared" ca="1" si="1040"/>
        <v>887.94492525839814</v>
      </c>
    </row>
    <row r="982" spans="1:8" x14ac:dyDescent="0.35">
      <c r="A982" s="15">
        <v>969</v>
      </c>
      <c r="B982" s="10">
        <f t="shared" ca="1" si="1035"/>
        <v>0.15343873452933948</v>
      </c>
      <c r="C982" s="10">
        <f t="shared" ca="1" si="1036"/>
        <v>-0.25382628966993093</v>
      </c>
      <c r="D982" s="11">
        <f t="shared" si="1037"/>
        <v>1447.7398688575352</v>
      </c>
      <c r="E982" s="11">
        <f t="shared" ref="E982:F982" ca="1" si="1047">+D982*EXP(B982)</f>
        <v>1687.8277780972669</v>
      </c>
      <c r="F982" s="11">
        <f t="shared" ca="1" si="1047"/>
        <v>1309.4616179907018</v>
      </c>
      <c r="G982" s="12">
        <f t="shared" ca="1" si="1039"/>
        <v>342.11267657920257</v>
      </c>
      <c r="H982" s="12">
        <f t="shared" ca="1" si="1040"/>
        <v>24.172227742044754</v>
      </c>
    </row>
    <row r="983" spans="1:8" x14ac:dyDescent="0.35">
      <c r="A983" s="15">
        <v>970</v>
      </c>
      <c r="B983" s="10">
        <f t="shared" ca="1" si="1035"/>
        <v>-0.18978882360454796</v>
      </c>
      <c r="C983" s="10">
        <f t="shared" ca="1" si="1036"/>
        <v>4.6176122970051414E-2</v>
      </c>
      <c r="D983" s="11">
        <f t="shared" si="1037"/>
        <v>1447.7398688575352</v>
      </c>
      <c r="E983" s="11">
        <f t="shared" ref="E983:F983" ca="1" si="1048">+D983*EXP(B983)</f>
        <v>1197.4745597877948</v>
      </c>
      <c r="F983" s="11">
        <f t="shared" ca="1" si="1048"/>
        <v>1254.0658196735433</v>
      </c>
      <c r="G983" s="12">
        <f t="shared" ca="1" si="1039"/>
        <v>51.971313057485474</v>
      </c>
      <c r="H983" s="12">
        <f t="shared" ca="1" si="1040"/>
        <v>13.398481292639104</v>
      </c>
    </row>
    <row r="984" spans="1:8" x14ac:dyDescent="0.35">
      <c r="A984" s="15">
        <v>971</v>
      </c>
      <c r="B984" s="10">
        <f t="shared" ca="1" si="1035"/>
        <v>0.1282260550392724</v>
      </c>
      <c r="C984" s="10">
        <f t="shared" ca="1" si="1036"/>
        <v>-0.22032727967407537</v>
      </c>
      <c r="D984" s="11">
        <f t="shared" si="1037"/>
        <v>1447.7398688575352</v>
      </c>
      <c r="E984" s="11">
        <f t="shared" ref="E984:F984" ca="1" si="1049">+D984*EXP(B984)</f>
        <v>1645.8050955619151</v>
      </c>
      <c r="F984" s="11">
        <f t="shared" ca="1" si="1049"/>
        <v>1320.3573301334388</v>
      </c>
      <c r="G984" s="12">
        <f t="shared" ca="1" si="1039"/>
        <v>308.29536414499069</v>
      </c>
      <c r="H984" s="12">
        <f t="shared" ca="1" si="1040"/>
        <v>26.864449801324326</v>
      </c>
    </row>
    <row r="985" spans="1:8" x14ac:dyDescent="0.35">
      <c r="A985" s="15">
        <v>972</v>
      </c>
      <c r="B985" s="10">
        <f t="shared" ca="1" si="1035"/>
        <v>8.5727269890154709E-2</v>
      </c>
      <c r="C985" s="10">
        <f t="shared" ca="1" si="1036"/>
        <v>0.16504801974919225</v>
      </c>
      <c r="D985" s="11">
        <f t="shared" si="1037"/>
        <v>1447.7398688575352</v>
      </c>
      <c r="E985" s="11">
        <f t="shared" ref="E985:F985" ca="1" si="1050">+D985*EXP(B985)</f>
        <v>1577.3258279068405</v>
      </c>
      <c r="F985" s="11">
        <f t="shared" ca="1" si="1050"/>
        <v>1860.3765600700092</v>
      </c>
      <c r="G985" s="12">
        <f t="shared" ca="1" si="1039"/>
        <v>255.95395391983857</v>
      </c>
      <c r="H985" s="12">
        <f t="shared" ca="1" si="1040"/>
        <v>401.67793323303044</v>
      </c>
    </row>
    <row r="986" spans="1:8" x14ac:dyDescent="0.35">
      <c r="A986" s="15">
        <v>973</v>
      </c>
      <c r="B986" s="10">
        <f t="shared" ca="1" si="1035"/>
        <v>0.24029058464188285</v>
      </c>
      <c r="C986" s="10">
        <f t="shared" ca="1" si="1036"/>
        <v>-7.2044183758364425E-3</v>
      </c>
      <c r="D986" s="11">
        <f t="shared" si="1037"/>
        <v>1447.7398688575352</v>
      </c>
      <c r="E986" s="11">
        <f t="shared" ref="E986:F986" ca="1" si="1051">+D986*EXP(B986)</f>
        <v>1840.9729589217184</v>
      </c>
      <c r="F986" s="11">
        <f t="shared" ca="1" si="1051"/>
        <v>1827.7574815818443</v>
      </c>
      <c r="G986" s="12">
        <f t="shared" ca="1" si="1039"/>
        <v>473.95892467129784</v>
      </c>
      <c r="H986" s="12">
        <f t="shared" ca="1" si="1040"/>
        <v>370.49265480954864</v>
      </c>
    </row>
    <row r="987" spans="1:8" x14ac:dyDescent="0.35">
      <c r="A987" s="15">
        <v>974</v>
      </c>
      <c r="B987" s="10">
        <f t="shared" ca="1" si="1035"/>
        <v>-2.4451232042407865E-2</v>
      </c>
      <c r="C987" s="10">
        <f t="shared" ca="1" si="1036"/>
        <v>-1.6900736249183569E-2</v>
      </c>
      <c r="D987" s="11">
        <f t="shared" si="1037"/>
        <v>1447.7398688575352</v>
      </c>
      <c r="E987" s="11">
        <f t="shared" ref="E987:F987" ca="1" si="1052">+D987*EXP(B987)</f>
        <v>1412.7701144192704</v>
      </c>
      <c r="F987" s="11">
        <f t="shared" ca="1" si="1052"/>
        <v>1389.0938956592161</v>
      </c>
      <c r="G987" s="12">
        <f t="shared" ca="1" si="1039"/>
        <v>147.51651394960004</v>
      </c>
      <c r="H987" s="12">
        <f t="shared" ca="1" si="1040"/>
        <v>48.777998898390024</v>
      </c>
    </row>
    <row r="988" spans="1:8" x14ac:dyDescent="0.35">
      <c r="A988" s="15">
        <v>975</v>
      </c>
      <c r="B988" s="10">
        <f t="shared" ca="1" si="1035"/>
        <v>7.3515808153381684E-2</v>
      </c>
      <c r="C988" s="10">
        <f t="shared" ca="1" si="1036"/>
        <v>-6.5310492460175854E-3</v>
      </c>
      <c r="D988" s="11">
        <f t="shared" si="1037"/>
        <v>1447.7398688575352</v>
      </c>
      <c r="E988" s="11">
        <f t="shared" ref="E988:F988" ca="1" si="1053">+D988*EXP(B988)</f>
        <v>1558.1815019143428</v>
      </c>
      <c r="F988" s="11">
        <f t="shared" ca="1" si="1053"/>
        <v>1548.0381013705457</v>
      </c>
      <c r="G988" s="12">
        <f t="shared" ca="1" si="1039"/>
        <v>242.00319763457458</v>
      </c>
      <c r="H988" s="12">
        <f t="shared" ca="1" si="1040"/>
        <v>134.0811240280691</v>
      </c>
    </row>
    <row r="989" spans="1:8" x14ac:dyDescent="0.35">
      <c r="A989" s="15">
        <v>976</v>
      </c>
      <c r="B989" s="10">
        <f t="shared" ca="1" si="1035"/>
        <v>0.28206776597699612</v>
      </c>
      <c r="C989" s="10">
        <f t="shared" ca="1" si="1036"/>
        <v>0.42906522413522119</v>
      </c>
      <c r="D989" s="11">
        <f t="shared" si="1037"/>
        <v>1447.7398688575352</v>
      </c>
      <c r="E989" s="11">
        <f t="shared" ref="E989:F989" ca="1" si="1054">+D989*EXP(B989)</f>
        <v>1919.5127834595964</v>
      </c>
      <c r="F989" s="11">
        <f t="shared" ca="1" si="1054"/>
        <v>2948.0284336881045</v>
      </c>
      <c r="G989" s="12">
        <f t="shared" ca="1" si="1039"/>
        <v>545.53610880913766</v>
      </c>
      <c r="H989" s="12">
        <f t="shared" ca="1" si="1040"/>
        <v>1485.0635856195358</v>
      </c>
    </row>
    <row r="990" spans="1:8" x14ac:dyDescent="0.35">
      <c r="A990" s="15">
        <v>977</v>
      </c>
      <c r="B990" s="10">
        <f t="shared" ca="1" si="1035"/>
        <v>-0.13823482951731786</v>
      </c>
      <c r="C990" s="10">
        <f t="shared" ca="1" si="1036"/>
        <v>7.444044575467542E-3</v>
      </c>
      <c r="D990" s="11">
        <f t="shared" si="1037"/>
        <v>1447.7398688575352</v>
      </c>
      <c r="E990" s="11">
        <f t="shared" ref="E990:F990" ca="1" si="1055">+D990*EXP(B990)</f>
        <v>1260.8281913076019</v>
      </c>
      <c r="F990" s="11">
        <f t="shared" ca="1" si="1055"/>
        <v>1270.2488730501725</v>
      </c>
      <c r="G990" s="12">
        <f t="shared" ca="1" si="1039"/>
        <v>74.174386891548124</v>
      </c>
      <c r="H990" s="12">
        <f t="shared" ca="1" si="1040"/>
        <v>16.07317881041331</v>
      </c>
    </row>
    <row r="991" spans="1:8" x14ac:dyDescent="0.35">
      <c r="A991" s="15">
        <v>978</v>
      </c>
      <c r="B991" s="10">
        <f t="shared" ca="1" si="1035"/>
        <v>-0.11921492005117788</v>
      </c>
      <c r="C991" s="10">
        <f t="shared" ca="1" si="1036"/>
        <v>0.11704973795020132</v>
      </c>
      <c r="D991" s="11">
        <f t="shared" si="1037"/>
        <v>1447.7398688575352</v>
      </c>
      <c r="E991" s="11">
        <f t="shared" ref="E991:F991" ca="1" si="1056">+D991*EXP(B991)</f>
        <v>1285.038538816779</v>
      </c>
      <c r="F991" s="11">
        <f t="shared" ca="1" si="1056"/>
        <v>1444.6086394707961</v>
      </c>
      <c r="G991" s="12">
        <f t="shared" ca="1" si="1039"/>
        <v>83.970031155114384</v>
      </c>
      <c r="H991" s="12">
        <f t="shared" ca="1" si="1040"/>
        <v>73.100603165520283</v>
      </c>
    </row>
    <row r="992" spans="1:8" x14ac:dyDescent="0.35">
      <c r="A992" s="15">
        <v>979</v>
      </c>
      <c r="B992" s="10">
        <f t="shared" ca="1" si="1035"/>
        <v>-0.2887108345921644</v>
      </c>
      <c r="C992" s="10">
        <f t="shared" ca="1" si="1036"/>
        <v>3.7496754007512567E-2</v>
      </c>
      <c r="D992" s="11">
        <f t="shared" si="1037"/>
        <v>1447.7398688575352</v>
      </c>
      <c r="E992" s="11">
        <f t="shared" ref="E992:F992" ca="1" si="1057">+D992*EXP(B992)</f>
        <v>1084.6884410531584</v>
      </c>
      <c r="F992" s="11">
        <f t="shared" ca="1" si="1057"/>
        <v>1126.1328971725143</v>
      </c>
      <c r="G992" s="12">
        <f t="shared" ca="1" si="1039"/>
        <v>24.14509949981462</v>
      </c>
      <c r="H992" s="12">
        <f t="shared" ca="1" si="1040"/>
        <v>2.2763140585116375</v>
      </c>
    </row>
    <row r="993" spans="1:8" x14ac:dyDescent="0.35">
      <c r="A993" s="15">
        <v>980</v>
      </c>
      <c r="B993" s="10">
        <f t="shared" ca="1" si="1035"/>
        <v>0.11976085229815882</v>
      </c>
      <c r="C993" s="10">
        <f t="shared" ca="1" si="1036"/>
        <v>3.6047569935777575E-2</v>
      </c>
      <c r="D993" s="11">
        <f t="shared" si="1037"/>
        <v>1447.7398688575352</v>
      </c>
      <c r="E993" s="11">
        <f t="shared" ref="E993:F993" ca="1" si="1058">+D993*EXP(B993)</f>
        <v>1631.9318246272526</v>
      </c>
      <c r="F993" s="11">
        <f t="shared" ca="1" si="1058"/>
        <v>1691.8321455067585</v>
      </c>
      <c r="G993" s="12">
        <f t="shared" ca="1" si="1039"/>
        <v>297.40126272572513</v>
      </c>
      <c r="H993" s="12">
        <f t="shared" ca="1" si="1040"/>
        <v>246.41672944442666</v>
      </c>
    </row>
    <row r="994" spans="1:8" x14ac:dyDescent="0.35">
      <c r="A994" s="15">
        <v>981</v>
      </c>
      <c r="B994" s="10">
        <f t="shared" ca="1" si="1035"/>
        <v>-0.10138837001389012</v>
      </c>
      <c r="C994" s="10">
        <f t="shared" ca="1" si="1036"/>
        <v>1.2073148009287094E-2</v>
      </c>
      <c r="D994" s="11">
        <f t="shared" si="1037"/>
        <v>1447.7398688575352</v>
      </c>
      <c r="E994" s="11">
        <f t="shared" ref="E994:F994" ca="1" si="1059">+D994*EXP(B994)</f>
        <v>1308.1517449069693</v>
      </c>
      <c r="F994" s="11">
        <f t="shared" ca="1" si="1059"/>
        <v>1324.0409780717694</v>
      </c>
      <c r="G994" s="12">
        <f t="shared" ca="1" si="1039"/>
        <v>94.000521438635474</v>
      </c>
      <c r="H994" s="12">
        <f t="shared" ca="1" si="1040"/>
        <v>27.820637563434616</v>
      </c>
    </row>
    <row r="995" spans="1:8" x14ac:dyDescent="0.35">
      <c r="A995" s="15">
        <v>982</v>
      </c>
      <c r="B995" s="10">
        <f t="shared" ca="1" si="1035"/>
        <v>-3.0843310263242281E-2</v>
      </c>
      <c r="C995" s="10">
        <f t="shared" ca="1" si="1036"/>
        <v>0.38202317766307203</v>
      </c>
      <c r="D995" s="11">
        <f t="shared" si="1037"/>
        <v>1447.7398688575352</v>
      </c>
      <c r="E995" s="11">
        <f t="shared" ref="E995:F995" ca="1" si="1060">+D995*EXP(B995)</f>
        <v>1403.7683778917387</v>
      </c>
      <c r="F995" s="11">
        <f t="shared" ca="1" si="1060"/>
        <v>2056.8660648106274</v>
      </c>
      <c r="G995" s="12">
        <f t="shared" ca="1" si="1039"/>
        <v>142.40443083637717</v>
      </c>
      <c r="H995" s="12">
        <f t="shared" ca="1" si="1040"/>
        <v>594.54888773373364</v>
      </c>
    </row>
    <row r="996" spans="1:8" x14ac:dyDescent="0.35">
      <c r="A996" s="15">
        <v>983</v>
      </c>
      <c r="B996" s="10">
        <f t="shared" ca="1" si="1035"/>
        <v>-7.8506144490862961E-2</v>
      </c>
      <c r="C996" s="10">
        <f t="shared" ca="1" si="1036"/>
        <v>-0.3614522362671182</v>
      </c>
      <c r="D996" s="11">
        <f t="shared" si="1037"/>
        <v>1447.7398688575352</v>
      </c>
      <c r="E996" s="11">
        <f t="shared" ref="E996:F996" ca="1" si="1061">+D996*EXP(B996)</f>
        <v>1338.4302670060154</v>
      </c>
      <c r="F996" s="11">
        <f t="shared" ca="1" si="1061"/>
        <v>932.43601027080831</v>
      </c>
      <c r="G996" s="12">
        <f t="shared" ca="1" si="1039"/>
        <v>108.137020227996</v>
      </c>
      <c r="H996" s="12">
        <f t="shared" ca="1" si="1040"/>
        <v>3.2280712779875653E-2</v>
      </c>
    </row>
    <row r="997" spans="1:8" x14ac:dyDescent="0.35">
      <c r="A997" s="15">
        <v>984</v>
      </c>
      <c r="B997" s="10">
        <f t="shared" ca="1" si="1035"/>
        <v>0.28758900202352883</v>
      </c>
      <c r="C997" s="10">
        <f t="shared" ca="1" si="1036"/>
        <v>-0.10458863743335323</v>
      </c>
      <c r="D997" s="11">
        <f t="shared" si="1037"/>
        <v>1447.7398688575352</v>
      </c>
      <c r="E997" s="11">
        <f t="shared" ref="E997:F997" ca="1" si="1062">+D997*EXP(B997)</f>
        <v>1930.1401778106474</v>
      </c>
      <c r="F997" s="11">
        <f t="shared" ca="1" si="1062"/>
        <v>1738.4675275052464</v>
      </c>
      <c r="G997" s="12">
        <f t="shared" ca="1" si="1039"/>
        <v>555.37714225378431</v>
      </c>
      <c r="H997" s="12">
        <f t="shared" ca="1" si="1040"/>
        <v>287.6240066386606</v>
      </c>
    </row>
    <row r="998" spans="1:8" x14ac:dyDescent="0.35">
      <c r="A998" s="15">
        <v>985</v>
      </c>
      <c r="B998" s="10">
        <f t="shared" ca="1" si="1035"/>
        <v>-2.3514425223704678E-2</v>
      </c>
      <c r="C998" s="10">
        <f t="shared" ca="1" si="1036"/>
        <v>0.38142251298303487</v>
      </c>
      <c r="D998" s="11">
        <f t="shared" si="1037"/>
        <v>1447.7398688575352</v>
      </c>
      <c r="E998" s="11">
        <f t="shared" ref="E998:F998" ca="1" si="1063">+D998*EXP(B998)</f>
        <v>1414.0942272178302</v>
      </c>
      <c r="F998" s="11">
        <f t="shared" ca="1" si="1063"/>
        <v>2070.7517736164177</v>
      </c>
      <c r="G998" s="12">
        <f t="shared" ca="1" si="1039"/>
        <v>148.27625012569717</v>
      </c>
      <c r="H998" s="12">
        <f t="shared" ca="1" si="1040"/>
        <v>608.34922679970077</v>
      </c>
    </row>
    <row r="999" spans="1:8" x14ac:dyDescent="0.35">
      <c r="A999" s="15">
        <v>986</v>
      </c>
      <c r="B999" s="10">
        <f t="shared" ca="1" si="1035"/>
        <v>-0.12755133876786495</v>
      </c>
      <c r="C999" s="10">
        <f t="shared" ca="1" si="1036"/>
        <v>-0.39495369110460476</v>
      </c>
      <c r="D999" s="11">
        <f t="shared" si="1037"/>
        <v>1447.7398688575352</v>
      </c>
      <c r="E999" s="11">
        <f t="shared" ref="E999:F999" ca="1" si="1064">+D999*EXP(B999)</f>
        <v>1274.3704481079394</v>
      </c>
      <c r="F999" s="11">
        <f t="shared" ca="1" si="1064"/>
        <v>858.55769143669693</v>
      </c>
      <c r="G999" s="12">
        <f t="shared" ca="1" si="1039"/>
        <v>79.563905623597236</v>
      </c>
      <c r="H999" s="12">
        <f t="shared" ca="1" si="1040"/>
        <v>3.0745959240379012E-3</v>
      </c>
    </row>
    <row r="1000" spans="1:8" x14ac:dyDescent="0.35">
      <c r="A1000" s="15">
        <v>987</v>
      </c>
      <c r="B1000" s="10">
        <f t="shared" ca="1" si="1035"/>
        <v>0.17020712666297694</v>
      </c>
      <c r="C1000" s="10">
        <f t="shared" ca="1" si="1036"/>
        <v>0.10424600804665247</v>
      </c>
      <c r="D1000" s="11">
        <f t="shared" si="1037"/>
        <v>1447.7398688575352</v>
      </c>
      <c r="E1000" s="11">
        <f t="shared" ref="E1000:F1000" ca="1" si="1065">+D1000*EXP(B1000)</f>
        <v>1716.3685588839744</v>
      </c>
      <c r="F1000" s="11">
        <f t="shared" ca="1" si="1065"/>
        <v>1904.9519095996293</v>
      </c>
      <c r="G1000" s="12">
        <f t="shared" ca="1" si="1039"/>
        <v>365.73096278086882</v>
      </c>
      <c r="H1000" s="12">
        <f t="shared" ca="1" si="1040"/>
        <v>444.82587447462902</v>
      </c>
    </row>
    <row r="1001" spans="1:8" x14ac:dyDescent="0.35">
      <c r="A1001" s="15">
        <v>988</v>
      </c>
      <c r="B1001" s="10">
        <f t="shared" ca="1" si="1035"/>
        <v>0.14626579761850877</v>
      </c>
      <c r="C1001" s="10">
        <f t="shared" ca="1" si="1036"/>
        <v>-0.21239955990994197</v>
      </c>
      <c r="D1001" s="11">
        <f t="shared" si="1037"/>
        <v>1447.7398688575352</v>
      </c>
      <c r="E1001" s="11">
        <f t="shared" ref="E1001:F1001" ca="1" si="1066">+D1001*EXP(B1001)</f>
        <v>1675.7644125313607</v>
      </c>
      <c r="F1001" s="11">
        <f t="shared" ca="1" si="1066"/>
        <v>1355.0927022746412</v>
      </c>
      <c r="G1001" s="12">
        <f t="shared" ca="1" si="1039"/>
        <v>332.28370317809436</v>
      </c>
      <c r="H1001" s="12">
        <f t="shared" ca="1" si="1040"/>
        <v>36.841173850597045</v>
      </c>
    </row>
    <row r="1002" spans="1:8" x14ac:dyDescent="0.35">
      <c r="A1002" s="15">
        <v>989</v>
      </c>
      <c r="B1002" s="10">
        <f t="shared" ca="1" si="1035"/>
        <v>1.8333854654349346E-2</v>
      </c>
      <c r="C1002" s="10">
        <f t="shared" ca="1" si="1036"/>
        <v>8.8881825683543053E-2</v>
      </c>
      <c r="D1002" s="11">
        <f t="shared" si="1037"/>
        <v>1447.7398688575352</v>
      </c>
      <c r="E1002" s="11">
        <f t="shared" ref="E1002:F1002" ca="1" si="1067">+D1002*EXP(B1002)</f>
        <v>1474.5273295606216</v>
      </c>
      <c r="F1002" s="11">
        <f t="shared" ca="1" si="1067"/>
        <v>1611.5868417403169</v>
      </c>
      <c r="G1002" s="12">
        <f t="shared" ca="1" si="1039"/>
        <v>185.00722774114274</v>
      </c>
      <c r="H1002" s="12">
        <f t="shared" ca="1" si="1040"/>
        <v>180.4445442909755</v>
      </c>
    </row>
    <row r="1003" spans="1:8" x14ac:dyDescent="0.35">
      <c r="A1003" s="15">
        <v>990</v>
      </c>
      <c r="B1003" s="10">
        <f t="shared" ca="1" si="1035"/>
        <v>0.23705713498879338</v>
      </c>
      <c r="C1003" s="10">
        <f t="shared" ca="1" si="1036"/>
        <v>6.4859922425179697E-2</v>
      </c>
      <c r="D1003" s="11">
        <f t="shared" si="1037"/>
        <v>1447.7398688575352</v>
      </c>
      <c r="E1003" s="11">
        <f t="shared" ref="E1003:F1003" ca="1" si="1068">+D1003*EXP(B1003)</f>
        <v>1835.029879049127</v>
      </c>
      <c r="F1003" s="11">
        <f t="shared" ca="1" si="1068"/>
        <v>1957.9944051236153</v>
      </c>
      <c r="G1003" s="12">
        <f t="shared" ca="1" si="1039"/>
        <v>468.63480320016288</v>
      </c>
      <c r="H1003" s="12">
        <f t="shared" ca="1" si="1040"/>
        <v>496.74977898340921</v>
      </c>
    </row>
    <row r="1004" spans="1:8" x14ac:dyDescent="0.35">
      <c r="A1004" s="15">
        <v>991</v>
      </c>
      <c r="B1004" s="10">
        <f t="shared" ca="1" si="1035"/>
        <v>3.8746409716250159E-2</v>
      </c>
      <c r="C1004" s="10">
        <f t="shared" ca="1" si="1036"/>
        <v>0.1687521403665449</v>
      </c>
      <c r="D1004" s="11">
        <f t="shared" si="1037"/>
        <v>1447.7398688575352</v>
      </c>
      <c r="E1004" s="11">
        <f t="shared" ref="E1004:F1004" ca="1" si="1069">+D1004*EXP(B1004)</f>
        <v>1504.9354982277839</v>
      </c>
      <c r="F1004" s="11">
        <f t="shared" ca="1" si="1069"/>
        <v>1781.5827940450399</v>
      </c>
      <c r="G1004" s="12">
        <f t="shared" ca="1" si="1039"/>
        <v>204.94222116936498</v>
      </c>
      <c r="H1004" s="12">
        <f t="shared" ca="1" si="1040"/>
        <v>327.09982953332519</v>
      </c>
    </row>
    <row r="1005" spans="1:8" x14ac:dyDescent="0.35">
      <c r="A1005" s="15">
        <v>992</v>
      </c>
      <c r="B1005" s="10">
        <f t="shared" ca="1" si="1035"/>
        <v>-8.0152287446464257E-2</v>
      </c>
      <c r="C1005" s="10">
        <f t="shared" ca="1" si="1036"/>
        <v>0.29972158370215329</v>
      </c>
      <c r="D1005" s="11">
        <f t="shared" si="1037"/>
        <v>1447.7398688575352</v>
      </c>
      <c r="E1005" s="11">
        <f t="shared" ref="E1005:F1005" ca="1" si="1070">+D1005*EXP(B1005)</f>
        <v>1336.2288318859958</v>
      </c>
      <c r="F1005" s="11">
        <f t="shared" ca="1" si="1070"/>
        <v>1803.2181424435905</v>
      </c>
      <c r="G1005" s="12">
        <f t="shared" ca="1" si="1039"/>
        <v>107.07139622495856</v>
      </c>
      <c r="H1005" s="12">
        <f t="shared" ca="1" si="1040"/>
        <v>347.30729114788778</v>
      </c>
    </row>
    <row r="1006" spans="1:8" x14ac:dyDescent="0.35">
      <c r="A1006" s="15">
        <v>993</v>
      </c>
      <c r="B1006" s="10">
        <f t="shared" ca="1" si="1035"/>
        <v>-0.15910437522742876</v>
      </c>
      <c r="C1006" s="10">
        <f t="shared" ca="1" si="1036"/>
        <v>-0.16906860990468756</v>
      </c>
      <c r="D1006" s="11">
        <f t="shared" si="1037"/>
        <v>1447.7398688575352</v>
      </c>
      <c r="E1006" s="11">
        <f t="shared" ref="E1006:F1006" ca="1" si="1071">+D1006*EXP(B1006)</f>
        <v>1234.7879488706956</v>
      </c>
      <c r="F1006" s="11">
        <f t="shared" ca="1" si="1071"/>
        <v>1042.7178733869137</v>
      </c>
      <c r="G1006" s="12">
        <f t="shared" ca="1" si="1039"/>
        <v>64.450406032280682</v>
      </c>
      <c r="H1006" s="12">
        <f t="shared" ca="1" si="1040"/>
        <v>0.48210723156037005</v>
      </c>
    </row>
    <row r="1007" spans="1:8" x14ac:dyDescent="0.35">
      <c r="A1007" s="15">
        <v>994</v>
      </c>
      <c r="B1007" s="10">
        <f t="shared" ca="1" si="1035"/>
        <v>-0.31099792702952483</v>
      </c>
      <c r="C1007" s="10">
        <f t="shared" ca="1" si="1036"/>
        <v>-1.7749833146642524E-2</v>
      </c>
      <c r="D1007" s="11">
        <f t="shared" si="1037"/>
        <v>1447.7398688575352</v>
      </c>
      <c r="E1007" s="11">
        <f t="shared" ref="E1007:F1007" ca="1" si="1072">+D1007*EXP(B1007)</f>
        <v>1060.7812895271784</v>
      </c>
      <c r="F1007" s="11">
        <f t="shared" ca="1" si="1072"/>
        <v>1042.1187173817598</v>
      </c>
      <c r="G1007" s="12">
        <f t="shared" ca="1" si="1039"/>
        <v>19.993181895678276</v>
      </c>
      <c r="H1007" s="12">
        <f t="shared" ca="1" si="1040"/>
        <v>0.47610734748279704</v>
      </c>
    </row>
    <row r="1008" spans="1:8" x14ac:dyDescent="0.35">
      <c r="A1008" s="15">
        <v>995</v>
      </c>
      <c r="B1008" s="10">
        <f t="shared" ca="1" si="1035"/>
        <v>2.8878339600419949E-3</v>
      </c>
      <c r="C1008" s="10">
        <f t="shared" ca="1" si="1036"/>
        <v>-4.1083699528103604E-2</v>
      </c>
      <c r="D1008" s="11">
        <f t="shared" si="1037"/>
        <v>1447.7398688575352</v>
      </c>
      <c r="E1008" s="11">
        <f t="shared" ref="E1008:F1008" ca="1" si="1073">+D1008*EXP(B1008)</f>
        <v>1451.9267438062273</v>
      </c>
      <c r="F1008" s="11">
        <f t="shared" ca="1" si="1073"/>
        <v>1393.484944341968</v>
      </c>
      <c r="G1008" s="12">
        <f t="shared" ca="1" si="1039"/>
        <v>170.80829528985794</v>
      </c>
      <c r="H1008" s="12">
        <f t="shared" ca="1" si="1040"/>
        <v>50.481793253907483</v>
      </c>
    </row>
    <row r="1009" spans="1:8" x14ac:dyDescent="0.35">
      <c r="A1009" s="15">
        <v>996</v>
      </c>
      <c r="B1009" s="10">
        <f t="shared" ca="1" si="1035"/>
        <v>2.7530004688836048E-2</v>
      </c>
      <c r="C1009" s="10">
        <f t="shared" ca="1" si="1036"/>
        <v>-0.34505401541297021</v>
      </c>
      <c r="D1009" s="11">
        <f t="shared" si="1037"/>
        <v>1447.7398688575352</v>
      </c>
      <c r="E1009" s="11">
        <f t="shared" ref="E1009:F1009" ca="1" si="1074">+D1009*EXP(B1009)</f>
        <v>1488.1498454596299</v>
      </c>
      <c r="F1009" s="11">
        <f t="shared" ca="1" si="1074"/>
        <v>1053.8810822051305</v>
      </c>
      <c r="G1009" s="12">
        <f t="shared" ca="1" si="1039"/>
        <v>193.82242284538108</v>
      </c>
      <c r="H1009" s="12">
        <f t="shared" ca="1" si="1040"/>
        <v>0.60647194048975805</v>
      </c>
    </row>
    <row r="1010" spans="1:8" x14ac:dyDescent="0.35">
      <c r="A1010" s="15">
        <v>997</v>
      </c>
      <c r="B1010" s="10">
        <f t="shared" ca="1" si="1035"/>
        <v>-0.1161316980468045</v>
      </c>
      <c r="C1010" s="10">
        <f t="shared" ca="1" si="1036"/>
        <v>-0.29819919574880949</v>
      </c>
      <c r="D1010" s="11">
        <f t="shared" si="1037"/>
        <v>1447.7398688575352</v>
      </c>
      <c r="E1010" s="11">
        <f t="shared" ref="E1010:F1010" ca="1" si="1075">+D1010*EXP(B1010)</f>
        <v>1289.00671215226</v>
      </c>
      <c r="F1010" s="11">
        <f t="shared" ca="1" si="1075"/>
        <v>956.64083160719224</v>
      </c>
      <c r="G1010" s="12">
        <f t="shared" ca="1" si="1039"/>
        <v>85.645026849879855</v>
      </c>
      <c r="H1010" s="12">
        <f t="shared" ca="1" si="1040"/>
        <v>6.2960996785876411E-2</v>
      </c>
    </row>
    <row r="1011" spans="1:8" x14ac:dyDescent="0.35">
      <c r="A1011" s="15">
        <v>998</v>
      </c>
      <c r="B1011" s="10">
        <f t="shared" ca="1" si="1035"/>
        <v>-5.3178220046367505E-2</v>
      </c>
      <c r="C1011" s="10">
        <f t="shared" ca="1" si="1036"/>
        <v>-0.33969316589395893</v>
      </c>
      <c r="D1011" s="11">
        <f t="shared" si="1037"/>
        <v>1447.7398688575352</v>
      </c>
      <c r="E1011" s="11">
        <f t="shared" ref="E1011:F1011" ca="1" si="1076">+D1011*EXP(B1011)</f>
        <v>1372.7628792318349</v>
      </c>
      <c r="F1011" s="11">
        <f t="shared" ca="1" si="1076"/>
        <v>977.3917287400858</v>
      </c>
      <c r="G1011" s="12">
        <f t="shared" ca="1" si="1039"/>
        <v>125.51290147970929</v>
      </c>
      <c r="H1011" s="12">
        <f t="shared" ca="1" si="1040"/>
        <v>0.10773337792277671</v>
      </c>
    </row>
    <row r="1012" spans="1:8" x14ac:dyDescent="0.35">
      <c r="A1012" s="15">
        <v>999</v>
      </c>
      <c r="B1012" s="10">
        <f t="shared" ca="1" si="1035"/>
        <v>-7.330946878181635E-2</v>
      </c>
      <c r="C1012" s="10">
        <f t="shared" ca="1" si="1036"/>
        <v>0.12753114032994262</v>
      </c>
      <c r="D1012" s="11">
        <f t="shared" si="1037"/>
        <v>1447.7398688575352</v>
      </c>
      <c r="E1012" s="11">
        <f t="shared" ref="E1012:F1012" ca="1" si="1077">+D1012*EXP(B1012)</f>
        <v>1345.4037588571632</v>
      </c>
      <c r="F1012" s="11">
        <f t="shared" ca="1" si="1077"/>
        <v>1528.4059060596642</v>
      </c>
      <c r="G1012" s="12">
        <f t="shared" ca="1" si="1039"/>
        <v>111.55146171941681</v>
      </c>
      <c r="H1012" s="12">
        <f t="shared" ca="1" si="1040"/>
        <v>121.03236723289422</v>
      </c>
    </row>
    <row r="1013" spans="1:8" ht="15" thickBot="1" x14ac:dyDescent="0.4">
      <c r="A1013" s="16">
        <v>1000</v>
      </c>
      <c r="B1013" s="10">
        <f t="shared" ca="1" si="1035"/>
        <v>0.12058261886463482</v>
      </c>
      <c r="C1013" s="10">
        <f t="shared" ca="1" si="1036"/>
        <v>-8.6535727750658195E-2</v>
      </c>
      <c r="D1013" s="11">
        <f t="shared" si="1037"/>
        <v>1447.7398688575352</v>
      </c>
      <c r="E1013" s="11">
        <f t="shared" ref="E1013:F1013" ca="1" si="1078">+D1013*EXP(B1013)</f>
        <v>1633.2734428124845</v>
      </c>
      <c r="F1013" s="11">
        <f t="shared" ca="1" si="1078"/>
        <v>1497.879618463777</v>
      </c>
      <c r="G1013" s="12">
        <f t="shared" ca="1" si="1039"/>
        <v>298.44863598932056</v>
      </c>
      <c r="H1013" s="12">
        <f t="shared" ca="1" si="1040"/>
        <v>102.0676089867768</v>
      </c>
    </row>
  </sheetData>
  <mergeCells count="1">
    <mergeCell ref="A12:H1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1</vt:lpstr>
      <vt:lpstr>2</vt:lpstr>
      <vt:lpstr>3</vt:lpstr>
      <vt:lpstr>5a</vt:lpstr>
      <vt:lpstr>5b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 Erb</dc:creator>
  <cp:lastModifiedBy>Dömötör Barbara Mária</cp:lastModifiedBy>
  <dcterms:created xsi:type="dcterms:W3CDTF">2015-11-07T14:47:21Z</dcterms:created>
  <dcterms:modified xsi:type="dcterms:W3CDTF">2024-05-16T08:19:10Z</dcterms:modified>
</cp:coreProperties>
</file>