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Documents\dbarbar\Barbara_2020_11\phd\2024_tavasz\RMFI\7week\"/>
    </mc:Choice>
  </mc:AlternateContent>
  <xr:revisionPtr revIDLastSave="0" documentId="8_{C4FB2272-07B8-4EF7-A271-2A8A7C898C5C}" xr6:coauthVersionLast="47" xr6:coauthVersionMax="47" xr10:uidLastSave="{00000000-0000-0000-0000-000000000000}"/>
  <bookViews>
    <workbookView xWindow="-110" yWindow="-110" windowWidth="19420" windowHeight="10420" firstSheet="2" activeTab="3" xr2:uid="{B9E754FE-009F-446D-9553-3768CD0AABD7}"/>
  </bookViews>
  <sheets>
    <sheet name="Ex1" sheetId="1" r:id="rId1"/>
    <sheet name="Ex2" sheetId="2" r:id="rId2"/>
    <sheet name="Ex3" sheetId="3" r:id="rId3"/>
    <sheet name="Ex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C9" i="2"/>
  <c r="B9" i="2"/>
  <c r="F7" i="2"/>
  <c r="G7" i="2"/>
  <c r="E7" i="2"/>
  <c r="D7" i="2"/>
  <c r="B7" i="2"/>
  <c r="C7" i="2"/>
</calcChain>
</file>

<file path=xl/sharedStrings.xml><?xml version="1.0" encoding="utf-8"?>
<sst xmlns="http://schemas.openxmlformats.org/spreadsheetml/2006/main" count="40" uniqueCount="27">
  <si>
    <t xml:space="preserve">Firm </t>
  </si>
  <si>
    <t xml:space="preserve">Carbon intensity </t>
  </si>
  <si>
    <t>Carbon momentum in tCO2 e/$ mn) (in %)</t>
  </si>
  <si>
    <t>Confusion matrix of three scoring systems and three cut-off values s</t>
  </si>
  <si>
    <t xml:space="preserve">Score </t>
  </si>
  <si>
    <t xml:space="preserve">s = 100 </t>
  </si>
  <si>
    <t>s = 200</t>
  </si>
  <si>
    <t xml:space="preserve"> s = 500</t>
  </si>
  <si>
    <t>S1</t>
  </si>
  <si>
    <t>S2</t>
  </si>
  <si>
    <t>S3</t>
  </si>
  <si>
    <t>Perfect</t>
  </si>
  <si>
    <t>Binary classification ratios (in %) of the three scoring systems</t>
  </si>
  <si>
    <t>Score</t>
  </si>
  <si>
    <t>s</t>
  </si>
  <si>
    <t>best scoring system</t>
  </si>
  <si>
    <t>CO2</t>
  </si>
  <si>
    <t>CH4</t>
  </si>
  <si>
    <t>N2O</t>
  </si>
  <si>
    <t>CO2 equivalent</t>
  </si>
  <si>
    <t>tonnes</t>
  </si>
  <si>
    <t>Company</t>
  </si>
  <si>
    <t>A</t>
  </si>
  <si>
    <t>B</t>
  </si>
  <si>
    <t>mass</t>
  </si>
  <si>
    <t>absolute contribution</t>
  </si>
  <si>
    <t>relative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</si>
</sst>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0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241300</xdr:colOff>
      <xdr:row>15</xdr:row>
      <xdr:rowOff>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2D3A3185-B490-0CDF-0DE8-9C284DCFD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2770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A3E9-6D31-4F5A-B237-CEB015EFE81C}">
  <dimension ref="A2:C11"/>
  <sheetViews>
    <sheetView workbookViewId="0">
      <selection activeCell="C18" sqref="C18"/>
    </sheetView>
  </sheetViews>
  <sheetFormatPr defaultRowHeight="14.5" x14ac:dyDescent="0.35"/>
  <cols>
    <col min="1" max="1" width="8.90625" style="1"/>
    <col min="2" max="2" width="11" style="1" customWidth="1"/>
    <col min="3" max="3" width="19.6328125" style="1" customWidth="1"/>
  </cols>
  <sheetData>
    <row r="2" spans="1:3" ht="29" x14ac:dyDescent="0.35">
      <c r="A2" s="2" t="s">
        <v>0</v>
      </c>
      <c r="B2" s="2" t="s">
        <v>1</v>
      </c>
      <c r="C2" s="2" t="s">
        <v>2</v>
      </c>
    </row>
    <row r="3" spans="1:3" x14ac:dyDescent="0.35">
      <c r="A3" s="1">
        <v>1</v>
      </c>
      <c r="B3" s="3">
        <v>94</v>
      </c>
      <c r="C3" s="3">
        <v>-3</v>
      </c>
    </row>
    <row r="4" spans="1:3" x14ac:dyDescent="0.35">
      <c r="A4" s="1">
        <v>2</v>
      </c>
      <c r="B4" s="3">
        <v>38.6</v>
      </c>
      <c r="C4" s="3">
        <v>-5.5</v>
      </c>
    </row>
    <row r="5" spans="1:3" x14ac:dyDescent="0.35">
      <c r="A5" s="1">
        <v>3</v>
      </c>
      <c r="B5" s="3">
        <v>30.6</v>
      </c>
      <c r="C5" s="3">
        <v>5.6</v>
      </c>
    </row>
    <row r="6" spans="1:3" x14ac:dyDescent="0.35">
      <c r="A6" s="1">
        <v>4</v>
      </c>
      <c r="B6" s="3">
        <v>74.400000000000006</v>
      </c>
      <c r="C6" s="3">
        <v>-1.3</v>
      </c>
    </row>
    <row r="7" spans="1:3" x14ac:dyDescent="0.35">
      <c r="A7" s="1">
        <v>5</v>
      </c>
      <c r="B7" s="3">
        <v>97.1</v>
      </c>
      <c r="C7" s="3">
        <v>-16.8</v>
      </c>
    </row>
    <row r="8" spans="1:3" x14ac:dyDescent="0.35">
      <c r="A8" s="1">
        <v>6</v>
      </c>
      <c r="B8" s="3">
        <v>57.1</v>
      </c>
      <c r="C8" s="3">
        <v>-3.5</v>
      </c>
    </row>
    <row r="9" spans="1:3" x14ac:dyDescent="0.35">
      <c r="A9" s="1">
        <v>7</v>
      </c>
      <c r="B9" s="3">
        <v>132.4</v>
      </c>
      <c r="C9" s="3">
        <v>8.5</v>
      </c>
    </row>
    <row r="10" spans="1:3" x14ac:dyDescent="0.35">
      <c r="A10" s="1">
        <v>8</v>
      </c>
      <c r="B10" s="3">
        <v>92.5</v>
      </c>
      <c r="C10" s="3">
        <v>-9.1</v>
      </c>
    </row>
    <row r="11" spans="1:3" x14ac:dyDescent="0.35">
      <c r="A11" s="1">
        <v>9</v>
      </c>
      <c r="B11" s="3">
        <v>64.900000000000006</v>
      </c>
      <c r="C11" s="3">
        <v>-4.5999999999999996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26DA-87B4-46C4-BB1E-2E42419E285C}">
  <dimension ref="A1:I31"/>
  <sheetViews>
    <sheetView workbookViewId="0">
      <selection activeCell="G17" sqref="G17"/>
    </sheetView>
  </sheetViews>
  <sheetFormatPr defaultRowHeight="14.5" x14ac:dyDescent="0.35"/>
  <cols>
    <col min="2" max="2" width="9.36328125" customWidth="1"/>
  </cols>
  <sheetData>
    <row r="1" spans="1:9" x14ac:dyDescent="0.35">
      <c r="A1" t="s">
        <v>3</v>
      </c>
    </row>
    <row r="3" spans="1:9" x14ac:dyDescent="0.35">
      <c r="A3" s="10" t="s">
        <v>4</v>
      </c>
      <c r="B3" s="44" t="s">
        <v>5</v>
      </c>
      <c r="C3" s="45"/>
      <c r="D3" s="44" t="s">
        <v>6</v>
      </c>
      <c r="E3" s="45"/>
      <c r="F3" s="40" t="s">
        <v>7</v>
      </c>
      <c r="G3" s="40"/>
    </row>
    <row r="4" spans="1:9" x14ac:dyDescent="0.35">
      <c r="A4" s="46" t="s">
        <v>8</v>
      </c>
      <c r="B4" s="11">
        <v>386</v>
      </c>
      <c r="C4" s="12">
        <v>616</v>
      </c>
      <c r="D4" s="13">
        <v>698</v>
      </c>
      <c r="E4" s="12">
        <v>1304</v>
      </c>
      <c r="F4" s="14">
        <v>1330</v>
      </c>
      <c r="G4" s="14">
        <v>3672</v>
      </c>
    </row>
    <row r="5" spans="1:9" x14ac:dyDescent="0.35">
      <c r="A5" s="45"/>
      <c r="B5" s="15">
        <v>1614</v>
      </c>
      <c r="C5" s="10">
        <v>7384</v>
      </c>
      <c r="D5" s="16">
        <v>1302</v>
      </c>
      <c r="E5" s="10">
        <v>6696</v>
      </c>
      <c r="F5" s="17">
        <v>670</v>
      </c>
      <c r="G5" s="17">
        <v>4328</v>
      </c>
      <c r="I5" s="4"/>
    </row>
    <row r="6" spans="1:9" x14ac:dyDescent="0.35">
      <c r="A6" s="47" t="s">
        <v>9</v>
      </c>
      <c r="B6" s="18">
        <v>372</v>
      </c>
      <c r="C6" s="19">
        <v>632</v>
      </c>
      <c r="D6" s="18">
        <v>700</v>
      </c>
      <c r="E6" s="19">
        <v>1304</v>
      </c>
      <c r="F6" s="20">
        <v>1386</v>
      </c>
      <c r="G6" s="20">
        <v>3616</v>
      </c>
    </row>
    <row r="7" spans="1:9" x14ac:dyDescent="0.35">
      <c r="A7" s="48"/>
      <c r="B7" s="21">
        <f>2000-B6</f>
        <v>1628</v>
      </c>
      <c r="C7" s="22">
        <f>8000-C6</f>
        <v>7368</v>
      </c>
      <c r="D7" s="21">
        <f>2000-D6</f>
        <v>1300</v>
      </c>
      <c r="E7" s="22">
        <f>8000-E6</f>
        <v>6696</v>
      </c>
      <c r="F7" s="23">
        <f>2000-F6</f>
        <v>614</v>
      </c>
      <c r="G7" s="23">
        <f>8000-G6</f>
        <v>4384</v>
      </c>
      <c r="I7" s="4"/>
    </row>
    <row r="8" spans="1:9" x14ac:dyDescent="0.35">
      <c r="A8" s="37" t="s">
        <v>10</v>
      </c>
      <c r="B8" s="24">
        <v>382</v>
      </c>
      <c r="C8" s="25">
        <v>616</v>
      </c>
      <c r="D8" s="24">
        <v>656</v>
      </c>
      <c r="E8" s="25">
        <v>1344</v>
      </c>
      <c r="F8" s="26">
        <v>1378</v>
      </c>
      <c r="G8" s="26">
        <v>3624</v>
      </c>
    </row>
    <row r="9" spans="1:9" x14ac:dyDescent="0.35">
      <c r="A9" s="45"/>
      <c r="B9" s="16">
        <f>2000-B8</f>
        <v>1618</v>
      </c>
      <c r="C9" s="10">
        <f>8000-C8</f>
        <v>7384</v>
      </c>
      <c r="D9" s="16">
        <f>2000-D8</f>
        <v>1344</v>
      </c>
      <c r="E9" s="10">
        <f>8000-E8</f>
        <v>6656</v>
      </c>
      <c r="F9" s="17">
        <f>2000-F8</f>
        <v>622</v>
      </c>
      <c r="G9" s="17">
        <f>8000-G8</f>
        <v>4376</v>
      </c>
    </row>
    <row r="10" spans="1:9" x14ac:dyDescent="0.35">
      <c r="A10" s="37" t="s">
        <v>11</v>
      </c>
      <c r="B10" s="27">
        <v>1000</v>
      </c>
      <c r="C10" s="25">
        <v>0</v>
      </c>
      <c r="D10" s="27">
        <v>2000</v>
      </c>
      <c r="E10" s="25">
        <v>0</v>
      </c>
      <c r="F10" s="28">
        <v>2000</v>
      </c>
      <c r="G10" s="1">
        <v>3000</v>
      </c>
    </row>
    <row r="11" spans="1:9" x14ac:dyDescent="0.35">
      <c r="A11" s="37"/>
      <c r="B11" s="24">
        <v>1000</v>
      </c>
      <c r="C11" s="25">
        <v>8000</v>
      </c>
      <c r="D11" s="24">
        <v>0</v>
      </c>
      <c r="E11" s="25">
        <v>8000</v>
      </c>
      <c r="F11" s="1">
        <v>0</v>
      </c>
      <c r="G11" s="1">
        <v>5000</v>
      </c>
    </row>
    <row r="14" spans="1:9" x14ac:dyDescent="0.35">
      <c r="A14" t="s">
        <v>12</v>
      </c>
    </row>
    <row r="16" spans="1:9" x14ac:dyDescent="0.35">
      <c r="A16" s="29" t="s">
        <v>13</v>
      </c>
      <c r="B16" s="31" t="s">
        <v>14</v>
      </c>
      <c r="C16" s="30"/>
      <c r="D16" s="30"/>
      <c r="E16" s="30"/>
      <c r="F16" s="30"/>
      <c r="G16" s="30"/>
      <c r="H16" s="30"/>
    </row>
    <row r="17" spans="1:8" x14ac:dyDescent="0.35">
      <c r="A17" s="38" t="s">
        <v>8</v>
      </c>
      <c r="B17" s="12">
        <v>100</v>
      </c>
      <c r="C17" s="6"/>
      <c r="D17" s="6"/>
      <c r="E17" s="6"/>
      <c r="F17" s="6"/>
      <c r="G17" s="6"/>
      <c r="H17" s="6"/>
    </row>
    <row r="18" spans="1:8" x14ac:dyDescent="0.35">
      <c r="A18" s="39"/>
      <c r="B18" s="25">
        <v>200</v>
      </c>
      <c r="C18" s="8"/>
      <c r="D18" s="8"/>
      <c r="E18" s="8"/>
      <c r="F18" s="8"/>
      <c r="G18" s="8"/>
      <c r="H18" s="8"/>
    </row>
    <row r="19" spans="1:8" x14ac:dyDescent="0.35">
      <c r="A19" s="40"/>
      <c r="B19" s="10">
        <v>500</v>
      </c>
      <c r="C19" s="7"/>
      <c r="D19" s="7"/>
      <c r="E19" s="7"/>
      <c r="F19" s="7"/>
      <c r="G19" s="7"/>
      <c r="H19" s="7"/>
    </row>
    <row r="20" spans="1:8" x14ac:dyDescent="0.35">
      <c r="A20" s="38" t="s">
        <v>9</v>
      </c>
      <c r="B20" s="12">
        <v>100</v>
      </c>
      <c r="C20" s="6"/>
      <c r="D20" s="6"/>
      <c r="E20" s="6"/>
      <c r="F20" s="6"/>
      <c r="G20" s="6"/>
      <c r="H20" s="6"/>
    </row>
    <row r="21" spans="1:8" x14ac:dyDescent="0.35">
      <c r="A21" s="39"/>
      <c r="B21" s="25">
        <v>200</v>
      </c>
      <c r="C21" s="8"/>
      <c r="D21" s="8"/>
      <c r="E21" s="8"/>
      <c r="F21" s="8"/>
      <c r="G21" s="8"/>
      <c r="H21" s="8"/>
    </row>
    <row r="22" spans="1:8" x14ac:dyDescent="0.35">
      <c r="A22" s="40"/>
      <c r="B22" s="10">
        <v>500</v>
      </c>
      <c r="C22" s="7"/>
      <c r="D22" s="7"/>
      <c r="E22" s="7"/>
      <c r="F22" s="7"/>
      <c r="G22" s="7"/>
      <c r="H22" s="7"/>
    </row>
    <row r="23" spans="1:8" x14ac:dyDescent="0.35">
      <c r="A23" s="38" t="s">
        <v>10</v>
      </c>
      <c r="B23" s="12">
        <v>100</v>
      </c>
      <c r="C23" s="6"/>
      <c r="D23" s="6"/>
      <c r="E23" s="6"/>
      <c r="F23" s="6"/>
      <c r="G23" s="6"/>
      <c r="H23" s="6"/>
    </row>
    <row r="24" spans="1:8" x14ac:dyDescent="0.35">
      <c r="A24" s="39"/>
      <c r="B24" s="25">
        <v>200</v>
      </c>
      <c r="C24" s="8"/>
      <c r="D24" s="8"/>
      <c r="E24" s="8"/>
      <c r="F24" s="8"/>
      <c r="G24" s="8"/>
      <c r="H24" s="8"/>
    </row>
    <row r="25" spans="1:8" x14ac:dyDescent="0.35">
      <c r="A25" s="40"/>
      <c r="B25" s="10">
        <v>500</v>
      </c>
      <c r="C25" s="7"/>
      <c r="D25" s="7"/>
      <c r="E25" s="7"/>
      <c r="F25" s="7"/>
      <c r="G25" s="7"/>
      <c r="H25" s="7"/>
    </row>
    <row r="26" spans="1:8" x14ac:dyDescent="0.35">
      <c r="A26" s="38" t="s">
        <v>11</v>
      </c>
      <c r="B26" s="12">
        <v>100</v>
      </c>
      <c r="C26" s="6"/>
      <c r="D26" s="6"/>
      <c r="E26" s="6"/>
      <c r="F26" s="6"/>
      <c r="G26" s="6"/>
      <c r="H26" s="6"/>
    </row>
    <row r="27" spans="1:8" x14ac:dyDescent="0.35">
      <c r="A27" s="39"/>
      <c r="B27" s="25">
        <v>200</v>
      </c>
      <c r="C27" s="8"/>
      <c r="D27" s="8"/>
      <c r="E27" s="8"/>
      <c r="F27" s="8"/>
      <c r="G27" s="8"/>
      <c r="H27" s="8"/>
    </row>
    <row r="28" spans="1:8" x14ac:dyDescent="0.35">
      <c r="A28" s="40"/>
      <c r="B28" s="10">
        <v>500</v>
      </c>
      <c r="C28" s="7"/>
      <c r="D28" s="7"/>
      <c r="E28" s="7"/>
      <c r="F28" s="7"/>
      <c r="G28" s="7"/>
      <c r="H28" s="7"/>
    </row>
    <row r="29" spans="1:8" x14ac:dyDescent="0.35">
      <c r="A29" s="41" t="s">
        <v>15</v>
      </c>
      <c r="B29" s="12">
        <v>100</v>
      </c>
      <c r="C29" s="6"/>
      <c r="D29" s="6"/>
      <c r="E29" s="6"/>
      <c r="F29" s="6"/>
      <c r="G29" s="6"/>
      <c r="H29" s="6"/>
    </row>
    <row r="30" spans="1:8" x14ac:dyDescent="0.35">
      <c r="A30" s="42"/>
      <c r="B30" s="25">
        <v>200</v>
      </c>
      <c r="C30" s="8"/>
      <c r="D30" s="8"/>
      <c r="E30" s="8"/>
      <c r="F30" s="8"/>
      <c r="G30" s="8"/>
      <c r="H30" s="8"/>
    </row>
    <row r="31" spans="1:8" x14ac:dyDescent="0.35">
      <c r="A31" s="43"/>
      <c r="B31" s="10">
        <v>500</v>
      </c>
      <c r="C31" s="7"/>
      <c r="D31" s="7"/>
      <c r="E31" s="7"/>
      <c r="F31" s="7"/>
      <c r="G31" s="7"/>
      <c r="H31" s="7"/>
    </row>
  </sheetData>
  <mergeCells count="12">
    <mergeCell ref="A29:A31"/>
    <mergeCell ref="B3:C3"/>
    <mergeCell ref="D3:E3"/>
    <mergeCell ref="F3:G3"/>
    <mergeCell ref="A4:A5"/>
    <mergeCell ref="A6:A7"/>
    <mergeCell ref="A8:A9"/>
    <mergeCell ref="A10:A11"/>
    <mergeCell ref="A17:A19"/>
    <mergeCell ref="A20:A22"/>
    <mergeCell ref="A23:A25"/>
    <mergeCell ref="A26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4B44-DFAB-4F34-9C4E-60FBABD6FFBB}">
  <dimension ref="A1:H10"/>
  <sheetViews>
    <sheetView workbookViewId="0">
      <selection activeCell="H16" sqref="H16"/>
    </sheetView>
  </sheetViews>
  <sheetFormatPr defaultRowHeight="14.5" x14ac:dyDescent="0.35"/>
  <cols>
    <col min="5" max="5" width="9.90625" customWidth="1"/>
  </cols>
  <sheetData>
    <row r="1" spans="1:8" x14ac:dyDescent="0.35">
      <c r="B1" t="s">
        <v>20</v>
      </c>
      <c r="E1" s="32"/>
      <c r="F1" s="33" t="s">
        <v>19</v>
      </c>
    </row>
    <row r="2" spans="1:8" x14ac:dyDescent="0.35">
      <c r="A2" t="s">
        <v>16</v>
      </c>
      <c r="B2">
        <v>3017</v>
      </c>
      <c r="E2" s="33" t="s">
        <v>16</v>
      </c>
      <c r="F2" s="33">
        <v>1</v>
      </c>
    </row>
    <row r="3" spans="1:8" x14ac:dyDescent="0.35">
      <c r="A3" t="s">
        <v>17</v>
      </c>
      <c r="B3">
        <v>10</v>
      </c>
      <c r="E3" s="33" t="s">
        <v>17</v>
      </c>
      <c r="F3" s="33">
        <v>28</v>
      </c>
    </row>
    <row r="4" spans="1:8" x14ac:dyDescent="0.35">
      <c r="A4" t="s">
        <v>18</v>
      </c>
      <c r="B4">
        <v>1.8</v>
      </c>
      <c r="E4" s="33" t="s">
        <v>18</v>
      </c>
      <c r="F4" s="33">
        <v>265</v>
      </c>
    </row>
    <row r="7" spans="1:8" x14ac:dyDescent="0.35">
      <c r="A7" s="39" t="s">
        <v>21</v>
      </c>
      <c r="B7" s="37" t="s">
        <v>24</v>
      </c>
      <c r="C7" s="49" t="s">
        <v>25</v>
      </c>
      <c r="D7" s="39"/>
      <c r="E7" s="37"/>
      <c r="F7" s="50" t="s">
        <v>26</v>
      </c>
      <c r="G7" s="39"/>
      <c r="H7" s="39"/>
    </row>
    <row r="8" spans="1:8" x14ac:dyDescent="0.35">
      <c r="A8" s="40"/>
      <c r="B8" s="45"/>
      <c r="C8" s="34" t="s">
        <v>16</v>
      </c>
      <c r="D8" s="35" t="s">
        <v>17</v>
      </c>
      <c r="E8" s="36" t="s">
        <v>18</v>
      </c>
      <c r="F8" s="35" t="s">
        <v>16</v>
      </c>
      <c r="G8" s="35" t="s">
        <v>17</v>
      </c>
      <c r="H8" s="35" t="s">
        <v>18</v>
      </c>
    </row>
    <row r="9" spans="1:8" x14ac:dyDescent="0.35">
      <c r="A9" s="1" t="s">
        <v>22</v>
      </c>
      <c r="B9" s="5"/>
      <c r="C9" s="9"/>
      <c r="D9" s="8"/>
      <c r="E9" s="5"/>
    </row>
    <row r="10" spans="1:8" x14ac:dyDescent="0.35">
      <c r="A10" s="1" t="s">
        <v>23</v>
      </c>
      <c r="B10" s="5"/>
      <c r="C10" s="9"/>
      <c r="D10" s="8"/>
      <c r="E10" s="5"/>
    </row>
  </sheetData>
  <mergeCells count="4">
    <mergeCell ref="A7:A8"/>
    <mergeCell ref="B7:B8"/>
    <mergeCell ref="C7:E7"/>
    <mergeCell ref="F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586A-39D5-41DB-B32B-181F919EA3A4}">
  <dimension ref="A1"/>
  <sheetViews>
    <sheetView tabSelected="1" workbookViewId="0">
      <selection activeCell="A17" sqref="A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 Dziwok</dc:creator>
  <cp:lastModifiedBy>Dömötör Barbara Mária</cp:lastModifiedBy>
  <dcterms:created xsi:type="dcterms:W3CDTF">2024-05-28T12:56:26Z</dcterms:created>
  <dcterms:modified xsi:type="dcterms:W3CDTF">2024-05-28T15:27:17Z</dcterms:modified>
</cp:coreProperties>
</file>