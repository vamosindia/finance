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defaultThemeVersion="124226"/>
  <mc:AlternateContent xmlns:mc="http://schemas.openxmlformats.org/markup-compatibility/2006">
    <mc:Choice Requires="x15">
      <x15ac:absPath xmlns:x15ac="http://schemas.microsoft.com/office/spreadsheetml/2010/11/ac" url="C:\Munka\!PUTanszek\!AppliedBusinessValuation\2021Fall\"/>
    </mc:Choice>
  </mc:AlternateContent>
  <xr:revisionPtr revIDLastSave="0" documentId="13_ncr:1_{89E1FAB3-8731-471D-BE7D-F2F81D5E3B24}" xr6:coauthVersionLast="47" xr6:coauthVersionMax="47" xr10:uidLastSave="{00000000-0000-0000-0000-000000000000}"/>
  <bookViews>
    <workbookView xWindow="-120" yWindow="-120" windowWidth="29040" windowHeight="15720" activeTab="1" xr2:uid="{00000000-000D-0000-FFFF-FFFF00000000}"/>
  </bookViews>
  <sheets>
    <sheet name="OpeningPage" sheetId="5" r:id="rId1"/>
    <sheet name="Admin" sheetId="6" r:id="rId2"/>
    <sheet name="Task 1" sheetId="10" r:id="rId3"/>
    <sheet name="Task 2" sheetId="11" r:id="rId4"/>
    <sheet name="Task 3" sheetId="4" r:id="rId5"/>
    <sheet name="Task 4" sheetId="8" r:id="rId6"/>
    <sheet name="Task 5" sheetId="9" r:id="rId7"/>
    <sheet name="Sample theoretical questions" sheetId="12" r:id="rId8"/>
  </sheets>
  <externalReferences>
    <externalReference r:id="rId9"/>
  </externalReferences>
  <definedNames>
    <definedName name="lista">OFFSET([1]DinamicValidation!$B$4,0,0,COUNTA([1]DinamicValidation!$B$4:$B$1048576),1)</definedName>
  </definedNames>
  <calcPr calcId="191029" iterateCount="10000" iterateDelta="1E-1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19" i="8" l="1"/>
  <c r="F19" i="8" s="1"/>
  <c r="G19" i="8" s="1"/>
  <c r="H19" i="8" s="1"/>
  <c r="E23" i="10"/>
  <c r="F23" i="10" s="1"/>
  <c r="G23" i="10" s="1"/>
  <c r="H23" i="10" s="1"/>
  <c r="I23" i="10" s="1"/>
  <c r="J23" i="10" s="1"/>
  <c r="F18" i="4"/>
  <c r="E18" i="4" s="1"/>
  <c r="D18" i="4" s="1"/>
  <c r="E24" i="11"/>
  <c r="F24" i="11" s="1"/>
  <c r="G24" i="11" s="1"/>
  <c r="H24" i="11" s="1"/>
  <c r="D20" i="6" l="1"/>
  <c r="I33" i="11" l="1"/>
  <c r="H33" i="11"/>
  <c r="G33" i="11"/>
  <c r="F33" i="11"/>
  <c r="E33" i="11"/>
  <c r="D33" i="11"/>
  <c r="B7" i="11"/>
  <c r="C6" i="11"/>
  <c r="B6" i="11"/>
  <c r="C4" i="11"/>
  <c r="B4" i="11"/>
  <c r="C3" i="11"/>
  <c r="B3" i="11"/>
  <c r="C2" i="11"/>
  <c r="B2" i="11"/>
  <c r="B7" i="10"/>
  <c r="C6" i="10"/>
  <c r="B6" i="10"/>
  <c r="C4" i="10"/>
  <c r="B4" i="10"/>
  <c r="C3" i="10"/>
  <c r="B3" i="10"/>
  <c r="C2" i="10"/>
  <c r="B2" i="10"/>
  <c r="H27" i="8" l="1"/>
  <c r="I27" i="8"/>
  <c r="G27" i="8"/>
  <c r="F27" i="8"/>
  <c r="E27" i="8"/>
  <c r="D27" i="8"/>
  <c r="B7" i="9"/>
  <c r="C6" i="9"/>
  <c r="B6" i="9"/>
  <c r="C4" i="9"/>
  <c r="B4" i="9"/>
  <c r="C3" i="9"/>
  <c r="B3" i="9"/>
  <c r="C2" i="9"/>
  <c r="B2" i="9"/>
  <c r="B7" i="8"/>
  <c r="C6" i="8"/>
  <c r="B6" i="8"/>
  <c r="C4" i="8"/>
  <c r="B4" i="8"/>
  <c r="C3" i="8"/>
  <c r="B3" i="8"/>
  <c r="C2" i="8"/>
  <c r="B2" i="8"/>
  <c r="E44" i="4"/>
  <c r="E47" i="4" s="1"/>
  <c r="F44" i="4"/>
  <c r="F47" i="4" s="1"/>
  <c r="D44" i="4"/>
  <c r="D47" i="4" s="1"/>
  <c r="E39" i="4"/>
  <c r="E41" i="4" s="1"/>
  <c r="F39" i="4"/>
  <c r="F41" i="4" s="1"/>
  <c r="D39" i="4"/>
  <c r="D41" i="4" s="1"/>
  <c r="E28" i="4"/>
  <c r="E29" i="4" s="1"/>
  <c r="E31" i="4" s="1"/>
  <c r="E33" i="4" s="1"/>
  <c r="F28" i="4"/>
  <c r="F29" i="4" s="1"/>
  <c r="F31" i="4" s="1"/>
  <c r="F33" i="4" s="1"/>
  <c r="D28" i="4"/>
  <c r="E24" i="4"/>
  <c r="F24" i="4"/>
  <c r="D24" i="4"/>
  <c r="D29" i="4" s="1"/>
  <c r="D31" i="4" s="1"/>
  <c r="D33" i="4" s="1"/>
  <c r="B3" i="4" l="1"/>
  <c r="C3" i="4"/>
  <c r="B4" i="4"/>
  <c r="C4" i="4"/>
  <c r="B6" i="4"/>
  <c r="C6" i="4"/>
  <c r="B7" i="4"/>
  <c r="C2" i="4"/>
  <c r="B2" i="4"/>
  <c r="C7" i="4" l="1"/>
  <c r="C7" i="10"/>
  <c r="C7" i="11"/>
  <c r="C7" i="8"/>
  <c r="C7" i="9"/>
</calcChain>
</file>

<file path=xl/sharedStrings.xml><?xml version="1.0" encoding="utf-8"?>
<sst xmlns="http://schemas.openxmlformats.org/spreadsheetml/2006/main" count="89" uniqueCount="69">
  <si>
    <t>g</t>
  </si>
  <si>
    <t>TV</t>
  </si>
  <si>
    <t>RONIC</t>
  </si>
  <si>
    <t>K</t>
  </si>
  <si>
    <r>
      <t>r</t>
    </r>
    <r>
      <rPr>
        <vertAlign val="subscript"/>
        <sz val="12"/>
        <color rgb="FF000000"/>
        <rFont val="Times New Roman"/>
        <family val="1"/>
        <charset val="238"/>
      </rPr>
      <t>A</t>
    </r>
  </si>
  <si>
    <r>
      <t>r</t>
    </r>
    <r>
      <rPr>
        <vertAlign val="subscript"/>
        <sz val="12"/>
        <color rgb="FF000000"/>
        <rFont val="Times New Roman"/>
        <family val="1"/>
        <charset val="238"/>
      </rPr>
      <t>D</t>
    </r>
  </si>
  <si>
    <t>t</t>
  </si>
  <si>
    <t>ABCD1234</t>
  </si>
  <si>
    <t>rD</t>
  </si>
  <si>
    <t>ROIC</t>
  </si>
  <si>
    <t>dIC</t>
  </si>
  <si>
    <t>Master in Finance</t>
  </si>
  <si>
    <t>Master in Accounting</t>
  </si>
  <si>
    <t>Instructor</t>
  </si>
  <si>
    <t>Péter Juhász, PhD, CFA</t>
  </si>
  <si>
    <t>Date</t>
  </si>
  <si>
    <t>Sam Sample</t>
  </si>
  <si>
    <t>Total points achieved</t>
  </si>
  <si>
    <t>Neptun code</t>
  </si>
  <si>
    <t>Student name</t>
  </si>
  <si>
    <t>Study program</t>
  </si>
  <si>
    <t>Points achived:</t>
  </si>
  <si>
    <t>IC boy</t>
  </si>
  <si>
    <t>Sales</t>
  </si>
  <si>
    <t>EBIT/Sales</t>
  </si>
  <si>
    <t>Corporate tax rate</t>
  </si>
  <si>
    <t>Debt boy</t>
  </si>
  <si>
    <t>t (effective)</t>
  </si>
  <si>
    <t>g TV period</t>
  </si>
  <si>
    <t>Other income</t>
  </si>
  <si>
    <t>Material expenses</t>
  </si>
  <si>
    <t>Labour expenses</t>
  </si>
  <si>
    <t>D&amp;A</t>
  </si>
  <si>
    <t>EBIT</t>
  </si>
  <si>
    <t>Dividend received</t>
  </si>
  <si>
    <t>Interests received</t>
  </si>
  <si>
    <t>Interests paid</t>
  </si>
  <si>
    <t>Financial profit</t>
  </si>
  <si>
    <t>Profit before tax</t>
  </si>
  <si>
    <t>Corporate tax</t>
  </si>
  <si>
    <t>Profit after tax</t>
  </si>
  <si>
    <t>Dividend</t>
  </si>
  <si>
    <t>Retained earnings</t>
  </si>
  <si>
    <t>Cash</t>
  </si>
  <si>
    <t>Receivables</t>
  </si>
  <si>
    <t>Inventory</t>
  </si>
  <si>
    <t>Current assets</t>
  </si>
  <si>
    <t>Invested assets</t>
  </si>
  <si>
    <t>Total of Liabilities and Equity</t>
  </si>
  <si>
    <t>Equity</t>
  </si>
  <si>
    <t>Long term debt</t>
  </si>
  <si>
    <t>Short term liabilities</t>
  </si>
  <si>
    <t>Payables</t>
  </si>
  <si>
    <t>Short term loans</t>
  </si>
  <si>
    <t>Total of assests</t>
  </si>
  <si>
    <t>Sample theoretical questions. Not all possibilities are listed here.</t>
  </si>
  <si>
    <t xml:space="preserve">Present the possible methods of estimating the cost of debt. </t>
  </si>
  <si>
    <t>What are the most important requirements to consider when estimating the terminal value in a DCF model?</t>
  </si>
  <si>
    <t>Compare the accounting and the business cash flow statements.</t>
  </si>
  <si>
    <t>List and contrast the DCF models learned. When are those most appropriate to use?</t>
  </si>
  <si>
    <t>What are value drivers? List them and show the calculation formulas.</t>
  </si>
  <si>
    <t>D/IC boy</t>
  </si>
  <si>
    <t>D/V boy</t>
  </si>
  <si>
    <t>Marketable securities</t>
  </si>
  <si>
    <t>List any correction types you may need to use before analysing the historical statements of a firm.</t>
  </si>
  <si>
    <t>How do you have to select the peers for a multiple-based valuation?</t>
  </si>
  <si>
    <t>What kind of asset valuation methods do you know?</t>
  </si>
  <si>
    <t>Describe how the bargaining range for an M&amp;A transaction is set.</t>
  </si>
  <si>
    <t>Applied Business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</si>
</sst>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9" x14ac:knownFonts="1">
    <font>
      <sz val="12"/>
      <color theme="1"/>
      <name val="Times New Roman"/>
      <family val="2"/>
      <charset val="238"/>
    </font>
    <font>
      <sz val="12"/>
      <color theme="1"/>
      <name val="Times New Roman"/>
      <family val="2"/>
      <charset val="238"/>
    </font>
    <font>
      <sz val="10"/>
      <color theme="1"/>
      <name val="Calibri"/>
      <family val="2"/>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vertAlign val="subscript"/>
      <sz val="12"/>
      <color rgb="FF000000"/>
      <name val="Times New Roman"/>
      <family val="1"/>
      <charset val="238"/>
    </font>
    <font>
      <sz val="18"/>
      <color theme="1"/>
      <name val="Times New Roman"/>
      <family val="2"/>
      <charset val="238"/>
    </font>
    <font>
      <b/>
      <sz val="18"/>
      <color theme="1"/>
      <name val="Times New Roman"/>
      <family val="1"/>
      <charset val="238"/>
    </font>
    <font>
      <sz val="8"/>
      <name val="Times New Roman"/>
      <family val="2"/>
      <charset val="238"/>
    </font>
    <font>
      <b/>
      <sz val="28"/>
      <color theme="1"/>
      <name val="Times New Roman"/>
      <family val="1"/>
      <charset val="238"/>
    </font>
    <font>
      <sz val="14"/>
      <color theme="1"/>
      <name val="Times New Roman"/>
      <family val="2"/>
      <charset val="238"/>
    </font>
    <font>
      <b/>
      <sz val="14"/>
      <color theme="1"/>
      <name val="Times New Roman"/>
      <family val="1"/>
      <charset val="238"/>
    </font>
    <font>
      <b/>
      <sz val="16"/>
      <color theme="1"/>
      <name val="Times New Roman"/>
      <family val="1"/>
      <charset val="238"/>
    </font>
    <font>
      <sz val="12"/>
      <color theme="1"/>
      <name val="Times New Roman"/>
      <family val="1"/>
      <charset val="238"/>
    </font>
    <font>
      <b/>
      <i/>
      <sz val="12"/>
      <color rgb="FF000000"/>
      <name val="Times New Roman"/>
      <family val="1"/>
      <charset val="238"/>
    </font>
    <font>
      <sz val="12"/>
      <color theme="0"/>
      <name val="Times New Roman"/>
      <family val="2"/>
      <charset val="238"/>
    </font>
    <font>
      <sz val="16"/>
      <color rgb="FF000000"/>
      <name val="Times New Roman"/>
      <family val="1"/>
      <charset val="238"/>
    </font>
    <font>
      <sz val="14"/>
      <color rgb="FF000000"/>
      <name val="Times New Roman"/>
      <family val="1"/>
      <charset val="238"/>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9" tint="0.39997558519241921"/>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53">
    <xf numFmtId="0" fontId="0" fillId="0" borderId="0" xfId="0"/>
    <xf numFmtId="10" fontId="0" fillId="0" borderId="0" xfId="1" applyNumberFormat="1" applyFont="1"/>
    <xf numFmtId="0" fontId="3" fillId="0" borderId="0" xfId="0" applyFont="1" applyBorder="1" applyAlignment="1">
      <alignment horizontal="center" vertical="center"/>
    </xf>
    <xf numFmtId="0" fontId="4" fillId="0" borderId="0" xfId="0" applyFont="1" applyBorder="1" applyAlignment="1">
      <alignment horizontal="left" vertical="center"/>
    </xf>
    <xf numFmtId="10" fontId="4" fillId="0" borderId="0" xfId="0" applyNumberFormat="1" applyFont="1" applyBorder="1" applyAlignment="1">
      <alignment horizontal="right" vertical="center"/>
    </xf>
    <xf numFmtId="0" fontId="7" fillId="0" borderId="0" xfId="0" applyFont="1"/>
    <xf numFmtId="0" fontId="0" fillId="0" borderId="0" xfId="0" applyAlignment="1">
      <alignment horizontal="center"/>
    </xf>
    <xf numFmtId="0" fontId="8" fillId="0" borderId="0" xfId="0" applyFont="1"/>
    <xf numFmtId="0" fontId="8" fillId="0" borderId="0" xfId="0" applyFont="1" applyProtection="1">
      <protection hidden="1"/>
    </xf>
    <xf numFmtId="0" fontId="8" fillId="2" borderId="5" xfId="0" applyFont="1" applyFill="1" applyBorder="1" applyProtection="1">
      <protection hidden="1"/>
    </xf>
    <xf numFmtId="0" fontId="0" fillId="0" borderId="0" xfId="0" applyAlignment="1"/>
    <xf numFmtId="0" fontId="11" fillId="5" borderId="6" xfId="0" applyFont="1" applyFill="1" applyBorder="1"/>
    <xf numFmtId="0" fontId="11" fillId="5" borderId="8" xfId="0" applyFont="1" applyFill="1" applyBorder="1"/>
    <xf numFmtId="164" fontId="12" fillId="5" borderId="9" xfId="0" applyNumberFormat="1" applyFont="1" applyFill="1" applyBorder="1" applyAlignment="1">
      <alignment horizontal="center"/>
    </xf>
    <xf numFmtId="0" fontId="11" fillId="5" borderId="9" xfId="0" applyFont="1" applyFill="1" applyBorder="1"/>
    <xf numFmtId="0" fontId="11" fillId="5" borderId="10" xfId="0" applyFont="1" applyFill="1" applyBorder="1"/>
    <xf numFmtId="0" fontId="11" fillId="5" borderId="4" xfId="0" applyFont="1" applyFill="1" applyBorder="1"/>
    <xf numFmtId="0" fontId="13" fillId="2" borderId="11" xfId="0" applyFont="1" applyFill="1" applyBorder="1" applyAlignment="1">
      <alignment horizontal="center"/>
    </xf>
    <xf numFmtId="0" fontId="13" fillId="2" borderId="2" xfId="0" applyFont="1" applyFill="1" applyBorder="1" applyAlignment="1">
      <alignment horizontal="center"/>
    </xf>
    <xf numFmtId="0" fontId="14" fillId="0" borderId="1" xfId="0" applyFont="1" applyBorder="1" applyAlignment="1">
      <alignment horizontal="left" vertical="center"/>
    </xf>
    <xf numFmtId="0" fontId="3" fillId="4" borderId="2" xfId="0" applyFont="1" applyFill="1" applyBorder="1" applyAlignment="1">
      <alignment horizontal="center" vertical="center"/>
    </xf>
    <xf numFmtId="0" fontId="14" fillId="0" borderId="3" xfId="0" applyFont="1" applyBorder="1" applyAlignment="1">
      <alignment horizontal="left" vertical="center"/>
    </xf>
    <xf numFmtId="0" fontId="5" fillId="0" borderId="3" xfId="0" applyFont="1" applyBorder="1" applyAlignment="1">
      <alignment horizontal="left" vertical="center"/>
    </xf>
    <xf numFmtId="0" fontId="2" fillId="0" borderId="12" xfId="0" applyFont="1" applyBorder="1"/>
    <xf numFmtId="4" fontId="4" fillId="4" borderId="4" xfId="0" applyNumberFormat="1" applyFont="1" applyFill="1" applyBorder="1" applyAlignment="1">
      <alignment horizontal="right" vertical="center"/>
    </xf>
    <xf numFmtId="4" fontId="3" fillId="4" borderId="4" xfId="0" applyNumberFormat="1" applyFont="1" applyFill="1" applyBorder="1" applyAlignment="1">
      <alignment horizontal="right" vertical="center"/>
    </xf>
    <xf numFmtId="4" fontId="4" fillId="4" borderId="12" xfId="0" applyNumberFormat="1" applyFont="1" applyFill="1" applyBorder="1" applyAlignment="1">
      <alignment horizontal="left" vertical="center"/>
    </xf>
    <xf numFmtId="4" fontId="15" fillId="4" borderId="4" xfId="0" applyNumberFormat="1" applyFont="1" applyFill="1" applyBorder="1" applyAlignment="1">
      <alignment horizontal="right" vertical="center"/>
    </xf>
    <xf numFmtId="0" fontId="8" fillId="3" borderId="5" xfId="0" applyFont="1" applyFill="1" applyBorder="1" applyAlignment="1" applyProtection="1">
      <alignment horizontal="center"/>
      <protection locked="0"/>
    </xf>
    <xf numFmtId="0" fontId="14" fillId="0" borderId="0" xfId="0" applyFont="1" applyBorder="1"/>
    <xf numFmtId="4" fontId="14" fillId="0" borderId="0" xfId="0" applyNumberFormat="1" applyFont="1" applyBorder="1"/>
    <xf numFmtId="0" fontId="5" fillId="0" borderId="0" xfId="0" applyFont="1" applyAlignment="1">
      <alignment horizontal="center"/>
    </xf>
    <xf numFmtId="10" fontId="0" fillId="0" borderId="0" xfId="0" applyNumberFormat="1"/>
    <xf numFmtId="4" fontId="0" fillId="0" borderId="0" xfId="0" applyNumberFormat="1"/>
    <xf numFmtId="0" fontId="5" fillId="0" borderId="13" xfId="0" applyFont="1" applyBorder="1"/>
    <xf numFmtId="0" fontId="5" fillId="0" borderId="16" xfId="0" applyFont="1" applyBorder="1"/>
    <xf numFmtId="0" fontId="5" fillId="0" borderId="18" xfId="0" applyFont="1" applyBorder="1"/>
    <xf numFmtId="0" fontId="5" fillId="6" borderId="14" xfId="0" applyFont="1" applyFill="1" applyBorder="1"/>
    <xf numFmtId="0" fontId="5" fillId="6" borderId="15" xfId="0" applyFont="1" applyFill="1" applyBorder="1"/>
    <xf numFmtId="0" fontId="5" fillId="6" borderId="5" xfId="0" applyFont="1" applyFill="1" applyBorder="1"/>
    <xf numFmtId="0" fontId="5" fillId="6" borderId="17" xfId="0" applyFont="1" applyFill="1" applyBorder="1"/>
    <xf numFmtId="0" fontId="5" fillId="6" borderId="19" xfId="0" applyFont="1" applyFill="1" applyBorder="1"/>
    <xf numFmtId="0" fontId="5" fillId="6" borderId="20" xfId="0" applyFont="1" applyFill="1" applyBorder="1"/>
    <xf numFmtId="0" fontId="5" fillId="5" borderId="5" xfId="0" applyFont="1" applyFill="1" applyBorder="1"/>
    <xf numFmtId="0" fontId="16" fillId="0" borderId="0" xfId="0" applyFont="1"/>
    <xf numFmtId="0" fontId="17" fillId="0" borderId="0" xfId="0" applyFont="1"/>
    <xf numFmtId="0" fontId="13" fillId="0" borderId="0" xfId="0" applyFont="1"/>
    <xf numFmtId="0" fontId="18" fillId="0" borderId="0" xfId="0" applyFont="1"/>
    <xf numFmtId="0" fontId="8" fillId="0" borderId="0" xfId="0" applyFont="1" applyAlignment="1" applyProtection="1">
      <alignment horizontal="center"/>
      <protection hidden="1"/>
    </xf>
    <xf numFmtId="0" fontId="5" fillId="2" borderId="0" xfId="0" applyFont="1" applyFill="1" applyAlignment="1">
      <alignment horizontal="center"/>
    </xf>
    <xf numFmtId="14" fontId="12" fillId="5" borderId="7" xfId="0" applyNumberFormat="1" applyFont="1" applyFill="1" applyBorder="1" applyAlignment="1">
      <alignment horizontal="center"/>
    </xf>
    <xf numFmtId="14" fontId="8" fillId="0" borderId="0" xfId="0" applyNumberFormat="1" applyFont="1" applyAlignment="1">
      <alignment horizontal="center"/>
    </xf>
    <xf numFmtId="0" fontId="10" fillId="0" borderId="0" xfId="0" applyFont="1" applyAlignment="1">
      <alignment horizontal="center"/>
    </xf>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542924</xdr:colOff>
      <xdr:row>28</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12887324" cy="561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en-US" sz="1000"/>
        </a:p>
        <a:p>
          <a:pPr algn="ctr"/>
          <a:r>
            <a:rPr lang="hu-HU" sz="8000" b="1">
              <a:solidFill>
                <a:srgbClr val="7030A0"/>
              </a:solidFill>
            </a:rPr>
            <a:t>Applied Business Valuation</a:t>
          </a:r>
        </a:p>
        <a:p>
          <a:pPr algn="ctr"/>
          <a:r>
            <a:rPr lang="hu-HU" sz="5000"/>
            <a:t>Sample exam tasks</a:t>
          </a:r>
        </a:p>
        <a:p>
          <a:pPr algn="ctr"/>
          <a:endParaRPr lang="hu-HU" sz="5000"/>
        </a:p>
        <a:p>
          <a:pPr algn="ctr"/>
          <a:r>
            <a:rPr lang="hu-HU" sz="5000" baseline="0">
              <a:solidFill>
                <a:schemeClr val="dk1"/>
              </a:solidFill>
              <a:latin typeface="+mn-lt"/>
              <a:ea typeface="+mn-ea"/>
              <a:cs typeface="+mn-cs"/>
            </a:rPr>
            <a:t>Péter Juhász, PhD</a:t>
          </a:r>
          <a:r>
            <a:rPr lang="hu-HU" sz="5000" baseline="0"/>
            <a:t>, CFA</a:t>
          </a:r>
        </a:p>
        <a:p>
          <a:pPr algn="ctr"/>
          <a:r>
            <a:rPr lang="hu-HU" sz="3000" baseline="0"/>
            <a:t>peter.juhasz@uni-corvinus.hu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1</xdr:row>
      <xdr:rowOff>19050</xdr:rowOff>
    </xdr:from>
    <xdr:to>
      <xdr:col>4</xdr:col>
      <xdr:colOff>666750</xdr:colOff>
      <xdr:row>6</xdr:row>
      <xdr:rowOff>114300</xdr:rowOff>
    </xdr:to>
    <xdr:sp macro="" textlink="">
      <xdr:nvSpPr>
        <xdr:cNvPr id="2" name="Szövegdoboz 1">
          <a:extLst>
            <a:ext uri="{FF2B5EF4-FFF2-40B4-BE49-F238E27FC236}">
              <a16:creationId xmlns:a16="http://schemas.microsoft.com/office/drawing/2014/main" id="{6355EBA2-DB27-4EF1-AFED-D11B8547EEFD}"/>
            </a:ext>
          </a:extLst>
        </xdr:cNvPr>
        <xdr:cNvSpPr txBox="1"/>
      </xdr:nvSpPr>
      <xdr:spPr>
        <a:xfrm>
          <a:off x="990600" y="219075"/>
          <a:ext cx="56292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600" b="1">
              <a:solidFill>
                <a:srgbClr val="FF0000"/>
              </a:solidFill>
              <a:latin typeface="Times New Roman" panose="02020603050405020304" pitchFamily="18" charset="0"/>
              <a:cs typeface="Times New Roman" panose="02020603050405020304" pitchFamily="18" charset="0"/>
            </a:rPr>
            <a:t>Kindly</a:t>
          </a:r>
          <a:r>
            <a:rPr lang="hu-HU" sz="1600" b="1" baseline="0">
              <a:solidFill>
                <a:srgbClr val="FF0000"/>
              </a:solidFill>
              <a:latin typeface="Times New Roman" panose="02020603050405020304" pitchFamily="18" charset="0"/>
              <a:cs typeface="Times New Roman" panose="02020603050405020304" pitchFamily="18" charset="0"/>
            </a:rPr>
            <a:t> save this file renaming it following the pattern below. Please hand in the file only after named properly.</a:t>
          </a:r>
        </a:p>
        <a:p>
          <a:pPr algn="ctr"/>
          <a:endParaRPr lang="hu-HU" sz="1600" b="1" baseline="0">
            <a:solidFill>
              <a:srgbClr val="FF0000"/>
            </a:solidFill>
            <a:latin typeface="Times New Roman" panose="02020603050405020304" pitchFamily="18" charset="0"/>
            <a:cs typeface="Times New Roman" panose="02020603050405020304" pitchFamily="18" charset="0"/>
          </a:endParaRPr>
        </a:p>
        <a:p>
          <a:pPr algn="ctr"/>
          <a:r>
            <a:rPr lang="hu-HU" sz="1600" b="1" baseline="0">
              <a:solidFill>
                <a:srgbClr val="7030A0"/>
              </a:solidFill>
              <a:latin typeface="Times New Roman" panose="02020603050405020304" pitchFamily="18" charset="0"/>
              <a:cs typeface="Times New Roman" panose="02020603050405020304" pitchFamily="18" charset="0"/>
            </a:rPr>
            <a:t>ABV_FamilyName_GivenName.xlsx</a:t>
          </a:r>
          <a:endParaRPr lang="hu-HU" sz="1600" b="1">
            <a:solidFill>
              <a:srgbClr val="7030A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695324" y="2362200"/>
          <a:ext cx="720090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Prepare the financial statements (Balance sheet, P/L, Business cash flow) of the firm using the data given and 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00000000-0008-0000-0200-000003000000}"/>
            </a:ext>
          </a:extLst>
        </xdr:cNvPr>
        <xdr:cNvSpPr txBox="1"/>
      </xdr:nvSpPr>
      <xdr:spPr>
        <a:xfrm>
          <a:off x="685801" y="2333625"/>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00000000-0008-0000-0300-000002000000}"/>
            </a:ext>
          </a:extLst>
        </xdr:cNvPr>
        <xdr:cNvSpPr txBox="1"/>
      </xdr:nvSpPr>
      <xdr:spPr>
        <a:xfrm>
          <a:off x="695324" y="3362325"/>
          <a:ext cx="722947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2022 assuming that new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00000000-0008-0000-0300-000003000000}"/>
            </a:ext>
          </a:extLst>
        </xdr:cNvPr>
        <xdr:cNvSpPr txBox="1"/>
      </xdr:nvSpPr>
      <xdr:spPr>
        <a:xfrm>
          <a:off x="685800" y="2324100"/>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4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business cash flow of the firm for 2019 and 2020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35</xdr:row>
      <xdr:rowOff>47625</xdr:rowOff>
    </xdr:to>
    <xdr:sp macro="" textlink="">
      <xdr:nvSpPr>
        <xdr:cNvPr id="3" name="Szövegdoboz 2">
          <a:extLst>
            <a:ext uri="{FF2B5EF4-FFF2-40B4-BE49-F238E27FC236}">
              <a16:creationId xmlns:a16="http://schemas.microsoft.com/office/drawing/2014/main" id="{BFDAC5A9-4707-436A-B503-673577B23A49}"/>
            </a:ext>
          </a:extLst>
        </xdr:cNvPr>
        <xdr:cNvSpPr txBox="1"/>
      </xdr:nvSpPr>
      <xdr:spPr>
        <a:xfrm>
          <a:off x="8477249" y="3752850"/>
          <a:ext cx="7372351" cy="380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00000000-0008-0000-0600-000002000000}"/>
            </a:ext>
          </a:extLst>
        </xdr:cNvPr>
        <xdr:cNvSpPr txBox="1"/>
      </xdr:nvSpPr>
      <xdr:spPr>
        <a:xfrm>
          <a:off x="695324" y="2238375"/>
          <a:ext cx="7115176"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Below you find the details of the financial plan</a:t>
          </a:r>
          <a:r>
            <a:rPr lang="hu-HU" sz="1400" b="0" baseline="0">
              <a:latin typeface="Times New Roman" panose="02020603050405020304" pitchFamily="18" charset="0"/>
              <a:cs typeface="Times New Roman" panose="02020603050405020304" pitchFamily="18" charset="0"/>
            </a:rPr>
            <a:t> of  a newly founded firm. What is the maximum you would pay for an allowance that is necessary to start the business on the top of the IC need indicated? The allowance is to be purchased at the beginning of 2022 (can be expensed in the same year) and is valid forever.</a:t>
          </a:r>
          <a:r>
            <a:rPr lang="hu-HU" sz="1400" b="0">
              <a:latin typeface="Times New Roman" panose="02020603050405020304" pitchFamily="18" charset="0"/>
              <a:cs typeface="Times New Roman" panose="02020603050405020304" pitchFamily="18" charset="0"/>
            </a:rPr>
            <a:t> Assume that</a:t>
          </a:r>
          <a:r>
            <a:rPr lang="hu-HU" sz="1400" b="0" baseline="0">
              <a:latin typeface="Times New Roman" panose="02020603050405020304" pitchFamily="18" charset="0"/>
              <a:cs typeface="Times New Roman" panose="02020603050405020304" pitchFamily="18" charset="0"/>
            </a:rPr>
            <a:t> new projects will not generate any added value during the TV period.</a:t>
          </a:r>
        </a:p>
        <a:p>
          <a:pPr algn="just"/>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7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Present the possible methods of estimating the cost of debt.</a:t>
          </a:r>
          <a:r>
            <a:rPr lang="hu-HU" sz="1400" b="0">
              <a:latin typeface="Times New Roman" panose="02020603050405020304" pitchFamily="18" charset="0"/>
              <a:cs typeface="Times New Roman" panose="02020603050405020304" pitchFamily="18" charset="0"/>
            </a:rPr>
            <a:t> (10 points)</a:t>
          </a:r>
        </a:p>
      </xdr:txBody>
    </xdr:sp>
    <xdr:clientData/>
  </xdr:twoCellAnchor>
  <xdr:twoCellAnchor>
    <xdr:from>
      <xdr:col>1</xdr:col>
      <xdr:colOff>9525</xdr:colOff>
      <xdr:row>16</xdr:row>
      <xdr:rowOff>9524</xdr:rowOff>
    </xdr:from>
    <xdr:to>
      <xdr:col>7</xdr:col>
      <xdr:colOff>285751</xdr:colOff>
      <xdr:row>33</xdr:row>
      <xdr:rowOff>85724</xdr:rowOff>
    </xdr:to>
    <xdr:sp macro="" textlink="">
      <xdr:nvSpPr>
        <xdr:cNvPr id="4" name="Szövegdoboz 3">
          <a:extLst>
            <a:ext uri="{FF2B5EF4-FFF2-40B4-BE49-F238E27FC236}">
              <a16:creationId xmlns:a16="http://schemas.microsoft.com/office/drawing/2014/main" id="{B2457B3A-23F9-459B-B509-8C0E2E7D7599}"/>
            </a:ext>
          </a:extLst>
        </xdr:cNvPr>
        <xdr:cNvSpPr txBox="1"/>
      </xdr:nvSpPr>
      <xdr:spPr>
        <a:xfrm>
          <a:off x="695325" y="3533774"/>
          <a:ext cx="7372351"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Type your answer here.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unka/!!ExcelTr&#233;ningLegfrissebb/MasterExcelTasks2019No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ing"/>
      <sheetName val="MovingAround"/>
      <sheetName val="SelectingRanges"/>
      <sheetName val="InsertCells"/>
      <sheetName val="FormattingCells1"/>
      <sheetName val="FormattingCells2"/>
      <sheetName val="PasteSpecial"/>
      <sheetName val="ConditionalFormatting"/>
      <sheetName val="DataValidation"/>
      <sheetName val="FindSpecialCells"/>
      <sheetName val="FastInput"/>
      <sheetName val="Protecting&amp;Hiding sheets"/>
      <sheetName val="PricingShares"/>
      <sheetName val="Financial Planning"/>
      <sheetName val="Optimizing1FindingIRR"/>
      <sheetName val="Optimizing2GoalSeek"/>
      <sheetName val="Optimizing3Solver"/>
      <sheetName val="SensitivityAnalysis"/>
      <sheetName val="Sparklines"/>
      <sheetName val="VisualisingStatistics"/>
      <sheetName val="Charts1Tornado"/>
      <sheetName val="Charts2Waterfall"/>
      <sheetName val="Charts3Combined"/>
      <sheetName val="Charts4Pictures"/>
      <sheetName val="Charts5FillingPicture"/>
      <sheetName val="Charts6PeopleChart"/>
      <sheetName val="Charts8ProportionalAppearance"/>
      <sheetName val="Charts7RadialBar"/>
      <sheetName val="Charts8Dashboard"/>
      <sheetName val="Shapes"/>
      <sheetName val="LinksAmongCells"/>
      <sheetName val="UsingNames"/>
      <sheetName val="DependentLists"/>
      <sheetName val="Trends"/>
      <sheetName val="Moving Average"/>
      <sheetName val="Seasonality"/>
      <sheetName val="DataAnalysis"/>
      <sheetName val="SubTotals&amp;Groups"/>
      <sheetName val="FunctionsDifferently"/>
      <sheetName val="Sorting"/>
      <sheetName val="AutoFilter"/>
      <sheetName val="AdvancedFiler"/>
      <sheetName val="DatabaseFunctions"/>
      <sheetName val="Tables"/>
      <sheetName val="DinamicValidation"/>
      <sheetName val="PivotTable"/>
      <sheetName val="PowerQuery"/>
      <sheetName val="ReferenceFunctions"/>
      <sheetName val="RandomSample"/>
      <sheetName val="MonteCarlo"/>
      <sheetName val="Objects1"/>
      <sheetName val="ScenarioswithObjects"/>
      <sheetName val="ChartwithObject"/>
      <sheetName val="IntroTo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B4" t="str">
            <v>KSA</v>
          </cell>
        </row>
        <row r="5">
          <cell r="B5" t="str">
            <v>Kuvait</v>
          </cell>
        </row>
        <row r="6">
          <cell r="B6" t="str">
            <v>Bahrain</v>
          </cell>
        </row>
        <row r="7">
          <cell r="B7" t="str">
            <v>Qatar</v>
          </cell>
        </row>
        <row r="8">
          <cell r="B8" t="str">
            <v>UAE</v>
          </cell>
        </row>
      </sheetData>
      <sheetData sheetId="45"/>
      <sheetData sheetId="46"/>
      <sheetData sheetId="47"/>
      <sheetData sheetId="48"/>
      <sheetData sheetId="49"/>
      <sheetData sheetId="50"/>
      <sheetData sheetId="51"/>
      <sheetData sheetId="52"/>
      <sheetData sheetId="53"/>
    </sheetDataSet>
  </externalBook>
</externalLink>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7DBD-DECA-4097-9804-D82621A13861}">
  <sheetPr codeName="Munka2">
    <tabColor rgb="FF7030A0"/>
  </sheetPr>
  <dimension ref="A1"/>
  <sheetViews>
    <sheetView showGridLines="0" workbookViewId="0">
      <selection activeCell="I32" sqref="I32"/>
    </sheetView>
  </sheetViews>
  <sheetFormatPr defaultRowHeight="15.75" x14ac:dyDescent="0.25"/>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0D39-D3DB-4713-8991-75511A3E78C9}">
  <sheetPr codeName="Munka3"/>
  <dimension ref="C9:J20"/>
  <sheetViews>
    <sheetView showGridLines="0" tabSelected="1" workbookViewId="0">
      <selection activeCell="D13" sqref="D13"/>
    </sheetView>
  </sheetViews>
  <sheetFormatPr defaultRowHeight="15.75" x14ac:dyDescent="0.25"/>
  <cols>
    <col min="3" max="3" width="27.375" bestFit="1" customWidth="1"/>
    <col min="4" max="4" width="32.75" bestFit="1" customWidth="1"/>
    <col min="9" max="9" width="25.375" bestFit="1" customWidth="1"/>
    <col min="10" max="10" width="12.75" style="10" bestFit="1" customWidth="1"/>
  </cols>
  <sheetData>
    <row r="9" spans="3:9" ht="34.5" x14ac:dyDescent="0.45">
      <c r="C9" s="52" t="s">
        <v>68</v>
      </c>
      <c r="D9" s="52"/>
      <c r="E9" s="6"/>
      <c r="F9" s="6"/>
      <c r="G9" s="6"/>
    </row>
    <row r="10" spans="3:9" ht="34.5" x14ac:dyDescent="0.45">
      <c r="C10" s="52"/>
      <c r="D10" s="52"/>
      <c r="E10" s="6"/>
      <c r="F10" s="6"/>
      <c r="G10" s="6"/>
    </row>
    <row r="11" spans="3:9" ht="23.25" x14ac:dyDescent="0.35">
      <c r="C11" s="5"/>
      <c r="D11" s="5"/>
      <c r="G11" s="8"/>
    </row>
    <row r="12" spans="3:9" ht="23.25" x14ac:dyDescent="0.35">
      <c r="C12" s="5" t="s">
        <v>15</v>
      </c>
      <c r="D12" s="51">
        <v>44538</v>
      </c>
    </row>
    <row r="13" spans="3:9" ht="23.25" x14ac:dyDescent="0.35">
      <c r="C13" s="5" t="s">
        <v>19</v>
      </c>
      <c r="D13" s="28" t="s">
        <v>16</v>
      </c>
      <c r="I13" s="44" t="s">
        <v>11</v>
      </c>
    </row>
    <row r="14" spans="3:9" ht="23.25" x14ac:dyDescent="0.35">
      <c r="C14" s="5" t="s">
        <v>18</v>
      </c>
      <c r="D14" s="28" t="s">
        <v>7</v>
      </c>
      <c r="I14" s="44" t="s">
        <v>12</v>
      </c>
    </row>
    <row r="15" spans="3:9" ht="23.25" x14ac:dyDescent="0.35">
      <c r="C15" s="5"/>
      <c r="D15" s="7"/>
      <c r="I15" s="44"/>
    </row>
    <row r="16" spans="3:9" ht="23.25" x14ac:dyDescent="0.35">
      <c r="C16" s="5" t="s">
        <v>20</v>
      </c>
      <c r="D16" s="48" t="s">
        <v>11</v>
      </c>
    </row>
    <row r="17" spans="3:4" ht="23.25" x14ac:dyDescent="0.35">
      <c r="C17" s="5" t="s">
        <v>13</v>
      </c>
      <c r="D17" s="8" t="s">
        <v>14</v>
      </c>
    </row>
    <row r="18" spans="3:4" ht="22.5" x14ac:dyDescent="0.3">
      <c r="D18" s="8"/>
    </row>
    <row r="19" spans="3:4" ht="22.5" x14ac:dyDescent="0.3">
      <c r="D19" s="8"/>
    </row>
    <row r="20" spans="3:4" ht="23.25" x14ac:dyDescent="0.35">
      <c r="C20" s="5" t="s">
        <v>17</v>
      </c>
      <c r="D20" s="9">
        <f>+'Task 3'!C9+'Task 4'!C9+'Task 5'!C9+'Task 1'!C9+'Task 2'!C9</f>
        <v>0</v>
      </c>
    </row>
  </sheetData>
  <sheetProtection sheet="1" objects="1" scenarios="1" selectLockedCells="1"/>
  <mergeCells count="2">
    <mergeCell ref="C9:D9"/>
    <mergeCell ref="C10:D10"/>
  </mergeCells>
  <phoneticPr fontId="9" type="noConversion"/>
  <dataValidations count="1">
    <dataValidation allowBlank="1" showInputMessage="1" showErrorMessage="1" errorTitle="Ilyen csoport nincsen!" error="Kérem, a felsorolásból válasszon!" promptTitle="Válassza ki a csoportját!" sqref="D16" xr:uid="{E7C1251C-1580-42F2-91B9-E2C0C2F99FBF}"/>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1001-DD57-4B42-9CDC-B6256E26F6D7}">
  <dimension ref="B1:J37"/>
  <sheetViews>
    <sheetView workbookViewId="0">
      <selection activeCell="C2" sqref="C2"/>
    </sheetView>
  </sheetViews>
  <sheetFormatPr defaultRowHeight="15.75" x14ac:dyDescent="0.25"/>
  <cols>
    <col min="2" max="2" width="19.875" bestFit="1" customWidth="1"/>
    <col min="3" max="3" width="37.25" bestFit="1" customWidth="1"/>
  </cols>
  <sheetData>
    <row r="1" spans="2:3" ht="16.5" thickBot="1" x14ac:dyDescent="0.3"/>
    <row r="2" spans="2:3" ht="18.75" x14ac:dyDescent="0.3">
      <c r="B2" s="11" t="str">
        <f>+Admin!C12</f>
        <v>Date</v>
      </c>
      <c r="C2" s="50">
        <f>+Admin!D12</f>
        <v>44538</v>
      </c>
    </row>
    <row r="3" spans="2:3" ht="18.75" x14ac:dyDescent="0.3">
      <c r="B3" s="12" t="str">
        <f>+Admin!C13</f>
        <v>Student name</v>
      </c>
      <c r="C3" s="13" t="str">
        <f>+Admin!D13</f>
        <v>Sam Sample</v>
      </c>
    </row>
    <row r="4" spans="2:3" ht="18.75" x14ac:dyDescent="0.3">
      <c r="B4" s="12" t="str">
        <f>+Admin!C14</f>
        <v>Neptun code</v>
      </c>
      <c r="C4" s="13" t="str">
        <f>+Admin!D14</f>
        <v>ABCD1234</v>
      </c>
    </row>
    <row r="5" spans="2:3" ht="18.75" x14ac:dyDescent="0.3">
      <c r="B5" s="12"/>
      <c r="C5" s="14"/>
    </row>
    <row r="6" spans="2:3" ht="18.75" x14ac:dyDescent="0.3">
      <c r="B6" s="12" t="str">
        <f>+Admin!C16</f>
        <v>Study program</v>
      </c>
      <c r="C6" s="14" t="str">
        <f>+Admin!D16</f>
        <v>Master in Finance</v>
      </c>
    </row>
    <row r="7" spans="2:3" ht="19.5" thickBot="1" x14ac:dyDescent="0.35">
      <c r="B7" s="15" t="str">
        <f>+Admin!C17</f>
        <v>Instructor</v>
      </c>
      <c r="C7" s="16" t="str">
        <f>+Admin!D17</f>
        <v>Péter Juhász, PhD, CFA</v>
      </c>
    </row>
    <row r="8" spans="2:3" ht="16.5" thickBot="1" x14ac:dyDescent="0.3"/>
    <row r="9" spans="2:3" ht="21" thickBot="1" x14ac:dyDescent="0.35">
      <c r="B9" s="17" t="s">
        <v>21</v>
      </c>
      <c r="C9" s="18"/>
    </row>
    <row r="23" spans="3:10" x14ac:dyDescent="0.25">
      <c r="D23" s="49">
        <v>2022</v>
      </c>
      <c r="E23" s="31">
        <f>+D23+1</f>
        <v>2023</v>
      </c>
      <c r="F23" s="31">
        <f t="shared" ref="F23:J23" si="0">+E23+1</f>
        <v>2024</v>
      </c>
      <c r="G23" s="31">
        <f t="shared" si="0"/>
        <v>2025</v>
      </c>
      <c r="H23" s="31">
        <f t="shared" si="0"/>
        <v>2026</v>
      </c>
      <c r="I23" s="31">
        <f t="shared" si="0"/>
        <v>2027</v>
      </c>
      <c r="J23" s="31">
        <f t="shared" si="0"/>
        <v>2028</v>
      </c>
    </row>
    <row r="24" spans="3:10" x14ac:dyDescent="0.25">
      <c r="C24" t="s">
        <v>22</v>
      </c>
      <c r="D24" s="33">
        <v>10000</v>
      </c>
      <c r="E24" s="33"/>
      <c r="F24" s="33"/>
      <c r="G24" s="33"/>
      <c r="H24" s="33"/>
      <c r="I24" s="33"/>
      <c r="J24" s="33"/>
    </row>
    <row r="25" spans="3:10" x14ac:dyDescent="0.25">
      <c r="C25" t="s">
        <v>10</v>
      </c>
      <c r="D25" s="33">
        <v>1500</v>
      </c>
      <c r="E25" s="33">
        <v>2000</v>
      </c>
      <c r="F25" s="33">
        <v>1600</v>
      </c>
      <c r="G25" s="33">
        <v>3500</v>
      </c>
      <c r="H25" s="33">
        <v>1200</v>
      </c>
      <c r="I25" s="33">
        <v>4000</v>
      </c>
      <c r="J25" s="33">
        <v>1500</v>
      </c>
    </row>
    <row r="26" spans="3:10" x14ac:dyDescent="0.25">
      <c r="C26" t="s">
        <v>23</v>
      </c>
      <c r="D26" s="33">
        <v>10000</v>
      </c>
      <c r="E26" s="33">
        <v>12000</v>
      </c>
      <c r="F26" s="33">
        <v>14000</v>
      </c>
      <c r="G26" s="33">
        <v>16000</v>
      </c>
      <c r="H26" s="33">
        <v>18000</v>
      </c>
      <c r="I26" s="33">
        <v>20000</v>
      </c>
      <c r="J26" s="33">
        <v>22000</v>
      </c>
    </row>
    <row r="27" spans="3:10" x14ac:dyDescent="0.25">
      <c r="C27" t="s">
        <v>24</v>
      </c>
      <c r="D27" s="1">
        <v>0.01</v>
      </c>
      <c r="E27" s="1">
        <v>0.05</v>
      </c>
      <c r="F27" s="1">
        <v>0.1</v>
      </c>
      <c r="G27" s="1">
        <v>0.03</v>
      </c>
      <c r="H27" s="1">
        <v>0.09</v>
      </c>
      <c r="I27" s="1">
        <v>0.1</v>
      </c>
      <c r="J27" s="1">
        <v>0.12</v>
      </c>
    </row>
    <row r="28" spans="3:10" x14ac:dyDescent="0.25">
      <c r="C28" t="s">
        <v>25</v>
      </c>
      <c r="D28" s="32">
        <v>0.1</v>
      </c>
      <c r="E28" s="32">
        <v>0.1</v>
      </c>
      <c r="F28" s="32">
        <v>0.1</v>
      </c>
      <c r="G28" s="32">
        <v>0.09</v>
      </c>
      <c r="H28" s="32">
        <v>0.09</v>
      </c>
      <c r="I28" s="32">
        <v>0.09</v>
      </c>
      <c r="J28" s="32">
        <v>0.09</v>
      </c>
    </row>
    <row r="29" spans="3:10" x14ac:dyDescent="0.25">
      <c r="C29" t="s">
        <v>8</v>
      </c>
      <c r="D29" s="32">
        <v>0.04</v>
      </c>
      <c r="E29" s="32">
        <v>0.04</v>
      </c>
      <c r="F29" s="32">
        <v>0.04</v>
      </c>
      <c r="G29" s="32">
        <v>0.05</v>
      </c>
      <c r="H29" s="32">
        <v>0.05</v>
      </c>
      <c r="I29" s="32">
        <v>0.05</v>
      </c>
      <c r="J29" s="32">
        <v>0.05</v>
      </c>
    </row>
    <row r="30" spans="3:10" x14ac:dyDescent="0.25">
      <c r="C30" t="s">
        <v>26</v>
      </c>
      <c r="D30" s="33">
        <v>5000</v>
      </c>
      <c r="E30" s="33">
        <v>4500</v>
      </c>
      <c r="F30" s="33">
        <v>4000</v>
      </c>
      <c r="G30" s="33">
        <v>7000</v>
      </c>
      <c r="H30" s="33">
        <v>6500</v>
      </c>
      <c r="I30" s="33">
        <v>6000</v>
      </c>
      <c r="J30" s="33">
        <v>7000</v>
      </c>
    </row>
    <row r="32" spans="3:10" ht="16.5" thickBot="1" x14ac:dyDescent="0.3"/>
    <row r="33" spans="3:10" x14ac:dyDescent="0.25">
      <c r="C33" s="34" t="s">
        <v>9</v>
      </c>
      <c r="D33" s="37"/>
      <c r="E33" s="37"/>
      <c r="F33" s="37"/>
      <c r="G33" s="37"/>
      <c r="H33" s="37"/>
      <c r="I33" s="37"/>
      <c r="J33" s="38"/>
    </row>
    <row r="34" spans="3:10" x14ac:dyDescent="0.25">
      <c r="C34" s="35" t="s">
        <v>2</v>
      </c>
      <c r="D34" s="43"/>
      <c r="E34" s="39"/>
      <c r="F34" s="39"/>
      <c r="G34" s="39"/>
      <c r="H34" s="39"/>
      <c r="I34" s="39"/>
      <c r="J34" s="40"/>
    </row>
    <row r="35" spans="3:10" x14ac:dyDescent="0.25">
      <c r="C35" s="35" t="s">
        <v>3</v>
      </c>
      <c r="D35" s="39"/>
      <c r="E35" s="39"/>
      <c r="F35" s="39"/>
      <c r="G35" s="39"/>
      <c r="H35" s="39"/>
      <c r="I35" s="39"/>
      <c r="J35" s="40"/>
    </row>
    <row r="36" spans="3:10" x14ac:dyDescent="0.25">
      <c r="C36" s="35" t="s">
        <v>0</v>
      </c>
      <c r="D36" s="43"/>
      <c r="E36" s="39"/>
      <c r="F36" s="39"/>
      <c r="G36" s="39"/>
      <c r="H36" s="39"/>
      <c r="I36" s="39"/>
      <c r="J36" s="40"/>
    </row>
    <row r="37" spans="3:10" ht="16.5" thickBot="1" x14ac:dyDescent="0.3">
      <c r="C37" s="36" t="s">
        <v>27</v>
      </c>
      <c r="D37" s="41"/>
      <c r="E37" s="41"/>
      <c r="F37" s="41"/>
      <c r="G37" s="41"/>
      <c r="H37" s="41"/>
      <c r="I37" s="41"/>
      <c r="J37" s="4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A70D-9BBD-467B-9276-4356E1676819}">
  <dimension ref="B1:I36"/>
  <sheetViews>
    <sheetView workbookViewId="0">
      <selection activeCell="C2" sqref="C2"/>
    </sheetView>
  </sheetViews>
  <sheetFormatPr defaultRowHeight="15.75" x14ac:dyDescent="0.25"/>
  <cols>
    <col min="2" max="2" width="19.875" bestFit="1" customWidth="1"/>
    <col min="3" max="3" width="27.25" bestFit="1" customWidth="1"/>
    <col min="4" max="4" width="8.875" bestFit="1" customWidth="1"/>
    <col min="5" max="9" width="7" bestFit="1" customWidth="1"/>
  </cols>
  <sheetData>
    <row r="1" spans="2:3" ht="16.5" thickBot="1" x14ac:dyDescent="0.3"/>
    <row r="2" spans="2:3" ht="18.75" x14ac:dyDescent="0.3">
      <c r="B2" s="11" t="str">
        <f>+Admin!C12</f>
        <v>Date</v>
      </c>
      <c r="C2" s="50">
        <f>+Admin!D12</f>
        <v>44538</v>
      </c>
    </row>
    <row r="3" spans="2:3" ht="18.75" x14ac:dyDescent="0.3">
      <c r="B3" s="12" t="str">
        <f>+Admin!C13</f>
        <v>Student name</v>
      </c>
      <c r="C3" s="13" t="str">
        <f>+Admin!D13</f>
        <v>Sam Sample</v>
      </c>
    </row>
    <row r="4" spans="2:3" ht="18.75" x14ac:dyDescent="0.3">
      <c r="B4" s="12" t="str">
        <f>+Admin!C14</f>
        <v>Neptun code</v>
      </c>
      <c r="C4" s="13" t="str">
        <f>+Admin!D14</f>
        <v>ABCD1234</v>
      </c>
    </row>
    <row r="5" spans="2:3" ht="18.75" x14ac:dyDescent="0.3">
      <c r="B5" s="12"/>
      <c r="C5" s="14"/>
    </row>
    <row r="6" spans="2:3" ht="18.75" x14ac:dyDescent="0.3">
      <c r="B6" s="12" t="str">
        <f>+Admin!C16</f>
        <v>Study program</v>
      </c>
      <c r="C6" s="14" t="str">
        <f>+Admin!D16</f>
        <v>Master in Finance</v>
      </c>
    </row>
    <row r="7" spans="2:3" ht="19.5" thickBot="1" x14ac:dyDescent="0.35">
      <c r="B7" s="15" t="str">
        <f>+Admin!C17</f>
        <v>Instructor</v>
      </c>
      <c r="C7" s="16" t="str">
        <f>+Admin!D17</f>
        <v>Péter Juhász, PhD, CFA</v>
      </c>
    </row>
    <row r="8" spans="2:3" ht="16.5" thickBot="1" x14ac:dyDescent="0.3"/>
    <row r="9" spans="2:3" ht="21" thickBot="1" x14ac:dyDescent="0.35">
      <c r="B9" s="17" t="s">
        <v>21</v>
      </c>
      <c r="C9" s="18"/>
    </row>
    <row r="24" spans="3:9" x14ac:dyDescent="0.25">
      <c r="C24" s="29"/>
      <c r="D24" s="49">
        <v>2022</v>
      </c>
      <c r="E24" s="31">
        <f>+D24+1</f>
        <v>2023</v>
      </c>
      <c r="F24" s="31">
        <f t="shared" ref="F24:H24" si="0">+E24+1</f>
        <v>2024</v>
      </c>
      <c r="G24" s="31">
        <f t="shared" si="0"/>
        <v>2025</v>
      </c>
      <c r="H24" s="31">
        <f t="shared" si="0"/>
        <v>2026</v>
      </c>
      <c r="I24" s="2" t="s">
        <v>1</v>
      </c>
    </row>
    <row r="25" spans="3:9" x14ac:dyDescent="0.25">
      <c r="C25" s="3" t="s">
        <v>9</v>
      </c>
      <c r="D25" s="4">
        <v>0.11</v>
      </c>
      <c r="E25" s="4"/>
      <c r="F25" s="4"/>
      <c r="G25" s="4"/>
      <c r="H25" s="4"/>
      <c r="I25" s="4"/>
    </row>
    <row r="26" spans="3:9" x14ac:dyDescent="0.25">
      <c r="C26" s="3" t="s">
        <v>2</v>
      </c>
      <c r="D26" s="4"/>
      <c r="E26" s="4">
        <v>0.16</v>
      </c>
      <c r="F26" s="4">
        <v>0.18</v>
      </c>
      <c r="G26" s="4">
        <v>0.2</v>
      </c>
      <c r="H26" s="4">
        <v>0.22</v>
      </c>
      <c r="I26" s="4"/>
    </row>
    <row r="27" spans="3:9" x14ac:dyDescent="0.25">
      <c r="C27" s="3" t="s">
        <v>3</v>
      </c>
      <c r="D27" s="4">
        <v>0.6</v>
      </c>
      <c r="E27" s="4">
        <v>0.5</v>
      </c>
      <c r="F27" s="4">
        <v>0.4</v>
      </c>
      <c r="G27" s="4">
        <v>0.3</v>
      </c>
      <c r="H27" s="4">
        <v>0.25</v>
      </c>
      <c r="I27" s="4"/>
    </row>
    <row r="28" spans="3:9" ht="18.75" x14ac:dyDescent="0.25">
      <c r="C28" s="3" t="s">
        <v>4</v>
      </c>
      <c r="D28" s="4">
        <v>0.12</v>
      </c>
      <c r="E28" s="4">
        <v>0.12</v>
      </c>
      <c r="F28" s="4">
        <v>0.12</v>
      </c>
      <c r="G28" s="4">
        <v>0.12</v>
      </c>
      <c r="H28" s="4">
        <v>0.12</v>
      </c>
      <c r="I28" s="4">
        <v>0.12</v>
      </c>
    </row>
    <row r="29" spans="3:9" ht="18.75" x14ac:dyDescent="0.25">
      <c r="C29" s="3" t="s">
        <v>5</v>
      </c>
      <c r="D29" s="4">
        <v>0.06</v>
      </c>
      <c r="E29" s="4">
        <v>7.0000000000000007E-2</v>
      </c>
      <c r="F29" s="4">
        <v>7.1999999999999995E-2</v>
      </c>
      <c r="G29" s="4">
        <v>7.2999999999999995E-2</v>
      </c>
      <c r="H29" s="4">
        <v>7.2999999999999995E-2</v>
      </c>
      <c r="I29" s="4">
        <v>7.2999999999999995E-2</v>
      </c>
    </row>
    <row r="30" spans="3:9" x14ac:dyDescent="0.25">
      <c r="C30" s="3" t="s">
        <v>6</v>
      </c>
      <c r="D30" s="4">
        <v>0.1</v>
      </c>
      <c r="E30" s="4">
        <v>0.1</v>
      </c>
      <c r="F30" s="4">
        <v>0.1</v>
      </c>
      <c r="G30" s="4">
        <v>0.1</v>
      </c>
      <c r="H30" s="4">
        <v>0.1</v>
      </c>
      <c r="I30" s="4">
        <v>0.1</v>
      </c>
    </row>
    <row r="31" spans="3:9" x14ac:dyDescent="0.25">
      <c r="C31" s="3" t="s">
        <v>28</v>
      </c>
      <c r="D31" s="29"/>
      <c r="E31" s="29"/>
      <c r="F31" s="29"/>
      <c r="G31" s="4"/>
      <c r="H31" s="4"/>
      <c r="I31" s="4">
        <v>0.05</v>
      </c>
    </row>
    <row r="32" spans="3:9" x14ac:dyDescent="0.25">
      <c r="C32" s="29"/>
      <c r="D32" s="29"/>
      <c r="E32" s="29"/>
      <c r="F32" s="29"/>
      <c r="G32" s="29"/>
      <c r="H32" s="29"/>
      <c r="I32" s="29"/>
    </row>
    <row r="33" spans="3:9" x14ac:dyDescent="0.25">
      <c r="C33" s="3"/>
      <c r="D33" s="2">
        <f>+D24</f>
        <v>2022</v>
      </c>
      <c r="E33" s="2">
        <f t="shared" ref="E33:I33" si="1">+E24</f>
        <v>2023</v>
      </c>
      <c r="F33" s="2">
        <f t="shared" si="1"/>
        <v>2024</v>
      </c>
      <c r="G33" s="2">
        <f t="shared" si="1"/>
        <v>2025</v>
      </c>
      <c r="H33" s="2">
        <f t="shared" si="1"/>
        <v>2026</v>
      </c>
      <c r="I33" s="2" t="str">
        <f t="shared" si="1"/>
        <v>TV</v>
      </c>
    </row>
    <row r="34" spans="3:9" x14ac:dyDescent="0.25">
      <c r="C34" s="3" t="s">
        <v>62</v>
      </c>
      <c r="D34" s="4"/>
      <c r="E34" s="4"/>
      <c r="F34" s="4"/>
      <c r="G34" s="4"/>
      <c r="H34" s="4"/>
      <c r="I34" s="4">
        <v>0.5</v>
      </c>
    </row>
    <row r="35" spans="3:9" x14ac:dyDescent="0.25">
      <c r="C35" s="3" t="s">
        <v>61</v>
      </c>
      <c r="D35" s="4">
        <v>0</v>
      </c>
      <c r="E35" s="4">
        <v>0.2</v>
      </c>
      <c r="F35" s="4">
        <v>0.4</v>
      </c>
      <c r="G35" s="4">
        <v>0.5</v>
      </c>
      <c r="H35" s="4">
        <v>0.5</v>
      </c>
      <c r="I35" s="4"/>
    </row>
    <row r="36" spans="3:9" x14ac:dyDescent="0.25">
      <c r="C36" s="29" t="s">
        <v>22</v>
      </c>
      <c r="D36" s="30">
        <v>20000</v>
      </c>
      <c r="E36" s="30"/>
      <c r="F36" s="30"/>
      <c r="G36" s="30"/>
      <c r="H36" s="30"/>
      <c r="I36" s="3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24AA-CF15-465A-AA1F-31C1352C6464}">
  <sheetPr codeName="Munka4"/>
  <dimension ref="B1:F47"/>
  <sheetViews>
    <sheetView workbookViewId="0">
      <selection activeCell="C2" sqref="C2"/>
    </sheetView>
  </sheetViews>
  <sheetFormatPr defaultRowHeight="15.75" x14ac:dyDescent="0.25"/>
  <cols>
    <col min="2" max="2" width="19.875" bestFit="1" customWidth="1"/>
    <col min="3" max="3" width="37.25" bestFit="1" customWidth="1"/>
  </cols>
  <sheetData>
    <row r="1" spans="2:3" ht="16.5" thickBot="1" x14ac:dyDescent="0.3"/>
    <row r="2" spans="2:3" ht="18.75" x14ac:dyDescent="0.3">
      <c r="B2" s="11" t="str">
        <f>+Admin!C12</f>
        <v>Date</v>
      </c>
      <c r="C2" s="50">
        <f>+Admin!D12</f>
        <v>44538</v>
      </c>
    </row>
    <row r="3" spans="2:3" ht="18.75" x14ac:dyDescent="0.3">
      <c r="B3" s="12" t="str">
        <f>+Admin!C13</f>
        <v>Student name</v>
      </c>
      <c r="C3" s="13" t="str">
        <f>+Admin!D13</f>
        <v>Sam Sample</v>
      </c>
    </row>
    <row r="4" spans="2:3" ht="18.75" x14ac:dyDescent="0.3">
      <c r="B4" s="12" t="str">
        <f>+Admin!C14</f>
        <v>Neptun code</v>
      </c>
      <c r="C4" s="13" t="str">
        <f>+Admin!D14</f>
        <v>ABCD1234</v>
      </c>
    </row>
    <row r="5" spans="2:3" ht="18.75" x14ac:dyDescent="0.3">
      <c r="B5" s="12"/>
      <c r="C5" s="14"/>
    </row>
    <row r="6" spans="2:3" ht="18.75" x14ac:dyDescent="0.3">
      <c r="B6" s="12" t="str">
        <f>+Admin!C16</f>
        <v>Study program</v>
      </c>
      <c r="C6" s="14" t="str">
        <f>+Admin!D16</f>
        <v>Master in Finance</v>
      </c>
    </row>
    <row r="7" spans="2:3" ht="19.5" thickBot="1" x14ac:dyDescent="0.35">
      <c r="B7" s="15" t="str">
        <f>+Admin!C17</f>
        <v>Instructor</v>
      </c>
      <c r="C7" s="16" t="str">
        <f>+Admin!D17</f>
        <v>Péter Juhász, PhD, CFA</v>
      </c>
    </row>
    <row r="8" spans="2:3" ht="16.5" thickBot="1" x14ac:dyDescent="0.3"/>
    <row r="9" spans="2:3" ht="21" thickBot="1" x14ac:dyDescent="0.35">
      <c r="B9" s="17" t="s">
        <v>21</v>
      </c>
      <c r="C9" s="18"/>
    </row>
    <row r="17" spans="3:6" ht="16.5" thickBot="1" x14ac:dyDescent="0.3"/>
    <row r="18" spans="3:6" ht="16.5" thickBot="1" x14ac:dyDescent="0.3">
      <c r="C18" s="19"/>
      <c r="D18" s="20">
        <f ca="1">+E18-1</f>
        <v>2018</v>
      </c>
      <c r="E18" s="20">
        <f ca="1">+F18-1</f>
        <v>2019</v>
      </c>
      <c r="F18" s="20">
        <f ca="1">+YEAR(TODAY())-1</f>
        <v>2020</v>
      </c>
    </row>
    <row r="19" spans="3:6" ht="16.5" thickBot="1" x14ac:dyDescent="0.3">
      <c r="C19" s="21" t="s">
        <v>23</v>
      </c>
      <c r="D19" s="24">
        <v>12000</v>
      </c>
      <c r="E19" s="24">
        <v>13200</v>
      </c>
      <c r="F19" s="24">
        <v>14256</v>
      </c>
    </row>
    <row r="20" spans="3:6" ht="16.5" thickBot="1" x14ac:dyDescent="0.3">
      <c r="C20" s="21" t="s">
        <v>29</v>
      </c>
      <c r="D20" s="24">
        <v>0</v>
      </c>
      <c r="E20" s="24">
        <v>396</v>
      </c>
      <c r="F20" s="24">
        <v>712.8</v>
      </c>
    </row>
    <row r="21" spans="3:6" ht="16.5" thickBot="1" x14ac:dyDescent="0.3">
      <c r="C21" s="21" t="s">
        <v>30</v>
      </c>
      <c r="D21" s="24">
        <v>7680</v>
      </c>
      <c r="E21" s="24">
        <v>8580</v>
      </c>
      <c r="F21" s="24">
        <v>9408.9599999999991</v>
      </c>
    </row>
    <row r="22" spans="3:6" ht="16.5" thickBot="1" x14ac:dyDescent="0.3">
      <c r="C22" s="21" t="s">
        <v>31</v>
      </c>
      <c r="D22" s="24">
        <v>3840</v>
      </c>
      <c r="E22" s="24">
        <v>3960</v>
      </c>
      <c r="F22" s="24">
        <v>4419.3599999999997</v>
      </c>
    </row>
    <row r="23" spans="3:6" ht="16.5" thickBot="1" x14ac:dyDescent="0.3">
      <c r="C23" s="21" t="s">
        <v>32</v>
      </c>
      <c r="D23" s="24">
        <v>250</v>
      </c>
      <c r="E23" s="24">
        <v>150</v>
      </c>
      <c r="F23" s="24">
        <v>180</v>
      </c>
    </row>
    <row r="24" spans="3:6" ht="16.5" thickBot="1" x14ac:dyDescent="0.3">
      <c r="C24" s="22" t="s">
        <v>33</v>
      </c>
      <c r="D24" s="25">
        <f>+D19+D20-D21-D22-D23</f>
        <v>230</v>
      </c>
      <c r="E24" s="25">
        <f t="shared" ref="E24:F24" si="0">+E19+E20-E21-E22-E23</f>
        <v>906</v>
      </c>
      <c r="F24" s="25">
        <f t="shared" si="0"/>
        <v>960.48000000000047</v>
      </c>
    </row>
    <row r="25" spans="3:6" ht="16.5" thickBot="1" x14ac:dyDescent="0.3">
      <c r="C25" s="21" t="s">
        <v>34</v>
      </c>
      <c r="D25" s="24">
        <v>100</v>
      </c>
      <c r="E25" s="24">
        <v>0</v>
      </c>
      <c r="F25" s="24">
        <v>120</v>
      </c>
    </row>
    <row r="26" spans="3:6" ht="16.5" thickBot="1" x14ac:dyDescent="0.3">
      <c r="C26" s="21" t="s">
        <v>35</v>
      </c>
      <c r="D26" s="24">
        <v>10</v>
      </c>
      <c r="E26" s="24">
        <v>0</v>
      </c>
      <c r="F26" s="24">
        <v>50</v>
      </c>
    </row>
    <row r="27" spans="3:6" ht="16.5" thickBot="1" x14ac:dyDescent="0.3">
      <c r="C27" s="21" t="s">
        <v>36</v>
      </c>
      <c r="D27" s="24">
        <v>80</v>
      </c>
      <c r="E27" s="24">
        <v>85</v>
      </c>
      <c r="F27" s="24">
        <v>40</v>
      </c>
    </row>
    <row r="28" spans="3:6" ht="16.5" thickBot="1" x14ac:dyDescent="0.3">
      <c r="C28" s="22" t="s">
        <v>37</v>
      </c>
      <c r="D28" s="25">
        <f>+D25+D26-D27</f>
        <v>30</v>
      </c>
      <c r="E28" s="25">
        <f t="shared" ref="E28:F28" si="1">+E25+E26-E27</f>
        <v>-85</v>
      </c>
      <c r="F28" s="25">
        <f t="shared" si="1"/>
        <v>130</v>
      </c>
    </row>
    <row r="29" spans="3:6" ht="16.5" thickBot="1" x14ac:dyDescent="0.3">
      <c r="C29" s="21" t="s">
        <v>38</v>
      </c>
      <c r="D29" s="24">
        <f>+D28+D24</f>
        <v>260</v>
      </c>
      <c r="E29" s="24">
        <f t="shared" ref="E29:F29" si="2">+E28+E24</f>
        <v>821</v>
      </c>
      <c r="F29" s="24">
        <f t="shared" si="2"/>
        <v>1090.4800000000005</v>
      </c>
    </row>
    <row r="30" spans="3:6" ht="16.5" thickBot="1" x14ac:dyDescent="0.3">
      <c r="C30" s="21" t="s">
        <v>39</v>
      </c>
      <c r="D30" s="24">
        <v>23</v>
      </c>
      <c r="E30" s="24">
        <v>74</v>
      </c>
      <c r="F30" s="24">
        <v>98</v>
      </c>
    </row>
    <row r="31" spans="3:6" ht="16.5" thickBot="1" x14ac:dyDescent="0.3">
      <c r="C31" s="22" t="s">
        <v>40</v>
      </c>
      <c r="D31" s="25">
        <f>+D29-D30</f>
        <v>237</v>
      </c>
      <c r="E31" s="25">
        <f t="shared" ref="E31:F31" si="3">+E29-E30</f>
        <v>747</v>
      </c>
      <c r="F31" s="25">
        <f t="shared" si="3"/>
        <v>992.48000000000047</v>
      </c>
    </row>
    <row r="32" spans="3:6" ht="16.5" thickBot="1" x14ac:dyDescent="0.3">
      <c r="C32" s="21" t="s">
        <v>41</v>
      </c>
      <c r="D32" s="24">
        <v>30</v>
      </c>
      <c r="E32" s="24">
        <v>164.2</v>
      </c>
      <c r="F32" s="24">
        <v>297.70999999999998</v>
      </c>
    </row>
    <row r="33" spans="3:6" ht="16.5" thickBot="1" x14ac:dyDescent="0.3">
      <c r="C33" s="21" t="s">
        <v>42</v>
      </c>
      <c r="D33" s="24">
        <f>+D31-D32</f>
        <v>207</v>
      </c>
      <c r="E33" s="24">
        <f t="shared" ref="E33:F33" si="4">+E31-E32</f>
        <v>582.79999999999995</v>
      </c>
      <c r="F33" s="24">
        <f t="shared" si="4"/>
        <v>694.77000000000044</v>
      </c>
    </row>
    <row r="34" spans="3:6" ht="16.5" thickBot="1" x14ac:dyDescent="0.3">
      <c r="C34" s="23"/>
      <c r="D34" s="26"/>
      <c r="E34" s="26"/>
      <c r="F34" s="26"/>
    </row>
    <row r="35" spans="3:6" ht="16.5" thickBot="1" x14ac:dyDescent="0.3">
      <c r="C35" s="21" t="s">
        <v>43</v>
      </c>
      <c r="D35" s="24">
        <v>779.6</v>
      </c>
      <c r="E35" s="24">
        <v>254.77</v>
      </c>
      <c r="F35" s="24">
        <v>182.54</v>
      </c>
    </row>
    <row r="36" spans="3:6" ht="16.5" thickBot="1" x14ac:dyDescent="0.3">
      <c r="C36" s="21" t="s">
        <v>63</v>
      </c>
      <c r="D36" s="24">
        <v>48.4</v>
      </c>
      <c r="E36" s="24">
        <v>50</v>
      </c>
      <c r="F36" s="24">
        <v>0</v>
      </c>
    </row>
    <row r="37" spans="3:6" ht="16.5" thickBot="1" x14ac:dyDescent="0.3">
      <c r="C37" s="21" t="s">
        <v>44</v>
      </c>
      <c r="D37" s="24">
        <v>300</v>
      </c>
      <c r="E37" s="24">
        <v>733.33</v>
      </c>
      <c r="F37" s="24">
        <v>1108.8</v>
      </c>
    </row>
    <row r="38" spans="3:6" ht="16.5" thickBot="1" x14ac:dyDescent="0.3">
      <c r="C38" s="21" t="s">
        <v>45</v>
      </c>
      <c r="D38" s="24">
        <v>250</v>
      </c>
      <c r="E38" s="24">
        <v>870.83</v>
      </c>
      <c r="F38" s="24">
        <v>768.24</v>
      </c>
    </row>
    <row r="39" spans="3:6" ht="16.5" thickBot="1" x14ac:dyDescent="0.3">
      <c r="C39" s="22" t="s">
        <v>46</v>
      </c>
      <c r="D39" s="27">
        <f>SUM(D35:D38)</f>
        <v>1378</v>
      </c>
      <c r="E39" s="27">
        <f t="shared" ref="E39:F39" si="5">SUM(E35:E38)</f>
        <v>1908.9299999999998</v>
      </c>
      <c r="F39" s="27">
        <f t="shared" si="5"/>
        <v>2059.58</v>
      </c>
    </row>
    <row r="40" spans="3:6" ht="16.5" thickBot="1" x14ac:dyDescent="0.3">
      <c r="C40" s="21" t="s">
        <v>47</v>
      </c>
      <c r="D40" s="24">
        <v>1000</v>
      </c>
      <c r="E40" s="24">
        <v>1200</v>
      </c>
      <c r="F40" s="24">
        <v>1500</v>
      </c>
    </row>
    <row r="41" spans="3:6" ht="16.5" thickBot="1" x14ac:dyDescent="0.3">
      <c r="C41" s="22" t="s">
        <v>54</v>
      </c>
      <c r="D41" s="25">
        <f>+D40+D39</f>
        <v>2378</v>
      </c>
      <c r="E41" s="25">
        <f t="shared" ref="E41:F41" si="6">+E40+E39</f>
        <v>3108.93</v>
      </c>
      <c r="F41" s="25">
        <f t="shared" si="6"/>
        <v>3559.58</v>
      </c>
    </row>
    <row r="42" spans="3:6" ht="16.5" thickBot="1" x14ac:dyDescent="0.3">
      <c r="C42" s="21" t="s">
        <v>53</v>
      </c>
      <c r="D42" s="24">
        <v>300</v>
      </c>
      <c r="E42" s="24">
        <v>250</v>
      </c>
      <c r="F42" s="24">
        <v>100</v>
      </c>
    </row>
    <row r="43" spans="3:6" ht="16.5" thickBot="1" x14ac:dyDescent="0.3">
      <c r="C43" s="21" t="s">
        <v>52</v>
      </c>
      <c r="D43" s="24">
        <v>300</v>
      </c>
      <c r="E43" s="24">
        <v>238.33</v>
      </c>
      <c r="F43" s="24">
        <v>444.31</v>
      </c>
    </row>
    <row r="44" spans="3:6" ht="16.5" thickBot="1" x14ac:dyDescent="0.3">
      <c r="C44" s="22" t="s">
        <v>51</v>
      </c>
      <c r="D44" s="25">
        <f>+D42+D43</f>
        <v>600</v>
      </c>
      <c r="E44" s="25">
        <f t="shared" ref="E44:F44" si="7">+E42+E43</f>
        <v>488.33000000000004</v>
      </c>
      <c r="F44" s="25">
        <f t="shared" si="7"/>
        <v>544.30999999999995</v>
      </c>
    </row>
    <row r="45" spans="3:6" ht="16.5" thickBot="1" x14ac:dyDescent="0.3">
      <c r="C45" s="21" t="s">
        <v>50</v>
      </c>
      <c r="D45" s="24">
        <v>500</v>
      </c>
      <c r="E45" s="24">
        <v>600</v>
      </c>
      <c r="F45" s="24">
        <v>300</v>
      </c>
    </row>
    <row r="46" spans="3:6" ht="16.5" thickBot="1" x14ac:dyDescent="0.3">
      <c r="C46" s="21" t="s">
        <v>49</v>
      </c>
      <c r="D46" s="24">
        <v>1278</v>
      </c>
      <c r="E46" s="24">
        <v>2020.6</v>
      </c>
      <c r="F46" s="24">
        <v>2715.27</v>
      </c>
    </row>
    <row r="47" spans="3:6" ht="16.5" thickBot="1" x14ac:dyDescent="0.3">
      <c r="C47" s="22" t="s">
        <v>48</v>
      </c>
      <c r="D47" s="25">
        <f>+D44+D45+D46</f>
        <v>2378</v>
      </c>
      <c r="E47" s="25">
        <f t="shared" ref="E47:F47" si="8">+E44+E45+E46</f>
        <v>3108.93</v>
      </c>
      <c r="F47" s="25">
        <f t="shared" si="8"/>
        <v>3559.58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83F8-C1ED-4618-BEF3-F3B796AB9621}">
  <sheetPr codeName="Munka6"/>
  <dimension ref="B1:I30"/>
  <sheetViews>
    <sheetView topLeftCell="A2" workbookViewId="0">
      <selection activeCell="C2" sqref="C2"/>
    </sheetView>
  </sheetViews>
  <sheetFormatPr defaultRowHeight="15.75" x14ac:dyDescent="0.25"/>
  <cols>
    <col min="2" max="2" width="19.875" bestFit="1" customWidth="1"/>
    <col min="3" max="3" width="27.25" bestFit="1" customWidth="1"/>
    <col min="4" max="4" width="8.875" bestFit="1" customWidth="1"/>
    <col min="5" max="9" width="7" bestFit="1" customWidth="1"/>
  </cols>
  <sheetData>
    <row r="1" spans="2:3" ht="16.5" thickBot="1" x14ac:dyDescent="0.3"/>
    <row r="2" spans="2:3" ht="18.75" x14ac:dyDescent="0.3">
      <c r="B2" s="11" t="str">
        <f>+Admin!C12</f>
        <v>Date</v>
      </c>
      <c r="C2" s="50">
        <f>+Admin!D12</f>
        <v>44538</v>
      </c>
    </row>
    <row r="3" spans="2:3" ht="18.75" x14ac:dyDescent="0.3">
      <c r="B3" s="12" t="str">
        <f>+Admin!C13</f>
        <v>Student name</v>
      </c>
      <c r="C3" s="13" t="str">
        <f>+Admin!D13</f>
        <v>Sam Sample</v>
      </c>
    </row>
    <row r="4" spans="2:3" ht="18.75" x14ac:dyDescent="0.3">
      <c r="B4" s="12" t="str">
        <f>+Admin!C14</f>
        <v>Neptun code</v>
      </c>
      <c r="C4" s="13" t="str">
        <f>+Admin!D14</f>
        <v>ABCD1234</v>
      </c>
    </row>
    <row r="5" spans="2:3" ht="18.75" x14ac:dyDescent="0.3">
      <c r="B5" s="12"/>
      <c r="C5" s="14"/>
    </row>
    <row r="6" spans="2:3" ht="18.75" x14ac:dyDescent="0.3">
      <c r="B6" s="12" t="str">
        <f>+Admin!C16</f>
        <v>Study program</v>
      </c>
      <c r="C6" s="14" t="str">
        <f>+Admin!D16</f>
        <v>Master in Finance</v>
      </c>
    </row>
    <row r="7" spans="2:3" ht="19.5" thickBot="1" x14ac:dyDescent="0.35">
      <c r="B7" s="15" t="str">
        <f>+Admin!C17</f>
        <v>Instructor</v>
      </c>
      <c r="C7" s="16" t="str">
        <f>+Admin!D17</f>
        <v>Péter Juhász, PhD, CFA</v>
      </c>
    </row>
    <row r="8" spans="2:3" ht="16.5" thickBot="1" x14ac:dyDescent="0.3"/>
    <row r="9" spans="2:3" ht="21" thickBot="1" x14ac:dyDescent="0.35">
      <c r="B9" s="17" t="s">
        <v>21</v>
      </c>
      <c r="C9" s="18"/>
    </row>
    <row r="19" spans="3:9" x14ac:dyDescent="0.25">
      <c r="C19" s="29"/>
      <c r="D19" s="49">
        <v>2022</v>
      </c>
      <c r="E19" s="31">
        <f>+D19+1</f>
        <v>2023</v>
      </c>
      <c r="F19" s="31">
        <f t="shared" ref="F19:H19" si="0">+E19+1</f>
        <v>2024</v>
      </c>
      <c r="G19" s="31">
        <f t="shared" si="0"/>
        <v>2025</v>
      </c>
      <c r="H19" s="31">
        <f t="shared" si="0"/>
        <v>2026</v>
      </c>
      <c r="I19" s="2" t="s">
        <v>1</v>
      </c>
    </row>
    <row r="20" spans="3:9" x14ac:dyDescent="0.25">
      <c r="C20" s="3" t="s">
        <v>2</v>
      </c>
      <c r="D20" s="4">
        <v>0.15</v>
      </c>
      <c r="E20" s="4">
        <v>0.2</v>
      </c>
      <c r="F20" s="4">
        <v>0.22</v>
      </c>
      <c r="G20" s="4">
        <v>0.22</v>
      </c>
      <c r="H20" s="4">
        <v>0.22</v>
      </c>
      <c r="I20" s="4"/>
    </row>
    <row r="21" spans="3:9" x14ac:dyDescent="0.25">
      <c r="C21" s="3" t="s">
        <v>3</v>
      </c>
      <c r="D21" s="4">
        <v>0.5</v>
      </c>
      <c r="E21" s="4">
        <v>0.4</v>
      </c>
      <c r="F21" s="4">
        <v>0.3</v>
      </c>
      <c r="G21" s="4">
        <v>0.3</v>
      </c>
      <c r="H21" s="4">
        <v>0.25</v>
      </c>
      <c r="I21" s="4"/>
    </row>
    <row r="22" spans="3:9" ht="18.75" x14ac:dyDescent="0.25">
      <c r="C22" s="3" t="s">
        <v>4</v>
      </c>
      <c r="D22" s="4">
        <v>0.12</v>
      </c>
      <c r="E22" s="4">
        <v>0.12</v>
      </c>
      <c r="F22" s="4">
        <v>0.12</v>
      </c>
      <c r="G22" s="4">
        <v>0.12</v>
      </c>
      <c r="H22" s="4">
        <v>0.12</v>
      </c>
      <c r="I22" s="4">
        <v>0.12</v>
      </c>
    </row>
    <row r="23" spans="3:9" ht="18.75" x14ac:dyDescent="0.25">
      <c r="C23" s="3" t="s">
        <v>5</v>
      </c>
      <c r="D23" s="4">
        <v>0.06</v>
      </c>
      <c r="E23" s="4">
        <v>7.0000000000000007E-2</v>
      </c>
      <c r="F23" s="4">
        <v>7.1999999999999995E-2</v>
      </c>
      <c r="G23" s="4">
        <v>7.2999999999999995E-2</v>
      </c>
      <c r="H23" s="4">
        <v>7.2999999999999995E-2</v>
      </c>
      <c r="I23" s="4">
        <v>7.2999999999999995E-2</v>
      </c>
    </row>
    <row r="24" spans="3:9" x14ac:dyDescent="0.25">
      <c r="C24" s="3" t="s">
        <v>6</v>
      </c>
      <c r="D24" s="4">
        <v>0.1</v>
      </c>
      <c r="E24" s="4">
        <v>0.1</v>
      </c>
      <c r="F24" s="4">
        <v>0.1</v>
      </c>
      <c r="G24" s="4">
        <v>0.1</v>
      </c>
      <c r="H24" s="4">
        <v>0.1</v>
      </c>
      <c r="I24" s="4">
        <v>0.1</v>
      </c>
    </row>
    <row r="25" spans="3:9" x14ac:dyDescent="0.25">
      <c r="C25" s="3" t="s">
        <v>28</v>
      </c>
      <c r="D25" s="29"/>
      <c r="E25" s="29"/>
      <c r="F25" s="29"/>
      <c r="G25" s="4"/>
      <c r="H25" s="4"/>
      <c r="I25" s="4">
        <v>0.05</v>
      </c>
    </row>
    <row r="26" spans="3:9" x14ac:dyDescent="0.25">
      <c r="C26" s="29"/>
      <c r="D26" s="29"/>
      <c r="E26" s="29"/>
      <c r="F26" s="29"/>
      <c r="G26" s="29"/>
      <c r="H26" s="29"/>
      <c r="I26" s="29"/>
    </row>
    <row r="27" spans="3:9" x14ac:dyDescent="0.25">
      <c r="C27" s="3"/>
      <c r="D27" s="2">
        <f>+D19</f>
        <v>2022</v>
      </c>
      <c r="E27" s="2">
        <f t="shared" ref="E27:G27" si="1">+E19</f>
        <v>2023</v>
      </c>
      <c r="F27" s="2">
        <f t="shared" si="1"/>
        <v>2024</v>
      </c>
      <c r="G27" s="2">
        <f t="shared" si="1"/>
        <v>2025</v>
      </c>
      <c r="H27" s="2">
        <f t="shared" ref="H27:I27" si="2">+H19</f>
        <v>2026</v>
      </c>
      <c r="I27" s="2" t="str">
        <f t="shared" si="2"/>
        <v>TV</v>
      </c>
    </row>
    <row r="28" spans="3:9" x14ac:dyDescent="0.25">
      <c r="C28" s="3" t="s">
        <v>62</v>
      </c>
      <c r="D28" s="4"/>
      <c r="E28" s="4"/>
      <c r="F28" s="4"/>
      <c r="G28" s="4"/>
      <c r="H28" s="4"/>
      <c r="I28" s="4">
        <v>0.5</v>
      </c>
    </row>
    <row r="29" spans="3:9" x14ac:dyDescent="0.25">
      <c r="C29" s="3" t="s">
        <v>61</v>
      </c>
      <c r="D29" s="4">
        <v>0.3</v>
      </c>
      <c r="E29" s="4">
        <v>0.4</v>
      </c>
      <c r="F29" s="4">
        <v>0.45</v>
      </c>
      <c r="G29" s="4">
        <v>0.45</v>
      </c>
      <c r="H29" s="4">
        <v>0.45</v>
      </c>
      <c r="I29" s="4"/>
    </row>
    <row r="30" spans="3:9" x14ac:dyDescent="0.25">
      <c r="C30" s="29" t="s">
        <v>22</v>
      </c>
      <c r="D30" s="30">
        <v>10000</v>
      </c>
      <c r="E30" s="30"/>
      <c r="F30" s="30"/>
      <c r="G30" s="30"/>
      <c r="H30" s="30"/>
      <c r="I30" s="3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7B94-CD1F-4364-9903-53CFB2227E96}">
  <sheetPr codeName="Munka1"/>
  <dimension ref="B1:K21"/>
  <sheetViews>
    <sheetView workbookViewId="0">
      <selection activeCell="C2" sqref="C2"/>
    </sheetView>
  </sheetViews>
  <sheetFormatPr defaultRowHeight="15.75" x14ac:dyDescent="0.25"/>
  <cols>
    <col min="2" max="2" width="19.875" bestFit="1" customWidth="1"/>
    <col min="3" max="3" width="37.25" bestFit="1" customWidth="1"/>
  </cols>
  <sheetData>
    <row r="1" spans="2:3" ht="16.5" thickBot="1" x14ac:dyDescent="0.3"/>
    <row r="2" spans="2:3" ht="18.75" x14ac:dyDescent="0.3">
      <c r="B2" s="11" t="str">
        <f>+Admin!C12</f>
        <v>Date</v>
      </c>
      <c r="C2" s="50">
        <f>+Admin!D12</f>
        <v>44538</v>
      </c>
    </row>
    <row r="3" spans="2:3" ht="18.75" x14ac:dyDescent="0.3">
      <c r="B3" s="12" t="str">
        <f>+Admin!C13</f>
        <v>Student name</v>
      </c>
      <c r="C3" s="13" t="str">
        <f>+Admin!D13</f>
        <v>Sam Sample</v>
      </c>
    </row>
    <row r="4" spans="2:3" ht="18.75" x14ac:dyDescent="0.3">
      <c r="B4" s="12" t="str">
        <f>+Admin!C14</f>
        <v>Neptun code</v>
      </c>
      <c r="C4" s="13" t="str">
        <f>+Admin!D14</f>
        <v>ABCD1234</v>
      </c>
    </row>
    <row r="5" spans="2:3" ht="18.75" x14ac:dyDescent="0.3">
      <c r="B5" s="12"/>
      <c r="C5" s="14"/>
    </row>
    <row r="6" spans="2:3" ht="18.75" x14ac:dyDescent="0.3">
      <c r="B6" s="12" t="str">
        <f>+Admin!C16</f>
        <v>Study program</v>
      </c>
      <c r="C6" s="14" t="str">
        <f>+Admin!D16</f>
        <v>Master in Finance</v>
      </c>
    </row>
    <row r="7" spans="2:3" ht="19.5" thickBot="1" x14ac:dyDescent="0.35">
      <c r="B7" s="15" t="str">
        <f>+Admin!C17</f>
        <v>Instructor</v>
      </c>
      <c r="C7" s="16" t="str">
        <f>+Admin!D17</f>
        <v>Péter Juhász, PhD, CFA</v>
      </c>
    </row>
    <row r="8" spans="2:3" ht="16.5" thickBot="1" x14ac:dyDescent="0.3"/>
    <row r="9" spans="2:3" ht="21" thickBot="1" x14ac:dyDescent="0.35">
      <c r="B9" s="17" t="s">
        <v>21</v>
      </c>
      <c r="C9" s="18"/>
    </row>
    <row r="21" spans="11:11" ht="20.25" x14ac:dyDescent="0.3">
      <c r="K21" s="4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74A2-7EBC-431C-B148-53B7D2873245}">
  <dimension ref="B3:B13"/>
  <sheetViews>
    <sheetView workbookViewId="0">
      <selection activeCell="D20" sqref="D20"/>
    </sheetView>
  </sheetViews>
  <sheetFormatPr defaultRowHeight="15.75" x14ac:dyDescent="0.25"/>
  <sheetData>
    <row r="3" spans="2:2" ht="20.25" x14ac:dyDescent="0.3">
      <c r="B3" s="46" t="s">
        <v>55</v>
      </c>
    </row>
    <row r="5" spans="2:2" ht="18.75" x14ac:dyDescent="0.3">
      <c r="B5" s="47" t="s">
        <v>58</v>
      </c>
    </row>
    <row r="6" spans="2:2" ht="18.75" x14ac:dyDescent="0.3">
      <c r="B6" s="47" t="s">
        <v>64</v>
      </c>
    </row>
    <row r="7" spans="2:2" ht="18.75" x14ac:dyDescent="0.3">
      <c r="B7" s="47" t="s">
        <v>59</v>
      </c>
    </row>
    <row r="8" spans="2:2" ht="18.75" x14ac:dyDescent="0.3">
      <c r="B8" s="47" t="s">
        <v>57</v>
      </c>
    </row>
    <row r="9" spans="2:2" ht="18.75" x14ac:dyDescent="0.3">
      <c r="B9" s="47" t="s">
        <v>56</v>
      </c>
    </row>
    <row r="10" spans="2:2" ht="18.75" x14ac:dyDescent="0.3">
      <c r="B10" s="47" t="s">
        <v>60</v>
      </c>
    </row>
    <row r="11" spans="2:2" ht="18.75" x14ac:dyDescent="0.3">
      <c r="B11" s="47" t="s">
        <v>65</v>
      </c>
    </row>
    <row r="12" spans="2:2" ht="18.75" x14ac:dyDescent="0.3">
      <c r="B12" s="47" t="s">
        <v>66</v>
      </c>
    </row>
    <row r="13" spans="2:2" ht="18.75" x14ac:dyDescent="0.3">
      <c r="B13" s="47"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8</vt:i4>
      </vt:variant>
    </vt:vector>
  </HeadingPairs>
  <TitlesOfParts>
    <vt:vector size="8" baseType="lpstr">
      <vt:lpstr>OpeningPage</vt:lpstr>
      <vt:lpstr>Admin</vt:lpstr>
      <vt:lpstr>Task 1</vt:lpstr>
      <vt:lpstr>Task 2</vt:lpstr>
      <vt:lpstr>Task 3</vt:lpstr>
      <vt:lpstr>Task 4</vt:lpstr>
      <vt:lpstr>Task 5</vt:lpstr>
      <vt:lpstr>Sample theoretical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Juhász Péter</cp:lastModifiedBy>
  <dcterms:created xsi:type="dcterms:W3CDTF">2014-05-14T18:27:14Z</dcterms:created>
  <dcterms:modified xsi:type="dcterms:W3CDTF">2021-11-28T15:32:35Z</dcterms:modified>
</cp:coreProperties>
</file>