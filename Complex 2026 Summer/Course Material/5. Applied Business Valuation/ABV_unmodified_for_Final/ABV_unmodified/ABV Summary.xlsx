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unicorvinus-my.sharepoint.com/personal/mridul_bangani_stud_uni-corvinus_hu/Documents/MSc Finance/Sem 3/ABV/Exam material/"/>
    </mc:Choice>
  </mc:AlternateContent>
  <xr:revisionPtr revIDLastSave="234" documentId="13_ncr:1_{99122845-86A2-4694-8486-91C624D95664}" xr6:coauthVersionLast="47" xr6:coauthVersionMax="47" xr10:uidLastSave="{1181508C-EADB-449C-8517-86460786BE35}"/>
  <bookViews>
    <workbookView xWindow="28680" yWindow="-120" windowWidth="29040" windowHeight="15840" activeTab="8" xr2:uid="{00000000-000D-0000-FFFF-FFFF00000000}"/>
  </bookViews>
  <sheets>
    <sheet name="T1 sc. 1" sheetId="2" r:id="rId1"/>
    <sheet name="T1 sc.2" sheetId="3" r:id="rId2"/>
    <sheet name="T1 sc.3" sheetId="4" r:id="rId3"/>
    <sheet name="T1 sc.4" sheetId="14" r:id="rId4"/>
    <sheet name="T2 sc1" sheetId="5" r:id="rId5"/>
    <sheet name="T2 sc2" sheetId="6" r:id="rId6"/>
    <sheet name="T2 sc3" sheetId="7" r:id="rId7"/>
    <sheet name="T2 sc4" sheetId="16" r:id="rId8"/>
    <sheet name="T3 sc.1" sheetId="8" r:id="rId9"/>
    <sheet name="T3 sc.2" sheetId="9" r:id="rId10"/>
    <sheet name="T3 sc3" sheetId="10" r:id="rId11"/>
    <sheet name="T3 sc4" sheetId="15" r:id="rId12"/>
    <sheet name="T4 sc.1" sheetId="11" r:id="rId13"/>
    <sheet name="T4 sc.2" sheetId="12" r:id="rId14"/>
    <sheet name="T4 sc3" sheetId="13" r:id="rId15"/>
    <sheet name="T4 sc.4" sheetId="17" r:id="rId16"/>
  </sheets>
  <externalReferences>
    <externalReference r:id="rId17"/>
    <externalReference r:id="rId18"/>
    <externalReference r:id="rId19"/>
    <externalReference r:id="rId20"/>
    <externalReference r:id="rId21"/>
  </externalReferences>
  <calcPr calcId="191028" iterateCount="10000" iterateDelta="1.0000000000000001E-17"/>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2" l="1"/>
  <c r="D65" i="2"/>
  <c r="D63" i="2"/>
  <c r="D55" i="2"/>
  <c r="D49" i="2"/>
  <c r="D54" i="2"/>
  <c r="D53" i="2"/>
  <c r="D50" i="2"/>
  <c r="D52" i="2"/>
  <c r="D47" i="2"/>
  <c r="E39" i="2"/>
  <c r="D39" i="2"/>
  <c r="D44" i="2"/>
  <c r="E43" i="2"/>
  <c r="D37" i="2" l="1"/>
  <c r="D57" i="2"/>
  <c r="D35" i="2" l="1"/>
  <c r="E34" i="2"/>
  <c r="D33" i="2"/>
  <c r="E36" i="2" a="1"/>
  <c r="E36" i="2" s="1"/>
  <c r="E60" i="15" l="1"/>
  <c r="F52" i="10"/>
  <c r="D52" i="10"/>
  <c r="E52" i="10"/>
  <c r="H49" i="6" l="1"/>
  <c r="H48" i="6"/>
  <c r="H46" i="6"/>
  <c r="I36" i="6"/>
  <c r="I57" i="6"/>
  <c r="I56" i="6"/>
  <c r="I73" i="6"/>
  <c r="C66" i="6"/>
  <c r="H66" i="6"/>
  <c r="H67" i="6"/>
  <c r="H68" i="6"/>
  <c r="H70" i="6" s="1"/>
  <c r="H69" i="6"/>
  <c r="G49" i="6"/>
  <c r="F49" i="6"/>
  <c r="E49" i="6"/>
  <c r="D49" i="6"/>
  <c r="I70" i="6"/>
  <c r="I75" i="6"/>
  <c r="J75" i="6"/>
  <c r="I68" i="6"/>
  <c r="I66" i="6"/>
  <c r="J54" i="6"/>
  <c r="J56" i="6"/>
  <c r="J73" i="6"/>
  <c r="I49" i="6"/>
  <c r="J49" i="6"/>
  <c r="J48" i="6"/>
  <c r="J55" i="6"/>
  <c r="J30" i="6"/>
  <c r="K30" i="6"/>
  <c r="J49" i="5"/>
  <c r="J48" i="5"/>
  <c r="J65" i="5"/>
  <c r="J67" i="5"/>
  <c r="J76" i="5"/>
  <c r="J78" i="5"/>
  <c r="D82" i="5"/>
  <c r="D55" i="5"/>
  <c r="D63" i="5"/>
  <c r="D58" i="5"/>
  <c r="D61" i="5" s="1"/>
  <c r="E57" i="5"/>
  <c r="D60" i="5"/>
  <c r="D56" i="5"/>
  <c r="D57" i="5" s="1"/>
  <c r="D62" i="5" s="1"/>
  <c r="D52" i="5"/>
  <c r="D54" i="5"/>
  <c r="D67" i="5"/>
  <c r="D66" i="5"/>
  <c r="D65" i="5"/>
  <c r="D44" i="5"/>
  <c r="I50" i="5"/>
  <c r="I49" i="5"/>
  <c r="I48" i="5"/>
  <c r="G49" i="5"/>
  <c r="G50" i="5"/>
  <c r="H48" i="5"/>
  <c r="K38" i="5"/>
  <c r="K26" i="5"/>
  <c r="J27" i="5"/>
  <c r="J26" i="5"/>
  <c r="I38" i="5"/>
  <c r="I43" i="5"/>
  <c r="D49" i="5"/>
  <c r="E48" i="5"/>
  <c r="E50" i="5" l="1"/>
  <c r="E49" i="5" s="1"/>
  <c r="D50" i="5"/>
  <c r="E42" i="5"/>
  <c r="D42" i="5"/>
  <c r="D48" i="5"/>
  <c r="H33" i="13"/>
  <c r="K27" i="5"/>
  <c r="E43" i="5" l="1"/>
  <c r="E53" i="5" s="1"/>
  <c r="E80" i="8"/>
  <c r="E83" i="15" l="1"/>
  <c r="E82" i="15"/>
  <c r="E80" i="15"/>
  <c r="E79" i="15"/>
  <c r="E81" i="15"/>
  <c r="E78" i="15"/>
  <c r="E76" i="15"/>
  <c r="E73" i="15"/>
  <c r="E74" i="15"/>
  <c r="E75" i="15"/>
  <c r="E72" i="15"/>
  <c r="E71" i="15"/>
  <c r="E70" i="15"/>
  <c r="E69" i="15"/>
  <c r="E68" i="15"/>
  <c r="E67" i="15"/>
  <c r="E66" i="15"/>
  <c r="E65" i="15"/>
  <c r="E64" i="15"/>
  <c r="E63" i="15"/>
  <c r="F96" i="9"/>
  <c r="F91" i="9"/>
  <c r="E91" i="9"/>
  <c r="F87" i="9"/>
  <c r="E87" i="9"/>
  <c r="F86" i="9"/>
  <c r="F84" i="9"/>
  <c r="F78" i="9"/>
  <c r="E78" i="9"/>
  <c r="F76" i="9"/>
  <c r="E76" i="9"/>
  <c r="F75" i="9"/>
  <c r="E75" i="9"/>
  <c r="F70" i="9"/>
  <c r="E70" i="9"/>
  <c r="F69" i="9"/>
  <c r="E69" i="9"/>
  <c r="F68" i="9"/>
  <c r="E68" i="9"/>
  <c r="F67" i="9"/>
  <c r="E67" i="9"/>
  <c r="F66" i="9"/>
  <c r="E66" i="9"/>
  <c r="F65" i="9"/>
  <c r="F74" i="9" s="1"/>
  <c r="E65" i="9"/>
  <c r="E74" i="9" s="1"/>
  <c r="F61" i="9"/>
  <c r="E61" i="9"/>
  <c r="E60" i="9"/>
  <c r="E62" i="9" s="1"/>
  <c r="F54" i="9"/>
  <c r="E54" i="9"/>
  <c r="F51" i="9"/>
  <c r="E51" i="9"/>
  <c r="D51" i="9"/>
  <c r="D54" i="9" s="1"/>
  <c r="F49" i="9"/>
  <c r="E49" i="9"/>
  <c r="E86" i="9" s="1"/>
  <c r="D49" i="9"/>
  <c r="F45" i="9"/>
  <c r="F44" i="9"/>
  <c r="E44" i="9"/>
  <c r="E45" i="9" s="1"/>
  <c r="F73" i="9" s="1"/>
  <c r="D44" i="9"/>
  <c r="D45" i="9" s="1"/>
  <c r="E73" i="9" s="1"/>
  <c r="F40" i="9"/>
  <c r="E40" i="9"/>
  <c r="E96" i="9" s="1"/>
  <c r="D40" i="9"/>
  <c r="E32" i="9"/>
  <c r="E57" i="9" s="1"/>
  <c r="F31" i="9"/>
  <c r="E31" i="9"/>
  <c r="D31" i="9"/>
  <c r="D32" i="9" s="1"/>
  <c r="F30" i="9"/>
  <c r="E30" i="9"/>
  <c r="E84" i="9" s="1"/>
  <c r="E85" i="9" s="1"/>
  <c r="D30" i="9"/>
  <c r="F25" i="9"/>
  <c r="F60" i="9" s="1"/>
  <c r="F62" i="9" s="1"/>
  <c r="E25" i="9"/>
  <c r="D25" i="9"/>
  <c r="C7" i="9"/>
  <c r="B7" i="9"/>
  <c r="C6" i="9"/>
  <c r="B6" i="9"/>
  <c r="C4" i="9"/>
  <c r="B4" i="9"/>
  <c r="C3" i="9"/>
  <c r="B3" i="9"/>
  <c r="C2" i="9"/>
  <c r="B2" i="9"/>
  <c r="E77" i="9" l="1"/>
  <c r="E79" i="9"/>
  <c r="E80" i="9"/>
  <c r="E63" i="9"/>
  <c r="E64" i="9" s="1"/>
  <c r="E71" i="9" s="1"/>
  <c r="D57" i="9"/>
  <c r="D34" i="9"/>
  <c r="D36" i="9" s="1"/>
  <c r="F32" i="9"/>
  <c r="E34" i="9"/>
  <c r="E36" i="9" s="1"/>
  <c r="E92" i="9" s="1"/>
  <c r="E82" i="9" l="1"/>
  <c r="E89" i="9" s="1"/>
  <c r="E94" i="9" s="1"/>
  <c r="F57" i="9"/>
  <c r="F34" i="9"/>
  <c r="F36" i="9" s="1"/>
  <c r="F92" i="9" s="1"/>
  <c r="F77" i="9" l="1"/>
  <c r="F80" i="9" s="1"/>
  <c r="F82" i="9" s="1"/>
  <c r="F89" i="9" s="1"/>
  <c r="F94" i="9" s="1"/>
  <c r="F79" i="9"/>
  <c r="F63" i="9"/>
  <c r="F64" i="9" s="1"/>
  <c r="F71" i="9" s="1"/>
  <c r="F85" i="9"/>
  <c r="J42" i="7" l="1"/>
  <c r="J74" i="7"/>
  <c r="E36" i="14"/>
  <c r="D40" i="14"/>
  <c r="D53" i="4"/>
  <c r="D38" i="14"/>
  <c r="D37" i="14"/>
  <c r="D46" i="2"/>
  <c r="D38" i="3"/>
  <c r="D39" i="3"/>
  <c r="D37" i="3"/>
  <c r="E53" i="4"/>
  <c r="E49" i="4"/>
  <c r="E48" i="4"/>
  <c r="D50" i="4"/>
  <c r="D46" i="17"/>
  <c r="D36" i="17"/>
  <c r="F33" i="17"/>
  <c r="E33" i="17"/>
  <c r="D33" i="17"/>
  <c r="F32" i="17"/>
  <c r="F36" i="17" s="1"/>
  <c r="E32" i="17"/>
  <c r="E36" i="17" s="1"/>
  <c r="D32" i="17"/>
  <c r="C7" i="17"/>
  <c r="B7" i="17"/>
  <c r="C6" i="17"/>
  <c r="B6" i="17"/>
  <c r="B4" i="17"/>
  <c r="B3" i="17"/>
  <c r="B2" i="17"/>
  <c r="I80" i="16"/>
  <c r="H80" i="16"/>
  <c r="G80" i="16"/>
  <c r="J76" i="16"/>
  <c r="I76" i="16"/>
  <c r="H76" i="16"/>
  <c r="G76" i="16"/>
  <c r="F76" i="16"/>
  <c r="E76" i="16"/>
  <c r="D76" i="16"/>
  <c r="G72" i="16"/>
  <c r="D41" i="16"/>
  <c r="D57" i="16" s="1"/>
  <c r="K39" i="16"/>
  <c r="J39" i="16"/>
  <c r="J72" i="16" s="1"/>
  <c r="I39" i="16"/>
  <c r="I72" i="16" s="1"/>
  <c r="H39" i="16"/>
  <c r="H72" i="16" s="1"/>
  <c r="G39" i="16"/>
  <c r="K33" i="16"/>
  <c r="J33" i="16"/>
  <c r="I33" i="16"/>
  <c r="H33" i="16"/>
  <c r="G33" i="16"/>
  <c r="F33" i="16"/>
  <c r="E33" i="16"/>
  <c r="D33" i="16"/>
  <c r="K26" i="16"/>
  <c r="J27" i="16" s="1"/>
  <c r="I26" i="16"/>
  <c r="F100" i="15"/>
  <c r="E100" i="15"/>
  <c r="F98" i="15"/>
  <c r="E98" i="15"/>
  <c r="F94" i="15"/>
  <c r="E94" i="15"/>
  <c r="F92" i="15"/>
  <c r="E92" i="15"/>
  <c r="F83" i="15"/>
  <c r="F81" i="15"/>
  <c r="C80" i="15"/>
  <c r="F79" i="15"/>
  <c r="F78" i="15"/>
  <c r="F75" i="15"/>
  <c r="F74" i="15"/>
  <c r="F73" i="15"/>
  <c r="F72" i="15"/>
  <c r="F71" i="15"/>
  <c r="F70" i="15"/>
  <c r="F80" i="15" s="1"/>
  <c r="F66" i="15"/>
  <c r="F65" i="15"/>
  <c r="F64" i="15"/>
  <c r="F55" i="15"/>
  <c r="E55" i="15"/>
  <c r="D55" i="15"/>
  <c r="F53" i="15"/>
  <c r="F91" i="15" s="1"/>
  <c r="E53" i="15"/>
  <c r="E91" i="15" s="1"/>
  <c r="D53" i="15"/>
  <c r="F50" i="15"/>
  <c r="F57" i="15" s="1"/>
  <c r="F48" i="15"/>
  <c r="E48" i="15"/>
  <c r="E50" i="15" s="1"/>
  <c r="E57" i="15" s="1"/>
  <c r="D48" i="15"/>
  <c r="D50" i="15" s="1"/>
  <c r="D57" i="15" s="1"/>
  <c r="F44" i="15"/>
  <c r="F106" i="15" s="1"/>
  <c r="E44" i="15"/>
  <c r="E106" i="15" s="1"/>
  <c r="D44" i="15"/>
  <c r="E36" i="15"/>
  <c r="E38" i="15" s="1"/>
  <c r="E40" i="15" s="1"/>
  <c r="F35" i="15"/>
  <c r="F36" i="15" s="1"/>
  <c r="E35" i="15"/>
  <c r="D35" i="15"/>
  <c r="D36" i="15" s="1"/>
  <c r="D38" i="15" s="1"/>
  <c r="D40" i="15" s="1"/>
  <c r="F34" i="15"/>
  <c r="F89" i="15" s="1"/>
  <c r="E34" i="15"/>
  <c r="E89" i="15" s="1"/>
  <c r="D34" i="15"/>
  <c r="F29" i="15"/>
  <c r="F63" i="15" s="1"/>
  <c r="F67" i="15" s="1"/>
  <c r="E29" i="15"/>
  <c r="D29" i="15"/>
  <c r="F28" i="15"/>
  <c r="E28" i="15"/>
  <c r="D28" i="15"/>
  <c r="F22" i="15"/>
  <c r="E22" i="15"/>
  <c r="D22" i="15"/>
  <c r="C7" i="15"/>
  <c r="B7" i="15"/>
  <c r="C6" i="15"/>
  <c r="B6" i="15"/>
  <c r="B4" i="15"/>
  <c r="B3" i="15"/>
  <c r="B2" i="15"/>
  <c r="D53" i="14"/>
  <c r="D52" i="14" s="1"/>
  <c r="D48" i="14"/>
  <c r="D47" i="14"/>
  <c r="D46" i="14"/>
  <c r="D43" i="14"/>
  <c r="D42" i="14"/>
  <c r="D44" i="14"/>
  <c r="I47" i="14"/>
  <c r="E47" i="14"/>
  <c r="L46" i="14"/>
  <c r="L47" i="14" s="1"/>
  <c r="K46" i="14"/>
  <c r="K47" i="14" s="1"/>
  <c r="J46" i="14"/>
  <c r="J47" i="14" s="1"/>
  <c r="I46" i="14"/>
  <c r="H46" i="14"/>
  <c r="H47" i="14" s="1"/>
  <c r="G46" i="14"/>
  <c r="G47" i="14" s="1"/>
  <c r="F46" i="14"/>
  <c r="F47" i="14" s="1"/>
  <c r="E46" i="14"/>
  <c r="L44" i="14"/>
  <c r="K55" i="14" s="1"/>
  <c r="K44" i="14"/>
  <c r="J55" i="14" s="1"/>
  <c r="J44" i="14"/>
  <c r="I55" i="14" s="1"/>
  <c r="I44" i="14"/>
  <c r="H44" i="14"/>
  <c r="G55" i="14" s="1"/>
  <c r="G44" i="14"/>
  <c r="F55" i="14" s="1"/>
  <c r="F44" i="14"/>
  <c r="E55" i="14" s="1"/>
  <c r="E44" i="14"/>
  <c r="J42" i="14"/>
  <c r="J43" i="14" s="1"/>
  <c r="J48" i="14" s="1"/>
  <c r="I42" i="14"/>
  <c r="I40" i="14" s="1"/>
  <c r="F42" i="14"/>
  <c r="E40" i="14" s="1"/>
  <c r="E42" i="14"/>
  <c r="E43" i="14" s="1"/>
  <c r="E48" i="14" s="1"/>
  <c r="C7" i="14"/>
  <c r="B7" i="14"/>
  <c r="C6" i="14"/>
  <c r="B6" i="14"/>
  <c r="C4" i="14"/>
  <c r="B4" i="14"/>
  <c r="C3" i="14"/>
  <c r="B3" i="14"/>
  <c r="C2" i="14"/>
  <c r="B2" i="14"/>
  <c r="E37" i="17" l="1"/>
  <c r="E38" i="17" s="1"/>
  <c r="G36" i="17"/>
  <c r="F37" i="17"/>
  <c r="F38" i="17" s="1"/>
  <c r="D37" i="17"/>
  <c r="D38" i="17" s="1"/>
  <c r="D45" i="16"/>
  <c r="D58" i="16"/>
  <c r="E41" i="16" s="1"/>
  <c r="D42" i="16"/>
  <c r="J26" i="16"/>
  <c r="I27" i="16" s="1"/>
  <c r="F60" i="15"/>
  <c r="F38" i="15"/>
  <c r="F40" i="15" s="1"/>
  <c r="F95" i="15" s="1"/>
  <c r="F58" i="15"/>
  <c r="D58" i="15"/>
  <c r="F82" i="15"/>
  <c r="F85" i="15" s="1"/>
  <c r="F90" i="15"/>
  <c r="F68" i="15"/>
  <c r="F69" i="15" s="1"/>
  <c r="F76" i="15" s="1"/>
  <c r="F87" i="15" s="1"/>
  <c r="F93" i="15" s="1"/>
  <c r="F96" i="15" s="1"/>
  <c r="F104" i="15" s="1"/>
  <c r="E58" i="15"/>
  <c r="E95" i="15"/>
  <c r="F84" i="15"/>
  <c r="F101" i="15"/>
  <c r="E90" i="15"/>
  <c r="F99" i="15"/>
  <c r="F102" i="15" s="1"/>
  <c r="D49" i="14"/>
  <c r="E49" i="14"/>
  <c r="J49" i="14"/>
  <c r="I49" i="14"/>
  <c r="I43" i="14"/>
  <c r="I48" i="14" s="1"/>
  <c r="G42" i="14"/>
  <c r="K42" i="14"/>
  <c r="F43" i="14"/>
  <c r="F48" i="14" s="1"/>
  <c r="F49" i="14" s="1"/>
  <c r="D55" i="14"/>
  <c r="H55" i="14"/>
  <c r="H42" i="14"/>
  <c r="L42" i="14"/>
  <c r="L43" i="14" s="1"/>
  <c r="L48" i="14" s="1"/>
  <c r="L49" i="14" s="1"/>
  <c r="D43" i="17" l="1"/>
  <c r="D44" i="17" s="1"/>
  <c r="D47" i="17" s="1"/>
  <c r="D49" i="17" s="1"/>
  <c r="D51" i="17" s="1"/>
  <c r="D40" i="17"/>
  <c r="E57" i="16"/>
  <c r="E42" i="16"/>
  <c r="E43" i="16"/>
  <c r="D46" i="16"/>
  <c r="D60" i="16" s="1"/>
  <c r="D82" i="16"/>
  <c r="D43" i="16"/>
  <c r="D59" i="16"/>
  <c r="E101" i="15"/>
  <c r="E99" i="15"/>
  <c r="E102" i="15" s="1"/>
  <c r="E84" i="15"/>
  <c r="L50" i="14"/>
  <c r="L51" i="14" s="1"/>
  <c r="L52" i="14" s="1"/>
  <c r="F50" i="14"/>
  <c r="F57" i="14" s="1"/>
  <c r="F37" i="14" s="1"/>
  <c r="F51" i="14"/>
  <c r="D50" i="14"/>
  <c r="D57" i="14" s="1"/>
  <c r="K43" i="14"/>
  <c r="K48" i="14" s="1"/>
  <c r="K49" i="14" s="1"/>
  <c r="J40" i="14"/>
  <c r="G43" i="14"/>
  <c r="G48" i="14" s="1"/>
  <c r="G49" i="14" s="1"/>
  <c r="F40" i="14"/>
  <c r="F39" i="14" s="1"/>
  <c r="J50" i="14"/>
  <c r="J57" i="14" s="1"/>
  <c r="J37" i="14" s="1"/>
  <c r="D39" i="14"/>
  <c r="I50" i="14"/>
  <c r="I57" i="14" s="1"/>
  <c r="I37" i="14" s="1"/>
  <c r="G40" i="14"/>
  <c r="H43" i="14"/>
  <c r="H48" i="14" s="1"/>
  <c r="H49" i="14" s="1"/>
  <c r="H40" i="14"/>
  <c r="E50" i="14"/>
  <c r="E57" i="14" s="1"/>
  <c r="E37" i="14" s="1"/>
  <c r="D55" i="17" l="1"/>
  <c r="D53" i="17"/>
  <c r="D52" i="17"/>
  <c r="D53" i="16"/>
  <c r="D71" i="16"/>
  <c r="E46" i="16"/>
  <c r="E60" i="16" s="1"/>
  <c r="D62" i="16"/>
  <c r="E82" i="16"/>
  <c r="D47" i="16"/>
  <c r="E59" i="16"/>
  <c r="E45" i="16"/>
  <c r="E58" i="16"/>
  <c r="E85" i="15"/>
  <c r="E87" i="15"/>
  <c r="E93" i="15" s="1"/>
  <c r="E96" i="15" s="1"/>
  <c r="E104" i="15" s="1"/>
  <c r="I38" i="14"/>
  <c r="I35" i="14"/>
  <c r="I39" i="14"/>
  <c r="J39" i="14"/>
  <c r="K50" i="14"/>
  <c r="K57" i="14" s="1"/>
  <c r="K51" i="14"/>
  <c r="E38" i="14"/>
  <c r="E35" i="14"/>
  <c r="E39" i="14"/>
  <c r="G50" i="14"/>
  <c r="G57" i="14" s="1"/>
  <c r="G37" i="14" s="1"/>
  <c r="D35" i="14"/>
  <c r="J36" i="14"/>
  <c r="J38" i="14"/>
  <c r="J35" i="14"/>
  <c r="F53" i="14"/>
  <c r="F56" i="14" s="1"/>
  <c r="F52" i="14"/>
  <c r="I51" i="14"/>
  <c r="F38" i="14"/>
  <c r="F35" i="14"/>
  <c r="F36" i="14"/>
  <c r="H50" i="14"/>
  <c r="H57" i="14" s="1"/>
  <c r="H37" i="14" s="1"/>
  <c r="E51" i="14"/>
  <c r="J51" i="14"/>
  <c r="D51" i="14"/>
  <c r="E71" i="16" l="1"/>
  <c r="D49" i="16"/>
  <c r="D48" i="16"/>
  <c r="D55" i="16" s="1"/>
  <c r="D61" i="16" s="1"/>
  <c r="F57" i="16"/>
  <c r="F41" i="16"/>
  <c r="E47" i="16"/>
  <c r="E52" i="14"/>
  <c r="E53" i="14"/>
  <c r="E56" i="14" s="1"/>
  <c r="G36" i="14"/>
  <c r="G38" i="14"/>
  <c r="G35" i="14"/>
  <c r="D56" i="14"/>
  <c r="H38" i="14"/>
  <c r="H35" i="14"/>
  <c r="H36" i="14"/>
  <c r="K53" i="14"/>
  <c r="K56" i="14" s="1"/>
  <c r="K52" i="14"/>
  <c r="I36" i="14"/>
  <c r="J53" i="14"/>
  <c r="J56" i="14" s="1"/>
  <c r="J52" i="14"/>
  <c r="H51" i="14"/>
  <c r="I53" i="14"/>
  <c r="I56" i="14" s="1"/>
  <c r="G39" i="14"/>
  <c r="H39" i="14"/>
  <c r="G51" i="14"/>
  <c r="D51" i="16" l="1"/>
  <c r="E48" i="16"/>
  <c r="E55" i="16" s="1"/>
  <c r="E61" i="16" s="1"/>
  <c r="E49" i="16"/>
  <c r="F42" i="16"/>
  <c r="F43" i="16"/>
  <c r="F58" i="16"/>
  <c r="G57" i="16" s="1"/>
  <c r="F45" i="16"/>
  <c r="D63" i="16"/>
  <c r="D75" i="16"/>
  <c r="H53" i="14"/>
  <c r="H56" i="14" s="1"/>
  <c r="I52" i="14"/>
  <c r="G53" i="14"/>
  <c r="G56" i="14" s="1"/>
  <c r="G52" i="14"/>
  <c r="D65" i="16" l="1"/>
  <c r="D54" i="16"/>
  <c r="G58" i="16"/>
  <c r="H57" i="16" s="1"/>
  <c r="G45" i="16"/>
  <c r="E51" i="16"/>
  <c r="E50" i="16" s="1"/>
  <c r="E64" i="16" s="1"/>
  <c r="D79" i="16"/>
  <c r="G41" i="16"/>
  <c r="E63" i="16"/>
  <c r="E75" i="16"/>
  <c r="F47" i="16"/>
  <c r="E53" i="16"/>
  <c r="F59" i="16"/>
  <c r="F82" i="16"/>
  <c r="E62" i="16"/>
  <c r="F46" i="16"/>
  <c r="F60" i="16" s="1"/>
  <c r="D50" i="16"/>
  <c r="D64" i="16" s="1"/>
  <c r="D66" i="16" s="1"/>
  <c r="H52" i="14"/>
  <c r="E54" i="16" l="1"/>
  <c r="E79" i="16"/>
  <c r="H59" i="16"/>
  <c r="H45" i="16"/>
  <c r="H58" i="16"/>
  <c r="I57" i="16" s="1"/>
  <c r="E65" i="16"/>
  <c r="E66" i="16" s="1"/>
  <c r="H41" i="16"/>
  <c r="F48" i="16"/>
  <c r="F55" i="16" s="1"/>
  <c r="F61" i="16" s="1"/>
  <c r="F49" i="16"/>
  <c r="F71" i="16"/>
  <c r="G59" i="16"/>
  <c r="F75" i="16" l="1"/>
  <c r="H71" i="16"/>
  <c r="G71" i="16"/>
  <c r="I45" i="16"/>
  <c r="I58" i="16"/>
  <c r="J57" i="16" s="1"/>
  <c r="I41" i="16"/>
  <c r="J41" i="16" l="1"/>
  <c r="J58" i="16"/>
  <c r="J59" i="16" s="1"/>
  <c r="J45" i="16"/>
  <c r="I59" i="16"/>
  <c r="J71" i="16" l="1"/>
  <c r="J73" i="16" s="1"/>
  <c r="J42" i="16" s="1"/>
  <c r="J43" i="16"/>
  <c r="I71" i="16"/>
  <c r="I73" i="16" s="1"/>
  <c r="J53" i="16" l="1"/>
  <c r="I42" i="16"/>
  <c r="H73" i="16"/>
  <c r="J46" i="16"/>
  <c r="I46" i="16" l="1"/>
  <c r="I82" i="16"/>
  <c r="I43" i="16"/>
  <c r="I62" i="16"/>
  <c r="J60" i="16"/>
  <c r="J47" i="16"/>
  <c r="H42" i="16"/>
  <c r="H62" i="16" s="1"/>
  <c r="G73" i="16"/>
  <c r="I53" i="16" l="1"/>
  <c r="J48" i="16"/>
  <c r="J55" i="16" s="1"/>
  <c r="G42" i="16"/>
  <c r="J61" i="16"/>
  <c r="J75" i="16" s="1"/>
  <c r="J77" i="16" s="1"/>
  <c r="H46" i="16"/>
  <c r="H82" i="16"/>
  <c r="H43" i="16"/>
  <c r="I60" i="16"/>
  <c r="I47" i="16"/>
  <c r="I48" i="16" l="1"/>
  <c r="I55" i="16" s="1"/>
  <c r="I61" i="16" s="1"/>
  <c r="H60" i="16"/>
  <c r="H47" i="16"/>
  <c r="G82" i="16"/>
  <c r="F62" i="16"/>
  <c r="F63" i="16" s="1"/>
  <c r="G46" i="16"/>
  <c r="G43" i="16"/>
  <c r="G62" i="16"/>
  <c r="J49" i="16"/>
  <c r="G53" i="16"/>
  <c r="H53" i="16"/>
  <c r="I75" i="16" l="1"/>
  <c r="I77" i="16" s="1"/>
  <c r="I63" i="16"/>
  <c r="I49" i="16"/>
  <c r="J51" i="16"/>
  <c r="J54" i="16" s="1"/>
  <c r="F53" i="16"/>
  <c r="H49" i="16"/>
  <c r="H48" i="16"/>
  <c r="H55" i="16" s="1"/>
  <c r="F79" i="16"/>
  <c r="G60" i="16"/>
  <c r="G47" i="16"/>
  <c r="H61" i="16"/>
  <c r="H75" i="16" s="1"/>
  <c r="H77" i="16" s="1"/>
  <c r="I51" i="16" l="1"/>
  <c r="G48" i="16"/>
  <c r="G55" i="16" s="1"/>
  <c r="G61" i="16" s="1"/>
  <c r="F51" i="16"/>
  <c r="J50" i="16"/>
  <c r="I79" i="16"/>
  <c r="I81" i="16" s="1"/>
  <c r="I83" i="16" s="1"/>
  <c r="H63" i="16"/>
  <c r="H51" i="16"/>
  <c r="G75" i="16" l="1"/>
  <c r="G77" i="16" s="1"/>
  <c r="F77" i="16" s="1"/>
  <c r="G63" i="16"/>
  <c r="H65" i="16"/>
  <c r="H54" i="16"/>
  <c r="F50" i="16"/>
  <c r="F64" i="16" s="1"/>
  <c r="F65" i="16"/>
  <c r="I65" i="16"/>
  <c r="I54" i="16"/>
  <c r="H50" i="16"/>
  <c r="H64" i="16" s="1"/>
  <c r="F54" i="16"/>
  <c r="I50" i="16"/>
  <c r="I64" i="16" s="1"/>
  <c r="I66" i="16" s="1"/>
  <c r="H66" i="16"/>
  <c r="H79" i="16"/>
  <c r="H81" i="16" s="1"/>
  <c r="H83" i="16" s="1"/>
  <c r="G49" i="16"/>
  <c r="G79" i="16" l="1"/>
  <c r="G81" i="16" s="1"/>
  <c r="G51" i="16"/>
  <c r="F66" i="16"/>
  <c r="F34" i="16"/>
  <c r="E77" i="16"/>
  <c r="G65" i="16" l="1"/>
  <c r="G54" i="16"/>
  <c r="G50" i="16"/>
  <c r="G64" i="16" s="1"/>
  <c r="G66" i="16" s="1"/>
  <c r="F39" i="16"/>
  <c r="F72" i="16" s="1"/>
  <c r="F73" i="16" s="1"/>
  <c r="F80" i="16"/>
  <c r="G83" i="16"/>
  <c r="F81" i="16"/>
  <c r="E34" i="16"/>
  <c r="D77" i="16"/>
  <c r="F83" i="16" l="1"/>
  <c r="E81" i="16"/>
  <c r="E39" i="16"/>
  <c r="E72" i="16" s="1"/>
  <c r="E73" i="16" s="1"/>
  <c r="E80" i="16"/>
  <c r="D34" i="16"/>
  <c r="E83" i="16" l="1"/>
  <c r="D80" i="16"/>
  <c r="D81" i="16" s="1"/>
  <c r="D83" i="16" s="1"/>
  <c r="B78" i="16" s="1"/>
  <c r="D39" i="16"/>
  <c r="D72" i="16" s="1"/>
  <c r="D73" i="16" s="1"/>
  <c r="B74" i="16" s="1"/>
  <c r="D40" i="11" l="1"/>
  <c r="F29" i="13" l="1"/>
  <c r="F30" i="13" s="1"/>
  <c r="F31" i="13" s="1"/>
  <c r="F32" i="13" s="1"/>
  <c r="E29" i="13"/>
  <c r="D29" i="13"/>
  <c r="F28" i="13"/>
  <c r="F27" i="13"/>
  <c r="E27" i="13"/>
  <c r="E28" i="13" s="1"/>
  <c r="E30" i="13" s="1"/>
  <c r="E31" i="13" s="1"/>
  <c r="E32" i="13" s="1"/>
  <c r="D27" i="13"/>
  <c r="D28" i="13" s="1"/>
  <c r="D30" i="13" s="1"/>
  <c r="D31" i="13" l="1"/>
  <c r="D32" i="13" s="1"/>
  <c r="E33" i="13"/>
  <c r="E34" i="13" s="1"/>
  <c r="D38" i="13" s="1"/>
  <c r="D39" i="13" s="1"/>
  <c r="D43" i="13" s="1"/>
  <c r="D45" i="13" s="1"/>
  <c r="D46" i="13" s="1"/>
  <c r="D50" i="13" s="1"/>
  <c r="D52" i="13" s="1"/>
  <c r="D54" i="13" s="1"/>
  <c r="F34" i="13"/>
  <c r="F33" i="13"/>
  <c r="F35" i="13"/>
  <c r="K32" i="13"/>
  <c r="D34" i="13" l="1"/>
  <c r="E39" i="13" s="1"/>
  <c r="D33" i="13"/>
  <c r="H34" i="13" l="1"/>
  <c r="F39" i="13"/>
  <c r="F57" i="10" l="1"/>
  <c r="E57" i="10"/>
  <c r="D57" i="10"/>
  <c r="F56" i="10"/>
  <c r="E56" i="10"/>
  <c r="D56" i="10"/>
  <c r="F55" i="10"/>
  <c r="E55" i="10"/>
  <c r="D55" i="10"/>
  <c r="F54" i="10"/>
  <c r="E54" i="10"/>
  <c r="F45" i="10"/>
  <c r="F48" i="10" s="1"/>
  <c r="E45" i="10"/>
  <c r="D45" i="10"/>
  <c r="F42" i="10"/>
  <c r="F47" i="10" s="1"/>
  <c r="F40" i="10"/>
  <c r="E40" i="10"/>
  <c r="E42" i="10" s="1"/>
  <c r="E47" i="10" s="1"/>
  <c r="D40" i="10"/>
  <c r="D42" i="10" s="1"/>
  <c r="D47" i="10" s="1"/>
  <c r="F29" i="10"/>
  <c r="F31" i="10" s="1"/>
  <c r="F33" i="10" s="1"/>
  <c r="F28" i="10"/>
  <c r="E28" i="10"/>
  <c r="E29" i="10" s="1"/>
  <c r="D28" i="10"/>
  <c r="D29" i="10" s="1"/>
  <c r="F24" i="10"/>
  <c r="E24" i="10"/>
  <c r="D24" i="10"/>
  <c r="F18" i="10"/>
  <c r="E18" i="10" s="1"/>
  <c r="D18" i="10" s="1"/>
  <c r="C7" i="10"/>
  <c r="B7" i="10"/>
  <c r="C6" i="10"/>
  <c r="B6" i="10"/>
  <c r="C4" i="10"/>
  <c r="B4" i="10"/>
  <c r="C3" i="10"/>
  <c r="B3" i="10"/>
  <c r="C2" i="10"/>
  <c r="B2" i="10"/>
  <c r="F93" i="8"/>
  <c r="E93" i="8"/>
  <c r="F88" i="8"/>
  <c r="E88" i="8"/>
  <c r="F84" i="8"/>
  <c r="E84" i="8"/>
  <c r="F82" i="8"/>
  <c r="F80" i="8"/>
  <c r="F78" i="8"/>
  <c r="E78" i="8"/>
  <c r="F77" i="8"/>
  <c r="E77" i="8"/>
  <c r="F71" i="8"/>
  <c r="E71" i="8"/>
  <c r="F68" i="8"/>
  <c r="E68" i="8"/>
  <c r="F67" i="8"/>
  <c r="E67" i="8"/>
  <c r="F66" i="8"/>
  <c r="E66" i="8"/>
  <c r="F65" i="8"/>
  <c r="E65" i="8"/>
  <c r="F64" i="8"/>
  <c r="E64" i="8"/>
  <c r="F63" i="8"/>
  <c r="F72" i="8" s="1"/>
  <c r="E63" i="8"/>
  <c r="E72" i="8" s="1"/>
  <c r="F59" i="8"/>
  <c r="E59" i="8"/>
  <c r="F50" i="8"/>
  <c r="F53" i="8" s="1"/>
  <c r="E50" i="8"/>
  <c r="E53" i="8" s="1"/>
  <c r="D50" i="8"/>
  <c r="D53" i="8" s="1"/>
  <c r="F43" i="8"/>
  <c r="F45" i="8" s="1"/>
  <c r="E43" i="8"/>
  <c r="E45" i="8" s="1"/>
  <c r="D43" i="8"/>
  <c r="D45" i="8" s="1"/>
  <c r="F30" i="8"/>
  <c r="E30" i="8"/>
  <c r="E82" i="8" s="1"/>
  <c r="D30" i="8"/>
  <c r="F25" i="8"/>
  <c r="F58" i="8" s="1"/>
  <c r="E25" i="8"/>
  <c r="D25" i="8"/>
  <c r="F18" i="8"/>
  <c r="E18" i="8" s="1"/>
  <c r="D18" i="8" s="1"/>
  <c r="F32" i="12"/>
  <c r="D32" i="12"/>
  <c r="E31" i="12"/>
  <c r="D30" i="12"/>
  <c r="G28" i="12"/>
  <c r="E26" i="12"/>
  <c r="E32" i="12" s="1"/>
  <c r="D26" i="12"/>
  <c r="E24" i="12"/>
  <c r="G23" i="12"/>
  <c r="G25" i="12" s="1"/>
  <c r="G26" i="12" s="1"/>
  <c r="F23" i="12"/>
  <c r="E23" i="12"/>
  <c r="D23" i="12"/>
  <c r="K77" i="11"/>
  <c r="K73" i="11"/>
  <c r="J73" i="11"/>
  <c r="J77" i="11" s="1"/>
  <c r="I73" i="11"/>
  <c r="I77" i="11" s="1"/>
  <c r="H73" i="11"/>
  <c r="G73" i="11"/>
  <c r="F73" i="11"/>
  <c r="E73" i="11"/>
  <c r="D73" i="11"/>
  <c r="I69" i="11"/>
  <c r="K64" i="11"/>
  <c r="J64" i="11"/>
  <c r="K37" i="11"/>
  <c r="D36" i="11"/>
  <c r="E35" i="11"/>
  <c r="F35" i="11" s="1"/>
  <c r="G35" i="11" s="1"/>
  <c r="H35" i="11" s="1"/>
  <c r="K33" i="11"/>
  <c r="J33" i="11"/>
  <c r="J69" i="11" s="1"/>
  <c r="I33" i="11"/>
  <c r="I28" i="11"/>
  <c r="D28" i="11"/>
  <c r="K22" i="11"/>
  <c r="I21" i="11"/>
  <c r="E19" i="11"/>
  <c r="E28" i="11" s="1"/>
  <c r="C7" i="11"/>
  <c r="B7" i="11"/>
  <c r="C6" i="11"/>
  <c r="B6" i="11"/>
  <c r="C4" i="11"/>
  <c r="B4" i="11"/>
  <c r="C3" i="11"/>
  <c r="B3" i="11"/>
  <c r="C2" i="11"/>
  <c r="B2" i="11"/>
  <c r="I81" i="7"/>
  <c r="J77" i="7"/>
  <c r="I77" i="7"/>
  <c r="H77" i="7"/>
  <c r="G77" i="7"/>
  <c r="F77" i="7"/>
  <c r="E77" i="7"/>
  <c r="D77" i="7"/>
  <c r="D58" i="7"/>
  <c r="D42" i="7"/>
  <c r="D46" i="7" s="1"/>
  <c r="D61" i="7" s="1"/>
  <c r="D41" i="7"/>
  <c r="K39" i="7"/>
  <c r="J39" i="7"/>
  <c r="J73" i="7" s="1"/>
  <c r="I39" i="7"/>
  <c r="I73" i="7" s="1"/>
  <c r="D33" i="7"/>
  <c r="J27" i="7"/>
  <c r="K26" i="7"/>
  <c r="I26" i="7"/>
  <c r="G24" i="7"/>
  <c r="H24" i="7" s="1"/>
  <c r="H33" i="7" s="1"/>
  <c r="F24" i="7"/>
  <c r="F33" i="7" s="1"/>
  <c r="E24" i="7"/>
  <c r="E33" i="7" s="1"/>
  <c r="C81" i="6"/>
  <c r="I79" i="6"/>
  <c r="C78" i="6"/>
  <c r="C74" i="6"/>
  <c r="C73" i="6"/>
  <c r="I69" i="6"/>
  <c r="G69" i="6"/>
  <c r="F69" i="6"/>
  <c r="E69" i="6"/>
  <c r="D69" i="6"/>
  <c r="C69" i="6"/>
  <c r="C67" i="6"/>
  <c r="J61" i="6"/>
  <c r="C61" i="6"/>
  <c r="J57" i="6"/>
  <c r="J58" i="6" s="1"/>
  <c r="D55" i="6"/>
  <c r="E48" i="6" s="1"/>
  <c r="D54" i="6"/>
  <c r="D50" i="6"/>
  <c r="D81" i="6"/>
  <c r="D35" i="6"/>
  <c r="I34" i="6"/>
  <c r="H34" i="6"/>
  <c r="G34" i="6"/>
  <c r="F34" i="6"/>
  <c r="E34" i="6"/>
  <c r="D34" i="6"/>
  <c r="J32" i="6"/>
  <c r="J74" i="6" s="1"/>
  <c r="I32" i="6"/>
  <c r="I74" i="6" s="1"/>
  <c r="I30" i="6"/>
  <c r="I85" i="5"/>
  <c r="J77" i="5"/>
  <c r="I77" i="5"/>
  <c r="H77" i="5"/>
  <c r="G77" i="5"/>
  <c r="F77" i="5"/>
  <c r="E77" i="5"/>
  <c r="D77" i="5"/>
  <c r="C66" i="5"/>
  <c r="C65" i="5"/>
  <c r="H47" i="5"/>
  <c r="G47" i="5"/>
  <c r="F47" i="5"/>
  <c r="E47" i="5"/>
  <c r="D47" i="5"/>
  <c r="D43" i="5"/>
  <c r="D53" i="5" s="1"/>
  <c r="J38" i="5"/>
  <c r="J81" i="5" s="1"/>
  <c r="I81" i="5"/>
  <c r="I33" i="5"/>
  <c r="D33" i="5"/>
  <c r="I27" i="5"/>
  <c r="I26" i="5"/>
  <c r="E24" i="5"/>
  <c r="D41" i="3"/>
  <c r="D40" i="3"/>
  <c r="D36" i="3"/>
  <c r="E54" i="4"/>
  <c r="D52" i="4"/>
  <c r="D51" i="4"/>
  <c r="J41" i="3"/>
  <c r="I41" i="3"/>
  <c r="H41" i="3"/>
  <c r="G41" i="3"/>
  <c r="F41" i="3"/>
  <c r="E41" i="3"/>
  <c r="I39" i="3"/>
  <c r="H39" i="3"/>
  <c r="G39" i="3"/>
  <c r="F39" i="3"/>
  <c r="E39" i="3"/>
  <c r="D32" i="3"/>
  <c r="E37" i="3"/>
  <c r="E30" i="3"/>
  <c r="E26" i="3"/>
  <c r="F26" i="3" s="1"/>
  <c r="G26" i="3" s="1"/>
  <c r="H26" i="3" s="1"/>
  <c r="I26" i="3" s="1"/>
  <c r="J26" i="3" s="1"/>
  <c r="F31" i="8" l="1"/>
  <c r="F55" i="8" s="1"/>
  <c r="D31" i="8"/>
  <c r="D33" i="8" s="1"/>
  <c r="D35" i="8" s="1"/>
  <c r="E58" i="8"/>
  <c r="E60" i="8" s="1"/>
  <c r="F60" i="8"/>
  <c r="D31" i="10"/>
  <c r="D33" i="10" s="1"/>
  <c r="D61" i="10"/>
  <c r="D59" i="10"/>
  <c r="D48" i="10"/>
  <c r="F62" i="10"/>
  <c r="F59" i="10"/>
  <c r="F61" i="10"/>
  <c r="D60" i="10"/>
  <c r="E60" i="10"/>
  <c r="E31" i="10"/>
  <c r="E33" i="10" s="1"/>
  <c r="E61" i="10"/>
  <c r="E48" i="10"/>
  <c r="E59" i="10"/>
  <c r="F60" i="10"/>
  <c r="D62" i="10"/>
  <c r="E73" i="8"/>
  <c r="F73" i="8"/>
  <c r="E31" i="8"/>
  <c r="E55" i="8" s="1"/>
  <c r="G32" i="12"/>
  <c r="K62" i="11"/>
  <c r="K79" i="11"/>
  <c r="K45" i="11"/>
  <c r="K60" i="11" s="1"/>
  <c r="K69" i="11"/>
  <c r="K21" i="11"/>
  <c r="J22" i="11" s="1"/>
  <c r="J21" i="11"/>
  <c r="I22" i="11" s="1"/>
  <c r="F19" i="11"/>
  <c r="D37" i="11"/>
  <c r="J26" i="7"/>
  <c r="I27" i="7" s="1"/>
  <c r="D43" i="7"/>
  <c r="D59" i="7"/>
  <c r="E41" i="7" s="1"/>
  <c r="G33" i="7"/>
  <c r="D45" i="7"/>
  <c r="D47" i="7" s="1"/>
  <c r="D83" i="7"/>
  <c r="J25" i="6"/>
  <c r="I25" i="6"/>
  <c r="D56" i="6"/>
  <c r="E54" i="6"/>
  <c r="D36" i="6"/>
  <c r="E50" i="6"/>
  <c r="D68" i="5"/>
  <c r="D87" i="5"/>
  <c r="F24" i="5"/>
  <c r="E33" i="5"/>
  <c r="E40" i="3"/>
  <c r="F30" i="3" s="1"/>
  <c r="F37" i="3"/>
  <c r="E36" i="3"/>
  <c r="E27" i="3"/>
  <c r="F33" i="8" l="1"/>
  <c r="F35" i="8" s="1"/>
  <c r="F89" i="8" s="1"/>
  <c r="E62" i="10"/>
  <c r="F83" i="8"/>
  <c r="F81" i="8"/>
  <c r="F79" i="8"/>
  <c r="F61" i="8"/>
  <c r="F62" i="8" s="1"/>
  <c r="F69" i="8" s="1"/>
  <c r="F75" i="8" s="1"/>
  <c r="E33" i="8"/>
  <c r="E35" i="8" s="1"/>
  <c r="E89" i="8" s="1"/>
  <c r="G29" i="12"/>
  <c r="G30" i="12"/>
  <c r="G27" i="12" s="1"/>
  <c r="D45" i="11"/>
  <c r="D60" i="11" s="1"/>
  <c r="D79" i="11"/>
  <c r="G19" i="11"/>
  <c r="F28" i="11"/>
  <c r="D57" i="11"/>
  <c r="D42" i="11"/>
  <c r="D44" i="11"/>
  <c r="D46" i="11" s="1"/>
  <c r="D38" i="11"/>
  <c r="D48" i="7"/>
  <c r="D56" i="7" s="1"/>
  <c r="D62" i="7" s="1"/>
  <c r="D60" i="7"/>
  <c r="E42" i="7"/>
  <c r="E58" i="7"/>
  <c r="D57" i="6"/>
  <c r="D37" i="6"/>
  <c r="D73" i="6"/>
  <c r="D66" i="6"/>
  <c r="E35" i="6"/>
  <c r="E37" i="6" s="1"/>
  <c r="E55" i="6"/>
  <c r="F48" i="6" s="1"/>
  <c r="D43" i="6"/>
  <c r="E36" i="6"/>
  <c r="E57" i="6" s="1"/>
  <c r="E81" i="6"/>
  <c r="D59" i="6"/>
  <c r="G24" i="5"/>
  <c r="F33" i="5"/>
  <c r="F40" i="3"/>
  <c r="G30" i="3" s="1"/>
  <c r="G37" i="3"/>
  <c r="F36" i="3"/>
  <c r="F27" i="3"/>
  <c r="E38" i="3"/>
  <c r="F86" i="8" l="1"/>
  <c r="F91" i="8" s="1"/>
  <c r="E81" i="8"/>
  <c r="E79" i="8"/>
  <c r="E83" i="8"/>
  <c r="E94" i="8"/>
  <c r="E95" i="8" s="1"/>
  <c r="E61" i="8"/>
  <c r="E62" i="8" s="1"/>
  <c r="E69" i="8" s="1"/>
  <c r="E75" i="8" s="1"/>
  <c r="F94" i="8"/>
  <c r="F95" i="8" s="1"/>
  <c r="D41" i="11"/>
  <c r="E40" i="11" s="1"/>
  <c r="D58" i="11"/>
  <c r="E36" i="11"/>
  <c r="G28" i="11"/>
  <c r="H19" i="11"/>
  <c r="H28" i="11" s="1"/>
  <c r="D59" i="11"/>
  <c r="D47" i="11"/>
  <c r="D55" i="11" s="1"/>
  <c r="D61" i="11" s="1"/>
  <c r="D48" i="11"/>
  <c r="E45" i="7"/>
  <c r="E59" i="7"/>
  <c r="F41" i="7" s="1"/>
  <c r="D72" i="7"/>
  <c r="D76" i="7"/>
  <c r="D64" i="7"/>
  <c r="E83" i="7"/>
  <c r="D63" i="7"/>
  <c r="E46" i="7"/>
  <c r="E61" i="7" s="1"/>
  <c r="E43" i="7"/>
  <c r="D49" i="7"/>
  <c r="F50" i="6"/>
  <c r="E38" i="6"/>
  <c r="E52" i="6" s="1"/>
  <c r="E39" i="6"/>
  <c r="F54" i="6"/>
  <c r="D38" i="6"/>
  <c r="D52" i="6" s="1"/>
  <c r="D58" i="6" s="1"/>
  <c r="E58" i="6"/>
  <c r="E67" i="6" s="1"/>
  <c r="E56" i="6"/>
  <c r="D80" i="5"/>
  <c r="D69" i="5"/>
  <c r="D71" i="5" s="1"/>
  <c r="E52" i="5"/>
  <c r="E65" i="5"/>
  <c r="G33" i="5"/>
  <c r="H24" i="5"/>
  <c r="H33" i="5" s="1"/>
  <c r="F42" i="5"/>
  <c r="F43" i="5" s="1"/>
  <c r="H37" i="3"/>
  <c r="G36" i="3"/>
  <c r="G27" i="3"/>
  <c r="G40" i="3"/>
  <c r="H30" i="3" s="1"/>
  <c r="G38" i="3"/>
  <c r="F38" i="3"/>
  <c r="F98" i="8" l="1"/>
  <c r="E86" i="8"/>
  <c r="E91" i="8" s="1"/>
  <c r="E98" i="8" s="1"/>
  <c r="E37" i="11"/>
  <c r="D68" i="11"/>
  <c r="E44" i="11"/>
  <c r="E42" i="11"/>
  <c r="E57" i="11"/>
  <c r="D53" i="7"/>
  <c r="F58" i="7"/>
  <c r="F43" i="7"/>
  <c r="F42" i="7"/>
  <c r="D51" i="7"/>
  <c r="D66" i="7" s="1"/>
  <c r="D80" i="7"/>
  <c r="E47" i="7"/>
  <c r="E60" i="7"/>
  <c r="D67" i="6"/>
  <c r="D68" i="6" s="1"/>
  <c r="D60" i="6"/>
  <c r="E73" i="6"/>
  <c r="E66" i="6"/>
  <c r="E68" i="6" s="1"/>
  <c r="F55" i="6"/>
  <c r="G48" i="6" s="1"/>
  <c r="F35" i="6"/>
  <c r="F56" i="6"/>
  <c r="E41" i="6"/>
  <c r="E40" i="6" s="1"/>
  <c r="E61" i="6" s="1"/>
  <c r="E62" i="6"/>
  <c r="E43" i="6"/>
  <c r="D39" i="6"/>
  <c r="F81" i="6"/>
  <c r="E59" i="6"/>
  <c r="E60" i="6" s="1"/>
  <c r="F36" i="6"/>
  <c r="F57" i="6" s="1"/>
  <c r="D70" i="5"/>
  <c r="E87" i="5"/>
  <c r="E68" i="5"/>
  <c r="D76" i="5"/>
  <c r="E44" i="5"/>
  <c r="E54" i="5"/>
  <c r="F48" i="5"/>
  <c r="E66" i="5"/>
  <c r="E67" i="5" s="1"/>
  <c r="H40" i="3"/>
  <c r="I30" i="3" s="1"/>
  <c r="H36" i="3"/>
  <c r="H38" i="3"/>
  <c r="H27" i="3"/>
  <c r="I37" i="3"/>
  <c r="E45" i="11" l="1"/>
  <c r="E60" i="11" s="1"/>
  <c r="E79" i="11"/>
  <c r="D62" i="11"/>
  <c r="D63" i="11" s="1"/>
  <c r="E38" i="11"/>
  <c r="D72" i="11"/>
  <c r="E41" i="11"/>
  <c r="F40" i="11" s="1"/>
  <c r="E58" i="11"/>
  <c r="E59" i="11" s="1"/>
  <c r="F36" i="11"/>
  <c r="E48" i="7"/>
  <c r="E56" i="7" s="1"/>
  <c r="E62" i="7" s="1"/>
  <c r="E49" i="7"/>
  <c r="E53" i="7"/>
  <c r="E72" i="7"/>
  <c r="E76" i="7"/>
  <c r="D50" i="7"/>
  <c r="F59" i="7"/>
  <c r="F60" i="7"/>
  <c r="F45" i="7"/>
  <c r="D54" i="7"/>
  <c r="F83" i="7"/>
  <c r="E63" i="7"/>
  <c r="E64" i="7" s="1"/>
  <c r="F46" i="7"/>
  <c r="F61" i="7" s="1"/>
  <c r="E78" i="6"/>
  <c r="E63" i="6"/>
  <c r="F37" i="6"/>
  <c r="D41" i="6"/>
  <c r="D40" i="6" s="1"/>
  <c r="D61" i="6" s="1"/>
  <c r="D78" i="6"/>
  <c r="F66" i="6"/>
  <c r="F73" i="6"/>
  <c r="E44" i="6"/>
  <c r="G54" i="6"/>
  <c r="E80" i="5"/>
  <c r="D84" i="5"/>
  <c r="F53" i="5"/>
  <c r="F68" i="5" s="1"/>
  <c r="F87" i="5"/>
  <c r="E70" i="5"/>
  <c r="F44" i="5"/>
  <c r="E60" i="5" s="1"/>
  <c r="E55" i="5"/>
  <c r="E63" i="5" s="1"/>
  <c r="F65" i="5"/>
  <c r="F50" i="5"/>
  <c r="F52" i="5"/>
  <c r="F54" i="5" s="1"/>
  <c r="E69" i="5"/>
  <c r="I27" i="3"/>
  <c r="J37" i="3"/>
  <c r="I36" i="3"/>
  <c r="I40" i="3"/>
  <c r="J30" i="3" s="1"/>
  <c r="D73" i="5" l="1"/>
  <c r="D72" i="5"/>
  <c r="E56" i="5"/>
  <c r="E71" i="5"/>
  <c r="E68" i="11"/>
  <c r="D76" i="11"/>
  <c r="F44" i="11"/>
  <c r="F57" i="11"/>
  <c r="F42" i="11"/>
  <c r="D52" i="11"/>
  <c r="G36" i="11"/>
  <c r="F37" i="11"/>
  <c r="E46" i="11"/>
  <c r="E80" i="7"/>
  <c r="F47" i="7"/>
  <c r="F72" i="7"/>
  <c r="E51" i="7"/>
  <c r="E66" i="7" s="1"/>
  <c r="D55" i="7"/>
  <c r="D65" i="7"/>
  <c r="D67" i="7" s="1"/>
  <c r="G58" i="7"/>
  <c r="G41" i="7"/>
  <c r="D63" i="6"/>
  <c r="G81" i="6"/>
  <c r="F59" i="6"/>
  <c r="G36" i="6"/>
  <c r="G57" i="6" s="1"/>
  <c r="F38" i="6"/>
  <c r="F52" i="6" s="1"/>
  <c r="F58" i="6" s="1"/>
  <c r="D62" i="6"/>
  <c r="D44" i="6"/>
  <c r="G55" i="6"/>
  <c r="G35" i="6"/>
  <c r="G37" i="6" s="1"/>
  <c r="H54" i="6"/>
  <c r="G50" i="6"/>
  <c r="E84" i="5"/>
  <c r="F66" i="5"/>
  <c r="F67" i="5" s="1"/>
  <c r="F49" i="5"/>
  <c r="G48" i="5" s="1"/>
  <c r="G42" i="5"/>
  <c r="G43" i="5" s="1"/>
  <c r="E76" i="5"/>
  <c r="E58" i="5"/>
  <c r="E61" i="5" s="1"/>
  <c r="F55" i="5"/>
  <c r="F63" i="5" s="1"/>
  <c r="F69" i="5" s="1"/>
  <c r="J38" i="3"/>
  <c r="J36" i="3"/>
  <c r="J27" i="3"/>
  <c r="I38" i="3"/>
  <c r="E47" i="11" l="1"/>
  <c r="E55" i="11" s="1"/>
  <c r="E61" i="11" s="1"/>
  <c r="G37" i="11"/>
  <c r="G38" i="11" s="1"/>
  <c r="F58" i="11"/>
  <c r="F41" i="11"/>
  <c r="G40" i="11" s="1"/>
  <c r="F79" i="11"/>
  <c r="E62" i="11"/>
  <c r="F45" i="11"/>
  <c r="F60" i="11" s="1"/>
  <c r="D53" i="11"/>
  <c r="D50" i="11"/>
  <c r="F59" i="11"/>
  <c r="F38" i="11"/>
  <c r="F46" i="11"/>
  <c r="E72" i="11"/>
  <c r="F48" i="7"/>
  <c r="F56" i="7" s="1"/>
  <c r="F62" i="7" s="1"/>
  <c r="F49" i="7"/>
  <c r="G43" i="7"/>
  <c r="G42" i="7"/>
  <c r="E54" i="7"/>
  <c r="G59" i="7"/>
  <c r="H58" i="7" s="1"/>
  <c r="G45" i="7"/>
  <c r="E50" i="7"/>
  <c r="G38" i="6"/>
  <c r="G52" i="6" s="1"/>
  <c r="G58" i="6" s="1"/>
  <c r="G67" i="6" s="1"/>
  <c r="F43" i="6"/>
  <c r="I48" i="6"/>
  <c r="H50" i="6"/>
  <c r="F67" i="6"/>
  <c r="F68" i="6" s="1"/>
  <c r="F60" i="6"/>
  <c r="H56" i="6"/>
  <c r="H55" i="6"/>
  <c r="I54" i="6" s="1"/>
  <c r="H35" i="6"/>
  <c r="F39" i="6"/>
  <c r="G56" i="6"/>
  <c r="F80" i="5"/>
  <c r="F76" i="5"/>
  <c r="G65" i="5"/>
  <c r="G52" i="5"/>
  <c r="D74" i="5"/>
  <c r="E73" i="5"/>
  <c r="F56" i="5"/>
  <c r="G44" i="5"/>
  <c r="F60" i="5" s="1"/>
  <c r="F52" i="11" l="1"/>
  <c r="F61" i="11"/>
  <c r="F63" i="11" s="1"/>
  <c r="G57" i="11"/>
  <c r="G44" i="11"/>
  <c r="G42" i="11"/>
  <c r="F68" i="11"/>
  <c r="E63" i="11"/>
  <c r="E52" i="11"/>
  <c r="G79" i="11"/>
  <c r="F62" i="11"/>
  <c r="G45" i="11"/>
  <c r="G60" i="11" s="1"/>
  <c r="F47" i="11"/>
  <c r="F55" i="11" s="1"/>
  <c r="D49" i="11"/>
  <c r="D65" i="11"/>
  <c r="E48" i="11"/>
  <c r="F53" i="7"/>
  <c r="E65" i="7"/>
  <c r="E67" i="7" s="1"/>
  <c r="E55" i="7"/>
  <c r="H41" i="7"/>
  <c r="G60" i="7"/>
  <c r="F51" i="7"/>
  <c r="F66" i="7" s="1"/>
  <c r="F50" i="7"/>
  <c r="H45" i="7"/>
  <c r="H59" i="7"/>
  <c r="I58" i="7" s="1"/>
  <c r="G47" i="7"/>
  <c r="G83" i="7"/>
  <c r="G46" i="7"/>
  <c r="G61" i="7" s="1"/>
  <c r="F63" i="7"/>
  <c r="F64" i="7" s="1"/>
  <c r="F76" i="7"/>
  <c r="I55" i="6"/>
  <c r="I35" i="6"/>
  <c r="G43" i="6"/>
  <c r="F41" i="6"/>
  <c r="F62" i="6" s="1"/>
  <c r="F40" i="6"/>
  <c r="F61" i="6" s="1"/>
  <c r="F63" i="6" s="1"/>
  <c r="H73" i="6"/>
  <c r="F78" i="6"/>
  <c r="G60" i="6"/>
  <c r="G73" i="6"/>
  <c r="G66" i="6"/>
  <c r="G68" i="6" s="1"/>
  <c r="G59" i="6"/>
  <c r="H36" i="6"/>
  <c r="H57" i="6" s="1"/>
  <c r="H81" i="6"/>
  <c r="G39" i="6"/>
  <c r="G66" i="5"/>
  <c r="G67" i="5" s="1"/>
  <c r="G87" i="5"/>
  <c r="F70" i="5"/>
  <c r="F71" i="5" s="1"/>
  <c r="G53" i="5"/>
  <c r="G68" i="5" s="1"/>
  <c r="H42" i="5"/>
  <c r="F58" i="5"/>
  <c r="F73" i="5" s="1"/>
  <c r="E62" i="5"/>
  <c r="E72" i="5"/>
  <c r="E74" i="5" s="1"/>
  <c r="G54" i="5" l="1"/>
  <c r="F57" i="5"/>
  <c r="F72" i="5" s="1"/>
  <c r="F74" i="5" s="1"/>
  <c r="F76" i="11"/>
  <c r="E76" i="11"/>
  <c r="D54" i="11"/>
  <c r="D64" i="11"/>
  <c r="D66" i="11" s="1"/>
  <c r="G58" i="11"/>
  <c r="G59" i="11" s="1"/>
  <c r="G41" i="11"/>
  <c r="H40" i="11" s="1"/>
  <c r="H36" i="11"/>
  <c r="E50" i="11"/>
  <c r="E65" i="11" s="1"/>
  <c r="F48" i="11"/>
  <c r="G46" i="11"/>
  <c r="F72" i="11"/>
  <c r="F80" i="7"/>
  <c r="G48" i="7"/>
  <c r="G56" i="7" s="1"/>
  <c r="G62" i="7" s="1"/>
  <c r="F65" i="7"/>
  <c r="F67" i="7" s="1"/>
  <c r="F55" i="7"/>
  <c r="G72" i="7"/>
  <c r="I60" i="7"/>
  <c r="I45" i="7"/>
  <c r="I59" i="7"/>
  <c r="J58" i="7" s="1"/>
  <c r="H60" i="7"/>
  <c r="H42" i="7"/>
  <c r="H43" i="7"/>
  <c r="I41" i="7"/>
  <c r="F54" i="7"/>
  <c r="G41" i="6"/>
  <c r="G62" i="6" s="1"/>
  <c r="G78" i="6"/>
  <c r="H37" i="6"/>
  <c r="F44" i="6"/>
  <c r="G55" i="5"/>
  <c r="G63" i="5" s="1"/>
  <c r="G69" i="5" s="1"/>
  <c r="G76" i="5" s="1"/>
  <c r="H43" i="5"/>
  <c r="H44" i="5" s="1"/>
  <c r="G60" i="5" s="1"/>
  <c r="G80" i="5"/>
  <c r="F84" i="5"/>
  <c r="F61" i="5"/>
  <c r="H65" i="5"/>
  <c r="H50" i="5"/>
  <c r="H52" i="5"/>
  <c r="F62" i="5" l="1"/>
  <c r="G56" i="5"/>
  <c r="G68" i="11"/>
  <c r="E49" i="11"/>
  <c r="E53" i="11"/>
  <c r="G47" i="11"/>
  <c r="G55" i="11" s="1"/>
  <c r="G61" i="11" s="1"/>
  <c r="H37" i="11"/>
  <c r="H38" i="11" s="1"/>
  <c r="F50" i="11"/>
  <c r="F49" i="11"/>
  <c r="H57" i="11"/>
  <c r="H42" i="11"/>
  <c r="H44" i="11"/>
  <c r="G76" i="7"/>
  <c r="J41" i="7"/>
  <c r="I43" i="7"/>
  <c r="I72" i="7"/>
  <c r="I74" i="7" s="1"/>
  <c r="I42" i="7" s="1"/>
  <c r="G49" i="7"/>
  <c r="H72" i="7"/>
  <c r="G53" i="7"/>
  <c r="G63" i="7"/>
  <c r="G64" i="7" s="1"/>
  <c r="H46" i="7"/>
  <c r="H83" i="7"/>
  <c r="J60" i="7"/>
  <c r="J45" i="7"/>
  <c r="J59" i="7"/>
  <c r="G44" i="6"/>
  <c r="H38" i="6"/>
  <c r="H52" i="6" s="1"/>
  <c r="H58" i="6" s="1"/>
  <c r="H39" i="6"/>
  <c r="G40" i="6"/>
  <c r="G61" i="6" s="1"/>
  <c r="G63" i="6" s="1"/>
  <c r="H66" i="5"/>
  <c r="H67" i="5" s="1"/>
  <c r="H49" i="5"/>
  <c r="I42" i="5"/>
  <c r="G58" i="5"/>
  <c r="G61" i="5" s="1"/>
  <c r="G70" i="5"/>
  <c r="G71" i="5" s="1"/>
  <c r="H53" i="5"/>
  <c r="H68" i="5" s="1"/>
  <c r="H87" i="5"/>
  <c r="G73" i="5" l="1"/>
  <c r="H54" i="5"/>
  <c r="H55" i="5" s="1"/>
  <c r="H63" i="5" s="1"/>
  <c r="H69" i="5" s="1"/>
  <c r="G52" i="11"/>
  <c r="E54" i="11"/>
  <c r="E64" i="11"/>
  <c r="E66" i="11" s="1"/>
  <c r="G48" i="11"/>
  <c r="F64" i="11"/>
  <c r="F66" i="11" s="1"/>
  <c r="F54" i="11"/>
  <c r="G62" i="11"/>
  <c r="G63" i="11" s="1"/>
  <c r="H79" i="11"/>
  <c r="H45" i="11"/>
  <c r="H60" i="11" s="1"/>
  <c r="H59" i="11"/>
  <c r="H58" i="11"/>
  <c r="H41" i="11"/>
  <c r="I40" i="11" s="1"/>
  <c r="F65" i="11"/>
  <c r="F53" i="11"/>
  <c r="I36" i="11"/>
  <c r="G72" i="11"/>
  <c r="G80" i="7"/>
  <c r="J72" i="7"/>
  <c r="G51" i="7"/>
  <c r="G66" i="7" s="1"/>
  <c r="H53" i="7"/>
  <c r="H61" i="7"/>
  <c r="H47" i="7"/>
  <c r="I46" i="7"/>
  <c r="I83" i="7"/>
  <c r="H63" i="7"/>
  <c r="I59" i="6"/>
  <c r="J59" i="6"/>
  <c r="J60" i="6" s="1"/>
  <c r="J50" i="6"/>
  <c r="H80" i="5"/>
  <c r="G84" i="5"/>
  <c r="G57" i="5"/>
  <c r="I52" i="5"/>
  <c r="I65" i="5"/>
  <c r="J42" i="5"/>
  <c r="G76" i="11" l="1"/>
  <c r="H46" i="11"/>
  <c r="I44" i="11"/>
  <c r="I42" i="11"/>
  <c r="I57" i="11"/>
  <c r="H68" i="11"/>
  <c r="G50" i="11"/>
  <c r="G65" i="11" s="1"/>
  <c r="J46" i="7"/>
  <c r="I63" i="7"/>
  <c r="I61" i="7"/>
  <c r="I47" i="7"/>
  <c r="J43" i="7"/>
  <c r="H48" i="7"/>
  <c r="H56" i="7" s="1"/>
  <c r="H62" i="7" s="1"/>
  <c r="G54" i="7"/>
  <c r="G50" i="7"/>
  <c r="I81" i="6"/>
  <c r="H59" i="6"/>
  <c r="H60" i="6" s="1"/>
  <c r="I50" i="6"/>
  <c r="I43" i="6" s="1"/>
  <c r="J62" i="6"/>
  <c r="J63" i="6" s="1"/>
  <c r="H76" i="5"/>
  <c r="G72" i="5"/>
  <c r="G74" i="5" s="1"/>
  <c r="G62" i="5"/>
  <c r="J52" i="5"/>
  <c r="I66" i="5"/>
  <c r="I67" i="5" s="1"/>
  <c r="H56" i="5"/>
  <c r="G49" i="11" l="1"/>
  <c r="G53" i="11"/>
  <c r="H47" i="11"/>
  <c r="H55" i="11" s="1"/>
  <c r="H61" i="11" s="1"/>
  <c r="H72" i="11" s="1"/>
  <c r="I41" i="11"/>
  <c r="J40" i="11" s="1"/>
  <c r="I58" i="11"/>
  <c r="I59" i="11" s="1"/>
  <c r="J36" i="11"/>
  <c r="H76" i="7"/>
  <c r="H64" i="7"/>
  <c r="J53" i="7"/>
  <c r="I53" i="7"/>
  <c r="I49" i="7"/>
  <c r="I48" i="7"/>
  <c r="I56" i="7" s="1"/>
  <c r="I62" i="7" s="1"/>
  <c r="G65" i="7"/>
  <c r="G67" i="7" s="1"/>
  <c r="G55" i="7"/>
  <c r="H49" i="7"/>
  <c r="J61" i="7"/>
  <c r="J47" i="7"/>
  <c r="I37" i="6"/>
  <c r="H43" i="6"/>
  <c r="H78" i="6"/>
  <c r="I80" i="5"/>
  <c r="I82" i="5" s="1"/>
  <c r="J50" i="5"/>
  <c r="I68" i="11" l="1"/>
  <c r="K36" i="11"/>
  <c r="K38" i="11" s="1"/>
  <c r="G64" i="11"/>
  <c r="G66" i="11" s="1"/>
  <c r="G54" i="11"/>
  <c r="J57" i="11"/>
  <c r="J42" i="11"/>
  <c r="J44" i="11"/>
  <c r="H48" i="11"/>
  <c r="I76" i="7"/>
  <c r="I78" i="7" s="1"/>
  <c r="I64" i="7"/>
  <c r="H80" i="7"/>
  <c r="H51" i="7"/>
  <c r="I51" i="7"/>
  <c r="I66" i="7" s="1"/>
  <c r="J48" i="7"/>
  <c r="J56" i="7" s="1"/>
  <c r="J49" i="7"/>
  <c r="J62" i="7"/>
  <c r="J76" i="7" s="1"/>
  <c r="J78" i="7" s="1"/>
  <c r="H78" i="7"/>
  <c r="I38" i="6"/>
  <c r="I52" i="6" s="1"/>
  <c r="I39" i="6"/>
  <c r="I58" i="6"/>
  <c r="I67" i="6" s="1"/>
  <c r="H41" i="6"/>
  <c r="J66" i="5"/>
  <c r="I60" i="6" l="1"/>
  <c r="I78" i="6" s="1"/>
  <c r="I80" i="6" s="1"/>
  <c r="I70" i="11"/>
  <c r="K65" i="11"/>
  <c r="J58" i="11"/>
  <c r="J41" i="11"/>
  <c r="K40" i="11" s="1"/>
  <c r="J59" i="11"/>
  <c r="H66" i="7"/>
  <c r="H54" i="7"/>
  <c r="H50" i="7"/>
  <c r="I80" i="7"/>
  <c r="I82" i="7" s="1"/>
  <c r="I84" i="7" s="1"/>
  <c r="J51" i="7"/>
  <c r="J54" i="7" s="1"/>
  <c r="J50" i="7"/>
  <c r="J55" i="7" s="1"/>
  <c r="H34" i="7"/>
  <c r="G78" i="7"/>
  <c r="I54" i="7"/>
  <c r="I50" i="7"/>
  <c r="G70" i="6"/>
  <c r="I41" i="6"/>
  <c r="H40" i="6"/>
  <c r="H61" i="6" s="1"/>
  <c r="H62" i="6"/>
  <c r="H44" i="6"/>
  <c r="J80" i="5"/>
  <c r="J82" i="5" s="1"/>
  <c r="J43" i="5" s="1"/>
  <c r="J53" i="5" s="1"/>
  <c r="H70" i="5"/>
  <c r="H71" i="5" s="1"/>
  <c r="I87" i="5"/>
  <c r="I53" i="5"/>
  <c r="I44" i="5"/>
  <c r="H60" i="5" s="1"/>
  <c r="K57" i="11" l="1"/>
  <c r="K44" i="11"/>
  <c r="K46" i="11" s="1"/>
  <c r="K42" i="11"/>
  <c r="I37" i="11"/>
  <c r="J68" i="11"/>
  <c r="I65" i="7"/>
  <c r="I67" i="7" s="1"/>
  <c r="I55" i="7"/>
  <c r="H55" i="7"/>
  <c r="H65" i="7"/>
  <c r="H67" i="7" s="1"/>
  <c r="G34" i="7"/>
  <c r="F78" i="7"/>
  <c r="H39" i="7"/>
  <c r="H73" i="7" s="1"/>
  <c r="H74" i="7" s="1"/>
  <c r="H81" i="7"/>
  <c r="H82" i="7" s="1"/>
  <c r="H63" i="6"/>
  <c r="I82" i="6"/>
  <c r="G46" i="6"/>
  <c r="F70" i="6"/>
  <c r="I62" i="6"/>
  <c r="I44" i="6"/>
  <c r="I40" i="6"/>
  <c r="I61" i="6" s="1"/>
  <c r="I63" i="6" s="1"/>
  <c r="H79" i="6"/>
  <c r="H80" i="6" s="1"/>
  <c r="H32" i="6"/>
  <c r="H74" i="6" s="1"/>
  <c r="H75" i="6" s="1"/>
  <c r="H84" i="5"/>
  <c r="H58" i="5"/>
  <c r="H57" i="5" s="1"/>
  <c r="I68" i="5"/>
  <c r="I54" i="5"/>
  <c r="I70" i="5"/>
  <c r="J44" i="5"/>
  <c r="I60" i="5" s="1"/>
  <c r="H73" i="5" l="1"/>
  <c r="K58" i="11"/>
  <c r="K41" i="11"/>
  <c r="K47" i="11"/>
  <c r="K55" i="11" s="1"/>
  <c r="K61" i="11" s="1"/>
  <c r="I45" i="11"/>
  <c r="I79" i="11"/>
  <c r="H62" i="11"/>
  <c r="H63" i="11" s="1"/>
  <c r="I38" i="11"/>
  <c r="J70" i="11"/>
  <c r="J37" i="11" s="1"/>
  <c r="K59" i="11"/>
  <c r="H84" i="7"/>
  <c r="F34" i="7"/>
  <c r="E78" i="7"/>
  <c r="G81" i="7"/>
  <c r="G82" i="7" s="1"/>
  <c r="G39" i="7"/>
  <c r="G73" i="7" s="1"/>
  <c r="G74" i="7" s="1"/>
  <c r="H82" i="6"/>
  <c r="G79" i="6"/>
  <c r="G80" i="6" s="1"/>
  <c r="G32" i="6"/>
  <c r="G74" i="6" s="1"/>
  <c r="G75" i="6" s="1"/>
  <c r="F46" i="6"/>
  <c r="E70" i="6"/>
  <c r="I55" i="5"/>
  <c r="I63" i="5" s="1"/>
  <c r="I69" i="5" s="1"/>
  <c r="H61" i="5"/>
  <c r="J68" i="5"/>
  <c r="J54" i="5"/>
  <c r="H72" i="5"/>
  <c r="H74" i="5" s="1"/>
  <c r="H62" i="5"/>
  <c r="I76" i="5" l="1"/>
  <c r="I78" i="5" s="1"/>
  <c r="H78" i="5" s="1"/>
  <c r="H34" i="5" s="1"/>
  <c r="I71" i="5"/>
  <c r="I84" i="5" s="1"/>
  <c r="I86" i="5" s="1"/>
  <c r="H52" i="11"/>
  <c r="K68" i="11"/>
  <c r="K72" i="11" s="1"/>
  <c r="K63" i="11"/>
  <c r="H76" i="11"/>
  <c r="K48" i="11"/>
  <c r="I62" i="11"/>
  <c r="J45" i="11"/>
  <c r="J62" i="11"/>
  <c r="J38" i="11"/>
  <c r="I60" i="11"/>
  <c r="I46" i="11"/>
  <c r="G84" i="7"/>
  <c r="F74" i="7"/>
  <c r="F81" i="7"/>
  <c r="F82" i="7" s="1"/>
  <c r="F39" i="7"/>
  <c r="F73" i="7" s="1"/>
  <c r="E34" i="7"/>
  <c r="D78" i="7"/>
  <c r="G82" i="6"/>
  <c r="F79" i="6"/>
  <c r="F80" i="6" s="1"/>
  <c r="F32" i="6"/>
  <c r="F74" i="6" s="1"/>
  <c r="F75" i="6" s="1"/>
  <c r="E46" i="6"/>
  <c r="D70" i="6"/>
  <c r="J55" i="5"/>
  <c r="J63" i="5" s="1"/>
  <c r="J69" i="5" s="1"/>
  <c r="I56" i="5"/>
  <c r="D46" i="6" l="1"/>
  <c r="D32" i="6" s="1"/>
  <c r="D74" i="6" s="1"/>
  <c r="G78" i="5"/>
  <c r="F78" i="5" s="1"/>
  <c r="J56" i="5"/>
  <c r="K66" i="11"/>
  <c r="K76" i="11"/>
  <c r="I52" i="11"/>
  <c r="J65" i="11"/>
  <c r="I48" i="11"/>
  <c r="I47" i="11"/>
  <c r="I55" i="11" s="1"/>
  <c r="I61" i="11" s="1"/>
  <c r="J60" i="11"/>
  <c r="J46" i="11"/>
  <c r="H50" i="11"/>
  <c r="F84" i="7"/>
  <c r="E39" i="7"/>
  <c r="E73" i="7" s="1"/>
  <c r="E74" i="7" s="1"/>
  <c r="E81" i="7"/>
  <c r="E82" i="7" s="1"/>
  <c r="D34" i="7"/>
  <c r="F82" i="6"/>
  <c r="D79" i="6"/>
  <c r="E32" i="6"/>
  <c r="E74" i="6" s="1"/>
  <c r="E75" i="6" s="1"/>
  <c r="E79" i="6"/>
  <c r="E80" i="6" s="1"/>
  <c r="I58" i="5"/>
  <c r="I61" i="5" s="1"/>
  <c r="H38" i="5"/>
  <c r="H81" i="5" s="1"/>
  <c r="H82" i="5" s="1"/>
  <c r="H85" i="5"/>
  <c r="H86" i="5" s="1"/>
  <c r="I88" i="5"/>
  <c r="G34" i="5"/>
  <c r="D75" i="6" l="1"/>
  <c r="I72" i="11"/>
  <c r="I74" i="11" s="1"/>
  <c r="H74" i="11" s="1"/>
  <c r="I63" i="11"/>
  <c r="H49" i="11"/>
  <c r="H65" i="11"/>
  <c r="I50" i="11"/>
  <c r="I65" i="11" s="1"/>
  <c r="J47" i="11"/>
  <c r="J55" i="11" s="1"/>
  <c r="J61" i="11" s="1"/>
  <c r="J48" i="11"/>
  <c r="H53" i="11"/>
  <c r="E84" i="7"/>
  <c r="D39" i="7"/>
  <c r="D73" i="7" s="1"/>
  <c r="D74" i="7" s="1"/>
  <c r="B75" i="7" s="1"/>
  <c r="D81" i="7"/>
  <c r="D82" i="7" s="1"/>
  <c r="D84" i="7" s="1"/>
  <c r="B79" i="7" s="1"/>
  <c r="E82" i="6"/>
  <c r="D80" i="6"/>
  <c r="D82" i="6" s="1"/>
  <c r="H88" i="5"/>
  <c r="F34" i="5"/>
  <c r="E78" i="5"/>
  <c r="G85" i="5"/>
  <c r="G86" i="5" s="1"/>
  <c r="G38" i="5"/>
  <c r="G81" i="5" s="1"/>
  <c r="G82" i="5" s="1"/>
  <c r="I57" i="5"/>
  <c r="J72" i="11" l="1"/>
  <c r="J74" i="11" s="1"/>
  <c r="J63" i="11"/>
  <c r="I49" i="11"/>
  <c r="H64" i="11"/>
  <c r="H66" i="11" s="1"/>
  <c r="H54" i="11"/>
  <c r="I53" i="11"/>
  <c r="I76" i="11"/>
  <c r="I78" i="11" s="1"/>
  <c r="H29" i="11"/>
  <c r="G74" i="11"/>
  <c r="G88" i="5"/>
  <c r="F82" i="5"/>
  <c r="F85" i="5"/>
  <c r="F86" i="5" s="1"/>
  <c r="F38" i="5"/>
  <c r="F81" i="5" s="1"/>
  <c r="I62" i="5"/>
  <c r="I72" i="5"/>
  <c r="I74" i="5" s="1"/>
  <c r="E34" i="5"/>
  <c r="D78" i="5"/>
  <c r="D34" i="5" s="1"/>
  <c r="D38" i="5" s="1"/>
  <c r="I80" i="11" l="1"/>
  <c r="I54" i="11"/>
  <c r="I64" i="11"/>
  <c r="I66" i="11" s="1"/>
  <c r="J66" i="11"/>
  <c r="J76" i="11"/>
  <c r="G29" i="11"/>
  <c r="F74" i="11"/>
  <c r="H77" i="11"/>
  <c r="H78" i="11" s="1"/>
  <c r="H33" i="11"/>
  <c r="H69" i="11" s="1"/>
  <c r="H70" i="11" s="1"/>
  <c r="F88" i="5"/>
  <c r="E85" i="5"/>
  <c r="E86" i="5" s="1"/>
  <c r="E38" i="5"/>
  <c r="E81" i="5" s="1"/>
  <c r="E82" i="5" s="1"/>
  <c r="D81" i="5"/>
  <c r="D85" i="5"/>
  <c r="H80" i="11" l="1"/>
  <c r="G77" i="11"/>
  <c r="G78" i="11" s="1"/>
  <c r="G33" i="11"/>
  <c r="G69" i="11" s="1"/>
  <c r="G70" i="11" s="1"/>
  <c r="F29" i="11"/>
  <c r="E74" i="11"/>
  <c r="E88" i="5"/>
  <c r="D86" i="5"/>
  <c r="D88" i="5" s="1"/>
  <c r="G80" i="11" l="1"/>
  <c r="E29" i="11"/>
  <c r="D74" i="11"/>
  <c r="D29" i="11" s="1"/>
  <c r="F33" i="11"/>
  <c r="F69" i="11" s="1"/>
  <c r="F70" i="11" s="1"/>
  <c r="F77" i="11"/>
  <c r="F78" i="11" s="1"/>
  <c r="G45" i="4"/>
  <c r="I44" i="4"/>
  <c r="I45" i="4" s="1"/>
  <c r="H44" i="4"/>
  <c r="H45" i="4" s="1"/>
  <c r="H53" i="4" s="1"/>
  <c r="G44" i="4"/>
  <c r="F44" i="4"/>
  <c r="F45" i="4" s="1"/>
  <c r="E44" i="4"/>
  <c r="E45" i="4" s="1"/>
  <c r="D44" i="4"/>
  <c r="D45" i="4" s="1"/>
  <c r="G32" i="4"/>
  <c r="G46" i="4" s="1"/>
  <c r="I30" i="4"/>
  <c r="H30" i="4"/>
  <c r="G30" i="4"/>
  <c r="F30" i="4"/>
  <c r="F32" i="4" s="1"/>
  <c r="F46" i="4" s="1"/>
  <c r="E30" i="4"/>
  <c r="E32" i="4" s="1"/>
  <c r="E46" i="4" s="1"/>
  <c r="D30" i="4"/>
  <c r="C7" i="4"/>
  <c r="B7" i="4"/>
  <c r="C6" i="4"/>
  <c r="B6" i="4"/>
  <c r="C4" i="4"/>
  <c r="B4" i="4"/>
  <c r="C3" i="4"/>
  <c r="B3" i="4"/>
  <c r="C2" i="4"/>
  <c r="B2" i="4"/>
  <c r="F80" i="11" l="1"/>
  <c r="E78" i="11"/>
  <c r="E33" i="11"/>
  <c r="E69" i="11" s="1"/>
  <c r="E70" i="11" s="1"/>
  <c r="D70" i="11" s="1"/>
  <c r="E77" i="11"/>
  <c r="D77" i="11"/>
  <c r="D33" i="11"/>
  <c r="D69" i="11" s="1"/>
  <c r="H50" i="4"/>
  <c r="I53" i="4"/>
  <c r="G50" i="4"/>
  <c r="F53" i="4"/>
  <c r="G53" i="4"/>
  <c r="E50" i="4"/>
  <c r="D32" i="4"/>
  <c r="D46" i="4" s="1"/>
  <c r="H32" i="4"/>
  <c r="H46" i="4" s="1"/>
  <c r="F50" i="4"/>
  <c r="I32" i="4"/>
  <c r="I46" i="4" s="1"/>
  <c r="I50" i="4" s="1"/>
  <c r="E80" i="11" l="1"/>
  <c r="D78" i="11"/>
  <c r="D80" i="11" s="1"/>
  <c r="D82" i="11" s="1"/>
  <c r="I51" i="4"/>
  <c r="I49" i="4"/>
  <c r="I54" i="4" s="1"/>
  <c r="I48" i="4"/>
  <c r="G48" i="4"/>
  <c r="G49" i="4"/>
  <c r="G51" i="4"/>
  <c r="E51" i="4"/>
  <c r="F51" i="4"/>
  <c r="F49" i="4"/>
  <c r="F48" i="4"/>
  <c r="G52" i="4"/>
  <c r="I52" i="4"/>
  <c r="H51" i="4"/>
  <c r="H49" i="4"/>
  <c r="H48" i="4"/>
  <c r="F52" i="4"/>
  <c r="E52" i="4"/>
  <c r="H52" i="4"/>
  <c r="D83" i="11" l="1"/>
  <c r="D84" i="11" s="1"/>
  <c r="G54" i="4"/>
  <c r="H54" i="4"/>
  <c r="F54" i="4"/>
  <c r="D41" i="2" l="1"/>
  <c r="D40" i="2"/>
  <c r="I65" i="2"/>
  <c r="J62" i="2"/>
  <c r="I60" i="2"/>
  <c r="E60" i="2"/>
  <c r="J58" i="2"/>
  <c r="I58" i="2"/>
  <c r="H58" i="2"/>
  <c r="G58" i="2"/>
  <c r="F58" i="2"/>
  <c r="E58" i="2"/>
  <c r="D58" i="2"/>
  <c r="J45" i="2"/>
  <c r="J60" i="2" s="1"/>
  <c r="I45" i="2"/>
  <c r="H45" i="2"/>
  <c r="H60" i="2" s="1"/>
  <c r="G45" i="2"/>
  <c r="G60" i="2" s="1"/>
  <c r="F45" i="2"/>
  <c r="F60" i="2" s="1"/>
  <c r="E45" i="2"/>
  <c r="D45" i="2"/>
  <c r="D60" i="2" s="1"/>
  <c r="H44" i="2"/>
  <c r="G44" i="2"/>
  <c r="G46" i="2" s="1"/>
  <c r="J43" i="2"/>
  <c r="J44" i="2" s="1"/>
  <c r="I43" i="2"/>
  <c r="I44" i="2" s="1"/>
  <c r="H43" i="2"/>
  <c r="G43" i="2"/>
  <c r="F43" i="2"/>
  <c r="F44" i="2" s="1"/>
  <c r="E44" i="2"/>
  <c r="D43" i="2"/>
  <c r="J40" i="2"/>
  <c r="I62" i="2" s="1"/>
  <c r="I40" i="2"/>
  <c r="H62" i="2" s="1"/>
  <c r="H40" i="2"/>
  <c r="G62" i="2" s="1"/>
  <c r="G40" i="2"/>
  <c r="F62" i="2" s="1"/>
  <c r="F40" i="2"/>
  <c r="E62" i="2" s="1"/>
  <c r="E40" i="2"/>
  <c r="D62" i="2" s="1"/>
  <c r="G23" i="2"/>
  <c r="H23" i="2" s="1"/>
  <c r="I23" i="2" s="1"/>
  <c r="J23" i="2" s="1"/>
  <c r="F23" i="2"/>
  <c r="E23" i="2"/>
  <c r="F39" i="2" l="1"/>
  <c r="E41" i="2"/>
  <c r="G48" i="2"/>
  <c r="G47" i="2"/>
  <c r="G55" i="2" s="1"/>
  <c r="G37" i="2" s="1"/>
  <c r="E46" i="2"/>
  <c r="I46" i="2"/>
  <c r="F46" i="2"/>
  <c r="J46" i="2"/>
  <c r="G57" i="2"/>
  <c r="H46" i="2"/>
  <c r="D48" i="2" l="1"/>
  <c r="J47" i="2"/>
  <c r="J55" i="2" s="1"/>
  <c r="I47" i="2"/>
  <c r="I55" i="2" s="1"/>
  <c r="I48" i="2"/>
  <c r="G59" i="2"/>
  <c r="G35" i="2"/>
  <c r="G61" i="2"/>
  <c r="E47" i="2"/>
  <c r="E55" i="2" s="1"/>
  <c r="E48" i="2"/>
  <c r="F41" i="2"/>
  <c r="E52" i="2" s="1"/>
  <c r="G39" i="2"/>
  <c r="H47" i="2"/>
  <c r="H55" i="2" s="1"/>
  <c r="H48" i="2"/>
  <c r="F47" i="2"/>
  <c r="F55" i="2" s="1"/>
  <c r="F37" i="2" l="1"/>
  <c r="F61" i="2"/>
  <c r="F57" i="2"/>
  <c r="F48" i="2"/>
  <c r="E53" i="2"/>
  <c r="G63" i="2"/>
  <c r="D61" i="2"/>
  <c r="J37" i="2"/>
  <c r="J57" i="2"/>
  <c r="J61" i="2"/>
  <c r="G41" i="2"/>
  <c r="F52" i="2" s="1"/>
  <c r="H39" i="2"/>
  <c r="G33" i="2"/>
  <c r="E50" i="2"/>
  <c r="E49" i="2" s="1"/>
  <c r="H37" i="2"/>
  <c r="H57" i="2"/>
  <c r="H61" i="2"/>
  <c r="E37" i="2"/>
  <c r="E57" i="2"/>
  <c r="E61" i="2"/>
  <c r="I37" i="2"/>
  <c r="I57" i="2"/>
  <c r="I61" i="2"/>
  <c r="J48" i="2"/>
  <c r="E64" i="2" l="1"/>
  <c r="E54" i="2"/>
  <c r="D59" i="2"/>
  <c r="E65" i="2"/>
  <c r="F35" i="2"/>
  <c r="F59" i="2"/>
  <c r="F63" i="2" s="1"/>
  <c r="F33" i="2"/>
  <c r="F36" i="2"/>
  <c r="F34" i="2"/>
  <c r="G36" i="2"/>
  <c r="G34" i="2"/>
  <c r="H36" i="2"/>
  <c r="H33" i="2"/>
  <c r="H34" i="2"/>
  <c r="H59" i="2"/>
  <c r="H63" i="2" s="1"/>
  <c r="H35" i="2"/>
  <c r="J35" i="2"/>
  <c r="J59" i="2"/>
  <c r="J63" i="2" s="1"/>
  <c r="J34" i="2"/>
  <c r="J36" i="2"/>
  <c r="F49" i="2"/>
  <c r="F50" i="2"/>
  <c r="F53" i="2" s="1"/>
  <c r="I34" i="2"/>
  <c r="I35" i="2"/>
  <c r="I36" i="2"/>
  <c r="I59" i="2"/>
  <c r="I63" i="2" s="1"/>
  <c r="F65" i="2"/>
  <c r="E35" i="2"/>
  <c r="E59" i="2"/>
  <c r="E63" i="2" s="1"/>
  <c r="E66" i="2" s="1"/>
  <c r="E33" i="2"/>
  <c r="H41" i="2"/>
  <c r="G52" i="2" s="1"/>
  <c r="I39" i="2"/>
  <c r="F54" i="2" l="1"/>
  <c r="F64" i="2"/>
  <c r="F66" i="2"/>
  <c r="J39" i="2"/>
  <c r="I41" i="2"/>
  <c r="H52" i="2" s="1"/>
  <c r="G53" i="2"/>
  <c r="G50" i="2"/>
  <c r="G49" i="2" s="1"/>
  <c r="I33" i="2"/>
  <c r="D64" i="2"/>
  <c r="G65" i="2" l="1"/>
  <c r="H50" i="2"/>
  <c r="H49" i="2" s="1"/>
  <c r="G54" i="2"/>
  <c r="G64" i="2"/>
  <c r="G66" i="2" s="1"/>
  <c r="J41" i="2"/>
  <c r="J33" i="2"/>
  <c r="H64" i="2" l="1"/>
  <c r="H54" i="2"/>
  <c r="I52" i="2"/>
  <c r="H53" i="2"/>
  <c r="H65" i="2"/>
  <c r="I50" i="2" l="1"/>
  <c r="I49" i="2" s="1"/>
  <c r="H66" i="2"/>
  <c r="I54" i="2" l="1"/>
  <c r="I64" i="2"/>
  <c r="I66" i="2" s="1"/>
  <c r="I53" i="2"/>
  <c r="J6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Musa Bleta</author>
  </authors>
  <commentList>
    <comment ref="B36" authorId="0" shapeId="0" xr:uid="{C8ED79D6-C9F8-488B-A212-96B3BF927670}">
      <text>
        <r>
          <rPr>
            <b/>
            <sz val="9"/>
            <color indexed="81"/>
            <rFont val="Tahoma"/>
            <family val="2"/>
            <charset val="238"/>
          </rPr>
          <t>Musa Bleta:</t>
        </r>
        <r>
          <rPr>
            <sz val="9"/>
            <color indexed="81"/>
            <rFont val="Tahoma"/>
            <family val="2"/>
            <charset val="238"/>
          </rPr>
          <t xml:space="preserve">
T-1 (2023-2022)
</t>
        </r>
      </text>
    </comment>
    <comment ref="B44" authorId="0" shapeId="0" xr:uid="{6E72B45A-35EF-401B-8FFE-76EF971B36E6}">
      <text>
        <r>
          <rPr>
            <b/>
            <sz val="9"/>
            <color indexed="81"/>
            <rFont val="Tahoma"/>
            <family val="2"/>
            <charset val="238"/>
          </rPr>
          <t>Musa Bleta:</t>
        </r>
        <r>
          <rPr>
            <sz val="9"/>
            <color indexed="81"/>
            <rFont val="Tahoma"/>
            <family val="2"/>
            <charset val="238"/>
          </rPr>
          <t xml:space="preserve">
the ratio is Ebit/Sales - formula reversal
</t>
        </r>
      </text>
    </comment>
    <comment ref="C44" authorId="0" shapeId="0" xr:uid="{EE528D10-49D9-419D-AAAE-9F3E622BEC98}">
      <text>
        <r>
          <rPr>
            <b/>
            <sz val="9"/>
            <color indexed="81"/>
            <rFont val="Tahoma"/>
            <family val="2"/>
            <charset val="238"/>
          </rPr>
          <t>Musa Bleta:</t>
        </r>
        <r>
          <rPr>
            <sz val="9"/>
            <color indexed="81"/>
            <rFont val="Tahoma"/>
            <family val="2"/>
            <charset val="238"/>
          </rPr>
          <t xml:space="preserve">
Earnings before interest and tax
</t>
        </r>
      </text>
    </comment>
    <comment ref="D47" authorId="0" shapeId="0" xr:uid="{5C0C8954-A0F0-4887-AE27-328B29B0BE39}">
      <text>
        <r>
          <rPr>
            <b/>
            <sz val="9"/>
            <color indexed="81"/>
            <rFont val="Tahoma"/>
            <family val="2"/>
            <charset val="238"/>
          </rPr>
          <t>Musa Bleta:</t>
        </r>
        <r>
          <rPr>
            <sz val="9"/>
            <color indexed="81"/>
            <rFont val="Tahoma"/>
            <family val="2"/>
            <charset val="238"/>
          </rPr>
          <t xml:space="preserve">
if profit after tax is zero we don't pay corporate tax. If positive we calculate it by multiplying profit before tax with the corporate tax rate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tc={1CCD376E-10BE-4D1F-A806-3B8BF102B73C}</author>
    <author>Musa Bleta</author>
  </authors>
  <commentList>
    <comment ref="B27" authorId="0" shapeId="0" xr:uid="{1CCD376E-10BE-4D1F-A806-3B8BF102B73C}">
      <text>
        <t>[Threaded comment]
Your version of Excel allows you to read this threaded comment; however, any edits to it will get removed if the file is opened in a newer version of Excel. Learn more: https://go.microsoft.com/fwlink/?linkid=870924
Comment:
    K for TV is calculated as g/RONIC</t>
      </text>
    </comment>
    <comment ref="B38" authorId="1" shapeId="0" xr:uid="{CBE9C28E-AA28-45DB-A52E-2BD75F4840F7}">
      <text>
        <r>
          <rPr>
            <b/>
            <sz val="9"/>
            <color indexed="81"/>
            <rFont val="Tahoma"/>
            <family val="2"/>
          </rPr>
          <t>Musa Bleta:</t>
        </r>
        <r>
          <rPr>
            <sz val="9"/>
            <color indexed="81"/>
            <rFont val="Tahoma"/>
            <family val="2"/>
          </rPr>
          <t xml:space="preserve">
FROM D/V WACC IS NEXT
</t>
        </r>
      </text>
    </comment>
    <comment ref="C78" authorId="1" shapeId="0" xr:uid="{A70AE1D0-CE71-4BE4-8557-3A5088A20CAD}">
      <text>
        <r>
          <rPr>
            <b/>
            <sz val="9"/>
            <color indexed="81"/>
            <rFont val="Tahoma"/>
            <family val="2"/>
          </rPr>
          <t>Musa Bleta:</t>
        </r>
        <r>
          <rPr>
            <sz val="9"/>
            <color indexed="81"/>
            <rFont val="Tahoma"/>
            <family val="2"/>
          </rPr>
          <t xml:space="preserve">
(VALUE + VALUE T+1)/(1+RATIO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tc={296E70DD-044B-488C-BD08-769A28A7321E}</author>
    <author>tc={B53536E6-9F7A-4F99-A91A-87E800C579F4}</author>
    <author>Musa Bleta</author>
  </authors>
  <commentList>
    <comment ref="D20" authorId="0" shapeId="0" xr:uid="{296E70DD-044B-488C-BD08-769A28A7321E}">
      <text>
        <t>[Threaded comment]
Your version of Excel allows you to read this threaded comment; however, any edits to it will get removed if the file is opened in a newer version of Excel. Learn more: https://go.microsoft.com/fwlink/?linkid=870924
Comment:
    Because we have not invested in the first year, ronic of 2022 will be actually roic for the first year.</t>
      </text>
    </comment>
    <comment ref="B22" authorId="1" shapeId="0" xr:uid="{B53536E6-9F7A-4F99-A91A-87E800C579F4}">
      <text>
        <t>[Threaded comment]
Your version of Excel allows you to read this threaded comment; however, any edits to it will get removed if the file is opened in a newer version of Excel. Learn more: https://go.microsoft.com/fwlink/?linkid=870924
Comment:
    K for TV is calculated as g/RONIC</t>
      </text>
    </comment>
    <comment ref="B33" authorId="2" shapeId="0" xr:uid="{45FE3A02-6AF6-4F03-A801-06D3D00F93C9}">
      <text>
        <r>
          <rPr>
            <b/>
            <sz val="9"/>
            <color indexed="81"/>
            <rFont val="Tahoma"/>
            <family val="2"/>
          </rPr>
          <t>Musa Bleta:</t>
        </r>
        <r>
          <rPr>
            <sz val="9"/>
            <color indexed="81"/>
            <rFont val="Tahoma"/>
            <family val="2"/>
          </rPr>
          <t xml:space="preserve">
FROM D/V WACC IS NEXT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<sst xmlns="http://schemas.openxmlformats.org/spreadsheetml/2006/main" count="888" uniqueCount="415">
  <si>
    <t>IC boy</t>
  </si>
  <si>
    <t>dIC</t>
  </si>
  <si>
    <t>Sales</t>
  </si>
  <si>
    <t>EBIT/Sales</t>
  </si>
  <si>
    <t>Corporate tax rate</t>
  </si>
  <si>
    <t>rD</t>
  </si>
  <si>
    <t>Debt boy</t>
  </si>
  <si>
    <r>
      <t xml:space="preserve">ROICt </t>
    </r>
    <r>
      <rPr>
        <i/>
        <sz val="12"/>
        <color theme="1"/>
        <rFont val="Times New Roman"/>
        <family val="1"/>
      </rPr>
      <t>= NOPLATt / ICt boy</t>
    </r>
  </si>
  <si>
    <t>ROIC</t>
  </si>
  <si>
    <r>
      <t xml:space="preserve">RONICt </t>
    </r>
    <r>
      <rPr>
        <i/>
        <sz val="12"/>
        <color theme="1"/>
        <rFont val="Times New Roman"/>
        <family val="1"/>
      </rPr>
      <t>= (NOPLATt - NOPLATt-1)/ dICt-1</t>
    </r>
  </si>
  <si>
    <t>RONIC</t>
  </si>
  <si>
    <r>
      <t xml:space="preserve">Kt </t>
    </r>
    <r>
      <rPr>
        <i/>
        <sz val="12"/>
        <color theme="1"/>
        <rFont val="Times New Roman"/>
        <family val="1"/>
      </rPr>
      <t xml:space="preserve">= dICt / NOPLATt </t>
    </r>
  </si>
  <si>
    <t>K</t>
  </si>
  <si>
    <r>
      <t xml:space="preserve">gt </t>
    </r>
    <r>
      <rPr>
        <i/>
        <sz val="12"/>
        <color theme="1"/>
        <rFont val="Times New Roman"/>
        <family val="1"/>
      </rPr>
      <t>= (NOPLATt - NOPLATt-1)/NOPLATt-1</t>
    </r>
  </si>
  <si>
    <t>g</t>
  </si>
  <si>
    <t>effective tax rate = corp tax/PBT</t>
  </si>
  <si>
    <t>t (effective)</t>
  </si>
  <si>
    <t>BS</t>
  </si>
  <si>
    <t>IC+dIC(previous year)</t>
  </si>
  <si>
    <t>IC Boy</t>
  </si>
  <si>
    <t>bring down debt</t>
  </si>
  <si>
    <t>Debt Boy</t>
  </si>
  <si>
    <t>IC Boy-Debt Boy</t>
  </si>
  <si>
    <t>Equity Boy</t>
  </si>
  <si>
    <t>IS</t>
  </si>
  <si>
    <t>Given, bring from above</t>
  </si>
  <si>
    <t>Sales*ratio</t>
  </si>
  <si>
    <t>EBIT</t>
  </si>
  <si>
    <t>Debt*rate of debt (rD)</t>
  </si>
  <si>
    <t>intrest payment</t>
  </si>
  <si>
    <t>ebit-interest</t>
  </si>
  <si>
    <t>Profit before tax</t>
  </si>
  <si>
    <t>=IF(PBT&lt;0,0,PBT*Corp tax rate)</t>
  </si>
  <si>
    <t>Corporate tax</t>
  </si>
  <si>
    <t>PBT-corporate tax</t>
  </si>
  <si>
    <t>Profit after tax</t>
  </si>
  <si>
    <t>PAT-Retained Earnings</t>
  </si>
  <si>
    <t>Dividend</t>
  </si>
  <si>
    <t>Retained earnings</t>
  </si>
  <si>
    <t>dEquity 2023-2022</t>
  </si>
  <si>
    <t>dEquity required</t>
  </si>
  <si>
    <t>retaind earnings-dequity required</t>
  </si>
  <si>
    <t>Issue/buyback of equity</t>
  </si>
  <si>
    <t>PAT/Dividend</t>
  </si>
  <si>
    <t>Div payoff ratio</t>
  </si>
  <si>
    <t>corp.tax/PBT</t>
  </si>
  <si>
    <t>effective tax rate</t>
  </si>
  <si>
    <t>BCF</t>
  </si>
  <si>
    <t>EBIT*(1-effective tax rate)</t>
  </si>
  <si>
    <t>NOPLAT</t>
  </si>
  <si>
    <t>brought down</t>
  </si>
  <si>
    <t>noplat-dic</t>
  </si>
  <si>
    <t>FCFF</t>
  </si>
  <si>
    <t>interest payment</t>
  </si>
  <si>
    <t>interest payment*eff.tax rate</t>
  </si>
  <si>
    <t>tax shield</t>
  </si>
  <si>
    <t>debt 2023-2022</t>
  </si>
  <si>
    <t>dDebt</t>
  </si>
  <si>
    <t>FCFF- int.pay,+tax sh.+ddebt</t>
  </si>
  <si>
    <t>FCFE</t>
  </si>
  <si>
    <t>dequity-retained earnings</t>
  </si>
  <si>
    <t>Non-Operating Wealth</t>
  </si>
  <si>
    <t>Corporate tax rate (effective)</t>
  </si>
  <si>
    <t>rA</t>
  </si>
  <si>
    <t>D/V boy</t>
  </si>
  <si>
    <t>NOPLAT/IC</t>
  </si>
  <si>
    <t>EBIT/SALES*SALES/(1-EFF.TAX.RATE)</t>
  </si>
  <si>
    <t>Noplat</t>
  </si>
  <si>
    <t>NOPLAT/DIC</t>
  </si>
  <si>
    <t>G+1/RONIC+1</t>
  </si>
  <si>
    <t>NOPLAT*K</t>
  </si>
  <si>
    <t>RA-DV*RD*T</t>
  </si>
  <si>
    <t>WACC</t>
  </si>
  <si>
    <t>Points achieved:</t>
  </si>
  <si>
    <t>Material expences</t>
  </si>
  <si>
    <t>Labour expences</t>
  </si>
  <si>
    <t>Other expences</t>
  </si>
  <si>
    <t>Operational profit</t>
  </si>
  <si>
    <t>Interest paid</t>
  </si>
  <si>
    <t>Invested assets</t>
  </si>
  <si>
    <t>Inventory</t>
  </si>
  <si>
    <t>Receivables</t>
  </si>
  <si>
    <t>Cash</t>
  </si>
  <si>
    <t>Payables</t>
  </si>
  <si>
    <t>Other short term liabilities</t>
  </si>
  <si>
    <t>Debt</t>
  </si>
  <si>
    <t>Equity</t>
  </si>
  <si>
    <t>IC</t>
  </si>
  <si>
    <t>NOPLAT/IC-1</t>
  </si>
  <si>
    <t>Dnoplat/dic</t>
  </si>
  <si>
    <t>oper.profit/(1-eff.tax)</t>
  </si>
  <si>
    <t>dic/noplat</t>
  </si>
  <si>
    <t>ic2023-ic2022</t>
  </si>
  <si>
    <t>Dic</t>
  </si>
  <si>
    <t>RONIC*k-1</t>
  </si>
  <si>
    <t>Points achived:</t>
  </si>
  <si>
    <t>2026 and after</t>
  </si>
  <si>
    <t>Equity start of the year</t>
  </si>
  <si>
    <t>Invested Assets start of the year</t>
  </si>
  <si>
    <t>Sales/Invested Assets</t>
  </si>
  <si>
    <t>Corporate tax rate (nominal)</t>
  </si>
  <si>
    <t>D/IC boy</t>
  </si>
  <si>
    <r>
      <t xml:space="preserve">ROICt = </t>
    </r>
    <r>
      <rPr>
        <i/>
        <sz val="12"/>
        <color theme="1"/>
        <rFont val="Times New Roman"/>
        <family val="1"/>
      </rPr>
      <t>NOPLAT</t>
    </r>
    <r>
      <rPr>
        <i/>
        <sz val="9"/>
        <color theme="1"/>
        <rFont val="Times New Roman"/>
        <family val="1"/>
      </rPr>
      <t>t</t>
    </r>
    <r>
      <rPr>
        <i/>
        <sz val="12"/>
        <color theme="1"/>
        <rFont val="Times New Roman"/>
        <family val="1"/>
      </rPr>
      <t xml:space="preserve"> / IC</t>
    </r>
    <r>
      <rPr>
        <i/>
        <sz val="9"/>
        <color theme="1"/>
        <rFont val="Times New Roman"/>
        <family val="1"/>
      </rPr>
      <t>t-1</t>
    </r>
    <r>
      <rPr>
        <i/>
        <sz val="12"/>
        <color theme="1"/>
        <rFont val="Times New Roman"/>
        <family val="1"/>
      </rPr>
      <t xml:space="preserve"> (i.e. IC</t>
    </r>
    <r>
      <rPr>
        <i/>
        <sz val="10"/>
        <color theme="1"/>
        <rFont val="Times New Roman"/>
        <family val="1"/>
      </rPr>
      <t>t boy</t>
    </r>
    <r>
      <rPr>
        <i/>
        <sz val="12"/>
        <color theme="1"/>
        <rFont val="Times New Roman"/>
        <family val="1"/>
      </rPr>
      <t>)</t>
    </r>
  </si>
  <si>
    <r>
      <t xml:space="preserve">RONICt </t>
    </r>
    <r>
      <rPr>
        <i/>
        <sz val="12"/>
        <color theme="1"/>
        <rFont val="Times New Roman"/>
        <family val="1"/>
        <charset val="238"/>
      </rPr>
      <t>= (NOPLAT</t>
    </r>
    <r>
      <rPr>
        <i/>
        <sz val="8"/>
        <color theme="1"/>
        <rFont val="Times New Roman"/>
        <family val="1"/>
        <charset val="238"/>
      </rPr>
      <t xml:space="preserve">t </t>
    </r>
    <r>
      <rPr>
        <i/>
        <sz val="12"/>
        <color theme="1"/>
        <rFont val="Times New Roman"/>
        <family val="1"/>
        <charset val="238"/>
      </rPr>
      <t>- NOPLAT</t>
    </r>
    <r>
      <rPr>
        <i/>
        <sz val="8"/>
        <color theme="1"/>
        <rFont val="Times New Roman"/>
        <family val="1"/>
        <charset val="238"/>
      </rPr>
      <t>t-1</t>
    </r>
    <r>
      <rPr>
        <i/>
        <sz val="12"/>
        <color theme="1"/>
        <rFont val="Times New Roman"/>
        <family val="1"/>
        <charset val="238"/>
      </rPr>
      <t>)/ dIC</t>
    </r>
    <r>
      <rPr>
        <i/>
        <sz val="8"/>
        <color theme="1"/>
        <rFont val="Times New Roman"/>
        <family val="1"/>
        <charset val="238"/>
      </rPr>
      <t>t-1</t>
    </r>
  </si>
  <si>
    <t>Ebit*(1-eff.tax)</t>
  </si>
  <si>
    <r>
      <t xml:space="preserve">Kt </t>
    </r>
    <r>
      <rPr>
        <i/>
        <sz val="12"/>
        <color theme="1"/>
        <rFont val="Times New Roman"/>
        <family val="1"/>
        <charset val="238"/>
      </rPr>
      <t>= dIC</t>
    </r>
    <r>
      <rPr>
        <i/>
        <sz val="8"/>
        <color theme="1"/>
        <rFont val="Times New Roman"/>
        <family val="1"/>
        <charset val="238"/>
      </rPr>
      <t>t</t>
    </r>
    <r>
      <rPr>
        <i/>
        <sz val="12"/>
        <color theme="1"/>
        <rFont val="Times New Roman"/>
        <family val="1"/>
        <charset val="238"/>
      </rPr>
      <t xml:space="preserve"> / NOPLAT</t>
    </r>
    <r>
      <rPr>
        <i/>
        <sz val="8"/>
        <color theme="1"/>
        <rFont val="Times New Roman"/>
        <family val="1"/>
        <charset val="238"/>
      </rPr>
      <t xml:space="preserve">t </t>
    </r>
  </si>
  <si>
    <t>E/(1-D/ICratio)</t>
  </si>
  <si>
    <t>IC*D/ICRATIO)</t>
  </si>
  <si>
    <t>D boy</t>
  </si>
  <si>
    <t>E boy</t>
  </si>
  <si>
    <t>P/L</t>
  </si>
  <si>
    <t>INV ASSETS*SALES-INV</t>
  </si>
  <si>
    <t>SALES*EBIT/SALES</t>
  </si>
  <si>
    <t>d*rd</t>
  </si>
  <si>
    <t>Interest payment</t>
  </si>
  <si>
    <t>+IF(D49&lt;0,0,D49*D30</t>
  </si>
  <si>
    <t>INTERMEDIATE CALCULATIONS</t>
  </si>
  <si>
    <t>TV</t>
  </si>
  <si>
    <t>TV2</t>
  </si>
  <si>
    <t>TV3</t>
  </si>
  <si>
    <t>Noplat/IC</t>
  </si>
  <si>
    <t>dNoplat t/dIC t-1</t>
  </si>
  <si>
    <t>K=GROWTH (NEXT YEAR)/RONIC (NXT YR)</t>
  </si>
  <si>
    <t>Ktv Formula =g/RONIC</t>
  </si>
  <si>
    <r>
      <t>r</t>
    </r>
    <r>
      <rPr>
        <vertAlign val="subscript"/>
        <sz val="12"/>
        <color rgb="FF000000"/>
        <rFont val="Times New Roman"/>
        <family val="1"/>
      </rPr>
      <t>A</t>
    </r>
  </si>
  <si>
    <r>
      <t>r</t>
    </r>
    <r>
      <rPr>
        <vertAlign val="subscript"/>
        <sz val="12"/>
        <color rgb="FF000000"/>
        <rFont val="Times New Roman"/>
        <family val="1"/>
      </rPr>
      <t>D</t>
    </r>
  </si>
  <si>
    <t>t</t>
  </si>
  <si>
    <t>g TV period</t>
  </si>
  <si>
    <t>GROWTH STARTS FROM TV2</t>
  </si>
  <si>
    <r>
      <t xml:space="preserve">WACC </t>
    </r>
    <r>
      <rPr>
        <i/>
        <sz val="12"/>
        <color theme="1"/>
        <rFont val="Times New Roman"/>
        <family val="1"/>
      </rPr>
      <t>= rA-D/V*rD*t</t>
    </r>
  </si>
  <si>
    <t>from noplat and dic we find ic for next year</t>
  </si>
  <si>
    <t>IC*D/IC</t>
  </si>
  <si>
    <t>IC BOY</t>
  </si>
  <si>
    <t>From NOPLAT and dic we find ic for next year</t>
  </si>
  <si>
    <t>D/IC value *IC BOY (derived formula)</t>
  </si>
  <si>
    <t>DEBT BOY</t>
  </si>
  <si>
    <t>6. WE FIND DEBT HERE DIFFERENTLY SO LEAVE THE CELLS EMPTY</t>
  </si>
  <si>
    <t>EQUITY BOY</t>
  </si>
  <si>
    <t>7. immediately after getting debt we find equity</t>
  </si>
  <si>
    <t>this is second</t>
  </si>
  <si>
    <t>8. we continue with IS because we can</t>
  </si>
  <si>
    <t>9. We find WACC for the TV period because then the S will be fixed</t>
  </si>
  <si>
    <t xml:space="preserve">10. we find K for terminal values </t>
  </si>
  <si>
    <t>noplt is the first thing we find given the information</t>
  </si>
  <si>
    <t>IC*ROIC</t>
  </si>
  <si>
    <t>1. We first find noplat</t>
  </si>
  <si>
    <t>DIC(CURRENT)*RONIC(NEXT YEAR)</t>
  </si>
  <si>
    <t>DNOPLAT</t>
  </si>
  <si>
    <t>2. Second we find dnoplat</t>
  </si>
  <si>
    <t>K*NOPLAT</t>
  </si>
  <si>
    <t>DIC</t>
  </si>
  <si>
    <t>3. third we find dic</t>
  </si>
  <si>
    <t>4. because we have noplat we can start with IS</t>
  </si>
  <si>
    <t>EBIT =NOPLAT/(1-t)</t>
  </si>
  <si>
    <t>5. from d/ic ratio we can find debt for the first year by reversing formula</t>
  </si>
  <si>
    <t>debt*rD</t>
  </si>
  <si>
    <t>profit before tax</t>
  </si>
  <si>
    <t>=IF(D54&lt;0,0,D54*D30</t>
  </si>
  <si>
    <t>corporate tax</t>
  </si>
  <si>
    <t>profit after tax</t>
  </si>
  <si>
    <t>interest payment*effective tax rate</t>
  </si>
  <si>
    <t>WE HAVE TO USE APV TO FIND EVERYTHING ELSE (VALUE) 4TH MODIFICATION</t>
  </si>
  <si>
    <t xml:space="preserve">dnon operational wealth </t>
  </si>
  <si>
    <r>
      <t xml:space="preserve">APV: 
</t>
    </r>
    <r>
      <rPr>
        <i/>
        <sz val="12"/>
        <color theme="1"/>
        <rFont val="Times New Roman"/>
        <family val="1"/>
      </rPr>
      <t>CALCUATE THIS FIRST TO OBTAIN V WITHOUT NEEDING D/V</t>
    </r>
  </si>
  <si>
    <t>FCFF+TS</t>
  </si>
  <si>
    <t>Vboy</t>
  </si>
  <si>
    <r>
      <t>rE</t>
    </r>
    <r>
      <rPr>
        <i/>
        <sz val="12"/>
        <color theme="1"/>
        <rFont val="Times New Roman"/>
        <family val="1"/>
      </rPr>
      <t>=(rA-D/V*rD)/(1-D/V)</t>
    </r>
  </si>
  <si>
    <t>V boy</t>
  </si>
  <si>
    <t>RONIC=WACC</t>
  </si>
  <si>
    <t>Interest</t>
  </si>
  <si>
    <t>PBT</t>
  </si>
  <si>
    <t>Tax</t>
  </si>
  <si>
    <t>PAT</t>
  </si>
  <si>
    <t>Change in BV Equity</t>
  </si>
  <si>
    <t>Issue/buyback of Equity</t>
  </si>
  <si>
    <t>BV Equity boy</t>
  </si>
  <si>
    <t>effective tax assumed</t>
  </si>
  <si>
    <t>Tax shield</t>
  </si>
  <si>
    <t>dEquity - RE</t>
  </si>
  <si>
    <t>Non operating wealth</t>
  </si>
  <si>
    <t>APV</t>
  </si>
  <si>
    <t>rE</t>
  </si>
  <si>
    <t>TV1</t>
  </si>
  <si>
    <t>&lt;== expand TV assumptions</t>
  </si>
  <si>
    <r>
      <t>r</t>
    </r>
    <r>
      <rPr>
        <vertAlign val="subscript"/>
        <sz val="12"/>
        <color rgb="FF000000"/>
        <rFont val="Times New Roman"/>
        <family val="1"/>
        <charset val="238"/>
      </rPr>
      <t>A</t>
    </r>
  </si>
  <si>
    <r>
      <t>r</t>
    </r>
    <r>
      <rPr>
        <vertAlign val="subscript"/>
        <sz val="12"/>
        <color rgb="FF000000"/>
        <rFont val="Times New Roman"/>
        <family val="1"/>
        <charset val="238"/>
      </rPr>
      <t>D</t>
    </r>
  </si>
  <si>
    <t>&lt;== g should start in TV2</t>
  </si>
  <si>
    <r>
      <t xml:space="preserve">WACC </t>
    </r>
    <r>
      <rPr>
        <i/>
        <sz val="12"/>
        <color theme="1"/>
        <rFont val="Times New Roman"/>
        <family val="1"/>
        <charset val="238"/>
      </rPr>
      <t>= r</t>
    </r>
    <r>
      <rPr>
        <i/>
        <sz val="8"/>
        <color theme="1"/>
        <rFont val="Times New Roman"/>
        <family val="1"/>
        <charset val="238"/>
      </rPr>
      <t>A</t>
    </r>
    <r>
      <rPr>
        <i/>
        <sz val="12"/>
        <color theme="1"/>
        <rFont val="Times New Roman"/>
        <family val="1"/>
        <charset val="238"/>
      </rPr>
      <t>-D/V*r</t>
    </r>
    <r>
      <rPr>
        <i/>
        <sz val="8"/>
        <color theme="1"/>
        <rFont val="Times New Roman"/>
        <family val="1"/>
        <charset val="238"/>
      </rPr>
      <t>D</t>
    </r>
    <r>
      <rPr>
        <i/>
        <sz val="12"/>
        <color theme="1"/>
        <rFont val="Times New Roman"/>
        <family val="1"/>
        <charset val="238"/>
      </rPr>
      <t>*t</t>
    </r>
  </si>
  <si>
    <t>&lt;== Orange cells will be empty at the beginning until we obtain V using FCFF</t>
  </si>
  <si>
    <t>Equity boy</t>
  </si>
  <si>
    <r>
      <t xml:space="preserve">EBIT = </t>
    </r>
    <r>
      <rPr>
        <i/>
        <sz val="12"/>
        <color theme="1"/>
        <rFont val="Times New Roman"/>
        <family val="1"/>
      </rPr>
      <t>Noplat/(1-t)</t>
    </r>
  </si>
  <si>
    <t>&lt;== use given t</t>
  </si>
  <si>
    <t>&lt;== make sure you end up with the same effective t (not 0% in the 1st year for e.g.)</t>
  </si>
  <si>
    <t>Business CF</t>
  </si>
  <si>
    <t>&lt;== use ROIC until 2024 and then switch to RONIC in 2025</t>
  </si>
  <si>
    <r>
      <t xml:space="preserve">dIC = </t>
    </r>
    <r>
      <rPr>
        <i/>
        <sz val="12"/>
        <color theme="1"/>
        <rFont val="Times New Roman"/>
        <family val="1"/>
        <charset val="238"/>
      </rPr>
      <t>K</t>
    </r>
    <r>
      <rPr>
        <i/>
        <sz val="10"/>
        <color theme="1"/>
        <rFont val="Times New Roman"/>
        <family val="1"/>
        <charset val="238"/>
      </rPr>
      <t xml:space="preserve">t </t>
    </r>
    <r>
      <rPr>
        <i/>
        <sz val="12"/>
        <color theme="1"/>
        <rFont val="Times New Roman"/>
        <family val="1"/>
        <charset val="238"/>
      </rPr>
      <t>* NOPLAT</t>
    </r>
    <r>
      <rPr>
        <i/>
        <sz val="10"/>
        <color theme="1"/>
        <rFont val="Times New Roman"/>
        <family val="1"/>
        <charset val="238"/>
      </rPr>
      <t>t</t>
    </r>
    <r>
      <rPr>
        <i/>
        <sz val="12"/>
        <color theme="1"/>
        <rFont val="Times New Roman"/>
        <family val="1"/>
        <charset val="238"/>
      </rPr>
      <t xml:space="preserve"> </t>
    </r>
  </si>
  <si>
    <t>dEquity-Retained earnings</t>
  </si>
  <si>
    <t>dNon operational wealth</t>
  </si>
  <si>
    <t xml:space="preserve">&lt;== 1st step: Calculate orange cells to obtain D (in the balance sheet) in TV </t>
  </si>
  <si>
    <t>&lt;== 2nd step: Calculate V to obtain D/V for 2022 - 2026</t>
  </si>
  <si>
    <r>
      <t>r</t>
    </r>
    <r>
      <rPr>
        <sz val="10"/>
        <color theme="1"/>
        <rFont val="Times New Roman"/>
        <family val="1"/>
        <charset val="238"/>
      </rPr>
      <t>E</t>
    </r>
    <r>
      <rPr>
        <i/>
        <sz val="12"/>
        <color theme="1"/>
        <rFont val="Times New Roman"/>
        <family val="1"/>
        <charset val="238"/>
      </rPr>
      <t>=(r</t>
    </r>
    <r>
      <rPr>
        <i/>
        <sz val="10"/>
        <color theme="1"/>
        <rFont val="Times New Roman"/>
        <family val="1"/>
        <charset val="238"/>
      </rPr>
      <t>A</t>
    </r>
    <r>
      <rPr>
        <i/>
        <sz val="12"/>
        <color theme="1"/>
        <rFont val="Times New Roman"/>
        <family val="1"/>
        <charset val="238"/>
      </rPr>
      <t>-D/V*r</t>
    </r>
    <r>
      <rPr>
        <i/>
        <sz val="10"/>
        <color theme="1"/>
        <rFont val="Times New Roman"/>
        <family val="1"/>
        <charset val="238"/>
      </rPr>
      <t>D</t>
    </r>
    <r>
      <rPr>
        <i/>
        <sz val="12"/>
        <color theme="1"/>
        <rFont val="Times New Roman"/>
        <family val="1"/>
        <charset val="238"/>
      </rPr>
      <t>)/(1-D/V)</t>
    </r>
  </si>
  <si>
    <t>&lt;== 3rd step: FCFE for checking since it has a different discounting rate and easier than RI</t>
  </si>
  <si>
    <t>Intermediate Calculations</t>
  </si>
  <si>
    <t>&lt;== use ROIC in 1st year then switch to RONIC</t>
  </si>
  <si>
    <t>Other income</t>
  </si>
  <si>
    <t>Material expenses</t>
  </si>
  <si>
    <t>Labour expenses</t>
  </si>
  <si>
    <t>D&amp;A</t>
  </si>
  <si>
    <t>Dividend received</t>
  </si>
  <si>
    <t>Interests received</t>
  </si>
  <si>
    <t>Interests paid</t>
  </si>
  <si>
    <t>Financial profit</t>
  </si>
  <si>
    <t>Marketable securities</t>
  </si>
  <si>
    <t>Current assets</t>
  </si>
  <si>
    <t>Total of assests</t>
  </si>
  <si>
    <t>Short term loans</t>
  </si>
  <si>
    <t>Short term liabilities</t>
  </si>
  <si>
    <t>Long term debt</t>
  </si>
  <si>
    <t>Total of Liabilities and Equity</t>
  </si>
  <si>
    <t>corp tax/PBT</t>
  </si>
  <si>
    <t>Business Cash Flow</t>
  </si>
  <si>
    <t>less: Extraordinary other income</t>
  </si>
  <si>
    <t>minus in front</t>
  </si>
  <si>
    <t>Adjusted EBIT</t>
  </si>
  <si>
    <t>Tax on Adjusted EBIT</t>
  </si>
  <si>
    <t>Adj. EBIT*eff.tax rate</t>
  </si>
  <si>
    <t>adj ebit-tax on adj ebit</t>
  </si>
  <si>
    <t>Operational D&amp;A</t>
  </si>
  <si>
    <r>
      <rPr>
        <sz val="12"/>
        <color rgb="FFFF0000"/>
        <rFont val="Symbol"/>
        <family val="1"/>
        <charset val="2"/>
      </rPr>
      <t>D</t>
    </r>
    <r>
      <rPr>
        <sz val="12"/>
        <color rgb="FFFF0000"/>
        <rFont val="Times New Roman"/>
        <family val="1"/>
      </rPr>
      <t>inventory</t>
    </r>
  </si>
  <si>
    <r>
      <rPr>
        <sz val="12"/>
        <color rgb="FFFF0000"/>
        <rFont val="Symbol"/>
        <family val="1"/>
        <charset val="2"/>
      </rPr>
      <t>D</t>
    </r>
    <r>
      <rPr>
        <sz val="12"/>
        <color rgb="FFFF0000"/>
        <rFont val="Times New Roman"/>
        <family val="1"/>
      </rPr>
      <t>receivables</t>
    </r>
  </si>
  <si>
    <r>
      <rPr>
        <sz val="12"/>
        <color rgb="FFFF0000"/>
        <rFont val="Symbol"/>
        <family val="1"/>
        <charset val="2"/>
      </rPr>
      <t>D</t>
    </r>
    <r>
      <rPr>
        <sz val="12"/>
        <color rgb="FFFF0000"/>
        <rFont val="Times New Roman"/>
        <family val="1"/>
      </rPr>
      <t>operational cash</t>
    </r>
  </si>
  <si>
    <r>
      <rPr>
        <sz val="12"/>
        <color rgb="FF00B050"/>
        <rFont val="Symbol"/>
        <family val="1"/>
        <charset val="2"/>
      </rPr>
      <t>D</t>
    </r>
    <r>
      <rPr>
        <sz val="12"/>
        <color rgb="FF00B050"/>
        <rFont val="Times New Roman"/>
        <family val="1"/>
      </rPr>
      <t>payables</t>
    </r>
  </si>
  <si>
    <r>
      <rPr>
        <sz val="12"/>
        <color rgb="FF00B050"/>
        <rFont val="Symbol"/>
        <family val="1"/>
        <charset val="2"/>
      </rPr>
      <t>D</t>
    </r>
    <r>
      <rPr>
        <sz val="12"/>
        <color rgb="FF00B050"/>
        <rFont val="Times New Roman"/>
        <family val="1"/>
      </rPr>
      <t>other short term liab</t>
    </r>
  </si>
  <si>
    <t>Operational CF</t>
  </si>
  <si>
    <r>
      <rPr>
        <sz val="12"/>
        <color rgb="FFFF0000"/>
        <rFont val="Symbol"/>
        <family val="1"/>
        <charset val="2"/>
      </rPr>
      <t>D</t>
    </r>
    <r>
      <rPr>
        <sz val="12"/>
        <color rgb="FFFF0000"/>
        <rFont val="Times New Roman"/>
        <family val="1"/>
      </rPr>
      <t>operational invested assets</t>
    </r>
  </si>
  <si>
    <t>Investment CF</t>
  </si>
  <si>
    <r>
      <rPr>
        <sz val="12"/>
        <color rgb="FFFF0000"/>
        <rFont val="Symbol"/>
        <family val="1"/>
        <charset val="2"/>
      </rPr>
      <t>D</t>
    </r>
    <r>
      <rPr>
        <sz val="12"/>
        <color rgb="FFFF0000"/>
        <rFont val="Times New Roman"/>
        <family val="1"/>
      </rPr>
      <t>marketable securities</t>
    </r>
  </si>
  <si>
    <t>Dividends received</t>
  </si>
  <si>
    <t>Tax on Dividends received</t>
  </si>
  <si>
    <t xml:space="preserve">dividends*eff.tax rate (minus in front) </t>
  </si>
  <si>
    <t>Tax on Interests received</t>
  </si>
  <si>
    <t>Financing interest paid</t>
  </si>
  <si>
    <t>why?</t>
  </si>
  <si>
    <r>
      <rPr>
        <sz val="12"/>
        <color rgb="FF00B050"/>
        <rFont val="Symbol"/>
        <family val="1"/>
        <charset val="2"/>
      </rPr>
      <t>D</t>
    </r>
    <r>
      <rPr>
        <sz val="12"/>
        <color rgb="FF00B050"/>
        <rFont val="Times New Roman"/>
        <family val="1"/>
      </rPr>
      <t>financing debt</t>
    </r>
  </si>
  <si>
    <t>Dividends paid</t>
  </si>
  <si>
    <r>
      <rPr>
        <sz val="12"/>
        <color rgb="FF00B050"/>
        <rFont val="Symbol"/>
        <family val="1"/>
        <charset val="2"/>
      </rPr>
      <t>D</t>
    </r>
    <r>
      <rPr>
        <sz val="12"/>
        <color rgb="FF00B050"/>
        <rFont val="Times New Roman"/>
        <family val="1"/>
      </rPr>
      <t>equity</t>
    </r>
    <r>
      <rPr>
        <sz val="12"/>
        <color rgb="FFFF0000"/>
        <rFont val="Times New Roman"/>
        <family val="1"/>
      </rPr>
      <t>-Retained Earnings</t>
    </r>
  </si>
  <si>
    <t>equity (2019-2018)-ret.earning</t>
  </si>
  <si>
    <r>
      <rPr>
        <b/>
        <sz val="12"/>
        <color theme="1"/>
        <rFont val="Symbol"/>
        <family val="1"/>
        <charset val="2"/>
      </rPr>
      <t>D</t>
    </r>
    <r>
      <rPr>
        <b/>
        <sz val="12"/>
        <color theme="1"/>
        <rFont val="Times New Roman"/>
        <family val="1"/>
      </rPr>
      <t>Non operational wealth due to operation</t>
    </r>
  </si>
  <si>
    <t>Extraordinary other income</t>
  </si>
  <si>
    <t>Tax on extraordinary income</t>
  </si>
  <si>
    <r>
      <rPr>
        <b/>
        <sz val="12"/>
        <color theme="1"/>
        <rFont val="Symbol"/>
        <family val="1"/>
        <charset val="2"/>
      </rPr>
      <t>D</t>
    </r>
    <r>
      <rPr>
        <b/>
        <sz val="12"/>
        <color theme="1"/>
        <rFont val="Times New Roman"/>
        <family val="1"/>
      </rPr>
      <t>Non operational wealth due to other reasons</t>
    </r>
  </si>
  <si>
    <r>
      <rPr>
        <b/>
        <sz val="12"/>
        <color theme="1"/>
        <rFont val="Symbol"/>
        <family val="1"/>
        <charset val="2"/>
      </rPr>
      <t>D</t>
    </r>
    <r>
      <rPr>
        <b/>
        <sz val="12"/>
        <color theme="1"/>
        <rFont val="Times New Roman"/>
        <family val="1"/>
      </rPr>
      <t>Non operational wealth Total</t>
    </r>
  </si>
  <si>
    <t>Other expeneses</t>
  </si>
  <si>
    <t>of which interest on liquidity debt</t>
  </si>
  <si>
    <t>Financing interest</t>
  </si>
  <si>
    <t>of which operational cash</t>
  </si>
  <si>
    <t>Non operational cash</t>
  </si>
  <si>
    <t>of which liquidity debt</t>
  </si>
  <si>
    <t>Financing short term debt</t>
  </si>
  <si>
    <r>
      <t xml:space="preserve">Business CF = </t>
    </r>
    <r>
      <rPr>
        <b/>
        <sz val="14"/>
        <color theme="1"/>
        <rFont val="Symbol"/>
        <family val="1"/>
        <charset val="2"/>
      </rPr>
      <t>D</t>
    </r>
    <r>
      <rPr>
        <b/>
        <sz val="14"/>
        <color theme="1"/>
        <rFont val="Times New Roman"/>
        <family val="1"/>
      </rPr>
      <t xml:space="preserve">L - </t>
    </r>
    <r>
      <rPr>
        <b/>
        <sz val="14"/>
        <color theme="1"/>
        <rFont val="Symbol"/>
        <family val="1"/>
        <charset val="2"/>
      </rPr>
      <t>D</t>
    </r>
    <r>
      <rPr>
        <b/>
        <sz val="14"/>
        <color theme="1"/>
        <rFont val="Times New Roman"/>
        <family val="1"/>
      </rPr>
      <t>A +P/L</t>
    </r>
  </si>
  <si>
    <t>Liquidity interest</t>
  </si>
  <si>
    <r>
      <rPr>
        <sz val="12"/>
        <color rgb="FF00B050"/>
        <rFont val="Symbol"/>
        <family val="1"/>
        <charset val="2"/>
      </rPr>
      <t>D</t>
    </r>
    <r>
      <rPr>
        <sz val="12"/>
        <color rgb="FF00B050"/>
        <rFont val="Times New Roman"/>
        <family val="1"/>
      </rPr>
      <t>liquidity debt</t>
    </r>
  </si>
  <si>
    <r>
      <rPr>
        <sz val="12"/>
        <color rgb="FFFF0000"/>
        <rFont val="Symbol"/>
        <family val="1"/>
        <charset val="2"/>
      </rPr>
      <t>D</t>
    </r>
    <r>
      <rPr>
        <sz val="12"/>
        <color rgb="FFFF0000"/>
        <rFont val="Times New Roman"/>
        <family val="1"/>
      </rPr>
      <t>invested assets</t>
    </r>
  </si>
  <si>
    <r>
      <rPr>
        <sz val="12"/>
        <color rgb="FF00B050"/>
        <rFont val="Symbol"/>
        <family val="1"/>
        <charset val="2"/>
      </rPr>
      <t>D</t>
    </r>
    <r>
      <rPr>
        <sz val="12"/>
        <color rgb="FF00B050"/>
        <rFont val="Times New Roman"/>
        <family val="1"/>
      </rPr>
      <t>financing debt</t>
    </r>
    <r>
      <rPr>
        <sz val="12"/>
        <color rgb="FF00B050"/>
        <rFont val="Times New Roman"/>
        <family val="1"/>
        <charset val="2"/>
      </rPr>
      <t xml:space="preserve"> (short-term)</t>
    </r>
  </si>
  <si>
    <r>
      <rPr>
        <sz val="12"/>
        <color rgb="FF00B050"/>
        <rFont val="Symbol"/>
        <family val="1"/>
        <charset val="2"/>
      </rPr>
      <t>D</t>
    </r>
    <r>
      <rPr>
        <sz val="12"/>
        <color rgb="FF00B050"/>
        <rFont val="Times New Roman"/>
        <family val="1"/>
      </rPr>
      <t>financing debt (long-term)</t>
    </r>
  </si>
  <si>
    <r>
      <rPr>
        <b/>
        <sz val="12"/>
        <color rgb="FF000000"/>
        <rFont val="Symbol"/>
        <family val="1"/>
        <charset val="2"/>
      </rPr>
      <t>D</t>
    </r>
    <r>
      <rPr>
        <b/>
        <sz val="12"/>
        <color rgb="FF000000"/>
        <rFont val="Times New Roman"/>
        <family val="1"/>
      </rPr>
      <t>Non-operational cash BS check</t>
    </r>
  </si>
  <si>
    <t>other income IS part of the company's operations</t>
  </si>
  <si>
    <t>financing (not part of operations ==&gt; not incl. in ROE or ROC)</t>
  </si>
  <si>
    <t>only this portion of cash is inlcuded in ROC</t>
  </si>
  <si>
    <t>of which operational</t>
  </si>
  <si>
    <t>financing (not part of operations ==&gt; not incl. in ROC)</t>
  </si>
  <si>
    <t>All assets are operational assets</t>
  </si>
  <si>
    <t>I have no idea if this impacts everything or just sales lol</t>
  </si>
  <si>
    <t>Inflation</t>
  </si>
  <si>
    <t>Effective tax rate</t>
  </si>
  <si>
    <t>decreased by inflation??</t>
  </si>
  <si>
    <t>Growth of sales</t>
  </si>
  <si>
    <t>Seminar 3</t>
  </si>
  <si>
    <t xml:space="preserve">Rec/Sales*360 </t>
  </si>
  <si>
    <t>Receivables turnover days</t>
  </si>
  <si>
    <t>Payables/Material expense (COGS) *360</t>
  </si>
  <si>
    <t>Payables turnover days</t>
  </si>
  <si>
    <t>Inventory/(Mat exp+Labour Exp)*360</t>
  </si>
  <si>
    <t>Investory turnover days</t>
  </si>
  <si>
    <t>Total Debt/(Equity+ Total Debt)</t>
  </si>
  <si>
    <t>Leverage</t>
  </si>
  <si>
    <t>EBIT*(1-t)/ E</t>
  </si>
  <si>
    <t>ROE</t>
  </si>
  <si>
    <t>Total Debt / E</t>
  </si>
  <si>
    <t>D/E</t>
  </si>
  <si>
    <t>EBIT*(1-t)/ (Total IC - Payables)??</t>
  </si>
  <si>
    <t>ROC</t>
  </si>
  <si>
    <t xml:space="preserve"> </t>
  </si>
  <si>
    <t>Summary or summarized lines</t>
  </si>
  <si>
    <t>Non OP</t>
  </si>
  <si>
    <t>of which Sales of Invested assets</t>
  </si>
  <si>
    <t>Other Normal Income</t>
  </si>
  <si>
    <t>OP</t>
  </si>
  <si>
    <t>INV</t>
  </si>
  <si>
    <t>FIN</t>
  </si>
  <si>
    <t>of which book value of Invested assets sold</t>
  </si>
  <si>
    <t>Other Normal Expenses</t>
  </si>
  <si>
    <t>to be adjusted</t>
  </si>
  <si>
    <t>of which interest on financing debt</t>
  </si>
  <si>
    <t>of which non-operational cash</t>
  </si>
  <si>
    <t>of which financing debt</t>
  </si>
  <si>
    <t>Effective Tax Rate</t>
  </si>
  <si>
    <t>less Sales of Invested assets</t>
  </si>
  <si>
    <t>add Book value of Invested assets sold</t>
  </si>
  <si>
    <t>less interest on liquidity debt</t>
  </si>
  <si>
    <t>sum</t>
  </si>
  <si>
    <t>adj.Ebit*eff.tax</t>
  </si>
  <si>
    <t>less Tax on Adjusted EBIT</t>
  </si>
  <si>
    <t>2018-2019</t>
  </si>
  <si>
    <t>D operational cash</t>
  </si>
  <si>
    <t>D Receivables</t>
  </si>
  <si>
    <t>D Inventory</t>
  </si>
  <si>
    <t>2019-2018</t>
  </si>
  <si>
    <t>D liquidity debt</t>
  </si>
  <si>
    <t>D Payables</t>
  </si>
  <si>
    <t>D Marketable securities</t>
  </si>
  <si>
    <t>D Invested assets</t>
  </si>
  <si>
    <t>div.rec*eff.tax</t>
  </si>
  <si>
    <t>TAX on Dividend received</t>
  </si>
  <si>
    <t>int.rec.*eff.tax</t>
  </si>
  <si>
    <t>TAX on Interests received</t>
  </si>
  <si>
    <t>Interest paid on financing debt</t>
  </si>
  <si>
    <t>TAX SHIELD</t>
  </si>
  <si>
    <t>D financing debt (short-term)</t>
  </si>
  <si>
    <t>D Long term debt</t>
  </si>
  <si>
    <r>
      <rPr>
        <sz val="12"/>
        <color rgb="FF00B050"/>
        <rFont val="Times New Roman"/>
        <family val="1"/>
      </rPr>
      <t>D Equity</t>
    </r>
    <r>
      <rPr>
        <sz val="12"/>
        <color theme="1"/>
        <rFont val="Times New Roman"/>
        <family val="1"/>
        <charset val="238"/>
      </rPr>
      <t xml:space="preserve"> </t>
    </r>
    <r>
      <rPr>
        <sz val="12"/>
        <color rgb="FFFF0000"/>
        <rFont val="Times New Roman"/>
        <family val="1"/>
      </rPr>
      <t>- Retained earnings</t>
    </r>
  </si>
  <si>
    <t>D Non-operational wealth due to operation</t>
  </si>
  <si>
    <t>Sales of Invested assets</t>
  </si>
  <si>
    <t>Tax on sale</t>
  </si>
  <si>
    <t>Expensed Book value of Invested assets sold</t>
  </si>
  <si>
    <t>D Non-operational wealth due to other effects</t>
  </si>
  <si>
    <t>D Non-operational wealth (Total)</t>
  </si>
  <si>
    <r>
      <rPr>
        <b/>
        <sz val="12"/>
        <rFont val="Times New Roman"/>
        <family val="1"/>
      </rPr>
      <t>D Non-operational cash</t>
    </r>
    <r>
      <rPr>
        <b/>
        <i/>
        <sz val="12"/>
        <rFont val="Times New Roman"/>
        <family val="1"/>
      </rPr>
      <t xml:space="preserve"> (BS Control)</t>
    </r>
  </si>
  <si>
    <t>NOPLAT=ROIC*IC</t>
  </si>
  <si>
    <r>
      <t>EBIT</t>
    </r>
    <r>
      <rPr>
        <i/>
        <sz val="12"/>
        <color theme="1"/>
        <rFont val="Times New Roman"/>
        <family val="1"/>
      </rPr>
      <t>=Noplat/(1-t)</t>
    </r>
  </si>
  <si>
    <t>V BOY</t>
  </si>
  <si>
    <t>RA</t>
  </si>
  <si>
    <t>VBOY</t>
  </si>
  <si>
    <t>Increase in V // Max Allowance w/o tax effect</t>
  </si>
  <si>
    <t>TAX SHIELD= PRICE*EFF.TAX.RATE</t>
  </si>
  <si>
    <t>MAX ALLOWANCE</t>
  </si>
  <si>
    <t>my calculations</t>
  </si>
  <si>
    <t>required results</t>
  </si>
  <si>
    <t>Competitor A</t>
  </si>
  <si>
    <t>Competitor B</t>
  </si>
  <si>
    <t>Competitor C</t>
  </si>
  <si>
    <t>Target Firm</t>
  </si>
  <si>
    <t xml:space="preserve">not sure at all about the ones in red lol </t>
  </si>
  <si>
    <t># of shares</t>
  </si>
  <si>
    <t>Current share quote</t>
  </si>
  <si>
    <t>E (market value)</t>
  </si>
  <si>
    <t>D</t>
  </si>
  <si>
    <t>V</t>
  </si>
  <si>
    <t>D/V</t>
  </si>
  <si>
    <t>beta E = (rE - rf) / (rM - rf)</t>
  </si>
  <si>
    <t>beta D = (rD - rf) / (rM - rf)</t>
  </si>
  <si>
    <t>beta A  = (rA - rf) / (rM - rf)</t>
  </si>
  <si>
    <t>rE = rA + D/E * (rA - rD)</t>
  </si>
  <si>
    <t xml:space="preserve">rA = D/V * rD  + (1-D/V) * rE </t>
  </si>
  <si>
    <t>rf</t>
  </si>
  <si>
    <t>rM-rf</t>
  </si>
  <si>
    <t>The 4 firms have different sizes and financing stuctures, but their operations should be roughly the same</t>
  </si>
  <si>
    <t>==&gt; it makes more sense to consider the average of rA for the target firm rather than rE … and based on rA we can calculated rE then the betas</t>
  </si>
  <si>
    <t>Firm A</t>
  </si>
  <si>
    <t>Firm B</t>
  </si>
  <si>
    <t>Together</t>
  </si>
  <si>
    <t>NB: NOPLAT 1 = NOPLAT0 * (1 + g)</t>
  </si>
  <si>
    <t>Assumed the next year is TV period, where RONIC = WACC</t>
  </si>
  <si>
    <t>~NOPLAT/~IC0</t>
  </si>
  <si>
    <t xml:space="preserve">Noplat next year </t>
  </si>
  <si>
    <t>~IC/NOPLAT</t>
  </si>
  <si>
    <t xml:space="preserve">k </t>
  </si>
  <si>
    <t>Noplat this year</t>
  </si>
  <si>
    <t>~IC EoY</t>
  </si>
  <si>
    <t>V boY</t>
  </si>
  <si>
    <t>D BoY</t>
  </si>
  <si>
    <t>E BoY</t>
  </si>
  <si>
    <t>Syn</t>
  </si>
  <si>
    <t>P min</t>
  </si>
  <si>
    <t>P max</t>
  </si>
  <si>
    <t>Price</t>
  </si>
  <si>
    <t>Pay with non operational cash</t>
  </si>
  <si>
    <t>Share worth</t>
  </si>
  <si>
    <t>B hold%</t>
  </si>
  <si>
    <t>initial shares owned A</t>
  </si>
  <si>
    <t>no. of shares</t>
  </si>
  <si>
    <t>A owns %</t>
  </si>
  <si>
    <t>No. of shares B holds</t>
  </si>
  <si>
    <t>Total no. of shares</t>
  </si>
  <si>
    <t>IC start of the year</t>
  </si>
  <si>
    <t>ROIC first year</t>
  </si>
  <si>
    <t>RONIC long term</t>
  </si>
  <si>
    <t>Number of shares</t>
  </si>
  <si>
    <t>FCFFt = ICt-1 * ROICt * (1- gt+1 / RONICt+1)</t>
  </si>
  <si>
    <t>Synergy</t>
  </si>
  <si>
    <t>E</t>
  </si>
  <si>
    <t>Max price</t>
  </si>
  <si>
    <t>Non-operational cash available to A</t>
  </si>
  <si>
    <t>(50% of synergy passed over)</t>
  </si>
  <si>
    <t>Ownership passed over to B</t>
  </si>
  <si>
    <t>Ownership stake for B (in % of merged firm E)</t>
  </si>
  <si>
    <t>which would be all owned by A after merger</t>
  </si>
  <si>
    <t>Number of initial shares (A + B)</t>
  </si>
  <si>
    <t>== Equivalent to ownership of A (in % of the merged firm E)</t>
  </si>
  <si>
    <t>Number of new shares to be issued for B</t>
  </si>
  <si>
    <t>Check</t>
  </si>
  <si>
    <t>Total Number of shares (post-merger)</t>
  </si>
  <si>
    <t>A stake</t>
  </si>
  <si>
    <t>B stake</t>
  </si>
  <si>
    <t>Exchange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</si>
</sst>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
    <numFmt numFmtId="166" formatCode="0.0%"/>
    <numFmt numFmtId="167" formatCode="dd/\ mmmm\ yyyy/"/>
    <numFmt numFmtId="168" formatCode="_(* #,##0.0_);_(* \(#,##0.0\);_(* &quot;-&quot;??_);_(@_)"/>
    <numFmt numFmtId="169" formatCode="_(* #,##0.0_);_(* \(#,##0.0\);_(* &quot;-&quot;?_);_(@_)"/>
    <numFmt numFmtId="170" formatCode="_(* #,##0_);_(* \(#,##0\);_(* &quot;-&quot;??_);_(@_)"/>
    <numFmt numFmtId="171" formatCode="0.0000"/>
  </numFmts>
  <fonts count="79">
    <font>
      <sz val="11"/>
      <color theme="1"/>
      <name val="Calibri"/>
      <family val="2"/>
      <scheme val="minor"/>
    </font>
    <font>
      <sz val="11"/>
      <color theme="1"/>
      <name val="Calibri"/>
      <family val="2"/>
      <scheme val="minor"/>
    </font>
    <font>
      <sz val="12"/>
      <color theme="1"/>
      <name val="Times New Roman"/>
      <family val="1"/>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sz val="10"/>
      <color theme="1"/>
      <name val="Calibri"/>
      <family val="2"/>
      <charset val="238"/>
    </font>
    <font>
      <b/>
      <i/>
      <sz val="12"/>
      <color rgb="FF000000"/>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i/>
      <sz val="12"/>
      <color theme="1"/>
      <name val="Times New Roman"/>
      <family val="1"/>
      <charset val="238"/>
    </font>
    <font>
      <i/>
      <sz val="8"/>
      <color theme="1"/>
      <name val="Times New Roman"/>
      <family val="1"/>
      <charset val="238"/>
    </font>
    <font>
      <sz val="12"/>
      <color rgb="FFFF0000"/>
      <name val="Times New Roman"/>
      <family val="2"/>
      <charset val="238"/>
    </font>
    <font>
      <sz val="12"/>
      <color rgb="FF00B050"/>
      <name val="Times New Roman"/>
      <family val="2"/>
      <charset val="238"/>
    </font>
    <font>
      <b/>
      <sz val="12"/>
      <color rgb="FFFF0000"/>
      <name val="Times New Roman"/>
      <family val="1"/>
      <charset val="238"/>
    </font>
    <font>
      <b/>
      <sz val="9"/>
      <color indexed="81"/>
      <name val="Tahoma"/>
      <family val="2"/>
      <charset val="238"/>
    </font>
    <font>
      <sz val="9"/>
      <color indexed="81"/>
      <name val="Tahoma"/>
      <family val="2"/>
      <charset val="238"/>
    </font>
    <font>
      <b/>
      <sz val="12"/>
      <color theme="1"/>
      <name val="Times New Roman"/>
      <family val="1"/>
    </font>
    <font>
      <i/>
      <sz val="12"/>
      <color theme="1"/>
      <name val="Times New Roman"/>
      <family val="1"/>
    </font>
    <font>
      <b/>
      <sz val="12"/>
      <color rgb="FF000000"/>
      <name val="Times New Roman"/>
      <family val="1"/>
    </font>
    <font>
      <b/>
      <sz val="12"/>
      <color rgb="FFFF0000"/>
      <name val="Times New Roman"/>
      <family val="1"/>
    </font>
    <font>
      <sz val="12"/>
      <color theme="1"/>
      <name val="Times New Roman"/>
      <family val="1"/>
    </font>
    <font>
      <sz val="9"/>
      <color indexed="81"/>
      <name val="Tahoma"/>
      <family val="2"/>
    </font>
    <font>
      <vertAlign val="subscript"/>
      <sz val="12"/>
      <color rgb="FF000000"/>
      <name val="Times New Roman"/>
      <family val="1"/>
      <charset val="238"/>
    </font>
    <font>
      <sz val="10"/>
      <color theme="1"/>
      <name val="Times New Roman"/>
      <family val="1"/>
      <charset val="238"/>
    </font>
    <font>
      <i/>
      <sz val="10"/>
      <color theme="1"/>
      <name val="Times New Roman"/>
      <family val="1"/>
      <charset val="238"/>
    </font>
    <font>
      <b/>
      <sz val="9"/>
      <color indexed="81"/>
      <name val="Tahoma"/>
      <family val="2"/>
    </font>
    <font>
      <sz val="12"/>
      <color rgb="FF000000"/>
      <name val="Times New Roman"/>
      <family val="1"/>
    </font>
    <font>
      <vertAlign val="subscript"/>
      <sz val="12"/>
      <color rgb="FF000000"/>
      <name val="Times New Roman"/>
      <family val="1"/>
    </font>
    <font>
      <sz val="12"/>
      <color rgb="FFFF0000"/>
      <name val="Times New Roman"/>
      <family val="1"/>
    </font>
    <font>
      <sz val="12"/>
      <color rgb="FF00B050"/>
      <name val="Times New Roman"/>
      <family val="1"/>
    </font>
    <font>
      <sz val="12"/>
      <color rgb="FF000000"/>
      <name val="Times New Roman"/>
      <family val="1"/>
      <charset val="204"/>
    </font>
    <font>
      <b/>
      <sz val="12"/>
      <color theme="1"/>
      <name val="Times New Roman"/>
      <family val="1"/>
      <charset val="204"/>
    </font>
    <font>
      <b/>
      <sz val="12"/>
      <color theme="3"/>
      <name val="Times New Roman"/>
      <family val="1"/>
      <charset val="238"/>
    </font>
    <font>
      <sz val="12"/>
      <color theme="3"/>
      <name val="Times New Roman"/>
      <family val="1"/>
    </font>
    <font>
      <sz val="12"/>
      <color theme="8"/>
      <name val="Times New Roman"/>
      <family val="1"/>
      <charset val="238"/>
    </font>
    <font>
      <sz val="12"/>
      <name val="Times New Roman"/>
      <family val="1"/>
      <charset val="238"/>
    </font>
    <font>
      <sz val="12"/>
      <name val="Times New Roman"/>
      <family val="1"/>
    </font>
    <font>
      <sz val="12"/>
      <color theme="8"/>
      <name val="Times New Roman"/>
      <family val="1"/>
    </font>
    <font>
      <b/>
      <sz val="12"/>
      <color rgb="FF00B0F0"/>
      <name val="Times New Roman"/>
      <family val="1"/>
      <charset val="238"/>
    </font>
    <font>
      <sz val="12"/>
      <color rgb="FF00B0F0"/>
      <name val="Times New Roman"/>
      <family val="2"/>
      <charset val="238"/>
    </font>
    <font>
      <b/>
      <sz val="12"/>
      <color rgb="FF00B050"/>
      <name val="Times New Roman"/>
      <family val="1"/>
      <charset val="238"/>
    </font>
    <font>
      <sz val="12"/>
      <name val="Times New Roman"/>
      <family val="2"/>
      <charset val="238"/>
    </font>
    <font>
      <sz val="12"/>
      <color rgb="FF92D050"/>
      <name val="Times New Roman"/>
      <family val="2"/>
      <charset val="238"/>
    </font>
    <font>
      <sz val="12"/>
      <color rgb="FFFF0000"/>
      <name val="Times New Roman"/>
      <family val="1"/>
      <charset val="2"/>
    </font>
    <font>
      <sz val="12"/>
      <color rgb="FFFF0000"/>
      <name val="Symbol"/>
      <family val="1"/>
      <charset val="2"/>
    </font>
    <font>
      <sz val="12"/>
      <color rgb="FF00B050"/>
      <name val="Times New Roman"/>
      <family val="1"/>
      <charset val="2"/>
    </font>
    <font>
      <sz val="12"/>
      <color rgb="FF00B050"/>
      <name val="Symbol"/>
      <family val="1"/>
      <charset val="2"/>
    </font>
    <font>
      <sz val="12"/>
      <color theme="1"/>
      <name val="Times New Roman"/>
      <family val="1"/>
      <charset val="2"/>
    </font>
    <font>
      <b/>
      <sz val="12"/>
      <color theme="1"/>
      <name val="Times New Roman"/>
      <family val="1"/>
      <charset val="2"/>
    </font>
    <font>
      <b/>
      <sz val="12"/>
      <color theme="1"/>
      <name val="Symbol"/>
      <family val="1"/>
      <charset val="2"/>
    </font>
    <font>
      <sz val="12"/>
      <color theme="1"/>
      <name val="Times New Roman"/>
      <family val="1"/>
      <charset val="204"/>
    </font>
    <font>
      <i/>
      <sz val="12"/>
      <color rgb="FF00B050"/>
      <name val="Times New Roman"/>
      <family val="1"/>
    </font>
    <font>
      <i/>
      <sz val="12"/>
      <color theme="9" tint="-0.249977111117893"/>
      <name val="Times New Roman"/>
      <family val="1"/>
    </font>
    <font>
      <sz val="12"/>
      <color theme="9" tint="-0.249977111117893"/>
      <name val="Times New Roman"/>
      <family val="1"/>
      <charset val="238"/>
    </font>
    <font>
      <b/>
      <sz val="12"/>
      <color theme="9" tint="-0.249977111117893"/>
      <name val="Times New Roman"/>
      <family val="1"/>
      <charset val="238"/>
    </font>
    <font>
      <sz val="12"/>
      <color rgb="FF00B050"/>
      <name val="Times New Roman"/>
      <family val="1"/>
      <charset val="238"/>
    </font>
    <font>
      <sz val="12"/>
      <color theme="9" tint="-0.249977111117893"/>
      <name val="Times New Roman"/>
      <family val="1"/>
    </font>
    <font>
      <i/>
      <sz val="12"/>
      <color rgb="FF00B0F0"/>
      <name val="Times New Roman"/>
      <family val="1"/>
    </font>
    <font>
      <i/>
      <sz val="12"/>
      <color rgb="FFFF0000"/>
      <name val="Times New Roman"/>
      <family val="1"/>
    </font>
    <font>
      <i/>
      <sz val="9"/>
      <color theme="1"/>
      <name val="Times New Roman"/>
      <family val="1"/>
    </font>
    <font>
      <i/>
      <sz val="10"/>
      <color theme="1"/>
      <name val="Times New Roman"/>
      <family val="1"/>
    </font>
    <font>
      <sz val="12"/>
      <color rgb="FFFF0000"/>
      <name val="Times New Roman"/>
      <family val="1"/>
      <charset val="238"/>
    </font>
    <font>
      <b/>
      <i/>
      <sz val="12"/>
      <name val="Times New Roman"/>
      <family val="1"/>
    </font>
    <font>
      <b/>
      <sz val="12"/>
      <name val="Times New Roman"/>
      <family val="1"/>
    </font>
    <font>
      <b/>
      <i/>
      <sz val="12"/>
      <color theme="1"/>
      <name val="Times New Roman"/>
      <family val="1"/>
    </font>
    <font>
      <b/>
      <sz val="12"/>
      <color theme="8"/>
      <name val="Times New Roman"/>
      <family val="1"/>
      <charset val="238"/>
    </font>
    <font>
      <sz val="12"/>
      <color theme="8"/>
      <name val="Times New Roman"/>
      <family val="2"/>
      <charset val="238"/>
    </font>
    <font>
      <sz val="12"/>
      <color theme="7"/>
      <name val="Times New Roman"/>
      <family val="1"/>
      <charset val="238"/>
    </font>
    <font>
      <sz val="12"/>
      <color theme="7"/>
      <name val="Times New Roman"/>
      <family val="2"/>
      <charset val="238"/>
    </font>
    <font>
      <b/>
      <sz val="12"/>
      <color rgb="FF7030A0"/>
      <name val="Times New Roman"/>
      <family val="1"/>
    </font>
    <font>
      <sz val="12"/>
      <color rgb="FF7030A0"/>
      <name val="Times New Roman"/>
      <family val="1"/>
    </font>
    <font>
      <b/>
      <i/>
      <sz val="10"/>
      <color theme="1"/>
      <name val="Times New Roman"/>
      <family val="1"/>
    </font>
    <font>
      <b/>
      <sz val="12"/>
      <color rgb="FF0070C0"/>
      <name val="Times New Roman"/>
      <family val="1"/>
    </font>
    <font>
      <b/>
      <sz val="14"/>
      <color theme="1"/>
      <name val="Times New Roman"/>
      <family val="1"/>
    </font>
    <font>
      <b/>
      <sz val="14"/>
      <color theme="1"/>
      <name val="Symbol"/>
      <family val="1"/>
      <charset val="2"/>
    </font>
    <font>
      <b/>
      <sz val="12"/>
      <color rgb="FF000000"/>
      <name val="Times New Roman"/>
      <family val="1"/>
      <charset val="2"/>
    </font>
    <font>
      <b/>
      <sz val="12"/>
      <color rgb="FF000000"/>
      <name val="Symbol"/>
      <family val="1"/>
      <charset val="2"/>
    </font>
  </fonts>
  <fills count="2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theme="8"/>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92D050"/>
        <bgColor indexed="64"/>
      </patternFill>
    </fill>
    <fill>
      <patternFill patternType="solid">
        <fgColor theme="6"/>
        <bgColor indexed="64"/>
      </patternFill>
    </fill>
    <fill>
      <patternFill patternType="solid">
        <fgColor theme="8" tint="0.39997558519241921"/>
        <bgColor indexed="64"/>
      </patternFill>
    </fill>
    <fill>
      <patternFill patternType="solid">
        <fgColor rgb="FFFFFFCC"/>
        <bgColor indexed="64"/>
      </patternFill>
    </fill>
    <fill>
      <patternFill patternType="solid">
        <fgColor theme="6" tint="0.59999389629810485"/>
        <bgColor indexed="64"/>
      </patternFill>
    </fill>
    <fill>
      <patternFill patternType="solid">
        <fgColor theme="0" tint="-0.249977111117893"/>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bottom style="double">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474">
    <xf numFmtId="0" fontId="0" fillId="0" borderId="0" xfId="0"/>
    <xf numFmtId="0" fontId="2" fillId="0" borderId="1" xfId="0" applyFont="1" applyBorder="1" applyAlignment="1">
      <alignment horizontal="left" vertical="center"/>
    </xf>
    <xf numFmtId="0" fontId="3" fillId="2" borderId="2" xfId="0" applyFont="1" applyFill="1" applyBorder="1" applyAlignment="1">
      <alignment horizontal="center" vertical="center"/>
    </xf>
    <xf numFmtId="0" fontId="2" fillId="0" borderId="3" xfId="0" applyFont="1" applyBorder="1" applyAlignment="1">
      <alignment horizontal="left" vertical="center"/>
    </xf>
    <xf numFmtId="4" fontId="4" fillId="2" borderId="4" xfId="0" applyNumberFormat="1" applyFont="1" applyFill="1" applyBorder="1" applyAlignment="1">
      <alignment horizontal="right" vertical="center"/>
    </xf>
    <xf numFmtId="0" fontId="5" fillId="0" borderId="3" xfId="0" applyFont="1" applyBorder="1" applyAlignment="1">
      <alignment horizontal="left" vertical="center"/>
    </xf>
    <xf numFmtId="4" fontId="3" fillId="2" borderId="4" xfId="0" applyNumberFormat="1" applyFont="1" applyFill="1" applyBorder="1" applyAlignment="1">
      <alignment horizontal="right" vertical="center"/>
    </xf>
    <xf numFmtId="4" fontId="4" fillId="3" borderId="4" xfId="0" applyNumberFormat="1" applyFont="1" applyFill="1" applyBorder="1" applyAlignment="1">
      <alignment horizontal="right" vertical="center"/>
    </xf>
    <xf numFmtId="0" fontId="6" fillId="0" borderId="5" xfId="0" applyFont="1" applyBorder="1"/>
    <xf numFmtId="4" fontId="4" fillId="2" borderId="5" xfId="0" applyNumberFormat="1" applyFont="1" applyFill="1" applyBorder="1" applyAlignment="1">
      <alignment horizontal="left" vertical="center"/>
    </xf>
    <xf numFmtId="4" fontId="7" fillId="2" borderId="4" xfId="0" applyNumberFormat="1" applyFont="1" applyFill="1" applyBorder="1" applyAlignment="1">
      <alignment horizontal="right" vertical="center"/>
    </xf>
    <xf numFmtId="0" fontId="8" fillId="4" borderId="6" xfId="0" applyFont="1" applyFill="1" applyBorder="1"/>
    <xf numFmtId="14" fontId="9" fillId="4" borderId="7" xfId="0" applyNumberFormat="1" applyFont="1" applyFill="1" applyBorder="1" applyAlignment="1">
      <alignment horizontal="center"/>
    </xf>
    <xf numFmtId="0" fontId="8" fillId="4" borderId="8" xfId="0" applyFont="1" applyFill="1" applyBorder="1"/>
    <xf numFmtId="165" fontId="9" fillId="4" borderId="9" xfId="0" applyNumberFormat="1" applyFont="1" applyFill="1" applyBorder="1" applyAlignment="1">
      <alignment horizontal="center"/>
    </xf>
    <xf numFmtId="0" fontId="8" fillId="4" borderId="9" xfId="0" applyFont="1" applyFill="1" applyBorder="1"/>
    <xf numFmtId="0" fontId="8" fillId="4" borderId="10" xfId="0" applyFont="1" applyFill="1" applyBorder="1"/>
    <xf numFmtId="0" fontId="8" fillId="4" borderId="4" xfId="0" applyFont="1" applyFill="1" applyBorder="1"/>
    <xf numFmtId="0" fontId="10" fillId="3" borderId="11" xfId="0" applyFont="1" applyFill="1" applyBorder="1" applyAlignment="1">
      <alignment horizontal="center"/>
    </xf>
    <xf numFmtId="0" fontId="10" fillId="3" borderId="2" xfId="0" applyFont="1" applyFill="1" applyBorder="1" applyAlignment="1">
      <alignment horizontal="center"/>
    </xf>
    <xf numFmtId="0" fontId="5" fillId="3" borderId="0" xfId="0" applyFont="1" applyFill="1" applyAlignment="1">
      <alignment horizontal="center"/>
    </xf>
    <xf numFmtId="0" fontId="5" fillId="0" borderId="0" xfId="0" applyFont="1" applyAlignment="1">
      <alignment horizontal="center"/>
    </xf>
    <xf numFmtId="4" fontId="0" fillId="0" borderId="0" xfId="0" applyNumberFormat="1"/>
    <xf numFmtId="10" fontId="0" fillId="0" borderId="0" xfId="1" applyNumberFormat="1" applyFont="1"/>
    <xf numFmtId="10" fontId="0" fillId="0" borderId="0" xfId="0" applyNumberFormat="1"/>
    <xf numFmtId="0" fontId="5" fillId="0" borderId="0" xfId="0" applyFont="1" applyAlignment="1">
      <alignment horizontal="center" vertical="center"/>
    </xf>
    <xf numFmtId="166" fontId="0" fillId="0" borderId="0" xfId="1" applyNumberFormat="1" applyFont="1"/>
    <xf numFmtId="0" fontId="3" fillId="0" borderId="0" xfId="0" applyFont="1" applyAlignment="1">
      <alignment horizontal="left" vertical="center"/>
    </xf>
    <xf numFmtId="10" fontId="3" fillId="0" borderId="0" xfId="1" applyNumberFormat="1" applyFont="1" applyFill="1" applyBorder="1" applyAlignment="1">
      <alignment horizontal="right" vertical="center"/>
    </xf>
    <xf numFmtId="0" fontId="5" fillId="0" borderId="0" xfId="0" applyFont="1" applyAlignment="1">
      <alignment horizontal="center" vertical="center" wrapText="1"/>
    </xf>
    <xf numFmtId="0" fontId="14" fillId="0" borderId="0" xfId="0" applyFont="1"/>
    <xf numFmtId="4" fontId="0" fillId="0" borderId="13" xfId="0" applyNumberFormat="1" applyBorder="1"/>
    <xf numFmtId="0" fontId="0" fillId="0" borderId="14" xfId="0" applyBorder="1"/>
    <xf numFmtId="4" fontId="0" fillId="0" borderId="14" xfId="0" applyNumberFormat="1" applyBorder="1"/>
    <xf numFmtId="0" fontId="13" fillId="0" borderId="0" xfId="0" applyFont="1"/>
    <xf numFmtId="0" fontId="14" fillId="0" borderId="13" xfId="0" applyFont="1" applyBorder="1"/>
    <xf numFmtId="0" fontId="5" fillId="0" borderId="0" xfId="0" applyFont="1"/>
    <xf numFmtId="0" fontId="0" fillId="0" borderId="0" xfId="0" quotePrefix="1"/>
    <xf numFmtId="0" fontId="0" fillId="3" borderId="0" xfId="0" applyFill="1"/>
    <xf numFmtId="0" fontId="18" fillId="3" borderId="0" xfId="0" applyFont="1" applyFill="1" applyAlignment="1">
      <alignment horizontal="center"/>
    </xf>
    <xf numFmtId="0" fontId="18" fillId="0" borderId="0" xfId="0" applyFont="1" applyAlignment="1">
      <alignment horizontal="center"/>
    </xf>
    <xf numFmtId="0" fontId="18" fillId="0" borderId="15" xfId="0" applyFont="1" applyBorder="1"/>
    <xf numFmtId="10" fontId="18" fillId="5" borderId="16" xfId="1" applyNumberFormat="1" applyFont="1" applyFill="1" applyBorder="1"/>
    <xf numFmtId="0" fontId="18" fillId="0" borderId="17" xfId="0" applyFont="1" applyBorder="1"/>
    <xf numFmtId="0" fontId="18" fillId="4" borderId="12" xfId="0" applyFont="1" applyFill="1" applyBorder="1"/>
    <xf numFmtId="9" fontId="18" fillId="5" borderId="12" xfId="1" applyFont="1" applyFill="1" applyBorder="1"/>
    <xf numFmtId="0" fontId="18" fillId="0" borderId="18" xfId="0" applyFont="1" applyBorder="1"/>
    <xf numFmtId="9" fontId="18" fillId="5" borderId="19" xfId="0" applyNumberFormat="1" applyFont="1" applyFill="1" applyBorder="1"/>
    <xf numFmtId="0" fontId="18" fillId="0" borderId="0" xfId="0" applyFont="1"/>
    <xf numFmtId="0" fontId="20" fillId="0" borderId="0" xfId="0" applyFont="1" applyAlignment="1">
      <alignment horizontal="left" vertical="center"/>
    </xf>
    <xf numFmtId="0" fontId="21" fillId="0" borderId="0" xfId="0" applyFont="1"/>
    <xf numFmtId="0" fontId="18" fillId="0" borderId="13" xfId="0" applyFont="1" applyBorder="1"/>
    <xf numFmtId="0" fontId="22" fillId="0" borderId="0" xfId="0" applyFont="1"/>
    <xf numFmtId="0" fontId="22" fillId="4" borderId="6" xfId="0" applyFont="1" applyFill="1" applyBorder="1"/>
    <xf numFmtId="0" fontId="22" fillId="4" borderId="8" xfId="0" applyFont="1" applyFill="1" applyBorder="1"/>
    <xf numFmtId="165" fontId="18" fillId="4" borderId="9" xfId="0" applyNumberFormat="1" applyFont="1" applyFill="1" applyBorder="1" applyAlignment="1">
      <alignment horizontal="center"/>
    </xf>
    <xf numFmtId="0" fontId="22" fillId="4" borderId="9" xfId="0" applyFont="1" applyFill="1" applyBorder="1"/>
    <xf numFmtId="0" fontId="22" fillId="4" borderId="10" xfId="0" applyFont="1" applyFill="1" applyBorder="1"/>
    <xf numFmtId="0" fontId="22" fillId="4" borderId="4" xfId="0" applyFont="1" applyFill="1" applyBorder="1"/>
    <xf numFmtId="0" fontId="18" fillId="3" borderId="11" xfId="0" applyFont="1" applyFill="1" applyBorder="1" applyAlignment="1">
      <alignment horizontal="center"/>
    </xf>
    <xf numFmtId="0" fontId="18" fillId="3" borderId="2" xfId="0" applyFont="1" applyFill="1" applyBorder="1" applyAlignment="1">
      <alignment horizontal="center"/>
    </xf>
    <xf numFmtId="4" fontId="22" fillId="0" borderId="0" xfId="0" applyNumberFormat="1" applyFont="1"/>
    <xf numFmtId="10" fontId="22" fillId="0" borderId="0" xfId="1" applyNumberFormat="1" applyFont="1"/>
    <xf numFmtId="10" fontId="22" fillId="0" borderId="0" xfId="0" applyNumberFormat="1" applyFont="1"/>
    <xf numFmtId="0" fontId="22" fillId="0" borderId="0" xfId="0" quotePrefix="1" applyFont="1"/>
    <xf numFmtId="9" fontId="22" fillId="0" borderId="0" xfId="1" applyFont="1"/>
    <xf numFmtId="4" fontId="22" fillId="0" borderId="13" xfId="0" applyNumberFormat="1" applyFont="1" applyBorder="1"/>
    <xf numFmtId="167" fontId="9" fillId="4" borderId="7" xfId="0" applyNumberFormat="1" applyFont="1" applyFill="1" applyBorder="1" applyAlignment="1">
      <alignment horizontal="center"/>
    </xf>
    <xf numFmtId="4" fontId="2" fillId="0" borderId="0" xfId="0" applyNumberFormat="1" applyFont="1"/>
    <xf numFmtId="0" fontId="18" fillId="0" borderId="20" xfId="0" applyFont="1" applyBorder="1"/>
    <xf numFmtId="164" fontId="18" fillId="5" borderId="21" xfId="2" applyFont="1" applyFill="1" applyBorder="1"/>
    <xf numFmtId="10" fontId="18" fillId="5" borderId="12" xfId="0" applyNumberFormat="1" applyFont="1" applyFill="1" applyBorder="1"/>
    <xf numFmtId="0" fontId="18" fillId="5" borderId="22" xfId="0" applyFont="1" applyFill="1" applyBorder="1"/>
    <xf numFmtId="164" fontId="18" fillId="5" borderId="12" xfId="2" applyFont="1" applyFill="1" applyBorder="1"/>
    <xf numFmtId="10" fontId="18" fillId="5" borderId="19" xfId="0" applyNumberFormat="1" applyFont="1" applyFill="1" applyBorder="1"/>
    <xf numFmtId="167" fontId="18" fillId="4" borderId="7" xfId="0" applyNumberFormat="1" applyFont="1" applyFill="1" applyBorder="1" applyAlignment="1">
      <alignment horizontal="center"/>
    </xf>
    <xf numFmtId="0" fontId="18" fillId="5" borderId="16" xfId="0" applyFont="1" applyFill="1" applyBorder="1"/>
    <xf numFmtId="9" fontId="18" fillId="5" borderId="16" xfId="1" applyFont="1" applyFill="1" applyBorder="1"/>
    <xf numFmtId="0" fontId="18" fillId="5" borderId="21" xfId="0" applyFont="1" applyFill="1" applyBorder="1"/>
    <xf numFmtId="9" fontId="18" fillId="5" borderId="21" xfId="1" applyFont="1" applyFill="1" applyBorder="1"/>
    <xf numFmtId="2" fontId="18" fillId="5" borderId="21" xfId="0" applyNumberFormat="1" applyFont="1" applyFill="1" applyBorder="1"/>
    <xf numFmtId="4" fontId="18" fillId="5" borderId="12" xfId="0" applyNumberFormat="1" applyFont="1" applyFill="1" applyBorder="1"/>
    <xf numFmtId="0" fontId="18" fillId="5" borderId="12" xfId="0" applyFont="1" applyFill="1" applyBorder="1"/>
    <xf numFmtId="4" fontId="22" fillId="0" borderId="0" xfId="1" applyNumberFormat="1" applyFont="1"/>
    <xf numFmtId="9" fontId="22" fillId="0" borderId="0" xfId="1" applyFont="1" applyFill="1"/>
    <xf numFmtId="0" fontId="5" fillId="0" borderId="23" xfId="0" applyFont="1" applyBorder="1" applyAlignment="1">
      <alignment horizontal="left"/>
    </xf>
    <xf numFmtId="0" fontId="5" fillId="0" borderId="23" xfId="0" applyFont="1" applyBorder="1"/>
    <xf numFmtId="0" fontId="2" fillId="0" borderId="0" xfId="0" applyFont="1"/>
    <xf numFmtId="0" fontId="4" fillId="0" borderId="0" xfId="0" applyFont="1" applyAlignment="1">
      <alignment horizontal="left" vertical="center"/>
    </xf>
    <xf numFmtId="0" fontId="3" fillId="0" borderId="0" xfId="0" applyFont="1" applyAlignment="1">
      <alignment horizontal="center" vertical="center"/>
    </xf>
    <xf numFmtId="10" fontId="4" fillId="0" borderId="0" xfId="0" applyNumberFormat="1" applyFont="1" applyAlignment="1">
      <alignment horizontal="right" vertical="center"/>
    </xf>
    <xf numFmtId="164" fontId="0" fillId="0" borderId="0" xfId="2" applyFont="1"/>
    <xf numFmtId="43" fontId="0" fillId="0" borderId="0" xfId="0" applyNumberFormat="1"/>
    <xf numFmtId="164" fontId="0" fillId="0" borderId="0" xfId="0" applyNumberFormat="1"/>
    <xf numFmtId="168" fontId="0" fillId="0" borderId="0" xfId="2" applyNumberFormat="1" applyFont="1"/>
    <xf numFmtId="168" fontId="0" fillId="0" borderId="0" xfId="2" applyNumberFormat="1" applyFont="1" applyBorder="1"/>
    <xf numFmtId="0" fontId="5" fillId="12" borderId="0" xfId="0" applyFont="1" applyFill="1"/>
    <xf numFmtId="168" fontId="2" fillId="0" borderId="0" xfId="2" applyNumberFormat="1" applyFont="1" applyFill="1"/>
    <xf numFmtId="168" fontId="0" fillId="0" borderId="0" xfId="0" applyNumberFormat="1"/>
    <xf numFmtId="0" fontId="22" fillId="0" borderId="12" xfId="0" applyFont="1" applyBorder="1"/>
    <xf numFmtId="0" fontId="18" fillId="3" borderId="12" xfId="0" applyFont="1" applyFill="1" applyBorder="1" applyAlignment="1">
      <alignment horizontal="center"/>
    </xf>
    <xf numFmtId="0" fontId="18" fillId="0" borderId="12" xfId="0" applyFont="1" applyBorder="1" applyAlignment="1">
      <alignment horizontal="center"/>
    </xf>
    <xf numFmtId="0" fontId="20" fillId="0" borderId="12" xfId="0" applyFont="1" applyBorder="1" applyAlignment="1">
      <alignment horizontal="center" vertical="center"/>
    </xf>
    <xf numFmtId="0" fontId="18" fillId="0" borderId="23" xfId="0" applyFont="1" applyBorder="1" applyAlignment="1">
      <alignment horizontal="left"/>
    </xf>
    <xf numFmtId="0" fontId="28" fillId="0" borderId="12" xfId="0" applyFont="1" applyBorder="1" applyAlignment="1">
      <alignment horizontal="left" vertical="center"/>
    </xf>
    <xf numFmtId="10" fontId="28" fillId="0" borderId="12" xfId="0" applyNumberFormat="1" applyFont="1" applyBorder="1" applyAlignment="1">
      <alignment horizontal="right" vertical="center"/>
    </xf>
    <xf numFmtId="0" fontId="28" fillId="0" borderId="0" xfId="0" applyFont="1"/>
    <xf numFmtId="10" fontId="28" fillId="6" borderId="12" xfId="0" applyNumberFormat="1" applyFont="1" applyFill="1" applyBorder="1" applyAlignment="1">
      <alignment horizontal="right" vertical="center"/>
    </xf>
    <xf numFmtId="0" fontId="18" fillId="0" borderId="23" xfId="0" applyFont="1" applyBorder="1"/>
    <xf numFmtId="10" fontId="28" fillId="7" borderId="12" xfId="0" applyNumberFormat="1" applyFont="1" applyFill="1" applyBorder="1" applyAlignment="1">
      <alignment horizontal="right" vertical="center"/>
    </xf>
    <xf numFmtId="0" fontId="28" fillId="0" borderId="0" xfId="0" applyFont="1" applyAlignment="1">
      <alignment horizontal="left" vertical="center"/>
    </xf>
    <xf numFmtId="0" fontId="20" fillId="0" borderId="0" xfId="0" applyFont="1" applyAlignment="1">
      <alignment horizontal="center" vertical="center"/>
    </xf>
    <xf numFmtId="10" fontId="28" fillId="8" borderId="0" xfId="0" applyNumberFormat="1" applyFont="1" applyFill="1" applyAlignment="1">
      <alignment horizontal="right" vertical="center"/>
    </xf>
    <xf numFmtId="10" fontId="28" fillId="0" borderId="0" xfId="0" applyNumberFormat="1" applyFont="1" applyAlignment="1">
      <alignment horizontal="right" vertical="center"/>
    </xf>
    <xf numFmtId="10" fontId="20" fillId="0" borderId="0" xfId="1" applyNumberFormat="1" applyFont="1" applyFill="1" applyBorder="1" applyAlignment="1">
      <alignment horizontal="right" vertical="center"/>
    </xf>
    <xf numFmtId="0" fontId="30" fillId="0" borderId="0" xfId="0" applyFont="1"/>
    <xf numFmtId="0" fontId="31" fillId="0" borderId="0" xfId="0" applyFont="1"/>
    <xf numFmtId="0" fontId="31" fillId="0" borderId="13" xfId="0" applyFont="1" applyBorder="1"/>
    <xf numFmtId="0" fontId="18" fillId="12" borderId="0" xfId="0" applyFont="1" applyFill="1"/>
    <xf numFmtId="168" fontId="22" fillId="0" borderId="0" xfId="2" applyNumberFormat="1" applyFont="1" applyFill="1"/>
    <xf numFmtId="168" fontId="22" fillId="9" borderId="0" xfId="2" applyNumberFormat="1" applyFont="1" applyFill="1"/>
    <xf numFmtId="168" fontId="18" fillId="5" borderId="0" xfId="0" applyNumberFormat="1" applyFont="1" applyFill="1"/>
    <xf numFmtId="10" fontId="22" fillId="8" borderId="0" xfId="0" applyNumberFormat="1" applyFont="1" applyFill="1"/>
    <xf numFmtId="164" fontId="22" fillId="0" borderId="0" xfId="2" applyFont="1"/>
    <xf numFmtId="43" fontId="22" fillId="0" borderId="0" xfId="0" applyNumberFormat="1" applyFont="1"/>
    <xf numFmtId="164" fontId="22" fillId="9" borderId="0" xfId="2" applyFont="1" applyFill="1"/>
    <xf numFmtId="0" fontId="22" fillId="9" borderId="0" xfId="0" applyFont="1" applyFill="1"/>
    <xf numFmtId="164" fontId="22" fillId="0" borderId="0" xfId="0" applyNumberFormat="1" applyFont="1"/>
    <xf numFmtId="164" fontId="22" fillId="8" borderId="0" xfId="2" applyFont="1" applyFill="1"/>
    <xf numFmtId="168" fontId="22" fillId="0" borderId="0" xfId="2" applyNumberFormat="1" applyFont="1"/>
    <xf numFmtId="168" fontId="22" fillId="0" borderId="0" xfId="2" applyNumberFormat="1" applyFont="1" applyBorder="1"/>
    <xf numFmtId="166" fontId="22" fillId="0" borderId="0" xfId="1" applyNumberFormat="1" applyFont="1"/>
    <xf numFmtId="0" fontId="22" fillId="10" borderId="0" xfId="0" applyFont="1" applyFill="1"/>
    <xf numFmtId="164" fontId="22" fillId="10" borderId="0" xfId="2" applyFont="1" applyFill="1"/>
    <xf numFmtId="164" fontId="22" fillId="11" borderId="13" xfId="2" applyFont="1" applyFill="1" applyBorder="1"/>
    <xf numFmtId="0" fontId="22" fillId="0" borderId="14" xfId="0" applyFont="1" applyBorder="1"/>
    <xf numFmtId="4" fontId="22" fillId="0" borderId="14" xfId="0" applyNumberFormat="1" applyFont="1" applyBorder="1"/>
    <xf numFmtId="164" fontId="22" fillId="5" borderId="0" xfId="2" applyFont="1" applyFill="1"/>
    <xf numFmtId="168" fontId="22" fillId="0" borderId="0" xfId="0" applyNumberFormat="1" applyFont="1"/>
    <xf numFmtId="10" fontId="28" fillId="3" borderId="0" xfId="0" applyNumberFormat="1" applyFont="1" applyFill="1" applyAlignment="1">
      <alignment horizontal="right" vertical="center"/>
    </xf>
    <xf numFmtId="4" fontId="28" fillId="0" borderId="0" xfId="0" applyNumberFormat="1" applyFont="1" applyAlignment="1">
      <alignment horizontal="right" vertical="center"/>
    </xf>
    <xf numFmtId="0" fontId="28" fillId="0" borderId="0" xfId="0" applyFont="1" applyAlignment="1">
      <alignment horizontal="right" vertical="center"/>
    </xf>
    <xf numFmtId="0" fontId="18" fillId="3" borderId="0" xfId="0" applyFont="1" applyFill="1"/>
    <xf numFmtId="4" fontId="18" fillId="3" borderId="0" xfId="0" applyNumberFormat="1" applyFont="1" applyFill="1"/>
    <xf numFmtId="0" fontId="34" fillId="0" borderId="0" xfId="0" applyFont="1" applyAlignment="1">
      <alignment horizontal="center" vertical="center"/>
    </xf>
    <xf numFmtId="0" fontId="35" fillId="0" borderId="0" xfId="0" applyFont="1" applyAlignment="1">
      <alignment horizontal="left" vertical="center"/>
    </xf>
    <xf numFmtId="0" fontId="4" fillId="13" borderId="0" xfId="0" applyFont="1" applyFill="1" applyAlignment="1">
      <alignment horizontal="left" vertical="center"/>
    </xf>
    <xf numFmtId="0" fontId="4" fillId="14" borderId="0" xfId="0" applyFont="1" applyFill="1" applyAlignment="1">
      <alignment horizontal="left" vertical="center"/>
    </xf>
    <xf numFmtId="10" fontId="4" fillId="15" borderId="0" xfId="0" applyNumberFormat="1" applyFont="1" applyFill="1" applyAlignment="1">
      <alignment horizontal="right" vertical="center"/>
    </xf>
    <xf numFmtId="10" fontId="36" fillId="15" borderId="0" xfId="0" applyNumberFormat="1" applyFont="1" applyFill="1" applyAlignment="1">
      <alignment horizontal="right" vertical="center"/>
    </xf>
    <xf numFmtId="10" fontId="37" fillId="16" borderId="0" xfId="1" applyNumberFormat="1" applyFont="1" applyFill="1" applyBorder="1" applyAlignment="1">
      <alignment horizontal="right" vertical="center"/>
    </xf>
    <xf numFmtId="10" fontId="38" fillId="0" borderId="0" xfId="0" applyNumberFormat="1" applyFont="1" applyAlignment="1">
      <alignment horizontal="right" vertical="center"/>
    </xf>
    <xf numFmtId="10" fontId="39" fillId="0" borderId="0" xfId="0" applyNumberFormat="1" applyFont="1" applyAlignment="1">
      <alignment horizontal="right" vertical="center"/>
    </xf>
    <xf numFmtId="0" fontId="39" fillId="0" borderId="0" xfId="0" applyFont="1" applyAlignment="1">
      <alignment horizontal="left" vertical="center"/>
    </xf>
    <xf numFmtId="10" fontId="2" fillId="0" borderId="0" xfId="0" applyNumberFormat="1" applyFont="1"/>
    <xf numFmtId="10" fontId="35" fillId="0" borderId="0" xfId="0" applyNumberFormat="1" applyFont="1"/>
    <xf numFmtId="0" fontId="35" fillId="0" borderId="0" xfId="0" applyFont="1"/>
    <xf numFmtId="10" fontId="4" fillId="12" borderId="0" xfId="0" applyNumberFormat="1" applyFont="1" applyFill="1" applyAlignment="1">
      <alignment horizontal="right" vertical="center"/>
    </xf>
    <xf numFmtId="0" fontId="11" fillId="0" borderId="0" xfId="0" applyFont="1"/>
    <xf numFmtId="10" fontId="0" fillId="12" borderId="0" xfId="1" applyNumberFormat="1" applyFont="1" applyFill="1"/>
    <xf numFmtId="10" fontId="0" fillId="15" borderId="0" xfId="1" applyNumberFormat="1" applyFont="1" applyFill="1"/>
    <xf numFmtId="168" fontId="0" fillId="11" borderId="0" xfId="2" applyNumberFormat="1" applyFont="1" applyFill="1"/>
    <xf numFmtId="168" fontId="13" fillId="9" borderId="0" xfId="2" applyNumberFormat="1" applyFont="1" applyFill="1"/>
    <xf numFmtId="168" fontId="0" fillId="13" borderId="0" xfId="2" applyNumberFormat="1" applyFont="1" applyFill="1" applyBorder="1"/>
    <xf numFmtId="168" fontId="0" fillId="14" borderId="0" xfId="2" applyNumberFormat="1" applyFont="1" applyFill="1" applyBorder="1"/>
    <xf numFmtId="168" fontId="0" fillId="15" borderId="0" xfId="2" applyNumberFormat="1" applyFont="1" applyFill="1" applyBorder="1"/>
    <xf numFmtId="0" fontId="0" fillId="11" borderId="13" xfId="0" applyFill="1" applyBorder="1"/>
    <xf numFmtId="168" fontId="0" fillId="0" borderId="13" xfId="2" applyNumberFormat="1" applyFont="1" applyBorder="1"/>
    <xf numFmtId="168" fontId="0" fillId="0" borderId="14" xfId="2" applyNumberFormat="1" applyFont="1" applyBorder="1"/>
    <xf numFmtId="0" fontId="5" fillId="0" borderId="0" xfId="0" applyFont="1" applyAlignment="1">
      <alignment vertical="center" wrapText="1"/>
    </xf>
    <xf numFmtId="168" fontId="5" fillId="0" borderId="0" xfId="2" applyNumberFormat="1" applyFont="1" applyFill="1"/>
    <xf numFmtId="168" fontId="15" fillId="9" borderId="0" xfId="2" applyNumberFormat="1" applyFont="1" applyFill="1"/>
    <xf numFmtId="169" fontId="5" fillId="0" borderId="0" xfId="0" applyNumberFormat="1" applyFont="1"/>
    <xf numFmtId="168" fontId="40" fillId="12" borderId="0" xfId="2" applyNumberFormat="1" applyFont="1" applyFill="1"/>
    <xf numFmtId="168" fontId="40" fillId="9" borderId="0" xfId="2" applyNumberFormat="1" applyFont="1" applyFill="1"/>
    <xf numFmtId="0" fontId="41" fillId="0" borderId="0" xfId="0" applyFont="1"/>
    <xf numFmtId="169" fontId="5" fillId="0" borderId="0" xfId="0" applyNumberFormat="1" applyFont="1" applyAlignment="1">
      <alignment vertical="center" wrapText="1"/>
    </xf>
    <xf numFmtId="168" fontId="42" fillId="0" borderId="0" xfId="0" applyNumberFormat="1" applyFont="1"/>
    <xf numFmtId="168" fontId="42" fillId="9" borderId="0" xfId="0" applyNumberFormat="1" applyFont="1" applyFill="1"/>
    <xf numFmtId="10" fontId="4" fillId="17" borderId="0" xfId="0" applyNumberFormat="1" applyFont="1" applyFill="1" applyAlignment="1">
      <alignment horizontal="right" vertical="center"/>
    </xf>
    <xf numFmtId="10" fontId="4" fillId="18" borderId="0" xfId="0" applyNumberFormat="1" applyFont="1" applyFill="1" applyAlignment="1">
      <alignment horizontal="right" vertical="center"/>
    </xf>
    <xf numFmtId="10" fontId="4" fillId="9" borderId="0" xfId="0" applyNumberFormat="1" applyFont="1" applyFill="1" applyAlignment="1">
      <alignment horizontal="right" vertical="center"/>
    </xf>
    <xf numFmtId="10" fontId="2" fillId="18" borderId="0" xfId="1" applyNumberFormat="1" applyFont="1" applyFill="1"/>
    <xf numFmtId="164" fontId="0" fillId="9" borderId="0" xfId="0" applyNumberFormat="1" applyFill="1"/>
    <xf numFmtId="164" fontId="13" fillId="17" borderId="0" xfId="2" applyFont="1" applyFill="1"/>
    <xf numFmtId="164" fontId="0" fillId="0" borderId="0" xfId="2" quotePrefix="1" applyFont="1"/>
    <xf numFmtId="170" fontId="0" fillId="0" borderId="0" xfId="2" applyNumberFormat="1" applyFont="1" applyBorder="1"/>
    <xf numFmtId="170" fontId="0" fillId="0" borderId="0" xfId="0" applyNumberFormat="1"/>
    <xf numFmtId="164" fontId="0" fillId="6" borderId="0" xfId="0" applyNumberFormat="1" applyFill="1"/>
    <xf numFmtId="164" fontId="0" fillId="18" borderId="0" xfId="0" applyNumberFormat="1" applyFill="1"/>
    <xf numFmtId="164" fontId="21" fillId="0" borderId="0" xfId="0" applyNumberFormat="1" applyFont="1"/>
    <xf numFmtId="0" fontId="0" fillId="19" borderId="0" xfId="0" applyFill="1"/>
    <xf numFmtId="0" fontId="43" fillId="3" borderId="0" xfId="0" applyFont="1" applyFill="1"/>
    <xf numFmtId="170" fontId="14" fillId="3" borderId="0" xfId="2" applyNumberFormat="1" applyFont="1" applyFill="1"/>
    <xf numFmtId="170" fontId="13" fillId="3" borderId="0" xfId="2" applyNumberFormat="1" applyFont="1" applyFill="1"/>
    <xf numFmtId="170" fontId="0" fillId="0" borderId="0" xfId="2" applyNumberFormat="1" applyFont="1"/>
    <xf numFmtId="10" fontId="14" fillId="3" borderId="0" xfId="1" applyNumberFormat="1" applyFont="1" applyFill="1"/>
    <xf numFmtId="10" fontId="13" fillId="3" borderId="0" xfId="1" applyNumberFormat="1" applyFont="1" applyFill="1"/>
    <xf numFmtId="9" fontId="0" fillId="0" borderId="0" xfId="0" applyNumberFormat="1"/>
    <xf numFmtId="10" fontId="13" fillId="19" borderId="0" xfId="1" applyNumberFormat="1" applyFont="1" applyFill="1"/>
    <xf numFmtId="2" fontId="13" fillId="19" borderId="0" xfId="0" applyNumberFormat="1" applyFont="1" applyFill="1"/>
    <xf numFmtId="2" fontId="13" fillId="3" borderId="0" xfId="0" applyNumberFormat="1" applyFont="1" applyFill="1"/>
    <xf numFmtId="10" fontId="14" fillId="3" borderId="0" xfId="0" applyNumberFormat="1" applyFont="1" applyFill="1"/>
    <xf numFmtId="10" fontId="13" fillId="19" borderId="0" xfId="0" applyNumberFormat="1" applyFont="1" applyFill="1"/>
    <xf numFmtId="0" fontId="32" fillId="3" borderId="0" xfId="0" applyFont="1" applyFill="1" applyAlignment="1">
      <alignment vertical="center"/>
    </xf>
    <xf numFmtId="10" fontId="14" fillId="3" borderId="0" xfId="1" applyNumberFormat="1" applyFont="1" applyFill="1" applyBorder="1"/>
    <xf numFmtId="10" fontId="13" fillId="3" borderId="0" xfId="1" applyNumberFormat="1" applyFont="1" applyFill="1" applyBorder="1"/>
    <xf numFmtId="0" fontId="19" fillId="0" borderId="0" xfId="0" applyFont="1"/>
    <xf numFmtId="0" fontId="19" fillId="0" borderId="0" xfId="0" quotePrefix="1" applyFont="1"/>
    <xf numFmtId="0" fontId="30" fillId="0" borderId="0" xfId="0" applyFont="1" applyAlignment="1">
      <alignment horizontal="left" indent="1"/>
    </xf>
    <xf numFmtId="4" fontId="18" fillId="0" borderId="0" xfId="0" applyNumberFormat="1" applyFont="1"/>
    <xf numFmtId="0" fontId="44" fillId="0" borderId="0" xfId="0" applyFont="1"/>
    <xf numFmtId="0" fontId="45" fillId="0" borderId="0" xfId="0" applyFont="1" applyAlignment="1">
      <alignment horizontal="left" indent="1"/>
    </xf>
    <xf numFmtId="0" fontId="47" fillId="0" borderId="0" xfId="0" applyFont="1" applyAlignment="1">
      <alignment horizontal="left" indent="1"/>
    </xf>
    <xf numFmtId="4" fontId="30" fillId="0" borderId="0" xfId="0" applyNumberFormat="1" applyFont="1" applyAlignment="1">
      <alignment horizontal="left" indent="1"/>
    </xf>
    <xf numFmtId="0" fontId="18" fillId="9" borderId="0" xfId="0" applyFont="1" applyFill="1"/>
    <xf numFmtId="4" fontId="18" fillId="9" borderId="0" xfId="0" applyNumberFormat="1" applyFont="1" applyFill="1"/>
    <xf numFmtId="0" fontId="31" fillId="0" borderId="0" xfId="0" applyFont="1" applyAlignment="1">
      <alignment horizontal="left" indent="1"/>
    </xf>
    <xf numFmtId="0" fontId="30" fillId="0" borderId="0" xfId="0" applyFont="1" applyAlignment="1">
      <alignment horizontal="left" indent="2"/>
    </xf>
    <xf numFmtId="2" fontId="0" fillId="0" borderId="0" xfId="0" applyNumberFormat="1"/>
    <xf numFmtId="0" fontId="31" fillId="0" borderId="0" xfId="0" applyFont="1" applyAlignment="1">
      <alignment horizontal="left" indent="2"/>
    </xf>
    <xf numFmtId="0" fontId="49" fillId="0" borderId="0" xfId="0" applyFont="1" applyAlignment="1">
      <alignment horizontal="left" indent="1"/>
    </xf>
    <xf numFmtId="0" fontId="50" fillId="0" borderId="0" xfId="0" applyFont="1"/>
    <xf numFmtId="0" fontId="49" fillId="0" borderId="0" xfId="0" applyFont="1"/>
    <xf numFmtId="4" fontId="31" fillId="0" borderId="0" xfId="0" applyNumberFormat="1" applyFont="1"/>
    <xf numFmtId="0" fontId="33" fillId="0" borderId="0" xfId="0" applyFont="1"/>
    <xf numFmtId="4" fontId="52" fillId="0" borderId="0" xfId="0" applyNumberFormat="1" applyFont="1"/>
    <xf numFmtId="0" fontId="0" fillId="0" borderId="0" xfId="0" applyAlignment="1">
      <alignment horizontal="right"/>
    </xf>
    <xf numFmtId="0" fontId="8" fillId="4" borderId="6" xfId="0" applyFont="1" applyFill="1" applyBorder="1" applyAlignment="1">
      <alignment horizontal="right"/>
    </xf>
    <xf numFmtId="0" fontId="8" fillId="4" borderId="8" xfId="0" applyFont="1" applyFill="1" applyBorder="1" applyAlignment="1">
      <alignment horizontal="right"/>
    </xf>
    <xf numFmtId="0" fontId="8" fillId="4" borderId="10" xfId="0" applyFont="1" applyFill="1" applyBorder="1" applyAlignment="1">
      <alignment horizontal="right"/>
    </xf>
    <xf numFmtId="0" fontId="10" fillId="3" borderId="11" xfId="0" applyFont="1" applyFill="1" applyBorder="1" applyAlignment="1">
      <alignment horizontal="right"/>
    </xf>
    <xf numFmtId="0" fontId="53" fillId="0" borderId="0" xfId="0" applyFont="1" applyAlignment="1">
      <alignment horizontal="right"/>
    </xf>
    <xf numFmtId="0" fontId="31" fillId="0" borderId="3" xfId="0" applyFont="1" applyBorder="1" applyAlignment="1">
      <alignment horizontal="left" vertical="center"/>
    </xf>
    <xf numFmtId="4" fontId="31" fillId="2" borderId="4" xfId="0" applyNumberFormat="1" applyFont="1" applyFill="1" applyBorder="1" applyAlignment="1">
      <alignment horizontal="right" vertical="center"/>
    </xf>
    <xf numFmtId="0" fontId="55" fillId="0" borderId="3" xfId="0" applyFont="1" applyBorder="1" applyAlignment="1">
      <alignment horizontal="left" vertical="center"/>
    </xf>
    <xf numFmtId="4" fontId="55" fillId="2" borderId="4" xfId="0" applyNumberFormat="1" applyFont="1" applyFill="1" applyBorder="1" applyAlignment="1">
      <alignment horizontal="right" vertical="center"/>
    </xf>
    <xf numFmtId="0" fontId="56" fillId="0" borderId="3" xfId="0" applyFont="1" applyBorder="1" applyAlignment="1">
      <alignment horizontal="left" vertical="center"/>
    </xf>
    <xf numFmtId="4" fontId="56" fillId="2" borderId="4" xfId="0" applyNumberFormat="1" applyFont="1" applyFill="1" applyBorder="1" applyAlignment="1">
      <alignment horizontal="right" vertical="center"/>
    </xf>
    <xf numFmtId="0" fontId="57" fillId="0" borderId="3" xfId="0" applyFont="1" applyBorder="1" applyAlignment="1">
      <alignment horizontal="left" vertical="center"/>
    </xf>
    <xf numFmtId="4" fontId="57" fillId="2" borderId="4" xfId="0" applyNumberFormat="1" applyFont="1" applyFill="1" applyBorder="1" applyAlignment="1">
      <alignment horizontal="right" vertical="center"/>
    </xf>
    <xf numFmtId="0" fontId="54" fillId="0" borderId="0" xfId="0" applyFont="1" applyAlignment="1">
      <alignment horizontal="right"/>
    </xf>
    <xf numFmtId="0" fontId="58" fillId="0" borderId="3" xfId="0" applyFont="1" applyBorder="1" applyAlignment="1">
      <alignment horizontal="left" vertical="center"/>
    </xf>
    <xf numFmtId="4" fontId="58" fillId="2" borderId="4" xfId="0" applyNumberFormat="1" applyFont="1" applyFill="1" applyBorder="1" applyAlignment="1">
      <alignment horizontal="right" vertical="center"/>
    </xf>
    <xf numFmtId="0" fontId="59" fillId="0" borderId="0" xfId="0" applyFont="1" applyAlignment="1">
      <alignment horizontal="right"/>
    </xf>
    <xf numFmtId="0" fontId="59" fillId="0" borderId="0" xfId="0" applyFont="1"/>
    <xf numFmtId="10" fontId="41" fillId="0" borderId="0" xfId="0" applyNumberFormat="1" applyFont="1"/>
    <xf numFmtId="0" fontId="60" fillId="0" borderId="0" xfId="0" applyFont="1" applyAlignment="1">
      <alignment horizontal="right"/>
    </xf>
    <xf numFmtId="10" fontId="13" fillId="0" borderId="0" xfId="1" applyNumberFormat="1" applyFont="1" applyFill="1"/>
    <xf numFmtId="0" fontId="19" fillId="0" borderId="0" xfId="0" applyFont="1" applyAlignment="1">
      <alignment horizontal="right"/>
    </xf>
    <xf numFmtId="0" fontId="19" fillId="0" borderId="0" xfId="0" applyFont="1" applyAlignment="1">
      <alignment vertical="center"/>
    </xf>
    <xf numFmtId="0" fontId="60" fillId="0" borderId="0" xfId="0" applyFont="1" applyAlignment="1">
      <alignment horizontal="right" vertical="center"/>
    </xf>
    <xf numFmtId="2" fontId="30" fillId="0" borderId="0" xfId="0" applyNumberFormat="1" applyFont="1"/>
    <xf numFmtId="10" fontId="30" fillId="0" borderId="0" xfId="1" applyNumberFormat="1" applyFont="1"/>
    <xf numFmtId="0" fontId="19" fillId="0" borderId="0" xfId="0" applyFont="1" applyAlignment="1">
      <alignment horizontal="center"/>
    </xf>
    <xf numFmtId="2" fontId="13" fillId="0" borderId="0" xfId="1" applyNumberFormat="1" applyFont="1"/>
    <xf numFmtId="164" fontId="28" fillId="0" borderId="0" xfId="2" applyFont="1" applyAlignment="1">
      <alignment horizontal="left" vertical="center"/>
    </xf>
    <xf numFmtId="164" fontId="28" fillId="0" borderId="0" xfId="2" applyFont="1" applyAlignment="1">
      <alignment horizontal="right" vertical="center"/>
    </xf>
    <xf numFmtId="43" fontId="28" fillId="0" borderId="0" xfId="0" applyNumberFormat="1" applyFont="1" applyAlignment="1">
      <alignment horizontal="right" vertical="center"/>
    </xf>
    <xf numFmtId="167" fontId="18" fillId="0" borderId="0" xfId="0" applyNumberFormat="1" applyFont="1" applyAlignment="1">
      <alignment horizontal="center"/>
    </xf>
    <xf numFmtId="165" fontId="18" fillId="0" borderId="0" xfId="0" applyNumberFormat="1" applyFont="1" applyAlignment="1">
      <alignment horizontal="center"/>
    </xf>
    <xf numFmtId="2" fontId="22" fillId="0" borderId="0" xfId="0" applyNumberFormat="1" applyFont="1"/>
    <xf numFmtId="43" fontId="22" fillId="3" borderId="0" xfId="0" applyNumberFormat="1" applyFont="1" applyFill="1"/>
    <xf numFmtId="0" fontId="22" fillId="0" borderId="0" xfId="0" applyFont="1" applyAlignment="1">
      <alignment horizontal="right"/>
    </xf>
    <xf numFmtId="43" fontId="22" fillId="0" borderId="0" xfId="0" applyNumberFormat="1" applyFont="1" applyAlignment="1">
      <alignment horizontal="right"/>
    </xf>
    <xf numFmtId="10" fontId="22" fillId="3" borderId="0" xfId="1" applyNumberFormat="1" applyFont="1" applyFill="1"/>
    <xf numFmtId="0" fontId="22" fillId="0" borderId="0" xfId="0" applyFont="1" applyAlignment="1">
      <alignment wrapText="1"/>
    </xf>
    <xf numFmtId="164" fontId="22" fillId="0" borderId="0" xfId="2" applyFont="1" applyAlignment="1">
      <alignment wrapText="1"/>
    </xf>
    <xf numFmtId="170" fontId="22" fillId="0" borderId="0" xfId="0" applyNumberFormat="1" applyFont="1"/>
    <xf numFmtId="0" fontId="0" fillId="0" borderId="0" xfId="0" applyAlignment="1">
      <alignment vertical="center"/>
    </xf>
    <xf numFmtId="0" fontId="14" fillId="14" borderId="0" xfId="0" applyFont="1" applyFill="1"/>
    <xf numFmtId="0" fontId="5" fillId="0" borderId="15" xfId="0" applyFont="1" applyBorder="1"/>
    <xf numFmtId="10" fontId="5" fillId="5" borderId="16" xfId="1" applyNumberFormat="1" applyFont="1" applyFill="1" applyBorder="1"/>
    <xf numFmtId="10" fontId="5" fillId="5" borderId="24" xfId="1" applyNumberFormat="1" applyFont="1" applyFill="1" applyBorder="1"/>
    <xf numFmtId="0" fontId="5" fillId="0" borderId="17" xfId="0" applyFont="1" applyBorder="1"/>
    <xf numFmtId="0" fontId="5" fillId="5" borderId="21" xfId="0" applyFont="1" applyFill="1" applyBorder="1"/>
    <xf numFmtId="10" fontId="5" fillId="5" borderId="21" xfId="1" applyNumberFormat="1" applyFont="1" applyFill="1" applyBorder="1"/>
    <xf numFmtId="10" fontId="5" fillId="5" borderId="25" xfId="1" applyNumberFormat="1" applyFont="1" applyFill="1" applyBorder="1"/>
    <xf numFmtId="0" fontId="5" fillId="20" borderId="20" xfId="0" applyFont="1" applyFill="1" applyBorder="1"/>
    <xf numFmtId="43" fontId="5" fillId="5" borderId="21" xfId="0" applyNumberFormat="1" applyFont="1" applyFill="1" applyBorder="1"/>
    <xf numFmtId="43" fontId="5" fillId="5" borderId="25" xfId="0" applyNumberFormat="1" applyFont="1" applyFill="1" applyBorder="1"/>
    <xf numFmtId="0" fontId="5" fillId="0" borderId="20" xfId="0" applyFont="1" applyBorder="1"/>
    <xf numFmtId="9" fontId="5" fillId="5" borderId="12" xfId="1" applyFont="1" applyFill="1" applyBorder="1"/>
    <xf numFmtId="9" fontId="5" fillId="5" borderId="22" xfId="1" applyFont="1" applyFill="1" applyBorder="1"/>
    <xf numFmtId="0" fontId="5" fillId="0" borderId="18" xfId="0" applyFont="1" applyBorder="1"/>
    <xf numFmtId="4" fontId="5" fillId="5" borderId="19" xfId="0" applyNumberFormat="1" applyFont="1" applyFill="1" applyBorder="1"/>
    <xf numFmtId="4" fontId="5" fillId="5" borderId="26" xfId="0" applyNumberFormat="1" applyFont="1" applyFill="1" applyBorder="1"/>
    <xf numFmtId="0" fontId="42" fillId="14" borderId="0" xfId="0" applyFont="1" applyFill="1"/>
    <xf numFmtId="3" fontId="0" fillId="0" borderId="0" xfId="0" applyNumberFormat="1"/>
    <xf numFmtId="0" fontId="42" fillId="0" borderId="0" xfId="0" applyFont="1"/>
    <xf numFmtId="0" fontId="5" fillId="14" borderId="0" xfId="0" applyFont="1" applyFill="1"/>
    <xf numFmtId="0" fontId="18" fillId="20" borderId="0" xfId="0" applyFont="1" applyFill="1"/>
    <xf numFmtId="0" fontId="5" fillId="0" borderId="0" xfId="0" applyFont="1" applyAlignment="1">
      <alignment vertical="center"/>
    </xf>
    <xf numFmtId="0" fontId="3" fillId="2" borderId="2" xfId="0" applyFont="1" applyFill="1" applyBorder="1" applyAlignment="1">
      <alignment horizontal="right"/>
    </xf>
    <xf numFmtId="0" fontId="0" fillId="4" borderId="0" xfId="0" applyFill="1"/>
    <xf numFmtId="0" fontId="2" fillId="4" borderId="3" xfId="0" applyFont="1" applyFill="1" applyBorder="1" applyAlignment="1">
      <alignment horizontal="left" vertical="center"/>
    </xf>
    <xf numFmtId="4" fontId="4" fillId="4" borderId="4" xfId="0" applyNumberFormat="1" applyFont="1" applyFill="1" applyBorder="1" applyAlignment="1">
      <alignment horizontal="right" vertical="center"/>
    </xf>
    <xf numFmtId="4" fontId="4" fillId="4" borderId="4" xfId="0" applyNumberFormat="1" applyFont="1" applyFill="1" applyBorder="1" applyAlignment="1">
      <alignment horizontal="right"/>
    </xf>
    <xf numFmtId="0" fontId="0" fillId="13" borderId="0" xfId="0" applyFill="1"/>
    <xf numFmtId="0" fontId="2" fillId="13" borderId="3" xfId="0" applyFont="1" applyFill="1" applyBorder="1" applyAlignment="1">
      <alignment horizontal="left" vertical="center" indent="1"/>
    </xf>
    <xf numFmtId="4" fontId="4" fillId="13" borderId="4" xfId="0" applyNumberFormat="1" applyFont="1" applyFill="1" applyBorder="1" applyAlignment="1">
      <alignment horizontal="right" vertical="center"/>
    </xf>
    <xf numFmtId="4" fontId="4" fillId="13" borderId="4" xfId="0" applyNumberFormat="1" applyFont="1" applyFill="1" applyBorder="1" applyAlignment="1">
      <alignment horizontal="right"/>
    </xf>
    <xf numFmtId="0" fontId="2" fillId="14" borderId="3" xfId="0" applyFont="1" applyFill="1" applyBorder="1" applyAlignment="1">
      <alignment horizontal="left" vertical="center" indent="1"/>
    </xf>
    <xf numFmtId="4" fontId="4" fillId="14" borderId="4" xfId="0" applyNumberFormat="1" applyFont="1" applyFill="1" applyBorder="1" applyAlignment="1">
      <alignment horizontal="right" vertical="center"/>
    </xf>
    <xf numFmtId="4" fontId="4" fillId="14" borderId="4" xfId="0" applyNumberFormat="1" applyFont="1" applyFill="1" applyBorder="1" applyAlignment="1">
      <alignment horizontal="right"/>
    </xf>
    <xf numFmtId="0" fontId="0" fillId="14" borderId="0" xfId="0" applyFill="1"/>
    <xf numFmtId="0" fontId="0" fillId="11" borderId="0" xfId="0" applyFill="1"/>
    <xf numFmtId="0" fontId="2" fillId="14" borderId="3" xfId="0" applyFont="1" applyFill="1" applyBorder="1" applyAlignment="1">
      <alignment horizontal="left" vertical="center"/>
    </xf>
    <xf numFmtId="0" fontId="0" fillId="10" borderId="0" xfId="0" applyFill="1"/>
    <xf numFmtId="0" fontId="19" fillId="3" borderId="0" xfId="0" applyFont="1" applyFill="1" applyAlignment="1">
      <alignment horizontal="center"/>
    </xf>
    <xf numFmtId="0" fontId="5" fillId="3" borderId="3" xfId="0" applyFont="1" applyFill="1" applyBorder="1" applyAlignment="1">
      <alignment horizontal="left" vertical="center"/>
    </xf>
    <xf numFmtId="4" fontId="3" fillId="3" borderId="4" xfId="0" applyNumberFormat="1" applyFont="1" applyFill="1" applyBorder="1" applyAlignment="1">
      <alignment horizontal="right" vertical="center"/>
    </xf>
    <xf numFmtId="4" fontId="3" fillId="3" borderId="4" xfId="0" applyNumberFormat="1" applyFont="1" applyFill="1" applyBorder="1" applyAlignment="1">
      <alignment horizontal="right"/>
    </xf>
    <xf numFmtId="0" fontId="2" fillId="11" borderId="3" xfId="0" applyFont="1" applyFill="1" applyBorder="1" applyAlignment="1">
      <alignment horizontal="left" vertical="center"/>
    </xf>
    <xf numFmtId="4" fontId="4" fillId="11" borderId="4" xfId="0" applyNumberFormat="1" applyFont="1" applyFill="1" applyBorder="1" applyAlignment="1">
      <alignment horizontal="right" vertical="center"/>
    </xf>
    <xf numFmtId="4" fontId="4" fillId="11" borderId="4" xfId="0" applyNumberFormat="1" applyFont="1" applyFill="1" applyBorder="1" applyAlignment="1">
      <alignment horizontal="right"/>
    </xf>
    <xf numFmtId="0" fontId="2" fillId="10" borderId="3" xfId="0" applyFont="1" applyFill="1" applyBorder="1" applyAlignment="1">
      <alignment horizontal="left" vertical="center" indent="1"/>
    </xf>
    <xf numFmtId="4" fontId="4" fillId="10" borderId="4" xfId="0" applyNumberFormat="1" applyFont="1" applyFill="1" applyBorder="1" applyAlignment="1">
      <alignment horizontal="right" vertical="center"/>
    </xf>
    <xf numFmtId="4" fontId="4" fillId="10" borderId="4" xfId="0" applyNumberFormat="1" applyFont="1" applyFill="1" applyBorder="1" applyAlignment="1">
      <alignment horizontal="right"/>
    </xf>
    <xf numFmtId="0" fontId="5" fillId="4" borderId="3" xfId="0" applyFont="1" applyFill="1" applyBorder="1" applyAlignment="1">
      <alignment horizontal="left" vertical="center"/>
    </xf>
    <xf numFmtId="4" fontId="3" fillId="4" borderId="4" xfId="0" applyNumberFormat="1" applyFont="1" applyFill="1" applyBorder="1" applyAlignment="1">
      <alignment horizontal="right" vertical="center"/>
    </xf>
    <xf numFmtId="4" fontId="3" fillId="4" borderId="4" xfId="0" applyNumberFormat="1" applyFont="1" applyFill="1" applyBorder="1" applyAlignment="1">
      <alignment horizontal="right"/>
    </xf>
    <xf numFmtId="4" fontId="4" fillId="2" borderId="4" xfId="0" applyNumberFormat="1" applyFont="1" applyFill="1" applyBorder="1" applyAlignment="1">
      <alignment horizontal="right"/>
    </xf>
    <xf numFmtId="0" fontId="2" fillId="10" borderId="3" xfId="0" applyFont="1" applyFill="1" applyBorder="1" applyAlignment="1">
      <alignment horizontal="left" vertical="center"/>
    </xf>
    <xf numFmtId="4" fontId="4" fillId="2" borderId="5" xfId="0" applyNumberFormat="1" applyFont="1" applyFill="1" applyBorder="1" applyAlignment="1">
      <alignment horizontal="right"/>
    </xf>
    <xf numFmtId="4" fontId="7" fillId="4" borderId="4" xfId="0" applyNumberFormat="1" applyFont="1" applyFill="1" applyBorder="1" applyAlignment="1">
      <alignment horizontal="right" vertical="center"/>
    </xf>
    <xf numFmtId="4" fontId="7" fillId="4" borderId="4" xfId="0" applyNumberFormat="1" applyFont="1" applyFill="1" applyBorder="1" applyAlignment="1">
      <alignment horizontal="right"/>
    </xf>
    <xf numFmtId="10" fontId="0" fillId="0" borderId="0" xfId="1" applyNumberFormat="1" applyFont="1" applyAlignment="1">
      <alignment horizontal="right"/>
    </xf>
    <xf numFmtId="0" fontId="5" fillId="3" borderId="0" xfId="0" applyFont="1" applyFill="1" applyAlignment="1">
      <alignment horizontal="left" vertical="center"/>
    </xf>
    <xf numFmtId="0" fontId="63" fillId="13" borderId="0" xfId="0" applyFont="1" applyFill="1" applyAlignment="1">
      <alignment horizontal="left" vertical="center" indent="1"/>
    </xf>
    <xf numFmtId="4" fontId="0" fillId="0" borderId="0" xfId="0" applyNumberFormat="1" applyAlignment="1">
      <alignment horizontal="right"/>
    </xf>
    <xf numFmtId="0" fontId="57" fillId="13" borderId="0" xfId="0" applyFont="1" applyFill="1" applyAlignment="1">
      <alignment horizontal="left" vertical="center" indent="1"/>
    </xf>
    <xf numFmtId="0" fontId="63" fillId="14" borderId="13" xfId="0" applyFont="1" applyFill="1" applyBorder="1" applyAlignment="1">
      <alignment horizontal="left" vertical="center" indent="1"/>
    </xf>
    <xf numFmtId="0" fontId="0" fillId="0" borderId="13" xfId="0" applyBorder="1"/>
    <xf numFmtId="4" fontId="0" fillId="0" borderId="13" xfId="0" applyNumberFormat="1" applyBorder="1" applyAlignment="1">
      <alignment horizontal="right"/>
    </xf>
    <xf numFmtId="0" fontId="13" fillId="3" borderId="13" xfId="0" applyFont="1" applyFill="1" applyBorder="1" applyAlignment="1">
      <alignment horizontal="left" indent="1"/>
    </xf>
    <xf numFmtId="2" fontId="0" fillId="0" borderId="13" xfId="0" applyNumberFormat="1" applyBorder="1" applyAlignment="1">
      <alignment horizontal="right"/>
    </xf>
    <xf numFmtId="2" fontId="0" fillId="0" borderId="0" xfId="0" applyNumberFormat="1" applyAlignment="1">
      <alignment horizontal="right"/>
    </xf>
    <xf numFmtId="0" fontId="57" fillId="14" borderId="0" xfId="0" applyFont="1" applyFill="1" applyAlignment="1">
      <alignment horizontal="left" vertical="center" indent="1"/>
    </xf>
    <xf numFmtId="0" fontId="30" fillId="14" borderId="0" xfId="0" applyFont="1" applyFill="1" applyAlignment="1">
      <alignment horizontal="left" vertical="center" indent="1"/>
    </xf>
    <xf numFmtId="0" fontId="57" fillId="14" borderId="13" xfId="0" applyFont="1" applyFill="1" applyBorder="1" applyAlignment="1">
      <alignment horizontal="left" vertical="center" indent="1"/>
    </xf>
    <xf numFmtId="0" fontId="18" fillId="14" borderId="0" xfId="0" applyFont="1" applyFill="1"/>
    <xf numFmtId="2" fontId="18" fillId="0" borderId="0" xfId="0" applyNumberFormat="1" applyFont="1" applyAlignment="1">
      <alignment horizontal="right"/>
    </xf>
    <xf numFmtId="0" fontId="63" fillId="11" borderId="0" xfId="0" applyFont="1" applyFill="1" applyAlignment="1">
      <alignment horizontal="left" vertical="center" indent="1"/>
    </xf>
    <xf numFmtId="0" fontId="63" fillId="0" borderId="0" xfId="0" applyFont="1" applyAlignment="1">
      <alignment horizontal="left" vertical="center" indent="1"/>
    </xf>
    <xf numFmtId="2" fontId="37" fillId="0" borderId="0" xfId="0" applyNumberFormat="1" applyFont="1" applyAlignment="1">
      <alignment horizontal="right"/>
    </xf>
    <xf numFmtId="0" fontId="57" fillId="11" borderId="0" xfId="0" applyFont="1" applyFill="1" applyAlignment="1">
      <alignment horizontal="left" vertical="center" indent="1"/>
    </xf>
    <xf numFmtId="0" fontId="63" fillId="11" borderId="0" xfId="0" applyFont="1" applyFill="1" applyAlignment="1">
      <alignment horizontal="left" vertical="center" indent="2"/>
    </xf>
    <xf numFmtId="0" fontId="63" fillId="11" borderId="13" xfId="0" applyFont="1" applyFill="1" applyBorder="1" applyAlignment="1">
      <alignment horizontal="left" vertical="center" indent="2"/>
    </xf>
    <xf numFmtId="0" fontId="18" fillId="11" borderId="0" xfId="0" applyFont="1" applyFill="1"/>
    <xf numFmtId="2" fontId="18" fillId="12" borderId="0" xfId="0" applyNumberFormat="1" applyFont="1" applyFill="1" applyAlignment="1">
      <alignment horizontal="right"/>
    </xf>
    <xf numFmtId="0" fontId="63" fillId="10" borderId="0" xfId="0" applyFont="1" applyFill="1" applyAlignment="1">
      <alignment horizontal="left" vertical="center" indent="1"/>
    </xf>
    <xf numFmtId="0" fontId="57" fillId="10" borderId="0" xfId="0" applyFont="1" applyFill="1" applyAlignment="1">
      <alignment horizontal="left" vertical="center" indent="2"/>
    </xf>
    <xf numFmtId="0" fontId="57" fillId="10" borderId="0" xfId="0" applyFont="1" applyFill="1" applyAlignment="1">
      <alignment horizontal="left" vertical="center" indent="1"/>
    </xf>
    <xf numFmtId="0" fontId="57" fillId="10" borderId="13" xfId="0" applyFont="1" applyFill="1" applyBorder="1" applyAlignment="1">
      <alignment horizontal="left" vertical="center" indent="1"/>
    </xf>
    <xf numFmtId="0" fontId="18" fillId="10" borderId="0" xfId="0" applyFont="1" applyFill="1"/>
    <xf numFmtId="0" fontId="22" fillId="10" borderId="0" xfId="0" applyFont="1" applyFill="1" applyAlignment="1">
      <alignment horizontal="left" vertical="center" indent="1"/>
    </xf>
    <xf numFmtId="0" fontId="18" fillId="9" borderId="11" xfId="0" applyFont="1" applyFill="1" applyBorder="1" applyAlignment="1">
      <alignment vertical="center"/>
    </xf>
    <xf numFmtId="0" fontId="0" fillId="0" borderId="27" xfId="0" applyBorder="1" applyAlignment="1">
      <alignment vertical="center"/>
    </xf>
    <xf numFmtId="2" fontId="18" fillId="0" borderId="27" xfId="0" applyNumberFormat="1" applyFont="1" applyBorder="1" applyAlignment="1">
      <alignment horizontal="right" vertical="center"/>
    </xf>
    <xf numFmtId="2" fontId="18" fillId="0" borderId="2" xfId="0" applyNumberFormat="1" applyFont="1" applyBorder="1" applyAlignment="1">
      <alignment horizontal="right" vertical="center"/>
    </xf>
    <xf numFmtId="0" fontId="63" fillId="13" borderId="0" xfId="0" applyFont="1" applyFill="1" applyAlignment="1">
      <alignment horizontal="left" vertical="center" indent="2"/>
    </xf>
    <xf numFmtId="0" fontId="57" fillId="13" borderId="0" xfId="0" applyFont="1" applyFill="1" applyAlignment="1">
      <alignment horizontal="left" vertical="center" indent="2"/>
    </xf>
    <xf numFmtId="0" fontId="18" fillId="9" borderId="11" xfId="0" applyFont="1" applyFill="1" applyBorder="1"/>
    <xf numFmtId="0" fontId="18" fillId="0" borderId="27" xfId="0" applyFont="1" applyBorder="1"/>
    <xf numFmtId="2" fontId="18" fillId="0" borderId="27" xfId="0" applyNumberFormat="1" applyFont="1" applyBorder="1" applyAlignment="1">
      <alignment horizontal="right"/>
    </xf>
    <xf numFmtId="2" fontId="18" fillId="0" borderId="2" xfId="0" applyNumberFormat="1" applyFont="1" applyBorder="1" applyAlignment="1">
      <alignment horizontal="right"/>
    </xf>
    <xf numFmtId="0" fontId="18" fillId="0" borderId="0" xfId="0" applyFont="1" applyAlignment="1">
      <alignment horizontal="right"/>
    </xf>
    <xf numFmtId="0" fontId="64" fillId="9" borderId="11" xfId="0" applyFont="1" applyFill="1" applyBorder="1" applyAlignment="1">
      <alignment horizontal="left" vertical="center"/>
    </xf>
    <xf numFmtId="0" fontId="66" fillId="0" borderId="27" xfId="0" applyFont="1" applyBorder="1"/>
    <xf numFmtId="0" fontId="66" fillId="0" borderId="0" xfId="0" applyFont="1" applyAlignment="1">
      <alignment horizontal="center"/>
    </xf>
    <xf numFmtId="10" fontId="3" fillId="15" borderId="0" xfId="0" applyNumberFormat="1" applyFont="1" applyFill="1" applyAlignment="1">
      <alignment horizontal="right" vertical="center"/>
    </xf>
    <xf numFmtId="10" fontId="67" fillId="15" borderId="0" xfId="0" applyNumberFormat="1" applyFont="1" applyFill="1" applyAlignment="1">
      <alignment horizontal="right" vertical="center"/>
    </xf>
    <xf numFmtId="0" fontId="4" fillId="11" borderId="0" xfId="0" applyFont="1" applyFill="1" applyAlignment="1">
      <alignment horizontal="left" vertical="center"/>
    </xf>
    <xf numFmtId="166" fontId="4" fillId="21" borderId="0" xfId="1" applyNumberFormat="1" applyFont="1" applyFill="1" applyBorder="1" applyAlignment="1">
      <alignment horizontal="right" vertical="center"/>
    </xf>
    <xf numFmtId="10" fontId="4" fillId="21" borderId="0" xfId="1" applyNumberFormat="1" applyFont="1" applyFill="1" applyBorder="1" applyAlignment="1">
      <alignment horizontal="right" vertical="center"/>
    </xf>
    <xf numFmtId="10" fontId="3" fillId="0" borderId="0" xfId="0" applyNumberFormat="1" applyFont="1" applyAlignment="1">
      <alignment horizontal="right" vertical="center"/>
    </xf>
    <xf numFmtId="9" fontId="0" fillId="0" borderId="0" xfId="1" applyFont="1"/>
    <xf numFmtId="9" fontId="68" fillId="0" borderId="0" xfId="1" applyFont="1"/>
    <xf numFmtId="10" fontId="69" fillId="0" borderId="0" xfId="0" applyNumberFormat="1" applyFont="1" applyAlignment="1">
      <alignment horizontal="right" vertical="center"/>
    </xf>
    <xf numFmtId="10" fontId="37" fillId="9" borderId="0" xfId="0" applyNumberFormat="1" applyFont="1" applyFill="1" applyAlignment="1">
      <alignment horizontal="right" vertical="center"/>
    </xf>
    <xf numFmtId="10" fontId="70" fillId="0" borderId="0" xfId="1" applyNumberFormat="1" applyFont="1" applyFill="1"/>
    <xf numFmtId="0" fontId="0" fillId="0" borderId="0" xfId="0" applyAlignment="1">
      <alignment horizontal="left" indent="1"/>
    </xf>
    <xf numFmtId="0" fontId="0" fillId="0" borderId="13" xfId="0" applyBorder="1" applyAlignment="1">
      <alignment horizontal="left" indent="1"/>
    </xf>
    <xf numFmtId="43" fontId="0" fillId="0" borderId="13" xfId="0" applyNumberFormat="1" applyBorder="1"/>
    <xf numFmtId="0" fontId="0" fillId="11" borderId="13" xfId="0" applyFill="1" applyBorder="1" applyAlignment="1">
      <alignment horizontal="left" indent="1"/>
    </xf>
    <xf numFmtId="0" fontId="13" fillId="0" borderId="0" xfId="0" applyFont="1" applyAlignment="1">
      <alignment horizontal="left" indent="1"/>
    </xf>
    <xf numFmtId="0" fontId="14" fillId="0" borderId="0" xfId="0" applyFont="1" applyAlignment="1">
      <alignment horizontal="left" indent="1"/>
    </xf>
    <xf numFmtId="0" fontId="14" fillId="0" borderId="13" xfId="0" applyFont="1" applyBorder="1" applyAlignment="1">
      <alignment horizontal="left" indent="1"/>
    </xf>
    <xf numFmtId="168" fontId="71" fillId="0" borderId="0" xfId="2" applyNumberFormat="1" applyFont="1" applyFill="1"/>
    <xf numFmtId="168" fontId="71" fillId="9" borderId="0" xfId="2" applyNumberFormat="1" applyFont="1" applyFill="1"/>
    <xf numFmtId="0" fontId="72" fillId="0" borderId="0" xfId="0" applyFont="1"/>
    <xf numFmtId="0" fontId="3" fillId="0" borderId="0" xfId="0" applyFont="1" applyAlignment="1">
      <alignment horizontal="right" vertical="center"/>
    </xf>
    <xf numFmtId="2" fontId="4" fillId="0" borderId="0" xfId="0" applyNumberFormat="1" applyFont="1" applyAlignment="1">
      <alignment horizontal="right" vertical="center"/>
    </xf>
    <xf numFmtId="10" fontId="4" fillId="0" borderId="0" xfId="1" applyNumberFormat="1" applyFont="1" applyBorder="1" applyAlignment="1">
      <alignment horizontal="right" vertical="center"/>
    </xf>
    <xf numFmtId="3" fontId="4" fillId="0" borderId="0" xfId="0" applyNumberFormat="1" applyFont="1" applyAlignment="1">
      <alignment horizontal="right" vertical="center"/>
    </xf>
    <xf numFmtId="0" fontId="0" fillId="0" borderId="0" xfId="0" applyAlignment="1">
      <alignment horizontal="center"/>
    </xf>
    <xf numFmtId="0" fontId="73" fillId="0" borderId="0" xfId="0" applyFont="1" applyAlignment="1">
      <alignment horizontal="right"/>
    </xf>
    <xf numFmtId="164" fontId="20" fillId="0" borderId="0" xfId="2" applyFont="1" applyAlignment="1">
      <alignment horizontal="right" vertical="center"/>
    </xf>
    <xf numFmtId="0" fontId="4" fillId="0" borderId="0" xfId="0" applyFont="1" applyAlignment="1">
      <alignment horizontal="right" vertical="center"/>
    </xf>
    <xf numFmtId="0" fontId="3" fillId="3" borderId="0" xfId="0" applyFont="1" applyFill="1" applyAlignment="1">
      <alignment horizontal="right" vertical="center"/>
    </xf>
    <xf numFmtId="170" fontId="20" fillId="0" borderId="0" xfId="2" applyNumberFormat="1" applyFont="1" applyAlignment="1">
      <alignment horizontal="right" vertical="center"/>
    </xf>
    <xf numFmtId="170" fontId="20" fillId="3" borderId="0" xfId="2" applyNumberFormat="1" applyFont="1" applyFill="1" applyAlignment="1">
      <alignment horizontal="right" vertical="center"/>
    </xf>
    <xf numFmtId="170" fontId="28" fillId="0" borderId="0" xfId="2" applyNumberFormat="1" applyFont="1" applyAlignment="1">
      <alignment horizontal="right" vertical="center"/>
    </xf>
    <xf numFmtId="170" fontId="28" fillId="0" borderId="0" xfId="2" applyNumberFormat="1" applyFont="1" applyFill="1" applyAlignment="1">
      <alignment horizontal="right" vertical="center"/>
    </xf>
    <xf numFmtId="170" fontId="0" fillId="0" borderId="0" xfId="2" applyNumberFormat="1" applyFont="1" applyAlignment="1">
      <alignment horizontal="right"/>
    </xf>
    <xf numFmtId="170" fontId="74" fillId="0" borderId="0" xfId="2" applyNumberFormat="1" applyFont="1" applyAlignment="1">
      <alignment horizontal="right"/>
    </xf>
    <xf numFmtId="164" fontId="74" fillId="3" borderId="0" xfId="2" applyFont="1" applyFill="1" applyAlignment="1">
      <alignment horizontal="right"/>
    </xf>
    <xf numFmtId="164" fontId="0" fillId="0" borderId="0" xfId="2" applyFont="1" applyAlignment="1">
      <alignment horizontal="right"/>
    </xf>
    <xf numFmtId="10" fontId="18" fillId="3" borderId="0" xfId="1" applyNumberFormat="1" applyFont="1" applyFill="1" applyAlignment="1">
      <alignment horizontal="right"/>
    </xf>
    <xf numFmtId="0" fontId="0" fillId="22" borderId="0" xfId="0" applyFill="1"/>
    <xf numFmtId="3" fontId="0" fillId="22" borderId="0" xfId="0" applyNumberFormat="1" applyFill="1" applyAlignment="1">
      <alignment horizontal="right"/>
    </xf>
    <xf numFmtId="0" fontId="0" fillId="22" borderId="0" xfId="0" quotePrefix="1" applyFill="1" applyAlignment="1">
      <alignment horizontal="left" indent="1"/>
    </xf>
    <xf numFmtId="10" fontId="0" fillId="22" borderId="0" xfId="0" applyNumberFormat="1" applyFill="1" applyAlignment="1">
      <alignment horizontal="right"/>
    </xf>
    <xf numFmtId="0" fontId="19" fillId="0" borderId="0" xfId="0" applyFont="1" applyAlignment="1">
      <alignment horizontal="center" wrapText="1"/>
    </xf>
    <xf numFmtId="0" fontId="0" fillId="0" borderId="0" xfId="0" quotePrefix="1" applyAlignment="1">
      <alignment horizontal="left" indent="1"/>
    </xf>
    <xf numFmtId="10" fontId="0" fillId="0" borderId="0" xfId="0" applyNumberFormat="1" applyAlignment="1">
      <alignment horizontal="right"/>
    </xf>
    <xf numFmtId="3" fontId="18" fillId="3" borderId="0" xfId="0" applyNumberFormat="1" applyFont="1" applyFill="1" applyAlignment="1">
      <alignment horizontal="right"/>
    </xf>
    <xf numFmtId="3" fontId="0" fillId="0" borderId="0" xfId="0" applyNumberFormat="1" applyAlignment="1">
      <alignment horizontal="right"/>
    </xf>
    <xf numFmtId="1" fontId="0" fillId="0" borderId="0" xfId="0" applyNumberFormat="1" applyAlignment="1">
      <alignment horizontal="right" wrapText="1"/>
    </xf>
    <xf numFmtId="0" fontId="21" fillId="3" borderId="0" xfId="0" applyFont="1" applyFill="1"/>
    <xf numFmtId="171" fontId="21" fillId="3" borderId="0" xfId="1" applyNumberFormat="1" applyFont="1" applyFill="1" applyAlignment="1">
      <alignment horizontal="right"/>
    </xf>
    <xf numFmtId="0" fontId="37" fillId="19" borderId="3" xfId="0" applyFont="1" applyFill="1" applyBorder="1" applyAlignment="1">
      <alignment horizontal="left" vertical="center"/>
    </xf>
    <xf numFmtId="4" fontId="37" fillId="19" borderId="4" xfId="0" applyNumberFormat="1" applyFont="1" applyFill="1" applyBorder="1" applyAlignment="1">
      <alignment horizontal="right" vertical="center"/>
    </xf>
    <xf numFmtId="0" fontId="2" fillId="23" borderId="3" xfId="0" applyFont="1" applyFill="1" applyBorder="1" applyAlignment="1">
      <alignment horizontal="left" vertical="center"/>
    </xf>
    <xf numFmtId="4" fontId="4" fillId="23" borderId="4" xfId="0" applyNumberFormat="1" applyFont="1" applyFill="1" applyBorder="1" applyAlignment="1">
      <alignment horizontal="right" vertical="center"/>
    </xf>
    <xf numFmtId="0" fontId="37" fillId="23" borderId="3" xfId="0" applyFont="1" applyFill="1" applyBorder="1" applyAlignment="1">
      <alignment horizontal="left" vertical="center"/>
    </xf>
    <xf numFmtId="4" fontId="37" fillId="23" borderId="4" xfId="0" applyNumberFormat="1" applyFont="1" applyFill="1" applyBorder="1" applyAlignment="1">
      <alignment horizontal="right" vertical="center"/>
    </xf>
    <xf numFmtId="0" fontId="2" fillId="24" borderId="3" xfId="0" applyFont="1" applyFill="1" applyBorder="1" applyAlignment="1">
      <alignment horizontal="left" vertical="center"/>
    </xf>
    <xf numFmtId="4" fontId="4" fillId="24" borderId="4" xfId="0" applyNumberFormat="1" applyFont="1" applyFill="1" applyBorder="1" applyAlignment="1">
      <alignment horizontal="right" vertical="center"/>
    </xf>
    <xf numFmtId="0" fontId="2" fillId="19" borderId="3" xfId="0" applyFont="1" applyFill="1" applyBorder="1" applyAlignment="1">
      <alignment horizontal="left" vertical="center" indent="1"/>
    </xf>
    <xf numFmtId="4" fontId="4" fillId="19" borderId="4" xfId="0" applyNumberFormat="1" applyFont="1" applyFill="1" applyBorder="1" applyAlignment="1">
      <alignment horizontal="right" vertical="center"/>
    </xf>
    <xf numFmtId="0" fontId="2" fillId="3" borderId="3" xfId="0" applyFont="1" applyFill="1" applyBorder="1" applyAlignment="1">
      <alignment horizontal="left" vertical="center" indent="1"/>
    </xf>
    <xf numFmtId="0" fontId="2" fillId="18" borderId="3" xfId="0" applyFont="1" applyFill="1" applyBorder="1" applyAlignment="1">
      <alignment horizontal="left" vertical="center" indent="1"/>
    </xf>
    <xf numFmtId="4" fontId="4" fillId="18" borderId="4" xfId="0" applyNumberFormat="1" applyFont="1" applyFill="1" applyBorder="1" applyAlignment="1">
      <alignment horizontal="right" vertical="center"/>
    </xf>
    <xf numFmtId="0" fontId="63" fillId="23" borderId="3" xfId="0" applyFont="1" applyFill="1" applyBorder="1" applyAlignment="1">
      <alignment horizontal="left" vertical="center"/>
    </xf>
    <xf numFmtId="4" fontId="63" fillId="23" borderId="4" xfId="0" applyNumberFormat="1" applyFont="1" applyFill="1" applyBorder="1" applyAlignment="1">
      <alignment horizontal="right" vertical="center"/>
    </xf>
    <xf numFmtId="0" fontId="15" fillId="0" borderId="3" xfId="0" applyFont="1" applyBorder="1" applyAlignment="1">
      <alignment horizontal="left" vertical="center"/>
    </xf>
    <xf numFmtId="4" fontId="15" fillId="2" borderId="4" xfId="0" applyNumberFormat="1" applyFont="1" applyFill="1" applyBorder="1" applyAlignment="1">
      <alignment horizontal="right" vertical="center"/>
    </xf>
    <xf numFmtId="166" fontId="18" fillId="0" borderId="0" xfId="1" applyNumberFormat="1" applyFont="1"/>
    <xf numFmtId="0" fontId="75" fillId="0" borderId="0" xfId="0" applyFont="1"/>
    <xf numFmtId="0" fontId="22" fillId="0" borderId="0" xfId="0" applyFont="1" applyAlignment="1">
      <alignment horizontal="left" indent="1"/>
    </xf>
    <xf numFmtId="0" fontId="18" fillId="0" borderId="0" xfId="0" applyFont="1" applyAlignment="1">
      <alignment horizontal="left"/>
    </xf>
    <xf numFmtId="4" fontId="18" fillId="0" borderId="14" xfId="0" applyNumberFormat="1" applyFont="1" applyBorder="1"/>
    <xf numFmtId="4" fontId="31" fillId="0" borderId="0" xfId="0" applyNumberFormat="1" applyFont="1" applyAlignment="1">
      <alignment horizontal="left" indent="1"/>
    </xf>
    <xf numFmtId="3" fontId="22" fillId="0" borderId="0" xfId="0" applyNumberFormat="1" applyFont="1"/>
    <xf numFmtId="3" fontId="22" fillId="0" borderId="28" xfId="0" applyNumberFormat="1" applyFont="1" applyBorder="1"/>
    <xf numFmtId="0" fontId="18" fillId="19" borderId="0" xfId="0" applyFont="1" applyFill="1"/>
    <xf numFmtId="4" fontId="18" fillId="19" borderId="0" xfId="0" applyNumberFormat="1" applyFont="1" applyFill="1"/>
    <xf numFmtId="0" fontId="18" fillId="23" borderId="0" xfId="0" applyFont="1" applyFill="1"/>
    <xf numFmtId="4" fontId="18" fillId="23" borderId="0" xfId="0" applyNumberFormat="1" applyFont="1" applyFill="1"/>
    <xf numFmtId="0" fontId="18" fillId="20" borderId="11" xfId="0" applyFont="1" applyFill="1" applyBorder="1"/>
    <xf numFmtId="0" fontId="18" fillId="20" borderId="27" xfId="0" applyFont="1" applyFill="1" applyBorder="1"/>
    <xf numFmtId="4" fontId="18" fillId="20" borderId="27" xfId="0" applyNumberFormat="1" applyFont="1" applyFill="1" applyBorder="1"/>
    <xf numFmtId="4" fontId="18" fillId="20" borderId="2" xfId="0" applyNumberFormat="1" applyFont="1" applyFill="1" applyBorder="1"/>
    <xf numFmtId="0" fontId="18" fillId="3" borderId="11" xfId="0" applyFont="1" applyFill="1" applyBorder="1"/>
    <xf numFmtId="0" fontId="18" fillId="3" borderId="27" xfId="0" applyFont="1" applyFill="1" applyBorder="1"/>
    <xf numFmtId="4" fontId="18" fillId="3" borderId="27" xfId="0" applyNumberFormat="1" applyFont="1" applyFill="1" applyBorder="1"/>
    <xf numFmtId="4" fontId="18" fillId="3" borderId="2" xfId="0" applyNumberFormat="1" applyFont="1" applyFill="1" applyBorder="1"/>
    <xf numFmtId="0" fontId="50" fillId="6" borderId="11" xfId="0" applyFont="1" applyFill="1" applyBorder="1"/>
    <xf numFmtId="0" fontId="18" fillId="6" borderId="27" xfId="0" applyFont="1" applyFill="1" applyBorder="1"/>
    <xf numFmtId="4" fontId="18" fillId="6" borderId="27" xfId="0" applyNumberFormat="1" applyFont="1" applyFill="1" applyBorder="1"/>
    <xf numFmtId="4" fontId="18" fillId="6" borderId="2" xfId="0" applyNumberFormat="1" applyFont="1" applyFill="1" applyBorder="1"/>
    <xf numFmtId="0" fontId="77" fillId="6" borderId="11" xfId="0" applyFont="1" applyFill="1" applyBorder="1"/>
    <xf numFmtId="0" fontId="20" fillId="6" borderId="27" xfId="0" applyFont="1" applyFill="1" applyBorder="1"/>
    <xf numFmtId="4" fontId="20" fillId="6" borderId="27" xfId="0" applyNumberFormat="1" applyFont="1" applyFill="1" applyBorder="1"/>
    <xf numFmtId="4" fontId="20" fillId="6" borderId="2" xfId="0" applyNumberFormat="1" applyFont="1" applyFill="1" applyBorder="1"/>
    <xf numFmtId="0" fontId="18" fillId="0" borderId="0" xfId="0" applyFont="1" applyAlignment="1">
      <alignment horizontal="center" vertical="center" wrapText="1"/>
    </xf>
    <xf numFmtId="0" fontId="18"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54" fillId="0" borderId="9" xfId="0" applyFont="1" applyBorder="1" applyAlignment="1">
      <alignment horizontal="center" vertical="center" wrapText="1"/>
    </xf>
    <xf numFmtId="0" fontId="19" fillId="0" borderId="0" xfId="0" applyFont="1" applyAlignment="1">
      <alignment horizontal="center" vertical="center"/>
    </xf>
    <xf numFmtId="0" fontId="19" fillId="22" borderId="0" xfId="0" applyFont="1" applyFill="1" applyAlignment="1">
      <alignment horizont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9524</xdr:colOff>
      <xdr:row>1</xdr:row>
      <xdr:rowOff>104775</xdr:rowOff>
    </xdr:from>
    <xdr:to>
      <xdr:col>7</xdr:col>
      <xdr:colOff>114300</xdr:colOff>
      <xdr:row>6</xdr:row>
      <xdr:rowOff>180975</xdr:rowOff>
    </xdr:to>
    <xdr:sp macro="" textlink="">
      <xdr:nvSpPr>
        <xdr:cNvPr id="4" name="Szövegdoboz 1">
          <a:extLst>
            <a:ext uri="{FF2B5EF4-FFF2-40B4-BE49-F238E27FC236}">
              <a16:creationId xmlns:a16="http://schemas.microsoft.com/office/drawing/2014/main" id="{58A7C60B-FCDA-4EA6-A4FE-38456A2C1249}"/>
            </a:ext>
          </a:extLst>
        </xdr:cNvPr>
        <xdr:cNvSpPr txBox="1"/>
      </xdr:nvSpPr>
      <xdr:spPr>
        <a:xfrm>
          <a:off x="619124" y="304800"/>
          <a:ext cx="8601076"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Prepare the financial statements (Balance sheet, P/L, Business cash flow) of the firm using the data given and 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66674</xdr:colOff>
      <xdr:row>0</xdr:row>
      <xdr:rowOff>190500</xdr:rowOff>
    </xdr:from>
    <xdr:to>
      <xdr:col>7</xdr:col>
      <xdr:colOff>171450</xdr:colOff>
      <xdr:row>6</xdr:row>
      <xdr:rowOff>66675</xdr:rowOff>
    </xdr:to>
    <xdr:sp macro="" textlink="">
      <xdr:nvSpPr>
        <xdr:cNvPr id="2" name="Szövegdoboz 1">
          <a:extLst>
            <a:ext uri="{FF2B5EF4-FFF2-40B4-BE49-F238E27FC236}">
              <a16:creationId xmlns:a16="http://schemas.microsoft.com/office/drawing/2014/main" id="{599F319D-49C1-45B3-8752-63F0913E366B}"/>
            </a:ext>
          </a:extLst>
        </xdr:cNvPr>
        <xdr:cNvSpPr txBox="1"/>
      </xdr:nvSpPr>
      <xdr:spPr>
        <a:xfrm>
          <a:off x="676274" y="190500"/>
          <a:ext cx="79057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D767773E-CCA4-4C71-B073-DB33DD9A4F55}"/>
            </a:ext>
          </a:extLst>
        </xdr:cNvPr>
        <xdr:cNvSpPr txBox="1"/>
      </xdr:nvSpPr>
      <xdr:spPr>
        <a:xfrm>
          <a:off x="695324" y="3362325"/>
          <a:ext cx="7553326"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(15 points)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7</xdr:col>
      <xdr:colOff>114300</xdr:colOff>
      <xdr:row>20</xdr:row>
      <xdr:rowOff>114300</xdr:rowOff>
    </xdr:to>
    <xdr:sp macro="" textlink="">
      <xdr:nvSpPr>
        <xdr:cNvPr id="2" name="Szövegdoboz 1">
          <a:extLst>
            <a:ext uri="{FF2B5EF4-FFF2-40B4-BE49-F238E27FC236}">
              <a16:creationId xmlns:a16="http://schemas.microsoft.com/office/drawing/2014/main" id="{C3CA8846-0368-46D6-915E-B0929593B2EE}"/>
            </a:ext>
          </a:extLst>
        </xdr:cNvPr>
        <xdr:cNvSpPr txBox="1"/>
      </xdr:nvSpPr>
      <xdr:spPr>
        <a:xfrm>
          <a:off x="695324" y="3362325"/>
          <a:ext cx="792480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Fill in</a:t>
          </a:r>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numbers missing in the table.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2C05B6E1-6746-472D-8EB8-B868C2B30B6D}"/>
            </a:ext>
          </a:extLst>
        </xdr:cNvPr>
        <xdr:cNvSpPr txBox="1"/>
      </xdr:nvSpPr>
      <xdr:spPr>
        <a:xfrm>
          <a:off x="685801" y="2333625"/>
          <a:ext cx="79629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5800724</xdr:colOff>
      <xdr:row>1</xdr:row>
      <xdr:rowOff>142875</xdr:rowOff>
    </xdr:from>
    <xdr:to>
      <xdr:col>8</xdr:col>
      <xdr:colOff>1524000</xdr:colOff>
      <xdr:row>8</xdr:row>
      <xdr:rowOff>152400</xdr:rowOff>
    </xdr:to>
    <xdr:sp macro="" textlink="">
      <xdr:nvSpPr>
        <xdr:cNvPr id="4" name="Szövegdoboz 1">
          <a:extLst>
            <a:ext uri="{FF2B5EF4-FFF2-40B4-BE49-F238E27FC236}">
              <a16:creationId xmlns:a16="http://schemas.microsoft.com/office/drawing/2014/main" id="{A933B0BD-46CD-4D0B-B242-0E3F33E11C28}"/>
            </a:ext>
          </a:extLst>
        </xdr:cNvPr>
        <xdr:cNvSpPr txBox="1"/>
      </xdr:nvSpPr>
      <xdr:spPr>
        <a:xfrm>
          <a:off x="5800724" y="342900"/>
          <a:ext cx="1098232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2022 assuming that new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r>
            <a:rPr lang="en-US" sz="1400" b="0" baseline="0">
              <a:latin typeface="Times New Roman" panose="02020603050405020304" pitchFamily="18" charset="0"/>
              <a:cs typeface="Times New Roman" panose="02020603050405020304" pitchFamily="18" charset="0"/>
            </a:rPr>
            <a:t> </a:t>
          </a:r>
          <a:endParaRPr lang="hu-HU" sz="1400" b="0" baseline="0">
            <a:solidFill>
              <a:srgbClr val="FF0000"/>
            </a:solidFill>
            <a:latin typeface="Times New Roman" panose="02020603050405020304" pitchFamily="18" charset="0"/>
            <a:cs typeface="Times New Roman" panose="02020603050405020304" pitchFamily="18" charset="0"/>
          </a:endParaRP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571498</xdr:colOff>
      <xdr:row>0</xdr:row>
      <xdr:rowOff>190500</xdr:rowOff>
    </xdr:from>
    <xdr:to>
      <xdr:col>9</xdr:col>
      <xdr:colOff>247649</xdr:colOff>
      <xdr:row>8</xdr:row>
      <xdr:rowOff>0</xdr:rowOff>
    </xdr:to>
    <xdr:sp macro="" textlink="">
      <xdr:nvSpPr>
        <xdr:cNvPr id="2" name="Szövegdoboz 1">
          <a:extLst>
            <a:ext uri="{FF2B5EF4-FFF2-40B4-BE49-F238E27FC236}">
              <a16:creationId xmlns:a16="http://schemas.microsoft.com/office/drawing/2014/main" id="{2DEA1D46-3785-4E63-BD47-7984316DF87F}"/>
            </a:ext>
          </a:extLst>
        </xdr:cNvPr>
        <xdr:cNvSpPr txBox="1"/>
      </xdr:nvSpPr>
      <xdr:spPr>
        <a:xfrm>
          <a:off x="571498" y="190500"/>
          <a:ext cx="93630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2021 assuming that new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85724</xdr:colOff>
      <xdr:row>1</xdr:row>
      <xdr:rowOff>9525</xdr:rowOff>
    </xdr:from>
    <xdr:to>
      <xdr:col>9</xdr:col>
      <xdr:colOff>381000</xdr:colOff>
      <xdr:row>8</xdr:row>
      <xdr:rowOff>19050</xdr:rowOff>
    </xdr:to>
    <xdr:sp macro="" textlink="">
      <xdr:nvSpPr>
        <xdr:cNvPr id="2" name="Szövegdoboz 1">
          <a:extLst>
            <a:ext uri="{FF2B5EF4-FFF2-40B4-BE49-F238E27FC236}">
              <a16:creationId xmlns:a16="http://schemas.microsoft.com/office/drawing/2014/main" id="{B605A053-8C6D-4D6E-9E37-BE17810C3C00}"/>
            </a:ext>
          </a:extLst>
        </xdr:cNvPr>
        <xdr:cNvSpPr txBox="1"/>
      </xdr:nvSpPr>
      <xdr:spPr>
        <a:xfrm>
          <a:off x="695324" y="200025"/>
          <a:ext cx="7800976" cy="134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2022 assuming that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r>
            <a:rPr lang="en-US" sz="1400" b="0" baseline="0">
              <a:latin typeface="Times New Roman" panose="02020603050405020304" pitchFamily="18" charset="0"/>
              <a:cs typeface="Times New Roman" panose="02020603050405020304" pitchFamily="18" charset="0"/>
            </a:rPr>
            <a:t> </a:t>
          </a:r>
          <a:endParaRPr lang="hu-HU" sz="1400" b="0" baseline="0">
            <a:latin typeface="Times New Roman" panose="02020603050405020304" pitchFamily="18" charset="0"/>
            <a:cs typeface="Times New Roman" panose="02020603050405020304" pitchFamily="18" charset="0"/>
          </a:endParaRP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9523</xdr:colOff>
      <xdr:row>15</xdr:row>
      <xdr:rowOff>38100</xdr:rowOff>
    </xdr:from>
    <xdr:to>
      <xdr:col>9</xdr:col>
      <xdr:colOff>295274</xdr:colOff>
      <xdr:row>22</xdr:row>
      <xdr:rowOff>47625</xdr:rowOff>
    </xdr:to>
    <xdr:sp macro="" textlink="">
      <xdr:nvSpPr>
        <xdr:cNvPr id="2" name="Szövegdoboz 1">
          <a:extLst>
            <a:ext uri="{FF2B5EF4-FFF2-40B4-BE49-F238E27FC236}">
              <a16:creationId xmlns:a16="http://schemas.microsoft.com/office/drawing/2014/main" id="{346E90C9-40ED-44CE-AC94-C7DECC6EF64F}"/>
            </a:ext>
          </a:extLst>
        </xdr:cNvPr>
        <xdr:cNvSpPr txBox="1"/>
      </xdr:nvSpPr>
      <xdr:spPr>
        <a:xfrm>
          <a:off x="695323" y="3362325"/>
          <a:ext cx="850582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3</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2021 assuming that </a:t>
          </a:r>
          <a:r>
            <a:rPr lang="hu-HU" sz="1400" b="0">
              <a:solidFill>
                <a:schemeClr val="accent6">
                  <a:lumMod val="75000"/>
                </a:schemeClr>
              </a:solidFill>
              <a:latin typeface="Times New Roman" panose="02020603050405020304" pitchFamily="18" charset="0"/>
              <a:cs typeface="Times New Roman" panose="02020603050405020304" pitchFamily="18" charset="0"/>
            </a:rPr>
            <a:t>new</a:t>
          </a:r>
          <a:r>
            <a:rPr lang="hu-HU" sz="1400" b="0">
              <a:latin typeface="Times New Roman" panose="02020603050405020304" pitchFamily="18" charset="0"/>
              <a:cs typeface="Times New Roman" panose="02020603050405020304" pitchFamily="18" charset="0"/>
            </a:rPr>
            <a:t>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(14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DE821F64-F763-497A-B40A-942A77C1134E}"/>
            </a:ext>
          </a:extLst>
        </xdr:cNvPr>
        <xdr:cNvSpPr txBox="1"/>
      </xdr:nvSpPr>
      <xdr:spPr>
        <a:xfrm>
          <a:off x="685800" y="2324100"/>
          <a:ext cx="8524875"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571499</xdr:colOff>
      <xdr:row>1</xdr:row>
      <xdr:rowOff>19050</xdr:rowOff>
    </xdr:from>
    <xdr:to>
      <xdr:col>7</xdr:col>
      <xdr:colOff>238125</xdr:colOff>
      <xdr:row>6</xdr:row>
      <xdr:rowOff>95250</xdr:rowOff>
    </xdr:to>
    <xdr:sp macro="" textlink="">
      <xdr:nvSpPr>
        <xdr:cNvPr id="2" name="Szövegdoboz 1">
          <a:extLst>
            <a:ext uri="{FF2B5EF4-FFF2-40B4-BE49-F238E27FC236}">
              <a16:creationId xmlns:a16="http://schemas.microsoft.com/office/drawing/2014/main" id="{45639862-287C-4E4F-990B-6C7DEA6F8374}"/>
            </a:ext>
          </a:extLst>
        </xdr:cNvPr>
        <xdr:cNvSpPr txBox="1"/>
      </xdr:nvSpPr>
      <xdr:spPr>
        <a:xfrm>
          <a:off x="571499" y="209550"/>
          <a:ext cx="7067551"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2019 and 2020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40</xdr:row>
      <xdr:rowOff>47625</xdr:rowOff>
    </xdr:to>
    <xdr:sp macro="" textlink="">
      <xdr:nvSpPr>
        <xdr:cNvPr id="3" name="Szövegdoboz 2">
          <a:extLst>
            <a:ext uri="{FF2B5EF4-FFF2-40B4-BE49-F238E27FC236}">
              <a16:creationId xmlns:a16="http://schemas.microsoft.com/office/drawing/2014/main" id="{0B39BAD1-B1E5-420E-AA2E-37CF7D1FFF69}"/>
            </a:ext>
          </a:extLst>
        </xdr:cNvPr>
        <xdr:cNvSpPr txBox="1"/>
      </xdr:nvSpPr>
      <xdr:spPr>
        <a:xfrm>
          <a:off x="8477249" y="3752850"/>
          <a:ext cx="7372351" cy="380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endParaRPr lang="en-US" sz="1400" b="0">
            <a:latin typeface="Times New Roman" panose="02020603050405020304" pitchFamily="18" charset="0"/>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a:p>
          <a:r>
            <a:rPr lang="en-US" sz="1100" b="0">
              <a:solidFill>
                <a:schemeClr val="dk1"/>
              </a:solidFill>
              <a:effectLst/>
              <a:latin typeface="+mn-lt"/>
              <a:ea typeface="+mn-ea"/>
              <a:cs typeface="+mn-cs"/>
            </a:rPr>
            <a:t>The</a:t>
          </a:r>
          <a:r>
            <a:rPr lang="en-US" sz="1100" b="0" baseline="0">
              <a:solidFill>
                <a:schemeClr val="dk1"/>
              </a:solidFill>
              <a:effectLst/>
              <a:latin typeface="+mn-lt"/>
              <a:ea typeface="+mn-ea"/>
              <a:cs typeface="+mn-cs"/>
            </a:rPr>
            <a:t> following elements are NOT part of the business operations of the firm:</a:t>
          </a:r>
          <a:endParaRPr lang="en-US" sz="1400">
            <a:effectLst/>
          </a:endParaRPr>
        </a:p>
        <a:p>
          <a:r>
            <a:rPr lang="en-US" sz="1100" b="0">
              <a:solidFill>
                <a:schemeClr val="dk1"/>
              </a:solidFill>
              <a:effectLst/>
              <a:latin typeface="+mn-lt"/>
              <a:ea typeface="+mn-ea"/>
              <a:cs typeface="+mn-cs"/>
            </a:rPr>
            <a:t>1. Othe</a:t>
          </a:r>
          <a:r>
            <a:rPr lang="en-US" sz="1100" b="0" baseline="0">
              <a:solidFill>
                <a:schemeClr val="dk1"/>
              </a:solidFill>
              <a:effectLst/>
              <a:latin typeface="+mn-lt"/>
              <a:ea typeface="+mn-ea"/>
              <a:cs typeface="+mn-cs"/>
            </a:rPr>
            <a:t>r income ==&gt; should be deducted first from the operational profit and added back as a non-op increase in wealth</a:t>
          </a:r>
          <a:endParaRPr lang="en-US" sz="1400">
            <a:effectLst/>
          </a:endParaRPr>
        </a:p>
        <a:p>
          <a:r>
            <a:rPr lang="en-US" sz="1100" b="0" baseline="0">
              <a:solidFill>
                <a:schemeClr val="dk1"/>
              </a:solidFill>
              <a:effectLst/>
              <a:latin typeface="+mn-lt"/>
              <a:ea typeface="+mn-ea"/>
              <a:cs typeface="+mn-cs"/>
            </a:rPr>
            <a:t>2. Dividend received ==&gt; is part of the finacing CF, will need to account for a TAX deduction</a:t>
          </a:r>
          <a:endParaRPr lang="en-US" sz="1400">
            <a:effectLst/>
          </a:endParaRPr>
        </a:p>
        <a:p>
          <a:r>
            <a:rPr lang="en-US" sz="1100" b="0" baseline="0">
              <a:solidFill>
                <a:schemeClr val="dk1"/>
              </a:solidFill>
              <a:effectLst/>
              <a:latin typeface="+mn-lt"/>
              <a:ea typeface="+mn-ea"/>
              <a:cs typeface="+mn-cs"/>
            </a:rPr>
            <a:t>3. Interests received ==&gt; is part of the finacing CF, will need to account for a TAX deduction </a:t>
          </a:r>
          <a:endParaRPr lang="en-US" sz="1400">
            <a:effectLst/>
          </a:endParaRPr>
        </a:p>
        <a:p>
          <a:r>
            <a:rPr lang="en-US" sz="1100" b="0" baseline="0">
              <a:solidFill>
                <a:schemeClr val="dk1"/>
              </a:solidFill>
              <a:effectLst/>
              <a:latin typeface="+mn-lt"/>
              <a:ea typeface="+mn-ea"/>
              <a:cs typeface="+mn-cs"/>
            </a:rPr>
            <a:t>4. Marketable securities ==&gt; also part of the finacing CF</a:t>
          </a:r>
          <a:endParaRPr lang="en-US" sz="1400">
            <a:effectLst/>
          </a:endParaRPr>
        </a:p>
        <a:p>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D0E28C19-F26D-4C5F-AF90-72AAB115058C}"/>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2018 and 2019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40</xdr:row>
      <xdr:rowOff>47625</xdr:rowOff>
    </xdr:to>
    <xdr:sp macro="" textlink="">
      <xdr:nvSpPr>
        <xdr:cNvPr id="3" name="Szövegdoboz 2">
          <a:extLst>
            <a:ext uri="{FF2B5EF4-FFF2-40B4-BE49-F238E27FC236}">
              <a16:creationId xmlns:a16="http://schemas.microsoft.com/office/drawing/2014/main" id="{A4FAB8EB-A447-487E-9792-8ED652ED3CB7}"/>
            </a:ext>
          </a:extLst>
        </xdr:cNvPr>
        <xdr:cNvSpPr txBox="1"/>
      </xdr:nvSpPr>
      <xdr:spPr>
        <a:xfrm>
          <a:off x="8477249" y="3752850"/>
          <a:ext cx="7372351" cy="484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endParaRPr lang="en-US" sz="1400" b="0">
            <a:latin typeface="Times New Roman" panose="02020603050405020304" pitchFamily="18" charset="0"/>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Liquidity debt and interest should be separated as they relate to Opeartional cash flow.</a:t>
          </a:r>
        </a:p>
        <a:p>
          <a:r>
            <a:rPr lang="en-US" sz="1400" b="0">
              <a:latin typeface="Times New Roman" panose="02020603050405020304" pitchFamily="18" charset="0"/>
              <a:cs typeface="Times New Roman" panose="02020603050405020304" pitchFamily="18" charset="0"/>
            </a:rPr>
            <a:t>I also separate Operational cash from non-operational,</a:t>
          </a:r>
          <a:r>
            <a:rPr lang="en-US" sz="1400" b="0" baseline="0">
              <a:latin typeface="Times New Roman" panose="02020603050405020304" pitchFamily="18" charset="0"/>
              <a:cs typeface="Times New Roman" panose="02020603050405020304" pitchFamily="18" charset="0"/>
            </a:rPr>
            <a:t> as the first one is the part of change in working capital and is needed to calculate Operational cash flow. The non operational cash is used to calculate Non oper wealth.</a:t>
          </a:r>
        </a:p>
        <a:p>
          <a:r>
            <a:rPr lang="en-US" sz="1400" b="0" baseline="0">
              <a:latin typeface="Times New Roman" panose="02020603050405020304" pitchFamily="18" charset="0"/>
              <a:cs typeface="Times New Roman" panose="02020603050405020304" pitchFamily="18" charset="0"/>
            </a:rPr>
            <a:t>Dividend received is a part of Investment cash flow as it is inflow from our investment in equity. Tax effect of received dividends should be calculated as they resulted in higher tax paid.</a:t>
          </a:r>
        </a:p>
        <a:p>
          <a:r>
            <a:rPr lang="en-US" sz="1400" b="0" baseline="0">
              <a:latin typeface="Times New Roman" panose="02020603050405020304" pitchFamily="18" charset="0"/>
              <a:cs typeface="Times New Roman" panose="02020603050405020304" pitchFamily="18" charset="0"/>
            </a:rPr>
            <a:t>Marketable securities are not operational assets, therefore they are non oper wealth.</a:t>
          </a:r>
          <a:endParaRPr lang="hu-HU" sz="1400" b="0">
            <a:latin typeface="Times New Roman" panose="02020603050405020304" pitchFamily="18" charset="0"/>
            <a:cs typeface="Times New Roman" panose="02020603050405020304" pitchFamily="18" charset="0"/>
          </a:endParaRPr>
        </a:p>
      </xdr:txBody>
    </xdr:sp>
    <xdr:clientData/>
  </xdr:twoCellAnchor>
  <xdr:twoCellAnchor>
    <xdr:from>
      <xdr:col>1</xdr:col>
      <xdr:colOff>9524</xdr:colOff>
      <xdr:row>10</xdr:row>
      <xdr:rowOff>38100</xdr:rowOff>
    </xdr:from>
    <xdr:to>
      <xdr:col>7</xdr:col>
      <xdr:colOff>285750</xdr:colOff>
      <xdr:row>15</xdr:row>
      <xdr:rowOff>114300</xdr:rowOff>
    </xdr:to>
    <xdr:sp macro="" textlink="">
      <xdr:nvSpPr>
        <xdr:cNvPr id="4" name="Szövegdoboz 1">
          <a:extLst>
            <a:ext uri="{FF2B5EF4-FFF2-40B4-BE49-F238E27FC236}">
              <a16:creationId xmlns:a16="http://schemas.microsoft.com/office/drawing/2014/main" id="{1C21ABC7-FC84-4450-8381-4883EDF5065B}"/>
            </a:ext>
          </a:extLst>
        </xdr:cNvPr>
        <xdr:cNvSpPr txBox="1"/>
      </xdr:nvSpPr>
      <xdr:spPr>
        <a:xfrm>
          <a:off x="695324" y="2362200"/>
          <a:ext cx="754380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Prepare the business cash flow of the firm for </a:t>
          </a:r>
          <a:r>
            <a:rPr lang="hu-HU" sz="1400" b="0">
              <a:solidFill>
                <a:srgbClr val="FF0000"/>
              </a:solidFill>
              <a:latin typeface="Times New Roman" panose="02020603050405020304" pitchFamily="18" charset="0"/>
              <a:cs typeface="Times New Roman" panose="02020603050405020304" pitchFamily="18" charset="0"/>
            </a:rPr>
            <a:t>2018 and 2019 </a:t>
          </a:r>
          <a:r>
            <a:rPr lang="hu-HU" sz="1400" b="0">
              <a:latin typeface="Times New Roman" panose="02020603050405020304" pitchFamily="18" charset="0"/>
              <a:cs typeface="Times New Roman" panose="02020603050405020304" pitchFamily="18" charset="0"/>
            </a:rPr>
            <a:t>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40</xdr:row>
      <xdr:rowOff>47625</xdr:rowOff>
    </xdr:to>
    <xdr:sp macro="" textlink="">
      <xdr:nvSpPr>
        <xdr:cNvPr id="5" name="Szövegdoboz 2">
          <a:extLst>
            <a:ext uri="{FF2B5EF4-FFF2-40B4-BE49-F238E27FC236}">
              <a16:creationId xmlns:a16="http://schemas.microsoft.com/office/drawing/2014/main" id="{A8222C9C-0B71-4522-9EAA-710DC3FB021D}"/>
            </a:ext>
          </a:extLst>
        </xdr:cNvPr>
        <xdr:cNvSpPr txBox="1"/>
      </xdr:nvSpPr>
      <xdr:spPr>
        <a:xfrm>
          <a:off x="8648699" y="3752850"/>
          <a:ext cx="7372351" cy="484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here.</a:t>
          </a:r>
          <a:endParaRPr lang="en-US" sz="1400" b="0">
            <a:latin typeface="Times New Roman" panose="02020603050405020304" pitchFamily="18" charset="0"/>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71C3B79F-4CE4-46A4-8BDE-87BDC161DB45}"/>
            </a:ext>
          </a:extLst>
        </xdr:cNvPr>
        <xdr:cNvSpPr txBox="1"/>
      </xdr:nvSpPr>
      <xdr:spPr>
        <a:xfrm>
          <a:off x="914399" y="2362200"/>
          <a:ext cx="853440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Calculate and</a:t>
          </a:r>
          <a:r>
            <a:rPr lang="hu-HU" sz="1400" b="0">
              <a:solidFill>
                <a:srgbClr val="FF0000"/>
              </a:solidFill>
              <a:latin typeface="Times New Roman" panose="02020603050405020304" pitchFamily="18" charset="0"/>
              <a:cs typeface="Times New Roman" panose="02020603050405020304" pitchFamily="18" charset="0"/>
            </a:rPr>
            <a:t> </a:t>
          </a:r>
          <a:r>
            <a:rPr lang="hu-HU" sz="1400" b="0">
              <a:solidFill>
                <a:sysClr val="windowText" lastClr="000000"/>
              </a:solidFill>
              <a:latin typeface="Times New Roman" panose="02020603050405020304" pitchFamily="18" charset="0"/>
              <a:cs typeface="Times New Roman" panose="02020603050405020304" pitchFamily="18" charset="0"/>
            </a:rPr>
            <a:t>interpret</a:t>
          </a:r>
          <a:r>
            <a:rPr lang="hu-HU" sz="1400" b="0">
              <a:solidFill>
                <a:srgbClr val="FF0000"/>
              </a:solidFill>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the following ratios based on the data provided for a manufacturing firm. 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8</xdr:col>
      <xdr:colOff>9524</xdr:colOff>
      <xdr:row>17</xdr:row>
      <xdr:rowOff>19050</xdr:rowOff>
    </xdr:from>
    <xdr:to>
      <xdr:col>18</xdr:col>
      <xdr:colOff>523875</xdr:colOff>
      <xdr:row>35</xdr:row>
      <xdr:rowOff>47625</xdr:rowOff>
    </xdr:to>
    <xdr:sp macro="" textlink="">
      <xdr:nvSpPr>
        <xdr:cNvPr id="3" name="Szövegdoboz 2">
          <a:extLst>
            <a:ext uri="{FF2B5EF4-FFF2-40B4-BE49-F238E27FC236}">
              <a16:creationId xmlns:a16="http://schemas.microsoft.com/office/drawing/2014/main" id="{1E8A2B3C-2C54-481B-BFBA-178260931C65}"/>
            </a:ext>
          </a:extLst>
        </xdr:cNvPr>
        <xdr:cNvSpPr txBox="1"/>
      </xdr:nvSpPr>
      <xdr:spPr>
        <a:xfrm>
          <a:off x="9858374" y="3752850"/>
          <a:ext cx="7372351" cy="380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List your assumptions and present your interpretation here.</a:t>
          </a:r>
          <a:endParaRPr lang="en-US" sz="1400" b="0">
            <a:latin typeface="Times New Roman" panose="02020603050405020304" pitchFamily="18" charset="0"/>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Refer to the assumptions</a:t>
          </a:r>
          <a:r>
            <a:rPr lang="en-US" sz="1400" b="0" baseline="0">
              <a:latin typeface="Times New Roman" panose="02020603050405020304" pitchFamily="18" charset="0"/>
              <a:cs typeface="Times New Roman" panose="02020603050405020304" pitchFamily="18" charset="0"/>
            </a:rPr>
            <a:t> in column B.</a:t>
          </a:r>
        </a:p>
        <a:p>
          <a:endParaRPr lang="en-US" sz="1400" b="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Sales seem</a:t>
          </a:r>
          <a:r>
            <a:rPr lang="en-US" sz="1400" b="0" baseline="0">
              <a:latin typeface="Times New Roman" panose="02020603050405020304" pitchFamily="18" charset="0"/>
              <a:cs typeface="Times New Roman" panose="02020603050405020304" pitchFamily="18" charset="0"/>
            </a:rPr>
            <a:t> to have grown by 10% (nominal rate) from 2018 to 2019, but considering the effect of inflation, the real growth is limited to 8.8%.</a:t>
          </a:r>
        </a:p>
        <a:p>
          <a:endParaRPr lang="en-US" sz="1400" b="0" baseline="0">
            <a:latin typeface="Times New Roman" panose="02020603050405020304" pitchFamily="18" charset="0"/>
            <a:cs typeface="Times New Roman" panose="02020603050405020304" pitchFamily="18" charset="0"/>
          </a:endParaRPr>
        </a:p>
        <a:p>
          <a:r>
            <a:rPr lang="en-US" sz="1400" b="0">
              <a:latin typeface="Times New Roman" panose="02020603050405020304" pitchFamily="18" charset="0"/>
              <a:cs typeface="Times New Roman" panose="02020603050405020304" pitchFamily="18" charset="0"/>
            </a:rPr>
            <a:t>The company could</a:t>
          </a:r>
          <a:r>
            <a:rPr lang="en-US" sz="1400" b="0" baseline="0">
              <a:latin typeface="Times New Roman" panose="02020603050405020304" pitchFamily="18" charset="0"/>
              <a:cs typeface="Times New Roman" panose="02020603050405020304" pitchFamily="18" charset="0"/>
            </a:rPr>
            <a:t> collect its receivables within 17.28 days following the sale in 2020.</a:t>
          </a:r>
        </a:p>
        <a:p>
          <a:r>
            <a:rPr lang="en-US" sz="1400" b="0" baseline="0">
              <a:latin typeface="Times New Roman" panose="02020603050405020304" pitchFamily="18" charset="0"/>
              <a:cs typeface="Times New Roman" panose="02020603050405020304" pitchFamily="18" charset="0"/>
            </a:rPr>
            <a:t>The company had to repay its suppliers within 12.46 days following the purchase in 2020.</a:t>
          </a: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dk1"/>
              </a:solidFill>
              <a:latin typeface="Times New Roman" panose="02020603050405020304" pitchFamily="18" charset="0"/>
              <a:ea typeface="+mn-ea"/>
              <a:cs typeface="Times New Roman" panose="02020603050405020304" pitchFamily="18" charset="0"/>
            </a:rPr>
            <a:t>The company could sell its inventory within 12.60 days after having stocked</a:t>
          </a:r>
          <a:r>
            <a:rPr lang="en-US" sz="1400" b="0" baseline="0">
              <a:solidFill>
                <a:schemeClr val="dk1"/>
              </a:solidFill>
              <a:latin typeface="Times New Roman" panose="02020603050405020304" pitchFamily="18" charset="0"/>
              <a:ea typeface="+mn-ea"/>
              <a:cs typeface="Times New Roman" panose="02020603050405020304" pitchFamily="18" charset="0"/>
            </a:rPr>
            <a:t> it</a:t>
          </a:r>
          <a:r>
            <a:rPr lang="en-US" sz="1400" b="0">
              <a:solidFill>
                <a:schemeClr val="dk1"/>
              </a:solidFill>
              <a:latin typeface="Times New Roman" panose="02020603050405020304" pitchFamily="18" charset="0"/>
              <a:ea typeface="+mn-ea"/>
              <a:cs typeface="Times New Roman" panose="02020603050405020304" pitchFamily="18" charset="0"/>
            </a:rPr>
            <a:t> in 2020.</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a:solidFill>
              <a:schemeClr val="dk1"/>
            </a:solidFill>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dk1"/>
              </a:solidFill>
              <a:latin typeface="Times New Roman" panose="02020603050405020304" pitchFamily="18" charset="0"/>
              <a:ea typeface="+mn-ea"/>
              <a:cs typeface="Times New Roman" panose="02020603050405020304" pitchFamily="18" charset="0"/>
            </a:rPr>
            <a:t>The</a:t>
          </a:r>
          <a:r>
            <a:rPr lang="en-US" sz="1400" b="0" baseline="0">
              <a:solidFill>
                <a:schemeClr val="dk1"/>
              </a:solidFill>
              <a:latin typeface="Times New Roman" panose="02020603050405020304" pitchFamily="18" charset="0"/>
              <a:ea typeface="+mn-ea"/>
              <a:cs typeface="Times New Roman" panose="02020603050405020304" pitchFamily="18" charset="0"/>
            </a:rPr>
            <a:t> company has increased it leverage (considering both short and long term debt) over the years up to 49.44% in 2020, also shown by a higher D/E ratio.</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baseline="0">
            <a:solidFill>
              <a:schemeClr val="dk1"/>
            </a:solidFill>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baseline="0">
              <a:solidFill>
                <a:schemeClr val="dk1"/>
              </a:solidFill>
              <a:latin typeface="Times New Roman" panose="02020603050405020304" pitchFamily="18" charset="0"/>
              <a:ea typeface="+mn-ea"/>
              <a:cs typeface="Times New Roman" panose="02020603050405020304" pitchFamily="18" charset="0"/>
            </a:rPr>
            <a:t>In 2020, $1 invested in Equity and in Capital yielded $2.33 and $1.29 in net operating profit, respectively. The 2 ratios have decreased from 2018 to 2019 but rebounded slighlty in 2020. The company faced higher growth in its operating costs than the growth of its sales. The "Other income" in 2020 has obsorbed to a certain extent the increase in costs.</a:t>
          </a:r>
          <a:endParaRPr lang="en-US" sz="1400" b="0">
            <a:solidFill>
              <a:schemeClr val="dk1"/>
            </a:solidFill>
            <a:latin typeface="Times New Roman" panose="02020603050405020304" pitchFamily="18" charset="0"/>
            <a:ea typeface="+mn-ea"/>
            <a:cs typeface="Times New Roman" panose="02020603050405020304" pitchFamily="18" charset="0"/>
          </a:endParaRPr>
        </a:p>
        <a:p>
          <a:endParaRPr lang="en-US" sz="1400" b="0">
            <a:latin typeface="Times New Roman" panose="02020603050405020304" pitchFamily="18" charset="0"/>
            <a:cs typeface="Times New Roman" panose="02020603050405020304"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259705BD-382C-44D3-AB44-F38BD2D5EE56}"/>
            </a:ext>
          </a:extLst>
        </xdr:cNvPr>
        <xdr:cNvSpPr txBox="1"/>
      </xdr:nvSpPr>
      <xdr:spPr>
        <a:xfrm>
          <a:off x="695324" y="2362200"/>
          <a:ext cx="754380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Takes 2</a:t>
          </a:r>
        </a:p>
        <a:p>
          <a:r>
            <a:rPr lang="hu-HU" sz="1400" b="0">
              <a:latin typeface="Times New Roman" panose="02020603050405020304" pitchFamily="18" charset="0"/>
              <a:cs typeface="Times New Roman" panose="02020603050405020304" pitchFamily="18" charset="0"/>
            </a:rPr>
            <a:t>Prepare the business cash flow of the firm for 2019 and 2020 based on the data provided. </a:t>
          </a:r>
        </a:p>
        <a:p>
          <a:r>
            <a:rPr lang="hu-HU" sz="1400" b="0">
              <a:latin typeface="Times New Roman" panose="02020603050405020304" pitchFamily="18" charset="0"/>
              <a:cs typeface="Times New Roman" panose="02020603050405020304" pitchFamily="18" charset="0"/>
            </a:rPr>
            <a:t>Indicate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(12 points)</a:t>
          </a:r>
        </a:p>
      </xdr:txBody>
    </xdr:sp>
    <xdr:clientData/>
  </xdr:twoCellAnchor>
  <xdr:twoCellAnchor>
    <xdr:from>
      <xdr:col>7</xdr:col>
      <xdr:colOff>895349</xdr:colOff>
      <xdr:row>16</xdr:row>
      <xdr:rowOff>142875</xdr:rowOff>
    </xdr:from>
    <xdr:to>
      <xdr:col>18</xdr:col>
      <xdr:colOff>514350</xdr:colOff>
      <xdr:row>43</xdr:row>
      <xdr:rowOff>180975</xdr:rowOff>
    </xdr:to>
    <xdr:sp macro="" textlink="">
      <xdr:nvSpPr>
        <xdr:cNvPr id="3" name="Szövegdoboz 2">
          <a:extLst>
            <a:ext uri="{FF2B5EF4-FFF2-40B4-BE49-F238E27FC236}">
              <a16:creationId xmlns:a16="http://schemas.microsoft.com/office/drawing/2014/main" id="{C746D2DE-366A-4F42-8845-FFE6D3F88BF2}"/>
            </a:ext>
          </a:extLst>
        </xdr:cNvPr>
        <xdr:cNvSpPr txBox="1"/>
      </xdr:nvSpPr>
      <xdr:spPr>
        <a:xfrm>
          <a:off x="8467724" y="3581400"/>
          <a:ext cx="6610351" cy="568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Times New Roman" panose="02020603050405020304" pitchFamily="18" charset="0"/>
              <a:cs typeface="Times New Roman" panose="02020603050405020304" pitchFamily="18" charset="0"/>
            </a:rPr>
            <a:t>1. Sales of invested</a:t>
          </a:r>
          <a:r>
            <a:rPr lang="en-US" sz="1400" b="0" baseline="0">
              <a:latin typeface="Times New Roman" panose="02020603050405020304" pitchFamily="18" charset="0"/>
              <a:cs typeface="Times New Roman" panose="02020603050405020304" pitchFamily="18" charset="0"/>
            </a:rPr>
            <a:t> assets and their corresponding book value under the other expenses are regarded as extraordinary items, therefore as non-operational wealth. Non-operational cash also pertains to this category.</a:t>
          </a:r>
        </a:p>
        <a:p>
          <a:endParaRPr lang="en-US" sz="1400" b="0" baseline="0">
            <a:latin typeface="Times New Roman" panose="02020603050405020304" pitchFamily="18" charset="0"/>
            <a:cs typeface="Times New Roman" panose="02020603050405020304" pitchFamily="18" charset="0"/>
          </a:endParaRPr>
        </a:p>
        <a:p>
          <a:r>
            <a:rPr lang="en-US" sz="1400" b="0" baseline="0">
              <a:latin typeface="Times New Roman" panose="02020603050405020304" pitchFamily="18" charset="0"/>
              <a:cs typeface="Times New Roman" panose="02020603050405020304" pitchFamily="18" charset="0"/>
            </a:rPr>
            <a:t>All other elements will be classified under operational, investing and financing CFs as indicated.</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696DB3AD-CE79-4BFB-8B43-75ED6F44B059}"/>
            </a:ext>
          </a:extLst>
        </xdr:cNvPr>
        <xdr:cNvSpPr txBox="1"/>
      </xdr:nvSpPr>
      <xdr:spPr>
        <a:xfrm>
          <a:off x="695324" y="2238375"/>
          <a:ext cx="12039601"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Below you find the details of the financial plan</a:t>
          </a:r>
          <a:r>
            <a:rPr lang="hu-HU" sz="1400" b="0" baseline="0">
              <a:latin typeface="Times New Roman" panose="02020603050405020304" pitchFamily="18" charset="0"/>
              <a:cs typeface="Times New Roman" panose="02020603050405020304" pitchFamily="18" charset="0"/>
            </a:rPr>
            <a:t> of  a newly founded firm. What is the maximum you would pay for an allowance that is necessary to start the business on the top of the IC need indicated? The allowance is to be purchased at the beginning of 2022 (can be expensed in the same year) and is valid forever.</a:t>
          </a:r>
          <a:r>
            <a:rPr lang="hu-HU" sz="1400" b="0">
              <a:latin typeface="Times New Roman" panose="02020603050405020304" pitchFamily="18" charset="0"/>
              <a:cs typeface="Times New Roman" panose="02020603050405020304" pitchFamily="18" charset="0"/>
            </a:rPr>
            <a:t> Assume that</a:t>
          </a:r>
          <a:r>
            <a:rPr lang="hu-HU" sz="1400" b="0" baseline="0">
              <a:latin typeface="Times New Roman" panose="02020603050405020304" pitchFamily="18" charset="0"/>
              <a:cs typeface="Times New Roman" panose="02020603050405020304" pitchFamily="18" charset="0"/>
            </a:rPr>
            <a:t> new projects will not generate any added value during the TV period.</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485774</xdr:colOff>
      <xdr:row>0</xdr:row>
      <xdr:rowOff>180975</xdr:rowOff>
    </xdr:from>
    <xdr:to>
      <xdr:col>9</xdr:col>
      <xdr:colOff>57150</xdr:colOff>
      <xdr:row>8</xdr:row>
      <xdr:rowOff>180974</xdr:rowOff>
    </xdr:to>
    <xdr:sp macro="" textlink="">
      <xdr:nvSpPr>
        <xdr:cNvPr id="2" name="Szövegdoboz 1">
          <a:extLst>
            <a:ext uri="{FF2B5EF4-FFF2-40B4-BE49-F238E27FC236}">
              <a16:creationId xmlns:a16="http://schemas.microsoft.com/office/drawing/2014/main" id="{3F3CE917-C8E3-4736-A4EA-F4B0A7D729A9}"/>
            </a:ext>
          </a:extLst>
        </xdr:cNvPr>
        <xdr:cNvSpPr txBox="1"/>
      </xdr:nvSpPr>
      <xdr:spPr>
        <a:xfrm>
          <a:off x="485774" y="180975"/>
          <a:ext cx="9286876" cy="1523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Based on the data of our peers presented below estimate the listed</a:t>
          </a:r>
          <a:r>
            <a:rPr lang="hu-HU" sz="1400" b="0" baseline="0">
              <a:latin typeface="Times New Roman" panose="02020603050405020304" pitchFamily="18" charset="0"/>
              <a:cs typeface="Times New Roman" panose="02020603050405020304" pitchFamily="18" charset="0"/>
            </a:rPr>
            <a:t> elements of the cost of capital marked in green for our target firm.</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editAs="oneCell">
    <xdr:from>
      <xdr:col>7</xdr:col>
      <xdr:colOff>219076</xdr:colOff>
      <xdr:row>18</xdr:row>
      <xdr:rowOff>180975</xdr:rowOff>
    </xdr:from>
    <xdr:to>
      <xdr:col>16</xdr:col>
      <xdr:colOff>600075</xdr:colOff>
      <xdr:row>33</xdr:row>
      <xdr:rowOff>104775</xdr:rowOff>
    </xdr:to>
    <xdr:pic>
      <xdr:nvPicPr>
        <xdr:cNvPr id="3" name="Picture 2">
          <a:extLst>
            <a:ext uri="{FF2B5EF4-FFF2-40B4-BE49-F238E27FC236}">
              <a16:creationId xmlns:a16="http://schemas.microsoft.com/office/drawing/2014/main" id="{0A62E822-C55D-4420-AB0C-B9CE060D1AF2}"/>
            </a:ext>
          </a:extLst>
        </xdr:cNvPr>
        <xdr:cNvPicPr>
          <a:picLocks noChangeAspect="1"/>
        </xdr:cNvPicPr>
      </xdr:nvPicPr>
      <xdr:blipFill rotWithShape="1">
        <a:blip xmlns:r="http://schemas.openxmlformats.org/officeDocument/2006/relationships" r:embed="rId1"/>
        <a:srcRect r="78"/>
        <a:stretch/>
      </xdr:blipFill>
      <xdr:spPr>
        <a:xfrm>
          <a:off x="8943976" y="4105275"/>
          <a:ext cx="5714999" cy="27432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D40020C7-F043-4559-B14C-CDED757BEBFE}"/>
            </a:ext>
          </a:extLst>
        </xdr:cNvPr>
        <xdr:cNvSpPr txBox="1"/>
      </xdr:nvSpPr>
      <xdr:spPr>
        <a:xfrm>
          <a:off x="695324" y="2238375"/>
          <a:ext cx="8667751"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Firm A wishes to purchase Firm B. Both companies operate in</a:t>
          </a:r>
          <a:r>
            <a:rPr lang="hu-HU" sz="1400" b="0" baseline="0">
              <a:latin typeface="Times New Roman" panose="02020603050405020304" pitchFamily="18" charset="0"/>
              <a:cs typeface="Times New Roman" panose="02020603050405020304" pitchFamily="18" charset="0"/>
            </a:rPr>
            <a:t> the future following a growing perpetuity pattern. What is the maximum price to pay for B? If A holds 100 of non-operational cash and wishes to pay for the rest of the fee offering it own shares how many new shares are to be printed? What will be the exchange rate? What ownership stake will the current owners of B receive?</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C7D3FD5F-5A41-41BB-A048-19E2DDAA907C}"/>
            </a:ext>
          </a:extLst>
        </xdr:cNvPr>
        <xdr:cNvSpPr txBox="1"/>
      </xdr:nvSpPr>
      <xdr:spPr>
        <a:xfrm>
          <a:off x="695324" y="2238375"/>
          <a:ext cx="1103947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Firm A wishes to purchase Firm B. Both companies operate in</a:t>
          </a:r>
          <a:r>
            <a:rPr lang="hu-HU" sz="1400" b="0" baseline="0">
              <a:latin typeface="Times New Roman" panose="02020603050405020304" pitchFamily="18" charset="0"/>
              <a:cs typeface="Times New Roman" panose="02020603050405020304" pitchFamily="18" charset="0"/>
            </a:rPr>
            <a:t> the future following a growing perpetuity pattern. What is the </a:t>
          </a:r>
          <a:r>
            <a:rPr lang="hu-HU" sz="1400" b="0" baseline="0">
              <a:solidFill>
                <a:srgbClr val="FF0000"/>
              </a:solidFill>
              <a:latin typeface="Times New Roman" panose="02020603050405020304" pitchFamily="18" charset="0"/>
              <a:cs typeface="Times New Roman" panose="02020603050405020304" pitchFamily="18" charset="0"/>
            </a:rPr>
            <a:t>maximum price to pay for B</a:t>
          </a:r>
          <a:r>
            <a:rPr lang="hu-HU" sz="1400" b="0" baseline="0">
              <a:latin typeface="Times New Roman" panose="02020603050405020304" pitchFamily="18" charset="0"/>
              <a:cs typeface="Times New Roman" panose="02020603050405020304" pitchFamily="18" charset="0"/>
            </a:rPr>
            <a:t>? Assume we </a:t>
          </a:r>
          <a:r>
            <a:rPr lang="hu-HU" sz="1400" b="0" baseline="0">
              <a:solidFill>
                <a:srgbClr val="FF0000"/>
              </a:solidFill>
              <a:latin typeface="Times New Roman" panose="02020603050405020304" pitchFamily="18" charset="0"/>
              <a:cs typeface="Times New Roman" panose="02020603050405020304" pitchFamily="18" charset="0"/>
            </a:rPr>
            <a:t>pass over half of the </a:t>
          </a:r>
          <a:r>
            <a:rPr lang="hu-HU" sz="1400" b="0" baseline="0">
              <a:solidFill>
                <a:srgbClr val="FF0000"/>
              </a:solidFill>
              <a:latin typeface="Times New Roman" panose="02020603050405020304" pitchFamily="18" charset="0"/>
              <a:ea typeface="+mn-ea"/>
              <a:cs typeface="Times New Roman" panose="02020603050405020304" pitchFamily="18" charset="0"/>
            </a:rPr>
            <a:t>synergy to the sellers</a:t>
          </a:r>
          <a:r>
            <a:rPr lang="hu-HU" sz="1400" b="0" baseline="0">
              <a:solidFill>
                <a:schemeClr val="dk1"/>
              </a:solidFill>
              <a:latin typeface="Times New Roman" panose="02020603050405020304" pitchFamily="18" charset="0"/>
              <a:ea typeface="+mn-ea"/>
              <a:cs typeface="Times New Roman" panose="02020603050405020304" pitchFamily="18" charset="0"/>
            </a:rPr>
            <a:t>. </a:t>
          </a:r>
          <a:r>
            <a:rPr lang="hu-HU" sz="1400" b="0" baseline="0">
              <a:latin typeface="Times New Roman" panose="02020603050405020304" pitchFamily="18" charset="0"/>
              <a:cs typeface="Times New Roman" panose="02020603050405020304" pitchFamily="18" charset="0"/>
            </a:rPr>
            <a:t>If A holds </a:t>
          </a:r>
          <a:r>
            <a:rPr lang="hu-HU" sz="1400" b="0" baseline="0">
              <a:solidFill>
                <a:srgbClr val="FF0000"/>
              </a:solidFill>
              <a:latin typeface="Times New Roman" panose="02020603050405020304" pitchFamily="18" charset="0"/>
              <a:cs typeface="Times New Roman" panose="02020603050405020304" pitchFamily="18" charset="0"/>
            </a:rPr>
            <a:t>200 of non-operational cash and wishes to pay for the rest of the fee offering it own shares how many new shares are to be printed</a:t>
          </a:r>
          <a:r>
            <a:rPr lang="hu-HU" sz="1400" b="0" baseline="0">
              <a:latin typeface="Times New Roman" panose="02020603050405020304" pitchFamily="18" charset="0"/>
              <a:cs typeface="Times New Roman" panose="02020603050405020304" pitchFamily="18" charset="0"/>
            </a:rPr>
            <a:t>? What will be the </a:t>
          </a:r>
          <a:r>
            <a:rPr lang="hu-HU" sz="1400" b="0" baseline="0">
              <a:solidFill>
                <a:srgbClr val="FF0000"/>
              </a:solidFill>
              <a:latin typeface="Times New Roman" panose="02020603050405020304" pitchFamily="18" charset="0"/>
              <a:cs typeface="Times New Roman" panose="02020603050405020304" pitchFamily="18" charset="0"/>
            </a:rPr>
            <a:t>exchange rate</a:t>
          </a:r>
          <a:r>
            <a:rPr lang="hu-HU" sz="1400" b="0" baseline="0">
              <a:latin typeface="Times New Roman" panose="02020603050405020304" pitchFamily="18" charset="0"/>
              <a:cs typeface="Times New Roman" panose="02020603050405020304" pitchFamily="18" charset="0"/>
            </a:rPr>
            <a:t>? What </a:t>
          </a:r>
          <a:r>
            <a:rPr lang="hu-HU" sz="1400" b="0" baseline="0">
              <a:solidFill>
                <a:srgbClr val="FF0000"/>
              </a:solidFill>
              <a:latin typeface="Times New Roman" panose="02020603050405020304" pitchFamily="18" charset="0"/>
              <a:cs typeface="Times New Roman" panose="02020603050405020304" pitchFamily="18" charset="0"/>
            </a:rPr>
            <a:t>ownership stake will the current owners of B receive</a:t>
          </a:r>
          <a:r>
            <a:rPr lang="hu-HU" sz="1400" b="0" baseline="0">
              <a:latin typeface="Times New Roman" panose="02020603050405020304" pitchFamily="18" charset="0"/>
              <a:cs typeface="Times New Roman" panose="02020603050405020304" pitchFamily="18" charset="0"/>
            </a:rPr>
            <a:t>?</a:t>
          </a:r>
        </a:p>
        <a:p>
          <a:pPr algn="just"/>
          <a:r>
            <a:rPr lang="hu-HU" sz="1400" b="0">
              <a:latin typeface="Times New Roman" panose="02020603050405020304" pitchFamily="18" charset="0"/>
              <a:cs typeface="Times New Roman" panose="02020603050405020304" pitchFamily="18" charset="0"/>
            </a:rPr>
            <a:t>(12 points)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Desktop/Year-End/AppBusinessValuation3Exam%20task%20solve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b/Desktop/ABV2Exam_Mo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b/Desktop/ABV1Exam_Moi.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b/Desktop/VALUATION%20FINAL_Mo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b/Desktop/SAMPLE%20BLE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ingPage"/>
      <sheetName val="Admin"/>
      <sheetName val="Task 1"/>
      <sheetName val="Task 2"/>
      <sheetName val="Task 3"/>
      <sheetName val="Task 4"/>
      <sheetName val="Task 5"/>
    </sheetNames>
    <sheetDataSet>
      <sheetData sheetId="0"/>
      <sheetData sheetId="1">
        <row r="12">
          <cell r="C12" t="str">
            <v>Date</v>
          </cell>
          <cell r="D12">
            <v>44208</v>
          </cell>
        </row>
        <row r="13">
          <cell r="C13" t="str">
            <v>Student name</v>
          </cell>
          <cell r="D13" t="str">
            <v>Sam Sample</v>
          </cell>
        </row>
        <row r="14">
          <cell r="C14" t="str">
            <v>Neptun code</v>
          </cell>
          <cell r="D14" t="str">
            <v>ABCD1234</v>
          </cell>
        </row>
        <row r="16">
          <cell r="C16" t="str">
            <v>Study program</v>
          </cell>
          <cell r="D16" t="str">
            <v>Master in Finance</v>
          </cell>
        </row>
        <row r="17">
          <cell r="C17" t="str">
            <v>Instructor</v>
          </cell>
          <cell r="D17" t="str">
            <v>Péter Juhász, PhD, CFA</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ingPage"/>
      <sheetName val="Admin"/>
      <sheetName val="Task 1"/>
      <sheetName val="Task 2"/>
      <sheetName val="Task 3"/>
      <sheetName val="Task 4"/>
      <sheetName val="Task 5"/>
      <sheetName val="Task 6"/>
    </sheetNames>
    <sheetDataSet>
      <sheetData sheetId="0"/>
      <sheetData sheetId="1">
        <row r="12">
          <cell r="C12" t="str">
            <v>Date</v>
          </cell>
          <cell r="D12">
            <v>44201</v>
          </cell>
        </row>
        <row r="13">
          <cell r="C13" t="str">
            <v>Student name</v>
          </cell>
          <cell r="D13" t="str">
            <v>Balsam Khalaf</v>
          </cell>
        </row>
        <row r="14">
          <cell r="C14" t="str">
            <v>Neptun code</v>
          </cell>
          <cell r="D14" t="str">
            <v>HA86QX</v>
          </cell>
        </row>
        <row r="16">
          <cell r="C16" t="str">
            <v>Study program</v>
          </cell>
          <cell r="D16" t="str">
            <v>Master in Finance</v>
          </cell>
        </row>
        <row r="17">
          <cell r="C17" t="str">
            <v>Instructor</v>
          </cell>
          <cell r="D17" t="str">
            <v>Péter Juhász, PhD, CFA</v>
          </cell>
        </row>
      </sheetData>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ingPage"/>
      <sheetName val="Admin"/>
      <sheetName val="Task 1"/>
      <sheetName val="Task 2"/>
      <sheetName val="Task 3"/>
      <sheetName val="Task 4"/>
      <sheetName val="Task 5"/>
      <sheetName val="Task 6"/>
    </sheetNames>
    <sheetDataSet>
      <sheetData sheetId="0"/>
      <sheetData sheetId="1">
        <row r="12">
          <cell r="C12" t="str">
            <v>Date</v>
          </cell>
          <cell r="D12">
            <v>44187</v>
          </cell>
        </row>
        <row r="13">
          <cell r="C13" t="str">
            <v>Student name</v>
          </cell>
          <cell r="D13" t="str">
            <v>Balsam Khalaf</v>
          </cell>
        </row>
        <row r="14">
          <cell r="C14" t="str">
            <v>Neptun code</v>
          </cell>
          <cell r="D14" t="str">
            <v>HA86QX</v>
          </cell>
        </row>
        <row r="16">
          <cell r="C16" t="str">
            <v>Study program</v>
          </cell>
          <cell r="D16" t="str">
            <v>Master in Finance</v>
          </cell>
        </row>
        <row r="17">
          <cell r="C17" t="str">
            <v>Instructor</v>
          </cell>
          <cell r="D17" t="str">
            <v>Péter Juhász, PhD, CFA</v>
          </cell>
        </row>
      </sheetData>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ingPage"/>
      <sheetName val="Admin"/>
      <sheetName val="Task 1"/>
      <sheetName val="Task 2"/>
      <sheetName val="Task 3"/>
      <sheetName val="Task 4"/>
      <sheetName val="Task 5"/>
    </sheetNames>
    <sheetDataSet>
      <sheetData sheetId="0"/>
      <sheetData sheetId="1">
        <row r="12">
          <cell r="C12" t="str">
            <v>Date</v>
          </cell>
          <cell r="D12">
            <v>44545</v>
          </cell>
        </row>
        <row r="13">
          <cell r="C13" t="str">
            <v>Student name</v>
          </cell>
          <cell r="D13"/>
        </row>
        <row r="14">
          <cell r="C14" t="str">
            <v>Neptun code</v>
          </cell>
          <cell r="D14"/>
        </row>
        <row r="16">
          <cell r="C16" t="str">
            <v>Study program</v>
          </cell>
          <cell r="D16" t="str">
            <v>Master in Finance</v>
          </cell>
        </row>
        <row r="17">
          <cell r="C17" t="str">
            <v>Instructor</v>
          </cell>
          <cell r="D17" t="str">
            <v>Péter Juhász, PhD, CFA</v>
          </cell>
        </row>
      </sheetData>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eningPage"/>
      <sheetName val="Admin"/>
      <sheetName val="Task 1"/>
      <sheetName val="Task 2"/>
      <sheetName val="TASK 2 TENTATIVE 2"/>
      <sheetName val="Task 3"/>
      <sheetName val="Task 4"/>
      <sheetName val="Task 5"/>
      <sheetName val="Sample theoretical questions"/>
    </sheetNames>
    <sheetDataSet>
      <sheetData sheetId="0"/>
      <sheetData sheetId="1">
        <row r="12">
          <cell r="C12" t="str">
            <v>Date</v>
          </cell>
          <cell r="D12">
            <v>44538</v>
          </cell>
        </row>
        <row r="13">
          <cell r="C13" t="str">
            <v>Student name</v>
          </cell>
          <cell r="D13" t="str">
            <v>Sam Sample</v>
          </cell>
        </row>
        <row r="14">
          <cell r="C14" t="str">
            <v>Neptun code</v>
          </cell>
          <cell r="D14" t="str">
            <v>ABCD1234</v>
          </cell>
        </row>
        <row r="16">
          <cell r="C16" t="str">
            <v>Study program</v>
          </cell>
          <cell r="D16" t="str">
            <v>Master in Finance</v>
          </cell>
        </row>
        <row r="17">
          <cell r="C17" t="str">
            <v>Instructor</v>
          </cell>
          <cell r="D17" t="str">
            <v>Péter Juhász, PhD, CFA</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Musa Bleta" id="{EBEAB60E-242B-4D6E-AB22-6D253A57A64E}" userId="Musa Bleta"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7" dT="2021-12-18T20:55:32.13" personId="{EBEAB60E-242B-4D6E-AB22-6D253A57A64E}" id="{1CCD376E-10BE-4D1F-A806-3B8BF102B73C}">
    <text>K for TV is calculated as g/RONIC</text>
  </threadedComment>
</ThreadedComments>
</file>

<file path=xl/threadedComments/threadedComment2.xml><?xml version="1.0" encoding="utf-8"?>
<ThreadedComments xmlns="http://schemas.microsoft.com/office/spreadsheetml/2018/threadedcomments" xmlns:x="http://schemas.openxmlformats.org/spreadsheetml/2006/main">
  <threadedComment ref="D20" dT="2021-12-19T14:44:09.25" personId="{EBEAB60E-242B-4D6E-AB22-6D253A57A64E}" id="{296E70DD-044B-488C-BD08-769A28A7321E}">
    <text>Because we have not invested in the first year, ronic of 2022 will be actually roic for the first year.</text>
  </threadedComment>
  <threadedComment ref="B22" dT="2021-12-18T20:55:32.13" personId="{EBEAB60E-242B-4D6E-AB22-6D253A57A64E}" id="{B53536E6-9F7A-4F99-A91A-87E800C579F4}">
    <text>K for TV is calculated as g/RONIC</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3.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9ABD2-D602-4B8B-A606-0E0BE3AD62D0}">
  <dimension ref="B23:L66"/>
  <sheetViews>
    <sheetView topLeftCell="A10" workbookViewId="0">
      <selection activeCell="D67" sqref="D67"/>
    </sheetView>
  </sheetViews>
  <sheetFormatPr defaultRowHeight="15.75"/>
  <cols>
    <col min="1" max="1" width="9.140625" style="52"/>
    <col min="2" max="2" width="44.140625" style="52" bestFit="1" customWidth="1"/>
    <col min="3" max="3" width="42.7109375" style="52" bestFit="1" customWidth="1"/>
    <col min="4" max="9" width="10.140625" style="52" bestFit="1" customWidth="1"/>
    <col min="10" max="10" width="11.140625" style="52" bestFit="1" customWidth="1"/>
    <col min="11" max="16384" width="9.140625" style="52"/>
  </cols>
  <sheetData>
    <row r="23" spans="3:10">
      <c r="D23" s="39">
        <v>2022</v>
      </c>
      <c r="E23" s="40">
        <f>+D23+1</f>
        <v>2023</v>
      </c>
      <c r="F23" s="40">
        <f t="shared" ref="F23:J23" si="0">+E23+1</f>
        <v>2024</v>
      </c>
      <c r="G23" s="40">
        <f t="shared" si="0"/>
        <v>2025</v>
      </c>
      <c r="H23" s="40">
        <f t="shared" si="0"/>
        <v>2026</v>
      </c>
      <c r="I23" s="40">
        <f t="shared" si="0"/>
        <v>2027</v>
      </c>
      <c r="J23" s="40">
        <f t="shared" si="0"/>
        <v>2028</v>
      </c>
    </row>
    <row r="24" spans="3:10">
      <c r="C24" s="52" t="s">
        <v>0</v>
      </c>
      <c r="D24" s="61">
        <v>10000</v>
      </c>
      <c r="E24" s="61"/>
      <c r="F24" s="61"/>
      <c r="G24" s="61"/>
      <c r="H24" s="61"/>
      <c r="I24" s="61"/>
      <c r="J24" s="61"/>
    </row>
    <row r="25" spans="3:10">
      <c r="C25" s="52" t="s">
        <v>1</v>
      </c>
      <c r="D25" s="61">
        <v>1500</v>
      </c>
      <c r="E25" s="61">
        <v>2000</v>
      </c>
      <c r="F25" s="61">
        <v>1600</v>
      </c>
      <c r="G25" s="61">
        <v>3500</v>
      </c>
      <c r="H25" s="61">
        <v>1200</v>
      </c>
      <c r="I25" s="61">
        <v>4000</v>
      </c>
      <c r="J25" s="61">
        <v>1500</v>
      </c>
    </row>
    <row r="26" spans="3:10">
      <c r="C26" s="52" t="s">
        <v>2</v>
      </c>
      <c r="D26" s="61">
        <v>10000</v>
      </c>
      <c r="E26" s="61">
        <v>12000</v>
      </c>
      <c r="F26" s="61">
        <v>14000</v>
      </c>
      <c r="G26" s="61">
        <v>16000</v>
      </c>
      <c r="H26" s="61">
        <v>18000</v>
      </c>
      <c r="I26" s="61">
        <v>20000</v>
      </c>
      <c r="J26" s="61">
        <v>22000</v>
      </c>
    </row>
    <row r="27" spans="3:10">
      <c r="C27" s="52" t="s">
        <v>3</v>
      </c>
      <c r="D27" s="62">
        <v>0.01</v>
      </c>
      <c r="E27" s="62">
        <v>0.05</v>
      </c>
      <c r="F27" s="62">
        <v>0.1</v>
      </c>
      <c r="G27" s="62">
        <v>0.03</v>
      </c>
      <c r="H27" s="62">
        <v>0.09</v>
      </c>
      <c r="I27" s="62">
        <v>0.1</v>
      </c>
      <c r="J27" s="62">
        <v>0.12</v>
      </c>
    </row>
    <row r="28" spans="3:10">
      <c r="C28" s="52" t="s">
        <v>4</v>
      </c>
      <c r="D28" s="63">
        <v>0.1</v>
      </c>
      <c r="E28" s="63">
        <v>0.1</v>
      </c>
      <c r="F28" s="63">
        <v>0.1</v>
      </c>
      <c r="G28" s="63">
        <v>0.09</v>
      </c>
      <c r="H28" s="63">
        <v>0.09</v>
      </c>
      <c r="I28" s="63">
        <v>0.09</v>
      </c>
      <c r="J28" s="63">
        <v>0.09</v>
      </c>
    </row>
    <row r="29" spans="3:10">
      <c r="C29" s="52" t="s">
        <v>5</v>
      </c>
      <c r="D29" s="63">
        <v>0.04</v>
      </c>
      <c r="E29" s="63">
        <v>0.04</v>
      </c>
      <c r="F29" s="63">
        <v>0.04</v>
      </c>
      <c r="G29" s="63">
        <v>0.05</v>
      </c>
      <c r="H29" s="63">
        <v>0.05</v>
      </c>
      <c r="I29" s="63">
        <v>0.05</v>
      </c>
      <c r="J29" s="63">
        <v>0.05</v>
      </c>
    </row>
    <row r="30" spans="3:10">
      <c r="C30" s="52" t="s">
        <v>6</v>
      </c>
      <c r="D30" s="61">
        <v>5000</v>
      </c>
      <c r="E30" s="61">
        <v>4500</v>
      </c>
      <c r="F30" s="61">
        <v>4000</v>
      </c>
      <c r="G30" s="61">
        <v>7000</v>
      </c>
      <c r="H30" s="61">
        <v>6500</v>
      </c>
      <c r="I30" s="61">
        <v>6000</v>
      </c>
      <c r="J30" s="61">
        <v>7000</v>
      </c>
    </row>
    <row r="32" spans="3:10" ht="16.5" thickBot="1"/>
    <row r="33" spans="2:12">
      <c r="B33" s="52" t="s">
        <v>7</v>
      </c>
      <c r="C33" s="41" t="s">
        <v>8</v>
      </c>
      <c r="D33" s="42">
        <f>D57/D39</f>
        <v>0.01</v>
      </c>
      <c r="E33" s="42">
        <f t="shared" ref="E33:J33" si="1">E57/E39</f>
        <v>4.6956521739130432E-2</v>
      </c>
      <c r="F33" s="42">
        <f t="shared" si="1"/>
        <v>9.3333333333333338E-2</v>
      </c>
      <c r="G33" s="42">
        <f t="shared" si="1"/>
        <v>2.8927152317880796E-2</v>
      </c>
      <c r="H33" s="42">
        <f t="shared" si="1"/>
        <v>7.9258064516129031E-2</v>
      </c>
      <c r="I33" s="42">
        <f t="shared" si="1"/>
        <v>9.1919191919191914E-2</v>
      </c>
      <c r="J33" s="42">
        <f t="shared" si="1"/>
        <v>0.10094117647058824</v>
      </c>
    </row>
    <row r="34" spans="2:12">
      <c r="B34" s="52" t="s">
        <v>9</v>
      </c>
      <c r="C34" s="43" t="s">
        <v>10</v>
      </c>
      <c r="D34" s="44"/>
      <c r="E34" s="45">
        <f>(E57-D57)/D58</f>
        <v>0.29333333333333333</v>
      </c>
      <c r="F34" s="45">
        <f t="shared" ref="F34:J34" si="2">(F57-E57)/E58</f>
        <v>0.36</v>
      </c>
      <c r="G34" s="45">
        <f t="shared" si="2"/>
        <v>-0.51450000000000007</v>
      </c>
      <c r="H34" s="45">
        <f t="shared" si="2"/>
        <v>0.29640000000000005</v>
      </c>
      <c r="I34" s="45">
        <f t="shared" si="2"/>
        <v>0.28816666666666663</v>
      </c>
      <c r="J34" s="45">
        <f t="shared" si="2"/>
        <v>0.14560000000000003</v>
      </c>
    </row>
    <row r="35" spans="2:12">
      <c r="B35" s="52" t="s">
        <v>11</v>
      </c>
      <c r="C35" s="43" t="s">
        <v>12</v>
      </c>
      <c r="D35" s="45">
        <f>D25/D57</f>
        <v>15</v>
      </c>
      <c r="E35" s="45">
        <f t="shared" ref="E35:J35" si="3">E25/E57</f>
        <v>3.7037037037037037</v>
      </c>
      <c r="F35" s="45">
        <f t="shared" si="3"/>
        <v>1.2698412698412698</v>
      </c>
      <c r="G35" s="45">
        <f t="shared" si="3"/>
        <v>8.0128205128205128</v>
      </c>
      <c r="H35" s="45">
        <f t="shared" si="3"/>
        <v>0.81400081400081392</v>
      </c>
      <c r="I35" s="45">
        <f t="shared" si="3"/>
        <v>2.197802197802198</v>
      </c>
      <c r="J35" s="45">
        <f t="shared" si="3"/>
        <v>0.62437562437562433</v>
      </c>
    </row>
    <row r="36" spans="2:12">
      <c r="B36" s="52" t="s">
        <v>13</v>
      </c>
      <c r="C36" s="43" t="s">
        <v>14</v>
      </c>
      <c r="D36" s="44"/>
      <c r="E36" s="45" t="e" cm="1">
        <f t="array" ref="E36">(E57-\D57)/D57</f>
        <v>#NAME?</v>
      </c>
      <c r="F36" s="45">
        <f t="shared" ref="F36:J36" si="4">(F57-E57)/E57</f>
        <v>1.3333333333333333</v>
      </c>
      <c r="G36" s="45">
        <f t="shared" si="4"/>
        <v>-0.65333333333333332</v>
      </c>
      <c r="H36" s="45">
        <f t="shared" si="4"/>
        <v>2.375</v>
      </c>
      <c r="I36" s="45">
        <f t="shared" si="4"/>
        <v>0.23456790123456786</v>
      </c>
      <c r="J36" s="45">
        <f t="shared" si="4"/>
        <v>0.32000000000000006</v>
      </c>
    </row>
    <row r="37" spans="2:12" ht="16.5" thickBot="1">
      <c r="B37" s="52" t="s">
        <v>15</v>
      </c>
      <c r="C37" s="46" t="s">
        <v>16</v>
      </c>
      <c r="D37" s="47">
        <f>+D55</f>
        <v>0</v>
      </c>
      <c r="E37" s="47">
        <f t="shared" ref="E37:J37" si="5">+E55</f>
        <v>0.1</v>
      </c>
      <c r="F37" s="47">
        <f t="shared" si="5"/>
        <v>0.1</v>
      </c>
      <c r="G37" s="47">
        <f t="shared" si="5"/>
        <v>0.09</v>
      </c>
      <c r="H37" s="47">
        <f t="shared" si="5"/>
        <v>0.09</v>
      </c>
      <c r="I37" s="47">
        <f t="shared" si="5"/>
        <v>0.09</v>
      </c>
      <c r="J37" s="47">
        <f t="shared" si="5"/>
        <v>0.09</v>
      </c>
    </row>
    <row r="38" spans="2:12">
      <c r="B38" s="48" t="s">
        <v>17</v>
      </c>
    </row>
    <row r="39" spans="2:12">
      <c r="B39" s="52" t="s">
        <v>18</v>
      </c>
      <c r="C39" s="48" t="s">
        <v>19</v>
      </c>
      <c r="D39" s="61">
        <f>+D24</f>
        <v>10000</v>
      </c>
      <c r="E39" s="61">
        <f>D39+D25</f>
        <v>11500</v>
      </c>
      <c r="F39" s="61">
        <f t="shared" ref="F39:I39" si="6">E39+E25</f>
        <v>13500</v>
      </c>
      <c r="G39" s="61">
        <f t="shared" si="6"/>
        <v>15100</v>
      </c>
      <c r="H39" s="61">
        <f t="shared" si="6"/>
        <v>18600</v>
      </c>
      <c r="I39" s="61">
        <f t="shared" si="6"/>
        <v>19800</v>
      </c>
      <c r="J39" s="61">
        <f>I39+I25</f>
        <v>23800</v>
      </c>
      <c r="K39" s="61"/>
    </row>
    <row r="40" spans="2:12">
      <c r="B40" s="52" t="s">
        <v>20</v>
      </c>
      <c r="C40" s="48" t="s">
        <v>21</v>
      </c>
      <c r="D40" s="61">
        <f>+D30</f>
        <v>5000</v>
      </c>
      <c r="E40" s="61">
        <f t="shared" ref="E40:J40" si="7">+E30</f>
        <v>4500</v>
      </c>
      <c r="F40" s="61">
        <f t="shared" si="7"/>
        <v>4000</v>
      </c>
      <c r="G40" s="61">
        <f t="shared" si="7"/>
        <v>7000</v>
      </c>
      <c r="H40" s="61">
        <f t="shared" si="7"/>
        <v>6500</v>
      </c>
      <c r="I40" s="61">
        <f t="shared" si="7"/>
        <v>6000</v>
      </c>
      <c r="J40" s="61">
        <f t="shared" si="7"/>
        <v>7000</v>
      </c>
      <c r="K40" s="61"/>
      <c r="L40" s="61"/>
    </row>
    <row r="41" spans="2:12">
      <c r="B41" s="52" t="s">
        <v>22</v>
      </c>
      <c r="C41" s="48" t="s">
        <v>23</v>
      </c>
      <c r="D41" s="61">
        <f>D39-D40</f>
        <v>5000</v>
      </c>
      <c r="E41" s="61">
        <f t="shared" ref="E41:J41" si="8">E39-E40</f>
        <v>7000</v>
      </c>
      <c r="F41" s="61">
        <f t="shared" si="8"/>
        <v>9500</v>
      </c>
      <c r="G41" s="61">
        <f t="shared" si="8"/>
        <v>8100</v>
      </c>
      <c r="H41" s="61">
        <f t="shared" si="8"/>
        <v>12100</v>
      </c>
      <c r="I41" s="61">
        <f t="shared" si="8"/>
        <v>13800</v>
      </c>
      <c r="J41" s="61">
        <f t="shared" si="8"/>
        <v>16800</v>
      </c>
    </row>
    <row r="42" spans="2:12">
      <c r="B42" s="48" t="s">
        <v>24</v>
      </c>
    </row>
    <row r="43" spans="2:12">
      <c r="B43" s="52" t="s">
        <v>25</v>
      </c>
      <c r="C43" s="48" t="s">
        <v>2</v>
      </c>
      <c r="D43" s="61">
        <f>+D26</f>
        <v>10000</v>
      </c>
      <c r="E43" s="61">
        <f>+E26</f>
        <v>12000</v>
      </c>
      <c r="F43" s="61">
        <f t="shared" ref="F43:J43" si="9">+F26</f>
        <v>14000</v>
      </c>
      <c r="G43" s="61">
        <f t="shared" si="9"/>
        <v>16000</v>
      </c>
      <c r="H43" s="61">
        <f t="shared" si="9"/>
        <v>18000</v>
      </c>
      <c r="I43" s="61">
        <f t="shared" si="9"/>
        <v>20000</v>
      </c>
      <c r="J43" s="61">
        <f t="shared" si="9"/>
        <v>22000</v>
      </c>
    </row>
    <row r="44" spans="2:12">
      <c r="B44" s="52" t="s">
        <v>26</v>
      </c>
      <c r="C44" s="48" t="s">
        <v>27</v>
      </c>
      <c r="D44" s="52">
        <f>D43*D27</f>
        <v>100</v>
      </c>
      <c r="E44" s="52">
        <f t="shared" ref="E44:J44" si="10">E43*E27</f>
        <v>600</v>
      </c>
      <c r="F44" s="52">
        <f t="shared" si="10"/>
        <v>1400</v>
      </c>
      <c r="G44" s="52">
        <f t="shared" si="10"/>
        <v>480</v>
      </c>
      <c r="H44" s="52">
        <f t="shared" si="10"/>
        <v>1620</v>
      </c>
      <c r="I44" s="52">
        <f t="shared" si="10"/>
        <v>2000</v>
      </c>
      <c r="J44" s="52">
        <f t="shared" si="10"/>
        <v>2640</v>
      </c>
    </row>
    <row r="45" spans="2:12">
      <c r="B45" s="52" t="s">
        <v>28</v>
      </c>
      <c r="C45" s="48" t="s">
        <v>29</v>
      </c>
      <c r="D45" s="52">
        <f>D30*D29</f>
        <v>200</v>
      </c>
      <c r="E45" s="52">
        <f t="shared" ref="E45:J45" si="11">E30*E29</f>
        <v>180</v>
      </c>
      <c r="F45" s="52">
        <f t="shared" si="11"/>
        <v>160</v>
      </c>
      <c r="G45" s="52">
        <f t="shared" si="11"/>
        <v>350</v>
      </c>
      <c r="H45" s="52">
        <f t="shared" si="11"/>
        <v>325</v>
      </c>
      <c r="I45" s="52">
        <f t="shared" si="11"/>
        <v>300</v>
      </c>
      <c r="J45" s="52">
        <f t="shared" si="11"/>
        <v>350</v>
      </c>
    </row>
    <row r="46" spans="2:12">
      <c r="B46" s="52" t="s">
        <v>30</v>
      </c>
      <c r="C46" s="48" t="s">
        <v>31</v>
      </c>
      <c r="D46" s="52">
        <f>D44-D45</f>
        <v>-100</v>
      </c>
      <c r="E46" s="52">
        <f t="shared" ref="E46:J46" si="12">E44-E45</f>
        <v>420</v>
      </c>
      <c r="F46" s="52">
        <f t="shared" si="12"/>
        <v>1240</v>
      </c>
      <c r="G46" s="52">
        <f t="shared" si="12"/>
        <v>130</v>
      </c>
      <c r="H46" s="52">
        <f t="shared" si="12"/>
        <v>1295</v>
      </c>
      <c r="I46" s="52">
        <f t="shared" si="12"/>
        <v>1700</v>
      </c>
      <c r="J46" s="52">
        <f t="shared" si="12"/>
        <v>2290</v>
      </c>
    </row>
    <row r="47" spans="2:12">
      <c r="B47" s="64" t="s">
        <v>32</v>
      </c>
      <c r="C47" s="48" t="s">
        <v>33</v>
      </c>
      <c r="D47" s="52">
        <f>+IF(D46&lt;0,0,D46*D28)</f>
        <v>0</v>
      </c>
      <c r="E47" s="52">
        <f t="shared" ref="E47:J47" si="13">+IF(E46&lt;0,0,E46*E28)</f>
        <v>42</v>
      </c>
      <c r="F47" s="52">
        <f t="shared" si="13"/>
        <v>124</v>
      </c>
      <c r="G47" s="52">
        <f t="shared" si="13"/>
        <v>11.7</v>
      </c>
      <c r="H47" s="52">
        <f t="shared" si="13"/>
        <v>116.55</v>
      </c>
      <c r="I47" s="52">
        <f t="shared" si="13"/>
        <v>153</v>
      </c>
      <c r="J47" s="52">
        <f t="shared" si="13"/>
        <v>206.1</v>
      </c>
    </row>
    <row r="48" spans="2:12" ht="18" customHeight="1">
      <c r="B48" s="52" t="s">
        <v>34</v>
      </c>
      <c r="C48" s="48" t="s">
        <v>35</v>
      </c>
      <c r="D48" s="52">
        <f>D46-D47</f>
        <v>-100</v>
      </c>
      <c r="E48" s="52">
        <f t="shared" ref="E48:J48" si="14">E46-E47</f>
        <v>378</v>
      </c>
      <c r="F48" s="52">
        <f t="shared" si="14"/>
        <v>1116</v>
      </c>
      <c r="G48" s="52">
        <f t="shared" si="14"/>
        <v>118.3</v>
      </c>
      <c r="H48" s="52">
        <f t="shared" si="14"/>
        <v>1178.45</v>
      </c>
      <c r="I48" s="52">
        <f t="shared" si="14"/>
        <v>1547</v>
      </c>
      <c r="J48" s="52">
        <f t="shared" si="14"/>
        <v>2083.9</v>
      </c>
    </row>
    <row r="49" spans="2:10">
      <c r="B49" s="52" t="s">
        <v>36</v>
      </c>
      <c r="C49" s="48" t="s">
        <v>37</v>
      </c>
      <c r="D49" s="52">
        <f>+D48-D50</f>
        <v>0</v>
      </c>
      <c r="E49" s="52">
        <f t="shared" ref="E49:I49" si="15">+E48-E50</f>
        <v>0</v>
      </c>
      <c r="F49" s="52">
        <f t="shared" si="15"/>
        <v>1116</v>
      </c>
      <c r="G49" s="52">
        <f t="shared" si="15"/>
        <v>0</v>
      </c>
      <c r="H49" s="52">
        <f t="shared" si="15"/>
        <v>0</v>
      </c>
      <c r="I49" s="52">
        <f t="shared" si="15"/>
        <v>0</v>
      </c>
    </row>
    <row r="50" spans="2:10">
      <c r="C50" s="48" t="s">
        <v>38</v>
      </c>
      <c r="D50" s="52">
        <f>+IF(D48&lt;0,D48,MAX(0,MIN(D48,D52)))</f>
        <v>-100</v>
      </c>
      <c r="E50" s="52">
        <f t="shared" ref="E50:I50" si="16">+IF(E48&lt;0,E48,MAX(0,MIN(E48,E52)))</f>
        <v>378</v>
      </c>
      <c r="F50" s="52">
        <f t="shared" si="16"/>
        <v>0</v>
      </c>
      <c r="G50" s="52">
        <f t="shared" si="16"/>
        <v>118.3</v>
      </c>
      <c r="H50" s="52">
        <f t="shared" si="16"/>
        <v>1178.45</v>
      </c>
      <c r="I50" s="52">
        <f t="shared" si="16"/>
        <v>1547</v>
      </c>
    </row>
    <row r="51" spans="2:10">
      <c r="C51" s="48"/>
    </row>
    <row r="52" spans="2:10">
      <c r="B52" s="52" t="s">
        <v>39</v>
      </c>
      <c r="C52" s="48" t="s">
        <v>40</v>
      </c>
      <c r="D52" s="61">
        <f>+E41-D41</f>
        <v>2000</v>
      </c>
      <c r="E52" s="52">
        <f t="shared" ref="E52:I52" si="17">+F41-E41</f>
        <v>2500</v>
      </c>
      <c r="F52" s="52">
        <f t="shared" si="17"/>
        <v>-1400</v>
      </c>
      <c r="G52" s="52">
        <f t="shared" si="17"/>
        <v>4000</v>
      </c>
      <c r="H52" s="52">
        <f t="shared" si="17"/>
        <v>1700</v>
      </c>
      <c r="I52" s="52">
        <f t="shared" si="17"/>
        <v>3000</v>
      </c>
    </row>
    <row r="53" spans="2:10">
      <c r="B53" s="52" t="s">
        <v>41</v>
      </c>
      <c r="C53" s="48" t="s">
        <v>42</v>
      </c>
      <c r="D53" s="61">
        <f>+D52-D50</f>
        <v>2100</v>
      </c>
      <c r="E53" s="52">
        <f t="shared" ref="E53:I53" si="18">+E52-E50</f>
        <v>2122</v>
      </c>
      <c r="F53" s="52">
        <f t="shared" si="18"/>
        <v>-1400</v>
      </c>
      <c r="G53" s="52">
        <f t="shared" si="18"/>
        <v>3881.7</v>
      </c>
      <c r="H53" s="52">
        <f t="shared" si="18"/>
        <v>521.54999999999995</v>
      </c>
      <c r="I53" s="52">
        <f t="shared" si="18"/>
        <v>1453</v>
      </c>
    </row>
    <row r="54" spans="2:10">
      <c r="B54" s="52" t="s">
        <v>43</v>
      </c>
      <c r="C54" s="48" t="s">
        <v>44</v>
      </c>
      <c r="D54" s="65">
        <f>D49/D48</f>
        <v>0</v>
      </c>
      <c r="E54" s="65">
        <f t="shared" ref="E54:I54" si="19">E49/E48</f>
        <v>0</v>
      </c>
      <c r="F54" s="65">
        <f t="shared" si="19"/>
        <v>1</v>
      </c>
      <c r="G54" s="65">
        <f t="shared" si="19"/>
        <v>0</v>
      </c>
      <c r="H54" s="65">
        <f t="shared" si="19"/>
        <v>0</v>
      </c>
      <c r="I54" s="65">
        <f t="shared" si="19"/>
        <v>0</v>
      </c>
      <c r="J54" s="84"/>
    </row>
    <row r="55" spans="2:10">
      <c r="B55" s="52" t="s">
        <v>45</v>
      </c>
      <c r="C55" s="49" t="s">
        <v>46</v>
      </c>
      <c r="D55" s="65">
        <f>+D47/D46</f>
        <v>0</v>
      </c>
      <c r="E55" s="65">
        <f t="shared" ref="E55:J55" si="20">+E47/E46</f>
        <v>0.1</v>
      </c>
      <c r="F55" s="65">
        <f t="shared" si="20"/>
        <v>0.1</v>
      </c>
      <c r="G55" s="65">
        <f t="shared" si="20"/>
        <v>0.09</v>
      </c>
      <c r="H55" s="65">
        <f t="shared" si="20"/>
        <v>0.09</v>
      </c>
      <c r="I55" s="65">
        <f t="shared" si="20"/>
        <v>0.09</v>
      </c>
      <c r="J55" s="65">
        <f t="shared" si="20"/>
        <v>0.09</v>
      </c>
    </row>
    <row r="56" spans="2:10">
      <c r="B56" s="52" t="s">
        <v>47</v>
      </c>
    </row>
    <row r="57" spans="2:10">
      <c r="B57" s="52" t="s">
        <v>48</v>
      </c>
      <c r="C57" s="48" t="s">
        <v>49</v>
      </c>
      <c r="D57" s="52">
        <f>D44*(1-D55)</f>
        <v>100</v>
      </c>
      <c r="E57" s="52">
        <f t="shared" ref="E57:J57" si="21">E44*(1-E55)</f>
        <v>540</v>
      </c>
      <c r="F57" s="52">
        <f t="shared" si="21"/>
        <v>1260</v>
      </c>
      <c r="G57" s="52">
        <f t="shared" si="21"/>
        <v>436.8</v>
      </c>
      <c r="H57" s="52">
        <f t="shared" si="21"/>
        <v>1474.2</v>
      </c>
      <c r="I57" s="52">
        <f t="shared" si="21"/>
        <v>1820</v>
      </c>
      <c r="J57" s="52">
        <f t="shared" si="21"/>
        <v>2402.4</v>
      </c>
    </row>
    <row r="58" spans="2:10">
      <c r="B58" s="52" t="s">
        <v>50</v>
      </c>
      <c r="C58" s="50" t="s">
        <v>1</v>
      </c>
      <c r="D58" s="61">
        <f>+D25</f>
        <v>1500</v>
      </c>
      <c r="E58" s="61">
        <f t="shared" ref="E58:J58" si="22">+E25</f>
        <v>2000</v>
      </c>
      <c r="F58" s="61">
        <f t="shared" si="22"/>
        <v>1600</v>
      </c>
      <c r="G58" s="61">
        <f t="shared" si="22"/>
        <v>3500</v>
      </c>
      <c r="H58" s="61">
        <f t="shared" si="22"/>
        <v>1200</v>
      </c>
      <c r="I58" s="61">
        <f t="shared" si="22"/>
        <v>4000</v>
      </c>
      <c r="J58" s="61">
        <f t="shared" si="22"/>
        <v>1500</v>
      </c>
    </row>
    <row r="59" spans="2:10">
      <c r="B59" s="52" t="s">
        <v>51</v>
      </c>
      <c r="C59" s="48" t="s">
        <v>52</v>
      </c>
      <c r="D59" s="61">
        <f>D57-D58</f>
        <v>-1400</v>
      </c>
      <c r="E59" s="61">
        <f t="shared" ref="E59:J59" si="23">E57-E58</f>
        <v>-1460</v>
      </c>
      <c r="F59" s="61">
        <f t="shared" si="23"/>
        <v>-340</v>
      </c>
      <c r="G59" s="61">
        <f t="shared" si="23"/>
        <v>-3063.2</v>
      </c>
      <c r="H59" s="61">
        <f t="shared" si="23"/>
        <v>274.20000000000005</v>
      </c>
      <c r="I59" s="61">
        <f t="shared" si="23"/>
        <v>-2180</v>
      </c>
      <c r="J59" s="61">
        <f t="shared" si="23"/>
        <v>902.40000000000009</v>
      </c>
    </row>
    <row r="60" spans="2:10">
      <c r="B60" s="52" t="s">
        <v>50</v>
      </c>
      <c r="C60" s="50" t="s">
        <v>53</v>
      </c>
      <c r="D60" s="52">
        <f>+D45</f>
        <v>200</v>
      </c>
      <c r="E60" s="52">
        <f t="shared" ref="E60:J60" si="24">+E45</f>
        <v>180</v>
      </c>
      <c r="F60" s="52">
        <f t="shared" si="24"/>
        <v>160</v>
      </c>
      <c r="G60" s="52">
        <f t="shared" si="24"/>
        <v>350</v>
      </c>
      <c r="H60" s="52">
        <f t="shared" si="24"/>
        <v>325</v>
      </c>
      <c r="I60" s="52">
        <f t="shared" si="24"/>
        <v>300</v>
      </c>
      <c r="J60" s="52">
        <f t="shared" si="24"/>
        <v>350</v>
      </c>
    </row>
    <row r="61" spans="2:10">
      <c r="B61" s="52" t="s">
        <v>54</v>
      </c>
      <c r="C61" s="48" t="s">
        <v>55</v>
      </c>
      <c r="D61" s="52">
        <f>D60*D55</f>
        <v>0</v>
      </c>
      <c r="E61" s="52">
        <f t="shared" ref="E61:J61" si="25">E60*E55</f>
        <v>18</v>
      </c>
      <c r="F61" s="52">
        <f t="shared" si="25"/>
        <v>16</v>
      </c>
      <c r="G61" s="52">
        <f t="shared" si="25"/>
        <v>31.5</v>
      </c>
      <c r="H61" s="52">
        <f t="shared" si="25"/>
        <v>29.25</v>
      </c>
      <c r="I61" s="52">
        <f t="shared" si="25"/>
        <v>27</v>
      </c>
      <c r="J61" s="52">
        <f t="shared" si="25"/>
        <v>31.5</v>
      </c>
    </row>
    <row r="62" spans="2:10">
      <c r="B62" s="52" t="s">
        <v>56</v>
      </c>
      <c r="C62" s="48" t="s">
        <v>57</v>
      </c>
      <c r="D62" s="61">
        <f>E40-D40</f>
        <v>-500</v>
      </c>
      <c r="E62" s="61">
        <f t="shared" ref="E62:J62" si="26">F40-E40</f>
        <v>-500</v>
      </c>
      <c r="F62" s="61">
        <f t="shared" si="26"/>
        <v>3000</v>
      </c>
      <c r="G62" s="61">
        <f t="shared" si="26"/>
        <v>-500</v>
      </c>
      <c r="H62" s="61">
        <f t="shared" si="26"/>
        <v>-500</v>
      </c>
      <c r="I62" s="61">
        <f t="shared" si="26"/>
        <v>1000</v>
      </c>
      <c r="J62" s="61">
        <f t="shared" si="26"/>
        <v>-7000</v>
      </c>
    </row>
    <row r="63" spans="2:10">
      <c r="B63" s="52" t="s">
        <v>58</v>
      </c>
      <c r="C63" s="48" t="s">
        <v>59</v>
      </c>
      <c r="D63" s="61">
        <f>D59-D60+D61+D62</f>
        <v>-2100</v>
      </c>
      <c r="E63" s="61">
        <f t="shared" ref="E63:J63" si="27">E59-E60+E61+E62</f>
        <v>-2122</v>
      </c>
      <c r="F63" s="61">
        <f t="shared" si="27"/>
        <v>2516</v>
      </c>
      <c r="G63" s="61">
        <f t="shared" si="27"/>
        <v>-3881.7</v>
      </c>
      <c r="H63" s="61">
        <f t="shared" si="27"/>
        <v>-521.54999999999995</v>
      </c>
      <c r="I63" s="61">
        <f t="shared" si="27"/>
        <v>-1453</v>
      </c>
      <c r="J63" s="61">
        <f t="shared" si="27"/>
        <v>-6416.1</v>
      </c>
    </row>
    <row r="64" spans="2:10">
      <c r="B64" s="52" t="s">
        <v>50</v>
      </c>
      <c r="C64" s="50" t="s">
        <v>37</v>
      </c>
      <c r="D64" s="52">
        <f>-D49</f>
        <v>0</v>
      </c>
      <c r="E64" s="52">
        <f t="shared" ref="E64:I64" si="28">-E49</f>
        <v>0</v>
      </c>
      <c r="F64" s="52">
        <f t="shared" si="28"/>
        <v>-1116</v>
      </c>
      <c r="G64" s="52">
        <f t="shared" si="28"/>
        <v>0</v>
      </c>
      <c r="H64" s="52">
        <f t="shared" si="28"/>
        <v>0</v>
      </c>
      <c r="I64" s="52">
        <f t="shared" si="28"/>
        <v>0</v>
      </c>
    </row>
    <row r="65" spans="3:10">
      <c r="C65" s="51" t="s">
        <v>60</v>
      </c>
      <c r="D65" s="66">
        <f>D52-D50</f>
        <v>2100</v>
      </c>
      <c r="E65" s="66">
        <f t="shared" ref="E65:H65" si="29">E52-E50</f>
        <v>2122</v>
      </c>
      <c r="F65" s="66">
        <f t="shared" si="29"/>
        <v>-1400</v>
      </c>
      <c r="G65" s="66">
        <f t="shared" si="29"/>
        <v>3881.7</v>
      </c>
      <c r="H65" s="66">
        <f t="shared" si="29"/>
        <v>521.54999999999995</v>
      </c>
      <c r="I65" s="66">
        <f>I52-I50</f>
        <v>1453</v>
      </c>
      <c r="J65" s="66"/>
    </row>
    <row r="66" spans="3:10">
      <c r="C66" s="48" t="s">
        <v>61</v>
      </c>
      <c r="D66" s="61">
        <f>SUM(D63:D65)</f>
        <v>0</v>
      </c>
      <c r="E66" s="61">
        <f t="shared" ref="E66:I66" si="30">SUM(E63:E65)</f>
        <v>0</v>
      </c>
      <c r="F66" s="61">
        <f>SUM(F63:F65)</f>
        <v>0</v>
      </c>
      <c r="G66" s="61">
        <f t="shared" si="30"/>
        <v>0</v>
      </c>
      <c r="H66" s="61">
        <f t="shared" si="30"/>
        <v>0</v>
      </c>
      <c r="I66" s="61">
        <f t="shared" si="30"/>
        <v>0</v>
      </c>
      <c r="J66" s="61">
        <f>SUM(J63:J65)</f>
        <v>-6416.1</v>
      </c>
    </row>
  </sheetData>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EF86-E744-4116-9C7B-2E5434C79B87}">
  <dimension ref="A25:J41"/>
  <sheetViews>
    <sheetView workbookViewId="0">
      <selection activeCell="B31" sqref="B31"/>
    </sheetView>
  </sheetViews>
  <sheetFormatPr defaultRowHeight="15.75"/>
  <cols>
    <col min="1" max="1" width="9.140625" style="52"/>
    <col min="2" max="2" width="40.85546875" style="52" bestFit="1" customWidth="1"/>
    <col min="3" max="3" width="28" style="52" bestFit="1" customWidth="1"/>
    <col min="4" max="4" width="10.140625" style="52" bestFit="1" customWidth="1"/>
    <col min="5" max="6" width="13.85546875" style="52" bestFit="1" customWidth="1"/>
    <col min="7" max="7" width="10.28515625" style="52" bestFit="1" customWidth="1"/>
    <col min="8" max="8" width="12.5703125" style="52" bestFit="1" customWidth="1"/>
    <col min="9" max="10" width="13.85546875" style="52" bestFit="1" customWidth="1"/>
    <col min="11" max="16384" width="9.140625" style="52"/>
  </cols>
  <sheetData>
    <row r="25" spans="3:10">
      <c r="D25" s="40">
        <v>2020</v>
      </c>
      <c r="E25" s="40">
        <v>2021</v>
      </c>
      <c r="F25" s="40">
        <v>2022</v>
      </c>
      <c r="G25" s="40">
        <v>2023</v>
      </c>
      <c r="H25" s="40">
        <v>2024</v>
      </c>
      <c r="I25" s="40">
        <v>2025</v>
      </c>
      <c r="J25" s="40">
        <v>2026</v>
      </c>
    </row>
    <row r="26" spans="3:10">
      <c r="C26" s="52" t="s">
        <v>2</v>
      </c>
      <c r="D26" s="61">
        <v>20000</v>
      </c>
      <c r="E26" s="61">
        <f t="shared" ref="E26:J26" si="0">D26*(1+E32)</f>
        <v>22000</v>
      </c>
      <c r="F26" s="61">
        <f t="shared" si="0"/>
        <v>23980</v>
      </c>
      <c r="G26" s="61">
        <f t="shared" si="0"/>
        <v>25898.400000000001</v>
      </c>
      <c r="H26" s="61">
        <f t="shared" si="0"/>
        <v>27711.288000000004</v>
      </c>
      <c r="I26" s="61">
        <f t="shared" si="0"/>
        <v>29373.965280000008</v>
      </c>
      <c r="J26" s="61">
        <f t="shared" si="0"/>
        <v>30842.66354400001</v>
      </c>
    </row>
    <row r="27" spans="3:10">
      <c r="C27" s="52" t="s">
        <v>3</v>
      </c>
      <c r="D27" s="62">
        <v>0.01</v>
      </c>
      <c r="E27" s="62">
        <f t="shared" ref="E27:J27" si="1">E37/(1-E28)/E26</f>
        <v>1.0000000000000002E-2</v>
      </c>
      <c r="F27" s="62">
        <f t="shared" si="1"/>
        <v>1.0227272727272729E-2</v>
      </c>
      <c r="G27" s="62">
        <f t="shared" si="1"/>
        <v>1.0227272727272729E-2</v>
      </c>
      <c r="H27" s="62">
        <f t="shared" si="1"/>
        <v>1.0227272727272729E-2</v>
      </c>
      <c r="I27" s="62">
        <f t="shared" si="1"/>
        <v>1.0227272727272727E-2</v>
      </c>
      <c r="J27" s="62">
        <f t="shared" si="1"/>
        <v>1.0227272727272729E-2</v>
      </c>
    </row>
    <row r="28" spans="3:10">
      <c r="C28" s="52" t="s">
        <v>62</v>
      </c>
      <c r="D28" s="63">
        <v>0.1</v>
      </c>
      <c r="E28" s="63">
        <v>0.1</v>
      </c>
      <c r="F28" s="63">
        <v>0.12</v>
      </c>
      <c r="G28" s="63">
        <v>0.12</v>
      </c>
      <c r="H28" s="63">
        <v>0.12</v>
      </c>
      <c r="I28" s="63">
        <v>0.12</v>
      </c>
      <c r="J28" s="63">
        <v>0.12</v>
      </c>
    </row>
    <row r="29" spans="3:10">
      <c r="C29" s="52" t="s">
        <v>5</v>
      </c>
      <c r="D29" s="63">
        <v>0.04</v>
      </c>
      <c r="E29" s="63">
        <v>0.04</v>
      </c>
      <c r="F29" s="63">
        <v>0.06</v>
      </c>
      <c r="G29" s="63">
        <v>0.06</v>
      </c>
      <c r="H29" s="63">
        <v>0.06</v>
      </c>
      <c r="I29" s="63">
        <v>0.06</v>
      </c>
      <c r="J29" s="63">
        <v>0.06</v>
      </c>
    </row>
    <row r="30" spans="3:10">
      <c r="C30" s="52" t="s">
        <v>0</v>
      </c>
      <c r="D30" s="61">
        <v>10000</v>
      </c>
      <c r="E30" s="61">
        <f t="shared" ref="E30:J30" si="2">D30+D40</f>
        <v>10120</v>
      </c>
      <c r="F30" s="61">
        <f t="shared" si="2"/>
        <v>10247.285714285714</v>
      </c>
      <c r="G30" s="61">
        <f t="shared" si="2"/>
        <v>10380.098021978021</v>
      </c>
      <c r="H30" s="61">
        <f t="shared" si="2"/>
        <v>10516.064621978021</v>
      </c>
      <c r="I30" s="61">
        <f t="shared" si="2"/>
        <v>10652.101853978022</v>
      </c>
      <c r="J30" s="61">
        <f t="shared" si="2"/>
        <v>10784.284697738021</v>
      </c>
    </row>
    <row r="31" spans="3:10">
      <c r="C31" s="52" t="s">
        <v>10</v>
      </c>
      <c r="D31" s="62"/>
      <c r="E31" s="62">
        <v>0.15</v>
      </c>
      <c r="F31" s="62">
        <v>0.14000000000000001</v>
      </c>
      <c r="G31" s="62">
        <v>0.13</v>
      </c>
      <c r="H31" s="62">
        <v>0.12</v>
      </c>
      <c r="I31" s="62">
        <v>0.11</v>
      </c>
      <c r="J31" s="62">
        <v>0.1</v>
      </c>
    </row>
    <row r="32" spans="3:10">
      <c r="C32" s="52" t="s">
        <v>14</v>
      </c>
      <c r="D32" s="62">
        <f>E31*D39</f>
        <v>0.1</v>
      </c>
      <c r="E32" s="62">
        <v>0.1</v>
      </c>
      <c r="F32" s="62">
        <v>0.09</v>
      </c>
      <c r="G32" s="62">
        <v>0.08</v>
      </c>
      <c r="H32" s="62">
        <v>7.0000000000000007E-2</v>
      </c>
      <c r="I32" s="62">
        <v>0.06</v>
      </c>
      <c r="J32" s="62">
        <v>0.05</v>
      </c>
    </row>
    <row r="33" spans="1:10">
      <c r="C33" s="52" t="s">
        <v>63</v>
      </c>
      <c r="D33" s="62">
        <v>0.08</v>
      </c>
      <c r="E33" s="62">
        <v>0.08</v>
      </c>
      <c r="F33" s="62">
        <v>0.08</v>
      </c>
      <c r="G33" s="62">
        <v>0.08</v>
      </c>
      <c r="H33" s="62">
        <v>0.08</v>
      </c>
      <c r="I33" s="62">
        <v>0.08</v>
      </c>
      <c r="J33" s="62">
        <v>0.08</v>
      </c>
    </row>
    <row r="34" spans="1:10">
      <c r="C34" s="52" t="s">
        <v>64</v>
      </c>
      <c r="D34" s="62">
        <v>0.3</v>
      </c>
      <c r="E34" s="62">
        <v>0.4</v>
      </c>
      <c r="F34" s="62">
        <v>0.5</v>
      </c>
      <c r="G34" s="62">
        <v>0.5</v>
      </c>
      <c r="H34" s="62">
        <v>0.5</v>
      </c>
      <c r="I34" s="62">
        <v>0.5</v>
      </c>
      <c r="J34" s="62">
        <v>0.5</v>
      </c>
    </row>
    <row r="35" spans="1:10" ht="16.5" thickBot="1"/>
    <row r="36" spans="1:10">
      <c r="A36" s="52">
        <v>2</v>
      </c>
      <c r="B36" s="52" t="s">
        <v>65</v>
      </c>
      <c r="C36" s="41" t="s">
        <v>8</v>
      </c>
      <c r="D36" s="42">
        <f>D37/D30</f>
        <v>1.7999999999999999E-2</v>
      </c>
      <c r="E36" s="42">
        <f t="shared" ref="E36:J36" si="3">E37/E30</f>
        <v>1.9565217391304349E-2</v>
      </c>
      <c r="F36" s="42">
        <f t="shared" si="3"/>
        <v>2.1061186934519253E-2</v>
      </c>
      <c r="G36" s="42">
        <f t="shared" si="3"/>
        <v>2.2455048064717938E-2</v>
      </c>
      <c r="H36" s="42">
        <f t="shared" si="3"/>
        <v>2.3716247566486409E-2</v>
      </c>
      <c r="I36" s="42">
        <f t="shared" si="3"/>
        <v>2.4818171206396501E-2</v>
      </c>
      <c r="J36" s="42">
        <f t="shared" si="3"/>
        <v>2.5739673949281287E-2</v>
      </c>
    </row>
    <row r="37" spans="1:10">
      <c r="A37" s="52">
        <v>1</v>
      </c>
      <c r="B37" s="52" t="s">
        <v>66</v>
      </c>
      <c r="C37" s="69" t="s">
        <v>67</v>
      </c>
      <c r="D37" s="70">
        <f>D27*D26*(1-D28)</f>
        <v>180</v>
      </c>
      <c r="E37" s="70">
        <f t="shared" ref="E37:J37" si="4">D37*(1+E32)</f>
        <v>198.00000000000003</v>
      </c>
      <c r="F37" s="70">
        <f t="shared" si="4"/>
        <v>215.82000000000005</v>
      </c>
      <c r="G37" s="70">
        <f t="shared" si="4"/>
        <v>233.08560000000006</v>
      </c>
      <c r="H37" s="70">
        <f t="shared" si="4"/>
        <v>249.40159200000008</v>
      </c>
      <c r="I37" s="70">
        <f t="shared" si="4"/>
        <v>264.36568752000011</v>
      </c>
      <c r="J37" s="70">
        <f t="shared" si="4"/>
        <v>277.58397189600015</v>
      </c>
    </row>
    <row r="38" spans="1:10">
      <c r="A38" s="52">
        <v>5</v>
      </c>
      <c r="B38" s="52" t="s">
        <v>68</v>
      </c>
      <c r="C38" s="69" t="s">
        <v>52</v>
      </c>
      <c r="D38" s="70">
        <f>D37-D40</f>
        <v>59.999999999999986</v>
      </c>
      <c r="E38" s="70">
        <f t="shared" ref="E38:J38" si="5">E37-E40</f>
        <v>70.714285714285737</v>
      </c>
      <c r="F38" s="70">
        <f t="shared" si="5"/>
        <v>83.007692307692309</v>
      </c>
      <c r="G38" s="70">
        <f t="shared" si="5"/>
        <v>97.119000000000028</v>
      </c>
      <c r="H38" s="70">
        <f t="shared" si="5"/>
        <v>113.36436000000003</v>
      </c>
      <c r="I38" s="70">
        <f t="shared" si="5"/>
        <v>132.18284376000005</v>
      </c>
      <c r="J38" s="70">
        <f t="shared" si="5"/>
        <v>277.58397189600015</v>
      </c>
    </row>
    <row r="39" spans="1:10">
      <c r="A39" s="52">
        <v>3</v>
      </c>
      <c r="B39" s="52" t="s">
        <v>69</v>
      </c>
      <c r="C39" s="43" t="s">
        <v>12</v>
      </c>
      <c r="D39" s="71">
        <f>E32/E31</f>
        <v>0.66666666666666674</v>
      </c>
      <c r="E39" s="71">
        <f t="shared" ref="E39:I39" si="6">F32/F31</f>
        <v>0.64285714285714279</v>
      </c>
      <c r="F39" s="71">
        <f t="shared" si="6"/>
        <v>0.61538461538461542</v>
      </c>
      <c r="G39" s="71">
        <f t="shared" si="6"/>
        <v>0.58333333333333337</v>
      </c>
      <c r="H39" s="71">
        <f t="shared" si="6"/>
        <v>0.54545454545454541</v>
      </c>
      <c r="I39" s="71">
        <f t="shared" si="6"/>
        <v>0.5</v>
      </c>
      <c r="J39" s="72"/>
    </row>
    <row r="40" spans="1:10">
      <c r="A40" s="52">
        <v>4</v>
      </c>
      <c r="B40" s="52" t="s">
        <v>70</v>
      </c>
      <c r="C40" s="43" t="s">
        <v>1</v>
      </c>
      <c r="D40" s="73">
        <f>D37*D39</f>
        <v>120.00000000000001</v>
      </c>
      <c r="E40" s="73">
        <f t="shared" ref="E40:I40" si="7">E37*E39</f>
        <v>127.28571428571429</v>
      </c>
      <c r="F40" s="73">
        <f t="shared" si="7"/>
        <v>132.81230769230774</v>
      </c>
      <c r="G40" s="73">
        <f t="shared" si="7"/>
        <v>135.96660000000003</v>
      </c>
      <c r="H40" s="73">
        <f t="shared" si="7"/>
        <v>136.03723200000005</v>
      </c>
      <c r="I40" s="73">
        <f t="shared" si="7"/>
        <v>132.18284376000005</v>
      </c>
      <c r="J40" s="73"/>
    </row>
    <row r="41" spans="1:10" ht="16.5" thickBot="1">
      <c r="A41" s="52">
        <v>1</v>
      </c>
      <c r="B41" s="52" t="s">
        <v>71</v>
      </c>
      <c r="C41" s="46" t="s">
        <v>72</v>
      </c>
      <c r="D41" s="74">
        <f>D33-D34*D29*D28</f>
        <v>7.8799999999999995E-2</v>
      </c>
      <c r="E41" s="74">
        <f t="shared" ref="E41:J41" si="8">E33-E34*E29*E28</f>
        <v>7.8399999999999997E-2</v>
      </c>
      <c r="F41" s="74">
        <f t="shared" si="8"/>
        <v>7.6399999999999996E-2</v>
      </c>
      <c r="G41" s="74">
        <f t="shared" si="8"/>
        <v>7.6399999999999996E-2</v>
      </c>
      <c r="H41" s="74">
        <f t="shared" si="8"/>
        <v>7.6399999999999996E-2</v>
      </c>
      <c r="I41" s="74">
        <f t="shared" si="8"/>
        <v>7.6399999999999996E-2</v>
      </c>
      <c r="J41" s="74">
        <f t="shared" si="8"/>
        <v>7.6399999999999996E-2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B826-F918-4661-BBA8-7D7E86D61EE8}">
  <dimension ref="B1:I54"/>
  <sheetViews>
    <sheetView showGridLines="0" topLeftCell="A28" workbookViewId="0">
      <selection activeCell="D54" sqref="D54"/>
    </sheetView>
  </sheetViews>
  <sheetFormatPr defaultRowHeight="15.75"/>
  <cols>
    <col min="1" max="1" width="9.140625" style="52"/>
    <col min="2" max="2" width="22.7109375" style="52" bestFit="1" customWidth="1"/>
    <col min="3" max="3" width="42.5703125" style="52" bestFit="1" customWidth="1"/>
    <col min="4" max="4" width="12.7109375" style="52" bestFit="1" customWidth="1"/>
    <col min="5" max="5" width="12.28515625" style="52" customWidth="1"/>
    <col min="6" max="9" width="10.7109375" style="52" bestFit="1" customWidth="1"/>
    <col min="10" max="16384" width="9.140625" style="52"/>
  </cols>
  <sheetData>
    <row r="1" spans="2:3" ht="16.5" thickBot="1"/>
    <row r="2" spans="2:3">
      <c r="B2" s="53" t="str">
        <f>+[1]Admin!C12</f>
        <v>Date</v>
      </c>
      <c r="C2" s="75">
        <f>+[1]Admin!D12</f>
        <v>44208</v>
      </c>
    </row>
    <row r="3" spans="2:3">
      <c r="B3" s="54" t="str">
        <f>+[1]Admin!C13</f>
        <v>Student name</v>
      </c>
      <c r="C3" s="55" t="str">
        <f>+[1]Admin!D13</f>
        <v>Sam Sample</v>
      </c>
    </row>
    <row r="4" spans="2:3">
      <c r="B4" s="54" t="str">
        <f>+[1]Admin!C14</f>
        <v>Neptun code</v>
      </c>
      <c r="C4" s="55" t="str">
        <f>+[1]Admin!D14</f>
        <v>ABCD1234</v>
      </c>
    </row>
    <row r="5" spans="2:3">
      <c r="B5" s="54"/>
      <c r="C5" s="56"/>
    </row>
    <row r="6" spans="2:3">
      <c r="B6" s="54" t="str">
        <f>+[1]Admin!C16</f>
        <v>Study program</v>
      </c>
      <c r="C6" s="56" t="str">
        <f>+[1]Admin!D16</f>
        <v>Master in Finance</v>
      </c>
    </row>
    <row r="7" spans="2:3" ht="16.5" thickBot="1">
      <c r="B7" s="57" t="str">
        <f>+[1]Admin!C17</f>
        <v>Instructor</v>
      </c>
      <c r="C7" s="58" t="str">
        <f>+[1]Admin!D17</f>
        <v>Péter Juhász, PhD, CFA</v>
      </c>
    </row>
    <row r="8" spans="2:3" ht="16.5" thickBot="1"/>
    <row r="9" spans="2:3" ht="16.5" thickBot="1">
      <c r="B9" s="59" t="s">
        <v>73</v>
      </c>
      <c r="C9" s="60"/>
    </row>
    <row r="25" spans="3:9">
      <c r="D25" s="40">
        <v>2020</v>
      </c>
      <c r="E25" s="40">
        <v>2021</v>
      </c>
      <c r="F25" s="40">
        <v>2022</v>
      </c>
      <c r="G25" s="40">
        <v>2023</v>
      </c>
      <c r="H25" s="40">
        <v>2024</v>
      </c>
      <c r="I25" s="40">
        <v>2025</v>
      </c>
    </row>
    <row r="26" spans="3:9">
      <c r="C26" s="52" t="s">
        <v>2</v>
      </c>
      <c r="D26" s="61">
        <v>10000</v>
      </c>
      <c r="E26" s="61">
        <v>12000</v>
      </c>
      <c r="F26" s="61">
        <v>14000</v>
      </c>
      <c r="G26" s="61">
        <v>16000</v>
      </c>
      <c r="H26" s="61">
        <v>18000</v>
      </c>
      <c r="I26" s="61">
        <v>20000</v>
      </c>
    </row>
    <row r="27" spans="3:9">
      <c r="C27" s="52" t="s">
        <v>74</v>
      </c>
      <c r="D27" s="61">
        <v>5000</v>
      </c>
      <c r="E27" s="61">
        <v>5600</v>
      </c>
      <c r="F27" s="61">
        <v>6200</v>
      </c>
      <c r="G27" s="61">
        <v>6800</v>
      </c>
      <c r="H27" s="61">
        <v>7400</v>
      </c>
      <c r="I27" s="61">
        <v>8000</v>
      </c>
    </row>
    <row r="28" spans="3:9">
      <c r="C28" s="52" t="s">
        <v>75</v>
      </c>
      <c r="D28" s="61">
        <v>3200</v>
      </c>
      <c r="E28" s="61">
        <v>3500</v>
      </c>
      <c r="F28" s="61">
        <v>3800</v>
      </c>
      <c r="G28" s="61">
        <v>4100</v>
      </c>
      <c r="H28" s="61">
        <v>4400</v>
      </c>
      <c r="I28" s="61">
        <v>4700</v>
      </c>
    </row>
    <row r="29" spans="3:9">
      <c r="C29" s="52" t="s">
        <v>76</v>
      </c>
      <c r="D29" s="83">
        <v>700</v>
      </c>
      <c r="E29" s="83">
        <v>850</v>
      </c>
      <c r="F29" s="83">
        <v>1000</v>
      </c>
      <c r="G29" s="83">
        <v>1150</v>
      </c>
      <c r="H29" s="83">
        <v>1300</v>
      </c>
      <c r="I29" s="83">
        <v>1450</v>
      </c>
    </row>
    <row r="30" spans="3:9">
      <c r="C30" s="52" t="s">
        <v>77</v>
      </c>
      <c r="D30" s="61">
        <f>+D26-D27-D28-D29</f>
        <v>1100</v>
      </c>
      <c r="E30" s="61">
        <f t="shared" ref="E30:I30" si="0">+E26-E27-E28-E29</f>
        <v>2050</v>
      </c>
      <c r="F30" s="61">
        <f t="shared" si="0"/>
        <v>3000</v>
      </c>
      <c r="G30" s="61">
        <f t="shared" si="0"/>
        <v>3950</v>
      </c>
      <c r="H30" s="61">
        <f t="shared" si="0"/>
        <v>4900</v>
      </c>
      <c r="I30" s="61">
        <f t="shared" si="0"/>
        <v>5850</v>
      </c>
    </row>
    <row r="31" spans="3:9">
      <c r="C31" s="52" t="s">
        <v>78</v>
      </c>
      <c r="D31" s="61">
        <v>200</v>
      </c>
      <c r="E31" s="61">
        <v>170</v>
      </c>
      <c r="F31" s="61">
        <v>195</v>
      </c>
      <c r="G31" s="61">
        <v>220</v>
      </c>
      <c r="H31" s="61">
        <v>245</v>
      </c>
      <c r="I31" s="61">
        <v>270</v>
      </c>
    </row>
    <row r="32" spans="3:9">
      <c r="C32" s="52" t="s">
        <v>31</v>
      </c>
      <c r="D32" s="83">
        <f>+D30-D31</f>
        <v>900</v>
      </c>
      <c r="E32" s="83">
        <f t="shared" ref="E32:I32" si="1">+E30-E31</f>
        <v>1880</v>
      </c>
      <c r="F32" s="83">
        <f t="shared" si="1"/>
        <v>2805</v>
      </c>
      <c r="G32" s="83">
        <f t="shared" si="1"/>
        <v>3730</v>
      </c>
      <c r="H32" s="83">
        <f t="shared" si="1"/>
        <v>4655</v>
      </c>
      <c r="I32" s="83">
        <f t="shared" si="1"/>
        <v>5580</v>
      </c>
    </row>
    <row r="33" spans="2:9">
      <c r="C33" s="52" t="s">
        <v>35</v>
      </c>
      <c r="D33" s="83">
        <v>850</v>
      </c>
      <c r="E33" s="83">
        <v>1400</v>
      </c>
      <c r="F33" s="83">
        <v>1950</v>
      </c>
      <c r="G33" s="83">
        <v>2500</v>
      </c>
      <c r="H33" s="83">
        <v>3050</v>
      </c>
      <c r="I33" s="83">
        <v>3600</v>
      </c>
    </row>
    <row r="34" spans="2:9">
      <c r="C34" s="52" t="s">
        <v>37</v>
      </c>
      <c r="D34" s="83">
        <v>600</v>
      </c>
      <c r="E34" s="83">
        <v>1000</v>
      </c>
      <c r="F34" s="83">
        <v>1400</v>
      </c>
      <c r="G34" s="83">
        <v>1800</v>
      </c>
      <c r="H34" s="83">
        <v>2200</v>
      </c>
      <c r="I34" s="83">
        <v>2600</v>
      </c>
    </row>
    <row r="35" spans="2:9">
      <c r="D35" s="62"/>
      <c r="E35" s="62"/>
      <c r="F35" s="62"/>
      <c r="G35" s="62"/>
      <c r="H35" s="62"/>
      <c r="I35" s="62"/>
    </row>
    <row r="36" spans="2:9">
      <c r="C36" s="52" t="s">
        <v>79</v>
      </c>
      <c r="D36" s="83">
        <v>7500</v>
      </c>
      <c r="E36" s="83">
        <v>8600</v>
      </c>
      <c r="F36" s="83">
        <v>9700</v>
      </c>
      <c r="G36" s="83">
        <v>10800</v>
      </c>
      <c r="H36" s="83">
        <v>11900</v>
      </c>
      <c r="I36" s="83">
        <v>13000</v>
      </c>
    </row>
    <row r="37" spans="2:9">
      <c r="C37" s="52" t="s">
        <v>80</v>
      </c>
      <c r="D37" s="83">
        <v>800</v>
      </c>
      <c r="E37" s="83">
        <v>890</v>
      </c>
      <c r="F37" s="83">
        <v>980</v>
      </c>
      <c r="G37" s="83">
        <v>1070</v>
      </c>
      <c r="H37" s="83">
        <v>1160</v>
      </c>
      <c r="I37" s="83">
        <v>1250</v>
      </c>
    </row>
    <row r="38" spans="2:9">
      <c r="C38" s="52" t="s">
        <v>81</v>
      </c>
      <c r="D38" s="83">
        <v>780</v>
      </c>
      <c r="E38" s="83">
        <v>840</v>
      </c>
      <c r="F38" s="83">
        <v>900</v>
      </c>
      <c r="G38" s="83">
        <v>960</v>
      </c>
      <c r="H38" s="83">
        <v>1020</v>
      </c>
      <c r="I38" s="83">
        <v>1080</v>
      </c>
    </row>
    <row r="39" spans="2:9">
      <c r="C39" s="52" t="s">
        <v>82</v>
      </c>
      <c r="D39" s="83">
        <v>250</v>
      </c>
      <c r="E39" s="83">
        <v>340</v>
      </c>
      <c r="F39" s="83">
        <v>430</v>
      </c>
      <c r="G39" s="83">
        <v>520</v>
      </c>
      <c r="H39" s="83">
        <v>610</v>
      </c>
      <c r="I39" s="83">
        <v>700</v>
      </c>
    </row>
    <row r="40" spans="2:9">
      <c r="D40" s="62"/>
      <c r="E40" s="62"/>
      <c r="F40" s="62"/>
      <c r="G40" s="62"/>
      <c r="H40" s="62"/>
      <c r="I40" s="62"/>
    </row>
    <row r="41" spans="2:9">
      <c r="C41" s="52" t="s">
        <v>83</v>
      </c>
      <c r="D41" s="83">
        <v>520</v>
      </c>
      <c r="E41" s="83">
        <v>590</v>
      </c>
      <c r="F41" s="83">
        <v>660</v>
      </c>
      <c r="G41" s="83">
        <v>730</v>
      </c>
      <c r="H41" s="83">
        <v>800</v>
      </c>
      <c r="I41" s="83">
        <v>870</v>
      </c>
    </row>
    <row r="42" spans="2:9">
      <c r="C42" s="52" t="s">
        <v>84</v>
      </c>
      <c r="D42" s="83">
        <v>120</v>
      </c>
      <c r="E42" s="83">
        <v>160</v>
      </c>
      <c r="F42" s="83">
        <v>200</v>
      </c>
      <c r="G42" s="83">
        <v>240</v>
      </c>
      <c r="H42" s="83">
        <v>280</v>
      </c>
      <c r="I42" s="83">
        <v>320</v>
      </c>
    </row>
    <row r="43" spans="2:9">
      <c r="C43" s="52" t="s">
        <v>85</v>
      </c>
      <c r="D43" s="83">
        <v>3000</v>
      </c>
      <c r="E43" s="83">
        <v>3400</v>
      </c>
      <c r="F43" s="83">
        <v>3800</v>
      </c>
      <c r="G43" s="83">
        <v>4200</v>
      </c>
      <c r="H43" s="83">
        <v>4600</v>
      </c>
      <c r="I43" s="83">
        <v>5000</v>
      </c>
    </row>
    <row r="44" spans="2:9">
      <c r="C44" s="52" t="s">
        <v>86</v>
      </c>
      <c r="D44" s="83">
        <f>SUM(D36:D39)-SUM(D41:D43)</f>
        <v>5690</v>
      </c>
      <c r="E44" s="83">
        <f t="shared" ref="E44:I44" si="2">SUM(E36:E39)-SUM(E41:E43)</f>
        <v>6520</v>
      </c>
      <c r="F44" s="83">
        <f t="shared" si="2"/>
        <v>7350</v>
      </c>
      <c r="G44" s="83">
        <f t="shared" si="2"/>
        <v>8180</v>
      </c>
      <c r="H44" s="83">
        <f t="shared" si="2"/>
        <v>9010</v>
      </c>
      <c r="I44" s="83">
        <f t="shared" si="2"/>
        <v>9840</v>
      </c>
    </row>
    <row r="45" spans="2:9">
      <c r="C45" s="52" t="s">
        <v>87</v>
      </c>
      <c r="D45" s="83">
        <f>D43+D44</f>
        <v>8690</v>
      </c>
      <c r="E45" s="83">
        <f t="shared" ref="E45:I45" si="3">E43+E44</f>
        <v>9920</v>
      </c>
      <c r="F45" s="83">
        <f t="shared" si="3"/>
        <v>11150</v>
      </c>
      <c r="G45" s="83">
        <f t="shared" si="3"/>
        <v>12380</v>
      </c>
      <c r="H45" s="83">
        <f t="shared" si="3"/>
        <v>13610</v>
      </c>
      <c r="I45" s="83">
        <f t="shared" si="3"/>
        <v>14840</v>
      </c>
    </row>
    <row r="46" spans="2:9">
      <c r="C46" s="52" t="s">
        <v>46</v>
      </c>
      <c r="D46" s="65">
        <f>(D32-D33)/D32</f>
        <v>5.5555555555555552E-2</v>
      </c>
      <c r="E46" s="65">
        <f t="shared" ref="E46:I46" si="4">(E32-E33)/E32</f>
        <v>0.25531914893617019</v>
      </c>
      <c r="F46" s="65">
        <f t="shared" si="4"/>
        <v>0.30481283422459893</v>
      </c>
      <c r="G46" s="65">
        <f t="shared" si="4"/>
        <v>0.32975871313672922</v>
      </c>
      <c r="H46" s="65">
        <f t="shared" si="4"/>
        <v>0.34479054779806662</v>
      </c>
      <c r="I46" s="65">
        <f t="shared" si="4"/>
        <v>0.35483870967741937</v>
      </c>
    </row>
    <row r="47" spans="2:9" ht="16.5" thickBot="1"/>
    <row r="48" spans="2:9">
      <c r="B48" s="52" t="s">
        <v>88</v>
      </c>
      <c r="C48" s="41" t="s">
        <v>8</v>
      </c>
      <c r="D48" s="76"/>
      <c r="E48" s="77">
        <f>E50/D45</f>
        <v>0.17567269789192763</v>
      </c>
      <c r="F48" s="77">
        <f t="shared" ref="F48:H48" si="5">F50/E45</f>
        <v>0.2102380541659479</v>
      </c>
      <c r="G48" s="77">
        <f t="shared" si="5"/>
        <v>0.23743973839550847</v>
      </c>
      <c r="H48" s="77">
        <f t="shared" si="5"/>
        <v>0.25933168948218688</v>
      </c>
      <c r="I48" s="77">
        <f>I50/H45</f>
        <v>0.27731032684695789</v>
      </c>
    </row>
    <row r="49" spans="2:9">
      <c r="B49" s="52" t="s">
        <v>89</v>
      </c>
      <c r="C49" s="69" t="s">
        <v>10</v>
      </c>
      <c r="D49" s="78"/>
      <c r="E49" s="79">
        <f>(E50-D50)/D53</f>
        <v>5.6122768215415675E-2</v>
      </c>
      <c r="F49" s="79">
        <f t="shared" ref="F49:I49" si="6">(F50-E50)/E53</f>
        <v>0.45444370133768458</v>
      </c>
      <c r="G49" s="79">
        <f t="shared" si="6"/>
        <v>0.45682242746643614</v>
      </c>
      <c r="H49" s="79">
        <f t="shared" si="6"/>
        <v>0.45778311599963756</v>
      </c>
      <c r="I49" s="79">
        <f t="shared" si="6"/>
        <v>0.45826604276229499</v>
      </c>
    </row>
    <row r="50" spans="2:9">
      <c r="B50" s="52" t="s">
        <v>90</v>
      </c>
      <c r="C50" s="69" t="s">
        <v>67</v>
      </c>
      <c r="D50" s="80">
        <f>D30*(1-D46)</f>
        <v>1038.8888888888889</v>
      </c>
      <c r="E50" s="80">
        <f t="shared" ref="E50:I50" si="7">E30*(1-E46)</f>
        <v>1526.5957446808511</v>
      </c>
      <c r="F50" s="80">
        <f t="shared" si="7"/>
        <v>2085.5614973262032</v>
      </c>
      <c r="G50" s="80">
        <f t="shared" si="7"/>
        <v>2647.4530831099196</v>
      </c>
      <c r="H50" s="80">
        <f t="shared" si="7"/>
        <v>3210.5263157894738</v>
      </c>
      <c r="I50" s="80">
        <f t="shared" si="7"/>
        <v>3774.1935483870966</v>
      </c>
    </row>
    <row r="51" spans="2:9">
      <c r="B51" s="52" t="s">
        <v>51</v>
      </c>
      <c r="C51" s="69" t="s">
        <v>52</v>
      </c>
      <c r="D51" s="80">
        <f>D50-D53</f>
        <v>-7651.1111111111113</v>
      </c>
      <c r="E51" s="80">
        <f t="shared" ref="E51:I51" si="8">E50-E53</f>
        <v>296.59574468085111</v>
      </c>
      <c r="F51" s="80">
        <f t="shared" si="8"/>
        <v>855.56149732620315</v>
      </c>
      <c r="G51" s="80">
        <f t="shared" si="8"/>
        <v>1417.4530831099196</v>
      </c>
      <c r="H51" s="80">
        <f t="shared" si="8"/>
        <v>1980.5263157894738</v>
      </c>
      <c r="I51" s="80">
        <f t="shared" si="8"/>
        <v>2544.1935483870966</v>
      </c>
    </row>
    <row r="52" spans="2:9">
      <c r="B52" s="52" t="s">
        <v>91</v>
      </c>
      <c r="C52" s="43" t="s">
        <v>12</v>
      </c>
      <c r="D52" s="45">
        <f>D53/D50</f>
        <v>8.3647058823529417</v>
      </c>
      <c r="E52" s="45">
        <f t="shared" ref="E52:I52" si="9">E53/E50</f>
        <v>0.80571428571428572</v>
      </c>
      <c r="F52" s="45">
        <f t="shared" si="9"/>
        <v>0.58976923076923082</v>
      </c>
      <c r="G52" s="45">
        <f t="shared" si="9"/>
        <v>0.46459746835443039</v>
      </c>
      <c r="H52" s="45">
        <f t="shared" si="9"/>
        <v>0.38311475409836065</v>
      </c>
      <c r="I52" s="45">
        <f t="shared" si="9"/>
        <v>0.32589743589743592</v>
      </c>
    </row>
    <row r="53" spans="2:9">
      <c r="B53" s="52" t="s">
        <v>92</v>
      </c>
      <c r="C53" s="43" t="s">
        <v>93</v>
      </c>
      <c r="D53" s="81">
        <f>D45</f>
        <v>8690</v>
      </c>
      <c r="E53" s="81">
        <f>E45-D45</f>
        <v>1230</v>
      </c>
      <c r="F53" s="81">
        <f t="shared" ref="F53:I53" si="10">F45-E45</f>
        <v>1230</v>
      </c>
      <c r="G53" s="81">
        <f t="shared" si="10"/>
        <v>1230</v>
      </c>
      <c r="H53" s="81">
        <f t="shared" si="10"/>
        <v>1230</v>
      </c>
      <c r="I53" s="81">
        <f t="shared" si="10"/>
        <v>1230</v>
      </c>
    </row>
    <row r="54" spans="2:9">
      <c r="B54" s="52" t="s">
        <v>94</v>
      </c>
      <c r="C54" s="43" t="s">
        <v>14</v>
      </c>
      <c r="D54" s="82"/>
      <c r="E54" s="71">
        <f>E49*D52</f>
        <v>0.46945044942541819</v>
      </c>
      <c r="F54" s="71">
        <f t="shared" ref="F54:I54" si="11">F49*E52</f>
        <v>0.3661517822206487</v>
      </c>
      <c r="G54" s="71">
        <f t="shared" si="11"/>
        <v>0.26941981164501277</v>
      </c>
      <c r="H54" s="71">
        <f t="shared" si="11"/>
        <v>0.21268487674883416</v>
      </c>
      <c r="I54" s="71">
        <f t="shared" si="11"/>
        <v>0.17556848228450547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860AE-C857-4D9E-B485-B7A7978F23A8}">
  <dimension ref="A1:M57"/>
  <sheetViews>
    <sheetView topLeftCell="A10" workbookViewId="0">
      <selection activeCell="D33" sqref="D33"/>
    </sheetView>
  </sheetViews>
  <sheetFormatPr defaultRowHeight="15"/>
  <cols>
    <col min="2" max="2" width="22.7109375" bestFit="1" customWidth="1"/>
    <col min="3" max="3" width="42.5703125" bestFit="1" customWidth="1"/>
    <col min="4" max="10" width="13" customWidth="1"/>
  </cols>
  <sheetData>
    <row r="1" spans="2:3" ht="15.75" thickBot="1"/>
    <row r="2" spans="2:3" ht="18.75">
      <c r="B2" s="11" t="str">
        <f>+[2]Admin!C12</f>
        <v>Date</v>
      </c>
      <c r="C2" s="67">
        <f>+[2]Admin!D12</f>
        <v>44201</v>
      </c>
    </row>
    <row r="3" spans="2:3" ht="18.75">
      <c r="B3" s="13" t="str">
        <f>+[2]Admin!C13</f>
        <v>Student name</v>
      </c>
      <c r="C3" s="14" t="str">
        <f>+[2]Admin!D13</f>
        <v>Balsam Khalaf</v>
      </c>
    </row>
    <row r="4" spans="2:3" ht="18.75">
      <c r="B4" s="13" t="str">
        <f>+[2]Admin!C14</f>
        <v>Neptun code</v>
      </c>
      <c r="C4" s="14" t="str">
        <f>+[2]Admin!D14</f>
        <v>HA86QX</v>
      </c>
    </row>
    <row r="5" spans="2:3" ht="18.75">
      <c r="B5" s="13"/>
      <c r="C5" s="15"/>
    </row>
    <row r="6" spans="2:3" ht="18.75">
      <c r="B6" s="13" t="str">
        <f>+[2]Admin!C16</f>
        <v>Study program</v>
      </c>
      <c r="C6" s="15" t="str">
        <f>+[2]Admin!D16</f>
        <v>Master in Finance</v>
      </c>
    </row>
    <row r="7" spans="2:3" ht="19.5" thickBot="1">
      <c r="B7" s="16" t="str">
        <f>+[2]Admin!C17</f>
        <v>Instructor</v>
      </c>
      <c r="C7" s="17" t="str">
        <f>+[2]Admin!D17</f>
        <v>Péter Juhász, PhD, CFA</v>
      </c>
    </row>
    <row r="8" spans="2:3" ht="15.75" thickBot="1"/>
    <row r="9" spans="2:3" ht="21" thickBot="1">
      <c r="B9" s="18" t="s">
        <v>95</v>
      </c>
      <c r="C9" s="19"/>
    </row>
    <row r="25" spans="3:12" s="269" customFormat="1" ht="31.5">
      <c r="D25" s="25">
        <v>2020</v>
      </c>
      <c r="E25" s="25">
        <v>2021</v>
      </c>
      <c r="F25" s="25">
        <v>2022</v>
      </c>
      <c r="G25" s="25">
        <v>2023</v>
      </c>
      <c r="H25" s="25">
        <v>2024</v>
      </c>
      <c r="I25" s="25">
        <v>2025</v>
      </c>
      <c r="J25" s="29" t="s">
        <v>96</v>
      </c>
    </row>
    <row r="26" spans="3:12" ht="15.75">
      <c r="C26" t="s">
        <v>97</v>
      </c>
      <c r="D26" s="68">
        <v>5000</v>
      </c>
      <c r="E26" s="68">
        <v>6000</v>
      </c>
      <c r="F26" s="68">
        <v>7000</v>
      </c>
      <c r="G26" s="68">
        <v>8000</v>
      </c>
      <c r="H26" s="68">
        <v>9000</v>
      </c>
      <c r="I26" s="68">
        <v>10000</v>
      </c>
      <c r="J26" s="68">
        <v>11000</v>
      </c>
      <c r="K26" s="68">
        <v>11000</v>
      </c>
      <c r="L26" s="68">
        <v>11000</v>
      </c>
    </row>
    <row r="27" spans="3:12" ht="15.75">
      <c r="C27" t="s">
        <v>98</v>
      </c>
      <c r="D27" s="68">
        <v>5500</v>
      </c>
      <c r="E27" s="68">
        <v>6500</v>
      </c>
      <c r="F27" s="68">
        <v>7500</v>
      </c>
      <c r="G27" s="68">
        <v>8500</v>
      </c>
      <c r="H27" s="68">
        <v>9500</v>
      </c>
      <c r="I27" s="68">
        <v>10500</v>
      </c>
      <c r="J27" s="68">
        <v>11500</v>
      </c>
      <c r="K27" s="68">
        <v>11500</v>
      </c>
      <c r="L27" s="68">
        <v>11500</v>
      </c>
    </row>
    <row r="28" spans="3:12">
      <c r="C28" t="s">
        <v>99</v>
      </c>
      <c r="D28" s="22">
        <v>1</v>
      </c>
      <c r="E28" s="22">
        <v>1.05</v>
      </c>
      <c r="F28" s="22">
        <v>1.1000000000000001</v>
      </c>
      <c r="G28" s="22">
        <v>1.1499999999999999</v>
      </c>
      <c r="H28" s="22">
        <v>1.1499999999999999</v>
      </c>
      <c r="I28" s="22">
        <v>1.1499999999999999</v>
      </c>
      <c r="J28" s="22">
        <v>1.1499999999999999</v>
      </c>
      <c r="K28" s="22">
        <v>1.1499999999999999</v>
      </c>
      <c r="L28" s="22">
        <v>1.1499999999999999</v>
      </c>
    </row>
    <row r="29" spans="3:12">
      <c r="C29" t="s">
        <v>3</v>
      </c>
      <c r="D29" s="23">
        <v>0.1</v>
      </c>
      <c r="E29" s="23">
        <v>0.1</v>
      </c>
      <c r="F29" s="23">
        <v>0.1</v>
      </c>
      <c r="G29" s="23">
        <v>0.1</v>
      </c>
      <c r="H29" s="23">
        <v>0.1</v>
      </c>
      <c r="I29" s="23">
        <v>0.1</v>
      </c>
      <c r="J29" s="23">
        <v>0.1</v>
      </c>
      <c r="K29" s="23">
        <v>0.1</v>
      </c>
      <c r="L29" s="23">
        <v>0.1</v>
      </c>
    </row>
    <row r="30" spans="3:12">
      <c r="C30" t="s">
        <v>100</v>
      </c>
      <c r="D30" s="24">
        <v>0.1</v>
      </c>
      <c r="E30" s="24">
        <v>0.1</v>
      </c>
      <c r="F30" s="24">
        <v>0.1</v>
      </c>
      <c r="G30" s="24">
        <v>0.1</v>
      </c>
      <c r="H30" s="24">
        <v>0.15</v>
      </c>
      <c r="I30" s="24">
        <v>0.15</v>
      </c>
      <c r="J30" s="24">
        <v>0.15</v>
      </c>
      <c r="K30" s="24">
        <v>0.15</v>
      </c>
      <c r="L30" s="24">
        <v>0.15</v>
      </c>
    </row>
    <row r="31" spans="3:12">
      <c r="C31" t="s">
        <v>5</v>
      </c>
      <c r="D31" s="24">
        <v>0.04</v>
      </c>
      <c r="E31" s="24">
        <v>0.04</v>
      </c>
      <c r="F31" s="24">
        <v>0.06</v>
      </c>
      <c r="G31" s="24">
        <v>0.06</v>
      </c>
      <c r="H31" s="24">
        <v>0.06</v>
      </c>
      <c r="I31" s="24">
        <v>0.06</v>
      </c>
      <c r="J31" s="24">
        <v>0.06</v>
      </c>
      <c r="K31" s="24">
        <v>0.06</v>
      </c>
      <c r="L31" s="24">
        <v>0.06</v>
      </c>
    </row>
    <row r="32" spans="3:12">
      <c r="C32" t="s">
        <v>63</v>
      </c>
      <c r="D32" s="23">
        <v>0.08</v>
      </c>
      <c r="E32" s="23">
        <v>0.08</v>
      </c>
      <c r="F32" s="23">
        <v>0.08</v>
      </c>
      <c r="G32" s="23">
        <v>0.08</v>
      </c>
      <c r="H32" s="23">
        <v>0.08</v>
      </c>
      <c r="I32" s="23">
        <v>0.08</v>
      </c>
      <c r="J32" s="23">
        <v>0.08</v>
      </c>
      <c r="K32" s="23">
        <v>0.08</v>
      </c>
      <c r="L32" s="23">
        <v>0.08</v>
      </c>
    </row>
    <row r="33" spans="1:13" ht="15.75">
      <c r="C33" s="270" t="s">
        <v>101</v>
      </c>
      <c r="D33" s="23">
        <v>0.3</v>
      </c>
      <c r="E33" s="23">
        <v>0.4</v>
      </c>
      <c r="F33" s="23">
        <v>0.5</v>
      </c>
      <c r="G33" s="23">
        <v>0.5</v>
      </c>
      <c r="H33" s="23">
        <v>0.5</v>
      </c>
      <c r="I33" s="23">
        <v>0.5</v>
      </c>
      <c r="J33" s="23">
        <v>0.5</v>
      </c>
      <c r="K33" s="23">
        <v>0.5</v>
      </c>
      <c r="L33" s="23">
        <v>0.5</v>
      </c>
    </row>
    <row r="34" spans="1:13" ht="15.75" thickBot="1"/>
    <row r="35" spans="1:13" ht="15.75">
      <c r="C35" s="271" t="s">
        <v>102</v>
      </c>
      <c r="D35" s="272">
        <f>D37/D42</f>
        <v>6.93E-2</v>
      </c>
      <c r="E35" s="272">
        <f t="shared" ref="E35:J35" si="0">E37/E42</f>
        <v>6.1425E-2</v>
      </c>
      <c r="F35" s="272">
        <f t="shared" si="0"/>
        <v>5.3035714285714283E-2</v>
      </c>
      <c r="G35" s="272">
        <f t="shared" si="0"/>
        <v>5.4984375000000002E-2</v>
      </c>
      <c r="H35" s="272">
        <f t="shared" si="0"/>
        <v>5.1590277777777777E-2</v>
      </c>
      <c r="I35" s="272">
        <f t="shared" si="0"/>
        <v>5.1318749999999989E-2</v>
      </c>
      <c r="J35" s="273">
        <f t="shared" si="0"/>
        <v>5.1096590909090911E-2</v>
      </c>
    </row>
    <row r="36" spans="1:13" ht="15.75">
      <c r="C36" s="274" t="s">
        <v>103</v>
      </c>
      <c r="D36" s="275"/>
      <c r="E36" s="276">
        <f>(E37-D37)/D40</f>
        <v>4.1737500000000004E-2</v>
      </c>
      <c r="F36" s="276">
        <f t="shared" ref="F36:J36" si="1">(F37-E37)/E40</f>
        <v>3.2062500000000001E-2</v>
      </c>
      <c r="G36" s="276">
        <f t="shared" si="1"/>
        <v>6.8625000000000005E-2</v>
      </c>
      <c r="H36" s="276">
        <f t="shared" si="1"/>
        <v>2.4437500000000001E-2</v>
      </c>
      <c r="I36" s="276">
        <f t="shared" si="1"/>
        <v>4.8874999999999884E-2</v>
      </c>
      <c r="J36" s="277">
        <f t="shared" si="1"/>
        <v>4.8875000000000113E-2</v>
      </c>
    </row>
    <row r="37" spans="1:13" ht="15.75">
      <c r="B37" t="s">
        <v>104</v>
      </c>
      <c r="C37" s="278" t="s">
        <v>67</v>
      </c>
      <c r="D37" s="279">
        <f>D47*(1-D57)</f>
        <v>495</v>
      </c>
      <c r="E37" s="279">
        <f t="shared" ref="E37:J37" si="2">E47*(1-E57)</f>
        <v>614.25</v>
      </c>
      <c r="F37" s="279">
        <f t="shared" si="2"/>
        <v>742.5</v>
      </c>
      <c r="G37" s="279">
        <f t="shared" si="2"/>
        <v>879.75</v>
      </c>
      <c r="H37" s="279">
        <f t="shared" si="2"/>
        <v>928.625</v>
      </c>
      <c r="I37" s="279">
        <f t="shared" si="2"/>
        <v>1026.3749999999998</v>
      </c>
      <c r="J37" s="280">
        <f t="shared" si="2"/>
        <v>1124.125</v>
      </c>
    </row>
    <row r="38" spans="1:13" ht="15.75">
      <c r="C38" s="281" t="s">
        <v>52</v>
      </c>
      <c r="D38" s="279">
        <f>D37-D40</f>
        <v>-2362.1428571428569</v>
      </c>
      <c r="E38" s="279">
        <f t="shared" ref="E38:J38" si="3">E37-E40</f>
        <v>-3385.75</v>
      </c>
      <c r="F38" s="279">
        <f t="shared" si="3"/>
        <v>-1257.5</v>
      </c>
      <c r="G38" s="279">
        <f t="shared" si="3"/>
        <v>-1120.25</v>
      </c>
      <c r="H38" s="279">
        <f t="shared" si="3"/>
        <v>-1071.375</v>
      </c>
      <c r="I38" s="279">
        <f t="shared" si="3"/>
        <v>-973.62500000000023</v>
      </c>
      <c r="J38" s="280">
        <f t="shared" si="3"/>
        <v>1124.125</v>
      </c>
    </row>
    <row r="39" spans="1:13" ht="15.75">
      <c r="C39" s="274" t="s">
        <v>105</v>
      </c>
      <c r="D39" s="282">
        <f>D40/D37</f>
        <v>5.7720057720057714</v>
      </c>
      <c r="E39" s="282">
        <f t="shared" ref="E39:J39" si="4">E40/E37</f>
        <v>6.5120065120065123</v>
      </c>
      <c r="F39" s="282">
        <f t="shared" si="4"/>
        <v>2.6936026936026938</v>
      </c>
      <c r="G39" s="282">
        <f t="shared" si="4"/>
        <v>2.2733731173628873</v>
      </c>
      <c r="H39" s="282">
        <f t="shared" si="4"/>
        <v>2.1537219006595771</v>
      </c>
      <c r="I39" s="282">
        <f t="shared" si="4"/>
        <v>1.9486055291681894</v>
      </c>
      <c r="J39" s="283">
        <f t="shared" si="4"/>
        <v>0</v>
      </c>
    </row>
    <row r="40" spans="1:13" ht="16.5" thickBot="1">
      <c r="C40" s="284" t="s">
        <v>1</v>
      </c>
      <c r="D40" s="285">
        <f>E42-D42</f>
        <v>2857.1428571428569</v>
      </c>
      <c r="E40" s="285">
        <f t="shared" ref="E40:H40" si="5">F42-E42</f>
        <v>4000</v>
      </c>
      <c r="F40" s="285">
        <f t="shared" si="5"/>
        <v>2000</v>
      </c>
      <c r="G40" s="285">
        <f t="shared" si="5"/>
        <v>2000</v>
      </c>
      <c r="H40" s="285">
        <f t="shared" si="5"/>
        <v>2000</v>
      </c>
      <c r="I40" s="285">
        <f>J42-I42</f>
        <v>2000</v>
      </c>
      <c r="J40" s="286">
        <f>K42-J42</f>
        <v>0</v>
      </c>
    </row>
    <row r="41" spans="1:13">
      <c r="B41" t="s">
        <v>17</v>
      </c>
    </row>
    <row r="42" spans="1:13" ht="15.75">
      <c r="A42">
        <v>2</v>
      </c>
      <c r="B42" t="s">
        <v>106</v>
      </c>
      <c r="C42" s="287" t="s">
        <v>0</v>
      </c>
      <c r="D42" s="288">
        <f>D44/(1-D33)</f>
        <v>7142.8571428571431</v>
      </c>
      <c r="E42" s="288">
        <f t="shared" ref="E42:L42" si="6">E44/(1-E33)</f>
        <v>10000</v>
      </c>
      <c r="F42" s="288">
        <f t="shared" si="6"/>
        <v>14000</v>
      </c>
      <c r="G42" s="288">
        <f t="shared" si="6"/>
        <v>16000</v>
      </c>
      <c r="H42" s="288">
        <f t="shared" si="6"/>
        <v>18000</v>
      </c>
      <c r="I42" s="288">
        <f t="shared" si="6"/>
        <v>20000</v>
      </c>
      <c r="J42" s="288">
        <f t="shared" si="6"/>
        <v>22000</v>
      </c>
      <c r="K42" s="288">
        <f t="shared" si="6"/>
        <v>22000</v>
      </c>
      <c r="L42" s="288">
        <f t="shared" si="6"/>
        <v>22000</v>
      </c>
      <c r="M42" s="22"/>
    </row>
    <row r="43" spans="1:13" ht="15.75">
      <c r="A43">
        <v>3</v>
      </c>
      <c r="B43" t="s">
        <v>107</v>
      </c>
      <c r="C43" s="289" t="s">
        <v>108</v>
      </c>
      <c r="D43" s="288">
        <f>D42*D33</f>
        <v>2142.8571428571427</v>
      </c>
      <c r="E43" s="288">
        <f t="shared" ref="E43:L43" si="7">E42*E33</f>
        <v>4000</v>
      </c>
      <c r="F43" s="288">
        <f t="shared" si="7"/>
        <v>7000</v>
      </c>
      <c r="G43" s="288">
        <f t="shared" si="7"/>
        <v>8000</v>
      </c>
      <c r="H43" s="288">
        <f t="shared" si="7"/>
        <v>9000</v>
      </c>
      <c r="I43" s="288">
        <f t="shared" si="7"/>
        <v>10000</v>
      </c>
      <c r="J43" s="288">
        <f t="shared" si="7"/>
        <v>11000</v>
      </c>
      <c r="K43" s="288">
        <f t="shared" si="7"/>
        <v>11000</v>
      </c>
      <c r="L43" s="288">
        <f t="shared" si="7"/>
        <v>11000</v>
      </c>
    </row>
    <row r="44" spans="1:13" ht="15.75">
      <c r="A44">
        <v>1</v>
      </c>
      <c r="B44" t="s">
        <v>50</v>
      </c>
      <c r="C44" s="290" t="s">
        <v>109</v>
      </c>
      <c r="D44" s="288">
        <f>D26</f>
        <v>5000</v>
      </c>
      <c r="E44" s="288">
        <f t="shared" ref="E44:L44" si="8">E26</f>
        <v>6000</v>
      </c>
      <c r="F44" s="288">
        <f t="shared" si="8"/>
        <v>7000</v>
      </c>
      <c r="G44" s="288">
        <f t="shared" si="8"/>
        <v>8000</v>
      </c>
      <c r="H44" s="288">
        <f t="shared" si="8"/>
        <v>9000</v>
      </c>
      <c r="I44" s="288">
        <f t="shared" si="8"/>
        <v>10000</v>
      </c>
      <c r="J44" s="288">
        <f t="shared" si="8"/>
        <v>11000</v>
      </c>
      <c r="K44" s="288">
        <f t="shared" si="8"/>
        <v>11000</v>
      </c>
      <c r="L44" s="288">
        <f t="shared" si="8"/>
        <v>11000</v>
      </c>
      <c r="M44" s="22"/>
    </row>
    <row r="45" spans="1:13">
      <c r="B45" t="s">
        <v>110</v>
      </c>
    </row>
    <row r="46" spans="1:13" ht="15.75">
      <c r="A46">
        <v>4</v>
      </c>
      <c r="B46" t="s">
        <v>111</v>
      </c>
      <c r="C46" s="36" t="s">
        <v>2</v>
      </c>
      <c r="D46" s="195">
        <f>D27*D28</f>
        <v>5500</v>
      </c>
      <c r="E46" s="195">
        <f t="shared" ref="E46:L46" si="9">E27*E28</f>
        <v>6825</v>
      </c>
      <c r="F46" s="195">
        <f t="shared" si="9"/>
        <v>8250</v>
      </c>
      <c r="G46" s="195">
        <f t="shared" si="9"/>
        <v>9775</v>
      </c>
      <c r="H46" s="195">
        <f t="shared" si="9"/>
        <v>10925</v>
      </c>
      <c r="I46" s="195">
        <f t="shared" si="9"/>
        <v>12074.999999999998</v>
      </c>
      <c r="J46" s="195">
        <f t="shared" si="9"/>
        <v>13224.999999999998</v>
      </c>
      <c r="K46" s="195">
        <f t="shared" si="9"/>
        <v>13224.999999999998</v>
      </c>
      <c r="L46" s="195">
        <f t="shared" si="9"/>
        <v>13224.999999999998</v>
      </c>
      <c r="M46" s="195"/>
    </row>
    <row r="47" spans="1:13" ht="15.75">
      <c r="A47">
        <v>5</v>
      </c>
      <c r="B47" t="s">
        <v>112</v>
      </c>
      <c r="C47" s="291" t="s">
        <v>27</v>
      </c>
      <c r="D47" s="195">
        <f>D46*D29</f>
        <v>550</v>
      </c>
      <c r="E47" s="195">
        <f t="shared" ref="E47:L47" si="10">E46*E29</f>
        <v>682.5</v>
      </c>
      <c r="F47" s="195">
        <f t="shared" si="10"/>
        <v>825</v>
      </c>
      <c r="G47" s="195">
        <f t="shared" si="10"/>
        <v>977.5</v>
      </c>
      <c r="H47" s="195">
        <f t="shared" si="10"/>
        <v>1092.5</v>
      </c>
      <c r="I47" s="195">
        <f t="shared" si="10"/>
        <v>1207.4999999999998</v>
      </c>
      <c r="J47" s="195">
        <f t="shared" si="10"/>
        <v>1322.5</v>
      </c>
      <c r="K47" s="195">
        <f t="shared" si="10"/>
        <v>1322.5</v>
      </c>
      <c r="L47" s="195">
        <f t="shared" si="10"/>
        <v>1322.5</v>
      </c>
      <c r="M47" s="195"/>
    </row>
    <row r="48" spans="1:13" ht="15" customHeight="1">
      <c r="A48">
        <v>6</v>
      </c>
      <c r="B48" t="s">
        <v>113</v>
      </c>
      <c r="C48" t="s">
        <v>114</v>
      </c>
      <c r="D48" s="195">
        <f>D43*D31</f>
        <v>85.714285714285708</v>
      </c>
      <c r="E48" s="195">
        <f t="shared" ref="E48:L48" si="11">E43*E31</f>
        <v>160</v>
      </c>
      <c r="F48" s="195">
        <f t="shared" si="11"/>
        <v>420</v>
      </c>
      <c r="G48" s="195">
        <f t="shared" si="11"/>
        <v>480</v>
      </c>
      <c r="H48" s="195">
        <f t="shared" si="11"/>
        <v>540</v>
      </c>
      <c r="I48" s="195">
        <f t="shared" si="11"/>
        <v>600</v>
      </c>
      <c r="J48" s="195">
        <f t="shared" si="11"/>
        <v>660</v>
      </c>
      <c r="K48" s="195">
        <f t="shared" si="11"/>
        <v>660</v>
      </c>
      <c r="L48" s="195">
        <f t="shared" si="11"/>
        <v>660</v>
      </c>
      <c r="M48" s="195"/>
    </row>
    <row r="49" spans="1:13" ht="15" customHeight="1">
      <c r="A49">
        <v>7</v>
      </c>
      <c r="C49" t="s">
        <v>31</v>
      </c>
      <c r="D49" s="195">
        <f>D47-D48</f>
        <v>464.28571428571428</v>
      </c>
      <c r="E49" s="195">
        <f t="shared" ref="E49:L49" si="12">E47-E48</f>
        <v>522.5</v>
      </c>
      <c r="F49" s="195">
        <f t="shared" si="12"/>
        <v>405</v>
      </c>
      <c r="G49" s="195">
        <f t="shared" si="12"/>
        <v>497.5</v>
      </c>
      <c r="H49" s="195">
        <f t="shared" si="12"/>
        <v>552.5</v>
      </c>
      <c r="I49" s="195">
        <f t="shared" si="12"/>
        <v>607.49999999999977</v>
      </c>
      <c r="J49" s="195">
        <f t="shared" si="12"/>
        <v>662.5</v>
      </c>
      <c r="K49" s="195">
        <f t="shared" si="12"/>
        <v>662.5</v>
      </c>
      <c r="L49" s="195">
        <f t="shared" si="12"/>
        <v>662.5</v>
      </c>
      <c r="M49" s="195"/>
    </row>
    <row r="50" spans="1:13" ht="15" customHeight="1">
      <c r="A50">
        <v>8</v>
      </c>
      <c r="B50" s="37" t="s">
        <v>115</v>
      </c>
      <c r="C50" t="s">
        <v>33</v>
      </c>
      <c r="D50" s="95">
        <f t="shared" ref="D50:L50" si="13">+IF(D49&lt;0,0,D49*D30)</f>
        <v>46.428571428571431</v>
      </c>
      <c r="E50" s="95">
        <f t="shared" si="13"/>
        <v>52.25</v>
      </c>
      <c r="F50" s="95">
        <f t="shared" si="13"/>
        <v>40.5</v>
      </c>
      <c r="G50" s="95">
        <f t="shared" si="13"/>
        <v>49.75</v>
      </c>
      <c r="H50" s="95">
        <f t="shared" si="13"/>
        <v>82.875</v>
      </c>
      <c r="I50" s="95">
        <f t="shared" si="13"/>
        <v>91.124999999999957</v>
      </c>
      <c r="J50" s="95">
        <f t="shared" si="13"/>
        <v>99.375</v>
      </c>
      <c r="K50" s="95">
        <f t="shared" si="13"/>
        <v>99.375</v>
      </c>
      <c r="L50" s="95">
        <f t="shared" si="13"/>
        <v>99.375</v>
      </c>
      <c r="M50" s="95"/>
    </row>
    <row r="51" spans="1:13" ht="15" customHeight="1">
      <c r="A51">
        <v>9</v>
      </c>
      <c r="C51" t="s">
        <v>35</v>
      </c>
      <c r="D51" s="94">
        <f>D49-D50</f>
        <v>417.85714285714283</v>
      </c>
      <c r="E51" s="94">
        <f t="shared" ref="E51:L51" si="14">E49-E50</f>
        <v>470.25</v>
      </c>
      <c r="F51" s="94">
        <f t="shared" si="14"/>
        <v>364.5</v>
      </c>
      <c r="G51" s="94">
        <f t="shared" si="14"/>
        <v>447.75</v>
      </c>
      <c r="H51" s="94">
        <f t="shared" si="14"/>
        <v>469.625</v>
      </c>
      <c r="I51" s="94">
        <f t="shared" si="14"/>
        <v>516.37499999999977</v>
      </c>
      <c r="J51" s="94">
        <f t="shared" si="14"/>
        <v>563.125</v>
      </c>
      <c r="K51" s="94">
        <f t="shared" si="14"/>
        <v>563.125</v>
      </c>
      <c r="L51" s="94">
        <f t="shared" si="14"/>
        <v>563.125</v>
      </c>
    </row>
    <row r="52" spans="1:13" ht="15" customHeight="1">
      <c r="A52">
        <v>10</v>
      </c>
      <c r="C52" t="s">
        <v>37</v>
      </c>
      <c r="D52" s="95">
        <f>+D51-D53</f>
        <v>0</v>
      </c>
      <c r="E52" s="95">
        <f t="shared" ref="E52:L52" si="15">+E51-E53</f>
        <v>0</v>
      </c>
      <c r="F52" s="95">
        <f t="shared" si="15"/>
        <v>0</v>
      </c>
      <c r="G52" s="95">
        <f t="shared" si="15"/>
        <v>0</v>
      </c>
      <c r="H52" s="95">
        <f t="shared" si="15"/>
        <v>0</v>
      </c>
      <c r="I52" s="95">
        <f t="shared" si="15"/>
        <v>0</v>
      </c>
      <c r="J52" s="95">
        <f t="shared" si="15"/>
        <v>563.125</v>
      </c>
      <c r="K52" s="95">
        <f t="shared" si="15"/>
        <v>563.125</v>
      </c>
      <c r="L52" s="95">
        <f t="shared" si="15"/>
        <v>563.125</v>
      </c>
    </row>
    <row r="53" spans="1:13" ht="15" customHeight="1">
      <c r="A53">
        <v>10</v>
      </c>
      <c r="C53" t="s">
        <v>38</v>
      </c>
      <c r="D53" s="95">
        <f>+IF(D51&lt;0,D51,MAX(0,MIN(D51,D55)))</f>
        <v>417.85714285714283</v>
      </c>
      <c r="E53" s="95">
        <f t="shared" ref="E53:K53" si="16">+IF(E51&lt;0,E51,MAX(0,MIN(E51,E55)))</f>
        <v>470.25</v>
      </c>
      <c r="F53" s="95">
        <f t="shared" si="16"/>
        <v>364.5</v>
      </c>
      <c r="G53" s="95">
        <f t="shared" si="16"/>
        <v>447.75</v>
      </c>
      <c r="H53" s="95">
        <f t="shared" si="16"/>
        <v>469.625</v>
      </c>
      <c r="I53" s="95">
        <f t="shared" si="16"/>
        <v>516.37499999999977</v>
      </c>
      <c r="J53" s="95">
        <f t="shared" si="16"/>
        <v>0</v>
      </c>
      <c r="K53" s="95">
        <f t="shared" si="16"/>
        <v>0</v>
      </c>
    </row>
    <row r="54" spans="1:13">
      <c r="A54">
        <v>10</v>
      </c>
      <c r="B54" t="s">
        <v>116</v>
      </c>
      <c r="D54" s="95"/>
    </row>
    <row r="55" spans="1:13" ht="15" customHeight="1">
      <c r="A55">
        <v>10</v>
      </c>
      <c r="C55" t="s">
        <v>40</v>
      </c>
      <c r="D55" s="95">
        <f>+E44-D44</f>
        <v>1000</v>
      </c>
      <c r="E55" s="95">
        <f t="shared" ref="E55:I55" si="17">+F44-E44</f>
        <v>1000</v>
      </c>
      <c r="F55" s="95">
        <f t="shared" si="17"/>
        <v>1000</v>
      </c>
      <c r="G55" s="95">
        <f t="shared" si="17"/>
        <v>1000</v>
      </c>
      <c r="H55" s="95">
        <f t="shared" si="17"/>
        <v>1000</v>
      </c>
      <c r="I55" s="95">
        <f t="shared" si="17"/>
        <v>1000</v>
      </c>
      <c r="J55" s="95">
        <f>+K44-J44</f>
        <v>0</v>
      </c>
      <c r="K55" s="95">
        <f t="shared" ref="K55" si="18">+L44-K44</f>
        <v>0</v>
      </c>
    </row>
    <row r="56" spans="1:13" ht="15" customHeight="1">
      <c r="A56">
        <v>10</v>
      </c>
      <c r="C56" t="s">
        <v>42</v>
      </c>
      <c r="D56" s="95">
        <f>+D55-D53</f>
        <v>582.14285714285711</v>
      </c>
      <c r="E56" s="95">
        <f t="shared" ref="E56:K56" si="19">+E55-E53</f>
        <v>529.75</v>
      </c>
      <c r="F56" s="95">
        <f t="shared" si="19"/>
        <v>635.5</v>
      </c>
      <c r="G56" s="95">
        <f t="shared" si="19"/>
        <v>552.25</v>
      </c>
      <c r="H56" s="95">
        <f t="shared" si="19"/>
        <v>530.375</v>
      </c>
      <c r="I56" s="95">
        <f t="shared" si="19"/>
        <v>483.62500000000023</v>
      </c>
      <c r="J56" s="95">
        <f t="shared" si="19"/>
        <v>0</v>
      </c>
      <c r="K56" s="95">
        <f t="shared" si="19"/>
        <v>0</v>
      </c>
    </row>
    <row r="57" spans="1:13" ht="15.75">
      <c r="A57">
        <v>10</v>
      </c>
      <c r="C57" s="27" t="s">
        <v>46</v>
      </c>
      <c r="D57" s="28">
        <f>+D50/D49</f>
        <v>0.1</v>
      </c>
      <c r="E57" s="28">
        <f t="shared" ref="E57:K57" si="20">+E50/E49</f>
        <v>0.1</v>
      </c>
      <c r="F57" s="28">
        <f t="shared" si="20"/>
        <v>0.1</v>
      </c>
      <c r="G57" s="28">
        <f t="shared" si="20"/>
        <v>0.1</v>
      </c>
      <c r="H57" s="28">
        <f t="shared" si="20"/>
        <v>0.15</v>
      </c>
      <c r="I57" s="28">
        <f t="shared" si="20"/>
        <v>0.15</v>
      </c>
      <c r="J57" s="28">
        <f t="shared" si="20"/>
        <v>0.15</v>
      </c>
      <c r="K57" s="28">
        <f t="shared" si="20"/>
        <v>0.15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0DF27-A9C9-4973-BD30-CE1F15E4B40B}">
  <dimension ref="A24:L88"/>
  <sheetViews>
    <sheetView zoomScale="80" zoomScaleNormal="80" workbookViewId="0">
      <selection activeCell="H35" sqref="H35"/>
    </sheetView>
  </sheetViews>
  <sheetFormatPr defaultRowHeight="15.75"/>
  <cols>
    <col min="1" max="1" width="87.28515625" style="52" bestFit="1" customWidth="1"/>
    <col min="2" max="2" width="46.7109375" style="52" bestFit="1" customWidth="1"/>
    <col min="3" max="3" width="31.28515625" style="52" bestFit="1" customWidth="1"/>
    <col min="4" max="4" width="12" style="52" bestFit="1" customWidth="1"/>
    <col min="5" max="5" width="11.85546875" style="52" bestFit="1" customWidth="1"/>
    <col min="6" max="6" width="12.85546875" style="52" bestFit="1" customWidth="1"/>
    <col min="7" max="7" width="14" style="52" bestFit="1" customWidth="1"/>
    <col min="8" max="8" width="12.85546875" style="52" bestFit="1" customWidth="1"/>
    <col min="9" max="9" width="23.28515625" style="52" bestFit="1" customWidth="1"/>
    <col min="10" max="10" width="12" style="52" bestFit="1" customWidth="1"/>
    <col min="11" max="11" width="11.7109375" style="52" bestFit="1" customWidth="1"/>
    <col min="12" max="16384" width="9.140625" style="52"/>
  </cols>
  <sheetData>
    <row r="24" spans="1:12">
      <c r="C24" s="99"/>
      <c r="D24" s="100">
        <v>2022</v>
      </c>
      <c r="E24" s="101">
        <f>+D24+1</f>
        <v>2023</v>
      </c>
      <c r="F24" s="101">
        <f t="shared" ref="F24:H24" si="0">+E24+1</f>
        <v>2024</v>
      </c>
      <c r="G24" s="101">
        <f t="shared" si="0"/>
        <v>2025</v>
      </c>
      <c r="H24" s="101">
        <f t="shared" si="0"/>
        <v>2026</v>
      </c>
      <c r="I24" s="102" t="s">
        <v>117</v>
      </c>
      <c r="J24" s="99" t="s">
        <v>118</v>
      </c>
      <c r="K24" s="99" t="s">
        <v>119</v>
      </c>
    </row>
    <row r="25" spans="1:12">
      <c r="B25" s="103" t="s">
        <v>120</v>
      </c>
      <c r="C25" s="104" t="s">
        <v>8</v>
      </c>
      <c r="D25" s="105">
        <v>0.11</v>
      </c>
      <c r="E25" s="105"/>
      <c r="F25" s="105"/>
      <c r="G25" s="105"/>
      <c r="H25" s="105"/>
      <c r="I25" s="105"/>
      <c r="J25" s="99"/>
      <c r="K25" s="99"/>
    </row>
    <row r="26" spans="1:12">
      <c r="A26" s="106" t="s">
        <v>121</v>
      </c>
      <c r="B26" s="103" t="s">
        <v>9</v>
      </c>
      <c r="C26" s="104" t="s">
        <v>10</v>
      </c>
      <c r="D26" s="105"/>
      <c r="E26" s="105">
        <v>0.16</v>
      </c>
      <c r="F26" s="105">
        <v>0.18</v>
      </c>
      <c r="G26" s="105">
        <v>0.2</v>
      </c>
      <c r="H26" s="105">
        <v>0.22</v>
      </c>
      <c r="I26" s="107">
        <f>I38</f>
        <v>0.11635</v>
      </c>
      <c r="J26" s="107">
        <f>J38</f>
        <v>0.11635</v>
      </c>
      <c r="K26" s="107">
        <f>K38</f>
        <v>0.11635</v>
      </c>
    </row>
    <row r="27" spans="1:12">
      <c r="A27" s="52" t="s">
        <v>122</v>
      </c>
      <c r="B27" s="108" t="s">
        <v>11</v>
      </c>
      <c r="C27" s="104" t="s">
        <v>12</v>
      </c>
      <c r="D27" s="105">
        <v>0.6</v>
      </c>
      <c r="E27" s="105">
        <v>0.5</v>
      </c>
      <c r="F27" s="105">
        <v>0.4</v>
      </c>
      <c r="G27" s="105">
        <v>0.3</v>
      </c>
      <c r="H27" s="105">
        <v>0.25</v>
      </c>
      <c r="I27" s="109">
        <f>J31/J26</f>
        <v>0.42973785990545771</v>
      </c>
      <c r="J27" s="109">
        <f>K31/K26</f>
        <v>0.42973785990545771</v>
      </c>
      <c r="K27" s="109" t="e">
        <f>L31/L26</f>
        <v>#VALUE!</v>
      </c>
      <c r="L27" s="52" t="s">
        <v>123</v>
      </c>
    </row>
    <row r="28" spans="1:12" ht="18.75">
      <c r="C28" s="104" t="s">
        <v>124</v>
      </c>
      <c r="D28" s="105">
        <v>0.12</v>
      </c>
      <c r="E28" s="105">
        <v>0.12</v>
      </c>
      <c r="F28" s="105">
        <v>0.12</v>
      </c>
      <c r="G28" s="105">
        <v>0.12</v>
      </c>
      <c r="H28" s="105">
        <v>0.12</v>
      </c>
      <c r="I28" s="105">
        <v>0.12</v>
      </c>
      <c r="J28" s="105">
        <v>0.12</v>
      </c>
      <c r="K28" s="105">
        <v>0.12</v>
      </c>
    </row>
    <row r="29" spans="1:12" ht="18.75">
      <c r="C29" s="104" t="s">
        <v>125</v>
      </c>
      <c r="D29" s="105">
        <v>0.06</v>
      </c>
      <c r="E29" s="105">
        <v>7.0000000000000007E-2</v>
      </c>
      <c r="F29" s="105">
        <v>7.1999999999999995E-2</v>
      </c>
      <c r="G29" s="105">
        <v>7.2999999999999995E-2</v>
      </c>
      <c r="H29" s="105">
        <v>7.2999999999999995E-2</v>
      </c>
      <c r="I29" s="105">
        <v>7.2999999999999995E-2</v>
      </c>
      <c r="J29" s="105">
        <v>7.2999999999999995E-2</v>
      </c>
      <c r="K29" s="105">
        <v>7.2999999999999995E-2</v>
      </c>
    </row>
    <row r="30" spans="1:12">
      <c r="C30" s="104" t="s">
        <v>126</v>
      </c>
      <c r="D30" s="105">
        <v>0.1</v>
      </c>
      <c r="E30" s="105">
        <v>0.1</v>
      </c>
      <c r="F30" s="105">
        <v>0.1</v>
      </c>
      <c r="G30" s="105">
        <v>0.1</v>
      </c>
      <c r="H30" s="105">
        <v>0.1</v>
      </c>
      <c r="I30" s="105">
        <v>0.1</v>
      </c>
      <c r="J30" s="105">
        <v>0.1</v>
      </c>
      <c r="K30" s="105">
        <v>0.1</v>
      </c>
    </row>
    <row r="31" spans="1:12">
      <c r="C31" s="104" t="s">
        <v>127</v>
      </c>
      <c r="D31" s="99"/>
      <c r="E31" s="99"/>
      <c r="F31" s="99"/>
      <c r="G31" s="105"/>
      <c r="H31" s="105"/>
      <c r="I31" s="105"/>
      <c r="J31" s="105">
        <v>0.05</v>
      </c>
      <c r="K31" s="105">
        <v>0.05</v>
      </c>
      <c r="L31" s="52" t="s">
        <v>128</v>
      </c>
    </row>
    <row r="33" spans="1:12">
      <c r="C33" s="110"/>
      <c r="D33" s="111">
        <f>+D24</f>
        <v>2022</v>
      </c>
      <c r="E33" s="111">
        <f t="shared" ref="E33:I33" si="1">+E24</f>
        <v>2023</v>
      </c>
      <c r="F33" s="111">
        <f t="shared" si="1"/>
        <v>2024</v>
      </c>
      <c r="G33" s="111">
        <f t="shared" si="1"/>
        <v>2025</v>
      </c>
      <c r="H33" s="111">
        <f t="shared" si="1"/>
        <v>2026</v>
      </c>
      <c r="I33" s="111" t="str">
        <f t="shared" si="1"/>
        <v>TV</v>
      </c>
    </row>
    <row r="34" spans="1:12">
      <c r="C34" s="110" t="s">
        <v>64</v>
      </c>
      <c r="D34" s="112">
        <f>D43/D78</f>
        <v>0</v>
      </c>
      <c r="E34" s="112">
        <f t="shared" ref="E34:G34" si="2">E43/E78</f>
        <v>0.19040519805301395</v>
      </c>
      <c r="F34" s="112">
        <f t="shared" si="2"/>
        <v>0.37784772289507412</v>
      </c>
      <c r="G34" s="112">
        <f t="shared" si="2"/>
        <v>0.4702966810598565</v>
      </c>
      <c r="H34" s="112">
        <f>H43/H78</f>
        <v>0.46976103535784935</v>
      </c>
      <c r="I34" s="113">
        <v>0.5</v>
      </c>
      <c r="J34" s="113">
        <v>0.5</v>
      </c>
      <c r="K34" s="113">
        <v>0.5</v>
      </c>
    </row>
    <row r="35" spans="1:12">
      <c r="C35" s="110" t="s">
        <v>101</v>
      </c>
      <c r="D35" s="113">
        <v>0</v>
      </c>
      <c r="E35" s="113">
        <v>0.2</v>
      </c>
      <c r="F35" s="113">
        <v>0.4</v>
      </c>
      <c r="G35" s="113">
        <v>0.5</v>
      </c>
      <c r="H35" s="113">
        <v>0.5</v>
      </c>
      <c r="I35" s="113"/>
    </row>
    <row r="36" spans="1:12">
      <c r="C36" s="52" t="s">
        <v>0</v>
      </c>
      <c r="D36" s="61">
        <v>20000</v>
      </c>
      <c r="E36" s="61"/>
      <c r="F36" s="61"/>
      <c r="G36" s="61"/>
      <c r="H36" s="61"/>
      <c r="I36" s="61"/>
      <c r="J36" s="61"/>
      <c r="K36" s="61"/>
    </row>
    <row r="38" spans="1:12">
      <c r="B38" s="52" t="s">
        <v>129</v>
      </c>
      <c r="C38" s="110" t="s">
        <v>72</v>
      </c>
      <c r="D38" s="122">
        <f>D28-D34*D29*D30</f>
        <v>0.12</v>
      </c>
      <c r="E38" s="122">
        <f t="shared" ref="E38:G38" si="3">E28-E34*E29*E30</f>
        <v>0.1186671636136289</v>
      </c>
      <c r="F38" s="122">
        <f t="shared" si="3"/>
        <v>0.11727949639515546</v>
      </c>
      <c r="G38" s="122">
        <f t="shared" si="3"/>
        <v>0.11656683422826304</v>
      </c>
      <c r="H38" s="122">
        <f>H28-H34*H29*H30</f>
        <v>0.1165707444418877</v>
      </c>
      <c r="I38" s="122">
        <f>I28-I34*I29*I30</f>
        <v>0.11635</v>
      </c>
      <c r="J38" s="122">
        <f t="shared" ref="J38" si="4">J28-J34*J29*J30</f>
        <v>0.11635</v>
      </c>
      <c r="K38" s="122">
        <f>K28-K34*K29*K30</f>
        <v>0.11635</v>
      </c>
    </row>
    <row r="41" spans="1:12">
      <c r="A41" s="52" t="s">
        <v>130</v>
      </c>
      <c r="B41" s="52" t="s">
        <v>17</v>
      </c>
      <c r="D41" s="111">
        <v>2022</v>
      </c>
      <c r="E41" s="111">
        <v>2023</v>
      </c>
      <c r="F41" s="111">
        <v>2024</v>
      </c>
      <c r="G41" s="111">
        <v>2025</v>
      </c>
      <c r="H41" s="111">
        <v>2026</v>
      </c>
      <c r="I41" s="123"/>
    </row>
    <row r="42" spans="1:12">
      <c r="B42" s="52" t="s">
        <v>131</v>
      </c>
      <c r="C42" s="52" t="s">
        <v>132</v>
      </c>
      <c r="D42" s="123">
        <f>D36</f>
        <v>20000</v>
      </c>
      <c r="E42" s="123">
        <f>D42+D50</f>
        <v>21320</v>
      </c>
      <c r="F42" s="123">
        <f t="shared" ref="F42:I42" si="5">E42+E50</f>
        <v>22525.599999999999</v>
      </c>
      <c r="G42" s="123">
        <f t="shared" si="5"/>
        <v>23576.883199999997</v>
      </c>
      <c r="H42" s="123">
        <f t="shared" si="5"/>
        <v>24428.422591999995</v>
      </c>
      <c r="I42" s="123">
        <f t="shared" si="5"/>
        <v>25184.873418559997</v>
      </c>
      <c r="J42" s="123">
        <f>I42+I50</f>
        <v>26522.998197206434</v>
      </c>
      <c r="K42" s="123"/>
      <c r="L42" s="123" t="s">
        <v>133</v>
      </c>
    </row>
    <row r="43" spans="1:12">
      <c r="B43" s="52" t="s">
        <v>134</v>
      </c>
      <c r="C43" s="52" t="s">
        <v>135</v>
      </c>
      <c r="D43" s="124">
        <f>D35*D42</f>
        <v>0</v>
      </c>
      <c r="E43" s="124">
        <f>E35*E42</f>
        <v>4264</v>
      </c>
      <c r="F43" s="124">
        <f>F35*F42</f>
        <v>9010.24</v>
      </c>
      <c r="G43" s="124">
        <f>G35*G42</f>
        <v>11788.441599999998</v>
      </c>
      <c r="H43" s="124">
        <f t="shared" ref="H43" si="6">H35*H42</f>
        <v>12214.211295999998</v>
      </c>
      <c r="I43" s="125">
        <f>I34*I82</f>
        <v>13381.247786464357</v>
      </c>
      <c r="J43" s="125">
        <f>J34*J82</f>
        <v>14050.310175787572</v>
      </c>
      <c r="K43" s="126"/>
      <c r="L43" s="124" t="s">
        <v>136</v>
      </c>
    </row>
    <row r="44" spans="1:12">
      <c r="C44" s="52" t="s">
        <v>137</v>
      </c>
      <c r="D44" s="127">
        <f>D42-D43</f>
        <v>20000</v>
      </c>
      <c r="E44" s="127">
        <f t="shared" ref="E44" si="7">E42-E43</f>
        <v>17056</v>
      </c>
      <c r="F44" s="127">
        <f>F42-F43</f>
        <v>13515.359999999999</v>
      </c>
      <c r="G44" s="127">
        <f>G42-G43</f>
        <v>11788.441599999998</v>
      </c>
      <c r="H44" s="127">
        <f>H42-H43</f>
        <v>12214.211295999998</v>
      </c>
      <c r="I44" s="127">
        <f>I42-I43</f>
        <v>11803.62563209564</v>
      </c>
      <c r="J44" s="127">
        <f t="shared" ref="J44" si="8">J42-J43</f>
        <v>12472.688021418862</v>
      </c>
      <c r="K44" s="127"/>
      <c r="L44" s="52" t="s">
        <v>138</v>
      </c>
    </row>
    <row r="45" spans="1:12">
      <c r="A45" s="52" t="s">
        <v>139</v>
      </c>
      <c r="L45" s="52" t="s">
        <v>140</v>
      </c>
    </row>
    <row r="46" spans="1:12">
      <c r="L46" s="52" t="s">
        <v>141</v>
      </c>
    </row>
    <row r="47" spans="1:12">
      <c r="D47" s="48">
        <f>D41</f>
        <v>2022</v>
      </c>
      <c r="E47" s="48">
        <f t="shared" ref="E47:H47" si="9">E41</f>
        <v>2023</v>
      </c>
      <c r="F47" s="48">
        <f t="shared" si="9"/>
        <v>2024</v>
      </c>
      <c r="G47" s="48">
        <f t="shared" si="9"/>
        <v>2025</v>
      </c>
      <c r="H47" s="48">
        <f t="shared" si="9"/>
        <v>2026</v>
      </c>
      <c r="L47" s="52" t="s">
        <v>142</v>
      </c>
    </row>
    <row r="48" spans="1:12">
      <c r="A48" s="52" t="s">
        <v>143</v>
      </c>
      <c r="B48" s="52" t="s">
        <v>144</v>
      </c>
      <c r="C48" s="52" t="s">
        <v>49</v>
      </c>
      <c r="D48" s="123">
        <f>+D36*D25</f>
        <v>2200</v>
      </c>
      <c r="E48" s="123">
        <f>D48+D49</f>
        <v>2411.1999999999998</v>
      </c>
      <c r="F48" s="123">
        <f t="shared" ref="F48:G48" si="10">E48+E49</f>
        <v>2628.2079999999996</v>
      </c>
      <c r="G48" s="123">
        <f t="shared" si="10"/>
        <v>2838.4646399999997</v>
      </c>
      <c r="H48" s="123">
        <f>G48+G49</f>
        <v>3025.8033062399995</v>
      </c>
      <c r="I48" s="123">
        <f>H48+H49</f>
        <v>3113.8163599102554</v>
      </c>
      <c r="J48" s="123">
        <f>I48+I49</f>
        <v>3269.507177905768</v>
      </c>
      <c r="K48" s="123"/>
      <c r="L48" s="123" t="s">
        <v>145</v>
      </c>
    </row>
    <row r="49" spans="2:12">
      <c r="B49" s="52" t="s">
        <v>146</v>
      </c>
      <c r="C49" s="52" t="s">
        <v>147</v>
      </c>
      <c r="D49" s="123">
        <f>D50*E26</f>
        <v>211.20000000000002</v>
      </c>
      <c r="E49" s="123">
        <f>E50*F26</f>
        <v>217.00799999999998</v>
      </c>
      <c r="F49" s="123">
        <f t="shared" ref="F49:H49" si="11">F50*G26</f>
        <v>210.25663999999998</v>
      </c>
      <c r="G49" s="123">
        <f>G50*H26</f>
        <v>187.33866623999998</v>
      </c>
      <c r="H49" s="123">
        <f t="shared" si="11"/>
        <v>88.013053670255985</v>
      </c>
      <c r="I49" s="123">
        <f>I50*J26</f>
        <v>155.69081799551276</v>
      </c>
      <c r="J49" s="123">
        <f>J50*K26</f>
        <v>163.47535889528842</v>
      </c>
      <c r="K49" s="123"/>
      <c r="L49" s="123" t="s">
        <v>148</v>
      </c>
    </row>
    <row r="50" spans="2:12">
      <c r="B50" s="52" t="s">
        <v>149</v>
      </c>
      <c r="C50" s="52" t="s">
        <v>150</v>
      </c>
      <c r="D50" s="123">
        <f>D27*D48</f>
        <v>1320</v>
      </c>
      <c r="E50" s="123">
        <f>E27*E48</f>
        <v>1205.5999999999999</v>
      </c>
      <c r="F50" s="123">
        <f t="shared" ref="F50" si="12">F27*F48</f>
        <v>1051.2831999999999</v>
      </c>
      <c r="G50" s="123">
        <f>G27*G48</f>
        <v>851.53939199999991</v>
      </c>
      <c r="H50" s="123">
        <f>H27*H48</f>
        <v>756.45082655999988</v>
      </c>
      <c r="I50" s="128">
        <f>I27*I48</f>
        <v>1338.1247786464355</v>
      </c>
      <c r="J50" s="123">
        <f t="shared" ref="J50" si="13">J27*J48</f>
        <v>1405.0310175787574</v>
      </c>
      <c r="K50" s="123"/>
      <c r="L50" s="123" t="s">
        <v>151</v>
      </c>
    </row>
    <row r="51" spans="2:12">
      <c r="L51" s="123" t="s">
        <v>152</v>
      </c>
    </row>
    <row r="52" spans="2:12">
      <c r="B52" s="52" t="s">
        <v>24</v>
      </c>
      <c r="C52" s="52" t="s">
        <v>153</v>
      </c>
      <c r="D52" s="129">
        <f>D48/(1-D30)</f>
        <v>2444.4444444444443</v>
      </c>
      <c r="E52" s="129">
        <f t="shared" ref="E52:H52" si="14">E48/(1-E30)</f>
        <v>2679.1111111111109</v>
      </c>
      <c r="F52" s="129">
        <f t="shared" si="14"/>
        <v>2920.2311111111107</v>
      </c>
      <c r="G52" s="129">
        <f t="shared" si="14"/>
        <v>3153.8495999999996</v>
      </c>
      <c r="H52" s="129">
        <f t="shared" si="14"/>
        <v>3362.0036735999993</v>
      </c>
      <c r="I52" s="129">
        <f>I48/(1-I30)</f>
        <v>3459.7959554558392</v>
      </c>
      <c r="J52" s="129">
        <f>J48/(1-J30)</f>
        <v>3632.7857532286312</v>
      </c>
      <c r="K52" s="129"/>
      <c r="L52" s="123" t="s">
        <v>154</v>
      </c>
    </row>
    <row r="53" spans="2:12">
      <c r="B53" s="52" t="s">
        <v>155</v>
      </c>
      <c r="C53" s="52" t="s">
        <v>53</v>
      </c>
      <c r="D53" s="124">
        <f>D43*D29</f>
        <v>0</v>
      </c>
      <c r="E53" s="124">
        <f>E43*E29</f>
        <v>298.48</v>
      </c>
      <c r="F53" s="124">
        <f t="shared" ref="F53:H53" si="15">F43*F29</f>
        <v>648.73727999999994</v>
      </c>
      <c r="G53" s="124">
        <f t="shared" si="15"/>
        <v>860.55623679999985</v>
      </c>
      <c r="H53" s="124">
        <f t="shared" si="15"/>
        <v>891.63742460799972</v>
      </c>
      <c r="I53" s="124">
        <f>I43*I29</f>
        <v>976.83108841189801</v>
      </c>
      <c r="J53" s="124">
        <f>J43*J29</f>
        <v>1025.6726428324928</v>
      </c>
      <c r="K53" s="124"/>
    </row>
    <row r="54" spans="2:12">
      <c r="C54" s="52" t="s">
        <v>156</v>
      </c>
      <c r="D54" s="129">
        <f>D52-D53</f>
        <v>2444.4444444444443</v>
      </c>
      <c r="E54" s="129">
        <f t="shared" ref="E54:J54" si="16">E52-E53</f>
        <v>2380.6311111111108</v>
      </c>
      <c r="F54" s="129">
        <f t="shared" si="16"/>
        <v>2271.4938311111109</v>
      </c>
      <c r="G54" s="129">
        <f t="shared" si="16"/>
        <v>2293.2933631999995</v>
      </c>
      <c r="H54" s="129">
        <f t="shared" si="16"/>
        <v>2470.3662489919998</v>
      </c>
      <c r="I54" s="129">
        <f t="shared" si="16"/>
        <v>2482.964867043941</v>
      </c>
      <c r="J54" s="129">
        <f t="shared" si="16"/>
        <v>2607.1131103961384</v>
      </c>
      <c r="K54" s="129"/>
    </row>
    <row r="55" spans="2:12">
      <c r="B55" s="64" t="s">
        <v>157</v>
      </c>
      <c r="C55" s="52" t="s">
        <v>158</v>
      </c>
      <c r="D55" s="130">
        <f>IF(D54&lt;0,0,D54*D30)</f>
        <v>244.44444444444446</v>
      </c>
      <c r="E55" s="130">
        <f t="shared" ref="E55:J55" si="17">IF(E54&lt;0,0,E54*E30)</f>
        <v>238.06311111111108</v>
      </c>
      <c r="F55" s="130">
        <f t="shared" si="17"/>
        <v>227.14938311111109</v>
      </c>
      <c r="G55" s="130">
        <f t="shared" si="17"/>
        <v>229.32933631999995</v>
      </c>
      <c r="H55" s="130">
        <f t="shared" si="17"/>
        <v>247.03662489919998</v>
      </c>
      <c r="I55" s="130">
        <f t="shared" si="17"/>
        <v>248.29648670439411</v>
      </c>
      <c r="J55" s="130">
        <f t="shared" si="17"/>
        <v>260.71131103961386</v>
      </c>
      <c r="K55" s="130"/>
    </row>
    <row r="56" spans="2:12">
      <c r="C56" s="52" t="s">
        <v>159</v>
      </c>
      <c r="D56" s="129">
        <f>D54-D55</f>
        <v>2200</v>
      </c>
      <c r="E56" s="129">
        <f>E54-E55</f>
        <v>2142.5679999999998</v>
      </c>
      <c r="F56" s="129">
        <f t="shared" ref="F56:G56" si="18">F54-F55</f>
        <v>2044.3444479999998</v>
      </c>
      <c r="G56" s="129">
        <f t="shared" si="18"/>
        <v>2063.9640268799994</v>
      </c>
      <c r="H56" s="129">
        <f>H54-H55</f>
        <v>2223.3296240927998</v>
      </c>
      <c r="I56" s="129">
        <f>I54-I55</f>
        <v>2234.6683803395467</v>
      </c>
      <c r="J56" s="129">
        <f>J54-J55</f>
        <v>2346.4017993565244</v>
      </c>
      <c r="K56" s="129"/>
    </row>
    <row r="57" spans="2:12">
      <c r="C57" s="52" t="s">
        <v>37</v>
      </c>
      <c r="D57" s="130">
        <f>+D56-D58</f>
        <v>2200</v>
      </c>
      <c r="E57" s="130">
        <f>+E56-E58</f>
        <v>2142.5679999999998</v>
      </c>
      <c r="F57" s="130">
        <f t="shared" ref="F57:I57" si="19">+F56-F58</f>
        <v>2044.3444479999998</v>
      </c>
      <c r="G57" s="130">
        <f t="shared" si="19"/>
        <v>1638.1943308800001</v>
      </c>
      <c r="H57" s="130">
        <f t="shared" si="19"/>
        <v>2223.3296240927998</v>
      </c>
      <c r="I57" s="130">
        <f t="shared" si="19"/>
        <v>1565.6059910163244</v>
      </c>
      <c r="J57" s="130"/>
    </row>
    <row r="58" spans="2:12">
      <c r="C58" s="52" t="s">
        <v>38</v>
      </c>
      <c r="D58" s="130">
        <f>+IF(D56&lt;0,D56,MAX(0,MIN(D56,D60)))</f>
        <v>0</v>
      </c>
      <c r="E58" s="130">
        <f t="shared" ref="E58:F58" si="20">+IF(E56&lt;0,E56,MAX(0,MIN(E56,E60)))</f>
        <v>0</v>
      </c>
      <c r="F58" s="130">
        <f t="shared" si="20"/>
        <v>0</v>
      </c>
      <c r="G58" s="130">
        <f>+IF(G56&lt;0,G56,MAX(0,MIN(G56,G60)))</f>
        <v>425.76969599999939</v>
      </c>
      <c r="H58" s="130">
        <f>+IF(H56&lt;0,H56,MAX(0,MIN(H56,H60)))</f>
        <v>0</v>
      </c>
      <c r="I58" s="130">
        <f>+IF(I56&lt;0,I56,MAX(0,MIN(I56,I60)))</f>
        <v>669.06238932322231</v>
      </c>
    </row>
    <row r="59" spans="2:12">
      <c r="D59" s="130"/>
      <c r="E59" s="130"/>
      <c r="F59" s="130"/>
      <c r="G59" s="130"/>
      <c r="H59" s="130"/>
    </row>
    <row r="60" spans="2:12">
      <c r="C60" s="52" t="s">
        <v>40</v>
      </c>
      <c r="D60" s="130">
        <f>+E44-D44</f>
        <v>-2944</v>
      </c>
      <c r="E60" s="130">
        <f t="shared" ref="E60:F60" si="21">+F44-E44</f>
        <v>-3540.6400000000012</v>
      </c>
      <c r="F60" s="130">
        <f t="shared" si="21"/>
        <v>-1726.9184000000005</v>
      </c>
      <c r="G60" s="130">
        <f>+H44-G44</f>
        <v>425.76969599999939</v>
      </c>
      <c r="H60" s="130">
        <f>+I44-H44</f>
        <v>-410.58566390435772</v>
      </c>
      <c r="I60" s="130">
        <f>+J44-I44</f>
        <v>669.06238932322231</v>
      </c>
    </row>
    <row r="61" spans="2:12">
      <c r="C61" s="52" t="s">
        <v>42</v>
      </c>
      <c r="D61" s="130">
        <f>+D60-D58</f>
        <v>-2944</v>
      </c>
      <c r="E61" s="130">
        <f t="shared" ref="E61:I61" si="22">+E60-E58</f>
        <v>-3540.6400000000012</v>
      </c>
      <c r="F61" s="130">
        <f t="shared" si="22"/>
        <v>-1726.9184000000005</v>
      </c>
      <c r="G61" s="130">
        <f t="shared" si="22"/>
        <v>0</v>
      </c>
      <c r="H61" s="130">
        <f t="shared" si="22"/>
        <v>-410.58566390435772</v>
      </c>
      <c r="I61" s="130">
        <f t="shared" si="22"/>
        <v>0</v>
      </c>
    </row>
    <row r="62" spans="2:12">
      <c r="C62" s="52" t="s">
        <v>44</v>
      </c>
      <c r="D62" s="131">
        <f>D57/D56</f>
        <v>1</v>
      </c>
      <c r="E62" s="131">
        <f t="shared" ref="E62:I62" si="23">E57/E56</f>
        <v>1</v>
      </c>
      <c r="F62" s="131">
        <f t="shared" si="23"/>
        <v>1</v>
      </c>
      <c r="G62" s="131">
        <f t="shared" si="23"/>
        <v>0.79371263720927532</v>
      </c>
      <c r="H62" s="131">
        <f t="shared" si="23"/>
        <v>1</v>
      </c>
      <c r="I62" s="131">
        <f t="shared" si="23"/>
        <v>0.70059880239520744</v>
      </c>
    </row>
    <row r="63" spans="2:12">
      <c r="C63" s="49" t="s">
        <v>46</v>
      </c>
      <c r="D63" s="114">
        <f>+D55/D54</f>
        <v>0.1</v>
      </c>
      <c r="E63" s="114">
        <f t="shared" ref="E63:J63" si="24">+E55/E54</f>
        <v>0.1</v>
      </c>
      <c r="F63" s="114">
        <f t="shared" si="24"/>
        <v>0.1</v>
      </c>
      <c r="G63" s="114">
        <f t="shared" si="24"/>
        <v>0.1</v>
      </c>
      <c r="H63" s="114">
        <f t="shared" si="24"/>
        <v>0.1</v>
      </c>
      <c r="I63" s="114">
        <f t="shared" si="24"/>
        <v>0.1</v>
      </c>
      <c r="J63" s="114">
        <f t="shared" si="24"/>
        <v>0.1</v>
      </c>
    </row>
    <row r="64" spans="2:12">
      <c r="B64" s="52" t="s">
        <v>47</v>
      </c>
    </row>
    <row r="65" spans="1:10">
      <c r="C65" s="132" t="str">
        <f>C48</f>
        <v>NOPLAT</v>
      </c>
      <c r="D65" s="133">
        <f>D48</f>
        <v>2200</v>
      </c>
      <c r="E65" s="133">
        <f t="shared" ref="E65:I65" si="25">E48</f>
        <v>2411.1999999999998</v>
      </c>
      <c r="F65" s="133">
        <f t="shared" si="25"/>
        <v>2628.2079999999996</v>
      </c>
      <c r="G65" s="133">
        <f t="shared" si="25"/>
        <v>2838.4646399999997</v>
      </c>
      <c r="H65" s="133">
        <f t="shared" si="25"/>
        <v>3025.8033062399995</v>
      </c>
      <c r="I65" s="133">
        <f t="shared" si="25"/>
        <v>3113.8163599102554</v>
      </c>
      <c r="J65" s="133">
        <f>J48</f>
        <v>3269.507177905768</v>
      </c>
    </row>
    <row r="66" spans="1:10">
      <c r="C66" s="134" t="str">
        <f>+C50</f>
        <v>DIC</v>
      </c>
      <c r="D66" s="134">
        <f>+D50</f>
        <v>1320</v>
      </c>
      <c r="E66" s="134">
        <f t="shared" ref="E66:J66" si="26">+E50</f>
        <v>1205.5999999999999</v>
      </c>
      <c r="F66" s="134">
        <f t="shared" si="26"/>
        <v>1051.2831999999999</v>
      </c>
      <c r="G66" s="134">
        <f t="shared" si="26"/>
        <v>851.53939199999991</v>
      </c>
      <c r="H66" s="134">
        <f t="shared" si="26"/>
        <v>756.45082655999988</v>
      </c>
      <c r="I66" s="134">
        <f>+I50</f>
        <v>1338.1247786464355</v>
      </c>
      <c r="J66" s="134">
        <f t="shared" si="26"/>
        <v>1405.0310175787574</v>
      </c>
    </row>
    <row r="67" spans="1:10">
      <c r="C67" s="135" t="s">
        <v>52</v>
      </c>
      <c r="D67" s="136">
        <f>D65-D66</f>
        <v>880</v>
      </c>
      <c r="E67" s="136">
        <f t="shared" ref="E67:I67" si="27">E65-E66</f>
        <v>1205.5999999999999</v>
      </c>
      <c r="F67" s="136">
        <f t="shared" si="27"/>
        <v>1576.9247999999998</v>
      </c>
      <c r="G67" s="136">
        <f t="shared" si="27"/>
        <v>1986.9252479999998</v>
      </c>
      <c r="H67" s="136">
        <f t="shared" si="27"/>
        <v>2269.3524796799998</v>
      </c>
      <c r="I67" s="136">
        <f t="shared" si="27"/>
        <v>1775.6915812638199</v>
      </c>
      <c r="J67" s="136">
        <f>J65-J66</f>
        <v>1864.4761603270106</v>
      </c>
    </row>
    <row r="68" spans="1:10">
      <c r="C68" s="115" t="s">
        <v>53</v>
      </c>
      <c r="D68" s="124">
        <f>D53</f>
        <v>0</v>
      </c>
      <c r="E68" s="124">
        <f t="shared" ref="E68:G68" si="28">E53</f>
        <v>298.48</v>
      </c>
      <c r="F68" s="124">
        <f t="shared" si="28"/>
        <v>648.73727999999994</v>
      </c>
      <c r="G68" s="124">
        <f t="shared" si="28"/>
        <v>860.55623679999985</v>
      </c>
      <c r="H68" s="124">
        <f>H53</f>
        <v>891.63742460799972</v>
      </c>
      <c r="I68" s="124">
        <f t="shared" ref="I68:J68" si="29">I53</f>
        <v>976.83108841189801</v>
      </c>
      <c r="J68" s="124">
        <f t="shared" si="29"/>
        <v>1025.6726428324928</v>
      </c>
    </row>
    <row r="69" spans="1:10">
      <c r="B69" s="52" t="s">
        <v>160</v>
      </c>
      <c r="C69" s="116" t="s">
        <v>55</v>
      </c>
      <c r="D69" s="61">
        <f>D68*D63</f>
        <v>0</v>
      </c>
      <c r="E69" s="61">
        <f t="shared" ref="E69:G69" si="30">E68*E63</f>
        <v>29.848000000000003</v>
      </c>
      <c r="F69" s="61">
        <f t="shared" si="30"/>
        <v>64.873728</v>
      </c>
      <c r="G69" s="61">
        <f t="shared" si="30"/>
        <v>86.055623679999997</v>
      </c>
      <c r="H69" s="61">
        <f>H68*H63</f>
        <v>89.16374246079998</v>
      </c>
      <c r="I69" s="61">
        <f t="shared" ref="I69:J69" si="31">I68*I63</f>
        <v>97.683108841189807</v>
      </c>
      <c r="J69" s="61">
        <f t="shared" si="31"/>
        <v>102.56726428324929</v>
      </c>
    </row>
    <row r="70" spans="1:10">
      <c r="C70" s="117" t="s">
        <v>57</v>
      </c>
      <c r="D70" s="66">
        <f>E43-D43</f>
        <v>4264</v>
      </c>
      <c r="E70" s="66">
        <f>F43-E43</f>
        <v>4746.24</v>
      </c>
      <c r="F70" s="66">
        <f t="shared" ref="F70:G70" si="32">G43-F43</f>
        <v>2778.2015999999985</v>
      </c>
      <c r="G70" s="66">
        <f t="shared" si="32"/>
        <v>425.76969599999939</v>
      </c>
      <c r="H70" s="66">
        <f>I43-H43</f>
        <v>1167.0364904643593</v>
      </c>
      <c r="I70" s="66">
        <f t="shared" ref="I70" si="33">J43-I43</f>
        <v>669.06238932321503</v>
      </c>
      <c r="J70" s="66"/>
    </row>
    <row r="71" spans="1:10">
      <c r="C71" s="135" t="s">
        <v>59</v>
      </c>
      <c r="D71" s="136">
        <f>D67-D68+D69+D70</f>
        <v>5144</v>
      </c>
      <c r="E71" s="136">
        <f t="shared" ref="E71:I71" si="34">E67-E68+E69+E70</f>
        <v>5683.2079999999996</v>
      </c>
      <c r="F71" s="136">
        <f t="shared" si="34"/>
        <v>3771.2628479999985</v>
      </c>
      <c r="G71" s="136">
        <f t="shared" si="34"/>
        <v>1638.1943308799994</v>
      </c>
      <c r="H71" s="136">
        <f t="shared" si="34"/>
        <v>2633.9152879971593</v>
      </c>
      <c r="I71" s="136">
        <f t="shared" si="34"/>
        <v>1565.6059910163267</v>
      </c>
      <c r="J71" s="136"/>
    </row>
    <row r="72" spans="1:10">
      <c r="C72" s="115" t="s">
        <v>37</v>
      </c>
      <c r="D72" s="61">
        <f>-D57</f>
        <v>-2200</v>
      </c>
      <c r="E72" s="61">
        <f t="shared" ref="E72:I72" si="35">-E57</f>
        <v>-2142.5679999999998</v>
      </c>
      <c r="F72" s="61">
        <f t="shared" si="35"/>
        <v>-2044.3444479999998</v>
      </c>
      <c r="G72" s="61">
        <f t="shared" si="35"/>
        <v>-1638.1943308800001</v>
      </c>
      <c r="H72" s="61">
        <f t="shared" si="35"/>
        <v>-2223.3296240927998</v>
      </c>
      <c r="I72" s="61">
        <f t="shared" si="35"/>
        <v>-1565.6059910163244</v>
      </c>
      <c r="J72" s="61"/>
    </row>
    <row r="73" spans="1:10">
      <c r="A73" s="52" t="s">
        <v>161</v>
      </c>
      <c r="C73" s="117" t="s">
        <v>60</v>
      </c>
      <c r="D73" s="66">
        <f>D60-D58</f>
        <v>-2944</v>
      </c>
      <c r="E73" s="66">
        <f t="shared" ref="E73:H73" si="36">E60-E58</f>
        <v>-3540.6400000000012</v>
      </c>
      <c r="F73" s="66">
        <f t="shared" si="36"/>
        <v>-1726.9184000000005</v>
      </c>
      <c r="G73" s="66">
        <f>G60-G58</f>
        <v>0</v>
      </c>
      <c r="H73" s="66">
        <f t="shared" si="36"/>
        <v>-410.58566390435772</v>
      </c>
      <c r="I73" s="66"/>
    </row>
    <row r="74" spans="1:10">
      <c r="C74" s="116" t="s">
        <v>162</v>
      </c>
      <c r="D74" s="61">
        <f>SUM(D71:D73)</f>
        <v>0</v>
      </c>
      <c r="E74" s="61">
        <f>SUM(E71:E73)</f>
        <v>0</v>
      </c>
      <c r="F74" s="61">
        <f>SUM(F71:F73)</f>
        <v>-1.8189894035458565E-12</v>
      </c>
      <c r="G74" s="61">
        <f>SUM(G71:G73)</f>
        <v>-6.8212102632969618E-13</v>
      </c>
      <c r="H74" s="61">
        <f t="shared" ref="H74:I74" si="37">SUM(H71:H73)</f>
        <v>1.8189894035458565E-12</v>
      </c>
      <c r="I74" s="61">
        <f t="shared" si="37"/>
        <v>2.2737367544323206E-12</v>
      </c>
    </row>
    <row r="76" spans="1:10">
      <c r="B76" s="467" t="s">
        <v>163</v>
      </c>
      <c r="C76" s="52" t="s">
        <v>164</v>
      </c>
      <c r="D76" s="61">
        <f>D67+D69</f>
        <v>880</v>
      </c>
      <c r="E76" s="61">
        <f t="shared" ref="E76:I76" si="38">E67+E69</f>
        <v>1235.4479999999999</v>
      </c>
      <c r="F76" s="61">
        <f t="shared" si="38"/>
        <v>1641.7985279999998</v>
      </c>
      <c r="G76" s="61">
        <f t="shared" si="38"/>
        <v>2072.9808716799998</v>
      </c>
      <c r="H76" s="61">
        <f t="shared" si="38"/>
        <v>2358.5162221407995</v>
      </c>
      <c r="I76" s="61">
        <f t="shared" si="38"/>
        <v>1873.3746901050097</v>
      </c>
      <c r="J76" s="61">
        <f>J67+J69</f>
        <v>1967.0434246102598</v>
      </c>
    </row>
    <row r="77" spans="1:10">
      <c r="B77" s="467"/>
      <c r="C77" s="52" t="s">
        <v>63</v>
      </c>
      <c r="D77" s="63">
        <f>D28</f>
        <v>0.12</v>
      </c>
      <c r="E77" s="63">
        <f t="shared" ref="E77:J77" si="39">E28</f>
        <v>0.12</v>
      </c>
      <c r="F77" s="63">
        <f t="shared" si="39"/>
        <v>0.12</v>
      </c>
      <c r="G77" s="63">
        <f t="shared" si="39"/>
        <v>0.12</v>
      </c>
      <c r="H77" s="63">
        <f t="shared" si="39"/>
        <v>0.12</v>
      </c>
      <c r="I77" s="63">
        <f t="shared" si="39"/>
        <v>0.12</v>
      </c>
      <c r="J77" s="63">
        <f t="shared" si="39"/>
        <v>0.12</v>
      </c>
    </row>
    <row r="78" spans="1:10">
      <c r="B78" s="467"/>
      <c r="C78" s="118" t="s">
        <v>165</v>
      </c>
      <c r="D78" s="137">
        <f t="shared" ref="D78:G78" si="40">(D76+E78)/(1+D77)</f>
        <v>20780.666608827047</v>
      </c>
      <c r="E78" s="137">
        <f t="shared" si="40"/>
        <v>22394.346601886296</v>
      </c>
      <c r="F78" s="137">
        <f t="shared" si="40"/>
        <v>23846.220194112655</v>
      </c>
      <c r="G78" s="137">
        <f t="shared" si="40"/>
        <v>25065.968089406178</v>
      </c>
      <c r="H78" s="137">
        <f>(H76+I78)/(1+H77)</f>
        <v>26000.903388454921</v>
      </c>
      <c r="I78" s="125">
        <f>I76/(I77-J31)</f>
        <v>26762.495572928714</v>
      </c>
      <c r="J78" s="125">
        <f>J76/(J77-K31)</f>
        <v>28100.620351575144</v>
      </c>
    </row>
    <row r="80" spans="1:10">
      <c r="B80" s="468" t="s">
        <v>52</v>
      </c>
      <c r="C80" s="52" t="s">
        <v>52</v>
      </c>
      <c r="D80" s="61">
        <f>D67</f>
        <v>880</v>
      </c>
      <c r="E80" s="61">
        <f t="shared" ref="E80:J80" si="41">E67</f>
        <v>1205.5999999999999</v>
      </c>
      <c r="F80" s="61">
        <f t="shared" si="41"/>
        <v>1576.9247999999998</v>
      </c>
      <c r="G80" s="61">
        <f t="shared" si="41"/>
        <v>1986.9252479999998</v>
      </c>
      <c r="H80" s="61">
        <f t="shared" si="41"/>
        <v>2269.3524796799998</v>
      </c>
      <c r="I80" s="61">
        <f t="shared" si="41"/>
        <v>1775.6915812638199</v>
      </c>
      <c r="J80" s="61">
        <f t="shared" si="41"/>
        <v>1864.4761603270106</v>
      </c>
    </row>
    <row r="81" spans="2:10">
      <c r="B81" s="468"/>
      <c r="C81" s="52" t="s">
        <v>72</v>
      </c>
      <c r="D81" s="63">
        <f>D38</f>
        <v>0.12</v>
      </c>
      <c r="E81" s="63">
        <f t="shared" ref="E81:H81" si="42">E38</f>
        <v>0.1186671636136289</v>
      </c>
      <c r="F81" s="63">
        <f t="shared" si="42"/>
        <v>0.11727949639515546</v>
      </c>
      <c r="G81" s="63">
        <f t="shared" si="42"/>
        <v>0.11656683422826304</v>
      </c>
      <c r="H81" s="63">
        <f t="shared" si="42"/>
        <v>0.1165707444418877</v>
      </c>
      <c r="I81" s="63">
        <f>I38</f>
        <v>0.11635</v>
      </c>
      <c r="J81" s="63">
        <f>J38</f>
        <v>0.11635</v>
      </c>
    </row>
    <row r="82" spans="2:10">
      <c r="B82" s="468"/>
      <c r="C82" s="48"/>
      <c r="D82" s="137">
        <f>(D80+E82)/(1+D81)</f>
        <v>20780.666608827054</v>
      </c>
      <c r="E82" s="137">
        <f t="shared" ref="E82:G82" si="43">(E80+F82)/(1+E81)</f>
        <v>22394.346601886304</v>
      </c>
      <c r="F82" s="137">
        <f t="shared" si="43"/>
        <v>23846.220194112662</v>
      </c>
      <c r="G82" s="137">
        <f t="shared" si="43"/>
        <v>25065.968089406182</v>
      </c>
      <c r="H82" s="137">
        <f>(H80+I82)/(1+H81)</f>
        <v>26000.903388454924</v>
      </c>
      <c r="I82" s="125">
        <f>I80/(I81-J31)</f>
        <v>26762.495572928714</v>
      </c>
      <c r="J82" s="125">
        <f>J80/(J81-K31)</f>
        <v>28100.620351575144</v>
      </c>
    </row>
    <row r="84" spans="2:10">
      <c r="B84" s="467" t="s">
        <v>59</v>
      </c>
      <c r="C84" s="52" t="s">
        <v>59</v>
      </c>
      <c r="D84" s="61">
        <f>D71</f>
        <v>5144</v>
      </c>
      <c r="E84" s="61">
        <f t="shared" ref="E84:I84" si="44">E71</f>
        <v>5683.2079999999996</v>
      </c>
      <c r="F84" s="61">
        <f t="shared" si="44"/>
        <v>3771.2628479999985</v>
      </c>
      <c r="G84" s="61">
        <f t="shared" si="44"/>
        <v>1638.1943308799994</v>
      </c>
      <c r="H84" s="61">
        <f t="shared" si="44"/>
        <v>2633.9152879971593</v>
      </c>
      <c r="I84" s="61">
        <f t="shared" si="44"/>
        <v>1565.6059910163267</v>
      </c>
    </row>
    <row r="85" spans="2:10">
      <c r="B85" s="467"/>
      <c r="C85" s="52" t="s">
        <v>166</v>
      </c>
      <c r="D85" s="62">
        <f>(D28-D34*D29)/(1-D34)</f>
        <v>0.12</v>
      </c>
      <c r="E85" s="62">
        <f t="shared" ref="E85:I85" si="45">(E28-E34*E29)/(1-E34)</f>
        <v>0.13175928980738946</v>
      </c>
      <c r="F85" s="62">
        <f t="shared" si="45"/>
        <v>0.14915152988486902</v>
      </c>
      <c r="G85" s="62">
        <f t="shared" si="45"/>
        <v>0.16172891356248237</v>
      </c>
      <c r="H85" s="62">
        <f t="shared" si="45"/>
        <v>0.16163927989848786</v>
      </c>
      <c r="I85" s="62">
        <f t="shared" si="45"/>
        <v>0.16699999999999998</v>
      </c>
    </row>
    <row r="86" spans="2:10">
      <c r="B86" s="467"/>
      <c r="C86" s="52" t="s">
        <v>109</v>
      </c>
      <c r="D86" s="119">
        <f t="shared" ref="D86:G86" si="46">(D84+E86)/(1+D85)</f>
        <v>20780.666608827043</v>
      </c>
      <c r="E86" s="119">
        <f t="shared" si="46"/>
        <v>18130.346601886289</v>
      </c>
      <c r="F86" s="119">
        <f t="shared" si="46"/>
        <v>14835.980194112642</v>
      </c>
      <c r="G86" s="119">
        <f t="shared" si="46"/>
        <v>13277.526489406164</v>
      </c>
      <c r="H86" s="119">
        <f>(H84+I86)/(1+H85)</f>
        <v>13786.692092454905</v>
      </c>
      <c r="I86" s="120">
        <f>I84/(I85-J31)</f>
        <v>13381.247786464333</v>
      </c>
    </row>
    <row r="87" spans="2:10">
      <c r="B87" s="467"/>
      <c r="C87" s="52" t="s">
        <v>6</v>
      </c>
      <c r="D87" s="138">
        <f>D43</f>
        <v>0</v>
      </c>
      <c r="E87" s="138">
        <f t="shared" ref="E87:I87" si="47">E43</f>
        <v>4264</v>
      </c>
      <c r="F87" s="138">
        <f t="shared" si="47"/>
        <v>9010.24</v>
      </c>
      <c r="G87" s="138">
        <f t="shared" si="47"/>
        <v>11788.441599999998</v>
      </c>
      <c r="H87" s="138">
        <f t="shared" si="47"/>
        <v>12214.211295999998</v>
      </c>
      <c r="I87" s="138">
        <f t="shared" si="47"/>
        <v>13381.247786464357</v>
      </c>
    </row>
    <row r="88" spans="2:10">
      <c r="B88" s="467"/>
      <c r="C88" s="48" t="s">
        <v>167</v>
      </c>
      <c r="D88" s="121">
        <f>SUM(D86:D87)</f>
        <v>20780.666608827043</v>
      </c>
      <c r="E88" s="121">
        <f t="shared" ref="E88:I88" si="48">SUM(E86:E87)</f>
        <v>22394.346601886289</v>
      </c>
      <c r="F88" s="121">
        <f t="shared" si="48"/>
        <v>23846.22019411264</v>
      </c>
      <c r="G88" s="121">
        <f t="shared" si="48"/>
        <v>25065.96808940616</v>
      </c>
      <c r="H88" s="121">
        <f t="shared" si="48"/>
        <v>26000.903388454903</v>
      </c>
      <c r="I88" s="121">
        <f t="shared" si="48"/>
        <v>26762.495572928688</v>
      </c>
    </row>
  </sheetData>
  <mergeCells count="3">
    <mergeCell ref="B76:B78"/>
    <mergeCell ref="B80:B82"/>
    <mergeCell ref="B84:B88"/>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90F89-A28B-43AF-909D-D7ECF6C01147}">
  <dimension ref="B24:M82"/>
  <sheetViews>
    <sheetView topLeftCell="C10" zoomScale="80" zoomScaleNormal="80" workbookViewId="0">
      <selection activeCell="I46" sqref="I46"/>
    </sheetView>
  </sheetViews>
  <sheetFormatPr defaultRowHeight="15.75"/>
  <cols>
    <col min="1" max="1" width="9.140625" style="52"/>
    <col min="2" max="2" width="22.7109375" style="52" bestFit="1" customWidth="1"/>
    <col min="3" max="3" width="31.140625" style="52" bestFit="1" customWidth="1"/>
    <col min="4" max="6" width="13" style="52" bestFit="1" customWidth="1"/>
    <col min="7" max="7" width="14.140625" style="52" bestFit="1" customWidth="1"/>
    <col min="8" max="9" width="14.5703125" style="52" bestFit="1" customWidth="1"/>
    <col min="10" max="10" width="13.5703125" style="52" bestFit="1" customWidth="1"/>
    <col min="11" max="16384" width="9.140625" style="52"/>
  </cols>
  <sheetData>
    <row r="24" spans="3:13">
      <c r="D24" s="111">
        <v>2021</v>
      </c>
      <c r="E24" s="111">
        <v>2022</v>
      </c>
      <c r="F24" s="111">
        <v>2023</v>
      </c>
      <c r="G24" s="111">
        <v>2024</v>
      </c>
      <c r="H24" s="111">
        <v>2025</v>
      </c>
      <c r="I24" s="111" t="s">
        <v>117</v>
      </c>
    </row>
    <row r="25" spans="3:13">
      <c r="C25" s="110" t="s">
        <v>12</v>
      </c>
      <c r="D25" s="113">
        <v>0.6</v>
      </c>
      <c r="E25" s="113">
        <v>0.5</v>
      </c>
      <c r="F25" s="113">
        <v>0.4</v>
      </c>
      <c r="G25" s="113">
        <v>0.3</v>
      </c>
      <c r="H25" s="113">
        <v>0.25</v>
      </c>
      <c r="I25" s="113">
        <f>J26/J30</f>
        <v>0.55970149253731338</v>
      </c>
      <c r="J25" s="113">
        <f>K26/K30</f>
        <v>0.55970149253731338</v>
      </c>
    </row>
    <row r="26" spans="3:13">
      <c r="C26" s="110" t="s">
        <v>127</v>
      </c>
      <c r="G26" s="113"/>
      <c r="H26" s="113">
        <v>7.0000000000000007E-2</v>
      </c>
      <c r="I26" s="113">
        <v>0.06</v>
      </c>
      <c r="J26" s="113">
        <v>0.06</v>
      </c>
      <c r="K26" s="113">
        <v>0.06</v>
      </c>
    </row>
    <row r="27" spans="3:13" ht="18.75">
      <c r="C27" s="110" t="s">
        <v>124</v>
      </c>
      <c r="D27" s="113">
        <v>0.11</v>
      </c>
      <c r="E27" s="113">
        <v>0.11</v>
      </c>
      <c r="F27" s="113">
        <v>0.11</v>
      </c>
      <c r="G27" s="113">
        <v>0.11</v>
      </c>
      <c r="H27" s="113">
        <v>0.11</v>
      </c>
      <c r="I27" s="113">
        <v>0.11</v>
      </c>
      <c r="J27" s="113">
        <v>0.11</v>
      </c>
    </row>
    <row r="28" spans="3:13" ht="18.75">
      <c r="C28" s="110" t="s">
        <v>125</v>
      </c>
      <c r="D28" s="113">
        <v>0.06</v>
      </c>
      <c r="E28" s="113">
        <v>0.06</v>
      </c>
      <c r="F28" s="113">
        <v>0.06</v>
      </c>
      <c r="G28" s="113">
        <v>0.06</v>
      </c>
      <c r="H28" s="113">
        <v>7.0000000000000007E-2</v>
      </c>
      <c r="I28" s="113">
        <v>7.0000000000000007E-2</v>
      </c>
      <c r="J28" s="113">
        <v>7.0000000000000007E-2</v>
      </c>
    </row>
    <row r="29" spans="3:13">
      <c r="C29" s="110" t="s">
        <v>8</v>
      </c>
      <c r="D29" s="113">
        <v>0.11</v>
      </c>
      <c r="E29" s="113">
        <v>0.12</v>
      </c>
      <c r="F29" s="113"/>
      <c r="G29" s="113"/>
      <c r="H29" s="113"/>
      <c r="I29" s="113"/>
    </row>
    <row r="30" spans="3:13">
      <c r="C30" s="110" t="s">
        <v>10</v>
      </c>
      <c r="D30" s="113"/>
      <c r="E30" s="113"/>
      <c r="F30" s="113">
        <v>0.14000000000000001</v>
      </c>
      <c r="G30" s="113">
        <v>0.13</v>
      </c>
      <c r="H30" s="113"/>
      <c r="I30" s="139">
        <f>I32</f>
        <v>0.1072</v>
      </c>
      <c r="J30" s="139">
        <f>I30</f>
        <v>0.1072</v>
      </c>
      <c r="K30" s="139">
        <f>J30</f>
        <v>0.1072</v>
      </c>
      <c r="M30" s="52" t="s">
        <v>168</v>
      </c>
    </row>
    <row r="31" spans="3:13">
      <c r="C31" s="110" t="s">
        <v>126</v>
      </c>
      <c r="D31" s="113">
        <v>0.1</v>
      </c>
      <c r="E31" s="113">
        <v>0.1</v>
      </c>
      <c r="F31" s="113">
        <v>0.1</v>
      </c>
      <c r="G31" s="113">
        <v>0.1</v>
      </c>
      <c r="H31" s="113">
        <v>0.1</v>
      </c>
      <c r="I31" s="113">
        <v>0.1</v>
      </c>
      <c r="J31" s="113">
        <v>0.1</v>
      </c>
    </row>
    <row r="32" spans="3:13">
      <c r="C32" s="110" t="s">
        <v>72</v>
      </c>
      <c r="D32" s="113">
        <f>D27-D46*D28*D31</f>
        <v>0.10846215444348897</v>
      </c>
      <c r="E32" s="113">
        <f t="shared" ref="E32:J32" si="0">E27-E46*E28*E31</f>
        <v>0.10846914864508561</v>
      </c>
      <c r="F32" s="113">
        <f t="shared" si="0"/>
        <v>0.1084654436616982</v>
      </c>
      <c r="G32" s="113">
        <f t="shared" si="0"/>
        <v>0.10846258613117865</v>
      </c>
      <c r="H32" s="113">
        <f t="shared" si="0"/>
        <v>0.10760692535833603</v>
      </c>
      <c r="I32" s="139">
        <f t="shared" si="0"/>
        <v>0.1072</v>
      </c>
      <c r="J32" s="139">
        <f t="shared" si="0"/>
        <v>0.1072</v>
      </c>
    </row>
    <row r="34" spans="3:10">
      <c r="C34" s="110"/>
      <c r="D34" s="111">
        <f t="shared" ref="D34:I34" si="1">+D24</f>
        <v>2021</v>
      </c>
      <c r="E34" s="111">
        <f t="shared" si="1"/>
        <v>2022</v>
      </c>
      <c r="F34" s="111">
        <f t="shared" si="1"/>
        <v>2023</v>
      </c>
      <c r="G34" s="111">
        <f t="shared" si="1"/>
        <v>2024</v>
      </c>
      <c r="H34" s="111">
        <f t="shared" si="1"/>
        <v>2025</v>
      </c>
      <c r="I34" s="111" t="str">
        <f t="shared" si="1"/>
        <v>TV</v>
      </c>
    </row>
    <row r="35" spans="3:10">
      <c r="C35" s="110" t="s">
        <v>27</v>
      </c>
      <c r="D35" s="140">
        <f t="shared" ref="D35:I35" si="2">D54/(1-D31)</f>
        <v>12222.222222222223</v>
      </c>
      <c r="E35" s="140">
        <f t="shared" si="2"/>
        <v>14213.333333333332</v>
      </c>
      <c r="F35" s="140">
        <f t="shared" si="2"/>
        <v>15208.266666666666</v>
      </c>
      <c r="G35" s="140">
        <f t="shared" si="2"/>
        <v>15999.096533333333</v>
      </c>
      <c r="H35" s="140">
        <f t="shared" si="2"/>
        <v>17119.033290666666</v>
      </c>
      <c r="I35" s="140">
        <f t="shared" si="2"/>
        <v>17577.823382856535</v>
      </c>
    </row>
    <row r="36" spans="3:10">
      <c r="C36" s="110" t="s">
        <v>169</v>
      </c>
      <c r="D36" s="140">
        <f t="shared" ref="D36:H36" si="3">D28*D49</f>
        <v>1800</v>
      </c>
      <c r="E36" s="140">
        <f t="shared" si="3"/>
        <v>1918.8</v>
      </c>
      <c r="F36" s="140">
        <f t="shared" si="3"/>
        <v>2033.9279999999997</v>
      </c>
      <c r="G36" s="140">
        <f t="shared" si="3"/>
        <v>2132.4775679999998</v>
      </c>
      <c r="H36" s="140">
        <f t="shared" si="3"/>
        <v>3438.1404977920006</v>
      </c>
      <c r="I36" s="140">
        <f>I28*I49</f>
        <v>4132.1002728356789</v>
      </c>
    </row>
    <row r="37" spans="3:10">
      <c r="C37" s="110" t="s">
        <v>170</v>
      </c>
      <c r="D37" s="140">
        <f t="shared" ref="D37:I37" si="4">D35-D36</f>
        <v>10422.222222222223</v>
      </c>
      <c r="E37" s="140">
        <f t="shared" si="4"/>
        <v>12294.533333333333</v>
      </c>
      <c r="F37" s="140">
        <f t="shared" si="4"/>
        <v>13174.338666666667</v>
      </c>
      <c r="G37" s="140">
        <f t="shared" si="4"/>
        <v>13866.618965333333</v>
      </c>
      <c r="H37" s="140">
        <f t="shared" si="4"/>
        <v>13680.892792874665</v>
      </c>
      <c r="I37" s="140">
        <f t="shared" si="4"/>
        <v>13445.723110020856</v>
      </c>
    </row>
    <row r="38" spans="3:10">
      <c r="C38" s="110" t="s">
        <v>171</v>
      </c>
      <c r="D38" s="140">
        <f t="shared" ref="D38:I38" si="5">D37*D31</f>
        <v>1042.2222222222224</v>
      </c>
      <c r="E38" s="140">
        <f t="shared" si="5"/>
        <v>1229.4533333333334</v>
      </c>
      <c r="F38" s="140">
        <f t="shared" si="5"/>
        <v>1317.4338666666667</v>
      </c>
      <c r="G38" s="140">
        <f t="shared" si="5"/>
        <v>1386.6618965333334</v>
      </c>
      <c r="H38" s="140">
        <f t="shared" si="5"/>
        <v>1368.0892792874665</v>
      </c>
      <c r="I38" s="140">
        <f t="shared" si="5"/>
        <v>1344.5723110020856</v>
      </c>
    </row>
    <row r="39" spans="3:10">
      <c r="C39" s="110" t="s">
        <v>172</v>
      </c>
      <c r="D39" s="140">
        <f t="shared" ref="D39:I39" si="6">D37-D38</f>
        <v>9380</v>
      </c>
      <c r="E39" s="140">
        <f t="shared" si="6"/>
        <v>11065.08</v>
      </c>
      <c r="F39" s="140">
        <f t="shared" si="6"/>
        <v>11856.9048</v>
      </c>
      <c r="G39" s="140">
        <f t="shared" si="6"/>
        <v>12479.9570688</v>
      </c>
      <c r="H39" s="140">
        <f t="shared" si="6"/>
        <v>12312.803513587198</v>
      </c>
      <c r="I39" s="140">
        <f t="shared" si="6"/>
        <v>12101.150799018769</v>
      </c>
    </row>
    <row r="40" spans="3:10">
      <c r="C40" s="110" t="s">
        <v>37</v>
      </c>
      <c r="D40" s="140">
        <f t="shared" ref="D40:I40" si="7">D39-D41</f>
        <v>4760</v>
      </c>
      <c r="E40" s="140">
        <f t="shared" si="7"/>
        <v>6587.8799999999883</v>
      </c>
      <c r="F40" s="140">
        <f t="shared" si="7"/>
        <v>8024.4216000000124</v>
      </c>
      <c r="G40" s="140">
        <f t="shared" si="7"/>
        <v>12479.9570688</v>
      </c>
      <c r="H40" s="140">
        <f t="shared" si="7"/>
        <v>12312.803513587198</v>
      </c>
      <c r="I40" s="140">
        <f t="shared" si="7"/>
        <v>6788.4504482300272</v>
      </c>
    </row>
    <row r="41" spans="3:10">
      <c r="C41" s="110" t="s">
        <v>38</v>
      </c>
      <c r="D41" s="140">
        <f t="shared" ref="D41:I41" si="8">IF(D39&lt;0,D39,MAX(0,MIN(D39,D43)))</f>
        <v>4620</v>
      </c>
      <c r="E41" s="140">
        <f t="shared" si="8"/>
        <v>4477.2000000000116</v>
      </c>
      <c r="F41" s="140">
        <f t="shared" si="8"/>
        <v>3832.4831999999878</v>
      </c>
      <c r="G41" s="140">
        <f t="shared" si="8"/>
        <v>0</v>
      </c>
      <c r="H41" s="140">
        <f t="shared" si="8"/>
        <v>0</v>
      </c>
      <c r="I41" s="140">
        <f t="shared" si="8"/>
        <v>5312.7003507887421</v>
      </c>
    </row>
    <row r="42" spans="3:10">
      <c r="C42" s="110"/>
      <c r="D42" s="111"/>
      <c r="E42" s="111"/>
      <c r="F42" s="111"/>
      <c r="G42" s="111"/>
      <c r="H42" s="111"/>
      <c r="I42" s="111"/>
    </row>
    <row r="43" spans="3:10">
      <c r="C43" s="110" t="s">
        <v>173</v>
      </c>
      <c r="D43" s="141">
        <f t="shared" ref="D43:I43" si="9">E50-D50</f>
        <v>4620</v>
      </c>
      <c r="E43" s="141">
        <f t="shared" si="9"/>
        <v>4477.2000000000116</v>
      </c>
      <c r="F43" s="141">
        <f t="shared" si="9"/>
        <v>3832.4831999999878</v>
      </c>
      <c r="G43" s="141">
        <f t="shared" si="9"/>
        <v>-9255.2439616000047</v>
      </c>
      <c r="H43" s="141">
        <f t="shared" si="9"/>
        <v>-6061.9285816525517</v>
      </c>
      <c r="I43" s="141">
        <f t="shared" si="9"/>
        <v>5312.7003507887421</v>
      </c>
    </row>
    <row r="44" spans="3:10">
      <c r="C44" s="110" t="s">
        <v>174</v>
      </c>
      <c r="D44" s="140">
        <f t="shared" ref="D44:I44" si="10">D43-D41</f>
        <v>0</v>
      </c>
      <c r="E44" s="141">
        <f t="shared" si="10"/>
        <v>0</v>
      </c>
      <c r="F44" s="141">
        <f t="shared" si="10"/>
        <v>0</v>
      </c>
      <c r="G44" s="141">
        <f t="shared" si="10"/>
        <v>-9255.2439616000047</v>
      </c>
      <c r="H44" s="141">
        <f t="shared" si="10"/>
        <v>-6061.9285816525517</v>
      </c>
      <c r="I44" s="141">
        <f t="shared" si="10"/>
        <v>0</v>
      </c>
    </row>
    <row r="45" spans="3:10">
      <c r="C45" s="110"/>
      <c r="D45" s="111"/>
      <c r="E45" s="111"/>
      <c r="F45" s="111"/>
      <c r="G45" s="111"/>
      <c r="H45" s="111"/>
      <c r="I45" s="111"/>
    </row>
    <row r="46" spans="3:10">
      <c r="C46" s="110" t="s">
        <v>64</v>
      </c>
      <c r="D46" s="113">
        <f>D49/D70</f>
        <v>0.25630759275183773</v>
      </c>
      <c r="E46" s="113">
        <f>E49/E70</f>
        <v>0.25514189248573188</v>
      </c>
      <c r="F46" s="113">
        <f>F49/F70</f>
        <v>0.25575938971696627</v>
      </c>
      <c r="G46" s="113">
        <f>G49/G70</f>
        <v>0.25623564480355737</v>
      </c>
      <c r="H46" s="113">
        <f>H49/H70</f>
        <v>0.34186780595199484</v>
      </c>
      <c r="I46" s="113">
        <v>0.4</v>
      </c>
      <c r="J46" s="113">
        <v>0.4</v>
      </c>
    </row>
    <row r="47" spans="3:10">
      <c r="C47" s="110" t="s">
        <v>101</v>
      </c>
      <c r="D47" s="113">
        <v>0.3</v>
      </c>
      <c r="E47" s="113">
        <v>0.3</v>
      </c>
      <c r="F47" s="113">
        <v>0.3</v>
      </c>
      <c r="G47" s="113">
        <v>0.3</v>
      </c>
      <c r="H47" s="113">
        <v>0.4</v>
      </c>
      <c r="I47" s="113"/>
    </row>
    <row r="48" spans="3:10">
      <c r="C48" s="52" t="s">
        <v>0</v>
      </c>
      <c r="D48" s="61">
        <v>100000</v>
      </c>
      <c r="E48" s="61">
        <f t="shared" ref="E48:I48" si="11">D48+D55</f>
        <v>106600</v>
      </c>
      <c r="F48" s="61">
        <f t="shared" si="11"/>
        <v>112996</v>
      </c>
      <c r="G48" s="61">
        <f t="shared" si="11"/>
        <v>118470.976</v>
      </c>
      <c r="H48" s="61">
        <f>G48+G55</f>
        <v>122790.732064</v>
      </c>
      <c r="I48" s="61">
        <f t="shared" si="11"/>
        <v>126642.5145544</v>
      </c>
      <c r="J48" s="61">
        <f>I48+I55</f>
        <v>135497.01513904787</v>
      </c>
    </row>
    <row r="49" spans="3:10">
      <c r="C49" s="110" t="s">
        <v>6</v>
      </c>
      <c r="D49" s="52">
        <f>D47*D48</f>
        <v>30000</v>
      </c>
      <c r="E49" s="52">
        <f>E47*E48</f>
        <v>31980</v>
      </c>
      <c r="F49" s="52">
        <f>F47*F48</f>
        <v>33898.799999999996</v>
      </c>
      <c r="G49" s="52">
        <f>G47*G48</f>
        <v>35541.292799999996</v>
      </c>
      <c r="H49" s="52">
        <f>H47*H48</f>
        <v>49116.292825600001</v>
      </c>
      <c r="I49" s="52">
        <f>I46*I75</f>
        <v>59030.003897652547</v>
      </c>
      <c r="J49" s="52">
        <f>J46*J75</f>
        <v>62571.804131511693</v>
      </c>
    </row>
    <row r="50" spans="3:10">
      <c r="C50" s="110" t="s">
        <v>175</v>
      </c>
      <c r="D50" s="61">
        <f>D48-D49</f>
        <v>70000</v>
      </c>
      <c r="E50" s="61">
        <f t="shared" ref="E50:J50" si="12">E48-E49</f>
        <v>74620</v>
      </c>
      <c r="F50" s="61">
        <f t="shared" si="12"/>
        <v>79097.200000000012</v>
      </c>
      <c r="G50" s="61">
        <f t="shared" si="12"/>
        <v>82929.683199999999</v>
      </c>
      <c r="H50" s="61">
        <f t="shared" si="12"/>
        <v>73674.439238399995</v>
      </c>
      <c r="I50" s="61">
        <f t="shared" si="12"/>
        <v>67612.510656747443</v>
      </c>
      <c r="J50" s="61">
        <f t="shared" si="12"/>
        <v>72925.211007536185</v>
      </c>
    </row>
    <row r="52" spans="3:10">
      <c r="C52" s="110" t="s">
        <v>176</v>
      </c>
      <c r="D52" s="63">
        <f t="shared" ref="D52:I52" si="13">D38/D37</f>
        <v>0.10000000000000002</v>
      </c>
      <c r="E52" s="63">
        <f t="shared" si="13"/>
        <v>0.1</v>
      </c>
      <c r="F52" s="63">
        <f t="shared" si="13"/>
        <v>0.1</v>
      </c>
      <c r="G52" s="63">
        <f t="shared" si="13"/>
        <v>0.1</v>
      </c>
      <c r="H52" s="63">
        <f t="shared" si="13"/>
        <v>0.1</v>
      </c>
      <c r="I52" s="63">
        <f t="shared" si="13"/>
        <v>0.1</v>
      </c>
    </row>
    <row r="54" spans="3:10">
      <c r="C54" s="52" t="s">
        <v>67</v>
      </c>
      <c r="D54" s="61">
        <f>D48*D29</f>
        <v>11000</v>
      </c>
      <c r="E54" s="61">
        <f>E29*E48</f>
        <v>12792</v>
      </c>
      <c r="F54" s="61">
        <f>E54+F30*E55</f>
        <v>13687.44</v>
      </c>
      <c r="G54" s="61">
        <f>F54+G30*F55</f>
        <v>14399.186880000001</v>
      </c>
      <c r="H54" s="61">
        <f>G54*(1+H26)</f>
        <v>15407.129961600001</v>
      </c>
      <c r="I54" s="61">
        <f>H54+I30*H55</f>
        <v>15820.041044570882</v>
      </c>
      <c r="J54" s="61">
        <f>I54+J30*I55</f>
        <v>16769.243507245134</v>
      </c>
    </row>
    <row r="55" spans="3:10">
      <c r="C55" s="52" t="s">
        <v>1</v>
      </c>
      <c r="D55" s="61">
        <f t="shared" ref="D55:I55" si="14">D54*D25</f>
        <v>6600</v>
      </c>
      <c r="E55" s="61">
        <f t="shared" si="14"/>
        <v>6396</v>
      </c>
      <c r="F55" s="61">
        <f t="shared" si="14"/>
        <v>5474.9760000000006</v>
      </c>
      <c r="G55" s="61">
        <f t="shared" si="14"/>
        <v>4319.7560640000002</v>
      </c>
      <c r="H55" s="61">
        <f t="shared" si="14"/>
        <v>3851.7824904000004</v>
      </c>
      <c r="I55" s="61">
        <f t="shared" si="14"/>
        <v>8854.5005846478816</v>
      </c>
      <c r="J55" s="61">
        <f>J54*J25</f>
        <v>9385.7706197267526</v>
      </c>
    </row>
    <row r="56" spans="3:10">
      <c r="C56" s="52" t="s">
        <v>52</v>
      </c>
      <c r="D56" s="61">
        <f>D54-D55</f>
        <v>4400</v>
      </c>
      <c r="E56" s="61">
        <f t="shared" ref="E56:H56" si="15">E54-E55</f>
        <v>6396</v>
      </c>
      <c r="F56" s="61">
        <f t="shared" si="15"/>
        <v>8212.4639999999999</v>
      </c>
      <c r="G56" s="61">
        <f t="shared" si="15"/>
        <v>10079.430816</v>
      </c>
      <c r="H56" s="61">
        <f t="shared" si="15"/>
        <v>11555.347471200001</v>
      </c>
      <c r="I56" s="61">
        <f>I54-I55</f>
        <v>6965.5404599230005</v>
      </c>
      <c r="J56" s="61">
        <f>J54-J55</f>
        <v>7383.472887518381</v>
      </c>
    </row>
    <row r="57" spans="3:10">
      <c r="C57" s="52" t="s">
        <v>169</v>
      </c>
      <c r="D57" s="61">
        <f>D36</f>
        <v>1800</v>
      </c>
      <c r="E57" s="61">
        <f t="shared" ref="E57:J57" si="16">E36</f>
        <v>1918.8</v>
      </c>
      <c r="F57" s="61">
        <f t="shared" si="16"/>
        <v>2033.9279999999997</v>
      </c>
      <c r="G57" s="61">
        <f t="shared" si="16"/>
        <v>2132.4775679999998</v>
      </c>
      <c r="H57" s="61">
        <f t="shared" si="16"/>
        <v>3438.1404977920006</v>
      </c>
      <c r="I57" s="61">
        <f>I36</f>
        <v>4132.1002728356789</v>
      </c>
      <c r="J57" s="61">
        <f t="shared" si="16"/>
        <v>0</v>
      </c>
    </row>
    <row r="58" spans="3:10">
      <c r="C58" s="52" t="s">
        <v>177</v>
      </c>
      <c r="D58" s="61">
        <f>D57*D52</f>
        <v>180.00000000000003</v>
      </c>
      <c r="E58" s="61">
        <f t="shared" ref="E58:J58" si="17">E57*E52</f>
        <v>191.88</v>
      </c>
      <c r="F58" s="61">
        <f t="shared" si="17"/>
        <v>203.39279999999997</v>
      </c>
      <c r="G58" s="61">
        <f t="shared" si="17"/>
        <v>213.24775679999999</v>
      </c>
      <c r="H58" s="61">
        <f t="shared" si="17"/>
        <v>343.8140497792001</v>
      </c>
      <c r="I58" s="61">
        <f t="shared" si="17"/>
        <v>413.21002728356791</v>
      </c>
      <c r="J58" s="61">
        <f t="shared" si="17"/>
        <v>0</v>
      </c>
    </row>
    <row r="59" spans="3:10">
      <c r="C59" s="52" t="s">
        <v>57</v>
      </c>
      <c r="D59" s="61">
        <f t="shared" ref="D59:J59" si="18">E49-D49</f>
        <v>1980</v>
      </c>
      <c r="E59" s="61">
        <f t="shared" si="18"/>
        <v>1918.7999999999956</v>
      </c>
      <c r="F59" s="61">
        <f t="shared" si="18"/>
        <v>1642.4928</v>
      </c>
      <c r="G59" s="61">
        <f t="shared" si="18"/>
        <v>13575.000025600006</v>
      </c>
      <c r="H59" s="61">
        <f t="shared" si="18"/>
        <v>9913.7110720525452</v>
      </c>
      <c r="I59" s="61">
        <f t="shared" si="18"/>
        <v>3541.8002338591468</v>
      </c>
      <c r="J59" s="61">
        <f t="shared" si="18"/>
        <v>-62571.804131511693</v>
      </c>
    </row>
    <row r="60" spans="3:10">
      <c r="C60" s="52" t="s">
        <v>59</v>
      </c>
      <c r="D60" s="61">
        <f>D56-D57+D58+D59</f>
        <v>4760</v>
      </c>
      <c r="E60" s="61">
        <f t="shared" ref="E60:J60" si="19">E56-E57+E58+E59</f>
        <v>6587.8799999999956</v>
      </c>
      <c r="F60" s="61">
        <f t="shared" si="19"/>
        <v>8024.4215999999997</v>
      </c>
      <c r="G60" s="61">
        <f t="shared" si="19"/>
        <v>21735.201030400007</v>
      </c>
      <c r="H60" s="61">
        <f t="shared" si="19"/>
        <v>18374.732095239746</v>
      </c>
      <c r="I60" s="61">
        <f t="shared" si="19"/>
        <v>6788.4504482300363</v>
      </c>
      <c r="J60" s="61">
        <f t="shared" si="19"/>
        <v>-55188.331243993314</v>
      </c>
    </row>
    <row r="61" spans="3:10">
      <c r="C61" s="52" t="str">
        <f>C40</f>
        <v>Dividend</v>
      </c>
      <c r="D61" s="61">
        <f>D40</f>
        <v>4760</v>
      </c>
      <c r="E61" s="61">
        <f t="shared" ref="E61:J61" si="20">E40</f>
        <v>6587.8799999999883</v>
      </c>
      <c r="F61" s="61">
        <f t="shared" si="20"/>
        <v>8024.4216000000124</v>
      </c>
      <c r="G61" s="61">
        <f t="shared" si="20"/>
        <v>12479.9570688</v>
      </c>
      <c r="H61" s="61">
        <f t="shared" si="20"/>
        <v>12312.803513587198</v>
      </c>
      <c r="I61" s="61">
        <f t="shared" si="20"/>
        <v>6788.4504482300272</v>
      </c>
      <c r="J61" s="61">
        <f t="shared" si="20"/>
        <v>0</v>
      </c>
    </row>
    <row r="62" spans="3:10">
      <c r="C62" s="52" t="s">
        <v>178</v>
      </c>
      <c r="D62" s="61">
        <f>E50-D50-D41</f>
        <v>0</v>
      </c>
      <c r="E62" s="61">
        <f t="shared" ref="E62:J62" si="21">F50-E50-E41</f>
        <v>0</v>
      </c>
      <c r="F62" s="61">
        <f t="shared" si="21"/>
        <v>0</v>
      </c>
      <c r="G62" s="61">
        <f t="shared" si="21"/>
        <v>-9255.2439616000047</v>
      </c>
      <c r="H62" s="61">
        <f t="shared" si="21"/>
        <v>-6061.9285816525517</v>
      </c>
      <c r="I62" s="61">
        <f t="shared" si="21"/>
        <v>0</v>
      </c>
      <c r="J62" s="61">
        <f t="shared" si="21"/>
        <v>-72925.211007536185</v>
      </c>
    </row>
    <row r="63" spans="3:10">
      <c r="C63" s="52" t="s">
        <v>179</v>
      </c>
      <c r="D63" s="61">
        <f>D60-D61+D62</f>
        <v>0</v>
      </c>
      <c r="E63" s="61">
        <f t="shared" ref="E63:J63" si="22">E60-E61+E62</f>
        <v>7.2759576141834259E-12</v>
      </c>
      <c r="F63" s="61">
        <f t="shared" si="22"/>
        <v>-1.2732925824820995E-11</v>
      </c>
      <c r="G63" s="61">
        <f t="shared" si="22"/>
        <v>0</v>
      </c>
      <c r="H63" s="61">
        <f t="shared" si="22"/>
        <v>0</v>
      </c>
      <c r="I63" s="61">
        <f t="shared" si="22"/>
        <v>9.0949470177292824E-12</v>
      </c>
      <c r="J63" s="61">
        <f t="shared" si="22"/>
        <v>-128113.54225152949</v>
      </c>
    </row>
    <row r="65" spans="2:10">
      <c r="B65" s="142" t="s">
        <v>180</v>
      </c>
    </row>
    <row r="66" spans="2:10">
      <c r="C66" s="52" t="str">
        <f>C56</f>
        <v>FCFF</v>
      </c>
      <c r="D66" s="61">
        <f t="shared" ref="D66:G66" si="23">D56</f>
        <v>4400</v>
      </c>
      <c r="E66" s="61">
        <f t="shared" si="23"/>
        <v>6396</v>
      </c>
      <c r="F66" s="61">
        <f t="shared" si="23"/>
        <v>8212.4639999999999</v>
      </c>
      <c r="G66" s="61">
        <f t="shared" si="23"/>
        <v>10079.430816</v>
      </c>
      <c r="H66" s="61">
        <f>H56</f>
        <v>11555.347471200001</v>
      </c>
      <c r="I66" s="61">
        <f>I56</f>
        <v>6965.5404599230005</v>
      </c>
    </row>
    <row r="67" spans="2:10">
      <c r="C67" s="52" t="str">
        <f>C58</f>
        <v>Tax shield</v>
      </c>
      <c r="D67" s="61">
        <f t="shared" ref="D67:I67" si="24">D58</f>
        <v>180.00000000000003</v>
      </c>
      <c r="E67" s="61">
        <f t="shared" si="24"/>
        <v>191.88</v>
      </c>
      <c r="F67" s="61">
        <f t="shared" si="24"/>
        <v>203.39279999999997</v>
      </c>
      <c r="G67" s="61">
        <f t="shared" si="24"/>
        <v>213.24775679999999</v>
      </c>
      <c r="H67" s="61">
        <f>H58</f>
        <v>343.8140497792001</v>
      </c>
      <c r="I67" s="61">
        <f t="shared" si="24"/>
        <v>413.21002728356791</v>
      </c>
    </row>
    <row r="68" spans="2:10">
      <c r="C68" s="52" t="s">
        <v>164</v>
      </c>
      <c r="D68" s="61">
        <f t="shared" ref="D68:G68" si="25">SUM(D66:D67)</f>
        <v>4580</v>
      </c>
      <c r="E68" s="61">
        <f t="shared" si="25"/>
        <v>6587.88</v>
      </c>
      <c r="F68" s="61">
        <f t="shared" si="25"/>
        <v>8415.8567999999996</v>
      </c>
      <c r="G68" s="61">
        <f t="shared" si="25"/>
        <v>10292.6785728</v>
      </c>
      <c r="H68" s="61">
        <f>SUM(H66:H67)</f>
        <v>11899.1615209792</v>
      </c>
      <c r="I68" s="61">
        <f>SUM(I66:I67)</f>
        <v>7378.7504872065683</v>
      </c>
    </row>
    <row r="69" spans="2:10">
      <c r="C69" s="63" t="str">
        <f>C27</f>
        <v>rA</v>
      </c>
      <c r="D69" s="63">
        <f t="shared" ref="D69:I69" si="26">D27</f>
        <v>0.11</v>
      </c>
      <c r="E69" s="63">
        <f t="shared" si="26"/>
        <v>0.11</v>
      </c>
      <c r="F69" s="63">
        <f t="shared" si="26"/>
        <v>0.11</v>
      </c>
      <c r="G69" s="63">
        <f t="shared" si="26"/>
        <v>0.11</v>
      </c>
      <c r="H69" s="63">
        <f>H27</f>
        <v>0.11</v>
      </c>
      <c r="I69" s="63">
        <f t="shared" si="26"/>
        <v>0.11</v>
      </c>
    </row>
    <row r="70" spans="2:10">
      <c r="C70" s="142" t="s">
        <v>167</v>
      </c>
      <c r="D70" s="143">
        <f>(D68+E70)/(1+D69)</f>
        <v>117046.86419120878</v>
      </c>
      <c r="E70" s="143">
        <f>(E68+F70)/(1+E69)</f>
        <v>125342.01925224175</v>
      </c>
      <c r="F70" s="143">
        <f>(F68+G70)/(1+F69)</f>
        <v>132541.76136998835</v>
      </c>
      <c r="G70" s="143">
        <f>(G68+H70)/(1+G69)</f>
        <v>138705.49832068707</v>
      </c>
      <c r="H70" s="143">
        <f>(H68+I70)/(1+H69)</f>
        <v>143670.42456316264</v>
      </c>
      <c r="I70" s="143">
        <f>I68/(I69-I26)</f>
        <v>147575.00974413136</v>
      </c>
    </row>
    <row r="72" spans="2:10">
      <c r="B72" s="142" t="s">
        <v>52</v>
      </c>
    </row>
    <row r="73" spans="2:10">
      <c r="C73" s="52" t="str">
        <f>C56</f>
        <v>FCFF</v>
      </c>
      <c r="D73" s="61">
        <f t="shared" ref="D73:H73" si="27">D56</f>
        <v>4400</v>
      </c>
      <c r="E73" s="61">
        <f t="shared" si="27"/>
        <v>6396</v>
      </c>
      <c r="F73" s="61">
        <f t="shared" si="27"/>
        <v>8212.4639999999999</v>
      </c>
      <c r="G73" s="61">
        <f t="shared" si="27"/>
        <v>10079.430816</v>
      </c>
      <c r="H73" s="61">
        <f t="shared" si="27"/>
        <v>11555.347471200001</v>
      </c>
      <c r="I73" s="61">
        <f>I56</f>
        <v>6965.5404599230005</v>
      </c>
      <c r="J73" s="61">
        <f>J56</f>
        <v>7383.472887518381</v>
      </c>
    </row>
    <row r="74" spans="2:10">
      <c r="C74" s="63" t="str">
        <f t="shared" ref="C74:J74" si="28">C32</f>
        <v>WACC</v>
      </c>
      <c r="D74" s="63">
        <f t="shared" si="28"/>
        <v>0.10846215444348897</v>
      </c>
      <c r="E74" s="63">
        <f t="shared" si="28"/>
        <v>0.10846914864508561</v>
      </c>
      <c r="F74" s="63">
        <f t="shared" si="28"/>
        <v>0.1084654436616982</v>
      </c>
      <c r="G74" s="63">
        <f t="shared" si="28"/>
        <v>0.10846258613117865</v>
      </c>
      <c r="H74" s="63">
        <f t="shared" si="28"/>
        <v>0.10760692535833603</v>
      </c>
      <c r="I74" s="63">
        <f t="shared" si="28"/>
        <v>0.1072</v>
      </c>
      <c r="J74" s="63">
        <f t="shared" si="28"/>
        <v>0.1072</v>
      </c>
    </row>
    <row r="75" spans="2:10">
      <c r="C75" s="142" t="s">
        <v>165</v>
      </c>
      <c r="D75" s="143">
        <f>(D73+E75)/(1+D74)</f>
        <v>117046.86419120882</v>
      </c>
      <c r="E75" s="143">
        <f>(E73+F75)/(1+E74)</f>
        <v>125342.01925224179</v>
      </c>
      <c r="F75" s="143">
        <f>(F73+G75)/(1+F74)</f>
        <v>132541.76136998838</v>
      </c>
      <c r="G75" s="143">
        <f>(G73+H75)/(1+G74)</f>
        <v>138705.4983206871</v>
      </c>
      <c r="H75" s="143">
        <f>(H73+I75)/(1+H74)</f>
        <v>143670.42456316264</v>
      </c>
      <c r="I75" s="143">
        <f>I73/(I74-I26)</f>
        <v>147575.00974413136</v>
      </c>
      <c r="J75" s="143">
        <f>J73/(J74-J26)</f>
        <v>156429.51032877923</v>
      </c>
    </row>
    <row r="77" spans="2:10">
      <c r="B77" s="142" t="s">
        <v>59</v>
      </c>
    </row>
    <row r="78" spans="2:10">
      <c r="C78" s="52" t="str">
        <f>C60</f>
        <v>FCFE</v>
      </c>
      <c r="D78" s="61">
        <f t="shared" ref="D78:I78" si="29">D60</f>
        <v>4760</v>
      </c>
      <c r="E78" s="61">
        <f t="shared" si="29"/>
        <v>6587.8799999999956</v>
      </c>
      <c r="F78" s="61">
        <f t="shared" si="29"/>
        <v>8024.4215999999997</v>
      </c>
      <c r="G78" s="61">
        <f t="shared" si="29"/>
        <v>21735.201030400007</v>
      </c>
      <c r="H78" s="61">
        <f t="shared" si="29"/>
        <v>18374.732095239746</v>
      </c>
      <c r="I78" s="61">
        <f t="shared" si="29"/>
        <v>6788.4504482300363</v>
      </c>
    </row>
    <row r="79" spans="2:10">
      <c r="C79" s="52" t="s">
        <v>181</v>
      </c>
      <c r="D79" s="63">
        <f t="shared" ref="D79:I79" si="30">(D27-D28*D46)/(1-D46)</f>
        <v>0.12723209691626652</v>
      </c>
      <c r="E79" s="63">
        <f t="shared" si="30"/>
        <v>0.1271268789257855</v>
      </c>
      <c r="F79" s="63">
        <f t="shared" si="30"/>
        <v>0.12718257416910517</v>
      </c>
      <c r="G79" s="63">
        <f t="shared" si="30"/>
        <v>0.1272255932281052</v>
      </c>
      <c r="H79" s="63">
        <f t="shared" si="30"/>
        <v>0.13077806307266338</v>
      </c>
      <c r="I79" s="63">
        <f t="shared" si="30"/>
        <v>0.13666666666666666</v>
      </c>
    </row>
    <row r="80" spans="2:10">
      <c r="C80" s="52" t="s">
        <v>109</v>
      </c>
      <c r="D80" s="61">
        <f>(D78+E80)/(1+D79)</f>
        <v>87046.864191208733</v>
      </c>
      <c r="E80" s="61">
        <f>(E78+F80)/(1+E79)</f>
        <v>93362.019252241706</v>
      </c>
      <c r="F80" s="61">
        <f>(F78+G80)/(1+F79)</f>
        <v>98642.961369988305</v>
      </c>
      <c r="G80" s="61">
        <f>(G78+H80)/(1+G79)</f>
        <v>103164.20552068701</v>
      </c>
      <c r="H80" s="61">
        <f>(H78+I80)/(1+H79)</f>
        <v>94554.131737562595</v>
      </c>
      <c r="I80" s="61">
        <f>I78/(I79-I26)</f>
        <v>88545.005846478743</v>
      </c>
    </row>
    <row r="81" spans="3:9">
      <c r="C81" s="52" t="str">
        <f>C49</f>
        <v>Debt boy</v>
      </c>
      <c r="D81" s="61">
        <f t="shared" ref="D81:I81" si="31">D49</f>
        <v>30000</v>
      </c>
      <c r="E81" s="61">
        <f t="shared" si="31"/>
        <v>31980</v>
      </c>
      <c r="F81" s="61">
        <f t="shared" si="31"/>
        <v>33898.799999999996</v>
      </c>
      <c r="G81" s="61">
        <f t="shared" si="31"/>
        <v>35541.292799999996</v>
      </c>
      <c r="H81" s="61">
        <f t="shared" si="31"/>
        <v>49116.292825600001</v>
      </c>
      <c r="I81" s="61">
        <f t="shared" si="31"/>
        <v>59030.003897652547</v>
      </c>
    </row>
    <row r="82" spans="3:9">
      <c r="C82" s="142" t="s">
        <v>167</v>
      </c>
      <c r="D82" s="143">
        <f t="shared" ref="D82:I82" si="32">SUM(D80:D81)</f>
        <v>117046.86419120873</v>
      </c>
      <c r="E82" s="143">
        <f t="shared" si="32"/>
        <v>125342.01925224171</v>
      </c>
      <c r="F82" s="143">
        <f t="shared" si="32"/>
        <v>132541.76136998829</v>
      </c>
      <c r="G82" s="143">
        <f t="shared" si="32"/>
        <v>138705.49832068701</v>
      </c>
      <c r="H82" s="143">
        <f t="shared" si="32"/>
        <v>143670.42456316261</v>
      </c>
      <c r="I82" s="143">
        <f t="shared" si="32"/>
        <v>147575.0097441313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8888-1045-4E3A-BE23-584D8E26CBE6}">
  <dimension ref="B24:L84"/>
  <sheetViews>
    <sheetView topLeftCell="B1" workbookViewId="0">
      <selection activeCell="D42" sqref="D42"/>
    </sheetView>
  </sheetViews>
  <sheetFormatPr defaultRowHeight="15"/>
  <cols>
    <col min="2" max="2" width="16.28515625" customWidth="1"/>
    <col min="3" max="3" width="27.7109375" bestFit="1" customWidth="1"/>
    <col min="4" max="11" width="11.42578125" customWidth="1"/>
  </cols>
  <sheetData>
    <row r="24" spans="3:12" ht="15.75">
      <c r="C24" s="87"/>
      <c r="D24" s="20">
        <v>2022</v>
      </c>
      <c r="E24" s="21">
        <f>+D24+1</f>
        <v>2023</v>
      </c>
      <c r="F24" s="21">
        <f t="shared" ref="F24:H24" si="0">+E24+1</f>
        <v>2024</v>
      </c>
      <c r="G24" s="21">
        <f t="shared" si="0"/>
        <v>2025</v>
      </c>
      <c r="H24" s="21">
        <f t="shared" si="0"/>
        <v>2026</v>
      </c>
      <c r="I24" s="144" t="s">
        <v>182</v>
      </c>
      <c r="J24" s="144" t="s">
        <v>118</v>
      </c>
      <c r="K24" s="144" t="s">
        <v>119</v>
      </c>
      <c r="L24" s="145" t="s">
        <v>183</v>
      </c>
    </row>
    <row r="25" spans="3:12" ht="15.75">
      <c r="C25" s="146" t="s">
        <v>8</v>
      </c>
      <c r="D25" s="90">
        <v>0.11</v>
      </c>
      <c r="E25" s="90">
        <v>0.12</v>
      </c>
      <c r="F25" s="90">
        <v>0.13</v>
      </c>
      <c r="G25" s="90"/>
      <c r="H25" s="90"/>
      <c r="I25" s="90"/>
      <c r="K25" s="90"/>
    </row>
    <row r="26" spans="3:12" ht="15.75">
      <c r="C26" s="147" t="s">
        <v>10</v>
      </c>
      <c r="D26" s="90"/>
      <c r="E26" s="90"/>
      <c r="F26" s="90"/>
      <c r="G26" s="90">
        <v>0.13</v>
      </c>
      <c r="H26" s="90">
        <v>0.12</v>
      </c>
      <c r="I26" s="148">
        <f>I39</f>
        <v>0.11635</v>
      </c>
      <c r="J26" s="149">
        <f t="shared" ref="J26" si="1">J39</f>
        <v>0.11635</v>
      </c>
      <c r="K26" s="149">
        <f>K39</f>
        <v>0.11635</v>
      </c>
    </row>
    <row r="27" spans="3:12" ht="15.75">
      <c r="C27" s="88" t="s">
        <v>12</v>
      </c>
      <c r="D27" s="90">
        <v>0.6</v>
      </c>
      <c r="E27" s="90">
        <v>0.5</v>
      </c>
      <c r="F27" s="90">
        <v>0.4</v>
      </c>
      <c r="G27" s="90">
        <v>0.3</v>
      </c>
      <c r="H27" s="90">
        <v>0.25</v>
      </c>
      <c r="I27" s="150">
        <f>J31/J26</f>
        <v>0.42973785990545771</v>
      </c>
      <c r="J27" s="150">
        <f>K31/K26</f>
        <v>0.42973785990545771</v>
      </c>
    </row>
    <row r="28" spans="3:12" ht="18.75">
      <c r="C28" s="88" t="s">
        <v>184</v>
      </c>
      <c r="D28" s="90">
        <v>0.12</v>
      </c>
      <c r="E28" s="90">
        <v>0.12</v>
      </c>
      <c r="F28" s="90">
        <v>0.12</v>
      </c>
      <c r="G28" s="90">
        <v>0.12</v>
      </c>
      <c r="H28" s="90">
        <v>0.12</v>
      </c>
      <c r="I28" s="90">
        <v>0.12</v>
      </c>
      <c r="J28" s="151">
        <v>0.12</v>
      </c>
      <c r="K28" s="151">
        <v>0.12</v>
      </c>
    </row>
    <row r="29" spans="3:12" ht="18.75">
      <c r="C29" s="88" t="s">
        <v>185</v>
      </c>
      <c r="D29" s="90">
        <v>0.06</v>
      </c>
      <c r="E29" s="90">
        <v>7.0000000000000007E-2</v>
      </c>
      <c r="F29" s="90">
        <v>7.1999999999999995E-2</v>
      </c>
      <c r="G29" s="90">
        <v>7.2999999999999995E-2</v>
      </c>
      <c r="H29" s="90">
        <v>7.2999999999999995E-2</v>
      </c>
      <c r="I29" s="90">
        <v>7.2999999999999995E-2</v>
      </c>
      <c r="J29" s="151">
        <v>7.2999999999999995E-2</v>
      </c>
      <c r="K29" s="151">
        <v>7.2999999999999995E-2</v>
      </c>
    </row>
    <row r="30" spans="3:12" ht="15.75">
      <c r="C30" s="88" t="s">
        <v>126</v>
      </c>
      <c r="D30" s="90">
        <v>0.1</v>
      </c>
      <c r="E30" s="90">
        <v>0.1</v>
      </c>
      <c r="F30" s="90">
        <v>0.1</v>
      </c>
      <c r="G30" s="90">
        <v>0.1</v>
      </c>
      <c r="H30" s="90">
        <v>0.1</v>
      </c>
      <c r="I30" s="90">
        <v>0.1</v>
      </c>
      <c r="J30" s="151">
        <v>0.1</v>
      </c>
      <c r="K30" s="151">
        <v>0.1</v>
      </c>
    </row>
    <row r="31" spans="3:12" ht="15.75">
      <c r="C31" s="88" t="s">
        <v>127</v>
      </c>
      <c r="D31" s="87"/>
      <c r="E31" s="87"/>
      <c r="F31" s="87"/>
      <c r="G31" s="90"/>
      <c r="H31" s="90"/>
      <c r="I31" s="90"/>
      <c r="J31" s="152">
        <v>0.05</v>
      </c>
      <c r="K31" s="152">
        <v>0.05</v>
      </c>
      <c r="L31" s="153" t="s">
        <v>186</v>
      </c>
    </row>
    <row r="32" spans="3:12" ht="15.75">
      <c r="C32" s="88"/>
      <c r="D32" s="87"/>
      <c r="E32" s="87"/>
      <c r="F32" s="87"/>
      <c r="G32" s="87"/>
      <c r="H32" s="87"/>
      <c r="I32" s="154"/>
      <c r="J32" s="155"/>
      <c r="K32" s="156"/>
    </row>
    <row r="33" spans="2:11" ht="15.75">
      <c r="C33" s="88"/>
      <c r="D33" s="89">
        <f>+D24</f>
        <v>2022</v>
      </c>
      <c r="E33" s="89">
        <f t="shared" ref="E33:H33" si="2">+E24</f>
        <v>2023</v>
      </c>
      <c r="F33" s="89">
        <f t="shared" si="2"/>
        <v>2024</v>
      </c>
      <c r="G33" s="89">
        <f t="shared" si="2"/>
        <v>2025</v>
      </c>
      <c r="H33" s="89">
        <f t="shared" si="2"/>
        <v>2026</v>
      </c>
      <c r="I33" s="89"/>
      <c r="J33" s="156"/>
      <c r="K33" s="156"/>
    </row>
    <row r="34" spans="2:11" ht="15.75">
      <c r="C34" s="88" t="s">
        <v>64</v>
      </c>
      <c r="D34" s="157">
        <f>D42/D78</f>
        <v>9.0777197240058963E-2</v>
      </c>
      <c r="E34" s="157">
        <f t="shared" ref="E34:H34" si="3">E42/E78</f>
        <v>0.17928169292637836</v>
      </c>
      <c r="F34" s="157">
        <f t="shared" si="3"/>
        <v>0.26766991482486308</v>
      </c>
      <c r="G34" s="157">
        <f t="shared" si="3"/>
        <v>0.3580918748735607</v>
      </c>
      <c r="H34" s="157">
        <f t="shared" si="3"/>
        <v>0.44894568115343464</v>
      </c>
      <c r="I34" s="90">
        <v>0.5</v>
      </c>
      <c r="J34" s="151">
        <v>0.5</v>
      </c>
      <c r="K34" s="151">
        <v>0.5</v>
      </c>
    </row>
    <row r="35" spans="2:11" ht="15.75">
      <c r="C35" s="88" t="s">
        <v>101</v>
      </c>
      <c r="D35" s="90">
        <v>0.1</v>
      </c>
      <c r="E35" s="90">
        <v>0.2</v>
      </c>
      <c r="F35" s="90">
        <v>0.3</v>
      </c>
      <c r="G35" s="90">
        <v>0.4</v>
      </c>
      <c r="H35" s="90">
        <v>0.5</v>
      </c>
      <c r="I35" s="90"/>
    </row>
    <row r="36" spans="2:11" ht="15.75">
      <c r="C36" s="87" t="s">
        <v>0</v>
      </c>
      <c r="D36" s="68">
        <v>10000</v>
      </c>
      <c r="E36" s="68"/>
      <c r="F36" s="68"/>
      <c r="G36" s="68"/>
      <c r="H36" s="68"/>
      <c r="I36" s="68"/>
    </row>
    <row r="37" spans="2:11" ht="15.75">
      <c r="C37" s="88"/>
      <c r="D37" s="22"/>
      <c r="E37" s="22"/>
      <c r="F37" s="22"/>
      <c r="G37" s="22"/>
      <c r="H37" s="22"/>
      <c r="I37" s="22"/>
    </row>
    <row r="38" spans="2:11" ht="15.75">
      <c r="C38" s="88"/>
      <c r="D38" s="22"/>
      <c r="E38" s="22"/>
      <c r="F38" s="22"/>
      <c r="G38" s="22"/>
      <c r="H38" s="22"/>
      <c r="I38" s="22"/>
    </row>
    <row r="39" spans="2:11" ht="15.75">
      <c r="B39" s="158"/>
      <c r="C39" t="s">
        <v>187</v>
      </c>
      <c r="D39" s="159">
        <f>D28-D34*D29*D30</f>
        <v>0.11945533681655965</v>
      </c>
      <c r="E39" s="159">
        <f t="shared" ref="E39:J39" si="4">E28-E34*E29*E30</f>
        <v>0.11874502814951535</v>
      </c>
      <c r="F39" s="159">
        <f t="shared" si="4"/>
        <v>0.11807277661326099</v>
      </c>
      <c r="G39" s="159">
        <f t="shared" si="4"/>
        <v>0.117385929313423</v>
      </c>
      <c r="H39" s="159">
        <f t="shared" si="4"/>
        <v>0.11672269652757992</v>
      </c>
      <c r="I39" s="160">
        <f>I28-I34*I29*I30</f>
        <v>0.11635</v>
      </c>
      <c r="J39" s="160">
        <f t="shared" si="4"/>
        <v>0.11635</v>
      </c>
      <c r="K39" s="160">
        <f>K28-K34*K29*K30</f>
        <v>0.11635</v>
      </c>
    </row>
    <row r="41" spans="2:11">
      <c r="B41" s="470" t="s">
        <v>17</v>
      </c>
      <c r="C41" t="s">
        <v>0</v>
      </c>
      <c r="D41" s="94">
        <f>D36</f>
        <v>10000</v>
      </c>
      <c r="E41" s="161">
        <f>D41+D59</f>
        <v>10660</v>
      </c>
      <c r="F41" s="161">
        <f>E41+E59</f>
        <v>11299.6</v>
      </c>
      <c r="G41" s="161">
        <f>F41+F59</f>
        <v>11887.1792</v>
      </c>
      <c r="H41" s="161">
        <f>G41+G59</f>
        <v>12350.779188800001</v>
      </c>
      <c r="I41" s="161">
        <f>H41+H59</f>
        <v>12751.020512464002</v>
      </c>
      <c r="J41" s="161">
        <f t="shared" ref="J41" si="5">I41+I59</f>
        <v>13459.027978155582</v>
      </c>
    </row>
    <row r="42" spans="2:11" ht="15.75">
      <c r="B42" s="470"/>
      <c r="C42" t="s">
        <v>6</v>
      </c>
      <c r="D42" s="94">
        <f>D41*D35</f>
        <v>1000</v>
      </c>
      <c r="E42" s="94">
        <f>E41*E35</f>
        <v>2132</v>
      </c>
      <c r="F42" s="94">
        <f t="shared" ref="F42:G42" si="6">F41*F35</f>
        <v>3389.88</v>
      </c>
      <c r="G42" s="94">
        <f t="shared" si="6"/>
        <v>4754.8716800000002</v>
      </c>
      <c r="H42" s="94">
        <f>H41*H35</f>
        <v>6175.3895944000005</v>
      </c>
      <c r="I42" s="162">
        <f>I74*I34</f>
        <v>7080.0746569157991</v>
      </c>
      <c r="J42" s="162">
        <f>J74*J34</f>
        <v>7434.0783897615893</v>
      </c>
      <c r="K42" s="34" t="s">
        <v>188</v>
      </c>
    </row>
    <row r="43" spans="2:11">
      <c r="B43" s="470"/>
      <c r="C43" t="s">
        <v>189</v>
      </c>
      <c r="D43" s="94">
        <f>D41-D42</f>
        <v>9000</v>
      </c>
      <c r="E43" s="94">
        <f t="shared" ref="E43:J43" si="7">E41-E42</f>
        <v>8528</v>
      </c>
      <c r="F43" s="94">
        <f t="shared" si="7"/>
        <v>7909.72</v>
      </c>
      <c r="G43" s="94">
        <f t="shared" si="7"/>
        <v>7132.3075200000003</v>
      </c>
      <c r="H43" s="94">
        <f t="shared" si="7"/>
        <v>6175.3895944000005</v>
      </c>
      <c r="I43" s="94">
        <f t="shared" si="7"/>
        <v>5670.9458555482024</v>
      </c>
      <c r="J43" s="94">
        <f t="shared" si="7"/>
        <v>6024.9495883939926</v>
      </c>
    </row>
    <row r="45" spans="2:11" ht="15.75">
      <c r="B45" s="470" t="s">
        <v>110</v>
      </c>
      <c r="C45" t="s">
        <v>190</v>
      </c>
      <c r="D45" s="94">
        <f>D58/(1-D30)</f>
        <v>1222.2222222222222</v>
      </c>
      <c r="E45" s="94">
        <f t="shared" ref="E45:J45" si="8">E58/(1-E30)</f>
        <v>1421.3333333333333</v>
      </c>
      <c r="F45" s="94">
        <f t="shared" si="8"/>
        <v>1632.1644444444446</v>
      </c>
      <c r="G45" s="94">
        <f t="shared" si="8"/>
        <v>1717.0369955555554</v>
      </c>
      <c r="H45" s="94">
        <f t="shared" si="8"/>
        <v>1778.8503273955555</v>
      </c>
      <c r="I45" s="94">
        <f t="shared" si="8"/>
        <v>1830.5926362936736</v>
      </c>
      <c r="J45" s="94">
        <f t="shared" si="8"/>
        <v>1922.1222681083575</v>
      </c>
      <c r="K45" t="s">
        <v>191</v>
      </c>
    </row>
    <row r="46" spans="2:11">
      <c r="B46" s="470"/>
      <c r="C46" t="s">
        <v>114</v>
      </c>
      <c r="D46" s="92">
        <f>D42*D29</f>
        <v>60</v>
      </c>
      <c r="E46" s="92">
        <f t="shared" ref="E46:J46" si="9">E42*E29</f>
        <v>149.24</v>
      </c>
      <c r="F46" s="92">
        <f t="shared" si="9"/>
        <v>244.07136</v>
      </c>
      <c r="G46" s="92">
        <f t="shared" si="9"/>
        <v>347.10563264000001</v>
      </c>
      <c r="H46" s="92">
        <f t="shared" si="9"/>
        <v>450.80344039120001</v>
      </c>
      <c r="I46" s="92">
        <f t="shared" si="9"/>
        <v>516.84544995485328</v>
      </c>
      <c r="J46" s="92">
        <f t="shared" si="9"/>
        <v>542.68772245259595</v>
      </c>
    </row>
    <row r="47" spans="2:11">
      <c r="B47" s="470"/>
      <c r="C47" t="s">
        <v>31</v>
      </c>
      <c r="D47" s="94">
        <f>D45-D46</f>
        <v>1162.2222222222222</v>
      </c>
      <c r="E47" s="94">
        <f t="shared" ref="E47:J47" si="10">E45-E46</f>
        <v>1272.0933333333332</v>
      </c>
      <c r="F47" s="94">
        <f t="shared" si="10"/>
        <v>1388.0930844444447</v>
      </c>
      <c r="G47" s="94">
        <f t="shared" si="10"/>
        <v>1369.9313629155554</v>
      </c>
      <c r="H47" s="94">
        <f t="shared" si="10"/>
        <v>1328.0468870043555</v>
      </c>
      <c r="I47" s="94">
        <f t="shared" si="10"/>
        <v>1313.7471863388205</v>
      </c>
      <c r="J47" s="94">
        <f t="shared" si="10"/>
        <v>1379.4345456557617</v>
      </c>
    </row>
    <row r="48" spans="2:11">
      <c r="B48" s="470"/>
      <c r="C48" t="s">
        <v>33</v>
      </c>
      <c r="D48" s="95">
        <f>+IF(D47&lt;0,0,D47*D30)</f>
        <v>116.22222222222223</v>
      </c>
      <c r="E48" s="95">
        <f t="shared" ref="E48:J48" si="11">+IF(E47&lt;0,0,E47*E30)</f>
        <v>127.20933333333333</v>
      </c>
      <c r="F48" s="95">
        <f t="shared" si="11"/>
        <v>138.80930844444447</v>
      </c>
      <c r="G48" s="95">
        <f t="shared" si="11"/>
        <v>136.99313629155554</v>
      </c>
      <c r="H48" s="95">
        <f t="shared" si="11"/>
        <v>132.80468870043555</v>
      </c>
      <c r="I48" s="95">
        <f t="shared" si="11"/>
        <v>131.37471863388205</v>
      </c>
      <c r="J48" s="95">
        <f t="shared" si="11"/>
        <v>137.94345456557616</v>
      </c>
    </row>
    <row r="49" spans="2:11">
      <c r="B49" s="470"/>
      <c r="C49" t="s">
        <v>35</v>
      </c>
      <c r="D49" s="94">
        <f>D47-D48</f>
        <v>1046</v>
      </c>
      <c r="E49" s="94">
        <f t="shared" ref="E49:J49" si="12">E47-E48</f>
        <v>1144.884</v>
      </c>
      <c r="F49" s="94">
        <f t="shared" si="12"/>
        <v>1249.2837760000002</v>
      </c>
      <c r="G49" s="94">
        <f t="shared" si="12"/>
        <v>1232.9382266239998</v>
      </c>
      <c r="H49" s="94">
        <f t="shared" si="12"/>
        <v>1195.2421983039201</v>
      </c>
      <c r="I49" s="94">
        <f t="shared" si="12"/>
        <v>1182.3724677049383</v>
      </c>
      <c r="J49" s="94">
        <f t="shared" si="12"/>
        <v>1241.4910910901856</v>
      </c>
    </row>
    <row r="50" spans="2:11">
      <c r="B50" s="470"/>
      <c r="C50" t="s">
        <v>37</v>
      </c>
      <c r="D50" s="95">
        <f>+D49-D51</f>
        <v>1046</v>
      </c>
      <c r="E50" s="95">
        <f t="shared" ref="E50:J50" si="13">+E49-E51</f>
        <v>1144.884</v>
      </c>
      <c r="F50" s="95">
        <f t="shared" si="13"/>
        <v>1249.2837760000002</v>
      </c>
      <c r="G50" s="95">
        <f t="shared" si="13"/>
        <v>1232.9382266239998</v>
      </c>
      <c r="H50" s="95">
        <f t="shared" si="13"/>
        <v>1195.2421983039201</v>
      </c>
      <c r="I50" s="95">
        <f t="shared" si="13"/>
        <v>828.36873485914816</v>
      </c>
      <c r="J50" s="95">
        <f t="shared" si="13"/>
        <v>1241.4910910901856</v>
      </c>
    </row>
    <row r="51" spans="2:11">
      <c r="B51" s="470"/>
      <c r="C51" t="s">
        <v>38</v>
      </c>
      <c r="D51" s="95">
        <f>+IF(D49&lt;0,D49,MAX(0,MIN(D49,D53)))</f>
        <v>0</v>
      </c>
      <c r="E51" s="95">
        <f t="shared" ref="E51:J51" si="14">+IF(E49&lt;0,E49,MAX(0,MIN(E49,E53)))</f>
        <v>0</v>
      </c>
      <c r="F51" s="95">
        <f t="shared" si="14"/>
        <v>0</v>
      </c>
      <c r="G51" s="95">
        <f t="shared" si="14"/>
        <v>0</v>
      </c>
      <c r="H51" s="95">
        <f t="shared" si="14"/>
        <v>0</v>
      </c>
      <c r="I51" s="95">
        <f t="shared" si="14"/>
        <v>354.00373284579018</v>
      </c>
      <c r="J51" s="95">
        <f t="shared" si="14"/>
        <v>0</v>
      </c>
    </row>
    <row r="52" spans="2:11">
      <c r="B52" s="470"/>
      <c r="D52" s="95"/>
      <c r="E52" s="95"/>
      <c r="F52" s="95"/>
      <c r="G52" s="95"/>
      <c r="H52" s="95"/>
      <c r="I52" s="95"/>
      <c r="J52" s="95"/>
    </row>
    <row r="53" spans="2:11">
      <c r="C53" t="s">
        <v>40</v>
      </c>
      <c r="D53" s="95">
        <f>+E43-D43</f>
        <v>-472</v>
      </c>
      <c r="E53" s="95">
        <f t="shared" ref="E53:J53" si="15">+F43-E43</f>
        <v>-618.27999999999975</v>
      </c>
      <c r="F53" s="95">
        <f t="shared" si="15"/>
        <v>-777.41247999999996</v>
      </c>
      <c r="G53" s="95">
        <f t="shared" si="15"/>
        <v>-956.91792559999976</v>
      </c>
      <c r="H53" s="95">
        <f t="shared" si="15"/>
        <v>-504.44373885179812</v>
      </c>
      <c r="I53" s="95">
        <f t="shared" si="15"/>
        <v>354.00373284579018</v>
      </c>
      <c r="J53" s="95">
        <f t="shared" si="15"/>
        <v>-6024.9495883939926</v>
      </c>
    </row>
    <row r="54" spans="2:11">
      <c r="C54" t="s">
        <v>42</v>
      </c>
      <c r="D54" s="95">
        <f>+D53-D51</f>
        <v>-472</v>
      </c>
      <c r="E54" s="95">
        <f t="shared" ref="E54:J54" si="16">+E53-E51</f>
        <v>-618.27999999999975</v>
      </c>
      <c r="F54" s="95">
        <f t="shared" si="16"/>
        <v>-777.41247999999996</v>
      </c>
      <c r="G54" s="95">
        <f t="shared" si="16"/>
        <v>-956.91792559999976</v>
      </c>
      <c r="H54" s="95">
        <f t="shared" si="16"/>
        <v>-504.44373885179812</v>
      </c>
      <c r="I54" s="95">
        <f t="shared" si="16"/>
        <v>0</v>
      </c>
      <c r="J54" s="95">
        <f t="shared" si="16"/>
        <v>-6024.9495883939926</v>
      </c>
    </row>
    <row r="55" spans="2:11">
      <c r="C55" t="s">
        <v>44</v>
      </c>
      <c r="D55" s="26">
        <f>D50/D49</f>
        <v>1</v>
      </c>
      <c r="E55" s="26">
        <f t="shared" ref="E55:J55" si="17">E50/E49</f>
        <v>1</v>
      </c>
      <c r="F55" s="26">
        <f t="shared" si="17"/>
        <v>1</v>
      </c>
      <c r="G55" s="26">
        <f t="shared" si="17"/>
        <v>1</v>
      </c>
      <c r="H55" s="26">
        <f t="shared" si="17"/>
        <v>1</v>
      </c>
      <c r="I55" s="26">
        <f t="shared" si="17"/>
        <v>0.70059880239520933</v>
      </c>
      <c r="J55" s="26">
        <f t="shared" si="17"/>
        <v>1</v>
      </c>
    </row>
    <row r="56" spans="2:11" ht="15.75">
      <c r="C56" s="27" t="s">
        <v>46</v>
      </c>
      <c r="D56" s="28">
        <f>+D48/D47</f>
        <v>0.1</v>
      </c>
      <c r="E56" s="28">
        <f t="shared" ref="E56:J56" si="18">+E48/E47</f>
        <v>0.1</v>
      </c>
      <c r="F56" s="28">
        <f t="shared" si="18"/>
        <v>0.1</v>
      </c>
      <c r="G56" s="28">
        <f t="shared" si="18"/>
        <v>0.1</v>
      </c>
      <c r="H56" s="28">
        <f t="shared" si="18"/>
        <v>9.9999999999999992E-2</v>
      </c>
      <c r="I56" s="28">
        <f t="shared" si="18"/>
        <v>0.1</v>
      </c>
      <c r="J56" s="28">
        <f t="shared" si="18"/>
        <v>9.9999999999999992E-2</v>
      </c>
      <c r="K56" t="s">
        <v>192</v>
      </c>
    </row>
    <row r="57" spans="2:11">
      <c r="J57" s="92"/>
    </row>
    <row r="58" spans="2:11">
      <c r="B58" s="469" t="s">
        <v>193</v>
      </c>
      <c r="C58" t="s">
        <v>67</v>
      </c>
      <c r="D58" s="163">
        <f>D41*D25</f>
        <v>1100</v>
      </c>
      <c r="E58" s="163">
        <f t="shared" ref="E58" si="19">E41*E25</f>
        <v>1279.2</v>
      </c>
      <c r="F58" s="163">
        <f>F41*F25</f>
        <v>1468.9480000000001</v>
      </c>
      <c r="G58" s="164">
        <f>F59*G26+F58</f>
        <v>1545.333296</v>
      </c>
      <c r="H58" s="164">
        <f>G59*H26+G58</f>
        <v>1600.965294656</v>
      </c>
      <c r="I58" s="165">
        <f>H59*I26+H58</f>
        <v>1647.5333726643064</v>
      </c>
      <c r="J58" s="165">
        <f t="shared" ref="J58" si="20">I59*J26+I58</f>
        <v>1729.9100412975217</v>
      </c>
      <c r="K58" t="s">
        <v>194</v>
      </c>
    </row>
    <row r="59" spans="2:11" ht="15.75">
      <c r="B59" s="469"/>
      <c r="C59" s="166" t="s">
        <v>195</v>
      </c>
      <c r="D59" s="167">
        <f>D58*D27</f>
        <v>660</v>
      </c>
      <c r="E59" s="167">
        <f t="shared" ref="E59:G59" si="21">E58*E27</f>
        <v>639.6</v>
      </c>
      <c r="F59" s="167">
        <f>F58*F27</f>
        <v>587.57920000000001</v>
      </c>
      <c r="G59" s="167">
        <f t="shared" si="21"/>
        <v>463.59998880000001</v>
      </c>
      <c r="H59" s="167">
        <f>H58*H27</f>
        <v>400.24132366399999</v>
      </c>
      <c r="I59" s="167">
        <f>I58*I27</f>
        <v>708.00746569157991</v>
      </c>
      <c r="J59" s="167">
        <f t="shared" ref="J59" si="22">J58*J27</f>
        <v>743.40783897615893</v>
      </c>
    </row>
    <row r="60" spans="2:11">
      <c r="B60" s="469"/>
      <c r="C60" s="32" t="s">
        <v>52</v>
      </c>
      <c r="D60" s="33">
        <f>D58-D59</f>
        <v>440</v>
      </c>
      <c r="E60" s="168">
        <f t="shared" ref="E60:J60" si="23">E58-E59</f>
        <v>639.6</v>
      </c>
      <c r="F60" s="168">
        <f t="shared" si="23"/>
        <v>881.36880000000008</v>
      </c>
      <c r="G60" s="168">
        <f t="shared" si="23"/>
        <v>1081.7333072000001</v>
      </c>
      <c r="H60" s="168">
        <f t="shared" si="23"/>
        <v>1200.723970992</v>
      </c>
      <c r="I60" s="168">
        <f t="shared" si="23"/>
        <v>939.52590697272649</v>
      </c>
      <c r="J60" s="168">
        <f t="shared" si="23"/>
        <v>986.5022023213628</v>
      </c>
    </row>
    <row r="61" spans="2:11" ht="15.75">
      <c r="B61" s="469"/>
      <c r="C61" s="34" t="s">
        <v>114</v>
      </c>
      <c r="D61" s="92">
        <f>D46</f>
        <v>60</v>
      </c>
      <c r="E61" s="92">
        <f t="shared" ref="E61:J61" si="24">E46</f>
        <v>149.24</v>
      </c>
      <c r="F61" s="92">
        <f t="shared" si="24"/>
        <v>244.07136</v>
      </c>
      <c r="G61" s="92">
        <f t="shared" si="24"/>
        <v>347.10563264000001</v>
      </c>
      <c r="H61" s="92">
        <f t="shared" si="24"/>
        <v>450.80344039120001</v>
      </c>
      <c r="I61" s="92">
        <f t="shared" si="24"/>
        <v>516.84544995485328</v>
      </c>
      <c r="J61" s="92">
        <f t="shared" si="24"/>
        <v>542.68772245259595</v>
      </c>
    </row>
    <row r="62" spans="2:11" ht="15.75">
      <c r="B62" s="469"/>
      <c r="C62" s="30" t="s">
        <v>177</v>
      </c>
      <c r="D62" s="22">
        <f>D61*D56</f>
        <v>6</v>
      </c>
      <c r="E62" s="22">
        <f t="shared" ref="E62:H62" si="25">E61*E56</f>
        <v>14.924000000000001</v>
      </c>
      <c r="F62" s="22">
        <f t="shared" si="25"/>
        <v>24.407136000000001</v>
      </c>
      <c r="G62" s="22">
        <f t="shared" si="25"/>
        <v>34.710563264000001</v>
      </c>
      <c r="H62" s="22">
        <f t="shared" si="25"/>
        <v>45.08034403912</v>
      </c>
      <c r="I62" s="22">
        <f>I61*I56</f>
        <v>51.684544995485332</v>
      </c>
      <c r="J62" s="22">
        <f>J61*J56</f>
        <v>54.268772245259591</v>
      </c>
    </row>
    <row r="63" spans="2:11" ht="15.75">
      <c r="B63" s="469"/>
      <c r="C63" s="35" t="s">
        <v>57</v>
      </c>
      <c r="D63" s="31">
        <f>E42-D42</f>
        <v>1132</v>
      </c>
      <c r="E63" s="31">
        <f t="shared" ref="E63:I63" si="26">F42-E42</f>
        <v>1257.8800000000001</v>
      </c>
      <c r="F63" s="31">
        <f t="shared" si="26"/>
        <v>1364.9916800000001</v>
      </c>
      <c r="G63" s="31">
        <f t="shared" si="26"/>
        <v>1420.5179144000003</v>
      </c>
      <c r="H63" s="31">
        <f t="shared" si="26"/>
        <v>904.68506251579856</v>
      </c>
      <c r="I63" s="31">
        <f t="shared" si="26"/>
        <v>354.00373284579018</v>
      </c>
    </row>
    <row r="64" spans="2:11">
      <c r="B64" s="469"/>
      <c r="C64" s="32" t="s">
        <v>59</v>
      </c>
      <c r="D64" s="33">
        <f>D60-D61+D62+D63</f>
        <v>1518</v>
      </c>
      <c r="E64" s="33">
        <f t="shared" ref="E64:I64" si="27">E60-E61+E62+E63</f>
        <v>1763.1640000000002</v>
      </c>
      <c r="F64" s="33">
        <f t="shared" si="27"/>
        <v>2026.6962560000002</v>
      </c>
      <c r="G64" s="33">
        <f t="shared" si="27"/>
        <v>2189.8561522240007</v>
      </c>
      <c r="H64" s="33">
        <f t="shared" si="27"/>
        <v>1699.6859371557184</v>
      </c>
      <c r="I64" s="33">
        <f t="shared" si="27"/>
        <v>828.36873485914873</v>
      </c>
    </row>
    <row r="65" spans="2:11" ht="15.75">
      <c r="B65" s="469"/>
      <c r="C65" s="34" t="s">
        <v>37</v>
      </c>
      <c r="D65" s="22">
        <f>-D50</f>
        <v>-1046</v>
      </c>
      <c r="E65" s="22">
        <f t="shared" ref="E65:I65" si="28">-E50</f>
        <v>-1144.884</v>
      </c>
      <c r="F65" s="22">
        <f t="shared" si="28"/>
        <v>-1249.2837760000002</v>
      </c>
      <c r="G65" s="22">
        <f t="shared" si="28"/>
        <v>-1232.9382266239998</v>
      </c>
      <c r="H65" s="22">
        <f t="shared" si="28"/>
        <v>-1195.2421983039201</v>
      </c>
      <c r="I65" s="22">
        <f t="shared" si="28"/>
        <v>-828.36873485914816</v>
      </c>
    </row>
    <row r="66" spans="2:11" ht="15.75">
      <c r="B66" s="469"/>
      <c r="C66" s="35" t="s">
        <v>196</v>
      </c>
      <c r="D66" s="31">
        <f>E43-D43-D51</f>
        <v>-472</v>
      </c>
      <c r="E66" s="31">
        <f t="shared" ref="E66:I66" si="29">F43-E43-E51</f>
        <v>-618.27999999999975</v>
      </c>
      <c r="F66" s="31">
        <f t="shared" si="29"/>
        <v>-777.41247999999996</v>
      </c>
      <c r="G66" s="31">
        <f t="shared" si="29"/>
        <v>-956.91792559999976</v>
      </c>
      <c r="H66" s="31">
        <f t="shared" si="29"/>
        <v>-504.44373885179812</v>
      </c>
      <c r="I66" s="31">
        <f t="shared" si="29"/>
        <v>0</v>
      </c>
    </row>
    <row r="67" spans="2:11">
      <c r="B67" s="469"/>
      <c r="C67" t="s">
        <v>197</v>
      </c>
      <c r="D67" s="22">
        <f>SUM(D64:D66)</f>
        <v>0</v>
      </c>
      <c r="E67" s="22">
        <f t="shared" ref="E67:I67" si="30">SUM(E64:E66)</f>
        <v>0</v>
      </c>
      <c r="F67" s="22">
        <f t="shared" si="30"/>
        <v>0</v>
      </c>
      <c r="G67" s="22">
        <f t="shared" si="30"/>
        <v>1.1368683772161603E-12</v>
      </c>
      <c r="H67" s="22">
        <f t="shared" si="30"/>
        <v>0</v>
      </c>
      <c r="I67" s="22">
        <f t="shared" si="30"/>
        <v>5.6843418860808015E-13</v>
      </c>
    </row>
    <row r="68" spans="2:11" ht="15.75">
      <c r="B68" s="169"/>
    </row>
    <row r="72" spans="2:11">
      <c r="B72" s="470" t="s">
        <v>52</v>
      </c>
      <c r="C72" t="s">
        <v>52</v>
      </c>
      <c r="D72" s="22">
        <f>D60</f>
        <v>440</v>
      </c>
      <c r="E72" s="22">
        <f t="shared" ref="E72:J72" si="31">E60</f>
        <v>639.6</v>
      </c>
      <c r="F72" s="22">
        <f t="shared" si="31"/>
        <v>881.36880000000008</v>
      </c>
      <c r="G72" s="22">
        <f t="shared" si="31"/>
        <v>1081.7333072000001</v>
      </c>
      <c r="H72" s="22">
        <f t="shared" si="31"/>
        <v>1200.723970992</v>
      </c>
      <c r="I72" s="22">
        <f t="shared" si="31"/>
        <v>939.52590697272649</v>
      </c>
      <c r="J72" s="22">
        <f t="shared" si="31"/>
        <v>986.5022023213628</v>
      </c>
    </row>
    <row r="73" spans="2:11">
      <c r="B73" s="470"/>
      <c r="C73" t="s">
        <v>72</v>
      </c>
      <c r="D73" s="24">
        <f>D39</f>
        <v>0.11945533681655965</v>
      </c>
      <c r="E73" s="24">
        <f t="shared" ref="E73:H73" si="32">E39</f>
        <v>0.11874502814951535</v>
      </c>
      <c r="F73" s="24">
        <f t="shared" si="32"/>
        <v>0.11807277661326099</v>
      </c>
      <c r="G73" s="24">
        <f t="shared" si="32"/>
        <v>0.117385929313423</v>
      </c>
      <c r="H73" s="24">
        <f t="shared" si="32"/>
        <v>0.11672269652757992</v>
      </c>
      <c r="I73" s="24">
        <f>I39</f>
        <v>0.11635</v>
      </c>
      <c r="J73" s="24">
        <f>J39</f>
        <v>0.11635</v>
      </c>
    </row>
    <row r="74" spans="2:11" ht="15.75">
      <c r="B74" s="470"/>
      <c r="C74" s="36" t="s">
        <v>167</v>
      </c>
      <c r="D74" s="170">
        <f t="shared" ref="D74:G74" si="33">(D72+E74)/(1+D73)</f>
        <v>11015.982321590249</v>
      </c>
      <c r="E74" s="170">
        <f t="shared" si="33"/>
        <v>11891.900200181079</v>
      </c>
      <c r="F74" s="170">
        <f t="shared" si="33"/>
        <v>12664.404224202806</v>
      </c>
      <c r="G74" s="170">
        <f t="shared" si="33"/>
        <v>13278.356795107144</v>
      </c>
      <c r="H74" s="170">
        <f>(H72+I74)/(1+H73)</f>
        <v>13755.315740055999</v>
      </c>
      <c r="I74" s="171">
        <f>I72/(I73-J31)</f>
        <v>14160.149313831598</v>
      </c>
      <c r="J74" s="171">
        <f>J72/(J73-K31)</f>
        <v>14868.156779523179</v>
      </c>
      <c r="K74" s="34" t="s">
        <v>198</v>
      </c>
    </row>
    <row r="75" spans="2:11" ht="15.75">
      <c r="B75" s="172">
        <f>D74-D78</f>
        <v>0</v>
      </c>
    </row>
    <row r="76" spans="2:11">
      <c r="B76" s="469" t="s">
        <v>180</v>
      </c>
      <c r="C76" t="s">
        <v>164</v>
      </c>
      <c r="D76" s="22">
        <f>D60+D62</f>
        <v>446</v>
      </c>
      <c r="E76" s="22">
        <f t="shared" ref="E76:G76" si="34">E60+E62</f>
        <v>654.524</v>
      </c>
      <c r="F76" s="22">
        <f t="shared" si="34"/>
        <v>905.77593600000012</v>
      </c>
      <c r="G76" s="22">
        <f t="shared" si="34"/>
        <v>1116.4438704640002</v>
      </c>
      <c r="H76" s="22">
        <f>H60+H62</f>
        <v>1245.80431503112</v>
      </c>
      <c r="I76" s="22">
        <f>I60+I62</f>
        <v>991.21045196821183</v>
      </c>
      <c r="J76" s="22">
        <f>J60+J62</f>
        <v>1040.7709745666225</v>
      </c>
    </row>
    <row r="77" spans="2:11">
      <c r="B77" s="469"/>
      <c r="C77" t="s">
        <v>63</v>
      </c>
      <c r="D77" s="24">
        <f>D28</f>
        <v>0.12</v>
      </c>
      <c r="E77" s="24">
        <f t="shared" ref="E77:J77" si="35">E28</f>
        <v>0.12</v>
      </c>
      <c r="F77" s="24">
        <f t="shared" si="35"/>
        <v>0.12</v>
      </c>
      <c r="G77" s="24">
        <f t="shared" si="35"/>
        <v>0.12</v>
      </c>
      <c r="H77" s="24">
        <f t="shared" si="35"/>
        <v>0.12</v>
      </c>
      <c r="I77" s="24">
        <f t="shared" si="35"/>
        <v>0.12</v>
      </c>
      <c r="J77" s="24">
        <f t="shared" si="35"/>
        <v>0.12</v>
      </c>
    </row>
    <row r="78" spans="2:11" ht="15.75">
      <c r="B78" s="469"/>
      <c r="C78" s="96" t="s">
        <v>167</v>
      </c>
      <c r="D78" s="173">
        <f t="shared" ref="D78:G78" si="36">(D76+E78)/(1+D77)</f>
        <v>11015.982321590242</v>
      </c>
      <c r="E78" s="173">
        <f t="shared" si="36"/>
        <v>11891.900200181071</v>
      </c>
      <c r="F78" s="173">
        <f t="shared" si="36"/>
        <v>12664.404224202803</v>
      </c>
      <c r="G78" s="173">
        <f t="shared" si="36"/>
        <v>13278.35679510714</v>
      </c>
      <c r="H78" s="173">
        <f>(H76+I78)/(1+H77)</f>
        <v>13755.315740055998</v>
      </c>
      <c r="I78" s="174">
        <f>I76/(I77-J31)</f>
        <v>14160.149313831598</v>
      </c>
      <c r="J78" s="174">
        <f>J76/(J77-K31)</f>
        <v>14868.15677952318</v>
      </c>
      <c r="K78" s="175" t="s">
        <v>199</v>
      </c>
    </row>
    <row r="79" spans="2:11" ht="15.75">
      <c r="B79" s="176">
        <f>D78-D84</f>
        <v>0</v>
      </c>
    </row>
    <row r="80" spans="2:11">
      <c r="B80" s="469" t="s">
        <v>59</v>
      </c>
      <c r="C80" t="s">
        <v>59</v>
      </c>
      <c r="D80" s="22">
        <f>D64</f>
        <v>1518</v>
      </c>
      <c r="E80" s="22">
        <f t="shared" ref="E80:I80" si="37">E64</f>
        <v>1763.1640000000002</v>
      </c>
      <c r="F80" s="22">
        <f t="shared" si="37"/>
        <v>2026.6962560000002</v>
      </c>
      <c r="G80" s="22">
        <f t="shared" si="37"/>
        <v>2189.8561522240007</v>
      </c>
      <c r="H80" s="22">
        <f t="shared" si="37"/>
        <v>1699.6859371557184</v>
      </c>
      <c r="I80" s="22">
        <f t="shared" si="37"/>
        <v>828.36873485914873</v>
      </c>
    </row>
    <row r="81" spans="2:10" ht="15.75">
      <c r="B81" s="469"/>
      <c r="C81" t="s">
        <v>200</v>
      </c>
      <c r="D81" s="23">
        <f>(D28-D34*D29)/(1-D34)</f>
        <v>0.12599042590866652</v>
      </c>
      <c r="E81" s="23">
        <f t="shared" ref="E81:I81" si="38">(E28-E34*E29)/(1-E34)</f>
        <v>0.13092224283174761</v>
      </c>
      <c r="F81" s="23">
        <f t="shared" si="38"/>
        <v>0.13754421424393729</v>
      </c>
      <c r="G81" s="23">
        <f t="shared" si="38"/>
        <v>0.14621920094210086</v>
      </c>
      <c r="H81" s="23">
        <f t="shared" si="38"/>
        <v>0.15829104734788696</v>
      </c>
      <c r="I81" s="23">
        <f t="shared" si="38"/>
        <v>0.16699999999999998</v>
      </c>
    </row>
    <row r="82" spans="2:10" ht="15.75">
      <c r="B82" s="469"/>
      <c r="C82" t="s">
        <v>109</v>
      </c>
      <c r="D82" s="97">
        <f t="shared" ref="D82:G82" si="39">(D80+E82)/(1+D81)</f>
        <v>10015.982321590249</v>
      </c>
      <c r="E82" s="97">
        <f t="shared" si="39"/>
        <v>9759.9002001810786</v>
      </c>
      <c r="F82" s="97">
        <f t="shared" si="39"/>
        <v>9274.5242242028071</v>
      </c>
      <c r="G82" s="97">
        <f t="shared" si="39"/>
        <v>8523.4851151071452</v>
      </c>
      <c r="H82" s="97">
        <f>(H80+I82)/(1+H81)</f>
        <v>7579.9261456560016</v>
      </c>
      <c r="I82" s="170">
        <f>I80/(I81-J31)</f>
        <v>7080.0746569158027</v>
      </c>
    </row>
    <row r="83" spans="2:10">
      <c r="B83" s="469"/>
      <c r="C83" t="s">
        <v>6</v>
      </c>
      <c r="D83" s="98">
        <f>D42</f>
        <v>1000</v>
      </c>
      <c r="E83" s="98">
        <f t="shared" ref="E83:H83" si="40">E42</f>
        <v>2132</v>
      </c>
      <c r="F83" s="98">
        <f t="shared" si="40"/>
        <v>3389.88</v>
      </c>
      <c r="G83" s="98">
        <f t="shared" si="40"/>
        <v>4754.8716800000002</v>
      </c>
      <c r="H83" s="98">
        <f t="shared" si="40"/>
        <v>6175.3895944000005</v>
      </c>
      <c r="I83" s="98">
        <f>I42</f>
        <v>7080.0746569157991</v>
      </c>
    </row>
    <row r="84" spans="2:10" ht="15.75">
      <c r="B84" s="469"/>
      <c r="C84" s="48" t="s">
        <v>167</v>
      </c>
      <c r="D84" s="177">
        <f>D82+D83</f>
        <v>11015.982321590249</v>
      </c>
      <c r="E84" s="177">
        <f t="shared" ref="E84:I84" si="41">E82+E83</f>
        <v>11891.900200181079</v>
      </c>
      <c r="F84" s="177">
        <f t="shared" si="41"/>
        <v>12664.404224202808</v>
      </c>
      <c r="G84" s="177">
        <f t="shared" si="41"/>
        <v>13278.356795107145</v>
      </c>
      <c r="H84" s="177">
        <f t="shared" si="41"/>
        <v>13755.315740056001</v>
      </c>
      <c r="I84" s="178">
        <f t="shared" si="41"/>
        <v>14160.149313831602</v>
      </c>
      <c r="J84" s="30" t="s">
        <v>201</v>
      </c>
    </row>
  </sheetData>
  <mergeCells count="6">
    <mergeCell ref="B80:B84"/>
    <mergeCell ref="B41:B43"/>
    <mergeCell ref="B45:B52"/>
    <mergeCell ref="B58:B67"/>
    <mergeCell ref="B72:B74"/>
    <mergeCell ref="B76:B7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3AFAC-C695-4B52-ABE5-28293325DED9}">
  <dimension ref="B1:K83"/>
  <sheetViews>
    <sheetView topLeftCell="C10" workbookViewId="0">
      <selection activeCell="G34" sqref="G34"/>
    </sheetView>
  </sheetViews>
  <sheetFormatPr defaultRowHeight="15"/>
  <cols>
    <col min="2" max="2" width="22.7109375" bestFit="1" customWidth="1"/>
    <col min="3" max="3" width="31.140625" bestFit="1" customWidth="1"/>
    <col min="4" max="10" width="11.5703125" customWidth="1"/>
    <col min="11" max="11" width="10.28515625" customWidth="1"/>
  </cols>
  <sheetData>
    <row r="1" spans="2:3" ht="15.75" thickBot="1"/>
    <row r="2" spans="2:3" ht="18.75">
      <c r="B2" s="11"/>
      <c r="C2" s="67"/>
    </row>
    <row r="3" spans="2:3" ht="18.75">
      <c r="B3" s="13"/>
      <c r="C3" s="14"/>
    </row>
    <row r="4" spans="2:3" ht="18.75">
      <c r="B4" s="13"/>
      <c r="C4" s="14"/>
    </row>
    <row r="5" spans="2:3" ht="18.75">
      <c r="B5" s="13"/>
      <c r="C5" s="15"/>
    </row>
    <row r="6" spans="2:3" ht="18.75">
      <c r="B6" s="13"/>
      <c r="C6" s="15"/>
    </row>
    <row r="7" spans="2:3" ht="19.5" thickBot="1">
      <c r="B7" s="16"/>
      <c r="C7" s="17"/>
    </row>
    <row r="8" spans="2:3" ht="15.75" thickBot="1"/>
    <row r="9" spans="2:3" ht="21" thickBot="1">
      <c r="B9" s="18" t="s">
        <v>95</v>
      </c>
      <c r="C9" s="19"/>
    </row>
    <row r="24" spans="3:11" ht="15.75">
      <c r="C24" s="87"/>
      <c r="D24" s="20">
        <v>2021</v>
      </c>
      <c r="E24" s="21">
        <v>2022</v>
      </c>
      <c r="F24" s="21">
        <v>2023</v>
      </c>
      <c r="G24" s="21">
        <v>2024</v>
      </c>
      <c r="H24" s="21">
        <v>2025</v>
      </c>
      <c r="I24" s="89" t="s">
        <v>182</v>
      </c>
      <c r="J24" s="89" t="s">
        <v>118</v>
      </c>
      <c r="K24" s="89" t="s">
        <v>119</v>
      </c>
    </row>
    <row r="25" spans="3:11" ht="15.75">
      <c r="C25" s="146" t="s">
        <v>8</v>
      </c>
      <c r="D25" s="90">
        <v>0.11</v>
      </c>
      <c r="E25" s="90">
        <v>0.12</v>
      </c>
      <c r="F25" s="90"/>
      <c r="G25" s="90"/>
      <c r="H25" s="90"/>
      <c r="I25" s="90"/>
    </row>
    <row r="26" spans="3:11" ht="15.75">
      <c r="C26" s="147" t="s">
        <v>10</v>
      </c>
      <c r="D26" s="90"/>
      <c r="E26" s="90"/>
      <c r="F26" s="90">
        <v>0.14000000000000001</v>
      </c>
      <c r="G26" s="90">
        <v>0.13</v>
      </c>
      <c r="H26" s="90">
        <v>0.13</v>
      </c>
      <c r="I26" s="371">
        <f>I39</f>
        <v>9.8000000000000004E-2</v>
      </c>
      <c r="J26" s="372">
        <f t="shared" ref="J26:K26" si="0">J39</f>
        <v>9.8000000000000004E-2</v>
      </c>
      <c r="K26" s="372">
        <f t="shared" si="0"/>
        <v>9.8000000000000004E-2</v>
      </c>
    </row>
    <row r="27" spans="3:11" ht="15.75">
      <c r="C27" s="373" t="s">
        <v>12</v>
      </c>
      <c r="D27" s="90">
        <v>0.6</v>
      </c>
      <c r="E27" s="90">
        <v>0.5</v>
      </c>
      <c r="F27" s="90">
        <v>0.4</v>
      </c>
      <c r="G27" s="90">
        <v>0.3</v>
      </c>
      <c r="H27" s="90">
        <v>0.3</v>
      </c>
      <c r="I27" s="374">
        <f>J31/J26</f>
        <v>0.61224489795918358</v>
      </c>
      <c r="J27" s="375">
        <f>K31/K26</f>
        <v>0.61224489795918358</v>
      </c>
      <c r="K27" s="24"/>
    </row>
    <row r="28" spans="3:11" ht="18.75">
      <c r="C28" s="88" t="s">
        <v>184</v>
      </c>
      <c r="D28" s="90">
        <v>0.11</v>
      </c>
      <c r="E28" s="90">
        <v>0.11</v>
      </c>
      <c r="F28" s="90">
        <v>0.11</v>
      </c>
      <c r="G28" s="90">
        <v>0.1</v>
      </c>
      <c r="H28" s="90">
        <v>0.1</v>
      </c>
      <c r="I28" s="376">
        <v>0.1</v>
      </c>
      <c r="J28" s="376">
        <v>0.1</v>
      </c>
      <c r="K28" s="376">
        <v>0.1</v>
      </c>
    </row>
    <row r="29" spans="3:11" ht="18.75">
      <c r="C29" s="88" t="s">
        <v>185</v>
      </c>
      <c r="D29" s="90">
        <v>0.06</v>
      </c>
      <c r="E29" s="90">
        <v>0.06</v>
      </c>
      <c r="F29" s="90">
        <v>0.06</v>
      </c>
      <c r="G29" s="90">
        <v>0.05</v>
      </c>
      <c r="H29" s="90">
        <v>0.05</v>
      </c>
      <c r="I29" s="376">
        <v>0.05</v>
      </c>
      <c r="J29" s="376">
        <v>0.05</v>
      </c>
      <c r="K29" s="376">
        <v>0.05</v>
      </c>
    </row>
    <row r="30" spans="3:11" ht="15.75">
      <c r="C30" s="88" t="s">
        <v>126</v>
      </c>
      <c r="D30" s="90">
        <v>0.1</v>
      </c>
      <c r="E30" s="90">
        <v>0.1</v>
      </c>
      <c r="F30" s="90">
        <v>0.1</v>
      </c>
      <c r="G30" s="90">
        <v>0.1</v>
      </c>
      <c r="H30" s="90">
        <v>0.1</v>
      </c>
      <c r="I30" s="376">
        <v>0.1</v>
      </c>
      <c r="J30" s="376">
        <v>0.1</v>
      </c>
      <c r="K30" s="376">
        <v>0.1</v>
      </c>
    </row>
    <row r="31" spans="3:11" ht="15.75">
      <c r="C31" s="88" t="s">
        <v>127</v>
      </c>
      <c r="D31" s="87"/>
      <c r="E31" s="87"/>
      <c r="F31" s="87"/>
      <c r="G31" s="90"/>
      <c r="H31" s="90"/>
      <c r="I31" s="377"/>
      <c r="J31" s="378">
        <v>0.06</v>
      </c>
      <c r="K31" s="378">
        <v>0.06</v>
      </c>
    </row>
    <row r="32" spans="3:11" ht="15.75">
      <c r="C32" s="87"/>
      <c r="D32" s="87"/>
      <c r="E32" s="87"/>
      <c r="F32" s="87"/>
      <c r="G32" s="87"/>
      <c r="H32" s="87"/>
      <c r="I32" s="87"/>
    </row>
    <row r="33" spans="2:11" ht="15.75">
      <c r="C33" s="88"/>
      <c r="D33" s="89">
        <f t="shared" ref="D33:K33" si="1">+D24</f>
        <v>2021</v>
      </c>
      <c r="E33" s="89">
        <f t="shared" si="1"/>
        <v>2022</v>
      </c>
      <c r="F33" s="89">
        <f t="shared" si="1"/>
        <v>2023</v>
      </c>
      <c r="G33" s="89">
        <f t="shared" si="1"/>
        <v>2024</v>
      </c>
      <c r="H33" s="89">
        <f t="shared" si="1"/>
        <v>2025</v>
      </c>
      <c r="I33" s="89" t="str">
        <f t="shared" si="1"/>
        <v>TV1</v>
      </c>
      <c r="J33" s="89" t="str">
        <f t="shared" si="1"/>
        <v>TV2</v>
      </c>
      <c r="K33" s="89" t="str">
        <f t="shared" si="1"/>
        <v>TV3</v>
      </c>
    </row>
    <row r="34" spans="2:11" ht="15.75">
      <c r="C34" s="88" t="s">
        <v>64</v>
      </c>
      <c r="D34" s="379">
        <f>D42/D77</f>
        <v>0.28219285016978485</v>
      </c>
      <c r="E34" s="379">
        <f t="shared" ref="E34:F34" si="2">E42/E77</f>
        <v>0.28039600881015692</v>
      </c>
      <c r="F34" s="379">
        <f t="shared" si="2"/>
        <v>0.28032996287981771</v>
      </c>
      <c r="G34" s="380">
        <v>0.3</v>
      </c>
      <c r="H34" s="380">
        <v>0.4</v>
      </c>
      <c r="I34" s="181">
        <v>0.4</v>
      </c>
      <c r="J34" s="181">
        <v>0.4</v>
      </c>
      <c r="K34" s="181">
        <v>0.4</v>
      </c>
    </row>
    <row r="35" spans="2:11" ht="15.75">
      <c r="C35" s="88" t="s">
        <v>101</v>
      </c>
      <c r="D35" s="90">
        <v>0.35</v>
      </c>
      <c r="E35" s="90">
        <v>0.35</v>
      </c>
      <c r="F35" s="90">
        <v>0.35</v>
      </c>
      <c r="G35" s="90"/>
      <c r="H35" s="90"/>
      <c r="I35" s="90"/>
    </row>
    <row r="36" spans="2:11" ht="15.75">
      <c r="C36" s="87" t="s">
        <v>0</v>
      </c>
      <c r="D36" s="68">
        <v>10000</v>
      </c>
      <c r="E36" s="68"/>
      <c r="F36" s="68"/>
      <c r="G36" s="68"/>
      <c r="H36" s="68"/>
      <c r="I36" s="68"/>
    </row>
    <row r="39" spans="2:11" ht="15.75">
      <c r="B39" s="158"/>
      <c r="C39" t="s">
        <v>187</v>
      </c>
      <c r="D39" s="381">
        <f>D28-D34*D29*D30</f>
        <v>0.10830684289898129</v>
      </c>
      <c r="E39" s="381">
        <f t="shared" ref="E39:J39" si="3">E28-E34*E29*E30</f>
        <v>0.10831762394713906</v>
      </c>
      <c r="F39" s="381">
        <f t="shared" si="3"/>
        <v>0.10831802022272109</v>
      </c>
      <c r="G39" s="381">
        <f t="shared" si="3"/>
        <v>9.8500000000000004E-2</v>
      </c>
      <c r="H39" s="381">
        <f t="shared" si="3"/>
        <v>9.8000000000000004E-2</v>
      </c>
      <c r="I39" s="160">
        <f>I28-I34*I29*I30</f>
        <v>9.8000000000000004E-2</v>
      </c>
      <c r="J39" s="160">
        <f t="shared" si="3"/>
        <v>9.8000000000000004E-2</v>
      </c>
      <c r="K39" s="160">
        <f>K28-K34*K29*K30</f>
        <v>9.8000000000000004E-2</v>
      </c>
    </row>
    <row r="41" spans="2:11">
      <c r="B41" s="470" t="s">
        <v>17</v>
      </c>
      <c r="C41" t="s">
        <v>0</v>
      </c>
      <c r="D41" s="94">
        <f>D36</f>
        <v>10000</v>
      </c>
      <c r="E41" s="161">
        <f>D41+D58</f>
        <v>10660</v>
      </c>
      <c r="F41" s="161">
        <f t="shared" ref="F41:J41" si="4">E41+E58</f>
        <v>11299.6</v>
      </c>
      <c r="G41" s="161">
        <f t="shared" si="4"/>
        <v>11847.097600000001</v>
      </c>
      <c r="H41" s="161">
        <f t="shared" si="4"/>
        <v>12279.0732064</v>
      </c>
      <c r="I41" s="161">
        <f t="shared" si="4"/>
        <v>12727.8958614496</v>
      </c>
      <c r="J41" s="161">
        <f t="shared" si="4"/>
        <v>13670.789822894618</v>
      </c>
    </row>
    <row r="42" spans="2:11" ht="15.75">
      <c r="B42" s="470"/>
      <c r="C42" t="s">
        <v>6</v>
      </c>
      <c r="D42" s="94">
        <f>D41*D35</f>
        <v>3500</v>
      </c>
      <c r="E42" s="94">
        <f t="shared" ref="E42:F42" si="5">E41*E35</f>
        <v>3730.9999999999995</v>
      </c>
      <c r="F42" s="94">
        <f t="shared" si="5"/>
        <v>3954.8599999999997</v>
      </c>
      <c r="G42" s="162">
        <f>G73*G34</f>
        <v>4444.4296178335953</v>
      </c>
      <c r="H42" s="162">
        <f t="shared" ref="H42" si="6">H73*H34</f>
        <v>6106.4306809469399</v>
      </c>
      <c r="I42" s="162">
        <f>I73*I34</f>
        <v>6285.9597429667801</v>
      </c>
      <c r="J42" s="162">
        <f>J73*J34</f>
        <v>6663.1173275447873</v>
      </c>
      <c r="K42" s="34" t="s">
        <v>188</v>
      </c>
    </row>
    <row r="43" spans="2:11">
      <c r="B43" s="470"/>
      <c r="C43" t="s">
        <v>189</v>
      </c>
      <c r="D43" s="94">
        <f>D41-D42</f>
        <v>6500</v>
      </c>
      <c r="E43" s="94">
        <f t="shared" ref="E43:J43" si="7">E41-E42</f>
        <v>6929</v>
      </c>
      <c r="F43" s="94">
        <f t="shared" si="7"/>
        <v>7344.7400000000007</v>
      </c>
      <c r="G43" s="94">
        <f t="shared" si="7"/>
        <v>7402.6679821664056</v>
      </c>
      <c r="H43" s="94">
        <f t="shared" si="7"/>
        <v>6172.6425254530604</v>
      </c>
      <c r="I43" s="94">
        <f t="shared" si="7"/>
        <v>6441.9361184828203</v>
      </c>
      <c r="J43" s="94">
        <f t="shared" si="7"/>
        <v>7007.6724953498306</v>
      </c>
    </row>
    <row r="45" spans="2:11" ht="15.75">
      <c r="B45" s="470" t="s">
        <v>110</v>
      </c>
      <c r="C45" s="382" t="s">
        <v>190</v>
      </c>
      <c r="D45" s="95">
        <f t="shared" ref="D45:J45" si="8">D57/(1-D30)</f>
        <v>1222.2222222222222</v>
      </c>
      <c r="E45" s="95">
        <f t="shared" si="8"/>
        <v>1421.3333333333333</v>
      </c>
      <c r="F45" s="95">
        <f t="shared" si="8"/>
        <v>1520.8266666666668</v>
      </c>
      <c r="G45" s="95">
        <f t="shared" si="8"/>
        <v>1599.9096533333336</v>
      </c>
      <c r="H45" s="95">
        <f t="shared" si="8"/>
        <v>1662.3061298133334</v>
      </c>
      <c r="I45" s="95">
        <f t="shared" si="8"/>
        <v>1711.1779300298454</v>
      </c>
      <c r="J45" s="95">
        <f t="shared" si="8"/>
        <v>1813.8486058316362</v>
      </c>
      <c r="K45" t="s">
        <v>191</v>
      </c>
    </row>
    <row r="46" spans="2:11">
      <c r="B46" s="470"/>
      <c r="C46" s="383" t="s">
        <v>114</v>
      </c>
      <c r="D46" s="384">
        <f>D42*D29</f>
        <v>210</v>
      </c>
      <c r="E46" s="384">
        <f t="shared" ref="E46:J46" si="9">E42*E29</f>
        <v>223.85999999999996</v>
      </c>
      <c r="F46" s="384">
        <f t="shared" si="9"/>
        <v>237.29159999999996</v>
      </c>
      <c r="G46" s="384">
        <f t="shared" si="9"/>
        <v>222.22148089167979</v>
      </c>
      <c r="H46" s="384">
        <f t="shared" si="9"/>
        <v>305.32153404734703</v>
      </c>
      <c r="I46" s="384">
        <f t="shared" si="9"/>
        <v>314.29798714833902</v>
      </c>
      <c r="J46" s="384">
        <f t="shared" si="9"/>
        <v>333.15586637723936</v>
      </c>
    </row>
    <row r="47" spans="2:11">
      <c r="B47" s="470"/>
      <c r="C47" t="s">
        <v>31</v>
      </c>
      <c r="D47" s="94">
        <f>D45-D46</f>
        <v>1012.2222222222222</v>
      </c>
      <c r="E47" s="94">
        <f t="shared" ref="E47:J47" si="10">E45-E46</f>
        <v>1197.4733333333334</v>
      </c>
      <c r="F47" s="94">
        <f t="shared" si="10"/>
        <v>1283.5350666666668</v>
      </c>
      <c r="G47" s="94">
        <f t="shared" si="10"/>
        <v>1377.6881724416539</v>
      </c>
      <c r="H47" s="94">
        <f t="shared" si="10"/>
        <v>1356.9845957659863</v>
      </c>
      <c r="I47" s="94">
        <f t="shared" si="10"/>
        <v>1396.8799428815064</v>
      </c>
      <c r="J47" s="94">
        <f t="shared" si="10"/>
        <v>1480.6927394543968</v>
      </c>
    </row>
    <row r="48" spans="2:11">
      <c r="B48" s="470"/>
      <c r="C48" s="383" t="s">
        <v>33</v>
      </c>
      <c r="D48" s="167">
        <f>+IF(D47&lt;0,0,D47*D30)</f>
        <v>101.22222222222223</v>
      </c>
      <c r="E48" s="167">
        <f t="shared" ref="E48:J48" si="11">+IF(E47&lt;0,0,E47*E30)</f>
        <v>119.74733333333334</v>
      </c>
      <c r="F48" s="167">
        <f t="shared" si="11"/>
        <v>128.35350666666668</v>
      </c>
      <c r="G48" s="167">
        <f t="shared" si="11"/>
        <v>137.7688172441654</v>
      </c>
      <c r="H48" s="167">
        <f t="shared" si="11"/>
        <v>135.69845957659865</v>
      </c>
      <c r="I48" s="167">
        <f t="shared" si="11"/>
        <v>139.68799428815063</v>
      </c>
      <c r="J48" s="167">
        <f t="shared" si="11"/>
        <v>148.06927394543968</v>
      </c>
    </row>
    <row r="49" spans="2:11">
      <c r="B49" s="470"/>
      <c r="C49" t="s">
        <v>35</v>
      </c>
      <c r="D49" s="94">
        <f>D47-D48</f>
        <v>911</v>
      </c>
      <c r="E49" s="94">
        <f t="shared" ref="E49:J49" si="12">E47-E48</f>
        <v>1077.7260000000001</v>
      </c>
      <c r="F49" s="94">
        <f t="shared" si="12"/>
        <v>1155.1815600000002</v>
      </c>
      <c r="G49" s="94">
        <f t="shared" si="12"/>
        <v>1239.9193551974886</v>
      </c>
      <c r="H49" s="94">
        <f t="shared" si="12"/>
        <v>1221.2861361893877</v>
      </c>
      <c r="I49" s="94">
        <f t="shared" si="12"/>
        <v>1257.1919485933558</v>
      </c>
      <c r="J49" s="94">
        <f t="shared" si="12"/>
        <v>1332.6234655089572</v>
      </c>
    </row>
    <row r="50" spans="2:11">
      <c r="B50" s="470"/>
      <c r="C50" s="383" t="s">
        <v>37</v>
      </c>
      <c r="D50" s="167">
        <f>+D49-D51</f>
        <v>482</v>
      </c>
      <c r="E50" s="167">
        <f t="shared" ref="E50:J50" si="13">+E49-E51</f>
        <v>661.98599999999942</v>
      </c>
      <c r="F50" s="167">
        <f t="shared" si="13"/>
        <v>1097.2535778335953</v>
      </c>
      <c r="G50" s="167">
        <f t="shared" si="13"/>
        <v>1239.9193551974886</v>
      </c>
      <c r="H50" s="167">
        <f t="shared" si="13"/>
        <v>951.99254315962776</v>
      </c>
      <c r="I50" s="167">
        <f t="shared" si="13"/>
        <v>691.45557172634562</v>
      </c>
      <c r="J50" s="167">
        <f t="shared" si="13"/>
        <v>1332.6234655089572</v>
      </c>
    </row>
    <row r="51" spans="2:11">
      <c r="B51" s="470"/>
      <c r="C51" t="s">
        <v>38</v>
      </c>
      <c r="D51" s="95">
        <f>+IF(D49&lt;0,D49,MAX(0,MIN(D49,D53)))</f>
        <v>429</v>
      </c>
      <c r="E51" s="95">
        <f t="shared" ref="E51:J51" si="14">+IF(E49&lt;0,E49,MAX(0,MIN(E49,E53)))</f>
        <v>415.74000000000069</v>
      </c>
      <c r="F51" s="95">
        <f t="shared" si="14"/>
        <v>57.927982166404945</v>
      </c>
      <c r="G51" s="95">
        <f t="shared" si="14"/>
        <v>0</v>
      </c>
      <c r="H51" s="95">
        <f t="shared" si="14"/>
        <v>269.2935930297599</v>
      </c>
      <c r="I51" s="95">
        <f t="shared" si="14"/>
        <v>565.73637686701022</v>
      </c>
      <c r="J51" s="95">
        <f t="shared" si="14"/>
        <v>0</v>
      </c>
    </row>
    <row r="52" spans="2:11" ht="15.75">
      <c r="B52" s="292"/>
      <c r="D52" s="95"/>
      <c r="E52" s="95"/>
      <c r="F52" s="95"/>
      <c r="G52" s="95"/>
      <c r="H52" s="95"/>
      <c r="I52" s="95"/>
      <c r="J52" s="95"/>
    </row>
    <row r="53" spans="2:11">
      <c r="B53" s="467" t="s">
        <v>202</v>
      </c>
      <c r="C53" t="s">
        <v>40</v>
      </c>
      <c r="D53" s="95">
        <f>+E43-D43</f>
        <v>429</v>
      </c>
      <c r="E53" s="95">
        <f t="shared" ref="E53:J53" si="15">+F43-E43</f>
        <v>415.74000000000069</v>
      </c>
      <c r="F53" s="95">
        <f t="shared" si="15"/>
        <v>57.927982166404945</v>
      </c>
      <c r="G53" s="95">
        <f t="shared" si="15"/>
        <v>-1230.0254567133452</v>
      </c>
      <c r="H53" s="95">
        <f t="shared" si="15"/>
        <v>269.2935930297599</v>
      </c>
      <c r="I53" s="95">
        <f t="shared" si="15"/>
        <v>565.73637686701022</v>
      </c>
      <c r="J53" s="95">
        <f t="shared" si="15"/>
        <v>-7007.6724953498306</v>
      </c>
    </row>
    <row r="54" spans="2:11">
      <c r="B54" s="467"/>
      <c r="C54" t="s">
        <v>42</v>
      </c>
      <c r="D54" s="95">
        <f>+D53-D51</f>
        <v>0</v>
      </c>
      <c r="E54" s="95">
        <f t="shared" ref="E54:J54" si="16">+E53-E51</f>
        <v>0</v>
      </c>
      <c r="F54" s="95">
        <f t="shared" si="16"/>
        <v>0</v>
      </c>
      <c r="G54" s="95">
        <f t="shared" si="16"/>
        <v>-1230.0254567133452</v>
      </c>
      <c r="H54" s="95">
        <f t="shared" si="16"/>
        <v>0</v>
      </c>
      <c r="I54" s="95">
        <f t="shared" si="16"/>
        <v>0</v>
      </c>
      <c r="J54" s="95">
        <f t="shared" si="16"/>
        <v>-7007.6724953498306</v>
      </c>
    </row>
    <row r="55" spans="2:11" ht="15.75">
      <c r="B55" s="467"/>
      <c r="C55" s="27" t="s">
        <v>46</v>
      </c>
      <c r="D55" s="28">
        <f t="shared" ref="D55:J55" si="17">+D48/D47</f>
        <v>0.1</v>
      </c>
      <c r="E55" s="28">
        <f t="shared" si="17"/>
        <v>0.1</v>
      </c>
      <c r="F55" s="28">
        <f t="shared" si="17"/>
        <v>9.9999999999999992E-2</v>
      </c>
      <c r="G55" s="28">
        <f t="shared" si="17"/>
        <v>0.1</v>
      </c>
      <c r="H55" s="28">
        <f t="shared" si="17"/>
        <v>0.10000000000000002</v>
      </c>
      <c r="I55" s="28">
        <f t="shared" si="17"/>
        <v>9.9999999999999992E-2</v>
      </c>
      <c r="J55" s="28">
        <f t="shared" si="17"/>
        <v>9.9999999999999992E-2</v>
      </c>
      <c r="K55" t="s">
        <v>192</v>
      </c>
    </row>
    <row r="56" spans="2:11">
      <c r="J56" s="92"/>
    </row>
    <row r="57" spans="2:11">
      <c r="B57" s="469" t="s">
        <v>193</v>
      </c>
      <c r="C57" s="382" t="s">
        <v>67</v>
      </c>
      <c r="D57" s="163">
        <f>D41*D25</f>
        <v>1100</v>
      </c>
      <c r="E57" s="163">
        <f>E41*E25</f>
        <v>1279.2</v>
      </c>
      <c r="F57" s="164">
        <f>E58*F26+E57</f>
        <v>1368.7440000000001</v>
      </c>
      <c r="G57" s="164">
        <f t="shared" ref="G57:H57" si="18">F58*G26+F57</f>
        <v>1439.9186880000002</v>
      </c>
      <c r="H57" s="164">
        <f t="shared" si="18"/>
        <v>1496.0755168320002</v>
      </c>
      <c r="I57" s="165">
        <f>H58*I26+H57</f>
        <v>1540.060137026861</v>
      </c>
      <c r="J57" s="165">
        <f>I58*J26+I57</f>
        <v>1632.4637452484726</v>
      </c>
      <c r="K57" t="s">
        <v>203</v>
      </c>
    </row>
    <row r="58" spans="2:11" ht="15.75">
      <c r="B58" s="469"/>
      <c r="C58" s="385" t="s">
        <v>195</v>
      </c>
      <c r="D58" s="167">
        <f t="shared" ref="D58:J58" si="19">D57*D27</f>
        <v>660</v>
      </c>
      <c r="E58" s="167">
        <f t="shared" si="19"/>
        <v>639.6</v>
      </c>
      <c r="F58" s="167">
        <f t="shared" si="19"/>
        <v>547.49760000000003</v>
      </c>
      <c r="G58" s="167">
        <f t="shared" si="19"/>
        <v>431.97560640000006</v>
      </c>
      <c r="H58" s="167">
        <f t="shared" si="19"/>
        <v>448.82265504960003</v>
      </c>
      <c r="I58" s="167">
        <f t="shared" si="19"/>
        <v>942.89396144501677</v>
      </c>
      <c r="J58" s="167">
        <f t="shared" si="19"/>
        <v>999.46759913171775</v>
      </c>
    </row>
    <row r="59" spans="2:11">
      <c r="B59" s="469"/>
      <c r="C59" s="32" t="s">
        <v>52</v>
      </c>
      <c r="D59" s="33">
        <f>D57-D58</f>
        <v>440</v>
      </c>
      <c r="E59" s="168">
        <f t="shared" ref="E59:J59" si="20">E57-E58</f>
        <v>639.6</v>
      </c>
      <c r="F59" s="168">
        <f t="shared" si="20"/>
        <v>821.24640000000011</v>
      </c>
      <c r="G59" s="168">
        <f t="shared" si="20"/>
        <v>1007.9430816000001</v>
      </c>
      <c r="H59" s="168">
        <f t="shared" si="20"/>
        <v>1047.2528617824</v>
      </c>
      <c r="I59" s="168">
        <f t="shared" si="20"/>
        <v>597.16617558184419</v>
      </c>
      <c r="J59" s="168">
        <f t="shared" si="20"/>
        <v>632.99614611675486</v>
      </c>
    </row>
    <row r="60" spans="2:11" ht="15.75">
      <c r="B60" s="469"/>
      <c r="C60" s="386" t="s">
        <v>114</v>
      </c>
      <c r="D60" s="92">
        <f t="shared" ref="D60:J60" si="21">D46</f>
        <v>210</v>
      </c>
      <c r="E60" s="92">
        <f t="shared" si="21"/>
        <v>223.85999999999996</v>
      </c>
      <c r="F60" s="92">
        <f t="shared" si="21"/>
        <v>237.29159999999996</v>
      </c>
      <c r="G60" s="92">
        <f t="shared" si="21"/>
        <v>222.22148089167979</v>
      </c>
      <c r="H60" s="92">
        <f t="shared" si="21"/>
        <v>305.32153404734703</v>
      </c>
      <c r="I60" s="92">
        <f t="shared" si="21"/>
        <v>314.29798714833902</v>
      </c>
      <c r="J60" s="92">
        <f t="shared" si="21"/>
        <v>333.15586637723936</v>
      </c>
    </row>
    <row r="61" spans="2:11" ht="15.75">
      <c r="B61" s="469"/>
      <c r="C61" s="387" t="s">
        <v>177</v>
      </c>
      <c r="D61" s="22">
        <f>D60*D55</f>
        <v>21</v>
      </c>
      <c r="E61" s="22">
        <f t="shared" ref="E61:H61" si="22">E60*E55</f>
        <v>22.385999999999996</v>
      </c>
      <c r="F61" s="22">
        <f t="shared" si="22"/>
        <v>23.729159999999993</v>
      </c>
      <c r="G61" s="22">
        <f t="shared" si="22"/>
        <v>22.22214808916798</v>
      </c>
      <c r="H61" s="22">
        <f t="shared" si="22"/>
        <v>30.532153404734707</v>
      </c>
      <c r="I61" s="22">
        <f>I60*I55</f>
        <v>31.4297987148339</v>
      </c>
      <c r="J61" s="22">
        <f>J60*J55</f>
        <v>33.315586637723932</v>
      </c>
    </row>
    <row r="62" spans="2:11" ht="15.75">
      <c r="B62" s="469"/>
      <c r="C62" s="388" t="s">
        <v>57</v>
      </c>
      <c r="D62" s="31">
        <f t="shared" ref="D62:I62" si="23">E42-D42</f>
        <v>230.99999999999955</v>
      </c>
      <c r="E62" s="31">
        <f t="shared" si="23"/>
        <v>223.86000000000013</v>
      </c>
      <c r="F62" s="31">
        <f t="shared" si="23"/>
        <v>489.56961783359566</v>
      </c>
      <c r="G62" s="31">
        <f t="shared" si="23"/>
        <v>1662.0010631133446</v>
      </c>
      <c r="H62" s="31">
        <f t="shared" si="23"/>
        <v>179.52906201984024</v>
      </c>
      <c r="I62" s="31">
        <f t="shared" si="23"/>
        <v>377.15758457800712</v>
      </c>
    </row>
    <row r="63" spans="2:11">
      <c r="B63" s="469"/>
      <c r="C63" s="32" t="s">
        <v>59</v>
      </c>
      <c r="D63" s="33">
        <f>D59-D60+D61+D62</f>
        <v>481.99999999999955</v>
      </c>
      <c r="E63" s="33">
        <f t="shared" ref="E63:I63" si="24">E59-E60+E61+E62</f>
        <v>661.98600000000022</v>
      </c>
      <c r="F63" s="33">
        <f t="shared" si="24"/>
        <v>1097.253577833596</v>
      </c>
      <c r="G63" s="33">
        <f t="shared" si="24"/>
        <v>2469.9448119108329</v>
      </c>
      <c r="H63" s="33">
        <f t="shared" si="24"/>
        <v>951.99254315962787</v>
      </c>
      <c r="I63" s="33">
        <f t="shared" si="24"/>
        <v>691.45557172634619</v>
      </c>
    </row>
    <row r="64" spans="2:11" ht="15.75">
      <c r="B64" s="469"/>
      <c r="C64" s="386" t="s">
        <v>37</v>
      </c>
      <c r="D64" s="22">
        <f t="shared" ref="D64:I64" si="25">-D50</f>
        <v>-482</v>
      </c>
      <c r="E64" s="22">
        <f t="shared" si="25"/>
        <v>-661.98599999999942</v>
      </c>
      <c r="F64" s="22">
        <f t="shared" si="25"/>
        <v>-1097.2535778335953</v>
      </c>
      <c r="G64" s="22">
        <f t="shared" si="25"/>
        <v>-1239.9193551974886</v>
      </c>
      <c r="H64" s="22">
        <f t="shared" si="25"/>
        <v>-951.99254315962776</v>
      </c>
      <c r="I64" s="22">
        <f t="shared" si="25"/>
        <v>-691.45557172634562</v>
      </c>
    </row>
    <row r="65" spans="2:11" ht="15.75">
      <c r="B65" s="469"/>
      <c r="C65" s="388" t="s">
        <v>196</v>
      </c>
      <c r="D65" s="31">
        <f t="shared" ref="D65:I65" si="26">E43-D43-D51</f>
        <v>0</v>
      </c>
      <c r="E65" s="31">
        <f t="shared" si="26"/>
        <v>0</v>
      </c>
      <c r="F65" s="31">
        <f t="shared" si="26"/>
        <v>0</v>
      </c>
      <c r="G65" s="31">
        <f t="shared" si="26"/>
        <v>-1230.0254567133452</v>
      </c>
      <c r="H65" s="31">
        <f t="shared" si="26"/>
        <v>0</v>
      </c>
      <c r="I65" s="31">
        <f t="shared" si="26"/>
        <v>0</v>
      </c>
    </row>
    <row r="66" spans="2:11">
      <c r="B66" s="469"/>
      <c r="C66" t="s">
        <v>197</v>
      </c>
      <c r="D66" s="22">
        <f>SUM(D63:D65)</f>
        <v>-4.5474735088646412E-13</v>
      </c>
      <c r="E66" s="22">
        <f t="shared" ref="E66:I66" si="27">SUM(E63:E65)</f>
        <v>7.9580786405131221E-13</v>
      </c>
      <c r="F66" s="22">
        <f t="shared" si="27"/>
        <v>6.8212102632969618E-13</v>
      </c>
      <c r="G66" s="22">
        <f t="shared" si="27"/>
        <v>0</v>
      </c>
      <c r="H66" s="22">
        <f t="shared" si="27"/>
        <v>1.1368683772161603E-13</v>
      </c>
      <c r="I66" s="22">
        <f t="shared" si="27"/>
        <v>5.6843418860808015E-13</v>
      </c>
    </row>
    <row r="67" spans="2:11" ht="15.75">
      <c r="B67" s="169"/>
    </row>
    <row r="71" spans="2:11">
      <c r="B71" s="470" t="s">
        <v>52</v>
      </c>
      <c r="C71" t="s">
        <v>52</v>
      </c>
      <c r="D71" s="22">
        <f>D59</f>
        <v>440</v>
      </c>
      <c r="E71" s="22">
        <f t="shared" ref="E71:J71" si="28">E59</f>
        <v>639.6</v>
      </c>
      <c r="F71" s="22">
        <f t="shared" si="28"/>
        <v>821.24640000000011</v>
      </c>
      <c r="G71" s="22">
        <f t="shared" si="28"/>
        <v>1007.9430816000001</v>
      </c>
      <c r="H71" s="22">
        <f t="shared" si="28"/>
        <v>1047.2528617824</v>
      </c>
      <c r="I71" s="22">
        <f t="shared" si="28"/>
        <v>597.16617558184419</v>
      </c>
      <c r="J71" s="22">
        <f t="shared" si="28"/>
        <v>632.99614611675486</v>
      </c>
    </row>
    <row r="72" spans="2:11">
      <c r="B72" s="470"/>
      <c r="C72" t="s">
        <v>72</v>
      </c>
      <c r="D72" s="24">
        <f t="shared" ref="D72:J72" si="29">D39</f>
        <v>0.10830684289898129</v>
      </c>
      <c r="E72" s="24">
        <f t="shared" si="29"/>
        <v>0.10831762394713906</v>
      </c>
      <c r="F72" s="24">
        <f t="shared" si="29"/>
        <v>0.10831802022272109</v>
      </c>
      <c r="G72" s="24">
        <f t="shared" si="29"/>
        <v>9.8500000000000004E-2</v>
      </c>
      <c r="H72" s="24">
        <f t="shared" si="29"/>
        <v>9.8000000000000004E-2</v>
      </c>
      <c r="I72" s="24">
        <f t="shared" si="29"/>
        <v>9.8000000000000004E-2</v>
      </c>
      <c r="J72" s="24">
        <f t="shared" si="29"/>
        <v>9.8000000000000004E-2</v>
      </c>
    </row>
    <row r="73" spans="2:11" ht="15.75">
      <c r="B73" s="470"/>
      <c r="C73" s="36" t="s">
        <v>167</v>
      </c>
      <c r="D73" s="170">
        <f t="shared" ref="D73:G73" si="30">(D71+E73)/(1+D72)</f>
        <v>12402.865621486097</v>
      </c>
      <c r="E73" s="170">
        <f t="shared" si="30"/>
        <v>13306.180839849567</v>
      </c>
      <c r="F73" s="170">
        <f t="shared" si="30"/>
        <v>14107.874732233018</v>
      </c>
      <c r="G73" s="170">
        <f t="shared" si="30"/>
        <v>14814.765392778652</v>
      </c>
      <c r="H73" s="170">
        <f>(H71+I73)/(1+H72)</f>
        <v>15266.076702367349</v>
      </c>
      <c r="I73" s="171">
        <f>I71/(I72-J31)</f>
        <v>15714.899357416949</v>
      </c>
      <c r="J73" s="171">
        <f>J71/(J72-K31)</f>
        <v>16657.793318861968</v>
      </c>
      <c r="K73" s="34" t="s">
        <v>198</v>
      </c>
    </row>
    <row r="74" spans="2:11" ht="15.75">
      <c r="B74" s="172">
        <f>D73-D77</f>
        <v>0</v>
      </c>
    </row>
    <row r="75" spans="2:11">
      <c r="B75" s="469" t="s">
        <v>180</v>
      </c>
      <c r="C75" t="s">
        <v>164</v>
      </c>
      <c r="D75" s="22">
        <f>D59+D61</f>
        <v>461</v>
      </c>
      <c r="E75" s="22">
        <f t="shared" ref="E75:G75" si="31">E59+E61</f>
        <v>661.98599999999999</v>
      </c>
      <c r="F75" s="22">
        <f t="shared" si="31"/>
        <v>844.97556000000009</v>
      </c>
      <c r="G75" s="22">
        <f t="shared" si="31"/>
        <v>1030.1652296891682</v>
      </c>
      <c r="H75" s="22">
        <f>H59+H61</f>
        <v>1077.7850151871348</v>
      </c>
      <c r="I75" s="22">
        <f>I59+I61</f>
        <v>628.59597429667804</v>
      </c>
      <c r="J75" s="22">
        <f>J59+J61</f>
        <v>666.31173275447884</v>
      </c>
    </row>
    <row r="76" spans="2:11">
      <c r="B76" s="469"/>
      <c r="C76" t="s">
        <v>63</v>
      </c>
      <c r="D76" s="24">
        <f t="shared" ref="D76:J76" si="32">D28</f>
        <v>0.11</v>
      </c>
      <c r="E76" s="24">
        <f t="shared" si="32"/>
        <v>0.11</v>
      </c>
      <c r="F76" s="24">
        <f t="shared" si="32"/>
        <v>0.11</v>
      </c>
      <c r="G76" s="24">
        <f t="shared" si="32"/>
        <v>0.1</v>
      </c>
      <c r="H76" s="24">
        <f t="shared" si="32"/>
        <v>0.1</v>
      </c>
      <c r="I76" s="24">
        <f t="shared" si="32"/>
        <v>0.1</v>
      </c>
      <c r="J76" s="24">
        <f t="shared" si="32"/>
        <v>0.1</v>
      </c>
    </row>
    <row r="77" spans="2:11" ht="15.75">
      <c r="B77" s="469"/>
      <c r="C77" s="36" t="s">
        <v>167</v>
      </c>
      <c r="D77" s="389">
        <f t="shared" ref="D77:G77" si="33">(D75+E77)/(1+D76)</f>
        <v>12402.865621486091</v>
      </c>
      <c r="E77" s="389">
        <f t="shared" si="33"/>
        <v>13306.180839849563</v>
      </c>
      <c r="F77" s="389">
        <f t="shared" si="33"/>
        <v>14107.874732233016</v>
      </c>
      <c r="G77" s="389">
        <f t="shared" si="33"/>
        <v>14814.765392778649</v>
      </c>
      <c r="H77" s="389">
        <f>(H75+I77)/(1+H76)</f>
        <v>15266.076702367347</v>
      </c>
      <c r="I77" s="390">
        <f>I75/(I76-J31)</f>
        <v>15714.899357416947</v>
      </c>
      <c r="J77" s="390">
        <f>J75/(J76-K31)</f>
        <v>16657.793318861968</v>
      </c>
      <c r="K77" s="391" t="s">
        <v>199</v>
      </c>
    </row>
    <row r="78" spans="2:11" ht="15.75">
      <c r="B78" s="176">
        <f>D77-D83</f>
        <v>0</v>
      </c>
    </row>
    <row r="79" spans="2:11">
      <c r="B79" s="469" t="s">
        <v>59</v>
      </c>
      <c r="C79" t="s">
        <v>59</v>
      </c>
      <c r="D79" s="22">
        <f>D63</f>
        <v>481.99999999999955</v>
      </c>
      <c r="E79" s="22">
        <f t="shared" ref="E79:I79" si="34">E63</f>
        <v>661.98600000000022</v>
      </c>
      <c r="F79" s="22">
        <f t="shared" si="34"/>
        <v>1097.253577833596</v>
      </c>
      <c r="G79" s="22">
        <f t="shared" si="34"/>
        <v>2469.9448119108329</v>
      </c>
      <c r="H79" s="22">
        <f t="shared" si="34"/>
        <v>951.99254315962787</v>
      </c>
      <c r="I79" s="22">
        <f t="shared" si="34"/>
        <v>691.45557172634619</v>
      </c>
    </row>
    <row r="80" spans="2:11" ht="15.75">
      <c r="B80" s="469"/>
      <c r="C80" t="s">
        <v>200</v>
      </c>
      <c r="D80" s="23">
        <f t="shared" ref="D80:I80" si="35">(D28-D34*D29)/(1-D34)</f>
        <v>0.12965659231985446</v>
      </c>
      <c r="E80" s="23">
        <f t="shared" si="35"/>
        <v>0.12948266075807408</v>
      </c>
      <c r="F80" s="23">
        <f t="shared" si="35"/>
        <v>0.12947628415944484</v>
      </c>
      <c r="G80" s="23">
        <f t="shared" si="35"/>
        <v>0.12142857142857144</v>
      </c>
      <c r="H80" s="23">
        <f t="shared" si="35"/>
        <v>0.13333333333333333</v>
      </c>
      <c r="I80" s="23">
        <f t="shared" si="35"/>
        <v>0.13333333333333333</v>
      </c>
    </row>
    <row r="81" spans="2:10" ht="15.75">
      <c r="B81" s="469"/>
      <c r="C81" t="s">
        <v>109</v>
      </c>
      <c r="D81" s="97">
        <f t="shared" ref="D81:G81" si="36">(D79+E81)/(1+D80)</f>
        <v>8902.8656214861003</v>
      </c>
      <c r="E81" s="97">
        <f t="shared" si="36"/>
        <v>9575.1808398495723</v>
      </c>
      <c r="F81" s="97">
        <f t="shared" si="36"/>
        <v>10153.014732233025</v>
      </c>
      <c r="G81" s="97">
        <f t="shared" si="36"/>
        <v>10370.335774945061</v>
      </c>
      <c r="H81" s="97">
        <f>(H79+I81)/(1+H80)</f>
        <v>9159.6460214204144</v>
      </c>
      <c r="I81" s="170">
        <f>I79/(I80-J31)</f>
        <v>9428.9396144501752</v>
      </c>
    </row>
    <row r="82" spans="2:10">
      <c r="B82" s="469"/>
      <c r="C82" t="s">
        <v>6</v>
      </c>
      <c r="D82" s="98">
        <f t="shared" ref="D82:I82" si="37">D42</f>
        <v>3500</v>
      </c>
      <c r="E82" s="98">
        <f t="shared" si="37"/>
        <v>3730.9999999999995</v>
      </c>
      <c r="F82" s="98">
        <f t="shared" si="37"/>
        <v>3954.8599999999997</v>
      </c>
      <c r="G82" s="98">
        <f t="shared" si="37"/>
        <v>4444.4296178335953</v>
      </c>
      <c r="H82" s="98">
        <f t="shared" si="37"/>
        <v>6106.4306809469399</v>
      </c>
      <c r="I82" s="98">
        <f t="shared" si="37"/>
        <v>6285.9597429667801</v>
      </c>
    </row>
    <row r="83" spans="2:10" ht="15.75">
      <c r="B83" s="469"/>
      <c r="C83" s="48" t="s">
        <v>167</v>
      </c>
      <c r="D83" s="177">
        <f>D81+D82</f>
        <v>12402.8656214861</v>
      </c>
      <c r="E83" s="177">
        <f t="shared" ref="E83:I83" si="38">E81+E82</f>
        <v>13306.180839849572</v>
      </c>
      <c r="F83" s="177">
        <f t="shared" si="38"/>
        <v>14107.874732233024</v>
      </c>
      <c r="G83" s="177">
        <f t="shared" si="38"/>
        <v>14814.765392778656</v>
      </c>
      <c r="H83" s="177">
        <f t="shared" si="38"/>
        <v>15266.076702367354</v>
      </c>
      <c r="I83" s="178">
        <f t="shared" si="38"/>
        <v>15714.899357416954</v>
      </c>
      <c r="J83" s="30" t="s">
        <v>201</v>
      </c>
    </row>
  </sheetData>
  <mergeCells count="7">
    <mergeCell ref="B79:B83"/>
    <mergeCell ref="B41:B43"/>
    <mergeCell ref="B45:B51"/>
    <mergeCell ref="B53:B55"/>
    <mergeCell ref="B57:B66"/>
    <mergeCell ref="B71:B73"/>
    <mergeCell ref="B75:B7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06B2-7AA5-41F3-B8A7-FA299E81607D}">
  <dimension ref="B17:G98"/>
  <sheetViews>
    <sheetView tabSelected="1" zoomScale="80" zoomScaleNormal="80" workbookViewId="0">
      <selection activeCell="B55" sqref="B55:F98"/>
    </sheetView>
  </sheetViews>
  <sheetFormatPr defaultRowHeight="15"/>
  <cols>
    <col min="2" max="2" width="22.7109375" bestFit="1" customWidth="1"/>
    <col min="3" max="3" width="42.5703125" bestFit="1" customWidth="1"/>
    <col min="4" max="4" width="12.5703125" customWidth="1"/>
    <col min="5" max="5" width="10.85546875" customWidth="1"/>
    <col min="6" max="6" width="11.42578125" customWidth="1"/>
  </cols>
  <sheetData>
    <row r="17" spans="3:6" ht="15.75" thickBot="1"/>
    <row r="18" spans="3:6" ht="16.5" thickBot="1">
      <c r="C18" s="1"/>
      <c r="D18" s="2">
        <f ca="1">+E18-1</f>
        <v>2020</v>
      </c>
      <c r="E18" s="2">
        <f ca="1">+F18-1</f>
        <v>2021</v>
      </c>
      <c r="F18" s="2">
        <f ca="1">+YEAR(TODAY())-1</f>
        <v>2022</v>
      </c>
    </row>
    <row r="19" spans="3:6" ht="16.5" thickBot="1">
      <c r="C19" s="3" t="s">
        <v>2</v>
      </c>
      <c r="D19" s="4">
        <v>12000</v>
      </c>
      <c r="E19" s="4">
        <v>13200</v>
      </c>
      <c r="F19" s="4">
        <v>14256</v>
      </c>
    </row>
    <row r="20" spans="3:6" ht="16.5" thickBot="1">
      <c r="C20" s="3" t="s">
        <v>204</v>
      </c>
      <c r="D20" s="4">
        <v>0</v>
      </c>
      <c r="E20" s="4">
        <v>396</v>
      </c>
      <c r="F20" s="4">
        <v>712.8</v>
      </c>
    </row>
    <row r="21" spans="3:6" ht="16.5" thickBot="1">
      <c r="C21" s="3" t="s">
        <v>205</v>
      </c>
      <c r="D21" s="4">
        <v>7680</v>
      </c>
      <c r="E21" s="4">
        <v>8580</v>
      </c>
      <c r="F21" s="4">
        <v>9408.9599999999991</v>
      </c>
    </row>
    <row r="22" spans="3:6" ht="16.5" thickBot="1">
      <c r="C22" s="3" t="s">
        <v>206</v>
      </c>
      <c r="D22" s="4">
        <v>3840</v>
      </c>
      <c r="E22" s="4">
        <v>3960</v>
      </c>
      <c r="F22" s="4">
        <v>4419.3599999999997</v>
      </c>
    </row>
    <row r="23" spans="3:6" ht="16.5" thickBot="1">
      <c r="C23" s="3" t="s">
        <v>207</v>
      </c>
      <c r="D23" s="4">
        <v>250</v>
      </c>
      <c r="E23" s="4">
        <v>150</v>
      </c>
      <c r="F23" s="4">
        <v>180</v>
      </c>
    </row>
    <row r="24" spans="3:6" ht="16.5" thickBot="1">
      <c r="C24" s="3"/>
      <c r="D24" s="4"/>
      <c r="E24" s="4"/>
      <c r="F24" s="4"/>
    </row>
    <row r="25" spans="3:6" ht="16.5" thickBot="1">
      <c r="C25" s="5" t="s">
        <v>27</v>
      </c>
      <c r="D25" s="6">
        <f>+D19+D20-D21-D22-D23</f>
        <v>230</v>
      </c>
      <c r="E25" s="6">
        <f t="shared" ref="E25:F25" si="0">+E19+E20-E21-E22-E23</f>
        <v>906</v>
      </c>
      <c r="F25" s="6">
        <f t="shared" si="0"/>
        <v>960.48000000000047</v>
      </c>
    </row>
    <row r="26" spans="3:6" ht="16.5" thickBot="1">
      <c r="C26" s="3" t="s">
        <v>208</v>
      </c>
      <c r="D26" s="4">
        <v>100</v>
      </c>
      <c r="E26" s="4">
        <v>0</v>
      </c>
      <c r="F26" s="4">
        <v>120</v>
      </c>
    </row>
    <row r="27" spans="3:6" ht="16.5" thickBot="1">
      <c r="C27" s="3" t="s">
        <v>209</v>
      </c>
      <c r="D27" s="4">
        <v>10</v>
      </c>
      <c r="E27" s="4">
        <v>0</v>
      </c>
      <c r="F27" s="4">
        <v>50</v>
      </c>
    </row>
    <row r="28" spans="3:6" ht="16.5" thickBot="1">
      <c r="C28" s="3" t="s">
        <v>210</v>
      </c>
      <c r="D28" s="4">
        <v>80</v>
      </c>
      <c r="E28" s="4">
        <v>85</v>
      </c>
      <c r="F28" s="4">
        <v>40</v>
      </c>
    </row>
    <row r="29" spans="3:6" ht="16.5" thickBot="1">
      <c r="C29" s="3"/>
      <c r="D29" s="4"/>
      <c r="E29" s="4"/>
      <c r="F29" s="4"/>
    </row>
    <row r="30" spans="3:6" ht="16.5" thickBot="1">
      <c r="C30" s="5" t="s">
        <v>211</v>
      </c>
      <c r="D30" s="6">
        <f>+D26+D27-D28</f>
        <v>30</v>
      </c>
      <c r="E30" s="6">
        <f>+E26+E27-E28</f>
        <v>-85</v>
      </c>
      <c r="F30" s="6">
        <f>+F26+F27-F28</f>
        <v>130</v>
      </c>
    </row>
    <row r="31" spans="3:6" ht="16.5" thickBot="1">
      <c r="C31" s="3" t="s">
        <v>31</v>
      </c>
      <c r="D31" s="4">
        <f>+D30+D25</f>
        <v>260</v>
      </c>
      <c r="E31" s="4">
        <f>+E30+E25</f>
        <v>821</v>
      </c>
      <c r="F31" s="4">
        <f>+F30+F25</f>
        <v>1090.4800000000005</v>
      </c>
    </row>
    <row r="32" spans="3:6" ht="16.5" thickBot="1">
      <c r="C32" s="3" t="s">
        <v>33</v>
      </c>
      <c r="D32" s="4">
        <v>23</v>
      </c>
      <c r="E32" s="4">
        <v>74</v>
      </c>
      <c r="F32" s="4">
        <v>98</v>
      </c>
    </row>
    <row r="33" spans="3:6" ht="16.5" thickBot="1">
      <c r="C33" s="5" t="s">
        <v>35</v>
      </c>
      <c r="D33" s="6">
        <f>+D31-D32</f>
        <v>237</v>
      </c>
      <c r="E33" s="6">
        <f t="shared" ref="E33:F33" si="1">+E31-E32</f>
        <v>747</v>
      </c>
      <c r="F33" s="6">
        <f t="shared" si="1"/>
        <v>992.48000000000047</v>
      </c>
    </row>
    <row r="34" spans="3:6" ht="16.5" thickBot="1">
      <c r="C34" s="3" t="s">
        <v>37</v>
      </c>
      <c r="D34" s="4">
        <v>30</v>
      </c>
      <c r="E34" s="4">
        <v>164.2</v>
      </c>
      <c r="F34" s="4">
        <v>297.70999999999998</v>
      </c>
    </row>
    <row r="35" spans="3:6" ht="16.5" thickBot="1">
      <c r="C35" s="3" t="s">
        <v>38</v>
      </c>
      <c r="D35" s="4">
        <f>+D33-D34</f>
        <v>207</v>
      </c>
      <c r="E35" s="4">
        <f t="shared" ref="E35:F35" si="2">+E33-E34</f>
        <v>582.79999999999995</v>
      </c>
      <c r="F35" s="4">
        <f t="shared" si="2"/>
        <v>694.77000000000044</v>
      </c>
    </row>
    <row r="36" spans="3:6" ht="16.5" thickBot="1">
      <c r="C36" s="8"/>
      <c r="D36" s="9"/>
      <c r="E36" s="9"/>
      <c r="F36" s="9"/>
    </row>
    <row r="37" spans="3:6" ht="16.5" thickBot="1">
      <c r="C37" s="3" t="s">
        <v>82</v>
      </c>
      <c r="D37" s="4">
        <v>779.6</v>
      </c>
      <c r="E37" s="4">
        <v>254.77</v>
      </c>
      <c r="F37" s="4">
        <v>182.54</v>
      </c>
    </row>
    <row r="38" spans="3:6" ht="16.5" thickBot="1">
      <c r="C38" s="3"/>
      <c r="D38" s="4"/>
      <c r="E38" s="4"/>
      <c r="F38" s="4"/>
    </row>
    <row r="39" spans="3:6" ht="16.5" thickBot="1">
      <c r="C39" s="3"/>
      <c r="D39" s="4"/>
      <c r="E39" s="4"/>
      <c r="F39" s="4"/>
    </row>
    <row r="40" spans="3:6" ht="16.5" thickBot="1">
      <c r="C40" s="3" t="s">
        <v>212</v>
      </c>
      <c r="D40" s="4">
        <v>48.4</v>
      </c>
      <c r="E40" s="4">
        <v>50</v>
      </c>
      <c r="F40" s="4">
        <v>0</v>
      </c>
    </row>
    <row r="41" spans="3:6" ht="16.5" thickBot="1">
      <c r="C41" s="3" t="s">
        <v>81</v>
      </c>
      <c r="D41" s="4">
        <v>300</v>
      </c>
      <c r="E41" s="4">
        <v>733.33</v>
      </c>
      <c r="F41" s="4">
        <v>1108.8</v>
      </c>
    </row>
    <row r="42" spans="3:6" ht="16.5" thickBot="1">
      <c r="C42" s="3" t="s">
        <v>80</v>
      </c>
      <c r="D42" s="4">
        <v>250</v>
      </c>
      <c r="E42" s="4">
        <v>870.83</v>
      </c>
      <c r="F42" s="4">
        <v>768.24</v>
      </c>
    </row>
    <row r="43" spans="3:6" ht="16.5" thickBot="1">
      <c r="C43" s="5" t="s">
        <v>213</v>
      </c>
      <c r="D43" s="10">
        <f>SUM(D37:D42)</f>
        <v>1378</v>
      </c>
      <c r="E43" s="10">
        <f>SUM(E37:E42)</f>
        <v>1908.9299999999998</v>
      </c>
      <c r="F43" s="10">
        <f>SUM(F37:F42)</f>
        <v>2059.58</v>
      </c>
    </row>
    <row r="44" spans="3:6" ht="16.5" thickBot="1">
      <c r="C44" s="3" t="s">
        <v>79</v>
      </c>
      <c r="D44" s="4">
        <v>1000</v>
      </c>
      <c r="E44" s="4">
        <v>1200</v>
      </c>
      <c r="F44" s="4">
        <v>1500</v>
      </c>
    </row>
    <row r="45" spans="3:6" ht="16.5" thickBot="1">
      <c r="C45" s="5" t="s">
        <v>214</v>
      </c>
      <c r="D45" s="6">
        <f>+D44+D43</f>
        <v>2378</v>
      </c>
      <c r="E45" s="6">
        <f t="shared" ref="E45:F45" si="3">+E44+E43</f>
        <v>3108.93</v>
      </c>
      <c r="F45" s="6">
        <f t="shared" si="3"/>
        <v>3559.58</v>
      </c>
    </row>
    <row r="46" spans="3:6" ht="16.5" thickBot="1">
      <c r="C46" s="3" t="s">
        <v>215</v>
      </c>
      <c r="D46" s="4">
        <v>300</v>
      </c>
      <c r="E46" s="4">
        <v>250</v>
      </c>
      <c r="F46" s="4">
        <v>100</v>
      </c>
    </row>
    <row r="47" spans="3:6" ht="16.5" thickBot="1">
      <c r="C47" s="3"/>
      <c r="D47" s="4"/>
      <c r="E47" s="4"/>
      <c r="F47" s="4"/>
    </row>
    <row r="48" spans="3:6" ht="16.5" thickBot="1">
      <c r="C48" s="3"/>
      <c r="D48" s="4"/>
      <c r="E48" s="4"/>
      <c r="F48" s="4"/>
    </row>
    <row r="49" spans="2:6" ht="16.5" thickBot="1">
      <c r="C49" s="3" t="s">
        <v>83</v>
      </c>
      <c r="D49" s="4">
        <v>300</v>
      </c>
      <c r="E49" s="4">
        <v>238.33</v>
      </c>
      <c r="F49" s="4">
        <v>444.31</v>
      </c>
    </row>
    <row r="50" spans="2:6" ht="16.5" thickBot="1">
      <c r="C50" s="5" t="s">
        <v>216</v>
      </c>
      <c r="D50" s="6">
        <f>+D46+D49</f>
        <v>600</v>
      </c>
      <c r="E50" s="6">
        <f t="shared" ref="E50:F50" si="4">+E46+E49</f>
        <v>488.33000000000004</v>
      </c>
      <c r="F50" s="6">
        <f t="shared" si="4"/>
        <v>544.30999999999995</v>
      </c>
    </row>
    <row r="51" spans="2:6" ht="16.5" thickBot="1">
      <c r="C51" s="3" t="s">
        <v>217</v>
      </c>
      <c r="D51" s="4">
        <v>500</v>
      </c>
      <c r="E51" s="4">
        <v>600</v>
      </c>
      <c r="F51" s="4">
        <v>300</v>
      </c>
    </row>
    <row r="52" spans="2:6" ht="16.5" thickBot="1">
      <c r="C52" s="3" t="s">
        <v>86</v>
      </c>
      <c r="D52" s="4">
        <v>1278</v>
      </c>
      <c r="E52" s="4">
        <v>2020.6</v>
      </c>
      <c r="F52" s="4">
        <v>2715.27</v>
      </c>
    </row>
    <row r="53" spans="2:6" ht="16.5" thickBot="1">
      <c r="C53" s="5" t="s">
        <v>218</v>
      </c>
      <c r="D53" s="6">
        <f>+D50+D51+D52</f>
        <v>2378</v>
      </c>
      <c r="E53" s="6">
        <f t="shared" ref="E53:F53" si="5">+E50+E51+E52</f>
        <v>3108.93</v>
      </c>
      <c r="F53" s="6">
        <f t="shared" si="5"/>
        <v>3559.58</v>
      </c>
    </row>
    <row r="55" spans="2:6">
      <c r="C55" t="s">
        <v>46</v>
      </c>
      <c r="D55" s="23"/>
      <c r="E55" s="23">
        <f>E32/E31</f>
        <v>9.0133982947624841E-2</v>
      </c>
      <c r="F55" s="23">
        <f>F32/F31</f>
        <v>8.9868681681461338E-2</v>
      </c>
    </row>
    <row r="56" spans="2:6">
      <c r="B56" t="s">
        <v>219</v>
      </c>
    </row>
    <row r="57" spans="2:6" ht="15.75">
      <c r="C57" s="48" t="s">
        <v>220</v>
      </c>
    </row>
    <row r="58" spans="2:6">
      <c r="C58" t="s">
        <v>27</v>
      </c>
      <c r="E58" s="22">
        <f>E25</f>
        <v>906</v>
      </c>
      <c r="F58" s="22">
        <f>F25</f>
        <v>960.48000000000047</v>
      </c>
    </row>
    <row r="59" spans="2:6" ht="15.75">
      <c r="C59" s="209" t="s">
        <v>221</v>
      </c>
      <c r="E59" s="22">
        <f>-E20</f>
        <v>-396</v>
      </c>
      <c r="F59" s="22">
        <f>-F20</f>
        <v>-712.8</v>
      </c>
    </row>
    <row r="60" spans="2:6" ht="15.75">
      <c r="B60" t="s">
        <v>222</v>
      </c>
      <c r="C60" s="48" t="s">
        <v>223</v>
      </c>
      <c r="D60" s="48"/>
      <c r="E60" s="210">
        <f>SUM(E58:E59)</f>
        <v>510</v>
      </c>
      <c r="F60" s="210">
        <f>SUM(F58:F59)</f>
        <v>247.68000000000052</v>
      </c>
    </row>
    <row r="61" spans="2:6">
      <c r="C61" t="s">
        <v>224</v>
      </c>
      <c r="E61" s="22">
        <f>E60*E55</f>
        <v>45.968331303288672</v>
      </c>
      <c r="F61" s="22">
        <f>F60*F55</f>
        <v>22.258675078864389</v>
      </c>
    </row>
    <row r="62" spans="2:6">
      <c r="B62" t="s">
        <v>225</v>
      </c>
      <c r="C62" t="s">
        <v>49</v>
      </c>
      <c r="E62" s="22">
        <f>E60-E61</f>
        <v>464.03166869671134</v>
      </c>
      <c r="F62" s="22">
        <f>F60-F61</f>
        <v>225.42132492113612</v>
      </c>
    </row>
    <row r="63" spans="2:6" ht="15.75">
      <c r="B63" t="s">
        <v>226</v>
      </c>
      <c r="C63" s="211" t="s">
        <v>227</v>
      </c>
      <c r="E63" s="22">
        <f>+E23</f>
        <v>150</v>
      </c>
      <c r="F63" s="22">
        <f>+F23</f>
        <v>180</v>
      </c>
    </row>
    <row r="64" spans="2:6" ht="15.75">
      <c r="C64" s="212" t="s">
        <v>228</v>
      </c>
      <c r="E64" s="22">
        <f>D42-E42</f>
        <v>-620.83000000000004</v>
      </c>
      <c r="F64" s="22">
        <f>E42-F42</f>
        <v>102.59000000000003</v>
      </c>
    </row>
    <row r="65" spans="2:6" ht="15.75">
      <c r="C65" s="212" t="s">
        <v>229</v>
      </c>
      <c r="E65" s="22">
        <f>D41-E41</f>
        <v>-433.33000000000004</v>
      </c>
      <c r="F65" s="22">
        <f>E41-F41</f>
        <v>-375.46999999999991</v>
      </c>
    </row>
    <row r="66" spans="2:6" ht="15.75">
      <c r="C66" s="212" t="s">
        <v>230</v>
      </c>
      <c r="E66" s="22">
        <f>D37-E37</f>
        <v>524.83000000000004</v>
      </c>
      <c r="F66" s="22">
        <f>E37-F37</f>
        <v>72.230000000000018</v>
      </c>
    </row>
    <row r="67" spans="2:6" ht="15.75">
      <c r="C67" s="213" t="s">
        <v>231</v>
      </c>
      <c r="E67" s="22">
        <f>E49-D49</f>
        <v>-61.669999999999987</v>
      </c>
      <c r="F67" s="22">
        <f>F49-E49</f>
        <v>205.98</v>
      </c>
    </row>
    <row r="68" spans="2:6" ht="15.75">
      <c r="C68" s="213" t="s">
        <v>232</v>
      </c>
      <c r="E68" s="22">
        <f>E46-D46</f>
        <v>-50</v>
      </c>
      <c r="F68" s="22">
        <f>F46-E46</f>
        <v>-150</v>
      </c>
    </row>
    <row r="69" spans="2:6" ht="15.75">
      <c r="C69" s="48" t="s">
        <v>233</v>
      </c>
      <c r="E69" s="210">
        <f>SUM(E62:E68)</f>
        <v>-26.968331303288693</v>
      </c>
      <c r="F69" s="210">
        <f>SUM(F62:F68)</f>
        <v>260.7513249211363</v>
      </c>
    </row>
    <row r="70" spans="2:6" ht="15.75">
      <c r="C70" s="48"/>
    </row>
    <row r="71" spans="2:6" ht="15.75">
      <c r="C71" s="212" t="s">
        <v>234</v>
      </c>
      <c r="E71" s="22">
        <f>D44-E44</f>
        <v>-200</v>
      </c>
      <c r="F71" s="22">
        <f>E44-F44</f>
        <v>-300</v>
      </c>
    </row>
    <row r="72" spans="2:6" ht="15.75">
      <c r="C72" s="214" t="s">
        <v>227</v>
      </c>
      <c r="E72" s="22">
        <f>-E63</f>
        <v>-150</v>
      </c>
      <c r="F72" s="22">
        <f>-F63</f>
        <v>-180</v>
      </c>
    </row>
    <row r="73" spans="2:6" ht="15.75">
      <c r="B73" t="s">
        <v>222</v>
      </c>
      <c r="C73" s="48" t="s">
        <v>235</v>
      </c>
      <c r="E73" s="22">
        <f>SUM(E71:E72)</f>
        <v>-350</v>
      </c>
      <c r="F73" s="22">
        <f>SUM(F71:F72)</f>
        <v>-480</v>
      </c>
    </row>
    <row r="75" spans="2:6" ht="15.75">
      <c r="C75" s="215" t="s">
        <v>52</v>
      </c>
      <c r="D75" s="215"/>
      <c r="E75" s="216">
        <f>E73+E69</f>
        <v>-376.96833130328866</v>
      </c>
      <c r="F75" s="216">
        <f>F73+F69</f>
        <v>-219.2486750788637</v>
      </c>
    </row>
    <row r="77" spans="2:6" ht="15.75">
      <c r="C77" s="212" t="s">
        <v>236</v>
      </c>
      <c r="E77" s="22">
        <f>D40-E40</f>
        <v>-1.6000000000000014</v>
      </c>
      <c r="F77" s="22">
        <f>E40-F40</f>
        <v>50</v>
      </c>
    </row>
    <row r="78" spans="2:6" ht="15.75">
      <c r="C78" s="217" t="s">
        <v>237</v>
      </c>
      <c r="E78" s="22">
        <f>E26</f>
        <v>0</v>
      </c>
      <c r="F78" s="22">
        <f>F26</f>
        <v>120</v>
      </c>
    </row>
    <row r="79" spans="2:6" ht="15.75">
      <c r="C79" s="218" t="s">
        <v>238</v>
      </c>
      <c r="E79">
        <f>-E78*E55</f>
        <v>0</v>
      </c>
      <c r="F79" s="219">
        <f>-F78*F55</f>
        <v>-10.784241801775361</v>
      </c>
    </row>
    <row r="80" spans="2:6" ht="15.75">
      <c r="B80" t="s">
        <v>239</v>
      </c>
      <c r="C80" s="217" t="s">
        <v>209</v>
      </c>
      <c r="E80" s="22">
        <f>E27</f>
        <v>0</v>
      </c>
      <c r="F80" s="22">
        <f>F27</f>
        <v>50</v>
      </c>
    </row>
    <row r="81" spans="2:7" ht="15.75">
      <c r="C81" s="218" t="s">
        <v>240</v>
      </c>
      <c r="E81">
        <f>E80*E55</f>
        <v>0</v>
      </c>
      <c r="F81" s="219">
        <f>F80*F55</f>
        <v>4.4934340840730673</v>
      </c>
    </row>
    <row r="82" spans="2:7" ht="15.75">
      <c r="C82" s="209" t="s">
        <v>241</v>
      </c>
      <c r="E82" s="22">
        <f>E30</f>
        <v>-85</v>
      </c>
      <c r="F82" s="22">
        <f>-F28</f>
        <v>-40</v>
      </c>
    </row>
    <row r="83" spans="2:7" ht="15.75">
      <c r="B83" t="s">
        <v>222</v>
      </c>
      <c r="C83" s="220" t="s">
        <v>177</v>
      </c>
      <c r="E83" s="219">
        <f>-E82*E55</f>
        <v>7.6613885505481116</v>
      </c>
      <c r="F83" s="219">
        <f>-F82*F55</f>
        <v>3.5947472672584535</v>
      </c>
      <c r="G83" t="s">
        <v>242</v>
      </c>
    </row>
    <row r="84" spans="2:7" ht="15.75">
      <c r="C84" s="213" t="s">
        <v>243</v>
      </c>
      <c r="E84" s="22">
        <f>E51-D51</f>
        <v>100</v>
      </c>
      <c r="F84" s="22">
        <f>F51-E51</f>
        <v>-300</v>
      </c>
    </row>
    <row r="86" spans="2:7" ht="15.75">
      <c r="C86" s="215" t="s">
        <v>59</v>
      </c>
      <c r="D86" s="215"/>
      <c r="E86" s="216">
        <f>SUM(E75:E84)</f>
        <v>-355.90694275274058</v>
      </c>
      <c r="F86" s="216">
        <f>SUM(F75:F84)</f>
        <v>-341.94473552930754</v>
      </c>
    </row>
    <row r="88" spans="2:7" ht="15.75">
      <c r="C88" s="209" t="s">
        <v>244</v>
      </c>
      <c r="E88" s="22">
        <f>-D34</f>
        <v>-30</v>
      </c>
      <c r="F88" s="22">
        <f>-E34</f>
        <v>-164.2</v>
      </c>
    </row>
    <row r="89" spans="2:7" ht="15.75">
      <c r="B89" t="s">
        <v>222</v>
      </c>
      <c r="C89" s="221" t="s">
        <v>245</v>
      </c>
      <c r="E89" s="22">
        <f>(E52-D52)-E35</f>
        <v>159.79999999999995</v>
      </c>
      <c r="F89" s="22">
        <f>(F52-E52)-F35</f>
        <v>-0.1000000000003638</v>
      </c>
      <c r="G89" t="s">
        <v>242</v>
      </c>
    </row>
    <row r="90" spans="2:7" ht="15.75">
      <c r="B90" t="s">
        <v>246</v>
      </c>
      <c r="C90" s="52"/>
    </row>
    <row r="91" spans="2:7" ht="15.75">
      <c r="C91" s="222" t="s">
        <v>247</v>
      </c>
      <c r="E91" s="210">
        <f>SUM(E86:E89)</f>
        <v>-226.10694275274062</v>
      </c>
      <c r="F91" s="210">
        <f>SUM(F86:F89)</f>
        <v>-506.24473552930789</v>
      </c>
    </row>
    <row r="92" spans="2:7" ht="15.75">
      <c r="C92" s="223"/>
    </row>
    <row r="93" spans="2:7" ht="15.75">
      <c r="C93" s="224" t="s">
        <v>248</v>
      </c>
      <c r="E93" s="22">
        <f>E20</f>
        <v>396</v>
      </c>
      <c r="F93" s="22">
        <f>F20</f>
        <v>712.8</v>
      </c>
    </row>
    <row r="94" spans="2:7" ht="15.75">
      <c r="C94" s="115" t="s">
        <v>249</v>
      </c>
      <c r="E94" s="219">
        <f>-E93*$E$55</f>
        <v>-35.693057247259439</v>
      </c>
      <c r="F94" s="219">
        <f>-F93*$E$55</f>
        <v>-64.247503045066978</v>
      </c>
    </row>
    <row r="95" spans="2:7" ht="15.75">
      <c r="B95" t="s">
        <v>222</v>
      </c>
      <c r="C95" s="222" t="s">
        <v>250</v>
      </c>
      <c r="E95" s="210">
        <f>SUM(E93:E94)</f>
        <v>360.30694275274055</v>
      </c>
      <c r="F95" s="210">
        <f>SUM(F93:F94)</f>
        <v>648.55249695493296</v>
      </c>
    </row>
    <row r="98" spans="3:6" ht="15.75">
      <c r="C98" s="222" t="s">
        <v>251</v>
      </c>
      <c r="E98" s="210">
        <f>E95+E91</f>
        <v>134.19999999999993</v>
      </c>
      <c r="F98" s="210">
        <f>F95+F91</f>
        <v>142.30776142562507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6C5F9-6E4E-4BAF-B3AF-6A8385B42C91}">
  <dimension ref="B1:F106"/>
  <sheetViews>
    <sheetView topLeftCell="A4" workbookViewId="0">
      <selection activeCell="B20" sqref="B20"/>
    </sheetView>
  </sheetViews>
  <sheetFormatPr defaultRowHeight="15"/>
  <cols>
    <col min="2" max="2" width="22.7109375" bestFit="1" customWidth="1"/>
    <col min="3" max="3" width="45.140625" bestFit="1" customWidth="1"/>
  </cols>
  <sheetData>
    <row r="1" spans="2:3" ht="15.75" thickBot="1"/>
    <row r="2" spans="2:3" ht="18.75">
      <c r="B2" s="11" t="str">
        <f>+[3]Admin!C12</f>
        <v>Date</v>
      </c>
      <c r="C2" s="67">
        <f>+[3]Admin!D12</f>
        <v>44187</v>
      </c>
    </row>
    <row r="3" spans="2:3" ht="18.75">
      <c r="B3" s="13" t="str">
        <f>+[3]Admin!C13</f>
        <v>Student name</v>
      </c>
      <c r="C3" s="14" t="str">
        <f>+[3]Admin!D13</f>
        <v>Balsam Khalaf</v>
      </c>
    </row>
    <row r="4" spans="2:3" ht="18.75">
      <c r="B4" s="13" t="str">
        <f>+[3]Admin!C14</f>
        <v>Neptun code</v>
      </c>
      <c r="C4" s="14" t="str">
        <f>+[3]Admin!D14</f>
        <v>HA86QX</v>
      </c>
    </row>
    <row r="5" spans="2:3" ht="18.75">
      <c r="B5" s="13"/>
      <c r="C5" s="15"/>
    </row>
    <row r="6" spans="2:3" ht="18.75">
      <c r="B6" s="13" t="str">
        <f>+[3]Admin!C16</f>
        <v>Study program</v>
      </c>
      <c r="C6" s="15" t="str">
        <f>+[3]Admin!D16</f>
        <v>Master in Finance</v>
      </c>
    </row>
    <row r="7" spans="2:3" ht="19.5" thickBot="1">
      <c r="B7" s="16" t="str">
        <f>+[3]Admin!C17</f>
        <v>Instructor</v>
      </c>
      <c r="C7" s="17" t="str">
        <f>+[3]Admin!D17</f>
        <v>Péter Juhász, PhD, CFA</v>
      </c>
    </row>
    <row r="8" spans="2:3" ht="15.75" thickBot="1"/>
    <row r="9" spans="2:3" ht="21" thickBot="1">
      <c r="B9" s="18" t="s">
        <v>95</v>
      </c>
      <c r="C9" s="19"/>
    </row>
    <row r="17" spans="3:6" ht="15.75" thickBot="1"/>
    <row r="18" spans="3:6" ht="16.5" thickBot="1">
      <c r="C18" s="1"/>
      <c r="D18" s="2">
        <v>2018</v>
      </c>
      <c r="E18" s="2">
        <v>2019</v>
      </c>
      <c r="F18" s="2">
        <v>2020</v>
      </c>
    </row>
    <row r="19" spans="3:6" ht="16.5" thickBot="1">
      <c r="C19" s="3" t="s">
        <v>2</v>
      </c>
      <c r="D19" s="4">
        <v>12000</v>
      </c>
      <c r="E19" s="4">
        <v>13500</v>
      </c>
      <c r="F19" s="4">
        <v>15000</v>
      </c>
    </row>
    <row r="20" spans="3:6" ht="16.5" thickBot="1">
      <c r="C20" s="422" t="s">
        <v>204</v>
      </c>
      <c r="D20" s="423">
        <v>170</v>
      </c>
      <c r="E20" s="423">
        <v>250</v>
      </c>
      <c r="F20" s="423">
        <v>300</v>
      </c>
    </row>
    <row r="21" spans="3:6" ht="16.5" thickBot="1">
      <c r="C21" s="3" t="s">
        <v>205</v>
      </c>
      <c r="D21" s="4">
        <v>7680</v>
      </c>
      <c r="E21" s="4">
        <v>8580</v>
      </c>
      <c r="F21" s="4">
        <v>9408.9599999999991</v>
      </c>
    </row>
    <row r="22" spans="3:6" ht="16.5" thickBot="1">
      <c r="C22" s="3" t="s">
        <v>206</v>
      </c>
      <c r="D22" s="4">
        <v>3840</v>
      </c>
      <c r="E22" s="4">
        <v>3960</v>
      </c>
      <c r="F22" s="4">
        <v>4419.3599999999997</v>
      </c>
    </row>
    <row r="23" spans="3:6" ht="16.5" thickBot="1">
      <c r="C23" s="3" t="s">
        <v>207</v>
      </c>
      <c r="D23" s="4">
        <v>250</v>
      </c>
      <c r="E23" s="4">
        <v>150</v>
      </c>
      <c r="F23" s="4">
        <v>180</v>
      </c>
    </row>
    <row r="24" spans="3:6" ht="16.5" thickBot="1">
      <c r="C24" s="422" t="s">
        <v>252</v>
      </c>
      <c r="D24" s="423">
        <v>50</v>
      </c>
      <c r="E24" s="423">
        <v>70</v>
      </c>
      <c r="F24" s="423">
        <v>80</v>
      </c>
    </row>
    <row r="25" spans="3:6" ht="16.5" thickBot="1">
      <c r="C25" s="5" t="s">
        <v>27</v>
      </c>
      <c r="D25" s="6">
        <f>+D19+D20-D21-D22-D23-D24</f>
        <v>350</v>
      </c>
      <c r="E25" s="6">
        <f>+E19+E20-E21-E22-E23-E24</f>
        <v>990</v>
      </c>
      <c r="F25" s="6">
        <f t="shared" ref="F25" si="0">+F19+F20-F21-F22-F23-F24</f>
        <v>1211.6800000000012</v>
      </c>
    </row>
    <row r="26" spans="3:6" ht="16.5" thickBot="1">
      <c r="C26" s="424" t="s">
        <v>208</v>
      </c>
      <c r="D26" s="425">
        <v>0</v>
      </c>
      <c r="E26" s="425">
        <v>20</v>
      </c>
      <c r="F26" s="425">
        <v>0</v>
      </c>
    </row>
    <row r="27" spans="3:6" ht="16.5" thickBot="1">
      <c r="C27" s="426" t="s">
        <v>209</v>
      </c>
      <c r="D27" s="427">
        <v>0</v>
      </c>
      <c r="E27" s="427">
        <v>0</v>
      </c>
      <c r="F27" s="427">
        <v>0</v>
      </c>
    </row>
    <row r="28" spans="3:6" ht="16.5" thickBot="1">
      <c r="C28" s="428" t="s">
        <v>210</v>
      </c>
      <c r="D28" s="429">
        <v>80</v>
      </c>
      <c r="E28" s="429">
        <v>85</v>
      </c>
      <c r="F28" s="429">
        <v>40</v>
      </c>
    </row>
    <row r="29" spans="3:6" ht="16.5" thickBot="1">
      <c r="C29" s="430" t="s">
        <v>253</v>
      </c>
      <c r="D29" s="431">
        <v>10</v>
      </c>
      <c r="E29" s="431">
        <v>8</v>
      </c>
      <c r="F29" s="431">
        <v>12</v>
      </c>
    </row>
    <row r="30" spans="3:6" ht="16.5" thickBot="1">
      <c r="C30" s="432" t="s">
        <v>254</v>
      </c>
      <c r="D30" s="7">
        <f>D28-D29</f>
        <v>70</v>
      </c>
      <c r="E30" s="7">
        <f t="shared" ref="E30:F30" si="1">E28-E29</f>
        <v>77</v>
      </c>
      <c r="F30" s="7">
        <f t="shared" si="1"/>
        <v>28</v>
      </c>
    </row>
    <row r="31" spans="3:6" ht="16.5" thickBot="1">
      <c r="C31" s="5" t="s">
        <v>211</v>
      </c>
      <c r="D31" s="6">
        <f>+D26+D27-D28</f>
        <v>-80</v>
      </c>
      <c r="E31" s="6">
        <f>+E26+E27-E28</f>
        <v>-65</v>
      </c>
      <c r="F31" s="6">
        <f t="shared" ref="F31" si="2">+F26+F27-F28</f>
        <v>-40</v>
      </c>
    </row>
    <row r="32" spans="3:6" ht="16.5" thickBot="1">
      <c r="C32" s="3" t="s">
        <v>31</v>
      </c>
      <c r="D32" s="4">
        <f>+D31+D25</f>
        <v>270</v>
      </c>
      <c r="E32" s="4">
        <f>+E31+E25</f>
        <v>925</v>
      </c>
      <c r="F32" s="4">
        <f t="shared" ref="F32" si="3">+F31+F25</f>
        <v>1171.6800000000012</v>
      </c>
    </row>
    <row r="33" spans="3:6" ht="16.5" thickBot="1">
      <c r="C33" s="3" t="s">
        <v>33</v>
      </c>
      <c r="D33" s="4">
        <v>27</v>
      </c>
      <c r="E33" s="4">
        <v>85</v>
      </c>
      <c r="F33" s="4">
        <v>100</v>
      </c>
    </row>
    <row r="34" spans="3:6" ht="16.5" thickBot="1">
      <c r="C34" s="5" t="s">
        <v>35</v>
      </c>
      <c r="D34" s="6">
        <f>+D32-D33</f>
        <v>243</v>
      </c>
      <c r="E34" s="6">
        <f t="shared" ref="E34:F34" si="4">+E32-E33</f>
        <v>840</v>
      </c>
      <c r="F34" s="6">
        <f t="shared" si="4"/>
        <v>1071.6800000000012</v>
      </c>
    </row>
    <row r="35" spans="3:6" ht="16.5" thickBot="1">
      <c r="C35" s="3" t="s">
        <v>37</v>
      </c>
      <c r="D35" s="4">
        <v>10</v>
      </c>
      <c r="E35" s="4">
        <v>600</v>
      </c>
      <c r="F35" s="4">
        <v>850</v>
      </c>
    </row>
    <row r="36" spans="3:6" ht="16.5" thickBot="1">
      <c r="C36" s="3" t="s">
        <v>38</v>
      </c>
      <c r="D36" s="4">
        <f>+D34-D35</f>
        <v>233</v>
      </c>
      <c r="E36" s="4">
        <f t="shared" ref="E36:F36" si="5">+E34-E35</f>
        <v>240</v>
      </c>
      <c r="F36" s="4">
        <f t="shared" si="5"/>
        <v>221.6800000000012</v>
      </c>
    </row>
    <row r="37" spans="3:6" ht="16.5" thickBot="1">
      <c r="C37" s="8"/>
      <c r="D37" s="9"/>
      <c r="E37" s="9"/>
      <c r="F37" s="9"/>
    </row>
    <row r="38" spans="3:6" ht="16.5" thickBot="1">
      <c r="C38" s="428" t="s">
        <v>82</v>
      </c>
      <c r="D38" s="429">
        <v>800</v>
      </c>
      <c r="E38" s="429">
        <v>500</v>
      </c>
      <c r="F38" s="429">
        <v>600</v>
      </c>
    </row>
    <row r="39" spans="3:6" ht="16.5" thickBot="1">
      <c r="C39" s="430" t="s">
        <v>255</v>
      </c>
      <c r="D39" s="431">
        <v>100</v>
      </c>
      <c r="E39" s="431">
        <v>110</v>
      </c>
      <c r="F39" s="431">
        <v>130</v>
      </c>
    </row>
    <row r="40" spans="3:6" ht="16.5" thickBot="1">
      <c r="C40" s="433" t="s">
        <v>256</v>
      </c>
      <c r="D40" s="434">
        <f>D38-D39</f>
        <v>700</v>
      </c>
      <c r="E40" s="434">
        <f t="shared" ref="E40:F40" si="6">E38-E39</f>
        <v>390</v>
      </c>
      <c r="F40" s="434">
        <f t="shared" si="6"/>
        <v>470</v>
      </c>
    </row>
    <row r="41" spans="3:6" ht="16.5" thickBot="1">
      <c r="C41" s="424" t="s">
        <v>212</v>
      </c>
      <c r="D41" s="425">
        <v>0</v>
      </c>
      <c r="E41" s="425">
        <v>100</v>
      </c>
      <c r="F41" s="425">
        <v>0</v>
      </c>
    </row>
    <row r="42" spans="3:6" ht="16.5" thickBot="1">
      <c r="C42" s="3" t="s">
        <v>81</v>
      </c>
      <c r="D42" s="4">
        <v>300</v>
      </c>
      <c r="E42" s="4">
        <v>733.33</v>
      </c>
      <c r="F42" s="4">
        <v>1108.8</v>
      </c>
    </row>
    <row r="43" spans="3:6" ht="16.5" thickBot="1">
      <c r="C43" s="3" t="s">
        <v>80</v>
      </c>
      <c r="D43" s="4">
        <v>250</v>
      </c>
      <c r="E43" s="4">
        <v>870.83</v>
      </c>
      <c r="F43" s="4">
        <v>768.24</v>
      </c>
    </row>
    <row r="44" spans="3:6" ht="16.5" thickBot="1">
      <c r="C44" s="5" t="s">
        <v>213</v>
      </c>
      <c r="D44" s="10">
        <f>+D38+D41+D42+D43</f>
        <v>1350</v>
      </c>
      <c r="E44" s="10">
        <f t="shared" ref="E44:F44" si="7">+E38+E41+E42+E43</f>
        <v>2204.16</v>
      </c>
      <c r="F44" s="10">
        <f t="shared" si="7"/>
        <v>2477.04</v>
      </c>
    </row>
    <row r="45" spans="3:6" ht="16.5" thickBot="1">
      <c r="C45" s="435" t="s">
        <v>79</v>
      </c>
      <c r="D45" s="436">
        <f>D46-D44</f>
        <v>1028</v>
      </c>
      <c r="E45" s="436">
        <f t="shared" ref="E45:F45" si="8">E46-E44</f>
        <v>904.77</v>
      </c>
      <c r="F45" s="436">
        <f t="shared" si="8"/>
        <v>1082.54</v>
      </c>
    </row>
    <row r="46" spans="3:6" ht="16.5" thickBot="1">
      <c r="C46" s="437" t="s">
        <v>214</v>
      </c>
      <c r="D46" s="438">
        <v>2378</v>
      </c>
      <c r="E46" s="438">
        <v>3108.93</v>
      </c>
      <c r="F46" s="438">
        <v>3559.58</v>
      </c>
    </row>
    <row r="47" spans="3:6" ht="16.5" thickBot="1">
      <c r="C47" s="3" t="s">
        <v>215</v>
      </c>
      <c r="D47" s="4">
        <v>300</v>
      </c>
      <c r="E47" s="4">
        <v>250</v>
      </c>
      <c r="F47" s="4">
        <v>100</v>
      </c>
    </row>
    <row r="48" spans="3:6" ht="16.5" thickBot="1">
      <c r="C48" s="430" t="s">
        <v>257</v>
      </c>
      <c r="D48" s="431">
        <v>80</v>
      </c>
      <c r="E48" s="431">
        <v>120</v>
      </c>
      <c r="F48" s="431">
        <v>50</v>
      </c>
    </row>
    <row r="49" spans="3:6" ht="16.5" thickBot="1">
      <c r="C49" s="432" t="s">
        <v>258</v>
      </c>
      <c r="D49" s="7">
        <f>D47-D48</f>
        <v>220</v>
      </c>
      <c r="E49" s="7">
        <f t="shared" ref="E49:F49" si="9">E47-E48</f>
        <v>130</v>
      </c>
      <c r="F49" s="7">
        <f t="shared" si="9"/>
        <v>50</v>
      </c>
    </row>
    <row r="50" spans="3:6" ht="16.5" thickBot="1">
      <c r="C50" s="3" t="s">
        <v>83</v>
      </c>
      <c r="D50" s="4">
        <v>300</v>
      </c>
      <c r="E50" s="4">
        <v>238.33</v>
      </c>
      <c r="F50" s="4">
        <v>444.31</v>
      </c>
    </row>
    <row r="51" spans="3:6" ht="16.5" thickBot="1">
      <c r="C51" s="5" t="s">
        <v>216</v>
      </c>
      <c r="D51" s="6">
        <f>+D47+D50</f>
        <v>600</v>
      </c>
      <c r="E51" s="6">
        <f t="shared" ref="E51" si="10">+E47+E50</f>
        <v>488.33000000000004</v>
      </c>
      <c r="F51" s="6">
        <f>+F47+F50</f>
        <v>544.30999999999995</v>
      </c>
    </row>
    <row r="52" spans="3:6" ht="16.5" thickBot="1">
      <c r="C52" s="3" t="s">
        <v>217</v>
      </c>
      <c r="D52" s="4">
        <v>500</v>
      </c>
      <c r="E52" s="4">
        <v>600</v>
      </c>
      <c r="F52" s="4">
        <v>300</v>
      </c>
    </row>
    <row r="53" spans="3:6" ht="16.5" thickBot="1">
      <c r="C53" s="3" t="s">
        <v>86</v>
      </c>
      <c r="D53" s="4">
        <v>1278</v>
      </c>
      <c r="E53" s="4">
        <v>2020.6</v>
      </c>
      <c r="F53" s="4">
        <v>2715.27</v>
      </c>
    </row>
    <row r="54" spans="3:6" ht="16.5" thickBot="1">
      <c r="C54" s="5" t="s">
        <v>218</v>
      </c>
      <c r="D54" s="6">
        <f>+D51+D52+D53</f>
        <v>2378</v>
      </c>
      <c r="E54" s="6">
        <f t="shared" ref="E54:F54" si="11">+E51+E52+E53</f>
        <v>3108.93</v>
      </c>
      <c r="F54" s="6">
        <f t="shared" si="11"/>
        <v>3559.58</v>
      </c>
    </row>
    <row r="56" spans="3:6">
      <c r="D56" s="23"/>
      <c r="E56" s="23"/>
      <c r="F56" s="23"/>
    </row>
    <row r="57" spans="3:6" ht="15.75">
      <c r="C57" s="48" t="s">
        <v>46</v>
      </c>
      <c r="D57" s="439">
        <f>D33/D32</f>
        <v>0.1</v>
      </c>
      <c r="E57" s="439">
        <f t="shared" ref="E57:F57" si="12">E33/E32</f>
        <v>9.1891891891891897E-2</v>
      </c>
      <c r="F57" s="439">
        <f t="shared" si="12"/>
        <v>8.5347535163184399E-2</v>
      </c>
    </row>
    <row r="59" spans="3:6" ht="18.75">
      <c r="C59" s="440" t="s">
        <v>259</v>
      </c>
      <c r="D59" s="52"/>
      <c r="E59" s="52"/>
    </row>
    <row r="60" spans="3:6" ht="15.75">
      <c r="C60" s="441" t="s">
        <v>27</v>
      </c>
      <c r="D60" s="61"/>
      <c r="E60" s="61">
        <f>E25</f>
        <v>990</v>
      </c>
      <c r="F60" s="61">
        <f>F25</f>
        <v>1211.6800000000012</v>
      </c>
    </row>
    <row r="61" spans="3:6" ht="15.75">
      <c r="C61" s="209" t="s">
        <v>260</v>
      </c>
      <c r="D61" s="61"/>
      <c r="E61" s="66">
        <f>-E29</f>
        <v>-8</v>
      </c>
      <c r="F61" s="66">
        <f>-F29</f>
        <v>-12</v>
      </c>
    </row>
    <row r="62" spans="3:6" ht="15.75">
      <c r="C62" s="442" t="s">
        <v>223</v>
      </c>
      <c r="D62" s="210"/>
      <c r="E62" s="443">
        <f>SUM(E60:E61)</f>
        <v>982</v>
      </c>
      <c r="F62" s="443">
        <f>SUM(F60:F61)</f>
        <v>1199.6800000000012</v>
      </c>
    </row>
    <row r="63" spans="3:6" ht="15.75">
      <c r="C63" s="209" t="s">
        <v>224</v>
      </c>
      <c r="D63" s="61"/>
      <c r="E63" s="66">
        <f>E62*E57</f>
        <v>90.237837837837844</v>
      </c>
      <c r="F63" s="66">
        <f>F62*F57</f>
        <v>102.38973098456916</v>
      </c>
    </row>
    <row r="64" spans="3:6" ht="15.75">
      <c r="C64" s="48" t="s">
        <v>67</v>
      </c>
      <c r="D64" s="61"/>
      <c r="E64" s="210">
        <f>E62-E63</f>
        <v>891.76216216216221</v>
      </c>
      <c r="F64" s="210">
        <f>F62-F63</f>
        <v>1097.2902690154319</v>
      </c>
    </row>
    <row r="65" spans="3:6" ht="15.75">
      <c r="C65" s="444" t="s">
        <v>207</v>
      </c>
      <c r="D65" s="61"/>
      <c r="E65" s="61">
        <f>+E23</f>
        <v>150</v>
      </c>
      <c r="F65" s="61">
        <f>+F23</f>
        <v>180</v>
      </c>
    </row>
    <row r="66" spans="3:6" ht="15.75">
      <c r="C66" s="212" t="s">
        <v>230</v>
      </c>
      <c r="D66" s="52"/>
      <c r="E66" s="445">
        <f>+D39-E39</f>
        <v>-10</v>
      </c>
      <c r="F66" s="445">
        <f>+E39-F39</f>
        <v>-20</v>
      </c>
    </row>
    <row r="67" spans="3:6" ht="15.75">
      <c r="C67" s="212" t="s">
        <v>229</v>
      </c>
      <c r="D67" s="52"/>
      <c r="E67" s="445">
        <f>+D42-E42</f>
        <v>-433.33000000000004</v>
      </c>
      <c r="F67" s="445">
        <f>+E42-F42</f>
        <v>-375.46999999999991</v>
      </c>
    </row>
    <row r="68" spans="3:6" ht="15.75">
      <c r="C68" s="212" t="s">
        <v>228</v>
      </c>
      <c r="D68" s="52"/>
      <c r="E68" s="445">
        <f>+D43-E43</f>
        <v>-620.83000000000004</v>
      </c>
      <c r="F68" s="445">
        <f>+E43-F43</f>
        <v>102.59000000000003</v>
      </c>
    </row>
    <row r="69" spans="3:6" ht="15.75">
      <c r="C69" s="213" t="s">
        <v>231</v>
      </c>
      <c r="D69" s="52"/>
      <c r="E69" s="445">
        <f>+E50-D50</f>
        <v>-61.669999999999987</v>
      </c>
      <c r="F69" s="445">
        <f>+F50-E50</f>
        <v>205.98</v>
      </c>
    </row>
    <row r="70" spans="3:6" ht="16.5" thickBot="1">
      <c r="C70" s="213" t="s">
        <v>261</v>
      </c>
      <c r="D70" s="52"/>
      <c r="E70" s="446">
        <f>+E48-D48</f>
        <v>40</v>
      </c>
      <c r="F70" s="446">
        <f>+F48-E48</f>
        <v>-70</v>
      </c>
    </row>
    <row r="71" spans="3:6" ht="16.5" thickTop="1">
      <c r="C71" s="447" t="s">
        <v>233</v>
      </c>
      <c r="D71" s="447"/>
      <c r="E71" s="448">
        <f>SUM(E64:E70)</f>
        <v>-44.067837837837857</v>
      </c>
      <c r="F71" s="448">
        <f>SUM(F64:F70)</f>
        <v>1120.3902690154321</v>
      </c>
    </row>
    <row r="72" spans="3:6" ht="15.75">
      <c r="C72" s="52"/>
      <c r="D72" s="52"/>
      <c r="E72" s="52"/>
    </row>
    <row r="73" spans="3:6" ht="15.75">
      <c r="C73" s="212" t="s">
        <v>262</v>
      </c>
      <c r="D73" s="52"/>
      <c r="E73" s="61">
        <f>+D45-E45</f>
        <v>123.23000000000002</v>
      </c>
      <c r="F73" s="61">
        <f>+E45-F45</f>
        <v>-177.76999999999998</v>
      </c>
    </row>
    <row r="74" spans="3:6" ht="15.75">
      <c r="C74" s="214" t="s">
        <v>207</v>
      </c>
      <c r="D74" s="52"/>
      <c r="E74" s="61">
        <f>-E65</f>
        <v>-150</v>
      </c>
      <c r="F74" s="61">
        <f>-F65</f>
        <v>-180</v>
      </c>
    </row>
    <row r="75" spans="3:6" ht="15.75">
      <c r="C75" s="212" t="s">
        <v>236</v>
      </c>
      <c r="D75" s="52"/>
      <c r="E75" s="61">
        <f>D41-E41</f>
        <v>-100</v>
      </c>
      <c r="F75" s="61">
        <f>E41-F41</f>
        <v>100</v>
      </c>
    </row>
    <row r="76" spans="3:6" ht="15.75">
      <c r="C76" s="217" t="s">
        <v>237</v>
      </c>
      <c r="D76" s="52"/>
      <c r="E76" s="61">
        <f>E26</f>
        <v>20</v>
      </c>
      <c r="F76" s="61">
        <f>F26</f>
        <v>0</v>
      </c>
    </row>
    <row r="77" spans="3:6" ht="15.75">
      <c r="C77" s="218" t="s">
        <v>238</v>
      </c>
      <c r="D77" s="52"/>
      <c r="E77" s="61">
        <f>-E76*E$57</f>
        <v>-1.8378378378378379</v>
      </c>
      <c r="F77" s="61">
        <f>-F76*F$57</f>
        <v>0</v>
      </c>
    </row>
    <row r="78" spans="3:6" ht="15.75">
      <c r="C78" s="217" t="s">
        <v>209</v>
      </c>
      <c r="D78" s="52"/>
      <c r="E78" s="61">
        <f>E27</f>
        <v>0</v>
      </c>
      <c r="F78" s="61">
        <f>F27</f>
        <v>0</v>
      </c>
    </row>
    <row r="79" spans="3:6" ht="15.75">
      <c r="C79" s="218" t="s">
        <v>240</v>
      </c>
      <c r="D79" s="52"/>
      <c r="E79" s="61">
        <f>-E78*E$57</f>
        <v>0</v>
      </c>
      <c r="F79" s="61">
        <f>-F78*F$57</f>
        <v>0</v>
      </c>
    </row>
    <row r="80" spans="3:6" ht="15.75">
      <c r="C80" s="449" t="s">
        <v>235</v>
      </c>
      <c r="D80" s="449"/>
      <c r="E80" s="450">
        <f>SUM(E73:E79)</f>
        <v>-108.60783783783782</v>
      </c>
      <c r="F80" s="450">
        <f>SUM(F73:F79)</f>
        <v>-257.77</v>
      </c>
    </row>
    <row r="81" spans="3:6" ht="15.75" thickBot="1"/>
    <row r="82" spans="3:6" ht="16.5" thickBot="1">
      <c r="C82" s="451" t="s">
        <v>52</v>
      </c>
      <c r="D82" s="452"/>
      <c r="E82" s="453">
        <f>+E80+E71</f>
        <v>-152.67567567567568</v>
      </c>
      <c r="F82" s="454">
        <f>+F80+F71</f>
        <v>862.62026901543209</v>
      </c>
    </row>
    <row r="83" spans="3:6" ht="15.75">
      <c r="C83" s="52"/>
      <c r="D83" s="52"/>
      <c r="E83" s="52"/>
    </row>
    <row r="84" spans="3:6" ht="15.75">
      <c r="C84" s="209" t="s">
        <v>241</v>
      </c>
      <c r="D84" s="52"/>
      <c r="E84" s="61">
        <f>-E30</f>
        <v>-77</v>
      </c>
      <c r="F84" s="61">
        <f>-F30</f>
        <v>-28</v>
      </c>
    </row>
    <row r="85" spans="3:6" ht="15.75">
      <c r="C85" s="220" t="s">
        <v>177</v>
      </c>
      <c r="D85" s="52"/>
      <c r="E85" s="61">
        <f>-E84*E57</f>
        <v>7.0756756756756758</v>
      </c>
      <c r="F85" s="61">
        <f>-F84*F57</f>
        <v>2.3897309845691632</v>
      </c>
    </row>
    <row r="86" spans="3:6" ht="15.75">
      <c r="C86" s="213" t="s">
        <v>263</v>
      </c>
      <c r="D86" s="52"/>
      <c r="E86" s="61">
        <f>+E49-D49</f>
        <v>-90</v>
      </c>
      <c r="F86" s="61">
        <f>+F49-E49</f>
        <v>-80</v>
      </c>
    </row>
    <row r="87" spans="3:6" ht="15.75">
      <c r="C87" s="213" t="s">
        <v>264</v>
      </c>
      <c r="D87" s="52"/>
      <c r="E87" s="61">
        <f>+E52-D52</f>
        <v>100</v>
      </c>
      <c r="F87" s="61">
        <f>+F52-E52</f>
        <v>-300</v>
      </c>
    </row>
    <row r="88" spans="3:6" ht="16.5" thickBot="1">
      <c r="C88" s="52"/>
      <c r="D88" s="52"/>
      <c r="E88" s="52"/>
      <c r="F88" s="52"/>
    </row>
    <row r="89" spans="3:6" ht="16.5" thickBot="1">
      <c r="C89" s="455" t="s">
        <v>59</v>
      </c>
      <c r="D89" s="456"/>
      <c r="E89" s="457">
        <f>SUM(E82:E87)</f>
        <v>-212.60000000000002</v>
      </c>
      <c r="F89" s="458">
        <f>SUM(F82:F87)</f>
        <v>457.01000000000124</v>
      </c>
    </row>
    <row r="90" spans="3:6" ht="15.75">
      <c r="C90" s="52"/>
      <c r="D90" s="52"/>
      <c r="E90" s="52"/>
    </row>
    <row r="91" spans="3:6" ht="15.75">
      <c r="C91" s="209" t="s">
        <v>244</v>
      </c>
      <c r="D91" s="52"/>
      <c r="E91" s="61">
        <f>-E35</f>
        <v>-600</v>
      </c>
      <c r="F91" s="61">
        <f>-F35</f>
        <v>-850</v>
      </c>
    </row>
    <row r="92" spans="3:6" ht="15.75">
      <c r="C92" s="221" t="s">
        <v>245</v>
      </c>
      <c r="D92" s="52"/>
      <c r="E92" s="61">
        <f>+E53-D53-E36</f>
        <v>502.59999999999991</v>
      </c>
      <c r="F92" s="61">
        <f>+F53-E53-F36</f>
        <v>472.98999999999887</v>
      </c>
    </row>
    <row r="93" spans="3:6" ht="16.5" thickBot="1">
      <c r="C93" s="52"/>
      <c r="D93" s="52"/>
      <c r="E93" s="52"/>
    </row>
    <row r="94" spans="3:6" ht="16.5" thickBot="1">
      <c r="C94" s="459" t="s">
        <v>247</v>
      </c>
      <c r="D94" s="460"/>
      <c r="E94" s="461">
        <f>SUM(E89:E92)</f>
        <v>-310.00000000000011</v>
      </c>
      <c r="F94" s="462">
        <f>SUM(F89:F92)</f>
        <v>80.000000000000114</v>
      </c>
    </row>
    <row r="95" spans="3:6" ht="16.5" thickBot="1">
      <c r="C95" s="223"/>
      <c r="D95" s="52"/>
      <c r="E95" s="61"/>
    </row>
    <row r="96" spans="3:6" ht="16.5" thickBot="1">
      <c r="C96" s="463" t="s">
        <v>265</v>
      </c>
      <c r="D96" s="464"/>
      <c r="E96" s="465">
        <f>E40-D40</f>
        <v>-310</v>
      </c>
      <c r="F96" s="466">
        <f>F40-E40</f>
        <v>80</v>
      </c>
    </row>
    <row r="97" spans="3:6" ht="15.75">
      <c r="C97" s="52"/>
    </row>
    <row r="98" spans="3:6" ht="15.75">
      <c r="C98" s="48"/>
    </row>
    <row r="99" spans="3:6" ht="15.75">
      <c r="C99" s="52"/>
    </row>
    <row r="100" spans="3:6" ht="15.75">
      <c r="C100" s="52"/>
    </row>
    <row r="101" spans="3:6" ht="15.75">
      <c r="C101" s="52"/>
      <c r="E101" s="219"/>
    </row>
    <row r="102" spans="3:6" ht="15.75">
      <c r="C102" s="48"/>
      <c r="E102" s="219"/>
    </row>
    <row r="103" spans="3:6" ht="15.75">
      <c r="C103" s="52"/>
    </row>
    <row r="104" spans="3:6" ht="15.75">
      <c r="C104" s="48"/>
      <c r="D104" s="225"/>
      <c r="E104" s="226"/>
      <c r="F104" s="226"/>
    </row>
    <row r="105" spans="3:6" ht="15.75">
      <c r="C105" s="52"/>
    </row>
    <row r="106" spans="3:6">
      <c r="E106" s="22"/>
      <c r="F106" s="2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8EFD-61F2-4895-971C-FEA981FF9348}">
  <dimension ref="A1:F63"/>
  <sheetViews>
    <sheetView workbookViewId="0">
      <selection activeCell="F53" sqref="F53"/>
    </sheetView>
  </sheetViews>
  <sheetFormatPr defaultRowHeight="15"/>
  <cols>
    <col min="1" max="1" width="13.5703125" bestFit="1" customWidth="1"/>
    <col min="2" max="2" width="42.140625" style="227" customWidth="1"/>
    <col min="3" max="3" width="30.28515625" bestFit="1" customWidth="1"/>
    <col min="4" max="6" width="13.7109375" customWidth="1"/>
  </cols>
  <sheetData>
    <row r="1" spans="2:3" ht="15.75" thickBot="1"/>
    <row r="2" spans="2:3" ht="18.75">
      <c r="B2" s="228" t="str">
        <f>+[4]Admin!C12</f>
        <v>Date</v>
      </c>
      <c r="C2" s="12">
        <f>+[4]Admin!D12</f>
        <v>44545</v>
      </c>
    </row>
    <row r="3" spans="2:3" ht="18.75">
      <c r="B3" s="229" t="str">
        <f>+[4]Admin!C13</f>
        <v>Student name</v>
      </c>
      <c r="C3" s="14">
        <f>+[4]Admin!D13</f>
        <v>0</v>
      </c>
    </row>
    <row r="4" spans="2:3" ht="18.75">
      <c r="B4" s="229" t="str">
        <f>+[4]Admin!C14</f>
        <v>Neptun code</v>
      </c>
      <c r="C4" s="14">
        <f>+[4]Admin!D14</f>
        <v>0</v>
      </c>
    </row>
    <row r="5" spans="2:3" ht="18.75">
      <c r="B5" s="229"/>
      <c r="C5" s="15"/>
    </row>
    <row r="6" spans="2:3" ht="18.75">
      <c r="B6" s="229" t="str">
        <f>+[4]Admin!C16</f>
        <v>Study program</v>
      </c>
      <c r="C6" s="15" t="str">
        <f>+[4]Admin!D16</f>
        <v>Master in Finance</v>
      </c>
    </row>
    <row r="7" spans="2:3" ht="19.5" thickBot="1">
      <c r="B7" s="230" t="str">
        <f>+[4]Admin!C17</f>
        <v>Instructor</v>
      </c>
      <c r="C7" s="17" t="str">
        <f>+[4]Admin!D17</f>
        <v>Péter Juhász, PhD, CFA</v>
      </c>
    </row>
    <row r="8" spans="2:3" ht="15.75" thickBot="1"/>
    <row r="9" spans="2:3" ht="21" thickBot="1">
      <c r="B9" s="231" t="s">
        <v>95</v>
      </c>
      <c r="C9" s="19"/>
    </row>
    <row r="17" spans="2:6" ht="15.75" thickBot="1"/>
    <row r="18" spans="2:6" ht="16.5" thickBot="1">
      <c r="C18" s="1"/>
      <c r="D18" s="2">
        <f ca="1">+E18-1</f>
        <v>2020</v>
      </c>
      <c r="E18" s="2">
        <f ca="1">+F18-1</f>
        <v>2021</v>
      </c>
      <c r="F18" s="2">
        <f ca="1">+YEAR(TODAY())-1</f>
        <v>2022</v>
      </c>
    </row>
    <row r="19" spans="2:6" ht="16.5" thickBot="1">
      <c r="C19" s="3" t="s">
        <v>2</v>
      </c>
      <c r="D19" s="4">
        <v>20000</v>
      </c>
      <c r="E19" s="4">
        <v>22000</v>
      </c>
      <c r="F19" s="4">
        <v>25000</v>
      </c>
    </row>
    <row r="20" spans="2:6" ht="16.5" thickBot="1">
      <c r="B20" s="232" t="s">
        <v>266</v>
      </c>
      <c r="C20" s="233" t="s">
        <v>204</v>
      </c>
      <c r="D20" s="234">
        <v>0</v>
      </c>
      <c r="E20" s="234">
        <v>500</v>
      </c>
      <c r="F20" s="234">
        <v>1000</v>
      </c>
    </row>
    <row r="21" spans="2:6" ht="16.5" thickBot="1">
      <c r="C21" s="3" t="s">
        <v>205</v>
      </c>
      <c r="D21" s="4">
        <v>10000</v>
      </c>
      <c r="E21" s="4">
        <v>12000</v>
      </c>
      <c r="F21" s="4">
        <v>13000</v>
      </c>
    </row>
    <row r="22" spans="2:6" ht="16.5" thickBot="1">
      <c r="C22" s="3" t="s">
        <v>206</v>
      </c>
      <c r="D22" s="4">
        <v>5000</v>
      </c>
      <c r="E22" s="4">
        <v>6000</v>
      </c>
      <c r="F22" s="4">
        <v>7000</v>
      </c>
    </row>
    <row r="23" spans="2:6" ht="16.5" thickBot="1">
      <c r="C23" s="3" t="s">
        <v>207</v>
      </c>
      <c r="D23" s="4">
        <v>250</v>
      </c>
      <c r="E23" s="4">
        <v>150</v>
      </c>
      <c r="F23" s="4">
        <v>180</v>
      </c>
    </row>
    <row r="24" spans="2:6" ht="16.5" thickBot="1">
      <c r="C24" s="5" t="s">
        <v>27</v>
      </c>
      <c r="D24" s="6">
        <f>+D19+D20-D21-D22-D23</f>
        <v>4750</v>
      </c>
      <c r="E24" s="6">
        <f>+E19+E20-E21-E22-E23</f>
        <v>4350</v>
      </c>
      <c r="F24" s="6">
        <f>+F19+F20-F21-F22-F23</f>
        <v>5820</v>
      </c>
    </row>
    <row r="25" spans="2:6" ht="16.5" thickBot="1">
      <c r="B25" s="471" t="s">
        <v>267</v>
      </c>
      <c r="C25" s="235" t="s">
        <v>208</v>
      </c>
      <c r="D25" s="236">
        <v>100</v>
      </c>
      <c r="E25" s="236">
        <v>0</v>
      </c>
      <c r="F25" s="236">
        <v>120</v>
      </c>
    </row>
    <row r="26" spans="2:6" ht="16.5" thickBot="1">
      <c r="B26" s="471"/>
      <c r="C26" s="235" t="s">
        <v>209</v>
      </c>
      <c r="D26" s="236">
        <v>0</v>
      </c>
      <c r="E26" s="236">
        <v>10</v>
      </c>
      <c r="F26" s="236">
        <v>50</v>
      </c>
    </row>
    <row r="27" spans="2:6" ht="16.5" thickBot="1">
      <c r="B27" s="471"/>
      <c r="C27" s="235" t="s">
        <v>210</v>
      </c>
      <c r="D27" s="236">
        <v>80</v>
      </c>
      <c r="E27" s="236">
        <v>85</v>
      </c>
      <c r="F27" s="236">
        <v>40</v>
      </c>
    </row>
    <row r="28" spans="2:6" ht="16.5" thickBot="1">
      <c r="B28" s="471"/>
      <c r="C28" s="237" t="s">
        <v>211</v>
      </c>
      <c r="D28" s="238">
        <f>+D25+D26-D27</f>
        <v>20</v>
      </c>
      <c r="E28" s="238">
        <f t="shared" ref="E28:F28" si="0">+E25+E26-E27</f>
        <v>-75</v>
      </c>
      <c r="F28" s="238">
        <f t="shared" si="0"/>
        <v>130</v>
      </c>
    </row>
    <row r="29" spans="2:6" ht="16.5" thickBot="1">
      <c r="C29" s="3" t="s">
        <v>31</v>
      </c>
      <c r="D29" s="4">
        <f>+D28+D24</f>
        <v>4770</v>
      </c>
      <c r="E29" s="4">
        <f t="shared" ref="E29:F29" si="1">+E28+E24</f>
        <v>4275</v>
      </c>
      <c r="F29" s="4">
        <f t="shared" si="1"/>
        <v>5950</v>
      </c>
    </row>
    <row r="30" spans="2:6" ht="16.5" thickBot="1">
      <c r="C30" s="3" t="s">
        <v>33</v>
      </c>
      <c r="D30" s="4">
        <v>500</v>
      </c>
      <c r="E30" s="4">
        <v>400</v>
      </c>
      <c r="F30" s="4">
        <v>600</v>
      </c>
    </row>
    <row r="31" spans="2:6" ht="16.5" thickBot="1">
      <c r="C31" s="5" t="s">
        <v>35</v>
      </c>
      <c r="D31" s="6">
        <f>+D29-D30</f>
        <v>4270</v>
      </c>
      <c r="E31" s="6">
        <f t="shared" ref="E31:F31" si="2">+E29-E30</f>
        <v>3875</v>
      </c>
      <c r="F31" s="6">
        <f t="shared" si="2"/>
        <v>5350</v>
      </c>
    </row>
    <row r="32" spans="2:6" ht="16.5" thickBot="1">
      <c r="C32" s="3" t="s">
        <v>37</v>
      </c>
      <c r="D32" s="4">
        <v>2800</v>
      </c>
      <c r="E32" s="4">
        <v>2900</v>
      </c>
      <c r="F32" s="4">
        <v>3400</v>
      </c>
    </row>
    <row r="33" spans="2:6" ht="16.5" thickBot="1">
      <c r="C33" s="3" t="s">
        <v>38</v>
      </c>
      <c r="D33" s="4">
        <f>+D31-D32</f>
        <v>1470</v>
      </c>
      <c r="E33" s="4">
        <f t="shared" ref="E33:F33" si="3">+E31-E32</f>
        <v>975</v>
      </c>
      <c r="F33" s="4">
        <f t="shared" si="3"/>
        <v>1950</v>
      </c>
    </row>
    <row r="34" spans="2:6" ht="16.5" thickBot="1">
      <c r="C34" s="8"/>
      <c r="D34" s="9"/>
      <c r="E34" s="9"/>
      <c r="F34" s="9"/>
    </row>
    <row r="35" spans="2:6" ht="16.5" thickBot="1">
      <c r="C35" s="3" t="s">
        <v>82</v>
      </c>
      <c r="D35" s="4">
        <v>500</v>
      </c>
      <c r="E35" s="4">
        <v>600</v>
      </c>
      <c r="F35" s="4">
        <v>400</v>
      </c>
    </row>
    <row r="36" spans="2:6" ht="16.5" thickBot="1">
      <c r="B36" s="232" t="s">
        <v>268</v>
      </c>
      <c r="C36" s="239" t="s">
        <v>269</v>
      </c>
      <c r="D36" s="240">
        <v>500</v>
      </c>
      <c r="E36" s="240">
        <v>550</v>
      </c>
      <c r="F36" s="240">
        <v>400</v>
      </c>
    </row>
    <row r="37" spans="2:6" ht="16.5" thickBot="1">
      <c r="B37" s="241" t="s">
        <v>270</v>
      </c>
      <c r="C37" s="242" t="s">
        <v>212</v>
      </c>
      <c r="D37" s="243">
        <v>0</v>
      </c>
      <c r="E37" s="243">
        <v>50</v>
      </c>
      <c r="F37" s="243">
        <v>0</v>
      </c>
    </row>
    <row r="38" spans="2:6" ht="16.5" thickBot="1">
      <c r="C38" s="3" t="s">
        <v>81</v>
      </c>
      <c r="D38" s="4">
        <v>300</v>
      </c>
      <c r="E38" s="4">
        <v>800</v>
      </c>
      <c r="F38" s="4">
        <v>1200</v>
      </c>
    </row>
    <row r="39" spans="2:6" ht="16.5" thickBot="1">
      <c r="C39" s="3" t="s">
        <v>80</v>
      </c>
      <c r="D39" s="4">
        <v>400</v>
      </c>
      <c r="E39" s="4">
        <v>500</v>
      </c>
      <c r="F39" s="4">
        <v>700</v>
      </c>
    </row>
    <row r="40" spans="2:6" ht="16.5" thickBot="1">
      <c r="C40" s="5" t="s">
        <v>213</v>
      </c>
      <c r="D40" s="10">
        <f>SUM(D35:D39)</f>
        <v>1700</v>
      </c>
      <c r="E40" s="10">
        <f t="shared" ref="E40:F40" si="4">SUM(E35:E39)</f>
        <v>2500</v>
      </c>
      <c r="F40" s="10">
        <f t="shared" si="4"/>
        <v>2700</v>
      </c>
    </row>
    <row r="41" spans="2:6" ht="16.5" thickBot="1">
      <c r="B41" s="232" t="s">
        <v>271</v>
      </c>
      <c r="C41" s="239" t="s">
        <v>79</v>
      </c>
      <c r="D41" s="240">
        <v>1500</v>
      </c>
      <c r="E41" s="240">
        <v>1800</v>
      </c>
      <c r="F41" s="240">
        <v>2200</v>
      </c>
    </row>
    <row r="42" spans="2:6" ht="16.5" thickBot="1">
      <c r="C42" s="5" t="s">
        <v>214</v>
      </c>
      <c r="D42" s="6">
        <f>+D41+D40</f>
        <v>3200</v>
      </c>
      <c r="E42" s="6">
        <f t="shared" ref="E42:F42" si="5">+E41+E40</f>
        <v>4300</v>
      </c>
      <c r="F42" s="6">
        <f t="shared" si="5"/>
        <v>4900</v>
      </c>
    </row>
    <row r="43" spans="2:6" ht="16.5" thickBot="1">
      <c r="B43" s="241" t="s">
        <v>270</v>
      </c>
      <c r="C43" s="235" t="s">
        <v>215</v>
      </c>
      <c r="D43" s="236">
        <v>300</v>
      </c>
      <c r="E43" s="236">
        <v>250</v>
      </c>
      <c r="F43" s="236">
        <v>100</v>
      </c>
    </row>
    <row r="44" spans="2:6" ht="16.5" thickBot="1">
      <c r="C44" s="3" t="s">
        <v>83</v>
      </c>
      <c r="D44" s="4">
        <v>300</v>
      </c>
      <c r="E44" s="4">
        <v>240</v>
      </c>
      <c r="F44" s="4">
        <v>450</v>
      </c>
    </row>
    <row r="45" spans="2:6" ht="16.5" thickBot="1">
      <c r="C45" s="5" t="s">
        <v>216</v>
      </c>
      <c r="D45" s="6">
        <f>+D43+D44</f>
        <v>600</v>
      </c>
      <c r="E45" s="6">
        <f>+E43+E44</f>
        <v>490</v>
      </c>
      <c r="F45" s="6">
        <f>+F43+F44</f>
        <v>550</v>
      </c>
    </row>
    <row r="46" spans="2:6" ht="16.5" thickBot="1">
      <c r="C46" s="3" t="s">
        <v>217</v>
      </c>
      <c r="D46" s="4">
        <v>1000</v>
      </c>
      <c r="E46" s="4">
        <v>1600</v>
      </c>
      <c r="F46" s="4">
        <v>2100</v>
      </c>
    </row>
    <row r="47" spans="2:6" ht="16.5" thickBot="1">
      <c r="C47" s="3" t="s">
        <v>86</v>
      </c>
      <c r="D47" s="4">
        <f>+D42-D45-D46</f>
        <v>1600</v>
      </c>
      <c r="E47" s="4">
        <f t="shared" ref="E47:F47" si="6">+E42-E45-E46</f>
        <v>2210</v>
      </c>
      <c r="F47" s="4">
        <f t="shared" si="6"/>
        <v>2250</v>
      </c>
    </row>
    <row r="48" spans="2:6" ht="16.5" thickBot="1">
      <c r="C48" s="5" t="s">
        <v>218</v>
      </c>
      <c r="D48" s="6">
        <f>+D45+D46+D47</f>
        <v>3200</v>
      </c>
      <c r="E48" s="6">
        <f t="shared" ref="E48:F48" si="7">+E45+E46+E47</f>
        <v>4300</v>
      </c>
      <c r="F48" s="6">
        <f t="shared" si="7"/>
        <v>4900</v>
      </c>
    </row>
    <row r="50" spans="1:6" ht="15.75">
      <c r="B50" s="244" t="s">
        <v>272</v>
      </c>
      <c r="C50" s="245" t="s">
        <v>273</v>
      </c>
      <c r="D50" s="175"/>
      <c r="E50" s="246">
        <v>0.12</v>
      </c>
      <c r="F50" s="246">
        <v>0.06</v>
      </c>
    </row>
    <row r="51" spans="1:6">
      <c r="E51" s="24"/>
      <c r="F51" s="24"/>
    </row>
    <row r="52" spans="1:6">
      <c r="C52" t="s">
        <v>274</v>
      </c>
      <c r="D52" s="23">
        <f>D30/D29</f>
        <v>0.10482180293501048</v>
      </c>
      <c r="E52" s="23">
        <f>E30/E29</f>
        <v>9.3567251461988299E-2</v>
      </c>
      <c r="F52" s="23">
        <f>F30/F29</f>
        <v>0.10084033613445378</v>
      </c>
    </row>
    <row r="54" spans="1:6" ht="15.75">
      <c r="B54" s="247" t="s">
        <v>275</v>
      </c>
      <c r="C54" s="34" t="s">
        <v>276</v>
      </c>
      <c r="E54" s="248">
        <f>(E19/D19-1)*(1-E50)</f>
        <v>8.8000000000000078E-2</v>
      </c>
      <c r="F54" s="248">
        <f>(F19/E19-1)*(1-F50)</f>
        <v>0.12818181818181826</v>
      </c>
    </row>
    <row r="55" spans="1:6" ht="15.75">
      <c r="A55" s="472" t="s">
        <v>277</v>
      </c>
      <c r="B55" s="249" t="s">
        <v>278</v>
      </c>
      <c r="C55" t="s">
        <v>279</v>
      </c>
      <c r="D55" s="219">
        <f>D38/D19*360</f>
        <v>5.3999999999999995</v>
      </c>
      <c r="E55" s="219">
        <f>E38/E19*360</f>
        <v>13.09090909090909</v>
      </c>
      <c r="F55" s="219">
        <f>F38/F19*360</f>
        <v>17.28</v>
      </c>
    </row>
    <row r="56" spans="1:6" ht="15.75">
      <c r="A56" s="472"/>
      <c r="B56" s="249" t="s">
        <v>280</v>
      </c>
      <c r="C56" t="s">
        <v>281</v>
      </c>
      <c r="D56" s="219">
        <f>D44/D21*360</f>
        <v>10.799999999999999</v>
      </c>
      <c r="E56" s="219">
        <f>E44/E21*360</f>
        <v>7.2</v>
      </c>
      <c r="F56" s="219">
        <f>F44/F21*360</f>
        <v>12.461538461538462</v>
      </c>
    </row>
    <row r="57" spans="1:6" ht="15.75">
      <c r="A57" s="472"/>
      <c r="B57" s="249" t="s">
        <v>282</v>
      </c>
      <c r="C57" t="s">
        <v>283</v>
      </c>
      <c r="D57" s="219">
        <f>D39/(D21+D22)*360</f>
        <v>9.6000000000000014</v>
      </c>
      <c r="E57" s="219">
        <f>E39/(E21+E22)*360</f>
        <v>10</v>
      </c>
      <c r="F57" s="219">
        <f>F39/(F21+F22)*360</f>
        <v>12.600000000000001</v>
      </c>
    </row>
    <row r="58" spans="1:6" ht="15.75">
      <c r="A58" s="250"/>
    </row>
    <row r="59" spans="1:6" ht="15.75">
      <c r="A59" s="207"/>
      <c r="B59" s="251" t="s">
        <v>284</v>
      </c>
      <c r="C59" s="34" t="s">
        <v>285</v>
      </c>
      <c r="D59" s="248">
        <f>(D46+D43)/(D47+D46+D43)</f>
        <v>0.44827586206896552</v>
      </c>
      <c r="E59" s="248">
        <f>(E46+E43)/(E47+E46+E43)</f>
        <v>0.45566502463054187</v>
      </c>
      <c r="F59" s="248">
        <f>(F46+F43)/(F47+F46+F43)</f>
        <v>0.4943820224719101</v>
      </c>
    </row>
    <row r="60" spans="1:6" ht="15.75">
      <c r="B60" s="247" t="s">
        <v>286</v>
      </c>
      <c r="C60" s="115" t="s">
        <v>287</v>
      </c>
      <c r="D60" s="252">
        <f>D24*(1-D52)/D47</f>
        <v>2.6575602725366876</v>
      </c>
      <c r="E60" s="252">
        <f>E24*(1-E52)/E47</f>
        <v>1.7841549575295705</v>
      </c>
      <c r="F60" s="252">
        <f>F24*(1-F52)/F47</f>
        <v>2.3258263305322133</v>
      </c>
    </row>
    <row r="61" spans="1:6" ht="15.75">
      <c r="B61" s="247" t="s">
        <v>288</v>
      </c>
      <c r="C61" s="115" t="s">
        <v>289</v>
      </c>
      <c r="D61" s="253">
        <f>(D46)/D47</f>
        <v>0.625</v>
      </c>
      <c r="E61" s="253">
        <f t="shared" ref="E61" si="8">(E46)/E47</f>
        <v>0.72398190045248867</v>
      </c>
      <c r="F61" s="253">
        <f>(F46+F43)/F47</f>
        <v>0.97777777777777775</v>
      </c>
    </row>
    <row r="62" spans="1:6" ht="15.75">
      <c r="A62" s="254"/>
      <c r="B62" s="247" t="s">
        <v>290</v>
      </c>
      <c r="C62" s="34" t="s">
        <v>291</v>
      </c>
      <c r="D62" s="255">
        <f>D24*(1-D52)/((D36+D38+D39+D41)-D44)</f>
        <v>1.7717068483577918</v>
      </c>
      <c r="E62" s="255">
        <f t="shared" ref="E62:F62" si="9">E24*(1-E52)/((E36+E38+E39+E41)-E44)</f>
        <v>1.1562998405103668</v>
      </c>
      <c r="F62" s="255">
        <f t="shared" si="9"/>
        <v>1.2921257391845629</v>
      </c>
    </row>
    <row r="63" spans="1:6">
      <c r="A63" t="s">
        <v>292</v>
      </c>
    </row>
  </sheetData>
  <mergeCells count="2">
    <mergeCell ref="B25:B28"/>
    <mergeCell ref="A55:A5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61B71-EF64-4F5B-8452-386A26FB9A66}">
  <dimension ref="B1:H107"/>
  <sheetViews>
    <sheetView topLeftCell="A31" workbookViewId="0">
      <selection activeCell="E61" sqref="E61"/>
    </sheetView>
  </sheetViews>
  <sheetFormatPr defaultRowHeight="15"/>
  <cols>
    <col min="2" max="2" width="22.7109375" bestFit="1" customWidth="1"/>
    <col min="3" max="3" width="45.140625" bestFit="1" customWidth="1"/>
    <col min="5" max="6" width="9.140625" style="227"/>
    <col min="8" max="8" width="13.42578125" bestFit="1" customWidth="1"/>
  </cols>
  <sheetData>
    <row r="1" spans="2:3" ht="15.75" thickBot="1"/>
    <row r="2" spans="2:3" ht="18.75">
      <c r="B2" s="11" t="str">
        <f>+[2]Admin!C12</f>
        <v>Date</v>
      </c>
      <c r="C2" s="67"/>
    </row>
    <row r="3" spans="2:3" ht="18.75">
      <c r="B3" s="13" t="str">
        <f>+[2]Admin!C13</f>
        <v>Student name</v>
      </c>
      <c r="C3" s="14"/>
    </row>
    <row r="4" spans="2:3" ht="18.75">
      <c r="B4" s="13" t="str">
        <f>+[2]Admin!C14</f>
        <v>Neptun code</v>
      </c>
      <c r="C4" s="14"/>
    </row>
    <row r="5" spans="2:3" ht="18.75">
      <c r="B5" s="13"/>
      <c r="C5" s="15"/>
    </row>
    <row r="6" spans="2:3" ht="18.75">
      <c r="B6" s="13" t="str">
        <f>+[2]Admin!C16</f>
        <v>Study program</v>
      </c>
      <c r="C6" s="15" t="str">
        <f>+[2]Admin!D16</f>
        <v>Master in Finance</v>
      </c>
    </row>
    <row r="7" spans="2:3" ht="19.5" thickBot="1">
      <c r="B7" s="16" t="str">
        <f>+[2]Admin!C17</f>
        <v>Instructor</v>
      </c>
      <c r="C7" s="17" t="str">
        <f>+[2]Admin!D17</f>
        <v>Péter Juhász, PhD, CFA</v>
      </c>
    </row>
    <row r="8" spans="2:3" ht="15.75" thickBot="1"/>
    <row r="9" spans="2:3" ht="21" thickBot="1">
      <c r="B9" s="18" t="s">
        <v>95</v>
      </c>
      <c r="C9" s="19"/>
    </row>
    <row r="17" spans="2:8" ht="15.75" thickBot="1"/>
    <row r="18" spans="2:8" ht="16.5" thickBot="1">
      <c r="C18" s="1"/>
      <c r="D18" s="2">
        <v>2018</v>
      </c>
      <c r="E18" s="293">
        <v>2019</v>
      </c>
      <c r="F18" s="293">
        <v>2020</v>
      </c>
      <c r="H18" s="294" t="s">
        <v>293</v>
      </c>
    </row>
    <row r="19" spans="2:8" ht="16.5" thickBot="1">
      <c r="C19" s="295" t="s">
        <v>2</v>
      </c>
      <c r="D19" s="296">
        <v>12000</v>
      </c>
      <c r="E19" s="297">
        <v>13500</v>
      </c>
      <c r="F19" s="297">
        <v>15000</v>
      </c>
    </row>
    <row r="20" spans="2:8" ht="16.5" thickBot="1">
      <c r="C20" s="295" t="s">
        <v>204</v>
      </c>
      <c r="D20" s="296">
        <v>170</v>
      </c>
      <c r="E20" s="297">
        <v>250</v>
      </c>
      <c r="F20" s="297">
        <v>300</v>
      </c>
      <c r="H20" s="298" t="s">
        <v>294</v>
      </c>
    </row>
    <row r="21" spans="2:8" ht="16.5" thickBot="1">
      <c r="C21" s="299" t="s">
        <v>295</v>
      </c>
      <c r="D21" s="300">
        <v>50</v>
      </c>
      <c r="E21" s="301">
        <v>100</v>
      </c>
      <c r="F21" s="301">
        <v>150</v>
      </c>
    </row>
    <row r="22" spans="2:8" ht="16.5" thickBot="1">
      <c r="C22" s="302" t="s">
        <v>296</v>
      </c>
      <c r="D22" s="303">
        <f>D20-D21</f>
        <v>120</v>
      </c>
      <c r="E22" s="304">
        <f t="shared" ref="E22:F22" si="0">E20-E21</f>
        <v>150</v>
      </c>
      <c r="F22" s="304">
        <f t="shared" si="0"/>
        <v>150</v>
      </c>
    </row>
    <row r="23" spans="2:8" ht="16.5" thickBot="1">
      <c r="C23" s="295" t="s">
        <v>205</v>
      </c>
      <c r="D23" s="296">
        <v>7680</v>
      </c>
      <c r="E23" s="297">
        <v>8580</v>
      </c>
      <c r="F23" s="297">
        <v>9300</v>
      </c>
      <c r="H23" s="305" t="s">
        <v>297</v>
      </c>
    </row>
    <row r="24" spans="2:8" ht="16.5" thickBot="1">
      <c r="C24" s="295" t="s">
        <v>206</v>
      </c>
      <c r="D24" s="296">
        <v>3840</v>
      </c>
      <c r="E24" s="297">
        <v>3960</v>
      </c>
      <c r="F24" s="297">
        <v>4200</v>
      </c>
      <c r="H24" s="306" t="s">
        <v>298</v>
      </c>
    </row>
    <row r="25" spans="2:8" ht="16.5" thickBot="1">
      <c r="B25" s="306"/>
      <c r="C25" s="307" t="s">
        <v>207</v>
      </c>
      <c r="D25" s="303">
        <v>250</v>
      </c>
      <c r="E25" s="304">
        <v>150</v>
      </c>
      <c r="F25" s="304">
        <v>180</v>
      </c>
      <c r="H25" s="308" t="s">
        <v>299</v>
      </c>
    </row>
    <row r="26" spans="2:8" ht="16.5" thickBot="1">
      <c r="C26" s="295" t="s">
        <v>252</v>
      </c>
      <c r="D26" s="296">
        <v>50</v>
      </c>
      <c r="E26" s="297">
        <v>70</v>
      </c>
      <c r="F26" s="297">
        <v>80</v>
      </c>
    </row>
    <row r="27" spans="2:8" ht="16.5" thickBot="1">
      <c r="C27" s="299" t="s">
        <v>300</v>
      </c>
      <c r="D27" s="300">
        <v>0</v>
      </c>
      <c r="E27" s="301">
        <v>50</v>
      </c>
      <c r="F27" s="301">
        <v>30</v>
      </c>
    </row>
    <row r="28" spans="2:8" ht="16.5" thickBot="1">
      <c r="C28" s="302" t="s">
        <v>301</v>
      </c>
      <c r="D28" s="303">
        <f>D26-D27</f>
        <v>50</v>
      </c>
      <c r="E28" s="304">
        <f t="shared" ref="E28:F28" si="1">E26-E27</f>
        <v>20</v>
      </c>
      <c r="F28" s="304">
        <f t="shared" si="1"/>
        <v>50</v>
      </c>
    </row>
    <row r="29" spans="2:8" ht="16.5" thickBot="1">
      <c r="B29" s="309" t="s">
        <v>302</v>
      </c>
      <c r="C29" s="310" t="s">
        <v>27</v>
      </c>
      <c r="D29" s="311">
        <f>+D19+D20-D23-D24-D25-D26</f>
        <v>350</v>
      </c>
      <c r="E29" s="312">
        <f>+E19+E20-E23-E24-E25-E26</f>
        <v>990</v>
      </c>
      <c r="F29" s="312">
        <f>+F19+F20-F23-F24-F25-F26</f>
        <v>1540</v>
      </c>
    </row>
    <row r="30" spans="2:8" ht="16.5" thickBot="1">
      <c r="C30" s="313" t="s">
        <v>208</v>
      </c>
      <c r="D30" s="314">
        <v>0</v>
      </c>
      <c r="E30" s="315">
        <v>0</v>
      </c>
      <c r="F30" s="315">
        <v>0</v>
      </c>
    </row>
    <row r="31" spans="2:8" ht="16.5" thickBot="1">
      <c r="C31" s="313" t="s">
        <v>209</v>
      </c>
      <c r="D31" s="314">
        <v>0</v>
      </c>
      <c r="E31" s="315">
        <v>50</v>
      </c>
      <c r="F31" s="315">
        <v>0</v>
      </c>
    </row>
    <row r="32" spans="2:8" ht="16.5" thickBot="1">
      <c r="C32" s="295" t="s">
        <v>210</v>
      </c>
      <c r="D32" s="296">
        <v>80</v>
      </c>
      <c r="E32" s="297">
        <v>85</v>
      </c>
      <c r="F32" s="297">
        <v>40</v>
      </c>
    </row>
    <row r="33" spans="3:6" ht="16.5" thickBot="1">
      <c r="C33" s="302" t="s">
        <v>253</v>
      </c>
      <c r="D33" s="303">
        <v>10</v>
      </c>
      <c r="E33" s="304">
        <v>8</v>
      </c>
      <c r="F33" s="304">
        <v>12</v>
      </c>
    </row>
    <row r="34" spans="3:6" ht="16.5" thickBot="1">
      <c r="C34" s="316" t="s">
        <v>303</v>
      </c>
      <c r="D34" s="317">
        <f>D32-D33</f>
        <v>70</v>
      </c>
      <c r="E34" s="318">
        <f t="shared" ref="E34:F34" si="2">E32-E33</f>
        <v>77</v>
      </c>
      <c r="F34" s="318">
        <f t="shared" si="2"/>
        <v>28</v>
      </c>
    </row>
    <row r="35" spans="3:6" ht="16.5" thickBot="1">
      <c r="C35" s="319" t="s">
        <v>211</v>
      </c>
      <c r="D35" s="320">
        <f>+D30+D31-D32</f>
        <v>-80</v>
      </c>
      <c r="E35" s="321">
        <f t="shared" ref="E35:F35" si="3">+E30+E31-E32</f>
        <v>-35</v>
      </c>
      <c r="F35" s="321">
        <f t="shared" si="3"/>
        <v>-40</v>
      </c>
    </row>
    <row r="36" spans="3:6" ht="16.5" thickBot="1">
      <c r="C36" s="295" t="s">
        <v>31</v>
      </c>
      <c r="D36" s="296">
        <f>+D35+D29</f>
        <v>270</v>
      </c>
      <c r="E36" s="297">
        <f t="shared" ref="E36:F36" si="4">+E35+E29</f>
        <v>955</v>
      </c>
      <c r="F36" s="297">
        <f t="shared" si="4"/>
        <v>1500</v>
      </c>
    </row>
    <row r="37" spans="3:6" ht="16.5" thickBot="1">
      <c r="C37" s="3" t="s">
        <v>33</v>
      </c>
      <c r="D37" s="4">
        <v>27</v>
      </c>
      <c r="E37" s="322">
        <v>85</v>
      </c>
      <c r="F37" s="322">
        <v>100</v>
      </c>
    </row>
    <row r="38" spans="3:6" ht="16.5" thickBot="1">
      <c r="C38" s="319" t="s">
        <v>35</v>
      </c>
      <c r="D38" s="320">
        <f>+D36-D37</f>
        <v>243</v>
      </c>
      <c r="E38" s="321">
        <f t="shared" ref="E38:F38" si="5">+E36-E37</f>
        <v>870</v>
      </c>
      <c r="F38" s="321">
        <f t="shared" si="5"/>
        <v>1400</v>
      </c>
    </row>
    <row r="39" spans="3:6" ht="16.5" thickBot="1">
      <c r="C39" s="323" t="s">
        <v>37</v>
      </c>
      <c r="D39" s="317">
        <v>10</v>
      </c>
      <c r="E39" s="318">
        <v>600</v>
      </c>
      <c r="F39" s="318">
        <v>850</v>
      </c>
    </row>
    <row r="40" spans="3:6" ht="16.5" thickBot="1">
      <c r="C40" s="323" t="s">
        <v>38</v>
      </c>
      <c r="D40" s="317">
        <f>+D38-D39</f>
        <v>233</v>
      </c>
      <c r="E40" s="318">
        <f t="shared" ref="E40:F40" si="6">+E38-E39</f>
        <v>270</v>
      </c>
      <c r="F40" s="318">
        <f t="shared" si="6"/>
        <v>550</v>
      </c>
    </row>
    <row r="41" spans="3:6" ht="16.5" thickBot="1">
      <c r="C41" s="8"/>
      <c r="D41" s="9"/>
      <c r="E41" s="324"/>
      <c r="F41" s="324"/>
    </row>
    <row r="42" spans="3:6" ht="16.5" thickBot="1">
      <c r="C42" s="295" t="s">
        <v>82</v>
      </c>
      <c r="D42" s="296">
        <v>200</v>
      </c>
      <c r="E42" s="297">
        <v>300</v>
      </c>
      <c r="F42" s="297">
        <v>250</v>
      </c>
    </row>
    <row r="43" spans="3:6" ht="16.5" thickBot="1">
      <c r="C43" s="302" t="s">
        <v>255</v>
      </c>
      <c r="D43" s="303">
        <v>100</v>
      </c>
      <c r="E43" s="304">
        <v>110</v>
      </c>
      <c r="F43" s="304">
        <v>130</v>
      </c>
    </row>
    <row r="44" spans="3:6" ht="16.5" thickBot="1">
      <c r="C44" s="299" t="s">
        <v>304</v>
      </c>
      <c r="D44" s="300">
        <f>D42-D43</f>
        <v>100</v>
      </c>
      <c r="E44" s="301">
        <f t="shared" ref="E44:F44" si="7">E42-E43</f>
        <v>190</v>
      </c>
      <c r="F44" s="301">
        <f t="shared" si="7"/>
        <v>120</v>
      </c>
    </row>
    <row r="45" spans="3:6" ht="16.5" thickBot="1">
      <c r="C45" s="313" t="s">
        <v>212</v>
      </c>
      <c r="D45" s="314">
        <v>0</v>
      </c>
      <c r="E45" s="315">
        <v>0</v>
      </c>
      <c r="F45" s="315">
        <v>0</v>
      </c>
    </row>
    <row r="46" spans="3:6" ht="16.5" thickBot="1">
      <c r="C46" s="307" t="s">
        <v>81</v>
      </c>
      <c r="D46" s="303">
        <v>300</v>
      </c>
      <c r="E46" s="304">
        <v>400</v>
      </c>
      <c r="F46" s="304">
        <v>500</v>
      </c>
    </row>
    <row r="47" spans="3:6" ht="16.5" thickBot="1">
      <c r="C47" s="307" t="s">
        <v>80</v>
      </c>
      <c r="D47" s="303">
        <v>250</v>
      </c>
      <c r="E47" s="304">
        <v>300</v>
      </c>
      <c r="F47" s="304">
        <v>400</v>
      </c>
    </row>
    <row r="48" spans="3:6" ht="16.5" thickBot="1">
      <c r="C48" s="319" t="s">
        <v>213</v>
      </c>
      <c r="D48" s="325">
        <f>+D42+D45+D46+D47</f>
        <v>750</v>
      </c>
      <c r="E48" s="326">
        <f t="shared" ref="E48:F48" si="8">+E42+E45+E46+E47</f>
        <v>1000</v>
      </c>
      <c r="F48" s="326">
        <f t="shared" si="8"/>
        <v>1150</v>
      </c>
    </row>
    <row r="49" spans="2:6" ht="16.5" thickBot="1">
      <c r="C49" s="313" t="s">
        <v>79</v>
      </c>
      <c r="D49" s="314">
        <v>1000</v>
      </c>
      <c r="E49" s="315">
        <v>1200</v>
      </c>
      <c r="F49" s="315">
        <v>1500</v>
      </c>
    </row>
    <row r="50" spans="2:6" ht="16.5" thickBot="1">
      <c r="C50" s="319" t="s">
        <v>214</v>
      </c>
      <c r="D50" s="320">
        <f>+D49+D48</f>
        <v>1750</v>
      </c>
      <c r="E50" s="321">
        <f t="shared" ref="E50:F50" si="9">+E49+E48</f>
        <v>2200</v>
      </c>
      <c r="F50" s="321">
        <f t="shared" si="9"/>
        <v>2650</v>
      </c>
    </row>
    <row r="51" spans="2:6" ht="16.5" thickBot="1">
      <c r="C51" s="295" t="s">
        <v>215</v>
      </c>
      <c r="D51" s="296">
        <v>300</v>
      </c>
      <c r="E51" s="297">
        <v>250</v>
      </c>
      <c r="F51" s="297">
        <v>100</v>
      </c>
    </row>
    <row r="52" spans="2:6" ht="16.5" thickBot="1">
      <c r="C52" s="302" t="s">
        <v>257</v>
      </c>
      <c r="D52" s="303">
        <v>80</v>
      </c>
      <c r="E52" s="304">
        <v>120</v>
      </c>
      <c r="F52" s="304">
        <v>50</v>
      </c>
    </row>
    <row r="53" spans="2:6" ht="16.5" thickBot="1">
      <c r="C53" s="316" t="s">
        <v>305</v>
      </c>
      <c r="D53" s="317">
        <f>D51-D52</f>
        <v>220</v>
      </c>
      <c r="E53" s="318">
        <f t="shared" ref="E53:F53" si="10">E51-E52</f>
        <v>130</v>
      </c>
      <c r="F53" s="318">
        <f t="shared" si="10"/>
        <v>50</v>
      </c>
    </row>
    <row r="54" spans="2:6" ht="16.5" thickBot="1">
      <c r="C54" s="307" t="s">
        <v>83</v>
      </c>
      <c r="D54" s="303">
        <v>300</v>
      </c>
      <c r="E54" s="304">
        <v>320</v>
      </c>
      <c r="F54" s="304">
        <v>400</v>
      </c>
    </row>
    <row r="55" spans="2:6" ht="16.5" thickBot="1">
      <c r="C55" s="319" t="s">
        <v>216</v>
      </c>
      <c r="D55" s="320">
        <f>+D51+D54</f>
        <v>600</v>
      </c>
      <c r="E55" s="321">
        <f t="shared" ref="E55" si="11">+E51+E54</f>
        <v>570</v>
      </c>
      <c r="F55" s="321">
        <f>+F51+F54</f>
        <v>500</v>
      </c>
    </row>
    <row r="56" spans="2:6" ht="16.5" thickBot="1">
      <c r="C56" s="323" t="s">
        <v>217</v>
      </c>
      <c r="D56" s="317">
        <v>500</v>
      </c>
      <c r="E56" s="318">
        <v>600</v>
      </c>
      <c r="F56" s="318">
        <v>300</v>
      </c>
    </row>
    <row r="57" spans="2:6" ht="16.5" thickBot="1">
      <c r="C57" s="323" t="s">
        <v>86</v>
      </c>
      <c r="D57" s="317">
        <f>+D50-D55-D56</f>
        <v>650</v>
      </c>
      <c r="E57" s="318">
        <f t="shared" ref="E57:F57" si="12">+E50-E55-E56</f>
        <v>1030</v>
      </c>
      <c r="F57" s="318">
        <f t="shared" si="12"/>
        <v>1850</v>
      </c>
    </row>
    <row r="58" spans="2:6" ht="16.5" thickBot="1">
      <c r="C58" s="319" t="s">
        <v>218</v>
      </c>
      <c r="D58" s="320">
        <f>+D55+D56+D57</f>
        <v>1750</v>
      </c>
      <c r="E58" s="321">
        <f t="shared" ref="E58:F58" si="13">+E55+E56+E57</f>
        <v>2200</v>
      </c>
      <c r="F58" s="321">
        <f t="shared" si="13"/>
        <v>2650</v>
      </c>
    </row>
    <row r="60" spans="2:6">
      <c r="C60" t="s">
        <v>306</v>
      </c>
      <c r="E60" s="327">
        <f>E37/E36</f>
        <v>8.9005235602094238E-2</v>
      </c>
      <c r="F60" s="327">
        <f>F37/F36</f>
        <v>6.6666666666666666E-2</v>
      </c>
    </row>
    <row r="63" spans="2:6" ht="15.75">
      <c r="C63" s="328" t="s">
        <v>27</v>
      </c>
      <c r="E63" s="330">
        <f>E29</f>
        <v>990</v>
      </c>
      <c r="F63" s="227">
        <f>F29</f>
        <v>1540</v>
      </c>
    </row>
    <row r="64" spans="2:6" ht="15.75">
      <c r="B64" t="s">
        <v>50</v>
      </c>
      <c r="C64" s="329" t="s">
        <v>307</v>
      </c>
      <c r="D64" s="22"/>
      <c r="E64" s="330">
        <f>-E21</f>
        <v>-100</v>
      </c>
      <c r="F64" s="330">
        <f>-F21</f>
        <v>-150</v>
      </c>
    </row>
    <row r="65" spans="2:6" ht="15.75">
      <c r="B65" t="s">
        <v>50</v>
      </c>
      <c r="C65" s="331" t="s">
        <v>308</v>
      </c>
      <c r="E65" s="330">
        <f>E27</f>
        <v>50</v>
      </c>
      <c r="F65" s="330">
        <f>F27</f>
        <v>30</v>
      </c>
    </row>
    <row r="66" spans="2:6" ht="15.75">
      <c r="B66" t="s">
        <v>50</v>
      </c>
      <c r="C66" s="332" t="s">
        <v>309</v>
      </c>
      <c r="D66" s="333"/>
      <c r="E66" s="334">
        <f>-E33</f>
        <v>-8</v>
      </c>
      <c r="F66" s="334">
        <f>-F33</f>
        <v>-12</v>
      </c>
    </row>
    <row r="67" spans="2:6" ht="15.75">
      <c r="B67" t="s">
        <v>310</v>
      </c>
      <c r="C67" s="142" t="s">
        <v>223</v>
      </c>
      <c r="E67" s="330">
        <f>SUM(E63:E66)</f>
        <v>932</v>
      </c>
      <c r="F67" s="227">
        <f>SUM(F63:F66)</f>
        <v>1408</v>
      </c>
    </row>
    <row r="68" spans="2:6" ht="15.75">
      <c r="B68" t="s">
        <v>311</v>
      </c>
      <c r="C68" s="335" t="s">
        <v>312</v>
      </c>
      <c r="D68" s="333"/>
      <c r="E68" s="336">
        <f>-E67*E$60</f>
        <v>-82.952879581151834</v>
      </c>
      <c r="F68" s="336">
        <f>-F67*F$60</f>
        <v>-93.86666666666666</v>
      </c>
    </row>
    <row r="69" spans="2:6" ht="15.75">
      <c r="B69" t="s">
        <v>310</v>
      </c>
      <c r="C69" s="142" t="s">
        <v>49</v>
      </c>
      <c r="E69" s="337">
        <f>SUM(E67:E68)</f>
        <v>849.04712041884818</v>
      </c>
      <c r="F69" s="337">
        <f>SUM(F67:F68)</f>
        <v>1314.1333333333334</v>
      </c>
    </row>
    <row r="70" spans="2:6" ht="15.75">
      <c r="B70" t="s">
        <v>50</v>
      </c>
      <c r="C70" s="338" t="s">
        <v>207</v>
      </c>
      <c r="E70" s="330">
        <f>E25</f>
        <v>150</v>
      </c>
      <c r="F70" s="330">
        <f>F25</f>
        <v>180</v>
      </c>
    </row>
    <row r="71" spans="2:6" ht="15.75">
      <c r="B71" t="s">
        <v>313</v>
      </c>
      <c r="C71" s="339" t="s">
        <v>314</v>
      </c>
      <c r="E71" s="330">
        <f>D43-E43</f>
        <v>-10</v>
      </c>
      <c r="F71" s="330">
        <f>E43-F43</f>
        <v>-20</v>
      </c>
    </row>
    <row r="72" spans="2:6" ht="15.75">
      <c r="B72" t="s">
        <v>313</v>
      </c>
      <c r="C72" s="339" t="s">
        <v>315</v>
      </c>
      <c r="E72" s="330">
        <f>D46-E46</f>
        <v>-100</v>
      </c>
      <c r="F72" s="330">
        <f>E46-F46</f>
        <v>-100</v>
      </c>
    </row>
    <row r="73" spans="2:6" ht="15.75">
      <c r="B73" t="s">
        <v>313</v>
      </c>
      <c r="C73" s="339" t="s">
        <v>316</v>
      </c>
      <c r="E73" s="330">
        <f>D47-E47</f>
        <v>-50</v>
      </c>
      <c r="F73" s="330">
        <f>E47-F47</f>
        <v>-100</v>
      </c>
    </row>
    <row r="74" spans="2:6" ht="15.75">
      <c r="B74" t="s">
        <v>317</v>
      </c>
      <c r="C74" s="338" t="s">
        <v>318</v>
      </c>
      <c r="E74" s="330">
        <f>E52-D52</f>
        <v>40</v>
      </c>
      <c r="F74" s="330">
        <f>F52-E52</f>
        <v>-70</v>
      </c>
    </row>
    <row r="75" spans="2:6" ht="15.75">
      <c r="B75" t="s">
        <v>317</v>
      </c>
      <c r="C75" s="340" t="s">
        <v>319</v>
      </c>
      <c r="D75" s="333"/>
      <c r="E75" s="334">
        <f>E54-D54</f>
        <v>20</v>
      </c>
      <c r="F75" s="334">
        <f>F54-E54</f>
        <v>80</v>
      </c>
    </row>
    <row r="76" spans="2:6" ht="15.75">
      <c r="B76" t="s">
        <v>310</v>
      </c>
      <c r="C76" s="341" t="s">
        <v>233</v>
      </c>
      <c r="E76" s="342">
        <f>SUM(E69:E75)</f>
        <v>899.04712041884818</v>
      </c>
      <c r="F76" s="342">
        <f>SUM(F69:F75)</f>
        <v>1284.1333333333334</v>
      </c>
    </row>
    <row r="77" spans="2:6">
      <c r="E77" s="337"/>
      <c r="F77" s="337"/>
    </row>
    <row r="78" spans="2:6" ht="15.75">
      <c r="B78" t="s">
        <v>313</v>
      </c>
      <c r="C78" s="343" t="s">
        <v>320</v>
      </c>
      <c r="E78" s="337">
        <f>D45-E45</f>
        <v>0</v>
      </c>
      <c r="F78" s="337">
        <f>E45-F45</f>
        <v>0</v>
      </c>
    </row>
    <row r="79" spans="2:6" ht="15.75">
      <c r="B79" t="s">
        <v>313</v>
      </c>
      <c r="C79" s="343" t="s">
        <v>321</v>
      </c>
      <c r="E79" s="337">
        <f>D49-E49</f>
        <v>-200</v>
      </c>
      <c r="F79" s="337">
        <f>E49-F49</f>
        <v>-300</v>
      </c>
    </row>
    <row r="80" spans="2:6" ht="15.75">
      <c r="B80" t="s">
        <v>50</v>
      </c>
      <c r="C80" s="343" t="str">
        <f>C70</f>
        <v>D&amp;A</v>
      </c>
      <c r="D80" s="344"/>
      <c r="E80" s="345">
        <f>-E70</f>
        <v>-150</v>
      </c>
      <c r="F80" s="345">
        <f t="shared" ref="F80" si="14">-F70</f>
        <v>-180</v>
      </c>
    </row>
    <row r="81" spans="2:6" ht="15.75">
      <c r="B81" t="s">
        <v>50</v>
      </c>
      <c r="C81" s="346" t="s">
        <v>208</v>
      </c>
      <c r="E81" s="337">
        <f>E30</f>
        <v>0</v>
      </c>
      <c r="F81" s="337">
        <f>F30</f>
        <v>0</v>
      </c>
    </row>
    <row r="82" spans="2:6" ht="15.75">
      <c r="B82" t="s">
        <v>322</v>
      </c>
      <c r="C82" s="347" t="s">
        <v>323</v>
      </c>
      <c r="E82" s="337">
        <f>-E81*E60</f>
        <v>0</v>
      </c>
      <c r="F82" s="337">
        <f>-F81*F60</f>
        <v>0</v>
      </c>
    </row>
    <row r="83" spans="2:6" ht="15.75">
      <c r="B83" t="s">
        <v>50</v>
      </c>
      <c r="C83" s="346" t="s">
        <v>209</v>
      </c>
      <c r="E83" s="337">
        <f>E31</f>
        <v>50</v>
      </c>
      <c r="F83" s="337">
        <f>F31</f>
        <v>0</v>
      </c>
    </row>
    <row r="84" spans="2:6" ht="15.75">
      <c r="B84" t="s">
        <v>324</v>
      </c>
      <c r="C84" s="348" t="s">
        <v>325</v>
      </c>
      <c r="D84" s="333"/>
      <c r="E84" s="336">
        <f>-E83*E60</f>
        <v>-4.4502617801047117</v>
      </c>
      <c r="F84" s="336">
        <f>-F83*F60</f>
        <v>0</v>
      </c>
    </row>
    <row r="85" spans="2:6" ht="15.75">
      <c r="C85" s="349" t="s">
        <v>235</v>
      </c>
      <c r="E85" s="342">
        <f>SUM(E78:E84)</f>
        <v>-304.45026178010471</v>
      </c>
      <c r="F85" s="342">
        <f>SUM(F78:F84)</f>
        <v>-480</v>
      </c>
    </row>
    <row r="87" spans="2:6" ht="15.75">
      <c r="C87" s="118" t="s">
        <v>52</v>
      </c>
      <c r="E87" s="350">
        <f>E76+E85</f>
        <v>594.59685863874347</v>
      </c>
      <c r="F87" s="350">
        <f>F76+F85</f>
        <v>804.13333333333344</v>
      </c>
    </row>
    <row r="89" spans="2:6" ht="15.75">
      <c r="C89" s="351" t="s">
        <v>326</v>
      </c>
      <c r="E89" s="337">
        <f>-E34</f>
        <v>-77</v>
      </c>
      <c r="F89" s="337">
        <f>-F34</f>
        <v>-28</v>
      </c>
    </row>
    <row r="90" spans="2:6" ht="15.75">
      <c r="C90" s="352" t="s">
        <v>327</v>
      </c>
      <c r="E90" s="337">
        <f>-E89*E60</f>
        <v>6.8534031413612562</v>
      </c>
      <c r="F90" s="337">
        <f>-F89*F60</f>
        <v>1.8666666666666667</v>
      </c>
    </row>
    <row r="91" spans="2:6" ht="15.75">
      <c r="C91" s="353" t="s">
        <v>328</v>
      </c>
      <c r="E91" s="330">
        <f>E53-D53</f>
        <v>-90</v>
      </c>
      <c r="F91" s="330">
        <f>F53-E53</f>
        <v>-80</v>
      </c>
    </row>
    <row r="92" spans="2:6" ht="15.75">
      <c r="C92" s="354" t="s">
        <v>329</v>
      </c>
      <c r="D92" s="333"/>
      <c r="E92" s="334">
        <f>E56-D56</f>
        <v>100</v>
      </c>
      <c r="F92" s="334">
        <f>F56-E56</f>
        <v>-300</v>
      </c>
    </row>
    <row r="93" spans="2:6" ht="15.75">
      <c r="C93" s="355" t="s">
        <v>59</v>
      </c>
      <c r="E93" s="342">
        <f>+SUM(E87:E92)</f>
        <v>534.45026178010471</v>
      </c>
      <c r="F93" s="342">
        <f>+SUM(F87:F92)</f>
        <v>398.00000000000011</v>
      </c>
    </row>
    <row r="94" spans="2:6" ht="15.75">
      <c r="C94" s="351" t="s">
        <v>37</v>
      </c>
      <c r="E94" s="330">
        <f>-E39</f>
        <v>-600</v>
      </c>
      <c r="F94" s="330">
        <f>-F39</f>
        <v>-850</v>
      </c>
    </row>
    <row r="95" spans="2:6" ht="16.5" thickBot="1">
      <c r="C95" s="356" t="s">
        <v>330</v>
      </c>
      <c r="E95" s="330">
        <f>E57-D57-E40</f>
        <v>110</v>
      </c>
      <c r="F95" s="330">
        <f>F57-E57-F40</f>
        <v>270</v>
      </c>
    </row>
    <row r="96" spans="2:6" ht="16.5" thickBot="1">
      <c r="C96" s="357" t="s">
        <v>331</v>
      </c>
      <c r="D96" s="358"/>
      <c r="E96" s="359">
        <f>SUM(E93:E95)</f>
        <v>44.450261780104711</v>
      </c>
      <c r="F96" s="360">
        <f>SUM(F93:F95)</f>
        <v>-181.99999999999989</v>
      </c>
    </row>
    <row r="98" spans="2:6" ht="15.75">
      <c r="C98" s="331" t="s">
        <v>332</v>
      </c>
      <c r="E98" s="337">
        <f>E21</f>
        <v>100</v>
      </c>
      <c r="F98" s="337">
        <f>F21</f>
        <v>150</v>
      </c>
    </row>
    <row r="99" spans="2:6" ht="15.75">
      <c r="C99" s="361" t="s">
        <v>333</v>
      </c>
      <c r="E99" s="337">
        <f>-E98*E60</f>
        <v>-8.9005235602094235</v>
      </c>
      <c r="F99" s="337">
        <f>-F98*F60</f>
        <v>-10</v>
      </c>
    </row>
    <row r="100" spans="2:6" ht="15.75">
      <c r="C100" s="329" t="s">
        <v>334</v>
      </c>
      <c r="E100" s="337">
        <f>-E27</f>
        <v>-50</v>
      </c>
      <c r="F100" s="337">
        <f>-F27</f>
        <v>-30</v>
      </c>
    </row>
    <row r="101" spans="2:6" ht="16.5" thickBot="1">
      <c r="C101" s="362" t="s">
        <v>177</v>
      </c>
      <c r="E101" s="337">
        <f>-E100*E60</f>
        <v>4.4502617801047117</v>
      </c>
      <c r="F101" s="337">
        <f>-F100*F60</f>
        <v>2</v>
      </c>
    </row>
    <row r="102" spans="2:6" ht="16.5" thickBot="1">
      <c r="C102" s="363" t="s">
        <v>335</v>
      </c>
      <c r="D102" s="364"/>
      <c r="E102" s="365">
        <f>SUM(E98:E101)</f>
        <v>45.549738219895289</v>
      </c>
      <c r="F102" s="366">
        <f>SUM(F98:F101)</f>
        <v>112</v>
      </c>
    </row>
    <row r="103" spans="2:6" ht="16.5" thickBot="1">
      <c r="C103" s="48"/>
      <c r="D103" s="48"/>
      <c r="E103" s="367"/>
      <c r="F103" s="367"/>
    </row>
    <row r="104" spans="2:6" ht="16.5" thickBot="1">
      <c r="C104" s="363" t="s">
        <v>336</v>
      </c>
      <c r="D104" s="364"/>
      <c r="E104" s="365">
        <f>E96+E102</f>
        <v>90</v>
      </c>
      <c r="F104" s="366">
        <f>F96+F102</f>
        <v>-69.999999999999886</v>
      </c>
    </row>
    <row r="105" spans="2:6" ht="6.75" customHeight="1" thickBot="1">
      <c r="C105" s="48"/>
      <c r="E105" s="337"/>
      <c r="F105" s="337"/>
    </row>
    <row r="106" spans="2:6" ht="16.5" thickBot="1">
      <c r="C106" s="368" t="s">
        <v>337</v>
      </c>
      <c r="D106" s="369"/>
      <c r="E106" s="365">
        <f>E44-D44</f>
        <v>90</v>
      </c>
      <c r="F106" s="366">
        <f>F44-E44</f>
        <v>-70</v>
      </c>
    </row>
    <row r="107" spans="2:6" ht="15.75">
      <c r="B107" s="370"/>
      <c r="E107" s="337"/>
      <c r="F107" s="337"/>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96EE-CB23-4F22-950B-1993FBDD8891}">
  <dimension ref="A1:K84"/>
  <sheetViews>
    <sheetView workbookViewId="0">
      <selection activeCell="C24" sqref="C24"/>
    </sheetView>
  </sheetViews>
  <sheetFormatPr defaultRowHeight="15"/>
  <cols>
    <col min="2" max="2" width="44.140625" bestFit="1" customWidth="1"/>
    <col min="3" max="3" width="38.85546875" bestFit="1" customWidth="1"/>
    <col min="4" max="4" width="26.7109375" bestFit="1" customWidth="1"/>
    <col min="5" max="6" width="11.5703125" bestFit="1" customWidth="1"/>
    <col min="7" max="7" width="13.85546875" bestFit="1" customWidth="1"/>
    <col min="8" max="8" width="17.28515625" bestFit="1" customWidth="1"/>
    <col min="9" max="9" width="13.85546875" bestFit="1" customWidth="1"/>
    <col min="10" max="10" width="11.85546875" bestFit="1" customWidth="1"/>
    <col min="11" max="11" width="11.5703125" bestFit="1" customWidth="1"/>
  </cols>
  <sheetData>
    <row r="1" spans="2:3" ht="15.75" thickBot="1"/>
    <row r="2" spans="2:3" ht="18.75">
      <c r="B2" s="11" t="str">
        <f>+[5]Admin!C12</f>
        <v>Date</v>
      </c>
      <c r="C2" s="12">
        <f>+[5]Admin!D12</f>
        <v>44538</v>
      </c>
    </row>
    <row r="3" spans="2:3" ht="18.75">
      <c r="B3" s="13" t="str">
        <f>+[5]Admin!C13</f>
        <v>Student name</v>
      </c>
      <c r="C3" s="14" t="str">
        <f>+[5]Admin!D13</f>
        <v>Sam Sample</v>
      </c>
    </row>
    <row r="4" spans="2:3" ht="18.75">
      <c r="B4" s="13" t="str">
        <f>+[5]Admin!C14</f>
        <v>Neptun code</v>
      </c>
      <c r="C4" s="14" t="str">
        <f>+[5]Admin!D14</f>
        <v>ABCD1234</v>
      </c>
    </row>
    <row r="5" spans="2:3" ht="18.75">
      <c r="B5" s="13"/>
      <c r="C5" s="15"/>
    </row>
    <row r="6" spans="2:3" ht="18.75">
      <c r="B6" s="13" t="str">
        <f>+[5]Admin!C16</f>
        <v>Study program</v>
      </c>
      <c r="C6" s="15" t="str">
        <f>+[5]Admin!D16</f>
        <v>Master in Finance</v>
      </c>
    </row>
    <row r="7" spans="2:3" ht="19.5" thickBot="1">
      <c r="B7" s="16" t="str">
        <f>+[5]Admin!C17</f>
        <v>Instructor</v>
      </c>
      <c r="C7" s="17" t="str">
        <f>+[5]Admin!D17</f>
        <v>Péter Juhász, PhD, CFA</v>
      </c>
    </row>
    <row r="8" spans="2:3" ht="15.75" thickBot="1"/>
    <row r="9" spans="2:3" ht="21" thickBot="1">
      <c r="B9" s="18" t="s">
        <v>95</v>
      </c>
      <c r="C9" s="19"/>
    </row>
    <row r="19" spans="2:11" ht="15.75">
      <c r="C19" s="87"/>
      <c r="D19" s="20">
        <v>2022</v>
      </c>
      <c r="E19" s="21">
        <f>+D19+1</f>
        <v>2023</v>
      </c>
      <c r="F19" s="21">
        <f t="shared" ref="F19:H19" si="0">+E19+1</f>
        <v>2024</v>
      </c>
      <c r="G19" s="21">
        <f t="shared" si="0"/>
        <v>2025</v>
      </c>
      <c r="H19" s="21">
        <f t="shared" si="0"/>
        <v>2026</v>
      </c>
      <c r="I19" s="89" t="s">
        <v>182</v>
      </c>
      <c r="J19" t="s">
        <v>118</v>
      </c>
      <c r="K19" t="s">
        <v>119</v>
      </c>
    </row>
    <row r="20" spans="2:11" ht="15.75">
      <c r="B20" s="85" t="s">
        <v>120</v>
      </c>
      <c r="C20" t="s">
        <v>8</v>
      </c>
      <c r="D20" s="179">
        <v>0.15</v>
      </c>
      <c r="E20" s="21"/>
      <c r="F20" s="21"/>
      <c r="G20" s="21"/>
      <c r="H20" s="21"/>
      <c r="I20" s="89"/>
    </row>
    <row r="21" spans="2:11" ht="15.75">
      <c r="B21" s="85" t="s">
        <v>103</v>
      </c>
      <c r="C21" s="88" t="s">
        <v>10</v>
      </c>
      <c r="E21" s="90">
        <v>0.2</v>
      </c>
      <c r="F21" s="90">
        <v>0.22</v>
      </c>
      <c r="G21" s="90">
        <v>0.22</v>
      </c>
      <c r="H21" s="90">
        <v>0.22</v>
      </c>
      <c r="I21" s="180">
        <f>I33</f>
        <v>0.11635</v>
      </c>
      <c r="J21" s="180">
        <f t="shared" ref="J21:K21" si="1">J33</f>
        <v>0.11635</v>
      </c>
      <c r="K21" s="180">
        <f t="shared" si="1"/>
        <v>0.11635</v>
      </c>
    </row>
    <row r="22" spans="2:11" ht="15.75">
      <c r="B22" s="86" t="s">
        <v>105</v>
      </c>
      <c r="C22" s="88" t="s">
        <v>12</v>
      </c>
      <c r="D22" s="90">
        <v>0.5</v>
      </c>
      <c r="E22" s="90">
        <v>0.4</v>
      </c>
      <c r="F22" s="90">
        <v>0.3</v>
      </c>
      <c r="G22" s="90">
        <v>0.3</v>
      </c>
      <c r="H22" s="90">
        <v>0.25</v>
      </c>
      <c r="I22" s="181">
        <f>J26/J21</f>
        <v>0.42973785990545771</v>
      </c>
      <c r="J22" s="181">
        <f t="shared" ref="J22" si="2">K26/K21</f>
        <v>0.42973785990545771</v>
      </c>
      <c r="K22" s="181" t="e">
        <f>L26/L21</f>
        <v>#DIV/0!</v>
      </c>
    </row>
    <row r="23" spans="2:11" ht="18.75">
      <c r="C23" s="88" t="s">
        <v>184</v>
      </c>
      <c r="D23" s="90">
        <v>0.12</v>
      </c>
      <c r="E23" s="90">
        <v>0.12</v>
      </c>
      <c r="F23" s="90">
        <v>0.12</v>
      </c>
      <c r="G23" s="90">
        <v>0.12</v>
      </c>
      <c r="H23" s="90">
        <v>0.12</v>
      </c>
      <c r="I23" s="90">
        <v>0.12</v>
      </c>
      <c r="J23" s="90">
        <v>0.12</v>
      </c>
      <c r="K23" s="90">
        <v>0.12</v>
      </c>
    </row>
    <row r="24" spans="2:11" ht="18.75">
      <c r="C24" s="88" t="s">
        <v>185</v>
      </c>
      <c r="D24" s="90">
        <v>0.06</v>
      </c>
      <c r="E24" s="90">
        <v>7.0000000000000007E-2</v>
      </c>
      <c r="F24" s="90">
        <v>7.1999999999999995E-2</v>
      </c>
      <c r="G24" s="90">
        <v>7.2999999999999995E-2</v>
      </c>
      <c r="H24" s="90">
        <v>7.2999999999999995E-2</v>
      </c>
      <c r="I24" s="90">
        <v>7.2999999999999995E-2</v>
      </c>
      <c r="J24" s="90">
        <v>7.2999999999999995E-2</v>
      </c>
      <c r="K24" s="90">
        <v>7.2999999999999995E-2</v>
      </c>
    </row>
    <row r="25" spans="2:11" ht="15.75">
      <c r="C25" s="88" t="s">
        <v>126</v>
      </c>
      <c r="D25" s="90">
        <v>0.1</v>
      </c>
      <c r="E25" s="90">
        <v>0.1</v>
      </c>
      <c r="F25" s="90">
        <v>0.1</v>
      </c>
      <c r="G25" s="90">
        <v>0.1</v>
      </c>
      <c r="H25" s="90">
        <v>0.1</v>
      </c>
      <c r="I25" s="90">
        <v>0.1</v>
      </c>
      <c r="J25" s="90">
        <v>0.1</v>
      </c>
      <c r="K25" s="90">
        <v>0.1</v>
      </c>
    </row>
    <row r="26" spans="2:11" ht="15.75">
      <c r="C26" s="88" t="s">
        <v>127</v>
      </c>
      <c r="D26" s="87"/>
      <c r="E26" s="87"/>
      <c r="F26" s="87"/>
      <c r="G26" s="90"/>
      <c r="H26" s="90"/>
      <c r="J26" s="90">
        <v>0.05</v>
      </c>
      <c r="K26" s="90">
        <v>0.05</v>
      </c>
    </row>
    <row r="27" spans="2:11" ht="15.75">
      <c r="C27" s="87"/>
      <c r="D27" s="87"/>
      <c r="E27" s="87"/>
      <c r="F27" s="87"/>
      <c r="G27" s="87"/>
      <c r="H27" s="87"/>
      <c r="I27" s="87"/>
    </row>
    <row r="28" spans="2:11" ht="15.75">
      <c r="C28" s="88"/>
      <c r="D28" s="89">
        <f>+D19</f>
        <v>2022</v>
      </c>
      <c r="E28" s="89">
        <f t="shared" ref="E28:I28" si="3">+E19</f>
        <v>2023</v>
      </c>
      <c r="F28" s="89">
        <f t="shared" si="3"/>
        <v>2024</v>
      </c>
      <c r="G28" s="89">
        <f t="shared" si="3"/>
        <v>2025</v>
      </c>
      <c r="H28" s="89">
        <f t="shared" si="3"/>
        <v>2026</v>
      </c>
      <c r="I28" s="89" t="str">
        <f t="shared" si="3"/>
        <v>TV1</v>
      </c>
    </row>
    <row r="29" spans="2:11" ht="15.75">
      <c r="C29" s="88" t="s">
        <v>64</v>
      </c>
      <c r="D29" s="90">
        <f t="shared" ref="D29:G29" si="4">D37/D74</f>
        <v>0.20796284319943192</v>
      </c>
      <c r="E29" s="90">
        <f t="shared" si="4"/>
        <v>0.27942522471989539</v>
      </c>
      <c r="F29" s="90">
        <f t="shared" si="4"/>
        <v>0.31664577609881528</v>
      </c>
      <c r="G29" s="90">
        <f t="shared" si="4"/>
        <v>0.31876983859424934</v>
      </c>
      <c r="H29" s="90">
        <f>H37/H74</f>
        <v>0.32177645330142174</v>
      </c>
      <c r="I29" s="90">
        <v>0.5</v>
      </c>
      <c r="J29" s="90">
        <v>0.5</v>
      </c>
      <c r="K29" s="90">
        <v>0.5</v>
      </c>
    </row>
    <row r="30" spans="2:11" ht="15.75">
      <c r="C30" s="88" t="s">
        <v>101</v>
      </c>
      <c r="D30" s="90">
        <v>0.3</v>
      </c>
      <c r="E30" s="90">
        <v>0.4</v>
      </c>
      <c r="F30" s="90">
        <v>0.45</v>
      </c>
      <c r="G30" s="90">
        <v>0.45</v>
      </c>
      <c r="H30" s="90">
        <v>0.45</v>
      </c>
      <c r="I30" s="90"/>
    </row>
    <row r="31" spans="2:11" ht="15.75">
      <c r="C31" s="87" t="s">
        <v>0</v>
      </c>
      <c r="D31" s="68">
        <v>10000</v>
      </c>
      <c r="E31" s="68"/>
      <c r="F31" s="68"/>
      <c r="G31" s="68"/>
      <c r="H31" s="68"/>
      <c r="I31" s="68"/>
    </row>
    <row r="32" spans="2:11" ht="15.75">
      <c r="C32" s="87"/>
      <c r="D32" s="68"/>
      <c r="E32" s="68"/>
      <c r="F32" s="68"/>
      <c r="G32" s="68"/>
      <c r="H32" s="68"/>
      <c r="I32" s="68"/>
    </row>
    <row r="33" spans="1:11" ht="15.75">
      <c r="B33" t="s">
        <v>187</v>
      </c>
      <c r="C33" s="88" t="s">
        <v>72</v>
      </c>
      <c r="D33" s="182">
        <f t="shared" ref="D33:G33" si="5">D23-D29*D24*D25</f>
        <v>0.1187522229408034</v>
      </c>
      <c r="E33" s="182">
        <f t="shared" si="5"/>
        <v>0.11804402342696073</v>
      </c>
      <c r="F33" s="182">
        <f t="shared" si="5"/>
        <v>0.11772015041208853</v>
      </c>
      <c r="G33" s="182">
        <f t="shared" si="5"/>
        <v>0.11767298017826197</v>
      </c>
      <c r="H33" s="182">
        <f>H23-H29*H24*H25</f>
        <v>0.11765103189089962</v>
      </c>
      <c r="I33" s="182">
        <f>I23-I29*I24*I25</f>
        <v>0.11635</v>
      </c>
      <c r="J33" s="182">
        <f t="shared" ref="J33:K33" si="6">J23-J29*J24*J25</f>
        <v>0.11635</v>
      </c>
      <c r="K33" s="182">
        <f t="shared" si="6"/>
        <v>0.11635</v>
      </c>
    </row>
    <row r="35" spans="1:11" ht="15.75">
      <c r="C35" t="s">
        <v>17</v>
      </c>
      <c r="D35" s="20">
        <v>2022</v>
      </c>
      <c r="E35" s="21">
        <f>+D35+1</f>
        <v>2023</v>
      </c>
      <c r="F35" s="21">
        <f t="shared" ref="F35:H35" si="7">+E35+1</f>
        <v>2024</v>
      </c>
      <c r="G35" s="21">
        <f t="shared" si="7"/>
        <v>2025</v>
      </c>
      <c r="H35" s="21">
        <f t="shared" si="7"/>
        <v>2026</v>
      </c>
      <c r="I35" s="89" t="s">
        <v>117</v>
      </c>
    </row>
    <row r="36" spans="1:11">
      <c r="B36" t="s">
        <v>131</v>
      </c>
      <c r="C36" t="s">
        <v>132</v>
      </c>
      <c r="D36" s="91">
        <f>D31</f>
        <v>10000</v>
      </c>
      <c r="E36" s="91">
        <f>D36+D42</f>
        <v>10750</v>
      </c>
      <c r="F36" s="91">
        <f t="shared" ref="F36:K36" si="8">E36+E42</f>
        <v>11410</v>
      </c>
      <c r="G36" s="91">
        <f t="shared" si="8"/>
        <v>11948.56</v>
      </c>
      <c r="H36" s="91">
        <f t="shared" si="8"/>
        <v>12522.66496</v>
      </c>
      <c r="I36" s="91">
        <f t="shared" si="8"/>
        <v>13032.661532800001</v>
      </c>
      <c r="J36" s="91">
        <f t="shared" si="8"/>
        <v>13934.820704456761</v>
      </c>
      <c r="K36" s="91">
        <f t="shared" si="8"/>
        <v>14882.087834696358</v>
      </c>
    </row>
    <row r="37" spans="1:11">
      <c r="B37" t="s">
        <v>134</v>
      </c>
      <c r="C37" t="s">
        <v>135</v>
      </c>
      <c r="D37" s="93">
        <f>D30*D36</f>
        <v>3000</v>
      </c>
      <c r="E37" s="93">
        <f t="shared" ref="E37:H37" si="9">E30*E36</f>
        <v>4300</v>
      </c>
      <c r="F37" s="93">
        <f t="shared" si="9"/>
        <v>5134.5</v>
      </c>
      <c r="G37" s="93">
        <f t="shared" si="9"/>
        <v>5376.8519999999999</v>
      </c>
      <c r="H37" s="93">
        <f t="shared" si="9"/>
        <v>5635.1992319999999</v>
      </c>
      <c r="I37" s="183">
        <f>I29*I70</f>
        <v>9021.5917165675983</v>
      </c>
      <c r="J37" s="183">
        <f t="shared" ref="J37:K37" si="10">J29*J70</f>
        <v>9472.6713023959765</v>
      </c>
      <c r="K37" s="183">
        <f t="shared" si="10"/>
        <v>0</v>
      </c>
    </row>
    <row r="38" spans="1:11">
      <c r="C38" t="s">
        <v>137</v>
      </c>
      <c r="D38" s="93">
        <f>D36-D37</f>
        <v>7000</v>
      </c>
      <c r="E38" s="93">
        <f t="shared" ref="E38:K38" si="11">E36-E37</f>
        <v>6450</v>
      </c>
      <c r="F38" s="93">
        <f t="shared" si="11"/>
        <v>6275.5</v>
      </c>
      <c r="G38" s="93">
        <f t="shared" si="11"/>
        <v>6571.7079999999996</v>
      </c>
      <c r="H38" s="93">
        <f t="shared" si="11"/>
        <v>6887.4657280000001</v>
      </c>
      <c r="I38" s="93">
        <f t="shared" si="11"/>
        <v>4011.0698162324024</v>
      </c>
      <c r="J38" s="93">
        <f t="shared" si="11"/>
        <v>4462.1494020607843</v>
      </c>
      <c r="K38" s="93">
        <f t="shared" si="11"/>
        <v>14882.087834696358</v>
      </c>
    </row>
    <row r="40" spans="1:11">
      <c r="B40" t="s">
        <v>338</v>
      </c>
      <c r="C40" t="s">
        <v>49</v>
      </c>
      <c r="D40" s="91">
        <f>D36*D20</f>
        <v>1500</v>
      </c>
      <c r="E40" s="91">
        <f>D40+D41</f>
        <v>1650</v>
      </c>
      <c r="F40" s="91">
        <f t="shared" ref="F40:K40" si="12">E40+E41</f>
        <v>1795.2</v>
      </c>
      <c r="G40" s="91">
        <f t="shared" si="12"/>
        <v>1913.6831999999999</v>
      </c>
      <c r="H40" s="91">
        <f t="shared" si="12"/>
        <v>2039.9862911999999</v>
      </c>
      <c r="I40" s="91">
        <f t="shared" si="12"/>
        <v>2099.32439244528</v>
      </c>
      <c r="J40" s="91">
        <f t="shared" si="12"/>
        <v>2204.2906120675439</v>
      </c>
      <c r="K40" s="91">
        <f t="shared" si="12"/>
        <v>2314.505142670921</v>
      </c>
    </row>
    <row r="41" spans="1:11">
      <c r="B41" t="s">
        <v>146</v>
      </c>
      <c r="C41" t="s">
        <v>147</v>
      </c>
      <c r="D41" s="91">
        <f>D42*E21</f>
        <v>150</v>
      </c>
      <c r="E41" s="91">
        <f t="shared" ref="E41:K41" si="13">E42*F21</f>
        <v>145.19999999999999</v>
      </c>
      <c r="F41" s="91">
        <f t="shared" si="13"/>
        <v>118.48319999999998</v>
      </c>
      <c r="G41" s="91">
        <f t="shared" si="13"/>
        <v>126.3030912</v>
      </c>
      <c r="H41" s="91">
        <f>H42*I21</f>
        <v>59.338101245279994</v>
      </c>
      <c r="I41" s="91">
        <f t="shared" si="13"/>
        <v>104.96621962226399</v>
      </c>
      <c r="J41" s="91">
        <f t="shared" si="13"/>
        <v>110.2145306033772</v>
      </c>
      <c r="K41" s="91" t="e">
        <f t="shared" si="13"/>
        <v>#DIV/0!</v>
      </c>
    </row>
    <row r="42" spans="1:11" ht="15.75">
      <c r="B42" t="s">
        <v>149</v>
      </c>
      <c r="C42" t="s">
        <v>150</v>
      </c>
      <c r="D42" s="91">
        <f>D40*D22</f>
        <v>750</v>
      </c>
      <c r="E42" s="91">
        <f t="shared" ref="E42:K42" si="14">E40*E22</f>
        <v>660</v>
      </c>
      <c r="F42" s="91">
        <f t="shared" si="14"/>
        <v>538.55999999999995</v>
      </c>
      <c r="G42" s="91">
        <f t="shared" si="14"/>
        <v>574.10496000000001</v>
      </c>
      <c r="H42" s="91">
        <f t="shared" si="14"/>
        <v>509.99657279999997</v>
      </c>
      <c r="I42" s="184">
        <f>I40*I22</f>
        <v>902.15917165675978</v>
      </c>
      <c r="J42" s="184">
        <f>J40*J22</f>
        <v>947.2671302395978</v>
      </c>
      <c r="K42" s="91" t="e">
        <f t="shared" si="14"/>
        <v>#DIV/0!</v>
      </c>
    </row>
    <row r="43" spans="1:11">
      <c r="B43" t="s">
        <v>24</v>
      </c>
    </row>
    <row r="44" spans="1:11" ht="15.75">
      <c r="C44" t="s">
        <v>339</v>
      </c>
      <c r="D44" s="93">
        <f>D40/(1-D25)</f>
        <v>1666.6666666666665</v>
      </c>
      <c r="E44" s="93">
        <f t="shared" ref="E44:K44" si="15">E40/(1-E25)</f>
        <v>1833.3333333333333</v>
      </c>
      <c r="F44" s="93">
        <f t="shared" si="15"/>
        <v>1994.6666666666667</v>
      </c>
      <c r="G44" s="93">
        <f t="shared" si="15"/>
        <v>2126.3146666666667</v>
      </c>
      <c r="H44" s="93">
        <f t="shared" si="15"/>
        <v>2266.6514346666663</v>
      </c>
      <c r="I44" s="93">
        <f t="shared" si="15"/>
        <v>2332.5826582725331</v>
      </c>
      <c r="J44" s="93">
        <f t="shared" si="15"/>
        <v>2449.2117911861596</v>
      </c>
      <c r="K44" s="93">
        <f t="shared" si="15"/>
        <v>2571.6723807454678</v>
      </c>
    </row>
    <row r="45" spans="1:11">
      <c r="A45" t="s">
        <v>155</v>
      </c>
      <c r="C45" t="s">
        <v>114</v>
      </c>
      <c r="D45" s="93">
        <f>D37*D24</f>
        <v>180</v>
      </c>
      <c r="E45" s="93">
        <f t="shared" ref="E45:K45" si="16">E37*E24</f>
        <v>301.00000000000006</v>
      </c>
      <c r="F45" s="93">
        <f t="shared" si="16"/>
        <v>369.68399999999997</v>
      </c>
      <c r="G45" s="93">
        <f t="shared" si="16"/>
        <v>392.51019599999995</v>
      </c>
      <c r="H45" s="93">
        <f t="shared" si="16"/>
        <v>411.36954393599996</v>
      </c>
      <c r="I45" s="93">
        <f t="shared" si="16"/>
        <v>658.57619530943464</v>
      </c>
      <c r="J45" s="93">
        <f t="shared" si="16"/>
        <v>691.50500507490619</v>
      </c>
      <c r="K45" s="93">
        <f t="shared" si="16"/>
        <v>0</v>
      </c>
    </row>
    <row r="46" spans="1:11">
      <c r="C46" t="s">
        <v>31</v>
      </c>
      <c r="D46" s="93">
        <f>D44-D45</f>
        <v>1486.6666666666665</v>
      </c>
      <c r="E46" s="93">
        <f t="shared" ref="E46:K46" si="17">E44-E45</f>
        <v>1532.3333333333333</v>
      </c>
      <c r="F46" s="93">
        <f t="shared" si="17"/>
        <v>1624.9826666666668</v>
      </c>
      <c r="G46" s="93">
        <f t="shared" si="17"/>
        <v>1733.8044706666667</v>
      </c>
      <c r="H46" s="93">
        <f t="shared" si="17"/>
        <v>1855.2818907306664</v>
      </c>
      <c r="I46" s="93">
        <f t="shared" si="17"/>
        <v>1674.0064629630983</v>
      </c>
      <c r="J46" s="93">
        <f t="shared" si="17"/>
        <v>1757.7067861112535</v>
      </c>
      <c r="K46" s="93">
        <f t="shared" si="17"/>
        <v>2571.6723807454678</v>
      </c>
    </row>
    <row r="47" spans="1:11">
      <c r="A47" s="37" t="s">
        <v>157</v>
      </c>
      <c r="C47" t="s">
        <v>33</v>
      </c>
      <c r="D47" s="185">
        <f>IF(D46&lt;0,0,D46*D25)</f>
        <v>148.66666666666666</v>
      </c>
      <c r="E47" s="185">
        <f t="shared" ref="E47:K47" si="18">IF(E46&lt;0,0,E46*E25)</f>
        <v>153.23333333333332</v>
      </c>
      <c r="F47" s="185">
        <f t="shared" si="18"/>
        <v>162.49826666666669</v>
      </c>
      <c r="G47" s="185">
        <f t="shared" si="18"/>
        <v>173.38044706666668</v>
      </c>
      <c r="H47" s="185">
        <f t="shared" si="18"/>
        <v>185.52818907306664</v>
      </c>
      <c r="I47" s="185">
        <f t="shared" si="18"/>
        <v>167.40064629630984</v>
      </c>
      <c r="J47" s="185">
        <f t="shared" si="18"/>
        <v>175.77067861112536</v>
      </c>
      <c r="K47" s="185">
        <f t="shared" si="18"/>
        <v>257.16723807454679</v>
      </c>
    </row>
    <row r="48" spans="1:11">
      <c r="C48" t="s">
        <v>35</v>
      </c>
      <c r="D48" s="93">
        <f>D46-D47</f>
        <v>1337.9999999999998</v>
      </c>
      <c r="E48" s="93">
        <f t="shared" ref="E48:K48" si="19">E46-E47</f>
        <v>1379.1</v>
      </c>
      <c r="F48" s="93">
        <f t="shared" si="19"/>
        <v>1462.4844000000001</v>
      </c>
      <c r="G48" s="93">
        <f t="shared" si="19"/>
        <v>1560.4240236000001</v>
      </c>
      <c r="H48" s="93">
        <f t="shared" si="19"/>
        <v>1669.7537016575998</v>
      </c>
      <c r="I48" s="93">
        <f t="shared" si="19"/>
        <v>1506.6058166667885</v>
      </c>
      <c r="J48" s="93">
        <f t="shared" si="19"/>
        <v>1581.9361075001282</v>
      </c>
      <c r="K48" s="93">
        <f t="shared" si="19"/>
        <v>2314.505142670921</v>
      </c>
    </row>
    <row r="49" spans="2:11">
      <c r="C49" t="s">
        <v>37</v>
      </c>
      <c r="D49" s="186">
        <f>+D48-D50</f>
        <v>1337.9999999999998</v>
      </c>
      <c r="E49" s="186">
        <f t="shared" ref="E49:I49" si="20">+E48-E50</f>
        <v>1379.1</v>
      </c>
      <c r="F49" s="186">
        <f t="shared" si="20"/>
        <v>1166.2764000000004</v>
      </c>
      <c r="G49" s="186">
        <f t="shared" si="20"/>
        <v>1244.6662955999996</v>
      </c>
      <c r="H49" s="186">
        <f t="shared" si="20"/>
        <v>1669.7537016575998</v>
      </c>
      <c r="I49" s="186">
        <f t="shared" si="20"/>
        <v>1055.5262308384067</v>
      </c>
    </row>
    <row r="50" spans="2:11">
      <c r="C50" t="s">
        <v>38</v>
      </c>
      <c r="D50" s="186">
        <f>+IF(D48&lt;0,D48,MAX(0,MIN(D48,D52)))</f>
        <v>0</v>
      </c>
      <c r="E50" s="186">
        <f t="shared" ref="E50:I50" si="21">+IF(E48&lt;0,E48,MAX(0,MIN(E48,E52)))</f>
        <v>0</v>
      </c>
      <c r="F50" s="186">
        <f>+IF(F48&lt;0,F48,MAX(0,MIN(F48,F52)))</f>
        <v>296.20799999999963</v>
      </c>
      <c r="G50" s="186">
        <f t="shared" si="21"/>
        <v>315.7577280000005</v>
      </c>
      <c r="H50" s="186">
        <f t="shared" si="21"/>
        <v>0</v>
      </c>
      <c r="I50" s="186">
        <f t="shared" si="21"/>
        <v>451.07958582838182</v>
      </c>
    </row>
    <row r="51" spans="2:11">
      <c r="D51" s="186"/>
      <c r="E51" s="186"/>
      <c r="F51" s="186"/>
      <c r="G51" s="186"/>
      <c r="H51" s="186"/>
      <c r="I51" s="186"/>
    </row>
    <row r="52" spans="2:11">
      <c r="C52" t="s">
        <v>40</v>
      </c>
      <c r="D52" s="186">
        <f>+E38-D38</f>
        <v>-550</v>
      </c>
      <c r="E52" s="186">
        <f t="shared" ref="E52:I52" si="22">+F38-E38</f>
        <v>-174.5</v>
      </c>
      <c r="F52" s="186">
        <f t="shared" si="22"/>
        <v>296.20799999999963</v>
      </c>
      <c r="G52" s="186">
        <f t="shared" si="22"/>
        <v>315.7577280000005</v>
      </c>
      <c r="H52" s="186">
        <f t="shared" si="22"/>
        <v>-2876.3959117675977</v>
      </c>
      <c r="I52" s="186">
        <f t="shared" si="22"/>
        <v>451.07958582838182</v>
      </c>
    </row>
    <row r="53" spans="2:11">
      <c r="C53" t="s">
        <v>42</v>
      </c>
      <c r="D53" s="186">
        <f>+D52-D50</f>
        <v>-550</v>
      </c>
      <c r="E53" s="186">
        <f t="shared" ref="E53:I53" si="23">+E52-E50</f>
        <v>-174.5</v>
      </c>
      <c r="F53" s="186">
        <f t="shared" si="23"/>
        <v>0</v>
      </c>
      <c r="G53" s="186">
        <f t="shared" si="23"/>
        <v>0</v>
      </c>
      <c r="H53" s="186">
        <f t="shared" si="23"/>
        <v>-2876.3959117675977</v>
      </c>
      <c r="I53" s="186">
        <f t="shared" si="23"/>
        <v>0</v>
      </c>
    </row>
    <row r="54" spans="2:11">
      <c r="C54" t="s">
        <v>44</v>
      </c>
      <c r="D54" s="26">
        <f>D49/D48</f>
        <v>1</v>
      </c>
      <c r="E54" s="26">
        <f t="shared" ref="E54:I54" si="24">E49/E48</f>
        <v>1</v>
      </c>
      <c r="F54" s="26">
        <f t="shared" si="24"/>
        <v>0.79746245498413548</v>
      </c>
      <c r="G54" s="26">
        <f t="shared" si="24"/>
        <v>0.79764620178589229</v>
      </c>
      <c r="H54" s="26">
        <f t="shared" si="24"/>
        <v>1</v>
      </c>
      <c r="I54" s="26">
        <f t="shared" si="24"/>
        <v>0.70059880239520822</v>
      </c>
    </row>
    <row r="55" spans="2:11" ht="15.75">
      <c r="C55" s="27" t="s">
        <v>46</v>
      </c>
      <c r="D55" s="28">
        <f>+D47/D46</f>
        <v>0.1</v>
      </c>
      <c r="E55" s="28">
        <f t="shared" ref="E55:K55" si="25">+E47/E46</f>
        <v>9.9999999999999992E-2</v>
      </c>
      <c r="F55" s="28">
        <f t="shared" si="25"/>
        <v>0.1</v>
      </c>
      <c r="G55" s="28">
        <f t="shared" si="25"/>
        <v>0.1</v>
      </c>
      <c r="H55" s="28">
        <f t="shared" si="25"/>
        <v>0.1</v>
      </c>
      <c r="I55" s="28">
        <f t="shared" si="25"/>
        <v>0.1</v>
      </c>
      <c r="J55" s="28">
        <f t="shared" si="25"/>
        <v>0.1</v>
      </c>
      <c r="K55" s="28">
        <f t="shared" si="25"/>
        <v>0.1</v>
      </c>
    </row>
    <row r="56" spans="2:11">
      <c r="B56" t="s">
        <v>47</v>
      </c>
    </row>
    <row r="57" spans="2:11">
      <c r="C57" t="s">
        <v>67</v>
      </c>
      <c r="D57" s="92">
        <f>D40</f>
        <v>1500</v>
      </c>
      <c r="E57" s="92">
        <f t="shared" ref="E57:K57" si="26">E40</f>
        <v>1650</v>
      </c>
      <c r="F57" s="92">
        <f t="shared" si="26"/>
        <v>1795.2</v>
      </c>
      <c r="G57" s="92">
        <f t="shared" si="26"/>
        <v>1913.6831999999999</v>
      </c>
      <c r="H57" s="92">
        <f t="shared" si="26"/>
        <v>2039.9862911999999</v>
      </c>
      <c r="I57" s="92">
        <f t="shared" si="26"/>
        <v>2099.32439244528</v>
      </c>
      <c r="J57" s="92">
        <f t="shared" si="26"/>
        <v>2204.2906120675439</v>
      </c>
      <c r="K57" s="92">
        <f t="shared" si="26"/>
        <v>2314.505142670921</v>
      </c>
    </row>
    <row r="58" spans="2:11" ht="15.75">
      <c r="C58" s="166" t="s">
        <v>195</v>
      </c>
      <c r="D58" s="92">
        <f>D42</f>
        <v>750</v>
      </c>
      <c r="E58" s="92">
        <f t="shared" ref="E58:K58" si="27">E42</f>
        <v>660</v>
      </c>
      <c r="F58" s="92">
        <f t="shared" si="27"/>
        <v>538.55999999999995</v>
      </c>
      <c r="G58" s="92">
        <f t="shared" si="27"/>
        <v>574.10496000000001</v>
      </c>
      <c r="H58" s="92">
        <f t="shared" si="27"/>
        <v>509.99657279999997</v>
      </c>
      <c r="I58" s="92">
        <f t="shared" si="27"/>
        <v>902.15917165675978</v>
      </c>
      <c r="J58" s="92">
        <f t="shared" si="27"/>
        <v>947.2671302395978</v>
      </c>
      <c r="K58" s="92" t="e">
        <f t="shared" si="27"/>
        <v>#DIV/0!</v>
      </c>
    </row>
    <row r="59" spans="2:11">
      <c r="C59" s="32" t="s">
        <v>52</v>
      </c>
      <c r="D59" s="93">
        <f>D57-D58</f>
        <v>750</v>
      </c>
      <c r="E59" s="93">
        <f t="shared" ref="E59:K59" si="28">E57-E58</f>
        <v>990</v>
      </c>
      <c r="F59" s="93">
        <f t="shared" si="28"/>
        <v>1256.6400000000001</v>
      </c>
      <c r="G59" s="93">
        <f t="shared" si="28"/>
        <v>1339.5782399999998</v>
      </c>
      <c r="H59" s="93">
        <f t="shared" si="28"/>
        <v>1529.9897183999999</v>
      </c>
      <c r="I59" s="93">
        <f t="shared" si="28"/>
        <v>1197.1652207885202</v>
      </c>
      <c r="J59" s="93">
        <f t="shared" si="28"/>
        <v>1257.0234818279459</v>
      </c>
      <c r="K59" s="93" t="e">
        <f t="shared" si="28"/>
        <v>#DIV/0!</v>
      </c>
    </row>
    <row r="60" spans="2:11" ht="15.75">
      <c r="C60" s="34" t="s">
        <v>114</v>
      </c>
      <c r="D60" s="93">
        <f>D45</f>
        <v>180</v>
      </c>
      <c r="E60" s="93">
        <f t="shared" ref="E60:K60" si="29">E45</f>
        <v>301.00000000000006</v>
      </c>
      <c r="F60" s="93">
        <f t="shared" si="29"/>
        <v>369.68399999999997</v>
      </c>
      <c r="G60" s="93">
        <f t="shared" si="29"/>
        <v>392.51019599999995</v>
      </c>
      <c r="H60" s="93">
        <f t="shared" si="29"/>
        <v>411.36954393599996</v>
      </c>
      <c r="I60" s="93">
        <f t="shared" si="29"/>
        <v>658.57619530943464</v>
      </c>
      <c r="J60" s="93">
        <f t="shared" si="29"/>
        <v>691.50500507490619</v>
      </c>
      <c r="K60" s="93">
        <f t="shared" si="29"/>
        <v>0</v>
      </c>
    </row>
    <row r="61" spans="2:11" ht="15.75">
      <c r="C61" s="30" t="s">
        <v>177</v>
      </c>
      <c r="D61" s="93">
        <f>D60*D55</f>
        <v>18</v>
      </c>
      <c r="E61" s="93">
        <f t="shared" ref="E61:K61" si="30">E60*E55</f>
        <v>30.1</v>
      </c>
      <c r="F61" s="93">
        <f t="shared" si="30"/>
        <v>36.968399999999995</v>
      </c>
      <c r="G61" s="93">
        <f t="shared" si="30"/>
        <v>39.251019599999999</v>
      </c>
      <c r="H61" s="93">
        <f t="shared" si="30"/>
        <v>41.1369543936</v>
      </c>
      <c r="I61" s="93">
        <f t="shared" si="30"/>
        <v>65.857619530943467</v>
      </c>
      <c r="J61" s="93">
        <f t="shared" si="30"/>
        <v>69.150500507490619</v>
      </c>
      <c r="K61" s="93">
        <f t="shared" si="30"/>
        <v>0</v>
      </c>
    </row>
    <row r="62" spans="2:11" ht="15.75">
      <c r="C62" s="35" t="s">
        <v>57</v>
      </c>
      <c r="D62" s="93">
        <f>E37-D37</f>
        <v>1300</v>
      </c>
      <c r="E62" s="93">
        <f t="shared" ref="E62:K62" si="31">F37-E37</f>
        <v>834.5</v>
      </c>
      <c r="F62" s="93">
        <f t="shared" si="31"/>
        <v>242.35199999999986</v>
      </c>
      <c r="G62" s="93">
        <f t="shared" si="31"/>
        <v>258.34723200000008</v>
      </c>
      <c r="H62" s="93">
        <f t="shared" si="31"/>
        <v>3386.3924845675983</v>
      </c>
      <c r="I62" s="93">
        <f t="shared" si="31"/>
        <v>451.07958582837819</v>
      </c>
      <c r="J62" s="93">
        <f t="shared" si="31"/>
        <v>-9472.6713023959765</v>
      </c>
      <c r="K62" s="93">
        <f t="shared" si="31"/>
        <v>0</v>
      </c>
    </row>
    <row r="63" spans="2:11">
      <c r="C63" s="32" t="s">
        <v>59</v>
      </c>
      <c r="D63" s="93">
        <f>D59-D60+D61+D62</f>
        <v>1888</v>
      </c>
      <c r="E63" s="93">
        <f t="shared" ref="E63:K63" si="32">E59-E60+E61+E62</f>
        <v>1553.6</v>
      </c>
      <c r="F63" s="93">
        <f t="shared" si="32"/>
        <v>1166.2764</v>
      </c>
      <c r="G63" s="93">
        <f t="shared" si="32"/>
        <v>1244.6662956</v>
      </c>
      <c r="H63" s="93">
        <f t="shared" si="32"/>
        <v>4546.1496134251984</v>
      </c>
      <c r="I63" s="93">
        <f t="shared" si="32"/>
        <v>1055.5262308384072</v>
      </c>
      <c r="J63" s="93">
        <f t="shared" si="32"/>
        <v>-8838.0023251354469</v>
      </c>
      <c r="K63" s="93" t="e">
        <f t="shared" si="32"/>
        <v>#DIV/0!</v>
      </c>
    </row>
    <row r="64" spans="2:11" ht="15.75">
      <c r="C64" s="34" t="s">
        <v>37</v>
      </c>
      <c r="D64" s="187">
        <f>-D49</f>
        <v>-1337.9999999999998</v>
      </c>
      <c r="E64" s="187">
        <f t="shared" ref="E64:K64" si="33">-E49</f>
        <v>-1379.1</v>
      </c>
      <c r="F64" s="187">
        <f t="shared" si="33"/>
        <v>-1166.2764000000004</v>
      </c>
      <c r="G64" s="187">
        <f t="shared" si="33"/>
        <v>-1244.6662955999996</v>
      </c>
      <c r="H64" s="187">
        <f t="shared" si="33"/>
        <v>-1669.7537016575998</v>
      </c>
      <c r="I64" s="187">
        <f t="shared" si="33"/>
        <v>-1055.5262308384067</v>
      </c>
      <c r="J64" s="187">
        <f t="shared" si="33"/>
        <v>0</v>
      </c>
      <c r="K64" s="187">
        <f t="shared" si="33"/>
        <v>0</v>
      </c>
    </row>
    <row r="65" spans="2:11" ht="15.75">
      <c r="C65" s="35" t="s">
        <v>196</v>
      </c>
      <c r="D65" s="93">
        <f>(E38-D38)-D50</f>
        <v>-550</v>
      </c>
      <c r="E65" s="93">
        <f t="shared" ref="E65:K65" si="34">(F38-E38)-E50</f>
        <v>-174.5</v>
      </c>
      <c r="F65" s="93">
        <f t="shared" si="34"/>
        <v>0</v>
      </c>
      <c r="G65" s="93">
        <f t="shared" si="34"/>
        <v>0</v>
      </c>
      <c r="H65" s="93">
        <f t="shared" si="34"/>
        <v>-2876.3959117675977</v>
      </c>
      <c r="I65" s="93">
        <f t="shared" si="34"/>
        <v>0</v>
      </c>
      <c r="J65" s="93">
        <f t="shared" si="34"/>
        <v>10419.938432635574</v>
      </c>
      <c r="K65" s="93">
        <f t="shared" si="34"/>
        <v>-14882.087834696358</v>
      </c>
    </row>
    <row r="66" spans="2:11">
      <c r="C66" t="s">
        <v>197</v>
      </c>
      <c r="D66" s="93">
        <f>SUM(D63:D65)</f>
        <v>0</v>
      </c>
      <c r="E66" s="93">
        <f t="shared" ref="E66:K66" si="35">SUM(E63:E65)</f>
        <v>0</v>
      </c>
      <c r="F66" s="93">
        <f t="shared" si="35"/>
        <v>-4.5474735088646412E-13</v>
      </c>
      <c r="G66" s="93">
        <f t="shared" si="35"/>
        <v>4.5474735088646412E-13</v>
      </c>
      <c r="H66" s="93">
        <f t="shared" si="35"/>
        <v>0</v>
      </c>
      <c r="I66" s="93">
        <f t="shared" si="35"/>
        <v>4.5474735088646412E-13</v>
      </c>
      <c r="J66" s="93">
        <f t="shared" si="35"/>
        <v>1581.936107500127</v>
      </c>
      <c r="K66" s="93" t="e">
        <f t="shared" si="35"/>
        <v>#DIV/0!</v>
      </c>
    </row>
    <row r="68" spans="2:11">
      <c r="B68" t="s">
        <v>52</v>
      </c>
      <c r="C68" t="s">
        <v>52</v>
      </c>
      <c r="D68" s="93">
        <f>D59</f>
        <v>750</v>
      </c>
      <c r="E68" s="93">
        <f t="shared" ref="E68:K68" si="36">E59</f>
        <v>990</v>
      </c>
      <c r="F68" s="93">
        <f t="shared" si="36"/>
        <v>1256.6400000000001</v>
      </c>
      <c r="G68" s="93">
        <f t="shared" si="36"/>
        <v>1339.5782399999998</v>
      </c>
      <c r="H68" s="93">
        <f t="shared" si="36"/>
        <v>1529.9897183999999</v>
      </c>
      <c r="I68" s="93">
        <f t="shared" si="36"/>
        <v>1197.1652207885202</v>
      </c>
      <c r="J68" s="93">
        <f t="shared" si="36"/>
        <v>1257.0234818279459</v>
      </c>
      <c r="K68" s="93" t="e">
        <f t="shared" si="36"/>
        <v>#DIV/0!</v>
      </c>
    </row>
    <row r="69" spans="2:11">
      <c r="C69" t="s">
        <v>72</v>
      </c>
      <c r="D69" s="24">
        <f t="shared" ref="D69:H69" si="37">D33</f>
        <v>0.1187522229408034</v>
      </c>
      <c r="E69" s="24">
        <f t="shared" si="37"/>
        <v>0.11804402342696073</v>
      </c>
      <c r="F69" s="24">
        <f t="shared" si="37"/>
        <v>0.11772015041208853</v>
      </c>
      <c r="G69" s="24">
        <f t="shared" si="37"/>
        <v>0.11767298017826197</v>
      </c>
      <c r="H69" s="24">
        <f t="shared" si="37"/>
        <v>0.11765103189089962</v>
      </c>
      <c r="I69" s="24">
        <f>I33</f>
        <v>0.11635</v>
      </c>
      <c r="J69" s="24">
        <f t="shared" ref="J69:K69" si="38">J33</f>
        <v>0.11635</v>
      </c>
      <c r="K69" s="24">
        <f t="shared" si="38"/>
        <v>0.11635</v>
      </c>
    </row>
    <row r="70" spans="2:11">
      <c r="C70" t="s">
        <v>340</v>
      </c>
      <c r="D70" s="188">
        <f>(D68+E70)/(1+D69)</f>
        <v>14425.653899735666</v>
      </c>
      <c r="E70" s="188">
        <f t="shared" ref="E70:G70" si="39">(E68+F70)/(1+E69)</f>
        <v>15388.732367703944</v>
      </c>
      <c r="F70" s="188">
        <f t="shared" si="39"/>
        <v>16215.280251828417</v>
      </c>
      <c r="G70" s="188">
        <f t="shared" si="39"/>
        <v>16867.505482047829</v>
      </c>
      <c r="H70" s="188">
        <f>(H68+I70)/(1+H69)</f>
        <v>17512.776880293568</v>
      </c>
      <c r="I70" s="189">
        <f>I68/(I69-J26)</f>
        <v>18043.183433135197</v>
      </c>
      <c r="J70" s="189">
        <f>J68/(J69-K26)</f>
        <v>18945.342604791953</v>
      </c>
    </row>
    <row r="72" spans="2:11">
      <c r="B72" t="s">
        <v>180</v>
      </c>
      <c r="C72" t="s">
        <v>164</v>
      </c>
      <c r="D72" s="93">
        <f>D68+D61</f>
        <v>768</v>
      </c>
      <c r="E72" s="93">
        <f t="shared" ref="E72:K72" si="40">E68+E61</f>
        <v>1020.1</v>
      </c>
      <c r="F72" s="93">
        <f t="shared" si="40"/>
        <v>1293.6084000000001</v>
      </c>
      <c r="G72" s="93">
        <f t="shared" si="40"/>
        <v>1378.8292595999999</v>
      </c>
      <c r="H72" s="93">
        <f t="shared" si="40"/>
        <v>1571.1266727935999</v>
      </c>
      <c r="I72" s="93">
        <f t="shared" si="40"/>
        <v>1263.0228403194637</v>
      </c>
      <c r="J72" s="93">
        <f t="shared" si="40"/>
        <v>1326.1739823354364</v>
      </c>
      <c r="K72" s="93" t="e">
        <f t="shared" si="40"/>
        <v>#DIV/0!</v>
      </c>
    </row>
    <row r="73" spans="2:11">
      <c r="C73" t="s">
        <v>341</v>
      </c>
      <c r="D73" s="24">
        <f>D23</f>
        <v>0.12</v>
      </c>
      <c r="E73" s="24">
        <f t="shared" ref="E73:K73" si="41">E23</f>
        <v>0.12</v>
      </c>
      <c r="F73" s="24">
        <f t="shared" si="41"/>
        <v>0.12</v>
      </c>
      <c r="G73" s="24">
        <f t="shared" si="41"/>
        <v>0.12</v>
      </c>
      <c r="H73" s="24">
        <f t="shared" si="41"/>
        <v>0.12</v>
      </c>
      <c r="I73" s="24">
        <f t="shared" si="41"/>
        <v>0.12</v>
      </c>
      <c r="J73" s="24">
        <f t="shared" si="41"/>
        <v>0.12</v>
      </c>
      <c r="K73" s="24">
        <f t="shared" si="41"/>
        <v>0.12</v>
      </c>
    </row>
    <row r="74" spans="2:11">
      <c r="C74" t="s">
        <v>342</v>
      </c>
      <c r="D74" s="188">
        <f>(D72+E74)/(1+D73)</f>
        <v>14425.653899735657</v>
      </c>
      <c r="E74" s="188">
        <f t="shared" ref="E74:G74" si="42">(E72+F74)/(1+E73)</f>
        <v>15388.732367703937</v>
      </c>
      <c r="F74" s="188">
        <f t="shared" si="42"/>
        <v>16215.280251828412</v>
      </c>
      <c r="G74" s="188">
        <f t="shared" si="42"/>
        <v>16867.505482047822</v>
      </c>
      <c r="H74" s="188">
        <f>(H72+I74)/(1+H73)</f>
        <v>17512.776880293564</v>
      </c>
      <c r="I74" s="189">
        <f>I72/(I73-J26)</f>
        <v>18043.183433135197</v>
      </c>
      <c r="J74" s="189">
        <f>J72/(J73-K26)</f>
        <v>18945.342604791953</v>
      </c>
    </row>
    <row r="75" spans="2:11">
      <c r="B75" t="s">
        <v>59</v>
      </c>
    </row>
    <row r="76" spans="2:11">
      <c r="C76" t="s">
        <v>59</v>
      </c>
      <c r="D76" s="93">
        <f>D63</f>
        <v>1888</v>
      </c>
      <c r="E76" s="93">
        <f t="shared" ref="E76:K76" si="43">E63</f>
        <v>1553.6</v>
      </c>
      <c r="F76" s="93">
        <f t="shared" si="43"/>
        <v>1166.2764</v>
      </c>
      <c r="G76" s="93">
        <f t="shared" si="43"/>
        <v>1244.6662956</v>
      </c>
      <c r="H76" s="93">
        <f t="shared" si="43"/>
        <v>4546.1496134251984</v>
      </c>
      <c r="I76" s="93">
        <f t="shared" si="43"/>
        <v>1055.5262308384072</v>
      </c>
      <c r="J76" s="93">
        <f t="shared" si="43"/>
        <v>-8838.0023251354469</v>
      </c>
      <c r="K76" s="93" t="e">
        <f t="shared" si="43"/>
        <v>#DIV/0!</v>
      </c>
    </row>
    <row r="77" spans="2:11" ht="15.75">
      <c r="C77" t="s">
        <v>200</v>
      </c>
      <c r="D77" s="24">
        <f>(D73-D29*D24)/(1-D29)</f>
        <v>0.13575402174611331</v>
      </c>
      <c r="E77" s="24">
        <f t="shared" ref="E77:K77" si="44">(E73-E29*E24)/(1-E29)</f>
        <v>0.13938905123422313</v>
      </c>
      <c r="F77" s="24">
        <f t="shared" si="44"/>
        <v>0.1422417550388054</v>
      </c>
      <c r="G77" s="24">
        <f t="shared" si="44"/>
        <v>0.14199283481960528</v>
      </c>
      <c r="H77" s="24">
        <f t="shared" si="44"/>
        <v>0.1422986851146413</v>
      </c>
      <c r="I77" s="24">
        <f t="shared" si="44"/>
        <v>0.16699999999999998</v>
      </c>
      <c r="J77" s="24">
        <f t="shared" si="44"/>
        <v>0.16699999999999998</v>
      </c>
      <c r="K77" s="24">
        <f t="shared" si="44"/>
        <v>0.16699999999999998</v>
      </c>
    </row>
    <row r="78" spans="2:11">
      <c r="C78" t="s">
        <v>109</v>
      </c>
      <c r="D78" s="93">
        <f t="shared" ref="D78:G78" si="45">(D76+E78)/(1+D77)</f>
        <v>11425.65389973566</v>
      </c>
      <c r="E78" s="93">
        <f t="shared" si="45"/>
        <v>11088.732367703939</v>
      </c>
      <c r="F78" s="93">
        <f t="shared" si="45"/>
        <v>11080.78025182841</v>
      </c>
      <c r="G78" s="93">
        <f t="shared" si="45"/>
        <v>11490.653482047817</v>
      </c>
      <c r="H78" s="93">
        <f>(H76+I78)/(1+H77)</f>
        <v>11877.577648293556</v>
      </c>
      <c r="I78" s="93">
        <f>I76/(I77-J26)</f>
        <v>9021.5917165675837</v>
      </c>
    </row>
    <row r="79" spans="2:11">
      <c r="C79" t="s">
        <v>6</v>
      </c>
      <c r="D79" s="93">
        <f>+D37</f>
        <v>3000</v>
      </c>
      <c r="E79" s="93">
        <f t="shared" ref="E79:K79" si="46">+E37</f>
        <v>4300</v>
      </c>
      <c r="F79" s="93">
        <f t="shared" si="46"/>
        <v>5134.5</v>
      </c>
      <c r="G79" s="93">
        <f t="shared" si="46"/>
        <v>5376.8519999999999</v>
      </c>
      <c r="H79" s="93">
        <f t="shared" si="46"/>
        <v>5635.1992319999999</v>
      </c>
      <c r="I79" s="93">
        <f t="shared" si="46"/>
        <v>9021.5917165675983</v>
      </c>
      <c r="J79" s="93"/>
      <c r="K79" s="93">
        <f t="shared" si="46"/>
        <v>0</v>
      </c>
    </row>
    <row r="80" spans="2:11" ht="15.75">
      <c r="C80" s="48" t="s">
        <v>167</v>
      </c>
      <c r="D80" s="188">
        <f>SUM(D78:D79)</f>
        <v>14425.65389973566</v>
      </c>
      <c r="E80" s="188">
        <f t="shared" ref="E80:I80" si="47">SUM(E78:E79)</f>
        <v>15388.732367703939</v>
      </c>
      <c r="F80" s="188">
        <f t="shared" si="47"/>
        <v>16215.28025182841</v>
      </c>
      <c r="G80" s="188">
        <f t="shared" si="47"/>
        <v>16867.505482047818</v>
      </c>
      <c r="H80" s="188">
        <f t="shared" si="47"/>
        <v>17512.776880293557</v>
      </c>
      <c r="I80" s="188">
        <f t="shared" si="47"/>
        <v>18043.183433135182</v>
      </c>
      <c r="J80" s="93"/>
    </row>
    <row r="82" spans="3:4" ht="15.75">
      <c r="C82" s="48" t="s">
        <v>343</v>
      </c>
      <c r="D82" s="93">
        <f>D80-D31</f>
        <v>4425.6538997356602</v>
      </c>
    </row>
    <row r="83" spans="3:4">
      <c r="C83" t="s">
        <v>344</v>
      </c>
      <c r="D83" s="93">
        <f>D82*D55</f>
        <v>442.56538997356603</v>
      </c>
    </row>
    <row r="84" spans="3:4" ht="15.75">
      <c r="C84" t="s">
        <v>345</v>
      </c>
      <c r="D84" s="190">
        <f>SUM(D82:D83)</f>
        <v>4868.2192897092264</v>
      </c>
    </row>
  </sheetData>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BA697-95DB-41F6-A195-C4BFFEC53EE1}">
  <dimension ref="B19:G37"/>
  <sheetViews>
    <sheetView workbookViewId="0">
      <selection activeCell="B9" sqref="B9"/>
    </sheetView>
  </sheetViews>
  <sheetFormatPr defaultRowHeight="15"/>
  <cols>
    <col min="2" max="2" width="36.85546875" bestFit="1" customWidth="1"/>
    <col min="3" max="3" width="31.140625" bestFit="1" customWidth="1"/>
    <col min="4" max="7" width="13.140625" customWidth="1"/>
    <col min="8" max="9" width="8" bestFit="1" customWidth="1"/>
  </cols>
  <sheetData>
    <row r="19" spans="2:7">
      <c r="B19" s="38" t="s">
        <v>346</v>
      </c>
    </row>
    <row r="20" spans="2:7">
      <c r="B20" s="191" t="s">
        <v>347</v>
      </c>
      <c r="D20" t="s">
        <v>348</v>
      </c>
      <c r="E20" t="s">
        <v>349</v>
      </c>
      <c r="F20" t="s">
        <v>350</v>
      </c>
      <c r="G20" t="s">
        <v>351</v>
      </c>
    </row>
    <row r="21" spans="2:7" ht="15.75">
      <c r="B21" s="34" t="s">
        <v>352</v>
      </c>
      <c r="C21" t="s">
        <v>353</v>
      </c>
      <c r="D21" s="22">
        <v>100000</v>
      </c>
      <c r="E21" s="22">
        <v>20000</v>
      </c>
      <c r="F21" s="22">
        <v>10000</v>
      </c>
      <c r="G21" s="22">
        <v>25000</v>
      </c>
    </row>
    <row r="22" spans="2:7">
      <c r="C22" t="s">
        <v>354</v>
      </c>
      <c r="E22">
        <v>0.4</v>
      </c>
      <c r="F22">
        <v>0.7</v>
      </c>
      <c r="G22">
        <v>0.4</v>
      </c>
    </row>
    <row r="23" spans="2:7" ht="15.75">
      <c r="C23" s="192" t="s">
        <v>355</v>
      </c>
      <c r="D23" s="193">
        <f>D25-D24</f>
        <v>7000</v>
      </c>
      <c r="E23" s="194">
        <f>E21*E22</f>
        <v>8000</v>
      </c>
      <c r="F23" s="194">
        <f t="shared" ref="F23:G23" si="0">F21*F22</f>
        <v>7000</v>
      </c>
      <c r="G23" s="194">
        <f t="shared" si="0"/>
        <v>10000</v>
      </c>
    </row>
    <row r="24" spans="2:7" ht="15.75">
      <c r="C24" t="s">
        <v>356</v>
      </c>
      <c r="D24" s="195">
        <v>5000</v>
      </c>
      <c r="E24" s="194">
        <f>E25-E23</f>
        <v>2000</v>
      </c>
      <c r="F24" s="195"/>
      <c r="G24" s="195">
        <v>7000</v>
      </c>
    </row>
    <row r="25" spans="2:7" ht="15.75">
      <c r="C25" t="s">
        <v>357</v>
      </c>
      <c r="D25" s="195">
        <v>12000</v>
      </c>
      <c r="E25" s="195">
        <v>10000</v>
      </c>
      <c r="F25" s="195"/>
      <c r="G25" s="194">
        <f>G23+G24</f>
        <v>17000</v>
      </c>
    </row>
    <row r="26" spans="2:7" ht="15.75">
      <c r="C26" t="s">
        <v>358</v>
      </c>
      <c r="D26" s="196">
        <f>D24/D25</f>
        <v>0.41666666666666669</v>
      </c>
      <c r="E26" s="197">
        <f>E24/E25</f>
        <v>0.2</v>
      </c>
      <c r="F26" s="198">
        <v>0.3</v>
      </c>
      <c r="G26" s="199">
        <f>G24/G25</f>
        <v>0.41176470588235292</v>
      </c>
    </row>
    <row r="27" spans="2:7" ht="15.75">
      <c r="C27" t="s">
        <v>359</v>
      </c>
      <c r="D27">
        <v>1.2</v>
      </c>
      <c r="G27" s="200">
        <f>(G30-$G$33)/$G$34</f>
        <v>1.4244375</v>
      </c>
    </row>
    <row r="28" spans="2:7" ht="15.75">
      <c r="C28" t="s">
        <v>360</v>
      </c>
      <c r="E28" s="22">
        <v>0.2</v>
      </c>
      <c r="G28" s="200">
        <f>(G31-$G$33)/$G$34</f>
        <v>0.12500000000000003</v>
      </c>
    </row>
    <row r="29" spans="2:7" ht="15.75">
      <c r="C29" t="s">
        <v>361</v>
      </c>
      <c r="E29" s="22"/>
      <c r="G29" s="201">
        <f>(G32-$G$33)/$G$34</f>
        <v>0.88937500000000003</v>
      </c>
    </row>
    <row r="30" spans="2:7" ht="15.75">
      <c r="C30" t="s">
        <v>362</v>
      </c>
      <c r="D30" s="202">
        <f>D33+D27*D34</f>
        <v>0.126</v>
      </c>
      <c r="E30" s="24">
        <v>0.12</v>
      </c>
      <c r="F30" s="24">
        <v>0.13</v>
      </c>
      <c r="G30" s="203">
        <f>G32+G24/G23*(G32-G31)</f>
        <v>0.143955</v>
      </c>
    </row>
    <row r="31" spans="2:7" ht="15.75">
      <c r="C31" t="s">
        <v>5</v>
      </c>
      <c r="D31" s="24">
        <v>4.4999999999999998E-2</v>
      </c>
      <c r="E31" s="202">
        <f>E33+E28*E34</f>
        <v>4.5999999999999999E-2</v>
      </c>
      <c r="F31" s="24">
        <v>0.05</v>
      </c>
      <c r="G31" s="24">
        <v>0.04</v>
      </c>
    </row>
    <row r="32" spans="2:7" ht="15.75">
      <c r="C32" s="204" t="s">
        <v>363</v>
      </c>
      <c r="D32" s="205">
        <f>+D26*D31+(1-D26)*D30</f>
        <v>9.2249999999999999E-2</v>
      </c>
      <c r="E32" s="206">
        <f>+E26*E31+(1-E26)*E30</f>
        <v>0.1052</v>
      </c>
      <c r="F32" s="205">
        <f>+F26*F31+(1-F26)*F30</f>
        <v>0.106</v>
      </c>
      <c r="G32" s="203">
        <f>AVERAGE(D32:F32)</f>
        <v>0.10115</v>
      </c>
    </row>
    <row r="33" spans="3:7">
      <c r="C33" t="s">
        <v>364</v>
      </c>
      <c r="D33" s="24">
        <v>0.03</v>
      </c>
      <c r="E33" s="24">
        <v>0.03</v>
      </c>
      <c r="F33" s="24">
        <v>0.03</v>
      </c>
      <c r="G33" s="24">
        <v>0.03</v>
      </c>
    </row>
    <row r="34" spans="3:7">
      <c r="C34" t="s">
        <v>365</v>
      </c>
      <c r="D34" s="24">
        <v>0.08</v>
      </c>
      <c r="E34" s="24">
        <v>0.08</v>
      </c>
      <c r="F34" s="24">
        <v>0.08</v>
      </c>
      <c r="G34" s="24">
        <v>0.08</v>
      </c>
    </row>
    <row r="36" spans="3:7" ht="15.75">
      <c r="C36" s="207" t="s">
        <v>366</v>
      </c>
    </row>
    <row r="37" spans="3:7" ht="15.75">
      <c r="C37" s="208" t="s">
        <v>367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C84A7-19B5-4B84-AA5A-FEB79FDF6230}">
  <dimension ref="B2:Q54"/>
  <sheetViews>
    <sheetView topLeftCell="A6" workbookViewId="0">
      <selection activeCell="H34" sqref="H34"/>
    </sheetView>
  </sheetViews>
  <sheetFormatPr defaultRowHeight="15.75"/>
  <cols>
    <col min="1" max="1" width="9.140625" style="52"/>
    <col min="2" max="2" width="22.7109375" style="52" bestFit="1" customWidth="1"/>
    <col min="3" max="3" width="31.140625" style="52" bestFit="1" customWidth="1"/>
    <col min="4" max="4" width="18.5703125" style="52" customWidth="1"/>
    <col min="5" max="5" width="9.140625" style="52"/>
    <col min="6" max="6" width="12.5703125" style="52" bestFit="1" customWidth="1"/>
    <col min="7" max="7" width="9" style="52" bestFit="1" customWidth="1"/>
    <col min="8" max="8" width="14" style="52" customWidth="1"/>
    <col min="9" max="9" width="9" style="52" bestFit="1" customWidth="1"/>
    <col min="10" max="10" width="17.5703125" style="52" bestFit="1" customWidth="1"/>
    <col min="11" max="11" width="12" style="52" bestFit="1" customWidth="1"/>
    <col min="12" max="16384" width="9.140625" style="52"/>
  </cols>
  <sheetData>
    <row r="2" spans="3:3">
      <c r="C2" s="259"/>
    </row>
    <row r="3" spans="3:3">
      <c r="C3" s="260"/>
    </row>
    <row r="4" spans="3:3">
      <c r="C4" s="260"/>
    </row>
    <row r="9" spans="3:3">
      <c r="C9" s="259"/>
    </row>
    <row r="19" spans="2:17">
      <c r="D19" s="111" t="s">
        <v>368</v>
      </c>
      <c r="E19" s="111" t="s">
        <v>369</v>
      </c>
      <c r="F19" s="111" t="s">
        <v>370</v>
      </c>
      <c r="G19" s="111"/>
      <c r="H19" s="111"/>
      <c r="I19" s="111"/>
    </row>
    <row r="20" spans="2:17" ht="18.75">
      <c r="C20" s="110" t="s">
        <v>124</v>
      </c>
      <c r="D20" s="113">
        <v>0.1</v>
      </c>
      <c r="E20" s="113">
        <v>0.1</v>
      </c>
      <c r="F20" s="113">
        <v>0.1</v>
      </c>
      <c r="G20" s="113"/>
      <c r="H20" s="113"/>
      <c r="I20" s="113"/>
    </row>
    <row r="21" spans="2:17" ht="18.75">
      <c r="C21" s="110" t="s">
        <v>125</v>
      </c>
      <c r="D21" s="113">
        <v>0.05</v>
      </c>
      <c r="E21" s="113">
        <v>0.03</v>
      </c>
      <c r="F21" s="113">
        <v>0.05</v>
      </c>
      <c r="G21" s="113"/>
      <c r="H21" s="113"/>
      <c r="I21" s="113"/>
      <c r="K21" s="52" t="s">
        <v>371</v>
      </c>
    </row>
    <row r="22" spans="2:17">
      <c r="C22" s="110" t="s">
        <v>64</v>
      </c>
      <c r="D22" s="113">
        <v>0.3</v>
      </c>
      <c r="E22" s="113">
        <v>0.1</v>
      </c>
      <c r="F22" s="113">
        <v>0.3</v>
      </c>
      <c r="G22" s="113"/>
      <c r="H22" s="113"/>
      <c r="I22" s="113"/>
    </row>
    <row r="23" spans="2:17">
      <c r="C23" s="110" t="s">
        <v>126</v>
      </c>
      <c r="D23" s="113">
        <v>0.1</v>
      </c>
      <c r="E23" s="113">
        <v>0.1</v>
      </c>
      <c r="F23" s="113">
        <v>0.1</v>
      </c>
      <c r="G23" s="113"/>
      <c r="H23" s="113"/>
      <c r="I23" s="113"/>
      <c r="K23" s="52" t="s">
        <v>372</v>
      </c>
    </row>
    <row r="24" spans="2:17">
      <c r="C24" s="110" t="s">
        <v>14</v>
      </c>
      <c r="D24" s="113">
        <v>0.05</v>
      </c>
      <c r="E24" s="113">
        <v>0.05</v>
      </c>
      <c r="F24" s="113">
        <v>0.05</v>
      </c>
      <c r="G24" s="113"/>
      <c r="H24" s="113"/>
      <c r="I24" s="113"/>
    </row>
    <row r="25" spans="2:17">
      <c r="B25" s="52" t="s">
        <v>373</v>
      </c>
      <c r="C25" s="110" t="s">
        <v>10</v>
      </c>
      <c r="D25" s="113">
        <v>0.105</v>
      </c>
      <c r="E25" s="113">
        <v>0.11</v>
      </c>
      <c r="F25" s="113">
        <v>0.108</v>
      </c>
      <c r="G25" s="111"/>
      <c r="H25" s="111"/>
      <c r="I25" s="111"/>
    </row>
    <row r="26" spans="2:17">
      <c r="C26" s="110" t="s">
        <v>374</v>
      </c>
      <c r="D26" s="61">
        <v>100</v>
      </c>
      <c r="E26" s="61">
        <v>50</v>
      </c>
      <c r="F26" s="61">
        <v>160</v>
      </c>
      <c r="G26" s="61"/>
      <c r="H26" s="61"/>
      <c r="I26" s="61"/>
    </row>
    <row r="27" spans="2:17">
      <c r="C27" s="110" t="s">
        <v>72</v>
      </c>
      <c r="D27" s="113">
        <f>D20-D21*D22*D23</f>
        <v>9.8500000000000004E-2</v>
      </c>
      <c r="E27" s="113">
        <f t="shared" ref="E27:F27" si="0">E20-E21*E22*E23</f>
        <v>9.9700000000000011E-2</v>
      </c>
      <c r="F27" s="113">
        <f t="shared" si="0"/>
        <v>9.8500000000000004E-2</v>
      </c>
      <c r="G27" s="113"/>
      <c r="H27" s="113"/>
      <c r="I27" s="113"/>
      <c r="M27" s="124"/>
    </row>
    <row r="28" spans="2:17">
      <c r="B28" s="52" t="s">
        <v>375</v>
      </c>
      <c r="C28" s="110" t="s">
        <v>376</v>
      </c>
      <c r="D28" s="65">
        <f>D24/D27</f>
        <v>0.50761421319796951</v>
      </c>
      <c r="E28" s="65">
        <f t="shared" ref="E28:F28" si="1">E24/E27</f>
        <v>0.50150451354062187</v>
      </c>
      <c r="F28" s="65">
        <f t="shared" si="1"/>
        <v>0.50761421319796951</v>
      </c>
      <c r="M28" s="124"/>
    </row>
    <row r="29" spans="2:17">
      <c r="C29" s="110" t="s">
        <v>377</v>
      </c>
      <c r="D29" s="256">
        <f>D26/(1+D24)</f>
        <v>95.238095238095241</v>
      </c>
      <c r="E29" s="256">
        <f t="shared" ref="E29:F29" si="2">E26/(1+E24)</f>
        <v>47.61904761904762</v>
      </c>
      <c r="F29" s="256">
        <f t="shared" si="2"/>
        <v>152.38095238095238</v>
      </c>
      <c r="G29" s="110"/>
      <c r="H29" s="110"/>
      <c r="I29" s="110"/>
      <c r="J29" s="110"/>
      <c r="K29" s="110"/>
      <c r="L29" s="110"/>
      <c r="M29" s="110"/>
      <c r="N29" s="110"/>
      <c r="O29" s="110"/>
      <c r="P29" s="110"/>
      <c r="Q29" s="110"/>
    </row>
    <row r="30" spans="2:17">
      <c r="C30" s="110" t="s">
        <v>378</v>
      </c>
      <c r="D30" s="124">
        <f>D29*D28</f>
        <v>48.344210780758999</v>
      </c>
      <c r="E30" s="124">
        <f t="shared" ref="E30:F30" si="3">E29*E28</f>
        <v>23.881167311458185</v>
      </c>
      <c r="F30" s="124">
        <f t="shared" si="3"/>
        <v>77.350737249214404</v>
      </c>
      <c r="G30" s="113"/>
      <c r="H30" s="113"/>
      <c r="I30" s="113"/>
      <c r="J30" s="61"/>
      <c r="K30" s="63"/>
      <c r="L30" s="63"/>
      <c r="M30" s="261"/>
      <c r="N30" s="261"/>
      <c r="O30" s="261"/>
      <c r="P30" s="261"/>
      <c r="Q30" s="261"/>
    </row>
    <row r="31" spans="2:17">
      <c r="C31" s="110" t="s">
        <v>52</v>
      </c>
      <c r="D31" s="124">
        <f>D29-D30</f>
        <v>46.893884457336242</v>
      </c>
      <c r="E31" s="124">
        <f t="shared" ref="E31:F31" si="4">E29-E30</f>
        <v>23.737880307589435</v>
      </c>
      <c r="F31" s="124">
        <f t="shared" si="4"/>
        <v>75.030215131737975</v>
      </c>
      <c r="G31" s="113"/>
      <c r="H31" s="113"/>
      <c r="I31" s="113"/>
      <c r="J31" s="61"/>
      <c r="K31" s="63"/>
      <c r="L31" s="63"/>
      <c r="M31" s="261"/>
      <c r="N31" s="261"/>
      <c r="O31" s="261"/>
      <c r="P31" s="261"/>
      <c r="Q31" s="261"/>
    </row>
    <row r="32" spans="2:17">
      <c r="C32" s="111" t="s">
        <v>379</v>
      </c>
      <c r="D32" s="257">
        <f>D31/(D27-D24)</f>
        <v>966.88421561518021</v>
      </c>
      <c r="E32" s="257">
        <f t="shared" ref="E32:F32" si="5">E31/(E27-E24)</f>
        <v>477.62334622916359</v>
      </c>
      <c r="F32" s="257">
        <f t="shared" si="5"/>
        <v>1547.0147449842882</v>
      </c>
      <c r="G32" s="113"/>
      <c r="H32" s="113"/>
      <c r="I32" s="113"/>
      <c r="J32" s="61"/>
      <c r="K32" s="123">
        <f>D29/D27</f>
        <v>966.8842156151801</v>
      </c>
      <c r="L32" s="63"/>
      <c r="M32" s="261"/>
      <c r="N32" s="261"/>
      <c r="O32" s="261"/>
      <c r="P32" s="261"/>
      <c r="Q32" s="261"/>
    </row>
    <row r="33" spans="3:17">
      <c r="C33" s="111" t="s">
        <v>380</v>
      </c>
      <c r="D33" s="257">
        <f>D32*D22</f>
        <v>290.06526468455405</v>
      </c>
      <c r="E33" s="257">
        <f t="shared" ref="E33:F33" si="6">E32*E22</f>
        <v>47.762334622916363</v>
      </c>
      <c r="F33" s="257">
        <f t="shared" si="6"/>
        <v>464.10442349528643</v>
      </c>
      <c r="G33" s="113"/>
      <c r="H33" s="258">
        <f>F33-E33-D33</f>
        <v>126.27682418781603</v>
      </c>
      <c r="I33" s="113"/>
      <c r="J33" s="61"/>
      <c r="K33" s="123"/>
      <c r="L33" s="123"/>
      <c r="M33" s="261"/>
      <c r="N33" s="261"/>
      <c r="O33" s="261"/>
      <c r="P33" s="261"/>
      <c r="Q33" s="261"/>
    </row>
    <row r="34" spans="3:17">
      <c r="C34" s="111" t="s">
        <v>381</v>
      </c>
      <c r="D34" s="124">
        <f>D32-D33</f>
        <v>676.81895093062622</v>
      </c>
      <c r="E34" s="124">
        <f t="shared" ref="E34:F34" si="7">E32-E33</f>
        <v>429.86101160624725</v>
      </c>
      <c r="F34" s="124">
        <f t="shared" si="7"/>
        <v>1082.9103214890017</v>
      </c>
      <c r="H34" s="258">
        <f>F34-E34-D34</f>
        <v>-23.769641047871801</v>
      </c>
    </row>
    <row r="35" spans="3:17">
      <c r="C35" s="111" t="s">
        <v>382</v>
      </c>
      <c r="F35" s="262">
        <f>F32-E32-D32</f>
        <v>102.50718313994435</v>
      </c>
      <c r="O35" s="261"/>
      <c r="P35" s="261"/>
      <c r="Q35" s="261"/>
    </row>
    <row r="37" spans="3:17">
      <c r="D37" s="263"/>
      <c r="E37" s="261"/>
    </row>
    <row r="38" spans="3:17">
      <c r="C38" s="111" t="s">
        <v>383</v>
      </c>
      <c r="D38" s="264">
        <f>E34</f>
        <v>429.86101160624725</v>
      </c>
      <c r="E38" s="261"/>
      <c r="G38" s="52">
        <v>-5</v>
      </c>
    </row>
    <row r="39" spans="3:17">
      <c r="C39" s="111" t="s">
        <v>384</v>
      </c>
      <c r="D39" s="124">
        <f>D38+F35</f>
        <v>532.36819474619165</v>
      </c>
      <c r="E39" s="124">
        <f>(F34-D34)+H33</f>
        <v>532.36819474619153</v>
      </c>
      <c r="F39" s="124">
        <f>(F32-D32)-(F33-D33)+H33</f>
        <v>532.36819474619165</v>
      </c>
      <c r="G39" s="52">
        <v>5</v>
      </c>
    </row>
    <row r="42" spans="3:17">
      <c r="E42" s="261"/>
    </row>
    <row r="43" spans="3:17">
      <c r="C43" s="52" t="s">
        <v>385</v>
      </c>
      <c r="D43" s="124">
        <f>D39</f>
        <v>532.36819474619165</v>
      </c>
      <c r="E43" s="261"/>
    </row>
    <row r="44" spans="3:17">
      <c r="C44" s="52" t="s">
        <v>82</v>
      </c>
      <c r="D44" s="52">
        <v>100</v>
      </c>
      <c r="E44" s="261"/>
      <c r="F44" s="52" t="s">
        <v>386</v>
      </c>
    </row>
    <row r="45" spans="3:17">
      <c r="C45" s="52" t="s">
        <v>387</v>
      </c>
      <c r="D45" s="124">
        <f>D43-D44</f>
        <v>432.36819474619165</v>
      </c>
      <c r="E45" s="261"/>
    </row>
    <row r="46" spans="3:17">
      <c r="C46" s="52" t="s">
        <v>388</v>
      </c>
      <c r="D46" s="265">
        <f>D45/F32</f>
        <v>0.27948550338515543</v>
      </c>
    </row>
    <row r="48" spans="3:17">
      <c r="D48" s="266"/>
      <c r="E48" s="62"/>
      <c r="F48" s="62"/>
    </row>
    <row r="49" spans="3:6">
      <c r="C49" s="52" t="s">
        <v>389</v>
      </c>
      <c r="D49" s="267">
        <v>1000000</v>
      </c>
      <c r="E49" s="62" t="s">
        <v>390</v>
      </c>
      <c r="F49" s="62"/>
    </row>
    <row r="50" spans="3:6">
      <c r="C50" s="52" t="s">
        <v>391</v>
      </c>
      <c r="D50" s="63">
        <f>1-D46</f>
        <v>0.72051449661484457</v>
      </c>
      <c r="E50" s="261"/>
      <c r="F50" s="261"/>
    </row>
    <row r="52" spans="3:6">
      <c r="C52" s="52" t="s">
        <v>392</v>
      </c>
      <c r="D52" s="268">
        <f>(D49/D50)*D46</f>
        <v>387897.12725871237</v>
      </c>
    </row>
    <row r="54" spans="3:6">
      <c r="C54" s="52" t="s">
        <v>393</v>
      </c>
      <c r="D54" s="124">
        <f>D52+D49</f>
        <v>1387897.1272587124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870C-F31A-4037-BAC9-794790C1F850}">
  <dimension ref="B1:I55"/>
  <sheetViews>
    <sheetView topLeftCell="A10" workbookViewId="0">
      <selection activeCell="C8" sqref="C8"/>
    </sheetView>
  </sheetViews>
  <sheetFormatPr defaultRowHeight="15"/>
  <cols>
    <col min="2" max="2" width="29.28515625" customWidth="1"/>
    <col min="3" max="3" width="61.5703125" customWidth="1"/>
    <col min="4" max="7" width="14" style="227" customWidth="1"/>
    <col min="8" max="9" width="8" bestFit="1" customWidth="1"/>
  </cols>
  <sheetData>
    <row r="1" spans="2:3" ht="15.75" thickBot="1"/>
    <row r="2" spans="2:3" ht="18.75">
      <c r="B2" s="11" t="str">
        <f>+[2]Admin!C12</f>
        <v>Date</v>
      </c>
      <c r="C2" s="67"/>
    </row>
    <row r="3" spans="2:3" ht="18.75">
      <c r="B3" s="13" t="str">
        <f>+[2]Admin!C13</f>
        <v>Student name</v>
      </c>
      <c r="C3" s="14"/>
    </row>
    <row r="4" spans="2:3" ht="18.75">
      <c r="B4" s="13" t="str">
        <f>+[2]Admin!C14</f>
        <v>Neptun code</v>
      </c>
      <c r="C4" s="14"/>
    </row>
    <row r="5" spans="2:3" ht="18.75">
      <c r="B5" s="13"/>
      <c r="C5" s="15"/>
    </row>
    <row r="6" spans="2:3" ht="18.75">
      <c r="B6" s="13" t="str">
        <f>+[2]Admin!C16</f>
        <v>Study program</v>
      </c>
      <c r="C6" s="15" t="str">
        <f>+[2]Admin!D16</f>
        <v>Master in Finance</v>
      </c>
    </row>
    <row r="7" spans="2:3" ht="19.5" thickBot="1">
      <c r="B7" s="16" t="str">
        <f>+[2]Admin!C17</f>
        <v>Instructor</v>
      </c>
      <c r="C7" s="17" t="str">
        <f>+[2]Admin!D17</f>
        <v>Péter Juhász, PhD, CFA</v>
      </c>
    </row>
    <row r="8" spans="2:3" ht="15.75" thickBot="1"/>
    <row r="9" spans="2:3" ht="21" thickBot="1">
      <c r="B9" s="18" t="s">
        <v>95</v>
      </c>
      <c r="C9" s="19"/>
    </row>
    <row r="19" spans="2:9" ht="15.75">
      <c r="C19" s="87"/>
      <c r="D19" s="392" t="s">
        <v>368</v>
      </c>
      <c r="E19" s="392" t="s">
        <v>369</v>
      </c>
      <c r="F19" s="392" t="s">
        <v>370</v>
      </c>
      <c r="G19" s="392"/>
      <c r="H19" s="89"/>
      <c r="I19" s="89"/>
    </row>
    <row r="20" spans="2:9" ht="15.75">
      <c r="C20" s="87" t="s">
        <v>394</v>
      </c>
      <c r="D20" s="393">
        <v>10000</v>
      </c>
      <c r="E20" s="393">
        <v>4500</v>
      </c>
      <c r="F20" s="393">
        <v>14500</v>
      </c>
      <c r="G20" s="392"/>
      <c r="H20" s="89"/>
      <c r="I20" s="89"/>
    </row>
    <row r="21" spans="2:9" ht="15.75">
      <c r="C21" s="87" t="s">
        <v>395</v>
      </c>
      <c r="D21" s="394">
        <v>0.13</v>
      </c>
      <c r="E21" s="394">
        <v>0.14000000000000001</v>
      </c>
      <c r="F21" s="90">
        <v>0.13500000000000001</v>
      </c>
      <c r="G21" s="392"/>
      <c r="H21" s="89"/>
      <c r="I21" s="89"/>
    </row>
    <row r="22" spans="2:9" ht="15.75">
      <c r="C22" s="88" t="s">
        <v>396</v>
      </c>
      <c r="D22" s="90">
        <v>0.105</v>
      </c>
      <c r="E22" s="90">
        <v>0.12</v>
      </c>
      <c r="F22" s="90">
        <v>0.11</v>
      </c>
      <c r="G22" s="392"/>
      <c r="H22" s="89"/>
      <c r="I22" s="89"/>
    </row>
    <row r="23" spans="2:9" ht="18.75">
      <c r="C23" s="88" t="s">
        <v>184</v>
      </c>
      <c r="D23" s="90">
        <v>0.10299999999999999</v>
      </c>
      <c r="E23" s="90">
        <v>0.11</v>
      </c>
      <c r="F23" s="90">
        <v>0.105</v>
      </c>
      <c r="G23" s="90"/>
      <c r="H23" s="90"/>
      <c r="I23" s="90"/>
    </row>
    <row r="24" spans="2:9" ht="18.75">
      <c r="C24" s="88" t="s">
        <v>185</v>
      </c>
      <c r="D24" s="90">
        <v>0.05</v>
      </c>
      <c r="E24" s="90">
        <v>0.03</v>
      </c>
      <c r="F24" s="90">
        <v>0.05</v>
      </c>
      <c r="G24" s="90"/>
      <c r="H24" s="90"/>
      <c r="I24" s="90"/>
    </row>
    <row r="25" spans="2:9" ht="15.75">
      <c r="C25" s="88" t="s">
        <v>64</v>
      </c>
      <c r="D25" s="90">
        <v>0.2</v>
      </c>
      <c r="E25" s="90">
        <v>0.2</v>
      </c>
      <c r="F25" s="90">
        <v>0.25</v>
      </c>
      <c r="G25" s="90"/>
      <c r="H25" s="90"/>
      <c r="I25" s="90"/>
    </row>
    <row r="26" spans="2:9" ht="15.75">
      <c r="C26" s="88" t="s">
        <v>126</v>
      </c>
      <c r="D26" s="90">
        <v>0.1</v>
      </c>
      <c r="E26" s="90">
        <v>0.1</v>
      </c>
      <c r="F26" s="90">
        <v>0.1</v>
      </c>
      <c r="G26" s="90"/>
      <c r="H26" s="90"/>
      <c r="I26" s="90"/>
    </row>
    <row r="27" spans="2:9" ht="15.75">
      <c r="C27" s="88" t="s">
        <v>14</v>
      </c>
      <c r="D27" s="90">
        <v>0.05</v>
      </c>
      <c r="E27" s="90">
        <v>0.06</v>
      </c>
      <c r="F27" s="90">
        <v>5.1999999999999998E-2</v>
      </c>
      <c r="G27" s="90"/>
      <c r="H27" s="90"/>
      <c r="I27" s="90"/>
    </row>
    <row r="28" spans="2:9" ht="15.75">
      <c r="G28" s="392"/>
      <c r="H28" s="89"/>
      <c r="I28" s="89"/>
    </row>
    <row r="29" spans="2:9" ht="15.75">
      <c r="C29" s="88" t="s">
        <v>397</v>
      </c>
      <c r="D29" s="395">
        <v>1000000</v>
      </c>
      <c r="E29" s="395">
        <v>200000</v>
      </c>
      <c r="F29" s="90"/>
      <c r="G29" s="90"/>
      <c r="H29" s="90"/>
      <c r="I29" s="90"/>
    </row>
    <row r="31" spans="2:9" ht="15.75">
      <c r="B31" s="396"/>
      <c r="C31" s="88"/>
      <c r="D31" s="327"/>
      <c r="E31" s="327"/>
      <c r="F31" s="327"/>
    </row>
    <row r="32" spans="2:9" ht="15.75">
      <c r="B32" s="397" t="s">
        <v>398</v>
      </c>
      <c r="C32" s="49" t="s">
        <v>52</v>
      </c>
      <c r="D32" s="398">
        <f>D20*D21*(1-D27/D22)</f>
        <v>680.95238095238085</v>
      </c>
      <c r="E32" s="398">
        <f t="shared" ref="E32:F32" si="0">E20*E21*(1-E27/E22)</f>
        <v>315.00000000000006</v>
      </c>
      <c r="F32" s="398">
        <f t="shared" si="0"/>
        <v>1032.136363636364</v>
      </c>
      <c r="G32" s="399"/>
    </row>
    <row r="33" spans="2:7" ht="15.75">
      <c r="C33" t="s">
        <v>187</v>
      </c>
      <c r="D33" s="90">
        <f>D23-D25*D24*D26</f>
        <v>0.10199999999999999</v>
      </c>
      <c r="E33" s="90">
        <f t="shared" ref="E33:F33" si="1">E23-E25*E24*E26</f>
        <v>0.1094</v>
      </c>
      <c r="F33" s="90">
        <f t="shared" si="1"/>
        <v>0.10375</v>
      </c>
      <c r="G33" s="90"/>
    </row>
    <row r="34" spans="2:7" ht="15.75">
      <c r="D34" s="90"/>
      <c r="E34" s="90"/>
      <c r="F34" s="90"/>
      <c r="G34" s="90"/>
    </row>
    <row r="35" spans="2:7" ht="15.75">
      <c r="G35" s="400" t="s">
        <v>399</v>
      </c>
    </row>
    <row r="36" spans="2:7" ht="15.75">
      <c r="C36" s="49" t="s">
        <v>357</v>
      </c>
      <c r="D36" s="401">
        <f>D32/(D33-D27)</f>
        <v>13095.238095238095</v>
      </c>
      <c r="E36" s="401">
        <f>E32/(E33-E27)</f>
        <v>6376.5182186234833</v>
      </c>
      <c r="F36" s="401">
        <f>F32/(F33-F27)</f>
        <v>19944.664031620559</v>
      </c>
      <c r="G36" s="402">
        <f>F36-(D36+E36)</f>
        <v>472.90771775897883</v>
      </c>
    </row>
    <row r="37" spans="2:7" ht="15.75">
      <c r="C37" t="s">
        <v>356</v>
      </c>
      <c r="D37" s="403">
        <f>D36*D25</f>
        <v>2619.0476190476193</v>
      </c>
      <c r="E37" s="403">
        <f t="shared" ref="E37:F37" si="2">E36*E25</f>
        <v>1275.3036437246967</v>
      </c>
      <c r="F37" s="403">
        <f t="shared" si="2"/>
        <v>4986.1660079051398</v>
      </c>
      <c r="G37" s="404"/>
    </row>
    <row r="38" spans="2:7" ht="15.75">
      <c r="C38" t="s">
        <v>400</v>
      </c>
      <c r="D38" s="405">
        <f>D36-D37</f>
        <v>10476.190476190477</v>
      </c>
      <c r="E38" s="406">
        <f t="shared" ref="E38:F38" si="3">E36-E37</f>
        <v>5101.2145748987869</v>
      </c>
      <c r="F38" s="405">
        <f t="shared" si="3"/>
        <v>14958.49802371542</v>
      </c>
      <c r="G38" s="405"/>
    </row>
    <row r="40" spans="2:7" ht="15.75">
      <c r="C40" s="142" t="s">
        <v>401</v>
      </c>
      <c r="D40" s="407">
        <f>E38+G36</f>
        <v>5574.1222926577657</v>
      </c>
    </row>
    <row r="41" spans="2:7">
      <c r="D41" s="408"/>
      <c r="E41" s="337"/>
    </row>
    <row r="42" spans="2:7">
      <c r="C42" t="s">
        <v>402</v>
      </c>
      <c r="D42" s="408">
        <v>200</v>
      </c>
    </row>
    <row r="43" spans="2:7" ht="15.75">
      <c r="B43" s="249" t="s">
        <v>403</v>
      </c>
      <c r="C43" t="s">
        <v>404</v>
      </c>
      <c r="D43" s="408">
        <f>E38+50%*G36-D42</f>
        <v>5137.6684337782763</v>
      </c>
    </row>
    <row r="44" spans="2:7" ht="15.75">
      <c r="C44" s="142" t="s">
        <v>405</v>
      </c>
      <c r="D44" s="409">
        <f>+D43/F38</f>
        <v>0.34346151770270933</v>
      </c>
    </row>
    <row r="46" spans="2:7">
      <c r="B46" s="473" t="s">
        <v>406</v>
      </c>
      <c r="C46" s="410" t="s">
        <v>407</v>
      </c>
      <c r="D46" s="411">
        <f>D29+E29</f>
        <v>1200000</v>
      </c>
    </row>
    <row r="47" spans="2:7">
      <c r="B47" s="473"/>
      <c r="C47" s="412" t="s">
        <v>408</v>
      </c>
      <c r="D47" s="413">
        <f>1-D44</f>
        <v>0.65653848229729062</v>
      </c>
    </row>
    <row r="48" spans="2:7" ht="15.75">
      <c r="B48" s="414"/>
      <c r="C48" s="415"/>
      <c r="D48" s="416"/>
    </row>
    <row r="49" spans="2:6" ht="15.75">
      <c r="C49" s="142" t="s">
        <v>409</v>
      </c>
      <c r="D49" s="417">
        <f>D46/D47*D44</f>
        <v>627767.95626828412</v>
      </c>
    </row>
    <row r="51" spans="2:6">
      <c r="B51" s="472" t="s">
        <v>410</v>
      </c>
      <c r="C51" t="s">
        <v>411</v>
      </c>
      <c r="D51" s="418">
        <f>D49+D46</f>
        <v>1827767.956268284</v>
      </c>
    </row>
    <row r="52" spans="2:6">
      <c r="B52" s="472"/>
      <c r="C52" t="s">
        <v>412</v>
      </c>
      <c r="D52" s="419">
        <f>D51*D47</f>
        <v>1199999.9999999998</v>
      </c>
    </row>
    <row r="53" spans="2:6">
      <c r="B53" s="472"/>
      <c r="C53" t="s">
        <v>413</v>
      </c>
      <c r="D53" s="419">
        <f>D51*D44</f>
        <v>627767.95626828412</v>
      </c>
    </row>
    <row r="55" spans="2:6" ht="15.75">
      <c r="C55" s="420" t="s">
        <v>414</v>
      </c>
      <c r="D55" s="421">
        <f>D51/D46</f>
        <v>1.5231399635569034</v>
      </c>
      <c r="E55" s="327"/>
      <c r="F55" s="327"/>
    </row>
  </sheetData>
  <mergeCells count="2">
    <mergeCell ref="B46:B47"/>
    <mergeCell ref="B51:B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T1 sc. 1</vt:lpstr>
      <vt:lpstr>T1 sc.2</vt:lpstr>
      <vt:lpstr>T1 sc.3</vt:lpstr>
      <vt:lpstr>T1 sc.4</vt:lpstr>
      <vt:lpstr>T2 sc1</vt:lpstr>
      <vt:lpstr>T2 sc2</vt:lpstr>
      <vt:lpstr>T2 sc3</vt:lpstr>
      <vt:lpstr>T2 sc4</vt:lpstr>
      <vt:lpstr>T3 sc.1</vt:lpstr>
      <vt:lpstr>T3 sc.2</vt:lpstr>
      <vt:lpstr>T3 sc3</vt:lpstr>
      <vt:lpstr>T3 sc4</vt:lpstr>
      <vt:lpstr>T4 sc.1</vt:lpstr>
      <vt:lpstr>T4 sc.2</vt:lpstr>
      <vt:lpstr>T4 sc3</vt:lpstr>
      <vt:lpstr>T4 sc.4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dc:creator>
  <cp:keywords/>
  <dc:description/>
  <cp:lastModifiedBy>Bangani Mridul Kumar</cp:lastModifiedBy>
  <cp:revision/>
  <dcterms:created xsi:type="dcterms:W3CDTF">2015-06-05T18:17:20Z</dcterms:created>
  <dcterms:modified xsi:type="dcterms:W3CDTF">2023-12-18T16:26:43Z</dcterms:modified>
  <cp:category/>
  <cp:contentStatus/>
</cp:coreProperties>
</file>