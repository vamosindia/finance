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omments2.xml" ContentType="application/vnd.openxmlformats-officedocument.spreadsheetml.comments+xml"/>
  <Override PartName="/xl/drawings/drawing18.xml" ContentType="application/vnd.openxmlformats-officedocument.drawing+xml"/>
  <Override PartName="/xl/drawings/drawing19.xml" ContentType="application/vnd.openxmlformats-officedocument.drawing+xml"/>
  <Override PartName="/xl/comments3.xml" ContentType="application/vnd.openxmlformats-officedocument.spreadsheetml.comments+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omments4.xml" ContentType="application/vnd.openxmlformats-officedocument.spreadsheetml.comments+xml"/>
  <Override PartName="/xl/threadedComments/threadedComment2.xml" ContentType="application/vnd.ms-excel.threadedcomments+xml"/>
  <Override PartName="/xl/drawings/drawing25.xml" ContentType="application/vnd.openxmlformats-officedocument.drawing+xml"/>
  <Override PartName="/xl/comments5.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bangani/Library/CloudStorage/OneDrive-CorvinusUniversityofBudapest/MSc Finance/Sem 3/ABV/Exam material/"/>
    </mc:Choice>
  </mc:AlternateContent>
  <xr:revisionPtr revIDLastSave="0" documentId="13_ncr:1_{73E90CC2-E9B5-8B47-BEAE-6C8B83D2D262}" xr6:coauthVersionLast="47" xr6:coauthVersionMax="47" xr10:uidLastSave="{00000000-0000-0000-0000-000000000000}"/>
  <bookViews>
    <workbookView xWindow="0" yWindow="0" windowWidth="28800" windowHeight="18000" firstSheet="13" activeTab="26" xr2:uid="{00000000-000D-0000-FFFF-FFFF00000000}"/>
  </bookViews>
  <sheets>
    <sheet name="Menu" sheetId="1" r:id="rId1"/>
    <sheet name="T1 v1" sheetId="2" r:id="rId2"/>
    <sheet name="T1 v2" sheetId="8" r:id="rId3"/>
    <sheet name="T1 v3" sheetId="9" r:id="rId4"/>
    <sheet name="T1 v4" sheetId="24" r:id="rId5"/>
    <sheet name="T1 v5" sheetId="28" r:id="rId6"/>
    <sheet name="T2 v1" sheetId="3" r:id="rId7"/>
    <sheet name="T2 v2" sheetId="11" r:id="rId8"/>
    <sheet name="T2 v3" sheetId="12" r:id="rId9"/>
    <sheet name="T2 v4" sheetId="13" r:id="rId10"/>
    <sheet name="T2 v5" sheetId="14" r:id="rId11"/>
    <sheet name="T3 v1" sheetId="5" r:id="rId12"/>
    <sheet name="T3 v2" sheetId="15" r:id="rId13"/>
    <sheet name="T3 v3" sheetId="17" r:id="rId14"/>
    <sheet name="T4 General Template" sheetId="18" r:id="rId15"/>
    <sheet name="T4 v1" sheetId="4" r:id="rId16"/>
    <sheet name="Bonus task" sheetId="7" r:id="rId17"/>
    <sheet name="Bonus Task v2" sheetId="16" r:id="rId18"/>
    <sheet name="T5 v1" sheetId="6" r:id="rId19"/>
    <sheet name="T6 v1" sheetId="19" r:id="rId20"/>
    <sheet name="T6 v2" sheetId="20" r:id="rId21"/>
    <sheet name="T6 v3" sheetId="27" r:id="rId22"/>
    <sheet name="T7 v1" sheetId="21" r:id="rId23"/>
    <sheet name="T7 v2" sheetId="22" r:id="rId24"/>
    <sheet name="T7 v3" sheetId="23" r:id="rId25"/>
    <sheet name="T8 v1" sheetId="25" r:id="rId26"/>
    <sheet name="T9 Private equity" sheetId="30" r:id="rId27"/>
    <sheet name="T9 Private equity (2)" sheetId="31" r:id="rId28"/>
  </sheets>
  <externalReferences>
    <externalReference r:id="rId29"/>
    <externalReference r:id="rId30"/>
    <externalReference r:id="rId31"/>
  </externalReferences>
  <definedNames>
    <definedName name="solver_adj" localSheetId="27" hidden="1">'T9 Private equity (2)'!$C$28</definedName>
    <definedName name="solver_cvg" localSheetId="27" hidden="1">0.0001</definedName>
    <definedName name="solver_drv" localSheetId="27" hidden="1">1</definedName>
    <definedName name="solver_eng" localSheetId="27" hidden="1">1</definedName>
    <definedName name="solver_itr" localSheetId="27" hidden="1">2147483647</definedName>
    <definedName name="solver_lin" localSheetId="27" hidden="1">2</definedName>
    <definedName name="solver_mip" localSheetId="27" hidden="1">2147483647</definedName>
    <definedName name="solver_mni" localSheetId="27" hidden="1">30</definedName>
    <definedName name="solver_mrt" localSheetId="27" hidden="1">0.075</definedName>
    <definedName name="solver_msl" localSheetId="27" hidden="1">2</definedName>
    <definedName name="solver_neg" localSheetId="27" hidden="1">1</definedName>
    <definedName name="solver_nod" localSheetId="27" hidden="1">2147483647</definedName>
    <definedName name="solver_num" localSheetId="27" hidden="1">0</definedName>
    <definedName name="solver_opt" localSheetId="27" hidden="1">'T9 Private equity (2)'!$C$30</definedName>
    <definedName name="solver_pre" localSheetId="27" hidden="1">0.000001</definedName>
    <definedName name="solver_rbv" localSheetId="27" hidden="1">1</definedName>
    <definedName name="solver_rlx" localSheetId="27" hidden="1">2</definedName>
    <definedName name="solver_rsd" localSheetId="27" hidden="1">0</definedName>
    <definedName name="solver_scl" localSheetId="27" hidden="1">1</definedName>
    <definedName name="solver_sho" localSheetId="27" hidden="1">2</definedName>
    <definedName name="solver_ssz" localSheetId="27" hidden="1">100</definedName>
    <definedName name="solver_tim" localSheetId="27" hidden="1">2147483647</definedName>
    <definedName name="solver_tol" localSheetId="27" hidden="1">0.01</definedName>
    <definedName name="solver_typ" localSheetId="27" hidden="1">3</definedName>
    <definedName name="solver_val" localSheetId="27" hidden="1">0</definedName>
    <definedName name="solver_ver" localSheetId="27"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13" l="1"/>
  <c r="T66" i="12"/>
  <c r="S66" i="12"/>
  <c r="R66" i="12"/>
  <c r="Q66" i="12"/>
  <c r="P66" i="12"/>
  <c r="O66" i="12"/>
  <c r="N66" i="12"/>
  <c r="T65" i="12"/>
  <c r="S65" i="12"/>
  <c r="R65" i="12"/>
  <c r="Q65" i="12"/>
  <c r="P65" i="12"/>
  <c r="O65" i="12"/>
  <c r="N65" i="12"/>
  <c r="Q64" i="12"/>
  <c r="P64" i="12" s="1"/>
  <c r="O64" i="12" s="1"/>
  <c r="N64" i="12" s="1"/>
  <c r="R64" i="12"/>
  <c r="S64" i="12"/>
  <c r="T64" i="12"/>
  <c r="T63" i="12"/>
  <c r="S63" i="12"/>
  <c r="R63" i="12"/>
  <c r="Q63" i="12"/>
  <c r="P63" i="12"/>
  <c r="O63" i="12"/>
  <c r="N63" i="12"/>
  <c r="T62" i="12"/>
  <c r="S62" i="12"/>
  <c r="R62" i="12"/>
  <c r="Q62" i="12"/>
  <c r="P62" i="12"/>
  <c r="O62" i="12"/>
  <c r="N62" i="12"/>
  <c r="R34" i="12"/>
  <c r="Q34" i="12"/>
  <c r="P34" i="12"/>
  <c r="O34" i="12"/>
  <c r="O40" i="12" s="1"/>
  <c r="O53" i="12" s="1"/>
  <c r="N34" i="12"/>
  <c r="Q59" i="12"/>
  <c r="P59" i="12" s="1"/>
  <c r="O59" i="12" s="1"/>
  <c r="N59" i="12" s="1"/>
  <c r="R59" i="12"/>
  <c r="S59" i="12"/>
  <c r="T59" i="12"/>
  <c r="T58" i="12"/>
  <c r="S58" i="12"/>
  <c r="R58" i="12"/>
  <c r="Q58" i="12"/>
  <c r="P58" i="12"/>
  <c r="O58" i="12"/>
  <c r="N58" i="12"/>
  <c r="T57" i="12"/>
  <c r="S57" i="12"/>
  <c r="R57" i="12"/>
  <c r="Q57" i="12"/>
  <c r="P57" i="12"/>
  <c r="O57" i="12"/>
  <c r="N57" i="12"/>
  <c r="U38" i="12"/>
  <c r="T38" i="12"/>
  <c r="S38" i="12"/>
  <c r="S54" i="12"/>
  <c r="T54" i="12"/>
  <c r="T53" i="12"/>
  <c r="S53" i="12"/>
  <c r="T52" i="12"/>
  <c r="S52" i="12"/>
  <c r="R52" i="12"/>
  <c r="Q52" i="12"/>
  <c r="P52" i="12"/>
  <c r="O52" i="12"/>
  <c r="N52" i="12"/>
  <c r="R49" i="12"/>
  <c r="Q49" i="12"/>
  <c r="P49" i="12"/>
  <c r="O49" i="12"/>
  <c r="N49" i="12"/>
  <c r="T39" i="12"/>
  <c r="S39" i="12"/>
  <c r="R39" i="12"/>
  <c r="Q39" i="12"/>
  <c r="P39" i="12"/>
  <c r="O39" i="12"/>
  <c r="N39" i="12"/>
  <c r="T48" i="12"/>
  <c r="S48" i="12"/>
  <c r="R48" i="12"/>
  <c r="Q48" i="12"/>
  <c r="P48" i="12"/>
  <c r="O48" i="12"/>
  <c r="N48" i="12"/>
  <c r="R47" i="12"/>
  <c r="Q47" i="12"/>
  <c r="P47" i="12"/>
  <c r="O47" i="12"/>
  <c r="N47" i="12"/>
  <c r="R38" i="12"/>
  <c r="Q38" i="12"/>
  <c r="Q46" i="12" s="1"/>
  <c r="P38" i="12"/>
  <c r="O38" i="12"/>
  <c r="N38" i="12"/>
  <c r="P37" i="12"/>
  <c r="T46" i="12"/>
  <c r="S46" i="12"/>
  <c r="S47" i="12" s="1"/>
  <c r="S49" i="12" s="1"/>
  <c r="R46" i="12"/>
  <c r="P46" i="12"/>
  <c r="O46" i="12"/>
  <c r="N46" i="12"/>
  <c r="N45" i="12"/>
  <c r="T40" i="12"/>
  <c r="S40" i="12"/>
  <c r="R40" i="12"/>
  <c r="R53" i="12" s="1"/>
  <c r="R54" i="12" s="1"/>
  <c r="Q40" i="12"/>
  <c r="Q53" i="12" s="1"/>
  <c r="P40" i="12"/>
  <c r="P53" i="12" s="1"/>
  <c r="N40" i="12"/>
  <c r="N53" i="12" s="1"/>
  <c r="P43" i="12"/>
  <c r="O44" i="12"/>
  <c r="R30" i="12"/>
  <c r="O43" i="12"/>
  <c r="O45" i="12" s="1"/>
  <c r="O37" i="12"/>
  <c r="N44" i="12"/>
  <c r="N43" i="12"/>
  <c r="S30" i="12"/>
  <c r="T30" i="12" s="1"/>
  <c r="AA64" i="11"/>
  <c r="Z64" i="11"/>
  <c r="Y64" i="11"/>
  <c r="X64" i="11"/>
  <c r="W64" i="11"/>
  <c r="V64" i="11"/>
  <c r="U64" i="11"/>
  <c r="T64" i="11"/>
  <c r="W62" i="11"/>
  <c r="V62" i="11"/>
  <c r="U62" i="11" s="1"/>
  <c r="T62" i="11" s="1"/>
  <c r="X62" i="11"/>
  <c r="Z62" i="11"/>
  <c r="Y62" i="11"/>
  <c r="AA62" i="11"/>
  <c r="AA63" i="11"/>
  <c r="Z63" i="11"/>
  <c r="Y63" i="11"/>
  <c r="X63" i="11"/>
  <c r="W63" i="11"/>
  <c r="V63" i="11"/>
  <c r="U63" i="11"/>
  <c r="T63" i="11"/>
  <c r="AB36" i="11"/>
  <c r="U37" i="11"/>
  <c r="V37" i="11"/>
  <c r="W37" i="11"/>
  <c r="X37" i="11"/>
  <c r="Y37" i="11"/>
  <c r="Z37" i="11"/>
  <c r="AA37" i="11"/>
  <c r="T37" i="11"/>
  <c r="AA61" i="11"/>
  <c r="Z61" i="11"/>
  <c r="Y61" i="11"/>
  <c r="X61" i="11"/>
  <c r="W61" i="11"/>
  <c r="V61" i="11"/>
  <c r="U61" i="11"/>
  <c r="T61" i="11"/>
  <c r="Z60" i="11"/>
  <c r="Y60" i="11"/>
  <c r="X60" i="11"/>
  <c r="W60" i="11"/>
  <c r="V60" i="11"/>
  <c r="U60" i="11"/>
  <c r="T60" i="11"/>
  <c r="X33" i="11"/>
  <c r="W33" i="11"/>
  <c r="W38" i="11" s="1"/>
  <c r="W51" i="11" s="1"/>
  <c r="V33" i="11"/>
  <c r="U33" i="11"/>
  <c r="T33" i="11"/>
  <c r="W57" i="11"/>
  <c r="V57" i="11" s="1"/>
  <c r="U57" i="11" s="1"/>
  <c r="T57" i="11" s="1"/>
  <c r="X57" i="11"/>
  <c r="Z57" i="11"/>
  <c r="Y57" i="11"/>
  <c r="AA57" i="11"/>
  <c r="AA56" i="11"/>
  <c r="Z56" i="11"/>
  <c r="Y56" i="11"/>
  <c r="X56" i="11"/>
  <c r="W56" i="11"/>
  <c r="V56" i="11"/>
  <c r="U56" i="11"/>
  <c r="T56" i="11"/>
  <c r="U55" i="11"/>
  <c r="V55" i="11"/>
  <c r="W55" i="11"/>
  <c r="X55" i="11"/>
  <c r="Y55" i="11"/>
  <c r="Z55" i="11"/>
  <c r="AA55" i="11"/>
  <c r="T55" i="11"/>
  <c r="AA36" i="11"/>
  <c r="AA52" i="11"/>
  <c r="Z36" i="11"/>
  <c r="Y36" i="11"/>
  <c r="Y52" i="11"/>
  <c r="Y31" i="11"/>
  <c r="Z52" i="11"/>
  <c r="V51" i="11"/>
  <c r="X51" i="11"/>
  <c r="X52" i="11" s="1"/>
  <c r="W52" i="11" s="1"/>
  <c r="V52" i="11" s="1"/>
  <c r="Y51" i="11"/>
  <c r="Z51" i="11"/>
  <c r="AA51" i="11"/>
  <c r="U50" i="11"/>
  <c r="V50" i="11"/>
  <c r="W50" i="11"/>
  <c r="X50" i="11"/>
  <c r="Y50" i="11"/>
  <c r="Z50" i="11"/>
  <c r="AA50" i="11"/>
  <c r="T50" i="11"/>
  <c r="U47" i="11"/>
  <c r="V47" i="11"/>
  <c r="W47" i="11"/>
  <c r="T47" i="11"/>
  <c r="U46" i="11"/>
  <c r="V46" i="11"/>
  <c r="W46" i="11"/>
  <c r="X46" i="11"/>
  <c r="X47" i="11" s="1"/>
  <c r="Z46" i="11"/>
  <c r="AA46" i="11"/>
  <c r="T46" i="11"/>
  <c r="U45" i="11"/>
  <c r="V45" i="11"/>
  <c r="W45" i="11"/>
  <c r="X45" i="11"/>
  <c r="T45" i="11"/>
  <c r="U44" i="11"/>
  <c r="V44" i="11"/>
  <c r="W44" i="11"/>
  <c r="X44" i="11"/>
  <c r="Y44" i="11"/>
  <c r="Z44" i="11"/>
  <c r="Z45" i="11" s="1"/>
  <c r="Z47" i="11" s="1"/>
  <c r="AA44" i="11"/>
  <c r="T44" i="11"/>
  <c r="U43" i="11"/>
  <c r="V43" i="11"/>
  <c r="W43" i="11"/>
  <c r="X43" i="11"/>
  <c r="Y43" i="11"/>
  <c r="Z43" i="11"/>
  <c r="AA43" i="11"/>
  <c r="T43" i="11"/>
  <c r="AA27" i="11"/>
  <c r="AA42" i="11" s="1"/>
  <c r="Z27" i="11"/>
  <c r="Y27" i="11"/>
  <c r="AA26" i="11"/>
  <c r="Z26" i="11"/>
  <c r="Y26" i="11"/>
  <c r="U38" i="11"/>
  <c r="U51" i="11" s="1"/>
  <c r="V38" i="11"/>
  <c r="X38" i="11"/>
  <c r="Y38" i="11"/>
  <c r="Z38" i="11"/>
  <c r="AA38" i="11"/>
  <c r="U36" i="11"/>
  <c r="V36" i="11"/>
  <c r="W36" i="11"/>
  <c r="X36" i="11"/>
  <c r="T36" i="11"/>
  <c r="V35" i="11"/>
  <c r="W35" i="11" s="1"/>
  <c r="X35" i="11" s="1"/>
  <c r="Y35" i="11" s="1"/>
  <c r="U35" i="11"/>
  <c r="U40" i="11"/>
  <c r="V40" i="11"/>
  <c r="W40" i="11"/>
  <c r="X40" i="11"/>
  <c r="Y32" i="11"/>
  <c r="X32" i="11"/>
  <c r="W32" i="11"/>
  <c r="V32" i="11"/>
  <c r="U32" i="11"/>
  <c r="T32" i="11"/>
  <c r="T42" i="11"/>
  <c r="T38" i="11" s="1"/>
  <c r="T51" i="11" s="1"/>
  <c r="T41" i="11"/>
  <c r="T40" i="11" s="1"/>
  <c r="U24" i="11"/>
  <c r="V24" i="11" s="1"/>
  <c r="W24" i="11" s="1"/>
  <c r="X24" i="11" s="1"/>
  <c r="Q65" i="3"/>
  <c r="P65" i="3"/>
  <c r="O65" i="3"/>
  <c r="N65" i="3"/>
  <c r="M65" i="3"/>
  <c r="L65" i="3"/>
  <c r="Q64" i="3"/>
  <c r="P64" i="3"/>
  <c r="O64" i="3"/>
  <c r="N64" i="3"/>
  <c r="M64" i="3"/>
  <c r="L64" i="3"/>
  <c r="O63" i="3"/>
  <c r="N63" i="3" s="1"/>
  <c r="M63" i="3" s="1"/>
  <c r="L63" i="3" s="1"/>
  <c r="P63" i="3"/>
  <c r="Q63" i="3"/>
  <c r="Q62" i="3"/>
  <c r="P62" i="3"/>
  <c r="O62" i="3"/>
  <c r="N62" i="3"/>
  <c r="M62" i="3"/>
  <c r="L62" i="3"/>
  <c r="Q61" i="3"/>
  <c r="P61" i="3"/>
  <c r="O61" i="3"/>
  <c r="N61" i="3"/>
  <c r="M61" i="3"/>
  <c r="L61" i="3"/>
  <c r="M26" i="3"/>
  <c r="L26" i="3"/>
  <c r="O58" i="3"/>
  <c r="N58" i="3" s="1"/>
  <c r="M58" i="3" s="1"/>
  <c r="L58" i="3" s="1"/>
  <c r="P58" i="3"/>
  <c r="M56" i="3"/>
  <c r="N56" i="3"/>
  <c r="O56" i="3"/>
  <c r="P56" i="3"/>
  <c r="Q56" i="3"/>
  <c r="L56" i="3"/>
  <c r="Q58" i="3"/>
  <c r="M57" i="3"/>
  <c r="N57" i="3"/>
  <c r="O57" i="3"/>
  <c r="P57" i="3"/>
  <c r="Q57" i="3"/>
  <c r="L57" i="3"/>
  <c r="R37" i="3"/>
  <c r="Q47" i="3" s="1"/>
  <c r="O37" i="3"/>
  <c r="P37" i="3"/>
  <c r="Q37" i="3"/>
  <c r="N37" i="3"/>
  <c r="M47" i="3" s="1"/>
  <c r="M48" i="3" s="1"/>
  <c r="O53" i="3"/>
  <c r="N53" i="3" s="1"/>
  <c r="P53" i="3"/>
  <c r="Q53" i="3"/>
  <c r="N52" i="3"/>
  <c r="O52" i="3"/>
  <c r="P52" i="3"/>
  <c r="Q52" i="3"/>
  <c r="M51" i="3"/>
  <c r="N51" i="3"/>
  <c r="O51" i="3"/>
  <c r="P51" i="3"/>
  <c r="Q51" i="3"/>
  <c r="L51" i="3"/>
  <c r="L48" i="3"/>
  <c r="N47" i="3"/>
  <c r="O47" i="3"/>
  <c r="P47" i="3"/>
  <c r="L47" i="3"/>
  <c r="M46" i="3"/>
  <c r="P46" i="3"/>
  <c r="P48" i="3" s="1"/>
  <c r="Q46" i="3"/>
  <c r="L46" i="3"/>
  <c r="M45" i="3"/>
  <c r="N45" i="3"/>
  <c r="N46" i="3" s="1"/>
  <c r="O45" i="3"/>
  <c r="O46" i="3" s="1"/>
  <c r="O48" i="3" s="1"/>
  <c r="P45" i="3"/>
  <c r="Q45" i="3"/>
  <c r="L45" i="3"/>
  <c r="Q44" i="3"/>
  <c r="P44" i="3"/>
  <c r="O44" i="3"/>
  <c r="N44" i="3"/>
  <c r="M44" i="3"/>
  <c r="L44" i="3"/>
  <c r="R36" i="3"/>
  <c r="N42" i="3"/>
  <c r="N41" i="3" s="1"/>
  <c r="M42" i="3"/>
  <c r="M41" i="3" s="1"/>
  <c r="M38" i="3"/>
  <c r="L38" i="3"/>
  <c r="P35" i="3"/>
  <c r="Q35" i="3"/>
  <c r="R30" i="3"/>
  <c r="Q30" i="3"/>
  <c r="N39" i="3"/>
  <c r="O39" i="3"/>
  <c r="P39" i="3"/>
  <c r="Q39" i="3"/>
  <c r="R39" i="3"/>
  <c r="M37" i="3"/>
  <c r="M43" i="3"/>
  <c r="N36" i="3" s="1"/>
  <c r="M36" i="3"/>
  <c r="L43" i="3"/>
  <c r="M35" i="3"/>
  <c r="N35" i="3"/>
  <c r="O35" i="3"/>
  <c r="L35" i="3"/>
  <c r="L37" i="3"/>
  <c r="L42" i="3"/>
  <c r="L41" i="3" s="1"/>
  <c r="L36" i="3"/>
  <c r="M24" i="3"/>
  <c r="N24" i="3" s="1"/>
  <c r="O24" i="3" s="1"/>
  <c r="P24" i="3" s="1"/>
  <c r="Q54" i="12" l="1"/>
  <c r="P54" i="12" s="1"/>
  <c r="O54" i="12" s="1"/>
  <c r="N54" i="12"/>
  <c r="T47" i="12"/>
  <c r="T49" i="12" s="1"/>
  <c r="P44" i="12"/>
  <c r="Q43" i="12" s="1"/>
  <c r="U30" i="12"/>
  <c r="T25" i="12" s="1"/>
  <c r="S25" i="12"/>
  <c r="U52" i="11"/>
  <c r="T52" i="11"/>
  <c r="AA45" i="11"/>
  <c r="AA47" i="11" s="1"/>
  <c r="AA60" i="11" s="1"/>
  <c r="Y46" i="11"/>
  <c r="Y45" i="11"/>
  <c r="Y47" i="11" s="1"/>
  <c r="U41" i="11"/>
  <c r="U42" i="11" s="1"/>
  <c r="Q48" i="3"/>
  <c r="N48" i="3"/>
  <c r="R38" i="3"/>
  <c r="N38" i="3"/>
  <c r="N43" i="3"/>
  <c r="O42" i="3" s="1"/>
  <c r="Q44" i="12" l="1"/>
  <c r="R43" i="12" s="1"/>
  <c r="Q45" i="12"/>
  <c r="Q37" i="12"/>
  <c r="R37" i="12" s="1"/>
  <c r="P45" i="12"/>
  <c r="V41" i="11"/>
  <c r="V42" i="11" s="1"/>
  <c r="O43" i="3"/>
  <c r="P42" i="3" s="1"/>
  <c r="O41" i="3"/>
  <c r="O36" i="3"/>
  <c r="R44" i="12" l="1"/>
  <c r="S43" i="12" s="1"/>
  <c r="W41" i="11"/>
  <c r="W42" i="11" s="1"/>
  <c r="P43" i="3"/>
  <c r="Q42" i="3" s="1"/>
  <c r="P41" i="3"/>
  <c r="O38" i="3"/>
  <c r="P36" i="3"/>
  <c r="S44" i="12" l="1"/>
  <c r="T43" i="12" s="1"/>
  <c r="R45" i="12"/>
  <c r="S37" i="12"/>
  <c r="T37" i="12" s="1"/>
  <c r="X41" i="11"/>
  <c r="X42" i="11" s="1"/>
  <c r="M39" i="3"/>
  <c r="M52" i="3" s="1"/>
  <c r="M53" i="3" s="1"/>
  <c r="L39" i="3"/>
  <c r="L52" i="3" s="1"/>
  <c r="L53" i="3" s="1"/>
  <c r="Q36" i="3"/>
  <c r="Q38" i="3" s="1"/>
  <c r="P38" i="3"/>
  <c r="Q43" i="3"/>
  <c r="Q41" i="3"/>
  <c r="T44" i="12" l="1"/>
  <c r="T45" i="12"/>
  <c r="U37" i="12"/>
  <c r="S45" i="12"/>
  <c r="Y41" i="11"/>
  <c r="Y42" i="11" l="1"/>
  <c r="Y40" i="11"/>
  <c r="Z41" i="11" l="1"/>
  <c r="Z35" i="11"/>
  <c r="Z42" i="11" l="1"/>
  <c r="AA41" i="11" s="1"/>
  <c r="Z40" i="11"/>
  <c r="AA40" i="11" l="1"/>
  <c r="AA35" i="11"/>
  <c r="L30" i="31" l="1"/>
  <c r="G32" i="31"/>
  <c r="L22" i="31"/>
  <c r="C31" i="31"/>
  <c r="C25" i="31"/>
  <c r="G31" i="31" s="1"/>
  <c r="L24" i="31"/>
  <c r="L32" i="31" l="1"/>
  <c r="L31" i="31" l="1"/>
  <c r="C35" i="31" s="1"/>
  <c r="C37" i="31" l="1"/>
  <c r="G20" i="31" s="1"/>
  <c r="G25" i="31" l="1"/>
  <c r="G23" i="31"/>
  <c r="C26" i="31" s="1"/>
  <c r="C29" i="31" s="1"/>
  <c r="C30" i="31" s="1"/>
  <c r="C23" i="31"/>
  <c r="L26" i="31" l="1"/>
  <c r="G26" i="31"/>
  <c r="G28" i="31" l="1"/>
  <c r="L28" i="31" s="1"/>
  <c r="L34" i="31" s="1"/>
  <c r="L35" i="31" s="1"/>
  <c r="G27" i="31"/>
  <c r="L27" i="31" s="1"/>
  <c r="L30" i="30" l="1"/>
  <c r="G32" i="30"/>
  <c r="G31" i="30"/>
  <c r="D42" i="15"/>
  <c r="M31" i="7" l="1"/>
  <c r="M32" i="7"/>
  <c r="M33" i="7"/>
  <c r="G34" i="7"/>
  <c r="P34" i="7"/>
  <c r="G33" i="7"/>
  <c r="K33" i="7"/>
  <c r="P33" i="7"/>
  <c r="P32" i="7"/>
  <c r="K32" i="7"/>
  <c r="I33" i="7"/>
  <c r="L31" i="7"/>
  <c r="K31" i="7"/>
  <c r="I31" i="7" l="1"/>
  <c r="J32" i="7"/>
  <c r="N32" i="7"/>
  <c r="L34" i="7"/>
  <c r="N34" i="7" s="1"/>
  <c r="N33" i="7"/>
  <c r="K34" i="7"/>
  <c r="G32" i="7"/>
  <c r="C31" i="30"/>
  <c r="C25" i="30"/>
  <c r="L24" i="30"/>
  <c r="L31" i="30" l="1"/>
  <c r="C35" i="30" s="1"/>
  <c r="C37" i="30" s="1"/>
  <c r="G20" i="30" s="1"/>
  <c r="G23" i="30" s="1"/>
  <c r="C26" i="30" s="1"/>
  <c r="C29" i="30" s="1"/>
  <c r="L32" i="30"/>
  <c r="G25" i="30" l="1"/>
  <c r="C30" i="30" l="1"/>
  <c r="C23" i="30"/>
  <c r="L26" i="30"/>
  <c r="G26" i="30"/>
  <c r="G27" i="30" l="1"/>
  <c r="L27" i="30" s="1"/>
  <c r="G28" i="30"/>
  <c r="L28" i="30" s="1"/>
  <c r="L34" i="30" s="1"/>
  <c r="L35" i="30" s="1"/>
  <c r="D79" i="28" l="1"/>
  <c r="F78" i="28"/>
  <c r="E78" i="28"/>
  <c r="D78" i="28"/>
  <c r="F77" i="28"/>
  <c r="F79" i="28" s="1"/>
  <c r="F80" i="28" s="1"/>
  <c r="E77" i="28"/>
  <c r="E79" i="28" s="1"/>
  <c r="E80" i="28" s="1"/>
  <c r="D77" i="28"/>
  <c r="F74" i="28"/>
  <c r="E74" i="28"/>
  <c r="F73" i="28"/>
  <c r="E73" i="28"/>
  <c r="F70" i="28"/>
  <c r="E70" i="28"/>
  <c r="F69" i="28"/>
  <c r="F68" i="28"/>
  <c r="E68" i="28"/>
  <c r="E69" i="28" s="1"/>
  <c r="F65" i="28"/>
  <c r="F64" i="28"/>
  <c r="E64" i="28"/>
  <c r="E65" i="28" s="1"/>
  <c r="F63" i="28"/>
  <c r="E63" i="28"/>
  <c r="F62" i="28"/>
  <c r="E62" i="28"/>
  <c r="F59" i="28"/>
  <c r="E59" i="28"/>
  <c r="F58" i="28"/>
  <c r="E58" i="28"/>
  <c r="F57" i="28"/>
  <c r="E57" i="28"/>
  <c r="F56" i="28"/>
  <c r="E56" i="28"/>
  <c r="F55" i="28"/>
  <c r="E55" i="28"/>
  <c r="F53" i="28"/>
  <c r="F61" i="28" s="1"/>
  <c r="E53" i="28"/>
  <c r="E61" i="28" s="1"/>
  <c r="F50" i="28"/>
  <c r="E50" i="28"/>
  <c r="F49" i="28"/>
  <c r="F51" i="28" s="1"/>
  <c r="F52" i="28" s="1"/>
  <c r="F54" i="28" s="1"/>
  <c r="F60" i="28" s="1"/>
  <c r="E49" i="28"/>
  <c r="E51" i="28" s="1"/>
  <c r="E52" i="28" s="1"/>
  <c r="E54" i="28" s="1"/>
  <c r="E60" i="28" s="1"/>
  <c r="F47" i="28"/>
  <c r="E47" i="28"/>
  <c r="K33" i="28"/>
  <c r="L32" i="28" s="1"/>
  <c r="J33" i="28"/>
  <c r="D125" i="27"/>
  <c r="H124" i="27"/>
  <c r="G124" i="27"/>
  <c r="F124" i="27"/>
  <c r="E125" i="27" s="1"/>
  <c r="E124" i="27"/>
  <c r="D124" i="27"/>
  <c r="B119" i="27"/>
  <c r="G117" i="27"/>
  <c r="F117" i="27"/>
  <c r="E117" i="27"/>
  <c r="D117" i="27"/>
  <c r="D116" i="27"/>
  <c r="G115" i="27"/>
  <c r="F115" i="27"/>
  <c r="F116" i="27" s="1"/>
  <c r="E115" i="27"/>
  <c r="D115" i="27"/>
  <c r="B115" i="27"/>
  <c r="G113" i="27"/>
  <c r="G111" i="27"/>
  <c r="F111" i="27"/>
  <c r="F113" i="27" s="1"/>
  <c r="E111" i="27"/>
  <c r="E113" i="27" s="1"/>
  <c r="D111" i="27"/>
  <c r="G109" i="27"/>
  <c r="F109" i="27"/>
  <c r="E109" i="27"/>
  <c r="D109" i="27"/>
  <c r="G108" i="27"/>
  <c r="F108" i="27"/>
  <c r="E108" i="27"/>
  <c r="D108" i="27"/>
  <c r="G107" i="27"/>
  <c r="F107" i="27"/>
  <c r="E107" i="27"/>
  <c r="D107" i="27"/>
  <c r="J106" i="27"/>
  <c r="G106" i="27"/>
  <c r="F106" i="27"/>
  <c r="E106" i="27"/>
  <c r="D106" i="27"/>
  <c r="F105" i="27"/>
  <c r="F110" i="27" s="1"/>
  <c r="H104" i="27"/>
  <c r="H112" i="27" s="1"/>
  <c r="G104" i="27"/>
  <c r="G112" i="27" s="1"/>
  <c r="F104" i="27"/>
  <c r="F112" i="27" s="1"/>
  <c r="E104" i="27"/>
  <c r="E112" i="27" s="1"/>
  <c r="D104" i="27"/>
  <c r="D112" i="27" s="1"/>
  <c r="G103" i="27"/>
  <c r="F103" i="27"/>
  <c r="G102" i="27"/>
  <c r="F102" i="27"/>
  <c r="E102" i="27"/>
  <c r="D102" i="27"/>
  <c r="D103" i="27" s="1"/>
  <c r="B102" i="27"/>
  <c r="G68" i="27"/>
  <c r="C65" i="27"/>
  <c r="H63" i="27"/>
  <c r="G63" i="27"/>
  <c r="F63" i="27"/>
  <c r="E64" i="27" s="1"/>
  <c r="E63" i="27"/>
  <c r="D63" i="27"/>
  <c r="D64" i="27" s="1"/>
  <c r="G56" i="27"/>
  <c r="F56" i="27"/>
  <c r="E56" i="27"/>
  <c r="D56" i="27"/>
  <c r="D55" i="27"/>
  <c r="G54" i="27"/>
  <c r="G55" i="27" s="1"/>
  <c r="F54" i="27"/>
  <c r="F55" i="27" s="1"/>
  <c r="E54" i="27"/>
  <c r="D54" i="27"/>
  <c r="H51" i="27"/>
  <c r="D51" i="27"/>
  <c r="G50" i="27"/>
  <c r="F50" i="27"/>
  <c r="E50" i="27"/>
  <c r="D50" i="27"/>
  <c r="D52" i="27" s="1"/>
  <c r="G48" i="27"/>
  <c r="F48" i="27"/>
  <c r="E48" i="27"/>
  <c r="D48" i="27"/>
  <c r="G47" i="27"/>
  <c r="F47" i="27"/>
  <c r="E47" i="27"/>
  <c r="D47" i="27"/>
  <c r="G46" i="27"/>
  <c r="F46" i="27"/>
  <c r="E46" i="27"/>
  <c r="D46" i="27"/>
  <c r="G45" i="27"/>
  <c r="F45" i="27"/>
  <c r="E45" i="27"/>
  <c r="D45" i="27"/>
  <c r="C44" i="27"/>
  <c r="G43" i="27"/>
  <c r="G51" i="27" s="1"/>
  <c r="G52" i="27" s="1"/>
  <c r="F43" i="27"/>
  <c r="F51" i="27" s="1"/>
  <c r="F52" i="27" s="1"/>
  <c r="E43" i="27"/>
  <c r="E51" i="27" s="1"/>
  <c r="D43" i="27"/>
  <c r="C43" i="27"/>
  <c r="E42" i="27"/>
  <c r="G41" i="27"/>
  <c r="G42" i="27" s="1"/>
  <c r="G65" i="27" s="1"/>
  <c r="F41" i="27"/>
  <c r="F42" i="27" s="1"/>
  <c r="F65" i="27" s="1"/>
  <c r="E41" i="27"/>
  <c r="D41" i="27"/>
  <c r="D42" i="27" s="1"/>
  <c r="C41" i="27"/>
  <c r="C42" i="27" s="1"/>
  <c r="G38" i="27"/>
  <c r="G116" i="27" s="1"/>
  <c r="F38" i="27"/>
  <c r="E38" i="27"/>
  <c r="E55" i="27" s="1"/>
  <c r="D38" i="27"/>
  <c r="C38" i="27"/>
  <c r="G15" i="27"/>
  <c r="F15" i="27"/>
  <c r="E15" i="27"/>
  <c r="D15" i="27"/>
  <c r="G13" i="27"/>
  <c r="D13" i="27"/>
  <c r="D120" i="27" s="1"/>
  <c r="H8" i="27"/>
  <c r="H6" i="27"/>
  <c r="H43" i="27" s="1"/>
  <c r="H5" i="27"/>
  <c r="H3" i="27"/>
  <c r="K2" i="27"/>
  <c r="L2" i="27" s="1"/>
  <c r="M2" i="27" s="1"/>
  <c r="J2" i="27"/>
  <c r="I2" i="27"/>
  <c r="G2" i="27"/>
  <c r="F2" i="27"/>
  <c r="E2" i="27" s="1"/>
  <c r="D2" i="27" s="1"/>
  <c r="C2" i="27" s="1"/>
  <c r="D53" i="18"/>
  <c r="D50" i="18"/>
  <c r="D46" i="18"/>
  <c r="D52" i="18" s="1"/>
  <c r="D54" i="18" s="1"/>
  <c r="G28" i="18"/>
  <c r="D28" i="18"/>
  <c r="D30" i="18" s="1"/>
  <c r="H28" i="18" s="1"/>
  <c r="G27" i="18"/>
  <c r="F27" i="18"/>
  <c r="G26" i="18"/>
  <c r="F26" i="18"/>
  <c r="G25" i="18"/>
  <c r="F25" i="18"/>
  <c r="D18" i="18"/>
  <c r="D14" i="18"/>
  <c r="D16" i="18" s="1"/>
  <c r="E18" i="18" s="1"/>
  <c r="K8" i="18"/>
  <c r="K6" i="18"/>
  <c r="D6" i="18"/>
  <c r="E58" i="25"/>
  <c r="D58" i="25"/>
  <c r="C58" i="25"/>
  <c r="F58" i="25" s="1"/>
  <c r="E57" i="25"/>
  <c r="D57" i="25"/>
  <c r="C57" i="25"/>
  <c r="F57" i="25" s="1"/>
  <c r="K55" i="25" s="1"/>
  <c r="M55" i="25" s="1"/>
  <c r="O55" i="25" s="1"/>
  <c r="Q55" i="25" s="1"/>
  <c r="B56" i="25"/>
  <c r="N55" i="25"/>
  <c r="N54" i="25"/>
  <c r="E54" i="25"/>
  <c r="F54" i="25" s="1"/>
  <c r="K54" i="25" s="1"/>
  <c r="M54" i="25" s="1"/>
  <c r="O54" i="25" s="1"/>
  <c r="Q54" i="25" s="1"/>
  <c r="D54" i="25"/>
  <c r="C54" i="25"/>
  <c r="E53" i="25"/>
  <c r="F53" i="25" s="1"/>
  <c r="D53" i="25"/>
  <c r="C53" i="25"/>
  <c r="B52" i="25"/>
  <c r="N39" i="25"/>
  <c r="N38" i="25"/>
  <c r="F28" i="25"/>
  <c r="F30" i="25" s="1"/>
  <c r="E28" i="25"/>
  <c r="E31" i="25" s="1"/>
  <c r="D28" i="25"/>
  <c r="D31" i="25" s="1"/>
  <c r="C28" i="25"/>
  <c r="C31" i="25" s="1"/>
  <c r="K27" i="25"/>
  <c r="C52" i="25" s="1"/>
  <c r="C56" i="25" s="1"/>
  <c r="L22" i="25"/>
  <c r="L21" i="25"/>
  <c r="M13" i="25"/>
  <c r="L13" i="25"/>
  <c r="K13" i="25"/>
  <c r="F5" i="25"/>
  <c r="E5" i="25"/>
  <c r="D5" i="25"/>
  <c r="C5" i="25"/>
  <c r="M4" i="25"/>
  <c r="M27" i="25" s="1"/>
  <c r="E52" i="25" s="1"/>
  <c r="E56" i="25" s="1"/>
  <c r="L4" i="25"/>
  <c r="L27" i="25" s="1"/>
  <c r="D52" i="25" s="1"/>
  <c r="D56" i="25" s="1"/>
  <c r="F100" i="24"/>
  <c r="E100" i="24"/>
  <c r="F98" i="24"/>
  <c r="E98" i="24"/>
  <c r="F94" i="24"/>
  <c r="E94" i="24"/>
  <c r="F92" i="24"/>
  <c r="E92" i="24"/>
  <c r="F83" i="24"/>
  <c r="E83" i="24"/>
  <c r="F81" i="24"/>
  <c r="E81" i="24"/>
  <c r="F80" i="24"/>
  <c r="E80" i="24"/>
  <c r="C80" i="24"/>
  <c r="F79" i="24"/>
  <c r="E79" i="24"/>
  <c r="F78" i="24"/>
  <c r="E78" i="24"/>
  <c r="F75" i="24"/>
  <c r="E75" i="24"/>
  <c r="F74" i="24"/>
  <c r="E74" i="24"/>
  <c r="F73" i="24"/>
  <c r="E73" i="24"/>
  <c r="F72" i="24"/>
  <c r="E72" i="24"/>
  <c r="F71" i="24"/>
  <c r="E71" i="24"/>
  <c r="F70" i="24"/>
  <c r="E70" i="24"/>
  <c r="F66" i="24"/>
  <c r="E66" i="24"/>
  <c r="F65" i="24"/>
  <c r="E65" i="24"/>
  <c r="F64" i="24"/>
  <c r="E64" i="24"/>
  <c r="F55" i="24"/>
  <c r="E55" i="24"/>
  <c r="E58" i="24" s="1"/>
  <c r="D55" i="24"/>
  <c r="D58" i="24" s="1"/>
  <c r="F53" i="24"/>
  <c r="F91" i="24" s="1"/>
  <c r="E53" i="24"/>
  <c r="E91" i="24" s="1"/>
  <c r="D53" i="24"/>
  <c r="F50" i="24"/>
  <c r="F57" i="24" s="1"/>
  <c r="F48" i="24"/>
  <c r="E48" i="24"/>
  <c r="E50" i="24" s="1"/>
  <c r="E57" i="24" s="1"/>
  <c r="D48" i="24"/>
  <c r="D50" i="24" s="1"/>
  <c r="D57" i="24" s="1"/>
  <c r="F44" i="24"/>
  <c r="F106" i="24" s="1"/>
  <c r="E44" i="24"/>
  <c r="E106" i="24" s="1"/>
  <c r="D44" i="24"/>
  <c r="E36" i="24"/>
  <c r="E38" i="24" s="1"/>
  <c r="E40" i="24" s="1"/>
  <c r="F35" i="24"/>
  <c r="E35" i="24"/>
  <c r="D35" i="24"/>
  <c r="D36" i="24" s="1"/>
  <c r="D38" i="24" s="1"/>
  <c r="D40" i="24" s="1"/>
  <c r="F34" i="24"/>
  <c r="F89" i="24" s="1"/>
  <c r="E34" i="24"/>
  <c r="E89" i="24" s="1"/>
  <c r="D34" i="24"/>
  <c r="F29" i="24"/>
  <c r="F36" i="24" s="1"/>
  <c r="E29" i="24"/>
  <c r="E63" i="24" s="1"/>
  <c r="E67" i="24" s="1"/>
  <c r="D29" i="24"/>
  <c r="F28" i="24"/>
  <c r="E28" i="24"/>
  <c r="D28" i="24"/>
  <c r="F22" i="24"/>
  <c r="E22" i="24"/>
  <c r="D22" i="24"/>
  <c r="C7" i="24"/>
  <c r="B7" i="24"/>
  <c r="C6" i="24"/>
  <c r="B6" i="24"/>
  <c r="B4" i="24"/>
  <c r="B3" i="24"/>
  <c r="B2" i="24"/>
  <c r="G42" i="23"/>
  <c r="G43" i="23" s="1"/>
  <c r="G48" i="23" s="1"/>
  <c r="K42" i="23"/>
  <c r="K43" i="23" s="1"/>
  <c r="K48" i="23" s="1"/>
  <c r="D44" i="23"/>
  <c r="D42" i="23" s="1"/>
  <c r="D43" i="23" s="1"/>
  <c r="D48" i="23" s="1"/>
  <c r="E44" i="23"/>
  <c r="E42" i="23" s="1"/>
  <c r="E43" i="23" s="1"/>
  <c r="E48" i="23" s="1"/>
  <c r="E49" i="23" s="1"/>
  <c r="F44" i="23"/>
  <c r="F42" i="23" s="1"/>
  <c r="F43" i="23" s="1"/>
  <c r="F48" i="23" s="1"/>
  <c r="F49" i="23" s="1"/>
  <c r="G44" i="23"/>
  <c r="H44" i="23"/>
  <c r="H42" i="23" s="1"/>
  <c r="H43" i="23" s="1"/>
  <c r="H48" i="23" s="1"/>
  <c r="I44" i="23"/>
  <c r="I42" i="23" s="1"/>
  <c r="I43" i="23" s="1"/>
  <c r="I48" i="23" s="1"/>
  <c r="I49" i="23" s="1"/>
  <c r="J44" i="23"/>
  <c r="J42" i="23" s="1"/>
  <c r="J43" i="23" s="1"/>
  <c r="J48" i="23" s="1"/>
  <c r="J49" i="23" s="1"/>
  <c r="K44" i="23"/>
  <c r="L44" i="23"/>
  <c r="L42" i="23" s="1"/>
  <c r="L43" i="23" s="1"/>
  <c r="L48" i="23" s="1"/>
  <c r="D46" i="23"/>
  <c r="D47" i="23" s="1"/>
  <c r="D49" i="23" s="1"/>
  <c r="E46" i="23"/>
  <c r="F46" i="23"/>
  <c r="G46" i="23"/>
  <c r="H46" i="23"/>
  <c r="H47" i="23" s="1"/>
  <c r="H49" i="23" s="1"/>
  <c r="I46" i="23"/>
  <c r="J46" i="23"/>
  <c r="K46" i="23"/>
  <c r="L46" i="23"/>
  <c r="L47" i="23" s="1"/>
  <c r="L49" i="23" s="1"/>
  <c r="E47" i="23"/>
  <c r="F47" i="23"/>
  <c r="G47" i="23"/>
  <c r="I47" i="23"/>
  <c r="J47" i="23"/>
  <c r="K47" i="23"/>
  <c r="K49" i="23" s="1"/>
  <c r="E55" i="23"/>
  <c r="F55" i="23"/>
  <c r="G55" i="23"/>
  <c r="I55" i="23"/>
  <c r="J55" i="23"/>
  <c r="K55" i="23"/>
  <c r="C7" i="23"/>
  <c r="B7" i="23"/>
  <c r="C6" i="23"/>
  <c r="B6" i="23"/>
  <c r="C4" i="23"/>
  <c r="B4" i="23"/>
  <c r="C3" i="23"/>
  <c r="B3" i="23"/>
  <c r="C2" i="23"/>
  <c r="B2" i="23"/>
  <c r="J41" i="22"/>
  <c r="I41" i="22"/>
  <c r="H41" i="22"/>
  <c r="G41" i="22"/>
  <c r="F41" i="22"/>
  <c r="E41" i="22"/>
  <c r="D41" i="22"/>
  <c r="I39" i="22"/>
  <c r="H39" i="22"/>
  <c r="G39" i="22"/>
  <c r="F39" i="22"/>
  <c r="E39" i="22"/>
  <c r="D39" i="22"/>
  <c r="D32" i="22" s="1"/>
  <c r="E37" i="22"/>
  <c r="D37" i="22"/>
  <c r="D40" i="22" s="1"/>
  <c r="E30" i="22" s="1"/>
  <c r="D36" i="22"/>
  <c r="E26" i="22"/>
  <c r="F26" i="22" s="1"/>
  <c r="G26" i="22" s="1"/>
  <c r="H26" i="22" s="1"/>
  <c r="I26" i="22" s="1"/>
  <c r="J26" i="22" s="1"/>
  <c r="G45" i="21"/>
  <c r="I44" i="21"/>
  <c r="I45" i="21" s="1"/>
  <c r="H44" i="21"/>
  <c r="H45" i="21" s="1"/>
  <c r="H53" i="21" s="1"/>
  <c r="G44" i="21"/>
  <c r="F44" i="21"/>
  <c r="F45" i="21" s="1"/>
  <c r="E44" i="21"/>
  <c r="E45" i="21" s="1"/>
  <c r="D44" i="21"/>
  <c r="D45" i="21" s="1"/>
  <c r="D53" i="21" s="1"/>
  <c r="G32" i="21"/>
  <c r="G46" i="21" s="1"/>
  <c r="I30" i="21"/>
  <c r="I32" i="21" s="1"/>
  <c r="I46" i="21" s="1"/>
  <c r="H30" i="21"/>
  <c r="G30" i="21"/>
  <c r="F30" i="21"/>
  <c r="F32" i="21" s="1"/>
  <c r="F46" i="21" s="1"/>
  <c r="E30" i="21"/>
  <c r="E32" i="21" s="1"/>
  <c r="E46" i="21" s="1"/>
  <c r="D30" i="21"/>
  <c r="C7" i="21"/>
  <c r="B7" i="21"/>
  <c r="C6" i="21"/>
  <c r="B6" i="21"/>
  <c r="C4" i="21"/>
  <c r="B4" i="21"/>
  <c r="C3" i="21"/>
  <c r="B3" i="21"/>
  <c r="C2" i="21"/>
  <c r="B2" i="21"/>
  <c r="K47" i="20"/>
  <c r="J47" i="20"/>
  <c r="G47" i="20"/>
  <c r="F47" i="20"/>
  <c r="L46" i="20"/>
  <c r="L47" i="20" s="1"/>
  <c r="K46" i="20"/>
  <c r="J46" i="20"/>
  <c r="I46" i="20"/>
  <c r="I47" i="20" s="1"/>
  <c r="H46" i="20"/>
  <c r="H47" i="20" s="1"/>
  <c r="G46" i="20"/>
  <c r="F46" i="20"/>
  <c r="E46" i="20"/>
  <c r="E47" i="20" s="1"/>
  <c r="D46" i="20"/>
  <c r="D47" i="20" s="1"/>
  <c r="L44" i="20"/>
  <c r="K55" i="20" s="1"/>
  <c r="K44" i="20"/>
  <c r="J44" i="20"/>
  <c r="J55" i="20" s="1"/>
  <c r="I44" i="20"/>
  <c r="I42" i="20" s="1"/>
  <c r="H44" i="20"/>
  <c r="G55" i="20" s="1"/>
  <c r="G44" i="20"/>
  <c r="F44" i="20"/>
  <c r="F55" i="20" s="1"/>
  <c r="E44" i="20"/>
  <c r="E42" i="20" s="1"/>
  <c r="D44" i="20"/>
  <c r="D42" i="20" s="1"/>
  <c r="D43" i="20" s="1"/>
  <c r="D48" i="20" s="1"/>
  <c r="J43" i="20"/>
  <c r="J48" i="20" s="1"/>
  <c r="F43" i="20"/>
  <c r="F48" i="20" s="1"/>
  <c r="K42" i="20"/>
  <c r="K43" i="20" s="1"/>
  <c r="K48" i="20" s="1"/>
  <c r="J42" i="20"/>
  <c r="G42" i="20"/>
  <c r="G43" i="20" s="1"/>
  <c r="G48" i="20" s="1"/>
  <c r="F42" i="20"/>
  <c r="J40" i="20"/>
  <c r="F40" i="20"/>
  <c r="C7" i="20"/>
  <c r="B7" i="20"/>
  <c r="C6" i="20"/>
  <c r="B6" i="20"/>
  <c r="C4" i="20"/>
  <c r="B4" i="20"/>
  <c r="C3" i="20"/>
  <c r="B3" i="20"/>
  <c r="C2" i="20"/>
  <c r="B2" i="20"/>
  <c r="D55" i="17"/>
  <c r="E32" i="16"/>
  <c r="H60" i="19"/>
  <c r="G60" i="19"/>
  <c r="D60" i="19"/>
  <c r="J58" i="19"/>
  <c r="I58" i="19"/>
  <c r="H58" i="19"/>
  <c r="G58" i="19"/>
  <c r="F58" i="19"/>
  <c r="E58" i="19"/>
  <c r="D58" i="19"/>
  <c r="J45" i="19"/>
  <c r="J60" i="19" s="1"/>
  <c r="I45" i="19"/>
  <c r="I60" i="19" s="1"/>
  <c r="H45" i="19"/>
  <c r="G45" i="19"/>
  <c r="F45" i="19"/>
  <c r="F60" i="19" s="1"/>
  <c r="E45" i="19"/>
  <c r="E60" i="19" s="1"/>
  <c r="D45" i="19"/>
  <c r="I44" i="19"/>
  <c r="I46" i="19" s="1"/>
  <c r="H44" i="19"/>
  <c r="H46" i="19" s="1"/>
  <c r="E44" i="19"/>
  <c r="E46" i="19" s="1"/>
  <c r="D44" i="19"/>
  <c r="J43" i="19"/>
  <c r="J44" i="19" s="1"/>
  <c r="I43" i="19"/>
  <c r="H43" i="19"/>
  <c r="G43" i="19"/>
  <c r="G44" i="19" s="1"/>
  <c r="F43" i="19"/>
  <c r="F44" i="19" s="1"/>
  <c r="E43" i="19"/>
  <c r="D43" i="19"/>
  <c r="J40" i="19"/>
  <c r="J62" i="19" s="1"/>
  <c r="I40" i="19"/>
  <c r="H62" i="19" s="1"/>
  <c r="H40" i="19"/>
  <c r="G62" i="19" s="1"/>
  <c r="G40" i="19"/>
  <c r="F40" i="19"/>
  <c r="F62" i="19" s="1"/>
  <c r="E40" i="19"/>
  <c r="D62" i="19" s="1"/>
  <c r="D40" i="19"/>
  <c r="D39" i="19"/>
  <c r="D41" i="19" s="1"/>
  <c r="E23" i="19"/>
  <c r="F23" i="19" s="1"/>
  <c r="G23" i="19" s="1"/>
  <c r="H23" i="19" s="1"/>
  <c r="I23" i="19" s="1"/>
  <c r="J23" i="19" s="1"/>
  <c r="D46" i="17"/>
  <c r="D36" i="17"/>
  <c r="F33" i="17"/>
  <c r="E33" i="17"/>
  <c r="D33" i="17"/>
  <c r="F32" i="17"/>
  <c r="F36" i="17" s="1"/>
  <c r="E32" i="17"/>
  <c r="E36" i="17" s="1"/>
  <c r="D32" i="17"/>
  <c r="C7" i="17"/>
  <c r="B7" i="17"/>
  <c r="C6" i="17"/>
  <c r="B6" i="17"/>
  <c r="B4" i="17"/>
  <c r="B3" i="17"/>
  <c r="B2" i="17"/>
  <c r="F33" i="15"/>
  <c r="E33" i="15"/>
  <c r="D33" i="15"/>
  <c r="F31" i="15"/>
  <c r="F32" i="15" s="1"/>
  <c r="E31" i="15"/>
  <c r="E32" i="15" s="1"/>
  <c r="E34" i="15" s="1"/>
  <c r="D31" i="15"/>
  <c r="D32" i="15" s="1"/>
  <c r="F32" i="16"/>
  <c r="D32" i="16"/>
  <c r="G32" i="16" s="1"/>
  <c r="E31" i="16"/>
  <c r="D30" i="16"/>
  <c r="G28" i="16"/>
  <c r="E26" i="16"/>
  <c r="D26" i="16"/>
  <c r="E24" i="16"/>
  <c r="G23" i="16"/>
  <c r="G25" i="16" s="1"/>
  <c r="G26" i="16" s="1"/>
  <c r="F23" i="16"/>
  <c r="E23" i="16"/>
  <c r="D23" i="16"/>
  <c r="E35" i="15" l="1"/>
  <c r="E36" i="15" s="1"/>
  <c r="F34" i="15"/>
  <c r="F35" i="15" s="1"/>
  <c r="F36" i="15" s="1"/>
  <c r="F37" i="15" s="1"/>
  <c r="E66" i="28"/>
  <c r="E67" i="28" s="1"/>
  <c r="E71" i="28" s="1"/>
  <c r="E75" i="28" s="1"/>
  <c r="E82" i="28" s="1"/>
  <c r="F66" i="28"/>
  <c r="F67" i="28" s="1"/>
  <c r="F71" i="28" s="1"/>
  <c r="F75" i="28" s="1"/>
  <c r="F82" i="28" s="1"/>
  <c r="D65" i="27"/>
  <c r="D44" i="27"/>
  <c r="D49" i="27" s="1"/>
  <c r="D53" i="27" s="1"/>
  <c r="E13" i="27"/>
  <c r="E44" i="27"/>
  <c r="E49" i="27" s="1"/>
  <c r="E65" i="27"/>
  <c r="G120" i="27"/>
  <c r="G12" i="27"/>
  <c r="G16" i="27"/>
  <c r="H21" i="27"/>
  <c r="H20" i="27"/>
  <c r="H4" i="27"/>
  <c r="D70" i="27"/>
  <c r="I3" i="27"/>
  <c r="F126" i="27"/>
  <c r="H7" i="27"/>
  <c r="D16" i="27"/>
  <c r="E52" i="27"/>
  <c r="F128" i="27"/>
  <c r="G105" i="27"/>
  <c r="G110" i="27" s="1"/>
  <c r="G114" i="27"/>
  <c r="F68" i="27"/>
  <c r="F44" i="27"/>
  <c r="F49" i="27" s="1"/>
  <c r="F53" i="27" s="1"/>
  <c r="E70" i="27"/>
  <c r="D126" i="27"/>
  <c r="D129" i="27" s="1"/>
  <c r="D105" i="27"/>
  <c r="D110" i="27" s="1"/>
  <c r="H115" i="27"/>
  <c r="H116" i="27" s="1"/>
  <c r="H54" i="27"/>
  <c r="H55" i="27" s="1"/>
  <c r="D12" i="27"/>
  <c r="F13" i="27"/>
  <c r="G69" i="27"/>
  <c r="G67" i="27"/>
  <c r="G44" i="27"/>
  <c r="G49" i="27" s="1"/>
  <c r="G53" i="27" s="1"/>
  <c r="F67" i="27"/>
  <c r="E103" i="27"/>
  <c r="F114" i="27"/>
  <c r="G126" i="27"/>
  <c r="F64" i="27"/>
  <c r="F70" i="27" s="1"/>
  <c r="F125" i="27"/>
  <c r="F131" i="27" s="1"/>
  <c r="D131" i="27"/>
  <c r="G64" i="27"/>
  <c r="G70" i="27" s="1"/>
  <c r="D113" i="27"/>
  <c r="D114" i="27" s="1"/>
  <c r="E116" i="27"/>
  <c r="G125" i="27"/>
  <c r="G31" i="25"/>
  <c r="L31" i="25" s="1"/>
  <c r="R54" i="25"/>
  <c r="S54" i="25"/>
  <c r="S55" i="25"/>
  <c r="R55" i="25"/>
  <c r="C29" i="25"/>
  <c r="D29" i="25"/>
  <c r="D30" i="25"/>
  <c r="J20" i="25"/>
  <c r="E29" i="25"/>
  <c r="E30" i="25"/>
  <c r="C30" i="25"/>
  <c r="G30" i="25" s="1"/>
  <c r="F29" i="25"/>
  <c r="F58" i="24"/>
  <c r="F90" i="24"/>
  <c r="F60" i="24"/>
  <c r="F38" i="24"/>
  <c r="F40" i="24" s="1"/>
  <c r="F95" i="24" s="1"/>
  <c r="E95" i="24"/>
  <c r="E68" i="24"/>
  <c r="E69" i="24" s="1"/>
  <c r="E76" i="24" s="1"/>
  <c r="F63" i="24"/>
  <c r="F67" i="24" s="1"/>
  <c r="E60" i="24"/>
  <c r="K50" i="23"/>
  <c r="K57" i="23" s="1"/>
  <c r="K51" i="23"/>
  <c r="J50" i="23"/>
  <c r="J57" i="23" s="1"/>
  <c r="J51" i="23"/>
  <c r="F50" i="23"/>
  <c r="F57" i="23" s="1"/>
  <c r="F51" i="23"/>
  <c r="L50" i="23"/>
  <c r="L51" i="23" s="1"/>
  <c r="L52" i="23" s="1"/>
  <c r="H50" i="23"/>
  <c r="H57" i="23" s="1"/>
  <c r="D50" i="23"/>
  <c r="D57" i="23" s="1"/>
  <c r="I50" i="23"/>
  <c r="I57" i="23" s="1"/>
  <c r="I51" i="23"/>
  <c r="E50" i="23"/>
  <c r="E57" i="23" s="1"/>
  <c r="E51" i="23"/>
  <c r="G49" i="23"/>
  <c r="F40" i="23"/>
  <c r="H55" i="23"/>
  <c r="D55" i="23"/>
  <c r="I40" i="23"/>
  <c r="D40" i="23"/>
  <c r="E40" i="23"/>
  <c r="J40" i="23"/>
  <c r="F30" i="22"/>
  <c r="D38" i="22"/>
  <c r="E40" i="22"/>
  <c r="E38" i="22" s="1"/>
  <c r="E36" i="22"/>
  <c r="F37" i="22"/>
  <c r="E27" i="22"/>
  <c r="G50" i="21"/>
  <c r="H50" i="21"/>
  <c r="E53" i="21"/>
  <c r="E52" i="21" s="1"/>
  <c r="I53" i="21"/>
  <c r="F53" i="21"/>
  <c r="F52" i="21" s="1"/>
  <c r="G53" i="21"/>
  <c r="G52" i="21" s="1"/>
  <c r="E50" i="21"/>
  <c r="I50" i="21"/>
  <c r="D32" i="21"/>
  <c r="D46" i="21" s="1"/>
  <c r="D50" i="21" s="1"/>
  <c r="H32" i="21"/>
  <c r="H46" i="21" s="1"/>
  <c r="F50" i="21"/>
  <c r="F49" i="20"/>
  <c r="G49" i="20"/>
  <c r="J49" i="20"/>
  <c r="I49" i="20"/>
  <c r="D40" i="20"/>
  <c r="E43" i="20"/>
  <c r="E48" i="20" s="1"/>
  <c r="E49" i="20" s="1"/>
  <c r="E40" i="20"/>
  <c r="I43" i="20"/>
  <c r="I48" i="20" s="1"/>
  <c r="I40" i="20"/>
  <c r="D49" i="20"/>
  <c r="L49" i="20"/>
  <c r="K49" i="20"/>
  <c r="D55" i="20"/>
  <c r="H55" i="20"/>
  <c r="E55" i="20"/>
  <c r="I55" i="20"/>
  <c r="H42" i="20"/>
  <c r="L42" i="20"/>
  <c r="L43" i="20" s="1"/>
  <c r="L48" i="20" s="1"/>
  <c r="E47" i="19"/>
  <c r="E55" i="19" s="1"/>
  <c r="E37" i="19" s="1"/>
  <c r="E48" i="19"/>
  <c r="E61" i="19"/>
  <c r="H47" i="19"/>
  <c r="H55" i="19" s="1"/>
  <c r="H48" i="19"/>
  <c r="F46" i="19"/>
  <c r="J46" i="19"/>
  <c r="I47" i="19"/>
  <c r="I55" i="19" s="1"/>
  <c r="I37" i="19" s="1"/>
  <c r="G46" i="19"/>
  <c r="H57" i="19"/>
  <c r="E62" i="19"/>
  <c r="E39" i="19"/>
  <c r="I57" i="19"/>
  <c r="D46" i="19"/>
  <c r="I62" i="19"/>
  <c r="E37" i="17"/>
  <c r="E38" i="17" s="1"/>
  <c r="G36" i="17"/>
  <c r="F37" i="17"/>
  <c r="F38" i="17" s="1"/>
  <c r="D37" i="17"/>
  <c r="D38" i="17" s="1"/>
  <c r="E37" i="15"/>
  <c r="E38" i="15" s="1"/>
  <c r="D34" i="15"/>
  <c r="K36" i="15"/>
  <c r="D35" i="15"/>
  <c r="D36" i="15" s="1"/>
  <c r="F39" i="15" s="1"/>
  <c r="G30" i="16"/>
  <c r="G27" i="16" s="1"/>
  <c r="G29" i="16"/>
  <c r="D43" i="15" l="1"/>
  <c r="D47" i="15" s="1"/>
  <c r="D49" i="15" s="1"/>
  <c r="D50" i="15" s="1"/>
  <c r="D54" i="15" s="1"/>
  <c r="D56" i="15" s="1"/>
  <c r="D58" i="15" s="1"/>
  <c r="E126" i="27"/>
  <c r="E105" i="27"/>
  <c r="E110" i="27" s="1"/>
  <c r="E114" i="27" s="1"/>
  <c r="D128" i="27"/>
  <c r="G127" i="27"/>
  <c r="G118" i="27"/>
  <c r="I20" i="27"/>
  <c r="H18" i="27"/>
  <c r="I5" i="27"/>
  <c r="J3" i="27"/>
  <c r="I21" i="27"/>
  <c r="I4" i="27"/>
  <c r="H108" i="27"/>
  <c r="I47" i="27"/>
  <c r="H47" i="27"/>
  <c r="G119" i="27"/>
  <c r="G58" i="27"/>
  <c r="E120" i="27"/>
  <c r="E12" i="27"/>
  <c r="D127" i="27"/>
  <c r="D118" i="27"/>
  <c r="F120" i="27"/>
  <c r="F12" i="27"/>
  <c r="F66" i="27"/>
  <c r="F57" i="27"/>
  <c r="H102" i="27"/>
  <c r="H103" i="27" s="1"/>
  <c r="H9" i="27"/>
  <c r="H41" i="27"/>
  <c r="H42" i="27" s="1"/>
  <c r="E16" i="27"/>
  <c r="G130" i="27"/>
  <c r="G129" i="27"/>
  <c r="G57" i="27"/>
  <c r="G66" i="27"/>
  <c r="D119" i="27"/>
  <c r="D58" i="27"/>
  <c r="F69" i="27"/>
  <c r="F130" i="27"/>
  <c r="F129" i="27"/>
  <c r="H19" i="27"/>
  <c r="H23" i="27"/>
  <c r="E68" i="27"/>
  <c r="E67" i="27"/>
  <c r="E69" i="27"/>
  <c r="D66" i="27"/>
  <c r="D57" i="27"/>
  <c r="G131" i="27"/>
  <c r="F118" i="27"/>
  <c r="F127" i="27"/>
  <c r="E128" i="27"/>
  <c r="I107" i="27"/>
  <c r="H107" i="27"/>
  <c r="H46" i="27"/>
  <c r="F16" i="27"/>
  <c r="E53" i="27"/>
  <c r="D69" i="27"/>
  <c r="D67" i="27"/>
  <c r="D68" i="27"/>
  <c r="M30" i="25"/>
  <c r="L30" i="25"/>
  <c r="K30" i="25"/>
  <c r="G29" i="25"/>
  <c r="E99" i="24"/>
  <c r="E102" i="24" s="1"/>
  <c r="E84" i="24"/>
  <c r="E82" i="24"/>
  <c r="E85" i="24" s="1"/>
  <c r="E87" i="24" s="1"/>
  <c r="E93" i="24" s="1"/>
  <c r="E96" i="24" s="1"/>
  <c r="E104" i="24" s="1"/>
  <c r="E101" i="24"/>
  <c r="F68" i="24"/>
  <c r="F69" i="24" s="1"/>
  <c r="F76" i="24" s="1"/>
  <c r="E90" i="24"/>
  <c r="F101" i="24"/>
  <c r="F82" i="24"/>
  <c r="F99" i="24"/>
  <c r="F102" i="24" s="1"/>
  <c r="F84" i="24"/>
  <c r="E53" i="23"/>
  <c r="E56" i="23" s="1"/>
  <c r="J53" i="23"/>
  <c r="J56" i="23" s="1"/>
  <c r="J52" i="23"/>
  <c r="D51" i="23"/>
  <c r="G51" i="23"/>
  <c r="G50" i="23"/>
  <c r="G57" i="23" s="1"/>
  <c r="I53" i="23"/>
  <c r="I56" i="23" s="1"/>
  <c r="F53" i="23"/>
  <c r="F56" i="23" s="1"/>
  <c r="K52" i="23"/>
  <c r="K53" i="23"/>
  <c r="K56" i="23" s="1"/>
  <c r="H51" i="23"/>
  <c r="E37" i="23"/>
  <c r="F37" i="23"/>
  <c r="I37" i="23"/>
  <c r="G40" i="23"/>
  <c r="G37" i="23"/>
  <c r="J37" i="23"/>
  <c r="J39" i="23" s="1"/>
  <c r="E39" i="23"/>
  <c r="I39" i="23"/>
  <c r="D37" i="23"/>
  <c r="H40" i="23"/>
  <c r="F40" i="22"/>
  <c r="F38" i="22"/>
  <c r="F27" i="22"/>
  <c r="G37" i="22"/>
  <c r="F36" i="22"/>
  <c r="G30" i="22"/>
  <c r="D51" i="21"/>
  <c r="D52" i="21"/>
  <c r="H51" i="21"/>
  <c r="H49" i="21"/>
  <c r="H54" i="21" s="1"/>
  <c r="H48" i="21"/>
  <c r="I51" i="21"/>
  <c r="I49" i="21"/>
  <c r="I48" i="21"/>
  <c r="F51" i="21"/>
  <c r="F49" i="21"/>
  <c r="F54" i="21" s="1"/>
  <c r="F48" i="21"/>
  <c r="E51" i="21"/>
  <c r="E49" i="21"/>
  <c r="E54" i="21" s="1"/>
  <c r="E48" i="21"/>
  <c r="I52" i="21"/>
  <c r="H52" i="21"/>
  <c r="G48" i="21"/>
  <c r="G51" i="21"/>
  <c r="G49" i="21"/>
  <c r="G54" i="21" s="1"/>
  <c r="E50" i="20"/>
  <c r="E57" i="20" s="1"/>
  <c r="E37" i="20" s="1"/>
  <c r="I50" i="20"/>
  <c r="I57" i="20" s="1"/>
  <c r="I37" i="20" s="1"/>
  <c r="I39" i="20" s="1"/>
  <c r="D39" i="20"/>
  <c r="L50" i="20"/>
  <c r="L51" i="20" s="1"/>
  <c r="L52" i="20" s="1"/>
  <c r="E39" i="20"/>
  <c r="F50" i="20"/>
  <c r="F57" i="20" s="1"/>
  <c r="F37" i="20" s="1"/>
  <c r="H43" i="20"/>
  <c r="H48" i="20" s="1"/>
  <c r="H49" i="20" s="1"/>
  <c r="G40" i="20"/>
  <c r="G39" i="20" s="1"/>
  <c r="K50" i="20"/>
  <c r="K57" i="20" s="1"/>
  <c r="D51" i="20"/>
  <c r="D50" i="20"/>
  <c r="D57" i="20" s="1"/>
  <c r="D37" i="20" s="1"/>
  <c r="H40" i="20"/>
  <c r="J50" i="20"/>
  <c r="J57" i="20" s="1"/>
  <c r="J37" i="20" s="1"/>
  <c r="J51" i="20"/>
  <c r="G50" i="20"/>
  <c r="G57" i="20" s="1"/>
  <c r="G37" i="20" s="1"/>
  <c r="J47" i="19"/>
  <c r="J55" i="19" s="1"/>
  <c r="J48" i="19"/>
  <c r="D47" i="19"/>
  <c r="D55" i="19" s="1"/>
  <c r="D48" i="19"/>
  <c r="H35" i="19"/>
  <c r="H59" i="19"/>
  <c r="I59" i="19"/>
  <c r="I63" i="19" s="1"/>
  <c r="I36" i="19"/>
  <c r="I35" i="19"/>
  <c r="I34" i="19"/>
  <c r="F47" i="19"/>
  <c r="F55" i="19" s="1"/>
  <c r="F48" i="19"/>
  <c r="E57" i="19"/>
  <c r="E41" i="19"/>
  <c r="D52" i="19" s="1"/>
  <c r="F39" i="19"/>
  <c r="G48" i="19"/>
  <c r="G47" i="19"/>
  <c r="G55" i="19" s="1"/>
  <c r="I48" i="19"/>
  <c r="H37" i="19"/>
  <c r="H61" i="19"/>
  <c r="I61" i="19"/>
  <c r="D43" i="17"/>
  <c r="D44" i="17" s="1"/>
  <c r="D47" i="17" s="1"/>
  <c r="D49" i="17" s="1"/>
  <c r="D51" i="17" s="1"/>
  <c r="D40" i="17"/>
  <c r="D37" i="15"/>
  <c r="D38" i="15" s="1"/>
  <c r="F38" i="15"/>
  <c r="E66" i="27" l="1"/>
  <c r="E57" i="27"/>
  <c r="F121" i="27"/>
  <c r="I106" i="27"/>
  <c r="H45" i="27"/>
  <c r="H106" i="27"/>
  <c r="H10" i="27"/>
  <c r="H11" i="27" s="1"/>
  <c r="F119" i="27"/>
  <c r="F58" i="27"/>
  <c r="E58" i="27"/>
  <c r="E119" i="27"/>
  <c r="I23" i="27"/>
  <c r="I19" i="27"/>
  <c r="H126" i="27"/>
  <c r="H105" i="27"/>
  <c r="G128" i="27"/>
  <c r="H111" i="27"/>
  <c r="H113" i="27" s="1"/>
  <c r="I50" i="27"/>
  <c r="H24" i="27"/>
  <c r="H50" i="27"/>
  <c r="H52" i="27" s="1"/>
  <c r="H25" i="27"/>
  <c r="I6" i="27"/>
  <c r="D121" i="27"/>
  <c r="I108" i="27"/>
  <c r="J20" i="27"/>
  <c r="J21" i="27"/>
  <c r="J5" i="27"/>
  <c r="K3" i="27"/>
  <c r="J4" i="27"/>
  <c r="I18" i="27"/>
  <c r="J46" i="27"/>
  <c r="E118" i="27"/>
  <c r="E121" i="27" s="1"/>
  <c r="E127" i="27"/>
  <c r="I46" i="27"/>
  <c r="H109" i="27"/>
  <c r="H48" i="27"/>
  <c r="H65" i="27"/>
  <c r="H44" i="27"/>
  <c r="G121" i="27"/>
  <c r="E130" i="27"/>
  <c r="E129" i="27"/>
  <c r="E131" i="27"/>
  <c r="M29" i="25"/>
  <c r="M32" i="25" s="1"/>
  <c r="L29" i="25"/>
  <c r="L32" i="25" s="1"/>
  <c r="K39" i="25" s="1"/>
  <c r="M39" i="25" s="1"/>
  <c r="O39" i="25" s="1"/>
  <c r="Q39" i="25" s="1"/>
  <c r="K29" i="25"/>
  <c r="K32" i="25" s="1"/>
  <c r="K38" i="25" s="1"/>
  <c r="M38" i="25" s="1"/>
  <c r="O38" i="25" s="1"/>
  <c r="Q38" i="25" s="1"/>
  <c r="F85" i="24"/>
  <c r="F87" i="24" s="1"/>
  <c r="F93" i="24" s="1"/>
  <c r="F96" i="24" s="1"/>
  <c r="F104" i="24" s="1"/>
  <c r="H53" i="23"/>
  <c r="H56" i="23" s="1"/>
  <c r="F52" i="23"/>
  <c r="G52" i="23"/>
  <c r="G53" i="23"/>
  <c r="G56" i="23" s="1"/>
  <c r="I52" i="23"/>
  <c r="D53" i="23"/>
  <c r="D56" i="23" s="1"/>
  <c r="E52" i="23"/>
  <c r="D38" i="23"/>
  <c r="D35" i="23"/>
  <c r="H37" i="23"/>
  <c r="I36" i="23" s="1"/>
  <c r="G38" i="23"/>
  <c r="G35" i="23"/>
  <c r="G36" i="23"/>
  <c r="E38" i="23"/>
  <c r="E35" i="23"/>
  <c r="E36" i="23"/>
  <c r="G39" i="23"/>
  <c r="D39" i="23"/>
  <c r="J38" i="23"/>
  <c r="J35" i="23"/>
  <c r="J36" i="23"/>
  <c r="I38" i="23"/>
  <c r="I35" i="23"/>
  <c r="F38" i="23"/>
  <c r="F35" i="23"/>
  <c r="F36" i="23"/>
  <c r="F39" i="23"/>
  <c r="H37" i="22"/>
  <c r="G36" i="22"/>
  <c r="G40" i="22"/>
  <c r="H30" i="22" s="1"/>
  <c r="G27" i="22"/>
  <c r="I54" i="21"/>
  <c r="J53" i="20"/>
  <c r="J56" i="20" s="1"/>
  <c r="D53" i="20"/>
  <c r="D56" i="20" s="1"/>
  <c r="F38" i="20"/>
  <c r="F35" i="20"/>
  <c r="F36" i="20"/>
  <c r="F39" i="20"/>
  <c r="J38" i="20"/>
  <c r="J35" i="20"/>
  <c r="J36" i="20"/>
  <c r="J39" i="20"/>
  <c r="G36" i="20"/>
  <c r="G38" i="20"/>
  <c r="G35" i="20"/>
  <c r="K51" i="20"/>
  <c r="E38" i="20"/>
  <c r="E35" i="20"/>
  <c r="E36" i="20"/>
  <c r="I38" i="20"/>
  <c r="I35" i="20"/>
  <c r="H50" i="20"/>
  <c r="H57" i="20" s="1"/>
  <c r="H37" i="20" s="1"/>
  <c r="I51" i="20"/>
  <c r="G51" i="20"/>
  <c r="D38" i="20"/>
  <c r="D35" i="20"/>
  <c r="F51" i="20"/>
  <c r="E51" i="20"/>
  <c r="D50" i="19"/>
  <c r="D65" i="19" s="1"/>
  <c r="G39" i="19"/>
  <c r="F41" i="19"/>
  <c r="E52" i="19" s="1"/>
  <c r="H63" i="19"/>
  <c r="D37" i="19"/>
  <c r="D61" i="19"/>
  <c r="D57" i="19"/>
  <c r="G37" i="19"/>
  <c r="G61" i="19"/>
  <c r="G57" i="19"/>
  <c r="E59" i="19"/>
  <c r="E63" i="19" s="1"/>
  <c r="E33" i="19"/>
  <c r="E34" i="19"/>
  <c r="E35" i="19"/>
  <c r="E36" i="19" a="1"/>
  <c r="E36" i="19" s="1"/>
  <c r="F37" i="19"/>
  <c r="F57" i="19"/>
  <c r="F61" i="19"/>
  <c r="J37" i="19"/>
  <c r="J57" i="19"/>
  <c r="J61" i="19"/>
  <c r="D53" i="17"/>
  <c r="D52" i="17"/>
  <c r="H37" i="15"/>
  <c r="E43" i="15" s="1"/>
  <c r="H38" i="15"/>
  <c r="F43" i="15" l="1"/>
  <c r="J23" i="27"/>
  <c r="J19" i="27"/>
  <c r="K47" i="27"/>
  <c r="I104" i="27"/>
  <c r="I112" i="27" s="1"/>
  <c r="I43" i="27"/>
  <c r="I51" i="27" s="1"/>
  <c r="I52" i="27" s="1"/>
  <c r="J108" i="27"/>
  <c r="I7" i="27"/>
  <c r="J18" i="27"/>
  <c r="K21" i="27"/>
  <c r="K4" i="27"/>
  <c r="L3" i="27"/>
  <c r="K20" i="27"/>
  <c r="K46" i="27" s="1"/>
  <c r="K5" i="27"/>
  <c r="I63" i="27"/>
  <c r="H64" i="27" s="1"/>
  <c r="H70" i="27" s="1"/>
  <c r="H120" i="27"/>
  <c r="H15" i="27"/>
  <c r="H13" i="27" s="1"/>
  <c r="H12" i="27" s="1"/>
  <c r="H49" i="27"/>
  <c r="H53" i="27" s="1"/>
  <c r="J107" i="27"/>
  <c r="H110" i="27"/>
  <c r="H114" i="27" s="1"/>
  <c r="I109" i="27"/>
  <c r="I48" i="27"/>
  <c r="H69" i="27"/>
  <c r="H67" i="27"/>
  <c r="H68" i="27"/>
  <c r="I25" i="27"/>
  <c r="J6" i="27"/>
  <c r="I24" i="27"/>
  <c r="I124" i="27"/>
  <c r="H125" i="27" s="1"/>
  <c r="H131" i="27" s="1"/>
  <c r="H117" i="27"/>
  <c r="H56" i="27"/>
  <c r="I8" i="27"/>
  <c r="J47" i="27"/>
  <c r="H129" i="27"/>
  <c r="H130" i="27"/>
  <c r="I45" i="27"/>
  <c r="S38" i="25"/>
  <c r="R38" i="25"/>
  <c r="R39" i="25"/>
  <c r="S39" i="25"/>
  <c r="D52" i="23"/>
  <c r="H52" i="23"/>
  <c r="H36" i="23"/>
  <c r="H38" i="23"/>
  <c r="H35" i="23"/>
  <c r="H39" i="23"/>
  <c r="H40" i="22"/>
  <c r="I30" i="22" s="1"/>
  <c r="H38" i="22"/>
  <c r="H27" i="22"/>
  <c r="I37" i="22"/>
  <c r="H36" i="22"/>
  <c r="G38" i="22"/>
  <c r="H36" i="20"/>
  <c r="H38" i="20"/>
  <c r="H35" i="20"/>
  <c r="K53" i="20"/>
  <c r="K56" i="20" s="1"/>
  <c r="K52" i="20"/>
  <c r="H51" i="20"/>
  <c r="H39" i="20"/>
  <c r="E53" i="20"/>
  <c r="E56" i="20" s="1"/>
  <c r="E52" i="20"/>
  <c r="G53" i="20"/>
  <c r="G56" i="20" s="1"/>
  <c r="G52" i="20"/>
  <c r="I36" i="20"/>
  <c r="D52" i="20"/>
  <c r="F53" i="20"/>
  <c r="F56" i="20" s="1"/>
  <c r="F52" i="20"/>
  <c r="I53" i="20"/>
  <c r="I56" i="20" s="1"/>
  <c r="I52" i="20"/>
  <c r="J52" i="20"/>
  <c r="G34" i="19"/>
  <c r="G59" i="19"/>
  <c r="G63" i="19" s="1"/>
  <c r="G36" i="19"/>
  <c r="G35" i="19"/>
  <c r="G33" i="19"/>
  <c r="H34" i="19"/>
  <c r="H36" i="19"/>
  <c r="D49" i="19"/>
  <c r="F35" i="19"/>
  <c r="F59" i="19"/>
  <c r="F63" i="19" s="1"/>
  <c r="F33" i="19"/>
  <c r="F34" i="19"/>
  <c r="F36" i="19"/>
  <c r="D53" i="19"/>
  <c r="D35" i="19"/>
  <c r="D59" i="19"/>
  <c r="D63" i="19" s="1"/>
  <c r="D33" i="19"/>
  <c r="E65" i="19"/>
  <c r="E50" i="19"/>
  <c r="E49" i="19" s="1"/>
  <c r="J36" i="19"/>
  <c r="J34" i="19"/>
  <c r="J35" i="19"/>
  <c r="J59" i="19"/>
  <c r="J63" i="19" s="1"/>
  <c r="J66" i="19" s="1"/>
  <c r="G41" i="19"/>
  <c r="F52" i="19" s="1"/>
  <c r="H39" i="19"/>
  <c r="H118" i="27" l="1"/>
  <c r="H127" i="27"/>
  <c r="H119" i="27"/>
  <c r="H58" i="27"/>
  <c r="J104" i="27"/>
  <c r="J112" i="27" s="1"/>
  <c r="J43" i="27"/>
  <c r="J51" i="27" s="1"/>
  <c r="L21" i="27"/>
  <c r="L4" i="27"/>
  <c r="L20" i="27"/>
  <c r="K18" i="27"/>
  <c r="L5" i="27"/>
  <c r="M3" i="27"/>
  <c r="I54" i="27"/>
  <c r="I55" i="27" s="1"/>
  <c r="I115" i="27"/>
  <c r="I116" i="27" s="1"/>
  <c r="J7" i="27"/>
  <c r="I120" i="27"/>
  <c r="J63" i="27"/>
  <c r="I64" i="27" s="1"/>
  <c r="I15" i="27"/>
  <c r="H66" i="27"/>
  <c r="H57" i="27"/>
  <c r="K19" i="27"/>
  <c r="K23" i="27"/>
  <c r="L107" i="27"/>
  <c r="L46" i="27"/>
  <c r="K50" i="27"/>
  <c r="J24" i="27"/>
  <c r="K6" i="27"/>
  <c r="K45" i="27"/>
  <c r="J50" i="27"/>
  <c r="J52" i="27" s="1"/>
  <c r="H16" i="27"/>
  <c r="K107" i="27"/>
  <c r="I41" i="27"/>
  <c r="I42" i="27" s="1"/>
  <c r="I102" i="27"/>
  <c r="I103" i="27" s="1"/>
  <c r="I9" i="27"/>
  <c r="J109" i="27"/>
  <c r="J48" i="27"/>
  <c r="I56" i="27"/>
  <c r="I117" i="27"/>
  <c r="J124" i="27"/>
  <c r="I125" i="27" s="1"/>
  <c r="J8" i="27"/>
  <c r="J45" i="27"/>
  <c r="L47" i="27"/>
  <c r="K108" i="27"/>
  <c r="I27" i="22"/>
  <c r="I40" i="22"/>
  <c r="J30" i="22" s="1"/>
  <c r="J37" i="22"/>
  <c r="I36" i="22"/>
  <c r="H52" i="20"/>
  <c r="H53" i="20"/>
  <c r="H56" i="20" s="1"/>
  <c r="F50" i="19"/>
  <c r="F49" i="19" s="1"/>
  <c r="E54" i="19"/>
  <c r="E64" i="19"/>
  <c r="E66" i="19" s="1"/>
  <c r="D66" i="19"/>
  <c r="D54" i="19"/>
  <c r="D64" i="19"/>
  <c r="I39" i="19"/>
  <c r="H41" i="19"/>
  <c r="G52" i="19" s="1"/>
  <c r="H33" i="19"/>
  <c r="E53" i="19"/>
  <c r="J117" i="27" l="1"/>
  <c r="J56" i="27"/>
  <c r="K8" i="27"/>
  <c r="J102" i="27"/>
  <c r="J103" i="27" s="1"/>
  <c r="J41" i="27"/>
  <c r="J42" i="27" s="1"/>
  <c r="J9" i="27"/>
  <c r="L19" i="27"/>
  <c r="L23" i="27"/>
  <c r="I126" i="27"/>
  <c r="I105" i="27"/>
  <c r="I110" i="27" s="1"/>
  <c r="H128" i="27"/>
  <c r="J115" i="27"/>
  <c r="J116" i="27" s="1"/>
  <c r="J54" i="27"/>
  <c r="J55" i="27" s="1"/>
  <c r="I65" i="27"/>
  <c r="I44" i="27"/>
  <c r="I49" i="27" s="1"/>
  <c r="I53" i="27" s="1"/>
  <c r="J25" i="27"/>
  <c r="K106" i="27"/>
  <c r="I70" i="27"/>
  <c r="K24" i="27"/>
  <c r="L6" i="27"/>
  <c r="K25" i="27"/>
  <c r="I11" i="27"/>
  <c r="I10" i="27"/>
  <c r="I111" i="27"/>
  <c r="I113" i="27" s="1"/>
  <c r="I114" i="27" s="1"/>
  <c r="M20" i="27"/>
  <c r="M5" i="27"/>
  <c r="L18" i="27"/>
  <c r="L111" i="27" s="1"/>
  <c r="N3" i="27"/>
  <c r="M18" i="27" s="1"/>
  <c r="M21" i="27"/>
  <c r="M4" i="27"/>
  <c r="K109" i="27"/>
  <c r="K48" i="27"/>
  <c r="M108" i="27"/>
  <c r="M47" i="27"/>
  <c r="L108" i="27"/>
  <c r="I131" i="27"/>
  <c r="K104" i="27"/>
  <c r="K112" i="27" s="1"/>
  <c r="K43" i="27"/>
  <c r="K51" i="27" s="1"/>
  <c r="K52" i="27" s="1"/>
  <c r="K7" i="27"/>
  <c r="M107" i="27"/>
  <c r="M46" i="27"/>
  <c r="H121" i="27"/>
  <c r="I38" i="22"/>
  <c r="J36" i="22"/>
  <c r="J38" i="22"/>
  <c r="J27" i="22"/>
  <c r="G50" i="19"/>
  <c r="G49" i="19" s="1"/>
  <c r="I41" i="19"/>
  <c r="H52" i="19" s="1"/>
  <c r="J39" i="19"/>
  <c r="I33" i="19"/>
  <c r="F64" i="19"/>
  <c r="F66" i="19" s="1"/>
  <c r="F54" i="19"/>
  <c r="F65" i="19"/>
  <c r="F53" i="19"/>
  <c r="I118" i="27" l="1"/>
  <c r="I127" i="27"/>
  <c r="L43" i="27"/>
  <c r="L51" i="27" s="1"/>
  <c r="L104" i="27"/>
  <c r="L112" i="27" s="1"/>
  <c r="L113" i="27" s="1"/>
  <c r="J15" i="27"/>
  <c r="K63" i="27"/>
  <c r="J64" i="27" s="1"/>
  <c r="J70" i="27" s="1"/>
  <c r="K124" i="27"/>
  <c r="J125" i="27" s="1"/>
  <c r="J131" i="27" s="1"/>
  <c r="L124" i="27"/>
  <c r="K117" i="27"/>
  <c r="L8" i="27"/>
  <c r="K56" i="27"/>
  <c r="L45" i="27"/>
  <c r="I66" i="27"/>
  <c r="I57" i="27"/>
  <c r="I129" i="27"/>
  <c r="I130" i="27"/>
  <c r="J65" i="27"/>
  <c r="J44" i="27"/>
  <c r="J49" i="27" s="1"/>
  <c r="J53" i="27" s="1"/>
  <c r="K102" i="27"/>
  <c r="K103" i="27" s="1"/>
  <c r="K41" i="27"/>
  <c r="K42" i="27" s="1"/>
  <c r="K9" i="27"/>
  <c r="M111" i="27"/>
  <c r="M50" i="27"/>
  <c r="L24" i="27"/>
  <c r="L25" i="27" s="1"/>
  <c r="M6" i="27"/>
  <c r="L63" i="27"/>
  <c r="K64" i="27" s="1"/>
  <c r="K15" i="27"/>
  <c r="K115" i="27"/>
  <c r="K116" i="27" s="1"/>
  <c r="K54" i="27"/>
  <c r="K55" i="27" s="1"/>
  <c r="M23" i="27"/>
  <c r="M25" i="27" s="1"/>
  <c r="M19" i="27"/>
  <c r="M106" i="27" s="1"/>
  <c r="J10" i="27"/>
  <c r="J11" i="27" s="1"/>
  <c r="L7" i="27"/>
  <c r="M24" i="27"/>
  <c r="I13" i="27"/>
  <c r="I16" i="27" s="1"/>
  <c r="L50" i="27"/>
  <c r="L106" i="27"/>
  <c r="I68" i="27"/>
  <c r="I69" i="27"/>
  <c r="I67" i="27"/>
  <c r="L109" i="27"/>
  <c r="L48" i="27"/>
  <c r="I128" i="27"/>
  <c r="J126" i="27"/>
  <c r="J105" i="27"/>
  <c r="J110" i="27" s="1"/>
  <c r="H50" i="19"/>
  <c r="H49" i="19" s="1"/>
  <c r="G54" i="19"/>
  <c r="G64" i="19"/>
  <c r="G53" i="19"/>
  <c r="J41" i="19"/>
  <c r="I52" i="19" s="1"/>
  <c r="J33" i="19"/>
  <c r="G65" i="19"/>
  <c r="J13" i="27" l="1"/>
  <c r="J120" i="27" s="1"/>
  <c r="M15" i="27"/>
  <c r="M63" i="27"/>
  <c r="L15" i="27"/>
  <c r="K111" i="27"/>
  <c r="K113" i="27" s="1"/>
  <c r="J111" i="27"/>
  <c r="J113" i="27" s="1"/>
  <c r="J114" i="27" s="1"/>
  <c r="M52" i="27"/>
  <c r="J66" i="27"/>
  <c r="J57" i="27"/>
  <c r="L115" i="27"/>
  <c r="L116" i="27" s="1"/>
  <c r="L54" i="27"/>
  <c r="L55" i="27" s="1"/>
  <c r="J130" i="27"/>
  <c r="J129" i="27"/>
  <c r="L52" i="27"/>
  <c r="K10" i="27"/>
  <c r="K11" i="27" s="1"/>
  <c r="J68" i="27"/>
  <c r="J67" i="27"/>
  <c r="J69" i="27"/>
  <c r="J16" i="27"/>
  <c r="M45" i="27"/>
  <c r="K126" i="27"/>
  <c r="K105" i="27"/>
  <c r="K110" i="27" s="1"/>
  <c r="J128" i="27"/>
  <c r="M56" i="27"/>
  <c r="M117" i="27"/>
  <c r="M104" i="27"/>
  <c r="M112" i="27" s="1"/>
  <c r="M43" i="27"/>
  <c r="M51" i="27" s="1"/>
  <c r="M113" i="27"/>
  <c r="I12" i="27"/>
  <c r="L102" i="27"/>
  <c r="L103" i="27" s="1"/>
  <c r="L9" i="27"/>
  <c r="L41" i="27"/>
  <c r="L42" i="27" s="1"/>
  <c r="M109" i="27"/>
  <c r="M48" i="27"/>
  <c r="M124" i="27"/>
  <c r="L117" i="27"/>
  <c r="L56" i="27"/>
  <c r="M8" i="27"/>
  <c r="K65" i="27"/>
  <c r="K44" i="27"/>
  <c r="K49" i="27" s="1"/>
  <c r="K53" i="27" s="1"/>
  <c r="K125" i="27"/>
  <c r="M7" i="27"/>
  <c r="I50" i="19"/>
  <c r="I49" i="19" s="1"/>
  <c r="H54" i="19"/>
  <c r="H64" i="19"/>
  <c r="H53" i="19"/>
  <c r="G66" i="19"/>
  <c r="H65" i="19"/>
  <c r="K13" i="27" l="1"/>
  <c r="K69" i="27"/>
  <c r="K67" i="27"/>
  <c r="K68" i="27"/>
  <c r="L65" i="27"/>
  <c r="L44" i="27"/>
  <c r="L49" i="27" s="1"/>
  <c r="L53" i="27" s="1"/>
  <c r="K70" i="27"/>
  <c r="M102" i="27"/>
  <c r="M103" i="27" s="1"/>
  <c r="M41" i="27"/>
  <c r="M42" i="27" s="1"/>
  <c r="M9" i="27"/>
  <c r="M54" i="27"/>
  <c r="M55" i="27" s="1"/>
  <c r="M115" i="27"/>
  <c r="M116" i="27" s="1"/>
  <c r="L10" i="27"/>
  <c r="L11" i="27" s="1"/>
  <c r="J118" i="27"/>
  <c r="J127" i="27"/>
  <c r="M64" i="27"/>
  <c r="L64" i="27"/>
  <c r="J12" i="27"/>
  <c r="K57" i="27"/>
  <c r="K66" i="27"/>
  <c r="I58" i="27"/>
  <c r="I119" i="27"/>
  <c r="I121" i="27" s="1"/>
  <c r="K130" i="27"/>
  <c r="K129" i="27"/>
  <c r="M125" i="27"/>
  <c r="L125" i="27"/>
  <c r="K131" i="27"/>
  <c r="L126" i="27"/>
  <c r="L105" i="27"/>
  <c r="L110" i="27" s="1"/>
  <c r="L114" i="27" s="1"/>
  <c r="K128" i="27"/>
  <c r="K114" i="27"/>
  <c r="I64" i="19"/>
  <c r="I54" i="19"/>
  <c r="I53" i="19"/>
  <c r="H66" i="19"/>
  <c r="I65" i="19"/>
  <c r="L13" i="27" l="1"/>
  <c r="L129" i="27"/>
  <c r="L130" i="27"/>
  <c r="M44" i="27"/>
  <c r="M49" i="27" s="1"/>
  <c r="M53" i="27" s="1"/>
  <c r="M65" i="27"/>
  <c r="M126" i="27"/>
  <c r="M105" i="27"/>
  <c r="M110" i="27" s="1"/>
  <c r="M114" i="27" s="1"/>
  <c r="L128" i="27"/>
  <c r="J119" i="27"/>
  <c r="J121" i="27" s="1"/>
  <c r="J58" i="27"/>
  <c r="K120" i="27"/>
  <c r="K16" i="27"/>
  <c r="M70" i="27"/>
  <c r="L66" i="27"/>
  <c r="L57" i="27"/>
  <c r="K127" i="27"/>
  <c r="K118" i="27"/>
  <c r="L69" i="27"/>
  <c r="L67" i="27"/>
  <c r="L68" i="27"/>
  <c r="L131" i="27"/>
  <c r="L127" i="27"/>
  <c r="L118" i="27"/>
  <c r="L70" i="27"/>
  <c r="M10" i="27"/>
  <c r="M11" i="27" s="1"/>
  <c r="K12" i="27"/>
  <c r="I66" i="19"/>
  <c r="M13" i="27" l="1"/>
  <c r="M12" i="27" s="1"/>
  <c r="K121" i="27"/>
  <c r="M130" i="27"/>
  <c r="M129" i="27"/>
  <c r="K119" i="27"/>
  <c r="K58" i="27"/>
  <c r="K59" i="27" s="1"/>
  <c r="M68" i="27"/>
  <c r="M67" i="27"/>
  <c r="M69" i="27"/>
  <c r="L120" i="27"/>
  <c r="L16" i="27"/>
  <c r="M131" i="27"/>
  <c r="M118" i="27"/>
  <c r="M127" i="27"/>
  <c r="M66" i="27"/>
  <c r="M57" i="27"/>
  <c r="L12" i="27"/>
  <c r="M58" i="27" l="1"/>
  <c r="M119" i="27"/>
  <c r="M121" i="27"/>
  <c r="L119" i="27"/>
  <c r="L121" i="27" s="1"/>
  <c r="L58" i="27"/>
  <c r="L59" i="27" s="1"/>
  <c r="M120" i="27"/>
  <c r="M16" i="27"/>
  <c r="D82" i="14" l="1"/>
  <c r="I80" i="14"/>
  <c r="H80" i="14"/>
  <c r="G80" i="14"/>
  <c r="J76" i="14"/>
  <c r="I76" i="14"/>
  <c r="H76" i="14"/>
  <c r="G76" i="14"/>
  <c r="F76" i="14"/>
  <c r="E76" i="14"/>
  <c r="D76" i="14"/>
  <c r="H72" i="14"/>
  <c r="G72" i="14"/>
  <c r="D58" i="14"/>
  <c r="D57" i="14"/>
  <c r="D59" i="14" s="1"/>
  <c r="D43" i="14"/>
  <c r="D42" i="14"/>
  <c r="D41" i="14"/>
  <c r="E41" i="14" s="1"/>
  <c r="K39" i="14"/>
  <c r="J39" i="14"/>
  <c r="I39" i="14"/>
  <c r="I72" i="14" s="1"/>
  <c r="H39" i="14"/>
  <c r="G39" i="14"/>
  <c r="K33" i="14"/>
  <c r="J33" i="14"/>
  <c r="I33" i="14"/>
  <c r="H33" i="14"/>
  <c r="G33" i="14"/>
  <c r="F33" i="14"/>
  <c r="E33" i="14"/>
  <c r="D33" i="14"/>
  <c r="K26" i="14"/>
  <c r="J27" i="14" s="1"/>
  <c r="I26" i="14"/>
  <c r="I81" i="13"/>
  <c r="J77" i="13"/>
  <c r="I77" i="13"/>
  <c r="H77" i="13"/>
  <c r="G77" i="13"/>
  <c r="F77" i="13"/>
  <c r="E77" i="13"/>
  <c r="D77" i="13"/>
  <c r="D41" i="13"/>
  <c r="D42" i="13" s="1"/>
  <c r="K39" i="13"/>
  <c r="J39" i="13"/>
  <c r="J73" i="13" s="1"/>
  <c r="I39" i="13"/>
  <c r="I73" i="13" s="1"/>
  <c r="D33" i="13"/>
  <c r="J27" i="13"/>
  <c r="K26" i="13"/>
  <c r="J26" i="13"/>
  <c r="I27" i="13" s="1"/>
  <c r="I26" i="13"/>
  <c r="E24" i="13"/>
  <c r="D81" i="12"/>
  <c r="C81" i="12"/>
  <c r="I79" i="12"/>
  <c r="C78" i="12"/>
  <c r="J74" i="12"/>
  <c r="C74" i="12"/>
  <c r="C73" i="12"/>
  <c r="I69" i="12"/>
  <c r="H69" i="12"/>
  <c r="G69" i="12"/>
  <c r="F69" i="12"/>
  <c r="E69" i="12"/>
  <c r="D69" i="12"/>
  <c r="C69" i="12"/>
  <c r="C67" i="12"/>
  <c r="C66" i="12"/>
  <c r="J61" i="12"/>
  <c r="C61" i="12"/>
  <c r="J57" i="12"/>
  <c r="J58" i="12" s="1"/>
  <c r="D55" i="12"/>
  <c r="E48" i="12" s="1"/>
  <c r="D54" i="12"/>
  <c r="D56" i="12" s="1"/>
  <c r="D50" i="12"/>
  <c r="D49" i="12"/>
  <c r="D36" i="12"/>
  <c r="D57" i="12" s="1"/>
  <c r="D35" i="12"/>
  <c r="D37" i="12" s="1"/>
  <c r="I34" i="12"/>
  <c r="H34" i="12"/>
  <c r="G34" i="12"/>
  <c r="F34" i="12"/>
  <c r="E34" i="12"/>
  <c r="D34" i="12"/>
  <c r="J32" i="12"/>
  <c r="I32" i="12"/>
  <c r="I74" i="12" s="1"/>
  <c r="I30" i="12"/>
  <c r="J30" i="12" s="1"/>
  <c r="I85" i="11"/>
  <c r="I81" i="11"/>
  <c r="J77" i="11"/>
  <c r="I77" i="11"/>
  <c r="H77" i="11"/>
  <c r="G77" i="11"/>
  <c r="F77" i="11"/>
  <c r="E77" i="11"/>
  <c r="D77" i="11"/>
  <c r="C66" i="11"/>
  <c r="C65" i="11"/>
  <c r="D53" i="11"/>
  <c r="D68" i="11" s="1"/>
  <c r="D48" i="11"/>
  <c r="H47" i="11"/>
  <c r="G47" i="11"/>
  <c r="F47" i="11"/>
  <c r="E47" i="11"/>
  <c r="D47" i="11"/>
  <c r="D44" i="11"/>
  <c r="D43" i="11"/>
  <c r="D87" i="11" s="1"/>
  <c r="D42" i="11"/>
  <c r="K38" i="11"/>
  <c r="K26" i="11" s="1"/>
  <c r="J27" i="11" s="1"/>
  <c r="J38" i="11"/>
  <c r="I38" i="11"/>
  <c r="I33" i="11"/>
  <c r="E33" i="11"/>
  <c r="D33" i="11"/>
  <c r="K27" i="11"/>
  <c r="I26" i="11"/>
  <c r="E24" i="11"/>
  <c r="F24" i="11" s="1"/>
  <c r="E57" i="14" l="1"/>
  <c r="E42" i="14"/>
  <c r="E43" i="14"/>
  <c r="J72" i="14"/>
  <c r="J26" i="14"/>
  <c r="I27" i="14" s="1"/>
  <c r="D71" i="14"/>
  <c r="D46" i="14"/>
  <c r="D60" i="14" s="1"/>
  <c r="D45" i="14"/>
  <c r="D47" i="14" s="1"/>
  <c r="E33" i="13"/>
  <c r="F24" i="13"/>
  <c r="D46" i="13"/>
  <c r="D61" i="13" s="1"/>
  <c r="D83" i="13"/>
  <c r="D43" i="13"/>
  <c r="D58" i="13"/>
  <c r="K30" i="12"/>
  <c r="J25" i="12" s="1"/>
  <c r="I25" i="12"/>
  <c r="E54" i="12"/>
  <c r="E49" i="12"/>
  <c r="E50" i="12"/>
  <c r="D38" i="12"/>
  <c r="D52" i="12" s="1"/>
  <c r="D58" i="12" s="1"/>
  <c r="D73" i="12"/>
  <c r="D66" i="12"/>
  <c r="J81" i="11"/>
  <c r="J26" i="11"/>
  <c r="I27" i="11" s="1"/>
  <c r="G24" i="11"/>
  <c r="F33" i="11"/>
  <c r="D65" i="11"/>
  <c r="D50" i="11"/>
  <c r="D52" i="11"/>
  <c r="D54" i="11" s="1"/>
  <c r="E46" i="14" l="1"/>
  <c r="E60" i="14" s="1"/>
  <c r="E82" i="14"/>
  <c r="D62" i="14"/>
  <c r="D48" i="14"/>
  <c r="D55" i="14" s="1"/>
  <c r="D61" i="14" s="1"/>
  <c r="D53" i="14"/>
  <c r="E58" i="14"/>
  <c r="E45" i="14"/>
  <c r="E47" i="14" s="1"/>
  <c r="F33" i="13"/>
  <c r="G24" i="13"/>
  <c r="D59" i="13"/>
  <c r="E41" i="13" s="1"/>
  <c r="D45" i="13"/>
  <c r="D67" i="12"/>
  <c r="E55" i="12"/>
  <c r="F48" i="12" s="1"/>
  <c r="E35" i="12"/>
  <c r="D43" i="12"/>
  <c r="D68" i="12"/>
  <c r="D39" i="12"/>
  <c r="E36" i="12"/>
  <c r="E57" i="12" s="1"/>
  <c r="D59" i="12"/>
  <c r="D60" i="12" s="1"/>
  <c r="E81" i="12"/>
  <c r="G33" i="11"/>
  <c r="H24" i="11"/>
  <c r="H33" i="11" s="1"/>
  <c r="D66" i="11"/>
  <c r="D49" i="11"/>
  <c r="E48" i="11" s="1"/>
  <c r="E42" i="11"/>
  <c r="D67" i="11"/>
  <c r="D55" i="11"/>
  <c r="D63" i="11" s="1"/>
  <c r="D69" i="11" s="1"/>
  <c r="D56" i="11"/>
  <c r="D75" i="14" l="1"/>
  <c r="D63" i="14"/>
  <c r="E48" i="14"/>
  <c r="E55" i="14" s="1"/>
  <c r="E49" i="14"/>
  <c r="F57" i="14"/>
  <c r="F41" i="14"/>
  <c r="D49" i="14"/>
  <c r="E61" i="14"/>
  <c r="E59" i="14"/>
  <c r="H24" i="13"/>
  <c r="H33" i="13" s="1"/>
  <c r="G33" i="13"/>
  <c r="D48" i="13"/>
  <c r="D56" i="13" s="1"/>
  <c r="D62" i="13" s="1"/>
  <c r="E42" i="13"/>
  <c r="E58" i="13"/>
  <c r="D60" i="13"/>
  <c r="D78" i="12"/>
  <c r="D41" i="12"/>
  <c r="D62" i="12" s="1"/>
  <c r="F54" i="12"/>
  <c r="E56" i="12"/>
  <c r="F49" i="12"/>
  <c r="E37" i="12"/>
  <c r="E52" i="11"/>
  <c r="E65" i="11"/>
  <c r="E50" i="11"/>
  <c r="D76" i="11"/>
  <c r="D80" i="11"/>
  <c r="E43" i="11"/>
  <c r="E44" i="11" s="1"/>
  <c r="D60" i="11" s="1"/>
  <c r="F42" i="11"/>
  <c r="F42" i="14" l="1"/>
  <c r="F43" i="14"/>
  <c r="D79" i="14"/>
  <c r="D51" i="14"/>
  <c r="E71" i="14"/>
  <c r="E75" i="14"/>
  <c r="F58" i="14"/>
  <c r="G57" i="14" s="1"/>
  <c r="F45" i="14"/>
  <c r="E59" i="13"/>
  <c r="F41" i="13" s="1"/>
  <c r="E45" i="13"/>
  <c r="E47" i="13" s="1"/>
  <c r="D72" i="13"/>
  <c r="D64" i="13"/>
  <c r="D76" i="13"/>
  <c r="D63" i="13"/>
  <c r="E46" i="13"/>
  <c r="E61" i="13" s="1"/>
  <c r="E83" i="13"/>
  <c r="E43" i="13"/>
  <c r="D49" i="13"/>
  <c r="F81" i="12"/>
  <c r="F36" i="12"/>
  <c r="F57" i="12" s="1"/>
  <c r="E59" i="12"/>
  <c r="E60" i="12" s="1"/>
  <c r="D44" i="12"/>
  <c r="E73" i="12"/>
  <c r="E66" i="12"/>
  <c r="E68" i="12" s="1"/>
  <c r="D40" i="12"/>
  <c r="D61" i="12" s="1"/>
  <c r="D63" i="12" s="1"/>
  <c r="E38" i="12"/>
  <c r="E52" i="12" s="1"/>
  <c r="E58" i="12" s="1"/>
  <c r="E67" i="12" s="1"/>
  <c r="E39" i="12"/>
  <c r="F50" i="12"/>
  <c r="F55" i="12"/>
  <c r="G48" i="12" s="1"/>
  <c r="F35" i="12"/>
  <c r="F37" i="12" s="1"/>
  <c r="G54" i="12"/>
  <c r="F56" i="12"/>
  <c r="D58" i="11"/>
  <c r="D57" i="11" s="1"/>
  <c r="E67" i="11"/>
  <c r="F43" i="11"/>
  <c r="E54" i="11"/>
  <c r="D70" i="11"/>
  <c r="D71" i="11" s="1"/>
  <c r="E53" i="11"/>
  <c r="E68" i="11" s="1"/>
  <c r="E87" i="11"/>
  <c r="E66" i="11"/>
  <c r="E49" i="11"/>
  <c r="F48" i="11" s="1"/>
  <c r="D65" i="14" l="1"/>
  <c r="D54" i="14"/>
  <c r="F47" i="14"/>
  <c r="E53" i="14"/>
  <c r="F59" i="14"/>
  <c r="G41" i="14"/>
  <c r="G58" i="14"/>
  <c r="H57" i="14" s="1"/>
  <c r="G59" i="14"/>
  <c r="G45" i="14"/>
  <c r="D50" i="14"/>
  <c r="D64" i="14" s="1"/>
  <c r="D66" i="14" s="1"/>
  <c r="E62" i="14"/>
  <c r="E63" i="14" s="1"/>
  <c r="F82" i="14"/>
  <c r="F46" i="14"/>
  <c r="F60" i="14" s="1"/>
  <c r="E48" i="13"/>
  <c r="E56" i="13" s="1"/>
  <c r="E62" i="13" s="1"/>
  <c r="D80" i="13"/>
  <c r="F58" i="13"/>
  <c r="F42" i="13"/>
  <c r="D51" i="13"/>
  <c r="D50" i="13" s="1"/>
  <c r="D66" i="13"/>
  <c r="D53" i="13"/>
  <c r="E60" i="13"/>
  <c r="E78" i="12"/>
  <c r="F66" i="12"/>
  <c r="F73" i="12"/>
  <c r="E43" i="12"/>
  <c r="G55" i="12"/>
  <c r="G56" i="12" s="1"/>
  <c r="G35" i="12"/>
  <c r="H54" i="12"/>
  <c r="E40" i="12"/>
  <c r="E61" i="12" s="1"/>
  <c r="E41" i="12"/>
  <c r="E62" i="12" s="1"/>
  <c r="F39" i="12"/>
  <c r="F38" i="12"/>
  <c r="F52" i="12" s="1"/>
  <c r="F58" i="12" s="1"/>
  <c r="H48" i="12"/>
  <c r="G49" i="12"/>
  <c r="G50" i="12" s="1"/>
  <c r="D84" i="11"/>
  <c r="D74" i="11"/>
  <c r="F53" i="11"/>
  <c r="F68" i="11" s="1"/>
  <c r="F87" i="11"/>
  <c r="E70" i="11"/>
  <c r="D72" i="11"/>
  <c r="D62" i="11"/>
  <c r="E55" i="11"/>
  <c r="E63" i="11" s="1"/>
  <c r="E69" i="11" s="1"/>
  <c r="D73" i="11"/>
  <c r="F52" i="11"/>
  <c r="F54" i="11" s="1"/>
  <c r="F50" i="11"/>
  <c r="F65" i="11"/>
  <c r="E80" i="11"/>
  <c r="F44" i="11"/>
  <c r="E60" i="11" s="1"/>
  <c r="D61" i="11"/>
  <c r="E51" i="14" l="1"/>
  <c r="G71" i="14"/>
  <c r="F48" i="14"/>
  <c r="F55" i="14" s="1"/>
  <c r="F61" i="14" s="1"/>
  <c r="E79" i="14"/>
  <c r="H59" i="14"/>
  <c r="H45" i="14"/>
  <c r="H58" i="14"/>
  <c r="I57" i="14" s="1"/>
  <c r="F71" i="14"/>
  <c r="H41" i="14"/>
  <c r="D55" i="13"/>
  <c r="D65" i="13"/>
  <c r="D67" i="13" s="1"/>
  <c r="F83" i="13"/>
  <c r="E63" i="13"/>
  <c r="F46" i="13"/>
  <c r="F61" i="13" s="1"/>
  <c r="E72" i="13"/>
  <c r="E64" i="13"/>
  <c r="E76" i="13"/>
  <c r="F43" i="13"/>
  <c r="D54" i="13"/>
  <c r="F59" i="13"/>
  <c r="F45" i="13"/>
  <c r="F47" i="13" s="1"/>
  <c r="E49" i="13"/>
  <c r="E63" i="12"/>
  <c r="F43" i="12"/>
  <c r="F67" i="12"/>
  <c r="G66" i="12"/>
  <c r="G73" i="12"/>
  <c r="F41" i="12"/>
  <c r="F62" i="12" s="1"/>
  <c r="E44" i="12"/>
  <c r="F68" i="12"/>
  <c r="H49" i="12"/>
  <c r="H55" i="12"/>
  <c r="I48" i="12" s="1"/>
  <c r="H35" i="12"/>
  <c r="G81" i="12"/>
  <c r="F59" i="12"/>
  <c r="F60" i="12" s="1"/>
  <c r="G36" i="12"/>
  <c r="G57" i="12" s="1"/>
  <c r="E71" i="11"/>
  <c r="E76" i="11"/>
  <c r="F55" i="11"/>
  <c r="F63" i="11" s="1"/>
  <c r="F69" i="11" s="1"/>
  <c r="F49" i="11"/>
  <c r="G48" i="11" s="1"/>
  <c r="F66" i="11"/>
  <c r="F67" i="11" s="1"/>
  <c r="G42" i="11"/>
  <c r="E56" i="11"/>
  <c r="F75" i="14" l="1"/>
  <c r="E50" i="14"/>
  <c r="E64" i="14" s="1"/>
  <c r="E66" i="14" s="1"/>
  <c r="E65" i="14"/>
  <c r="E54" i="14"/>
  <c r="I41" i="14"/>
  <c r="H71" i="14"/>
  <c r="F49" i="14"/>
  <c r="I58" i="14"/>
  <c r="J57" i="14" s="1"/>
  <c r="I59" i="14"/>
  <c r="I45" i="14"/>
  <c r="F48" i="13"/>
  <c r="F56" i="13" s="1"/>
  <c r="F62" i="13" s="1"/>
  <c r="F49" i="13"/>
  <c r="G58" i="13"/>
  <c r="G41" i="13"/>
  <c r="E80" i="13"/>
  <c r="F60" i="13"/>
  <c r="E53" i="13"/>
  <c r="F78" i="12"/>
  <c r="F63" i="12"/>
  <c r="G59" i="12"/>
  <c r="H36" i="12"/>
  <c r="H57" i="12" s="1"/>
  <c r="H81" i="12"/>
  <c r="F44" i="12"/>
  <c r="I54" i="12"/>
  <c r="H50" i="12"/>
  <c r="F40" i="12"/>
  <c r="F61" i="12" s="1"/>
  <c r="G37" i="12"/>
  <c r="H56" i="12"/>
  <c r="F80" i="11"/>
  <c r="F76" i="11"/>
  <c r="H42" i="11"/>
  <c r="G43" i="11"/>
  <c r="E57" i="11"/>
  <c r="E58" i="11"/>
  <c r="G65" i="11"/>
  <c r="G50" i="11"/>
  <c r="G52" i="11"/>
  <c r="F56" i="11"/>
  <c r="E84" i="11"/>
  <c r="J41" i="14" l="1"/>
  <c r="J59" i="14"/>
  <c r="J45" i="14"/>
  <c r="J58" i="14"/>
  <c r="H73" i="14"/>
  <c r="I71" i="14"/>
  <c r="I73" i="14" s="1"/>
  <c r="I42" i="14" s="1"/>
  <c r="I43" i="14" s="1"/>
  <c r="E54" i="13"/>
  <c r="H41" i="13"/>
  <c r="G42" i="13"/>
  <c r="E51" i="13"/>
  <c r="G59" i="13"/>
  <c r="H58" i="13" s="1"/>
  <c r="G45" i="13"/>
  <c r="G60" i="13"/>
  <c r="F76" i="13"/>
  <c r="F72" i="13"/>
  <c r="G38" i="12"/>
  <c r="G52" i="12" s="1"/>
  <c r="G58" i="12" s="1"/>
  <c r="H73" i="12"/>
  <c r="H66" i="12"/>
  <c r="G43" i="12"/>
  <c r="H37" i="12"/>
  <c r="I55" i="12"/>
  <c r="J48" i="12" s="1"/>
  <c r="I35" i="12"/>
  <c r="E62" i="11"/>
  <c r="E72" i="11"/>
  <c r="H43" i="11"/>
  <c r="G49" i="11"/>
  <c r="H48" i="11" s="1"/>
  <c r="G66" i="11"/>
  <c r="G67" i="11"/>
  <c r="G87" i="11"/>
  <c r="F70" i="11"/>
  <c r="F71" i="11" s="1"/>
  <c r="G53" i="11"/>
  <c r="G68" i="11" s="1"/>
  <c r="E73" i="11"/>
  <c r="E61" i="11"/>
  <c r="G44" i="11"/>
  <c r="F60" i="11" s="1"/>
  <c r="J71" i="14" l="1"/>
  <c r="J73" i="14" s="1"/>
  <c r="J42" i="14" s="1"/>
  <c r="H42" i="14"/>
  <c r="H62" i="14" s="1"/>
  <c r="G73" i="14"/>
  <c r="I46" i="14"/>
  <c r="I82" i="14"/>
  <c r="G72" i="13"/>
  <c r="H42" i="13"/>
  <c r="H59" i="13"/>
  <c r="I58" i="13" s="1"/>
  <c r="H45" i="13"/>
  <c r="G83" i="13"/>
  <c r="F63" i="13"/>
  <c r="F64" i="13" s="1"/>
  <c r="G46" i="13"/>
  <c r="G61" i="13" s="1"/>
  <c r="E66" i="13"/>
  <c r="E50" i="13"/>
  <c r="G43" i="13"/>
  <c r="J54" i="12"/>
  <c r="H38" i="12"/>
  <c r="H52" i="12" s="1"/>
  <c r="H58" i="12" s="1"/>
  <c r="G67" i="12"/>
  <c r="G68" i="12" s="1"/>
  <c r="G60" i="12"/>
  <c r="I56" i="12"/>
  <c r="G39" i="12"/>
  <c r="H65" i="11"/>
  <c r="H50" i="11"/>
  <c r="H52" i="11"/>
  <c r="G70" i="11"/>
  <c r="H87" i="11"/>
  <c r="H53" i="11"/>
  <c r="H68" i="11" s="1"/>
  <c r="G80" i="11"/>
  <c r="E74" i="11"/>
  <c r="H44" i="11"/>
  <c r="G60" i="11" s="1"/>
  <c r="F58" i="11"/>
  <c r="F57" i="11" s="1"/>
  <c r="F84" i="11"/>
  <c r="G54" i="11"/>
  <c r="I60" i="14" l="1"/>
  <c r="I47" i="14"/>
  <c r="G42" i="14"/>
  <c r="I62" i="14"/>
  <c r="J46" i="14"/>
  <c r="J43" i="14"/>
  <c r="G62" i="14"/>
  <c r="H46" i="14"/>
  <c r="H82" i="14"/>
  <c r="H43" i="14"/>
  <c r="G63" i="13"/>
  <c r="H46" i="13"/>
  <c r="H61" i="13" s="1"/>
  <c r="H83" i="13"/>
  <c r="F53" i="13"/>
  <c r="H47" i="13"/>
  <c r="G47" i="13"/>
  <c r="I59" i="13"/>
  <c r="J58" i="13" s="1"/>
  <c r="I45" i="13"/>
  <c r="I41" i="13"/>
  <c r="E65" i="13"/>
  <c r="E67" i="13" s="1"/>
  <c r="E55" i="13"/>
  <c r="F80" i="13"/>
  <c r="H60" i="13"/>
  <c r="H43" i="13"/>
  <c r="G78" i="12"/>
  <c r="J55" i="12"/>
  <c r="J56" i="12" s="1"/>
  <c r="G41" i="12"/>
  <c r="G40" i="12" s="1"/>
  <c r="G61" i="12" s="1"/>
  <c r="H67" i="12"/>
  <c r="H68" i="12" s="1"/>
  <c r="I73" i="12"/>
  <c r="I75" i="12" s="1"/>
  <c r="I66" i="12"/>
  <c r="H39" i="12"/>
  <c r="H66" i="11"/>
  <c r="H67" i="11" s="1"/>
  <c r="H49" i="11"/>
  <c r="I48" i="11" s="1"/>
  <c r="I42" i="11"/>
  <c r="F61" i="11"/>
  <c r="G55" i="11"/>
  <c r="G63" i="11" s="1"/>
  <c r="G69" i="11" s="1"/>
  <c r="G56" i="11"/>
  <c r="F62" i="11"/>
  <c r="F72" i="11"/>
  <c r="H54" i="11"/>
  <c r="F73" i="11"/>
  <c r="H53" i="14" l="1"/>
  <c r="G82" i="14"/>
  <c r="F62" i="14"/>
  <c r="F63" i="14" s="1"/>
  <c r="G46" i="14"/>
  <c r="G43" i="14"/>
  <c r="J60" i="14"/>
  <c r="J47" i="14"/>
  <c r="I48" i="14"/>
  <c r="I55" i="14" s="1"/>
  <c r="I61" i="14" s="1"/>
  <c r="I49" i="14"/>
  <c r="J53" i="14"/>
  <c r="I53" i="14"/>
  <c r="H60" i="14"/>
  <c r="H47" i="14"/>
  <c r="J59" i="13"/>
  <c r="J45" i="13"/>
  <c r="J60" i="13"/>
  <c r="I60" i="13"/>
  <c r="H72" i="13"/>
  <c r="H48" i="13"/>
  <c r="H56" i="13" s="1"/>
  <c r="H62" i="13" s="1"/>
  <c r="H49" i="13"/>
  <c r="J41" i="13"/>
  <c r="F51" i="13"/>
  <c r="G53" i="13"/>
  <c r="G48" i="13"/>
  <c r="G56" i="13" s="1"/>
  <c r="G62" i="13" s="1"/>
  <c r="J73" i="12"/>
  <c r="J75" i="12" s="1"/>
  <c r="J49" i="12" s="1"/>
  <c r="G62" i="12"/>
  <c r="G63" i="12" s="1"/>
  <c r="G44" i="12"/>
  <c r="I49" i="12"/>
  <c r="H80" i="11"/>
  <c r="H55" i="11"/>
  <c r="H63" i="11" s="1"/>
  <c r="H69" i="11" s="1"/>
  <c r="G58" i="11"/>
  <c r="G57" i="11" s="1"/>
  <c r="F74" i="11"/>
  <c r="G71" i="11"/>
  <c r="G76" i="11"/>
  <c r="I52" i="11"/>
  <c r="I65" i="11"/>
  <c r="I50" i="11"/>
  <c r="I75" i="14" l="1"/>
  <c r="I77" i="14" s="1"/>
  <c r="I63" i="14"/>
  <c r="I50" i="14"/>
  <c r="I64" i="14" s="1"/>
  <c r="I51" i="14"/>
  <c r="I65" i="14" s="1"/>
  <c r="I54" i="14"/>
  <c r="G60" i="14"/>
  <c r="G47" i="14"/>
  <c r="J48" i="14"/>
  <c r="J55" i="14" s="1"/>
  <c r="J61" i="14" s="1"/>
  <c r="J75" i="14" s="1"/>
  <c r="J77" i="14" s="1"/>
  <c r="J49" i="14"/>
  <c r="F79" i="14"/>
  <c r="F53" i="14"/>
  <c r="H48" i="14"/>
  <c r="H55" i="14" s="1"/>
  <c r="H61" i="14" s="1"/>
  <c r="G53" i="14"/>
  <c r="H76" i="13"/>
  <c r="G49" i="13"/>
  <c r="J72" i="13"/>
  <c r="J74" i="13" s="1"/>
  <c r="J42" i="13" s="1"/>
  <c r="J43" i="13" s="1"/>
  <c r="F50" i="13"/>
  <c r="F66" i="13"/>
  <c r="G76" i="13"/>
  <c r="G64" i="13"/>
  <c r="I72" i="13"/>
  <c r="I74" i="13" s="1"/>
  <c r="I42" i="13" s="1"/>
  <c r="F54" i="13"/>
  <c r="J59" i="12"/>
  <c r="J60" i="12" s="1"/>
  <c r="I59" i="12"/>
  <c r="J50" i="12"/>
  <c r="I36" i="12"/>
  <c r="I81" i="12"/>
  <c r="H59" i="12"/>
  <c r="H60" i="12" s="1"/>
  <c r="I50" i="12"/>
  <c r="G72" i="11"/>
  <c r="G62" i="11"/>
  <c r="I66" i="11"/>
  <c r="I67" i="11" s="1"/>
  <c r="I49" i="11"/>
  <c r="J48" i="11" s="1"/>
  <c r="G84" i="11"/>
  <c r="H76" i="11"/>
  <c r="G61" i="11"/>
  <c r="G73" i="11"/>
  <c r="G74" i="11" s="1"/>
  <c r="J42" i="11"/>
  <c r="H56" i="11"/>
  <c r="H75" i="14" l="1"/>
  <c r="H77" i="14" s="1"/>
  <c r="H63" i="14"/>
  <c r="J51" i="14"/>
  <c r="J54" i="14" s="1"/>
  <c r="J50" i="14"/>
  <c r="H49" i="14"/>
  <c r="I79" i="14"/>
  <c r="I81" i="14" s="1"/>
  <c r="I83" i="14" s="1"/>
  <c r="I66" i="14"/>
  <c r="F54" i="14"/>
  <c r="F51" i="14"/>
  <c r="G48" i="14"/>
  <c r="G55" i="14" s="1"/>
  <c r="G61" i="14" s="1"/>
  <c r="G49" i="14"/>
  <c r="J53" i="13"/>
  <c r="H63" i="13"/>
  <c r="H64" i="13" s="1"/>
  <c r="I46" i="13"/>
  <c r="I83" i="13"/>
  <c r="I43" i="13"/>
  <c r="F65" i="13"/>
  <c r="F67" i="13" s="1"/>
  <c r="F55" i="13"/>
  <c r="G51" i="13"/>
  <c r="G80" i="13"/>
  <c r="I63" i="13"/>
  <c r="J46" i="13"/>
  <c r="H43" i="12"/>
  <c r="I43" i="12"/>
  <c r="J62" i="12"/>
  <c r="J63" i="12" s="1"/>
  <c r="I57" i="12"/>
  <c r="I37" i="12"/>
  <c r="H78" i="12"/>
  <c r="I80" i="11"/>
  <c r="I82" i="11" s="1"/>
  <c r="J65" i="11"/>
  <c r="J52" i="11"/>
  <c r="J50" i="11"/>
  <c r="G75" i="14" l="1"/>
  <c r="G77" i="14" s="1"/>
  <c r="F77" i="14" s="1"/>
  <c r="G63" i="14"/>
  <c r="G51" i="14"/>
  <c r="G50" i="14" s="1"/>
  <c r="G64" i="14" s="1"/>
  <c r="H79" i="14"/>
  <c r="H81" i="14" s="1"/>
  <c r="H83" i="14" s="1"/>
  <c r="F50" i="14"/>
  <c r="F64" i="14" s="1"/>
  <c r="F65" i="14"/>
  <c r="H50" i="14"/>
  <c r="H64" i="14" s="1"/>
  <c r="H51" i="14"/>
  <c r="G66" i="13"/>
  <c r="G54" i="13"/>
  <c r="H53" i="13"/>
  <c r="I53" i="13"/>
  <c r="H80" i="13"/>
  <c r="G50" i="13"/>
  <c r="J61" i="13"/>
  <c r="J47" i="13"/>
  <c r="I61" i="13"/>
  <c r="I47" i="13"/>
  <c r="I38" i="12"/>
  <c r="I52" i="12" s="1"/>
  <c r="I39" i="12"/>
  <c r="I58" i="12"/>
  <c r="I67" i="12" s="1"/>
  <c r="I68" i="12" s="1"/>
  <c r="I70" i="12" s="1"/>
  <c r="H70" i="12" s="1"/>
  <c r="H41" i="12"/>
  <c r="H44" i="12" s="1"/>
  <c r="J49" i="11"/>
  <c r="J66" i="11"/>
  <c r="J67" i="11"/>
  <c r="I43" i="11"/>
  <c r="F66" i="14" l="1"/>
  <c r="H65" i="14"/>
  <c r="H66" i="14" s="1"/>
  <c r="H54" i="14"/>
  <c r="G79" i="14"/>
  <c r="G81" i="14" s="1"/>
  <c r="G65" i="14"/>
  <c r="G66" i="14" s="1"/>
  <c r="G54" i="14"/>
  <c r="F34" i="14"/>
  <c r="E77" i="14"/>
  <c r="J48" i="13"/>
  <c r="J56" i="13" s="1"/>
  <c r="J49" i="13"/>
  <c r="H51" i="13"/>
  <c r="H54" i="13" s="1"/>
  <c r="J62" i="13"/>
  <c r="J76" i="13" s="1"/>
  <c r="J78" i="13" s="1"/>
  <c r="I48" i="13"/>
  <c r="I56" i="13" s="1"/>
  <c r="I49" i="13"/>
  <c r="G65" i="13"/>
  <c r="G67" i="13" s="1"/>
  <c r="G55" i="13"/>
  <c r="I62" i="13"/>
  <c r="I76" i="13" s="1"/>
  <c r="I78" i="13" s="1"/>
  <c r="H78" i="13" s="1"/>
  <c r="I64" i="13"/>
  <c r="I41" i="12"/>
  <c r="H40" i="12"/>
  <c r="H61" i="12" s="1"/>
  <c r="H62" i="12"/>
  <c r="I60" i="12"/>
  <c r="H46" i="12"/>
  <c r="G70" i="12"/>
  <c r="J80" i="11"/>
  <c r="J82" i="11" s="1"/>
  <c r="J43" i="11" s="1"/>
  <c r="H70" i="11"/>
  <c r="H71" i="11" s="1"/>
  <c r="I53" i="11"/>
  <c r="I87" i="11"/>
  <c r="I44" i="11"/>
  <c r="H60" i="11" s="1"/>
  <c r="E34" i="14" l="1"/>
  <c r="D77" i="14"/>
  <c r="G83" i="14"/>
  <c r="F81" i="14"/>
  <c r="F80" i="14"/>
  <c r="F39" i="14"/>
  <c r="F72" i="14" s="1"/>
  <c r="F73" i="14" s="1"/>
  <c r="I80" i="13"/>
  <c r="I82" i="13" s="1"/>
  <c r="I51" i="13"/>
  <c r="I50" i="13"/>
  <c r="H34" i="13"/>
  <c r="G78" i="13"/>
  <c r="H50" i="13"/>
  <c r="H66" i="13"/>
  <c r="J51" i="13"/>
  <c r="J54" i="13" s="1"/>
  <c r="J50" i="13"/>
  <c r="J55" i="13" s="1"/>
  <c r="H63" i="12"/>
  <c r="H79" i="12"/>
  <c r="H32" i="12"/>
  <c r="H74" i="12" s="1"/>
  <c r="H75" i="12" s="1"/>
  <c r="I62" i="12"/>
  <c r="I63" i="12" s="1"/>
  <c r="I44" i="12"/>
  <c r="G46" i="12"/>
  <c r="F70" i="12"/>
  <c r="I78" i="12"/>
  <c r="I80" i="12" s="1"/>
  <c r="I40" i="12"/>
  <c r="I61" i="12" s="1"/>
  <c r="I68" i="11"/>
  <c r="I54" i="11"/>
  <c r="H84" i="11"/>
  <c r="H58" i="11"/>
  <c r="H57" i="11" s="1"/>
  <c r="J53" i="11"/>
  <c r="I70" i="11"/>
  <c r="J44" i="11"/>
  <c r="I60" i="11" s="1"/>
  <c r="D34" i="14" l="1"/>
  <c r="F83" i="14"/>
  <c r="E39" i="14"/>
  <c r="E72" i="14" s="1"/>
  <c r="E73" i="14" s="1"/>
  <c r="E80" i="14"/>
  <c r="E81" i="14" s="1"/>
  <c r="I55" i="13"/>
  <c r="I65" i="13"/>
  <c r="I67" i="13" s="1"/>
  <c r="H55" i="13"/>
  <c r="H65" i="13"/>
  <c r="H67" i="13" s="1"/>
  <c r="I66" i="13"/>
  <c r="I54" i="13"/>
  <c r="F78" i="13"/>
  <c r="G34" i="13"/>
  <c r="H39" i="13"/>
  <c r="H73" i="13" s="1"/>
  <c r="H74" i="13" s="1"/>
  <c r="H81" i="13"/>
  <c r="H82" i="13" s="1"/>
  <c r="I84" i="13"/>
  <c r="I82" i="12"/>
  <c r="H80" i="12"/>
  <c r="F46" i="12"/>
  <c r="E70" i="12"/>
  <c r="G79" i="12"/>
  <c r="G32" i="12"/>
  <c r="G74" i="12" s="1"/>
  <c r="G75" i="12" s="1"/>
  <c r="H72" i="11"/>
  <c r="H62" i="11"/>
  <c r="J68" i="11"/>
  <c r="J54" i="11"/>
  <c r="H73" i="11"/>
  <c r="I56" i="11"/>
  <c r="I55" i="11"/>
  <c r="I63" i="11" s="1"/>
  <c r="I69" i="11" s="1"/>
  <c r="H61" i="11"/>
  <c r="E83" i="14" l="1"/>
  <c r="D39" i="14"/>
  <c r="D72" i="14" s="1"/>
  <c r="D73" i="14" s="1"/>
  <c r="B74" i="14" s="1"/>
  <c r="D80" i="14"/>
  <c r="D81" i="14" s="1"/>
  <c r="D83" i="14" s="1"/>
  <c r="B78" i="14" s="1"/>
  <c r="H84" i="13"/>
  <c r="G82" i="13"/>
  <c r="G81" i="13"/>
  <c r="G39" i="13"/>
  <c r="G73" i="13" s="1"/>
  <c r="G74" i="13" s="1"/>
  <c r="F34" i="13"/>
  <c r="E78" i="13"/>
  <c r="H82" i="12"/>
  <c r="G80" i="12"/>
  <c r="F79" i="12"/>
  <c r="F32" i="12"/>
  <c r="F74" i="12" s="1"/>
  <c r="F75" i="12" s="1"/>
  <c r="E46" i="12"/>
  <c r="D70" i="12"/>
  <c r="D46" i="12" s="1"/>
  <c r="I76" i="11"/>
  <c r="I78" i="11" s="1"/>
  <c r="H78" i="11" s="1"/>
  <c r="I71" i="11"/>
  <c r="I58" i="11"/>
  <c r="I61" i="11" s="1"/>
  <c r="J56" i="11"/>
  <c r="J55" i="11"/>
  <c r="J63" i="11" s="1"/>
  <c r="J69" i="11" s="1"/>
  <c r="J76" i="11" s="1"/>
  <c r="J78" i="11" s="1"/>
  <c r="H74" i="11"/>
  <c r="E34" i="13" l="1"/>
  <c r="D78" i="13"/>
  <c r="G84" i="13"/>
  <c r="F81" i="13"/>
  <c r="F82" i="13" s="1"/>
  <c r="F39" i="13"/>
  <c r="F73" i="13" s="1"/>
  <c r="F74" i="13" s="1"/>
  <c r="G82" i="12"/>
  <c r="F80" i="12"/>
  <c r="D79" i="12"/>
  <c r="D32" i="12"/>
  <c r="D74" i="12" s="1"/>
  <c r="E79" i="12"/>
  <c r="E32" i="12"/>
  <c r="E74" i="12" s="1"/>
  <c r="E75" i="12" s="1"/>
  <c r="D75" i="12" s="1"/>
  <c r="I57" i="11"/>
  <c r="I84" i="11"/>
  <c r="I86" i="11" s="1"/>
  <c r="H34" i="11"/>
  <c r="G78" i="11"/>
  <c r="F84" i="13" l="1"/>
  <c r="D34" i="13"/>
  <c r="E81" i="13"/>
  <c r="E82" i="13" s="1"/>
  <c r="E39" i="13"/>
  <c r="E73" i="13" s="1"/>
  <c r="E74" i="13" s="1"/>
  <c r="F82" i="12"/>
  <c r="E80" i="12"/>
  <c r="H38" i="11"/>
  <c r="H81" i="11" s="1"/>
  <c r="H82" i="11" s="1"/>
  <c r="H85" i="11"/>
  <c r="H86" i="11" s="1"/>
  <c r="I88" i="11"/>
  <c r="F78" i="11"/>
  <c r="G34" i="11"/>
  <c r="I62" i="11"/>
  <c r="I72" i="11"/>
  <c r="I74" i="11" s="1"/>
  <c r="E84" i="13" l="1"/>
  <c r="D82" i="13"/>
  <c r="D84" i="13" s="1"/>
  <c r="B79" i="13" s="1"/>
  <c r="D39" i="13"/>
  <c r="D73" i="13" s="1"/>
  <c r="D74" i="13" s="1"/>
  <c r="B75" i="13" s="1"/>
  <c r="D81" i="13"/>
  <c r="E82" i="12"/>
  <c r="D80" i="12"/>
  <c r="D82" i="12" s="1"/>
  <c r="H88" i="11"/>
  <c r="G85" i="11"/>
  <c r="G86" i="11" s="1"/>
  <c r="G38" i="11"/>
  <c r="G81" i="11" s="1"/>
  <c r="G82" i="11" s="1"/>
  <c r="F34" i="11"/>
  <c r="E78" i="11"/>
  <c r="G88" i="11" l="1"/>
  <c r="D78" i="11"/>
  <c r="D34" i="11" s="1"/>
  <c r="E34" i="11"/>
  <c r="F85" i="11"/>
  <c r="F86" i="11" s="1"/>
  <c r="F38" i="11"/>
  <c r="F81" i="11" s="1"/>
  <c r="F82" i="11" s="1"/>
  <c r="F88" i="11" l="1"/>
  <c r="D38" i="11"/>
  <c r="D81" i="11" s="1"/>
  <c r="D85" i="11"/>
  <c r="E38" i="11"/>
  <c r="E81" i="11" s="1"/>
  <c r="E82" i="11" s="1"/>
  <c r="D82" i="11" s="1"/>
  <c r="E85" i="11"/>
  <c r="E86" i="11" s="1"/>
  <c r="E88" i="11" l="1"/>
  <c r="D86" i="11"/>
  <c r="D88" i="11" s="1"/>
  <c r="J35" i="9" l="1"/>
  <c r="E35" i="9"/>
  <c r="E38" i="9" s="1"/>
  <c r="D35" i="9"/>
  <c r="D38" i="9" s="1"/>
  <c r="C35" i="9"/>
  <c r="C38" i="9" s="1"/>
  <c r="J34" i="9"/>
  <c r="I34" i="9"/>
  <c r="H34" i="9"/>
  <c r="J33" i="9"/>
  <c r="E33" i="9"/>
  <c r="J26" i="9" s="1"/>
  <c r="D33" i="9"/>
  <c r="C33" i="9"/>
  <c r="J29" i="9"/>
  <c r="I29" i="9"/>
  <c r="E28" i="9"/>
  <c r="E29" i="9" s="1"/>
  <c r="D28" i="9"/>
  <c r="D29" i="9" s="1"/>
  <c r="C28" i="9"/>
  <c r="C29" i="9" s="1"/>
  <c r="I18" i="9" s="1"/>
  <c r="I26" i="9"/>
  <c r="I24" i="9"/>
  <c r="E24" i="9"/>
  <c r="D24" i="9"/>
  <c r="I33" i="9" s="1"/>
  <c r="I35" i="9" s="1"/>
  <c r="I36" i="9" s="1"/>
  <c r="C24" i="9"/>
  <c r="H33" i="9" s="1"/>
  <c r="H35" i="9" s="1"/>
  <c r="J20" i="9"/>
  <c r="I20" i="9"/>
  <c r="J19" i="9"/>
  <c r="I19" i="9"/>
  <c r="J17" i="9"/>
  <c r="E16" i="9"/>
  <c r="E18" i="9" s="1"/>
  <c r="E20" i="9" s="1"/>
  <c r="J30" i="9" s="1"/>
  <c r="J15" i="9"/>
  <c r="I15" i="9"/>
  <c r="E15" i="9"/>
  <c r="D15" i="9"/>
  <c r="D16" i="9" s="1"/>
  <c r="C15" i="9"/>
  <c r="J14" i="9"/>
  <c r="I14" i="9"/>
  <c r="E14" i="9"/>
  <c r="J24" i="9" s="1"/>
  <c r="D14" i="9"/>
  <c r="C14" i="9"/>
  <c r="J13" i="9"/>
  <c r="I13" i="9"/>
  <c r="J12" i="9"/>
  <c r="I12" i="9"/>
  <c r="J11" i="9"/>
  <c r="I11" i="9"/>
  <c r="J9" i="9"/>
  <c r="I9" i="9"/>
  <c r="I17" i="9" s="1"/>
  <c r="E9" i="9"/>
  <c r="D9" i="9"/>
  <c r="I5" i="9" s="1"/>
  <c r="I7" i="9" s="1"/>
  <c r="C9" i="9"/>
  <c r="C16" i="9" s="1"/>
  <c r="C18" i="9" s="1"/>
  <c r="C20" i="9" s="1"/>
  <c r="J6" i="9"/>
  <c r="I6" i="9"/>
  <c r="J5" i="9"/>
  <c r="J7" i="9" s="1"/>
  <c r="I2" i="8"/>
  <c r="J34" i="8"/>
  <c r="H34" i="8"/>
  <c r="J33" i="8"/>
  <c r="I33" i="8"/>
  <c r="I34" i="8" s="1"/>
  <c r="I35" i="8" s="1"/>
  <c r="H33" i="8"/>
  <c r="E32" i="8"/>
  <c r="C32" i="8"/>
  <c r="E29" i="8"/>
  <c r="D29" i="8"/>
  <c r="D32" i="8" s="1"/>
  <c r="C29" i="8"/>
  <c r="J28" i="8"/>
  <c r="I28" i="8"/>
  <c r="D26" i="8"/>
  <c r="C26" i="8"/>
  <c r="J25" i="8"/>
  <c r="I25" i="8"/>
  <c r="E24" i="8"/>
  <c r="E26" i="8" s="1"/>
  <c r="D24" i="8"/>
  <c r="C24" i="8"/>
  <c r="J23" i="8"/>
  <c r="I23" i="8"/>
  <c r="J19" i="8"/>
  <c r="I19" i="8"/>
  <c r="J18" i="8"/>
  <c r="I18" i="8"/>
  <c r="J17" i="8"/>
  <c r="I17" i="8"/>
  <c r="J16" i="8"/>
  <c r="J13" i="8"/>
  <c r="I13" i="8"/>
  <c r="E13" i="8"/>
  <c r="E14" i="8" s="1"/>
  <c r="D13" i="8"/>
  <c r="C13" i="8"/>
  <c r="C14" i="8" s="1"/>
  <c r="C16" i="8" s="1"/>
  <c r="C18" i="8" s="1"/>
  <c r="J12" i="8"/>
  <c r="I12" i="8"/>
  <c r="J11" i="8"/>
  <c r="I11" i="8"/>
  <c r="J10" i="8"/>
  <c r="I10" i="8"/>
  <c r="E9" i="8"/>
  <c r="D9" i="8"/>
  <c r="I4" i="8" s="1"/>
  <c r="I6" i="8" s="1"/>
  <c r="C9" i="8"/>
  <c r="J8" i="8"/>
  <c r="I8" i="8"/>
  <c r="I16" i="8" s="1"/>
  <c r="J4" i="8"/>
  <c r="J6" i="8" s="1"/>
  <c r="E3" i="8"/>
  <c r="D3" i="8" s="1"/>
  <c r="C3" i="8" s="1"/>
  <c r="D18" i="9" l="1"/>
  <c r="D20" i="9" s="1"/>
  <c r="I30" i="9" s="1"/>
  <c r="I3" i="9"/>
  <c r="I25" i="9" s="1"/>
  <c r="I21" i="9"/>
  <c r="I22" i="9" s="1"/>
  <c r="J18" i="9"/>
  <c r="J21" i="9"/>
  <c r="J22" i="9" s="1"/>
  <c r="J36" i="9"/>
  <c r="J3" i="9"/>
  <c r="J8" i="9" s="1"/>
  <c r="J10" i="9" s="1"/>
  <c r="J16" i="9" s="1"/>
  <c r="J23" i="9" s="1"/>
  <c r="J2" i="8"/>
  <c r="J24" i="8" s="1"/>
  <c r="E16" i="8"/>
  <c r="E18" i="8" s="1"/>
  <c r="J29" i="8" s="1"/>
  <c r="J7" i="8"/>
  <c r="J9" i="8" s="1"/>
  <c r="J15" i="8" s="1"/>
  <c r="J35" i="8"/>
  <c r="D14" i="8"/>
  <c r="J25" i="9" l="1"/>
  <c r="J27" i="9" s="1"/>
  <c r="J31" i="9" s="1"/>
  <c r="J38" i="9" s="1"/>
  <c r="I8" i="9"/>
  <c r="I10" i="9" s="1"/>
  <c r="I16" i="9" s="1"/>
  <c r="I23" i="9" s="1"/>
  <c r="I27" i="9" s="1"/>
  <c r="I31" i="9" s="1"/>
  <c r="I38" i="9" s="1"/>
  <c r="D16" i="8"/>
  <c r="D18" i="8" s="1"/>
  <c r="I29" i="8" s="1"/>
  <c r="J20" i="8"/>
  <c r="J21" i="8" s="1"/>
  <c r="J22" i="8" s="1"/>
  <c r="J26" i="8" s="1"/>
  <c r="J30" i="8" s="1"/>
  <c r="J37" i="8" s="1"/>
  <c r="I7" i="8" l="1"/>
  <c r="I9" i="8" s="1"/>
  <c r="I15" i="8" s="1"/>
  <c r="I20" i="8"/>
  <c r="I21" i="8" s="1"/>
  <c r="I24" i="8"/>
  <c r="I22" i="8" l="1"/>
  <c r="I26" i="8" s="1"/>
  <c r="I30" i="8" s="1"/>
  <c r="I37" i="8" s="1"/>
  <c r="H32" i="7" l="1"/>
  <c r="O32" i="7" s="1"/>
  <c r="F31" i="7"/>
  <c r="F34" i="7" s="1"/>
  <c r="E31" i="7"/>
  <c r="D57" i="5"/>
  <c r="F39" i="5"/>
  <c r="E39" i="5"/>
  <c r="D39" i="5"/>
  <c r="F37" i="5"/>
  <c r="F38" i="5" s="1"/>
  <c r="F41" i="5" s="1"/>
  <c r="E37" i="5"/>
  <c r="E38" i="5" s="1"/>
  <c r="E41" i="5" s="1"/>
  <c r="D37" i="5"/>
  <c r="D38" i="5" s="1"/>
  <c r="D41" i="5" s="1"/>
  <c r="C51" i="4"/>
  <c r="C50" i="4"/>
  <c r="C49" i="4" s="1"/>
  <c r="C47" i="4"/>
  <c r="C46" i="4"/>
  <c r="C40" i="4"/>
  <c r="H39" i="4"/>
  <c r="C37" i="4"/>
  <c r="C35" i="4"/>
  <c r="C38" i="4" s="1"/>
  <c r="H29" i="4"/>
  <c r="H30" i="4" s="1"/>
  <c r="H32" i="4" s="1"/>
  <c r="H27" i="4"/>
  <c r="H35" i="4" s="1"/>
  <c r="H36" i="4" s="1"/>
  <c r="H23" i="4"/>
  <c r="H22" i="4"/>
  <c r="H21" i="4"/>
  <c r="H20" i="4"/>
  <c r="I72" i="3"/>
  <c r="H72" i="3"/>
  <c r="G72" i="3"/>
  <c r="F72" i="3"/>
  <c r="G63" i="3"/>
  <c r="F63" i="3"/>
  <c r="C63" i="3"/>
  <c r="E61" i="3"/>
  <c r="F61" i="3" s="1"/>
  <c r="G61" i="3" s="1"/>
  <c r="D53" i="3"/>
  <c r="D48" i="3"/>
  <c r="G46" i="3"/>
  <c r="F46" i="3"/>
  <c r="E46" i="3"/>
  <c r="D46" i="3"/>
  <c r="J45" i="3"/>
  <c r="I45" i="3"/>
  <c r="I63" i="3" s="1"/>
  <c r="H45" i="3"/>
  <c r="H63" i="3" s="1"/>
  <c r="G45" i="3"/>
  <c r="F45" i="3"/>
  <c r="J39" i="3"/>
  <c r="I46" i="3" s="1"/>
  <c r="E24" i="3"/>
  <c r="F24" i="3" s="1"/>
  <c r="G24" i="3" s="1"/>
  <c r="H24" i="3" s="1"/>
  <c r="F80" i="2"/>
  <c r="F81" i="2" s="1"/>
  <c r="E80" i="2"/>
  <c r="D80" i="2"/>
  <c r="F79" i="2"/>
  <c r="E79" i="2"/>
  <c r="E81" i="2" s="1"/>
  <c r="D79" i="2"/>
  <c r="D81" i="2" s="1"/>
  <c r="F75" i="2"/>
  <c r="E75" i="2"/>
  <c r="F73" i="2"/>
  <c r="E73" i="2"/>
  <c r="F71" i="2"/>
  <c r="E71" i="2"/>
  <c r="F67" i="2"/>
  <c r="E67" i="2"/>
  <c r="F66" i="2"/>
  <c r="E66" i="2"/>
  <c r="F65" i="2"/>
  <c r="E65" i="2"/>
  <c r="F64" i="2"/>
  <c r="E64" i="2"/>
  <c r="F62" i="2"/>
  <c r="E62" i="2"/>
  <c r="F61" i="2"/>
  <c r="E61" i="2"/>
  <c r="F60" i="2"/>
  <c r="E60" i="2"/>
  <c r="F59" i="2"/>
  <c r="E59" i="2"/>
  <c r="F58" i="2"/>
  <c r="E58" i="2"/>
  <c r="F56" i="2"/>
  <c r="E56" i="2"/>
  <c r="F54" i="2"/>
  <c r="F46" i="2"/>
  <c r="E46" i="2"/>
  <c r="D46" i="2"/>
  <c r="D49" i="2" s="1"/>
  <c r="F41" i="2"/>
  <c r="F43" i="2" s="1"/>
  <c r="F48" i="2" s="1"/>
  <c r="E41" i="2"/>
  <c r="E43" i="2" s="1"/>
  <c r="E48" i="2" s="1"/>
  <c r="D41" i="2"/>
  <c r="D43" i="2" s="1"/>
  <c r="D48" i="2" s="1"/>
  <c r="F29" i="2"/>
  <c r="F30" i="2" s="1"/>
  <c r="E29" i="2"/>
  <c r="E30" i="2" s="1"/>
  <c r="D29" i="2"/>
  <c r="D30" i="2" s="1"/>
  <c r="D32" i="2" s="1"/>
  <c r="D34" i="2" s="1"/>
  <c r="F24" i="2"/>
  <c r="E24" i="2"/>
  <c r="E54" i="2" s="1"/>
  <c r="D24" i="2"/>
  <c r="F18" i="2"/>
  <c r="E18" i="2" s="1"/>
  <c r="D18" i="2" s="1"/>
  <c r="D49" i="3" l="1"/>
  <c r="D56" i="3" s="1"/>
  <c r="D57" i="3" s="1"/>
  <c r="D54" i="3"/>
  <c r="E37" i="3" s="1"/>
  <c r="O31" i="7"/>
  <c r="E43" i="5"/>
  <c r="D46" i="5" s="1"/>
  <c r="E42" i="5"/>
  <c r="I41" i="5"/>
  <c r="F42" i="5"/>
  <c r="I42" i="5" s="1"/>
  <c r="H41" i="5"/>
  <c r="D42" i="5"/>
  <c r="H42" i="5" s="1"/>
  <c r="C39" i="4"/>
  <c r="C41" i="4" s="1"/>
  <c r="C42" i="4" s="1"/>
  <c r="H38" i="4"/>
  <c r="H40" i="4" s="1"/>
  <c r="E48" i="3"/>
  <c r="D76" i="3"/>
  <c r="I39" i="3"/>
  <c r="H46" i="3" s="1"/>
  <c r="F51" i="2"/>
  <c r="F32" i="2"/>
  <c r="F34" i="2" s="1"/>
  <c r="F76" i="2" s="1"/>
  <c r="E49" i="2"/>
  <c r="E51" i="2"/>
  <c r="E32" i="2"/>
  <c r="E34" i="2" s="1"/>
  <c r="E76" i="2" s="1"/>
  <c r="F49" i="2"/>
  <c r="F55" i="2"/>
  <c r="F57" i="2" s="1"/>
  <c r="F63" i="2" s="1"/>
  <c r="E82" i="2"/>
  <c r="F82" i="2"/>
  <c r="D50" i="3" l="1"/>
  <c r="D55" i="3"/>
  <c r="E53" i="3"/>
  <c r="E54" i="3" s="1"/>
  <c r="N31" i="7"/>
  <c r="F46" i="5"/>
  <c r="D51" i="5" s="1"/>
  <c r="D47" i="5"/>
  <c r="F47" i="5" s="1"/>
  <c r="D43" i="5"/>
  <c r="H43" i="5" s="1"/>
  <c r="F43" i="5"/>
  <c r="I43" i="5" s="1"/>
  <c r="D62" i="3"/>
  <c r="F53" i="3"/>
  <c r="E76" i="3"/>
  <c r="E49" i="3"/>
  <c r="E50" i="3" s="1"/>
  <c r="E72" i="2"/>
  <c r="E68" i="2"/>
  <c r="E69" i="2" s="1"/>
  <c r="F70" i="2"/>
  <c r="F72" i="2"/>
  <c r="F68" i="2"/>
  <c r="F69" i="2" s="1"/>
  <c r="E55" i="2"/>
  <c r="E57" i="2" s="1"/>
  <c r="E63" i="2" s="1"/>
  <c r="E70" i="2" s="1"/>
  <c r="E74" i="2" s="1"/>
  <c r="E77" i="2" s="1"/>
  <c r="E83" i="2" s="1"/>
  <c r="E55" i="3" l="1"/>
  <c r="E62" i="3" s="1"/>
  <c r="F37" i="3"/>
  <c r="F48" i="3" s="1"/>
  <c r="P31" i="7"/>
  <c r="D52" i="5"/>
  <c r="D53" i="5"/>
  <c r="D55" i="5" s="1"/>
  <c r="E55" i="5" s="1"/>
  <c r="F54" i="3"/>
  <c r="G37" i="3" s="1"/>
  <c r="D67" i="3"/>
  <c r="D58" i="3"/>
  <c r="D59" i="3" s="1"/>
  <c r="D71" i="3" s="1"/>
  <c r="E56" i="3"/>
  <c r="F76" i="3"/>
  <c r="F74" i="2"/>
  <c r="F77" i="2" s="1"/>
  <c r="F83" i="2" s="1"/>
  <c r="E57" i="3" l="1"/>
  <c r="E67" i="3" s="1"/>
  <c r="G48" i="3"/>
  <c r="G53" i="3"/>
  <c r="F55" i="3"/>
  <c r="F62" i="3" l="1"/>
  <c r="G76" i="3"/>
  <c r="G54" i="3"/>
  <c r="H37" i="3" s="1"/>
  <c r="H48" i="3" l="1"/>
  <c r="G55" i="3"/>
  <c r="H53" i="3"/>
  <c r="H76" i="3" l="1"/>
  <c r="H54" i="3"/>
  <c r="I37" i="3" s="1"/>
  <c r="G62" i="3"/>
  <c r="H55" i="3" l="1"/>
  <c r="H62" i="3"/>
  <c r="I48" i="3"/>
  <c r="I53" i="3"/>
  <c r="I54" i="3" l="1"/>
  <c r="J37" i="3" s="1"/>
  <c r="J48" i="3" s="1"/>
  <c r="I76" i="3"/>
  <c r="I55" i="3" l="1"/>
  <c r="I62" i="3" l="1"/>
  <c r="I64" i="3" l="1"/>
  <c r="I49" i="3" l="1"/>
  <c r="H64" i="3"/>
  <c r="H49" i="3" l="1"/>
  <c r="G64" i="3"/>
  <c r="J49" i="3"/>
  <c r="I56" i="3"/>
  <c r="H58" i="3"/>
  <c r="I50" i="3"/>
  <c r="I58" i="3" l="1"/>
  <c r="J50" i="3"/>
  <c r="I57" i="3"/>
  <c r="I67" i="3" s="1"/>
  <c r="I68" i="3" s="1"/>
  <c r="I69" i="3" s="1"/>
  <c r="G49" i="3"/>
  <c r="F64" i="3"/>
  <c r="G58" i="3"/>
  <c r="H56" i="3"/>
  <c r="H50" i="3"/>
  <c r="H57" i="3" l="1"/>
  <c r="H67" i="3" s="1"/>
  <c r="H68" i="3" s="1"/>
  <c r="H69" i="3" s="1"/>
  <c r="I59" i="3"/>
  <c r="I71" i="3" s="1"/>
  <c r="I73" i="3" s="1"/>
  <c r="I74" i="3" s="1"/>
  <c r="I75" i="3" s="1"/>
  <c r="F49" i="3"/>
  <c r="G56" i="3"/>
  <c r="G50" i="3"/>
  <c r="G57" i="3" l="1"/>
  <c r="G67" i="3" s="1"/>
  <c r="G68" i="3" s="1"/>
  <c r="G69" i="3" s="1"/>
  <c r="G59" i="3"/>
  <c r="G71" i="3" s="1"/>
  <c r="H59" i="3"/>
  <c r="H71" i="3" s="1"/>
  <c r="H73" i="3" s="1"/>
  <c r="H74" i="3" s="1"/>
  <c r="H75" i="3" s="1"/>
  <c r="F56" i="3"/>
  <c r="E58" i="3"/>
  <c r="E59" i="3" s="1"/>
  <c r="E71" i="3" s="1"/>
  <c r="F50" i="3"/>
  <c r="F58" i="3"/>
  <c r="F57" i="3" l="1"/>
  <c r="F67" i="3" s="1"/>
  <c r="F68" i="3" s="1"/>
  <c r="G73" i="3"/>
  <c r="G74" i="3" s="1"/>
  <c r="G75" i="3" s="1"/>
  <c r="F59" i="3" l="1"/>
  <c r="F71" i="3" s="1"/>
  <c r="F73" i="3"/>
  <c r="F69" i="3"/>
  <c r="E68" i="3"/>
  <c r="E41" i="3" l="1"/>
  <c r="D68" i="3"/>
  <c r="F74" i="3"/>
  <c r="F75" i="3" s="1"/>
  <c r="D41" i="3" l="1"/>
  <c r="E72" i="3"/>
  <c r="E73" i="3" s="1"/>
  <c r="E45" i="3"/>
  <c r="E63" i="3" s="1"/>
  <c r="E64" i="3" s="1"/>
  <c r="E69" i="3" l="1"/>
  <c r="E74" i="3"/>
  <c r="E75" i="3" s="1"/>
  <c r="D45" i="3"/>
  <c r="D63" i="3" s="1"/>
  <c r="D64" i="3" s="1"/>
  <c r="D69" i="3" s="1"/>
  <c r="D72" i="3"/>
  <c r="D73" i="3" s="1"/>
  <c r="D74" i="3" s="1"/>
  <c r="D7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tc={C37805B6-96C6-4356-B161-EFD2ABF9DDF2}</author>
    <author>Musa Bleta</author>
  </authors>
  <commentList>
    <comment ref="B27" authorId="0" shapeId="0" xr:uid="{C37805B6-96C6-4356-B161-EFD2ABF9DDF2}">
      <text>
        <t>[Threaded comment]
Your version of Excel allows you to read this threaded comment; however, any edits to it will get removed if the file is opened in a newer version of Excel. Learn more: https://go.microsoft.com/fwlink/?linkid=870924
Comment:
    K for TV is calculated as g/RONIC</t>
      </text>
    </comment>
    <comment ref="B38" authorId="1" shapeId="0" xr:uid="{9F87D0D5-72A8-43F0-8E0D-11A30227A420}">
      <text>
        <r>
          <rPr>
            <b/>
            <sz val="9"/>
            <color indexed="81"/>
            <rFont val="Tahoma"/>
            <family val="2"/>
          </rPr>
          <t>Musa Bleta:</t>
        </r>
        <r>
          <rPr>
            <sz val="9"/>
            <color indexed="81"/>
            <rFont val="Tahoma"/>
            <family val="2"/>
          </rPr>
          <t xml:space="preserve">
FROM D/V WACC IS NEXT
</t>
        </r>
      </text>
    </comment>
    <comment ref="C78" authorId="1" shapeId="0" xr:uid="{BC1FFDA2-3777-4932-996F-305B094713F7}">
      <text>
        <r>
          <rPr>
            <b/>
            <sz val="9"/>
            <color indexed="81"/>
            <rFont val="Tahoma"/>
            <family val="2"/>
          </rPr>
          <t>Musa Bleta:</t>
        </r>
        <r>
          <rPr>
            <sz val="9"/>
            <color indexed="81"/>
            <rFont val="Tahoma"/>
            <family val="2"/>
          </rPr>
          <t xml:space="preserve">
(VALUE + VALUE T+1)/(1+RATIO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Musa Bleta</author>
  </authors>
  <commentList>
    <comment ref="B36" authorId="0" shapeId="0" xr:uid="{C001E4B0-F560-4FE7-938D-27D4A11D385F}">
      <text>
        <r>
          <rPr>
            <b/>
            <sz val="9"/>
            <color indexed="81"/>
            <rFont val="Tahoma"/>
            <family val="2"/>
            <charset val="238"/>
          </rPr>
          <t>Musa Bleta:</t>
        </r>
        <r>
          <rPr>
            <sz val="9"/>
            <color indexed="81"/>
            <rFont val="Tahoma"/>
            <family val="2"/>
            <charset val="238"/>
          </rPr>
          <t xml:space="preserve">
T-1 (2023-2022)
</t>
        </r>
      </text>
    </comment>
    <comment ref="B44" authorId="0" shapeId="0" xr:uid="{AA1ADD48-C8F2-488C-9D07-9A593580261E}">
      <text>
        <r>
          <rPr>
            <b/>
            <sz val="9"/>
            <color indexed="81"/>
            <rFont val="Tahoma"/>
            <family val="2"/>
            <charset val="238"/>
          </rPr>
          <t>Musa Bleta:</t>
        </r>
        <r>
          <rPr>
            <sz val="9"/>
            <color indexed="81"/>
            <rFont val="Tahoma"/>
            <family val="2"/>
            <charset val="238"/>
          </rPr>
          <t xml:space="preserve">
the ratio is Ebit/Sales - formula reversal
</t>
        </r>
      </text>
    </comment>
    <comment ref="C44" authorId="0" shapeId="0" xr:uid="{B545082E-AC8D-43EF-8869-9BCE14BFEB4D}">
      <text>
        <r>
          <rPr>
            <b/>
            <sz val="9"/>
            <color indexed="81"/>
            <rFont val="Tahoma"/>
            <family val="2"/>
            <charset val="238"/>
          </rPr>
          <t>Musa Bleta:</t>
        </r>
        <r>
          <rPr>
            <sz val="9"/>
            <color indexed="81"/>
            <rFont val="Tahoma"/>
            <family val="2"/>
            <charset val="238"/>
          </rPr>
          <t xml:space="preserve">
Earnings before interest and tax
</t>
        </r>
      </text>
    </comment>
    <comment ref="D47" authorId="0" shapeId="0" xr:uid="{2ACE0660-AB69-4A8D-A102-F3EC449E64B2}">
      <text>
        <r>
          <rPr>
            <b/>
            <sz val="9"/>
            <color indexed="81"/>
            <rFont val="Tahoma"/>
            <family val="2"/>
            <charset val="238"/>
          </rPr>
          <t>Musa Bleta:</t>
        </r>
        <r>
          <rPr>
            <sz val="9"/>
            <color indexed="81"/>
            <rFont val="Tahoma"/>
            <family val="2"/>
            <charset val="238"/>
          </rPr>
          <t xml:space="preserve">
if profit after tax is zero we don't pay corporate tax. If positive we calculate it by multiplying profit before tax with the corporate tax rate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午餐肉</author>
  </authors>
  <commentList>
    <comment ref="H42" authorId="0" shapeId="0" xr:uid="{EBE720E5-A055-47E7-AC70-2CB0420C444F}">
      <text>
        <r>
          <rPr>
            <b/>
            <sz val="9"/>
            <color indexed="81"/>
            <rFont val="宋体"/>
            <family val="3"/>
            <charset val="134"/>
          </rPr>
          <t>午餐肉:</t>
        </r>
        <r>
          <rPr>
            <sz val="9"/>
            <color indexed="81"/>
            <rFont val="宋体"/>
            <family val="3"/>
            <charset val="134"/>
          </rPr>
          <t xml:space="preserve">
From here the formula changed to EBIT*(1-t) because of tax shield.</t>
        </r>
      </text>
    </comment>
    <comment ref="K59" authorId="0" shapeId="0" xr:uid="{1D0BBE9E-198D-4E3A-ACA1-BA72123DDB1B}">
      <text>
        <r>
          <rPr>
            <b/>
            <sz val="9"/>
            <color indexed="81"/>
            <rFont val="宋体"/>
            <family val="3"/>
            <charset val="134"/>
          </rPr>
          <t>午餐肉:</t>
        </r>
        <r>
          <rPr>
            <sz val="9"/>
            <color indexed="81"/>
            <rFont val="宋体"/>
            <family val="3"/>
            <charset val="134"/>
          </rPr>
          <t xml:space="preserve">
because we didn't pay dividend this year.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tc={F81AC6B3-279B-4701-BA27-C5E5717A72D6}</author>
    <author>tc={A639A6AB-0DC1-4F6C-A458-95DA2D1B4953}</author>
    <author>tc={839731B5-6D01-4A6C-BA47-0E9C98CED09D}</author>
    <author>tc={DA8EB089-902E-4ACF-B29F-C3873963A15D}</author>
    <author>tc={A6CE7952-9134-4030-86B8-C73D79BF6796}</author>
    <author>tc={A74D2B74-0EFA-4724-B06D-A8AC179F901C}</author>
    <author>tc={53E866A9-B3D1-41BB-B320-DFB227811687}</author>
    <author>tc={F9A38A85-841C-4F78-A3A6-3B2104F14E7F}</author>
    <author>tc={C48C5C26-9D6C-473E-B5E9-CAFC6A7FC984}</author>
    <author>tc={5806763F-DD19-4F2A-A676-DAED609A9053}</author>
    <author>tc={5AED92A4-8D83-4EF1-AD97-7732FEB20394}</author>
    <author>tc={2036D0EF-AC00-4245-ADAE-92EB3E155BF1}</author>
    <author>tc={1F96FB70-86B0-430C-BB24-243363B8BC88}</author>
  </authors>
  <commentList>
    <comment ref="F20" authorId="0" shapeId="0" xr:uid="{F81AC6B3-279B-4701-BA27-C5E5717A72D6}">
      <text>
        <t xml:space="preserve">[Threaded comment]
Your version of Excel allows you to read this threaded comment; however, any edits to it will get removed if the file is opened in a newer version of Excel. Learn more: https://go.microsoft.com/fwlink/?linkid=870924
Comment:
    Post additional investmen tin year 2 of 100
</t>
      </text>
    </comment>
    <comment ref="G20" authorId="1" shapeId="0" xr:uid="{A639A6AB-0DC1-4F6C-A458-95DA2D1B4953}">
      <text>
        <t xml:space="preserve">[Threaded comment]
Your version of Excel allows you to read this threaded comment; however, any edits to it will get removed if the file is opened in a newer version of Excel. Learn more: https://go.microsoft.com/fwlink/?linkid=870924
Comment:
    4 years (6 yeat -2 years=T-t)
</t>
      </text>
    </comment>
    <comment ref="C23" authorId="2" shapeId="0" xr:uid="{839731B5-6D01-4A6C-BA47-0E9C98CED09D}">
      <text>
        <t xml:space="preserve">[Threaded comment]
Your version of Excel allows you to read this threaded comment; however, any edits to it will get removed if the file is opened in a newer version of Excel. Learn more: https://go.microsoft.com/fwlink/?linkid=870924
Comment:
    Cleared from investment of 70
</t>
      </text>
    </comment>
    <comment ref="F23" authorId="3" shapeId="0" xr:uid="{DA8EB089-902E-4ACF-B29F-C3873963A15D}">
      <text>
        <t xml:space="preserve">[Threaded comment]
Your version of Excel allows you to read this threaded comment; however, any edits to it will get removed if the file is opened in a newer version of Excel. Learn more: https://go.microsoft.com/fwlink/?linkid=870924
Comment:
    Cleared from 100 investment in year 2
</t>
      </text>
    </comment>
    <comment ref="K24" authorId="4" shapeId="0" xr:uid="{A6CE7952-9134-4030-86B8-C73D79BF6796}">
      <text>
        <t xml:space="preserve">[Threaded comment]
Your version of Excel allows you to read this threaded comment; however, any edits to it will get removed if the file is opened in a newer version of Excel. Learn more: https://go.microsoft.com/fwlink/?linkid=870924
Comment:
    Equity in 6 years
</t>
      </text>
    </comment>
    <comment ref="F25" authorId="5" shapeId="0" xr:uid="{A74D2B74-0EFA-4724-B06D-A8AC179F901C}">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C26" authorId="6" shapeId="0" xr:uid="{53E866A9-B3D1-41BB-B320-DFB227811687}">
      <text>
        <t xml:space="preserve">[Threaded comment]
Your version of Excel allows you to read this threaded comment; however, any edits to it will get removed if the file is opened in a newer version of Excel. Learn more: https://go.microsoft.com/fwlink/?linkid=870924
Comment:
    After 70 invesement pre money of year two discounted to money value of year 0
</t>
      </text>
    </comment>
    <comment ref="K26" authorId="7" shapeId="0" xr:uid="{F9A38A85-841C-4F78-A3A6-3B2104F14E7F}">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D27" authorId="8" shapeId="0" xr:uid="{C48C5C26-9D6C-473E-B5E9-CAFC6A7FC984}">
      <text>
        <t xml:space="preserve">[Threaded comment]
Your version of Excel allows you to read this threaded comment; however, any edits to it will get removed if the file is opened in a newer version of Excel. Learn more: https://go.microsoft.com/fwlink/?linkid=870924
Comment:
    Probability of succeeding </t>
      </text>
    </comment>
    <comment ref="B28" authorId="9" shapeId="0" xr:uid="{5806763F-DD19-4F2A-A676-DAED609A9053}">
      <text>
        <t xml:space="preserve">[Threaded comment]
Your version of Excel allows you to read this threaded comment; however, any edits to it will get removed if the file is opened in a newer version of Excel. Learn more: https://go.microsoft.com/fwlink/?linkid=870924
Comment:
    If we fail one year we liquidate 90% - 18
</t>
      </text>
    </comment>
    <comment ref="C30" authorId="10" shapeId="0" xr:uid="{5AED92A4-8D83-4EF1-AD97-7732FEB20394}">
      <text>
        <t xml:space="preserve">[Threaded comment]
Your version of Excel allows you to read this threaded comment; however, any edits to it will get removed if the file is opened in a newer version of Excel. Learn more: https://go.microsoft.com/fwlink/?linkid=870924
Comment:
    Stake guess was put randomly, we have used solved by setting the difference of two guessed stakes at 0 by adjusting value of the first random stake 
</t>
      </text>
    </comment>
    <comment ref="D30" authorId="11" shapeId="0" xr:uid="{2036D0EF-AC00-4245-ADAE-92EB3E155BF1}">
      <text>
        <t xml:space="preserve">[Threaded comment]
Your version of Excel allows you to read this threaded comment; however, any edits to it will get removed if the file is opened in a newer version of Excel. Learn more: https://go.microsoft.com/fwlink/?linkid=870924
Comment:
    Probability of failing
</t>
      </text>
    </comment>
    <comment ref="A31" authorId="12" shapeId="0" xr:uid="{1F96FB70-86B0-430C-BB24-243363B8BC88}">
      <text>
        <t xml:space="preserve">[Threaded comment]
Your version of Excel allows you to read this threaded comment; however, any edits to it will get removed if the file is opened in a newer version of Excel. Learn more: https://go.microsoft.com/fwlink/?linkid=870924
Comment:
    Founders stake decreased from 46% to 33% in the year two because of the loan investment, but in the year 6 it doesn’t change because there are no extra invesments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tc={11F87208-7732-024C-8CA4-434EC8B67A2F}</author>
    <author>tc={E5C88671-681B-AC44-9DE2-003E78EEE78A}</author>
    <author>tc={18EF5F9B-9D39-D041-96AA-A08063990ABD}</author>
    <author>tc={E28A78DE-0391-7C4A-8861-234F3087EB95}</author>
    <author>tc={759E4699-AC92-6542-9FD8-25E2DB8582C3}</author>
    <author>tc={7DF731AE-8BE8-384C-8953-ECA7A33D6216}</author>
    <author>tc={4560FA49-54BA-BD41-B0DC-3C02419FFFAE}</author>
    <author>tc={A419846E-4E07-B140-8B72-B8DA500CAD80}</author>
    <author>tc={64AF6EC5-5B1E-724F-A9CE-F1D549514B64}</author>
    <author>tc={01C9B77D-11B8-844E-A593-DABE91A4183B}</author>
    <author>tc={28354B43-F9AB-514E-99C0-2AC6DB2C519B}</author>
    <author>tc={F5A54133-7F02-0A4C-A876-6461A24B149D}</author>
    <author>tc={994E7130-D72C-5B4C-9375-C2E54C431B3B}</author>
  </authors>
  <commentList>
    <comment ref="F20" authorId="0" shapeId="0" xr:uid="{11F87208-7732-024C-8CA4-434EC8B67A2F}">
      <text>
        <t xml:space="preserve">[Threaded comment]
Your version of Excel allows you to read this threaded comment; however, any edits to it will get removed if the file is opened in a newer version of Excel. Learn more: https://go.microsoft.com/fwlink/?linkid=870924
Comment:
    Post additional investmen tin year 2 of 100
</t>
      </text>
    </comment>
    <comment ref="G20" authorId="1" shapeId="0" xr:uid="{E5C88671-681B-AC44-9DE2-003E78EEE78A}">
      <text>
        <t xml:space="preserve">[Threaded comment]
Your version of Excel allows you to read this threaded comment; however, any edits to it will get removed if the file is opened in a newer version of Excel. Learn more: https://go.microsoft.com/fwlink/?linkid=870924
Comment:
    4 years (6 yeat -2 years=T-t)
</t>
      </text>
    </comment>
    <comment ref="C23" authorId="2" shapeId="0" xr:uid="{18EF5F9B-9D39-D041-96AA-A08063990ABD}">
      <text>
        <t xml:space="preserve">[Threaded comment]
Your version of Excel allows you to read this threaded comment; however, any edits to it will get removed if the file is opened in a newer version of Excel. Learn more: https://go.microsoft.com/fwlink/?linkid=870924
Comment:
    Cleared from investment of 70
</t>
      </text>
    </comment>
    <comment ref="F23" authorId="3" shapeId="0" xr:uid="{E28A78DE-0391-7C4A-8861-234F3087EB95}">
      <text>
        <t xml:space="preserve">[Threaded comment]
Your version of Excel allows you to read this threaded comment; however, any edits to it will get removed if the file is opened in a newer version of Excel. Learn more: https://go.microsoft.com/fwlink/?linkid=870924
Comment:
    Cleared from 100 investment in year 2
</t>
      </text>
    </comment>
    <comment ref="K24" authorId="4" shapeId="0" xr:uid="{759E4699-AC92-6542-9FD8-25E2DB8582C3}">
      <text>
        <t xml:space="preserve">[Threaded comment]
Your version of Excel allows you to read this threaded comment; however, any edits to it will get removed if the file is opened in a newer version of Excel. Learn more: https://go.microsoft.com/fwlink/?linkid=870924
Comment:
    Equity in 6 years
</t>
      </text>
    </comment>
    <comment ref="F25" authorId="5" shapeId="0" xr:uid="{7DF731AE-8BE8-384C-8953-ECA7A33D6216}">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C26" authorId="6" shapeId="0" xr:uid="{4560FA49-54BA-BD41-B0DC-3C02419FFFAE}">
      <text>
        <t xml:space="preserve">[Threaded comment]
Your version of Excel allows you to read this threaded comment; however, any edits to it will get removed if the file is opened in a newer version of Excel. Learn more: https://go.microsoft.com/fwlink/?linkid=870924
Comment:
    After 70 invesement pre money of year two discounted to money value of year 0
</t>
      </text>
    </comment>
    <comment ref="K26" authorId="7" shapeId="0" xr:uid="{A419846E-4E07-B140-8B72-B8DA500CAD80}">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D27" authorId="8" shapeId="0" xr:uid="{64AF6EC5-5B1E-724F-A9CE-F1D549514B64}">
      <text>
        <t xml:space="preserve">[Threaded comment]
Your version of Excel allows you to read this threaded comment; however, any edits to it will get removed if the file is opened in a newer version of Excel. Learn more: https://go.microsoft.com/fwlink/?linkid=870924
Comment:
    Probability of succeeding </t>
      </text>
    </comment>
    <comment ref="B28" authorId="9" shapeId="0" xr:uid="{01C9B77D-11B8-844E-A593-DABE91A4183B}">
      <text>
        <t xml:space="preserve">[Threaded comment]
Your version of Excel allows you to read this threaded comment; however, any edits to it will get removed if the file is opened in a newer version of Excel. Learn more: https://go.microsoft.com/fwlink/?linkid=870924
Comment:
    If we fail one year we liquidate 90% - 18
</t>
      </text>
    </comment>
    <comment ref="C30" authorId="10" shapeId="0" xr:uid="{28354B43-F9AB-514E-99C0-2AC6DB2C519B}">
      <text>
        <t xml:space="preserve">[Threaded comment]
Your version of Excel allows you to read this threaded comment; however, any edits to it will get removed if the file is opened in a newer version of Excel. Learn more: https://go.microsoft.com/fwlink/?linkid=870924
Comment:
    Stake guess was put randomly, we have used solved by setting the difference of two guessed stakes at 0 by adjusting value of the first random stake 
</t>
      </text>
    </comment>
    <comment ref="D30" authorId="11" shapeId="0" xr:uid="{F5A54133-7F02-0A4C-A876-6461A24B149D}">
      <text>
        <t xml:space="preserve">[Threaded comment]
Your version of Excel allows you to read this threaded comment; however, any edits to it will get removed if the file is opened in a newer version of Excel. Learn more: https://go.microsoft.com/fwlink/?linkid=870924
Comment:
    Probability of failing
</t>
      </text>
    </comment>
    <comment ref="A31" authorId="12" shapeId="0" xr:uid="{994E7130-D72C-5B4C-9375-C2E54C431B3B}">
      <text>
        <t xml:space="preserve">[Threaded comment]
Your version of Excel allows you to read this threaded comment; however, any edits to it will get removed if the file is opened in a newer version of Excel. Learn more: https://go.microsoft.com/fwlink/?linkid=870924
Comment:
    Founders stake decreased from 46% to 33% in the year two because of the loan investment, but in the year 6 it doesn’t change because there are no extra invesments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<sst xmlns="http://schemas.openxmlformats.org/spreadsheetml/2006/main" count="1676" uniqueCount="720">
  <si>
    <t>Task Nr</t>
  </si>
  <si>
    <t xml:space="preserve">Topic </t>
  </si>
  <si>
    <t>Question</t>
  </si>
  <si>
    <t>BCF</t>
  </si>
  <si>
    <t xml:space="preserve">Prepare the business cash flow of the firm for 2021 and 2022 based on the data provided. </t>
  </si>
  <si>
    <t>DCF</t>
  </si>
  <si>
    <t>Determine the value of the firm using at least three different DCF methods for the start of 2024 assuming that projects will not create any added value during the terminal value period.</t>
  </si>
  <si>
    <t>M&amp;A, stake</t>
  </si>
  <si>
    <t>How many new shares should we issue</t>
  </si>
  <si>
    <t>Asset-Based</t>
  </si>
  <si>
    <t xml:space="preserve">Estimate the value of their office building currently rented to a number of other firms based on the data below using at least two different asset valuation approaches. </t>
  </si>
  <si>
    <t xml:space="preserve">Theory </t>
  </si>
  <si>
    <t>Bonus Task</t>
  </si>
  <si>
    <t>Other types</t>
  </si>
  <si>
    <t>Financial Statements</t>
  </si>
  <si>
    <t>Prepare the financial statements (Balance sheet, P/L, Business cash flow) of the firm using the data given and fill in the numbers missing in the table.</t>
  </si>
  <si>
    <t>Value drivers</t>
  </si>
  <si>
    <t>Multiples</t>
  </si>
  <si>
    <t xml:space="preserve">Private equity </t>
  </si>
  <si>
    <t>From exam 12.12</t>
  </si>
  <si>
    <t>Sales</t>
  </si>
  <si>
    <t>Other income</t>
  </si>
  <si>
    <t>Material expenses</t>
  </si>
  <si>
    <t>Labour expenses</t>
  </si>
  <si>
    <t>D&amp;A</t>
  </si>
  <si>
    <t>EBIT</t>
  </si>
  <si>
    <t>Dividend received</t>
  </si>
  <si>
    <t>Interests received</t>
  </si>
  <si>
    <t>Interests paid on short term loans</t>
  </si>
  <si>
    <t>Interests paid on long term loans</t>
  </si>
  <si>
    <t>Financial profit</t>
  </si>
  <si>
    <t>Profit before tax</t>
  </si>
  <si>
    <t>Corporate tax</t>
  </si>
  <si>
    <t>Profit after tax</t>
  </si>
  <si>
    <t>Dividend</t>
  </si>
  <si>
    <t>Retained earnings</t>
  </si>
  <si>
    <t>Cash</t>
  </si>
  <si>
    <t>of which operational cash</t>
  </si>
  <si>
    <t>Marketable securities</t>
  </si>
  <si>
    <t>Receivables</t>
  </si>
  <si>
    <t>Inventory</t>
  </si>
  <si>
    <t>Current assets</t>
  </si>
  <si>
    <t>Invested assets</t>
  </si>
  <si>
    <t>Total of assests</t>
  </si>
  <si>
    <t>Short term loans</t>
  </si>
  <si>
    <t>Payables</t>
  </si>
  <si>
    <t>Short term liabilities</t>
  </si>
  <si>
    <t>Long term debt</t>
  </si>
  <si>
    <t>Equity</t>
  </si>
  <si>
    <t>Total of Liabilities and Equity</t>
  </si>
  <si>
    <t>t effective</t>
  </si>
  <si>
    <t>Business C-F</t>
  </si>
  <si>
    <t>NOPLAT</t>
  </si>
  <si>
    <t>+</t>
  </si>
  <si>
    <t>Gross profit</t>
  </si>
  <si>
    <t>d Inventory</t>
  </si>
  <si>
    <t>d Receivables</t>
  </si>
  <si>
    <t>d Operational Cash</t>
  </si>
  <si>
    <t>d Payables</t>
  </si>
  <si>
    <t>d short-term Debt</t>
  </si>
  <si>
    <t>Cash from operation/Operation C-F</t>
  </si>
  <si>
    <t>-</t>
  </si>
  <si>
    <t>d Ivested assets</t>
  </si>
  <si>
    <t>tax on int rec</t>
  </si>
  <si>
    <t>Investment CF</t>
  </si>
  <si>
    <t>FCFF</t>
  </si>
  <si>
    <t>interest paid</t>
  </si>
  <si>
    <t>tax shield</t>
  </si>
  <si>
    <t>d long-term Debt</t>
  </si>
  <si>
    <t>FCFE</t>
  </si>
  <si>
    <t>DIV</t>
  </si>
  <si>
    <t>Share issued/buyback</t>
  </si>
  <si>
    <t>D Non-operational wealth</t>
  </si>
  <si>
    <t>of which non-operational cash</t>
  </si>
  <si>
    <t>Non op wealth</t>
  </si>
  <si>
    <t>dNon-op wealth</t>
  </si>
  <si>
    <t>check</t>
  </si>
  <si>
    <t>t</t>
  </si>
  <si>
    <t>Tax / (PBT - Dividends Received)</t>
  </si>
  <si>
    <t>Interest on Liquidity Debt</t>
  </si>
  <si>
    <t>Adjusted EBIT</t>
  </si>
  <si>
    <t>Gross CF</t>
  </si>
  <si>
    <t>dInventory</t>
  </si>
  <si>
    <t>dReceivables</t>
  </si>
  <si>
    <t>Interests paid</t>
  </si>
  <si>
    <t>dOP Cash</t>
  </si>
  <si>
    <t>dPayables</t>
  </si>
  <si>
    <t>dLiquidityDebt</t>
  </si>
  <si>
    <t>CF from operations</t>
  </si>
  <si>
    <t>dInvested Assets</t>
  </si>
  <si>
    <t>Dividend Received</t>
  </si>
  <si>
    <t>Interests Received</t>
  </si>
  <si>
    <t>Tax on Interestes Received</t>
  </si>
  <si>
    <t>CF from Investments</t>
  </si>
  <si>
    <t>FCFF (Free Cash Flow to the Firm)</t>
    <phoneticPr fontId="3" type="noConversion"/>
  </si>
  <si>
    <t>Other Interests paid</t>
  </si>
  <si>
    <t>Exclude Liquidity Debt</t>
  </si>
  <si>
    <t>Tax Shield</t>
  </si>
  <si>
    <t>dDebt (Short and Long Terms)</t>
  </si>
  <si>
    <t>t - (t-1)</t>
  </si>
  <si>
    <t>FCFE</t>
    <phoneticPr fontId="3" type="noConversion"/>
  </si>
  <si>
    <t>dBV E-Ret ear</t>
  </si>
  <si>
    <t>dBV Equity [ t - (t-1) ] - Retained Earnings</t>
  </si>
  <si>
    <t>Non-operational cash</t>
  </si>
  <si>
    <t>NON OP CASH</t>
  </si>
  <si>
    <t>Check</t>
  </si>
  <si>
    <t>Other expeneses</t>
  </si>
  <si>
    <t>(t-1) - t</t>
  </si>
  <si>
    <t>of which interest on liquidity debt</t>
  </si>
  <si>
    <t>Financing interest</t>
  </si>
  <si>
    <t>Non operational cash</t>
  </si>
  <si>
    <t>Remove liquidity debt, keep only financing debt</t>
  </si>
  <si>
    <t>of which liquidity debt</t>
  </si>
  <si>
    <t>Financing short term debt</t>
  </si>
  <si>
    <t>Points achived:</t>
  </si>
  <si>
    <t>Summary or summarized lines</t>
  </si>
  <si>
    <t>Non OP</t>
  </si>
  <si>
    <t>of which Sales of Invested assets</t>
  </si>
  <si>
    <t>Other Normal Income</t>
  </si>
  <si>
    <t>OP</t>
  </si>
  <si>
    <t>INV</t>
  </si>
  <si>
    <t>FIN</t>
  </si>
  <si>
    <t>of which book value of Invested assets sold</t>
  </si>
  <si>
    <t>Other Normal Expenses</t>
  </si>
  <si>
    <t>to be adjusted</t>
  </si>
  <si>
    <t>of which interest on financing debt</t>
  </si>
  <si>
    <t>of which financing debt</t>
  </si>
  <si>
    <t>Effective Tax Rate</t>
  </si>
  <si>
    <t>brought down</t>
  </si>
  <si>
    <t>less Sales of Invested assets</t>
  </si>
  <si>
    <t>add Book value of Invested assets sold</t>
  </si>
  <si>
    <t>less interest on liquidity debt</t>
  </si>
  <si>
    <t>sum</t>
  </si>
  <si>
    <t>adj.Ebit*eff.tax</t>
  </si>
  <si>
    <t>less Tax on Adjusted EBIT</t>
  </si>
  <si>
    <t>2018-2019</t>
  </si>
  <si>
    <t>D operational cash</t>
  </si>
  <si>
    <t>D Receivables</t>
  </si>
  <si>
    <t>D Inventory</t>
  </si>
  <si>
    <t>2019-2018</t>
  </si>
  <si>
    <t>D liquidity debt</t>
  </si>
  <si>
    <t>D Payables</t>
  </si>
  <si>
    <t>Operational CF</t>
  </si>
  <si>
    <t>D Marketable securities</t>
  </si>
  <si>
    <t>D Invested assets</t>
  </si>
  <si>
    <t>div.rec*eff.tax</t>
  </si>
  <si>
    <t>TAX on Dividend received</t>
  </si>
  <si>
    <t>int.rec.*eff.tax</t>
  </si>
  <si>
    <t>TAX on Interests received</t>
  </si>
  <si>
    <t>Interest paid on financing debt</t>
  </si>
  <si>
    <t>TAX SHIELD</t>
  </si>
  <si>
    <t>D financing debt (short-term)</t>
  </si>
  <si>
    <t>D Long term debt</t>
  </si>
  <si>
    <r>
      <rPr>
        <sz val="12"/>
        <color rgb="FF00B050"/>
        <rFont val="Times New Roman"/>
        <family val="1"/>
      </rPr>
      <t>D Equity</t>
    </r>
    <r>
      <rPr>
        <sz val="12"/>
        <color theme="1"/>
        <rFont val="Times New Roman"/>
        <family val="1"/>
        <charset val="238"/>
      </rPr>
      <t xml:space="preserve"> </t>
    </r>
    <r>
      <rPr>
        <sz val="12"/>
        <color rgb="FFFF0000"/>
        <rFont val="Times New Roman"/>
        <family val="1"/>
      </rPr>
      <t>- Retained earnings</t>
    </r>
  </si>
  <si>
    <t>D Non-operational wealth due to operation</t>
  </si>
  <si>
    <t>Sales of Invested assets</t>
  </si>
  <si>
    <t>Tax on sale</t>
  </si>
  <si>
    <t>Expensed Book value of Invested assets sold</t>
  </si>
  <si>
    <t>Tax shield</t>
  </si>
  <si>
    <t>D Non-operational wealth due to other effects</t>
  </si>
  <si>
    <t>D Non-operational wealth (Total)</t>
  </si>
  <si>
    <r>
      <rPr>
        <b/>
        <sz val="12"/>
        <rFont val="Times New Roman"/>
        <family val="1"/>
      </rPr>
      <t>D Non-operational cash</t>
    </r>
    <r>
      <rPr>
        <b/>
        <i/>
        <sz val="12"/>
        <rFont val="Times New Roman"/>
        <family val="1"/>
      </rPr>
      <t xml:space="preserve"> (BS Control)</t>
    </r>
  </si>
  <si>
    <t>rD</t>
  </si>
  <si>
    <t>dOP cash</t>
  </si>
  <si>
    <t>Liq debt int</t>
  </si>
  <si>
    <t>EBIT*</t>
  </si>
  <si>
    <t>Noplat</t>
  </si>
  <si>
    <t>dRec</t>
  </si>
  <si>
    <t>dInv</t>
  </si>
  <si>
    <t>dLiqu debt</t>
  </si>
  <si>
    <t>dPay</t>
  </si>
  <si>
    <t>Liquidity debt</t>
  </si>
  <si>
    <t>OP CF</t>
  </si>
  <si>
    <t>dInv A</t>
  </si>
  <si>
    <t>Tax on inv rec</t>
  </si>
  <si>
    <t>Inv CF</t>
  </si>
  <si>
    <t>Other int</t>
  </si>
  <si>
    <t>Taxshield</t>
  </si>
  <si>
    <t>dD</t>
  </si>
  <si>
    <t>TV1</t>
  </si>
  <si>
    <t>TV2</t>
  </si>
  <si>
    <r>
      <t>r</t>
    </r>
    <r>
      <rPr>
        <vertAlign val="subscript"/>
        <sz val="12"/>
        <color rgb="FF000000"/>
        <rFont val="Times New Roman"/>
        <family val="1"/>
        <charset val="238"/>
      </rPr>
      <t>A</t>
    </r>
  </si>
  <si>
    <t>D/V boy</t>
  </si>
  <si>
    <t>D/IC boy</t>
  </si>
  <si>
    <r>
      <t>r</t>
    </r>
    <r>
      <rPr>
        <vertAlign val="subscript"/>
        <sz val="12"/>
        <color rgb="FF000000"/>
        <rFont val="Times New Roman"/>
        <family val="1"/>
        <charset val="238"/>
      </rPr>
      <t>D</t>
    </r>
  </si>
  <si>
    <t>ROIC</t>
  </si>
  <si>
    <t>RONIC</t>
  </si>
  <si>
    <t>g targeted for the given year</t>
  </si>
  <si>
    <t>IC boy</t>
  </si>
  <si>
    <t>Solution</t>
  </si>
  <si>
    <t>WACC</t>
  </si>
  <si>
    <t xml:space="preserve">K </t>
  </si>
  <si>
    <t>Debt boy</t>
  </si>
  <si>
    <t>BV Equity boy</t>
  </si>
  <si>
    <t>dIC</t>
  </si>
  <si>
    <t>Interest</t>
  </si>
  <si>
    <t>d Debt</t>
  </si>
  <si>
    <t>V boy</t>
  </si>
  <si>
    <t>FCFF+TS</t>
  </si>
  <si>
    <t>rE</t>
  </si>
  <si>
    <t>E boy</t>
  </si>
  <si>
    <t>Total IC</t>
  </si>
  <si>
    <t>TV</t>
  </si>
  <si>
    <t>TV3</t>
  </si>
  <si>
    <t>Noplat/IC</t>
  </si>
  <si>
    <t>dNoplat t/dIC t-1</t>
  </si>
  <si>
    <r>
      <t xml:space="preserve">RONICt </t>
    </r>
    <r>
      <rPr>
        <i/>
        <sz val="12"/>
        <color theme="1"/>
        <rFont val="Times New Roman"/>
        <family val="1"/>
      </rPr>
      <t>= (NOPLATt - NOPLATt-1)/ dICt-1</t>
    </r>
  </si>
  <si>
    <t>K=GROWTH (NEXT YEAR)/RONIC (NXT YR)</t>
  </si>
  <si>
    <r>
      <t xml:space="preserve">Kt </t>
    </r>
    <r>
      <rPr>
        <i/>
        <sz val="12"/>
        <color theme="1"/>
        <rFont val="Times New Roman"/>
        <family val="1"/>
      </rPr>
      <t xml:space="preserve">= dICt / NOPLATt </t>
    </r>
  </si>
  <si>
    <t>K</t>
  </si>
  <si>
    <t>Ktv Formula =g/RONIC</t>
  </si>
  <si>
    <r>
      <t>r</t>
    </r>
    <r>
      <rPr>
        <vertAlign val="subscript"/>
        <sz val="12"/>
        <color rgb="FF000000"/>
        <rFont val="Times New Roman"/>
        <family val="1"/>
      </rPr>
      <t>A</t>
    </r>
  </si>
  <si>
    <r>
      <t>r</t>
    </r>
    <r>
      <rPr>
        <vertAlign val="subscript"/>
        <sz val="12"/>
        <color rgb="FF000000"/>
        <rFont val="Times New Roman"/>
        <family val="1"/>
      </rPr>
      <t>D</t>
    </r>
  </si>
  <si>
    <t>g TV period</t>
  </si>
  <si>
    <t>GROWTH STARTS FROM TV2</t>
  </si>
  <si>
    <r>
      <t xml:space="preserve">WACC </t>
    </r>
    <r>
      <rPr>
        <i/>
        <sz val="12"/>
        <color theme="1"/>
        <rFont val="Times New Roman"/>
        <family val="1"/>
      </rPr>
      <t>= rA-D/V*rD*t</t>
    </r>
  </si>
  <si>
    <t>from noplat and dic we find ic for next year</t>
  </si>
  <si>
    <t>BS</t>
  </si>
  <si>
    <t>IC*D/IC</t>
  </si>
  <si>
    <t>IC BOY</t>
  </si>
  <si>
    <t>From NOPLAT and dic we find ic for next year</t>
  </si>
  <si>
    <t>D/IC value *IC BOY (derived formula)</t>
  </si>
  <si>
    <t>DEBT BOY</t>
  </si>
  <si>
    <t>6. WE FIND DEBT HERE DIFFERENTLY SO LEAVE THE CELLS EMPTY</t>
  </si>
  <si>
    <t>EQUITY BOY</t>
  </si>
  <si>
    <t>7. immediately after getting debt we find equity</t>
  </si>
  <si>
    <t>this is second</t>
  </si>
  <si>
    <t>8. we continue with IS because we can</t>
  </si>
  <si>
    <t>9. We find WACC for the TV period because then the S will be fixed</t>
  </si>
  <si>
    <t xml:space="preserve">10. we find K for terminal values </t>
  </si>
  <si>
    <t>noplt is the first thing we find given the information</t>
  </si>
  <si>
    <t>IC*ROIC</t>
  </si>
  <si>
    <t>1. We first find noplat</t>
  </si>
  <si>
    <t>DIC(CURRENT)*RONIC(NEXT YEAR)</t>
  </si>
  <si>
    <t>DNOPLAT</t>
  </si>
  <si>
    <t>2. Second we find dnoplat</t>
  </si>
  <si>
    <t>K*NOPLAT</t>
  </si>
  <si>
    <t>DIC</t>
  </si>
  <si>
    <t>3. third we find dic</t>
  </si>
  <si>
    <t>4. because we have noplat we can start with IS</t>
  </si>
  <si>
    <t>IS</t>
  </si>
  <si>
    <t>EBIT =NOPLAT/(1-t)</t>
  </si>
  <si>
    <t>5. from d/ic ratio we can find debt for the first year by reversing formula</t>
  </si>
  <si>
    <t>debt*rD</t>
  </si>
  <si>
    <t>interest payment</t>
  </si>
  <si>
    <t>profit before tax</t>
  </si>
  <si>
    <t>=IF(D54&lt;0,0,D54*D30</t>
  </si>
  <si>
    <t>corporate tax</t>
  </si>
  <si>
    <t>profit after tax</t>
  </si>
  <si>
    <t>dEquity required</t>
  </si>
  <si>
    <t>Issue/buyback of equity</t>
  </si>
  <si>
    <t>Div payoff ratio</t>
  </si>
  <si>
    <t>effective tax rate</t>
  </si>
  <si>
    <t>interest payment*effective tax rate</t>
  </si>
  <si>
    <t>dDebt</t>
  </si>
  <si>
    <t>WE HAVE TO USE APV TO FIND EVERYTHING ELSE (VALUE) 4TH MODIFICATION</t>
  </si>
  <si>
    <t>dequity-retained earnings</t>
  </si>
  <si>
    <t xml:space="preserve">dnon operational wealth </t>
  </si>
  <si>
    <r>
      <t xml:space="preserve">APV: 
</t>
    </r>
    <r>
      <rPr>
        <i/>
        <sz val="12"/>
        <color theme="1"/>
        <rFont val="Times New Roman"/>
        <family val="1"/>
      </rPr>
      <t>CALCUATE THIS FIRST TO OBTAIN V WITHOUT NEEDING D/V</t>
    </r>
  </si>
  <si>
    <t>rA</t>
  </si>
  <si>
    <t>Vboy</t>
  </si>
  <si>
    <r>
      <t>rE</t>
    </r>
    <r>
      <rPr>
        <i/>
        <sz val="12"/>
        <color theme="1"/>
        <rFont val="Times New Roman"/>
        <family val="1"/>
      </rPr>
      <t>=(rA-D/V*rD)/(1-D/V)</t>
    </r>
  </si>
  <si>
    <t>PBT</t>
  </si>
  <si>
    <t>Tax</t>
  </si>
  <si>
    <t>PAT</t>
  </si>
  <si>
    <t>Change in BV Equity</t>
  </si>
  <si>
    <t>Issue/buyback of Equity</t>
  </si>
  <si>
    <t>effective tax assumed</t>
  </si>
  <si>
    <t>dEquity - RE</t>
  </si>
  <si>
    <t>Non operating wealth</t>
  </si>
  <si>
    <t>APV</t>
  </si>
  <si>
    <t>&lt;== expand TV assumptions</t>
  </si>
  <si>
    <t>&lt;== g should start in TV2</t>
  </si>
  <si>
    <r>
      <t xml:space="preserve">WACC </t>
    </r>
    <r>
      <rPr>
        <i/>
        <sz val="12"/>
        <color theme="1"/>
        <rFont val="Times New Roman"/>
        <family val="1"/>
        <charset val="238"/>
      </rPr>
      <t>= r</t>
    </r>
    <r>
      <rPr>
        <i/>
        <sz val="8"/>
        <color theme="1"/>
        <rFont val="Times New Roman"/>
        <family val="1"/>
        <charset val="238"/>
      </rPr>
      <t>A</t>
    </r>
    <r>
      <rPr>
        <i/>
        <sz val="12"/>
        <color theme="1"/>
        <rFont val="Times New Roman"/>
        <family val="1"/>
        <charset val="238"/>
      </rPr>
      <t>-D/V*r</t>
    </r>
    <r>
      <rPr>
        <i/>
        <sz val="8"/>
        <color theme="1"/>
        <rFont val="Times New Roman"/>
        <family val="1"/>
        <charset val="238"/>
      </rPr>
      <t>D</t>
    </r>
    <r>
      <rPr>
        <i/>
        <sz val="12"/>
        <color theme="1"/>
        <rFont val="Times New Roman"/>
        <family val="1"/>
        <charset val="238"/>
      </rPr>
      <t>*t</t>
    </r>
  </si>
  <si>
    <t>&lt;== Orange cells will be empty at the beginning until we obtain V using FCFF</t>
  </si>
  <si>
    <t>Equity boy</t>
  </si>
  <si>
    <t>P/L</t>
  </si>
  <si>
    <r>
      <t xml:space="preserve">EBIT = </t>
    </r>
    <r>
      <rPr>
        <i/>
        <sz val="12"/>
        <color theme="1"/>
        <rFont val="Times New Roman"/>
        <family val="1"/>
      </rPr>
      <t>Noplat/(1-t)</t>
    </r>
  </si>
  <si>
    <t>&lt;== use given t</t>
  </si>
  <si>
    <t>Interest payment</t>
  </si>
  <si>
    <t>&lt;== make sure you end up with the same effective t (not 0% in the 1st year for e.g.)</t>
  </si>
  <si>
    <t>Business CF</t>
  </si>
  <si>
    <t>&lt;== use ROIC until 2024 and then switch to RONIC in 2025</t>
  </si>
  <si>
    <r>
      <t xml:space="preserve">dIC = </t>
    </r>
    <r>
      <rPr>
        <i/>
        <sz val="12"/>
        <color theme="1"/>
        <rFont val="Times New Roman"/>
        <family val="1"/>
        <charset val="238"/>
      </rPr>
      <t>K</t>
    </r>
    <r>
      <rPr>
        <i/>
        <sz val="10"/>
        <color theme="1"/>
        <rFont val="Times New Roman"/>
        <family val="1"/>
        <charset val="238"/>
      </rPr>
      <t xml:space="preserve">t </t>
    </r>
    <r>
      <rPr>
        <i/>
        <sz val="12"/>
        <color theme="1"/>
        <rFont val="Times New Roman"/>
        <family val="1"/>
        <charset val="238"/>
      </rPr>
      <t>* NOPLAT</t>
    </r>
    <r>
      <rPr>
        <i/>
        <sz val="10"/>
        <color theme="1"/>
        <rFont val="Times New Roman"/>
        <family val="1"/>
        <charset val="238"/>
      </rPr>
      <t>t</t>
    </r>
    <r>
      <rPr>
        <i/>
        <sz val="12"/>
        <color theme="1"/>
        <rFont val="Times New Roman"/>
        <family val="1"/>
        <charset val="238"/>
      </rPr>
      <t xml:space="preserve"> </t>
    </r>
  </si>
  <si>
    <t>dEquity-Retained earnings</t>
  </si>
  <si>
    <t>dNon operational wealth</t>
  </si>
  <si>
    <t xml:space="preserve">&lt;== 1st step: Calculate orange cells to obtain D (in the balance sheet) in TV </t>
  </si>
  <si>
    <t>&lt;== 2nd step: Calculate V to obtain D/V for 2022 - 2026</t>
  </si>
  <si>
    <r>
      <t>r</t>
    </r>
    <r>
      <rPr>
        <sz val="10"/>
        <color theme="1"/>
        <rFont val="Times New Roman"/>
        <family val="1"/>
        <charset val="238"/>
      </rPr>
      <t>E</t>
    </r>
    <r>
      <rPr>
        <i/>
        <sz val="12"/>
        <color theme="1"/>
        <rFont val="Times New Roman"/>
        <family val="1"/>
        <charset val="238"/>
      </rPr>
      <t>=(r</t>
    </r>
    <r>
      <rPr>
        <i/>
        <sz val="10"/>
        <color theme="1"/>
        <rFont val="Times New Roman"/>
        <family val="1"/>
        <charset val="238"/>
      </rPr>
      <t>A</t>
    </r>
    <r>
      <rPr>
        <i/>
        <sz val="12"/>
        <color theme="1"/>
        <rFont val="Times New Roman"/>
        <family val="1"/>
        <charset val="238"/>
      </rPr>
      <t>-D/V*r</t>
    </r>
    <r>
      <rPr>
        <i/>
        <sz val="10"/>
        <color theme="1"/>
        <rFont val="Times New Roman"/>
        <family val="1"/>
        <charset val="238"/>
      </rPr>
      <t>D</t>
    </r>
    <r>
      <rPr>
        <i/>
        <sz val="12"/>
        <color theme="1"/>
        <rFont val="Times New Roman"/>
        <family val="1"/>
        <charset val="238"/>
      </rPr>
      <t>)/(1-D/V)</t>
    </r>
  </si>
  <si>
    <t>&lt;== 3rd step: FCFE for checking since it has a different discounting rate and easier than RI</t>
  </si>
  <si>
    <t>Intermediate Calculations</t>
  </si>
  <si>
    <t>&lt;== use ROIC in 1st year then switch to RONIC</t>
  </si>
  <si>
    <t>transaction fee</t>
  </si>
  <si>
    <t>HUF</t>
  </si>
  <si>
    <t>Firm A</t>
  </si>
  <si>
    <t>Firm B</t>
  </si>
  <si>
    <t>Together</t>
  </si>
  <si>
    <t>M HUF?</t>
  </si>
  <si>
    <t>D/V</t>
  </si>
  <si>
    <t xml:space="preserve"> </t>
  </si>
  <si>
    <t>g</t>
  </si>
  <si>
    <t>Number of shares</t>
  </si>
  <si>
    <t>Without synergy</t>
  </si>
  <si>
    <t>Synergy</t>
  </si>
  <si>
    <t>V</t>
  </si>
  <si>
    <t>D</t>
  </si>
  <si>
    <t>E</t>
  </si>
  <si>
    <t>base</t>
  </si>
  <si>
    <t>transaction cost (M HUF)</t>
  </si>
  <si>
    <t>Bargaining range</t>
  </si>
  <si>
    <t>Min</t>
  </si>
  <si>
    <t>Max</t>
  </si>
  <si>
    <t>Price paid</t>
  </si>
  <si>
    <t>Share</t>
  </si>
  <si>
    <t>NB: NOPLAT 1 = NOPLAT0 * (1 + g)</t>
  </si>
  <si>
    <t>Assumed the next year is TV period, where RONIC = WACC</t>
  </si>
  <si>
    <t>~NOPLAT/~IC0</t>
  </si>
  <si>
    <t xml:space="preserve">Noplat next year </t>
  </si>
  <si>
    <t>~IC/NOPLAT</t>
  </si>
  <si>
    <t xml:space="preserve">k </t>
  </si>
  <si>
    <t>Noplat this year</t>
  </si>
  <si>
    <t>~IC EoY</t>
  </si>
  <si>
    <t>V boY</t>
  </si>
  <si>
    <t>D BoY</t>
  </si>
  <si>
    <t>E BoY</t>
  </si>
  <si>
    <t>Syn</t>
  </si>
  <si>
    <t>P min</t>
  </si>
  <si>
    <t>P max</t>
  </si>
  <si>
    <t>Price</t>
  </si>
  <si>
    <t>Pay with non operational cash</t>
  </si>
  <si>
    <t>Share worth</t>
  </si>
  <si>
    <t>B hold%</t>
  </si>
  <si>
    <t>initial shares owned A</t>
  </si>
  <si>
    <t>no. of shares</t>
  </si>
  <si>
    <t>A owns %</t>
  </si>
  <si>
    <t>No. of shares B holds</t>
  </si>
  <si>
    <t>Total no. of shares</t>
  </si>
  <si>
    <t>IC start of the year</t>
  </si>
  <si>
    <t>ROIC first year</t>
  </si>
  <si>
    <t>RONIC long term</t>
  </si>
  <si>
    <t>FCFFt = ICt-1 * ROICt * (1- gt+1 / RONICt+1)</t>
  </si>
  <si>
    <t>Max price</t>
  </si>
  <si>
    <t>Non-operational cash available to A</t>
  </si>
  <si>
    <t>(50% of synergy passed over)</t>
  </si>
  <si>
    <t>Ownership passed over to B</t>
  </si>
  <si>
    <t>Ownership stake for B (in % of merged firm E)</t>
  </si>
  <si>
    <t>which would be all owned by A after merger</t>
  </si>
  <si>
    <t>Number of initial shares (A + B)</t>
  </si>
  <si>
    <t>== Equivalent to ownership of A (in % of the merged firm E)</t>
  </si>
  <si>
    <t>Number of new shares to be issued for B</t>
  </si>
  <si>
    <t>Total Number of shares (post-merger)</t>
  </si>
  <si>
    <t>A stake</t>
  </si>
  <si>
    <t>B stake</t>
  </si>
  <si>
    <t>Exchange rate????</t>
  </si>
  <si>
    <t>Asset with expenses during lifetime (We are paying rent)</t>
  </si>
  <si>
    <t>Current EV</t>
  </si>
  <si>
    <t>Current EBITDA</t>
  </si>
  <si>
    <t>Rental fees for example</t>
  </si>
  <si>
    <t>Expenses (tax deductible)</t>
  </si>
  <si>
    <t>Growing PP end of the year = C/(r-g)*(1+r) with C = fees*(1-t)</t>
  </si>
  <si>
    <t>Expenses</t>
  </si>
  <si>
    <t>EV corrected</t>
  </si>
  <si>
    <t>New EBITDA</t>
  </si>
  <si>
    <t>Equity ( EV - Debt )</t>
  </si>
  <si>
    <t>Deduct also liquid cash</t>
  </si>
  <si>
    <t>EV (using multiple)</t>
  </si>
  <si>
    <t>Asset that will be sold</t>
  </si>
  <si>
    <t>Sales Price given</t>
  </si>
  <si>
    <t>Income</t>
  </si>
  <si>
    <t>How much are we going to get when selling it</t>
  </si>
  <si>
    <t>BV of Asset given</t>
  </si>
  <si>
    <t>How much is the asset worth in the book</t>
  </si>
  <si>
    <t>PBT (EBIT)</t>
  </si>
  <si>
    <t>PBT*t</t>
  </si>
  <si>
    <t>Tax amount</t>
  </si>
  <si>
    <t>PAT (NOPLAT)</t>
  </si>
  <si>
    <t>FCFF [ dIC is change in PP&amp;E (BV of Asset) ]</t>
  </si>
  <si>
    <t>Value</t>
  </si>
  <si>
    <t>We should get the same value</t>
  </si>
  <si>
    <t>Asset sold after construction</t>
  </si>
  <si>
    <t>Income Statement</t>
  </si>
  <si>
    <t xml:space="preserve">CF </t>
  </si>
  <si>
    <t>Sales Price of Constructed asset</t>
  </si>
  <si>
    <t>Revenue</t>
  </si>
  <si>
    <t>Cost of Construction</t>
  </si>
  <si>
    <t>Costs</t>
  </si>
  <si>
    <t>BV of Asset before construction</t>
  </si>
  <si>
    <t>BV Current Asset</t>
  </si>
  <si>
    <t>Profit (EBIT)</t>
  </si>
  <si>
    <t>CF in years</t>
  </si>
  <si>
    <t>Profit*t</t>
  </si>
  <si>
    <t>Tax on Profit</t>
  </si>
  <si>
    <t>CF today</t>
  </si>
  <si>
    <t>Divide by (1+r)^t</t>
  </si>
  <si>
    <t>Asset generating income and subject to amortization</t>
  </si>
  <si>
    <t>r</t>
  </si>
  <si>
    <t>Tax Accounting lifetime (n')</t>
  </si>
  <si>
    <t>Useful life (n)</t>
  </si>
  <si>
    <t>g of rental fees</t>
  </si>
  <si>
    <t>Construction cost</t>
  </si>
  <si>
    <t>Tax deductible expense</t>
  </si>
  <si>
    <t>PV (Construction cost)</t>
  </si>
  <si>
    <t>Cost*(1-t) discounted to today</t>
  </si>
  <si>
    <t>Annual (based on tax lifetime)</t>
  </si>
  <si>
    <t>Construction Cost / tax lifetime</t>
  </si>
  <si>
    <t>OR Net Book Value / Tax lifrtime</t>
  </si>
  <si>
    <t>Yearly Rental income</t>
  </si>
  <si>
    <t>Income*(1-tax)</t>
  </si>
  <si>
    <t>Growing Annuity WITHOUT D&amp;A</t>
  </si>
  <si>
    <t>Value generated (income)</t>
  </si>
  <si>
    <t>(C/(r-g) *  (1- (1+g)^n / (1+r) ^n))</t>
  </si>
  <si>
    <t>D&amp;A * t</t>
  </si>
  <si>
    <t>Tax shield of D&amp;A</t>
  </si>
  <si>
    <t>Non Growing annuity (tax lifetime)</t>
  </si>
  <si>
    <t>Value in years</t>
  </si>
  <si>
    <t>C/r*(1-(1/(1+r)^n'))</t>
  </si>
  <si>
    <t>Add Tax Shield to revenues</t>
  </si>
  <si>
    <t>Total Value with TS</t>
  </si>
  <si>
    <t>Substract expenses from revenues</t>
  </si>
  <si>
    <t>Construction Costs</t>
  </si>
  <si>
    <t>To get Net Income</t>
  </si>
  <si>
    <t>PV in years</t>
  </si>
  <si>
    <t>Discount to Today</t>
  </si>
  <si>
    <t>PV Today</t>
  </si>
  <si>
    <t>Adjusted Historical Cost = [ Gross Value * (1+Inflation) ^ age ] * Net Value / Gross Value</t>
  </si>
  <si>
    <t>Capitalization = Annual rental income / Cap Rate for EBITDA</t>
  </si>
  <si>
    <t>Corporate tax rate</t>
  </si>
  <si>
    <t>Required rate of return on renting</t>
  </si>
  <si>
    <t>Capitalisation rate for EBITDA</t>
  </si>
  <si>
    <t>Average inflation during the last 20 years</t>
  </si>
  <si>
    <t>Age of the building</t>
  </si>
  <si>
    <t>years</t>
  </si>
  <si>
    <t>Useful operational years left over</t>
  </si>
  <si>
    <t>Accounting life time left over</t>
  </si>
  <si>
    <t>Total net monthly rental income before D&amp;A</t>
  </si>
  <si>
    <t>Expected g of rental fees</t>
  </si>
  <si>
    <t>Net book value of the building</t>
  </si>
  <si>
    <t>Gross book value of the building</t>
  </si>
  <si>
    <t>Growing annuity of Rent</t>
  </si>
  <si>
    <t>TS of D&amp;A</t>
  </si>
  <si>
    <t>Total PV with TS</t>
  </si>
  <si>
    <t>Book Value of the Building</t>
  </si>
  <si>
    <t>PV in 20 Years</t>
  </si>
  <si>
    <t>Adjusted historical cost</t>
  </si>
  <si>
    <t>Capitalization</t>
  </si>
  <si>
    <t>Rental income</t>
  </si>
  <si>
    <t>TS</t>
  </si>
  <si>
    <t>rF</t>
  </si>
  <si>
    <t>Market risk premium</t>
  </si>
  <si>
    <t>A</t>
  </si>
  <si>
    <t>P</t>
  </si>
  <si>
    <t xml:space="preserve"> number of shares</t>
  </si>
  <si>
    <t>Capitalisation</t>
  </si>
  <si>
    <t>betaE</t>
  </si>
  <si>
    <t>Debt</t>
  </si>
  <si>
    <t>debt risk premium</t>
  </si>
  <si>
    <t>betaD</t>
  </si>
  <si>
    <t>D/E</t>
  </si>
  <si>
    <t>E/V</t>
  </si>
  <si>
    <t>X</t>
  </si>
  <si>
    <t>Y</t>
  </si>
  <si>
    <t>Z</t>
  </si>
  <si>
    <t>Average</t>
  </si>
  <si>
    <t>my calculations</t>
  </si>
  <si>
    <t>required results</t>
  </si>
  <si>
    <t>Competitor A</t>
  </si>
  <si>
    <t>Competitor B</t>
  </si>
  <si>
    <t>Competitor C</t>
  </si>
  <si>
    <t>Target Firm</t>
  </si>
  <si>
    <t xml:space="preserve">not sure at all about the ones in red lol </t>
  </si>
  <si>
    <t># of shares</t>
  </si>
  <si>
    <t>Current share quote</t>
  </si>
  <si>
    <t>E (market value)</t>
  </si>
  <si>
    <t>beta E = (rE - rf) / (rM - rf)</t>
  </si>
  <si>
    <t>beta D = (rD - rf) / (rM - rf)</t>
  </si>
  <si>
    <t>beta A  = (rA - rf) / (rM - rf)</t>
  </si>
  <si>
    <t>rE = rA + D/E * (rA - rD)</t>
  </si>
  <si>
    <t xml:space="preserve">rA = D/V * rD  + (1-D/V) * rE </t>
  </si>
  <si>
    <t>rf</t>
  </si>
  <si>
    <t>rM-rf</t>
  </si>
  <si>
    <t>The 4 firms have different sizes and financing stuctures, but their operations should be roughly the same</t>
  </si>
  <si>
    <t>==&gt; it makes more sense to consider the average of rA for the target firm rather than rE … and based on rA we can calculated rE then the betas</t>
  </si>
  <si>
    <t>EBIT/Sales</t>
  </si>
  <si>
    <r>
      <t xml:space="preserve">ROICt </t>
    </r>
    <r>
      <rPr>
        <i/>
        <sz val="12"/>
        <color theme="1"/>
        <rFont val="Times New Roman"/>
        <family val="1"/>
      </rPr>
      <t>= NOPLATt / ICt boy</t>
    </r>
  </si>
  <si>
    <r>
      <t xml:space="preserve">gt </t>
    </r>
    <r>
      <rPr>
        <i/>
        <sz val="12"/>
        <color theme="1"/>
        <rFont val="Times New Roman"/>
        <family val="1"/>
      </rPr>
      <t>= (NOPLATt - NOPLATt-1)/NOPLATt-1</t>
    </r>
  </si>
  <si>
    <t>effective tax rate = corp tax/PBT</t>
  </si>
  <si>
    <t>t (effective)</t>
  </si>
  <si>
    <t>IC+dIC(previous year)</t>
  </si>
  <si>
    <t>IC Boy</t>
  </si>
  <si>
    <t>bring down debt</t>
  </si>
  <si>
    <t>Debt Boy</t>
  </si>
  <si>
    <t>IC Boy-Debt Boy</t>
  </si>
  <si>
    <t>Equity Boy</t>
  </si>
  <si>
    <t>Given, bring from above</t>
  </si>
  <si>
    <t>Sales*ratio</t>
  </si>
  <si>
    <t>Debt*rate of debt (rD)</t>
  </si>
  <si>
    <t>intrest payment</t>
  </si>
  <si>
    <t>ebit-interest</t>
  </si>
  <si>
    <t>=IF(PBT&lt;0,0,PBT*Corp tax rate)</t>
  </si>
  <si>
    <t>PBT-corporate tax</t>
  </si>
  <si>
    <t>PAT-Retained Earnings</t>
  </si>
  <si>
    <t>dEquity 2023-2022</t>
  </si>
  <si>
    <t>retaind earnings-dequity required</t>
  </si>
  <si>
    <t>PAT/Dividend</t>
  </si>
  <si>
    <t>corp.tax/PBT</t>
  </si>
  <si>
    <t>EBIT*(1-effective tax rate)</t>
  </si>
  <si>
    <t>noplat-dic</t>
  </si>
  <si>
    <t>interest payment*eff.tax rate</t>
  </si>
  <si>
    <t>debt 2023-2022</t>
  </si>
  <si>
    <t>FCFF- int.pay,+tax sh.+ddebt</t>
  </si>
  <si>
    <t>Non-Operating Wealth</t>
  </si>
  <si>
    <t>2026 and after</t>
  </si>
  <si>
    <t>Equity start of the year</t>
  </si>
  <si>
    <t>Invested Assets start of the year</t>
  </si>
  <si>
    <t>Sales/Invested Assets</t>
  </si>
  <si>
    <t>Corporate tax rate (nominal)</t>
  </si>
  <si>
    <r>
      <t xml:space="preserve">ROICt = </t>
    </r>
    <r>
      <rPr>
        <i/>
        <sz val="12"/>
        <color theme="1"/>
        <rFont val="Times New Roman"/>
        <family val="1"/>
      </rPr>
      <t>NOPLAT</t>
    </r>
    <r>
      <rPr>
        <i/>
        <sz val="9"/>
        <color theme="1"/>
        <rFont val="Times New Roman"/>
        <family val="1"/>
      </rPr>
      <t>t</t>
    </r>
    <r>
      <rPr>
        <i/>
        <sz val="12"/>
        <color theme="1"/>
        <rFont val="Times New Roman"/>
        <family val="1"/>
      </rPr>
      <t xml:space="preserve"> / IC</t>
    </r>
    <r>
      <rPr>
        <i/>
        <sz val="9"/>
        <color theme="1"/>
        <rFont val="Times New Roman"/>
        <family val="1"/>
      </rPr>
      <t>t-1</t>
    </r>
    <r>
      <rPr>
        <i/>
        <sz val="12"/>
        <color theme="1"/>
        <rFont val="Times New Roman"/>
        <family val="1"/>
      </rPr>
      <t xml:space="preserve"> (i.e. IC</t>
    </r>
    <r>
      <rPr>
        <i/>
        <sz val="10"/>
        <color theme="1"/>
        <rFont val="Times New Roman"/>
        <family val="1"/>
      </rPr>
      <t>t boy</t>
    </r>
    <r>
      <rPr>
        <i/>
        <sz val="12"/>
        <color theme="1"/>
        <rFont val="Times New Roman"/>
        <family val="1"/>
      </rPr>
      <t>)</t>
    </r>
  </si>
  <si>
    <r>
      <t xml:space="preserve">RONICt </t>
    </r>
    <r>
      <rPr>
        <i/>
        <sz val="12"/>
        <color theme="1"/>
        <rFont val="Times New Roman"/>
        <family val="1"/>
        <charset val="238"/>
      </rPr>
      <t>= (NOPLAT</t>
    </r>
    <r>
      <rPr>
        <i/>
        <sz val="8"/>
        <color theme="1"/>
        <rFont val="Times New Roman"/>
        <family val="1"/>
        <charset val="238"/>
      </rPr>
      <t xml:space="preserve">t </t>
    </r>
    <r>
      <rPr>
        <i/>
        <sz val="12"/>
        <color theme="1"/>
        <rFont val="Times New Roman"/>
        <family val="1"/>
        <charset val="238"/>
      </rPr>
      <t>- NOPLAT</t>
    </r>
    <r>
      <rPr>
        <i/>
        <sz val="8"/>
        <color theme="1"/>
        <rFont val="Times New Roman"/>
        <family val="1"/>
        <charset val="238"/>
      </rPr>
      <t>t-1</t>
    </r>
    <r>
      <rPr>
        <i/>
        <sz val="12"/>
        <color theme="1"/>
        <rFont val="Times New Roman"/>
        <family val="1"/>
        <charset val="238"/>
      </rPr>
      <t>)/ dIC</t>
    </r>
    <r>
      <rPr>
        <i/>
        <sz val="8"/>
        <color theme="1"/>
        <rFont val="Times New Roman"/>
        <family val="1"/>
        <charset val="238"/>
      </rPr>
      <t>t-1</t>
    </r>
  </si>
  <si>
    <t>Ebit*(1-eff.tax)</t>
  </si>
  <si>
    <r>
      <t xml:space="preserve">Kt </t>
    </r>
    <r>
      <rPr>
        <i/>
        <sz val="12"/>
        <color theme="1"/>
        <rFont val="Times New Roman"/>
        <family val="1"/>
        <charset val="238"/>
      </rPr>
      <t>= dIC</t>
    </r>
    <r>
      <rPr>
        <i/>
        <sz val="8"/>
        <color theme="1"/>
        <rFont val="Times New Roman"/>
        <family val="1"/>
        <charset val="238"/>
      </rPr>
      <t>t</t>
    </r>
    <r>
      <rPr>
        <i/>
        <sz val="12"/>
        <color theme="1"/>
        <rFont val="Times New Roman"/>
        <family val="1"/>
        <charset val="238"/>
      </rPr>
      <t xml:space="preserve"> / NOPLAT</t>
    </r>
    <r>
      <rPr>
        <i/>
        <sz val="8"/>
        <color theme="1"/>
        <rFont val="Times New Roman"/>
        <family val="1"/>
        <charset val="238"/>
      </rPr>
      <t xml:space="preserve">t </t>
    </r>
  </si>
  <si>
    <t>E/(1-D/ICratio)</t>
  </si>
  <si>
    <t>IC*D/ICRATIO)</t>
  </si>
  <si>
    <t>D boy</t>
  </si>
  <si>
    <t>INV ASSETS*SALES-INV</t>
  </si>
  <si>
    <t>SALES*EBIT/SALES</t>
  </si>
  <si>
    <t>d*rd</t>
  </si>
  <si>
    <t>+IF(D49&lt;0,0,D49*D30</t>
  </si>
  <si>
    <t>INTERMEDIATE CALCULATIONS</t>
  </si>
  <si>
    <t>+Sales</t>
    <phoneticPr fontId="3" type="noConversion"/>
  </si>
  <si>
    <t>-Material Expenses</t>
    <phoneticPr fontId="3" type="noConversion"/>
  </si>
  <si>
    <t>-Labour Expeneses</t>
    <phoneticPr fontId="3" type="noConversion"/>
  </si>
  <si>
    <t>-D&amp;A</t>
    <phoneticPr fontId="3" type="noConversion"/>
  </si>
  <si>
    <t>=Operational profit</t>
    <phoneticPr fontId="3" type="noConversion"/>
  </si>
  <si>
    <t>-Interest</t>
    <phoneticPr fontId="3" type="noConversion"/>
  </si>
  <si>
    <t>=Profit before tax</t>
    <phoneticPr fontId="3" type="noConversion"/>
  </si>
  <si>
    <t>-Tax</t>
    <phoneticPr fontId="3" type="noConversion"/>
  </si>
  <si>
    <t>=Profit after tax</t>
    <phoneticPr fontId="3" type="noConversion"/>
  </si>
  <si>
    <t>-Dividend</t>
    <phoneticPr fontId="3" type="noConversion"/>
  </si>
  <si>
    <t>=Retained earning</t>
    <phoneticPr fontId="3" type="noConversion"/>
  </si>
  <si>
    <t>Formula is important!</t>
    <phoneticPr fontId="3" type="noConversion"/>
  </si>
  <si>
    <t>▲ Equity needed</t>
    <phoneticPr fontId="3" type="noConversion"/>
  </si>
  <si>
    <t>Share issue/buyback</t>
    <phoneticPr fontId="3" type="noConversion"/>
  </si>
  <si>
    <t>Important!</t>
    <phoneticPr fontId="3" type="noConversion"/>
  </si>
  <si>
    <t>PP&amp;E</t>
  </si>
  <si>
    <t>Investory</t>
  </si>
  <si>
    <t>g Sales</t>
  </si>
  <si>
    <t>Material exp/Sales</t>
  </si>
  <si>
    <t>Labour exp/Sales</t>
  </si>
  <si>
    <t>D&amp;A/PPE boy (beginning of the year)</t>
    <phoneticPr fontId="3" type="noConversion"/>
  </si>
  <si>
    <t>PPE boy/Sales</t>
  </si>
  <si>
    <t>Inventory tod (raw material only!)</t>
  </si>
  <si>
    <t>Receivables tod (turnover the days)</t>
    <phoneticPr fontId="3" type="noConversion"/>
  </si>
  <si>
    <t>Cash/Sales</t>
  </si>
  <si>
    <t>Payables tod</t>
  </si>
  <si>
    <t>Debt/IC (investment capital)</t>
    <phoneticPr fontId="3" type="noConversion"/>
  </si>
  <si>
    <t>rD (cost od Debt)</t>
    <phoneticPr fontId="3" type="noConversion"/>
  </si>
  <si>
    <t>Q4</t>
    <phoneticPr fontId="3" type="noConversion"/>
  </si>
  <si>
    <t>! NOPLAT (Net operating profit less Adjusted-tax) = EBIT - Taxs = EBIT*(1-t)</t>
    <phoneticPr fontId="3" type="noConversion"/>
  </si>
  <si>
    <t>Operational profit (EBIT)</t>
    <phoneticPr fontId="3" type="noConversion"/>
  </si>
  <si>
    <t>+NOPLAT (Net operating profit less Adjusted-tax) = EBIT - Taxs = EBIT*(1-t)</t>
    <phoneticPr fontId="3" type="noConversion"/>
  </si>
  <si>
    <t>+D&amp;A</t>
    <phoneticPr fontId="3" type="noConversion"/>
  </si>
  <si>
    <t>=Gross CF</t>
    <phoneticPr fontId="3" type="noConversion"/>
  </si>
  <si>
    <t>+▲ Inventory (Y0-Y1)</t>
    <phoneticPr fontId="3" type="noConversion"/>
  </si>
  <si>
    <t>+▲ Receivable (Y0-Y1)</t>
    <phoneticPr fontId="3" type="noConversion"/>
  </si>
  <si>
    <t>+▲ Cash (Y0-Y1)</t>
    <phoneticPr fontId="3" type="noConversion"/>
  </si>
  <si>
    <t>+▲ Payable (Y1-Y0)</t>
    <phoneticPr fontId="3" type="noConversion"/>
  </si>
  <si>
    <t>=Cash from operation</t>
    <phoneticPr fontId="3" type="noConversion"/>
  </si>
  <si>
    <t>+▲ PP&amp;E (Y0-Y1)</t>
    <phoneticPr fontId="3" type="noConversion"/>
  </si>
  <si>
    <t>=CF from investment</t>
    <phoneticPr fontId="3" type="noConversion"/>
  </si>
  <si>
    <t>+Interest</t>
    <phoneticPr fontId="3" type="noConversion"/>
  </si>
  <si>
    <t>! minus</t>
    <phoneticPr fontId="3" type="noConversion"/>
  </si>
  <si>
    <t>+tax shield</t>
    <phoneticPr fontId="3" type="noConversion"/>
  </si>
  <si>
    <t>+▲ Debt (Y1-Y0)</t>
    <phoneticPr fontId="3" type="noConversion"/>
  </si>
  <si>
    <t>Dividend</t>
    <phoneticPr fontId="3" type="noConversion"/>
  </si>
  <si>
    <t>FCFE and Dividend should be equal!</t>
    <phoneticPr fontId="3" type="noConversion"/>
  </si>
  <si>
    <t>Q5</t>
    <phoneticPr fontId="3" type="noConversion"/>
  </si>
  <si>
    <t>Value drivers</t>
    <phoneticPr fontId="3" type="noConversion"/>
  </si>
  <si>
    <t>IC boy</t>
    <phoneticPr fontId="3" type="noConversion"/>
  </si>
  <si>
    <t>▲ IC</t>
    <phoneticPr fontId="3" type="noConversion"/>
  </si>
  <si>
    <t>NOPLAT</t>
    <phoneticPr fontId="3" type="noConversion"/>
  </si>
  <si>
    <t>FCFF</t>
    <phoneticPr fontId="3" type="noConversion"/>
  </si>
  <si>
    <t>g</t>
    <phoneticPr fontId="3" type="noConversion"/>
  </si>
  <si>
    <t>ROIC = NOPLAT - IC boy</t>
    <phoneticPr fontId="3" type="noConversion"/>
  </si>
  <si>
    <t>RONIC = ▲ NOPLAT - ▲ IC</t>
    <phoneticPr fontId="3" type="noConversion"/>
  </si>
  <si>
    <t>k = ▲ IC / NOPLAT</t>
    <phoneticPr fontId="3" type="noConversion"/>
  </si>
  <si>
    <t>dREc</t>
  </si>
  <si>
    <t>dCash</t>
  </si>
  <si>
    <t>CF form operation</t>
  </si>
  <si>
    <t>dPP&amp;E</t>
  </si>
  <si>
    <t>CF from Investment</t>
  </si>
  <si>
    <t>Dequity w/o Ret Ear</t>
  </si>
  <si>
    <t>dUnneeded wealth</t>
  </si>
  <si>
    <t>Points achieved:</t>
  </si>
  <si>
    <t>Material expences</t>
  </si>
  <si>
    <t>Labour expences</t>
  </si>
  <si>
    <t>Other expences</t>
  </si>
  <si>
    <t>Operational profit</t>
  </si>
  <si>
    <t>Interest paid</t>
  </si>
  <si>
    <t>Other short term liabilities</t>
  </si>
  <si>
    <t>IC</t>
  </si>
  <si>
    <t>NOPLAT/IC-1</t>
  </si>
  <si>
    <t>Dnoplat/dic</t>
  </si>
  <si>
    <t>oper.profit/(1-eff.tax)</t>
  </si>
  <si>
    <t>dic/noplat</t>
  </si>
  <si>
    <t>ic2023-ic2022</t>
  </si>
  <si>
    <t>Dic</t>
  </si>
  <si>
    <t>RONIC*k-1</t>
  </si>
  <si>
    <t>Corporate tax rate (effective)</t>
  </si>
  <si>
    <t>NOPLAT/IC</t>
  </si>
  <si>
    <t>EBIT/SALES*SALES/(1-EFF.TAX.RATE)</t>
  </si>
  <si>
    <t>NOPLAT/DIC</t>
  </si>
  <si>
    <t>G+1/RONIC+1</t>
  </si>
  <si>
    <t>NOPLAT*K</t>
  </si>
  <si>
    <t>RA-DV*RD*T</t>
  </si>
  <si>
    <t>Comparable transactions</t>
  </si>
  <si>
    <t>Company's financials</t>
  </si>
  <si>
    <t>Transaction</t>
  </si>
  <si>
    <t>B</t>
  </si>
  <si>
    <t>C</t>
  </si>
  <si>
    <t>Year</t>
  </si>
  <si>
    <t>Activity</t>
  </si>
  <si>
    <t>Grocery</t>
  </si>
  <si>
    <t>Supermarket</t>
  </si>
  <si>
    <t>Toy retail</t>
  </si>
  <si>
    <t>Online toy retail</t>
  </si>
  <si>
    <t>EBITDA</t>
  </si>
  <si>
    <t>Country</t>
  </si>
  <si>
    <t>Hungary</t>
  </si>
  <si>
    <t>Germany</t>
  </si>
  <si>
    <t>Poland</t>
  </si>
  <si>
    <r>
      <t>Shop area (m</t>
    </r>
    <r>
      <rPr>
        <vertAlign val="superscript"/>
        <sz val="12"/>
        <color theme="1"/>
        <rFont val="Calibri"/>
        <family val="2"/>
        <charset val="238"/>
        <scheme val="minor"/>
      </rPr>
      <t>2</t>
    </r>
    <r>
      <rPr>
        <sz val="11"/>
        <color theme="1"/>
        <rFont val="Calibri"/>
        <family val="2"/>
        <scheme val="minor"/>
      </rPr>
      <t>)</t>
    </r>
  </si>
  <si>
    <t>Stake</t>
  </si>
  <si>
    <t>Split of activity</t>
  </si>
  <si>
    <t>Shops</t>
  </si>
  <si>
    <t>Web shop</t>
  </si>
  <si>
    <t>Equity = Price / Stake</t>
  </si>
  <si>
    <t>Comparable transactions (First calculate the multiples)</t>
  </si>
  <si>
    <t>Company's EV (using the multiples calculated)</t>
  </si>
  <si>
    <t>Our peers</t>
  </si>
  <si>
    <t>EV peers (Equity + Debt)</t>
  </si>
  <si>
    <t>EV/Sales</t>
  </si>
  <si>
    <t>Our company</t>
  </si>
  <si>
    <t>EV (Sales)</t>
  </si>
  <si>
    <t>EV/EBITDA</t>
  </si>
  <si>
    <t>EV (EBITDA)</t>
  </si>
  <si>
    <t>EV/m2</t>
  </si>
  <si>
    <t>EV (sales area)</t>
  </si>
  <si>
    <t>For historical transactions forecasted values are not shared, so multiples are not likely to be based on forecasted values.</t>
  </si>
  <si>
    <t>Stake value</t>
  </si>
  <si>
    <t>EV</t>
  </si>
  <si>
    <t>Corrections</t>
  </si>
  <si>
    <t>EV*</t>
  </si>
  <si>
    <t>50-50% discount</t>
  </si>
  <si>
    <t>E*</t>
  </si>
  <si>
    <t>Discounts may be needed to remove synergic, country and size effects.</t>
  </si>
  <si>
    <t>Market multiples for retail</t>
  </si>
  <si>
    <t>CEE</t>
  </si>
  <si>
    <t>West EU</t>
  </si>
  <si>
    <t>N</t>
  </si>
  <si>
    <t>EV/S</t>
  </si>
  <si>
    <t>Company's EV using the multiples (already given)</t>
  </si>
  <si>
    <t>Using</t>
  </si>
  <si>
    <t>EV = Equity + Debt</t>
  </si>
  <si>
    <t>Equity = Price paid / Stake %</t>
  </si>
  <si>
    <t>Our Stake value = (our EV - Debt) * Stake%</t>
  </si>
  <si>
    <t>RiskIt Co.</t>
  </si>
  <si>
    <t>rFinancing</t>
  </si>
  <si>
    <t>rReinvestment</t>
  </si>
  <si>
    <t>GreatIdea Ltd</t>
  </si>
  <si>
    <t>Post money value</t>
  </si>
  <si>
    <t>Today</t>
  </si>
  <si>
    <t>In 2 years</t>
  </si>
  <si>
    <t>In 6 years</t>
  </si>
  <si>
    <t>Capital increase 2</t>
  </si>
  <si>
    <t>Sales price</t>
  </si>
  <si>
    <t xml:space="preserve">Pre money vlaue </t>
  </si>
  <si>
    <t>Pre money value</t>
  </si>
  <si>
    <t>Capital increase 1</t>
  </si>
  <si>
    <t>Bank loan</t>
  </si>
  <si>
    <t>Total investment (IC)</t>
  </si>
  <si>
    <t>PE Stake (y=2)</t>
  </si>
  <si>
    <t>% of ownwrr who invested in the first year</t>
  </si>
  <si>
    <t>Post monay vslue</t>
  </si>
  <si>
    <t>1-PE</t>
  </si>
  <si>
    <t>PE stake (inc Year 1)</t>
  </si>
  <si>
    <t>% of ownwrr who invested in the 0 year</t>
  </si>
  <si>
    <t xml:space="preserve">PE stake(guess) </t>
  </si>
  <si>
    <t>Founders stake</t>
  </si>
  <si>
    <t>% of founders</t>
  </si>
  <si>
    <t>PE stake (guess)- market based</t>
  </si>
  <si>
    <t>diff</t>
  </si>
  <si>
    <t>Liquidation ratio</t>
  </si>
  <si>
    <t>Total Value</t>
  </si>
  <si>
    <t>Q2 Answer</t>
  </si>
  <si>
    <t>Liquidation</t>
  </si>
  <si>
    <t>PE Value</t>
  </si>
  <si>
    <t>Inflow for PE</t>
  </si>
  <si>
    <t xml:space="preserve">Investment horizon </t>
  </si>
  <si>
    <t>Chance of failure</t>
  </si>
  <si>
    <t>Founders cash inflow</t>
  </si>
  <si>
    <t>after selling in 6 years</t>
  </si>
  <si>
    <t>Yearly return for failure</t>
  </si>
  <si>
    <t>Founders yearly return</t>
  </si>
  <si>
    <t>Chance of success</t>
  </si>
  <si>
    <t>Q1 Answer</t>
  </si>
  <si>
    <t>Yearly return on success</t>
  </si>
  <si>
    <t>(1+rfin)^t=Prob fail *(1+r fail)^t+Prob success*(1+rsuccess)^t</t>
  </si>
  <si>
    <t>(1+rFIN)^t=Prob.fail*(1+rFAIL)^t+Prob.success*(1+rSUCCESS)^t</t>
  </si>
  <si>
    <t>Book value of equity (M)</t>
  </si>
  <si>
    <t>Book value of debt (M)</t>
  </si>
  <si>
    <t>Venture capital contribution (M)</t>
  </si>
  <si>
    <t>in 3 years time</t>
  </si>
  <si>
    <t>in 8 years time</t>
  </si>
  <si>
    <t>Expected Debt (M)</t>
  </si>
  <si>
    <t>Expected Sales multiple</t>
  </si>
  <si>
    <t>Expected Sales (M)</t>
  </si>
  <si>
    <t>In 3 years</t>
  </si>
  <si>
    <t>In 8 years</t>
  </si>
  <si>
    <t>PE Stake (y=3)</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</si>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</sst>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_-* #,##0.00_-;\-* #,##0.00_-;_-* &quot;-&quot;??_-;_-@_-"/>
    <numFmt numFmtId="165" formatCode="_-* #,##0.0000_-;\-* #,##0.0000_-;_-* &quot;-&quot;??_-;_-@_-"/>
    <numFmt numFmtId="166" formatCode="_-* #,##0.00\ _F_t_-;\-* #,##0.00\ _F_t_-;_-* &quot;-&quot;??\ _F_t_-;_-@_-"/>
    <numFmt numFmtId="167" formatCode="_(* #,##0_);_(* \(#,##0\);_(* &quot;-&quot;??_);_(@_)"/>
    <numFmt numFmtId="168" formatCode="_-* #,##0_-;\-* #,##0_-;_-* &quot;-&quot;??_-;_-@_-"/>
    <numFmt numFmtId="169" formatCode=";;;@"/>
    <numFmt numFmtId="170" formatCode="_(* #,##0.0_);_(* \(#,##0.0\);_(* &quot;-&quot;??_);_(@_)"/>
    <numFmt numFmtId="171" formatCode="0.0%"/>
    <numFmt numFmtId="172" formatCode="_(* #,##0.0_);_(* \(#,##0.0\);_(* &quot;-&quot;?_);_(@_)"/>
    <numFmt numFmtId="173" formatCode="dd/\ mmmm\ yyyy/"/>
    <numFmt numFmtId="174" formatCode="0.0000"/>
    <numFmt numFmtId="175" formatCode="#,##0.00_ "/>
    <numFmt numFmtId="176" formatCode="0.000"/>
    <numFmt numFmtId="177" formatCode="0.0000%"/>
  </numFmts>
  <fonts count="83">
    <font>
      <sz val="11"/>
      <color theme="1"/>
      <name val="Calibri"/>
      <family val="2"/>
      <scheme val="minor"/>
    </font>
    <font>
      <sz val="11"/>
      <color theme="1"/>
      <name val="Calibri"/>
      <family val="2"/>
      <scheme val="minor"/>
    </font>
    <font>
      <b/>
      <sz val="16"/>
      <color theme="1"/>
      <name val="Times New Roman"/>
      <family val="1"/>
      <charset val="238"/>
    </font>
    <font>
      <sz val="12"/>
      <color theme="1"/>
      <name val="Times New Roman"/>
      <family val="1"/>
      <charset val="238"/>
    </font>
    <font>
      <b/>
      <sz val="12"/>
      <color rgb="FF000000"/>
      <name val="Times New Roman"/>
      <family val="1"/>
      <charset val="238"/>
    </font>
    <font>
      <sz val="12"/>
      <color rgb="FF000000"/>
      <name val="Times New Roman"/>
      <family val="1"/>
      <charset val="238"/>
    </font>
    <font>
      <b/>
      <sz val="12"/>
      <color theme="1"/>
      <name val="Times New Roman"/>
      <family val="1"/>
      <charset val="238"/>
    </font>
    <font>
      <sz val="10"/>
      <color theme="1"/>
      <name val="Calibri"/>
      <family val="2"/>
      <charset val="238"/>
    </font>
    <font>
      <b/>
      <i/>
      <sz val="12"/>
      <color rgb="FF000000"/>
      <name val="Times New Roman"/>
      <family val="1"/>
      <charset val="238"/>
    </font>
    <font>
      <sz val="12"/>
      <color theme="1"/>
      <name val="Calibri"/>
      <family val="2"/>
      <charset val="238"/>
      <scheme val="minor"/>
    </font>
    <font>
      <b/>
      <sz val="12"/>
      <color theme="1"/>
      <name val="Calibri"/>
      <family val="2"/>
      <charset val="238"/>
      <scheme val="minor"/>
    </font>
    <font>
      <sz val="14"/>
      <color rgb="FF000000"/>
      <name val="Times New Roman"/>
      <family val="1"/>
      <charset val="238"/>
    </font>
    <font>
      <sz val="14"/>
      <color theme="1"/>
      <name val="Times New Roman"/>
      <family val="1"/>
      <charset val="238"/>
    </font>
    <font>
      <vertAlign val="subscript"/>
      <sz val="12"/>
      <color rgb="FF000000"/>
      <name val="Times New Roman"/>
      <family val="1"/>
      <charset val="238"/>
    </font>
    <font>
      <b/>
      <sz val="12"/>
      <color theme="0"/>
      <name val="Times New Roman"/>
      <family val="1"/>
      <charset val="238"/>
    </font>
    <font>
      <sz val="12"/>
      <color rgb="FFFF0000"/>
      <name val="Calibri"/>
      <family val="2"/>
      <charset val="238"/>
      <scheme val="minor"/>
    </font>
    <font>
      <b/>
      <sz val="12"/>
      <color theme="9" tint="-0.249977111117893"/>
      <name val="Times New Roman"/>
      <family val="1"/>
      <charset val="238"/>
    </font>
    <font>
      <b/>
      <sz val="12"/>
      <color rgb="FF00B0F0"/>
      <name val="Times New Roman"/>
      <family val="1"/>
      <charset val="238"/>
    </font>
    <font>
      <sz val="12"/>
      <color rgb="FF000000"/>
      <name val="Calibri"/>
      <family val="2"/>
      <charset val="238"/>
    </font>
    <font>
      <sz val="12"/>
      <color rgb="FF00B050"/>
      <name val="Times New Roman"/>
      <family val="2"/>
      <charset val="238"/>
    </font>
    <font>
      <b/>
      <sz val="12"/>
      <color rgb="FF00B050"/>
      <name val="Times New Roman"/>
      <family val="1"/>
      <charset val="238"/>
    </font>
    <font>
      <b/>
      <sz val="12"/>
      <color theme="1"/>
      <name val="Times New Roman"/>
      <family val="1"/>
    </font>
    <font>
      <sz val="16"/>
      <color rgb="FF000000"/>
      <name val="Times New Roman"/>
      <family val="1"/>
      <charset val="238"/>
    </font>
    <font>
      <b/>
      <sz val="12"/>
      <color theme="1"/>
      <name val="Calibri"/>
      <family val="2"/>
      <scheme val="minor"/>
    </font>
    <font>
      <sz val="12"/>
      <name val="Calibri"/>
      <family val="2"/>
      <scheme val="minor"/>
    </font>
    <font>
      <b/>
      <sz val="12"/>
      <name val="Calibri"/>
      <family val="2"/>
      <scheme val="minor"/>
    </font>
    <font>
      <sz val="12"/>
      <name val="Times New Roman"/>
      <family val="1"/>
      <charset val="238"/>
    </font>
    <font>
      <sz val="12"/>
      <color rgb="FFFF0000"/>
      <name val="Times New Roman"/>
      <family val="1"/>
      <charset val="238"/>
    </font>
    <font>
      <b/>
      <sz val="12"/>
      <color rgb="FFFF0000"/>
      <name val="Times New Roman"/>
      <family val="1"/>
      <charset val="238"/>
    </font>
    <font>
      <sz val="14"/>
      <color theme="1"/>
      <name val="Times New Roman"/>
      <family val="2"/>
      <charset val="238"/>
    </font>
    <font>
      <b/>
      <sz val="14"/>
      <color theme="1"/>
      <name val="Times New Roman"/>
      <family val="1"/>
      <charset val="238"/>
    </font>
    <font>
      <sz val="12"/>
      <color rgb="FF00B050"/>
      <name val="Times New Roman"/>
      <family val="1"/>
    </font>
    <font>
      <sz val="12"/>
      <color rgb="FF00B050"/>
      <name val="Times New Roman"/>
      <family val="1"/>
      <charset val="238"/>
    </font>
    <font>
      <sz val="12"/>
      <color rgb="FF00B0F0"/>
      <name val="Times New Roman"/>
      <family val="2"/>
      <charset val="238"/>
    </font>
    <font>
      <sz val="12"/>
      <color rgb="FFFF0000"/>
      <name val="Times New Roman"/>
      <family val="2"/>
      <charset val="238"/>
    </font>
    <font>
      <i/>
      <sz val="12"/>
      <color theme="1"/>
      <name val="Times New Roman"/>
      <family val="1"/>
    </font>
    <font>
      <sz val="12"/>
      <color rgb="FFFF0000"/>
      <name val="Times New Roman"/>
      <family val="1"/>
    </font>
    <font>
      <sz val="12"/>
      <color theme="1"/>
      <name val="Times New Roman"/>
      <family val="1"/>
    </font>
    <font>
      <b/>
      <sz val="12"/>
      <color rgb="FF000000"/>
      <name val="Times New Roman"/>
      <family val="1"/>
    </font>
    <font>
      <sz val="12"/>
      <color rgb="FF000000"/>
      <name val="Times New Roman"/>
      <family val="1"/>
    </font>
    <font>
      <vertAlign val="subscript"/>
      <sz val="12"/>
      <color rgb="FF000000"/>
      <name val="Times New Roman"/>
      <family val="1"/>
    </font>
    <font>
      <b/>
      <sz val="9"/>
      <color indexed="81"/>
      <name val="Tahoma"/>
      <family val="2"/>
    </font>
    <font>
      <sz val="9"/>
      <color indexed="81"/>
      <name val="Tahoma"/>
      <family val="2"/>
    </font>
    <font>
      <sz val="9"/>
      <color indexed="81"/>
      <name val="Tahoma"/>
      <family val="2"/>
      <charset val="238"/>
    </font>
    <font>
      <b/>
      <sz val="12"/>
      <color theme="3"/>
      <name val="Times New Roman"/>
      <family val="1"/>
      <charset val="238"/>
    </font>
    <font>
      <sz val="12"/>
      <color theme="3"/>
      <name val="Times New Roman"/>
      <family val="1"/>
    </font>
    <font>
      <sz val="12"/>
      <color theme="8"/>
      <name val="Times New Roman"/>
      <family val="1"/>
      <charset val="238"/>
    </font>
    <font>
      <sz val="12"/>
      <name val="Times New Roman"/>
      <family val="1"/>
    </font>
    <font>
      <sz val="12"/>
      <color theme="8"/>
      <name val="Times New Roman"/>
      <family val="1"/>
    </font>
    <font>
      <i/>
      <sz val="12"/>
      <color theme="1"/>
      <name val="Times New Roman"/>
      <family val="1"/>
      <charset val="238"/>
    </font>
    <font>
      <i/>
      <sz val="8"/>
      <color theme="1"/>
      <name val="Times New Roman"/>
      <family val="1"/>
      <charset val="238"/>
    </font>
    <font>
      <i/>
      <sz val="10"/>
      <color theme="1"/>
      <name val="Times New Roman"/>
      <family val="1"/>
      <charset val="238"/>
    </font>
    <font>
      <sz val="10"/>
      <color theme="1"/>
      <name val="Times New Roman"/>
      <family val="1"/>
      <charset val="238"/>
    </font>
    <font>
      <b/>
      <sz val="12"/>
      <color theme="8"/>
      <name val="Times New Roman"/>
      <family val="1"/>
      <charset val="238"/>
    </font>
    <font>
      <sz val="12"/>
      <color theme="8"/>
      <name val="Times New Roman"/>
      <family val="2"/>
      <charset val="238"/>
    </font>
    <font>
      <sz val="12"/>
      <color theme="7"/>
      <name val="Times New Roman"/>
      <family val="1"/>
      <charset val="238"/>
    </font>
    <font>
      <sz val="12"/>
      <color theme="7"/>
      <name val="Times New Roman"/>
      <family val="2"/>
      <charset val="238"/>
    </font>
    <font>
      <b/>
      <sz val="12"/>
      <color rgb="FF7030A0"/>
      <name val="Times New Roman"/>
      <family val="1"/>
    </font>
    <font>
      <sz val="12"/>
      <color rgb="FF7030A0"/>
      <name val="Times New Roman"/>
      <family val="1"/>
    </font>
    <font>
      <sz val="12"/>
      <name val="Times New Roman"/>
      <family val="2"/>
      <charset val="238"/>
    </font>
    <font>
      <sz val="12"/>
      <color rgb="FF000000"/>
      <name val="Times New Roman"/>
      <family val="1"/>
      <charset val="204"/>
    </font>
    <font>
      <b/>
      <i/>
      <sz val="10"/>
      <color theme="1"/>
      <name val="Times New Roman"/>
      <family val="1"/>
    </font>
    <font>
      <b/>
      <sz val="12"/>
      <color rgb="FF0070C0"/>
      <name val="Times New Roman"/>
      <family val="1"/>
    </font>
    <font>
      <b/>
      <sz val="12"/>
      <color rgb="FFFF0000"/>
      <name val="Times New Roman"/>
      <family val="1"/>
    </font>
    <font>
      <b/>
      <sz val="9"/>
      <color indexed="81"/>
      <name val="Tahoma"/>
      <family val="2"/>
      <charset val="238"/>
    </font>
    <font>
      <i/>
      <sz val="9"/>
      <color theme="1"/>
      <name val="Times New Roman"/>
      <family val="1"/>
    </font>
    <font>
      <i/>
      <sz val="10"/>
      <color theme="1"/>
      <name val="Times New Roman"/>
      <family val="1"/>
    </font>
    <font>
      <b/>
      <i/>
      <sz val="12"/>
      <name val="Times New Roman"/>
      <family val="1"/>
    </font>
    <font>
      <b/>
      <sz val="12"/>
      <name val="Times New Roman"/>
      <family val="1"/>
    </font>
    <font>
      <b/>
      <i/>
      <sz val="12"/>
      <color theme="1"/>
      <name val="Times New Roman"/>
      <family val="1"/>
    </font>
    <font>
      <vertAlign val="superscript"/>
      <sz val="12"/>
      <color theme="1"/>
      <name val="Calibri"/>
      <family val="2"/>
      <charset val="238"/>
      <scheme val="minor"/>
    </font>
    <font>
      <i/>
      <sz val="10"/>
      <color theme="1"/>
      <name val="Calibri"/>
      <family val="2"/>
      <charset val="238"/>
      <scheme val="minor"/>
    </font>
    <font>
      <sz val="12"/>
      <color theme="1"/>
      <name val="Calibri"/>
      <family val="2"/>
      <scheme val="minor"/>
    </font>
    <font>
      <sz val="12"/>
      <color rgb="FF0070C0"/>
      <name val="Calibri"/>
      <family val="2"/>
      <scheme val="minor"/>
    </font>
    <font>
      <sz val="12"/>
      <color rgb="FFFF0000"/>
      <name val="Calibri"/>
      <family val="2"/>
      <scheme val="minor"/>
    </font>
    <font>
      <sz val="11"/>
      <color rgb="FFFF0000"/>
      <name val="Calibri"/>
      <family val="2"/>
    </font>
    <font>
      <sz val="11"/>
      <color rgb="FF000000"/>
      <name val="Calibri"/>
      <family val="2"/>
    </font>
    <font>
      <i/>
      <sz val="12"/>
      <color rgb="FF0070C0"/>
      <name val="Calibri"/>
      <family val="2"/>
      <scheme val="minor"/>
    </font>
    <font>
      <b/>
      <sz val="9"/>
      <color indexed="81"/>
      <name val="宋体"/>
      <family val="3"/>
      <charset val="134"/>
    </font>
    <font>
      <sz val="9"/>
      <color indexed="81"/>
      <name val="宋体"/>
      <family val="3"/>
      <charset val="134"/>
    </font>
    <font>
      <sz val="10"/>
      <color rgb="FF000000"/>
      <name val="Tahoma"/>
      <family val="2"/>
    </font>
    <font>
      <b/>
      <sz val="12"/>
      <name val="Times New Roman"/>
      <family val="1"/>
      <charset val="238"/>
    </font>
    <font>
      <sz val="12"/>
      <color rgb="FFFF0000"/>
      <name val="Calibri"/>
      <family val="2"/>
      <charset val="238"/>
    </font>
  </fonts>
  <fills count="3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FFFF"/>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92D05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bgColor indexed="64"/>
      </patternFill>
    </fill>
    <fill>
      <patternFill patternType="solid">
        <fgColor theme="8"/>
        <bgColor indexed="64"/>
      </patternFill>
    </fill>
    <fill>
      <patternFill patternType="solid">
        <fgColor theme="8" tint="0.39997558519241921"/>
        <bgColor indexed="64"/>
      </patternFill>
    </fill>
    <fill>
      <patternFill patternType="solid">
        <fgColor rgb="FFFFFFCC"/>
        <bgColor indexed="64"/>
      </patternFill>
    </fill>
    <fill>
      <patternFill patternType="solid">
        <fgColor theme="6"/>
        <bgColor indexed="64"/>
      </patternFill>
    </fill>
    <fill>
      <patternFill patternType="solid">
        <fgColor rgb="FF81DEFF"/>
        <bgColor indexed="64"/>
      </patternFill>
    </fill>
    <fill>
      <patternFill patternType="solid">
        <fgColor rgb="FFCCCCFF"/>
        <bgColor indexed="64"/>
      </patternFill>
    </fill>
    <fill>
      <patternFill patternType="solid">
        <fgColor theme="0"/>
        <bgColor indexed="64"/>
      </patternFill>
    </fill>
    <fill>
      <patternFill patternType="solid">
        <fgColor rgb="FFFFCCFF"/>
        <bgColor indexed="64"/>
      </patternFill>
    </fill>
    <fill>
      <patternFill patternType="solid">
        <fgColor theme="6"/>
        <bgColor rgb="FFA8D08D"/>
      </patternFill>
    </fill>
    <fill>
      <patternFill patternType="solid">
        <fgColor theme="7"/>
        <bgColor indexed="64"/>
      </patternFill>
    </fill>
  </fills>
  <borders count="36">
    <border>
      <left/>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xf numFmtId="0" fontId="9" fillId="0" borderId="0"/>
    <xf numFmtId="9" fontId="9" fillId="0" borderId="0" applyFont="0" applyFill="0" applyBorder="0" applyAlignment="0" applyProtection="0"/>
  </cellStyleXfs>
  <cellXfs count="634">
    <xf numFmtId="0" fontId="0" fillId="0" borderId="0" xfId="0"/>
    <xf numFmtId="0" fontId="2" fillId="3" borderId="2" xfId="0" applyFont="1" applyFill="1" applyBorder="1" applyAlignment="1">
      <alignment horizontal="center"/>
    </xf>
    <xf numFmtId="0" fontId="2" fillId="3" borderId="3" xfId="0" applyFont="1" applyFill="1" applyBorder="1" applyAlignment="1">
      <alignment horizontal="center"/>
    </xf>
    <xf numFmtId="0" fontId="3" fillId="0" borderId="4" xfId="0" applyFont="1" applyBorder="1" applyAlignment="1">
      <alignment horizontal="left" vertical="center"/>
    </xf>
    <xf numFmtId="0" fontId="4" fillId="4" borderId="3" xfId="0" applyFont="1" applyFill="1" applyBorder="1" applyAlignment="1">
      <alignment horizontal="center" vertical="center"/>
    </xf>
    <xf numFmtId="0" fontId="3" fillId="0" borderId="5" xfId="0" applyFont="1" applyBorder="1" applyAlignment="1">
      <alignment horizontal="left" vertical="center"/>
    </xf>
    <xf numFmtId="4" fontId="5" fillId="4" borderId="1" xfId="0" applyNumberFormat="1" applyFont="1" applyFill="1" applyBorder="1" applyAlignment="1">
      <alignment horizontal="right" vertical="center"/>
    </xf>
    <xf numFmtId="0" fontId="6" fillId="0" borderId="5" xfId="0" applyFont="1" applyBorder="1" applyAlignment="1">
      <alignment horizontal="left" vertical="center"/>
    </xf>
    <xf numFmtId="4" fontId="4" fillId="4" borderId="1" xfId="0" applyNumberFormat="1" applyFont="1" applyFill="1" applyBorder="1" applyAlignment="1">
      <alignment horizontal="right" vertical="center"/>
    </xf>
    <xf numFmtId="0" fontId="7" fillId="0" borderId="6" xfId="0" applyFont="1" applyBorder="1"/>
    <xf numFmtId="4" fontId="5" fillId="4" borderId="6" xfId="0" applyNumberFormat="1" applyFont="1" applyFill="1" applyBorder="1" applyAlignment="1">
      <alignment horizontal="left" vertical="center"/>
    </xf>
    <xf numFmtId="4" fontId="8" fillId="4" borderId="1" xfId="0" applyNumberFormat="1" applyFont="1" applyFill="1" applyBorder="1" applyAlignment="1">
      <alignment horizontal="right" vertical="center"/>
    </xf>
    <xf numFmtId="10" fontId="0" fillId="0" borderId="0" xfId="2" applyNumberFormat="1" applyFont="1"/>
    <xf numFmtId="0" fontId="6" fillId="5" borderId="0" xfId="0" applyFont="1" applyFill="1"/>
    <xf numFmtId="2" fontId="0" fillId="0" borderId="0" xfId="0" applyNumberFormat="1"/>
    <xf numFmtId="0" fontId="9" fillId="0" borderId="0" xfId="3"/>
    <xf numFmtId="0" fontId="10" fillId="0" borderId="0" xfId="3" applyFont="1"/>
    <xf numFmtId="4" fontId="0" fillId="0" borderId="0" xfId="0" applyNumberFormat="1"/>
    <xf numFmtId="2" fontId="6" fillId="0" borderId="0" xfId="0" applyNumberFormat="1" applyFont="1"/>
    <xf numFmtId="0" fontId="10" fillId="6" borderId="0" xfId="3" applyFont="1" applyFill="1"/>
    <xf numFmtId="0" fontId="10" fillId="7" borderId="0" xfId="3" applyFont="1" applyFill="1"/>
    <xf numFmtId="0" fontId="10" fillId="3" borderId="0" xfId="3" applyFont="1" applyFill="1"/>
    <xf numFmtId="0" fontId="0" fillId="3" borderId="0" xfId="0" applyFill="1"/>
    <xf numFmtId="2" fontId="0" fillId="3" borderId="0" xfId="0" applyNumberFormat="1" applyFill="1"/>
    <xf numFmtId="0" fontId="6" fillId="3" borderId="0" xfId="0" applyFont="1" applyFill="1"/>
    <xf numFmtId="4" fontId="0" fillId="3" borderId="0" xfId="0" applyNumberFormat="1" applyFill="1"/>
    <xf numFmtId="0" fontId="11" fillId="0" borderId="0" xfId="0" applyFont="1"/>
    <xf numFmtId="0" fontId="12" fillId="0" borderId="0" xfId="0" applyFont="1"/>
    <xf numFmtId="0" fontId="3" fillId="0" borderId="0" xfId="0" applyFont="1"/>
    <xf numFmtId="0" fontId="6" fillId="3" borderId="0" xfId="0" applyFont="1" applyFill="1" applyAlignment="1">
      <alignment horizontal="center"/>
    </xf>
    <xf numFmtId="0" fontId="6" fillId="0" borderId="0" xfId="0" applyFont="1" applyAlignment="1">
      <alignment horizontal="center"/>
    </xf>
    <xf numFmtId="0" fontId="4" fillId="0" borderId="0" xfId="0" applyFont="1" applyAlignment="1">
      <alignment horizontal="center" vertical="center"/>
    </xf>
    <xf numFmtId="0" fontId="5" fillId="0" borderId="0" xfId="0" applyFont="1" applyAlignment="1">
      <alignment horizontal="left" vertical="center"/>
    </xf>
    <xf numFmtId="10" fontId="5" fillId="0" borderId="0" xfId="0" applyNumberFormat="1" applyFont="1" applyAlignment="1">
      <alignment horizontal="right" vertical="center"/>
    </xf>
    <xf numFmtId="10" fontId="3" fillId="0" borderId="0" xfId="0" applyNumberFormat="1" applyFont="1"/>
    <xf numFmtId="10" fontId="0" fillId="0" borderId="0" xfId="0" applyNumberFormat="1"/>
    <xf numFmtId="4" fontId="3" fillId="0" borderId="0" xfId="0" applyNumberFormat="1" applyFont="1"/>
    <xf numFmtId="43" fontId="5" fillId="0" borderId="0" xfId="1" applyFont="1" applyAlignment="1">
      <alignment horizontal="right" vertical="center"/>
    </xf>
    <xf numFmtId="0" fontId="14" fillId="8" borderId="0" xfId="0" applyFont="1" applyFill="1" applyAlignment="1">
      <alignment horizontal="left" vertical="center"/>
    </xf>
    <xf numFmtId="10" fontId="5" fillId="2" borderId="0" xfId="0" applyNumberFormat="1" applyFont="1" applyFill="1" applyAlignment="1">
      <alignment horizontal="right" vertical="center"/>
    </xf>
    <xf numFmtId="4" fontId="3" fillId="2" borderId="0" xfId="0" applyNumberFormat="1" applyFont="1" applyFill="1"/>
    <xf numFmtId="4" fontId="0" fillId="9" borderId="0" xfId="0" applyNumberFormat="1" applyFill="1"/>
    <xf numFmtId="10" fontId="5" fillId="9" borderId="0" xfId="0" applyNumberFormat="1" applyFont="1" applyFill="1" applyAlignment="1">
      <alignment horizontal="right" vertical="center"/>
    </xf>
    <xf numFmtId="10" fontId="3" fillId="2" borderId="0" xfId="0" applyNumberFormat="1" applyFont="1" applyFill="1"/>
    <xf numFmtId="10" fontId="0" fillId="2" borderId="0" xfId="0" applyNumberFormat="1" applyFill="1"/>
    <xf numFmtId="10" fontId="0" fillId="9" borderId="0" xfId="0" applyNumberFormat="1" applyFill="1"/>
    <xf numFmtId="10" fontId="0" fillId="9" borderId="0" xfId="2" applyNumberFormat="1" applyFont="1" applyFill="1"/>
    <xf numFmtId="43" fontId="0" fillId="9" borderId="0" xfId="1" applyFont="1" applyFill="1"/>
    <xf numFmtId="43" fontId="0" fillId="0" borderId="0" xfId="1" applyFont="1"/>
    <xf numFmtId="0" fontId="10" fillId="3" borderId="0" xfId="0" applyFont="1" applyFill="1" applyAlignment="1">
      <alignment horizontal="center"/>
    </xf>
    <xf numFmtId="0" fontId="10" fillId="0" borderId="0" xfId="0" applyFont="1" applyAlignment="1">
      <alignment horizontal="center"/>
    </xf>
    <xf numFmtId="0" fontId="6" fillId="10" borderId="0" xfId="0" applyFont="1" applyFill="1"/>
    <xf numFmtId="43" fontId="6" fillId="10" borderId="0" xfId="1" applyFont="1" applyFill="1"/>
    <xf numFmtId="0" fontId="15" fillId="0" borderId="0" xfId="0" applyFont="1"/>
    <xf numFmtId="165" fontId="15" fillId="0" borderId="0" xfId="0" applyNumberFormat="1" applyFont="1"/>
    <xf numFmtId="164" fontId="0" fillId="0" borderId="0" xfId="0" applyNumberFormat="1"/>
    <xf numFmtId="166" fontId="0" fillId="3" borderId="0" xfId="0" applyNumberFormat="1" applyFill="1"/>
    <xf numFmtId="166" fontId="0" fillId="0" borderId="0" xfId="0" applyNumberFormat="1"/>
    <xf numFmtId="164" fontId="15" fillId="0" borderId="0" xfId="0" applyNumberFormat="1" applyFont="1"/>
    <xf numFmtId="0" fontId="11" fillId="0" borderId="0" xfId="0" applyFont="1" applyAlignment="1">
      <alignment horizontal="left" vertical="center"/>
    </xf>
    <xf numFmtId="0" fontId="11" fillId="0" borderId="0" xfId="0" applyFont="1" applyAlignment="1">
      <alignment vertical="center"/>
    </xf>
    <xf numFmtId="0" fontId="0" fillId="11" borderId="0" xfId="0" applyFill="1"/>
    <xf numFmtId="10" fontId="0" fillId="11" borderId="0" xfId="0" applyNumberFormat="1" applyFill="1"/>
    <xf numFmtId="0" fontId="0" fillId="12" borderId="0" xfId="0" applyFill="1"/>
    <xf numFmtId="9" fontId="0" fillId="0" borderId="0" xfId="0" applyNumberFormat="1"/>
    <xf numFmtId="0" fontId="0" fillId="13" borderId="0" xfId="0" applyFill="1"/>
    <xf numFmtId="9" fontId="0" fillId="13" borderId="0" xfId="0" applyNumberFormat="1" applyFill="1"/>
    <xf numFmtId="0" fontId="10" fillId="0" borderId="0" xfId="0" applyFont="1"/>
    <xf numFmtId="0" fontId="16" fillId="0" borderId="0" xfId="0" applyFont="1"/>
    <xf numFmtId="0" fontId="17" fillId="0" borderId="0" xfId="0" applyFont="1"/>
    <xf numFmtId="0" fontId="18" fillId="0" borderId="0" xfId="0" applyFont="1"/>
    <xf numFmtId="167" fontId="18" fillId="0" borderId="0" xfId="0" applyNumberFormat="1" applyFont="1"/>
    <xf numFmtId="167" fontId="0" fillId="0" borderId="0" xfId="0" applyNumberFormat="1"/>
    <xf numFmtId="0" fontId="19" fillId="0" borderId="0" xfId="0" applyFont="1"/>
    <xf numFmtId="43" fontId="0" fillId="0" borderId="0" xfId="0" applyNumberFormat="1"/>
    <xf numFmtId="0" fontId="6" fillId="0" borderId="0" xfId="0" applyFont="1"/>
    <xf numFmtId="4" fontId="6" fillId="0" borderId="0" xfId="0" applyNumberFormat="1" applyFont="1"/>
    <xf numFmtId="4" fontId="20" fillId="0" borderId="0" xfId="0" applyNumberFormat="1" applyFont="1"/>
    <xf numFmtId="4" fontId="16" fillId="0" borderId="0" xfId="0" applyNumberFormat="1" applyFont="1"/>
    <xf numFmtId="166" fontId="21" fillId="0" borderId="0" xfId="0" applyNumberFormat="1" applyFont="1"/>
    <xf numFmtId="0" fontId="22" fillId="0" borderId="0" xfId="0" applyFont="1"/>
    <xf numFmtId="43" fontId="0" fillId="9" borderId="0" xfId="0" applyNumberFormat="1" applyFill="1"/>
    <xf numFmtId="10" fontId="0" fillId="0" borderId="0" xfId="2" applyNumberFormat="1" applyFont="1" applyFill="1"/>
    <xf numFmtId="10" fontId="0" fillId="14" borderId="0" xfId="0" applyNumberFormat="1" applyFill="1"/>
    <xf numFmtId="0" fontId="23" fillId="0" borderId="7" xfId="0" applyFont="1" applyBorder="1"/>
    <xf numFmtId="0" fontId="0" fillId="0" borderId="8" xfId="0" applyBorder="1"/>
    <xf numFmtId="10" fontId="23" fillId="0" borderId="8" xfId="2" applyNumberFormat="1" applyFont="1" applyBorder="1"/>
    <xf numFmtId="10" fontId="23" fillId="0" borderId="9" xfId="2" applyNumberFormat="1" applyFont="1" applyBorder="1"/>
    <xf numFmtId="168" fontId="24" fillId="0" borderId="10" xfId="1" applyNumberFormat="1" applyFont="1" applyBorder="1"/>
    <xf numFmtId="4" fontId="24" fillId="0" borderId="11" xfId="0" applyNumberFormat="1" applyFont="1" applyBorder="1"/>
    <xf numFmtId="4" fontId="24" fillId="0" borderId="12" xfId="0" applyNumberFormat="1" applyFont="1" applyBorder="1"/>
    <xf numFmtId="168" fontId="24" fillId="0" borderId="13" xfId="1" applyNumberFormat="1" applyFont="1" applyBorder="1"/>
    <xf numFmtId="4" fontId="24" fillId="0" borderId="0" xfId="0" applyNumberFormat="1" applyFont="1"/>
    <xf numFmtId="4" fontId="24" fillId="0" borderId="14" xfId="0" applyNumberFormat="1" applyFont="1" applyBorder="1"/>
    <xf numFmtId="43" fontId="24" fillId="0" borderId="0" xfId="1" applyFont="1" applyBorder="1"/>
    <xf numFmtId="43" fontId="24" fillId="0" borderId="14" xfId="1" applyFont="1" applyBorder="1"/>
    <xf numFmtId="168" fontId="25" fillId="15" borderId="13" xfId="1" applyNumberFormat="1" applyFont="1" applyFill="1" applyBorder="1"/>
    <xf numFmtId="43" fontId="25" fillId="15" borderId="0" xfId="1" applyFont="1" applyFill="1" applyBorder="1"/>
    <xf numFmtId="43" fontId="25" fillId="15" borderId="14" xfId="1" applyFont="1" applyFill="1" applyBorder="1"/>
    <xf numFmtId="168" fontId="25" fillId="11" borderId="13" xfId="1" applyNumberFormat="1" applyFont="1" applyFill="1" applyBorder="1"/>
    <xf numFmtId="164" fontId="25" fillId="11" borderId="0" xfId="0" applyNumberFormat="1" applyFont="1" applyFill="1"/>
    <xf numFmtId="164" fontId="25" fillId="11" borderId="14" xfId="0" applyNumberFormat="1" applyFont="1" applyFill="1" applyBorder="1"/>
    <xf numFmtId="168" fontId="24" fillId="0" borderId="13" xfId="1" applyNumberFormat="1" applyFont="1" applyFill="1" applyBorder="1"/>
    <xf numFmtId="0" fontId="24" fillId="0" borderId="0" xfId="0" applyFont="1"/>
    <xf numFmtId="0" fontId="24" fillId="0" borderId="14" xfId="0" applyFont="1" applyBorder="1"/>
    <xf numFmtId="168" fontId="25" fillId="13" borderId="7" xfId="1" applyNumberFormat="1" applyFont="1" applyFill="1" applyBorder="1"/>
    <xf numFmtId="164" fontId="24" fillId="13" borderId="8" xfId="0" applyNumberFormat="1" applyFont="1" applyFill="1" applyBorder="1"/>
    <xf numFmtId="164" fontId="24" fillId="13" borderId="9" xfId="0" applyNumberFormat="1" applyFont="1" applyFill="1" applyBorder="1"/>
    <xf numFmtId="168" fontId="24" fillId="0" borderId="15" xfId="1" applyNumberFormat="1" applyFont="1" applyBorder="1"/>
    <xf numFmtId="168" fontId="25" fillId="10" borderId="7" xfId="1" applyNumberFormat="1" applyFont="1" applyFill="1" applyBorder="1"/>
    <xf numFmtId="164" fontId="24" fillId="10" borderId="8" xfId="0" applyNumberFormat="1" applyFont="1" applyFill="1" applyBorder="1"/>
    <xf numFmtId="164" fontId="24" fillId="10" borderId="9" xfId="0" applyNumberFormat="1" applyFont="1" applyFill="1" applyBorder="1"/>
    <xf numFmtId="4" fontId="24" fillId="0" borderId="10" xfId="0" applyNumberFormat="1" applyFont="1" applyBorder="1"/>
    <xf numFmtId="0" fontId="24" fillId="0" borderId="13" xfId="0" applyFont="1" applyBorder="1"/>
    <xf numFmtId="0" fontId="25" fillId="12" borderId="15" xfId="0" applyFont="1" applyFill="1" applyBorder="1"/>
    <xf numFmtId="4" fontId="24" fillId="12" borderId="16" xfId="0" applyNumberFormat="1" applyFont="1" applyFill="1" applyBorder="1"/>
    <xf numFmtId="4" fontId="24" fillId="12" borderId="17" xfId="0" applyNumberFormat="1" applyFont="1" applyFill="1" applyBorder="1"/>
    <xf numFmtId="0" fontId="25" fillId="0" borderId="0" xfId="0" applyFont="1"/>
    <xf numFmtId="4" fontId="25" fillId="0" borderId="0" xfId="0" applyNumberFormat="1" applyFont="1"/>
    <xf numFmtId="0" fontId="25" fillId="12" borderId="0" xfId="0" applyFont="1" applyFill="1"/>
    <xf numFmtId="0" fontId="24" fillId="12" borderId="0" xfId="0" applyFont="1" applyFill="1"/>
    <xf numFmtId="4" fontId="25" fillId="12" borderId="0" xfId="0" applyNumberFormat="1" applyFont="1" applyFill="1"/>
    <xf numFmtId="0" fontId="26" fillId="16" borderId="5" xfId="0" applyFont="1" applyFill="1" applyBorder="1" applyAlignment="1">
      <alignment horizontal="left" vertical="center"/>
    </xf>
    <xf numFmtId="4" fontId="26" fillId="16" borderId="1" xfId="0" applyNumberFormat="1" applyFont="1" applyFill="1" applyBorder="1" applyAlignment="1">
      <alignment horizontal="right" vertical="center"/>
    </xf>
    <xf numFmtId="0" fontId="3" fillId="9" borderId="5" xfId="0" applyFont="1" applyFill="1" applyBorder="1" applyAlignment="1">
      <alignment horizontal="left" vertical="center"/>
    </xf>
    <xf numFmtId="4" fontId="5" fillId="9" borderId="1" xfId="0" applyNumberFormat="1" applyFont="1" applyFill="1" applyBorder="1" applyAlignment="1">
      <alignment horizontal="right" vertical="center"/>
    </xf>
    <xf numFmtId="0" fontId="26" fillId="9" borderId="5" xfId="0" applyFont="1" applyFill="1" applyBorder="1" applyAlignment="1">
      <alignment horizontal="left" vertical="center"/>
    </xf>
    <xf numFmtId="4" fontId="26" fillId="9" borderId="1" xfId="0" applyNumberFormat="1" applyFont="1" applyFill="1" applyBorder="1" applyAlignment="1">
      <alignment horizontal="right" vertical="center"/>
    </xf>
    <xf numFmtId="0" fontId="3" fillId="17" borderId="5" xfId="0" applyFont="1" applyFill="1" applyBorder="1" applyAlignment="1">
      <alignment horizontal="left" vertical="center"/>
    </xf>
    <xf numFmtId="4" fontId="5" fillId="17" borderId="1" xfId="0" applyNumberFormat="1" applyFont="1" applyFill="1" applyBorder="1" applyAlignment="1">
      <alignment horizontal="right" vertical="center"/>
    </xf>
    <xf numFmtId="0" fontId="3" fillId="16" borderId="5" xfId="0" applyFont="1" applyFill="1" applyBorder="1" applyAlignment="1">
      <alignment horizontal="left" vertical="center" indent="1"/>
    </xf>
    <xf numFmtId="4" fontId="5" fillId="16" borderId="1" xfId="0" applyNumberFormat="1" applyFont="1" applyFill="1" applyBorder="1" applyAlignment="1">
      <alignment horizontal="right" vertical="center"/>
    </xf>
    <xf numFmtId="0" fontId="3" fillId="3" borderId="5" xfId="0" applyFont="1" applyFill="1" applyBorder="1" applyAlignment="1">
      <alignment horizontal="left" vertical="center" indent="1"/>
    </xf>
    <xf numFmtId="4" fontId="5" fillId="3" borderId="1" xfId="0" applyNumberFormat="1" applyFont="1" applyFill="1" applyBorder="1" applyAlignment="1">
      <alignment horizontal="right" vertical="center"/>
    </xf>
    <xf numFmtId="0" fontId="3" fillId="5" borderId="5" xfId="0" applyFont="1" applyFill="1" applyBorder="1" applyAlignment="1">
      <alignment horizontal="left" vertical="center" indent="1"/>
    </xf>
    <xf numFmtId="4" fontId="5" fillId="5" borderId="1" xfId="0" applyNumberFormat="1" applyFont="1" applyFill="1" applyBorder="1" applyAlignment="1">
      <alignment horizontal="right" vertical="center"/>
    </xf>
    <xf numFmtId="0" fontId="27" fillId="9" borderId="5" xfId="0" applyFont="1" applyFill="1" applyBorder="1" applyAlignment="1">
      <alignment horizontal="left" vertical="center"/>
    </xf>
    <xf numFmtId="4" fontId="27" fillId="9" borderId="1" xfId="0" applyNumberFormat="1" applyFont="1" applyFill="1" applyBorder="1" applyAlignment="1">
      <alignment horizontal="right" vertical="center"/>
    </xf>
    <xf numFmtId="0" fontId="28" fillId="0" borderId="5" xfId="0" applyFont="1" applyBorder="1" applyAlignment="1">
      <alignment horizontal="left" vertical="center"/>
    </xf>
    <xf numFmtId="4" fontId="28" fillId="4" borderId="1" xfId="0" applyNumberFormat="1" applyFont="1" applyFill="1" applyBorder="1" applyAlignment="1">
      <alignment horizontal="right" vertical="center"/>
    </xf>
    <xf numFmtId="0" fontId="0" fillId="0" borderId="0" xfId="0" applyAlignment="1">
      <alignment horizontal="right"/>
    </xf>
    <xf numFmtId="169" fontId="30" fillId="2" borderId="21" xfId="0" applyNumberFormat="1" applyFont="1" applyFill="1" applyBorder="1" applyAlignment="1">
      <alignment horizontal="center"/>
    </xf>
    <xf numFmtId="0" fontId="29" fillId="2" borderId="21" xfId="0" applyFont="1" applyFill="1" applyBorder="1"/>
    <xf numFmtId="0" fontId="29" fillId="2" borderId="1" xfId="0" applyFont="1" applyFill="1" applyBorder="1"/>
    <xf numFmtId="0" fontId="33" fillId="0" borderId="0" xfId="0" applyFont="1"/>
    <xf numFmtId="0" fontId="34" fillId="0" borderId="0" xfId="0" applyFont="1"/>
    <xf numFmtId="0" fontId="35" fillId="0" borderId="0" xfId="0" applyFont="1" applyAlignment="1">
      <alignment horizontal="right"/>
    </xf>
    <xf numFmtId="0" fontId="35" fillId="0" borderId="0" xfId="0" applyFont="1"/>
    <xf numFmtId="0" fontId="36" fillId="0" borderId="0" xfId="0" applyFont="1"/>
    <xf numFmtId="0" fontId="37" fillId="0" borderId="0" xfId="0" applyFont="1"/>
    <xf numFmtId="0" fontId="37" fillId="0" borderId="23" xfId="0" applyFont="1" applyBorder="1"/>
    <xf numFmtId="0" fontId="21" fillId="3" borderId="23" xfId="0" applyFont="1" applyFill="1" applyBorder="1" applyAlignment="1">
      <alignment horizontal="center"/>
    </xf>
    <xf numFmtId="0" fontId="21" fillId="0" borderId="23" xfId="0" applyFont="1" applyBorder="1" applyAlignment="1">
      <alignment horizontal="center"/>
    </xf>
    <xf numFmtId="0" fontId="38" fillId="0" borderId="23" xfId="0" applyFont="1" applyBorder="1" applyAlignment="1">
      <alignment horizontal="center" vertical="center"/>
    </xf>
    <xf numFmtId="0" fontId="21" fillId="0" borderId="7" xfId="0" applyFont="1" applyBorder="1" applyAlignment="1">
      <alignment horizontal="left"/>
    </xf>
    <xf numFmtId="0" fontId="39" fillId="0" borderId="23" xfId="0" applyFont="1" applyBorder="1" applyAlignment="1">
      <alignment horizontal="left" vertical="center"/>
    </xf>
    <xf numFmtId="10" fontId="39" fillId="0" borderId="23" xfId="0" applyNumberFormat="1" applyFont="1" applyBorder="1" applyAlignment="1">
      <alignment horizontal="right" vertical="center"/>
    </xf>
    <xf numFmtId="0" fontId="39" fillId="0" borderId="0" xfId="0" applyFont="1"/>
    <xf numFmtId="10" fontId="39" fillId="18" borderId="23" xfId="0" applyNumberFormat="1" applyFont="1" applyFill="1" applyBorder="1" applyAlignment="1">
      <alignment horizontal="right" vertical="center"/>
    </xf>
    <xf numFmtId="0" fontId="21" fillId="0" borderId="7" xfId="0" applyFont="1" applyBorder="1"/>
    <xf numFmtId="10" fontId="39" fillId="19" borderId="23" xfId="0" applyNumberFormat="1" applyFont="1" applyFill="1" applyBorder="1" applyAlignment="1">
      <alignment horizontal="right" vertical="center"/>
    </xf>
    <xf numFmtId="0" fontId="39" fillId="0" borderId="0" xfId="0" applyFont="1" applyAlignment="1">
      <alignment horizontal="left" vertical="center"/>
    </xf>
    <xf numFmtId="0" fontId="38" fillId="0" borderId="0" xfId="0" applyFont="1" applyAlignment="1">
      <alignment horizontal="center" vertical="center"/>
    </xf>
    <xf numFmtId="10" fontId="39" fillId="20" borderId="0" xfId="0" applyNumberFormat="1" applyFont="1" applyFill="1" applyAlignment="1">
      <alignment horizontal="right" vertical="center"/>
    </xf>
    <xf numFmtId="10" fontId="39" fillId="0" borderId="0" xfId="0" applyNumberFormat="1" applyFont="1" applyAlignment="1">
      <alignment horizontal="right" vertical="center"/>
    </xf>
    <xf numFmtId="4" fontId="37" fillId="0" borderId="0" xfId="0" applyNumberFormat="1" applyFont="1"/>
    <xf numFmtId="10" fontId="37" fillId="20" borderId="0" xfId="0" applyNumberFormat="1" applyFont="1" applyFill="1"/>
    <xf numFmtId="43" fontId="37" fillId="0" borderId="0" xfId="1" applyFont="1"/>
    <xf numFmtId="43" fontId="37" fillId="0" borderId="0" xfId="0" applyNumberFormat="1" applyFont="1"/>
    <xf numFmtId="43" fontId="37" fillId="21" borderId="0" xfId="1" applyFont="1" applyFill="1"/>
    <xf numFmtId="0" fontId="37" fillId="21" borderId="0" xfId="0" applyFont="1" applyFill="1"/>
    <xf numFmtId="164" fontId="37" fillId="0" borderId="0" xfId="0" applyNumberFormat="1" applyFont="1"/>
    <xf numFmtId="0" fontId="21" fillId="0" borderId="0" xfId="0" applyFont="1"/>
    <xf numFmtId="43" fontId="37" fillId="20" borderId="0" xfId="1" applyFont="1" applyFill="1"/>
    <xf numFmtId="170" fontId="37" fillId="0" borderId="0" xfId="1" applyNumberFormat="1" applyFont="1"/>
    <xf numFmtId="0" fontId="37" fillId="0" borderId="0" xfId="0" quotePrefix="1" applyFont="1"/>
    <xf numFmtId="170" fontId="37" fillId="0" borderId="0" xfId="1" applyNumberFormat="1" applyFont="1" applyBorder="1"/>
    <xf numFmtId="171" fontId="37" fillId="0" borderId="0" xfId="2" applyNumberFormat="1" applyFont="1"/>
    <xf numFmtId="0" fontId="38" fillId="0" borderId="0" xfId="0" applyFont="1" applyAlignment="1">
      <alignment horizontal="left" vertical="center"/>
    </xf>
    <xf numFmtId="10" fontId="38" fillId="0" borderId="0" xfId="2" applyNumberFormat="1" applyFont="1" applyFill="1" applyBorder="1" applyAlignment="1">
      <alignment horizontal="right" vertical="center"/>
    </xf>
    <xf numFmtId="0" fontId="37" fillId="13" borderId="0" xfId="0" applyFont="1" applyFill="1"/>
    <xf numFmtId="43" fontId="37" fillId="13" borderId="0" xfId="1" applyFont="1" applyFill="1"/>
    <xf numFmtId="43" fontId="37" fillId="12" borderId="16" xfId="1" applyFont="1" applyFill="1" applyBorder="1"/>
    <xf numFmtId="0" fontId="37" fillId="0" borderId="11" xfId="0" applyFont="1" applyBorder="1"/>
    <xf numFmtId="4" fontId="37" fillId="0" borderId="11" xfId="0" applyNumberFormat="1" applyFont="1" applyBorder="1"/>
    <xf numFmtId="0" fontId="31" fillId="0" borderId="0" xfId="0" applyFont="1"/>
    <xf numFmtId="0" fontId="31" fillId="0" borderId="16" xfId="0" applyFont="1" applyBorder="1"/>
    <xf numFmtId="4" fontId="37" fillId="0" borderId="16" xfId="0" applyNumberFormat="1" applyFont="1" applyBorder="1"/>
    <xf numFmtId="10" fontId="37" fillId="0" borderId="0" xfId="0" applyNumberFormat="1" applyFont="1"/>
    <xf numFmtId="0" fontId="21" fillId="11" borderId="0" xfId="0" applyFont="1" applyFill="1"/>
    <xf numFmtId="43" fontId="37" fillId="10" borderId="0" xfId="1" applyFont="1" applyFill="1"/>
    <xf numFmtId="10" fontId="37" fillId="0" borderId="0" xfId="2" applyNumberFormat="1" applyFont="1"/>
    <xf numFmtId="170" fontId="37" fillId="0" borderId="0" xfId="1" applyNumberFormat="1" applyFont="1" applyFill="1"/>
    <xf numFmtId="170" fontId="37" fillId="21" borderId="0" xfId="1" applyNumberFormat="1" applyFont="1" applyFill="1"/>
    <xf numFmtId="170" fontId="37" fillId="0" borderId="0" xfId="0" applyNumberFormat="1" applyFont="1"/>
    <xf numFmtId="170" fontId="21" fillId="10" borderId="0" xfId="0" applyNumberFormat="1" applyFont="1" applyFill="1"/>
    <xf numFmtId="10" fontId="39" fillId="3" borderId="0" xfId="0" applyNumberFormat="1" applyFont="1" applyFill="1" applyAlignment="1">
      <alignment horizontal="right" vertical="center"/>
    </xf>
    <xf numFmtId="4" fontId="39" fillId="0" borderId="0" xfId="0" applyNumberFormat="1" applyFont="1" applyAlignment="1">
      <alignment horizontal="right" vertical="center"/>
    </xf>
    <xf numFmtId="0" fontId="39" fillId="0" borderId="0" xfId="0" applyFont="1" applyAlignment="1">
      <alignment horizontal="right" vertical="center"/>
    </xf>
    <xf numFmtId="0" fontId="21" fillId="3" borderId="0" xfId="0" applyFont="1" applyFill="1"/>
    <xf numFmtId="4" fontId="21" fillId="3" borderId="0" xfId="0" applyNumberFormat="1" applyFont="1" applyFill="1"/>
    <xf numFmtId="0" fontId="44" fillId="0" borderId="0" xfId="0" applyFont="1" applyAlignment="1">
      <alignment horizontal="center" vertical="center"/>
    </xf>
    <xf numFmtId="0" fontId="45" fillId="0" borderId="0" xfId="0" applyFont="1" applyAlignment="1">
      <alignment horizontal="left" vertical="center"/>
    </xf>
    <xf numFmtId="0" fontId="5" fillId="22" borderId="0" xfId="0" applyFont="1" applyFill="1" applyAlignment="1">
      <alignment horizontal="left" vertical="center"/>
    </xf>
    <xf numFmtId="0" fontId="5" fillId="15" borderId="0" xfId="0" applyFont="1" applyFill="1" applyAlignment="1">
      <alignment horizontal="left" vertical="center"/>
    </xf>
    <xf numFmtId="10" fontId="5" fillId="23" borderId="0" xfId="0" applyNumberFormat="1" applyFont="1" applyFill="1" applyAlignment="1">
      <alignment horizontal="right" vertical="center"/>
    </xf>
    <xf numFmtId="10" fontId="46" fillId="23" borderId="0" xfId="0" applyNumberFormat="1" applyFont="1" applyFill="1" applyAlignment="1">
      <alignment horizontal="right" vertical="center"/>
    </xf>
    <xf numFmtId="10" fontId="26" fillId="24" borderId="0" xfId="2" applyNumberFormat="1" applyFont="1" applyFill="1" applyBorder="1" applyAlignment="1">
      <alignment horizontal="right" vertical="center"/>
    </xf>
    <xf numFmtId="10" fontId="47" fillId="0" borderId="0" xfId="0" applyNumberFormat="1" applyFont="1" applyAlignment="1">
      <alignment horizontal="right" vertical="center"/>
    </xf>
    <xf numFmtId="10" fontId="48" fillId="0" borderId="0" xfId="0" applyNumberFormat="1" applyFont="1" applyAlignment="1">
      <alignment horizontal="right" vertical="center"/>
    </xf>
    <xf numFmtId="0" fontId="48" fillId="0" borderId="0" xfId="0" applyFont="1" applyAlignment="1">
      <alignment horizontal="left" vertical="center"/>
    </xf>
    <xf numFmtId="10" fontId="45" fillId="0" borderId="0" xfId="0" applyNumberFormat="1" applyFont="1"/>
    <xf numFmtId="0" fontId="45" fillId="0" borderId="0" xfId="0" applyFont="1"/>
    <xf numFmtId="10" fontId="5" fillId="11" borderId="0" xfId="0" applyNumberFormat="1" applyFont="1" applyFill="1" applyAlignment="1">
      <alignment horizontal="right" vertical="center"/>
    </xf>
    <xf numFmtId="0" fontId="49" fillId="0" borderId="0" xfId="0" applyFont="1"/>
    <xf numFmtId="10" fontId="0" fillId="11" borderId="0" xfId="2" applyNumberFormat="1" applyFont="1" applyFill="1"/>
    <xf numFmtId="10" fontId="0" fillId="23" borderId="0" xfId="2" applyNumberFormat="1" applyFont="1" applyFill="1"/>
    <xf numFmtId="0" fontId="6" fillId="0" borderId="0" xfId="0" applyFont="1" applyAlignment="1">
      <alignment horizontal="center" vertical="center"/>
    </xf>
    <xf numFmtId="170" fontId="0" fillId="0" borderId="0" xfId="1" applyNumberFormat="1" applyFont="1"/>
    <xf numFmtId="170" fontId="0" fillId="12" borderId="0" xfId="1" applyNumberFormat="1" applyFont="1" applyFill="1"/>
    <xf numFmtId="170" fontId="34" fillId="21" borderId="0" xfId="1" applyNumberFormat="1" applyFont="1" applyFill="1"/>
    <xf numFmtId="170" fontId="0" fillId="0" borderId="0" xfId="1" applyNumberFormat="1" applyFont="1" applyBorder="1"/>
    <xf numFmtId="171" fontId="0" fillId="0" borderId="0" xfId="2" applyNumberFormat="1" applyFont="1"/>
    <xf numFmtId="0" fontId="4" fillId="0" borderId="0" xfId="0" applyFont="1" applyAlignment="1">
      <alignment horizontal="left" vertical="center"/>
    </xf>
    <xf numFmtId="10" fontId="4" fillId="0" borderId="0" xfId="2" applyNumberFormat="1" applyFont="1" applyFill="1" applyBorder="1" applyAlignment="1">
      <alignment horizontal="right" vertical="center"/>
    </xf>
    <xf numFmtId="0" fontId="6" fillId="0" borderId="0" xfId="0" applyFont="1" applyAlignment="1">
      <alignment horizontal="center" vertical="center" wrapText="1"/>
    </xf>
    <xf numFmtId="170" fontId="0" fillId="22" borderId="0" xfId="1" applyNumberFormat="1" applyFont="1" applyFill="1" applyBorder="1"/>
    <xf numFmtId="170" fontId="0" fillId="15" borderId="0" xfId="1" applyNumberFormat="1" applyFont="1" applyFill="1" applyBorder="1"/>
    <xf numFmtId="170" fontId="0" fillId="23" borderId="0" xfId="1" applyNumberFormat="1" applyFont="1" applyFill="1" applyBorder="1"/>
    <xf numFmtId="0" fontId="0" fillId="12" borderId="16" xfId="0" applyFill="1" applyBorder="1"/>
    <xf numFmtId="170" fontId="0" fillId="0" borderId="16" xfId="1" applyNumberFormat="1" applyFont="1" applyBorder="1"/>
    <xf numFmtId="0" fontId="0" fillId="0" borderId="11" xfId="0" applyBorder="1"/>
    <xf numFmtId="4" fontId="0" fillId="0" borderId="11" xfId="0" applyNumberFormat="1" applyBorder="1"/>
    <xf numFmtId="170" fontId="0" fillId="0" borderId="11" xfId="1" applyNumberFormat="1" applyFont="1" applyBorder="1"/>
    <xf numFmtId="0" fontId="19" fillId="0" borderId="16" xfId="0" applyFont="1" applyBorder="1"/>
    <xf numFmtId="4" fontId="0" fillId="0" borderId="16" xfId="0" applyNumberFormat="1" applyBorder="1"/>
    <xf numFmtId="0" fontId="6" fillId="0" borderId="0" xfId="0" applyFont="1" applyAlignment="1">
      <alignment vertical="center" wrapText="1"/>
    </xf>
    <xf numFmtId="170" fontId="6" fillId="0" borderId="0" xfId="1" applyNumberFormat="1" applyFont="1" applyFill="1"/>
    <xf numFmtId="170" fontId="28" fillId="21" borderId="0" xfId="1" applyNumberFormat="1" applyFont="1" applyFill="1"/>
    <xf numFmtId="172" fontId="6" fillId="0" borderId="0" xfId="0" applyNumberFormat="1" applyFont="1"/>
    <xf numFmtId="0" fontId="6" fillId="11" borderId="0" xfId="0" applyFont="1" applyFill="1"/>
    <xf numFmtId="170" fontId="17" fillId="11" borderId="0" xfId="1" applyNumberFormat="1" applyFont="1" applyFill="1"/>
    <xf numFmtId="170" fontId="17" fillId="21" borderId="0" xfId="1" applyNumberFormat="1" applyFont="1" applyFill="1"/>
    <xf numFmtId="172" fontId="6" fillId="0" borderId="0" xfId="0" applyNumberFormat="1" applyFont="1" applyAlignment="1">
      <alignment vertical="center" wrapText="1"/>
    </xf>
    <xf numFmtId="170" fontId="3" fillId="0" borderId="0" xfId="1" applyNumberFormat="1" applyFont="1" applyFill="1"/>
    <xf numFmtId="170" fontId="0" fillId="0" borderId="0" xfId="0" applyNumberFormat="1"/>
    <xf numFmtId="170" fontId="20" fillId="0" borderId="0" xfId="0" applyNumberFormat="1" applyFont="1"/>
    <xf numFmtId="170" fontId="20" fillId="21" borderId="0" xfId="0" applyNumberFormat="1" applyFont="1" applyFill="1"/>
    <xf numFmtId="0" fontId="29" fillId="2" borderId="18" xfId="0" applyFont="1" applyFill="1" applyBorder="1"/>
    <xf numFmtId="173" fontId="30" fillId="2" borderId="19" xfId="0" applyNumberFormat="1" applyFont="1" applyFill="1" applyBorder="1" applyAlignment="1">
      <alignment horizontal="center"/>
    </xf>
    <xf numFmtId="0" fontId="29" fillId="2" borderId="20" xfId="0" applyFont="1" applyFill="1" applyBorder="1"/>
    <xf numFmtId="0" fontId="29" fillId="2" borderId="22" xfId="0" applyFont="1" applyFill="1" applyBorder="1"/>
    <xf numFmtId="10" fontId="4" fillId="23" borderId="0" xfId="0" applyNumberFormat="1" applyFont="1" applyFill="1" applyAlignment="1">
      <alignment horizontal="right" vertical="center"/>
    </xf>
    <xf numFmtId="10" fontId="53" fillId="23" borderId="0" xfId="0" applyNumberFormat="1" applyFont="1" applyFill="1" applyAlignment="1">
      <alignment horizontal="right" vertical="center"/>
    </xf>
    <xf numFmtId="0" fontId="5" fillId="12" borderId="0" xfId="0" applyFont="1" applyFill="1" applyAlignment="1">
      <alignment horizontal="left" vertical="center"/>
    </xf>
    <xf numFmtId="171" fontId="5" fillId="25" borderId="0" xfId="2" applyNumberFormat="1" applyFont="1" applyFill="1" applyBorder="1" applyAlignment="1">
      <alignment horizontal="right" vertical="center"/>
    </xf>
    <xf numFmtId="10" fontId="5" fillId="25" borderId="0" xfId="2" applyNumberFormat="1" applyFont="1" applyFill="1" applyBorder="1" applyAlignment="1">
      <alignment horizontal="right" vertical="center"/>
    </xf>
    <xf numFmtId="10" fontId="4" fillId="0" borderId="0" xfId="0" applyNumberFormat="1" applyFont="1" applyAlignment="1">
      <alignment horizontal="right" vertical="center"/>
    </xf>
    <xf numFmtId="9" fontId="0" fillId="0" borderId="0" xfId="2" applyFont="1"/>
    <xf numFmtId="9" fontId="54" fillId="0" borderId="0" xfId="2" applyFont="1"/>
    <xf numFmtId="10" fontId="55" fillId="0" borderId="0" xfId="0" applyNumberFormat="1" applyFont="1" applyAlignment="1">
      <alignment horizontal="right" vertical="center"/>
    </xf>
    <xf numFmtId="10" fontId="26" fillId="21" borderId="0" xfId="0" applyNumberFormat="1" applyFont="1" applyFill="1" applyAlignment="1">
      <alignment horizontal="right" vertical="center"/>
    </xf>
    <xf numFmtId="10" fontId="5" fillId="21" borderId="0" xfId="0" applyNumberFormat="1" applyFont="1" applyFill="1" applyAlignment="1">
      <alignment horizontal="right" vertical="center"/>
    </xf>
    <xf numFmtId="10" fontId="56" fillId="0" borderId="0" xfId="2" applyNumberFormat="1" applyFont="1" applyFill="1"/>
    <xf numFmtId="0" fontId="0" fillId="0" borderId="0" xfId="0" applyAlignment="1">
      <alignment horizontal="left" indent="1"/>
    </xf>
    <xf numFmtId="0" fontId="0" fillId="0" borderId="16" xfId="0" applyBorder="1" applyAlignment="1">
      <alignment horizontal="left" indent="1"/>
    </xf>
    <xf numFmtId="43" fontId="0" fillId="0" borderId="16" xfId="0" applyNumberFormat="1" applyBorder="1"/>
    <xf numFmtId="0" fontId="6" fillId="0" borderId="0" xfId="0" applyFont="1" applyAlignment="1">
      <alignment vertical="center"/>
    </xf>
    <xf numFmtId="0" fontId="0" fillId="12" borderId="16" xfId="0" applyFill="1" applyBorder="1" applyAlignment="1">
      <alignment horizontal="left" indent="1"/>
    </xf>
    <xf numFmtId="0" fontId="34" fillId="0" borderId="0" xfId="0" applyFont="1" applyAlignment="1">
      <alignment horizontal="left" indent="1"/>
    </xf>
    <xf numFmtId="0" fontId="19" fillId="0" borderId="0" xfId="0" applyFont="1" applyAlignment="1">
      <alignment horizontal="left" indent="1"/>
    </xf>
    <xf numFmtId="0" fontId="19" fillId="0" borderId="16" xfId="0" applyFont="1" applyBorder="1" applyAlignment="1">
      <alignment horizontal="left" indent="1"/>
    </xf>
    <xf numFmtId="170" fontId="57" fillId="0" borderId="0" xfId="1" applyNumberFormat="1" applyFont="1" applyFill="1"/>
    <xf numFmtId="170" fontId="57" fillId="21" borderId="0" xfId="1" applyNumberFormat="1" applyFont="1" applyFill="1"/>
    <xf numFmtId="0" fontId="58" fillId="0" borderId="0" xfId="0" applyFont="1"/>
    <xf numFmtId="0" fontId="0" fillId="16" borderId="0" xfId="0" applyFill="1"/>
    <xf numFmtId="0" fontId="59" fillId="3" borderId="0" xfId="0" applyFont="1" applyFill="1"/>
    <xf numFmtId="167" fontId="19" fillId="3" borderId="0" xfId="1" applyNumberFormat="1" applyFont="1" applyFill="1"/>
    <xf numFmtId="167" fontId="34" fillId="3" borderId="0" xfId="1" applyNumberFormat="1" applyFont="1" applyFill="1"/>
    <xf numFmtId="167" fontId="0" fillId="0" borderId="0" xfId="1" applyNumberFormat="1" applyFont="1"/>
    <xf numFmtId="10" fontId="19" fillId="3" borderId="0" xfId="2" applyNumberFormat="1" applyFont="1" applyFill="1"/>
    <xf numFmtId="10" fontId="34" fillId="3" borderId="0" xfId="2" applyNumberFormat="1" applyFont="1" applyFill="1"/>
    <xf numFmtId="10" fontId="34" fillId="16" borderId="0" xfId="2" applyNumberFormat="1" applyFont="1" applyFill="1"/>
    <xf numFmtId="2" fontId="34" fillId="16" borderId="0" xfId="0" applyNumberFormat="1" applyFont="1" applyFill="1"/>
    <xf numFmtId="2" fontId="34" fillId="3" borderId="0" xfId="0" applyNumberFormat="1" applyFont="1" applyFill="1"/>
    <xf numFmtId="10" fontId="19" fillId="3" borderId="0" xfId="0" applyNumberFormat="1" applyFont="1" applyFill="1"/>
    <xf numFmtId="10" fontId="34" fillId="16" borderId="0" xfId="0" applyNumberFormat="1" applyFont="1" applyFill="1"/>
    <xf numFmtId="0" fontId="60" fillId="3" borderId="0" xfId="0" applyFont="1" applyFill="1" applyAlignment="1">
      <alignment vertical="center"/>
    </xf>
    <xf numFmtId="10" fontId="19" fillId="3" borderId="0" xfId="2" applyNumberFormat="1" applyFont="1" applyFill="1" applyBorder="1"/>
    <xf numFmtId="10" fontId="34" fillId="3" borderId="0" xfId="2" applyNumberFormat="1" applyFont="1" applyFill="1" applyBorder="1"/>
    <xf numFmtId="0" fontId="35" fillId="0" borderId="0" xfId="0" quotePrefix="1" applyFont="1"/>
    <xf numFmtId="173" fontId="21" fillId="0" borderId="0" xfId="0" applyNumberFormat="1" applyFont="1" applyAlignment="1">
      <alignment horizontal="center"/>
    </xf>
    <xf numFmtId="169" fontId="21" fillId="0" borderId="0" xfId="0" applyNumberFormat="1" applyFont="1" applyAlignment="1">
      <alignment horizontal="center"/>
    </xf>
    <xf numFmtId="9" fontId="37" fillId="0" borderId="0" xfId="2" applyFont="1"/>
    <xf numFmtId="43" fontId="39" fillId="0" borderId="0" xfId="1" applyFont="1" applyAlignment="1">
      <alignment horizontal="left" vertical="center"/>
    </xf>
    <xf numFmtId="2" fontId="37" fillId="0" borderId="0" xfId="0" applyNumberFormat="1" applyFont="1"/>
    <xf numFmtId="43" fontId="39" fillId="0" borderId="0" xfId="1" applyFont="1" applyAlignment="1">
      <alignment horizontal="right" vertical="center"/>
    </xf>
    <xf numFmtId="43" fontId="39" fillId="0" borderId="0" xfId="0" applyNumberFormat="1" applyFont="1" applyAlignment="1">
      <alignment horizontal="right" vertical="center"/>
    </xf>
    <xf numFmtId="43" fontId="37" fillId="3" borderId="0" xfId="0" applyNumberFormat="1" applyFont="1" applyFill="1"/>
    <xf numFmtId="0" fontId="37" fillId="0" borderId="0" xfId="0" applyFont="1" applyAlignment="1">
      <alignment horizontal="right"/>
    </xf>
    <xf numFmtId="43" fontId="37" fillId="0" borderId="0" xfId="0" applyNumberFormat="1" applyFont="1" applyAlignment="1">
      <alignment horizontal="right"/>
    </xf>
    <xf numFmtId="10" fontId="37" fillId="3" borderId="0" xfId="2" applyNumberFormat="1" applyFont="1" applyFill="1"/>
    <xf numFmtId="0" fontId="37" fillId="0" borderId="0" xfId="0" applyFont="1" applyAlignment="1">
      <alignment wrapText="1"/>
    </xf>
    <xf numFmtId="43" fontId="37" fillId="0" borderId="0" xfId="1" applyFont="1" applyAlignment="1">
      <alignment wrapText="1"/>
    </xf>
    <xf numFmtId="167" fontId="37" fillId="0" borderId="0" xfId="0" applyNumberFormat="1" applyFont="1"/>
    <xf numFmtId="0" fontId="4" fillId="0" borderId="0" xfId="0" applyFont="1" applyAlignment="1">
      <alignment horizontal="right" vertical="center"/>
    </xf>
    <xf numFmtId="2" fontId="5" fillId="0" borderId="0" xfId="0" applyNumberFormat="1" applyFont="1" applyAlignment="1">
      <alignment horizontal="right" vertical="center"/>
    </xf>
    <xf numFmtId="10" fontId="5" fillId="0" borderId="0" xfId="2" applyNumberFormat="1" applyFont="1" applyBorder="1" applyAlignment="1">
      <alignment horizontal="right" vertical="center"/>
    </xf>
    <xf numFmtId="3" fontId="5" fillId="0" borderId="0" xfId="0" applyNumberFormat="1" applyFont="1" applyAlignment="1">
      <alignment horizontal="right" vertical="center"/>
    </xf>
    <xf numFmtId="0" fontId="0" fillId="0" borderId="0" xfId="0" applyAlignment="1">
      <alignment horizontal="center"/>
    </xf>
    <xf numFmtId="10" fontId="0" fillId="0" borderId="0" xfId="2" applyNumberFormat="1" applyFont="1" applyAlignment="1">
      <alignment horizontal="right"/>
    </xf>
    <xf numFmtId="0" fontId="61" fillId="0" borderId="0" xfId="0" applyFont="1" applyAlignment="1">
      <alignment horizontal="right"/>
    </xf>
    <xf numFmtId="43" fontId="38" fillId="0" borderId="0" xfId="1" applyFont="1" applyAlignment="1">
      <alignment horizontal="right" vertical="center"/>
    </xf>
    <xf numFmtId="0" fontId="5" fillId="0" borderId="0" xfId="0" applyFont="1" applyAlignment="1">
      <alignment horizontal="right" vertical="center"/>
    </xf>
    <xf numFmtId="0" fontId="4" fillId="3" borderId="0" xfId="0" applyFont="1" applyFill="1" applyAlignment="1">
      <alignment horizontal="right" vertical="center"/>
    </xf>
    <xf numFmtId="167" fontId="38" fillId="0" borderId="0" xfId="1" applyNumberFormat="1" applyFont="1" applyAlignment="1">
      <alignment horizontal="right" vertical="center"/>
    </xf>
    <xf numFmtId="167" fontId="38" fillId="3" borderId="0" xfId="1" applyNumberFormat="1" applyFont="1" applyFill="1" applyAlignment="1">
      <alignment horizontal="right" vertical="center"/>
    </xf>
    <xf numFmtId="167" fontId="39" fillId="0" borderId="0" xfId="1" applyNumberFormat="1" applyFont="1" applyAlignment="1">
      <alignment horizontal="right" vertical="center"/>
    </xf>
    <xf numFmtId="167" fontId="39" fillId="0" borderId="0" xfId="1" applyNumberFormat="1" applyFont="1" applyFill="1" applyAlignment="1">
      <alignment horizontal="right" vertical="center"/>
    </xf>
    <xf numFmtId="167" fontId="0" fillId="0" borderId="0" xfId="1" applyNumberFormat="1" applyFont="1" applyAlignment="1">
      <alignment horizontal="right"/>
    </xf>
    <xf numFmtId="167" fontId="62" fillId="0" borderId="0" xfId="1" applyNumberFormat="1" applyFont="1" applyAlignment="1">
      <alignment horizontal="right"/>
    </xf>
    <xf numFmtId="43" fontId="62" fillId="3" borderId="0" xfId="1" applyFont="1" applyFill="1" applyAlignment="1">
      <alignment horizontal="right"/>
    </xf>
    <xf numFmtId="43" fontId="0" fillId="0" borderId="0" xfId="1" applyFont="1" applyAlignment="1">
      <alignment horizontal="right"/>
    </xf>
    <xf numFmtId="2" fontId="0" fillId="0" borderId="0" xfId="0" applyNumberFormat="1" applyAlignment="1">
      <alignment horizontal="right"/>
    </xf>
    <xf numFmtId="10" fontId="21" fillId="3" borderId="0" xfId="2" applyNumberFormat="1" applyFont="1" applyFill="1" applyAlignment="1">
      <alignment horizontal="right"/>
    </xf>
    <xf numFmtId="0" fontId="0" fillId="26" borderId="0" xfId="0" applyFill="1"/>
    <xf numFmtId="3" fontId="0" fillId="26" borderId="0" xfId="0" applyNumberFormat="1" applyFill="1" applyAlignment="1">
      <alignment horizontal="right"/>
    </xf>
    <xf numFmtId="0" fontId="0" fillId="26" borderId="0" xfId="0" quotePrefix="1" applyFill="1" applyAlignment="1">
      <alignment horizontal="left" indent="1"/>
    </xf>
    <xf numFmtId="10" fontId="0" fillId="26" borderId="0" xfId="0" applyNumberFormat="1" applyFill="1" applyAlignment="1">
      <alignment horizontal="right"/>
    </xf>
    <xf numFmtId="0" fontId="35" fillId="0" borderId="0" xfId="0" applyFont="1" applyAlignment="1">
      <alignment horizontal="center" wrapText="1"/>
    </xf>
    <xf numFmtId="0" fontId="0" fillId="0" borderId="0" xfId="0" quotePrefix="1" applyAlignment="1">
      <alignment horizontal="left" indent="1"/>
    </xf>
    <xf numFmtId="10" fontId="0" fillId="0" borderId="0" xfId="0" applyNumberFormat="1" applyAlignment="1">
      <alignment horizontal="right"/>
    </xf>
    <xf numFmtId="3" fontId="21" fillId="3" borderId="0" xfId="0" applyNumberFormat="1" applyFont="1" applyFill="1" applyAlignment="1">
      <alignment horizontal="right"/>
    </xf>
    <xf numFmtId="3" fontId="0" fillId="0" borderId="0" xfId="0" applyNumberFormat="1" applyAlignment="1">
      <alignment horizontal="right"/>
    </xf>
    <xf numFmtId="1" fontId="0" fillId="0" borderId="0" xfId="0" applyNumberFormat="1" applyAlignment="1">
      <alignment horizontal="right" wrapText="1"/>
    </xf>
    <xf numFmtId="0" fontId="63" fillId="3" borderId="0" xfId="0" applyFont="1" applyFill="1"/>
    <xf numFmtId="174" fontId="63" fillId="3" borderId="0" xfId="2" applyNumberFormat="1" applyFont="1" applyFill="1" applyAlignment="1">
      <alignment horizontal="right"/>
    </xf>
    <xf numFmtId="0" fontId="12" fillId="2" borderId="0" xfId="0" applyFont="1" applyFill="1"/>
    <xf numFmtId="0" fontId="0" fillId="2" borderId="0" xfId="0" applyFill="1"/>
    <xf numFmtId="0" fontId="11" fillId="2" borderId="0" xfId="0" applyFont="1" applyFill="1"/>
    <xf numFmtId="0" fontId="11" fillId="2" borderId="0" xfId="0" applyFont="1" applyFill="1" applyAlignment="1">
      <alignment horizontal="left" vertical="center"/>
    </xf>
    <xf numFmtId="0" fontId="21" fillId="3" borderId="0" xfId="0" applyFont="1" applyFill="1" applyAlignment="1">
      <alignment horizontal="center"/>
    </xf>
    <xf numFmtId="0" fontId="21" fillId="0" borderId="0" xfId="0" applyFont="1" applyAlignment="1">
      <alignment horizontal="center"/>
    </xf>
    <xf numFmtId="0" fontId="21" fillId="0" borderId="24" xfId="0" applyFont="1" applyBorder="1"/>
    <xf numFmtId="10" fontId="21" fillId="10" borderId="25" xfId="2" applyNumberFormat="1" applyFont="1" applyFill="1" applyBorder="1"/>
    <xf numFmtId="0" fontId="21" fillId="0" borderId="26" xfId="0" applyFont="1" applyBorder="1"/>
    <xf numFmtId="0" fontId="21" fillId="2" borderId="23" xfId="0" applyFont="1" applyFill="1" applyBorder="1"/>
    <xf numFmtId="9" fontId="21" fillId="10" borderId="23" xfId="2" applyFont="1" applyFill="1" applyBorder="1"/>
    <xf numFmtId="0" fontId="21" fillId="0" borderId="27" xfId="0" applyFont="1" applyBorder="1"/>
    <xf numFmtId="9" fontId="21" fillId="10" borderId="28" xfId="0" applyNumberFormat="1" applyFont="1" applyFill="1" applyBorder="1"/>
    <xf numFmtId="9" fontId="37" fillId="0" borderId="0" xfId="2" applyFont="1" applyFill="1"/>
    <xf numFmtId="0" fontId="63" fillId="0" borderId="0" xfId="0" applyFont="1"/>
    <xf numFmtId="0" fontId="21" fillId="0" borderId="16" xfId="0" applyFont="1" applyBorder="1"/>
    <xf numFmtId="0" fontId="0" fillId="0" borderId="0" xfId="0" applyAlignment="1">
      <alignment vertical="center"/>
    </xf>
    <xf numFmtId="0" fontId="19" fillId="15" borderId="0" xfId="0" applyFont="1" applyFill="1"/>
    <xf numFmtId="0" fontId="6" fillId="0" borderId="24" xfId="0" applyFont="1" applyBorder="1"/>
    <xf numFmtId="10" fontId="6" fillId="10" borderId="25" xfId="2" applyNumberFormat="1" applyFont="1" applyFill="1" applyBorder="1"/>
    <xf numFmtId="10" fontId="6" fillId="10" borderId="29" xfId="2" applyNumberFormat="1" applyFont="1" applyFill="1" applyBorder="1"/>
    <xf numFmtId="0" fontId="6" fillId="0" borderId="26" xfId="0" applyFont="1" applyBorder="1"/>
    <xf numFmtId="0" fontId="6" fillId="10" borderId="30" xfId="0" applyFont="1" applyFill="1" applyBorder="1"/>
    <xf numFmtId="10" fontId="6" fillId="10" borderId="30" xfId="2" applyNumberFormat="1" applyFont="1" applyFill="1" applyBorder="1"/>
    <xf numFmtId="10" fontId="6" fillId="10" borderId="31" xfId="2" applyNumberFormat="1" applyFont="1" applyFill="1" applyBorder="1"/>
    <xf numFmtId="0" fontId="6" fillId="27" borderId="32" xfId="0" applyFont="1" applyFill="1" applyBorder="1"/>
    <xf numFmtId="43" fontId="6" fillId="10" borderId="30" xfId="0" applyNumberFormat="1" applyFont="1" applyFill="1" applyBorder="1"/>
    <xf numFmtId="43" fontId="6" fillId="10" borderId="31" xfId="0" applyNumberFormat="1" applyFont="1" applyFill="1" applyBorder="1"/>
    <xf numFmtId="0" fontId="6" fillId="0" borderId="32" xfId="0" applyFont="1" applyBorder="1"/>
    <xf numFmtId="9" fontId="6" fillId="10" borderId="23" xfId="2" applyFont="1" applyFill="1" applyBorder="1"/>
    <xf numFmtId="9" fontId="6" fillId="10" borderId="33" xfId="2" applyFont="1" applyFill="1" applyBorder="1"/>
    <xf numFmtId="0" fontId="6" fillId="0" borderId="27" xfId="0" applyFont="1" applyBorder="1"/>
    <xf numFmtId="4" fontId="6" fillId="10" borderId="28" xfId="0" applyNumberFormat="1" applyFont="1" applyFill="1" applyBorder="1"/>
    <xf numFmtId="4" fontId="6" fillId="10" borderId="34" xfId="0" applyNumberFormat="1" applyFont="1" applyFill="1" applyBorder="1"/>
    <xf numFmtId="0" fontId="20" fillId="15" borderId="0" xfId="0" applyFont="1" applyFill="1"/>
    <xf numFmtId="3" fontId="0" fillId="0" borderId="0" xfId="0" applyNumberFormat="1"/>
    <xf numFmtId="0" fontId="20" fillId="0" borderId="0" xfId="0" applyFont="1"/>
    <xf numFmtId="0" fontId="6" fillId="15" borderId="0" xfId="0" applyFont="1" applyFill="1"/>
    <xf numFmtId="0" fontId="21" fillId="27" borderId="0" xfId="0" applyFont="1" applyFill="1"/>
    <xf numFmtId="0" fontId="0" fillId="0" borderId="0" xfId="0" quotePrefix="1"/>
    <xf numFmtId="0" fontId="37" fillId="2" borderId="18" xfId="0" applyFont="1" applyFill="1" applyBorder="1"/>
    <xf numFmtId="173" fontId="21" fillId="2" borderId="19" xfId="0" applyNumberFormat="1" applyFont="1" applyFill="1" applyBorder="1" applyAlignment="1">
      <alignment horizontal="center"/>
    </xf>
    <xf numFmtId="0" fontId="37" fillId="2" borderId="20" xfId="0" applyFont="1" applyFill="1" applyBorder="1"/>
    <xf numFmtId="169" fontId="21" fillId="2" borderId="21" xfId="0" applyNumberFormat="1" applyFont="1" applyFill="1" applyBorder="1" applyAlignment="1">
      <alignment horizontal="center"/>
    </xf>
    <xf numFmtId="0" fontId="37" fillId="2" borderId="21" xfId="0" applyFont="1" applyFill="1" applyBorder="1"/>
    <xf numFmtId="0" fontId="37" fillId="2" borderId="22" xfId="0" applyFont="1" applyFill="1" applyBorder="1"/>
    <xf numFmtId="0" fontId="37" fillId="2" borderId="1" xfId="0" applyFont="1" applyFill="1" applyBorder="1"/>
    <xf numFmtId="0" fontId="21" fillId="3" borderId="2" xfId="0" applyFont="1" applyFill="1" applyBorder="1" applyAlignment="1">
      <alignment horizontal="center"/>
    </xf>
    <xf numFmtId="0" fontId="21" fillId="3" borderId="3" xfId="0" applyFont="1" applyFill="1" applyBorder="1" applyAlignment="1">
      <alignment horizontal="center"/>
    </xf>
    <xf numFmtId="4" fontId="37" fillId="0" borderId="0" xfId="2" applyNumberFormat="1" applyFont="1"/>
    <xf numFmtId="0" fontId="21" fillId="10" borderId="25" xfId="0" applyFont="1" applyFill="1" applyBorder="1"/>
    <xf numFmtId="9" fontId="21" fillId="10" borderId="25" xfId="2" applyFont="1" applyFill="1" applyBorder="1"/>
    <xf numFmtId="0" fontId="21" fillId="0" borderId="32" xfId="0" applyFont="1" applyBorder="1"/>
    <xf numFmtId="0" fontId="21" fillId="10" borderId="30" xfId="0" applyFont="1" applyFill="1" applyBorder="1"/>
    <xf numFmtId="9" fontId="21" fillId="10" borderId="30" xfId="2" applyFont="1" applyFill="1" applyBorder="1"/>
    <xf numFmtId="2" fontId="21" fillId="10" borderId="30" xfId="0" applyNumberFormat="1" applyFont="1" applyFill="1" applyBorder="1"/>
    <xf numFmtId="4" fontId="21" fillId="10" borderId="23" xfId="0" applyNumberFormat="1" applyFont="1" applyFill="1" applyBorder="1"/>
    <xf numFmtId="0" fontId="21" fillId="10" borderId="23" xfId="0" applyFont="1" applyFill="1" applyBorder="1"/>
    <xf numFmtId="10" fontId="21" fillId="10" borderId="23" xfId="0" applyNumberFormat="1" applyFont="1" applyFill="1" applyBorder="1"/>
    <xf numFmtId="43" fontId="21" fillId="10" borderId="30" xfId="1" applyFont="1" applyFill="1" applyBorder="1"/>
    <xf numFmtId="0" fontId="21" fillId="10" borderId="33" xfId="0" applyFont="1" applyFill="1" applyBorder="1"/>
    <xf numFmtId="43" fontId="21" fillId="10" borderId="23" xfId="1" applyFont="1" applyFill="1" applyBorder="1"/>
    <xf numFmtId="10" fontId="21" fillId="10" borderId="28" xfId="0" applyNumberFormat="1" applyFont="1" applyFill="1" applyBorder="1"/>
    <xf numFmtId="0" fontId="4" fillId="4" borderId="3" xfId="0" applyFont="1" applyFill="1" applyBorder="1" applyAlignment="1">
      <alignment horizontal="right"/>
    </xf>
    <xf numFmtId="0" fontId="3" fillId="2" borderId="5" xfId="0" applyFont="1" applyFill="1" applyBorder="1" applyAlignment="1">
      <alignment horizontal="left" vertical="center"/>
    </xf>
    <xf numFmtId="4" fontId="5" fillId="2" borderId="1" xfId="0" applyNumberFormat="1" applyFont="1" applyFill="1" applyBorder="1" applyAlignment="1">
      <alignment horizontal="right" vertical="center"/>
    </xf>
    <xf numFmtId="4" fontId="5" fillId="2" borderId="1" xfId="0" applyNumberFormat="1" applyFont="1" applyFill="1" applyBorder="1" applyAlignment="1">
      <alignment horizontal="right"/>
    </xf>
    <xf numFmtId="0" fontId="0" fillId="22" borderId="0" xfId="0" applyFill="1"/>
    <xf numFmtId="0" fontId="3" fillId="22" borderId="5" xfId="0" applyFont="1" applyFill="1" applyBorder="1" applyAlignment="1">
      <alignment horizontal="left" vertical="center" indent="1"/>
    </xf>
    <xf numFmtId="4" fontId="5" fillId="22" borderId="1" xfId="0" applyNumberFormat="1" applyFont="1" applyFill="1" applyBorder="1" applyAlignment="1">
      <alignment horizontal="right" vertical="center"/>
    </xf>
    <xf numFmtId="4" fontId="5" fillId="22" borderId="1" xfId="0" applyNumberFormat="1" applyFont="1" applyFill="1" applyBorder="1" applyAlignment="1">
      <alignment horizontal="right"/>
    </xf>
    <xf numFmtId="0" fontId="3" fillId="15" borderId="5" xfId="0" applyFont="1" applyFill="1" applyBorder="1" applyAlignment="1">
      <alignment horizontal="left" vertical="center" indent="1"/>
    </xf>
    <xf numFmtId="4" fontId="5" fillId="15" borderId="1" xfId="0" applyNumberFormat="1" applyFont="1" applyFill="1" applyBorder="1" applyAlignment="1">
      <alignment horizontal="right" vertical="center"/>
    </xf>
    <xf numFmtId="4" fontId="5" fillId="15" borderId="1" xfId="0" applyNumberFormat="1" applyFont="1" applyFill="1" applyBorder="1" applyAlignment="1">
      <alignment horizontal="right"/>
    </xf>
    <xf numFmtId="0" fontId="0" fillId="15" borderId="0" xfId="0" applyFill="1"/>
    <xf numFmtId="0" fontId="3" fillId="15" borderId="5" xfId="0" applyFont="1" applyFill="1" applyBorder="1" applyAlignment="1">
      <alignment horizontal="left" vertical="center"/>
    </xf>
    <xf numFmtId="0" fontId="35" fillId="3" borderId="0" xfId="0" applyFont="1" applyFill="1" applyAlignment="1">
      <alignment horizontal="center"/>
    </xf>
    <xf numFmtId="0" fontId="6" fillId="3" borderId="5" xfId="0" applyFont="1" applyFill="1" applyBorder="1" applyAlignment="1">
      <alignment horizontal="left" vertical="center"/>
    </xf>
    <xf numFmtId="4" fontId="4" fillId="3" borderId="1" xfId="0" applyNumberFormat="1" applyFont="1" applyFill="1" applyBorder="1" applyAlignment="1">
      <alignment horizontal="right" vertical="center"/>
    </xf>
    <xf numFmtId="4" fontId="4" fillId="3" borderId="1" xfId="0" applyNumberFormat="1" applyFont="1" applyFill="1" applyBorder="1" applyAlignment="1">
      <alignment horizontal="right"/>
    </xf>
    <xf numFmtId="0" fontId="3" fillId="12" borderId="5" xfId="0" applyFont="1" applyFill="1" applyBorder="1" applyAlignment="1">
      <alignment horizontal="left" vertical="center"/>
    </xf>
    <xf numFmtId="4" fontId="5" fillId="12" borderId="1" xfId="0" applyNumberFormat="1" applyFont="1" applyFill="1" applyBorder="1" applyAlignment="1">
      <alignment horizontal="right" vertical="center"/>
    </xf>
    <xf numFmtId="4" fontId="5" fillId="12" borderId="1" xfId="0" applyNumberFormat="1" applyFont="1" applyFill="1" applyBorder="1" applyAlignment="1">
      <alignment horizontal="right"/>
    </xf>
    <xf numFmtId="0" fontId="3" fillId="13" borderId="5" xfId="0" applyFont="1" applyFill="1" applyBorder="1" applyAlignment="1">
      <alignment horizontal="left" vertical="center" indent="1"/>
    </xf>
    <xf numFmtId="4" fontId="5" fillId="13" borderId="1" xfId="0" applyNumberFormat="1" applyFont="1" applyFill="1" applyBorder="1" applyAlignment="1">
      <alignment horizontal="right" vertical="center"/>
    </xf>
    <xf numFmtId="4" fontId="5" fillId="13" borderId="1" xfId="0" applyNumberFormat="1" applyFont="1" applyFill="1" applyBorder="1" applyAlignment="1">
      <alignment horizontal="right"/>
    </xf>
    <xf numFmtId="0" fontId="6" fillId="2" borderId="5" xfId="0" applyFont="1" applyFill="1" applyBorder="1" applyAlignment="1">
      <alignment horizontal="left" vertical="center"/>
    </xf>
    <xf numFmtId="4" fontId="4" fillId="2" borderId="1" xfId="0" applyNumberFormat="1" applyFont="1" applyFill="1" applyBorder="1" applyAlignment="1">
      <alignment horizontal="right" vertical="center"/>
    </xf>
    <xf numFmtId="4" fontId="4" fillId="2" borderId="1" xfId="0" applyNumberFormat="1" applyFont="1" applyFill="1" applyBorder="1" applyAlignment="1">
      <alignment horizontal="right"/>
    </xf>
    <xf numFmtId="4" fontId="5" fillId="4" borderId="1" xfId="0" applyNumberFormat="1" applyFont="1" applyFill="1" applyBorder="1" applyAlignment="1">
      <alignment horizontal="right"/>
    </xf>
    <xf numFmtId="0" fontId="3" fillId="13" borderId="5" xfId="0" applyFont="1" applyFill="1" applyBorder="1" applyAlignment="1">
      <alignment horizontal="left" vertical="center"/>
    </xf>
    <xf numFmtId="4" fontId="5" fillId="4" borderId="6" xfId="0" applyNumberFormat="1" applyFont="1" applyFill="1" applyBorder="1" applyAlignment="1">
      <alignment horizontal="right"/>
    </xf>
    <xf numFmtId="4" fontId="8" fillId="2" borderId="1" xfId="0" applyNumberFormat="1" applyFont="1" applyFill="1" applyBorder="1" applyAlignment="1">
      <alignment horizontal="right" vertical="center"/>
    </xf>
    <xf numFmtId="4" fontId="8" fillId="2" borderId="1" xfId="0" applyNumberFormat="1" applyFont="1" applyFill="1" applyBorder="1" applyAlignment="1">
      <alignment horizontal="right"/>
    </xf>
    <xf numFmtId="0" fontId="6" fillId="3" borderId="0" xfId="0" applyFont="1" applyFill="1" applyAlignment="1">
      <alignment horizontal="left" vertical="center"/>
    </xf>
    <xf numFmtId="4" fontId="0" fillId="0" borderId="0" xfId="0" applyNumberFormat="1" applyAlignment="1">
      <alignment horizontal="right"/>
    </xf>
    <xf numFmtId="0" fontId="27" fillId="22" borderId="0" xfId="0" applyFont="1" applyFill="1" applyAlignment="1">
      <alignment horizontal="left" vertical="center" indent="1"/>
    </xf>
    <xf numFmtId="0" fontId="32" fillId="22" borderId="0" xfId="0" applyFont="1" applyFill="1" applyAlignment="1">
      <alignment horizontal="left" vertical="center" indent="1"/>
    </xf>
    <xf numFmtId="0" fontId="27" fillId="15" borderId="16" xfId="0" applyFont="1" applyFill="1" applyBorder="1" applyAlignment="1">
      <alignment horizontal="left" vertical="center" indent="1"/>
    </xf>
    <xf numFmtId="0" fontId="0" fillId="0" borderId="16" xfId="0" applyBorder="1"/>
    <xf numFmtId="4" fontId="0" fillId="0" borderId="16" xfId="0" applyNumberFormat="1" applyBorder="1" applyAlignment="1">
      <alignment horizontal="right"/>
    </xf>
    <xf numFmtId="0" fontId="34" fillId="3" borderId="16" xfId="0" applyFont="1" applyFill="1" applyBorder="1" applyAlignment="1">
      <alignment horizontal="left" indent="1"/>
    </xf>
    <xf numFmtId="2" fontId="0" fillId="0" borderId="16" xfId="0" applyNumberFormat="1" applyBorder="1" applyAlignment="1">
      <alignment horizontal="right"/>
    </xf>
    <xf numFmtId="0" fontId="32" fillId="15" borderId="0" xfId="0" applyFont="1" applyFill="1" applyAlignment="1">
      <alignment horizontal="left" vertical="center" indent="1"/>
    </xf>
    <xf numFmtId="0" fontId="36" fillId="15" borderId="0" xfId="0" applyFont="1" applyFill="1" applyAlignment="1">
      <alignment horizontal="left" vertical="center" indent="1"/>
    </xf>
    <xf numFmtId="0" fontId="32" fillId="15" borderId="16" xfId="0" applyFont="1" applyFill="1" applyBorder="1" applyAlignment="1">
      <alignment horizontal="left" vertical="center" indent="1"/>
    </xf>
    <xf numFmtId="0" fontId="21" fillId="15" borderId="0" xfId="0" applyFont="1" applyFill="1"/>
    <xf numFmtId="2" fontId="21" fillId="0" borderId="0" xfId="0" applyNumberFormat="1" applyFont="1" applyAlignment="1">
      <alignment horizontal="right"/>
    </xf>
    <xf numFmtId="0" fontId="27" fillId="12" borderId="0" xfId="0" applyFont="1" applyFill="1" applyAlignment="1">
      <alignment horizontal="left" vertical="center" indent="1"/>
    </xf>
    <xf numFmtId="0" fontId="27" fillId="0" borderId="0" xfId="0" applyFont="1" applyAlignment="1">
      <alignment horizontal="left" vertical="center" indent="1"/>
    </xf>
    <xf numFmtId="2" fontId="26" fillId="0" borderId="0" xfId="0" applyNumberFormat="1" applyFont="1" applyAlignment="1">
      <alignment horizontal="right"/>
    </xf>
    <xf numFmtId="0" fontId="32" fillId="12" borderId="0" xfId="0" applyFont="1" applyFill="1" applyAlignment="1">
      <alignment horizontal="left" vertical="center" indent="1"/>
    </xf>
    <xf numFmtId="0" fontId="27" fillId="12" borderId="0" xfId="0" applyFont="1" applyFill="1" applyAlignment="1">
      <alignment horizontal="left" vertical="center" indent="2"/>
    </xf>
    <xf numFmtId="0" fontId="27" fillId="12" borderId="16" xfId="0" applyFont="1" applyFill="1" applyBorder="1" applyAlignment="1">
      <alignment horizontal="left" vertical="center" indent="2"/>
    </xf>
    <xf numFmtId="0" fontId="21" fillId="12" borderId="0" xfId="0" applyFont="1" applyFill="1"/>
    <xf numFmtId="2" fontId="21" fillId="11" borderId="0" xfId="0" applyNumberFormat="1" applyFont="1" applyFill="1" applyAlignment="1">
      <alignment horizontal="right"/>
    </xf>
    <xf numFmtId="0" fontId="27" fillId="13" borderId="0" xfId="0" applyFont="1" applyFill="1" applyAlignment="1">
      <alignment horizontal="left" vertical="center" indent="1"/>
    </xf>
    <xf numFmtId="0" fontId="32" fillId="13" borderId="0" xfId="0" applyFont="1" applyFill="1" applyAlignment="1">
      <alignment horizontal="left" vertical="center" indent="2"/>
    </xf>
    <xf numFmtId="0" fontId="32" fillId="13" borderId="0" xfId="0" applyFont="1" applyFill="1" applyAlignment="1">
      <alignment horizontal="left" vertical="center" indent="1"/>
    </xf>
    <xf numFmtId="0" fontId="32" fillId="13" borderId="16" xfId="0" applyFont="1" applyFill="1" applyBorder="1" applyAlignment="1">
      <alignment horizontal="left" vertical="center" indent="1"/>
    </xf>
    <xf numFmtId="0" fontId="21" fillId="13" borderId="0" xfId="0" applyFont="1" applyFill="1"/>
    <xf numFmtId="0" fontId="37" fillId="13" borderId="0" xfId="0" applyFont="1" applyFill="1" applyAlignment="1">
      <alignment horizontal="left" vertical="center" indent="1"/>
    </xf>
    <xf numFmtId="0" fontId="21" fillId="21" borderId="2" xfId="0" applyFont="1" applyFill="1" applyBorder="1" applyAlignment="1">
      <alignment vertical="center"/>
    </xf>
    <xf numFmtId="0" fontId="0" fillId="0" borderId="35" xfId="0" applyBorder="1" applyAlignment="1">
      <alignment vertical="center"/>
    </xf>
    <xf numFmtId="2" fontId="21" fillId="0" borderId="35" xfId="0" applyNumberFormat="1" applyFont="1" applyBorder="1" applyAlignment="1">
      <alignment horizontal="right" vertical="center"/>
    </xf>
    <xf numFmtId="2" fontId="21" fillId="0" borderId="3" xfId="0" applyNumberFormat="1" applyFont="1" applyBorder="1" applyAlignment="1">
      <alignment horizontal="right" vertical="center"/>
    </xf>
    <xf numFmtId="0" fontId="27" fillId="22" borderId="0" xfId="0" applyFont="1" applyFill="1" applyAlignment="1">
      <alignment horizontal="left" vertical="center" indent="2"/>
    </xf>
    <xf numFmtId="0" fontId="32" fillId="22" borderId="0" xfId="0" applyFont="1" applyFill="1" applyAlignment="1">
      <alignment horizontal="left" vertical="center" indent="2"/>
    </xf>
    <xf numFmtId="0" fontId="21" fillId="21" borderId="2" xfId="0" applyFont="1" applyFill="1" applyBorder="1"/>
    <xf numFmtId="0" fontId="21" fillId="0" borderId="35" xfId="0" applyFont="1" applyBorder="1"/>
    <xf numFmtId="2" fontId="21" fillId="0" borderId="35" xfId="0" applyNumberFormat="1" applyFont="1" applyBorder="1" applyAlignment="1">
      <alignment horizontal="right"/>
    </xf>
    <xf numFmtId="2" fontId="21" fillId="0" borderId="3" xfId="0" applyNumberFormat="1" applyFont="1" applyBorder="1" applyAlignment="1">
      <alignment horizontal="right"/>
    </xf>
    <xf numFmtId="0" fontId="21" fillId="0" borderId="0" xfId="0" applyFont="1" applyAlignment="1">
      <alignment horizontal="right"/>
    </xf>
    <xf numFmtId="0" fontId="67" fillId="21" borderId="2" xfId="0" applyFont="1" applyFill="1" applyBorder="1" applyAlignment="1">
      <alignment horizontal="left" vertical="center"/>
    </xf>
    <xf numFmtId="0" fontId="69" fillId="0" borderId="35" xfId="0" applyFont="1" applyBorder="1"/>
    <xf numFmtId="0" fontId="69" fillId="0" borderId="0" xfId="0" applyFont="1" applyAlignment="1">
      <alignment horizontal="center"/>
    </xf>
    <xf numFmtId="0" fontId="23" fillId="0" borderId="0" xfId="0" applyFont="1"/>
    <xf numFmtId="0" fontId="23" fillId="21" borderId="0" xfId="0" applyFont="1" applyFill="1"/>
    <xf numFmtId="0" fontId="23" fillId="15" borderId="0" xfId="0" applyFont="1" applyFill="1" applyAlignment="1">
      <alignment horizontal="center"/>
    </xf>
    <xf numFmtId="0" fontId="23" fillId="0" borderId="0" xfId="0" applyFont="1" applyAlignment="1">
      <alignment horizontal="center"/>
    </xf>
    <xf numFmtId="0" fontId="10" fillId="11" borderId="0" xfId="0" applyFont="1" applyFill="1"/>
    <xf numFmtId="4" fontId="10" fillId="11" borderId="0" xfId="0" applyNumberFormat="1" applyFont="1" applyFill="1"/>
    <xf numFmtId="4" fontId="10" fillId="0" borderId="0" xfId="0" applyNumberFormat="1" applyFont="1"/>
    <xf numFmtId="0" fontId="23" fillId="0" borderId="0" xfId="0" applyFont="1" applyAlignment="1">
      <alignment horizontal="centerContinuous"/>
    </xf>
    <xf numFmtId="9" fontId="23" fillId="0" borderId="0" xfId="0" applyNumberFormat="1" applyFont="1" applyAlignment="1">
      <alignment horizontal="center"/>
    </xf>
    <xf numFmtId="4" fontId="0" fillId="11" borderId="0" xfId="0" applyNumberFormat="1" applyFill="1"/>
    <xf numFmtId="10" fontId="0" fillId="12" borderId="0" xfId="2" applyNumberFormat="1" applyFont="1" applyFill="1"/>
    <xf numFmtId="10" fontId="0" fillId="12" borderId="0" xfId="0" applyNumberFormat="1" applyFill="1"/>
    <xf numFmtId="0" fontId="0" fillId="21" borderId="0" xfId="0" applyFill="1"/>
    <xf numFmtId="0" fontId="23" fillId="11" borderId="0" xfId="0" applyFont="1" applyFill="1" applyAlignment="1">
      <alignment horizontal="center"/>
    </xf>
    <xf numFmtId="4" fontId="23" fillId="11" borderId="0" xfId="0" applyNumberFormat="1" applyFont="1" applyFill="1"/>
    <xf numFmtId="0" fontId="23" fillId="11" borderId="0" xfId="0" applyFont="1" applyFill="1"/>
    <xf numFmtId="0" fontId="23" fillId="13" borderId="0" xfId="0" applyFont="1" applyFill="1"/>
    <xf numFmtId="0" fontId="23" fillId="15" borderId="0" xfId="0" applyFont="1" applyFill="1"/>
    <xf numFmtId="0" fontId="0" fillId="28" borderId="0" xfId="0" applyFill="1"/>
    <xf numFmtId="0" fontId="71" fillId="0" borderId="0" xfId="0" applyFont="1"/>
    <xf numFmtId="0" fontId="23" fillId="28" borderId="0" xfId="0" applyFont="1" applyFill="1"/>
    <xf numFmtId="0" fontId="0" fillId="0" borderId="0" xfId="0" applyAlignment="1">
      <alignment horizontal="left" indent="2"/>
    </xf>
    <xf numFmtId="0" fontId="0" fillId="0" borderId="16" xfId="0" applyBorder="1" applyAlignment="1">
      <alignment horizontal="left" indent="2"/>
    </xf>
    <xf numFmtId="0" fontId="10" fillId="28" borderId="0" xfId="0" applyFont="1" applyFill="1"/>
    <xf numFmtId="0" fontId="72" fillId="0" borderId="0" xfId="0" applyFont="1"/>
    <xf numFmtId="49" fontId="72" fillId="0" borderId="10" xfId="0" applyNumberFormat="1" applyFont="1" applyBorder="1"/>
    <xf numFmtId="168" fontId="72" fillId="11" borderId="11" xfId="1" applyNumberFormat="1" applyFont="1" applyFill="1" applyBorder="1"/>
    <xf numFmtId="168" fontId="73" fillId="0" borderId="11" xfId="1" applyNumberFormat="1" applyFont="1" applyBorder="1"/>
    <xf numFmtId="168" fontId="73" fillId="0" borderId="12" xfId="1" applyNumberFormat="1" applyFont="1" applyBorder="1"/>
    <xf numFmtId="49" fontId="72" fillId="0" borderId="13" xfId="0" applyNumberFormat="1" applyFont="1" applyBorder="1"/>
    <xf numFmtId="168" fontId="72" fillId="11" borderId="0" xfId="1" applyNumberFormat="1" applyFont="1" applyFill="1" applyBorder="1"/>
    <xf numFmtId="168" fontId="73" fillId="0" borderId="0" xfId="1" applyNumberFormat="1" applyFont="1" applyBorder="1"/>
    <xf numFmtId="0" fontId="72" fillId="0" borderId="14" xfId="0" applyFont="1" applyBorder="1"/>
    <xf numFmtId="168" fontId="73" fillId="3" borderId="0" xfId="1" applyNumberFormat="1" applyFont="1" applyFill="1" applyBorder="1"/>
    <xf numFmtId="49" fontId="73" fillId="0" borderId="13" xfId="0" applyNumberFormat="1" applyFont="1" applyBorder="1"/>
    <xf numFmtId="168" fontId="73" fillId="29" borderId="0" xfId="1" applyNumberFormat="1" applyFont="1" applyFill="1" applyBorder="1"/>
    <xf numFmtId="0" fontId="73" fillId="0" borderId="14" xfId="0" applyFont="1" applyBorder="1"/>
    <xf numFmtId="49" fontId="73" fillId="0" borderId="15" xfId="0" applyNumberFormat="1" applyFont="1" applyBorder="1"/>
    <xf numFmtId="168" fontId="72" fillId="0" borderId="16" xfId="1" applyNumberFormat="1" applyFont="1" applyBorder="1"/>
    <xf numFmtId="168" fontId="74" fillId="0" borderId="16" xfId="1" applyNumberFormat="1" applyFont="1" applyBorder="1"/>
    <xf numFmtId="168" fontId="73" fillId="0" borderId="16" xfId="1" applyNumberFormat="1" applyFont="1" applyBorder="1"/>
    <xf numFmtId="168" fontId="73" fillId="29" borderId="16" xfId="1" applyNumberFormat="1" applyFont="1" applyFill="1" applyBorder="1"/>
    <xf numFmtId="0" fontId="73" fillId="0" borderId="17" xfId="0" applyFont="1" applyBorder="1"/>
    <xf numFmtId="168" fontId="75" fillId="0" borderId="0" xfId="1" applyNumberFormat="1" applyFont="1" applyAlignment="1">
      <alignment vertical="center"/>
    </xf>
    <xf numFmtId="168" fontId="72" fillId="0" borderId="0" xfId="1" applyNumberFormat="1" applyFont="1"/>
    <xf numFmtId="168" fontId="76" fillId="0" borderId="0" xfId="1" applyNumberFormat="1" applyFont="1"/>
    <xf numFmtId="49" fontId="73" fillId="0" borderId="10" xfId="0" applyNumberFormat="1" applyFont="1" applyBorder="1"/>
    <xf numFmtId="168" fontId="73" fillId="29" borderId="11" xfId="1" applyNumberFormat="1" applyFont="1" applyFill="1" applyBorder="1"/>
    <xf numFmtId="168" fontId="77" fillId="0" borderId="11" xfId="1" applyNumberFormat="1" applyFont="1" applyBorder="1"/>
    <xf numFmtId="4" fontId="73" fillId="0" borderId="12" xfId="0" applyNumberFormat="1" applyFont="1" applyBorder="1"/>
    <xf numFmtId="0" fontId="72" fillId="0" borderId="17" xfId="0" applyFont="1" applyBorder="1"/>
    <xf numFmtId="168" fontId="75" fillId="0" borderId="0" xfId="1" applyNumberFormat="1" applyFont="1"/>
    <xf numFmtId="0" fontId="72" fillId="0" borderId="10" xfId="0" applyFont="1" applyBorder="1"/>
    <xf numFmtId="168" fontId="74" fillId="3" borderId="11" xfId="1" applyNumberFormat="1" applyFont="1" applyFill="1" applyBorder="1"/>
    <xf numFmtId="0" fontId="72" fillId="0" borderId="12" xfId="0" applyFont="1" applyBorder="1"/>
    <xf numFmtId="0" fontId="72" fillId="0" borderId="13" xfId="0" applyFont="1" applyBorder="1"/>
    <xf numFmtId="168" fontId="72" fillId="0" borderId="0" xfId="1" applyNumberFormat="1" applyFont="1" applyBorder="1"/>
    <xf numFmtId="0" fontId="72" fillId="0" borderId="15" xfId="0" applyFont="1" applyBorder="1"/>
    <xf numFmtId="168" fontId="72" fillId="11" borderId="16" xfId="1" applyNumberFormat="1" applyFont="1" applyFill="1" applyBorder="1"/>
    <xf numFmtId="0" fontId="72" fillId="11" borderId="10" xfId="0" applyFont="1" applyFill="1" applyBorder="1"/>
    <xf numFmtId="0" fontId="72" fillId="11" borderId="11" xfId="0" applyFont="1" applyFill="1" applyBorder="1"/>
    <xf numFmtId="10" fontId="72" fillId="11" borderId="11" xfId="2" applyNumberFormat="1" applyFont="1" applyFill="1" applyBorder="1"/>
    <xf numFmtId="9" fontId="72" fillId="11" borderId="11" xfId="0" applyNumberFormat="1" applyFont="1" applyFill="1" applyBorder="1"/>
    <xf numFmtId="9" fontId="72" fillId="11" borderId="12" xfId="0" applyNumberFormat="1" applyFont="1" applyFill="1" applyBorder="1"/>
    <xf numFmtId="0" fontId="72" fillId="11" borderId="13" xfId="0" applyFont="1" applyFill="1" applyBorder="1"/>
    <xf numFmtId="10" fontId="72" fillId="11" borderId="0" xfId="2" applyNumberFormat="1" applyFont="1" applyFill="1" applyBorder="1"/>
    <xf numFmtId="9" fontId="72" fillId="11" borderId="0" xfId="0" applyNumberFormat="1" applyFont="1" applyFill="1"/>
    <xf numFmtId="0" fontId="72" fillId="11" borderId="14" xfId="0" applyFont="1" applyFill="1" applyBorder="1"/>
    <xf numFmtId="0" fontId="72" fillId="11" borderId="0" xfId="0" applyFont="1" applyFill="1"/>
    <xf numFmtId="10" fontId="72" fillId="11" borderId="0" xfId="0" applyNumberFormat="1" applyFont="1" applyFill="1"/>
    <xf numFmtId="4" fontId="72" fillId="11" borderId="0" xfId="0" applyNumberFormat="1" applyFont="1" applyFill="1"/>
    <xf numFmtId="4" fontId="72" fillId="11" borderId="14" xfId="0" applyNumberFormat="1" applyFont="1" applyFill="1" applyBorder="1"/>
    <xf numFmtId="0" fontId="72" fillId="11" borderId="15" xfId="0" applyFont="1" applyFill="1" applyBorder="1"/>
    <xf numFmtId="10" fontId="73" fillId="30" borderId="16" xfId="2" applyNumberFormat="1" applyFont="1" applyFill="1" applyBorder="1"/>
    <xf numFmtId="10" fontId="72" fillId="11" borderId="16" xfId="0" applyNumberFormat="1" applyFont="1" applyFill="1" applyBorder="1"/>
    <xf numFmtId="0" fontId="72" fillId="11" borderId="17" xfId="0" applyFont="1" applyFill="1" applyBorder="1"/>
    <xf numFmtId="0" fontId="74" fillId="0" borderId="0" xfId="0" applyFont="1"/>
    <xf numFmtId="168" fontId="73" fillId="0" borderId="10" xfId="1" applyNumberFormat="1" applyFont="1" applyBorder="1"/>
    <xf numFmtId="4" fontId="73" fillId="0" borderId="0" xfId="0" applyNumberFormat="1" applyFont="1"/>
    <xf numFmtId="168" fontId="73" fillId="0" borderId="13" xfId="1" applyNumberFormat="1" applyFont="1" applyBorder="1"/>
    <xf numFmtId="168" fontId="74" fillId="5" borderId="0" xfId="1" applyNumberFormat="1" applyFont="1" applyFill="1" applyBorder="1"/>
    <xf numFmtId="168" fontId="73" fillId="5" borderId="0" xfId="1" applyNumberFormat="1" applyFont="1" applyFill="1" applyBorder="1"/>
    <xf numFmtId="168" fontId="73" fillId="5" borderId="14" xfId="1" applyNumberFormat="1" applyFont="1" applyFill="1" applyBorder="1"/>
    <xf numFmtId="175" fontId="72" fillId="0" borderId="0" xfId="0" applyNumberFormat="1" applyFont="1"/>
    <xf numFmtId="168" fontId="73" fillId="0" borderId="14" xfId="1" applyNumberFormat="1" applyFont="1" applyBorder="1"/>
    <xf numFmtId="4" fontId="72" fillId="0" borderId="0" xfId="0" applyNumberFormat="1" applyFont="1"/>
    <xf numFmtId="168" fontId="73" fillId="29" borderId="15" xfId="1" applyNumberFormat="1" applyFont="1" applyFill="1" applyBorder="1"/>
    <xf numFmtId="168" fontId="72" fillId="29" borderId="16" xfId="1" applyNumberFormat="1" applyFont="1" applyFill="1" applyBorder="1"/>
    <xf numFmtId="168" fontId="73" fillId="29" borderId="17" xfId="1" applyNumberFormat="1" applyFont="1" applyFill="1" applyBorder="1"/>
    <xf numFmtId="168" fontId="72" fillId="0" borderId="11" xfId="1" applyNumberFormat="1" applyFont="1" applyBorder="1"/>
    <xf numFmtId="168" fontId="73" fillId="20" borderId="15" xfId="1" applyNumberFormat="1" applyFont="1" applyFill="1" applyBorder="1"/>
    <xf numFmtId="168" fontId="72" fillId="20" borderId="16" xfId="1" applyNumberFormat="1" applyFont="1" applyFill="1" applyBorder="1"/>
    <xf numFmtId="168" fontId="73" fillId="20" borderId="16" xfId="1" applyNumberFormat="1" applyFont="1" applyFill="1" applyBorder="1"/>
    <xf numFmtId="168" fontId="73" fillId="20" borderId="17" xfId="1" applyNumberFormat="1" applyFont="1" applyFill="1" applyBorder="1"/>
    <xf numFmtId="168" fontId="74" fillId="0" borderId="11" xfId="1" applyNumberFormat="1" applyFont="1" applyBorder="1" applyAlignment="1">
      <alignment horizontal="right"/>
    </xf>
    <xf numFmtId="168" fontId="74" fillId="0" borderId="11" xfId="1" applyNumberFormat="1" applyFont="1" applyBorder="1"/>
    <xf numFmtId="168" fontId="73" fillId="0" borderId="15" xfId="1" applyNumberFormat="1" applyFont="1" applyBorder="1"/>
    <xf numFmtId="168" fontId="73" fillId="0" borderId="17" xfId="1" applyNumberFormat="1" applyFont="1" applyBorder="1"/>
    <xf numFmtId="168" fontId="73" fillId="20" borderId="7" xfId="1" applyNumberFormat="1" applyFont="1" applyFill="1" applyBorder="1"/>
    <xf numFmtId="168" fontId="72" fillId="20" borderId="8" xfId="1" applyNumberFormat="1" applyFont="1" applyFill="1" applyBorder="1"/>
    <xf numFmtId="168" fontId="73" fillId="20" borderId="8" xfId="1" applyNumberFormat="1" applyFont="1" applyFill="1" applyBorder="1"/>
    <xf numFmtId="168" fontId="73" fillId="20" borderId="9" xfId="1" applyNumberFormat="1" applyFont="1" applyFill="1" applyBorder="1"/>
    <xf numFmtId="168" fontId="73" fillId="0" borderId="0" xfId="1" applyNumberFormat="1" applyFont="1"/>
    <xf numFmtId="168" fontId="74" fillId="0" borderId="0" xfId="1" applyNumberFormat="1" applyFont="1" applyAlignment="1">
      <alignment horizontal="right"/>
    </xf>
    <xf numFmtId="168" fontId="74" fillId="0" borderId="0" xfId="1" applyNumberFormat="1" applyFont="1"/>
    <xf numFmtId="49" fontId="73" fillId="0" borderId="0" xfId="0" applyNumberFormat="1" applyFont="1"/>
    <xf numFmtId="49" fontId="73" fillId="29" borderId="10" xfId="0" applyNumberFormat="1" applyFont="1" applyFill="1" applyBorder="1"/>
    <xf numFmtId="168" fontId="72" fillId="29" borderId="11" xfId="1" applyNumberFormat="1" applyFont="1" applyFill="1" applyBorder="1"/>
    <xf numFmtId="168" fontId="73" fillId="29" borderId="12" xfId="1" applyNumberFormat="1" applyFont="1" applyFill="1" applyBorder="1"/>
    <xf numFmtId="0" fontId="73" fillId="0" borderId="0" xfId="0" applyFont="1"/>
    <xf numFmtId="10" fontId="73" fillId="0" borderId="0" xfId="2" applyNumberFormat="1" applyFont="1" applyBorder="1"/>
    <xf numFmtId="10" fontId="73" fillId="0" borderId="14" xfId="2" applyNumberFormat="1" applyFont="1" applyBorder="1"/>
    <xf numFmtId="0" fontId="73" fillId="0" borderId="16" xfId="0" applyFont="1" applyBorder="1"/>
    <xf numFmtId="10" fontId="73" fillId="0" borderId="16" xfId="2" applyNumberFormat="1" applyFont="1" applyBorder="1"/>
    <xf numFmtId="10" fontId="73" fillId="0" borderId="17" xfId="2" applyNumberFormat="1" applyFont="1" applyBorder="1"/>
    <xf numFmtId="10" fontId="72" fillId="0" borderId="0" xfId="2" applyNumberFormat="1" applyFont="1"/>
    <xf numFmtId="0" fontId="3" fillId="2" borderId="4" xfId="0" applyFont="1" applyFill="1" applyBorder="1" applyAlignment="1">
      <alignment horizontal="left" vertical="center"/>
    </xf>
    <xf numFmtId="0" fontId="4" fillId="2" borderId="3" xfId="0" applyFont="1" applyFill="1" applyBorder="1" applyAlignment="1">
      <alignment horizontal="center" vertical="center"/>
    </xf>
    <xf numFmtId="0" fontId="3" fillId="0" borderId="0" xfId="0" applyFont="1" applyAlignment="1">
      <alignment horizontal="left" vertical="center"/>
    </xf>
    <xf numFmtId="4" fontId="5" fillId="0" borderId="1" xfId="0" applyNumberFormat="1" applyFont="1" applyBorder="1" applyAlignment="1">
      <alignment horizontal="right" vertical="center"/>
    </xf>
    <xf numFmtId="0" fontId="6" fillId="0" borderId="0" xfId="0" applyFont="1" applyAlignment="1">
      <alignment horizontal="left" vertical="center"/>
    </xf>
    <xf numFmtId="4" fontId="6" fillId="0" borderId="0" xfId="0" applyNumberFormat="1" applyFont="1" applyAlignment="1">
      <alignment horizontal="left" vertical="center"/>
    </xf>
    <xf numFmtId="4" fontId="6" fillId="0" borderId="0" xfId="0" applyNumberFormat="1" applyFont="1" applyAlignment="1">
      <alignment horizontal="right" vertical="center"/>
    </xf>
    <xf numFmtId="4" fontId="23" fillId="0" borderId="0" xfId="0" applyNumberFormat="1" applyFont="1"/>
    <xf numFmtId="4" fontId="6" fillId="3" borderId="0" xfId="0" applyNumberFormat="1" applyFont="1" applyFill="1"/>
    <xf numFmtId="0" fontId="3" fillId="2" borderId="23" xfId="0" applyFont="1" applyFill="1" applyBorder="1" applyAlignment="1">
      <alignment horizontal="left" vertical="center"/>
    </xf>
    <xf numFmtId="4" fontId="5" fillId="2" borderId="23" xfId="0" applyNumberFormat="1" applyFont="1" applyFill="1" applyBorder="1" applyAlignment="1">
      <alignment horizontal="right" vertical="center"/>
    </xf>
    <xf numFmtId="0" fontId="0" fillId="29" borderId="0" xfId="0" applyFill="1"/>
    <xf numFmtId="9" fontId="0" fillId="11" borderId="0" xfId="0" applyNumberFormat="1" applyFill="1"/>
    <xf numFmtId="0" fontId="0" fillId="14" borderId="0" xfId="0" applyFill="1"/>
    <xf numFmtId="9" fontId="0" fillId="14" borderId="0" xfId="0" applyNumberFormat="1" applyFill="1"/>
    <xf numFmtId="0" fontId="0" fillId="31" borderId="0" xfId="0" applyFill="1"/>
    <xf numFmtId="10" fontId="0" fillId="14" borderId="0" xfId="5" applyNumberFormat="1" applyFont="1" applyFill="1"/>
    <xf numFmtId="9" fontId="0" fillId="0" borderId="0" xfId="5" applyFont="1"/>
    <xf numFmtId="176" fontId="0" fillId="0" borderId="0" xfId="0" applyNumberFormat="1"/>
    <xf numFmtId="0" fontId="6" fillId="5" borderId="0" xfId="0" applyFont="1" applyFill="1" applyAlignment="1">
      <alignment horizontal="center"/>
    </xf>
    <xf numFmtId="0" fontId="0" fillId="5" borderId="0" xfId="0" applyFill="1"/>
    <xf numFmtId="43" fontId="0" fillId="5" borderId="0" xfId="0" applyNumberFormat="1" applyFill="1"/>
    <xf numFmtId="10" fontId="0" fillId="5" borderId="0" xfId="0" applyNumberFormat="1" applyFill="1"/>
    <xf numFmtId="10" fontId="0" fillId="3" borderId="0" xfId="0" applyNumberFormat="1" applyFill="1"/>
    <xf numFmtId="10" fontId="6" fillId="0" borderId="0" xfId="0" applyNumberFormat="1" applyFont="1"/>
    <xf numFmtId="10" fontId="0" fillId="2" borderId="0" xfId="2" applyNumberFormat="1" applyFont="1" applyFill="1"/>
    <xf numFmtId="4" fontId="0" fillId="2" borderId="0" xfId="0" applyNumberFormat="1" applyFill="1"/>
    <xf numFmtId="43" fontId="0" fillId="2" borderId="0" xfId="1" applyFont="1" applyFill="1"/>
    <xf numFmtId="0" fontId="0" fillId="30" borderId="0" xfId="0" applyFill="1"/>
    <xf numFmtId="0" fontId="21" fillId="0" borderId="0" xfId="0" applyFont="1" applyAlignment="1">
      <alignment horizontal="center" vertical="center" wrapText="1"/>
    </xf>
    <xf numFmtId="0" fontId="21"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35" fillId="26" borderId="0" xfId="0" applyFont="1" applyFill="1" applyAlignment="1">
      <alignment horizontal="center" wrapText="1"/>
    </xf>
    <xf numFmtId="0" fontId="35" fillId="0" borderId="0" xfId="0" applyFont="1" applyAlignment="1">
      <alignment horizontal="center" vertical="center"/>
    </xf>
    <xf numFmtId="0" fontId="81" fillId="32" borderId="0" xfId="0" applyFont="1" applyFill="1"/>
    <xf numFmtId="0" fontId="82" fillId="0" borderId="0" xfId="0" applyFont="1"/>
    <xf numFmtId="177" fontId="0" fillId="0" borderId="0" xfId="0" applyNumberFormat="1"/>
    <xf numFmtId="10" fontId="0" fillId="0" borderId="0" xfId="1" applyNumberFormat="1" applyFont="1"/>
    <xf numFmtId="43" fontId="0" fillId="21" borderId="0" xfId="0" applyNumberFormat="1" applyFill="1"/>
    <xf numFmtId="10" fontId="39" fillId="0" borderId="0" xfId="0" applyNumberFormat="1" applyFont="1" applyFill="1" applyAlignment="1">
      <alignment horizontal="right" vertical="center"/>
    </xf>
    <xf numFmtId="0" fontId="37" fillId="0" borderId="0" xfId="0" applyFont="1" applyFill="1"/>
    <xf numFmtId="0" fontId="37" fillId="33" borderId="0" xfId="0" applyFont="1" applyFill="1"/>
    <xf numFmtId="0" fontId="37" fillId="0" borderId="0" xfId="0" applyNumberFormat="1" applyFont="1"/>
    <xf numFmtId="10" fontId="39" fillId="33" borderId="0" xfId="0" applyNumberFormat="1" applyFont="1" applyFill="1" applyAlignment="1">
      <alignment horizontal="right" vertical="center"/>
    </xf>
  </cellXfs>
  <cellStyles count="6">
    <cellStyle name="Comma" xfId="1" builtinId="3"/>
    <cellStyle name="Normal" xfId="0" builtinId="0"/>
    <cellStyle name="Normal 2" xfId="4" xr:uid="{01E22BFB-9002-4523-8958-2FFC8BFAF99C}"/>
    <cellStyle name="Normál 2" xfId="3" xr:uid="{AC8E5DAD-4F46-44B6-8649-E66A8CE9B9D1}"/>
    <cellStyle name="Per cent" xfId="2" builtinId="5"/>
    <cellStyle name="Percent 2" xfId="5" xr:uid="{5F0E6FFC-DF21-46B0-8448-743E54CD7B1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4922A9AE-2598-44E1-A15D-8D43D96BCB9F}"/>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 1</a:t>
          </a:r>
        </a:p>
        <a:p>
          <a:r>
            <a:rPr lang="hu-HU" sz="1400" b="0">
              <a:latin typeface="Times New Roman" panose="02020603050405020304" pitchFamily="18" charset="0"/>
              <a:cs typeface="Times New Roman" panose="02020603050405020304" pitchFamily="18" charset="0"/>
            </a:rPr>
            <a:t>Prepare the business cash flow of the firm for 2021 and 2022 based on the data provided. </a:t>
          </a:r>
        </a:p>
        <a:p>
          <a:r>
            <a:rPr lang="hu-HU" sz="1400" b="0">
              <a:latin typeface="Times New Roman" panose="02020603050405020304" pitchFamily="18" charset="0"/>
              <a:cs typeface="Times New Roman" panose="02020603050405020304" pitchFamily="18" charset="0"/>
            </a:rPr>
            <a:t>List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37</xdr:row>
      <xdr:rowOff>47625</xdr:rowOff>
    </xdr:to>
    <xdr:sp macro="" textlink="">
      <xdr:nvSpPr>
        <xdr:cNvPr id="3" name="Szövegdoboz 2">
          <a:extLst>
            <a:ext uri="{FF2B5EF4-FFF2-40B4-BE49-F238E27FC236}">
              <a16:creationId xmlns:a16="http://schemas.microsoft.com/office/drawing/2014/main" id="{C6F46BC1-D6BC-43CE-AC76-5A41ECB997FF}"/>
            </a:ext>
          </a:extLst>
        </xdr:cNvPr>
        <xdr:cNvSpPr txBox="1"/>
      </xdr:nvSpPr>
      <xdr:spPr>
        <a:xfrm>
          <a:off x="8477249" y="3752850"/>
          <a:ext cx="7372351" cy="421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p>
        <a:p>
          <a:endParaRPr lang="hu-HU" sz="1400" b="0">
            <a:latin typeface="Times New Roman" panose="02020603050405020304" pitchFamily="18" charset="0"/>
            <a:cs typeface="Times New Roman" panose="02020603050405020304" pitchFamily="18" charset="0"/>
          </a:endParaRPr>
        </a:p>
        <a:p>
          <a:r>
            <a:rPr lang="en-US" sz="1100" b="0">
              <a:solidFill>
                <a:schemeClr val="dk1"/>
              </a:solidFill>
              <a:effectLst/>
              <a:latin typeface="+mn-lt"/>
              <a:ea typeface="+mn-ea"/>
              <a:cs typeface="+mn-cs"/>
            </a:rPr>
            <a:t>The</a:t>
          </a:r>
          <a:r>
            <a:rPr lang="en-US" sz="1100" b="0" baseline="0">
              <a:solidFill>
                <a:schemeClr val="dk1"/>
              </a:solidFill>
              <a:effectLst/>
              <a:latin typeface="+mn-lt"/>
              <a:ea typeface="+mn-ea"/>
              <a:cs typeface="+mn-cs"/>
            </a:rPr>
            <a:t> following elements are NOT part of the business operations of the firm:</a:t>
          </a:r>
          <a:endParaRPr lang="en-US" sz="1400">
            <a:effectLst/>
          </a:endParaRPr>
        </a:p>
        <a:p>
          <a:r>
            <a:rPr lang="hu-HU" sz="1100" b="0" baseline="0">
              <a:solidFill>
                <a:schemeClr val="dk1"/>
              </a:solidFill>
              <a:effectLst/>
              <a:latin typeface="+mn-lt"/>
              <a:ea typeface="+mn-ea"/>
              <a:cs typeface="+mn-cs"/>
            </a:rPr>
            <a:t>1. The tax base (profit before tax) is cleared from fividend received. </a:t>
          </a:r>
          <a:endParaRPr lang="en-US" sz="1400">
            <a:effectLst/>
          </a:endParaRPr>
        </a:p>
        <a:p>
          <a:r>
            <a:rPr lang="hu-HU" sz="1100" b="0">
              <a:solidFill>
                <a:schemeClr val="dk1"/>
              </a:solidFill>
              <a:effectLst/>
              <a:latin typeface="+mn-lt"/>
              <a:ea typeface="+mn-ea"/>
              <a:cs typeface="+mn-cs"/>
            </a:rPr>
            <a:t>2.</a:t>
          </a:r>
          <a:r>
            <a:rPr lang="en-US" sz="1100" b="0">
              <a:solidFill>
                <a:schemeClr val="dk1"/>
              </a:solidFill>
              <a:effectLst/>
              <a:latin typeface="+mn-lt"/>
              <a:ea typeface="+mn-ea"/>
              <a:cs typeface="+mn-cs"/>
            </a:rPr>
            <a:t> Othe</a:t>
          </a:r>
          <a:r>
            <a:rPr lang="en-US" sz="1100" b="0" baseline="0">
              <a:solidFill>
                <a:schemeClr val="dk1"/>
              </a:solidFill>
              <a:effectLst/>
              <a:latin typeface="+mn-lt"/>
              <a:ea typeface="+mn-ea"/>
              <a:cs typeface="+mn-cs"/>
            </a:rPr>
            <a:t>r income ==&gt; should be </a:t>
          </a:r>
          <a:r>
            <a:rPr lang="hu-HU" sz="1100" b="1" baseline="0">
              <a:solidFill>
                <a:schemeClr val="dk1"/>
              </a:solidFill>
              <a:effectLst/>
              <a:latin typeface="+mn-lt"/>
              <a:ea typeface="+mn-ea"/>
              <a:cs typeface="+mn-cs"/>
            </a:rPr>
            <a:t>included</a:t>
          </a:r>
          <a:r>
            <a:rPr lang="en-US" sz="1100" b="0" baseline="0">
              <a:solidFill>
                <a:schemeClr val="dk1"/>
              </a:solidFill>
              <a:effectLst/>
              <a:latin typeface="+mn-lt"/>
              <a:ea typeface="+mn-ea"/>
              <a:cs typeface="+mn-cs"/>
            </a:rPr>
            <a:t> </a:t>
          </a:r>
          <a:r>
            <a:rPr lang="hu-HU" sz="1100" b="0" baseline="0">
              <a:solidFill>
                <a:schemeClr val="dk1"/>
              </a:solidFill>
              <a:effectLst/>
              <a:latin typeface="+mn-lt"/>
              <a:ea typeface="+mn-ea"/>
              <a:cs typeface="+mn-cs"/>
            </a:rPr>
            <a:t>part of the</a:t>
          </a:r>
          <a:r>
            <a:rPr lang="en-US" sz="1100" b="0" baseline="0">
              <a:solidFill>
                <a:schemeClr val="dk1"/>
              </a:solidFill>
              <a:effectLst/>
              <a:latin typeface="+mn-lt"/>
              <a:ea typeface="+mn-ea"/>
              <a:cs typeface="+mn-cs"/>
            </a:rPr>
            <a:t> operational </a:t>
          </a:r>
          <a:r>
            <a:rPr lang="hu-HU" sz="1100" b="0" baseline="0">
              <a:solidFill>
                <a:schemeClr val="dk1"/>
              </a:solidFill>
              <a:effectLst/>
              <a:latin typeface="+mn-lt"/>
              <a:ea typeface="+mn-ea"/>
              <a:cs typeface="+mn-cs"/>
            </a:rPr>
            <a:t>, neither an OCI nor extraordinary income.</a:t>
          </a:r>
          <a:endParaRPr lang="en-US" sz="1400">
            <a:effectLst/>
          </a:endParaRPr>
        </a:p>
        <a:p>
          <a:r>
            <a:rPr lang="hu-HU" sz="1100" b="0" baseline="0">
              <a:solidFill>
                <a:schemeClr val="dk1"/>
              </a:solidFill>
              <a:effectLst/>
              <a:latin typeface="+mn-lt"/>
              <a:ea typeface="+mn-ea"/>
              <a:cs typeface="+mn-cs"/>
            </a:rPr>
            <a:t>3. I consider short-term debt as a part of operational cash-flow as it is maturing in less than 1 year. </a:t>
          </a:r>
          <a:endParaRPr lang="en-US" sz="1400">
            <a:effectLst/>
          </a:endParaRPr>
        </a:p>
        <a:p>
          <a:r>
            <a:rPr lang="en-US" sz="1100" b="0" baseline="0">
              <a:solidFill>
                <a:schemeClr val="dk1"/>
              </a:solidFill>
              <a:effectLst/>
              <a:latin typeface="+mn-lt"/>
              <a:ea typeface="+mn-ea"/>
              <a:cs typeface="+mn-cs"/>
            </a:rPr>
            <a:t>3. Interests received ==&gt; is part of the finacing CF, </a:t>
          </a:r>
          <a:r>
            <a:rPr lang="hu-HU" sz="1100" b="0" baseline="0">
              <a:solidFill>
                <a:schemeClr val="dk1"/>
              </a:solidFill>
              <a:effectLst/>
              <a:latin typeface="+mn-lt"/>
              <a:ea typeface="+mn-ea"/>
              <a:cs typeface="+mn-cs"/>
            </a:rPr>
            <a:t>is </a:t>
          </a:r>
          <a:r>
            <a:rPr lang="en-US" sz="1100" b="0" baseline="0">
              <a:solidFill>
                <a:schemeClr val="dk1"/>
              </a:solidFill>
              <a:effectLst/>
              <a:latin typeface="+mn-lt"/>
              <a:ea typeface="+mn-ea"/>
              <a:cs typeface="+mn-cs"/>
            </a:rPr>
            <a:t>account</a:t>
          </a:r>
          <a:r>
            <a:rPr lang="hu-HU" sz="1100" b="0" baseline="0">
              <a:solidFill>
                <a:schemeClr val="dk1"/>
              </a:solidFill>
              <a:effectLst/>
              <a:latin typeface="+mn-lt"/>
              <a:ea typeface="+mn-ea"/>
              <a:cs typeface="+mn-cs"/>
            </a:rPr>
            <a:t>ed</a:t>
          </a:r>
          <a:r>
            <a:rPr lang="en-US" sz="1100" b="0" baseline="0">
              <a:solidFill>
                <a:schemeClr val="dk1"/>
              </a:solidFill>
              <a:effectLst/>
              <a:latin typeface="+mn-lt"/>
              <a:ea typeface="+mn-ea"/>
              <a:cs typeface="+mn-cs"/>
            </a:rPr>
            <a:t> for </a:t>
          </a:r>
          <a:r>
            <a:rPr lang="hu-HU" sz="1100" b="0" baseline="0">
              <a:solidFill>
                <a:schemeClr val="dk1"/>
              </a:solidFill>
              <a:effectLst/>
              <a:latin typeface="+mn-lt"/>
              <a:ea typeface="+mn-ea"/>
              <a:cs typeface="+mn-cs"/>
            </a:rPr>
            <a:t>the tax deduction.</a:t>
          </a:r>
          <a:r>
            <a:rPr lang="en-US" sz="1100" b="0" baseline="0">
              <a:solidFill>
                <a:schemeClr val="dk1"/>
              </a:solidFill>
              <a:effectLst/>
              <a:latin typeface="+mn-lt"/>
              <a:ea typeface="+mn-ea"/>
              <a:cs typeface="+mn-cs"/>
            </a:rPr>
            <a:t> </a:t>
          </a:r>
          <a:endParaRPr lang="en-US" sz="1400">
            <a:effectLst/>
          </a:endParaRPr>
        </a:p>
        <a:p>
          <a:r>
            <a:rPr lang="en-US" sz="1100" b="0" baseline="0">
              <a:solidFill>
                <a:schemeClr val="dk1"/>
              </a:solidFill>
              <a:effectLst/>
              <a:latin typeface="+mn-lt"/>
              <a:ea typeface="+mn-ea"/>
              <a:cs typeface="+mn-cs"/>
            </a:rPr>
            <a:t>4. Marketable securities </a:t>
          </a:r>
          <a:r>
            <a:rPr lang="hu-HU" sz="1100" b="0" baseline="0">
              <a:solidFill>
                <a:schemeClr val="dk1"/>
              </a:solidFill>
              <a:effectLst/>
              <a:latin typeface="+mn-lt"/>
              <a:ea typeface="+mn-ea"/>
              <a:cs typeface="+mn-cs"/>
            </a:rPr>
            <a:t>is non-operating asset.</a:t>
          </a:r>
          <a:endParaRPr lang="en-US" sz="1400">
            <a:effectLst/>
          </a:endParaRPr>
        </a:p>
        <a:p>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2A4DB779-8862-4314-AACC-434138ED348F}"/>
            </a:ext>
          </a:extLst>
        </xdr:cNvPr>
        <xdr:cNvSpPr txBox="1"/>
      </xdr:nvSpPr>
      <xdr:spPr>
        <a:xfrm>
          <a:off x="619124" y="2241550"/>
          <a:ext cx="7604126" cy="99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Takes 2</a:t>
          </a:r>
        </a:p>
        <a:p>
          <a:r>
            <a:rPr lang="hu-HU" sz="1400" b="0">
              <a:latin typeface="Times New Roman" panose="02020603050405020304" pitchFamily="18" charset="0"/>
              <a:cs typeface="Times New Roman" panose="02020603050405020304" pitchFamily="18" charset="0"/>
            </a:rPr>
            <a:t>Prepare the business cash flow of the firm for 2019 and 2020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(12 points)</a:t>
          </a:r>
        </a:p>
      </xdr:txBody>
    </xdr:sp>
    <xdr:clientData/>
  </xdr:twoCellAnchor>
  <xdr:twoCellAnchor>
    <xdr:from>
      <xdr:col>7</xdr:col>
      <xdr:colOff>895349</xdr:colOff>
      <xdr:row>16</xdr:row>
      <xdr:rowOff>142875</xdr:rowOff>
    </xdr:from>
    <xdr:to>
      <xdr:col>18</xdr:col>
      <xdr:colOff>514350</xdr:colOff>
      <xdr:row>43</xdr:row>
      <xdr:rowOff>180975</xdr:rowOff>
    </xdr:to>
    <xdr:sp macro="" textlink="">
      <xdr:nvSpPr>
        <xdr:cNvPr id="3" name="Szövegdoboz 2">
          <a:extLst>
            <a:ext uri="{FF2B5EF4-FFF2-40B4-BE49-F238E27FC236}">
              <a16:creationId xmlns:a16="http://schemas.microsoft.com/office/drawing/2014/main" id="{F08C3F4C-FE1F-43CC-87BE-E6C5F370E41D}"/>
            </a:ext>
          </a:extLst>
        </xdr:cNvPr>
        <xdr:cNvSpPr txBox="1"/>
      </xdr:nvSpPr>
      <xdr:spPr>
        <a:xfrm>
          <a:off x="8832849" y="3451225"/>
          <a:ext cx="6654801" cy="551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Times New Roman" panose="02020603050405020304" pitchFamily="18" charset="0"/>
              <a:cs typeface="Times New Roman" panose="02020603050405020304" pitchFamily="18" charset="0"/>
            </a:rPr>
            <a:t>1. Sales of invested</a:t>
          </a:r>
          <a:r>
            <a:rPr lang="en-US" sz="1400" b="0" baseline="0">
              <a:latin typeface="Times New Roman" panose="02020603050405020304" pitchFamily="18" charset="0"/>
              <a:cs typeface="Times New Roman" panose="02020603050405020304" pitchFamily="18" charset="0"/>
            </a:rPr>
            <a:t> assets and their corresponding book value under the other expenses are regarded as extraordinary items, therefore as non-operational wealth. Non-operational cash also pertains to this category.</a:t>
          </a:r>
        </a:p>
        <a:p>
          <a:endParaRPr lang="en-US" sz="1400" b="0" baseline="0">
            <a:latin typeface="Times New Roman" panose="02020603050405020304" pitchFamily="18" charset="0"/>
            <a:cs typeface="Times New Roman" panose="02020603050405020304" pitchFamily="18" charset="0"/>
          </a:endParaRPr>
        </a:p>
        <a:p>
          <a:r>
            <a:rPr lang="en-US" sz="1400" b="0" baseline="0">
              <a:latin typeface="Times New Roman" panose="02020603050405020304" pitchFamily="18" charset="0"/>
              <a:cs typeface="Times New Roman" panose="02020603050405020304" pitchFamily="18" charset="0"/>
            </a:rPr>
            <a:t>All other elements will be classified under operational, investing and financing CFs as indicated.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0</xdr:row>
      <xdr:rowOff>38100</xdr:rowOff>
    </xdr:from>
    <xdr:to>
      <xdr:col>7</xdr:col>
      <xdr:colOff>285750</xdr:colOff>
      <xdr:row>5</xdr:row>
      <xdr:rowOff>114300</xdr:rowOff>
    </xdr:to>
    <xdr:sp macro="" textlink="">
      <xdr:nvSpPr>
        <xdr:cNvPr id="2" name="Szövegdoboz 1">
          <a:extLst>
            <a:ext uri="{FF2B5EF4-FFF2-40B4-BE49-F238E27FC236}">
              <a16:creationId xmlns:a16="http://schemas.microsoft.com/office/drawing/2014/main" id="{7CA014E5-FD1C-4D8B-AA70-044C235B7CD8}"/>
            </a:ext>
          </a:extLst>
        </xdr:cNvPr>
        <xdr:cNvSpPr txBox="1"/>
      </xdr:nvSpPr>
      <xdr:spPr>
        <a:xfrm>
          <a:off x="238124" y="38100"/>
          <a:ext cx="8670926" cy="106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historical business cash flow of the firm for 2020 and 2021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12</xdr:col>
      <xdr:colOff>17144</xdr:colOff>
      <xdr:row>6</xdr:row>
      <xdr:rowOff>3810</xdr:rowOff>
    </xdr:from>
    <xdr:to>
      <xdr:col>15</xdr:col>
      <xdr:colOff>272415</xdr:colOff>
      <xdr:row>29</xdr:row>
      <xdr:rowOff>32385</xdr:rowOff>
    </xdr:to>
    <xdr:sp macro="" textlink="">
      <xdr:nvSpPr>
        <xdr:cNvPr id="3" name="Szövegdoboz 2">
          <a:extLst>
            <a:ext uri="{FF2B5EF4-FFF2-40B4-BE49-F238E27FC236}">
              <a16:creationId xmlns:a16="http://schemas.microsoft.com/office/drawing/2014/main" id="{BBBBD362-4619-4714-A5B9-A7C72C942763}"/>
            </a:ext>
          </a:extLst>
        </xdr:cNvPr>
        <xdr:cNvSpPr txBox="1"/>
      </xdr:nvSpPr>
      <xdr:spPr>
        <a:xfrm>
          <a:off x="12780644" y="1184910"/>
          <a:ext cx="7214871" cy="469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p>
      </xdr:txBody>
    </xdr:sp>
    <xdr:clientData/>
  </xdr:twoCellAnchor>
  <xdr:twoCellAnchor>
    <xdr:from>
      <xdr:col>1</xdr:col>
      <xdr:colOff>9524</xdr:colOff>
      <xdr:row>0</xdr:row>
      <xdr:rowOff>38100</xdr:rowOff>
    </xdr:from>
    <xdr:to>
      <xdr:col>7</xdr:col>
      <xdr:colOff>285750</xdr:colOff>
      <xdr:row>5</xdr:row>
      <xdr:rowOff>114300</xdr:rowOff>
    </xdr:to>
    <xdr:sp macro="" textlink="">
      <xdr:nvSpPr>
        <xdr:cNvPr id="4" name="Szövegdoboz 3">
          <a:extLst>
            <a:ext uri="{FF2B5EF4-FFF2-40B4-BE49-F238E27FC236}">
              <a16:creationId xmlns:a16="http://schemas.microsoft.com/office/drawing/2014/main" id="{A939DA63-75C8-491E-9014-884708B16D55}"/>
            </a:ext>
          </a:extLst>
        </xdr:cNvPr>
        <xdr:cNvSpPr txBox="1"/>
      </xdr:nvSpPr>
      <xdr:spPr>
        <a:xfrm>
          <a:off x="238124" y="38100"/>
          <a:ext cx="8670926" cy="106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historical business cash flow of the firm for 2020 and 2021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90C71203-9A76-464A-A17E-1121B108E28F}"/>
            </a:ext>
          </a:extLst>
        </xdr:cNvPr>
        <xdr:cNvSpPr txBox="1"/>
      </xdr:nvSpPr>
      <xdr:spPr>
        <a:xfrm>
          <a:off x="695324" y="3362325"/>
          <a:ext cx="9696451"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2024 assuming that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F1153425-5106-4AAF-A7EA-2D4B1D9DA640}"/>
            </a:ext>
          </a:extLst>
        </xdr:cNvPr>
        <xdr:cNvSpPr txBox="1"/>
      </xdr:nvSpPr>
      <xdr:spPr>
        <a:xfrm>
          <a:off x="685800" y="2324100"/>
          <a:ext cx="9705975"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twoCellAnchor>
    <xdr:from>
      <xdr:col>9</xdr:col>
      <xdr:colOff>1013460</xdr:colOff>
      <xdr:row>9</xdr:row>
      <xdr:rowOff>142240</xdr:rowOff>
    </xdr:from>
    <xdr:to>
      <xdr:col>20</xdr:col>
      <xdr:colOff>147745</xdr:colOff>
      <xdr:row>18</xdr:row>
      <xdr:rowOff>101600</xdr:rowOff>
    </xdr:to>
    <xdr:sp macro="" textlink="">
      <xdr:nvSpPr>
        <xdr:cNvPr id="4" name="Szövegdoboz 2">
          <a:extLst>
            <a:ext uri="{FF2B5EF4-FFF2-40B4-BE49-F238E27FC236}">
              <a16:creationId xmlns:a16="http://schemas.microsoft.com/office/drawing/2014/main" id="{7DEE461E-14CE-4B4D-A553-82693D18B7BD}"/>
            </a:ext>
          </a:extLst>
        </xdr:cNvPr>
        <xdr:cNvSpPr txBox="1"/>
      </xdr:nvSpPr>
      <xdr:spPr>
        <a:xfrm>
          <a:off x="12463780" y="1960880"/>
          <a:ext cx="8257965" cy="169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p>
        <a:p>
          <a:endParaRPr lang="hu-HU" sz="1400" b="0">
            <a:latin typeface="Times New Roman" panose="02020603050405020304" pitchFamily="18" charset="0"/>
            <a:cs typeface="Times New Roman" panose="02020603050405020304" pitchFamily="18" charset="0"/>
          </a:endParaRPr>
        </a:p>
        <a:p>
          <a:r>
            <a:rPr lang="en-US" sz="1100" b="0">
              <a:solidFill>
                <a:schemeClr val="dk1"/>
              </a:solidFill>
              <a:effectLst/>
              <a:latin typeface="+mn-lt"/>
              <a:ea typeface="+mn-ea"/>
              <a:cs typeface="+mn-cs"/>
            </a:rPr>
            <a:t>The</a:t>
          </a:r>
          <a:r>
            <a:rPr lang="en-US" sz="1100" b="0" baseline="0">
              <a:solidFill>
                <a:schemeClr val="dk1"/>
              </a:solidFill>
              <a:effectLst/>
              <a:latin typeface="+mn-lt"/>
              <a:ea typeface="+mn-ea"/>
              <a:cs typeface="+mn-cs"/>
            </a:rPr>
            <a:t> following elements are NOT part of the business operations of the firm:</a:t>
          </a:r>
          <a:endParaRPr lang="en-US" sz="1400">
            <a:effectLst/>
          </a:endParaRPr>
        </a:p>
        <a:p>
          <a:r>
            <a:rPr lang="hu-HU" sz="1100" b="0" baseline="0">
              <a:solidFill>
                <a:schemeClr val="dk1"/>
              </a:solidFill>
              <a:effectLst/>
              <a:latin typeface="+mn-lt"/>
              <a:ea typeface="+mn-ea"/>
              <a:cs typeface="+mn-cs"/>
            </a:rPr>
            <a:t>1. The tax base (profit before tax) is cleared from fividend received. </a:t>
          </a:r>
          <a:endParaRPr lang="en-US" sz="1400">
            <a:effectLst/>
          </a:endParaRPr>
        </a:p>
        <a:p>
          <a:r>
            <a:rPr lang="hu-HU" sz="1100" b="0">
              <a:solidFill>
                <a:schemeClr val="dk1"/>
              </a:solidFill>
              <a:effectLst/>
              <a:latin typeface="+mn-lt"/>
              <a:ea typeface="+mn-ea"/>
              <a:cs typeface="+mn-cs"/>
            </a:rPr>
            <a:t>2.</a:t>
          </a:r>
          <a:r>
            <a:rPr lang="en-US" sz="1100" b="0">
              <a:solidFill>
                <a:schemeClr val="dk1"/>
              </a:solidFill>
              <a:effectLst/>
              <a:latin typeface="+mn-lt"/>
              <a:ea typeface="+mn-ea"/>
              <a:cs typeface="+mn-cs"/>
            </a:rPr>
            <a:t> Othe</a:t>
          </a:r>
          <a:r>
            <a:rPr lang="en-US" sz="1100" b="0" baseline="0">
              <a:solidFill>
                <a:schemeClr val="dk1"/>
              </a:solidFill>
              <a:effectLst/>
              <a:latin typeface="+mn-lt"/>
              <a:ea typeface="+mn-ea"/>
              <a:cs typeface="+mn-cs"/>
            </a:rPr>
            <a:t>r income ==&gt; should be </a:t>
          </a:r>
          <a:r>
            <a:rPr lang="hu-HU" sz="1100" b="1" baseline="0">
              <a:solidFill>
                <a:schemeClr val="dk1"/>
              </a:solidFill>
              <a:effectLst/>
              <a:latin typeface="+mn-lt"/>
              <a:ea typeface="+mn-ea"/>
              <a:cs typeface="+mn-cs"/>
            </a:rPr>
            <a:t>included</a:t>
          </a:r>
          <a:r>
            <a:rPr lang="en-US" sz="1100" b="0" baseline="0">
              <a:solidFill>
                <a:schemeClr val="dk1"/>
              </a:solidFill>
              <a:effectLst/>
              <a:latin typeface="+mn-lt"/>
              <a:ea typeface="+mn-ea"/>
              <a:cs typeface="+mn-cs"/>
            </a:rPr>
            <a:t> </a:t>
          </a:r>
          <a:r>
            <a:rPr lang="hu-HU" sz="1100" b="0" baseline="0">
              <a:solidFill>
                <a:schemeClr val="dk1"/>
              </a:solidFill>
              <a:effectLst/>
              <a:latin typeface="+mn-lt"/>
              <a:ea typeface="+mn-ea"/>
              <a:cs typeface="+mn-cs"/>
            </a:rPr>
            <a:t>part of the</a:t>
          </a:r>
          <a:r>
            <a:rPr lang="en-US" sz="1100" b="0" baseline="0">
              <a:solidFill>
                <a:schemeClr val="dk1"/>
              </a:solidFill>
              <a:effectLst/>
              <a:latin typeface="+mn-lt"/>
              <a:ea typeface="+mn-ea"/>
              <a:cs typeface="+mn-cs"/>
            </a:rPr>
            <a:t> operational </a:t>
          </a:r>
          <a:r>
            <a:rPr lang="hu-HU" sz="1100" b="0" baseline="0">
              <a:solidFill>
                <a:schemeClr val="dk1"/>
              </a:solidFill>
              <a:effectLst/>
              <a:latin typeface="+mn-lt"/>
              <a:ea typeface="+mn-ea"/>
              <a:cs typeface="+mn-cs"/>
            </a:rPr>
            <a:t>, neither an OCI nor extraordinary income.</a:t>
          </a:r>
          <a:endParaRPr lang="en-US" sz="1400">
            <a:effectLst/>
          </a:endParaRPr>
        </a:p>
        <a:p>
          <a:r>
            <a:rPr lang="hu-HU" sz="1100" b="0" baseline="0">
              <a:solidFill>
                <a:schemeClr val="dk1"/>
              </a:solidFill>
              <a:effectLst/>
              <a:latin typeface="+mn-lt"/>
              <a:ea typeface="+mn-ea"/>
              <a:cs typeface="+mn-cs"/>
            </a:rPr>
            <a:t>3. I consider short-term debt as a part of operational cash-flow as it is maturing in less than 1 year. </a:t>
          </a:r>
          <a:endParaRPr lang="en-US" sz="1400">
            <a:effectLst/>
          </a:endParaRPr>
        </a:p>
        <a:p>
          <a:r>
            <a:rPr lang="en-US" sz="1100" b="0" baseline="0">
              <a:solidFill>
                <a:schemeClr val="dk1"/>
              </a:solidFill>
              <a:effectLst/>
              <a:latin typeface="+mn-lt"/>
              <a:ea typeface="+mn-ea"/>
              <a:cs typeface="+mn-cs"/>
            </a:rPr>
            <a:t>3. Interests received ==&gt; is part of the finacing CF, </a:t>
          </a:r>
          <a:r>
            <a:rPr lang="hu-HU" sz="1100" b="0" baseline="0">
              <a:solidFill>
                <a:schemeClr val="dk1"/>
              </a:solidFill>
              <a:effectLst/>
              <a:latin typeface="+mn-lt"/>
              <a:ea typeface="+mn-ea"/>
              <a:cs typeface="+mn-cs"/>
            </a:rPr>
            <a:t>is </a:t>
          </a:r>
          <a:r>
            <a:rPr lang="en-US" sz="1100" b="0" baseline="0">
              <a:solidFill>
                <a:schemeClr val="dk1"/>
              </a:solidFill>
              <a:effectLst/>
              <a:latin typeface="+mn-lt"/>
              <a:ea typeface="+mn-ea"/>
              <a:cs typeface="+mn-cs"/>
            </a:rPr>
            <a:t>account</a:t>
          </a:r>
          <a:r>
            <a:rPr lang="hu-HU" sz="1100" b="0" baseline="0">
              <a:solidFill>
                <a:schemeClr val="dk1"/>
              </a:solidFill>
              <a:effectLst/>
              <a:latin typeface="+mn-lt"/>
              <a:ea typeface="+mn-ea"/>
              <a:cs typeface="+mn-cs"/>
            </a:rPr>
            <a:t>ed</a:t>
          </a:r>
          <a:r>
            <a:rPr lang="en-US" sz="1100" b="0" baseline="0">
              <a:solidFill>
                <a:schemeClr val="dk1"/>
              </a:solidFill>
              <a:effectLst/>
              <a:latin typeface="+mn-lt"/>
              <a:ea typeface="+mn-ea"/>
              <a:cs typeface="+mn-cs"/>
            </a:rPr>
            <a:t> for </a:t>
          </a:r>
          <a:r>
            <a:rPr lang="hu-HU" sz="1100" b="0" baseline="0">
              <a:solidFill>
                <a:schemeClr val="dk1"/>
              </a:solidFill>
              <a:effectLst/>
              <a:latin typeface="+mn-lt"/>
              <a:ea typeface="+mn-ea"/>
              <a:cs typeface="+mn-cs"/>
            </a:rPr>
            <a:t>the tax deduction.</a:t>
          </a:r>
          <a:r>
            <a:rPr lang="en-US" sz="1100" b="0" baseline="0">
              <a:solidFill>
                <a:schemeClr val="dk1"/>
              </a:solidFill>
              <a:effectLst/>
              <a:latin typeface="+mn-lt"/>
              <a:ea typeface="+mn-ea"/>
              <a:cs typeface="+mn-cs"/>
            </a:rPr>
            <a:t> </a:t>
          </a:r>
          <a:endParaRPr lang="en-US" sz="1400">
            <a:effectLst/>
          </a:endParaRPr>
        </a:p>
        <a:p>
          <a:r>
            <a:rPr lang="en-US" sz="1100" b="0" baseline="0">
              <a:solidFill>
                <a:schemeClr val="dk1"/>
              </a:solidFill>
              <a:effectLst/>
              <a:latin typeface="+mn-lt"/>
              <a:ea typeface="+mn-ea"/>
              <a:cs typeface="+mn-cs"/>
            </a:rPr>
            <a:t>4. Marketable securities </a:t>
          </a:r>
          <a:r>
            <a:rPr lang="hu-HU" sz="1100" b="0" baseline="0">
              <a:solidFill>
                <a:schemeClr val="dk1"/>
              </a:solidFill>
              <a:effectLst/>
              <a:latin typeface="+mn-lt"/>
              <a:ea typeface="+mn-ea"/>
              <a:cs typeface="+mn-cs"/>
            </a:rPr>
            <a:t>is non-operating asset.</a:t>
          </a:r>
          <a:endParaRPr lang="en-US" sz="1400">
            <a:effectLst/>
          </a:endParaRPr>
        </a:p>
        <a:p>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5800724</xdr:colOff>
      <xdr:row>1</xdr:row>
      <xdr:rowOff>142875</xdr:rowOff>
    </xdr:from>
    <xdr:to>
      <xdr:col>8</xdr:col>
      <xdr:colOff>1524000</xdr:colOff>
      <xdr:row>8</xdr:row>
      <xdr:rowOff>152400</xdr:rowOff>
    </xdr:to>
    <xdr:sp macro="" textlink="">
      <xdr:nvSpPr>
        <xdr:cNvPr id="2" name="Szövegdoboz 1">
          <a:extLst>
            <a:ext uri="{FF2B5EF4-FFF2-40B4-BE49-F238E27FC236}">
              <a16:creationId xmlns:a16="http://schemas.microsoft.com/office/drawing/2014/main" id="{BEB5F315-A47C-40A8-9AF8-05FFD97809E9}"/>
            </a:ext>
          </a:extLst>
        </xdr:cNvPr>
        <xdr:cNvSpPr txBox="1"/>
      </xdr:nvSpPr>
      <xdr:spPr>
        <a:xfrm>
          <a:off x="5800724" y="339725"/>
          <a:ext cx="11699876" cy="1387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2022 assuming that new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r>
            <a:rPr lang="en-US" sz="1400" b="0" baseline="0">
              <a:latin typeface="Times New Roman" panose="02020603050405020304" pitchFamily="18" charset="0"/>
              <a:cs typeface="Times New Roman" panose="02020603050405020304" pitchFamily="18" charset="0"/>
            </a:rPr>
            <a:t> </a:t>
          </a:r>
          <a:endParaRPr lang="hu-HU" sz="1400" b="0" baseline="0">
            <a:solidFill>
              <a:srgbClr val="FF0000"/>
            </a:solidFill>
            <a:latin typeface="Times New Roman" panose="02020603050405020304" pitchFamily="18" charset="0"/>
            <a:cs typeface="Times New Roman" panose="02020603050405020304" pitchFamily="18" charset="0"/>
          </a:endParaRP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571498</xdr:colOff>
      <xdr:row>0</xdr:row>
      <xdr:rowOff>190500</xdr:rowOff>
    </xdr:from>
    <xdr:to>
      <xdr:col>9</xdr:col>
      <xdr:colOff>247649</xdr:colOff>
      <xdr:row>8</xdr:row>
      <xdr:rowOff>0</xdr:rowOff>
    </xdr:to>
    <xdr:sp macro="" textlink="">
      <xdr:nvSpPr>
        <xdr:cNvPr id="2" name="Szövegdoboz 1">
          <a:extLst>
            <a:ext uri="{FF2B5EF4-FFF2-40B4-BE49-F238E27FC236}">
              <a16:creationId xmlns:a16="http://schemas.microsoft.com/office/drawing/2014/main" id="{3FBA4591-3E3C-4FBD-9485-1AFFE3593015}"/>
            </a:ext>
          </a:extLst>
        </xdr:cNvPr>
        <xdr:cNvSpPr txBox="1"/>
      </xdr:nvSpPr>
      <xdr:spPr>
        <a:xfrm>
          <a:off x="571498" y="190500"/>
          <a:ext cx="9829801" cy="138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2021 assuming that new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85724</xdr:colOff>
      <xdr:row>1</xdr:row>
      <xdr:rowOff>9525</xdr:rowOff>
    </xdr:from>
    <xdr:to>
      <xdr:col>9</xdr:col>
      <xdr:colOff>381000</xdr:colOff>
      <xdr:row>8</xdr:row>
      <xdr:rowOff>19050</xdr:rowOff>
    </xdr:to>
    <xdr:sp macro="" textlink="">
      <xdr:nvSpPr>
        <xdr:cNvPr id="2" name="Szövegdoboz 1">
          <a:extLst>
            <a:ext uri="{FF2B5EF4-FFF2-40B4-BE49-F238E27FC236}">
              <a16:creationId xmlns:a16="http://schemas.microsoft.com/office/drawing/2014/main" id="{B1D24FD8-9B12-4820-8BC3-7685AA749C30}"/>
            </a:ext>
          </a:extLst>
        </xdr:cNvPr>
        <xdr:cNvSpPr txBox="1"/>
      </xdr:nvSpPr>
      <xdr:spPr>
        <a:xfrm>
          <a:off x="695324" y="193675"/>
          <a:ext cx="8169276" cy="1298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2022 assuming that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r>
            <a:rPr lang="en-US" sz="1400" b="0" baseline="0">
              <a:latin typeface="Times New Roman" panose="02020603050405020304" pitchFamily="18" charset="0"/>
              <a:cs typeface="Times New Roman" panose="02020603050405020304" pitchFamily="18" charset="0"/>
            </a:rPr>
            <a:t> </a:t>
          </a:r>
          <a:endParaRPr lang="hu-HU" sz="1400" b="0" baseline="0">
            <a:latin typeface="Times New Roman" panose="02020603050405020304" pitchFamily="18" charset="0"/>
            <a:cs typeface="Times New Roman" panose="02020603050405020304" pitchFamily="18" charset="0"/>
          </a:endParaRP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9523</xdr:colOff>
      <xdr:row>15</xdr:row>
      <xdr:rowOff>38100</xdr:rowOff>
    </xdr:from>
    <xdr:to>
      <xdr:col>9</xdr:col>
      <xdr:colOff>295274</xdr:colOff>
      <xdr:row>22</xdr:row>
      <xdr:rowOff>47625</xdr:rowOff>
    </xdr:to>
    <xdr:sp macro="" textlink="">
      <xdr:nvSpPr>
        <xdr:cNvPr id="2" name="Szövegdoboz 1">
          <a:extLst>
            <a:ext uri="{FF2B5EF4-FFF2-40B4-BE49-F238E27FC236}">
              <a16:creationId xmlns:a16="http://schemas.microsoft.com/office/drawing/2014/main" id="{E0A06438-983B-4229-90C9-15F01AE01D43}"/>
            </a:ext>
          </a:extLst>
        </xdr:cNvPr>
        <xdr:cNvSpPr txBox="1"/>
      </xdr:nvSpPr>
      <xdr:spPr>
        <a:xfrm>
          <a:off x="619123" y="3162300"/>
          <a:ext cx="8890001" cy="1298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3</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2021 assuming that </a:t>
          </a:r>
          <a:r>
            <a:rPr lang="hu-HU" sz="1400" b="0">
              <a:solidFill>
                <a:schemeClr val="accent6">
                  <a:lumMod val="75000"/>
                </a:schemeClr>
              </a:solidFill>
              <a:latin typeface="Times New Roman" panose="02020603050405020304" pitchFamily="18" charset="0"/>
              <a:cs typeface="Times New Roman" panose="02020603050405020304" pitchFamily="18" charset="0"/>
            </a:rPr>
            <a:t>new</a:t>
          </a:r>
          <a:r>
            <a:rPr lang="hu-HU" sz="1400" b="0">
              <a:latin typeface="Times New Roman" panose="02020603050405020304" pitchFamily="18" charset="0"/>
              <a:cs typeface="Times New Roman" panose="02020603050405020304" pitchFamily="18" charset="0"/>
            </a:rPr>
            <a:t>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p>
        <a:p>
          <a:pPr algn="just"/>
          <a:r>
            <a:rPr lang="hu-HU" sz="1400" b="0">
              <a:latin typeface="Times New Roman" panose="02020603050405020304" pitchFamily="18" charset="0"/>
              <a:cs typeface="Times New Roman" panose="02020603050405020304" pitchFamily="18" charset="0"/>
            </a:rPr>
            <a:t>(14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5A51191E-8EC3-4488-9357-E5CEE66FB669}"/>
            </a:ext>
          </a:extLst>
        </xdr:cNvPr>
        <xdr:cNvSpPr txBox="1"/>
      </xdr:nvSpPr>
      <xdr:spPr>
        <a:xfrm>
          <a:off x="609600" y="2203450"/>
          <a:ext cx="8909050" cy="87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15</xdr:row>
      <xdr:rowOff>0</xdr:rowOff>
    </xdr:from>
    <xdr:to>
      <xdr:col>7</xdr:col>
      <xdr:colOff>130629</xdr:colOff>
      <xdr:row>23</xdr:row>
      <xdr:rowOff>157842</xdr:rowOff>
    </xdr:to>
    <xdr:sp macro="" textlink="">
      <xdr:nvSpPr>
        <xdr:cNvPr id="2" name="Szövegdoboz 1">
          <a:extLst>
            <a:ext uri="{FF2B5EF4-FFF2-40B4-BE49-F238E27FC236}">
              <a16:creationId xmlns:a16="http://schemas.microsoft.com/office/drawing/2014/main" id="{7C33F790-0178-4CC7-A57C-79DC743C22C5}"/>
            </a:ext>
          </a:extLst>
        </xdr:cNvPr>
        <xdr:cNvSpPr txBox="1"/>
      </xdr:nvSpPr>
      <xdr:spPr>
        <a:xfrm>
          <a:off x="676275" y="3324225"/>
          <a:ext cx="9436554" cy="17580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3</a:t>
          </a:r>
        </a:p>
        <a:p>
          <a:pPr algn="l"/>
          <a:r>
            <a:rPr lang="hu-HU" sz="1400" b="0">
              <a:latin typeface="Times New Roman" panose="02020603050405020304" pitchFamily="18" charset="0"/>
              <a:cs typeface="Times New Roman" panose="02020603050405020304" pitchFamily="18" charset="0"/>
            </a:rPr>
            <a:t>Firm A </a:t>
          </a:r>
          <a:r>
            <a:rPr lang="hu-HU" sz="1400" b="0" baseline="0">
              <a:solidFill>
                <a:schemeClr val="dk1"/>
              </a:solidFill>
              <a:latin typeface="Times New Roman" panose="02020603050405020304" pitchFamily="18" charset="0"/>
              <a:ea typeface="+mn-ea"/>
              <a:cs typeface="Times New Roman" panose="02020603050405020304" pitchFamily="18" charset="0"/>
            </a:rPr>
            <a:t>plans to take over and merge with Firm B. (Both companies show a perpetuity like operation.) They plan for reorganisations are shown below. Owners of Firm B expect to pay a transaction fee of 3 M HUF, while Firm will pay 6 M HUF for consultatnts and integration. What is the realistic bargaining range firm taking over firm B? How many new shares should we issue if we wish to pay a premium of 25% over the minimum price (transaction costs considered) and 50% of the price will be paid from non-operational cash available? (10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30339E5F-09CE-4AD3-98AD-C0BBB45A38DE}"/>
            </a:ext>
          </a:extLst>
        </xdr:cNvPr>
        <xdr:cNvSpPr txBox="1"/>
      </xdr:nvSpPr>
      <xdr:spPr>
        <a:xfrm>
          <a:off x="676276" y="2333625"/>
          <a:ext cx="94488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59D1958F-218A-4CF9-BEB3-565BBBFE44C9}"/>
            </a:ext>
          </a:extLst>
        </xdr:cNvPr>
        <xdr:cNvSpPr txBox="1"/>
      </xdr:nvSpPr>
      <xdr:spPr>
        <a:xfrm>
          <a:off x="650874" y="1885950"/>
          <a:ext cx="8994776" cy="1574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Firm A wishes to purchase Firm B. Both companies operate in</a:t>
          </a:r>
          <a:r>
            <a:rPr lang="hu-HU" sz="1400" b="0" baseline="0">
              <a:latin typeface="Times New Roman" panose="02020603050405020304" pitchFamily="18" charset="0"/>
              <a:cs typeface="Times New Roman" panose="02020603050405020304" pitchFamily="18" charset="0"/>
            </a:rPr>
            <a:t> the future following a growing perpetuity pattern. What is the maximum price to pay for B? If A holds 100 of non-operational cash and wishes to pay for the rest of the fee offering it own shares how many new shares are to be printed? What will be the exchange rate? What ownership stake will the current owners of B receive?</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0F60D876-371E-4C7A-8480-C0C5FDC060E7}"/>
            </a:ext>
          </a:extLst>
        </xdr:cNvPr>
        <xdr:cNvSpPr txBox="1"/>
      </xdr:nvSpPr>
      <xdr:spPr>
        <a:xfrm>
          <a:off x="619124" y="2133600"/>
          <a:ext cx="11553826" cy="1473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Firm A wishes to purchase Firm B. Both companies operate in</a:t>
          </a:r>
          <a:r>
            <a:rPr lang="hu-HU" sz="1400" b="0" baseline="0">
              <a:latin typeface="Times New Roman" panose="02020603050405020304" pitchFamily="18" charset="0"/>
              <a:cs typeface="Times New Roman" panose="02020603050405020304" pitchFamily="18" charset="0"/>
            </a:rPr>
            <a:t> the future following a growing perpetuity pattern. What is the </a:t>
          </a:r>
          <a:r>
            <a:rPr lang="hu-HU" sz="1400" b="0" baseline="0">
              <a:solidFill>
                <a:srgbClr val="FF0000"/>
              </a:solidFill>
              <a:latin typeface="Times New Roman" panose="02020603050405020304" pitchFamily="18" charset="0"/>
              <a:cs typeface="Times New Roman" panose="02020603050405020304" pitchFamily="18" charset="0"/>
            </a:rPr>
            <a:t>maximum price to pay for B</a:t>
          </a:r>
          <a:r>
            <a:rPr lang="hu-HU" sz="1400" b="0" baseline="0">
              <a:latin typeface="Times New Roman" panose="02020603050405020304" pitchFamily="18" charset="0"/>
              <a:cs typeface="Times New Roman" panose="02020603050405020304" pitchFamily="18" charset="0"/>
            </a:rPr>
            <a:t>? Assume we </a:t>
          </a:r>
          <a:r>
            <a:rPr lang="hu-HU" sz="1400" b="0" baseline="0">
              <a:solidFill>
                <a:srgbClr val="FF0000"/>
              </a:solidFill>
              <a:latin typeface="Times New Roman" panose="02020603050405020304" pitchFamily="18" charset="0"/>
              <a:cs typeface="Times New Roman" panose="02020603050405020304" pitchFamily="18" charset="0"/>
            </a:rPr>
            <a:t>pass over half of the </a:t>
          </a:r>
          <a:r>
            <a:rPr lang="hu-HU" sz="1400" b="0" baseline="0">
              <a:solidFill>
                <a:srgbClr val="FF0000"/>
              </a:solidFill>
              <a:latin typeface="Times New Roman" panose="02020603050405020304" pitchFamily="18" charset="0"/>
              <a:ea typeface="+mn-ea"/>
              <a:cs typeface="Times New Roman" panose="02020603050405020304" pitchFamily="18" charset="0"/>
            </a:rPr>
            <a:t>synergy to the sellers</a:t>
          </a:r>
          <a:r>
            <a:rPr lang="hu-HU" sz="1400" b="0" baseline="0">
              <a:solidFill>
                <a:schemeClr val="dk1"/>
              </a:solidFill>
              <a:latin typeface="Times New Roman" panose="02020603050405020304" pitchFamily="18" charset="0"/>
              <a:ea typeface="+mn-ea"/>
              <a:cs typeface="Times New Roman" panose="02020603050405020304" pitchFamily="18" charset="0"/>
            </a:rPr>
            <a:t>. </a:t>
          </a:r>
          <a:r>
            <a:rPr lang="hu-HU" sz="1400" b="0" baseline="0">
              <a:latin typeface="Times New Roman" panose="02020603050405020304" pitchFamily="18" charset="0"/>
              <a:cs typeface="Times New Roman" panose="02020603050405020304" pitchFamily="18" charset="0"/>
            </a:rPr>
            <a:t>If A holds </a:t>
          </a:r>
          <a:r>
            <a:rPr lang="hu-HU" sz="1400" b="0" baseline="0">
              <a:solidFill>
                <a:srgbClr val="FF0000"/>
              </a:solidFill>
              <a:latin typeface="Times New Roman" panose="02020603050405020304" pitchFamily="18" charset="0"/>
              <a:cs typeface="Times New Roman" panose="02020603050405020304" pitchFamily="18" charset="0"/>
            </a:rPr>
            <a:t>200 of non-operational cash and wishes to pay for the rest of the fee offering it own shares how many new shares are to be printed</a:t>
          </a:r>
          <a:r>
            <a:rPr lang="hu-HU" sz="1400" b="0" baseline="0">
              <a:latin typeface="Times New Roman" panose="02020603050405020304" pitchFamily="18" charset="0"/>
              <a:cs typeface="Times New Roman" panose="02020603050405020304" pitchFamily="18" charset="0"/>
            </a:rPr>
            <a:t>? What will be the </a:t>
          </a:r>
          <a:r>
            <a:rPr lang="hu-HU" sz="1400" b="0" baseline="0">
              <a:solidFill>
                <a:srgbClr val="FF0000"/>
              </a:solidFill>
              <a:latin typeface="Times New Roman" panose="02020603050405020304" pitchFamily="18" charset="0"/>
              <a:cs typeface="Times New Roman" panose="02020603050405020304" pitchFamily="18" charset="0"/>
            </a:rPr>
            <a:t>exchange rate</a:t>
          </a:r>
          <a:r>
            <a:rPr lang="hu-HU" sz="1400" b="0" baseline="0">
              <a:latin typeface="Times New Roman" panose="02020603050405020304" pitchFamily="18" charset="0"/>
              <a:cs typeface="Times New Roman" panose="02020603050405020304" pitchFamily="18" charset="0"/>
            </a:rPr>
            <a:t>? What </a:t>
          </a:r>
          <a:r>
            <a:rPr lang="hu-HU" sz="1400" b="0" baseline="0">
              <a:solidFill>
                <a:srgbClr val="FF0000"/>
              </a:solidFill>
              <a:latin typeface="Times New Roman" panose="02020603050405020304" pitchFamily="18" charset="0"/>
              <a:cs typeface="Times New Roman" panose="02020603050405020304" pitchFamily="18" charset="0"/>
            </a:rPr>
            <a:t>ownership stake will the current owners of B receive</a:t>
          </a:r>
          <a:r>
            <a:rPr lang="hu-HU" sz="1400" b="0" baseline="0">
              <a:latin typeface="Times New Roman" panose="02020603050405020304" pitchFamily="18" charset="0"/>
              <a:cs typeface="Times New Roman" panose="02020603050405020304" pitchFamily="18" charset="0"/>
            </a:rPr>
            <a:t>?</a:t>
          </a:r>
        </a:p>
        <a:p>
          <a:pPr algn="just"/>
          <a:r>
            <a:rPr lang="hu-HU" sz="1400" b="0">
              <a:latin typeface="Times New Roman" panose="02020603050405020304" pitchFamily="18" charset="0"/>
              <a:cs typeface="Times New Roman" panose="02020603050405020304" pitchFamily="18" charset="0"/>
            </a:rPr>
            <a:t>(12 points)</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5</xdr:col>
      <xdr:colOff>868188</xdr:colOff>
      <xdr:row>43</xdr:row>
      <xdr:rowOff>77906</xdr:rowOff>
    </xdr:from>
    <xdr:ext cx="3883105" cy="90595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C5FD521-D7E0-45D2-93BE-9E37CF1E89B0}"/>
                </a:ext>
              </a:extLst>
            </xdr:cNvPr>
            <xdr:cNvSpPr txBox="1"/>
          </xdr:nvSpPr>
          <xdr:spPr>
            <a:xfrm>
              <a:off x="9351788" y="8542456"/>
              <a:ext cx="3883105" cy="905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2800" i="1">
                            <a:latin typeface="Cambria Math" panose="02040503050406030204" pitchFamily="18" charset="0"/>
                          </a:rPr>
                        </m:ctrlPr>
                      </m:fPr>
                      <m:num>
                        <m:sSub>
                          <m:sSubPr>
                            <m:ctrlPr>
                              <a:rPr lang="en-US" sz="2800" i="1">
                                <a:latin typeface="Cambria Math" panose="02040503050406030204" pitchFamily="18" charset="0"/>
                              </a:rPr>
                            </m:ctrlPr>
                          </m:sSubPr>
                          <m:e>
                            <m:r>
                              <a:rPr lang="hu-HU" sz="2800" b="0" i="1">
                                <a:latin typeface="Cambria Math" panose="02040503050406030204" pitchFamily="18" charset="0"/>
                              </a:rPr>
                              <m:t>𝐶</m:t>
                            </m:r>
                          </m:e>
                          <m:sub>
                            <m:r>
                              <a:rPr lang="hu-HU" sz="2800" b="0" i="1">
                                <a:latin typeface="Cambria Math" panose="02040503050406030204" pitchFamily="18" charset="0"/>
                              </a:rPr>
                              <m:t>1</m:t>
                            </m:r>
                          </m:sub>
                        </m:sSub>
                      </m:num>
                      <m:den>
                        <m:r>
                          <a:rPr lang="hu-HU" sz="2800" b="0" i="1">
                            <a:latin typeface="Cambria Math" panose="02040503050406030204" pitchFamily="18" charset="0"/>
                          </a:rPr>
                          <m:t>𝑟</m:t>
                        </m:r>
                        <m:r>
                          <a:rPr lang="hu-HU" sz="2800" b="0" i="1">
                            <a:latin typeface="Cambria Math" panose="02040503050406030204" pitchFamily="18" charset="0"/>
                          </a:rPr>
                          <m:t>−</m:t>
                        </m:r>
                        <m:r>
                          <a:rPr lang="hu-HU" sz="2800" b="0" i="1">
                            <a:latin typeface="Cambria Math" panose="02040503050406030204" pitchFamily="18" charset="0"/>
                          </a:rPr>
                          <m:t>𝑔</m:t>
                        </m:r>
                      </m:den>
                    </m:f>
                    <m:r>
                      <a:rPr lang="hu-HU" sz="2800" b="0" i="1">
                        <a:latin typeface="Cambria Math" panose="02040503050406030204" pitchFamily="18" charset="0"/>
                      </a:rPr>
                      <m:t>∗(1−</m:t>
                    </m:r>
                    <m:f>
                      <m:fPr>
                        <m:ctrlPr>
                          <a:rPr lang="hu-HU" sz="2800" b="0" i="1">
                            <a:latin typeface="Cambria Math" panose="02040503050406030204" pitchFamily="18" charset="0"/>
                          </a:rPr>
                        </m:ctrlPr>
                      </m:fPr>
                      <m:num>
                        <m:sSup>
                          <m:sSupPr>
                            <m:ctrlPr>
                              <a:rPr lang="hu-HU" sz="2800" b="0" i="1">
                                <a:latin typeface="Cambria Math" panose="02040503050406030204" pitchFamily="18" charset="0"/>
                              </a:rPr>
                            </m:ctrlPr>
                          </m:sSupPr>
                          <m:e>
                            <m:r>
                              <a:rPr lang="hu-HU" sz="2800" b="0" i="1">
                                <a:latin typeface="Cambria Math" panose="02040503050406030204" pitchFamily="18" charset="0"/>
                              </a:rPr>
                              <m:t>(1+</m:t>
                            </m:r>
                            <m:r>
                              <a:rPr lang="hu-HU" sz="2800" b="0" i="1">
                                <a:latin typeface="Cambria Math" panose="02040503050406030204" pitchFamily="18" charset="0"/>
                              </a:rPr>
                              <m:t>𝑔</m:t>
                            </m:r>
                            <m:r>
                              <a:rPr lang="hu-HU" sz="2800" b="0" i="1">
                                <a:latin typeface="Cambria Math" panose="02040503050406030204" pitchFamily="18" charset="0"/>
                              </a:rPr>
                              <m:t>)</m:t>
                            </m:r>
                          </m:e>
                          <m:sup>
                            <m:r>
                              <a:rPr lang="hu-HU" sz="2800" b="0" i="1">
                                <a:latin typeface="Cambria Math" panose="02040503050406030204" pitchFamily="18" charset="0"/>
                              </a:rPr>
                              <m:t>𝑛</m:t>
                            </m:r>
                          </m:sup>
                        </m:sSup>
                      </m:num>
                      <m:den>
                        <m:sSup>
                          <m:sSupPr>
                            <m:ctrlPr>
                              <a:rPr lang="hu-HU" sz="2800" b="0" i="1">
                                <a:latin typeface="Cambria Math" panose="02040503050406030204" pitchFamily="18" charset="0"/>
                              </a:rPr>
                            </m:ctrlPr>
                          </m:sSupPr>
                          <m:e>
                            <m:r>
                              <a:rPr lang="hu-HU" sz="2800" b="0" i="1">
                                <a:latin typeface="Cambria Math" panose="02040503050406030204" pitchFamily="18" charset="0"/>
                              </a:rPr>
                              <m:t>(1+</m:t>
                            </m:r>
                            <m:r>
                              <a:rPr lang="hu-HU" sz="2800" b="0" i="1">
                                <a:latin typeface="Cambria Math" panose="02040503050406030204" pitchFamily="18" charset="0"/>
                              </a:rPr>
                              <m:t>𝑟</m:t>
                            </m:r>
                            <m:r>
                              <a:rPr lang="hu-HU" sz="2800" b="0" i="1">
                                <a:latin typeface="Cambria Math" panose="02040503050406030204" pitchFamily="18" charset="0"/>
                              </a:rPr>
                              <m:t>)</m:t>
                            </m:r>
                          </m:e>
                          <m:sup>
                            <m:r>
                              <a:rPr lang="hu-HU" sz="2800" b="0" i="1">
                                <a:latin typeface="Cambria Math" panose="02040503050406030204" pitchFamily="18" charset="0"/>
                              </a:rPr>
                              <m:t>𝑛</m:t>
                            </m:r>
                          </m:sup>
                        </m:sSup>
                      </m:den>
                    </m:f>
                  </m:oMath>
                </m:oMathPara>
              </a14:m>
              <a:endParaRPr lang="en-US" sz="2800"/>
            </a:p>
          </xdr:txBody>
        </xdr:sp>
      </mc:Choice>
      <mc:Fallback xmlns="">
        <xdr:sp macro="" textlink="">
          <xdr:nvSpPr>
            <xdr:cNvPr id="2" name="TextBox 1">
              <a:extLst>
                <a:ext uri="{FF2B5EF4-FFF2-40B4-BE49-F238E27FC236}">
                  <a16:creationId xmlns:a16="http://schemas.microsoft.com/office/drawing/2014/main" id="{1C5FD521-D7E0-45D2-93BE-9E37CF1E89B0}"/>
                </a:ext>
              </a:extLst>
            </xdr:cNvPr>
            <xdr:cNvSpPr txBox="1"/>
          </xdr:nvSpPr>
          <xdr:spPr>
            <a:xfrm>
              <a:off x="9351788" y="8542456"/>
              <a:ext cx="3883105" cy="905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hu-HU" sz="2800" b="0" i="0">
                  <a:latin typeface="Cambria Math" panose="02040503050406030204" pitchFamily="18" charset="0"/>
                </a:rPr>
                <a:t>𝐶</a:t>
              </a:r>
              <a:r>
                <a:rPr lang="en-US" sz="2800" b="0" i="0">
                  <a:latin typeface="Cambria Math" panose="02040503050406030204" pitchFamily="18" charset="0"/>
                </a:rPr>
                <a:t>_</a:t>
              </a:r>
              <a:r>
                <a:rPr lang="hu-HU" sz="2800" b="0" i="0">
                  <a:latin typeface="Cambria Math" panose="02040503050406030204" pitchFamily="18" charset="0"/>
                </a:rPr>
                <a:t>1</a:t>
              </a:r>
              <a:r>
                <a:rPr lang="en-US" sz="2800" b="0" i="0">
                  <a:latin typeface="Cambria Math" panose="02040503050406030204" pitchFamily="18" charset="0"/>
                </a:rPr>
                <a:t>/(</a:t>
              </a:r>
              <a:r>
                <a:rPr lang="hu-HU" sz="2800" b="0" i="0">
                  <a:latin typeface="Cambria Math" panose="02040503050406030204" pitchFamily="18" charset="0"/>
                </a:rPr>
                <a:t>𝑟−𝑔</a:t>
              </a:r>
              <a:r>
                <a:rPr lang="en-US" sz="2800" b="0" i="0">
                  <a:latin typeface="Cambria Math" panose="02040503050406030204" pitchFamily="18" charset="0"/>
                </a:rPr>
                <a:t>)</a:t>
              </a:r>
              <a:r>
                <a:rPr lang="hu-HU" sz="2800" b="0" i="0">
                  <a:latin typeface="Cambria Math" panose="02040503050406030204" pitchFamily="18" charset="0"/>
                </a:rPr>
                <a:t>∗(1−〖(1+𝑔)〗^𝑛/〖(1+𝑟)〗^𝑛 </a:t>
              </a:r>
              <a:endParaRPr lang="en-US" sz="28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B33D3693-1FBF-4374-B84E-41131860CEAB}"/>
            </a:ext>
          </a:extLst>
        </xdr:cNvPr>
        <xdr:cNvSpPr txBox="1"/>
      </xdr:nvSpPr>
      <xdr:spPr>
        <a:xfrm>
          <a:off x="695324" y="2238375"/>
          <a:ext cx="12677776"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We consider to take over a firm. Our target firm has</a:t>
          </a:r>
          <a:r>
            <a:rPr lang="hu-HU" sz="1400" b="0" baseline="0">
              <a:latin typeface="Times New Roman" panose="02020603050405020304" pitchFamily="18" charset="0"/>
              <a:cs typeface="Times New Roman" panose="02020603050405020304" pitchFamily="18" charset="0"/>
            </a:rPr>
            <a:t> several non-operative assets. Estimate the value of their office building currently rented to a number of other firms based on the data below using at least two different asset valuation approaches. Explain the differences and shortcommings of the two methods used.</a:t>
          </a:r>
        </a:p>
        <a:p>
          <a:pPr algn="just"/>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17</xdr:col>
      <xdr:colOff>142875</xdr:colOff>
      <xdr:row>15</xdr:row>
      <xdr:rowOff>171450</xdr:rowOff>
    </xdr:from>
    <xdr:to>
      <xdr:col>27</xdr:col>
      <xdr:colOff>657226</xdr:colOff>
      <xdr:row>32</xdr:row>
      <xdr:rowOff>152400</xdr:rowOff>
    </xdr:to>
    <xdr:sp macro="" textlink="">
      <xdr:nvSpPr>
        <xdr:cNvPr id="3" name="Szövegdoboz 2">
          <a:extLst>
            <a:ext uri="{FF2B5EF4-FFF2-40B4-BE49-F238E27FC236}">
              <a16:creationId xmlns:a16="http://schemas.microsoft.com/office/drawing/2014/main" id="{FF9D82A9-68EC-4B77-8E20-8BFD07E56E66}"/>
            </a:ext>
          </a:extLst>
        </xdr:cNvPr>
        <xdr:cNvSpPr txBox="1"/>
      </xdr:nvSpPr>
      <xdr:spPr>
        <a:xfrm>
          <a:off x="18811875" y="3495675"/>
          <a:ext cx="7372351" cy="338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Add your explanation here.</a:t>
          </a:r>
        </a:p>
      </xdr:txBody>
    </xdr:sp>
    <xdr:clientData/>
  </xdr:twoCellAnchor>
  <xdr:oneCellAnchor>
    <xdr:from>
      <xdr:col>9</xdr:col>
      <xdr:colOff>868188</xdr:colOff>
      <xdr:row>29</xdr:row>
      <xdr:rowOff>77906</xdr:rowOff>
    </xdr:from>
    <xdr:ext cx="3883105" cy="905954"/>
    <xdr:sp macro="" textlink="">
      <xdr:nvSpPr>
        <xdr:cNvPr id="4" name="TextBox 3">
          <a:extLst>
            <a:ext uri="{FF2B5EF4-FFF2-40B4-BE49-F238E27FC236}">
              <a16:creationId xmlns:a16="http://schemas.microsoft.com/office/drawing/2014/main" id="{0F62FE09-61DA-4687-9EC5-15A87C984FEB}"/>
            </a:ext>
            <a:ext uri="{147F2762-F138-4A5C-976F-8EAC2B608ADB}">
              <a16:predDERef xmlns:a16="http://schemas.microsoft.com/office/drawing/2014/main" pred="{92746C0D-371E-44C8-8C2A-1FAAB707CC14}"/>
            </a:ext>
          </a:extLst>
        </xdr:cNvPr>
        <xdr:cNvSpPr txBox="1"/>
      </xdr:nvSpPr>
      <xdr:spPr>
        <a:xfrm>
          <a:off x="13869813" y="6202481"/>
          <a:ext cx="3883105" cy="905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indent="0"/>
          <a:r>
            <a:rPr lang="ar-AE" sz="2800" i="1">
              <a:solidFill>
                <a:schemeClr val="tx1"/>
              </a:solidFill>
              <a:latin typeface="Cambria Math" panose="02040503050406030204" pitchFamily="18" charset="0"/>
              <a:ea typeface="Cambria Math" panose="02040503050406030204" pitchFamily="18" charset="0"/>
            </a:rPr>
            <a:t>﷐﷐</a:t>
          </a:r>
          <a:r>
            <a:rPr lang="ar-AE" sz="2800" b="0" i="1">
              <a:solidFill>
                <a:schemeClr val="tx1"/>
              </a:solidFill>
              <a:latin typeface="Cambria Math" panose="02040503050406030204" pitchFamily="18" charset="0"/>
              <a:ea typeface="Cambria Math" panose="02040503050406030204" pitchFamily="18" charset="0"/>
            </a:rPr>
            <a:t>𝐶﷮1﷯﷮𝑟−𝑔﷯∗(1−﷐﷐(1+𝑔)﷮𝑛﷯﷮﷐(1+𝑟)﷮𝑛﷯﷯</a:t>
          </a:r>
        </a:p>
      </xdr:txBody>
    </xdr:sp>
    <xdr:clientData/>
  </xdr:oneCellAnchor>
  <xdr:twoCellAnchor>
    <xdr:from>
      <xdr:col>10</xdr:col>
      <xdr:colOff>0</xdr:colOff>
      <xdr:row>4</xdr:row>
      <xdr:rowOff>0</xdr:rowOff>
    </xdr:from>
    <xdr:to>
      <xdr:col>20</xdr:col>
      <xdr:colOff>409576</xdr:colOff>
      <xdr:row>19</xdr:row>
      <xdr:rowOff>180975</xdr:rowOff>
    </xdr:to>
    <xdr:sp macro="" textlink="">
      <xdr:nvSpPr>
        <xdr:cNvPr id="5" name="Szövegdoboz 2">
          <a:extLst>
            <a:ext uri="{FF2B5EF4-FFF2-40B4-BE49-F238E27FC236}">
              <a16:creationId xmlns:a16="http://schemas.microsoft.com/office/drawing/2014/main" id="{C0CCB9CB-2FFF-452D-99FC-E2AFEF710A8E}"/>
            </a:ext>
          </a:extLst>
        </xdr:cNvPr>
        <xdr:cNvSpPr txBox="1"/>
      </xdr:nvSpPr>
      <xdr:spPr>
        <a:xfrm>
          <a:off x="13868400" y="923925"/>
          <a:ext cx="7267576" cy="338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We can look at the asset value in</a:t>
          </a:r>
          <a:r>
            <a:rPr lang="hu-HU" sz="1400" b="0" baseline="0">
              <a:latin typeface="Times New Roman" panose="02020603050405020304" pitchFamily="18" charset="0"/>
              <a:cs typeface="Times New Roman" panose="02020603050405020304" pitchFamily="18" charset="0"/>
            </a:rPr>
            <a:t> 3 different ways from these informations. First we can use a DCF method and look at it from a future exit point of view. We calculate the future CF and the tax shield it provides and take the present value of it. We need to rely on the assumption that the future will be like our estimations for the value drivers.</a:t>
          </a:r>
          <a:br>
            <a:rPr lang="hu-HU" sz="1400" b="0" baseline="0">
              <a:latin typeface="Times New Roman" panose="02020603050405020304" pitchFamily="18" charset="0"/>
              <a:cs typeface="Times New Roman" panose="02020603050405020304" pitchFamily="18" charset="0"/>
            </a:rPr>
          </a:br>
          <a:r>
            <a:rPr lang="hu-HU" sz="1400" b="0" baseline="0">
              <a:latin typeface="Times New Roman" panose="02020603050405020304" pitchFamily="18" charset="0"/>
              <a:cs typeface="Times New Roman" panose="02020603050405020304" pitchFamily="18" charset="0"/>
            </a:rPr>
            <a:t>Still looking into future exits we can take the capitalisation rate, as a kind of multiple and calcultate the current value from the net income the asset provides. In this case we assume that the assets we use to get the capitalisation rate are similar and that the market is correct on assesing that.</a:t>
          </a:r>
        </a:p>
        <a:p>
          <a:r>
            <a:rPr lang="hu-HU" sz="1400" b="0" baseline="0">
              <a:latin typeface="Times New Roman" panose="02020603050405020304" pitchFamily="18" charset="0"/>
              <a:cs typeface="Times New Roman" panose="02020603050405020304" pitchFamily="18" charset="0"/>
            </a:rPr>
            <a:t>If we take the past entry point of view  and we are caluclating from the book value and adjusting that with inflation. In this method we don't assume anything about the future and not really looking at the CF producing ability of the asset just the past price.</a:t>
          </a:r>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51EC8F4E-B764-4466-B9E4-D06E67D09172}"/>
            </a:ext>
          </a:extLst>
        </xdr:cNvPr>
        <xdr:cNvSpPr txBox="1"/>
      </xdr:nvSpPr>
      <xdr:spPr>
        <a:xfrm>
          <a:off x="695324" y="2362200"/>
          <a:ext cx="746760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Bonus Task</a:t>
          </a:r>
        </a:p>
        <a:p>
          <a:r>
            <a:rPr lang="hu-HU" sz="1400" b="0" baseline="0">
              <a:latin typeface="Times New Roman" panose="02020603050405020304" pitchFamily="18" charset="0"/>
              <a:cs typeface="Times New Roman" panose="02020603050405020304" pitchFamily="18" charset="0"/>
            </a:rPr>
            <a:t>Estimate the cost of equity for company A using data form competitors (X, Y, Z) from the same industry. </a:t>
          </a: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485774</xdr:colOff>
      <xdr:row>0</xdr:row>
      <xdr:rowOff>180975</xdr:rowOff>
    </xdr:from>
    <xdr:to>
      <xdr:col>9</xdr:col>
      <xdr:colOff>57150</xdr:colOff>
      <xdr:row>8</xdr:row>
      <xdr:rowOff>180974</xdr:rowOff>
    </xdr:to>
    <xdr:sp macro="" textlink="">
      <xdr:nvSpPr>
        <xdr:cNvPr id="2" name="Szövegdoboz 1">
          <a:extLst>
            <a:ext uri="{FF2B5EF4-FFF2-40B4-BE49-F238E27FC236}">
              <a16:creationId xmlns:a16="http://schemas.microsoft.com/office/drawing/2014/main" id="{DC90BCD6-18A8-4D16-B3FB-FBB7750266DD}"/>
            </a:ext>
          </a:extLst>
        </xdr:cNvPr>
        <xdr:cNvSpPr txBox="1"/>
      </xdr:nvSpPr>
      <xdr:spPr>
        <a:xfrm>
          <a:off x="485774" y="180975"/>
          <a:ext cx="9731376" cy="1473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Based on the data of our peers presented below estimate the listed</a:t>
          </a:r>
          <a:r>
            <a:rPr lang="hu-HU" sz="1400" b="0" baseline="0">
              <a:latin typeface="Times New Roman" panose="02020603050405020304" pitchFamily="18" charset="0"/>
              <a:cs typeface="Times New Roman" panose="02020603050405020304" pitchFamily="18" charset="0"/>
            </a:rPr>
            <a:t> elements of the cost of capital marked in green for our target firm.</a:t>
          </a:r>
        </a:p>
        <a:p>
          <a:pPr algn="just"/>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editAs="oneCell">
    <xdr:from>
      <xdr:col>7</xdr:col>
      <xdr:colOff>219076</xdr:colOff>
      <xdr:row>18</xdr:row>
      <xdr:rowOff>180975</xdr:rowOff>
    </xdr:from>
    <xdr:to>
      <xdr:col>16</xdr:col>
      <xdr:colOff>600075</xdr:colOff>
      <xdr:row>34</xdr:row>
      <xdr:rowOff>60325</xdr:rowOff>
    </xdr:to>
    <xdr:pic>
      <xdr:nvPicPr>
        <xdr:cNvPr id="3" name="Picture 2">
          <a:extLst>
            <a:ext uri="{FF2B5EF4-FFF2-40B4-BE49-F238E27FC236}">
              <a16:creationId xmlns:a16="http://schemas.microsoft.com/office/drawing/2014/main" id="{3C1AB4CA-A070-435B-8AC2-A8E8E306D6A1}"/>
            </a:ext>
          </a:extLst>
        </xdr:cNvPr>
        <xdr:cNvPicPr>
          <a:picLocks noChangeAspect="1"/>
        </xdr:cNvPicPr>
      </xdr:nvPicPr>
      <xdr:blipFill rotWithShape="1">
        <a:blip xmlns:r="http://schemas.openxmlformats.org/officeDocument/2006/relationships" r:embed="rId1"/>
        <a:srcRect r="78"/>
        <a:stretch/>
      </xdr:blipFill>
      <xdr:spPr>
        <a:xfrm>
          <a:off x="9261476" y="3495675"/>
          <a:ext cx="5765799" cy="28257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637E3597-C2F2-4470-80FC-05D244EFF229}"/>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How would you estimate the cost of capital for a privately held SME? Which DCF method would you use to value the company?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9525</xdr:colOff>
      <xdr:row>16</xdr:row>
      <xdr:rowOff>9524</xdr:rowOff>
    </xdr:from>
    <xdr:to>
      <xdr:col>7</xdr:col>
      <xdr:colOff>285751</xdr:colOff>
      <xdr:row>33</xdr:row>
      <xdr:rowOff>85724</xdr:rowOff>
    </xdr:to>
    <xdr:sp macro="" textlink="">
      <xdr:nvSpPr>
        <xdr:cNvPr id="3" name="Szövegdoboz 3">
          <a:extLst>
            <a:ext uri="{FF2B5EF4-FFF2-40B4-BE49-F238E27FC236}">
              <a16:creationId xmlns:a16="http://schemas.microsoft.com/office/drawing/2014/main" id="{730F10E8-9C00-42C2-92A9-2785C1AB1876}"/>
            </a:ext>
          </a:extLst>
        </xdr:cNvPr>
        <xdr:cNvSpPr txBox="1"/>
      </xdr:nvSpPr>
      <xdr:spPr>
        <a:xfrm>
          <a:off x="695325" y="3533774"/>
          <a:ext cx="7372351"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First we would need to make sure that the CF matches the cost of capital (in currency, maturity, risk...). We would need to estiamte the cost of debt and equity seperatly. We could estimate the cost of debt from implied debt return of own or similar firms’ bonds, historical regressions, (implied) credit rating, but most likely in case of an SME, looking at the former and existing debt contracts is the best way to do it. For the equity, we could do a regression methods (CAPM, APT) or a built-up method (where we estimate a risk free return from government bods for instance and then add market, industry, size and other firm specific risk premiums), but again in case of an SME maybe the simplest way is the best, and we could estimate it by gathering the expectations in an interview with the owner.</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The best DCF method might be an APV, estimating the cost of capital could be difficult in this case.</a:t>
          </a:r>
        </a:p>
        <a:p>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9524</xdr:colOff>
      <xdr:row>1</xdr:row>
      <xdr:rowOff>104775</xdr:rowOff>
    </xdr:from>
    <xdr:to>
      <xdr:col>7</xdr:col>
      <xdr:colOff>114300</xdr:colOff>
      <xdr:row>6</xdr:row>
      <xdr:rowOff>180975</xdr:rowOff>
    </xdr:to>
    <xdr:sp macro="" textlink="">
      <xdr:nvSpPr>
        <xdr:cNvPr id="2" name="Szövegdoboz 1">
          <a:extLst>
            <a:ext uri="{FF2B5EF4-FFF2-40B4-BE49-F238E27FC236}">
              <a16:creationId xmlns:a16="http://schemas.microsoft.com/office/drawing/2014/main" id="{D71BB91A-6505-42CA-BB60-6F7E2CA8F832}"/>
            </a:ext>
          </a:extLst>
        </xdr:cNvPr>
        <xdr:cNvSpPr txBox="1"/>
      </xdr:nvSpPr>
      <xdr:spPr>
        <a:xfrm>
          <a:off x="650874" y="301625"/>
          <a:ext cx="9020176" cy="106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Prepare the financial statements (Balance sheet, P/L, Business cash flow) of the firm using the data given and 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A8D925D4-BC4A-42EE-B719-150B2D8A96AC}"/>
            </a:ext>
          </a:extLst>
        </xdr:cNvPr>
        <xdr:cNvSpPr txBox="1"/>
      </xdr:nvSpPr>
      <xdr:spPr>
        <a:xfrm>
          <a:off x="619124" y="3162300"/>
          <a:ext cx="8296276" cy="99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(12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FD506F98-EC74-4C84-8DA8-80773968BA25}"/>
            </a:ext>
          </a:extLst>
        </xdr:cNvPr>
        <xdr:cNvSpPr txBox="1"/>
      </xdr:nvSpPr>
      <xdr:spPr>
        <a:xfrm>
          <a:off x="609601" y="2212975"/>
          <a:ext cx="8334375" cy="87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311150</xdr:colOff>
      <xdr:row>0</xdr:row>
      <xdr:rowOff>197938</xdr:rowOff>
    </xdr:from>
    <xdr:to>
      <xdr:col>25</xdr:col>
      <xdr:colOff>7620</xdr:colOff>
      <xdr:row>22</xdr:row>
      <xdr:rowOff>30480</xdr:rowOff>
    </xdr:to>
    <xdr:sp macro="" textlink="">
      <xdr:nvSpPr>
        <xdr:cNvPr id="2" name="Szövegdoboz 1">
          <a:extLst>
            <a:ext uri="{FF2B5EF4-FFF2-40B4-BE49-F238E27FC236}">
              <a16:creationId xmlns:a16="http://schemas.microsoft.com/office/drawing/2014/main" id="{4FB7DB65-0411-474B-8C15-A49A98254D67}"/>
            </a:ext>
          </a:extLst>
        </xdr:cNvPr>
        <xdr:cNvSpPr txBox="1"/>
      </xdr:nvSpPr>
      <xdr:spPr>
        <a:xfrm>
          <a:off x="12446000" y="197938"/>
          <a:ext cx="7030720" cy="4163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Inheriting a Kebab Shop</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had an excellent personal connection to his grandfather, who arrived in Central Europe two decades ago. By now, he has established a small self-service restaurant called “The Kebab Shop”, selling Turkish and Arabic food in a big city some 100 kilometres away from the capital. As a child, John spent most of his time with his grandmother while his parents worked as doctors, sometimes even at night. The grandparents lived in a flat just above their small restaurant, often working more than 10 hours daily in the shop. Thus, John grew up there and was involved in operational activities early on. </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While John learned how to manage a restaurant based on his real-life experience, he also gained a BA in Hotel management. During the last few years, the health of his grandparents deteriorated, and recently, on his grandfather’s 70</a:t>
          </a:r>
          <a:r>
            <a:rPr lang="en-GB" sz="1100" baseline="30000">
              <a:solidFill>
                <a:schemeClr val="dk1"/>
              </a:solidFill>
              <a:effectLst/>
              <a:latin typeface="+mn-lt"/>
              <a:ea typeface="+mn-ea"/>
              <a:cs typeface="+mn-cs"/>
            </a:rPr>
            <a:t>th</a:t>
          </a:r>
          <a:r>
            <a:rPr lang="en-GB" sz="1100">
              <a:solidFill>
                <a:schemeClr val="dk1"/>
              </a:solidFill>
              <a:effectLst/>
              <a:latin typeface="+mn-lt"/>
              <a:ea typeface="+mn-ea"/>
              <a:cs typeface="+mn-cs"/>
            </a:rPr>
            <a:t> birthday, Grandpa asked him to take over the daily management of the shop and made the impression that it might be John who would inherit the ownership of the shop sooner or later. John started his work as a CEO by analysing historical statements and setting up a new financial plan for the future. You see the data collected and predicted below.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Review the financial plan and give an overview of what the new strategy may look like.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Predict the financial statements of the company. (Assume 360-day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How much dividend can be paid in each of the years? (Assume that additional equity need is covered using retained earnings if possible.)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Calculate the business cash flow for all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5. </a:t>
          </a:r>
          <a:r>
            <a:rPr lang="en-GB" sz="1100">
              <a:solidFill>
                <a:schemeClr val="dk1"/>
              </a:solidFill>
              <a:effectLst/>
              <a:latin typeface="+mn-lt"/>
              <a:ea typeface="+mn-ea"/>
              <a:cs typeface="+mn-cs"/>
            </a:rPr>
            <a:t>Quantify the value drivers both historically and for the predicted years.</a:t>
          </a:r>
          <a:endParaRPr lang="hu-HU" sz="1100">
            <a:solidFill>
              <a:schemeClr val="dk1"/>
            </a:solidFill>
            <a:effectLst/>
            <a:latin typeface="+mn-lt"/>
            <a:ea typeface="+mn-ea"/>
            <a:cs typeface="+mn-cs"/>
          </a:endParaRPr>
        </a:p>
        <a:p>
          <a:endParaRPr lang="hu-HU"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597D100D-CABC-4A89-9D7F-A86F9B5A642C}"/>
            </a:ext>
          </a:extLst>
        </xdr:cNvPr>
        <xdr:cNvSpPr txBox="1"/>
      </xdr:nvSpPr>
      <xdr:spPr>
        <a:xfrm>
          <a:off x="650874" y="3016250"/>
          <a:ext cx="7908926" cy="106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(15 points)</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66674</xdr:colOff>
      <xdr:row>0</xdr:row>
      <xdr:rowOff>190500</xdr:rowOff>
    </xdr:from>
    <xdr:to>
      <xdr:col>7</xdr:col>
      <xdr:colOff>171450</xdr:colOff>
      <xdr:row>6</xdr:row>
      <xdr:rowOff>66675</xdr:rowOff>
    </xdr:to>
    <xdr:sp macro="" textlink="">
      <xdr:nvSpPr>
        <xdr:cNvPr id="2" name="Szövegdoboz 1">
          <a:extLst>
            <a:ext uri="{FF2B5EF4-FFF2-40B4-BE49-F238E27FC236}">
              <a16:creationId xmlns:a16="http://schemas.microsoft.com/office/drawing/2014/main" id="{C257A836-2E8B-4415-BCEF-954ED59D6F56}"/>
            </a:ext>
          </a:extLst>
        </xdr:cNvPr>
        <xdr:cNvSpPr txBox="1"/>
      </xdr:nvSpPr>
      <xdr:spPr>
        <a:xfrm>
          <a:off x="708024" y="190500"/>
          <a:ext cx="8270876" cy="1057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9524</xdr:colOff>
      <xdr:row>5</xdr:row>
      <xdr:rowOff>38100</xdr:rowOff>
    </xdr:from>
    <xdr:to>
      <xdr:col>7</xdr:col>
      <xdr:colOff>114300</xdr:colOff>
      <xdr:row>10</xdr:row>
      <xdr:rowOff>114300</xdr:rowOff>
    </xdr:to>
    <xdr:sp macro="" textlink="">
      <xdr:nvSpPr>
        <xdr:cNvPr id="2" name="Szövegdoboz 1">
          <a:extLst>
            <a:ext uri="{FF2B5EF4-FFF2-40B4-BE49-F238E27FC236}">
              <a16:creationId xmlns:a16="http://schemas.microsoft.com/office/drawing/2014/main" id="{9E8B0B22-A25E-4727-A307-CDDCF955F5D6}"/>
            </a:ext>
          </a:extLst>
        </xdr:cNvPr>
        <xdr:cNvSpPr txBox="1"/>
      </xdr:nvSpPr>
      <xdr:spPr>
        <a:xfrm>
          <a:off x="619124" y="3162300"/>
          <a:ext cx="8296276" cy="99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(12 points)</a:t>
          </a:r>
        </a:p>
      </xdr:txBody>
    </xdr:sp>
    <xdr:clientData/>
  </xdr:twoCellAnchor>
  <xdr:twoCellAnchor>
    <xdr:from>
      <xdr:col>1</xdr:col>
      <xdr:colOff>1</xdr:colOff>
      <xdr:row>0</xdr:row>
      <xdr:rowOff>9525</xdr:rowOff>
    </xdr:from>
    <xdr:to>
      <xdr:col>7</xdr:col>
      <xdr:colOff>142876</xdr:colOff>
      <xdr:row>4</xdr:row>
      <xdr:rowOff>152400</xdr:rowOff>
    </xdr:to>
    <xdr:sp macro="" textlink="">
      <xdr:nvSpPr>
        <xdr:cNvPr id="3" name="Szövegdoboz 2">
          <a:extLst>
            <a:ext uri="{FF2B5EF4-FFF2-40B4-BE49-F238E27FC236}">
              <a16:creationId xmlns:a16="http://schemas.microsoft.com/office/drawing/2014/main" id="{18D13381-C090-4955-BF1B-D3FD32919880}"/>
            </a:ext>
          </a:extLst>
        </xdr:cNvPr>
        <xdr:cNvSpPr txBox="1"/>
      </xdr:nvSpPr>
      <xdr:spPr>
        <a:xfrm>
          <a:off x="609601" y="2212975"/>
          <a:ext cx="8334375" cy="87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twoCellAnchor>
    <xdr:from>
      <xdr:col>1</xdr:col>
      <xdr:colOff>9524</xdr:colOff>
      <xdr:row>15</xdr:row>
      <xdr:rowOff>38100</xdr:rowOff>
    </xdr:from>
    <xdr:to>
      <xdr:col>7</xdr:col>
      <xdr:colOff>114300</xdr:colOff>
      <xdr:row>20</xdr:row>
      <xdr:rowOff>114300</xdr:rowOff>
    </xdr:to>
    <xdr:sp macro="" textlink="">
      <xdr:nvSpPr>
        <xdr:cNvPr id="4" name="Szövegdoboz 1">
          <a:extLst>
            <a:ext uri="{FF2B5EF4-FFF2-40B4-BE49-F238E27FC236}">
              <a16:creationId xmlns:a16="http://schemas.microsoft.com/office/drawing/2014/main" id="{48DA728C-644E-4E11-99FA-E5DF92ED567C}"/>
            </a:ext>
          </a:extLst>
        </xdr:cNvPr>
        <xdr:cNvSpPr txBox="1"/>
      </xdr:nvSpPr>
      <xdr:spPr>
        <a:xfrm>
          <a:off x="619124" y="3162300"/>
          <a:ext cx="8296276" cy="99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(12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5" name="Szövegdoboz 2">
          <a:extLst>
            <a:ext uri="{FF2B5EF4-FFF2-40B4-BE49-F238E27FC236}">
              <a16:creationId xmlns:a16="http://schemas.microsoft.com/office/drawing/2014/main" id="{77D83308-E1C0-4F2F-9ACB-A9949B2DC6E5}"/>
            </a:ext>
          </a:extLst>
        </xdr:cNvPr>
        <xdr:cNvSpPr txBox="1"/>
      </xdr:nvSpPr>
      <xdr:spPr>
        <a:xfrm>
          <a:off x="609601" y="2212975"/>
          <a:ext cx="8334375" cy="87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31</xdr:col>
      <xdr:colOff>327620</xdr:colOff>
      <xdr:row>4</xdr:row>
      <xdr:rowOff>79957</xdr:rowOff>
    </xdr:from>
    <xdr:to>
      <xdr:col>41</xdr:col>
      <xdr:colOff>172429</xdr:colOff>
      <xdr:row>33</xdr:row>
      <xdr:rowOff>24382</xdr:rowOff>
    </xdr:to>
    <xdr:sp macro="" textlink="">
      <xdr:nvSpPr>
        <xdr:cNvPr id="2" name="Szövegdoboz 1">
          <a:extLst>
            <a:ext uri="{FF2B5EF4-FFF2-40B4-BE49-F238E27FC236}">
              <a16:creationId xmlns:a16="http://schemas.microsoft.com/office/drawing/2014/main" id="{7F7FDCED-BEBB-48EA-9AD4-F3F55C9C5BF2}"/>
            </a:ext>
          </a:extLst>
        </xdr:cNvPr>
        <xdr:cNvSpPr txBox="1"/>
      </xdr:nvSpPr>
      <xdr:spPr>
        <a:xfrm>
          <a:off x="25626020" y="867357"/>
          <a:ext cx="6448809" cy="570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Toy Story</a:t>
          </a:r>
          <a:endParaRPr lang="hu-HU" sz="1100" b="1">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Albert teamed up with Julian some ten years ago. They opened a toy retail shop, Toy Story, that developed into a chain of 8 outlets over time, </a:t>
          </a:r>
          <a:r>
            <a:rPr lang="hu-HU" sz="1100">
              <a:solidFill>
                <a:schemeClr val="dk1"/>
              </a:solidFill>
              <a:effectLst/>
              <a:latin typeface="+mn-lt"/>
              <a:ea typeface="+mn-ea"/>
              <a:cs typeface="+mn-cs"/>
            </a:rPr>
            <a:t>contrated to be supplier of hipermarkets, </a:t>
          </a:r>
          <a:r>
            <a:rPr lang="en-GB" sz="1100">
              <a:solidFill>
                <a:schemeClr val="dk1"/>
              </a:solidFill>
              <a:effectLst/>
              <a:latin typeface="+mn-lt"/>
              <a:ea typeface="+mn-ea"/>
              <a:cs typeface="+mn-cs"/>
            </a:rPr>
            <a:t>plus they also launched a web shop five years ago. Julian provided half of the capital for the business and has so 50 percent of ownership. Still, based on the articles of association, he only receives 40 percent of the dividend, so Albert, who provided the rest of the capital and acted as a general manager, gets compensated for his additional efforts. He received the additional 10 percent of dividends next to his modest wage (40 percent below the market rates) to make him focus on shareholder value and optimise personal taxes.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The firm faced a hard time recently. Due to the COVID crisis, many lost their jobs, and the boosting energy prices also made a lot of people cut back on their spending on toys. As the firm buys most of its goods from China, the devaluing local currency and the skyrocketing transportation prices pushed down margins radically. However, the current outlook is promising as real wages started to grow during the last month, while the cost of financing is predicted to drop from the next quarter, and FX rates also improved slightly during the last half year.</a:t>
          </a:r>
          <a:endParaRPr lang="hu-HU" sz="1100">
            <a:solidFill>
              <a:schemeClr val="dk1"/>
            </a:solidFill>
            <a:effectLst/>
            <a:latin typeface="+mn-lt"/>
            <a:ea typeface="+mn-ea"/>
            <a:cs typeface="+mn-cs"/>
          </a:endParaRPr>
        </a:p>
        <a:p>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As his son, who married recently, just started to build his own house, and his daughter had her third child born last month, Julian decided to sell his stake and use the inflow to support his family members. Albert is interested in buying the stake in order to sell the 100% package later to a professional investor. The owners already received an offer five years ago, but at that time they had no intention to sell. Julian suspects Albert plans to contact the same investor now, but Albert does not discuss his plans.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Julian wants to see what the fair value of his holding could be. However, he confirms that the performance of the last two years would underestimate the company's abilities. Still, he does not have a good overview of the management practices behind the numbers</a:t>
          </a:r>
          <a:r>
            <a:rPr lang="hu-HU" sz="1100">
              <a:solidFill>
                <a:schemeClr val="dk1"/>
              </a:solidFill>
              <a:effectLst/>
              <a:latin typeface="+mn-lt"/>
              <a:ea typeface="+mn-ea"/>
              <a:cs typeface="+mn-cs"/>
            </a:rPr>
            <a:t>, but is sure that the tax burden will increase</a:t>
          </a:r>
          <a:r>
            <a:rPr lang="en-GB" sz="1100">
              <a:solidFill>
                <a:schemeClr val="dk1"/>
              </a:solidFill>
              <a:effectLst/>
              <a:latin typeface="+mn-lt"/>
              <a:ea typeface="+mn-ea"/>
              <a:cs typeface="+mn-cs"/>
            </a:rPr>
            <a:t>. He would not want to use a DCF for valuing the company as the estimate for the future performance would come from Albert, who is the buyer himself.</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You found some recent similar transactions and also collected information</a:t>
          </a:r>
          <a:r>
            <a:rPr lang="hu-HU" sz="1100" baseline="0">
              <a:solidFill>
                <a:schemeClr val="dk1"/>
              </a:solidFill>
              <a:effectLst/>
              <a:latin typeface="+mn-lt"/>
              <a:ea typeface="+mn-ea"/>
              <a:cs typeface="+mn-cs"/>
            </a:rPr>
            <a:t> from the European stock markets. </a:t>
          </a:r>
          <a:r>
            <a:rPr lang="en-GB" sz="1100">
              <a:solidFill>
                <a:schemeClr val="dk1"/>
              </a:solidFill>
              <a:effectLst/>
              <a:latin typeface="+mn-lt"/>
              <a:ea typeface="+mn-ea"/>
              <a:cs typeface="+mn-cs"/>
            </a:rPr>
            <a:t>Based on the data provided, estimate the likely market price of the Toy Story.</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What would be the value of Julian’s stake?</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What are some of the challenges of the valuation performed?</a:t>
          </a:r>
          <a:endParaRPr lang="hu-HU" sz="1100">
            <a:solidFill>
              <a:schemeClr val="dk1"/>
            </a:solidFill>
            <a:effectLst/>
            <a:latin typeface="+mn-lt"/>
            <a:ea typeface="+mn-ea"/>
            <a:cs typeface="+mn-cs"/>
          </a:endParaRPr>
        </a:p>
        <a:p>
          <a:endParaRPr lang="hu-HU" sz="11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4</xdr:col>
      <xdr:colOff>248556</xdr:colOff>
      <xdr:row>2</xdr:row>
      <xdr:rowOff>143329</xdr:rowOff>
    </xdr:from>
    <xdr:to>
      <xdr:col>13</xdr:col>
      <xdr:colOff>52614</xdr:colOff>
      <xdr:row>17</xdr:row>
      <xdr:rowOff>145143</xdr:rowOff>
    </xdr:to>
    <xdr:sp macro="" textlink="">
      <xdr:nvSpPr>
        <xdr:cNvPr id="2" name="Szövegdoboz 1">
          <a:extLst>
            <a:ext uri="{FF2B5EF4-FFF2-40B4-BE49-F238E27FC236}">
              <a16:creationId xmlns:a16="http://schemas.microsoft.com/office/drawing/2014/main" id="{B6CC255E-22E2-471E-BAC2-6D95461D1E79}"/>
            </a:ext>
          </a:extLst>
        </xdr:cNvPr>
        <xdr:cNvSpPr txBox="1"/>
      </xdr:nvSpPr>
      <xdr:spPr>
        <a:xfrm>
          <a:off x="3671206" y="537029"/>
          <a:ext cx="10199008" cy="2960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4</xdr:col>
      <xdr:colOff>248556</xdr:colOff>
      <xdr:row>2</xdr:row>
      <xdr:rowOff>143329</xdr:rowOff>
    </xdr:from>
    <xdr:to>
      <xdr:col>13</xdr:col>
      <xdr:colOff>52614</xdr:colOff>
      <xdr:row>17</xdr:row>
      <xdr:rowOff>145143</xdr:rowOff>
    </xdr:to>
    <xdr:sp macro="" textlink="">
      <xdr:nvSpPr>
        <xdr:cNvPr id="5" name="Szövegdoboz 1">
          <a:extLst>
            <a:ext uri="{FF2B5EF4-FFF2-40B4-BE49-F238E27FC236}">
              <a16:creationId xmlns:a16="http://schemas.microsoft.com/office/drawing/2014/main" id="{32F1D3DB-F4C2-43EC-A6C4-23145771847A}"/>
            </a:ext>
          </a:extLst>
        </xdr:cNvPr>
        <xdr:cNvSpPr txBox="1"/>
      </xdr:nvSpPr>
      <xdr:spPr>
        <a:xfrm>
          <a:off x="3385456" y="537029"/>
          <a:ext cx="6668408" cy="2960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4</xdr:col>
      <xdr:colOff>248556</xdr:colOff>
      <xdr:row>2</xdr:row>
      <xdr:rowOff>143329</xdr:rowOff>
    </xdr:from>
    <xdr:to>
      <xdr:col>13</xdr:col>
      <xdr:colOff>52614</xdr:colOff>
      <xdr:row>17</xdr:row>
      <xdr:rowOff>145143</xdr:rowOff>
    </xdr:to>
    <xdr:sp macro="" textlink="">
      <xdr:nvSpPr>
        <xdr:cNvPr id="6" name="Szövegdoboz 1">
          <a:extLst>
            <a:ext uri="{FF2B5EF4-FFF2-40B4-BE49-F238E27FC236}">
              <a16:creationId xmlns:a16="http://schemas.microsoft.com/office/drawing/2014/main" id="{09E4CC67-281F-44C9-B264-F95410712240}"/>
            </a:ext>
          </a:extLst>
        </xdr:cNvPr>
        <xdr:cNvSpPr txBox="1"/>
      </xdr:nvSpPr>
      <xdr:spPr>
        <a:xfrm>
          <a:off x="3829956" y="537029"/>
          <a:ext cx="7176408" cy="29609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2</xdr:col>
      <xdr:colOff>800100</xdr:colOff>
      <xdr:row>23</xdr:row>
      <xdr:rowOff>139700</xdr:rowOff>
    </xdr:from>
    <xdr:to>
      <xdr:col>4</xdr:col>
      <xdr:colOff>615950</xdr:colOff>
      <xdr:row>28</xdr:row>
      <xdr:rowOff>158750</xdr:rowOff>
    </xdr:to>
    <xdr:cxnSp macro="">
      <xdr:nvCxnSpPr>
        <xdr:cNvPr id="7" name="Straight Arrow Connector 6">
          <a:extLst>
            <a:ext uri="{FF2B5EF4-FFF2-40B4-BE49-F238E27FC236}">
              <a16:creationId xmlns:a16="http://schemas.microsoft.com/office/drawing/2014/main" id="{080A2D9F-60C7-4893-82B2-C4054BBF0205}"/>
            </a:ext>
          </a:extLst>
        </xdr:cNvPr>
        <xdr:cNvCxnSpPr/>
      </xdr:nvCxnSpPr>
      <xdr:spPr>
        <a:xfrm flipV="1">
          <a:off x="2901950" y="4673600"/>
          <a:ext cx="1295400" cy="100330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38100</xdr:colOff>
      <xdr:row>29</xdr:row>
      <xdr:rowOff>31750</xdr:rowOff>
    </xdr:from>
    <xdr:to>
      <xdr:col>4</xdr:col>
      <xdr:colOff>577850</xdr:colOff>
      <xdr:row>29</xdr:row>
      <xdr:rowOff>31750</xdr:rowOff>
    </xdr:to>
    <xdr:cxnSp macro="">
      <xdr:nvCxnSpPr>
        <xdr:cNvPr id="8" name="Straight Arrow Connector 7">
          <a:extLst>
            <a:ext uri="{FF2B5EF4-FFF2-40B4-BE49-F238E27FC236}">
              <a16:creationId xmlns:a16="http://schemas.microsoft.com/office/drawing/2014/main" id="{84DFBDC6-8661-4861-A99F-0625C7561408}"/>
            </a:ext>
          </a:extLst>
        </xdr:cNvPr>
        <xdr:cNvCxnSpPr/>
      </xdr:nvCxnSpPr>
      <xdr:spPr>
        <a:xfrm>
          <a:off x="2959100" y="5746750"/>
          <a:ext cx="12001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7</xdr:col>
      <xdr:colOff>209550</xdr:colOff>
      <xdr:row>29</xdr:row>
      <xdr:rowOff>12700</xdr:rowOff>
    </xdr:from>
    <xdr:to>
      <xdr:col>9</xdr:col>
      <xdr:colOff>88900</xdr:colOff>
      <xdr:row>29</xdr:row>
      <xdr:rowOff>12700</xdr:rowOff>
    </xdr:to>
    <xdr:cxnSp macro="">
      <xdr:nvCxnSpPr>
        <xdr:cNvPr id="9" name="Straight Arrow Connector 8">
          <a:extLst>
            <a:ext uri="{FF2B5EF4-FFF2-40B4-BE49-F238E27FC236}">
              <a16:creationId xmlns:a16="http://schemas.microsoft.com/office/drawing/2014/main" id="{34D3E6E0-7C11-4987-B4C0-2646F53C68DD}"/>
            </a:ext>
          </a:extLst>
        </xdr:cNvPr>
        <xdr:cNvCxnSpPr/>
      </xdr:nvCxnSpPr>
      <xdr:spPr>
        <a:xfrm>
          <a:off x="6419850" y="5727700"/>
          <a:ext cx="12001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5</xdr:col>
      <xdr:colOff>23518</xdr:colOff>
      <xdr:row>7</xdr:row>
      <xdr:rowOff>152870</xdr:rowOff>
    </xdr:from>
    <xdr:to>
      <xdr:col>19</xdr:col>
      <xdr:colOff>507950</xdr:colOff>
      <xdr:row>16</xdr:row>
      <xdr:rowOff>28221</xdr:rowOff>
    </xdr:to>
    <xdr:sp macro="" textlink="">
      <xdr:nvSpPr>
        <xdr:cNvPr id="3" name="Szövegdoboz 1">
          <a:extLst>
            <a:ext uri="{FF2B5EF4-FFF2-40B4-BE49-F238E27FC236}">
              <a16:creationId xmlns:a16="http://schemas.microsoft.com/office/drawing/2014/main" id="{815B1BCF-D2F9-F246-81FB-75FB342D8ADC}"/>
            </a:ext>
          </a:extLst>
        </xdr:cNvPr>
        <xdr:cNvSpPr txBox="1"/>
      </xdr:nvSpPr>
      <xdr:spPr>
        <a:xfrm>
          <a:off x="4539074" y="1469907"/>
          <a:ext cx="11514617" cy="1580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Assume a venture</a:t>
          </a:r>
          <a:r>
            <a:rPr lang="hu-HU" sz="1400" b="0" baseline="0">
              <a:latin typeface="Times New Roman" panose="02020603050405020304" pitchFamily="18" charset="0"/>
              <a:cs typeface="Times New Roman" panose="02020603050405020304" pitchFamily="18" charset="0"/>
            </a:rPr>
            <a:t> capital fund with a yearly cost of financing of 20%. Their usual investment horizon is 8 years, probability of project success is 25% and the return collected in case of failure is 9%</a:t>
          </a:r>
          <a:r>
            <a:rPr lang="hu-HU" sz="1400" b="0" baseline="0">
              <a:solidFill>
                <a:schemeClr val="dk1"/>
              </a:solidFill>
              <a:latin typeface="Times New Roman" panose="02020603050405020304" pitchFamily="18" charset="0"/>
              <a:ea typeface="+mn-ea"/>
              <a:cs typeface="Times New Roman" panose="02020603050405020304" pitchFamily="18" charset="0"/>
            </a:rPr>
            <a:t> yearly </a:t>
          </a:r>
          <a:r>
            <a:rPr lang="hu-HU" sz="1400" b="0" baseline="0">
              <a:latin typeface="Times New Roman" panose="02020603050405020304" pitchFamily="18" charset="0"/>
              <a:cs typeface="Times New Roman" panose="02020603050405020304" pitchFamily="18" charset="0"/>
            </a:rPr>
            <a:t>for the total investment horizon. What should be the required rate of return for success cases?</a:t>
          </a:r>
        </a:p>
        <a:p>
          <a:pPr algn="just"/>
          <a:r>
            <a:rPr lang="hu-HU" sz="1400" b="0" baseline="0">
              <a:latin typeface="Times New Roman" panose="02020603050405020304" pitchFamily="18" charset="0"/>
              <a:cs typeface="Times New Roman" panose="02020603050405020304" pitchFamily="18" charset="0"/>
            </a:rPr>
            <a:t>Assume the required return is 35% for the success cases. What ownership stake should the venture capital fund have in 8 years time? Are the founders likely to agree?  </a:t>
          </a:r>
          <a:r>
            <a:rPr lang="hu-HU" sz="1400" b="0">
              <a:latin typeface="Times New Roman" panose="02020603050405020304" pitchFamily="18" charset="0"/>
              <a:cs typeface="Times New Roman" panose="02020603050405020304" pitchFamily="18" charset="0"/>
            </a:rPr>
            <a:t>(10 points) </a:t>
          </a:r>
          <a:r>
            <a:rPr lang="hu-HU" sz="1400" b="1">
              <a:solidFill>
                <a:srgbClr val="FF0000"/>
              </a:solidFill>
              <a:latin typeface="Times New Roman" panose="02020603050405020304" pitchFamily="18" charset="0"/>
              <a:cs typeface="Times New Roman" panose="02020603050405020304" pitchFamily="18" charset="0"/>
            </a:rPr>
            <a:t>--&gt; The founders are likely to agree in both cases,</a:t>
          </a:r>
          <a:r>
            <a:rPr lang="hu-HU" sz="1400" b="1" baseline="0">
              <a:solidFill>
                <a:srgbClr val="FF0000"/>
              </a:solidFill>
              <a:latin typeface="Times New Roman" panose="02020603050405020304" pitchFamily="18" charset="0"/>
              <a:cs typeface="Times New Roman" panose="02020603050405020304" pitchFamily="18" charset="0"/>
            </a:rPr>
            <a:t> since the yearly returns in success case are above 30% in both cases, which is higher then both the market reinvestment rate and the financing cost and aslo the returns in case of failure are hihgher then financing and reinvestment rates expect in the first case, where it is around 15%, so agreeing is dependent on risk tolerance.</a:t>
          </a:r>
        </a:p>
        <a:p>
          <a:pPr algn="just"/>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4</xdr:col>
      <xdr:colOff>248556</xdr:colOff>
      <xdr:row>2</xdr:row>
      <xdr:rowOff>143329</xdr:rowOff>
    </xdr:from>
    <xdr:to>
      <xdr:col>13</xdr:col>
      <xdr:colOff>52614</xdr:colOff>
      <xdr:row>17</xdr:row>
      <xdr:rowOff>145143</xdr:rowOff>
    </xdr:to>
    <xdr:sp macro="" textlink="">
      <xdr:nvSpPr>
        <xdr:cNvPr id="2" name="Szövegdoboz 1">
          <a:extLst>
            <a:ext uri="{FF2B5EF4-FFF2-40B4-BE49-F238E27FC236}">
              <a16:creationId xmlns:a16="http://schemas.microsoft.com/office/drawing/2014/main" id="{AD55B4EA-3858-E040-82AD-2B445B630280}"/>
            </a:ext>
          </a:extLst>
        </xdr:cNvPr>
        <xdr:cNvSpPr txBox="1"/>
      </xdr:nvSpPr>
      <xdr:spPr>
        <a:xfrm>
          <a:off x="4096656" y="524329"/>
          <a:ext cx="7500258" cy="2872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4</xdr:col>
      <xdr:colOff>248556</xdr:colOff>
      <xdr:row>2</xdr:row>
      <xdr:rowOff>143329</xdr:rowOff>
    </xdr:from>
    <xdr:to>
      <xdr:col>13</xdr:col>
      <xdr:colOff>52614</xdr:colOff>
      <xdr:row>17</xdr:row>
      <xdr:rowOff>145143</xdr:rowOff>
    </xdr:to>
    <xdr:sp macro="" textlink="">
      <xdr:nvSpPr>
        <xdr:cNvPr id="3" name="Szövegdoboz 1">
          <a:extLst>
            <a:ext uri="{FF2B5EF4-FFF2-40B4-BE49-F238E27FC236}">
              <a16:creationId xmlns:a16="http://schemas.microsoft.com/office/drawing/2014/main" id="{E27A5EA8-6859-B348-A65A-DBE3E8E71F2B}"/>
            </a:ext>
          </a:extLst>
        </xdr:cNvPr>
        <xdr:cNvSpPr txBox="1"/>
      </xdr:nvSpPr>
      <xdr:spPr>
        <a:xfrm>
          <a:off x="4096656" y="524329"/>
          <a:ext cx="7500258" cy="2872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4</xdr:col>
      <xdr:colOff>248556</xdr:colOff>
      <xdr:row>2</xdr:row>
      <xdr:rowOff>143329</xdr:rowOff>
    </xdr:from>
    <xdr:to>
      <xdr:col>13</xdr:col>
      <xdr:colOff>52614</xdr:colOff>
      <xdr:row>17</xdr:row>
      <xdr:rowOff>145143</xdr:rowOff>
    </xdr:to>
    <xdr:sp macro="" textlink="">
      <xdr:nvSpPr>
        <xdr:cNvPr id="4" name="Szövegdoboz 1">
          <a:extLst>
            <a:ext uri="{FF2B5EF4-FFF2-40B4-BE49-F238E27FC236}">
              <a16:creationId xmlns:a16="http://schemas.microsoft.com/office/drawing/2014/main" id="{AF80EE32-C176-2542-8381-B640EEDF3025}"/>
            </a:ext>
          </a:extLst>
        </xdr:cNvPr>
        <xdr:cNvSpPr txBox="1"/>
      </xdr:nvSpPr>
      <xdr:spPr>
        <a:xfrm>
          <a:off x="4096656" y="524329"/>
          <a:ext cx="7500258" cy="2872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2</xdr:col>
      <xdr:colOff>800100</xdr:colOff>
      <xdr:row>23</xdr:row>
      <xdr:rowOff>139700</xdr:rowOff>
    </xdr:from>
    <xdr:to>
      <xdr:col>4</xdr:col>
      <xdr:colOff>615950</xdr:colOff>
      <xdr:row>28</xdr:row>
      <xdr:rowOff>158750</xdr:rowOff>
    </xdr:to>
    <xdr:cxnSp macro="">
      <xdr:nvCxnSpPr>
        <xdr:cNvPr id="5" name="Straight Arrow Connector 4">
          <a:extLst>
            <a:ext uri="{FF2B5EF4-FFF2-40B4-BE49-F238E27FC236}">
              <a16:creationId xmlns:a16="http://schemas.microsoft.com/office/drawing/2014/main" id="{E265739D-972B-0844-A14B-936C6AF81BC7}"/>
            </a:ext>
          </a:extLst>
        </xdr:cNvPr>
        <xdr:cNvCxnSpPr/>
      </xdr:nvCxnSpPr>
      <xdr:spPr>
        <a:xfrm flipV="1">
          <a:off x="3086100" y="4533900"/>
          <a:ext cx="1377950" cy="97155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3</xdr:col>
      <xdr:colOff>38100</xdr:colOff>
      <xdr:row>29</xdr:row>
      <xdr:rowOff>31750</xdr:rowOff>
    </xdr:from>
    <xdr:to>
      <xdr:col>4</xdr:col>
      <xdr:colOff>577850</xdr:colOff>
      <xdr:row>29</xdr:row>
      <xdr:rowOff>31750</xdr:rowOff>
    </xdr:to>
    <xdr:cxnSp macro="">
      <xdr:nvCxnSpPr>
        <xdr:cNvPr id="6" name="Straight Arrow Connector 5">
          <a:extLst>
            <a:ext uri="{FF2B5EF4-FFF2-40B4-BE49-F238E27FC236}">
              <a16:creationId xmlns:a16="http://schemas.microsoft.com/office/drawing/2014/main" id="{AE921C4E-F7AA-2043-864A-D98DFFF63F6C}"/>
            </a:ext>
          </a:extLst>
        </xdr:cNvPr>
        <xdr:cNvCxnSpPr/>
      </xdr:nvCxnSpPr>
      <xdr:spPr>
        <a:xfrm>
          <a:off x="3213100" y="5568950"/>
          <a:ext cx="12128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7</xdr:col>
      <xdr:colOff>209550</xdr:colOff>
      <xdr:row>29</xdr:row>
      <xdr:rowOff>12700</xdr:rowOff>
    </xdr:from>
    <xdr:to>
      <xdr:col>9</xdr:col>
      <xdr:colOff>88900</xdr:colOff>
      <xdr:row>29</xdr:row>
      <xdr:rowOff>12700</xdr:rowOff>
    </xdr:to>
    <xdr:cxnSp macro="">
      <xdr:nvCxnSpPr>
        <xdr:cNvPr id="7" name="Straight Arrow Connector 6">
          <a:extLst>
            <a:ext uri="{FF2B5EF4-FFF2-40B4-BE49-F238E27FC236}">
              <a16:creationId xmlns:a16="http://schemas.microsoft.com/office/drawing/2014/main" id="{93228533-3C39-E745-AA76-79EE8F9D049E}"/>
            </a:ext>
          </a:extLst>
        </xdr:cNvPr>
        <xdr:cNvCxnSpPr/>
      </xdr:nvCxnSpPr>
      <xdr:spPr>
        <a:xfrm>
          <a:off x="6826250" y="5549900"/>
          <a:ext cx="12255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5</xdr:col>
      <xdr:colOff>23518</xdr:colOff>
      <xdr:row>7</xdr:row>
      <xdr:rowOff>152870</xdr:rowOff>
    </xdr:from>
    <xdr:to>
      <xdr:col>19</xdr:col>
      <xdr:colOff>507950</xdr:colOff>
      <xdr:row>16</xdr:row>
      <xdr:rowOff>28221</xdr:rowOff>
    </xdr:to>
    <xdr:sp macro="" textlink="">
      <xdr:nvSpPr>
        <xdr:cNvPr id="8" name="Szövegdoboz 1">
          <a:extLst>
            <a:ext uri="{FF2B5EF4-FFF2-40B4-BE49-F238E27FC236}">
              <a16:creationId xmlns:a16="http://schemas.microsoft.com/office/drawing/2014/main" id="{803AAEDC-F772-1A48-A31D-8193F1977104}"/>
            </a:ext>
          </a:extLst>
        </xdr:cNvPr>
        <xdr:cNvSpPr txBox="1"/>
      </xdr:nvSpPr>
      <xdr:spPr>
        <a:xfrm>
          <a:off x="4544718" y="1486370"/>
          <a:ext cx="11546132" cy="1602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Assume a venture</a:t>
          </a:r>
          <a:r>
            <a:rPr lang="hu-HU" sz="1400" b="0" baseline="0">
              <a:latin typeface="Times New Roman" panose="02020603050405020304" pitchFamily="18" charset="0"/>
              <a:cs typeface="Times New Roman" panose="02020603050405020304" pitchFamily="18" charset="0"/>
            </a:rPr>
            <a:t> capital fund with a yearly cost of financing of 20%. Their usual investment horizon is 8 years, probability of project success is 25% and the return collected in case of failure is 9%</a:t>
          </a:r>
          <a:r>
            <a:rPr lang="hu-HU" sz="1400" b="0" baseline="0">
              <a:solidFill>
                <a:schemeClr val="dk1"/>
              </a:solidFill>
              <a:latin typeface="Times New Roman" panose="02020603050405020304" pitchFamily="18" charset="0"/>
              <a:ea typeface="+mn-ea"/>
              <a:cs typeface="Times New Roman" panose="02020603050405020304" pitchFamily="18" charset="0"/>
            </a:rPr>
            <a:t> yearly </a:t>
          </a:r>
          <a:r>
            <a:rPr lang="hu-HU" sz="1400" b="0" baseline="0">
              <a:latin typeface="Times New Roman" panose="02020603050405020304" pitchFamily="18" charset="0"/>
              <a:cs typeface="Times New Roman" panose="02020603050405020304" pitchFamily="18" charset="0"/>
            </a:rPr>
            <a:t>for the total investment horizon. What should be the required rate of return for success cases?</a:t>
          </a:r>
        </a:p>
        <a:p>
          <a:pPr algn="just"/>
          <a:r>
            <a:rPr lang="hu-HU" sz="1400" b="0" baseline="0">
              <a:latin typeface="Times New Roman" panose="02020603050405020304" pitchFamily="18" charset="0"/>
              <a:cs typeface="Times New Roman" panose="02020603050405020304" pitchFamily="18" charset="0"/>
            </a:rPr>
            <a:t>Assume the required return is 35% for the success cases. What ownership stake should the venture capital fund have in 8 years time? Are the founders likely to agree?  </a:t>
          </a:r>
          <a:r>
            <a:rPr lang="hu-HU" sz="1400" b="0">
              <a:latin typeface="Times New Roman" panose="02020603050405020304" pitchFamily="18" charset="0"/>
              <a:cs typeface="Times New Roman" panose="02020603050405020304" pitchFamily="18" charset="0"/>
            </a:rPr>
            <a:t>(10 points) </a:t>
          </a:r>
          <a:r>
            <a:rPr lang="hu-HU" sz="1400" b="1">
              <a:solidFill>
                <a:srgbClr val="FF0000"/>
              </a:solidFill>
              <a:latin typeface="Times New Roman" panose="02020603050405020304" pitchFamily="18" charset="0"/>
              <a:cs typeface="Times New Roman" panose="02020603050405020304" pitchFamily="18" charset="0"/>
            </a:rPr>
            <a:t>--&gt; The founders are likely to agree in both cases,</a:t>
          </a:r>
          <a:r>
            <a:rPr lang="hu-HU" sz="1400" b="1" baseline="0">
              <a:solidFill>
                <a:srgbClr val="FF0000"/>
              </a:solidFill>
              <a:latin typeface="Times New Roman" panose="02020603050405020304" pitchFamily="18" charset="0"/>
              <a:cs typeface="Times New Roman" panose="02020603050405020304" pitchFamily="18" charset="0"/>
            </a:rPr>
            <a:t> since the yearly returns in success case are above 30% in both cases, which is higher then both the market reinvestment rate and the financing cost and aslo the returns in case of failure are hihgher then financing and reinvestment rates expect in the first case, where it is around 15%, so agreeing is dependent on risk tolerance.</a:t>
          </a:r>
        </a:p>
        <a:p>
          <a:pPr algn="just"/>
          <a:endParaRPr lang="hu-HU" sz="1400" b="0">
            <a:latin typeface="Times New Roman" panose="02020603050405020304" pitchFamily="18"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corvinus-my.sharepoint.com/Users/b/Desktop/ABV2Exam_Moi.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unicorvinus-my.sharepoint.com/personal/kristina_pustoselova_stud_uni-corvinus_hu/Documents/Valuation/Exam/Templates_Aya.xlsx" TargetMode="External"/><Relationship Id="rId1" Type="http://schemas.openxmlformats.org/officeDocument/2006/relationships/externalLinkPath" Target="https://unicorvinus-my.sharepoint.com/personal/kristina_pustoselova_stud_uni-corvinus_hu/Documents/Valuation/Exam/Templates_Ay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corvinus-my.sharepoint.com/Users/b/Desktop/Year-End/AppBusinessValuation3Exam%20task%20solv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Page"/>
      <sheetName val="Admin"/>
      <sheetName val="Task 1"/>
      <sheetName val="Task 2"/>
      <sheetName val="Task 3"/>
      <sheetName val="Task 4"/>
      <sheetName val="Task 5"/>
      <sheetName val="Task 6"/>
    </sheetNames>
    <sheetDataSet>
      <sheetData sheetId="0" refreshError="1"/>
      <sheetData sheetId="1" refreshError="1">
        <row r="12">
          <cell r="C12" t="str">
            <v>Date</v>
          </cell>
          <cell r="D12">
            <v>44201</v>
          </cell>
        </row>
        <row r="13">
          <cell r="C13" t="str">
            <v>Student name</v>
          </cell>
          <cell r="D13" t="str">
            <v>Balsam Khalaf</v>
          </cell>
        </row>
        <row r="14">
          <cell r="C14" t="str">
            <v>Neptun code</v>
          </cell>
          <cell r="D14" t="str">
            <v>HA86QX</v>
          </cell>
        </row>
        <row r="16">
          <cell r="C16" t="str">
            <v>Study program</v>
          </cell>
          <cell r="D16" t="str">
            <v>Master in Finance</v>
          </cell>
        </row>
        <row r="17">
          <cell r="C17" t="str">
            <v>Instructor</v>
          </cell>
          <cell r="D17" t="str">
            <v>Péter Juhász, PhD, CFA</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 Stat + Valuation Template"/>
      <sheetName val="Debt (Bond or Loan)"/>
      <sheetName val="BCF Template"/>
      <sheetName val="BCF1"/>
      <sheetName val="BCF2"/>
      <sheetName val="BCF3"/>
      <sheetName val="BCF4"/>
      <sheetName val="Multiples"/>
      <sheetName val="Asset Based"/>
      <sheetName val="Sheet1"/>
      <sheetName val="1"/>
      <sheetName val="2"/>
      <sheetName val="3"/>
      <sheetName val="4"/>
      <sheetName val="5"/>
      <sheetName val="6"/>
      <sheetName val="7"/>
      <sheetName val="8"/>
      <sheetName val="Task 2"/>
      <sheetName val="Task4"/>
      <sheetName val="Financial Statements"/>
      <sheetName val="Task 1 "/>
      <sheetName val="Task 1 my Solution"/>
      <sheetName val="Task 3 with Solution"/>
      <sheetName val="Task 3 my Solution"/>
      <sheetName val="Individual purchase"/>
      <sheetName val="Business purchase"/>
      <sheetName val="Yearly Rental fee"/>
      <sheetName val="Buy Rental + GoesOnline"/>
      <sheetName val="Task2"/>
      <sheetName val="Task2 My Solu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Page"/>
      <sheetName val="Admin"/>
      <sheetName val="Task 1"/>
      <sheetName val="Task 2"/>
      <sheetName val="Task 3"/>
      <sheetName val="Task 4"/>
      <sheetName val="Task 5"/>
    </sheetNames>
    <sheetDataSet>
      <sheetData sheetId="0" refreshError="1"/>
      <sheetData sheetId="1" refreshError="1">
        <row r="12">
          <cell r="C12" t="str">
            <v>Date</v>
          </cell>
          <cell r="D12">
            <v>44208</v>
          </cell>
        </row>
        <row r="13">
          <cell r="C13" t="str">
            <v>Student name</v>
          </cell>
          <cell r="D13" t="str">
            <v>Sam Sample</v>
          </cell>
        </row>
        <row r="14">
          <cell r="C14" t="str">
            <v>Neptun code</v>
          </cell>
          <cell r="D14" t="str">
            <v>ABCD1234</v>
          </cell>
        </row>
        <row r="16">
          <cell r="C16" t="str">
            <v>Study program</v>
          </cell>
          <cell r="D16" t="str">
            <v>Master in Finance</v>
          </cell>
        </row>
        <row r="17">
          <cell r="C17" t="str">
            <v>Instructor</v>
          </cell>
          <cell r="D17" t="str">
            <v>Péter Juhász, PhD, CFA</v>
          </cell>
        </row>
      </sheetData>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Musa Bleta" id="{2F598E5D-65F8-4633-BABE-DA68329D1A30}" userId="Musa Bleta" providerId="None"/>
  <person displayName="Pustoselova Kristina" id="{35556A6C-6896-4678-8D79-0E3F3537D4B6}" userId="S::kristina.pustoselova@stud.uni-corvinus.hu::de50e634-225d-48c0-a822-5e13b36e7f3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7" dT="2021-12-18T20:55:32.13" personId="{2F598E5D-65F8-4633-BABE-DA68329D1A30}" id="{C37805B6-96C6-4356-B161-EFD2ABF9DDF2}">
    <text>K for TV is calculated as g/RONIC</text>
  </threadedComment>
</ThreadedComments>
</file>

<file path=xl/threadedComments/threadedComment2.xml><?xml version="1.0" encoding="utf-8"?>
<ThreadedComments xmlns="http://schemas.microsoft.com/office/spreadsheetml/2018/threadedcomments" xmlns:x="http://schemas.openxmlformats.org/spreadsheetml/2006/main">
  <threadedComment ref="F20" dT="2023-12-12T15:48:14.53" personId="{35556A6C-6896-4678-8D79-0E3F3537D4B6}" id="{F81AC6B3-279B-4701-BA27-C5E5717A72D6}">
    <text xml:space="preserve">Post additional investmen tin year 2 of 100
</text>
  </threadedComment>
  <threadedComment ref="G20" dT="2023-12-12T15:03:30.00" personId="{35556A6C-6896-4678-8D79-0E3F3537D4B6}" id="{A639A6AB-0DC1-4F6C-A458-95DA2D1B4953}">
    <text xml:space="preserve">4 years (6 yeat -2 years=T-t)
</text>
  </threadedComment>
  <threadedComment ref="C23" dT="2023-12-12T15:50:13.87" personId="{35556A6C-6896-4678-8D79-0E3F3537D4B6}" id="{839731B5-6D01-4A6C-BA47-0E9C98CED09D}">
    <text xml:space="preserve">Cleared from investment of 70
</text>
  </threadedComment>
  <threadedComment ref="F23" dT="2023-12-12T15:48:50.14" personId="{35556A6C-6896-4678-8D79-0E3F3537D4B6}" id="{DA8EB089-902E-4ACF-B29F-C3873963A15D}">
    <text xml:space="preserve">Cleared from 100 investment in year 2
</text>
  </threadedComment>
  <threadedComment ref="K24" dT="2023-12-12T15:01:42.66" personId="{35556A6C-6896-4678-8D79-0E3F3537D4B6}" id="{A6CE7952-9134-4030-86B8-C73D79BF6796}">
    <text xml:space="preserve">Equity in 6 years
</text>
  </threadedComment>
  <threadedComment ref="F25" dT="2023-12-12T15:35:49.65" personId="{35556A6C-6896-4678-8D79-0E3F3537D4B6}" id="{A74D2B74-0EFA-4724-B06D-A8AC179F901C}">
    <text>In year 6 it will be the same cuz there are no additonal investments</text>
  </threadedComment>
  <threadedComment ref="C26" dT="2023-12-12T15:49:31.42" personId="{35556A6C-6896-4678-8D79-0E3F3537D4B6}" id="{53E866A9-B3D1-41BB-B320-DFB227811687}">
    <text xml:space="preserve">After 70 invesement pre money of year two discounted to money value of year 0
</text>
  </threadedComment>
  <threadedComment ref="K26" dT="2023-12-12T15:35:49.65" personId="{35556A6C-6896-4678-8D79-0E3F3537D4B6}" id="{F9A38A85-841C-4F78-A3A6-3B2104F14E7F}">
    <text>In year 6 it will be the same cuz there are no additonal investments</text>
  </threadedComment>
  <threadedComment ref="D27" dT="2023-12-12T14:56:46.75" personId="{35556A6C-6896-4678-8D79-0E3F3537D4B6}" id="{C48C5C26-9D6C-473E-B5E9-CAFC6A7FC984}">
    <text xml:space="preserve">Probability of succeeding </text>
  </threadedComment>
  <threadedComment ref="B28" dT="2023-12-12T15:06:33.97" personId="{35556A6C-6896-4678-8D79-0E3F3537D4B6}" id="{5806763F-DD19-4F2A-A676-DAED609A9053}">
    <text xml:space="preserve">If we fail one year we liquidate 90% - 18
</text>
  </threadedComment>
  <threadedComment ref="C30" dT="2023-12-12T15:27:47.48" personId="{35556A6C-6896-4678-8D79-0E3F3537D4B6}" id="{5AED92A4-8D83-4EF1-AD97-7732FEB20394}">
    <text xml:space="preserve">Stake guess was put randomly, we have used solved by setting the difference of two guessed stakes at 0 by adjusting value of the first random stake 
</text>
  </threadedComment>
  <threadedComment ref="D30" dT="2023-12-12T14:56:23.20" personId="{35556A6C-6896-4678-8D79-0E3F3537D4B6}" id="{2036D0EF-AC00-4245-ADAE-92EB3E155BF1}">
    <text xml:space="preserve">Probability of failing
</text>
  </threadedComment>
  <threadedComment ref="A31" dT="2023-12-12T15:37:16.52" personId="{35556A6C-6896-4678-8D79-0E3F3537D4B6}" id="{1F96FB70-86B0-430C-BB24-243363B8BC88}">
    <text xml:space="preserve">Founders stake decreased from 46% to 33% in the year two because of the loan investment, but in the year 6 it doesn’t change because there are no extra invesments
</text>
  </threadedComment>
</ThreadedComments>
</file>

<file path=xl/threadedComments/threadedComment3.xml><?xml version="1.0" encoding="utf-8"?>
<ThreadedComments xmlns="http://schemas.microsoft.com/office/spreadsheetml/2018/threadedcomments" xmlns:x="http://schemas.openxmlformats.org/spreadsheetml/2006/main">
  <threadedComment ref="F20" dT="2023-12-12T15:48:14.53" personId="{35556A6C-6896-4678-8D79-0E3F3537D4B6}" id="{11F87208-7732-024C-8CA4-434EC8B67A2F}">
    <text xml:space="preserve">Post additional investmen tin year 2 of 100
</text>
  </threadedComment>
  <threadedComment ref="G20" dT="2023-12-12T15:03:30.00" personId="{35556A6C-6896-4678-8D79-0E3F3537D4B6}" id="{E5C88671-681B-AC44-9DE2-003E78EEE78A}">
    <text xml:space="preserve">4 years (6 yeat -2 years=T-t)
</text>
  </threadedComment>
  <threadedComment ref="C23" dT="2023-12-12T15:50:13.87" personId="{35556A6C-6896-4678-8D79-0E3F3537D4B6}" id="{18EF5F9B-9D39-D041-96AA-A08063990ABD}">
    <text xml:space="preserve">Cleared from investment of 70
</text>
  </threadedComment>
  <threadedComment ref="F23" dT="2023-12-12T15:48:50.14" personId="{35556A6C-6896-4678-8D79-0E3F3537D4B6}" id="{E28A78DE-0391-7C4A-8861-234F3087EB95}">
    <text xml:space="preserve">Cleared from 100 investment in year 2
</text>
  </threadedComment>
  <threadedComment ref="K24" dT="2023-12-12T15:01:42.66" personId="{35556A6C-6896-4678-8D79-0E3F3537D4B6}" id="{759E4699-AC92-6542-9FD8-25E2DB8582C3}">
    <text xml:space="preserve">Equity in 6 years
</text>
  </threadedComment>
  <threadedComment ref="F25" dT="2023-12-12T15:35:49.65" personId="{35556A6C-6896-4678-8D79-0E3F3537D4B6}" id="{7DF731AE-8BE8-384C-8953-ECA7A33D6216}">
    <text>In year 6 it will be the same cuz there are no additonal investments</text>
  </threadedComment>
  <threadedComment ref="C26" dT="2023-12-12T15:49:31.42" personId="{35556A6C-6896-4678-8D79-0E3F3537D4B6}" id="{4560FA49-54BA-BD41-B0DC-3C02419FFFAE}">
    <text xml:space="preserve">After 70 invesement pre money of year two discounted to money value of year 0
</text>
  </threadedComment>
  <threadedComment ref="K26" dT="2023-12-12T15:35:49.65" personId="{35556A6C-6896-4678-8D79-0E3F3537D4B6}" id="{A419846E-4E07-B140-8B72-B8DA500CAD80}">
    <text>In year 6 it will be the same cuz there are no additonal investments</text>
  </threadedComment>
  <threadedComment ref="D27" dT="2023-12-12T14:56:46.75" personId="{35556A6C-6896-4678-8D79-0E3F3537D4B6}" id="{64AF6EC5-5B1E-724F-A9CE-F1D549514B64}">
    <text xml:space="preserve">Probability of succeeding </text>
  </threadedComment>
  <threadedComment ref="B28" dT="2023-12-12T15:06:33.97" personId="{35556A6C-6896-4678-8D79-0E3F3537D4B6}" id="{01C9B77D-11B8-844E-A593-DABE91A4183B}">
    <text xml:space="preserve">If we fail one year we liquidate 90% - 18
</text>
  </threadedComment>
  <threadedComment ref="C30" dT="2023-12-12T15:27:47.48" personId="{35556A6C-6896-4678-8D79-0E3F3537D4B6}" id="{28354B43-F9AB-514E-99C0-2AC6DB2C519B}">
    <text xml:space="preserve">Stake guess was put randomly, we have used solved by setting the difference of two guessed stakes at 0 by adjusting value of the first random stake 
</text>
  </threadedComment>
  <threadedComment ref="D30" dT="2023-12-12T14:56:23.20" personId="{35556A6C-6896-4678-8D79-0E3F3537D4B6}" id="{F5A54133-7F02-0A4C-A876-6461A24B149D}">
    <text xml:space="preserve">Probability of failing
</text>
  </threadedComment>
  <threadedComment ref="A31" dT="2023-12-12T15:37:16.52" personId="{35556A6C-6896-4678-8D79-0E3F3537D4B6}" id="{994E7130-D72C-5B4C-9375-C2E54C431B3B}">
    <text xml:space="preserve">Founders stake decreased from 46% to 33% in the year two because of the loan investment, but in the year 6 it doesn’t change because there are no extra invesments
</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4.xml"/><Relationship Id="rId4" Type="http://schemas.microsoft.com/office/2017/10/relationships/threadedComment" Target="../threadedComments/threadedComment2.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5.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workbookViewId="0">
      <selection activeCell="C12" sqref="C12"/>
    </sheetView>
  </sheetViews>
  <sheetFormatPr baseColWidth="10" defaultColWidth="8.83203125" defaultRowHeight="15"/>
  <cols>
    <col min="1" max="1" width="13" customWidth="1"/>
    <col min="2" max="2" width="22.5" bestFit="1" customWidth="1"/>
    <col min="3" max="3" width="14" customWidth="1"/>
  </cols>
  <sheetData>
    <row r="1" spans="1:5" ht="18">
      <c r="A1" s="337" t="s">
        <v>0</v>
      </c>
      <c r="B1" s="337" t="s">
        <v>1</v>
      </c>
      <c r="C1" s="337" t="s">
        <v>2</v>
      </c>
      <c r="D1" s="338"/>
      <c r="E1" s="338"/>
    </row>
    <row r="2" spans="1:5" ht="18">
      <c r="A2" s="27">
        <v>1</v>
      </c>
      <c r="B2" s="27" t="s">
        <v>3</v>
      </c>
      <c r="C2" s="26" t="s">
        <v>4</v>
      </c>
    </row>
    <row r="3" spans="1:5" ht="18">
      <c r="A3" s="27">
        <v>2</v>
      </c>
      <c r="B3" s="26" t="s">
        <v>5</v>
      </c>
      <c r="C3" s="59" t="s">
        <v>6</v>
      </c>
    </row>
    <row r="4" spans="1:5" ht="18">
      <c r="A4" s="27">
        <v>3</v>
      </c>
      <c r="B4" s="26" t="s">
        <v>7</v>
      </c>
      <c r="C4" s="60" t="s">
        <v>8</v>
      </c>
    </row>
    <row r="5" spans="1:5" ht="18">
      <c r="A5" s="27">
        <v>4</v>
      </c>
      <c r="B5" s="26" t="s">
        <v>9</v>
      </c>
      <c r="C5" s="59" t="s">
        <v>10</v>
      </c>
    </row>
    <row r="6" spans="1:5" ht="18">
      <c r="A6" s="27">
        <v>5</v>
      </c>
      <c r="B6" s="26" t="s">
        <v>11</v>
      </c>
      <c r="C6" s="59"/>
    </row>
    <row r="7" spans="1:5" ht="18">
      <c r="A7" s="27"/>
      <c r="B7" s="26" t="s">
        <v>12</v>
      </c>
      <c r="C7" s="59"/>
    </row>
    <row r="8" spans="1:5" ht="18">
      <c r="A8" s="337" t="s">
        <v>13</v>
      </c>
      <c r="B8" s="339"/>
      <c r="C8" s="340"/>
      <c r="D8" s="338"/>
      <c r="E8" s="338"/>
    </row>
    <row r="9" spans="1:5" ht="18">
      <c r="A9" s="27">
        <v>6</v>
      </c>
      <c r="B9" s="27" t="s">
        <v>14</v>
      </c>
      <c r="C9" s="26" t="s">
        <v>15</v>
      </c>
    </row>
    <row r="10" spans="1:5" ht="18">
      <c r="A10" s="27">
        <v>7</v>
      </c>
      <c r="B10" s="27" t="s">
        <v>16</v>
      </c>
      <c r="C10" s="26"/>
    </row>
    <row r="11" spans="1:5" ht="18">
      <c r="A11" s="27">
        <v>8</v>
      </c>
      <c r="B11" s="27" t="s">
        <v>17</v>
      </c>
      <c r="C11" s="26"/>
    </row>
    <row r="12" spans="1:5" ht="18">
      <c r="A12" s="27">
        <v>9</v>
      </c>
      <c r="B12" s="27" t="s">
        <v>18</v>
      </c>
      <c r="C12" s="26"/>
    </row>
    <row r="13" spans="1:5" ht="18">
      <c r="A13" s="27"/>
      <c r="B13" s="27"/>
      <c r="C13" s="26"/>
    </row>
    <row r="14" spans="1:5" ht="18">
      <c r="A14" s="27"/>
      <c r="B14" s="27"/>
      <c r="C14" s="26"/>
    </row>
    <row r="15" spans="1:5" ht="18">
      <c r="A15" s="27"/>
      <c r="B15" s="27"/>
      <c r="C15" s="26"/>
    </row>
    <row r="16" spans="1:5" ht="18">
      <c r="A16" s="27"/>
      <c r="B16" s="27"/>
      <c r="C16" s="26"/>
    </row>
    <row r="17" spans="1:3" ht="18">
      <c r="A17" s="27"/>
      <c r="B17" s="27"/>
      <c r="C17"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9A64D-07E2-432C-9BCA-84944EED0276}">
  <dimension ref="B8:F83"/>
  <sheetViews>
    <sheetView workbookViewId="0">
      <selection activeCell="E62" sqref="E62"/>
    </sheetView>
  </sheetViews>
  <sheetFormatPr baseColWidth="10" defaultColWidth="8.83203125" defaultRowHeight="15"/>
  <cols>
    <col min="2" max="2" width="22.6640625" bestFit="1" customWidth="1"/>
    <col min="3" max="3" width="42.5" bestFit="1" customWidth="1"/>
    <col min="4" max="4" width="9.5" bestFit="1" customWidth="1"/>
    <col min="5" max="6" width="11.83203125" bestFit="1" customWidth="1"/>
  </cols>
  <sheetData>
    <row r="8" spans="2:3" ht="16" thickBot="1"/>
    <row r="9" spans="2:3" ht="21" thickBot="1">
      <c r="B9" s="1" t="s">
        <v>19</v>
      </c>
      <c r="C9" s="2"/>
    </row>
    <row r="17" spans="3:6" ht="16" thickBot="1"/>
    <row r="18" spans="3:6" ht="17" thickBot="1">
      <c r="C18" s="3"/>
      <c r="D18" s="4">
        <f ca="1">+E18-1</f>
        <v>2021</v>
      </c>
      <c r="E18" s="4">
        <f ca="1">+F18-1</f>
        <v>2022</v>
      </c>
      <c r="F18" s="4">
        <f ca="1">+YEAR(TODAY())-1</f>
        <v>2023</v>
      </c>
    </row>
    <row r="19" spans="3:6" ht="17" thickBot="1">
      <c r="C19" s="5" t="s">
        <v>20</v>
      </c>
      <c r="D19" s="6">
        <v>19000</v>
      </c>
      <c r="E19" s="6">
        <v>22000</v>
      </c>
      <c r="F19" s="6">
        <v>25000</v>
      </c>
    </row>
    <row r="20" spans="3:6" ht="17" thickBot="1">
      <c r="C20" s="5" t="s">
        <v>21</v>
      </c>
      <c r="D20" s="6">
        <v>0</v>
      </c>
      <c r="E20" s="6">
        <v>500</v>
      </c>
      <c r="F20" s="6">
        <v>0</v>
      </c>
    </row>
    <row r="21" spans="3:6" ht="17" thickBot="1">
      <c r="C21" s="5" t="s">
        <v>22</v>
      </c>
      <c r="D21" s="6">
        <v>10000</v>
      </c>
      <c r="E21" s="6">
        <v>12000</v>
      </c>
      <c r="F21" s="6">
        <v>13000</v>
      </c>
    </row>
    <row r="22" spans="3:6" ht="17" thickBot="1">
      <c r="C22" s="5" t="s">
        <v>23</v>
      </c>
      <c r="D22" s="6">
        <v>5000</v>
      </c>
      <c r="E22" s="6">
        <v>6000</v>
      </c>
      <c r="F22" s="6">
        <v>7000</v>
      </c>
    </row>
    <row r="23" spans="3:6" ht="17" thickBot="1">
      <c r="C23" s="5" t="s">
        <v>24</v>
      </c>
      <c r="D23" s="6">
        <v>2000</v>
      </c>
      <c r="E23" s="6">
        <v>2300</v>
      </c>
      <c r="F23" s="6">
        <v>2500</v>
      </c>
    </row>
    <row r="24" spans="3:6" ht="17" thickBot="1">
      <c r="C24" s="7" t="s">
        <v>25</v>
      </c>
      <c r="D24" s="8">
        <f>+D19+D20-D21-D22-D23</f>
        <v>2000</v>
      </c>
      <c r="E24" s="8">
        <f t="shared" ref="E24:F24" si="0">+E19+E20-E21-E22-E23</f>
        <v>2200</v>
      </c>
      <c r="F24" s="8">
        <f t="shared" si="0"/>
        <v>2500</v>
      </c>
    </row>
    <row r="25" spans="3:6" ht="17" thickBot="1">
      <c r="C25" s="5" t="s">
        <v>26</v>
      </c>
      <c r="D25" s="6">
        <v>100</v>
      </c>
      <c r="E25" s="6">
        <v>60</v>
      </c>
      <c r="F25" s="6">
        <v>0</v>
      </c>
    </row>
    <row r="26" spans="3:6" ht="17" thickBot="1">
      <c r="C26" s="5" t="s">
        <v>27</v>
      </c>
      <c r="D26" s="6">
        <v>0</v>
      </c>
      <c r="E26" s="6">
        <v>0</v>
      </c>
      <c r="F26" s="6">
        <v>10</v>
      </c>
    </row>
    <row r="27" spans="3:6" ht="17" thickBot="1">
      <c r="C27" s="5" t="s">
        <v>28</v>
      </c>
      <c r="D27" s="6">
        <v>30</v>
      </c>
      <c r="E27" s="6">
        <v>20</v>
      </c>
      <c r="F27" s="6">
        <v>10</v>
      </c>
    </row>
    <row r="28" spans="3:6" ht="17" thickBot="1">
      <c r="C28" s="5" t="s">
        <v>29</v>
      </c>
      <c r="D28" s="6">
        <v>200</v>
      </c>
      <c r="E28" s="6">
        <v>250</v>
      </c>
      <c r="F28" s="6">
        <v>300</v>
      </c>
    </row>
    <row r="29" spans="3:6" ht="17" thickBot="1">
      <c r="C29" s="7" t="s">
        <v>30</v>
      </c>
      <c r="D29" s="8">
        <f t="shared" ref="D29" si="1">+D25+D26-D27-D28</f>
        <v>-130</v>
      </c>
      <c r="E29" s="8">
        <f>+E25+E26-E27-E28</f>
        <v>-210</v>
      </c>
      <c r="F29" s="8">
        <f>+F25+F26-F27-F28</f>
        <v>-300</v>
      </c>
    </row>
    <row r="30" spans="3:6" ht="17" thickBot="1">
      <c r="C30" s="5" t="s">
        <v>31</v>
      </c>
      <c r="D30" s="6">
        <f>+D29+D24</f>
        <v>1870</v>
      </c>
      <c r="E30" s="6">
        <f>+E29+E24</f>
        <v>1990</v>
      </c>
      <c r="F30" s="6">
        <f t="shared" ref="F30" si="2">+F29+F24</f>
        <v>2200</v>
      </c>
    </row>
    <row r="31" spans="3:6" ht="17" thickBot="1">
      <c r="C31" s="5" t="s">
        <v>32</v>
      </c>
      <c r="D31" s="6">
        <v>300</v>
      </c>
      <c r="E31" s="6">
        <v>330</v>
      </c>
      <c r="F31" s="6">
        <v>370</v>
      </c>
    </row>
    <row r="32" spans="3:6" ht="17" thickBot="1">
      <c r="C32" s="7" t="s">
        <v>33</v>
      </c>
      <c r="D32" s="8">
        <f>+D30-D31</f>
        <v>1570</v>
      </c>
      <c r="E32" s="8">
        <f t="shared" ref="E32:F32" si="3">+E30-E31</f>
        <v>1660</v>
      </c>
      <c r="F32" s="8">
        <f t="shared" si="3"/>
        <v>1830</v>
      </c>
    </row>
    <row r="33" spans="3:6" ht="17" thickBot="1">
      <c r="C33" s="5" t="s">
        <v>34</v>
      </c>
      <c r="D33" s="6">
        <v>1000</v>
      </c>
      <c r="E33" s="6">
        <v>1200</v>
      </c>
      <c r="F33" s="6">
        <v>1400</v>
      </c>
    </row>
    <row r="34" spans="3:6" ht="17" thickBot="1">
      <c r="C34" s="5" t="s">
        <v>35</v>
      </c>
      <c r="D34" s="6">
        <f>+D32-D33</f>
        <v>570</v>
      </c>
      <c r="E34" s="6">
        <f t="shared" ref="E34:F34" si="4">+E32-E33</f>
        <v>460</v>
      </c>
      <c r="F34" s="6">
        <f t="shared" si="4"/>
        <v>430</v>
      </c>
    </row>
    <row r="35" spans="3:6" ht="17" thickBot="1">
      <c r="C35" s="9"/>
      <c r="D35" s="10"/>
      <c r="E35" s="10"/>
      <c r="F35" s="10"/>
    </row>
    <row r="36" spans="3:6" ht="17" thickBot="1">
      <c r="C36" s="5" t="s">
        <v>36</v>
      </c>
      <c r="D36" s="6">
        <v>500</v>
      </c>
      <c r="E36" s="6">
        <v>600</v>
      </c>
      <c r="F36" s="6">
        <v>400</v>
      </c>
    </row>
    <row r="37" spans="3:6" ht="17" thickBot="1">
      <c r="C37" s="5" t="s">
        <v>37</v>
      </c>
      <c r="D37" s="6">
        <v>200</v>
      </c>
      <c r="E37" s="6">
        <v>220</v>
      </c>
      <c r="F37" s="6">
        <v>250</v>
      </c>
    </row>
    <row r="38" spans="3:6" ht="17" thickBot="1">
      <c r="C38" s="5" t="s">
        <v>38</v>
      </c>
      <c r="D38" s="6">
        <v>0</v>
      </c>
      <c r="E38" s="6">
        <v>50</v>
      </c>
      <c r="F38" s="6">
        <v>40</v>
      </c>
    </row>
    <row r="39" spans="3:6" ht="17" thickBot="1">
      <c r="C39" s="5" t="s">
        <v>39</v>
      </c>
      <c r="D39" s="6">
        <v>600</v>
      </c>
      <c r="E39" s="6">
        <v>800</v>
      </c>
      <c r="F39" s="6">
        <v>1000</v>
      </c>
    </row>
    <row r="40" spans="3:6" ht="17" thickBot="1">
      <c r="C40" s="5" t="s">
        <v>40</v>
      </c>
      <c r="D40" s="6">
        <v>400</v>
      </c>
      <c r="E40" s="6">
        <v>500</v>
      </c>
      <c r="F40" s="6">
        <v>450</v>
      </c>
    </row>
    <row r="41" spans="3:6" ht="17" thickBot="1">
      <c r="C41" s="7" t="s">
        <v>41</v>
      </c>
      <c r="D41" s="11">
        <f>+D36+D38+D39+D40</f>
        <v>1500</v>
      </c>
      <c r="E41" s="11">
        <f t="shared" ref="E41:F41" si="5">+E36+E38+E39+E40</f>
        <v>1950</v>
      </c>
      <c r="F41" s="11">
        <f t="shared" si="5"/>
        <v>1890</v>
      </c>
    </row>
    <row r="42" spans="3:6" ht="17" thickBot="1">
      <c r="C42" s="5" t="s">
        <v>42</v>
      </c>
      <c r="D42" s="6">
        <v>15000</v>
      </c>
      <c r="E42" s="6">
        <v>20000</v>
      </c>
      <c r="F42" s="6">
        <v>19500</v>
      </c>
    </row>
    <row r="43" spans="3:6" ht="17" thickBot="1">
      <c r="C43" s="7" t="s">
        <v>43</v>
      </c>
      <c r="D43" s="8">
        <f>+D42+D41</f>
        <v>16500</v>
      </c>
      <c r="E43" s="8">
        <f t="shared" ref="E43:F43" si="6">+E42+E41</f>
        <v>21950</v>
      </c>
      <c r="F43" s="8">
        <f t="shared" si="6"/>
        <v>21390</v>
      </c>
    </row>
    <row r="44" spans="3:6" ht="17" thickBot="1">
      <c r="C44" s="5" t="s">
        <v>44</v>
      </c>
      <c r="D44" s="6">
        <v>300</v>
      </c>
      <c r="E44" s="6">
        <v>200</v>
      </c>
      <c r="F44" s="6">
        <v>250</v>
      </c>
    </row>
    <row r="45" spans="3:6" ht="17" thickBot="1">
      <c r="C45" s="5" t="s">
        <v>45</v>
      </c>
      <c r="D45" s="6">
        <v>300</v>
      </c>
      <c r="E45" s="6">
        <v>240</v>
      </c>
      <c r="F45" s="6">
        <v>450</v>
      </c>
    </row>
    <row r="46" spans="3:6" ht="17" thickBot="1">
      <c r="C46" s="7" t="s">
        <v>46</v>
      </c>
      <c r="D46" s="8">
        <f>+D44+D45</f>
        <v>600</v>
      </c>
      <c r="E46" s="8">
        <f t="shared" ref="E46:F46" si="7">+E44+E45</f>
        <v>440</v>
      </c>
      <c r="F46" s="8">
        <f t="shared" si="7"/>
        <v>700</v>
      </c>
    </row>
    <row r="47" spans="3:6" ht="17" thickBot="1">
      <c r="C47" s="5" t="s">
        <v>47</v>
      </c>
      <c r="D47" s="6">
        <v>5000</v>
      </c>
      <c r="E47" s="6">
        <v>6000</v>
      </c>
      <c r="F47" s="6">
        <v>7000</v>
      </c>
    </row>
    <row r="48" spans="3:6" ht="17" thickBot="1">
      <c r="C48" s="5" t="s">
        <v>48</v>
      </c>
      <c r="D48" s="6">
        <f>+D43-D46-D47</f>
        <v>10900</v>
      </c>
      <c r="E48" s="6">
        <f t="shared" ref="E48:F48" si="8">+E43-E46-E47</f>
        <v>15510</v>
      </c>
      <c r="F48" s="6">
        <f t="shared" si="8"/>
        <v>13690</v>
      </c>
    </row>
    <row r="49" spans="2:6" ht="17" thickBot="1">
      <c r="C49" s="7" t="s">
        <v>49</v>
      </c>
      <c r="D49" s="8">
        <f>+D46+D47+D48</f>
        <v>16500</v>
      </c>
      <c r="E49" s="8">
        <f t="shared" ref="E49:F49" si="9">+E46+E47+E48</f>
        <v>21950</v>
      </c>
      <c r="F49" s="8">
        <f t="shared" si="9"/>
        <v>21390</v>
      </c>
    </row>
    <row r="51" spans="2:6">
      <c r="C51" t="s">
        <v>50</v>
      </c>
      <c r="E51" s="12">
        <f>E31/(E30-E25)</f>
        <v>0.17098445595854922</v>
      </c>
      <c r="F51" s="12">
        <f>F31/(F30-F25)</f>
        <v>0.16818181818181818</v>
      </c>
    </row>
    <row r="53" spans="2:6" ht="16">
      <c r="C53" s="13" t="s">
        <v>51</v>
      </c>
      <c r="E53" s="14">
        <v>2021</v>
      </c>
      <c r="F53" s="14">
        <v>2022</v>
      </c>
    </row>
    <row r="54" spans="2:6" ht="16">
      <c r="C54" s="15" t="s">
        <v>25</v>
      </c>
      <c r="E54" s="14">
        <f>E24</f>
        <v>2200</v>
      </c>
      <c r="F54" s="14">
        <f>F24</f>
        <v>2500</v>
      </c>
    </row>
    <row r="55" spans="2:6" ht="16">
      <c r="C55" s="15" t="s">
        <v>52</v>
      </c>
      <c r="E55" s="14">
        <f>E54*(1-E51)</f>
        <v>1823.8341968911918</v>
      </c>
      <c r="F55" s="14">
        <f>F54*(1-F51)</f>
        <v>2079.5454545454545</v>
      </c>
    </row>
    <row r="56" spans="2:6" ht="16">
      <c r="B56" t="s">
        <v>53</v>
      </c>
      <c r="C56" s="15" t="s">
        <v>24</v>
      </c>
      <c r="E56" s="14">
        <f>E23</f>
        <v>2300</v>
      </c>
      <c r="F56" s="14">
        <f>F23</f>
        <v>2500</v>
      </c>
    </row>
    <row r="57" spans="2:6" ht="16">
      <c r="C57" s="16" t="s">
        <v>54</v>
      </c>
      <c r="E57" s="14">
        <f>E55+E56</f>
        <v>4123.8341968911918</v>
      </c>
      <c r="F57" s="14">
        <f>F55+F56</f>
        <v>4579.545454545454</v>
      </c>
    </row>
    <row r="58" spans="2:6" ht="16">
      <c r="C58" s="15" t="s">
        <v>55</v>
      </c>
      <c r="E58" s="17">
        <f>D40-E40</f>
        <v>-100</v>
      </c>
      <c r="F58" s="17">
        <f>E40-F40</f>
        <v>50</v>
      </c>
    </row>
    <row r="59" spans="2:6" ht="16">
      <c r="C59" s="15" t="s">
        <v>56</v>
      </c>
      <c r="E59" s="17">
        <f>D39-E39</f>
        <v>-200</v>
      </c>
      <c r="F59" s="17">
        <f>E39-F39</f>
        <v>-200</v>
      </c>
    </row>
    <row r="60" spans="2:6" ht="16">
      <c r="C60" s="15" t="s">
        <v>57</v>
      </c>
      <c r="E60" s="17">
        <f>D37-E37</f>
        <v>-20</v>
      </c>
      <c r="F60" s="17">
        <f>E37-F37</f>
        <v>-30</v>
      </c>
    </row>
    <row r="61" spans="2:6" ht="16">
      <c r="C61" s="15" t="s">
        <v>58</v>
      </c>
      <c r="E61" s="17">
        <f>E45-D45</f>
        <v>-60</v>
      </c>
      <c r="F61" s="17">
        <f>F45-E45</f>
        <v>210</v>
      </c>
    </row>
    <row r="62" spans="2:6" ht="16">
      <c r="C62" s="15" t="s">
        <v>59</v>
      </c>
      <c r="E62" s="17">
        <f>E44-D44</f>
        <v>-100</v>
      </c>
      <c r="F62" s="17">
        <f>F44-E44</f>
        <v>50</v>
      </c>
    </row>
    <row r="63" spans="2:6" ht="16">
      <c r="C63" s="16" t="s">
        <v>60</v>
      </c>
      <c r="E63" s="18">
        <f>SUM(E57:E62)</f>
        <v>3643.8341968911918</v>
      </c>
      <c r="F63" s="18">
        <f>SUM(F57:F62)</f>
        <v>4659.545454545454</v>
      </c>
    </row>
    <row r="64" spans="2:6" ht="16">
      <c r="B64" t="s">
        <v>61</v>
      </c>
      <c r="C64" s="15" t="s">
        <v>62</v>
      </c>
      <c r="E64" s="17">
        <f>E42-D42</f>
        <v>5000</v>
      </c>
      <c r="F64" s="17">
        <f>F42-E42</f>
        <v>-500</v>
      </c>
    </row>
    <row r="65" spans="2:6" ht="16">
      <c r="B65" t="s">
        <v>61</v>
      </c>
      <c r="C65" s="15" t="s">
        <v>24</v>
      </c>
      <c r="E65" s="17">
        <f>E23</f>
        <v>2300</v>
      </c>
      <c r="F65" s="17">
        <f>F23</f>
        <v>2500</v>
      </c>
    </row>
    <row r="66" spans="2:6">
      <c r="B66" t="s">
        <v>53</v>
      </c>
      <c r="C66" t="s">
        <v>26</v>
      </c>
      <c r="E66" s="17">
        <f>E25</f>
        <v>60</v>
      </c>
      <c r="F66" s="17">
        <f>F25</f>
        <v>0</v>
      </c>
    </row>
    <row r="67" spans="2:6">
      <c r="B67" t="s">
        <v>53</v>
      </c>
      <c r="C67" t="s">
        <v>27</v>
      </c>
      <c r="E67" s="17">
        <f>E26</f>
        <v>0</v>
      </c>
      <c r="F67" s="17">
        <f>F26</f>
        <v>10</v>
      </c>
    </row>
    <row r="68" spans="2:6">
      <c r="B68" t="s">
        <v>61</v>
      </c>
      <c r="C68" t="s">
        <v>63</v>
      </c>
      <c r="E68" s="14">
        <f>E67*E51</f>
        <v>0</v>
      </c>
      <c r="F68" s="14">
        <f>F67*F51</f>
        <v>1.6818181818181819</v>
      </c>
    </row>
    <row r="69" spans="2:6" ht="16">
      <c r="C69" s="16" t="s">
        <v>64</v>
      </c>
      <c r="E69" s="17">
        <f>-E64-E65+E66+E67-E68</f>
        <v>-7240</v>
      </c>
      <c r="F69" s="17">
        <f>-F64-F65+F66+F67-F68</f>
        <v>-1991.6818181818182</v>
      </c>
    </row>
    <row r="70" spans="2:6" ht="16">
      <c r="C70" s="19" t="s">
        <v>65</v>
      </c>
      <c r="E70" s="14">
        <f>E63+E69</f>
        <v>-3596.1658031088082</v>
      </c>
      <c r="F70" s="14">
        <f>F63+F69</f>
        <v>2667.863636363636</v>
      </c>
    </row>
    <row r="71" spans="2:6" ht="16">
      <c r="B71" t="s">
        <v>61</v>
      </c>
      <c r="C71" s="15" t="s">
        <v>66</v>
      </c>
      <c r="E71" s="17">
        <f>E28+E27</f>
        <v>270</v>
      </c>
      <c r="F71" s="17">
        <f>F28+F27</f>
        <v>310</v>
      </c>
    </row>
    <row r="72" spans="2:6" ht="16">
      <c r="B72" t="s">
        <v>53</v>
      </c>
      <c r="C72" s="15" t="s">
        <v>67</v>
      </c>
      <c r="E72">
        <f>E71*E51</f>
        <v>46.165803108808291</v>
      </c>
      <c r="F72">
        <f>F71*F51</f>
        <v>52.136363636363633</v>
      </c>
    </row>
    <row r="73" spans="2:6">
      <c r="B73" t="s">
        <v>53</v>
      </c>
      <c r="C73" t="s">
        <v>68</v>
      </c>
      <c r="E73" s="17">
        <f>E47-D47</f>
        <v>1000</v>
      </c>
      <c r="F73" s="17">
        <f>F47-E47</f>
        <v>1000</v>
      </c>
    </row>
    <row r="74" spans="2:6" ht="16">
      <c r="C74" s="20" t="s">
        <v>69</v>
      </c>
      <c r="E74" s="14">
        <f>E70-E71+E72+E73</f>
        <v>-2820</v>
      </c>
      <c r="F74" s="14">
        <f>F70-F71+F72+F73</f>
        <v>3409.9999999999995</v>
      </c>
    </row>
    <row r="75" spans="2:6" ht="16">
      <c r="B75" t="s">
        <v>61</v>
      </c>
      <c r="C75" s="15" t="s">
        <v>70</v>
      </c>
      <c r="E75" s="17">
        <f>E33</f>
        <v>1200</v>
      </c>
      <c r="F75" s="17">
        <f>F33</f>
        <v>1400</v>
      </c>
    </row>
    <row r="76" spans="2:6" ht="16">
      <c r="B76" t="s">
        <v>53</v>
      </c>
      <c r="C76" s="15" t="s">
        <v>71</v>
      </c>
      <c r="E76" s="17">
        <f>(E48-D48)-E34</f>
        <v>4150</v>
      </c>
      <c r="F76" s="17">
        <f>(F48-E48)-F34</f>
        <v>-2250</v>
      </c>
    </row>
    <row r="77" spans="2:6" ht="16">
      <c r="C77" s="21" t="s">
        <v>72</v>
      </c>
      <c r="D77" s="22"/>
      <c r="E77" s="23">
        <f>E74-E75+E76</f>
        <v>130</v>
      </c>
      <c r="F77" s="23">
        <f>F74-F75+F76</f>
        <v>-240.00000000000045</v>
      </c>
    </row>
    <row r="79" spans="2:6">
      <c r="C79" t="s">
        <v>73</v>
      </c>
      <c r="D79" s="17">
        <f>D36-D37</f>
        <v>300</v>
      </c>
      <c r="E79" s="17">
        <f>E36-E37</f>
        <v>380</v>
      </c>
      <c r="F79" s="17">
        <f>F36-F37</f>
        <v>150</v>
      </c>
    </row>
    <row r="80" spans="2:6">
      <c r="C80" s="17" t="s">
        <v>38</v>
      </c>
      <c r="D80" s="17">
        <f>D15</f>
        <v>0</v>
      </c>
      <c r="E80" s="17">
        <f>E38</f>
        <v>50</v>
      </c>
      <c r="F80" s="17">
        <f>F38</f>
        <v>40</v>
      </c>
    </row>
    <row r="81" spans="3:6">
      <c r="C81" t="s">
        <v>74</v>
      </c>
      <c r="D81" s="17">
        <f>D79+D80</f>
        <v>300</v>
      </c>
      <c r="E81" s="17">
        <f t="shared" ref="E81:F81" si="10">E79+E80</f>
        <v>430</v>
      </c>
      <c r="F81" s="17">
        <f t="shared" si="10"/>
        <v>190</v>
      </c>
    </row>
    <row r="82" spans="3:6" ht="16">
      <c r="C82" s="24" t="s">
        <v>75</v>
      </c>
      <c r="D82" s="22"/>
      <c r="E82" s="25">
        <f>E81-D81</f>
        <v>130</v>
      </c>
      <c r="F82" s="25">
        <f>F81-E81</f>
        <v>-240</v>
      </c>
    </row>
    <row r="83" spans="3:6">
      <c r="C83" t="s">
        <v>76</v>
      </c>
      <c r="E83" s="14">
        <f>E77-E82</f>
        <v>0</v>
      </c>
      <c r="F83" s="14">
        <f>F77-F82</f>
        <v>-4.5474735088646412E-13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7919-072A-4DC1-B6C3-589550810C61}">
  <dimension ref="B2:K37"/>
  <sheetViews>
    <sheetView topLeftCell="A2" workbookViewId="0">
      <selection activeCell="G14" sqref="G14"/>
    </sheetView>
  </sheetViews>
  <sheetFormatPr baseColWidth="10" defaultColWidth="8.83203125" defaultRowHeight="15"/>
  <cols>
    <col min="2" max="2" width="28.5" bestFit="1" customWidth="1"/>
    <col min="3" max="5" width="9.5" bestFit="1" customWidth="1"/>
    <col min="7" max="7" width="33.33203125" bestFit="1" customWidth="1"/>
    <col min="8" max="8" width="5.83203125" bestFit="1" customWidth="1"/>
    <col min="9" max="10" width="12.83203125" bestFit="1" customWidth="1"/>
    <col min="11" max="11" width="39" bestFit="1" customWidth="1"/>
  </cols>
  <sheetData>
    <row r="2" spans="2:11" ht="17" thickBot="1">
      <c r="G2" s="84" t="s">
        <v>77</v>
      </c>
      <c r="H2" s="85"/>
      <c r="I2" s="86">
        <f>(D15/(D14-D10))</f>
        <v>9.0133982947624841E-2</v>
      </c>
      <c r="J2" s="87">
        <f>(E15/(E14-E10))</f>
        <v>0.10098095787651466</v>
      </c>
      <c r="K2" t="s">
        <v>78</v>
      </c>
    </row>
    <row r="3" spans="2:11" ht="17" thickBot="1">
      <c r="B3" s="3"/>
      <c r="C3" s="4">
        <f ca="1">+D3-1</f>
        <v>2021</v>
      </c>
      <c r="D3" s="4">
        <f ca="1">+E3-1</f>
        <v>2022</v>
      </c>
      <c r="E3" s="4">
        <f ca="1">+YEAR(TODAY())-1</f>
        <v>2023</v>
      </c>
    </row>
    <row r="4" spans="2:11" ht="17" thickBot="1">
      <c r="B4" s="5" t="s">
        <v>20</v>
      </c>
      <c r="C4" s="6">
        <v>12000</v>
      </c>
      <c r="D4" s="6">
        <v>13200</v>
      </c>
      <c r="E4" s="6">
        <v>14256</v>
      </c>
      <c r="G4" s="88" t="s">
        <v>25</v>
      </c>
      <c r="H4" s="88"/>
      <c r="I4" s="89">
        <f>D9</f>
        <v>906</v>
      </c>
      <c r="J4" s="90">
        <f>E9</f>
        <v>960.48000000000047</v>
      </c>
    </row>
    <row r="5" spans="2:11" ht="17" thickBot="1">
      <c r="B5" s="5" t="s">
        <v>21</v>
      </c>
      <c r="C5" s="6">
        <v>0</v>
      </c>
      <c r="D5" s="6">
        <v>396</v>
      </c>
      <c r="E5" s="6">
        <v>712.8</v>
      </c>
      <c r="G5" s="91" t="s">
        <v>79</v>
      </c>
      <c r="H5" s="91"/>
      <c r="I5" s="92"/>
      <c r="J5" s="93"/>
    </row>
    <row r="6" spans="2:11" ht="17" thickBot="1">
      <c r="B6" s="5" t="s">
        <v>22</v>
      </c>
      <c r="C6" s="6">
        <v>7680</v>
      </c>
      <c r="D6" s="6">
        <v>8580</v>
      </c>
      <c r="E6" s="6">
        <v>9408.9599999999991</v>
      </c>
      <c r="G6" s="91" t="s">
        <v>80</v>
      </c>
      <c r="H6" s="91"/>
      <c r="I6" s="94">
        <f>+I4-I5</f>
        <v>906</v>
      </c>
      <c r="J6" s="95">
        <f>+J4-J5</f>
        <v>960.48000000000047</v>
      </c>
    </row>
    <row r="7" spans="2:11" ht="17" thickBot="1">
      <c r="B7" s="5" t="s">
        <v>23</v>
      </c>
      <c r="C7" s="6">
        <v>3840</v>
      </c>
      <c r="D7" s="6">
        <v>3960</v>
      </c>
      <c r="E7" s="6">
        <v>4419.3599999999997</v>
      </c>
      <c r="G7" s="91" t="s">
        <v>52</v>
      </c>
      <c r="H7" s="91"/>
      <c r="I7" s="94">
        <f>I6*(1-I2)</f>
        <v>824.33861144945183</v>
      </c>
      <c r="J7" s="95">
        <f>J6*(1-J2)</f>
        <v>863.48980957876563</v>
      </c>
    </row>
    <row r="8" spans="2:11" ht="17" thickBot="1">
      <c r="B8" s="5" t="s">
        <v>24</v>
      </c>
      <c r="C8" s="6">
        <v>250</v>
      </c>
      <c r="D8" s="6">
        <v>150</v>
      </c>
      <c r="E8" s="6">
        <v>180</v>
      </c>
      <c r="G8" s="91" t="s">
        <v>24</v>
      </c>
      <c r="H8" s="91"/>
      <c r="I8" s="94">
        <f>D8</f>
        <v>150</v>
      </c>
      <c r="J8" s="95">
        <f>E8</f>
        <v>180</v>
      </c>
    </row>
    <row r="9" spans="2:11" ht="17" thickBot="1">
      <c r="B9" s="7" t="s">
        <v>25</v>
      </c>
      <c r="C9" s="8">
        <f>+C4+C5-C6-C7-C8</f>
        <v>230</v>
      </c>
      <c r="D9" s="8">
        <f t="shared" ref="D9:E9" si="0">+D4+D5-D6-D7-D8</f>
        <v>906</v>
      </c>
      <c r="E9" s="8">
        <f t="shared" si="0"/>
        <v>960.48000000000047</v>
      </c>
      <c r="G9" s="96" t="s">
        <v>81</v>
      </c>
      <c r="H9" s="96"/>
      <c r="I9" s="97">
        <f>I7+I8</f>
        <v>974.33861144945183</v>
      </c>
      <c r="J9" s="98">
        <f>J7+J8</f>
        <v>1043.4898095787657</v>
      </c>
    </row>
    <row r="10" spans="2:11" ht="17" thickBot="1">
      <c r="B10" s="5" t="s">
        <v>26</v>
      </c>
      <c r="C10" s="6">
        <v>100</v>
      </c>
      <c r="D10" s="6">
        <v>0</v>
      </c>
      <c r="E10" s="6">
        <v>120</v>
      </c>
      <c r="G10" s="91" t="s">
        <v>82</v>
      </c>
      <c r="H10" s="91"/>
      <c r="I10" s="94">
        <f>C23-D23</f>
        <v>-620.83000000000004</v>
      </c>
      <c r="J10" s="95">
        <f>D23-E23</f>
        <v>102.59000000000003</v>
      </c>
    </row>
    <row r="11" spans="2:11" ht="17" thickBot="1">
      <c r="B11" s="5" t="s">
        <v>27</v>
      </c>
      <c r="C11" s="6">
        <v>10</v>
      </c>
      <c r="D11" s="6">
        <v>0</v>
      </c>
      <c r="E11" s="6">
        <v>50</v>
      </c>
      <c r="G11" s="91" t="s">
        <v>83</v>
      </c>
      <c r="H11" s="91"/>
      <c r="I11" s="94">
        <f>C22-D22</f>
        <v>-433.33000000000004</v>
      </c>
      <c r="J11" s="95">
        <f>D22-E22</f>
        <v>-375.46999999999991</v>
      </c>
    </row>
    <row r="12" spans="2:11" ht="17" thickBot="1">
      <c r="B12" s="5" t="s">
        <v>84</v>
      </c>
      <c r="C12" s="6">
        <v>80</v>
      </c>
      <c r="D12" s="6">
        <v>85</v>
      </c>
      <c r="E12" s="6">
        <v>40</v>
      </c>
      <c r="G12" s="91" t="s">
        <v>85</v>
      </c>
      <c r="H12" s="91"/>
      <c r="I12" s="94">
        <f>C20-D20</f>
        <v>524.83000000000004</v>
      </c>
      <c r="J12" s="95">
        <f>D20-E20</f>
        <v>72.230000000000018</v>
      </c>
    </row>
    <row r="13" spans="2:11" ht="17" thickBot="1">
      <c r="B13" s="7" t="s">
        <v>30</v>
      </c>
      <c r="C13" s="8">
        <f>+C10+C11-C12</f>
        <v>30</v>
      </c>
      <c r="D13" s="8">
        <f t="shared" ref="D13:E13" si="1">+D10+D11-D12</f>
        <v>-85</v>
      </c>
      <c r="E13" s="8">
        <f t="shared" si="1"/>
        <v>130</v>
      </c>
      <c r="G13" s="91" t="s">
        <v>86</v>
      </c>
      <c r="H13" s="91"/>
      <c r="I13" s="94">
        <f>D28-C28</f>
        <v>-61.669999999999987</v>
      </c>
      <c r="J13" s="95">
        <f>E28-D28</f>
        <v>205.98</v>
      </c>
    </row>
    <row r="14" spans="2:11" ht="17" thickBot="1">
      <c r="B14" s="5" t="s">
        <v>31</v>
      </c>
      <c r="C14" s="6">
        <f>+C13+C9</f>
        <v>260</v>
      </c>
      <c r="D14" s="6">
        <f t="shared" ref="D14:E14" si="2">+D13+D9</f>
        <v>821</v>
      </c>
      <c r="E14" s="6">
        <f t="shared" si="2"/>
        <v>1090.4800000000005</v>
      </c>
      <c r="G14" s="91" t="s">
        <v>87</v>
      </c>
      <c r="H14" s="91"/>
      <c r="I14" s="94"/>
      <c r="J14" s="95"/>
    </row>
    <row r="15" spans="2:11" ht="17" thickBot="1">
      <c r="B15" s="5" t="s">
        <v>32</v>
      </c>
      <c r="C15" s="6">
        <v>23</v>
      </c>
      <c r="D15" s="6">
        <v>74</v>
      </c>
      <c r="E15" s="6">
        <v>98</v>
      </c>
      <c r="G15" s="99" t="s">
        <v>88</v>
      </c>
      <c r="H15" s="99"/>
      <c r="I15" s="100">
        <f>+I9+SUM(I10:I14)</f>
        <v>383.33861144945183</v>
      </c>
      <c r="J15" s="101">
        <f>+J9+SUM(J10:J14)</f>
        <v>1048.8198095787659</v>
      </c>
    </row>
    <row r="16" spans="2:11" ht="17" thickBot="1">
      <c r="B16" s="7" t="s">
        <v>33</v>
      </c>
      <c r="C16" s="8">
        <f>+C14-C15</f>
        <v>237</v>
      </c>
      <c r="D16" s="8">
        <f t="shared" ref="D16:E16" si="3">+D14-D15</f>
        <v>747</v>
      </c>
      <c r="E16" s="8">
        <f t="shared" si="3"/>
        <v>992.48000000000047</v>
      </c>
      <c r="G16" s="91" t="s">
        <v>24</v>
      </c>
      <c r="H16" s="91"/>
      <c r="I16" s="92">
        <f>-I8</f>
        <v>-150</v>
      </c>
      <c r="J16" s="93">
        <f>-J8</f>
        <v>-180</v>
      </c>
    </row>
    <row r="17" spans="2:11" ht="17" thickBot="1">
      <c r="B17" s="5" t="s">
        <v>34</v>
      </c>
      <c r="C17" s="6">
        <v>30</v>
      </c>
      <c r="D17" s="6">
        <v>164.2</v>
      </c>
      <c r="E17" s="6">
        <v>297.70999999999998</v>
      </c>
      <c r="G17" s="102" t="s">
        <v>89</v>
      </c>
      <c r="H17" s="102"/>
      <c r="I17" s="92">
        <f>C25-D25</f>
        <v>-200</v>
      </c>
      <c r="J17" s="93">
        <f>D25-E25</f>
        <v>-300</v>
      </c>
    </row>
    <row r="18" spans="2:11" ht="17" thickBot="1">
      <c r="B18" s="5" t="s">
        <v>35</v>
      </c>
      <c r="C18" s="6">
        <f>+C16-C17</f>
        <v>207</v>
      </c>
      <c r="D18" s="6">
        <f t="shared" ref="D18:E18" si="4">+D16-D17</f>
        <v>582.79999999999995</v>
      </c>
      <c r="E18" s="6">
        <f t="shared" si="4"/>
        <v>694.77000000000044</v>
      </c>
      <c r="G18" s="102" t="s">
        <v>90</v>
      </c>
      <c r="H18" s="102"/>
      <c r="I18" s="92">
        <f>D10</f>
        <v>0</v>
      </c>
      <c r="J18" s="93">
        <f>E10</f>
        <v>120</v>
      </c>
    </row>
    <row r="19" spans="2:11" ht="17" thickBot="1">
      <c r="B19" s="9"/>
      <c r="C19" s="10"/>
      <c r="D19" s="10"/>
      <c r="E19" s="10"/>
      <c r="G19" s="102" t="s">
        <v>91</v>
      </c>
      <c r="H19" s="102"/>
      <c r="I19" s="92">
        <f>D11</f>
        <v>0</v>
      </c>
      <c r="J19" s="93">
        <f>E11</f>
        <v>50</v>
      </c>
    </row>
    <row r="20" spans="2:11" ht="17" thickBot="1">
      <c r="B20" s="5" t="s">
        <v>36</v>
      </c>
      <c r="C20" s="6">
        <v>779.6</v>
      </c>
      <c r="D20" s="6">
        <v>254.77</v>
      </c>
      <c r="E20" s="6">
        <v>182.54</v>
      </c>
      <c r="G20" s="102" t="s">
        <v>92</v>
      </c>
      <c r="H20" s="102"/>
      <c r="I20" s="103">
        <f>I19*I2</f>
        <v>0</v>
      </c>
      <c r="J20" s="104">
        <f>J19*J2</f>
        <v>5.0490478938257333</v>
      </c>
    </row>
    <row r="21" spans="2:11" ht="17" thickBot="1">
      <c r="B21" s="5" t="s">
        <v>38</v>
      </c>
      <c r="C21" s="6">
        <v>48.4</v>
      </c>
      <c r="D21" s="6">
        <v>50</v>
      </c>
      <c r="E21" s="6">
        <v>0</v>
      </c>
      <c r="G21" s="99" t="s">
        <v>93</v>
      </c>
      <c r="H21" s="99"/>
      <c r="I21" s="100">
        <f>SUM(I16:I19)-I20</f>
        <v>-350</v>
      </c>
      <c r="J21" s="101">
        <f>SUM(J16:J19)-J20</f>
        <v>-315.04904789382573</v>
      </c>
    </row>
    <row r="22" spans="2:11" ht="17" thickBot="1">
      <c r="B22" s="5" t="s">
        <v>39</v>
      </c>
      <c r="C22" s="6">
        <v>300</v>
      </c>
      <c r="D22" s="6">
        <v>733.33</v>
      </c>
      <c r="E22" s="6">
        <v>1108.8</v>
      </c>
      <c r="G22" s="105" t="s">
        <v>94</v>
      </c>
      <c r="H22" s="105"/>
      <c r="I22" s="106">
        <f>I15+I21</f>
        <v>33.338611449451832</v>
      </c>
      <c r="J22" s="107">
        <f>J15+J21</f>
        <v>733.77076168494023</v>
      </c>
    </row>
    <row r="23" spans="2:11" ht="17" thickBot="1">
      <c r="B23" s="5" t="s">
        <v>40</v>
      </c>
      <c r="C23" s="6">
        <v>250</v>
      </c>
      <c r="D23" s="6">
        <v>870.83</v>
      </c>
      <c r="E23" s="6">
        <v>768.24</v>
      </c>
      <c r="G23" s="91" t="s">
        <v>95</v>
      </c>
      <c r="H23" s="91"/>
      <c r="I23" s="92">
        <f>D12</f>
        <v>85</v>
      </c>
      <c r="J23" s="93">
        <f>E12</f>
        <v>40</v>
      </c>
      <c r="K23" t="s">
        <v>96</v>
      </c>
    </row>
    <row r="24" spans="2:11" ht="17" thickBot="1">
      <c r="B24" s="7" t="s">
        <v>41</v>
      </c>
      <c r="C24" s="11">
        <f>SUM(C20:C23)</f>
        <v>1378</v>
      </c>
      <c r="D24" s="11">
        <f t="shared" ref="D24:E24" si="5">SUM(D20:D23)</f>
        <v>1908.9299999999998</v>
      </c>
      <c r="E24" s="11">
        <f t="shared" si="5"/>
        <v>2059.58</v>
      </c>
      <c r="G24" s="91" t="s">
        <v>97</v>
      </c>
      <c r="H24" s="91"/>
      <c r="I24" s="103">
        <f>I23*I2</f>
        <v>7.6613885505481116</v>
      </c>
      <c r="J24" s="104">
        <f>J23*J2</f>
        <v>4.0392383150605866</v>
      </c>
    </row>
    <row r="25" spans="2:11" ht="17" thickBot="1">
      <c r="B25" s="5" t="s">
        <v>42</v>
      </c>
      <c r="C25" s="6">
        <v>1000</v>
      </c>
      <c r="D25" s="6">
        <v>1200</v>
      </c>
      <c r="E25" s="6">
        <v>1500</v>
      </c>
      <c r="G25" s="108" t="s">
        <v>98</v>
      </c>
      <c r="H25" s="108"/>
      <c r="I25" s="92">
        <f>(D27+D30)-(C27+C30)</f>
        <v>50</v>
      </c>
      <c r="J25" s="93">
        <f>(E27+E30)-(D27+D30)</f>
        <v>-450</v>
      </c>
      <c r="K25" t="s">
        <v>99</v>
      </c>
    </row>
    <row r="26" spans="2:11" ht="17" thickBot="1">
      <c r="B26" s="7" t="s">
        <v>43</v>
      </c>
      <c r="C26" s="8">
        <f>+C25+C24</f>
        <v>2378</v>
      </c>
      <c r="D26" s="8">
        <f t="shared" ref="D26:E26" si="6">+D25+D24</f>
        <v>3108.93</v>
      </c>
      <c r="E26" s="8">
        <f t="shared" si="6"/>
        <v>3559.58</v>
      </c>
      <c r="G26" s="109" t="s">
        <v>100</v>
      </c>
      <c r="H26" s="109"/>
      <c r="I26" s="110">
        <f>I22-I23+I24+I25</f>
        <v>5.9999999999999432</v>
      </c>
      <c r="J26" s="111">
        <f>J22-J23+J24+J25</f>
        <v>247.81000000000085</v>
      </c>
    </row>
    <row r="27" spans="2:11" ht="17" thickBot="1">
      <c r="B27" s="5" t="s">
        <v>44</v>
      </c>
      <c r="C27" s="6">
        <v>300</v>
      </c>
      <c r="D27" s="6">
        <v>250</v>
      </c>
      <c r="E27" s="6">
        <v>100</v>
      </c>
      <c r="G27" s="103"/>
      <c r="H27" s="103"/>
      <c r="I27" s="103"/>
      <c r="J27" s="103"/>
    </row>
    <row r="28" spans="2:11" ht="17" thickBot="1">
      <c r="B28" s="5" t="s">
        <v>45</v>
      </c>
      <c r="C28" s="6">
        <v>300</v>
      </c>
      <c r="D28" s="6">
        <v>238.33</v>
      </c>
      <c r="E28" s="6">
        <v>444.31</v>
      </c>
      <c r="G28" s="112" t="s">
        <v>34</v>
      </c>
      <c r="H28" s="89"/>
      <c r="I28" s="89">
        <f>D17</f>
        <v>164.2</v>
      </c>
      <c r="J28" s="90">
        <f>E17</f>
        <v>297.70999999999998</v>
      </c>
    </row>
    <row r="29" spans="2:11" ht="17" thickBot="1">
      <c r="B29" s="7" t="s">
        <v>46</v>
      </c>
      <c r="C29" s="8">
        <f>+C27+C28</f>
        <v>600</v>
      </c>
      <c r="D29" s="8">
        <f t="shared" ref="D29:E29" si="7">+D27+D28</f>
        <v>488.33000000000004</v>
      </c>
      <c r="E29" s="8">
        <f t="shared" si="7"/>
        <v>544.30999999999995</v>
      </c>
      <c r="G29" s="113" t="s">
        <v>101</v>
      </c>
      <c r="H29" s="92"/>
      <c r="I29" s="92">
        <f>D31-C31-D18</f>
        <v>159.79999999999995</v>
      </c>
      <c r="J29" s="93">
        <f>(E31-D31)-E18</f>
        <v>-0.1000000000003638</v>
      </c>
      <c r="K29" t="s">
        <v>102</v>
      </c>
    </row>
    <row r="30" spans="2:11" ht="17" thickBot="1">
      <c r="B30" s="5" t="s">
        <v>47</v>
      </c>
      <c r="C30" s="6">
        <v>500</v>
      </c>
      <c r="D30" s="6">
        <v>600</v>
      </c>
      <c r="E30" s="6">
        <v>300</v>
      </c>
      <c r="G30" s="114" t="s">
        <v>75</v>
      </c>
      <c r="H30" s="115"/>
      <c r="I30" s="115">
        <f>+I26-I28+I29</f>
        <v>1.5999999999999091</v>
      </c>
      <c r="J30" s="116">
        <f>+J26-J28+J29</f>
        <v>-49.999999999999488</v>
      </c>
    </row>
    <row r="31" spans="2:11" ht="17" thickBot="1">
      <c r="B31" s="5" t="s">
        <v>48</v>
      </c>
      <c r="C31" s="6">
        <v>1278</v>
      </c>
      <c r="D31" s="6">
        <v>2020.6</v>
      </c>
      <c r="E31" s="6">
        <v>2715.27</v>
      </c>
      <c r="G31" s="117"/>
      <c r="H31" s="103"/>
      <c r="I31" s="118"/>
      <c r="J31" s="118"/>
    </row>
    <row r="32" spans="2:11" ht="17" thickBot="1">
      <c r="B32" s="7" t="s">
        <v>49</v>
      </c>
      <c r="C32" s="8">
        <f>+C29+C30+C31</f>
        <v>2378</v>
      </c>
      <c r="D32" s="8">
        <f t="shared" ref="D32:E32" si="8">+D29+D30+D31</f>
        <v>3108.93</v>
      </c>
      <c r="E32" s="8">
        <f t="shared" si="8"/>
        <v>3559.58</v>
      </c>
      <c r="G32" s="92" t="s">
        <v>103</v>
      </c>
      <c r="H32" s="92"/>
      <c r="I32" s="92"/>
      <c r="J32" s="92"/>
      <c r="K32" t="s">
        <v>104</v>
      </c>
    </row>
    <row r="33" spans="7:10" ht="16">
      <c r="G33" s="92" t="s">
        <v>38</v>
      </c>
      <c r="H33" s="92">
        <f>C21</f>
        <v>48.4</v>
      </c>
      <c r="I33" s="92">
        <f>D21</f>
        <v>50</v>
      </c>
      <c r="J33" s="92">
        <f>E21</f>
        <v>0</v>
      </c>
    </row>
    <row r="34" spans="7:10" ht="16">
      <c r="G34" s="103" t="s">
        <v>74</v>
      </c>
      <c r="H34" s="92">
        <f>+SUM(H32:H33)</f>
        <v>48.4</v>
      </c>
      <c r="I34" s="92">
        <f>+SUM(I32:I33)</f>
        <v>50</v>
      </c>
      <c r="J34" s="92">
        <f>+SUM(J32:J33)</f>
        <v>0</v>
      </c>
    </row>
    <row r="35" spans="7:10" ht="16">
      <c r="G35" s="119" t="s">
        <v>75</v>
      </c>
      <c r="H35" s="120"/>
      <c r="I35" s="121">
        <f>+I34-H34</f>
        <v>1.6000000000000014</v>
      </c>
      <c r="J35" s="121">
        <f>+J34-I34</f>
        <v>-50</v>
      </c>
    </row>
    <row r="37" spans="7:10">
      <c r="G37" t="s">
        <v>105</v>
      </c>
      <c r="I37" s="17">
        <f>I30-I35</f>
        <v>-9.2370555648813024E-14</v>
      </c>
      <c r="J37" s="17">
        <f>J30-J35</f>
        <v>5.1159076974727213E-13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3B7A-29AA-422D-BBA2-1355AB3263DD}">
  <dimension ref="B1:L38"/>
  <sheetViews>
    <sheetView topLeftCell="A25" workbookViewId="0">
      <selection activeCell="G36" sqref="G36"/>
    </sheetView>
  </sheetViews>
  <sheetFormatPr baseColWidth="10" defaultColWidth="8.83203125" defaultRowHeight="15"/>
  <cols>
    <col min="2" max="2" width="32.33203125" bestFit="1" customWidth="1"/>
    <col min="3" max="5" width="9.5" bestFit="1" customWidth="1"/>
    <col min="7" max="7" width="33.33203125" bestFit="1" customWidth="1"/>
    <col min="8" max="8" width="6.83203125" bestFit="1" customWidth="1"/>
    <col min="9" max="10" width="12.83203125" bestFit="1" customWidth="1"/>
  </cols>
  <sheetData>
    <row r="1" spans="2:11" ht="16" thickBot="1"/>
    <row r="2" spans="2:11" ht="17" thickBot="1">
      <c r="B2" s="3"/>
      <c r="C2" s="4">
        <v>2018</v>
      </c>
      <c r="D2" s="4">
        <v>2019</v>
      </c>
      <c r="E2" s="4">
        <v>2020</v>
      </c>
    </row>
    <row r="3" spans="2:11" ht="17" thickBot="1">
      <c r="B3" s="5" t="s">
        <v>20</v>
      </c>
      <c r="C3" s="6">
        <v>12000</v>
      </c>
      <c r="D3" s="6">
        <v>13500</v>
      </c>
      <c r="E3" s="6">
        <v>15000</v>
      </c>
      <c r="G3" s="84" t="s">
        <v>77</v>
      </c>
      <c r="H3" s="85"/>
      <c r="I3" s="86">
        <f>D17/(D16-D10)</f>
        <v>9.3922651933701654E-2</v>
      </c>
      <c r="J3" s="86">
        <f>E17/(E16-E10)</f>
        <v>8.5347535163184399E-2</v>
      </c>
      <c r="K3" t="s">
        <v>78</v>
      </c>
    </row>
    <row r="4" spans="2:11" ht="17" thickBot="1">
      <c r="B4" s="122" t="s">
        <v>21</v>
      </c>
      <c r="C4" s="123">
        <v>170</v>
      </c>
      <c r="D4" s="123">
        <v>250</v>
      </c>
      <c r="E4" s="123">
        <v>300</v>
      </c>
    </row>
    <row r="5" spans="2:11" ht="17" thickBot="1">
      <c r="B5" s="5" t="s">
        <v>22</v>
      </c>
      <c r="C5" s="6">
        <v>7680</v>
      </c>
      <c r="D5" s="6">
        <v>8580</v>
      </c>
      <c r="E5" s="6">
        <v>9408.9599999999991</v>
      </c>
      <c r="G5" s="88" t="s">
        <v>25</v>
      </c>
      <c r="H5" s="88"/>
      <c r="I5" s="89">
        <f>D9</f>
        <v>990</v>
      </c>
      <c r="J5" s="89">
        <f>E9</f>
        <v>1211.6800000000012</v>
      </c>
    </row>
    <row r="6" spans="2:11" ht="17" thickBot="1">
      <c r="B6" s="5" t="s">
        <v>23</v>
      </c>
      <c r="C6" s="6">
        <v>3840</v>
      </c>
      <c r="D6" s="6">
        <v>3960</v>
      </c>
      <c r="E6" s="6">
        <v>4419.3599999999997</v>
      </c>
      <c r="G6" s="91" t="s">
        <v>79</v>
      </c>
      <c r="H6" s="91"/>
      <c r="I6" s="92">
        <f>D13</f>
        <v>8</v>
      </c>
      <c r="J6" s="92">
        <f>E13</f>
        <v>12</v>
      </c>
    </row>
    <row r="7" spans="2:11" ht="17" thickBot="1">
      <c r="B7" s="5" t="s">
        <v>24</v>
      </c>
      <c r="C7" s="6">
        <v>250</v>
      </c>
      <c r="D7" s="6">
        <v>150</v>
      </c>
      <c r="E7" s="6">
        <v>180</v>
      </c>
      <c r="G7" s="91" t="s">
        <v>80</v>
      </c>
      <c r="H7" s="91"/>
      <c r="I7" s="94">
        <f>+I5-I6</f>
        <v>982</v>
      </c>
      <c r="J7" s="94">
        <f>+J5-J6</f>
        <v>1199.6800000000012</v>
      </c>
    </row>
    <row r="8" spans="2:11" ht="17" thickBot="1">
      <c r="B8" s="122" t="s">
        <v>106</v>
      </c>
      <c r="C8" s="123">
        <v>50</v>
      </c>
      <c r="D8" s="123">
        <v>70</v>
      </c>
      <c r="E8" s="123">
        <v>80</v>
      </c>
      <c r="G8" s="91" t="s">
        <v>52</v>
      </c>
      <c r="H8" s="91"/>
      <c r="I8" s="94">
        <f>I7*(1-I3)</f>
        <v>889.76795580110502</v>
      </c>
      <c r="J8" s="94">
        <f>J7*(1-J3)</f>
        <v>1097.2902690154322</v>
      </c>
    </row>
    <row r="9" spans="2:11" ht="17" thickBot="1">
      <c r="B9" s="7" t="s">
        <v>25</v>
      </c>
      <c r="C9" s="8">
        <f>+C3+C4-C5-C6-C7-C8</f>
        <v>350</v>
      </c>
      <c r="D9" s="8">
        <f>+D3+D4-D5-D6-D7-D8</f>
        <v>990</v>
      </c>
      <c r="E9" s="8">
        <f t="shared" ref="E9" si="0">+E3+E4-E5-E6-E7-E8</f>
        <v>1211.6800000000012</v>
      </c>
      <c r="G9" s="91" t="s">
        <v>24</v>
      </c>
      <c r="H9" s="91"/>
      <c r="I9" s="94">
        <f>D7</f>
        <v>150</v>
      </c>
      <c r="J9" s="94">
        <f>E7</f>
        <v>180</v>
      </c>
    </row>
    <row r="10" spans="2:11" ht="17" thickBot="1">
      <c r="B10" s="124" t="s">
        <v>26</v>
      </c>
      <c r="C10" s="125">
        <v>0</v>
      </c>
      <c r="D10" s="125">
        <v>20</v>
      </c>
      <c r="E10" s="125">
        <v>0</v>
      </c>
      <c r="G10" s="96" t="s">
        <v>81</v>
      </c>
      <c r="H10" s="96"/>
      <c r="I10" s="97">
        <f>I8+I9</f>
        <v>1039.767955801105</v>
      </c>
      <c r="J10" s="97">
        <f>J8+J9</f>
        <v>1277.2902690154322</v>
      </c>
    </row>
    <row r="11" spans="2:11" ht="17" thickBot="1">
      <c r="B11" s="126" t="s">
        <v>27</v>
      </c>
      <c r="C11" s="127">
        <v>0</v>
      </c>
      <c r="D11" s="127">
        <v>0</v>
      </c>
      <c r="E11" s="127">
        <v>0</v>
      </c>
      <c r="G11" s="91" t="s">
        <v>82</v>
      </c>
      <c r="H11" s="91"/>
      <c r="I11" s="94">
        <f>C27-D27</f>
        <v>-620.83000000000004</v>
      </c>
      <c r="J11" s="94">
        <f>D27-E27</f>
        <v>102.59000000000003</v>
      </c>
      <c r="K11" t="s">
        <v>107</v>
      </c>
    </row>
    <row r="12" spans="2:11" ht="17" thickBot="1">
      <c r="B12" s="128" t="s">
        <v>84</v>
      </c>
      <c r="C12" s="129">
        <v>80</v>
      </c>
      <c r="D12" s="129">
        <v>85</v>
      </c>
      <c r="E12" s="129">
        <v>40</v>
      </c>
      <c r="G12" s="91" t="s">
        <v>83</v>
      </c>
      <c r="H12" s="91"/>
      <c r="I12" s="94">
        <f>C26-D26</f>
        <v>-433.33000000000004</v>
      </c>
      <c r="J12" s="94">
        <f>D26-E26</f>
        <v>-375.46999999999991</v>
      </c>
      <c r="K12" t="s">
        <v>107</v>
      </c>
    </row>
    <row r="13" spans="2:11" ht="17" thickBot="1">
      <c r="B13" s="130" t="s">
        <v>108</v>
      </c>
      <c r="C13" s="131">
        <v>10</v>
      </c>
      <c r="D13" s="131">
        <v>8</v>
      </c>
      <c r="E13" s="131">
        <v>12</v>
      </c>
      <c r="G13" s="91" t="s">
        <v>85</v>
      </c>
      <c r="H13" s="91"/>
      <c r="I13" s="94">
        <f>C23-D23</f>
        <v>-10</v>
      </c>
      <c r="J13" s="94">
        <f>D23-E23</f>
        <v>-20</v>
      </c>
      <c r="K13" t="s">
        <v>107</v>
      </c>
    </row>
    <row r="14" spans="2:11" ht="17" thickBot="1">
      <c r="B14" s="132" t="s">
        <v>109</v>
      </c>
      <c r="C14" s="133">
        <f>C12-C13</f>
        <v>70</v>
      </c>
      <c r="D14" s="133">
        <f t="shared" ref="D14:E14" si="1">D12-D13</f>
        <v>77</v>
      </c>
      <c r="E14" s="133">
        <f t="shared" si="1"/>
        <v>28</v>
      </c>
      <c r="G14" s="91" t="s">
        <v>86</v>
      </c>
      <c r="H14" s="91"/>
      <c r="I14" s="94">
        <f>D34-C34</f>
        <v>-61.669999999999987</v>
      </c>
      <c r="J14" s="94">
        <f>E34-D34</f>
        <v>205.98</v>
      </c>
      <c r="K14" t="s">
        <v>99</v>
      </c>
    </row>
    <row r="15" spans="2:11" ht="17" thickBot="1">
      <c r="B15" s="7" t="s">
        <v>30</v>
      </c>
      <c r="C15" s="8">
        <f>+C10+C11-C12</f>
        <v>-80</v>
      </c>
      <c r="D15" s="8">
        <f>+D10+D11-D12</f>
        <v>-65</v>
      </c>
      <c r="E15" s="8">
        <f t="shared" ref="E15" si="2">+E10+E11-E12</f>
        <v>-40</v>
      </c>
      <c r="G15" s="91" t="s">
        <v>87</v>
      </c>
      <c r="H15" s="91"/>
      <c r="I15" s="94">
        <f>D32-C32</f>
        <v>40</v>
      </c>
      <c r="J15" s="94">
        <f>E32-D32</f>
        <v>-70</v>
      </c>
      <c r="K15" t="s">
        <v>99</v>
      </c>
    </row>
    <row r="16" spans="2:11" ht="17" thickBot="1">
      <c r="B16" s="5" t="s">
        <v>31</v>
      </c>
      <c r="C16" s="6">
        <f>+C15+C9</f>
        <v>270</v>
      </c>
      <c r="D16" s="6">
        <f>+D15+D9</f>
        <v>925</v>
      </c>
      <c r="E16" s="6">
        <f t="shared" ref="E16" si="3">+E15+E9</f>
        <v>1171.6800000000012</v>
      </c>
      <c r="G16" s="99" t="s">
        <v>88</v>
      </c>
      <c r="H16" s="99"/>
      <c r="I16" s="100">
        <f>+I10+SUM(I11:I15)</f>
        <v>-46.062044198895137</v>
      </c>
      <c r="J16" s="100">
        <f>+J10+SUM(J11:J15)</f>
        <v>1120.3902690154323</v>
      </c>
    </row>
    <row r="17" spans="2:12" ht="17" thickBot="1">
      <c r="B17" s="5" t="s">
        <v>32</v>
      </c>
      <c r="C17" s="6">
        <v>27</v>
      </c>
      <c r="D17" s="6">
        <v>85</v>
      </c>
      <c r="E17" s="6">
        <v>100</v>
      </c>
      <c r="G17" s="91" t="s">
        <v>24</v>
      </c>
      <c r="H17" s="91"/>
      <c r="I17" s="92">
        <f>-I9</f>
        <v>-150</v>
      </c>
      <c r="J17" s="92">
        <f>-J9</f>
        <v>-180</v>
      </c>
    </row>
    <row r="18" spans="2:12" ht="17" thickBot="1">
      <c r="B18" s="7" t="s">
        <v>33</v>
      </c>
      <c r="C18" s="8">
        <f>+C16-C17</f>
        <v>243</v>
      </c>
      <c r="D18" s="8">
        <f t="shared" ref="D18:E18" si="4">+D16-D17</f>
        <v>840</v>
      </c>
      <c r="E18" s="8">
        <f t="shared" si="4"/>
        <v>1071.6800000000012</v>
      </c>
      <c r="G18" s="102" t="s">
        <v>89</v>
      </c>
      <c r="H18" s="102"/>
      <c r="I18" s="92">
        <f>C29-D29</f>
        <v>123.23000000000002</v>
      </c>
      <c r="J18" s="92">
        <f>D29-E29</f>
        <v>-177.76999999999998</v>
      </c>
      <c r="K18" t="s">
        <v>107</v>
      </c>
    </row>
    <row r="19" spans="2:12" ht="17" thickBot="1">
      <c r="B19" s="5" t="s">
        <v>34</v>
      </c>
      <c r="C19" s="6">
        <v>10</v>
      </c>
      <c r="D19" s="6">
        <v>600</v>
      </c>
      <c r="E19" s="6">
        <v>850</v>
      </c>
      <c r="G19" s="102" t="s">
        <v>90</v>
      </c>
      <c r="H19" s="102"/>
      <c r="I19" s="92">
        <f>D10</f>
        <v>20</v>
      </c>
      <c r="J19" s="92">
        <f>E10</f>
        <v>0</v>
      </c>
    </row>
    <row r="20" spans="2:12" ht="17" thickBot="1">
      <c r="B20" s="5" t="s">
        <v>35</v>
      </c>
      <c r="C20" s="6">
        <f>+C18-C19</f>
        <v>233</v>
      </c>
      <c r="D20" s="6">
        <f t="shared" ref="D20:E20" si="5">+D18-D19</f>
        <v>240</v>
      </c>
      <c r="E20" s="6">
        <f t="shared" si="5"/>
        <v>221.6800000000012</v>
      </c>
      <c r="G20" s="102" t="s">
        <v>91</v>
      </c>
      <c r="H20" s="102"/>
      <c r="I20" s="92">
        <f>D11</f>
        <v>0</v>
      </c>
      <c r="J20" s="92">
        <f>E11</f>
        <v>0</v>
      </c>
    </row>
    <row r="21" spans="2:12" ht="17" thickBot="1">
      <c r="B21" s="9"/>
      <c r="C21" s="10"/>
      <c r="D21" s="10"/>
      <c r="E21" s="10"/>
      <c r="G21" s="102" t="s">
        <v>92</v>
      </c>
      <c r="H21" s="102"/>
      <c r="I21" s="103">
        <f>I20*I3</f>
        <v>0</v>
      </c>
      <c r="J21" s="103">
        <f>J20*J3</f>
        <v>0</v>
      </c>
    </row>
    <row r="22" spans="2:12" ht="17" thickBot="1">
      <c r="B22" s="128" t="s">
        <v>36</v>
      </c>
      <c r="C22" s="129">
        <v>800</v>
      </c>
      <c r="D22" s="129">
        <v>500</v>
      </c>
      <c r="E22" s="129">
        <v>600</v>
      </c>
      <c r="G22" s="99" t="s">
        <v>93</v>
      </c>
      <c r="H22" s="99"/>
      <c r="I22" s="100">
        <f>SUM(I17:I20)-I21</f>
        <v>-6.7699999999999818</v>
      </c>
      <c r="J22" s="100">
        <f>SUM(J17:J20)-J21</f>
        <v>-357.77</v>
      </c>
    </row>
    <row r="23" spans="2:12" ht="17" thickBot="1">
      <c r="B23" s="130" t="s">
        <v>37</v>
      </c>
      <c r="C23" s="131">
        <v>100</v>
      </c>
      <c r="D23" s="131">
        <v>110</v>
      </c>
      <c r="E23" s="131">
        <v>130</v>
      </c>
      <c r="G23" s="105" t="s">
        <v>94</v>
      </c>
      <c r="H23" s="105"/>
      <c r="I23" s="106">
        <f>I16+I22</f>
        <v>-52.832044198895119</v>
      </c>
      <c r="J23" s="106">
        <f>J16+J22</f>
        <v>762.62026901543231</v>
      </c>
    </row>
    <row r="24" spans="2:12" ht="17" thickBot="1">
      <c r="B24" s="134" t="s">
        <v>110</v>
      </c>
      <c r="C24" s="135">
        <f>C22-C23</f>
        <v>700</v>
      </c>
      <c r="D24" s="135">
        <f t="shared" ref="D24:E24" si="6">D22-D23</f>
        <v>390</v>
      </c>
      <c r="E24" s="135">
        <f t="shared" si="6"/>
        <v>470</v>
      </c>
      <c r="G24" s="91" t="s">
        <v>95</v>
      </c>
      <c r="H24" s="91"/>
      <c r="I24" s="92">
        <f>D14</f>
        <v>77</v>
      </c>
      <c r="J24" s="92">
        <f>E14</f>
        <v>28</v>
      </c>
      <c r="K24" t="s">
        <v>96</v>
      </c>
    </row>
    <row r="25" spans="2:12" ht="17" thickBot="1">
      <c r="B25" s="124" t="s">
        <v>38</v>
      </c>
      <c r="C25" s="125">
        <v>0</v>
      </c>
      <c r="D25" s="125">
        <v>100</v>
      </c>
      <c r="E25" s="125">
        <v>0</v>
      </c>
      <c r="G25" s="91" t="s">
        <v>97</v>
      </c>
      <c r="H25" s="91"/>
      <c r="I25" s="103">
        <f>I24*I3</f>
        <v>7.2320441988950277</v>
      </c>
      <c r="J25" s="103">
        <f>J24*J3</f>
        <v>2.3897309845691632</v>
      </c>
    </row>
    <row r="26" spans="2:12" ht="17" thickBot="1">
      <c r="B26" s="5" t="s">
        <v>39</v>
      </c>
      <c r="C26" s="6">
        <v>300</v>
      </c>
      <c r="D26" s="6">
        <v>733.33</v>
      </c>
      <c r="E26" s="6">
        <v>1108.8</v>
      </c>
      <c r="G26" s="108" t="s">
        <v>98</v>
      </c>
      <c r="H26" s="108"/>
      <c r="I26" s="92">
        <f>(D33+D36)-(C33+C36)</f>
        <v>10</v>
      </c>
      <c r="J26" s="92">
        <f>(E33+E36)-(D33+D36)</f>
        <v>-380</v>
      </c>
      <c r="K26" t="s">
        <v>99</v>
      </c>
      <c r="L26" t="s">
        <v>111</v>
      </c>
    </row>
    <row r="27" spans="2:12" ht="17" thickBot="1">
      <c r="B27" s="5" t="s">
        <v>40</v>
      </c>
      <c r="C27" s="6">
        <v>250</v>
      </c>
      <c r="D27" s="6">
        <v>870.83</v>
      </c>
      <c r="E27" s="6">
        <v>768.24</v>
      </c>
      <c r="G27" s="109" t="s">
        <v>100</v>
      </c>
      <c r="H27" s="109"/>
      <c r="I27" s="110">
        <f>I23-I24+I25+I26</f>
        <v>-112.60000000000009</v>
      </c>
      <c r="J27" s="110">
        <f>J23-J24+J25+J26</f>
        <v>357.01000000000147</v>
      </c>
    </row>
    <row r="28" spans="2:12" ht="17" thickBot="1">
      <c r="B28" s="7" t="s">
        <v>41</v>
      </c>
      <c r="C28" s="11">
        <f>+C22+C25+C26+C27</f>
        <v>1350</v>
      </c>
      <c r="D28" s="11">
        <f t="shared" ref="D28:E28" si="7">+D22+D25+D26+D27</f>
        <v>2204.16</v>
      </c>
      <c r="E28" s="11">
        <f t="shared" si="7"/>
        <v>2477.04</v>
      </c>
      <c r="G28" s="103"/>
      <c r="H28" s="103"/>
      <c r="I28" s="103"/>
      <c r="J28" s="103"/>
    </row>
    <row r="29" spans="2:12" ht="17" thickBot="1">
      <c r="B29" s="136" t="s">
        <v>42</v>
      </c>
      <c r="C29" s="137">
        <f>C30-C28</f>
        <v>1028</v>
      </c>
      <c r="D29" s="137">
        <f t="shared" ref="D29:E29" si="8">D30-D28</f>
        <v>904.77</v>
      </c>
      <c r="E29" s="137">
        <f t="shared" si="8"/>
        <v>1082.54</v>
      </c>
      <c r="G29" s="112" t="s">
        <v>34</v>
      </c>
      <c r="H29" s="89"/>
      <c r="I29" s="89">
        <f>D19</f>
        <v>600</v>
      </c>
      <c r="J29" s="89">
        <f>E19</f>
        <v>850</v>
      </c>
    </row>
    <row r="30" spans="2:12" ht="17" thickBot="1">
      <c r="B30" s="138" t="s">
        <v>43</v>
      </c>
      <c r="C30" s="139">
        <v>2378</v>
      </c>
      <c r="D30" s="139">
        <v>3108.93</v>
      </c>
      <c r="E30" s="139">
        <v>3559.58</v>
      </c>
      <c r="G30" s="113" t="s">
        <v>101</v>
      </c>
      <c r="H30" s="92"/>
      <c r="I30" s="92">
        <f>D37-C37-D20</f>
        <v>502.59999999999991</v>
      </c>
      <c r="J30" s="92">
        <f>E37-D37-E20</f>
        <v>472.98999999999887</v>
      </c>
      <c r="K30" t="s">
        <v>102</v>
      </c>
    </row>
    <row r="31" spans="2:12" ht="17" thickBot="1">
      <c r="B31" s="5" t="s">
        <v>44</v>
      </c>
      <c r="C31" s="6">
        <v>300</v>
      </c>
      <c r="D31" s="6">
        <v>250</v>
      </c>
      <c r="E31" s="6">
        <v>100</v>
      </c>
      <c r="G31" s="114" t="s">
        <v>75</v>
      </c>
      <c r="H31" s="115"/>
      <c r="I31" s="115">
        <f>+I27-I29+I30</f>
        <v>-210.00000000000023</v>
      </c>
      <c r="J31" s="115">
        <f>+J27-J29+J30</f>
        <v>-19.999999999999659</v>
      </c>
    </row>
    <row r="32" spans="2:12" ht="17" thickBot="1">
      <c r="B32" s="130" t="s">
        <v>112</v>
      </c>
      <c r="C32" s="131">
        <v>80</v>
      </c>
      <c r="D32" s="131">
        <v>120</v>
      </c>
      <c r="E32" s="131">
        <v>50</v>
      </c>
      <c r="G32" s="117"/>
      <c r="H32" s="103"/>
      <c r="I32" s="118"/>
      <c r="J32" s="118"/>
    </row>
    <row r="33" spans="2:11" ht="17" thickBot="1">
      <c r="B33" s="132" t="s">
        <v>113</v>
      </c>
      <c r="C33" s="133">
        <f>C31-C32</f>
        <v>220</v>
      </c>
      <c r="D33" s="133">
        <f t="shared" ref="D33:E33" si="9">D31-D32</f>
        <v>130</v>
      </c>
      <c r="E33" s="133">
        <f t="shared" si="9"/>
        <v>50</v>
      </c>
      <c r="G33" s="92" t="s">
        <v>103</v>
      </c>
      <c r="H33" s="92">
        <f t="shared" ref="H33:J34" si="10">C24</f>
        <v>700</v>
      </c>
      <c r="I33" s="92">
        <f t="shared" si="10"/>
        <v>390</v>
      </c>
      <c r="J33" s="92">
        <f t="shared" si="10"/>
        <v>470</v>
      </c>
      <c r="K33" t="s">
        <v>104</v>
      </c>
    </row>
    <row r="34" spans="2:11" ht="17" thickBot="1">
      <c r="B34" s="5" t="s">
        <v>45</v>
      </c>
      <c r="C34" s="6">
        <v>300</v>
      </c>
      <c r="D34" s="6">
        <v>238.33</v>
      </c>
      <c r="E34" s="6">
        <v>444.31</v>
      </c>
      <c r="G34" s="92" t="s">
        <v>38</v>
      </c>
      <c r="H34" s="92">
        <f t="shared" si="10"/>
        <v>0</v>
      </c>
      <c r="I34" s="92">
        <f t="shared" si="10"/>
        <v>100</v>
      </c>
      <c r="J34" s="92">
        <f t="shared" si="10"/>
        <v>0</v>
      </c>
    </row>
    <row r="35" spans="2:11" ht="17" thickBot="1">
      <c r="B35" s="7" t="s">
        <v>46</v>
      </c>
      <c r="C35" s="8">
        <f>+C31+C34</f>
        <v>600</v>
      </c>
      <c r="D35" s="8">
        <f t="shared" ref="D35" si="11">+D31+D34</f>
        <v>488.33000000000004</v>
      </c>
      <c r="E35" s="8">
        <f>+E31+E34</f>
        <v>544.30999999999995</v>
      </c>
      <c r="G35" s="103" t="s">
        <v>74</v>
      </c>
      <c r="H35" s="92">
        <f>+SUM(H33:H34)</f>
        <v>700</v>
      </c>
      <c r="I35" s="92">
        <f>+SUM(I33:I34)</f>
        <v>490</v>
      </c>
      <c r="J35" s="92">
        <f>+SUM(J33:J34)</f>
        <v>470</v>
      </c>
    </row>
    <row r="36" spans="2:11" ht="17" thickBot="1">
      <c r="B36" s="5" t="s">
        <v>47</v>
      </c>
      <c r="C36" s="6">
        <v>500</v>
      </c>
      <c r="D36" s="6">
        <v>600</v>
      </c>
      <c r="E36" s="6">
        <v>300</v>
      </c>
      <c r="G36" s="119" t="s">
        <v>75</v>
      </c>
      <c r="H36" s="120"/>
      <c r="I36" s="121">
        <f>+I35-H35</f>
        <v>-210</v>
      </c>
      <c r="J36" s="121">
        <f>+J35-I35</f>
        <v>-20</v>
      </c>
    </row>
    <row r="37" spans="2:11" ht="17" thickBot="1">
      <c r="B37" s="5" t="s">
        <v>48</v>
      </c>
      <c r="C37" s="6">
        <v>1278</v>
      </c>
      <c r="D37" s="6">
        <v>2020.6</v>
      </c>
      <c r="E37" s="6">
        <v>2715.27</v>
      </c>
    </row>
    <row r="38" spans="2:11" ht="17" thickBot="1">
      <c r="B38" s="7" t="s">
        <v>49</v>
      </c>
      <c r="C38" s="8">
        <f>+C35+C36+C37</f>
        <v>2378</v>
      </c>
      <c r="D38" s="8">
        <f t="shared" ref="D38:E38" si="12">+D35+D36+D37</f>
        <v>3108.93</v>
      </c>
      <c r="E38" s="8">
        <f t="shared" si="12"/>
        <v>3559.58</v>
      </c>
      <c r="G38" t="s">
        <v>105</v>
      </c>
      <c r="I38" s="17">
        <f>I31-I36</f>
        <v>-2.2737367544323206E-13</v>
      </c>
      <c r="J38" s="17">
        <f>J31-J36</f>
        <v>3.4106051316484809E-13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7F430-68C0-46A3-8724-9F09AE2314BF}">
  <dimension ref="B1:H107"/>
  <sheetViews>
    <sheetView topLeftCell="A2" workbookViewId="0">
      <selection activeCell="C93" sqref="C93"/>
    </sheetView>
  </sheetViews>
  <sheetFormatPr baseColWidth="10" defaultColWidth="8.83203125" defaultRowHeight="15"/>
  <cols>
    <col min="2" max="2" width="22.6640625" bestFit="1" customWidth="1"/>
    <col min="3" max="3" width="45.1640625" bestFit="1" customWidth="1"/>
    <col min="4" max="4" width="9.5" bestFit="1" customWidth="1"/>
    <col min="5" max="5" width="9.5" style="140" bestFit="1" customWidth="1"/>
    <col min="6" max="6" width="8.6640625" style="140"/>
    <col min="8" max="8" width="13.5" bestFit="1" customWidth="1"/>
  </cols>
  <sheetData>
    <row r="1" spans="2:3" ht="16" thickBot="1"/>
    <row r="2" spans="2:3" ht="18">
      <c r="B2" s="248" t="str">
        <f>+[1]Admin!C12</f>
        <v>Date</v>
      </c>
      <c r="C2" s="249"/>
    </row>
    <row r="3" spans="2:3" ht="18">
      <c r="B3" s="250" t="str">
        <f>+[1]Admin!C13</f>
        <v>Student name</v>
      </c>
      <c r="C3" s="141"/>
    </row>
    <row r="4" spans="2:3" ht="18">
      <c r="B4" s="250" t="str">
        <f>+[1]Admin!C14</f>
        <v>Neptun code</v>
      </c>
      <c r="C4" s="141"/>
    </row>
    <row r="5" spans="2:3" ht="18">
      <c r="B5" s="250"/>
      <c r="C5" s="142"/>
    </row>
    <row r="6" spans="2:3" ht="18">
      <c r="B6" s="250" t="str">
        <f>+[1]Admin!C16</f>
        <v>Study program</v>
      </c>
      <c r="C6" s="142" t="str">
        <f>+[1]Admin!D16</f>
        <v>Master in Finance</v>
      </c>
    </row>
    <row r="7" spans="2:3" ht="19" thickBot="1">
      <c r="B7" s="251" t="str">
        <f>+[1]Admin!C17</f>
        <v>Instructor</v>
      </c>
      <c r="C7" s="143" t="str">
        <f>+[1]Admin!D17</f>
        <v>Péter Juhász, PhD, CFA</v>
      </c>
    </row>
    <row r="8" spans="2:3" ht="16" thickBot="1"/>
    <row r="9" spans="2:3" ht="21" thickBot="1">
      <c r="B9" s="1" t="s">
        <v>114</v>
      </c>
      <c r="C9" s="2"/>
    </row>
    <row r="17" spans="2:8" ht="16" thickBot="1"/>
    <row r="18" spans="2:8" ht="17" thickBot="1">
      <c r="C18" s="3"/>
      <c r="D18" s="4">
        <v>2018</v>
      </c>
      <c r="E18" s="400">
        <v>2019</v>
      </c>
      <c r="F18" s="400">
        <v>2020</v>
      </c>
      <c r="H18" s="338" t="s">
        <v>115</v>
      </c>
    </row>
    <row r="19" spans="2:8" ht="17" thickBot="1">
      <c r="C19" s="401" t="s">
        <v>20</v>
      </c>
      <c r="D19" s="402">
        <v>12000</v>
      </c>
      <c r="E19" s="403">
        <v>13500</v>
      </c>
      <c r="F19" s="403">
        <v>15000</v>
      </c>
    </row>
    <row r="20" spans="2:8" ht="17" thickBot="1">
      <c r="C20" s="401" t="s">
        <v>21</v>
      </c>
      <c r="D20" s="402">
        <v>170</v>
      </c>
      <c r="E20" s="403">
        <v>250</v>
      </c>
      <c r="F20" s="403">
        <v>300</v>
      </c>
      <c r="H20" s="404" t="s">
        <v>116</v>
      </c>
    </row>
    <row r="21" spans="2:8" ht="17" thickBot="1">
      <c r="C21" s="405" t="s">
        <v>117</v>
      </c>
      <c r="D21" s="406">
        <v>50</v>
      </c>
      <c r="E21" s="407">
        <v>100</v>
      </c>
      <c r="F21" s="407">
        <v>150</v>
      </c>
    </row>
    <row r="22" spans="2:8" ht="17" thickBot="1">
      <c r="C22" s="408" t="s">
        <v>118</v>
      </c>
      <c r="D22" s="409">
        <f>D20-D21</f>
        <v>120</v>
      </c>
      <c r="E22" s="410">
        <f t="shared" ref="E22:F22" si="0">E20-E21</f>
        <v>150</v>
      </c>
      <c r="F22" s="410">
        <f t="shared" si="0"/>
        <v>150</v>
      </c>
    </row>
    <row r="23" spans="2:8" ht="17" thickBot="1">
      <c r="C23" s="401" t="s">
        <v>22</v>
      </c>
      <c r="D23" s="402">
        <v>7680</v>
      </c>
      <c r="E23" s="403">
        <v>8580</v>
      </c>
      <c r="F23" s="403">
        <v>9300</v>
      </c>
      <c r="H23" s="411" t="s">
        <v>119</v>
      </c>
    </row>
    <row r="24" spans="2:8" ht="17" thickBot="1">
      <c r="C24" s="401" t="s">
        <v>23</v>
      </c>
      <c r="D24" s="402">
        <v>3840</v>
      </c>
      <c r="E24" s="403">
        <v>3960</v>
      </c>
      <c r="F24" s="403">
        <v>4200</v>
      </c>
      <c r="H24" s="63" t="s">
        <v>120</v>
      </c>
    </row>
    <row r="25" spans="2:8" ht="17" thickBot="1">
      <c r="B25" s="63"/>
      <c r="C25" s="412" t="s">
        <v>24</v>
      </c>
      <c r="D25" s="409">
        <v>250</v>
      </c>
      <c r="E25" s="410">
        <v>150</v>
      </c>
      <c r="F25" s="410">
        <v>180</v>
      </c>
      <c r="H25" s="65" t="s">
        <v>121</v>
      </c>
    </row>
    <row r="26" spans="2:8" ht="17" thickBot="1">
      <c r="C26" s="401" t="s">
        <v>106</v>
      </c>
      <c r="D26" s="402">
        <v>50</v>
      </c>
      <c r="E26" s="403">
        <v>70</v>
      </c>
      <c r="F26" s="403">
        <v>80</v>
      </c>
    </row>
    <row r="27" spans="2:8" ht="17" thickBot="1">
      <c r="C27" s="405" t="s">
        <v>122</v>
      </c>
      <c r="D27" s="406">
        <v>0</v>
      </c>
      <c r="E27" s="407">
        <v>50</v>
      </c>
      <c r="F27" s="407">
        <v>30</v>
      </c>
    </row>
    <row r="28" spans="2:8" ht="17" thickBot="1">
      <c r="C28" s="408" t="s">
        <v>123</v>
      </c>
      <c r="D28" s="409">
        <f>D26-D27</f>
        <v>50</v>
      </c>
      <c r="E28" s="410">
        <f t="shared" ref="E28:F28" si="1">E26-E27</f>
        <v>20</v>
      </c>
      <c r="F28" s="410">
        <f t="shared" si="1"/>
        <v>50</v>
      </c>
    </row>
    <row r="29" spans="2:8" ht="17" thickBot="1">
      <c r="B29" s="413" t="s">
        <v>124</v>
      </c>
      <c r="C29" s="414" t="s">
        <v>25</v>
      </c>
      <c r="D29" s="415">
        <f>+D19+D20-D23-D24-D25-D26</f>
        <v>350</v>
      </c>
      <c r="E29" s="416">
        <f>+E19+E20-E23-E24-E25-E26</f>
        <v>990</v>
      </c>
      <c r="F29" s="416">
        <f>+F19+F20-F23-F24-F25-F26</f>
        <v>1540</v>
      </c>
    </row>
    <row r="30" spans="2:8" ht="17" thickBot="1">
      <c r="C30" s="417" t="s">
        <v>26</v>
      </c>
      <c r="D30" s="418">
        <v>0</v>
      </c>
      <c r="E30" s="419">
        <v>0</v>
      </c>
      <c r="F30" s="419">
        <v>0</v>
      </c>
    </row>
    <row r="31" spans="2:8" ht="17" thickBot="1">
      <c r="C31" s="417" t="s">
        <v>27</v>
      </c>
      <c r="D31" s="418">
        <v>0</v>
      </c>
      <c r="E31" s="419">
        <v>50</v>
      </c>
      <c r="F31" s="419">
        <v>0</v>
      </c>
    </row>
    <row r="32" spans="2:8" ht="17" thickBot="1">
      <c r="C32" s="401" t="s">
        <v>84</v>
      </c>
      <c r="D32" s="402">
        <v>80</v>
      </c>
      <c r="E32" s="403">
        <v>85</v>
      </c>
      <c r="F32" s="403">
        <v>40</v>
      </c>
    </row>
    <row r="33" spans="3:6" ht="17" thickBot="1">
      <c r="C33" s="408" t="s">
        <v>108</v>
      </c>
      <c r="D33" s="409">
        <v>10</v>
      </c>
      <c r="E33" s="410">
        <v>8</v>
      </c>
      <c r="F33" s="410">
        <v>12</v>
      </c>
    </row>
    <row r="34" spans="3:6" ht="17" thickBot="1">
      <c r="C34" s="420" t="s">
        <v>125</v>
      </c>
      <c r="D34" s="421">
        <f>D32-D33</f>
        <v>70</v>
      </c>
      <c r="E34" s="422">
        <f t="shared" ref="E34:F34" si="2">E32-E33</f>
        <v>77</v>
      </c>
      <c r="F34" s="422">
        <f t="shared" si="2"/>
        <v>28</v>
      </c>
    </row>
    <row r="35" spans="3:6" ht="17" thickBot="1">
      <c r="C35" s="423" t="s">
        <v>30</v>
      </c>
      <c r="D35" s="424">
        <f>+D30+D31-D32</f>
        <v>-80</v>
      </c>
      <c r="E35" s="425">
        <f t="shared" ref="E35:F35" si="3">+E30+E31-E32</f>
        <v>-35</v>
      </c>
      <c r="F35" s="425">
        <f t="shared" si="3"/>
        <v>-40</v>
      </c>
    </row>
    <row r="36" spans="3:6" ht="17" thickBot="1">
      <c r="C36" s="401" t="s">
        <v>31</v>
      </c>
      <c r="D36" s="402">
        <f>+D35+D29</f>
        <v>270</v>
      </c>
      <c r="E36" s="403">
        <f t="shared" ref="E36:F36" si="4">+E35+E29</f>
        <v>955</v>
      </c>
      <c r="F36" s="403">
        <f t="shared" si="4"/>
        <v>1500</v>
      </c>
    </row>
    <row r="37" spans="3:6" ht="17" thickBot="1">
      <c r="C37" s="5" t="s">
        <v>32</v>
      </c>
      <c r="D37" s="6">
        <v>27</v>
      </c>
      <c r="E37" s="426">
        <v>85</v>
      </c>
      <c r="F37" s="426">
        <v>100</v>
      </c>
    </row>
    <row r="38" spans="3:6" ht="17" thickBot="1">
      <c r="C38" s="423" t="s">
        <v>33</v>
      </c>
      <c r="D38" s="424">
        <f>+D36-D37</f>
        <v>243</v>
      </c>
      <c r="E38" s="425">
        <f t="shared" ref="E38:F38" si="5">+E36-E37</f>
        <v>870</v>
      </c>
      <c r="F38" s="425">
        <f t="shared" si="5"/>
        <v>1400</v>
      </c>
    </row>
    <row r="39" spans="3:6" ht="17" thickBot="1">
      <c r="C39" s="427" t="s">
        <v>34</v>
      </c>
      <c r="D39" s="421">
        <v>10</v>
      </c>
      <c r="E39" s="422">
        <v>600</v>
      </c>
      <c r="F39" s="422">
        <v>850</v>
      </c>
    </row>
    <row r="40" spans="3:6" ht="17" thickBot="1">
      <c r="C40" s="427" t="s">
        <v>35</v>
      </c>
      <c r="D40" s="421">
        <f>+D38-D39</f>
        <v>233</v>
      </c>
      <c r="E40" s="422">
        <f t="shared" ref="E40:F40" si="6">+E38-E39</f>
        <v>270</v>
      </c>
      <c r="F40" s="422">
        <f t="shared" si="6"/>
        <v>550</v>
      </c>
    </row>
    <row r="41" spans="3:6" ht="17" thickBot="1">
      <c r="C41" s="9"/>
      <c r="D41" s="10"/>
      <c r="E41" s="428"/>
      <c r="F41" s="428"/>
    </row>
    <row r="42" spans="3:6" ht="17" thickBot="1">
      <c r="C42" s="401" t="s">
        <v>36</v>
      </c>
      <c r="D42" s="402">
        <v>200</v>
      </c>
      <c r="E42" s="403">
        <v>300</v>
      </c>
      <c r="F42" s="403">
        <v>250</v>
      </c>
    </row>
    <row r="43" spans="3:6" ht="17" thickBot="1">
      <c r="C43" s="408" t="s">
        <v>37</v>
      </c>
      <c r="D43" s="409">
        <v>100</v>
      </c>
      <c r="E43" s="410">
        <v>110</v>
      </c>
      <c r="F43" s="410">
        <v>130</v>
      </c>
    </row>
    <row r="44" spans="3:6" ht="17" thickBot="1">
      <c r="C44" s="405" t="s">
        <v>73</v>
      </c>
      <c r="D44" s="406">
        <f>D42-D43</f>
        <v>100</v>
      </c>
      <c r="E44" s="407">
        <f t="shared" ref="E44:F44" si="7">E42-E43</f>
        <v>190</v>
      </c>
      <c r="F44" s="407">
        <f t="shared" si="7"/>
        <v>120</v>
      </c>
    </row>
    <row r="45" spans="3:6" ht="17" thickBot="1">
      <c r="C45" s="417" t="s">
        <v>38</v>
      </c>
      <c r="D45" s="418">
        <v>0</v>
      </c>
      <c r="E45" s="419">
        <v>0</v>
      </c>
      <c r="F45" s="419">
        <v>0</v>
      </c>
    </row>
    <row r="46" spans="3:6" ht="17" thickBot="1">
      <c r="C46" s="412" t="s">
        <v>39</v>
      </c>
      <c r="D46" s="409">
        <v>300</v>
      </c>
      <c r="E46" s="410">
        <v>400</v>
      </c>
      <c r="F46" s="410">
        <v>500</v>
      </c>
    </row>
    <row r="47" spans="3:6" ht="17" thickBot="1">
      <c r="C47" s="412" t="s">
        <v>40</v>
      </c>
      <c r="D47" s="409">
        <v>250</v>
      </c>
      <c r="E47" s="410">
        <v>300</v>
      </c>
      <c r="F47" s="410">
        <v>400</v>
      </c>
    </row>
    <row r="48" spans="3:6" ht="17" thickBot="1">
      <c r="C48" s="423" t="s">
        <v>41</v>
      </c>
      <c r="D48" s="429">
        <f>+D42+D45+D46+D47</f>
        <v>750</v>
      </c>
      <c r="E48" s="430">
        <f t="shared" ref="E48:F48" si="8">+E42+E45+E46+E47</f>
        <v>1000</v>
      </c>
      <c r="F48" s="430">
        <f t="shared" si="8"/>
        <v>1150</v>
      </c>
    </row>
    <row r="49" spans="2:6" ht="17" thickBot="1">
      <c r="C49" s="417" t="s">
        <v>42</v>
      </c>
      <c r="D49" s="418">
        <v>1000</v>
      </c>
      <c r="E49" s="419">
        <v>1200</v>
      </c>
      <c r="F49" s="419">
        <v>1500</v>
      </c>
    </row>
    <row r="50" spans="2:6" ht="17" thickBot="1">
      <c r="C50" s="423" t="s">
        <v>43</v>
      </c>
      <c r="D50" s="424">
        <f>+D49+D48</f>
        <v>1750</v>
      </c>
      <c r="E50" s="425">
        <f t="shared" ref="E50:F50" si="9">+E49+E48</f>
        <v>2200</v>
      </c>
      <c r="F50" s="425">
        <f t="shared" si="9"/>
        <v>2650</v>
      </c>
    </row>
    <row r="51" spans="2:6" ht="17" thickBot="1">
      <c r="C51" s="401" t="s">
        <v>44</v>
      </c>
      <c r="D51" s="402">
        <v>300</v>
      </c>
      <c r="E51" s="403">
        <v>250</v>
      </c>
      <c r="F51" s="403">
        <v>100</v>
      </c>
    </row>
    <row r="52" spans="2:6" ht="17" thickBot="1">
      <c r="C52" s="408" t="s">
        <v>112</v>
      </c>
      <c r="D52" s="409">
        <v>80</v>
      </c>
      <c r="E52" s="410">
        <v>120</v>
      </c>
      <c r="F52" s="410">
        <v>50</v>
      </c>
    </row>
    <row r="53" spans="2:6" ht="17" thickBot="1">
      <c r="C53" s="420" t="s">
        <v>126</v>
      </c>
      <c r="D53" s="421">
        <f>D51-D52</f>
        <v>220</v>
      </c>
      <c r="E53" s="422">
        <f t="shared" ref="E53:F53" si="10">E51-E52</f>
        <v>130</v>
      </c>
      <c r="F53" s="422">
        <f t="shared" si="10"/>
        <v>50</v>
      </c>
    </row>
    <row r="54" spans="2:6" ht="17" thickBot="1">
      <c r="C54" s="412" t="s">
        <v>45</v>
      </c>
      <c r="D54" s="409">
        <v>300</v>
      </c>
      <c r="E54" s="410">
        <v>320</v>
      </c>
      <c r="F54" s="410">
        <v>400</v>
      </c>
    </row>
    <row r="55" spans="2:6" ht="17" thickBot="1">
      <c r="C55" s="423" t="s">
        <v>46</v>
      </c>
      <c r="D55" s="424">
        <f>+D51+D54</f>
        <v>600</v>
      </c>
      <c r="E55" s="425">
        <f t="shared" ref="E55" si="11">+E51+E54</f>
        <v>570</v>
      </c>
      <c r="F55" s="425">
        <f>+F51+F54</f>
        <v>500</v>
      </c>
    </row>
    <row r="56" spans="2:6" ht="17" thickBot="1">
      <c r="C56" s="427" t="s">
        <v>47</v>
      </c>
      <c r="D56" s="421">
        <v>500</v>
      </c>
      <c r="E56" s="422">
        <v>600</v>
      </c>
      <c r="F56" s="422">
        <v>300</v>
      </c>
    </row>
    <row r="57" spans="2:6" ht="17" thickBot="1">
      <c r="C57" s="427" t="s">
        <v>48</v>
      </c>
      <c r="D57" s="421">
        <f>+D50-D55-D56</f>
        <v>650</v>
      </c>
      <c r="E57" s="422">
        <f t="shared" ref="E57:F57" si="12">+E50-E55-E56</f>
        <v>1030</v>
      </c>
      <c r="F57" s="422">
        <f t="shared" si="12"/>
        <v>1850</v>
      </c>
    </row>
    <row r="58" spans="2:6" ht="17" thickBot="1">
      <c r="C58" s="423" t="s">
        <v>49</v>
      </c>
      <c r="D58" s="424">
        <f>+D55+D56+D57</f>
        <v>1750</v>
      </c>
      <c r="E58" s="425">
        <f t="shared" ref="E58:F58" si="13">+E55+E56+E57</f>
        <v>2200</v>
      </c>
      <c r="F58" s="425">
        <f t="shared" si="13"/>
        <v>2650</v>
      </c>
    </row>
    <row r="60" spans="2:6">
      <c r="C60" t="s">
        <v>127</v>
      </c>
      <c r="E60" s="310">
        <f>E37/E36</f>
        <v>8.9005235602094238E-2</v>
      </c>
      <c r="F60" s="310">
        <f>F37/F36</f>
        <v>6.6666666666666666E-2</v>
      </c>
    </row>
    <row r="63" spans="2:6" ht="16">
      <c r="C63" s="431" t="s">
        <v>25</v>
      </c>
      <c r="E63" s="432">
        <f>E29</f>
        <v>990</v>
      </c>
      <c r="F63" s="140">
        <f>F29</f>
        <v>1540</v>
      </c>
    </row>
    <row r="64" spans="2:6" ht="16">
      <c r="B64" t="s">
        <v>128</v>
      </c>
      <c r="C64" s="433" t="s">
        <v>129</v>
      </c>
      <c r="D64" s="17"/>
      <c r="E64" s="432">
        <f>-E21</f>
        <v>-100</v>
      </c>
      <c r="F64" s="432">
        <f>-F21</f>
        <v>-150</v>
      </c>
    </row>
    <row r="65" spans="2:6" ht="16">
      <c r="B65" t="s">
        <v>128</v>
      </c>
      <c r="C65" s="434" t="s">
        <v>130</v>
      </c>
      <c r="E65" s="432">
        <f>E27</f>
        <v>50</v>
      </c>
      <c r="F65" s="432">
        <f>F27</f>
        <v>30</v>
      </c>
    </row>
    <row r="66" spans="2:6" ht="16">
      <c r="B66" t="s">
        <v>128</v>
      </c>
      <c r="C66" s="435" t="s">
        <v>131</v>
      </c>
      <c r="D66" s="436"/>
      <c r="E66" s="437">
        <f>-E33</f>
        <v>-8</v>
      </c>
      <c r="F66" s="437">
        <f>-F33</f>
        <v>-12</v>
      </c>
    </row>
    <row r="67" spans="2:6" ht="16">
      <c r="B67" t="s">
        <v>132</v>
      </c>
      <c r="C67" s="199" t="s">
        <v>80</v>
      </c>
      <c r="E67" s="432">
        <f>SUM(E63:E66)</f>
        <v>932</v>
      </c>
      <c r="F67" s="140">
        <f>SUM(F63:F66)</f>
        <v>1408</v>
      </c>
    </row>
    <row r="68" spans="2:6" ht="16">
      <c r="B68" t="s">
        <v>133</v>
      </c>
      <c r="C68" s="438" t="s">
        <v>134</v>
      </c>
      <c r="D68" s="436"/>
      <c r="E68" s="439">
        <f>-E67*E$60</f>
        <v>-82.952879581151834</v>
      </c>
      <c r="F68" s="439">
        <f>-F67*F$60</f>
        <v>-93.86666666666666</v>
      </c>
    </row>
    <row r="69" spans="2:6" ht="16">
      <c r="B69" t="s">
        <v>132</v>
      </c>
      <c r="C69" s="199" t="s">
        <v>52</v>
      </c>
      <c r="E69" s="323">
        <f>SUM(E67:E68)</f>
        <v>849.04712041884818</v>
      </c>
      <c r="F69" s="323">
        <f>SUM(F67:F68)</f>
        <v>1314.1333333333334</v>
      </c>
    </row>
    <row r="70" spans="2:6" ht="16">
      <c r="B70" t="s">
        <v>128</v>
      </c>
      <c r="C70" s="440" t="s">
        <v>24</v>
      </c>
      <c r="E70" s="432">
        <f>E25</f>
        <v>150</v>
      </c>
      <c r="F70" s="432">
        <f>F25</f>
        <v>180</v>
      </c>
    </row>
    <row r="71" spans="2:6" ht="16">
      <c r="B71" t="s">
        <v>135</v>
      </c>
      <c r="C71" s="441" t="s">
        <v>136</v>
      </c>
      <c r="E71" s="432">
        <f>D43-E43</f>
        <v>-10</v>
      </c>
      <c r="F71" s="432">
        <f>E43-F43</f>
        <v>-20</v>
      </c>
    </row>
    <row r="72" spans="2:6" ht="16">
      <c r="B72" t="s">
        <v>135</v>
      </c>
      <c r="C72" s="441" t="s">
        <v>137</v>
      </c>
      <c r="E72" s="432">
        <f>D46-E46</f>
        <v>-100</v>
      </c>
      <c r="F72" s="432">
        <f>E46-F46</f>
        <v>-100</v>
      </c>
    </row>
    <row r="73" spans="2:6" ht="16">
      <c r="B73" t="s">
        <v>135</v>
      </c>
      <c r="C73" s="441" t="s">
        <v>138</v>
      </c>
      <c r="E73" s="432">
        <f>D47-E47</f>
        <v>-50</v>
      </c>
      <c r="F73" s="432">
        <f>E47-F47</f>
        <v>-100</v>
      </c>
    </row>
    <row r="74" spans="2:6" ht="16">
      <c r="B74" t="s">
        <v>139</v>
      </c>
      <c r="C74" s="440" t="s">
        <v>140</v>
      </c>
      <c r="E74" s="432">
        <f>E52-D52</f>
        <v>40</v>
      </c>
      <c r="F74" s="432">
        <f>F52-E52</f>
        <v>-70</v>
      </c>
    </row>
    <row r="75" spans="2:6" ht="16">
      <c r="B75" t="s">
        <v>139</v>
      </c>
      <c r="C75" s="442" t="s">
        <v>141</v>
      </c>
      <c r="D75" s="436"/>
      <c r="E75" s="437">
        <f>E54-D54</f>
        <v>20</v>
      </c>
      <c r="F75" s="437">
        <f>F54-E54</f>
        <v>80</v>
      </c>
    </row>
    <row r="76" spans="2:6" ht="16">
      <c r="B76" t="s">
        <v>132</v>
      </c>
      <c r="C76" s="443" t="s">
        <v>142</v>
      </c>
      <c r="E76" s="444">
        <f>SUM(E69:E75)</f>
        <v>899.04712041884818</v>
      </c>
      <c r="F76" s="444">
        <f>SUM(F69:F75)</f>
        <v>1284.1333333333334</v>
      </c>
    </row>
    <row r="77" spans="2:6">
      <c r="E77" s="323"/>
      <c r="F77" s="323"/>
    </row>
    <row r="78" spans="2:6" ht="16">
      <c r="B78" t="s">
        <v>135</v>
      </c>
      <c r="C78" s="445" t="s">
        <v>143</v>
      </c>
      <c r="E78" s="323">
        <f>D45-E45</f>
        <v>0</v>
      </c>
      <c r="F78" s="323">
        <f>E45-F45</f>
        <v>0</v>
      </c>
    </row>
    <row r="79" spans="2:6" ht="16">
      <c r="B79" t="s">
        <v>135</v>
      </c>
      <c r="C79" s="445" t="s">
        <v>144</v>
      </c>
      <c r="E79" s="323">
        <f>D49-E49</f>
        <v>-200</v>
      </c>
      <c r="F79" s="323">
        <f>E49-F49</f>
        <v>-300</v>
      </c>
    </row>
    <row r="80" spans="2:6" ht="16">
      <c r="B80" t="s">
        <v>128</v>
      </c>
      <c r="C80" s="445" t="str">
        <f>C70</f>
        <v>D&amp;A</v>
      </c>
      <c r="D80" s="446"/>
      <c r="E80" s="447">
        <f>-E70</f>
        <v>-150</v>
      </c>
      <c r="F80" s="447">
        <f t="shared" ref="F80" si="14">-F70</f>
        <v>-180</v>
      </c>
    </row>
    <row r="81" spans="2:6" ht="16">
      <c r="B81" t="s">
        <v>128</v>
      </c>
      <c r="C81" s="448" t="s">
        <v>26</v>
      </c>
      <c r="E81" s="323">
        <f>E30</f>
        <v>0</v>
      </c>
      <c r="F81" s="323">
        <f>F30</f>
        <v>0</v>
      </c>
    </row>
    <row r="82" spans="2:6" ht="16">
      <c r="B82" t="s">
        <v>145</v>
      </c>
      <c r="C82" s="449" t="s">
        <v>146</v>
      </c>
      <c r="E82" s="323">
        <f>-E81*E60</f>
        <v>0</v>
      </c>
      <c r="F82" s="323">
        <f>-F81*F60</f>
        <v>0</v>
      </c>
    </row>
    <row r="83" spans="2:6" ht="16">
      <c r="B83" t="s">
        <v>128</v>
      </c>
      <c r="C83" s="448" t="s">
        <v>27</v>
      </c>
      <c r="E83" s="323">
        <f>E31</f>
        <v>50</v>
      </c>
      <c r="F83" s="323">
        <f>F31</f>
        <v>0</v>
      </c>
    </row>
    <row r="84" spans="2:6" ht="16">
      <c r="B84" t="s">
        <v>147</v>
      </c>
      <c r="C84" s="450" t="s">
        <v>148</v>
      </c>
      <c r="D84" s="436"/>
      <c r="E84" s="439">
        <f>-E83*E60</f>
        <v>-4.4502617801047117</v>
      </c>
      <c r="F84" s="439">
        <f>-F83*F60</f>
        <v>0</v>
      </c>
    </row>
    <row r="85" spans="2:6" ht="16">
      <c r="C85" s="451" t="s">
        <v>64</v>
      </c>
      <c r="E85" s="444">
        <f>SUM(E78:E84)</f>
        <v>-304.45026178010471</v>
      </c>
      <c r="F85" s="444">
        <f>SUM(F78:F84)</f>
        <v>-480</v>
      </c>
    </row>
    <row r="87" spans="2:6" ht="16">
      <c r="C87" s="189" t="s">
        <v>65</v>
      </c>
      <c r="E87" s="452">
        <f>E76+E85</f>
        <v>594.59685863874347</v>
      </c>
      <c r="F87" s="452">
        <f>F76+F85</f>
        <v>804.13333333333344</v>
      </c>
    </row>
    <row r="89" spans="2:6" ht="16">
      <c r="C89" s="453" t="s">
        <v>149</v>
      </c>
      <c r="E89" s="323">
        <f>-E34</f>
        <v>-77</v>
      </c>
      <c r="F89" s="323">
        <f>-F34</f>
        <v>-28</v>
      </c>
    </row>
    <row r="90" spans="2:6" ht="16">
      <c r="C90" s="454" t="s">
        <v>150</v>
      </c>
      <c r="E90" s="323">
        <f>-E89*E60</f>
        <v>6.8534031413612562</v>
      </c>
      <c r="F90" s="323">
        <f>-F89*F60</f>
        <v>1.8666666666666667</v>
      </c>
    </row>
    <row r="91" spans="2:6" ht="16">
      <c r="C91" s="455" t="s">
        <v>151</v>
      </c>
      <c r="E91" s="432">
        <f>E53-D53</f>
        <v>-90</v>
      </c>
      <c r="F91" s="432">
        <f>F53-E53</f>
        <v>-80</v>
      </c>
    </row>
    <row r="92" spans="2:6" ht="16">
      <c r="C92" s="456" t="s">
        <v>152</v>
      </c>
      <c r="D92" s="436"/>
      <c r="E92" s="437">
        <f>E56-D56</f>
        <v>100</v>
      </c>
      <c r="F92" s="437">
        <f>F56-E56</f>
        <v>-300</v>
      </c>
    </row>
    <row r="93" spans="2:6" ht="16">
      <c r="C93" s="457" t="s">
        <v>69</v>
      </c>
      <c r="E93" s="444">
        <f>+SUM(E87:E92)</f>
        <v>534.45026178010471</v>
      </c>
      <c r="F93" s="444">
        <f>+SUM(F87:F92)</f>
        <v>398.00000000000011</v>
      </c>
    </row>
    <row r="94" spans="2:6" ht="16">
      <c r="C94" s="453" t="s">
        <v>34</v>
      </c>
      <c r="E94" s="432">
        <f>-E39</f>
        <v>-600</v>
      </c>
      <c r="F94" s="432">
        <f>-F39</f>
        <v>-850</v>
      </c>
    </row>
    <row r="95" spans="2:6" ht="17" thickBot="1">
      <c r="C95" s="458" t="s">
        <v>153</v>
      </c>
      <c r="E95" s="432">
        <f>E57-D57-E40</f>
        <v>110</v>
      </c>
      <c r="F95" s="432">
        <f>F57-E57-F40</f>
        <v>270</v>
      </c>
    </row>
    <row r="96" spans="2:6" ht="17" thickBot="1">
      <c r="C96" s="459" t="s">
        <v>154</v>
      </c>
      <c r="D96" s="460"/>
      <c r="E96" s="461">
        <f>SUM(E93:E95)</f>
        <v>44.450261780104711</v>
      </c>
      <c r="F96" s="462">
        <f>SUM(F93:F95)</f>
        <v>-181.99999999999989</v>
      </c>
    </row>
    <row r="98" spans="2:6" ht="16">
      <c r="C98" s="434" t="s">
        <v>155</v>
      </c>
      <c r="E98" s="323">
        <f>E21</f>
        <v>100</v>
      </c>
      <c r="F98" s="323">
        <f>F21</f>
        <v>150</v>
      </c>
    </row>
    <row r="99" spans="2:6" ht="16">
      <c r="C99" s="463" t="s">
        <v>156</v>
      </c>
      <c r="E99" s="323">
        <f>-E98*E60</f>
        <v>-8.9005235602094235</v>
      </c>
      <c r="F99" s="323">
        <f>-F98*F60</f>
        <v>-10</v>
      </c>
    </row>
    <row r="100" spans="2:6" ht="16">
      <c r="C100" s="433" t="s">
        <v>157</v>
      </c>
      <c r="E100" s="323">
        <f>-E27</f>
        <v>-50</v>
      </c>
      <c r="F100" s="323">
        <f>-F27</f>
        <v>-30</v>
      </c>
    </row>
    <row r="101" spans="2:6" ht="17" thickBot="1">
      <c r="C101" s="464" t="s">
        <v>158</v>
      </c>
      <c r="E101" s="323">
        <f>-E100*E60</f>
        <v>4.4502617801047117</v>
      </c>
      <c r="F101" s="323">
        <f>-F100*F60</f>
        <v>2</v>
      </c>
    </row>
    <row r="102" spans="2:6" ht="17" thickBot="1">
      <c r="C102" s="465" t="s">
        <v>159</v>
      </c>
      <c r="D102" s="466"/>
      <c r="E102" s="467">
        <f>SUM(E98:E101)</f>
        <v>45.549738219895289</v>
      </c>
      <c r="F102" s="468">
        <f>SUM(F98:F101)</f>
        <v>112</v>
      </c>
    </row>
    <row r="103" spans="2:6" ht="17" thickBot="1">
      <c r="C103" s="172"/>
      <c r="D103" s="172"/>
      <c r="E103" s="469"/>
      <c r="F103" s="469"/>
    </row>
    <row r="104" spans="2:6" ht="17" thickBot="1">
      <c r="C104" s="465" t="s">
        <v>160</v>
      </c>
      <c r="D104" s="466"/>
      <c r="E104" s="467">
        <f>E96+E102</f>
        <v>90</v>
      </c>
      <c r="F104" s="468">
        <f>F96+F102</f>
        <v>-69.999999999999886</v>
      </c>
    </row>
    <row r="105" spans="2:6" ht="6.75" customHeight="1" thickBot="1">
      <c r="C105" s="172"/>
      <c r="E105" s="323"/>
      <c r="F105" s="323"/>
    </row>
    <row r="106" spans="2:6" ht="17" thickBot="1">
      <c r="C106" s="470" t="s">
        <v>161</v>
      </c>
      <c r="D106" s="471"/>
      <c r="E106" s="467">
        <f>E44-D44</f>
        <v>90</v>
      </c>
      <c r="F106" s="468">
        <f>F44-E44</f>
        <v>-70</v>
      </c>
    </row>
    <row r="107" spans="2:6" ht="16">
      <c r="B107" s="472"/>
      <c r="E107" s="323"/>
      <c r="F107" s="32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9DC67-E89B-4E97-9487-2DA66D143E97}">
  <dimension ref="C2:O82"/>
  <sheetViews>
    <sheetView topLeftCell="B69" workbookViewId="0">
      <selection activeCell="C9" sqref="C9"/>
    </sheetView>
  </sheetViews>
  <sheetFormatPr baseColWidth="10" defaultColWidth="8.83203125" defaultRowHeight="15"/>
  <cols>
    <col min="1" max="1" width="3.33203125" customWidth="1"/>
    <col min="2" max="2" width="39" bestFit="1" customWidth="1"/>
    <col min="3" max="3" width="33.33203125" bestFit="1" customWidth="1"/>
    <col min="4" max="4" width="10.1640625" bestFit="1" customWidth="1"/>
    <col min="5" max="6" width="14.1640625" bestFit="1" customWidth="1"/>
    <col min="8" max="8" width="22.83203125" customWidth="1"/>
    <col min="9" max="9" width="8.5" bestFit="1" customWidth="1"/>
    <col min="10" max="10" width="9.5" bestFit="1" customWidth="1"/>
    <col min="11" max="11" width="8.83203125" bestFit="1" customWidth="1"/>
    <col min="13" max="13" width="71.1640625" bestFit="1" customWidth="1"/>
    <col min="14" max="14" width="18.83203125" bestFit="1" customWidth="1"/>
    <col min="15" max="15" width="9.5" bestFit="1" customWidth="1"/>
  </cols>
  <sheetData>
    <row r="2" spans="3:15">
      <c r="O2" s="48"/>
    </row>
    <row r="7" spans="3:15" ht="16" thickBot="1"/>
    <row r="8" spans="3:15" ht="17" thickBot="1">
      <c r="C8" s="589"/>
      <c r="D8" s="590">
        <v>2019</v>
      </c>
      <c r="E8" s="590">
        <v>2020</v>
      </c>
      <c r="F8" s="590">
        <v>2021</v>
      </c>
      <c r="H8" s="591" t="s">
        <v>162</v>
      </c>
      <c r="J8" s="12">
        <v>0.10625</v>
      </c>
      <c r="K8" s="12">
        <v>4.7058823529411764E-2</v>
      </c>
    </row>
    <row r="9" spans="3:15" ht="17" thickBot="1">
      <c r="C9" s="401" t="s">
        <v>36</v>
      </c>
      <c r="D9" s="402">
        <v>400</v>
      </c>
      <c r="E9" s="402">
        <v>450</v>
      </c>
      <c r="F9" s="402">
        <v>520</v>
      </c>
      <c r="H9" s="591" t="s">
        <v>77</v>
      </c>
      <c r="J9" s="12">
        <v>5.991902834008097E-2</v>
      </c>
      <c r="K9" s="12">
        <v>0.15555555555555556</v>
      </c>
    </row>
    <row r="10" spans="3:15" ht="17" thickBot="1">
      <c r="C10" s="401" t="s">
        <v>73</v>
      </c>
      <c r="D10" s="402">
        <v>100</v>
      </c>
      <c r="E10" s="402">
        <v>110</v>
      </c>
      <c r="F10" s="402">
        <v>130</v>
      </c>
      <c r="H10" t="s">
        <v>25</v>
      </c>
      <c r="I10" s="17">
        <v>1250</v>
      </c>
      <c r="J10" s="17">
        <v>1250</v>
      </c>
      <c r="K10" s="17">
        <v>620</v>
      </c>
    </row>
    <row r="11" spans="3:15" ht="17" thickBot="1">
      <c r="C11" s="5" t="s">
        <v>163</v>
      </c>
      <c r="D11" s="592">
        <v>300</v>
      </c>
      <c r="E11" s="592">
        <v>340</v>
      </c>
      <c r="F11" s="592">
        <v>390</v>
      </c>
      <c r="H11" s="591" t="s">
        <v>164</v>
      </c>
      <c r="I11" s="17"/>
      <c r="J11" s="17">
        <v>8</v>
      </c>
      <c r="K11" s="17">
        <v>12</v>
      </c>
    </row>
    <row r="12" spans="3:15" ht="17" thickBot="1">
      <c r="C12" s="401" t="s">
        <v>38</v>
      </c>
      <c r="D12" s="402">
        <v>30</v>
      </c>
      <c r="E12" s="402">
        <v>200</v>
      </c>
      <c r="F12" s="402">
        <v>0</v>
      </c>
      <c r="H12" s="593" t="s">
        <v>165</v>
      </c>
      <c r="I12" s="479"/>
      <c r="J12" s="479">
        <v>1242</v>
      </c>
      <c r="K12" s="479">
        <v>608</v>
      </c>
    </row>
    <row r="13" spans="3:15" ht="17" thickBot="1">
      <c r="C13" s="401" t="s">
        <v>39</v>
      </c>
      <c r="D13" s="402">
        <v>300</v>
      </c>
      <c r="E13" s="402">
        <v>720</v>
      </c>
      <c r="F13" s="402">
        <v>1200</v>
      </c>
      <c r="H13" s="593" t="s">
        <v>166</v>
      </c>
      <c r="I13" s="67"/>
      <c r="J13" s="479">
        <v>1167.5805668016194</v>
      </c>
      <c r="K13" s="479">
        <v>513.42222222222222</v>
      </c>
    </row>
    <row r="14" spans="3:15" ht="17" thickBot="1">
      <c r="C14" s="401" t="s">
        <v>40</v>
      </c>
      <c r="D14" s="402">
        <v>800</v>
      </c>
      <c r="E14" s="402">
        <v>650</v>
      </c>
      <c r="F14" s="402">
        <v>750</v>
      </c>
      <c r="H14" s="594" t="s">
        <v>24</v>
      </c>
      <c r="I14" s="595">
        <v>250</v>
      </c>
      <c r="J14" s="595">
        <v>150</v>
      </c>
      <c r="K14" s="595">
        <v>180</v>
      </c>
    </row>
    <row r="15" spans="3:15" ht="17" thickBot="1">
      <c r="C15" s="423" t="s">
        <v>41</v>
      </c>
      <c r="D15" s="429">
        <v>1530</v>
      </c>
      <c r="E15" s="429">
        <v>2020</v>
      </c>
      <c r="F15" s="429">
        <v>2470</v>
      </c>
      <c r="H15" t="s">
        <v>163</v>
      </c>
      <c r="J15" s="17">
        <v>-40</v>
      </c>
      <c r="K15" s="17">
        <v>-50</v>
      </c>
    </row>
    <row r="16" spans="3:15" ht="17" thickBot="1">
      <c r="C16" s="401" t="s">
        <v>42</v>
      </c>
      <c r="D16" s="402">
        <v>2000</v>
      </c>
      <c r="E16" s="402">
        <v>1900</v>
      </c>
      <c r="F16" s="402">
        <v>1850</v>
      </c>
      <c r="H16" s="593" t="s">
        <v>167</v>
      </c>
      <c r="I16" s="67"/>
      <c r="J16" s="479">
        <v>-420</v>
      </c>
      <c r="K16" s="479">
        <v>-480</v>
      </c>
    </row>
    <row r="17" spans="3:12" ht="17" thickBot="1">
      <c r="C17" s="423" t="s">
        <v>43</v>
      </c>
      <c r="D17" s="424">
        <v>3530</v>
      </c>
      <c r="E17" s="424">
        <v>3920</v>
      </c>
      <c r="F17" s="424">
        <v>4320</v>
      </c>
      <c r="H17" s="67" t="s">
        <v>168</v>
      </c>
      <c r="I17" s="67"/>
      <c r="J17" s="479">
        <v>150</v>
      </c>
      <c r="K17" s="479">
        <v>-100</v>
      </c>
    </row>
    <row r="18" spans="3:12" ht="17" thickBot="1">
      <c r="C18" s="401" t="s">
        <v>44</v>
      </c>
      <c r="D18" s="402">
        <v>300</v>
      </c>
      <c r="E18" s="402">
        <v>250</v>
      </c>
      <c r="F18" s="402">
        <v>100</v>
      </c>
      <c r="H18" s="591" t="s">
        <v>169</v>
      </c>
      <c r="J18" s="17">
        <v>-100</v>
      </c>
      <c r="K18" s="17">
        <v>-100</v>
      </c>
    </row>
    <row r="19" spans="3:12" ht="17" thickBot="1">
      <c r="C19" s="401" t="s">
        <v>126</v>
      </c>
      <c r="D19" s="402">
        <v>100</v>
      </c>
      <c r="E19" s="402">
        <v>150</v>
      </c>
      <c r="F19" s="402">
        <v>100</v>
      </c>
      <c r="H19" s="473" t="s">
        <v>170</v>
      </c>
      <c r="I19" s="473"/>
      <c r="J19" s="596">
        <v>50</v>
      </c>
      <c r="K19" s="596">
        <v>150</v>
      </c>
    </row>
    <row r="20" spans="3:12" ht="17" thickBot="1">
      <c r="C20" s="5" t="s">
        <v>171</v>
      </c>
      <c r="D20" s="592">
        <v>200</v>
      </c>
      <c r="E20" s="592">
        <v>100</v>
      </c>
      <c r="F20" s="592">
        <v>0</v>
      </c>
      <c r="H20" s="593" t="s">
        <v>172</v>
      </c>
      <c r="I20" s="75"/>
      <c r="J20" s="76">
        <v>957.5805668016194</v>
      </c>
      <c r="K20" s="76">
        <v>113.42222222222222</v>
      </c>
    </row>
    <row r="21" spans="3:12" ht="17" thickBot="1">
      <c r="C21" s="401" t="s">
        <v>45</v>
      </c>
      <c r="D21" s="402">
        <v>250</v>
      </c>
      <c r="E21" s="402">
        <v>300</v>
      </c>
      <c r="F21" s="402">
        <v>450</v>
      </c>
      <c r="H21" s="17" t="s">
        <v>24</v>
      </c>
      <c r="I21" s="17">
        <v>-250</v>
      </c>
      <c r="J21" s="17">
        <v>-150</v>
      </c>
      <c r="K21" s="17">
        <v>-180</v>
      </c>
    </row>
    <row r="22" spans="3:12" ht="17" thickBot="1">
      <c r="C22" s="423" t="s">
        <v>46</v>
      </c>
      <c r="D22" s="424">
        <v>550</v>
      </c>
      <c r="E22" s="424">
        <v>550</v>
      </c>
      <c r="F22" s="424">
        <v>550</v>
      </c>
      <c r="H22" t="s">
        <v>173</v>
      </c>
      <c r="J22" s="17">
        <v>100</v>
      </c>
      <c r="K22" s="17">
        <v>50</v>
      </c>
    </row>
    <row r="23" spans="3:12" ht="17" thickBot="1">
      <c r="C23" s="401" t="s">
        <v>47</v>
      </c>
      <c r="D23" s="402">
        <v>500</v>
      </c>
      <c r="E23" s="402">
        <v>600</v>
      </c>
      <c r="F23" s="402">
        <v>300</v>
      </c>
      <c r="H23" s="17" t="s">
        <v>26</v>
      </c>
      <c r="I23" s="17">
        <v>20</v>
      </c>
      <c r="J23" s="17">
        <v>50</v>
      </c>
      <c r="K23" s="17">
        <v>0</v>
      </c>
    </row>
    <row r="24" spans="3:12" ht="17" thickBot="1">
      <c r="C24" s="401" t="s">
        <v>48</v>
      </c>
      <c r="D24" s="402">
        <v>2480</v>
      </c>
      <c r="E24" s="402">
        <v>2770</v>
      </c>
      <c r="F24" s="402">
        <v>3470</v>
      </c>
      <c r="H24" s="17" t="s">
        <v>27</v>
      </c>
      <c r="I24" s="17">
        <v>0</v>
      </c>
      <c r="J24" s="17">
        <v>70</v>
      </c>
      <c r="K24" s="17">
        <v>50</v>
      </c>
    </row>
    <row r="25" spans="3:12" ht="17" thickBot="1">
      <c r="C25" s="423" t="s">
        <v>49</v>
      </c>
      <c r="D25" s="424">
        <v>3530</v>
      </c>
      <c r="E25" s="424">
        <v>3920</v>
      </c>
      <c r="F25" s="424">
        <v>4320</v>
      </c>
      <c r="H25" t="s">
        <v>174</v>
      </c>
      <c r="J25" s="17">
        <v>4.1943319838056681</v>
      </c>
      <c r="K25" s="17">
        <v>7.7777777777777777</v>
      </c>
    </row>
    <row r="26" spans="3:12" ht="17" thickBot="1">
      <c r="C26" s="338"/>
      <c r="D26" s="338"/>
      <c r="E26" s="338"/>
      <c r="F26" s="338"/>
      <c r="H26" s="75" t="s">
        <v>175</v>
      </c>
      <c r="I26" s="75"/>
      <c r="J26" s="76">
        <v>65.805668016194332</v>
      </c>
      <c r="K26" s="76">
        <v>-87.777777777777771</v>
      </c>
    </row>
    <row r="27" spans="3:12" ht="17" thickBot="1">
      <c r="C27" s="589"/>
      <c r="D27" s="590">
        <v>2019</v>
      </c>
      <c r="E27" s="590">
        <v>2020</v>
      </c>
      <c r="F27" s="590">
        <v>2021</v>
      </c>
      <c r="H27" s="24" t="s">
        <v>65</v>
      </c>
      <c r="I27" s="24"/>
      <c r="J27" s="597">
        <v>1023.3862348178137</v>
      </c>
      <c r="K27" s="597">
        <v>25.644444444444446</v>
      </c>
    </row>
    <row r="28" spans="3:12" ht="16">
      <c r="C28" s="598" t="s">
        <v>20</v>
      </c>
      <c r="D28" s="599">
        <v>14000</v>
      </c>
      <c r="E28" s="599">
        <v>15000</v>
      </c>
      <c r="F28" s="599">
        <v>16000</v>
      </c>
      <c r="H28" t="s">
        <v>176</v>
      </c>
      <c r="J28" s="17">
        <v>77</v>
      </c>
      <c r="K28" s="17">
        <v>28</v>
      </c>
    </row>
    <row r="29" spans="3:12" ht="17" thickBot="1">
      <c r="C29" s="401" t="s">
        <v>21</v>
      </c>
      <c r="D29" s="402">
        <v>200</v>
      </c>
      <c r="E29" s="402">
        <v>100</v>
      </c>
      <c r="F29" s="402">
        <v>0</v>
      </c>
      <c r="H29" t="s">
        <v>177</v>
      </c>
      <c r="J29" s="17">
        <v>4.6137651821862349</v>
      </c>
      <c r="K29" s="17">
        <v>4.3555555555555561</v>
      </c>
    </row>
    <row r="30" spans="3:12" ht="17" thickBot="1">
      <c r="C30" s="401" t="s">
        <v>22</v>
      </c>
      <c r="D30" s="402">
        <v>8000</v>
      </c>
      <c r="E30" s="402">
        <v>8500</v>
      </c>
      <c r="F30" s="402">
        <v>8700</v>
      </c>
      <c r="H30" t="s">
        <v>178</v>
      </c>
      <c r="J30" s="17">
        <v>150</v>
      </c>
      <c r="K30" s="17">
        <v>-350</v>
      </c>
    </row>
    <row r="31" spans="3:12" ht="17" thickBot="1">
      <c r="C31" s="401" t="s">
        <v>23</v>
      </c>
      <c r="D31" s="402">
        <v>4200</v>
      </c>
      <c r="E31" s="402">
        <v>4500</v>
      </c>
      <c r="F31" s="402">
        <v>5500</v>
      </c>
      <c r="H31" s="24" t="s">
        <v>69</v>
      </c>
      <c r="I31" s="24"/>
      <c r="J31" s="597">
        <v>1101</v>
      </c>
      <c r="K31" s="597">
        <v>-348</v>
      </c>
    </row>
    <row r="32" spans="3:12" ht="17" thickBot="1">
      <c r="C32" s="401" t="s">
        <v>24</v>
      </c>
      <c r="D32" s="402">
        <v>250</v>
      </c>
      <c r="E32" s="402">
        <v>150</v>
      </c>
      <c r="F32" s="402">
        <v>180</v>
      </c>
      <c r="H32" s="17" t="s">
        <v>34</v>
      </c>
      <c r="I32" s="17">
        <v>500</v>
      </c>
      <c r="J32" s="17">
        <v>600</v>
      </c>
      <c r="K32" s="17">
        <v>200</v>
      </c>
      <c r="L32" s="17">
        <f>+K31+K33-K32</f>
        <v>-180</v>
      </c>
    </row>
    <row r="33" spans="3:11" ht="17" thickBot="1">
      <c r="C33" s="401" t="s">
        <v>106</v>
      </c>
      <c r="D33" s="402">
        <v>500</v>
      </c>
      <c r="E33" s="402">
        <v>700</v>
      </c>
      <c r="F33" s="402">
        <v>1000</v>
      </c>
      <c r="H33" t="s">
        <v>101</v>
      </c>
      <c r="J33" s="17">
        <f>+E24-D24-E44</f>
        <v>-321</v>
      </c>
      <c r="K33" s="17">
        <f>+F24-E24-F44</f>
        <v>368</v>
      </c>
    </row>
    <row r="34" spans="3:11" ht="17" thickBot="1">
      <c r="C34" s="423" t="s">
        <v>25</v>
      </c>
      <c r="D34" s="424">
        <v>1250</v>
      </c>
      <c r="E34" s="424">
        <v>1250</v>
      </c>
      <c r="F34" s="424">
        <v>620</v>
      </c>
      <c r="H34" s="75" t="s">
        <v>75</v>
      </c>
      <c r="I34" s="75"/>
      <c r="J34" s="76">
        <v>180</v>
      </c>
      <c r="K34" s="76">
        <v>-180</v>
      </c>
    </row>
    <row r="35" spans="3:11" ht="17" thickBot="1">
      <c r="C35" s="401" t="s">
        <v>26</v>
      </c>
      <c r="D35" s="402">
        <v>20</v>
      </c>
      <c r="E35" s="402">
        <v>50</v>
      </c>
      <c r="F35" s="402">
        <v>0</v>
      </c>
      <c r="J35" s="17"/>
      <c r="K35" s="17"/>
    </row>
    <row r="36" spans="3:11" ht="17" thickBot="1">
      <c r="C36" s="401" t="s">
        <v>27</v>
      </c>
      <c r="D36" s="402">
        <v>0</v>
      </c>
      <c r="E36" s="402">
        <v>70</v>
      </c>
      <c r="F36" s="402">
        <v>50</v>
      </c>
      <c r="H36" s="17" t="s">
        <v>73</v>
      </c>
      <c r="I36" s="17">
        <v>100</v>
      </c>
      <c r="J36" s="17">
        <v>110</v>
      </c>
      <c r="K36" s="17">
        <v>130</v>
      </c>
    </row>
    <row r="37" spans="3:11" ht="17" thickBot="1">
      <c r="C37" s="401" t="s">
        <v>84</v>
      </c>
      <c r="D37" s="402">
        <v>80</v>
      </c>
      <c r="E37" s="402">
        <v>85</v>
      </c>
      <c r="F37" s="402">
        <v>40</v>
      </c>
      <c r="H37" s="17" t="s">
        <v>38</v>
      </c>
      <c r="I37" s="17">
        <v>30</v>
      </c>
      <c r="J37" s="17">
        <v>200</v>
      </c>
      <c r="K37" s="17">
        <v>0</v>
      </c>
    </row>
    <row r="38" spans="3:11" ht="17" thickBot="1">
      <c r="C38" s="401" t="s">
        <v>108</v>
      </c>
      <c r="D38" s="402">
        <v>10</v>
      </c>
      <c r="E38" s="402">
        <v>8</v>
      </c>
      <c r="F38" s="402">
        <v>12</v>
      </c>
      <c r="H38" t="s">
        <v>74</v>
      </c>
      <c r="I38" s="17">
        <v>130</v>
      </c>
      <c r="J38" s="17">
        <v>310</v>
      </c>
      <c r="K38" s="17">
        <v>130</v>
      </c>
    </row>
    <row r="39" spans="3:11" ht="17" thickBot="1">
      <c r="C39" s="423" t="s">
        <v>30</v>
      </c>
      <c r="D39" s="424">
        <v>-60</v>
      </c>
      <c r="E39" s="424">
        <v>35</v>
      </c>
      <c r="F39" s="424">
        <v>10</v>
      </c>
      <c r="H39" s="75" t="s">
        <v>75</v>
      </c>
      <c r="J39" s="76">
        <v>180</v>
      </c>
      <c r="K39" s="76">
        <v>-180</v>
      </c>
    </row>
    <row r="40" spans="3:11" ht="17" thickBot="1">
      <c r="C40" s="401" t="s">
        <v>31</v>
      </c>
      <c r="D40" s="402">
        <v>1190</v>
      </c>
      <c r="E40" s="402">
        <v>1285</v>
      </c>
      <c r="F40" s="402">
        <v>630</v>
      </c>
      <c r="G40" s="17"/>
      <c r="J40" s="17"/>
    </row>
    <row r="41" spans="3:11" ht="17" thickBot="1">
      <c r="C41" s="401" t="s">
        <v>32</v>
      </c>
      <c r="D41" s="402">
        <v>23</v>
      </c>
      <c r="E41" s="402">
        <v>74</v>
      </c>
      <c r="F41" s="402">
        <v>98</v>
      </c>
      <c r="H41" s="17"/>
      <c r="I41" s="17"/>
    </row>
    <row r="42" spans="3:11" ht="17" thickBot="1">
      <c r="C42" s="423" t="s">
        <v>33</v>
      </c>
      <c r="D42" s="424">
        <v>1167</v>
      </c>
      <c r="E42" s="424">
        <v>1211</v>
      </c>
      <c r="F42" s="424">
        <v>532</v>
      </c>
      <c r="H42" s="17"/>
      <c r="I42" s="17"/>
    </row>
    <row r="43" spans="3:11" ht="17" thickBot="1">
      <c r="C43" s="401" t="s">
        <v>34</v>
      </c>
      <c r="D43" s="402">
        <v>500</v>
      </c>
      <c r="E43" s="402">
        <v>600</v>
      </c>
      <c r="F43" s="402">
        <v>200</v>
      </c>
      <c r="H43" s="17"/>
      <c r="I43" s="17"/>
    </row>
    <row r="44" spans="3:11" ht="17" thickBot="1">
      <c r="C44" s="401" t="s">
        <v>35</v>
      </c>
      <c r="D44" s="402">
        <v>667</v>
      </c>
      <c r="E44" s="402">
        <v>611</v>
      </c>
      <c r="F44" s="402">
        <v>332</v>
      </c>
      <c r="G44" s="17"/>
      <c r="H44" s="17"/>
      <c r="I44" s="17"/>
    </row>
    <row r="47" spans="3:11" ht="16">
      <c r="C47" s="84" t="s">
        <v>77</v>
      </c>
      <c r="D47" s="85"/>
      <c r="E47" s="86">
        <f>(E41/(E40-E35))</f>
        <v>5.991902834008097E-2</v>
      </c>
      <c r="F47" s="87">
        <f>(F41/(F40-F35))</f>
        <v>0.15555555555555556</v>
      </c>
      <c r="G47" t="s">
        <v>78</v>
      </c>
    </row>
    <row r="49" spans="3:7" ht="16">
      <c r="C49" s="88" t="s">
        <v>25</v>
      </c>
      <c r="D49" s="88"/>
      <c r="E49" s="89">
        <f>E34</f>
        <v>1250</v>
      </c>
      <c r="F49" s="90">
        <f>F34</f>
        <v>620</v>
      </c>
    </row>
    <row r="50" spans="3:7" ht="16">
      <c r="C50" s="91" t="s">
        <v>79</v>
      </c>
      <c r="D50" s="91"/>
      <c r="E50" s="92">
        <f>E38</f>
        <v>8</v>
      </c>
      <c r="F50" s="93">
        <f>F38</f>
        <v>12</v>
      </c>
    </row>
    <row r="51" spans="3:7" ht="16">
      <c r="C51" s="91" t="s">
        <v>80</v>
      </c>
      <c r="D51" s="91"/>
      <c r="E51" s="94">
        <f>+E49-E50</f>
        <v>1242</v>
      </c>
      <c r="F51" s="95">
        <f>+F49-F50</f>
        <v>608</v>
      </c>
    </row>
    <row r="52" spans="3:7" ht="16">
      <c r="C52" s="91" t="s">
        <v>52</v>
      </c>
      <c r="D52" s="91"/>
      <c r="E52" s="94">
        <f>E51*(1-E47)</f>
        <v>1167.5805668016194</v>
      </c>
      <c r="F52" s="95">
        <f>F51*(1-F47)</f>
        <v>513.42222222222222</v>
      </c>
    </row>
    <row r="53" spans="3:7" ht="16">
      <c r="C53" s="91" t="s">
        <v>24</v>
      </c>
      <c r="D53" s="91"/>
      <c r="E53" s="94">
        <f>E32</f>
        <v>150</v>
      </c>
      <c r="F53" s="95">
        <f>F32</f>
        <v>180</v>
      </c>
    </row>
    <row r="54" spans="3:7" ht="16">
      <c r="C54" s="96" t="s">
        <v>81</v>
      </c>
      <c r="D54" s="96"/>
      <c r="E54" s="97">
        <f>E52+E53</f>
        <v>1317.5805668016194</v>
      </c>
      <c r="F54" s="98">
        <f>F52+F53</f>
        <v>693.42222222222222</v>
      </c>
    </row>
    <row r="55" spans="3:7" ht="16">
      <c r="C55" s="91" t="s">
        <v>82</v>
      </c>
      <c r="D55" s="91"/>
      <c r="E55" s="94">
        <f>D14-E14</f>
        <v>150</v>
      </c>
      <c r="F55" s="95">
        <f>E14-F14</f>
        <v>-100</v>
      </c>
      <c r="G55" t="s">
        <v>107</v>
      </c>
    </row>
    <row r="56" spans="3:7" ht="16">
      <c r="C56" s="91" t="s">
        <v>83</v>
      </c>
      <c r="D56" s="91"/>
      <c r="E56" s="94">
        <f>D13-E13</f>
        <v>-420</v>
      </c>
      <c r="F56" s="95">
        <f>E13-F13</f>
        <v>-480</v>
      </c>
      <c r="G56" t="s">
        <v>107</v>
      </c>
    </row>
    <row r="57" spans="3:7" ht="16">
      <c r="C57" s="91" t="s">
        <v>85</v>
      </c>
      <c r="D57" s="91"/>
      <c r="E57" s="94">
        <f>D11-E11</f>
        <v>-40</v>
      </c>
      <c r="F57" s="95">
        <f>E11-F11</f>
        <v>-50</v>
      </c>
      <c r="G57" t="s">
        <v>107</v>
      </c>
    </row>
    <row r="58" spans="3:7" ht="16">
      <c r="C58" s="91" t="s">
        <v>86</v>
      </c>
      <c r="D58" s="91"/>
      <c r="E58" s="94">
        <f>E21-D21</f>
        <v>50</v>
      </c>
      <c r="F58" s="95">
        <f>F21-E21</f>
        <v>150</v>
      </c>
      <c r="G58" t="s">
        <v>99</v>
      </c>
    </row>
    <row r="59" spans="3:7" ht="16">
      <c r="C59" s="91" t="s">
        <v>87</v>
      </c>
      <c r="D59" s="91"/>
      <c r="E59" s="94">
        <f>E20-D20</f>
        <v>-100</v>
      </c>
      <c r="F59" s="95">
        <f>F20-E20</f>
        <v>-100</v>
      </c>
      <c r="G59" t="s">
        <v>99</v>
      </c>
    </row>
    <row r="60" spans="3:7" ht="16">
      <c r="C60" s="99" t="s">
        <v>88</v>
      </c>
      <c r="D60" s="99"/>
      <c r="E60" s="100">
        <f>+E54+SUM(E55:E59)</f>
        <v>957.5805668016194</v>
      </c>
      <c r="F60" s="101">
        <f>+F54+SUM(F55:F59)</f>
        <v>113.42222222222222</v>
      </c>
    </row>
    <row r="61" spans="3:7" ht="16">
      <c r="C61" s="91" t="s">
        <v>24</v>
      </c>
      <c r="D61" s="91"/>
      <c r="E61" s="92">
        <f>-E53</f>
        <v>-150</v>
      </c>
      <c r="F61" s="93">
        <f>-F53</f>
        <v>-180</v>
      </c>
    </row>
    <row r="62" spans="3:7" ht="16">
      <c r="C62" s="102" t="s">
        <v>89</v>
      </c>
      <c r="D62" s="102"/>
      <c r="E62" s="92">
        <f>D16-E16</f>
        <v>100</v>
      </c>
      <c r="F62" s="93">
        <f>E16-F16</f>
        <v>50</v>
      </c>
      <c r="G62" t="s">
        <v>107</v>
      </c>
    </row>
    <row r="63" spans="3:7" ht="16">
      <c r="C63" s="102" t="s">
        <v>90</v>
      </c>
      <c r="D63" s="102"/>
      <c r="E63" s="92">
        <f>E35</f>
        <v>50</v>
      </c>
      <c r="F63" s="93">
        <f>F35</f>
        <v>0</v>
      </c>
    </row>
    <row r="64" spans="3:7" ht="16">
      <c r="C64" s="102" t="s">
        <v>91</v>
      </c>
      <c r="D64" s="102"/>
      <c r="E64" s="92">
        <f>E36</f>
        <v>70</v>
      </c>
      <c r="F64" s="93">
        <f>F36</f>
        <v>50</v>
      </c>
    </row>
    <row r="65" spans="3:8" ht="16">
      <c r="C65" s="102" t="s">
        <v>92</v>
      </c>
      <c r="D65" s="102"/>
      <c r="E65" s="103">
        <f>E64*E47</f>
        <v>4.1943319838056681</v>
      </c>
      <c r="F65" s="104">
        <f>F64*F47</f>
        <v>7.7777777777777777</v>
      </c>
    </row>
    <row r="66" spans="3:8" ht="16">
      <c r="C66" s="99" t="s">
        <v>93</v>
      </c>
      <c r="D66" s="99"/>
      <c r="E66" s="100">
        <f>SUM(E61:E64)-E65</f>
        <v>65.805668016194332</v>
      </c>
      <c r="F66" s="101">
        <f>SUM(F61:F64)-F65</f>
        <v>-87.777777777777771</v>
      </c>
    </row>
    <row r="67" spans="3:8" ht="16">
      <c r="C67" s="105" t="s">
        <v>94</v>
      </c>
      <c r="D67" s="105"/>
      <c r="E67" s="106">
        <f>E60+E66</f>
        <v>1023.3862348178137</v>
      </c>
      <c r="F67" s="107">
        <f>F60+F66</f>
        <v>25.644444444444446</v>
      </c>
    </row>
    <row r="68" spans="3:8" ht="16">
      <c r="C68" s="91" t="s">
        <v>95</v>
      </c>
      <c r="D68" s="91"/>
      <c r="E68" s="92">
        <f>(E37-E38)</f>
        <v>77</v>
      </c>
      <c r="F68" s="93">
        <f>(F37-F38)</f>
        <v>28</v>
      </c>
      <c r="G68" t="s">
        <v>96</v>
      </c>
    </row>
    <row r="69" spans="3:8" ht="16">
      <c r="C69" s="91" t="s">
        <v>97</v>
      </c>
      <c r="D69" s="91"/>
      <c r="E69" s="103">
        <f>E68*E47</f>
        <v>4.6137651821862349</v>
      </c>
      <c r="F69" s="104">
        <f>F68*F47</f>
        <v>4.3555555555555561</v>
      </c>
    </row>
    <row r="70" spans="3:8" ht="16">
      <c r="C70" s="108" t="s">
        <v>98</v>
      </c>
      <c r="D70" s="108"/>
      <c r="E70" s="92">
        <f>(E23+E19)-(D19+D23)</f>
        <v>150</v>
      </c>
      <c r="F70" s="93">
        <f>(F23+F19)-(E19+E23)</f>
        <v>-350</v>
      </c>
      <c r="G70" t="s">
        <v>99</v>
      </c>
      <c r="H70" t="s">
        <v>111</v>
      </c>
    </row>
    <row r="71" spans="3:8" ht="16">
      <c r="C71" s="109" t="s">
        <v>100</v>
      </c>
      <c r="D71" s="109"/>
      <c r="E71" s="110">
        <f>E67-E68+E69+E70</f>
        <v>1101</v>
      </c>
      <c r="F71" s="111">
        <f>F67-F68+F69+F70</f>
        <v>-348</v>
      </c>
    </row>
    <row r="72" spans="3:8" ht="16">
      <c r="C72" s="103"/>
      <c r="D72" s="103"/>
      <c r="E72" s="103"/>
      <c r="F72" s="103"/>
    </row>
    <row r="73" spans="3:8" ht="16">
      <c r="C73" s="112" t="s">
        <v>34</v>
      </c>
      <c r="D73" s="89"/>
      <c r="E73" s="89">
        <f>E43</f>
        <v>600</v>
      </c>
      <c r="F73" s="90">
        <f>F43</f>
        <v>200</v>
      </c>
    </row>
    <row r="74" spans="3:8" ht="16">
      <c r="C74" s="113" t="s">
        <v>101</v>
      </c>
      <c r="D74" s="92"/>
      <c r="E74" s="92">
        <f>E24-D24-E44</f>
        <v>-321</v>
      </c>
      <c r="F74" s="93">
        <f>F24-E24-F44</f>
        <v>368</v>
      </c>
      <c r="G74" t="s">
        <v>102</v>
      </c>
    </row>
    <row r="75" spans="3:8" ht="16">
      <c r="C75" s="114" t="s">
        <v>75</v>
      </c>
      <c r="D75" s="115"/>
      <c r="E75" s="115">
        <f>+E71-E73+E74</f>
        <v>180</v>
      </c>
      <c r="F75" s="116">
        <f>+F71-F73+F74</f>
        <v>-180</v>
      </c>
    </row>
    <row r="76" spans="3:8" ht="16">
      <c r="C76" s="117"/>
      <c r="D76" s="103"/>
      <c r="E76" s="118"/>
      <c r="F76" s="118"/>
    </row>
    <row r="77" spans="3:8" ht="16">
      <c r="C77" s="92" t="s">
        <v>103</v>
      </c>
      <c r="D77" s="92">
        <f>D10</f>
        <v>100</v>
      </c>
      <c r="E77" s="92">
        <f>E10</f>
        <v>110</v>
      </c>
      <c r="F77" s="92">
        <f>F10</f>
        <v>130</v>
      </c>
      <c r="G77" t="s">
        <v>104</v>
      </c>
    </row>
    <row r="78" spans="3:8" ht="16">
      <c r="C78" s="92" t="s">
        <v>38</v>
      </c>
      <c r="D78" s="92">
        <f>D12</f>
        <v>30</v>
      </c>
      <c r="E78" s="92">
        <f>E12</f>
        <v>200</v>
      </c>
      <c r="F78" s="92">
        <f>F12</f>
        <v>0</v>
      </c>
    </row>
    <row r="79" spans="3:8" ht="16">
      <c r="C79" s="103" t="s">
        <v>74</v>
      </c>
      <c r="D79" s="92">
        <f>+SUM(D77:D78)</f>
        <v>130</v>
      </c>
      <c r="E79" s="92">
        <f>+SUM(E77:E78)</f>
        <v>310</v>
      </c>
      <c r="F79" s="92">
        <f>+SUM(F77:F78)</f>
        <v>130</v>
      </c>
    </row>
    <row r="80" spans="3:8" ht="16">
      <c r="C80" s="119" t="s">
        <v>75</v>
      </c>
      <c r="D80" s="120"/>
      <c r="E80" s="121">
        <f>+E79-D79</f>
        <v>180</v>
      </c>
      <c r="F80" s="121">
        <f>+F79-E79</f>
        <v>-180</v>
      </c>
    </row>
    <row r="82" spans="3:6">
      <c r="C82" t="s">
        <v>105</v>
      </c>
      <c r="E82" s="17">
        <f>E75-E80</f>
        <v>0</v>
      </c>
      <c r="F82" s="17">
        <f>F75-F80</f>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35AC8-D84E-4E87-9054-71A89C78B315}">
  <dimension ref="B8:R100"/>
  <sheetViews>
    <sheetView topLeftCell="G39" zoomScale="125" workbookViewId="0">
      <selection activeCell="K61" sqref="K61:K66"/>
    </sheetView>
  </sheetViews>
  <sheetFormatPr baseColWidth="10" defaultColWidth="8.83203125" defaultRowHeight="15"/>
  <cols>
    <col min="2" max="2" width="20.83203125" customWidth="1"/>
    <col min="3" max="3" width="27" bestFit="1" customWidth="1"/>
    <col min="4" max="4" width="14.33203125" customWidth="1"/>
    <col min="5" max="6" width="15.1640625" bestFit="1" customWidth="1"/>
    <col min="7" max="7" width="18.33203125" customWidth="1"/>
    <col min="8" max="9" width="15.1640625" bestFit="1" customWidth="1"/>
    <col min="10" max="10" width="15.5" customWidth="1"/>
    <col min="11" max="11" width="25" bestFit="1" customWidth="1"/>
    <col min="12" max="17" width="14.1640625" bestFit="1" customWidth="1"/>
    <col min="18" max="18" width="12.1640625" bestFit="1" customWidth="1"/>
  </cols>
  <sheetData>
    <row r="8" spans="2:3" ht="16" thickBot="1"/>
    <row r="9" spans="2:3" ht="21" thickBot="1">
      <c r="B9" s="1" t="s">
        <v>19</v>
      </c>
      <c r="C9" s="2"/>
    </row>
    <row r="24" spans="3:18" ht="16">
      <c r="C24" s="28"/>
      <c r="D24" s="29">
        <v>2024</v>
      </c>
      <c r="E24" s="30">
        <f>+D24+1</f>
        <v>2025</v>
      </c>
      <c r="F24" s="30">
        <f>+E24+1</f>
        <v>2026</v>
      </c>
      <c r="G24" s="30">
        <f>+F24+1</f>
        <v>2027</v>
      </c>
      <c r="H24" s="30">
        <f>+G24+1</f>
        <v>2028</v>
      </c>
      <c r="I24" s="31" t="s">
        <v>179</v>
      </c>
      <c r="J24" s="31" t="s">
        <v>180</v>
      </c>
      <c r="K24" s="28"/>
      <c r="L24" s="29">
        <v>2024</v>
      </c>
      <c r="M24" s="30">
        <f>+L24+1</f>
        <v>2025</v>
      </c>
      <c r="N24" s="30">
        <f>+M24+1</f>
        <v>2026</v>
      </c>
      <c r="O24" s="30">
        <f>+N24+1</f>
        <v>2027</v>
      </c>
      <c r="P24" s="30">
        <f>+O24+1</f>
        <v>2028</v>
      </c>
      <c r="Q24" s="31" t="s">
        <v>179</v>
      </c>
      <c r="R24" s="31" t="s">
        <v>180</v>
      </c>
    </row>
    <row r="25" spans="3:18" ht="18">
      <c r="C25" s="32" t="s">
        <v>181</v>
      </c>
      <c r="D25" s="33">
        <v>0.12</v>
      </c>
      <c r="E25" s="33">
        <v>0.12</v>
      </c>
      <c r="F25" s="33">
        <v>0.12</v>
      </c>
      <c r="G25" s="33">
        <v>0.12</v>
      </c>
      <c r="H25" s="33">
        <v>0.12</v>
      </c>
      <c r="I25" s="33">
        <v>0.12</v>
      </c>
      <c r="J25" s="33">
        <v>0.12</v>
      </c>
      <c r="K25" s="32" t="s">
        <v>181</v>
      </c>
      <c r="L25" s="33">
        <v>0.12</v>
      </c>
      <c r="M25" s="33">
        <v>0.12</v>
      </c>
      <c r="N25" s="33">
        <v>0.12</v>
      </c>
      <c r="O25" s="33">
        <v>0.12</v>
      </c>
      <c r="P25" s="33">
        <v>0.12</v>
      </c>
      <c r="Q25" s="33">
        <v>0.12</v>
      </c>
      <c r="R25" s="33">
        <v>0.12</v>
      </c>
    </row>
    <row r="26" spans="3:18" ht="16">
      <c r="C26" s="32" t="s">
        <v>182</v>
      </c>
      <c r="D26" s="262"/>
      <c r="E26" s="262"/>
      <c r="F26" s="33">
        <v>0.3</v>
      </c>
      <c r="G26" s="33">
        <v>0.4</v>
      </c>
      <c r="H26" s="33">
        <v>0.5</v>
      </c>
      <c r="I26" s="33">
        <v>0.5</v>
      </c>
      <c r="J26" s="33">
        <v>0.5</v>
      </c>
      <c r="K26" s="32" t="s">
        <v>182</v>
      </c>
      <c r="L26" s="262">
        <f>L37/L58</f>
        <v>9.2228923097780621E-2</v>
      </c>
      <c r="M26" s="262">
        <f>M37/M58</f>
        <v>0.18367386940213593</v>
      </c>
      <c r="N26" s="33">
        <v>0.3</v>
      </c>
      <c r="O26" s="33">
        <v>0.4</v>
      </c>
      <c r="P26" s="33">
        <v>0.5</v>
      </c>
      <c r="Q26" s="33">
        <v>0.5</v>
      </c>
      <c r="R26" s="33">
        <v>0.5</v>
      </c>
    </row>
    <row r="27" spans="3:18" ht="16">
      <c r="C27" s="32" t="s">
        <v>183</v>
      </c>
      <c r="D27" s="33">
        <v>0.1</v>
      </c>
      <c r="E27" s="33">
        <v>0.2</v>
      </c>
      <c r="F27" s="33"/>
      <c r="G27" s="33"/>
      <c r="H27" s="33"/>
      <c r="I27" s="33"/>
      <c r="K27" s="32" t="s">
        <v>183</v>
      </c>
      <c r="L27" s="33">
        <v>0.1</v>
      </c>
      <c r="M27" s="33">
        <v>0.2</v>
      </c>
      <c r="N27" s="262"/>
      <c r="O27" s="262"/>
      <c r="P27" s="262"/>
      <c r="Q27" s="262"/>
      <c r="R27" s="262"/>
    </row>
    <row r="28" spans="3:18" ht="18">
      <c r="C28" s="32" t="s">
        <v>184</v>
      </c>
      <c r="D28" s="33">
        <v>0.06</v>
      </c>
      <c r="E28" s="33">
        <v>7.0000000000000007E-2</v>
      </c>
      <c r="F28" s="33">
        <v>7.1999999999999995E-2</v>
      </c>
      <c r="G28" s="33">
        <v>7.2999999999999995E-2</v>
      </c>
      <c r="H28" s="33">
        <v>7.3999999999999996E-2</v>
      </c>
      <c r="I28" s="33">
        <v>7.3999999999999996E-2</v>
      </c>
      <c r="J28" s="33">
        <v>7.3999999999999996E-2</v>
      </c>
      <c r="K28" s="32" t="s">
        <v>184</v>
      </c>
      <c r="L28" s="33">
        <v>0.06</v>
      </c>
      <c r="M28" s="33">
        <v>7.0000000000000007E-2</v>
      </c>
      <c r="N28" s="33">
        <v>7.1999999999999995E-2</v>
      </c>
      <c r="O28" s="33">
        <v>7.2999999999999995E-2</v>
      </c>
      <c r="P28" s="33">
        <v>7.3999999999999996E-2</v>
      </c>
      <c r="Q28" s="33">
        <v>7.3999999999999996E-2</v>
      </c>
      <c r="R28" s="33">
        <v>7.3999999999999996E-2</v>
      </c>
    </row>
    <row r="29" spans="3:18" ht="16">
      <c r="C29" s="32" t="s">
        <v>185</v>
      </c>
      <c r="D29" s="33">
        <v>0.115</v>
      </c>
      <c r="E29" s="33"/>
      <c r="F29" s="33"/>
      <c r="G29" s="33"/>
      <c r="H29" s="33"/>
      <c r="I29" s="33"/>
      <c r="K29" s="32" t="s">
        <v>185</v>
      </c>
      <c r="L29" s="33">
        <v>0.115</v>
      </c>
      <c r="M29" s="33"/>
      <c r="N29" s="33"/>
      <c r="O29" s="33"/>
      <c r="P29" s="33"/>
      <c r="Q29" s="33"/>
    </row>
    <row r="30" spans="3:18" ht="16">
      <c r="C30" s="32" t="s">
        <v>186</v>
      </c>
      <c r="D30" s="33"/>
      <c r="E30" s="33">
        <v>0.16</v>
      </c>
      <c r="F30" s="33">
        <v>0.15</v>
      </c>
      <c r="G30" s="33">
        <v>0.14000000000000001</v>
      </c>
      <c r="H30" s="33">
        <v>0.13</v>
      </c>
      <c r="I30" s="33"/>
      <c r="J30" s="33"/>
      <c r="K30" s="32" t="s">
        <v>186</v>
      </c>
      <c r="L30" s="33"/>
      <c r="M30" s="33">
        <v>0.16</v>
      </c>
      <c r="N30" s="33">
        <v>0.15</v>
      </c>
      <c r="O30" s="33">
        <v>0.14000000000000001</v>
      </c>
      <c r="P30" s="33">
        <v>0.13</v>
      </c>
      <c r="Q30" s="262">
        <f>Q39</f>
        <v>0.11445</v>
      </c>
      <c r="R30" s="262">
        <f>R39</f>
        <v>0.11445</v>
      </c>
    </row>
    <row r="31" spans="3:18" ht="16">
      <c r="C31" s="32" t="s">
        <v>187</v>
      </c>
      <c r="D31" s="28"/>
      <c r="E31" s="34">
        <v>0.15</v>
      </c>
      <c r="F31" s="34">
        <v>0.12</v>
      </c>
      <c r="G31" s="33">
        <v>0.1</v>
      </c>
      <c r="H31" s="33">
        <v>0.08</v>
      </c>
      <c r="I31" s="33">
        <v>0.05</v>
      </c>
      <c r="J31" s="35">
        <v>0.05</v>
      </c>
      <c r="K31" s="32" t="s">
        <v>187</v>
      </c>
      <c r="L31" s="28"/>
      <c r="M31" s="34">
        <v>0.15</v>
      </c>
      <c r="N31" s="34">
        <v>0.12</v>
      </c>
      <c r="O31" s="33">
        <v>0.1</v>
      </c>
      <c r="P31" s="33">
        <v>0.08</v>
      </c>
      <c r="Q31" s="33">
        <v>0.05</v>
      </c>
      <c r="R31" s="35">
        <v>0.05</v>
      </c>
    </row>
    <row r="32" spans="3:18" ht="16">
      <c r="C32" s="32" t="s">
        <v>77</v>
      </c>
      <c r="D32" s="33">
        <v>0.15</v>
      </c>
      <c r="E32" s="33">
        <v>0.15</v>
      </c>
      <c r="F32" s="33">
        <v>0.15</v>
      </c>
      <c r="G32" s="33">
        <v>0.15</v>
      </c>
      <c r="H32" s="33">
        <v>0.15</v>
      </c>
      <c r="I32" s="33">
        <v>0.15</v>
      </c>
      <c r="J32" s="33">
        <v>0.15</v>
      </c>
      <c r="K32" s="32" t="s">
        <v>77</v>
      </c>
      <c r="L32" s="33">
        <v>0.15</v>
      </c>
      <c r="M32" s="33">
        <v>0.15</v>
      </c>
      <c r="N32" s="33">
        <v>0.15</v>
      </c>
      <c r="O32" s="33">
        <v>0.15</v>
      </c>
      <c r="P32" s="33">
        <v>0.15</v>
      </c>
      <c r="Q32" s="33">
        <v>0.15</v>
      </c>
      <c r="R32" s="33">
        <v>0.15</v>
      </c>
    </row>
    <row r="33" spans="3:18" ht="16">
      <c r="C33" s="28" t="s">
        <v>188</v>
      </c>
      <c r="D33" s="36">
        <v>100000</v>
      </c>
      <c r="E33" s="37"/>
      <c r="F33" s="37"/>
      <c r="G33" s="37"/>
      <c r="H33" s="37"/>
      <c r="I33" s="37"/>
      <c r="J33" s="37"/>
      <c r="K33" s="28" t="s">
        <v>188</v>
      </c>
      <c r="L33" s="36">
        <v>100000</v>
      </c>
      <c r="M33" s="37"/>
      <c r="N33" s="37"/>
      <c r="O33" s="37"/>
      <c r="P33" s="37"/>
      <c r="Q33" s="37"/>
      <c r="R33" s="37"/>
    </row>
    <row r="35" spans="3:18" ht="16">
      <c r="C35" s="38" t="s">
        <v>189</v>
      </c>
      <c r="K35" s="32" t="s">
        <v>719</v>
      </c>
      <c r="L35" s="626">
        <f>M31/M30</f>
        <v>0.9375</v>
      </c>
      <c r="M35" s="626">
        <f t="shared" ref="M35:R35" si="0">N31/N30</f>
        <v>0.8</v>
      </c>
      <c r="N35" s="626">
        <f t="shared" si="0"/>
        <v>0.7142857142857143</v>
      </c>
      <c r="O35" s="626">
        <f t="shared" si="0"/>
        <v>0.61538461538461542</v>
      </c>
      <c r="P35" s="626">
        <f t="shared" si="0"/>
        <v>0.43687199650502406</v>
      </c>
      <c r="Q35" s="626">
        <f t="shared" si="0"/>
        <v>0.43687199650502406</v>
      </c>
      <c r="R35" s="626"/>
    </row>
    <row r="36" spans="3:18" ht="16">
      <c r="C36" s="32" t="s">
        <v>183</v>
      </c>
      <c r="D36" s="39">
        <v>0.1</v>
      </c>
      <c r="E36" s="39">
        <v>0.2</v>
      </c>
      <c r="F36" s="33"/>
      <c r="G36" s="33"/>
      <c r="H36" s="33"/>
      <c r="I36" s="33"/>
      <c r="K36" t="s">
        <v>188</v>
      </c>
      <c r="L36" s="17">
        <f>L33</f>
        <v>100000</v>
      </c>
      <c r="M36" s="17">
        <f>L36+L43</f>
        <v>110781.25</v>
      </c>
      <c r="N36" s="17">
        <f t="shared" ref="N36:R36" si="1">M36+M43</f>
        <v>121361.25</v>
      </c>
      <c r="O36" s="17">
        <f t="shared" si="1"/>
        <v>131941.25</v>
      </c>
      <c r="P36" s="17">
        <f t="shared" si="1"/>
        <v>141967.83461538461</v>
      </c>
      <c r="Q36" s="17">
        <f t="shared" si="1"/>
        <v>149655.32085391672</v>
      </c>
      <c r="R36" s="17">
        <f t="shared" si="1"/>
        <v>157727.18140437544</v>
      </c>
    </row>
    <row r="37" spans="3:18" ht="16">
      <c r="C37" s="28" t="s">
        <v>188</v>
      </c>
      <c r="D37" s="40">
        <v>100000</v>
      </c>
      <c r="E37" s="41">
        <f>+D37+D54</f>
        <v>110781.25</v>
      </c>
      <c r="F37" s="41">
        <f t="shared" ref="F37:I37" si="2">+E37+E54</f>
        <v>121361.25</v>
      </c>
      <c r="G37" s="41">
        <f>+F37+F54</f>
        <v>131941.25</v>
      </c>
      <c r="H37" s="41">
        <f t="shared" si="2"/>
        <v>141967.83461538461</v>
      </c>
      <c r="I37" s="41">
        <f t="shared" si="2"/>
        <v>149655.32085391672</v>
      </c>
      <c r="J37" s="41">
        <f>+I37+I54</f>
        <v>157727.18140437544</v>
      </c>
      <c r="K37" t="s">
        <v>192</v>
      </c>
      <c r="L37">
        <f>L36*L27</f>
        <v>10000</v>
      </c>
      <c r="M37">
        <f t="shared" ref="M37:O37" si="3">M36*M27</f>
        <v>22156.25</v>
      </c>
      <c r="N37" s="628">
        <f>N26*N53</f>
        <v>39667.786208311431</v>
      </c>
      <c r="O37" s="628">
        <f t="shared" ref="O37:R37" si="4">O26*O53</f>
        <v>57373.062567991838</v>
      </c>
      <c r="P37" s="628">
        <f t="shared" si="4"/>
        <v>76874.862385321132</v>
      </c>
      <c r="Q37" s="628">
        <f t="shared" si="4"/>
        <v>80718.605504587176</v>
      </c>
      <c r="R37" s="628">
        <f>Q37+(Q37*R31)</f>
        <v>84754.535779816535</v>
      </c>
    </row>
    <row r="38" spans="3:18" ht="16">
      <c r="C38" s="32" t="s">
        <v>185</v>
      </c>
      <c r="D38" s="39">
        <v>0.115</v>
      </c>
      <c r="E38" s="12"/>
      <c r="F38" s="12"/>
      <c r="G38" s="12"/>
      <c r="H38" s="12"/>
      <c r="K38" t="s">
        <v>193</v>
      </c>
      <c r="L38" s="17">
        <f>L36-L37</f>
        <v>90000</v>
      </c>
      <c r="M38" s="17">
        <f t="shared" ref="M38:R38" si="5">M36-M37</f>
        <v>88625</v>
      </c>
      <c r="N38" s="17">
        <f t="shared" si="5"/>
        <v>81693.463791688569</v>
      </c>
      <c r="O38" s="17">
        <f t="shared" si="5"/>
        <v>74568.187432008155</v>
      </c>
      <c r="P38" s="17">
        <f t="shared" si="5"/>
        <v>65092.972230063475</v>
      </c>
      <c r="Q38" s="17">
        <f t="shared" si="5"/>
        <v>68936.715349329548</v>
      </c>
      <c r="R38" s="17">
        <f t="shared" si="5"/>
        <v>72972.645624558907</v>
      </c>
    </row>
    <row r="39" spans="3:18" ht="16">
      <c r="C39" s="32" t="s">
        <v>186</v>
      </c>
      <c r="D39" s="33"/>
      <c r="E39" s="39">
        <v>0.16</v>
      </c>
      <c r="F39" s="39">
        <v>0.15</v>
      </c>
      <c r="G39" s="39">
        <v>0.14000000000000001</v>
      </c>
      <c r="H39" s="39">
        <v>0.13</v>
      </c>
      <c r="I39" s="42">
        <f>I45</f>
        <v>0.11445</v>
      </c>
      <c r="J39" s="42">
        <f>J45</f>
        <v>0.11445</v>
      </c>
      <c r="K39" t="s">
        <v>190</v>
      </c>
      <c r="L39" s="35">
        <f>L25-L26 * L28*L32</f>
        <v>0.11916993969211997</v>
      </c>
      <c r="M39" s="35">
        <f t="shared" ref="M39:R39" si="6">M25-M26 * M28*M32</f>
        <v>0.11807142437127757</v>
      </c>
      <c r="N39" s="35">
        <f t="shared" si="6"/>
        <v>0.11676</v>
      </c>
      <c r="O39" s="35">
        <f t="shared" si="6"/>
        <v>0.11562</v>
      </c>
      <c r="P39" s="35">
        <f t="shared" si="6"/>
        <v>0.11445</v>
      </c>
      <c r="Q39" s="35">
        <f t="shared" si="6"/>
        <v>0.11445</v>
      </c>
      <c r="R39" s="35">
        <f t="shared" si="6"/>
        <v>0.11445</v>
      </c>
    </row>
    <row r="40" spans="3:18" ht="16">
      <c r="C40" s="32" t="s">
        <v>187</v>
      </c>
      <c r="D40" s="28"/>
      <c r="E40" s="43">
        <v>0.15</v>
      </c>
      <c r="F40" s="43">
        <v>0.12</v>
      </c>
      <c r="G40" s="39">
        <v>0.1</v>
      </c>
      <c r="H40" s="39">
        <v>0.08</v>
      </c>
      <c r="I40" s="39">
        <v>0.05</v>
      </c>
      <c r="J40" s="44">
        <v>0.05</v>
      </c>
    </row>
    <row r="41" spans="3:18" ht="16">
      <c r="C41" s="32" t="s">
        <v>182</v>
      </c>
      <c r="D41" s="42">
        <f>D49/D68</f>
        <v>9.2228923097780621E-2</v>
      </c>
      <c r="E41" s="42">
        <f>E49/E68</f>
        <v>0.18367386940213593</v>
      </c>
      <c r="F41" s="39">
        <v>0.3</v>
      </c>
      <c r="G41" s="39">
        <v>0.4</v>
      </c>
      <c r="H41" s="39">
        <v>0.5</v>
      </c>
      <c r="I41" s="39">
        <v>0.5</v>
      </c>
      <c r="J41" s="39">
        <v>0.5</v>
      </c>
      <c r="K41" t="s">
        <v>25</v>
      </c>
      <c r="L41" s="48">
        <f>L42/(1-L32)</f>
        <v>13529.411764705883</v>
      </c>
      <c r="M41" s="48">
        <f t="shared" ref="M41:Q41" si="7">M42/(1-M32)</f>
        <v>15558.823529411766</v>
      </c>
      <c r="N41" s="48">
        <f t="shared" si="7"/>
        <v>17425.882352941178</v>
      </c>
      <c r="O41" s="48">
        <f t="shared" si="7"/>
        <v>19168.470588235294</v>
      </c>
      <c r="P41" s="48">
        <f t="shared" si="7"/>
        <v>20701.948235294123</v>
      </c>
      <c r="Q41" s="48">
        <f t="shared" si="7"/>
        <v>21737.045647058829</v>
      </c>
    </row>
    <row r="42" spans="3:18" ht="18">
      <c r="C42" s="32" t="s">
        <v>184</v>
      </c>
      <c r="D42" s="39">
        <v>0.06</v>
      </c>
      <c r="E42" s="39">
        <v>7.0000000000000007E-2</v>
      </c>
      <c r="F42" s="39">
        <v>7.1999999999999995E-2</v>
      </c>
      <c r="G42" s="39">
        <v>7.2999999999999995E-2</v>
      </c>
      <c r="H42" s="39">
        <v>7.3999999999999996E-2</v>
      </c>
      <c r="I42" s="39">
        <v>7.3999999999999996E-2</v>
      </c>
      <c r="J42" s="39">
        <v>7.3999999999999996E-2</v>
      </c>
      <c r="K42" t="s">
        <v>166</v>
      </c>
      <c r="L42">
        <f>L29*L36</f>
        <v>11500</v>
      </c>
      <c r="M42">
        <f>L43*M30 + L42</f>
        <v>13225</v>
      </c>
      <c r="N42">
        <f t="shared" ref="N42:Q42" si="8">M43*N30 + M42</f>
        <v>14812</v>
      </c>
      <c r="O42">
        <f t="shared" si="8"/>
        <v>16293.2</v>
      </c>
      <c r="P42">
        <f t="shared" si="8"/>
        <v>17596.656000000003</v>
      </c>
      <c r="Q42">
        <f t="shared" si="8"/>
        <v>18476.488800000003</v>
      </c>
    </row>
    <row r="43" spans="3:18" ht="18">
      <c r="C43" s="32" t="s">
        <v>181</v>
      </c>
      <c r="D43" s="39">
        <v>0.12</v>
      </c>
      <c r="E43" s="39">
        <v>0.12</v>
      </c>
      <c r="F43" s="39">
        <v>0.12</v>
      </c>
      <c r="G43" s="39">
        <v>0.12</v>
      </c>
      <c r="H43" s="39">
        <v>0.12</v>
      </c>
      <c r="I43" s="39">
        <v>0.12</v>
      </c>
      <c r="J43" s="39">
        <v>0.12</v>
      </c>
      <c r="K43" t="s">
        <v>194</v>
      </c>
      <c r="L43">
        <f>L35*L42</f>
        <v>10781.25</v>
      </c>
      <c r="M43">
        <f t="shared" ref="M43:O43" si="9">M35*M42</f>
        <v>10580</v>
      </c>
      <c r="N43">
        <f t="shared" si="9"/>
        <v>10580</v>
      </c>
      <c r="O43">
        <f>O35*O42</f>
        <v>10026.584615384616</v>
      </c>
      <c r="P43">
        <f t="shared" ref="P43:Q43" si="10">P35*P42</f>
        <v>7687.4862385321121</v>
      </c>
      <c r="Q43">
        <f t="shared" si="10"/>
        <v>8071.8605504587176</v>
      </c>
    </row>
    <row r="44" spans="3:18" ht="16">
      <c r="C44" s="32" t="s">
        <v>77</v>
      </c>
      <c r="D44" s="39">
        <v>0.15</v>
      </c>
      <c r="E44" s="39">
        <v>0.15</v>
      </c>
      <c r="F44" s="39">
        <v>0.15</v>
      </c>
      <c r="G44" s="39">
        <v>0.15</v>
      </c>
      <c r="H44" s="39">
        <v>0.15</v>
      </c>
      <c r="I44" s="39">
        <v>0.15</v>
      </c>
      <c r="J44" s="39">
        <v>0.15</v>
      </c>
      <c r="K44" t="s">
        <v>65</v>
      </c>
      <c r="L44" s="48">
        <f>L42-L43</f>
        <v>718.75</v>
      </c>
      <c r="M44" s="48">
        <f t="shared" ref="M44:Q44" si="11">M42-M43</f>
        <v>2645</v>
      </c>
      <c r="N44" s="48">
        <f t="shared" si="11"/>
        <v>4232</v>
      </c>
      <c r="O44" s="48">
        <f t="shared" si="11"/>
        <v>6266.6153846153848</v>
      </c>
      <c r="P44" s="48">
        <f t="shared" si="11"/>
        <v>9909.1697614678906</v>
      </c>
      <c r="Q44" s="48">
        <f t="shared" si="11"/>
        <v>10404.628249541285</v>
      </c>
      <c r="R44" s="48"/>
    </row>
    <row r="45" spans="3:18">
      <c r="C45" t="s">
        <v>190</v>
      </c>
      <c r="D45" s="45">
        <f>+D43-D41*D42*D44</f>
        <v>0.11916993969211997</v>
      </c>
      <c r="E45" s="45">
        <f t="shared" ref="E45:J45" si="12">+E43-E41*E42*E44</f>
        <v>0.11807142437127757</v>
      </c>
      <c r="F45" s="45">
        <f t="shared" si="12"/>
        <v>0.11676</v>
      </c>
      <c r="G45" s="45">
        <f t="shared" si="12"/>
        <v>0.11562</v>
      </c>
      <c r="H45" s="45">
        <f t="shared" si="12"/>
        <v>0.11445</v>
      </c>
      <c r="I45" s="45">
        <f t="shared" si="12"/>
        <v>0.11445</v>
      </c>
      <c r="J45" s="45">
        <f t="shared" si="12"/>
        <v>0.11445</v>
      </c>
      <c r="K45" t="s">
        <v>195</v>
      </c>
      <c r="L45" s="48">
        <f>L37*L28</f>
        <v>600</v>
      </c>
      <c r="M45" s="48">
        <f t="shared" ref="M45:R45" si="13">M37*M28</f>
        <v>1550.9375000000002</v>
      </c>
      <c r="N45" s="48">
        <f t="shared" si="13"/>
        <v>2856.0806069984228</v>
      </c>
      <c r="O45" s="48">
        <f t="shared" si="13"/>
        <v>4188.2335674634041</v>
      </c>
      <c r="P45" s="48">
        <f t="shared" si="13"/>
        <v>5688.7398165137638</v>
      </c>
      <c r="Q45" s="48">
        <f t="shared" si="13"/>
        <v>5973.1768073394505</v>
      </c>
      <c r="R45" s="48"/>
    </row>
    <row r="46" spans="3:18">
      <c r="C46" t="s">
        <v>191</v>
      </c>
      <c r="D46" s="46">
        <f>+E40/E39</f>
        <v>0.9375</v>
      </c>
      <c r="E46" s="46">
        <f t="shared" ref="E46:I46" si="14">+F40/F39</f>
        <v>0.8</v>
      </c>
      <c r="F46" s="46">
        <f>+G40/G39</f>
        <v>0.7142857142857143</v>
      </c>
      <c r="G46" s="46">
        <f>+H40/H39</f>
        <v>0.61538461538461542</v>
      </c>
      <c r="H46" s="46">
        <f t="shared" si="14"/>
        <v>0.43687199650502406</v>
      </c>
      <c r="I46" s="46">
        <f t="shared" si="14"/>
        <v>0.43687199650502406</v>
      </c>
      <c r="J46" s="12"/>
      <c r="K46" t="s">
        <v>158</v>
      </c>
      <c r="L46" s="48">
        <f>L45*L32</f>
        <v>90</v>
      </c>
      <c r="M46" s="48">
        <f t="shared" ref="M46:R46" si="15">M45*M32</f>
        <v>232.64062500000003</v>
      </c>
      <c r="N46" s="48">
        <f t="shared" si="15"/>
        <v>428.41209104976343</v>
      </c>
      <c r="O46" s="48">
        <f t="shared" si="15"/>
        <v>628.2350351195106</v>
      </c>
      <c r="P46" s="48">
        <f t="shared" si="15"/>
        <v>853.31097247706452</v>
      </c>
      <c r="Q46" s="48">
        <f t="shared" si="15"/>
        <v>895.97652110091758</v>
      </c>
      <c r="R46" s="48"/>
    </row>
    <row r="47" spans="3:18">
      <c r="D47" s="12"/>
      <c r="E47" s="12"/>
      <c r="F47" s="12"/>
      <c r="G47" s="12"/>
      <c r="H47" s="12"/>
      <c r="I47" s="12"/>
      <c r="K47" t="s">
        <v>196</v>
      </c>
      <c r="L47" s="48">
        <f>M37-L37</f>
        <v>12156.25</v>
      </c>
      <c r="M47" s="48">
        <f t="shared" ref="M47:R47" si="16">N37-M37</f>
        <v>17511.536208311431</v>
      </c>
      <c r="N47" s="48">
        <f t="shared" si="16"/>
        <v>17705.276359680407</v>
      </c>
      <c r="O47" s="48">
        <f t="shared" si="16"/>
        <v>19501.799817329294</v>
      </c>
      <c r="P47" s="48">
        <f t="shared" si="16"/>
        <v>3843.7431192660442</v>
      </c>
      <c r="Q47" s="48">
        <f t="shared" si="16"/>
        <v>4035.9302752293588</v>
      </c>
      <c r="R47" s="48"/>
    </row>
    <row r="48" spans="3:18">
      <c r="C48" t="s">
        <v>188</v>
      </c>
      <c r="D48" s="47">
        <f>+D37</f>
        <v>100000</v>
      </c>
      <c r="E48" s="47">
        <f t="shared" ref="E48:I48" si="17">+E37</f>
        <v>110781.25</v>
      </c>
      <c r="F48" s="47">
        <f t="shared" si="17"/>
        <v>121361.25</v>
      </c>
      <c r="G48" s="47">
        <f t="shared" si="17"/>
        <v>131941.25</v>
      </c>
      <c r="H48" s="47">
        <f t="shared" si="17"/>
        <v>141967.83461538461</v>
      </c>
      <c r="I48" s="47">
        <f t="shared" si="17"/>
        <v>149655.32085391672</v>
      </c>
      <c r="J48" s="47">
        <f>+J37</f>
        <v>157727.18140437544</v>
      </c>
      <c r="K48" t="s">
        <v>69</v>
      </c>
      <c r="L48" s="48">
        <f>L44-L45+L46+L47</f>
        <v>12365</v>
      </c>
      <c r="M48" s="48">
        <f t="shared" ref="M48:R48" si="18">M44-M45+M46+M47</f>
        <v>18838.239333311431</v>
      </c>
      <c r="N48" s="48">
        <f t="shared" si="18"/>
        <v>19509.607843731748</v>
      </c>
      <c r="O48" s="48">
        <f t="shared" si="18"/>
        <v>22208.416669600785</v>
      </c>
      <c r="P48" s="48">
        <f t="shared" si="18"/>
        <v>8917.4840366972348</v>
      </c>
      <c r="Q48" s="48">
        <f t="shared" si="18"/>
        <v>9363.3582385321115</v>
      </c>
      <c r="R48" s="48"/>
    </row>
    <row r="49" spans="3:18">
      <c r="C49" t="s">
        <v>192</v>
      </c>
      <c r="D49" s="47">
        <f>D48*D36</f>
        <v>10000</v>
      </c>
      <c r="E49" s="47">
        <f>E48*E36</f>
        <v>22156.25</v>
      </c>
      <c r="F49" s="47">
        <f t="shared" ref="F49:I49" si="19">+F41*F64</f>
        <v>39667.786208311431</v>
      </c>
      <c r="G49" s="47">
        <f t="shared" si="19"/>
        <v>57373.062567991838</v>
      </c>
      <c r="H49" s="47">
        <f t="shared" si="19"/>
        <v>76874.862385321132</v>
      </c>
      <c r="I49" s="47">
        <f t="shared" si="19"/>
        <v>80718.605504587176</v>
      </c>
      <c r="J49" s="47">
        <f>I49*(1+J40)</f>
        <v>84754.535779816535</v>
      </c>
      <c r="L49" s="48"/>
      <c r="M49" s="48"/>
      <c r="N49" s="48"/>
      <c r="O49" s="48"/>
      <c r="P49" s="48"/>
      <c r="Q49" s="48"/>
      <c r="R49" s="48"/>
    </row>
    <row r="50" spans="3:18">
      <c r="C50" t="s">
        <v>193</v>
      </c>
      <c r="D50" s="47">
        <f>+D48-D49</f>
        <v>90000</v>
      </c>
      <c r="E50" s="47">
        <f t="shared" ref="E50:J50" si="20">+E48-E49</f>
        <v>88625</v>
      </c>
      <c r="F50" s="47">
        <f t="shared" si="20"/>
        <v>81693.463791688569</v>
      </c>
      <c r="G50" s="47">
        <f t="shared" si="20"/>
        <v>74568.187432008155</v>
      </c>
      <c r="H50" s="47">
        <f t="shared" si="20"/>
        <v>65092.972230063475</v>
      </c>
      <c r="I50" s="47">
        <f t="shared" si="20"/>
        <v>68936.715349329548</v>
      </c>
      <c r="J50" s="47">
        <f t="shared" si="20"/>
        <v>72972.645624558907</v>
      </c>
      <c r="L50" s="48"/>
      <c r="M50" s="48"/>
      <c r="N50" s="48"/>
      <c r="O50" s="48"/>
      <c r="P50" s="48"/>
      <c r="Q50" s="48"/>
      <c r="R50" s="48"/>
    </row>
    <row r="51" spans="3:18">
      <c r="K51" t="s">
        <v>65</v>
      </c>
      <c r="L51" s="48">
        <f>L44</f>
        <v>718.75</v>
      </c>
      <c r="M51" s="48">
        <f t="shared" ref="M51:R51" si="21">M44</f>
        <v>2645</v>
      </c>
      <c r="N51" s="48">
        <f t="shared" si="21"/>
        <v>4232</v>
      </c>
      <c r="O51" s="48">
        <f t="shared" si="21"/>
        <v>6266.6153846153848</v>
      </c>
      <c r="P51" s="48">
        <f t="shared" si="21"/>
        <v>9909.1697614678906</v>
      </c>
      <c r="Q51" s="48">
        <f t="shared" si="21"/>
        <v>10404.628249541285</v>
      </c>
      <c r="R51" s="48"/>
    </row>
    <row r="52" spans="3:18">
      <c r="K52" t="s">
        <v>190</v>
      </c>
      <c r="L52" s="627">
        <f>L39</f>
        <v>0.11916993969211997</v>
      </c>
      <c r="M52" s="627">
        <f t="shared" ref="M52:Q52" si="22">M39</f>
        <v>0.11807142437127757</v>
      </c>
      <c r="N52" s="627">
        <f t="shared" si="22"/>
        <v>0.11676</v>
      </c>
      <c r="O52" s="627">
        <f t="shared" si="22"/>
        <v>0.11562</v>
      </c>
      <c r="P52" s="627">
        <f t="shared" si="22"/>
        <v>0.11445</v>
      </c>
      <c r="Q52" s="627">
        <f t="shared" si="22"/>
        <v>0.11445</v>
      </c>
      <c r="R52" s="627"/>
    </row>
    <row r="53" spans="3:18" ht="16">
      <c r="C53" t="s">
        <v>166</v>
      </c>
      <c r="D53" s="47">
        <f>+D37*D38</f>
        <v>11500</v>
      </c>
      <c r="E53" s="47">
        <f>+D53+D54*E39</f>
        <v>13225</v>
      </c>
      <c r="F53" s="47">
        <f t="shared" ref="F53" si="23">+E53+E54*F39</f>
        <v>14812</v>
      </c>
      <c r="G53" s="47">
        <f>+F53+F54*G39</f>
        <v>16293.2</v>
      </c>
      <c r="H53" s="47">
        <f t="shared" ref="H53:I53" si="24">+G53+G54*H39</f>
        <v>17596.656000000003</v>
      </c>
      <c r="I53" s="47">
        <f t="shared" si="24"/>
        <v>18476.488800000003</v>
      </c>
      <c r="J53" s="48"/>
      <c r="K53" s="624" t="s">
        <v>197</v>
      </c>
      <c r="L53" s="48">
        <f t="shared" ref="L53:O53" si="25">(M53+L51)/(1+L52)</f>
        <v>108425.85670655675</v>
      </c>
      <c r="M53" s="48">
        <f t="shared" si="25"/>
        <v>120628.20951134356</v>
      </c>
      <c r="N53" s="48">
        <f t="shared" si="25"/>
        <v>132225.95402770478</v>
      </c>
      <c r="O53" s="48">
        <f t="shared" si="25"/>
        <v>143432.65641997958</v>
      </c>
      <c r="P53" s="48">
        <f>(Q53+P51)/(1+P52)</f>
        <v>153749.72477064226</v>
      </c>
      <c r="Q53" s="48">
        <f>Q51/(Q52-Q31)</f>
        <v>161437.21100917435</v>
      </c>
      <c r="R53" s="48"/>
    </row>
    <row r="54" spans="3:18">
      <c r="C54" t="s">
        <v>194</v>
      </c>
      <c r="D54" s="47">
        <f>+D53*D46</f>
        <v>10781.25</v>
      </c>
      <c r="E54" s="47">
        <f>+E53*E46</f>
        <v>10580</v>
      </c>
      <c r="F54" s="47">
        <f t="shared" ref="F54" si="26">+F53*F46</f>
        <v>10580</v>
      </c>
      <c r="G54" s="47">
        <f>+G53*G46</f>
        <v>10026.584615384616</v>
      </c>
      <c r="H54" s="47">
        <f t="shared" ref="H54:I54" si="27">+H53*H46</f>
        <v>7687.4862385321121</v>
      </c>
      <c r="I54" s="47">
        <f t="shared" si="27"/>
        <v>8071.8605504587176</v>
      </c>
      <c r="J54" s="48"/>
      <c r="L54" s="48"/>
      <c r="M54" s="48"/>
      <c r="N54" s="48"/>
      <c r="O54" s="48"/>
      <c r="P54" s="48"/>
      <c r="Q54" s="48"/>
      <c r="R54" s="48"/>
    </row>
    <row r="55" spans="3:18">
      <c r="C55" t="s">
        <v>65</v>
      </c>
      <c r="D55" s="47">
        <f>+D53-D54</f>
        <v>718.75</v>
      </c>
      <c r="E55" s="47">
        <f t="shared" ref="E55:I55" si="28">+E53-E54</f>
        <v>2645</v>
      </c>
      <c r="F55" s="47">
        <f t="shared" si="28"/>
        <v>4232</v>
      </c>
      <c r="G55" s="47">
        <f t="shared" si="28"/>
        <v>6266.6153846153848</v>
      </c>
      <c r="H55" s="47">
        <f t="shared" si="28"/>
        <v>9909.1697614678906</v>
      </c>
      <c r="I55" s="47">
        <f t="shared" si="28"/>
        <v>10404.628249541285</v>
      </c>
      <c r="J55" s="48"/>
      <c r="L55" s="48"/>
      <c r="M55" s="48"/>
      <c r="N55" s="48"/>
      <c r="O55" s="48"/>
      <c r="P55" s="48"/>
      <c r="Q55" s="48"/>
      <c r="R55" s="48"/>
    </row>
    <row r="56" spans="3:18">
      <c r="C56" t="s">
        <v>195</v>
      </c>
      <c r="D56" s="47">
        <f>+D42*D49</f>
        <v>600</v>
      </c>
      <c r="E56" s="47">
        <f t="shared" ref="E56:I56" si="29">+E42*E49</f>
        <v>1550.9375000000002</v>
      </c>
      <c r="F56" s="47">
        <f t="shared" si="29"/>
        <v>2856.0806069984228</v>
      </c>
      <c r="G56" s="47">
        <f t="shared" si="29"/>
        <v>4188.2335674634041</v>
      </c>
      <c r="H56" s="47">
        <f t="shared" si="29"/>
        <v>5688.7398165137638</v>
      </c>
      <c r="I56" s="47">
        <f t="shared" si="29"/>
        <v>5973.1768073394505</v>
      </c>
      <c r="J56" s="48"/>
      <c r="K56" t="s">
        <v>198</v>
      </c>
      <c r="L56" s="48">
        <f>L44+L46</f>
        <v>808.75</v>
      </c>
      <c r="M56" s="48">
        <f t="shared" ref="M56:Q56" si="30">M44+M46</f>
        <v>2877.640625</v>
      </c>
      <c r="N56" s="48">
        <f t="shared" si="30"/>
        <v>4660.4120910497631</v>
      </c>
      <c r="O56" s="48">
        <f t="shared" si="30"/>
        <v>6894.8504197348957</v>
      </c>
      <c r="P56" s="48">
        <f t="shared" si="30"/>
        <v>10762.480733944954</v>
      </c>
      <c r="Q56" s="48">
        <f t="shared" si="30"/>
        <v>11300.604770642203</v>
      </c>
      <c r="R56" s="48"/>
    </row>
    <row r="57" spans="3:18">
      <c r="C57" t="s">
        <v>158</v>
      </c>
      <c r="D57" s="47">
        <f>+D56*D44</f>
        <v>90</v>
      </c>
      <c r="E57" s="47">
        <f t="shared" ref="E57:I57" si="31">+E56*E44</f>
        <v>232.64062500000003</v>
      </c>
      <c r="F57" s="47">
        <f t="shared" si="31"/>
        <v>428.41209104976343</v>
      </c>
      <c r="G57" s="47">
        <f t="shared" si="31"/>
        <v>628.2350351195106</v>
      </c>
      <c r="H57" s="47">
        <f t="shared" si="31"/>
        <v>853.31097247706452</v>
      </c>
      <c r="I57" s="47">
        <f t="shared" si="31"/>
        <v>895.97652110091758</v>
      </c>
      <c r="J57" s="48"/>
      <c r="K57" t="s">
        <v>259</v>
      </c>
      <c r="L57" s="627">
        <f>L25</f>
        <v>0.12</v>
      </c>
      <c r="M57" s="627">
        <f t="shared" ref="M57:Q57" si="32">M25</f>
        <v>0.12</v>
      </c>
      <c r="N57" s="627">
        <f t="shared" si="32"/>
        <v>0.12</v>
      </c>
      <c r="O57" s="627">
        <f t="shared" si="32"/>
        <v>0.12</v>
      </c>
      <c r="P57" s="627">
        <f t="shared" si="32"/>
        <v>0.12</v>
      </c>
      <c r="Q57" s="627">
        <f t="shared" si="32"/>
        <v>0.12</v>
      </c>
      <c r="R57" s="48"/>
    </row>
    <row r="58" spans="3:18" ht="16">
      <c r="C58" t="s">
        <v>196</v>
      </c>
      <c r="D58" s="47">
        <f>+E49-D49</f>
        <v>12156.25</v>
      </c>
      <c r="E58" s="47">
        <f t="shared" ref="E58:I58" si="33">+F49-E49</f>
        <v>17511.536208311431</v>
      </c>
      <c r="F58" s="47">
        <f>+G49-F49</f>
        <v>17705.276359680407</v>
      </c>
      <c r="G58" s="47">
        <f>+H49-G49</f>
        <v>19501.799817329294</v>
      </c>
      <c r="H58" s="47">
        <f t="shared" si="33"/>
        <v>3843.7431192660442</v>
      </c>
      <c r="I58" s="47">
        <f t="shared" si="33"/>
        <v>4035.9302752293588</v>
      </c>
      <c r="J58" s="48"/>
      <c r="K58" s="624" t="s">
        <v>197</v>
      </c>
      <c r="L58" s="48">
        <f t="shared" ref="L58:O58" si="34">(M58+L56)/(1+L57)</f>
        <v>108425.8567065567</v>
      </c>
      <c r="M58" s="48">
        <f t="shared" si="34"/>
        <v>120628.20951134352</v>
      </c>
      <c r="N58" s="48">
        <f t="shared" si="34"/>
        <v>132225.95402770475</v>
      </c>
      <c r="O58" s="48">
        <f t="shared" si="34"/>
        <v>143432.65641997955</v>
      </c>
      <c r="P58" s="48">
        <f>(Q58+P56)/(1+P57)</f>
        <v>153749.72477064221</v>
      </c>
      <c r="Q58" s="48">
        <f>Q56/(Q57-Q31)</f>
        <v>161437.21100917435</v>
      </c>
      <c r="R58" s="48"/>
    </row>
    <row r="59" spans="3:18" ht="16">
      <c r="C59" t="s">
        <v>69</v>
      </c>
      <c r="D59" s="47">
        <f>+D55-D56+D57+D58</f>
        <v>12365</v>
      </c>
      <c r="E59" s="47">
        <f t="shared" ref="E59:I59" si="35">+E55-E56+E57+E58</f>
        <v>18838.239333311431</v>
      </c>
      <c r="F59" s="47">
        <f t="shared" si="35"/>
        <v>19509.607843731748</v>
      </c>
      <c r="G59" s="47">
        <f t="shared" si="35"/>
        <v>22208.416669600785</v>
      </c>
      <c r="H59" s="47">
        <f t="shared" si="35"/>
        <v>8917.4840366972348</v>
      </c>
      <c r="I59" s="47">
        <f t="shared" si="35"/>
        <v>9363.3582385321115</v>
      </c>
      <c r="J59" s="48"/>
      <c r="K59" s="625" t="s">
        <v>76</v>
      </c>
      <c r="L59" s="48"/>
      <c r="M59" s="48"/>
      <c r="N59" s="48"/>
      <c r="O59" s="48"/>
      <c r="P59" s="48"/>
      <c r="Q59" s="48"/>
      <c r="R59" s="48"/>
    </row>
    <row r="60" spans="3:18">
      <c r="L60" s="48"/>
      <c r="M60" s="48"/>
      <c r="N60" s="48"/>
      <c r="O60" s="48"/>
      <c r="P60" s="48"/>
      <c r="Q60" s="48"/>
      <c r="R60" s="48"/>
    </row>
    <row r="61" spans="3:18" ht="16">
      <c r="D61" s="49">
        <v>2024</v>
      </c>
      <c r="E61" s="50">
        <f>+D61+1</f>
        <v>2025</v>
      </c>
      <c r="F61" s="50">
        <f t="shared" ref="F61:G61" si="36">+E61+1</f>
        <v>2026</v>
      </c>
      <c r="G61" s="50">
        <f t="shared" si="36"/>
        <v>2027</v>
      </c>
      <c r="H61" s="50">
        <v>2028</v>
      </c>
      <c r="I61" s="50" t="s">
        <v>179</v>
      </c>
      <c r="J61" s="50"/>
      <c r="K61" t="s">
        <v>69</v>
      </c>
      <c r="L61" s="48">
        <f>L48</f>
        <v>12365</v>
      </c>
      <c r="M61" s="48">
        <f t="shared" ref="M61:Q61" si="37">M48</f>
        <v>18838.239333311431</v>
      </c>
      <c r="N61" s="48">
        <f t="shared" si="37"/>
        <v>19509.607843731748</v>
      </c>
      <c r="O61" s="48">
        <f t="shared" si="37"/>
        <v>22208.416669600785</v>
      </c>
      <c r="P61" s="48">
        <f t="shared" si="37"/>
        <v>8917.4840366972348</v>
      </c>
      <c r="Q61" s="48">
        <f t="shared" si="37"/>
        <v>9363.3582385321115</v>
      </c>
      <c r="R61" s="48"/>
    </row>
    <row r="62" spans="3:18">
      <c r="C62" t="s">
        <v>65</v>
      </c>
      <c r="D62" s="47">
        <f>+D55</f>
        <v>718.75</v>
      </c>
      <c r="E62" s="47">
        <f>+E55</f>
        <v>2645</v>
      </c>
      <c r="F62" s="47">
        <f t="shared" ref="F62:I62" si="38">+F55</f>
        <v>4232</v>
      </c>
      <c r="G62" s="47">
        <f t="shared" si="38"/>
        <v>6266.6153846153848</v>
      </c>
      <c r="H62" s="47">
        <f t="shared" si="38"/>
        <v>9909.1697614678906</v>
      </c>
      <c r="I62" s="47">
        <f t="shared" si="38"/>
        <v>10404.628249541285</v>
      </c>
      <c r="J62" s="48"/>
      <c r="K62" t="s">
        <v>199</v>
      </c>
      <c r="L62" s="48">
        <f>(L25-L28*L26)/(1-L26)</f>
        <v>0.12609595913184499</v>
      </c>
      <c r="M62" s="48">
        <f t="shared" ref="M62:Q62" si="39">(M25-M28*M26)/(1-M26)</f>
        <v>0.13125003001359373</v>
      </c>
      <c r="N62" s="48">
        <f t="shared" si="39"/>
        <v>0.14057142857142857</v>
      </c>
      <c r="O62" s="48">
        <f t="shared" si="39"/>
        <v>0.15133333333333332</v>
      </c>
      <c r="P62" s="48">
        <f t="shared" si="39"/>
        <v>0.16599999999999998</v>
      </c>
      <c r="Q62" s="48">
        <f>(Q25-Q28*Q26)/(1-Q26)</f>
        <v>0.16599999999999998</v>
      </c>
      <c r="R62" s="48"/>
    </row>
    <row r="63" spans="3:18">
      <c r="C63" t="str">
        <f>+C45</f>
        <v>WACC</v>
      </c>
      <c r="D63" s="46">
        <f t="shared" ref="D63:I63" si="40">+D45</f>
        <v>0.11916993969211997</v>
      </c>
      <c r="E63" s="46">
        <f t="shared" si="40"/>
        <v>0.11807142437127757</v>
      </c>
      <c r="F63" s="46">
        <f t="shared" si="40"/>
        <v>0.11676</v>
      </c>
      <c r="G63" s="46">
        <f t="shared" si="40"/>
        <v>0.11562</v>
      </c>
      <c r="H63" s="46">
        <f t="shared" si="40"/>
        <v>0.11445</v>
      </c>
      <c r="I63" s="46">
        <f t="shared" si="40"/>
        <v>0.11445</v>
      </c>
      <c r="J63" s="12"/>
      <c r="K63" t="s">
        <v>200</v>
      </c>
      <c r="L63" s="48">
        <f t="shared" ref="L63:O63" si="41">(M63+L61)/(1+L62)</f>
        <v>98425.856706556748</v>
      </c>
      <c r="M63" s="48">
        <f t="shared" si="41"/>
        <v>98471.95951134355</v>
      </c>
      <c r="N63" s="48">
        <f t="shared" si="41"/>
        <v>92558.167819393348</v>
      </c>
      <c r="O63" s="48">
        <f t="shared" si="41"/>
        <v>86059.593851987753</v>
      </c>
      <c r="P63" s="48">
        <f>(Q63+P61)/(1+P62)</f>
        <v>76874.862385321117</v>
      </c>
      <c r="Q63" s="48">
        <f>Q61/(Q62-Q31)</f>
        <v>80718.605504587176</v>
      </c>
      <c r="R63" s="48"/>
    </row>
    <row r="64" spans="3:18" ht="16">
      <c r="C64" s="51" t="s">
        <v>197</v>
      </c>
      <c r="D64" s="52">
        <f>+(D62+E64)/(1+D63)</f>
        <v>108425.85670655675</v>
      </c>
      <c r="E64" s="52">
        <f t="shared" ref="E64:F64" si="42">+(E62+F64)/(1+E63)</f>
        <v>120628.20951134356</v>
      </c>
      <c r="F64" s="52">
        <f t="shared" si="42"/>
        <v>132225.95402770478</v>
      </c>
      <c r="G64" s="52">
        <f>+(G62+H64)/(1+G63)</f>
        <v>143432.65641997958</v>
      </c>
      <c r="H64" s="52">
        <f>+(H62+I64)/(1+H63)</f>
        <v>153749.72477064226</v>
      </c>
      <c r="I64" s="52">
        <f>+I62/(I63-J40)</f>
        <v>161437.21100917435</v>
      </c>
      <c r="J64" s="48"/>
      <c r="K64" t="s">
        <v>522</v>
      </c>
      <c r="L64" s="48">
        <f>L37</f>
        <v>10000</v>
      </c>
      <c r="M64" s="48">
        <f t="shared" ref="M64:Q64" si="43">M37</f>
        <v>22156.25</v>
      </c>
      <c r="N64" s="48">
        <f t="shared" si="43"/>
        <v>39667.786208311431</v>
      </c>
      <c r="O64" s="48">
        <f t="shared" si="43"/>
        <v>57373.062567991838</v>
      </c>
      <c r="P64" s="48">
        <f t="shared" si="43"/>
        <v>76874.862385321132</v>
      </c>
      <c r="Q64" s="48">
        <f t="shared" si="43"/>
        <v>80718.605504587176</v>
      </c>
      <c r="R64" s="48"/>
    </row>
    <row r="65" spans="3:18" ht="16">
      <c r="K65" s="624" t="s">
        <v>197</v>
      </c>
      <c r="L65" s="48">
        <f>L63+L64</f>
        <v>108425.85670655675</v>
      </c>
      <c r="M65" s="48">
        <f t="shared" ref="M65:Q65" si="44">M63+M64</f>
        <v>120628.20951134355</v>
      </c>
      <c r="N65" s="48">
        <f t="shared" si="44"/>
        <v>132225.95402770478</v>
      </c>
      <c r="O65" s="48">
        <f t="shared" si="44"/>
        <v>143432.65641997958</v>
      </c>
      <c r="P65" s="48">
        <f t="shared" si="44"/>
        <v>153749.72477064223</v>
      </c>
      <c r="Q65" s="48">
        <f t="shared" si="44"/>
        <v>161437.21100917435</v>
      </c>
      <c r="R65" s="48"/>
    </row>
    <row r="66" spans="3:18" ht="16">
      <c r="K66" s="625" t="s">
        <v>76</v>
      </c>
    </row>
    <row r="67" spans="3:18">
      <c r="C67" t="s">
        <v>198</v>
      </c>
      <c r="D67" s="47">
        <f>+D62+D57</f>
        <v>808.75</v>
      </c>
      <c r="E67" s="47">
        <f>+E62+E57</f>
        <v>2877.640625</v>
      </c>
      <c r="F67" s="47">
        <f t="shared" ref="F67:I67" si="45">+F62+F57</f>
        <v>4660.4120910497631</v>
      </c>
      <c r="G67" s="47">
        <f t="shared" si="45"/>
        <v>6894.8504197348957</v>
      </c>
      <c r="H67" s="47">
        <f t="shared" si="45"/>
        <v>10762.480733944954</v>
      </c>
      <c r="I67" s="47">
        <f t="shared" si="45"/>
        <v>11300.604770642203</v>
      </c>
      <c r="J67" s="48"/>
    </row>
    <row r="68" spans="3:18" ht="16">
      <c r="C68" s="51" t="s">
        <v>197</v>
      </c>
      <c r="D68" s="52">
        <f>+(D67+E68)/(1+D43)</f>
        <v>108425.8567065567</v>
      </c>
      <c r="E68" s="52">
        <f t="shared" ref="E68:F68" si="46">+(E67+F68)/(1+E43)</f>
        <v>120628.20951134352</v>
      </c>
      <c r="F68" s="52">
        <f t="shared" si="46"/>
        <v>132225.95402770475</v>
      </c>
      <c r="G68" s="52">
        <f>+(G67+H68)/(1+G43)</f>
        <v>143432.65641997955</v>
      </c>
      <c r="H68" s="52">
        <f>+(H67+I68)/(1+H43)</f>
        <v>153749.72477064221</v>
      </c>
      <c r="I68" s="52">
        <f>+I67/(J43-J40)</f>
        <v>161437.21100917435</v>
      </c>
      <c r="J68" s="48"/>
    </row>
    <row r="69" spans="3:18" ht="16">
      <c r="C69" s="53" t="s">
        <v>76</v>
      </c>
      <c r="D69" s="54">
        <f>+D68-D64</f>
        <v>0</v>
      </c>
      <c r="E69" s="54">
        <f t="shared" ref="E69:I69" si="47">+E68-E64</f>
        <v>0</v>
      </c>
      <c r="F69" s="54">
        <f t="shared" si="47"/>
        <v>0</v>
      </c>
      <c r="G69" s="54">
        <f t="shared" si="47"/>
        <v>0</v>
      </c>
      <c r="H69" s="54">
        <f t="shared" si="47"/>
        <v>0</v>
      </c>
      <c r="I69" s="54">
        <f t="shared" si="47"/>
        <v>0</v>
      </c>
      <c r="J69" s="54"/>
    </row>
    <row r="71" spans="3:18">
      <c r="C71" t="s">
        <v>69</v>
      </c>
      <c r="D71" s="47">
        <f>+D59</f>
        <v>12365</v>
      </c>
      <c r="E71" s="47">
        <f t="shared" ref="E71:I71" si="48">+E59</f>
        <v>18838.239333311431</v>
      </c>
      <c r="F71" s="47">
        <f t="shared" si="48"/>
        <v>19509.607843731748</v>
      </c>
      <c r="G71" s="47">
        <f t="shared" si="48"/>
        <v>22208.416669600785</v>
      </c>
      <c r="H71" s="47">
        <f t="shared" si="48"/>
        <v>8917.4840366972348</v>
      </c>
      <c r="I71" s="47">
        <f t="shared" si="48"/>
        <v>9363.3582385321115</v>
      </c>
      <c r="J71" s="48"/>
    </row>
    <row r="72" spans="3:18">
      <c r="C72" t="s">
        <v>199</v>
      </c>
      <c r="D72" s="46">
        <f>+(D43-D42*D41)/(1-D41)</f>
        <v>0.12609595913184499</v>
      </c>
      <c r="E72" s="46">
        <f t="shared" ref="E72:I72" si="49">+(E43-E42*E41)/(1-E41)</f>
        <v>0.13125003001359373</v>
      </c>
      <c r="F72" s="46">
        <f t="shared" si="49"/>
        <v>0.14057142857142857</v>
      </c>
      <c r="G72" s="46">
        <f t="shared" si="49"/>
        <v>0.15133333333333332</v>
      </c>
      <c r="H72" s="46">
        <f t="shared" si="49"/>
        <v>0.16599999999999998</v>
      </c>
      <c r="I72" s="46">
        <f t="shared" si="49"/>
        <v>0.16599999999999998</v>
      </c>
      <c r="J72" s="12"/>
    </row>
    <row r="73" spans="3:18">
      <c r="C73" t="s">
        <v>200</v>
      </c>
      <c r="D73" s="47">
        <f t="shared" ref="D73:F73" si="50">+(D71+E73)/(1+D72)</f>
        <v>98425.856706556748</v>
      </c>
      <c r="E73" s="47">
        <f t="shared" si="50"/>
        <v>98471.95951134355</v>
      </c>
      <c r="F73" s="47">
        <f t="shared" si="50"/>
        <v>92558.167819393348</v>
      </c>
      <c r="G73" s="47">
        <f>+(G71+H73)/(1+G72)</f>
        <v>86059.593851987753</v>
      </c>
      <c r="H73" s="47">
        <f>+(H71+I73)/(1+H72)</f>
        <v>76874.862385321117</v>
      </c>
      <c r="I73" s="47">
        <f>+I71/(I72-J40)</f>
        <v>80718.605504587176</v>
      </c>
      <c r="J73" s="48"/>
    </row>
    <row r="74" spans="3:18" ht="16">
      <c r="C74" s="51" t="s">
        <v>197</v>
      </c>
      <c r="D74" s="52">
        <f>+D73+D49</f>
        <v>108425.85670655675</v>
      </c>
      <c r="E74" s="52">
        <f t="shared" ref="E74:H74" si="51">+E73+E49</f>
        <v>120628.20951134355</v>
      </c>
      <c r="F74" s="52">
        <f t="shared" si="51"/>
        <v>132225.95402770478</v>
      </c>
      <c r="G74" s="52">
        <f t="shared" si="51"/>
        <v>143432.65641997958</v>
      </c>
      <c r="H74" s="52">
        <f t="shared" si="51"/>
        <v>153749.72477064223</v>
      </c>
      <c r="I74" s="52">
        <f>+I73+I49</f>
        <v>161437.21100917435</v>
      </c>
      <c r="J74" s="48"/>
    </row>
    <row r="75" spans="3:18" ht="16">
      <c r="C75" s="53" t="s">
        <v>76</v>
      </c>
      <c r="D75" s="54">
        <f>+D74-D68</f>
        <v>0</v>
      </c>
      <c r="E75" s="54">
        <f t="shared" ref="E75:I75" si="52">+E74-E68</f>
        <v>0</v>
      </c>
      <c r="F75" s="54">
        <f t="shared" si="52"/>
        <v>0</v>
      </c>
      <c r="G75" s="54">
        <f t="shared" si="52"/>
        <v>0</v>
      </c>
      <c r="H75" s="54">
        <f t="shared" si="52"/>
        <v>0</v>
      </c>
      <c r="I75" s="54">
        <f t="shared" si="52"/>
        <v>0</v>
      </c>
      <c r="J75" s="54"/>
    </row>
    <row r="76" spans="3:18">
      <c r="C76" t="s">
        <v>201</v>
      </c>
      <c r="D76" s="55">
        <f>+D48</f>
        <v>100000</v>
      </c>
      <c r="E76" s="55">
        <f t="shared" ref="E76:I76" si="53">+E48</f>
        <v>110781.25</v>
      </c>
      <c r="F76" s="55">
        <f t="shared" si="53"/>
        <v>121361.25</v>
      </c>
      <c r="G76" s="55">
        <f t="shared" si="53"/>
        <v>131941.25</v>
      </c>
      <c r="H76" s="55">
        <f t="shared" si="53"/>
        <v>141967.83461538461</v>
      </c>
      <c r="I76" s="55">
        <f t="shared" si="53"/>
        <v>149655.32085391672</v>
      </c>
      <c r="J76" s="55"/>
    </row>
    <row r="78" spans="3:18">
      <c r="D78" s="55"/>
      <c r="E78" s="55"/>
      <c r="F78" s="55"/>
      <c r="G78" s="55"/>
      <c r="H78" s="55"/>
      <c r="I78" s="55"/>
      <c r="J78" s="55"/>
    </row>
    <row r="80" spans="3:18">
      <c r="D80" s="55"/>
      <c r="E80" s="55"/>
      <c r="F80" s="55"/>
      <c r="G80" s="55"/>
      <c r="H80" s="55"/>
      <c r="I80" s="55"/>
      <c r="J80" s="55"/>
    </row>
    <row r="81" spans="3:11">
      <c r="D81" s="55"/>
      <c r="E81" s="55"/>
      <c r="F81" s="55"/>
      <c r="G81" s="55"/>
      <c r="H81" s="55"/>
      <c r="I81" s="55"/>
      <c r="J81" s="56"/>
      <c r="K81" s="57"/>
    </row>
    <row r="82" spans="3:11">
      <c r="D82" s="55"/>
      <c r="E82" s="55"/>
      <c r="F82" s="55"/>
      <c r="G82" s="55"/>
      <c r="H82" s="55"/>
      <c r="I82" s="55"/>
      <c r="J82" s="55"/>
    </row>
    <row r="83" spans="3:11">
      <c r="D83" s="55"/>
      <c r="E83" s="55"/>
      <c r="F83" s="55"/>
      <c r="G83" s="55"/>
      <c r="H83" s="55"/>
      <c r="I83" s="55"/>
      <c r="J83" s="55"/>
    </row>
    <row r="84" spans="3:11" ht="16">
      <c r="C84" s="53"/>
      <c r="D84" s="54"/>
      <c r="E84" s="54"/>
      <c r="F84" s="54"/>
      <c r="G84" s="54"/>
      <c r="H84" s="54"/>
      <c r="I84" s="54"/>
      <c r="J84" s="54"/>
    </row>
    <row r="86" spans="3:11">
      <c r="D86" s="55"/>
      <c r="E86" s="55"/>
      <c r="F86" s="55"/>
      <c r="G86" s="55"/>
      <c r="H86" s="55"/>
      <c r="I86" s="55"/>
      <c r="J86" s="55"/>
    </row>
    <row r="87" spans="3:11">
      <c r="D87" s="55"/>
      <c r="E87" s="55"/>
      <c r="F87" s="55"/>
      <c r="G87" s="55"/>
      <c r="H87" s="55"/>
      <c r="I87" s="55"/>
      <c r="J87" s="55"/>
    </row>
    <row r="88" spans="3:11">
      <c r="D88" s="55"/>
      <c r="E88" s="55"/>
      <c r="F88" s="55"/>
      <c r="G88" s="55"/>
      <c r="H88" s="55"/>
      <c r="I88" s="55"/>
      <c r="J88" s="55"/>
    </row>
    <row r="89" spans="3:11">
      <c r="D89" s="55"/>
      <c r="E89" s="55"/>
      <c r="F89" s="55"/>
      <c r="G89" s="55"/>
      <c r="H89" s="55"/>
      <c r="I89" s="55"/>
      <c r="J89" s="55"/>
    </row>
    <row r="90" spans="3:11">
      <c r="D90" s="55"/>
      <c r="E90" s="55"/>
      <c r="F90" s="55"/>
      <c r="G90" s="55"/>
      <c r="H90" s="55"/>
      <c r="I90" s="55"/>
      <c r="J90" s="55"/>
    </row>
    <row r="92" spans="3:11">
      <c r="D92" s="55"/>
      <c r="E92" s="55"/>
      <c r="F92" s="55"/>
      <c r="G92" s="55"/>
      <c r="H92" s="55"/>
      <c r="I92" s="55"/>
      <c r="J92" s="55"/>
    </row>
    <row r="93" spans="3:11">
      <c r="D93" s="55"/>
      <c r="E93" s="55"/>
      <c r="F93" s="55"/>
      <c r="G93" s="55"/>
      <c r="H93" s="55"/>
      <c r="I93" s="55"/>
      <c r="J93" s="55"/>
    </row>
    <row r="94" spans="3:11">
      <c r="D94" s="55"/>
      <c r="E94" s="55"/>
      <c r="F94" s="55"/>
      <c r="G94" s="55"/>
      <c r="H94" s="55"/>
      <c r="I94" s="55"/>
      <c r="J94" s="55"/>
    </row>
    <row r="95" spans="3:11">
      <c r="D95" s="55"/>
      <c r="E95" s="55"/>
      <c r="F95" s="55"/>
      <c r="G95" s="55"/>
      <c r="H95" s="55"/>
      <c r="I95" s="55"/>
      <c r="J95" s="55"/>
    </row>
    <row r="96" spans="3:11">
      <c r="D96" s="55"/>
      <c r="E96" s="55"/>
      <c r="F96" s="55"/>
      <c r="G96" s="55"/>
      <c r="H96" s="55"/>
      <c r="I96" s="55"/>
      <c r="J96" s="55"/>
    </row>
    <row r="97" spans="3:10">
      <c r="D97" s="55"/>
      <c r="E97" s="55"/>
      <c r="F97" s="55"/>
      <c r="G97" s="55"/>
      <c r="H97" s="55"/>
      <c r="I97" s="55"/>
      <c r="J97" s="55"/>
    </row>
    <row r="98" spans="3:10">
      <c r="D98" s="55"/>
      <c r="E98" s="55"/>
      <c r="F98" s="55"/>
      <c r="G98" s="55"/>
      <c r="H98" s="55"/>
      <c r="I98" s="55"/>
      <c r="J98" s="55"/>
    </row>
    <row r="99" spans="3:10" ht="16">
      <c r="C99" s="53"/>
      <c r="D99" s="54"/>
      <c r="E99" s="54"/>
      <c r="F99" s="54"/>
      <c r="G99" s="54"/>
      <c r="H99" s="54"/>
      <c r="I99" s="54"/>
      <c r="J99" s="54"/>
    </row>
    <row r="100" spans="3:10" ht="16">
      <c r="C100" s="53"/>
      <c r="D100" s="58"/>
      <c r="E100" s="58"/>
      <c r="F100" s="58"/>
      <c r="G100" s="58"/>
      <c r="H100" s="58"/>
      <c r="I100" s="58"/>
      <c r="J100" s="5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EC4C-9D96-4F6D-99D9-9BC191372677}">
  <dimension ref="A24:AB88"/>
  <sheetViews>
    <sheetView topLeftCell="K22" zoomScale="80" zoomScaleNormal="80" workbookViewId="0">
      <selection activeCell="S35" sqref="S35:S65"/>
    </sheetView>
  </sheetViews>
  <sheetFormatPr baseColWidth="10" defaultColWidth="9.1640625" defaultRowHeight="16"/>
  <cols>
    <col min="1" max="1" width="87.33203125" style="149" bestFit="1" customWidth="1"/>
    <col min="2" max="2" width="46.6640625" style="149" bestFit="1" customWidth="1"/>
    <col min="3" max="3" width="31.33203125" style="149" bestFit="1" customWidth="1"/>
    <col min="4" max="4" width="12" style="149" bestFit="1" customWidth="1"/>
    <col min="5" max="5" width="11.83203125" style="149" bestFit="1" customWidth="1"/>
    <col min="6" max="6" width="12.83203125" style="149" bestFit="1" customWidth="1"/>
    <col min="7" max="7" width="14" style="149" bestFit="1" customWidth="1"/>
    <col min="8" max="8" width="12.83203125" style="149" bestFit="1" customWidth="1"/>
    <col min="9" max="9" width="23.33203125" style="149" bestFit="1" customWidth="1"/>
    <col min="10" max="10" width="12" style="149" bestFit="1" customWidth="1"/>
    <col min="11" max="11" width="11.6640625" style="149" bestFit="1" customWidth="1"/>
    <col min="12" max="18" width="9.1640625" style="149"/>
    <col min="19" max="19" width="12" style="149" bestFit="1" customWidth="1"/>
    <col min="20" max="20" width="12.83203125" style="149" bestFit="1" customWidth="1"/>
    <col min="21" max="21" width="12.83203125" style="149" customWidth="1"/>
    <col min="22" max="22" width="12.83203125" style="149" bestFit="1" customWidth="1"/>
    <col min="23" max="23" width="11.83203125" style="149" bestFit="1" customWidth="1"/>
    <col min="24" max="27" width="12.83203125" style="149" bestFit="1" customWidth="1"/>
    <col min="28" max="16384" width="9.1640625" style="149"/>
  </cols>
  <sheetData>
    <row r="24" spans="1:27">
      <c r="C24" s="150"/>
      <c r="D24" s="151">
        <v>2022</v>
      </c>
      <c r="E24" s="152">
        <f>+D24+1</f>
        <v>2023</v>
      </c>
      <c r="F24" s="152">
        <f t="shared" ref="F24:H24" si="0">+E24+1</f>
        <v>2024</v>
      </c>
      <c r="G24" s="152">
        <f t="shared" si="0"/>
        <v>2025</v>
      </c>
      <c r="H24" s="152">
        <f t="shared" si="0"/>
        <v>2026</v>
      </c>
      <c r="I24" s="153" t="s">
        <v>202</v>
      </c>
      <c r="J24" s="150" t="s">
        <v>180</v>
      </c>
      <c r="K24" s="150" t="s">
        <v>203</v>
      </c>
      <c r="S24" s="150"/>
      <c r="T24" s="151">
        <v>2022</v>
      </c>
      <c r="U24" s="152">
        <f>+T24+1</f>
        <v>2023</v>
      </c>
      <c r="V24" s="152">
        <f t="shared" ref="V24" si="1">+U24+1</f>
        <v>2024</v>
      </c>
      <c r="W24" s="152">
        <f t="shared" ref="W24" si="2">+V24+1</f>
        <v>2025</v>
      </c>
      <c r="X24" s="152">
        <f t="shared" ref="X24" si="3">+W24+1</f>
        <v>2026</v>
      </c>
      <c r="Y24" s="153" t="s">
        <v>202</v>
      </c>
      <c r="Z24" s="150" t="s">
        <v>180</v>
      </c>
      <c r="AA24" s="150" t="s">
        <v>203</v>
      </c>
    </row>
    <row r="25" spans="1:27">
      <c r="B25" s="154" t="s">
        <v>204</v>
      </c>
      <c r="C25" s="155" t="s">
        <v>185</v>
      </c>
      <c r="D25" s="156">
        <v>0.11</v>
      </c>
      <c r="E25" s="156"/>
      <c r="F25" s="156"/>
      <c r="G25" s="156"/>
      <c r="H25" s="156"/>
      <c r="I25" s="156"/>
      <c r="J25" s="150"/>
      <c r="K25" s="150"/>
      <c r="S25" s="155" t="s">
        <v>185</v>
      </c>
      <c r="T25" s="156">
        <v>0.11</v>
      </c>
      <c r="U25" s="156"/>
      <c r="V25" s="156"/>
      <c r="W25" s="156"/>
      <c r="X25" s="156"/>
      <c r="Y25" s="156"/>
      <c r="Z25" s="150"/>
      <c r="AA25" s="150"/>
    </row>
    <row r="26" spans="1:27">
      <c r="A26" s="157" t="s">
        <v>205</v>
      </c>
      <c r="B26" s="154" t="s">
        <v>206</v>
      </c>
      <c r="C26" s="155" t="s">
        <v>186</v>
      </c>
      <c r="D26" s="156"/>
      <c r="E26" s="156">
        <v>0.16</v>
      </c>
      <c r="F26" s="156">
        <v>0.18</v>
      </c>
      <c r="G26" s="156">
        <v>0.2</v>
      </c>
      <c r="H26" s="156">
        <v>0.22</v>
      </c>
      <c r="I26" s="158">
        <f>I38</f>
        <v>0.11635</v>
      </c>
      <c r="J26" s="158">
        <f>J38</f>
        <v>0.11635</v>
      </c>
      <c r="K26" s="158">
        <f>K38</f>
        <v>0.11635</v>
      </c>
      <c r="S26" s="155" t="s">
        <v>186</v>
      </c>
      <c r="T26" s="156"/>
      <c r="U26" s="156">
        <v>0.16</v>
      </c>
      <c r="V26" s="156">
        <v>0.18</v>
      </c>
      <c r="W26" s="156">
        <v>0.2</v>
      </c>
      <c r="X26" s="156">
        <v>0.22</v>
      </c>
      <c r="Y26" s="158">
        <f>Y33</f>
        <v>0.5</v>
      </c>
      <c r="Z26" s="158">
        <f t="shared" ref="Z26:AA26" si="4">Z33</f>
        <v>0.5</v>
      </c>
      <c r="AA26" s="158">
        <f t="shared" si="4"/>
        <v>0.5</v>
      </c>
    </row>
    <row r="27" spans="1:27">
      <c r="A27" s="149" t="s">
        <v>207</v>
      </c>
      <c r="B27" s="159" t="s">
        <v>208</v>
      </c>
      <c r="C27" s="155" t="s">
        <v>209</v>
      </c>
      <c r="D27" s="156">
        <v>0.6</v>
      </c>
      <c r="E27" s="156">
        <v>0.5</v>
      </c>
      <c r="F27" s="156">
        <v>0.4</v>
      </c>
      <c r="G27" s="156">
        <v>0.3</v>
      </c>
      <c r="H27" s="156">
        <v>0.25</v>
      </c>
      <c r="I27" s="160">
        <f>J31/J26</f>
        <v>0.42973785990545771</v>
      </c>
      <c r="J27" s="160">
        <f>K31/K26</f>
        <v>0.42973785990545771</v>
      </c>
      <c r="K27" s="160" t="e">
        <f>L31/L26</f>
        <v>#VALUE!</v>
      </c>
      <c r="L27" s="149" t="s">
        <v>210</v>
      </c>
      <c r="S27" s="155" t="s">
        <v>209</v>
      </c>
      <c r="T27" s="156">
        <v>0.6</v>
      </c>
      <c r="U27" s="156">
        <v>0.5</v>
      </c>
      <c r="V27" s="156">
        <v>0.4</v>
      </c>
      <c r="W27" s="156">
        <v>0.3</v>
      </c>
      <c r="X27" s="156">
        <v>0.25</v>
      </c>
      <c r="Y27" s="160">
        <f>Z31/Z26</f>
        <v>0.1</v>
      </c>
      <c r="Z27" s="160">
        <f>AA31/AA26</f>
        <v>0.1</v>
      </c>
      <c r="AA27" s="160">
        <f>Z27</f>
        <v>0.1</v>
      </c>
    </row>
    <row r="28" spans="1:27" ht="18">
      <c r="C28" s="155" t="s">
        <v>211</v>
      </c>
      <c r="D28" s="156">
        <v>0.12</v>
      </c>
      <c r="E28" s="156">
        <v>0.12</v>
      </c>
      <c r="F28" s="156">
        <v>0.12</v>
      </c>
      <c r="G28" s="156">
        <v>0.12</v>
      </c>
      <c r="H28" s="156">
        <v>0.12</v>
      </c>
      <c r="I28" s="156">
        <v>0.12</v>
      </c>
      <c r="J28" s="156">
        <v>0.12</v>
      </c>
      <c r="K28" s="156">
        <v>0.12</v>
      </c>
      <c r="S28" s="155" t="s">
        <v>211</v>
      </c>
      <c r="T28" s="156">
        <v>0.12</v>
      </c>
      <c r="U28" s="156">
        <v>0.12</v>
      </c>
      <c r="V28" s="156">
        <v>0.12</v>
      </c>
      <c r="W28" s="156">
        <v>0.12</v>
      </c>
      <c r="X28" s="156">
        <v>0.12</v>
      </c>
      <c r="Y28" s="156">
        <v>0.12</v>
      </c>
      <c r="Z28" s="156">
        <v>0.12</v>
      </c>
      <c r="AA28" s="156">
        <v>0.12</v>
      </c>
    </row>
    <row r="29" spans="1:27" ht="18">
      <c r="C29" s="155" t="s">
        <v>212</v>
      </c>
      <c r="D29" s="156">
        <v>0.06</v>
      </c>
      <c r="E29" s="156">
        <v>7.0000000000000007E-2</v>
      </c>
      <c r="F29" s="156">
        <v>7.1999999999999995E-2</v>
      </c>
      <c r="G29" s="156">
        <v>7.2999999999999995E-2</v>
      </c>
      <c r="H29" s="156">
        <v>7.2999999999999995E-2</v>
      </c>
      <c r="I29" s="156">
        <v>7.2999999999999995E-2</v>
      </c>
      <c r="J29" s="156">
        <v>7.2999999999999995E-2</v>
      </c>
      <c r="K29" s="156">
        <v>7.2999999999999995E-2</v>
      </c>
      <c r="S29" s="155" t="s">
        <v>212</v>
      </c>
      <c r="T29" s="156">
        <v>0.06</v>
      </c>
      <c r="U29" s="156">
        <v>7.0000000000000007E-2</v>
      </c>
      <c r="V29" s="156">
        <v>7.1999999999999995E-2</v>
      </c>
      <c r="W29" s="156">
        <v>7.2999999999999995E-2</v>
      </c>
      <c r="X29" s="156">
        <v>7.2999999999999995E-2</v>
      </c>
      <c r="Y29" s="156">
        <v>7.2999999999999995E-2</v>
      </c>
      <c r="Z29" s="156">
        <v>7.2999999999999995E-2</v>
      </c>
      <c r="AA29" s="156">
        <v>7.2999999999999995E-2</v>
      </c>
    </row>
    <row r="30" spans="1:27">
      <c r="C30" s="155" t="s">
        <v>77</v>
      </c>
      <c r="D30" s="156">
        <v>0.1</v>
      </c>
      <c r="E30" s="156">
        <v>0.1</v>
      </c>
      <c r="F30" s="156">
        <v>0.1</v>
      </c>
      <c r="G30" s="156">
        <v>0.1</v>
      </c>
      <c r="H30" s="156">
        <v>0.1</v>
      </c>
      <c r="I30" s="156">
        <v>0.1</v>
      </c>
      <c r="J30" s="156">
        <v>0.1</v>
      </c>
      <c r="K30" s="156">
        <v>0.1</v>
      </c>
      <c r="S30" s="155" t="s">
        <v>77</v>
      </c>
      <c r="T30" s="156">
        <v>0.1</v>
      </c>
      <c r="U30" s="156">
        <v>0.1</v>
      </c>
      <c r="V30" s="156">
        <v>0.1</v>
      </c>
      <c r="W30" s="156">
        <v>0.1</v>
      </c>
      <c r="X30" s="156">
        <v>0.1</v>
      </c>
      <c r="Y30" s="156">
        <v>0.1</v>
      </c>
      <c r="Z30" s="156">
        <v>0.1</v>
      </c>
      <c r="AA30" s="156">
        <v>0.1</v>
      </c>
    </row>
    <row r="31" spans="1:27">
      <c r="C31" s="155" t="s">
        <v>213</v>
      </c>
      <c r="D31" s="150"/>
      <c r="E31" s="150"/>
      <c r="F31" s="150"/>
      <c r="G31" s="156"/>
      <c r="H31" s="156"/>
      <c r="I31" s="156"/>
      <c r="J31" s="156">
        <v>0.05</v>
      </c>
      <c r="K31" s="156">
        <v>0.05</v>
      </c>
      <c r="L31" s="149" t="s">
        <v>214</v>
      </c>
      <c r="S31" s="155" t="s">
        <v>213</v>
      </c>
      <c r="T31" s="150"/>
      <c r="U31" s="150"/>
      <c r="V31" s="150"/>
      <c r="W31" s="156"/>
      <c r="X31" s="156"/>
      <c r="Y31" s="156">
        <f>Z31</f>
        <v>0.05</v>
      </c>
      <c r="Z31" s="156">
        <v>0.05</v>
      </c>
      <c r="AA31" s="156">
        <v>0.05</v>
      </c>
    </row>
    <row r="32" spans="1:27">
      <c r="S32" s="161"/>
      <c r="T32" s="162">
        <f>+T23</f>
        <v>0</v>
      </c>
      <c r="U32" s="162">
        <f t="shared" ref="U32:Y32" si="5">+U23</f>
        <v>0</v>
      </c>
      <c r="V32" s="162">
        <f t="shared" si="5"/>
        <v>0</v>
      </c>
      <c r="W32" s="162">
        <f t="shared" si="5"/>
        <v>0</v>
      </c>
      <c r="X32" s="162">
        <f t="shared" si="5"/>
        <v>0</v>
      </c>
      <c r="Y32" s="162">
        <f t="shared" si="5"/>
        <v>0</v>
      </c>
    </row>
    <row r="33" spans="1:28">
      <c r="C33" s="161"/>
      <c r="D33" s="162">
        <f>+D24</f>
        <v>2022</v>
      </c>
      <c r="E33" s="162">
        <f t="shared" ref="E33:I33" si="6">+E24</f>
        <v>2023</v>
      </c>
      <c r="F33" s="162">
        <f t="shared" si="6"/>
        <v>2024</v>
      </c>
      <c r="G33" s="162">
        <f t="shared" si="6"/>
        <v>2025</v>
      </c>
      <c r="H33" s="162">
        <f t="shared" si="6"/>
        <v>2026</v>
      </c>
      <c r="I33" s="162" t="str">
        <f t="shared" si="6"/>
        <v>TV</v>
      </c>
      <c r="S33" s="161" t="s">
        <v>182</v>
      </c>
      <c r="T33" s="163">
        <f>T36/T57</f>
        <v>0</v>
      </c>
      <c r="U33" s="163">
        <f t="shared" ref="U33:X33" si="7">U36/U57</f>
        <v>0.12277383841250963</v>
      </c>
      <c r="V33" s="163">
        <f t="shared" si="7"/>
        <v>0.23923484334692036</v>
      </c>
      <c r="W33" s="163">
        <f t="shared" si="7"/>
        <v>0.29078205353418524</v>
      </c>
      <c r="X33" s="163">
        <f t="shared" si="7"/>
        <v>0.28187282787507639</v>
      </c>
      <c r="Y33" s="164">
        <v>0.5</v>
      </c>
      <c r="Z33" s="164">
        <v>0.5</v>
      </c>
      <c r="AA33" s="164">
        <v>0.5</v>
      </c>
    </row>
    <row r="34" spans="1:28">
      <c r="C34" s="161" t="s">
        <v>182</v>
      </c>
      <c r="D34" s="163">
        <f>D43/D78</f>
        <v>0</v>
      </c>
      <c r="E34" s="163">
        <f t="shared" ref="E34:G34" si="8">E43/E78</f>
        <v>0.19040519805301395</v>
      </c>
      <c r="F34" s="163">
        <f t="shared" si="8"/>
        <v>0.37784772289507412</v>
      </c>
      <c r="G34" s="163">
        <f t="shared" si="8"/>
        <v>0.4702966810598565</v>
      </c>
      <c r="H34" s="163">
        <f>H43/H78</f>
        <v>0.46976103535784935</v>
      </c>
      <c r="I34" s="164">
        <v>0.5</v>
      </c>
      <c r="J34" s="164">
        <v>0.5</v>
      </c>
      <c r="K34" s="164">
        <v>0.5</v>
      </c>
      <c r="S34" s="161" t="s">
        <v>183</v>
      </c>
      <c r="T34" s="164">
        <v>0</v>
      </c>
      <c r="U34" s="164">
        <v>0.2</v>
      </c>
      <c r="V34" s="164">
        <v>0.4</v>
      </c>
      <c r="W34" s="164">
        <v>0.5</v>
      </c>
      <c r="X34" s="164">
        <v>0.5</v>
      </c>
      <c r="Y34" s="629"/>
      <c r="Z34" s="630"/>
      <c r="AA34" s="630"/>
    </row>
    <row r="35" spans="1:28">
      <c r="C35" s="161" t="s">
        <v>183</v>
      </c>
      <c r="D35" s="164">
        <v>0</v>
      </c>
      <c r="E35" s="164">
        <v>0.2</v>
      </c>
      <c r="F35" s="164">
        <v>0.4</v>
      </c>
      <c r="G35" s="164">
        <v>0.5</v>
      </c>
      <c r="H35" s="164">
        <v>0.5</v>
      </c>
      <c r="I35" s="164"/>
      <c r="S35" s="149" t="s">
        <v>188</v>
      </c>
      <c r="T35" s="165">
        <v>20000</v>
      </c>
      <c r="U35" s="165">
        <f>T35+T42</f>
        <v>21320</v>
      </c>
      <c r="V35" s="165">
        <f t="shared" ref="V35:AA35" si="9">U35+U42</f>
        <v>22525.599999999999</v>
      </c>
      <c r="W35" s="165">
        <f t="shared" si="9"/>
        <v>23576.883199999997</v>
      </c>
      <c r="X35" s="165">
        <f t="shared" si="9"/>
        <v>24428.422591999995</v>
      </c>
      <c r="Y35" s="165">
        <f t="shared" si="9"/>
        <v>25184.873418559997</v>
      </c>
      <c r="Z35" s="165">
        <f t="shared" si="9"/>
        <v>25525.276290511996</v>
      </c>
      <c r="AA35" s="165">
        <f t="shared" si="9"/>
        <v>25882.699306061597</v>
      </c>
    </row>
    <row r="36" spans="1:28">
      <c r="C36" s="149" t="s">
        <v>188</v>
      </c>
      <c r="D36" s="165">
        <v>20000</v>
      </c>
      <c r="E36" s="165"/>
      <c r="F36" s="165"/>
      <c r="G36" s="165"/>
      <c r="H36" s="165"/>
      <c r="I36" s="165"/>
      <c r="J36" s="165"/>
      <c r="K36" s="165"/>
      <c r="S36" t="s">
        <v>192</v>
      </c>
      <c r="T36" s="149">
        <f>T34*T35</f>
        <v>0</v>
      </c>
      <c r="U36" s="149">
        <f t="shared" ref="U36:X36" si="10">U34*U35</f>
        <v>4264</v>
      </c>
      <c r="V36" s="149">
        <f t="shared" si="10"/>
        <v>9010.24</v>
      </c>
      <c r="W36" s="149">
        <f t="shared" si="10"/>
        <v>11788.441599999998</v>
      </c>
      <c r="X36" s="149">
        <f t="shared" si="10"/>
        <v>12214.211295999998</v>
      </c>
      <c r="Y36" s="631">
        <f>Y33*Y52</f>
        <v>23086.856424777696</v>
      </c>
      <c r="Z36" s="631">
        <f>Z33*Z52</f>
        <v>24241.199246016578</v>
      </c>
      <c r="AA36" s="631">
        <f>AA33*AA52</f>
        <v>25453.259208317406</v>
      </c>
      <c r="AB36" s="149">
        <f>AA36+(AA36*AA31)</f>
        <v>26725.922168733276</v>
      </c>
    </row>
    <row r="37" spans="1:28">
      <c r="S37" t="s">
        <v>193</v>
      </c>
      <c r="T37" s="165">
        <f>T35-T36</f>
        <v>20000</v>
      </c>
      <c r="U37" s="165">
        <f t="shared" ref="U37:AA37" si="11">U35-U36</f>
        <v>17056</v>
      </c>
      <c r="V37" s="165">
        <f t="shared" si="11"/>
        <v>13515.359999999999</v>
      </c>
      <c r="W37" s="165">
        <f t="shared" si="11"/>
        <v>11788.441599999998</v>
      </c>
      <c r="X37" s="165">
        <f t="shared" si="11"/>
        <v>12214.211295999998</v>
      </c>
      <c r="Y37" s="165">
        <f t="shared" si="11"/>
        <v>2098.0169937823011</v>
      </c>
      <c r="Z37" s="165">
        <f t="shared" si="11"/>
        <v>1284.0770444954178</v>
      </c>
      <c r="AA37" s="165">
        <f t="shared" si="11"/>
        <v>429.44009774419101</v>
      </c>
    </row>
    <row r="38" spans="1:28">
      <c r="B38" s="149" t="s">
        <v>215</v>
      </c>
      <c r="C38" s="161" t="s">
        <v>190</v>
      </c>
      <c r="D38" s="166">
        <f>D28-D34*D29*D30</f>
        <v>0.12</v>
      </c>
      <c r="E38" s="166">
        <f t="shared" ref="E38:G38" si="12">E28-E34*E29*E30</f>
        <v>0.1186671636136289</v>
      </c>
      <c r="F38" s="166">
        <f t="shared" si="12"/>
        <v>0.11727949639515546</v>
      </c>
      <c r="G38" s="166">
        <f t="shared" si="12"/>
        <v>0.11656683422826304</v>
      </c>
      <c r="H38" s="166">
        <f>H28-H34*H29*H30</f>
        <v>0.1165707444418877</v>
      </c>
      <c r="I38" s="166">
        <f>I28-I34*I29*I30</f>
        <v>0.11635</v>
      </c>
      <c r="J38" s="166">
        <f t="shared" ref="J38" si="13">J28-J34*J29*J30</f>
        <v>0.11635</v>
      </c>
      <c r="K38" s="166">
        <f>K28-K34*K29*K30</f>
        <v>0.11635</v>
      </c>
      <c r="S38" t="s">
        <v>190</v>
      </c>
      <c r="T38" s="188">
        <f>T28-T33*T29*T30</f>
        <v>0.12</v>
      </c>
      <c r="U38" s="188">
        <f t="shared" ref="U38:AA38" si="14">U28-U33*U29*U30</f>
        <v>0.11914058313111243</v>
      </c>
      <c r="V38" s="188">
        <f t="shared" si="14"/>
        <v>0.11827750912790216</v>
      </c>
      <c r="W38" s="188">
        <f t="shared" si="14"/>
        <v>0.11787729100920044</v>
      </c>
      <c r="X38" s="188">
        <f t="shared" si="14"/>
        <v>0.11794232835651194</v>
      </c>
      <c r="Y38" s="188">
        <f t="shared" si="14"/>
        <v>0.11635</v>
      </c>
      <c r="Z38" s="188">
        <f t="shared" si="14"/>
        <v>0.11635</v>
      </c>
      <c r="AA38" s="188">
        <f t="shared" si="14"/>
        <v>0.11635</v>
      </c>
    </row>
    <row r="39" spans="1:28">
      <c r="S39"/>
    </row>
    <row r="40" spans="1:28">
      <c r="S40" t="s">
        <v>25</v>
      </c>
      <c r="T40" s="149">
        <f>T41/(1-T30)</f>
        <v>2444.4444444444443</v>
      </c>
      <c r="U40" s="149">
        <f t="shared" ref="U40:AA40" si="15">U41/(1-U30)</f>
        <v>2679.1111111111109</v>
      </c>
      <c r="V40" s="149">
        <f t="shared" si="15"/>
        <v>2920.2311111111107</v>
      </c>
      <c r="W40" s="149">
        <f t="shared" si="15"/>
        <v>3153.8495999999996</v>
      </c>
      <c r="X40" s="149">
        <f t="shared" si="15"/>
        <v>3362.0036735999993</v>
      </c>
      <c r="Y40" s="149">
        <f t="shared" si="15"/>
        <v>3782.2541327999993</v>
      </c>
      <c r="Z40" s="149">
        <f t="shared" si="15"/>
        <v>3971.3668394399992</v>
      </c>
      <c r="AA40" s="149">
        <f t="shared" si="15"/>
        <v>4169.9351814119991</v>
      </c>
    </row>
    <row r="41" spans="1:28">
      <c r="A41" s="149" t="s">
        <v>216</v>
      </c>
      <c r="B41" s="149" t="s">
        <v>217</v>
      </c>
      <c r="D41" s="162">
        <v>2022</v>
      </c>
      <c r="E41" s="162">
        <v>2023</v>
      </c>
      <c r="F41" s="162">
        <v>2024</v>
      </c>
      <c r="G41" s="162">
        <v>2025</v>
      </c>
      <c r="H41" s="162">
        <v>2026</v>
      </c>
      <c r="I41" s="167"/>
      <c r="S41" t="s">
        <v>166</v>
      </c>
      <c r="T41" s="149">
        <f>T35*T25</f>
        <v>2200</v>
      </c>
      <c r="U41" s="149">
        <f>T42*U26+T41</f>
        <v>2411.1999999999998</v>
      </c>
      <c r="V41" s="149">
        <f t="shared" ref="V41:AA41" si="16">U42*V26+U41</f>
        <v>2628.2079999999996</v>
      </c>
      <c r="W41" s="149">
        <f t="shared" si="16"/>
        <v>2838.4646399999997</v>
      </c>
      <c r="X41" s="149">
        <f t="shared" si="16"/>
        <v>3025.8033062399995</v>
      </c>
      <c r="Y41" s="149">
        <f t="shared" si="16"/>
        <v>3404.0287195199994</v>
      </c>
      <c r="Z41" s="149">
        <f t="shared" si="16"/>
        <v>3574.2301554959995</v>
      </c>
      <c r="AA41" s="149">
        <f t="shared" si="16"/>
        <v>3752.9416632707994</v>
      </c>
    </row>
    <row r="42" spans="1:28">
      <c r="B42" s="149" t="s">
        <v>218</v>
      </c>
      <c r="C42" s="149" t="s">
        <v>219</v>
      </c>
      <c r="D42" s="167">
        <f>D36</f>
        <v>20000</v>
      </c>
      <c r="E42" s="167">
        <f>D42+D50</f>
        <v>21320</v>
      </c>
      <c r="F42" s="167">
        <f t="shared" ref="F42:I42" si="17">E42+E50</f>
        <v>22525.599999999999</v>
      </c>
      <c r="G42" s="167">
        <f t="shared" si="17"/>
        <v>23576.883199999997</v>
      </c>
      <c r="H42" s="167">
        <f t="shared" si="17"/>
        <v>24428.422591999995</v>
      </c>
      <c r="I42" s="167">
        <f t="shared" si="17"/>
        <v>25184.873418559997</v>
      </c>
      <c r="J42" s="167">
        <f>I42+I50</f>
        <v>26522.998197206434</v>
      </c>
      <c r="K42" s="167"/>
      <c r="L42" s="167" t="s">
        <v>220</v>
      </c>
      <c r="S42" t="s">
        <v>194</v>
      </c>
      <c r="T42" s="149">
        <f>T41*T27</f>
        <v>1320</v>
      </c>
      <c r="U42" s="149">
        <f t="shared" ref="U42:AA42" si="18">U41*U27</f>
        <v>1205.5999999999999</v>
      </c>
      <c r="V42" s="149">
        <f t="shared" si="18"/>
        <v>1051.2831999999999</v>
      </c>
      <c r="W42" s="149">
        <f t="shared" si="18"/>
        <v>851.53939199999991</v>
      </c>
      <c r="X42" s="149">
        <f t="shared" si="18"/>
        <v>756.45082655999988</v>
      </c>
      <c r="Y42" s="149">
        <f t="shared" si="18"/>
        <v>340.40287195199994</v>
      </c>
      <c r="Z42" s="149">
        <f t="shared" si="18"/>
        <v>357.4230155496</v>
      </c>
      <c r="AA42" s="149">
        <f>AA41*AA27</f>
        <v>375.29416632707995</v>
      </c>
    </row>
    <row r="43" spans="1:28">
      <c r="B43" s="149" t="s">
        <v>221</v>
      </c>
      <c r="C43" s="149" t="s">
        <v>222</v>
      </c>
      <c r="D43" s="168">
        <f>D35*D42</f>
        <v>0</v>
      </c>
      <c r="E43" s="168">
        <f>E35*E42</f>
        <v>4264</v>
      </c>
      <c r="F43" s="168">
        <f>F35*F42</f>
        <v>9010.24</v>
      </c>
      <c r="G43" s="168">
        <f>G35*G42</f>
        <v>11788.441599999998</v>
      </c>
      <c r="H43" s="168">
        <f t="shared" ref="H43" si="19">H35*H42</f>
        <v>12214.211295999998</v>
      </c>
      <c r="I43" s="169">
        <f>I34*I82</f>
        <v>13381.247786464357</v>
      </c>
      <c r="J43" s="169">
        <f>J34*J82</f>
        <v>14050.310175787572</v>
      </c>
      <c r="K43" s="170"/>
      <c r="L43" s="168" t="s">
        <v>223</v>
      </c>
      <c r="S43" t="s">
        <v>65</v>
      </c>
      <c r="T43" s="149">
        <f>T41-T42</f>
        <v>880</v>
      </c>
      <c r="U43" s="149">
        <f t="shared" ref="U43:AA43" si="20">U41-U42</f>
        <v>1205.5999999999999</v>
      </c>
      <c r="V43" s="149">
        <f t="shared" si="20"/>
        <v>1576.9247999999998</v>
      </c>
      <c r="W43" s="149">
        <f t="shared" si="20"/>
        <v>1986.9252479999998</v>
      </c>
      <c r="X43" s="149">
        <f t="shared" si="20"/>
        <v>2269.3524796799998</v>
      </c>
      <c r="Y43" s="149">
        <f t="shared" si="20"/>
        <v>3063.6258475679997</v>
      </c>
      <c r="Z43" s="149">
        <f t="shared" si="20"/>
        <v>3216.8071399463997</v>
      </c>
      <c r="AA43" s="149">
        <f t="shared" si="20"/>
        <v>3377.6474969437195</v>
      </c>
    </row>
    <row r="44" spans="1:28">
      <c r="C44" s="149" t="s">
        <v>224</v>
      </c>
      <c r="D44" s="171">
        <f>D42-D43</f>
        <v>20000</v>
      </c>
      <c r="E44" s="171">
        <f t="shared" ref="E44" si="21">E42-E43</f>
        <v>17056</v>
      </c>
      <c r="F44" s="171">
        <f>F42-F43</f>
        <v>13515.359999999999</v>
      </c>
      <c r="G44" s="171">
        <f>G42-G43</f>
        <v>11788.441599999998</v>
      </c>
      <c r="H44" s="171">
        <f>H42-H43</f>
        <v>12214.211295999998</v>
      </c>
      <c r="I44" s="171">
        <f>I42-I43</f>
        <v>11803.62563209564</v>
      </c>
      <c r="J44" s="171">
        <f t="shared" ref="J44" si="22">J42-J43</f>
        <v>12472.688021418862</v>
      </c>
      <c r="K44" s="171"/>
      <c r="L44" s="149" t="s">
        <v>225</v>
      </c>
      <c r="S44" t="s">
        <v>195</v>
      </c>
      <c r="T44" s="149">
        <f>T36*T29</f>
        <v>0</v>
      </c>
      <c r="U44" s="149">
        <f t="shared" ref="U44:AA44" si="23">U36*U29</f>
        <v>298.48</v>
      </c>
      <c r="V44" s="149">
        <f t="shared" si="23"/>
        <v>648.73727999999994</v>
      </c>
      <c r="W44" s="149">
        <f t="shared" si="23"/>
        <v>860.55623679999985</v>
      </c>
      <c r="X44" s="149">
        <f t="shared" si="23"/>
        <v>891.63742460799972</v>
      </c>
      <c r="Y44" s="149">
        <f t="shared" si="23"/>
        <v>1685.3405190087717</v>
      </c>
      <c r="Z44" s="149">
        <f t="shared" si="23"/>
        <v>1769.6075449592101</v>
      </c>
      <c r="AA44" s="149">
        <f t="shared" si="23"/>
        <v>1858.0879222071705</v>
      </c>
    </row>
    <row r="45" spans="1:28">
      <c r="A45" s="149" t="s">
        <v>226</v>
      </c>
      <c r="L45" s="149" t="s">
        <v>227</v>
      </c>
      <c r="S45" t="s">
        <v>158</v>
      </c>
      <c r="T45" s="149">
        <f>T44*T30</f>
        <v>0</v>
      </c>
      <c r="U45" s="149">
        <f t="shared" ref="U45:AA45" si="24">U44*U30</f>
        <v>29.848000000000003</v>
      </c>
      <c r="V45" s="149">
        <f t="shared" si="24"/>
        <v>64.873728</v>
      </c>
      <c r="W45" s="149">
        <f t="shared" si="24"/>
        <v>86.055623679999997</v>
      </c>
      <c r="X45" s="149">
        <f t="shared" si="24"/>
        <v>89.16374246079998</v>
      </c>
      <c r="Y45" s="149">
        <f t="shared" si="24"/>
        <v>168.53405190087719</v>
      </c>
      <c r="Z45" s="149">
        <f t="shared" si="24"/>
        <v>176.96075449592104</v>
      </c>
      <c r="AA45" s="149">
        <f t="shared" si="24"/>
        <v>185.80879222071707</v>
      </c>
    </row>
    <row r="46" spans="1:28">
      <c r="L46" s="149" t="s">
        <v>228</v>
      </c>
      <c r="S46" t="s">
        <v>196</v>
      </c>
      <c r="T46" s="149">
        <f>U36-T36</f>
        <v>4264</v>
      </c>
      <c r="U46" s="149">
        <f t="shared" ref="U46:AA46" si="25">V36-U36</f>
        <v>4746.24</v>
      </c>
      <c r="V46" s="149">
        <f t="shared" si="25"/>
        <v>2778.2015999999985</v>
      </c>
      <c r="W46" s="149">
        <f t="shared" si="25"/>
        <v>425.76969599999939</v>
      </c>
      <c r="X46" s="149">
        <f t="shared" si="25"/>
        <v>10872.645128777698</v>
      </c>
      <c r="Y46" s="149">
        <f t="shared" si="25"/>
        <v>1154.3428212388826</v>
      </c>
      <c r="Z46" s="149">
        <f t="shared" si="25"/>
        <v>1212.0599623008275</v>
      </c>
      <c r="AA46" s="149">
        <f t="shared" si="25"/>
        <v>1272.6629604158697</v>
      </c>
    </row>
    <row r="47" spans="1:28">
      <c r="D47" s="172">
        <f>D41</f>
        <v>2022</v>
      </c>
      <c r="E47" s="172">
        <f t="shared" ref="E47:H47" si="26">E41</f>
        <v>2023</v>
      </c>
      <c r="F47" s="172">
        <f t="shared" si="26"/>
        <v>2024</v>
      </c>
      <c r="G47" s="172">
        <f t="shared" si="26"/>
        <v>2025</v>
      </c>
      <c r="H47" s="172">
        <f t="shared" si="26"/>
        <v>2026</v>
      </c>
      <c r="L47" s="149" t="s">
        <v>229</v>
      </c>
      <c r="S47" t="s">
        <v>69</v>
      </c>
      <c r="T47" s="149">
        <f>T43-T44+T45+T46</f>
        <v>5144</v>
      </c>
      <c r="U47" s="149">
        <f t="shared" ref="U47:Z47" si="27">U43-U44+U45+U46</f>
        <v>5683.2079999999996</v>
      </c>
      <c r="V47" s="149">
        <f t="shared" si="27"/>
        <v>3771.2628479999985</v>
      </c>
      <c r="W47" s="149">
        <f t="shared" si="27"/>
        <v>1638.1943308799994</v>
      </c>
      <c r="X47" s="149">
        <f t="shared" si="27"/>
        <v>12339.523926310498</v>
      </c>
      <c r="Y47" s="149">
        <f t="shared" si="27"/>
        <v>2701.1622016989877</v>
      </c>
      <c r="Z47" s="149">
        <f t="shared" si="27"/>
        <v>2836.2203117839381</v>
      </c>
      <c r="AA47" s="149">
        <f>AA43-AA44+AA45+AA46</f>
        <v>2978.0313273731358</v>
      </c>
    </row>
    <row r="48" spans="1:28">
      <c r="A48" s="149" t="s">
        <v>230</v>
      </c>
      <c r="B48" s="149" t="s">
        <v>231</v>
      </c>
      <c r="C48" s="149" t="s">
        <v>52</v>
      </c>
      <c r="D48" s="167">
        <f>+D36*D25</f>
        <v>2200</v>
      </c>
      <c r="E48" s="167">
        <f>D48+D49</f>
        <v>2411.1999999999998</v>
      </c>
      <c r="F48" s="167">
        <f t="shared" ref="F48:G48" si="28">E48+E49</f>
        <v>2628.2079999999996</v>
      </c>
      <c r="G48" s="167">
        <f t="shared" si="28"/>
        <v>2838.4646399999997</v>
      </c>
      <c r="H48" s="167">
        <f>G48+G49</f>
        <v>3025.8033062399995</v>
      </c>
      <c r="I48" s="167">
        <f>H48+H49</f>
        <v>3113.8163599102554</v>
      </c>
      <c r="J48" s="167">
        <f>I48+I49</f>
        <v>3269.507177905768</v>
      </c>
      <c r="K48" s="167"/>
      <c r="L48" s="167" t="s">
        <v>232</v>
      </c>
      <c r="S48"/>
    </row>
    <row r="49" spans="2:27">
      <c r="B49" s="149" t="s">
        <v>233</v>
      </c>
      <c r="C49" s="149" t="s">
        <v>234</v>
      </c>
      <c r="D49" s="167">
        <f>D50*E26</f>
        <v>211.20000000000002</v>
      </c>
      <c r="E49" s="167">
        <f>E50*F26</f>
        <v>217.00799999999998</v>
      </c>
      <c r="F49" s="167">
        <f t="shared" ref="F49:H49" si="29">F50*G26</f>
        <v>210.25663999999998</v>
      </c>
      <c r="G49" s="167">
        <f>G50*H26</f>
        <v>187.33866623999998</v>
      </c>
      <c r="H49" s="167">
        <f t="shared" si="29"/>
        <v>88.013053670255985</v>
      </c>
      <c r="I49" s="167">
        <f>I50*J26</f>
        <v>155.69081799551276</v>
      </c>
      <c r="J49" s="167">
        <f>J50*K26</f>
        <v>163.47535889528842</v>
      </c>
      <c r="K49" s="167"/>
      <c r="L49" s="167" t="s">
        <v>235</v>
      </c>
      <c r="S49"/>
    </row>
    <row r="50" spans="2:27">
      <c r="B50" s="149" t="s">
        <v>236</v>
      </c>
      <c r="C50" s="149" t="s">
        <v>237</v>
      </c>
      <c r="D50" s="167">
        <f>D27*D48</f>
        <v>1320</v>
      </c>
      <c r="E50" s="167">
        <f>E27*E48</f>
        <v>1205.5999999999999</v>
      </c>
      <c r="F50" s="167">
        <f t="shared" ref="F50" si="30">F27*F48</f>
        <v>1051.2831999999999</v>
      </c>
      <c r="G50" s="167">
        <f>G27*G48</f>
        <v>851.53939199999991</v>
      </c>
      <c r="H50" s="167">
        <f>H27*H48</f>
        <v>756.45082655999988</v>
      </c>
      <c r="I50" s="173">
        <f>I27*I48</f>
        <v>1338.1247786464355</v>
      </c>
      <c r="J50" s="167">
        <f t="shared" ref="J50" si="31">J27*J48</f>
        <v>1405.0310175787574</v>
      </c>
      <c r="K50" s="167"/>
      <c r="L50" s="167" t="s">
        <v>238</v>
      </c>
      <c r="S50" t="s">
        <v>65</v>
      </c>
      <c r="T50" s="149">
        <f>T43</f>
        <v>880</v>
      </c>
      <c r="U50" s="149">
        <f t="shared" ref="U50:AA50" si="32">U43</f>
        <v>1205.5999999999999</v>
      </c>
      <c r="V50" s="149">
        <f t="shared" si="32"/>
        <v>1576.9247999999998</v>
      </c>
      <c r="W50" s="149">
        <f t="shared" si="32"/>
        <v>1986.9252479999998</v>
      </c>
      <c r="X50" s="149">
        <f t="shared" si="32"/>
        <v>2269.3524796799998</v>
      </c>
      <c r="Y50" s="149">
        <f t="shared" si="32"/>
        <v>3063.6258475679997</v>
      </c>
      <c r="Z50" s="149">
        <f t="shared" si="32"/>
        <v>3216.8071399463997</v>
      </c>
      <c r="AA50" s="149">
        <f t="shared" si="32"/>
        <v>3377.6474969437195</v>
      </c>
    </row>
    <row r="51" spans="2:27">
      <c r="L51" s="167" t="s">
        <v>239</v>
      </c>
      <c r="S51" t="s">
        <v>190</v>
      </c>
      <c r="T51" s="188">
        <f>T38</f>
        <v>0.12</v>
      </c>
      <c r="U51" s="188">
        <f t="shared" ref="U51:AA51" si="33">U38</f>
        <v>0.11914058313111243</v>
      </c>
      <c r="V51" s="188">
        <f t="shared" si="33"/>
        <v>0.11827750912790216</v>
      </c>
      <c r="W51" s="188">
        <f t="shared" si="33"/>
        <v>0.11787729100920044</v>
      </c>
      <c r="X51" s="188">
        <f t="shared" si="33"/>
        <v>0.11794232835651194</v>
      </c>
      <c r="Y51" s="188">
        <f t="shared" si="33"/>
        <v>0.11635</v>
      </c>
      <c r="Z51" s="188">
        <f t="shared" si="33"/>
        <v>0.11635</v>
      </c>
      <c r="AA51" s="188">
        <f t="shared" si="33"/>
        <v>0.11635</v>
      </c>
    </row>
    <row r="52" spans="2:27">
      <c r="B52" s="149" t="s">
        <v>240</v>
      </c>
      <c r="C52" s="149" t="s">
        <v>241</v>
      </c>
      <c r="D52" s="174">
        <f>D48/(1-D30)</f>
        <v>2444.4444444444443</v>
      </c>
      <c r="E52" s="174">
        <f t="shared" ref="E52:H52" si="34">E48/(1-E30)</f>
        <v>2679.1111111111109</v>
      </c>
      <c r="F52" s="174">
        <f t="shared" si="34"/>
        <v>2920.2311111111107</v>
      </c>
      <c r="G52" s="174">
        <f t="shared" si="34"/>
        <v>3153.8495999999996</v>
      </c>
      <c r="H52" s="174">
        <f t="shared" si="34"/>
        <v>3362.0036735999993</v>
      </c>
      <c r="I52" s="174">
        <f>I48/(1-I30)</f>
        <v>3459.7959554558392</v>
      </c>
      <c r="J52" s="174">
        <f>J48/(1-J30)</f>
        <v>3632.7857532286312</v>
      </c>
      <c r="K52" s="174"/>
      <c r="L52" s="167" t="s">
        <v>242</v>
      </c>
      <c r="S52" s="624" t="s">
        <v>197</v>
      </c>
      <c r="T52" s="149">
        <f t="shared" ref="T52:W52" si="35">(U52+T50)/(1+T51)</f>
        <v>31795.112593773876</v>
      </c>
      <c r="U52" s="149">
        <f t="shared" si="35"/>
        <v>34730.526105026744</v>
      </c>
      <c r="V52" s="149">
        <f t="shared" si="35"/>
        <v>37662.741237629962</v>
      </c>
      <c r="W52" s="149">
        <f t="shared" si="35"/>
        <v>40540.471658145558</v>
      </c>
      <c r="X52" s="149">
        <f>(Y52+X50)/(1+X51)</f>
        <v>43332.347385443027</v>
      </c>
      <c r="Y52" s="149">
        <f>Y50/(Y51-Y31)</f>
        <v>46173.712849555392</v>
      </c>
      <c r="Z52" s="149">
        <f>Z50/(Z51-Z31)</f>
        <v>48482.398492033157</v>
      </c>
      <c r="AA52" s="149">
        <f>AA50/(AA51-AA31)</f>
        <v>50906.518416634812</v>
      </c>
    </row>
    <row r="53" spans="2:27">
      <c r="B53" s="149" t="s">
        <v>243</v>
      </c>
      <c r="C53" s="149" t="s">
        <v>244</v>
      </c>
      <c r="D53" s="168">
        <f>D43*D29</f>
        <v>0</v>
      </c>
      <c r="E53" s="168">
        <f>E43*E29</f>
        <v>298.48</v>
      </c>
      <c r="F53" s="168">
        <f t="shared" ref="F53:H53" si="36">F43*F29</f>
        <v>648.73727999999994</v>
      </c>
      <c r="G53" s="168">
        <f t="shared" si="36"/>
        <v>860.55623679999985</v>
      </c>
      <c r="H53" s="168">
        <f t="shared" si="36"/>
        <v>891.63742460799972</v>
      </c>
      <c r="I53" s="168">
        <f>I43*I29</f>
        <v>976.83108841189801</v>
      </c>
      <c r="J53" s="168">
        <f>J43*J29</f>
        <v>1025.6726428324928</v>
      </c>
      <c r="K53" s="168"/>
      <c r="S53"/>
    </row>
    <row r="54" spans="2:27">
      <c r="C54" s="149" t="s">
        <v>245</v>
      </c>
      <c r="D54" s="174">
        <f>D52-D53</f>
        <v>2444.4444444444443</v>
      </c>
      <c r="E54" s="174">
        <f t="shared" ref="E54:J54" si="37">E52-E53</f>
        <v>2380.6311111111108</v>
      </c>
      <c r="F54" s="174">
        <f t="shared" si="37"/>
        <v>2271.4938311111109</v>
      </c>
      <c r="G54" s="174">
        <f t="shared" si="37"/>
        <v>2293.2933631999995</v>
      </c>
      <c r="H54" s="174">
        <f t="shared" si="37"/>
        <v>2470.3662489919998</v>
      </c>
      <c r="I54" s="174">
        <f t="shared" si="37"/>
        <v>2482.964867043941</v>
      </c>
      <c r="J54" s="174">
        <f t="shared" si="37"/>
        <v>2607.1131103961384</v>
      </c>
      <c r="K54" s="174"/>
      <c r="S54"/>
    </row>
    <row r="55" spans="2:27">
      <c r="B55" s="175" t="s">
        <v>246</v>
      </c>
      <c r="C55" s="149" t="s">
        <v>247</v>
      </c>
      <c r="D55" s="176">
        <f>IF(D54&lt;0,0,D54*D30)</f>
        <v>244.44444444444446</v>
      </c>
      <c r="E55" s="176">
        <f t="shared" ref="E55:J55" si="38">IF(E54&lt;0,0,E54*E30)</f>
        <v>238.06311111111108</v>
      </c>
      <c r="F55" s="176">
        <f t="shared" si="38"/>
        <v>227.14938311111109</v>
      </c>
      <c r="G55" s="176">
        <f t="shared" si="38"/>
        <v>229.32933631999995</v>
      </c>
      <c r="H55" s="176">
        <f t="shared" si="38"/>
        <v>247.03662489919998</v>
      </c>
      <c r="I55" s="176">
        <f t="shared" si="38"/>
        <v>248.29648670439411</v>
      </c>
      <c r="J55" s="176">
        <f t="shared" si="38"/>
        <v>260.71131103961386</v>
      </c>
      <c r="K55" s="176"/>
      <c r="S55" t="s">
        <v>198</v>
      </c>
      <c r="T55" s="149">
        <f>T43+T45</f>
        <v>880</v>
      </c>
      <c r="U55" s="149">
        <f t="shared" ref="U55:AA55" si="39">U43+U45</f>
        <v>1235.4479999999999</v>
      </c>
      <c r="V55" s="149">
        <f t="shared" si="39"/>
        <v>1641.7985279999998</v>
      </c>
      <c r="W55" s="149">
        <f t="shared" si="39"/>
        <v>2072.9808716799998</v>
      </c>
      <c r="X55" s="149">
        <f t="shared" si="39"/>
        <v>2358.5162221407995</v>
      </c>
      <c r="Y55" s="149">
        <f t="shared" si="39"/>
        <v>3232.159899468877</v>
      </c>
      <c r="Z55" s="149">
        <f t="shared" si="39"/>
        <v>3393.7678944423205</v>
      </c>
      <c r="AA55" s="149">
        <f t="shared" si="39"/>
        <v>3563.4562891644364</v>
      </c>
    </row>
    <row r="56" spans="2:27">
      <c r="C56" s="149" t="s">
        <v>248</v>
      </c>
      <c r="D56" s="174">
        <f>D54-D55</f>
        <v>2200</v>
      </c>
      <c r="E56" s="174">
        <f>E54-E55</f>
        <v>2142.5679999999998</v>
      </c>
      <c r="F56" s="174">
        <f t="shared" ref="F56:G56" si="40">F54-F55</f>
        <v>2044.3444479999998</v>
      </c>
      <c r="G56" s="174">
        <f t="shared" si="40"/>
        <v>2063.9640268799994</v>
      </c>
      <c r="H56" s="174">
        <f>H54-H55</f>
        <v>2223.3296240927998</v>
      </c>
      <c r="I56" s="174">
        <f>I54-I55</f>
        <v>2234.6683803395467</v>
      </c>
      <c r="J56" s="174">
        <f>J54-J55</f>
        <v>2346.4017993565244</v>
      </c>
      <c r="K56" s="174"/>
      <c r="S56" t="s">
        <v>259</v>
      </c>
      <c r="T56" s="188">
        <f>T28</f>
        <v>0.12</v>
      </c>
      <c r="U56" s="188">
        <f t="shared" ref="U56:AA56" si="41">U28</f>
        <v>0.12</v>
      </c>
      <c r="V56" s="188">
        <f t="shared" si="41"/>
        <v>0.12</v>
      </c>
      <c r="W56" s="188">
        <f t="shared" si="41"/>
        <v>0.12</v>
      </c>
      <c r="X56" s="188">
        <f t="shared" si="41"/>
        <v>0.12</v>
      </c>
      <c r="Y56" s="188">
        <f t="shared" si="41"/>
        <v>0.12</v>
      </c>
      <c r="Z56" s="188">
        <f t="shared" si="41"/>
        <v>0.12</v>
      </c>
      <c r="AA56" s="188">
        <f t="shared" si="41"/>
        <v>0.12</v>
      </c>
    </row>
    <row r="57" spans="2:27">
      <c r="C57" s="149" t="s">
        <v>34</v>
      </c>
      <c r="D57" s="176">
        <f>+D56-D58</f>
        <v>2200</v>
      </c>
      <c r="E57" s="176">
        <f>+E56-E58</f>
        <v>2142.5679999999998</v>
      </c>
      <c r="F57" s="176">
        <f t="shared" ref="F57:I57" si="42">+F56-F58</f>
        <v>2044.3444479999998</v>
      </c>
      <c r="G57" s="176">
        <f t="shared" si="42"/>
        <v>1638.1943308800001</v>
      </c>
      <c r="H57" s="176">
        <f t="shared" si="42"/>
        <v>2223.3296240927998</v>
      </c>
      <c r="I57" s="176">
        <f t="shared" si="42"/>
        <v>1565.6059910163244</v>
      </c>
      <c r="J57" s="176"/>
      <c r="S57" s="624" t="s">
        <v>197</v>
      </c>
      <c r="T57" s="149">
        <f t="shared" ref="T57:W57" si="43">(T55+U57)/(1+T56)</f>
        <v>31795.112593773869</v>
      </c>
      <c r="U57" s="149">
        <f t="shared" si="43"/>
        <v>34730.526105026736</v>
      </c>
      <c r="V57" s="149">
        <f t="shared" si="43"/>
        <v>37662.741237629954</v>
      </c>
      <c r="W57" s="149">
        <f t="shared" si="43"/>
        <v>40540.47165814555</v>
      </c>
      <c r="X57" s="149">
        <f>(X55+Y57)/(1+X56)</f>
        <v>43332.347385443027</v>
      </c>
      <c r="Y57" s="149">
        <f t="shared" ref="Y57:Z57" si="44">Y55/(Y56-Y31)</f>
        <v>46173.712849555392</v>
      </c>
      <c r="Z57" s="149">
        <f t="shared" si="44"/>
        <v>48482.398492033157</v>
      </c>
      <c r="AA57" s="149">
        <f>AA55/(AA56-AA31)</f>
        <v>50906.518416634812</v>
      </c>
    </row>
    <row r="58" spans="2:27">
      <c r="C58" s="149" t="s">
        <v>35</v>
      </c>
      <c r="D58" s="176">
        <f>+IF(D56&lt;0,D56,MAX(0,MIN(D56,D60)))</f>
        <v>0</v>
      </c>
      <c r="E58" s="176">
        <f t="shared" ref="E58:F58" si="45">+IF(E56&lt;0,E56,MAX(0,MIN(E56,E60)))</f>
        <v>0</v>
      </c>
      <c r="F58" s="176">
        <f t="shared" si="45"/>
        <v>0</v>
      </c>
      <c r="G58" s="176">
        <f>+IF(G56&lt;0,G56,MAX(0,MIN(G56,G60)))</f>
        <v>425.76969599999939</v>
      </c>
      <c r="H58" s="176">
        <f>+IF(H56&lt;0,H56,MAX(0,MIN(H56,H60)))</f>
        <v>0</v>
      </c>
      <c r="I58" s="176">
        <f>+IF(I56&lt;0,I56,MAX(0,MIN(I56,I60)))</f>
        <v>669.06238932322231</v>
      </c>
      <c r="S58" s="625" t="s">
        <v>76</v>
      </c>
    </row>
    <row r="59" spans="2:27">
      <c r="D59" s="176"/>
      <c r="E59" s="176"/>
      <c r="F59" s="176"/>
      <c r="G59" s="176"/>
      <c r="H59" s="176"/>
    </row>
    <row r="60" spans="2:27">
      <c r="C60" s="149" t="s">
        <v>249</v>
      </c>
      <c r="D60" s="176">
        <f>+E44-D44</f>
        <v>-2944</v>
      </c>
      <c r="E60" s="176">
        <f t="shared" ref="E60:F60" si="46">+F44-E44</f>
        <v>-3540.6400000000012</v>
      </c>
      <c r="F60" s="176">
        <f t="shared" si="46"/>
        <v>-1726.9184000000005</v>
      </c>
      <c r="G60" s="176">
        <f>+H44-G44</f>
        <v>425.76969599999939</v>
      </c>
      <c r="H60" s="176">
        <f>+I44-H44</f>
        <v>-410.58566390435772</v>
      </c>
      <c r="I60" s="176">
        <f>+J44-I44</f>
        <v>669.06238932322231</v>
      </c>
      <c r="S60" t="s">
        <v>69</v>
      </c>
      <c r="T60" s="149">
        <f>T47</f>
        <v>5144</v>
      </c>
      <c r="U60" s="149">
        <f t="shared" ref="U60:AA60" si="47">U47</f>
        <v>5683.2079999999996</v>
      </c>
      <c r="V60" s="149">
        <f t="shared" si="47"/>
        <v>3771.2628479999985</v>
      </c>
      <c r="W60" s="149">
        <f t="shared" si="47"/>
        <v>1638.1943308799994</v>
      </c>
      <c r="X60" s="149">
        <f t="shared" si="47"/>
        <v>12339.523926310498</v>
      </c>
      <c r="Y60" s="149">
        <f t="shared" si="47"/>
        <v>2701.1622016989877</v>
      </c>
      <c r="Z60" s="149">
        <f t="shared" si="47"/>
        <v>2836.2203117839381</v>
      </c>
      <c r="AA60" s="149">
        <f t="shared" si="47"/>
        <v>2978.0313273731358</v>
      </c>
    </row>
    <row r="61" spans="2:27">
      <c r="C61" s="149" t="s">
        <v>250</v>
      </c>
      <c r="D61" s="176">
        <f>+D60-D58</f>
        <v>-2944</v>
      </c>
      <c r="E61" s="176">
        <f t="shared" ref="E61:I61" si="48">+E60-E58</f>
        <v>-3540.6400000000012</v>
      </c>
      <c r="F61" s="176">
        <f t="shared" si="48"/>
        <v>-1726.9184000000005</v>
      </c>
      <c r="G61" s="176">
        <f t="shared" si="48"/>
        <v>0</v>
      </c>
      <c r="H61" s="176">
        <f t="shared" si="48"/>
        <v>-410.58566390435772</v>
      </c>
      <c r="I61" s="176">
        <f t="shared" si="48"/>
        <v>0</v>
      </c>
      <c r="S61" t="s">
        <v>199</v>
      </c>
      <c r="T61" s="188">
        <f>(T28-T29*T33)/(1-T33)</f>
        <v>0.12</v>
      </c>
      <c r="U61" s="188">
        <f t="shared" ref="U61:AA61" si="49">(U28-U29*U33)/(1-U33)</f>
        <v>0.12699784410159001</v>
      </c>
      <c r="V61" s="188">
        <f t="shared" si="49"/>
        <v>0.13509437226485482</v>
      </c>
      <c r="W61" s="188">
        <f t="shared" si="49"/>
        <v>0.13927017863015323</v>
      </c>
      <c r="X61" s="188">
        <f t="shared" si="49"/>
        <v>0.13844801787812591</v>
      </c>
      <c r="Y61" s="188">
        <f t="shared" si="49"/>
        <v>0.16699999999999998</v>
      </c>
      <c r="Z61" s="188">
        <f t="shared" si="49"/>
        <v>0.16699999999999998</v>
      </c>
      <c r="AA61" s="188">
        <f t="shared" si="49"/>
        <v>0.16699999999999998</v>
      </c>
    </row>
    <row r="62" spans="2:27">
      <c r="C62" s="149" t="s">
        <v>251</v>
      </c>
      <c r="D62" s="177">
        <f>D57/D56</f>
        <v>1</v>
      </c>
      <c r="E62" s="177">
        <f t="shared" ref="E62:I62" si="50">E57/E56</f>
        <v>1</v>
      </c>
      <c r="F62" s="177">
        <f t="shared" si="50"/>
        <v>1</v>
      </c>
      <c r="G62" s="177">
        <f t="shared" si="50"/>
        <v>0.79371263720927532</v>
      </c>
      <c r="H62" s="177">
        <f t="shared" si="50"/>
        <v>1</v>
      </c>
      <c r="I62" s="177">
        <f t="shared" si="50"/>
        <v>0.70059880239520744</v>
      </c>
      <c r="S62" t="s">
        <v>200</v>
      </c>
      <c r="T62" s="149">
        <f t="shared" ref="T62:W62" si="51">(U62+T60)/(1+T61)</f>
        <v>31795.112593773876</v>
      </c>
      <c r="U62" s="149">
        <f t="shared" si="51"/>
        <v>30466.526105026747</v>
      </c>
      <c r="V62" s="149">
        <f t="shared" si="51"/>
        <v>28652.501237629956</v>
      </c>
      <c r="W62" s="149">
        <f t="shared" si="51"/>
        <v>28752.030058145552</v>
      </c>
      <c r="X62" s="149">
        <f>(Y62+X60)/(1+X61)</f>
        <v>31118.136089443014</v>
      </c>
      <c r="Y62" s="149">
        <f t="shared" ref="Y62:Z62" si="52">Y60/(Y61-Y31)</f>
        <v>23086.856424777678</v>
      </c>
      <c r="Z62" s="149">
        <f t="shared" si="52"/>
        <v>24241.199246016567</v>
      </c>
      <c r="AA62" s="149">
        <f>AA60/(AA61-AA31)</f>
        <v>25453.259208317406</v>
      </c>
    </row>
    <row r="63" spans="2:27">
      <c r="C63" s="178" t="s">
        <v>252</v>
      </c>
      <c r="D63" s="179">
        <f>+D55/D54</f>
        <v>0.1</v>
      </c>
      <c r="E63" s="179">
        <f t="shared" ref="E63:J63" si="53">+E55/E54</f>
        <v>0.1</v>
      </c>
      <c r="F63" s="179">
        <f t="shared" si="53"/>
        <v>0.1</v>
      </c>
      <c r="G63" s="179">
        <f t="shared" si="53"/>
        <v>0.1</v>
      </c>
      <c r="H63" s="179">
        <f t="shared" si="53"/>
        <v>0.1</v>
      </c>
      <c r="I63" s="179">
        <f t="shared" si="53"/>
        <v>0.1</v>
      </c>
      <c r="J63" s="179">
        <f t="shared" si="53"/>
        <v>0.1</v>
      </c>
      <c r="S63" t="s">
        <v>522</v>
      </c>
      <c r="T63" s="149">
        <f>T36</f>
        <v>0</v>
      </c>
      <c r="U63" s="149">
        <f t="shared" ref="U63:AA63" si="54">U36</f>
        <v>4264</v>
      </c>
      <c r="V63" s="149">
        <f t="shared" si="54"/>
        <v>9010.24</v>
      </c>
      <c r="W63" s="149">
        <f t="shared" si="54"/>
        <v>11788.441599999998</v>
      </c>
      <c r="X63" s="149">
        <f t="shared" si="54"/>
        <v>12214.211295999998</v>
      </c>
      <c r="Y63" s="149">
        <f t="shared" si="54"/>
        <v>23086.856424777696</v>
      </c>
      <c r="Z63" s="149">
        <f t="shared" si="54"/>
        <v>24241.199246016578</v>
      </c>
      <c r="AA63" s="149">
        <f t="shared" si="54"/>
        <v>25453.259208317406</v>
      </c>
    </row>
    <row r="64" spans="2:27">
      <c r="B64" s="149" t="s">
        <v>3</v>
      </c>
      <c r="S64" s="624" t="s">
        <v>197</v>
      </c>
      <c r="T64" s="149">
        <f>T62+T63</f>
        <v>31795.112593773876</v>
      </c>
      <c r="U64" s="149">
        <f t="shared" ref="U64:AA64" si="55">U62+U63</f>
        <v>34730.526105026744</v>
      </c>
      <c r="V64" s="149">
        <f t="shared" si="55"/>
        <v>37662.741237629954</v>
      </c>
      <c r="W64" s="149">
        <f t="shared" si="55"/>
        <v>40540.47165814555</v>
      </c>
      <c r="X64" s="149">
        <f t="shared" si="55"/>
        <v>43332.347385443012</v>
      </c>
      <c r="Y64" s="149">
        <f t="shared" si="55"/>
        <v>46173.712849555377</v>
      </c>
      <c r="Z64" s="149">
        <f t="shared" si="55"/>
        <v>48482.398492033142</v>
      </c>
      <c r="AA64" s="149">
        <f t="shared" si="55"/>
        <v>50906.518416634812</v>
      </c>
    </row>
    <row r="65" spans="1:19">
      <c r="C65" s="180" t="str">
        <f>C48</f>
        <v>NOPLAT</v>
      </c>
      <c r="D65" s="181">
        <f>D48</f>
        <v>2200</v>
      </c>
      <c r="E65" s="181">
        <f t="shared" ref="E65:I65" si="56">E48</f>
        <v>2411.1999999999998</v>
      </c>
      <c r="F65" s="181">
        <f t="shared" si="56"/>
        <v>2628.2079999999996</v>
      </c>
      <c r="G65" s="181">
        <f t="shared" si="56"/>
        <v>2838.4646399999997</v>
      </c>
      <c r="H65" s="181">
        <f t="shared" si="56"/>
        <v>3025.8033062399995</v>
      </c>
      <c r="I65" s="181">
        <f t="shared" si="56"/>
        <v>3113.8163599102554</v>
      </c>
      <c r="J65" s="181">
        <f>J48</f>
        <v>3269.507177905768</v>
      </c>
      <c r="S65" s="625" t="s">
        <v>76</v>
      </c>
    </row>
    <row r="66" spans="1:19">
      <c r="C66" s="182" t="str">
        <f>+C50</f>
        <v>DIC</v>
      </c>
      <c r="D66" s="182">
        <f>+D50</f>
        <v>1320</v>
      </c>
      <c r="E66" s="182">
        <f t="shared" ref="E66:J66" si="57">+E50</f>
        <v>1205.5999999999999</v>
      </c>
      <c r="F66" s="182">
        <f t="shared" si="57"/>
        <v>1051.2831999999999</v>
      </c>
      <c r="G66" s="182">
        <f t="shared" si="57"/>
        <v>851.53939199999991</v>
      </c>
      <c r="H66" s="182">
        <f t="shared" si="57"/>
        <v>756.45082655999988</v>
      </c>
      <c r="I66" s="182">
        <f>+I50</f>
        <v>1338.1247786464355</v>
      </c>
      <c r="J66" s="182">
        <f t="shared" si="57"/>
        <v>1405.0310175787574</v>
      </c>
    </row>
    <row r="67" spans="1:19">
      <c r="C67" s="183" t="s">
        <v>65</v>
      </c>
      <c r="D67" s="184">
        <f>D65-D66</f>
        <v>880</v>
      </c>
      <c r="E67" s="184">
        <f t="shared" ref="E67:I67" si="58">E65-E66</f>
        <v>1205.5999999999999</v>
      </c>
      <c r="F67" s="184">
        <f t="shared" si="58"/>
        <v>1576.9247999999998</v>
      </c>
      <c r="G67" s="184">
        <f t="shared" si="58"/>
        <v>1986.9252479999998</v>
      </c>
      <c r="H67" s="184">
        <f t="shared" si="58"/>
        <v>2269.3524796799998</v>
      </c>
      <c r="I67" s="184">
        <f t="shared" si="58"/>
        <v>1775.6915812638199</v>
      </c>
      <c r="J67" s="184">
        <f>J65-J66</f>
        <v>1864.4761603270106</v>
      </c>
    </row>
    <row r="68" spans="1:19">
      <c r="C68" s="148" t="s">
        <v>244</v>
      </c>
      <c r="D68" s="168">
        <f>D53</f>
        <v>0</v>
      </c>
      <c r="E68" s="168">
        <f t="shared" ref="E68:G68" si="59">E53</f>
        <v>298.48</v>
      </c>
      <c r="F68" s="168">
        <f t="shared" si="59"/>
        <v>648.73727999999994</v>
      </c>
      <c r="G68" s="168">
        <f t="shared" si="59"/>
        <v>860.55623679999985</v>
      </c>
      <c r="H68" s="168">
        <f>H53</f>
        <v>891.63742460799972</v>
      </c>
      <c r="I68" s="168">
        <f t="shared" ref="I68:J68" si="60">I53</f>
        <v>976.83108841189801</v>
      </c>
      <c r="J68" s="168">
        <f t="shared" si="60"/>
        <v>1025.6726428324928</v>
      </c>
    </row>
    <row r="69" spans="1:19">
      <c r="B69" s="149" t="s">
        <v>253</v>
      </c>
      <c r="C69" s="185" t="s">
        <v>67</v>
      </c>
      <c r="D69" s="165">
        <f>D68*D63</f>
        <v>0</v>
      </c>
      <c r="E69" s="165">
        <f t="shared" ref="E69:G69" si="61">E68*E63</f>
        <v>29.848000000000003</v>
      </c>
      <c r="F69" s="165">
        <f t="shared" si="61"/>
        <v>64.873728</v>
      </c>
      <c r="G69" s="165">
        <f t="shared" si="61"/>
        <v>86.055623679999997</v>
      </c>
      <c r="H69" s="165">
        <f>H68*H63</f>
        <v>89.16374246079998</v>
      </c>
      <c r="I69" s="165">
        <f t="shared" ref="I69:J69" si="62">I68*I63</f>
        <v>97.683108841189807</v>
      </c>
      <c r="J69" s="165">
        <f t="shared" si="62"/>
        <v>102.56726428324929</v>
      </c>
    </row>
    <row r="70" spans="1:19">
      <c r="C70" s="186" t="s">
        <v>254</v>
      </c>
      <c r="D70" s="187">
        <f>E43-D43</f>
        <v>4264</v>
      </c>
      <c r="E70" s="187">
        <f>F43-E43</f>
        <v>4746.24</v>
      </c>
      <c r="F70" s="187">
        <f t="shared" ref="F70:G70" si="63">G43-F43</f>
        <v>2778.2015999999985</v>
      </c>
      <c r="G70" s="187">
        <f t="shared" si="63"/>
        <v>425.76969599999939</v>
      </c>
      <c r="H70" s="187">
        <f>I43-H43</f>
        <v>1167.0364904643593</v>
      </c>
      <c r="I70" s="187">
        <f t="shared" ref="I70" si="64">J43-I43</f>
        <v>669.06238932321503</v>
      </c>
      <c r="J70" s="187"/>
    </row>
    <row r="71" spans="1:19">
      <c r="C71" s="183" t="s">
        <v>69</v>
      </c>
      <c r="D71" s="184">
        <f>D67-D68+D69+D70</f>
        <v>5144</v>
      </c>
      <c r="E71" s="184">
        <f t="shared" ref="E71:I71" si="65">E67-E68+E69+E70</f>
        <v>5683.2079999999996</v>
      </c>
      <c r="F71" s="184">
        <f t="shared" si="65"/>
        <v>3771.2628479999985</v>
      </c>
      <c r="G71" s="184">
        <f t="shared" si="65"/>
        <v>1638.1943308799994</v>
      </c>
      <c r="H71" s="184">
        <f t="shared" si="65"/>
        <v>2633.9152879971593</v>
      </c>
      <c r="I71" s="184">
        <f t="shared" si="65"/>
        <v>1565.6059910163267</v>
      </c>
      <c r="J71" s="184"/>
    </row>
    <row r="72" spans="1:19">
      <c r="C72" s="148" t="s">
        <v>34</v>
      </c>
      <c r="D72" s="165">
        <f>-D57</f>
        <v>-2200</v>
      </c>
      <c r="E72" s="165">
        <f t="shared" ref="E72:I72" si="66">-E57</f>
        <v>-2142.5679999999998</v>
      </c>
      <c r="F72" s="165">
        <f t="shared" si="66"/>
        <v>-2044.3444479999998</v>
      </c>
      <c r="G72" s="165">
        <f t="shared" si="66"/>
        <v>-1638.1943308800001</v>
      </c>
      <c r="H72" s="165">
        <f t="shared" si="66"/>
        <v>-2223.3296240927998</v>
      </c>
      <c r="I72" s="165">
        <f t="shared" si="66"/>
        <v>-1565.6059910163244</v>
      </c>
      <c r="J72" s="165"/>
    </row>
    <row r="73" spans="1:19">
      <c r="A73" s="149" t="s">
        <v>255</v>
      </c>
      <c r="C73" s="186" t="s">
        <v>256</v>
      </c>
      <c r="D73" s="187">
        <f>D60-D58</f>
        <v>-2944</v>
      </c>
      <c r="E73" s="187">
        <f t="shared" ref="E73:H73" si="67">E60-E58</f>
        <v>-3540.6400000000012</v>
      </c>
      <c r="F73" s="187">
        <f t="shared" si="67"/>
        <v>-1726.9184000000005</v>
      </c>
      <c r="G73" s="187">
        <f>G60-G58</f>
        <v>0</v>
      </c>
      <c r="H73" s="187">
        <f t="shared" si="67"/>
        <v>-410.58566390435772</v>
      </c>
      <c r="I73" s="187"/>
    </row>
    <row r="74" spans="1:19">
      <c r="C74" s="185" t="s">
        <v>257</v>
      </c>
      <c r="D74" s="165">
        <f>SUM(D71:D73)</f>
        <v>0</v>
      </c>
      <c r="E74" s="165">
        <f>SUM(E71:E73)</f>
        <v>0</v>
      </c>
      <c r="F74" s="165">
        <f>SUM(F71:F73)</f>
        <v>-1.8189894035458565E-12</v>
      </c>
      <c r="G74" s="165">
        <f>SUM(G71:G73)</f>
        <v>-6.8212102632969618E-13</v>
      </c>
      <c r="H74" s="165">
        <f t="shared" ref="H74:I74" si="68">SUM(H71:H73)</f>
        <v>1.8189894035458565E-12</v>
      </c>
      <c r="I74" s="165">
        <f t="shared" si="68"/>
        <v>2.2737367544323206E-12</v>
      </c>
    </row>
    <row r="76" spans="1:19">
      <c r="B76" s="618" t="s">
        <v>258</v>
      </c>
      <c r="C76" s="149" t="s">
        <v>198</v>
      </c>
      <c r="D76" s="165">
        <f>D67+D69</f>
        <v>880</v>
      </c>
      <c r="E76" s="165">
        <f t="shared" ref="E76:I76" si="69">E67+E69</f>
        <v>1235.4479999999999</v>
      </c>
      <c r="F76" s="165">
        <f t="shared" si="69"/>
        <v>1641.7985279999998</v>
      </c>
      <c r="G76" s="165">
        <f t="shared" si="69"/>
        <v>2072.9808716799998</v>
      </c>
      <c r="H76" s="165">
        <f t="shared" si="69"/>
        <v>2358.5162221407995</v>
      </c>
      <c r="I76" s="165">
        <f t="shared" si="69"/>
        <v>1873.3746901050097</v>
      </c>
      <c r="J76" s="165">
        <f>J67+J69</f>
        <v>1967.0434246102598</v>
      </c>
    </row>
    <row r="77" spans="1:19">
      <c r="B77" s="618"/>
      <c r="C77" s="149" t="s">
        <v>259</v>
      </c>
      <c r="D77" s="188">
        <f>D28</f>
        <v>0.12</v>
      </c>
      <c r="E77" s="188">
        <f t="shared" ref="E77:J77" si="70">E28</f>
        <v>0.12</v>
      </c>
      <c r="F77" s="188">
        <f t="shared" si="70"/>
        <v>0.12</v>
      </c>
      <c r="G77" s="188">
        <f t="shared" si="70"/>
        <v>0.12</v>
      </c>
      <c r="H77" s="188">
        <f t="shared" si="70"/>
        <v>0.12</v>
      </c>
      <c r="I77" s="188">
        <f t="shared" si="70"/>
        <v>0.12</v>
      </c>
      <c r="J77" s="188">
        <f t="shared" si="70"/>
        <v>0.12</v>
      </c>
    </row>
    <row r="78" spans="1:19">
      <c r="B78" s="618"/>
      <c r="C78" s="189" t="s">
        <v>260</v>
      </c>
      <c r="D78" s="190">
        <f t="shared" ref="D78:G78" si="71">(D76+E78)/(1+D77)</f>
        <v>20780.666608827047</v>
      </c>
      <c r="E78" s="190">
        <f t="shared" si="71"/>
        <v>22394.346601886296</v>
      </c>
      <c r="F78" s="190">
        <f t="shared" si="71"/>
        <v>23846.220194112655</v>
      </c>
      <c r="G78" s="190">
        <f t="shared" si="71"/>
        <v>25065.968089406178</v>
      </c>
      <c r="H78" s="190">
        <f>(H76+I78)/(1+H77)</f>
        <v>26000.903388454921</v>
      </c>
      <c r="I78" s="169">
        <f>I76/(I77-J31)</f>
        <v>26762.495572928714</v>
      </c>
      <c r="J78" s="169">
        <f>J76/(J77-K31)</f>
        <v>28100.620351575144</v>
      </c>
    </row>
    <row r="80" spans="1:19">
      <c r="B80" s="619" t="s">
        <v>65</v>
      </c>
      <c r="C80" s="149" t="s">
        <v>65</v>
      </c>
      <c r="D80" s="165">
        <f>D67</f>
        <v>880</v>
      </c>
      <c r="E80" s="165">
        <f t="shared" ref="E80:J80" si="72">E67</f>
        <v>1205.5999999999999</v>
      </c>
      <c r="F80" s="165">
        <f t="shared" si="72"/>
        <v>1576.9247999999998</v>
      </c>
      <c r="G80" s="165">
        <f t="shared" si="72"/>
        <v>1986.9252479999998</v>
      </c>
      <c r="H80" s="165">
        <f t="shared" si="72"/>
        <v>2269.3524796799998</v>
      </c>
      <c r="I80" s="165">
        <f t="shared" si="72"/>
        <v>1775.6915812638199</v>
      </c>
      <c r="J80" s="165">
        <f t="shared" si="72"/>
        <v>1864.4761603270106</v>
      </c>
    </row>
    <row r="81" spans="2:10">
      <c r="B81" s="619"/>
      <c r="C81" s="149" t="s">
        <v>190</v>
      </c>
      <c r="D81" s="188">
        <f>D38</f>
        <v>0.12</v>
      </c>
      <c r="E81" s="188">
        <f t="shared" ref="E81:H81" si="73">E38</f>
        <v>0.1186671636136289</v>
      </c>
      <c r="F81" s="188">
        <f t="shared" si="73"/>
        <v>0.11727949639515546</v>
      </c>
      <c r="G81" s="188">
        <f t="shared" si="73"/>
        <v>0.11656683422826304</v>
      </c>
      <c r="H81" s="188">
        <f t="shared" si="73"/>
        <v>0.1165707444418877</v>
      </c>
      <c r="I81" s="188">
        <f>I38</f>
        <v>0.11635</v>
      </c>
      <c r="J81" s="188">
        <f>J38</f>
        <v>0.11635</v>
      </c>
    </row>
    <row r="82" spans="2:10">
      <c r="B82" s="619"/>
      <c r="C82" s="172"/>
      <c r="D82" s="190">
        <f>(D80+E82)/(1+D81)</f>
        <v>20780.666608827054</v>
      </c>
      <c r="E82" s="190">
        <f t="shared" ref="E82:G82" si="74">(E80+F82)/(1+E81)</f>
        <v>22394.346601886304</v>
      </c>
      <c r="F82" s="190">
        <f t="shared" si="74"/>
        <v>23846.220194112662</v>
      </c>
      <c r="G82" s="190">
        <f t="shared" si="74"/>
        <v>25065.968089406182</v>
      </c>
      <c r="H82" s="190">
        <f>(H80+I82)/(1+H81)</f>
        <v>26000.903388454924</v>
      </c>
      <c r="I82" s="169">
        <f>I80/(I81-J31)</f>
        <v>26762.495572928714</v>
      </c>
      <c r="J82" s="169">
        <f>J80/(J81-K31)</f>
        <v>28100.620351575144</v>
      </c>
    </row>
    <row r="84" spans="2:10">
      <c r="B84" s="618" t="s">
        <v>69</v>
      </c>
      <c r="C84" s="149" t="s">
        <v>69</v>
      </c>
      <c r="D84" s="165">
        <f>D71</f>
        <v>5144</v>
      </c>
      <c r="E84" s="165">
        <f t="shared" ref="E84:I84" si="75">E71</f>
        <v>5683.2079999999996</v>
      </c>
      <c r="F84" s="165">
        <f t="shared" si="75"/>
        <v>3771.2628479999985</v>
      </c>
      <c r="G84" s="165">
        <f t="shared" si="75"/>
        <v>1638.1943308799994</v>
      </c>
      <c r="H84" s="165">
        <f t="shared" si="75"/>
        <v>2633.9152879971593</v>
      </c>
      <c r="I84" s="165">
        <f t="shared" si="75"/>
        <v>1565.6059910163267</v>
      </c>
    </row>
    <row r="85" spans="2:10">
      <c r="B85" s="618"/>
      <c r="C85" s="149" t="s">
        <v>261</v>
      </c>
      <c r="D85" s="191">
        <f>(D28-D34*D29)/(1-D34)</f>
        <v>0.12</v>
      </c>
      <c r="E85" s="191">
        <f t="shared" ref="E85:I85" si="76">(E28-E34*E29)/(1-E34)</f>
        <v>0.13175928980738946</v>
      </c>
      <c r="F85" s="191">
        <f t="shared" si="76"/>
        <v>0.14915152988486902</v>
      </c>
      <c r="G85" s="191">
        <f t="shared" si="76"/>
        <v>0.16172891356248237</v>
      </c>
      <c r="H85" s="191">
        <f t="shared" si="76"/>
        <v>0.16163927989848786</v>
      </c>
      <c r="I85" s="191">
        <f t="shared" si="76"/>
        <v>0.16699999999999998</v>
      </c>
    </row>
    <row r="86" spans="2:10">
      <c r="B86" s="618"/>
      <c r="C86" s="149" t="s">
        <v>200</v>
      </c>
      <c r="D86" s="192">
        <f t="shared" ref="D86:G86" si="77">(D84+E86)/(1+D85)</f>
        <v>20780.666608827043</v>
      </c>
      <c r="E86" s="192">
        <f t="shared" si="77"/>
        <v>18130.346601886289</v>
      </c>
      <c r="F86" s="192">
        <f t="shared" si="77"/>
        <v>14835.980194112642</v>
      </c>
      <c r="G86" s="192">
        <f t="shared" si="77"/>
        <v>13277.526489406164</v>
      </c>
      <c r="H86" s="192">
        <f>(H84+I86)/(1+H85)</f>
        <v>13786.692092454905</v>
      </c>
      <c r="I86" s="193">
        <f>I84/(I85-J31)</f>
        <v>13381.247786464333</v>
      </c>
    </row>
    <row r="87" spans="2:10">
      <c r="B87" s="618"/>
      <c r="C87" s="149" t="s">
        <v>192</v>
      </c>
      <c r="D87" s="194">
        <f>D43</f>
        <v>0</v>
      </c>
      <c r="E87" s="194">
        <f t="shared" ref="E87:I87" si="78">E43</f>
        <v>4264</v>
      </c>
      <c r="F87" s="194">
        <f t="shared" si="78"/>
        <v>9010.24</v>
      </c>
      <c r="G87" s="194">
        <f t="shared" si="78"/>
        <v>11788.441599999998</v>
      </c>
      <c r="H87" s="194">
        <f t="shared" si="78"/>
        <v>12214.211295999998</v>
      </c>
      <c r="I87" s="194">
        <f t="shared" si="78"/>
        <v>13381.247786464357</v>
      </c>
    </row>
    <row r="88" spans="2:10">
      <c r="B88" s="618"/>
      <c r="C88" s="172" t="s">
        <v>197</v>
      </c>
      <c r="D88" s="195">
        <f>SUM(D86:D87)</f>
        <v>20780.666608827043</v>
      </c>
      <c r="E88" s="195">
        <f t="shared" ref="E88:I88" si="79">SUM(E86:E87)</f>
        <v>22394.346601886289</v>
      </c>
      <c r="F88" s="195">
        <f t="shared" si="79"/>
        <v>23846.22019411264</v>
      </c>
      <c r="G88" s="195">
        <f t="shared" si="79"/>
        <v>25065.96808940616</v>
      </c>
      <c r="H88" s="195">
        <f t="shared" si="79"/>
        <v>26000.903388454903</v>
      </c>
      <c r="I88" s="195">
        <f t="shared" si="79"/>
        <v>26762.495572928688</v>
      </c>
    </row>
  </sheetData>
  <mergeCells count="3">
    <mergeCell ref="B76:B78"/>
    <mergeCell ref="B80:B82"/>
    <mergeCell ref="B84:B88"/>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9CA45-05B4-4B46-9F9B-2D217A0DCBD5}">
  <dimension ref="B24:U82"/>
  <sheetViews>
    <sheetView topLeftCell="C28" workbookViewId="0">
      <selection activeCell="N55" sqref="N55"/>
    </sheetView>
  </sheetViews>
  <sheetFormatPr baseColWidth="10" defaultColWidth="9.1640625" defaultRowHeight="16"/>
  <cols>
    <col min="1" max="1" width="9.1640625" style="149"/>
    <col min="2" max="2" width="22.6640625" style="149" bestFit="1" customWidth="1"/>
    <col min="3" max="3" width="31.1640625" style="149" bestFit="1" customWidth="1"/>
    <col min="4" max="6" width="13" style="149" bestFit="1" customWidth="1"/>
    <col min="7" max="7" width="14.1640625" style="149" bestFit="1" customWidth="1"/>
    <col min="8" max="9" width="14.5" style="149" bestFit="1" customWidth="1"/>
    <col min="10" max="10" width="13.5" style="149" bestFit="1" customWidth="1"/>
    <col min="11" max="12" width="9.1640625" style="149"/>
    <col min="13" max="13" width="10.83203125" style="149" bestFit="1" customWidth="1"/>
    <col min="14" max="14" width="12" style="149" customWidth="1"/>
    <col min="15" max="16" width="12" style="149" bestFit="1" customWidth="1"/>
    <col min="17" max="17" width="12.1640625" style="149" bestFit="1" customWidth="1"/>
    <col min="18" max="20" width="12" style="149" bestFit="1" customWidth="1"/>
    <col min="21" max="16384" width="9.1640625" style="149"/>
  </cols>
  <sheetData>
    <row r="24" spans="3:21">
      <c r="D24" s="162">
        <v>2021</v>
      </c>
      <c r="E24" s="162">
        <v>2022</v>
      </c>
      <c r="F24" s="162">
        <v>2023</v>
      </c>
      <c r="G24" s="162">
        <v>2024</v>
      </c>
      <c r="H24" s="162">
        <v>2025</v>
      </c>
      <c r="I24" s="162" t="s">
        <v>202</v>
      </c>
      <c r="N24" s="162">
        <v>2021</v>
      </c>
      <c r="O24" s="162">
        <v>2022</v>
      </c>
      <c r="P24" s="162">
        <v>2023</v>
      </c>
      <c r="Q24" s="162">
        <v>2024</v>
      </c>
      <c r="R24" s="162">
        <v>2025</v>
      </c>
      <c r="S24" s="162" t="s">
        <v>202</v>
      </c>
    </row>
    <row r="25" spans="3:21">
      <c r="C25" s="161" t="s">
        <v>209</v>
      </c>
      <c r="D25" s="164">
        <v>0.6</v>
      </c>
      <c r="E25" s="164">
        <v>0.5</v>
      </c>
      <c r="F25" s="164">
        <v>0.4</v>
      </c>
      <c r="G25" s="164">
        <v>0.3</v>
      </c>
      <c r="H25" s="164">
        <v>0.25</v>
      </c>
      <c r="I25" s="164">
        <f>J26/J30</f>
        <v>0.55970149253731338</v>
      </c>
      <c r="J25" s="164">
        <f>K26/K30</f>
        <v>0.55970149253731338</v>
      </c>
      <c r="M25" s="161" t="s">
        <v>209</v>
      </c>
      <c r="N25" s="164">
        <v>0.6</v>
      </c>
      <c r="O25" s="164">
        <v>0.5</v>
      </c>
      <c r="P25" s="164">
        <v>0.4</v>
      </c>
      <c r="Q25" s="164">
        <v>0.3</v>
      </c>
      <c r="R25" s="164">
        <v>0.25</v>
      </c>
      <c r="S25" s="164">
        <f>T26/T30</f>
        <v>0.55970149253731338</v>
      </c>
      <c r="T25" s="164">
        <f>U26/U30</f>
        <v>0.55970149253731338</v>
      </c>
    </row>
    <row r="26" spans="3:21">
      <c r="C26" s="161" t="s">
        <v>213</v>
      </c>
      <c r="G26" s="164"/>
      <c r="H26" s="164">
        <v>7.0000000000000007E-2</v>
      </c>
      <c r="I26" s="164">
        <v>0.06</v>
      </c>
      <c r="J26" s="164">
        <v>0.06</v>
      </c>
      <c r="K26" s="164">
        <v>0.06</v>
      </c>
      <c r="M26" s="161" t="s">
        <v>213</v>
      </c>
      <c r="Q26" s="164"/>
      <c r="R26" s="164">
        <v>7.0000000000000007E-2</v>
      </c>
      <c r="S26" s="164">
        <v>0.06</v>
      </c>
      <c r="T26" s="164">
        <v>0.06</v>
      </c>
      <c r="U26" s="164">
        <v>0.06</v>
      </c>
    </row>
    <row r="27" spans="3:21" ht="18">
      <c r="C27" s="161" t="s">
        <v>211</v>
      </c>
      <c r="D27" s="164">
        <v>0.11</v>
      </c>
      <c r="E27" s="164">
        <v>0.11</v>
      </c>
      <c r="F27" s="164">
        <v>0.11</v>
      </c>
      <c r="G27" s="164">
        <v>0.11</v>
      </c>
      <c r="H27" s="164">
        <v>0.11</v>
      </c>
      <c r="I27" s="164">
        <v>0.11</v>
      </c>
      <c r="J27" s="164">
        <v>0.11</v>
      </c>
      <c r="M27" s="161" t="s">
        <v>211</v>
      </c>
      <c r="N27" s="164">
        <v>0.11</v>
      </c>
      <c r="O27" s="164">
        <v>0.11</v>
      </c>
      <c r="P27" s="164">
        <v>0.11</v>
      </c>
      <c r="Q27" s="164">
        <v>0.11</v>
      </c>
      <c r="R27" s="164">
        <v>0.11</v>
      </c>
      <c r="S27" s="164">
        <v>0.11</v>
      </c>
      <c r="T27" s="164">
        <v>0.11</v>
      </c>
      <c r="U27" s="164">
        <v>0.11</v>
      </c>
    </row>
    <row r="28" spans="3:21" ht="18">
      <c r="C28" s="161" t="s">
        <v>212</v>
      </c>
      <c r="D28" s="164">
        <v>0.06</v>
      </c>
      <c r="E28" s="164">
        <v>0.06</v>
      </c>
      <c r="F28" s="164">
        <v>0.06</v>
      </c>
      <c r="G28" s="164">
        <v>0.06</v>
      </c>
      <c r="H28" s="164">
        <v>7.0000000000000007E-2</v>
      </c>
      <c r="I28" s="164">
        <v>7.0000000000000007E-2</v>
      </c>
      <c r="J28" s="164">
        <v>7.0000000000000007E-2</v>
      </c>
      <c r="M28" s="161" t="s">
        <v>212</v>
      </c>
      <c r="N28" s="164">
        <v>0.06</v>
      </c>
      <c r="O28" s="164">
        <v>0.06</v>
      </c>
      <c r="P28" s="164">
        <v>0.06</v>
      </c>
      <c r="Q28" s="164">
        <v>0.06</v>
      </c>
      <c r="R28" s="164">
        <v>7.0000000000000007E-2</v>
      </c>
      <c r="S28" s="164">
        <v>7.0000000000000007E-2</v>
      </c>
      <c r="T28" s="164">
        <v>7.0000000000000007E-2</v>
      </c>
      <c r="U28" s="164">
        <v>7.0000000000000007E-2</v>
      </c>
    </row>
    <row r="29" spans="3:21">
      <c r="C29" s="161" t="s">
        <v>185</v>
      </c>
      <c r="D29" s="164">
        <v>0.11</v>
      </c>
      <c r="E29" s="164">
        <v>0.12</v>
      </c>
      <c r="F29" s="164"/>
      <c r="G29" s="164"/>
      <c r="H29" s="164"/>
      <c r="I29" s="164"/>
      <c r="M29" s="161" t="s">
        <v>185</v>
      </c>
      <c r="N29" s="164">
        <v>0.11</v>
      </c>
      <c r="O29" s="164">
        <v>0.12</v>
      </c>
      <c r="P29" s="164"/>
      <c r="Q29" s="164"/>
      <c r="R29" s="164"/>
      <c r="S29" s="164"/>
    </row>
    <row r="30" spans="3:21">
      <c r="C30" s="161" t="s">
        <v>186</v>
      </c>
      <c r="D30" s="164"/>
      <c r="E30" s="164"/>
      <c r="F30" s="164">
        <v>0.14000000000000001</v>
      </c>
      <c r="G30" s="164">
        <v>0.13</v>
      </c>
      <c r="I30" s="196">
        <f>I32</f>
        <v>0.1072</v>
      </c>
      <c r="J30" s="196">
        <f>I30</f>
        <v>0.1072</v>
      </c>
      <c r="K30" s="196">
        <f>J30</f>
        <v>0.1072</v>
      </c>
      <c r="M30" s="161" t="s">
        <v>186</v>
      </c>
      <c r="N30" s="164"/>
      <c r="O30" s="164"/>
      <c r="P30" s="164">
        <v>0.14000000000000001</v>
      </c>
      <c r="Q30" s="164">
        <v>0.13</v>
      </c>
      <c r="R30" s="164">
        <f>H26/G25</f>
        <v>0.23333333333333336</v>
      </c>
      <c r="S30" s="196">
        <f>S40</f>
        <v>0.1072</v>
      </c>
      <c r="T30" s="196">
        <f>S30</f>
        <v>0.1072</v>
      </c>
      <c r="U30" s="196">
        <f>T30</f>
        <v>0.1072</v>
      </c>
    </row>
    <row r="31" spans="3:21">
      <c r="C31" s="161" t="s">
        <v>77</v>
      </c>
      <c r="D31" s="164">
        <v>0.1</v>
      </c>
      <c r="E31" s="164">
        <v>0.1</v>
      </c>
      <c r="F31" s="164">
        <v>0.1</v>
      </c>
      <c r="G31" s="164">
        <v>0.1</v>
      </c>
      <c r="H31" s="164">
        <v>0.1</v>
      </c>
      <c r="I31" s="164">
        <v>0.1</v>
      </c>
      <c r="J31" s="164">
        <v>0.1</v>
      </c>
      <c r="M31" s="161" t="s">
        <v>77</v>
      </c>
      <c r="N31" s="164">
        <v>0.1</v>
      </c>
      <c r="O31" s="164">
        <v>0.1</v>
      </c>
      <c r="P31" s="164">
        <v>0.1</v>
      </c>
      <c r="Q31" s="164">
        <v>0.1</v>
      </c>
      <c r="R31" s="164">
        <v>0.1</v>
      </c>
      <c r="S31" s="164">
        <v>0.1</v>
      </c>
      <c r="T31" s="164">
        <v>0.1</v>
      </c>
      <c r="U31" s="164">
        <v>0.1</v>
      </c>
    </row>
    <row r="32" spans="3:21">
      <c r="C32" s="161" t="s">
        <v>190</v>
      </c>
      <c r="D32" s="164">
        <f>D27-D46*D28*D31</f>
        <v>0.10846215444348897</v>
      </c>
      <c r="E32" s="164">
        <f t="shared" ref="E32:J32" si="0">E27-E46*E28*E31</f>
        <v>0.10846914864508561</v>
      </c>
      <c r="F32" s="164">
        <f t="shared" si="0"/>
        <v>0.1084654436616982</v>
      </c>
      <c r="G32" s="164">
        <f t="shared" si="0"/>
        <v>0.10846258613117865</v>
      </c>
      <c r="H32" s="164">
        <f t="shared" si="0"/>
        <v>0.10760692535833603</v>
      </c>
      <c r="I32" s="196">
        <f t="shared" si="0"/>
        <v>0.1072</v>
      </c>
      <c r="J32" s="196">
        <f t="shared" si="0"/>
        <v>0.1072</v>
      </c>
    </row>
    <row r="33" spans="3:21">
      <c r="M33" s="149" t="s">
        <v>188</v>
      </c>
      <c r="N33" s="632">
        <v>100000</v>
      </c>
    </row>
    <row r="34" spans="3:21">
      <c r="C34" s="161"/>
      <c r="D34" s="162">
        <f t="shared" ref="D34:I34" si="1">+D24</f>
        <v>2021</v>
      </c>
      <c r="E34" s="162">
        <f t="shared" si="1"/>
        <v>2022</v>
      </c>
      <c r="F34" s="162">
        <f t="shared" si="1"/>
        <v>2023</v>
      </c>
      <c r="G34" s="162">
        <f t="shared" si="1"/>
        <v>2024</v>
      </c>
      <c r="H34" s="162">
        <f t="shared" si="1"/>
        <v>2025</v>
      </c>
      <c r="I34" s="162" t="str">
        <f t="shared" si="1"/>
        <v>TV</v>
      </c>
      <c r="M34" s="161" t="s">
        <v>182</v>
      </c>
      <c r="N34" s="633">
        <f>N38/N59</f>
        <v>0.25630759275183773</v>
      </c>
      <c r="O34" s="633">
        <f t="shared" ref="O34:R34" si="2">O38/O59</f>
        <v>0.25514189248573188</v>
      </c>
      <c r="P34" s="633">
        <f t="shared" si="2"/>
        <v>0.25575938971696627</v>
      </c>
      <c r="Q34" s="633">
        <f t="shared" si="2"/>
        <v>0.25623564480355737</v>
      </c>
      <c r="R34" s="633">
        <f t="shared" si="2"/>
        <v>0.34186780595199484</v>
      </c>
      <c r="S34" s="164">
        <v>0.4</v>
      </c>
      <c r="T34" s="164">
        <v>0.4</v>
      </c>
    </row>
    <row r="35" spans="3:21">
      <c r="C35" s="161" t="s">
        <v>25</v>
      </c>
      <c r="D35" s="197">
        <f t="shared" ref="D35:I35" si="3">D54/(1-D31)</f>
        <v>12222.222222222223</v>
      </c>
      <c r="E35" s="197">
        <f t="shared" si="3"/>
        <v>14213.333333333332</v>
      </c>
      <c r="F35" s="197">
        <f t="shared" si="3"/>
        <v>15208.266666666666</v>
      </c>
      <c r="G35" s="197">
        <f t="shared" si="3"/>
        <v>15999.096533333333</v>
      </c>
      <c r="H35" s="197">
        <f t="shared" si="3"/>
        <v>17119.033290666666</v>
      </c>
      <c r="I35" s="197">
        <f t="shared" si="3"/>
        <v>17577.823382856535</v>
      </c>
      <c r="M35" s="161" t="s">
        <v>183</v>
      </c>
      <c r="N35" s="164">
        <v>0.3</v>
      </c>
      <c r="O35" s="164">
        <v>0.3</v>
      </c>
      <c r="P35" s="164">
        <v>0.3</v>
      </c>
      <c r="Q35" s="164">
        <v>0.3</v>
      </c>
      <c r="R35" s="164">
        <v>0.4</v>
      </c>
      <c r="S35" s="164"/>
    </row>
    <row r="36" spans="3:21">
      <c r="C36" s="161" t="s">
        <v>195</v>
      </c>
      <c r="D36" s="197">
        <f t="shared" ref="D36:H36" si="4">D28*D49</f>
        <v>1800</v>
      </c>
      <c r="E36" s="197">
        <f t="shared" si="4"/>
        <v>1918.8</v>
      </c>
      <c r="F36" s="197">
        <f t="shared" si="4"/>
        <v>2033.9279999999997</v>
      </c>
      <c r="G36" s="197">
        <f t="shared" si="4"/>
        <v>2132.4775679999998</v>
      </c>
      <c r="H36" s="197">
        <f t="shared" si="4"/>
        <v>3438.1404977920006</v>
      </c>
      <c r="I36" s="197">
        <f>I28*I49</f>
        <v>4132.1002728356789</v>
      </c>
    </row>
    <row r="37" spans="3:21">
      <c r="C37" s="161" t="s">
        <v>262</v>
      </c>
      <c r="D37" s="197">
        <f t="shared" ref="D37:I37" si="5">D35-D36</f>
        <v>10422.222222222223</v>
      </c>
      <c r="E37" s="197">
        <f t="shared" si="5"/>
        <v>12294.533333333333</v>
      </c>
      <c r="F37" s="197">
        <f t="shared" si="5"/>
        <v>13174.338666666667</v>
      </c>
      <c r="G37" s="197">
        <f t="shared" si="5"/>
        <v>13866.618965333333</v>
      </c>
      <c r="H37" s="197">
        <f t="shared" si="5"/>
        <v>13680.892792874665</v>
      </c>
      <c r="I37" s="197">
        <f t="shared" si="5"/>
        <v>13445.723110020856</v>
      </c>
      <c r="M37" s="149" t="s">
        <v>188</v>
      </c>
      <c r="N37" s="632">
        <v>100000</v>
      </c>
      <c r="O37" s="149">
        <f>N37+N44</f>
        <v>106600</v>
      </c>
      <c r="P37" s="149">
        <f t="shared" ref="P37:U37" si="6">O37+O44</f>
        <v>112996</v>
      </c>
      <c r="Q37" s="149">
        <f t="shared" si="6"/>
        <v>118470.976</v>
      </c>
      <c r="R37" s="149">
        <f t="shared" si="6"/>
        <v>122790.732064</v>
      </c>
      <c r="S37" s="149">
        <f t="shared" si="6"/>
        <v>126642.5145544</v>
      </c>
      <c r="T37" s="149">
        <f t="shared" si="6"/>
        <v>135497.01513904787</v>
      </c>
      <c r="U37" s="149">
        <f t="shared" si="6"/>
        <v>144882.78575877461</v>
      </c>
    </row>
    <row r="38" spans="3:21">
      <c r="C38" s="161" t="s">
        <v>263</v>
      </c>
      <c r="D38" s="197">
        <f t="shared" ref="D38:I38" si="7">D37*D31</f>
        <v>1042.2222222222224</v>
      </c>
      <c r="E38" s="197">
        <f t="shared" si="7"/>
        <v>1229.4533333333334</v>
      </c>
      <c r="F38" s="197">
        <f t="shared" si="7"/>
        <v>1317.4338666666667</v>
      </c>
      <c r="G38" s="197">
        <f t="shared" si="7"/>
        <v>1386.6618965333334</v>
      </c>
      <c r="H38" s="197">
        <f t="shared" si="7"/>
        <v>1368.0892792874665</v>
      </c>
      <c r="I38" s="197">
        <f t="shared" si="7"/>
        <v>1344.5723110020856</v>
      </c>
      <c r="M38" t="s">
        <v>192</v>
      </c>
      <c r="N38" s="149">
        <f>N37*N35</f>
        <v>30000</v>
      </c>
      <c r="O38" s="149">
        <f t="shared" ref="O38:R38" si="8">O37*O35</f>
        <v>31980</v>
      </c>
      <c r="P38" s="149">
        <f t="shared" si="8"/>
        <v>33898.799999999996</v>
      </c>
      <c r="Q38" s="149">
        <f t="shared" si="8"/>
        <v>35541.292799999996</v>
      </c>
      <c r="R38" s="149">
        <f t="shared" si="8"/>
        <v>49116.292825600001</v>
      </c>
      <c r="S38" s="631">
        <f>S34*S54</f>
        <v>59030.003897652547</v>
      </c>
      <c r="T38" s="631">
        <f t="shared" ref="T38:U38" si="9">T34*T54</f>
        <v>62571.804131511693</v>
      </c>
      <c r="U38" s="631">
        <f>T38+T38*T26</f>
        <v>66326.112379402388</v>
      </c>
    </row>
    <row r="39" spans="3:21">
      <c r="C39" s="161" t="s">
        <v>264</v>
      </c>
      <c r="D39" s="197">
        <f t="shared" ref="D39:I39" si="10">D37-D38</f>
        <v>9380</v>
      </c>
      <c r="E39" s="197">
        <f t="shared" si="10"/>
        <v>11065.08</v>
      </c>
      <c r="F39" s="197">
        <f t="shared" si="10"/>
        <v>11856.9048</v>
      </c>
      <c r="G39" s="197">
        <f t="shared" si="10"/>
        <v>12479.9570688</v>
      </c>
      <c r="H39" s="197">
        <f t="shared" si="10"/>
        <v>12312.803513587198</v>
      </c>
      <c r="I39" s="197">
        <f t="shared" si="10"/>
        <v>12101.150799018769</v>
      </c>
      <c r="M39" t="s">
        <v>193</v>
      </c>
      <c r="N39" s="149">
        <f>N37-N38</f>
        <v>70000</v>
      </c>
      <c r="O39" s="149">
        <f t="shared" ref="O39:U39" si="11">O37-O38</f>
        <v>74620</v>
      </c>
      <c r="P39" s="149">
        <f t="shared" si="11"/>
        <v>79097.200000000012</v>
      </c>
      <c r="Q39" s="149">
        <f t="shared" si="11"/>
        <v>82929.683199999999</v>
      </c>
      <c r="R39" s="149">
        <f t="shared" si="11"/>
        <v>73674.439238399995</v>
      </c>
      <c r="S39" s="149">
        <f t="shared" si="11"/>
        <v>67612.510656747443</v>
      </c>
      <c r="T39" s="149">
        <f t="shared" si="11"/>
        <v>72925.211007536185</v>
      </c>
    </row>
    <row r="40" spans="3:21">
      <c r="C40" s="161" t="s">
        <v>34</v>
      </c>
      <c r="D40" s="197">
        <f t="shared" ref="D40:I40" si="12">D39-D41</f>
        <v>4760</v>
      </c>
      <c r="E40" s="197">
        <f t="shared" si="12"/>
        <v>6587.8799999999883</v>
      </c>
      <c r="F40" s="197">
        <f t="shared" si="12"/>
        <v>8024.4216000000124</v>
      </c>
      <c r="G40" s="197">
        <f t="shared" si="12"/>
        <v>12479.9570688</v>
      </c>
      <c r="H40" s="197">
        <f t="shared" si="12"/>
        <v>12312.803513587198</v>
      </c>
      <c r="I40" s="197">
        <f t="shared" si="12"/>
        <v>6788.4504482300272</v>
      </c>
      <c r="M40" s="161" t="s">
        <v>190</v>
      </c>
      <c r="N40" s="164">
        <f>N27-N34*N28*N31</f>
        <v>0.10846215444348897</v>
      </c>
      <c r="O40" s="164">
        <f t="shared" ref="O40:U40" si="13">O27-O34*O28*O31</f>
        <v>0.10846914864508561</v>
      </c>
      <c r="P40" s="164">
        <f t="shared" si="13"/>
        <v>0.1084654436616982</v>
      </c>
      <c r="Q40" s="164">
        <f t="shared" si="13"/>
        <v>0.10846258613117865</v>
      </c>
      <c r="R40" s="164">
        <f t="shared" si="13"/>
        <v>0.10760692535833603</v>
      </c>
      <c r="S40" s="164">
        <f t="shared" si="13"/>
        <v>0.1072</v>
      </c>
      <c r="T40" s="164">
        <f t="shared" si="13"/>
        <v>0.1072</v>
      </c>
      <c r="U40" s="164"/>
    </row>
    <row r="41" spans="3:21">
      <c r="C41" s="161" t="s">
        <v>35</v>
      </c>
      <c r="D41" s="197">
        <f t="shared" ref="D41:I41" si="14">IF(D39&lt;0,D39,MAX(0,MIN(D39,D43)))</f>
        <v>4620</v>
      </c>
      <c r="E41" s="197">
        <f t="shared" si="14"/>
        <v>4477.2000000000116</v>
      </c>
      <c r="F41" s="197">
        <f t="shared" si="14"/>
        <v>3832.4831999999878</v>
      </c>
      <c r="G41" s="197">
        <f t="shared" si="14"/>
        <v>0</v>
      </c>
      <c r="H41" s="197">
        <f t="shared" si="14"/>
        <v>0</v>
      </c>
      <c r="I41" s="197">
        <f t="shared" si="14"/>
        <v>5312.7003507887421</v>
      </c>
      <c r="M41"/>
    </row>
    <row r="42" spans="3:21">
      <c r="C42" s="161"/>
      <c r="D42" s="162"/>
      <c r="E42" s="162"/>
      <c r="F42" s="162"/>
      <c r="G42" s="162"/>
      <c r="H42" s="162"/>
      <c r="I42" s="162"/>
      <c r="M42" t="s">
        <v>25</v>
      </c>
    </row>
    <row r="43" spans="3:21">
      <c r="C43" s="161" t="s">
        <v>265</v>
      </c>
      <c r="D43" s="198">
        <f t="shared" ref="D43:I43" si="15">E50-D50</f>
        <v>4620</v>
      </c>
      <c r="E43" s="198">
        <f t="shared" si="15"/>
        <v>4477.2000000000116</v>
      </c>
      <c r="F43" s="198">
        <f t="shared" si="15"/>
        <v>3832.4831999999878</v>
      </c>
      <c r="G43" s="198">
        <f t="shared" si="15"/>
        <v>-9255.2439616000047</v>
      </c>
      <c r="H43" s="198">
        <f t="shared" si="15"/>
        <v>-6061.9285816525517</v>
      </c>
      <c r="I43" s="198">
        <f t="shared" si="15"/>
        <v>5312.7003507887421</v>
      </c>
      <c r="M43" t="s">
        <v>166</v>
      </c>
      <c r="N43" s="149">
        <f>N29*N37</f>
        <v>11000</v>
      </c>
      <c r="O43" s="149">
        <f>O37*O29</f>
        <v>12792</v>
      </c>
      <c r="P43" s="149">
        <f>O44*P30+O43</f>
        <v>13687.44</v>
      </c>
      <c r="Q43" s="149">
        <f t="shared" ref="Q43:T43" si="16">P44*Q30+P43</f>
        <v>14399.186880000001</v>
      </c>
      <c r="R43" s="149">
        <f t="shared" si="16"/>
        <v>15407.129961600001</v>
      </c>
      <c r="S43" s="149">
        <f t="shared" si="16"/>
        <v>15820.041044570882</v>
      </c>
      <c r="T43" s="149">
        <f t="shared" si="16"/>
        <v>16769.243507245134</v>
      </c>
    </row>
    <row r="44" spans="3:21">
      <c r="C44" s="161" t="s">
        <v>266</v>
      </c>
      <c r="D44" s="197">
        <f t="shared" ref="D44:I44" si="17">D43-D41</f>
        <v>0</v>
      </c>
      <c r="E44" s="198">
        <f t="shared" si="17"/>
        <v>0</v>
      </c>
      <c r="F44" s="198">
        <f t="shared" si="17"/>
        <v>0</v>
      </c>
      <c r="G44" s="198">
        <f t="shared" si="17"/>
        <v>-9255.2439616000047</v>
      </c>
      <c r="H44" s="198">
        <f t="shared" si="17"/>
        <v>-6061.9285816525517</v>
      </c>
      <c r="I44" s="198">
        <f t="shared" si="17"/>
        <v>0</v>
      </c>
      <c r="M44" t="s">
        <v>194</v>
      </c>
      <c r="N44" s="149">
        <f>N25*N43</f>
        <v>6600</v>
      </c>
      <c r="O44" s="149">
        <f>O25*O43</f>
        <v>6396</v>
      </c>
      <c r="P44" s="149">
        <f t="shared" ref="P44:U44" si="18">P25*P43</f>
        <v>5474.9760000000006</v>
      </c>
      <c r="Q44" s="149">
        <f t="shared" si="18"/>
        <v>4319.7560640000002</v>
      </c>
      <c r="R44" s="149">
        <f t="shared" si="18"/>
        <v>3851.7824904000004</v>
      </c>
      <c r="S44" s="149">
        <f t="shared" si="18"/>
        <v>8854.5005846478816</v>
      </c>
      <c r="T44" s="149">
        <f t="shared" si="18"/>
        <v>9385.7706197267526</v>
      </c>
    </row>
    <row r="45" spans="3:21">
      <c r="C45" s="161"/>
      <c r="D45" s="162"/>
      <c r="E45" s="162"/>
      <c r="F45" s="162"/>
      <c r="G45" s="162"/>
      <c r="H45" s="162"/>
      <c r="I45" s="162"/>
      <c r="M45" t="s">
        <v>65</v>
      </c>
      <c r="N45" s="149">
        <f>N43-N44</f>
        <v>4400</v>
      </c>
      <c r="O45" s="149">
        <f t="shared" ref="O45:U45" si="19">O43-O44</f>
        <v>6396</v>
      </c>
      <c r="P45" s="149">
        <f t="shared" si="19"/>
        <v>8212.4639999999999</v>
      </c>
      <c r="Q45" s="149">
        <f t="shared" si="19"/>
        <v>10079.430816</v>
      </c>
      <c r="R45" s="149">
        <f t="shared" si="19"/>
        <v>11555.347471200001</v>
      </c>
      <c r="S45" s="149">
        <f t="shared" si="19"/>
        <v>6965.5404599230005</v>
      </c>
      <c r="T45" s="149">
        <f t="shared" si="19"/>
        <v>7383.472887518381</v>
      </c>
    </row>
    <row r="46" spans="3:21">
      <c r="C46" s="161" t="s">
        <v>182</v>
      </c>
      <c r="D46" s="164">
        <f>D49/D70</f>
        <v>0.25630759275183773</v>
      </c>
      <c r="E46" s="164">
        <f>E49/E70</f>
        <v>0.25514189248573188</v>
      </c>
      <c r="F46" s="164">
        <f>F49/F70</f>
        <v>0.25575938971696627</v>
      </c>
      <c r="G46" s="164">
        <f>G49/G70</f>
        <v>0.25623564480355737</v>
      </c>
      <c r="H46" s="164">
        <f>H49/H70</f>
        <v>0.34186780595199484</v>
      </c>
      <c r="I46" s="164">
        <v>0.4</v>
      </c>
      <c r="J46" s="164">
        <v>0.4</v>
      </c>
      <c r="M46" t="s">
        <v>195</v>
      </c>
      <c r="N46" s="149">
        <f>N38*N28</f>
        <v>1800</v>
      </c>
      <c r="O46" s="149">
        <f t="shared" ref="O46:T46" si="20">O38*O28</f>
        <v>1918.8</v>
      </c>
      <c r="P46" s="149">
        <f t="shared" si="20"/>
        <v>2033.9279999999997</v>
      </c>
      <c r="Q46" s="149">
        <f t="shared" si="20"/>
        <v>2132.4775679999998</v>
      </c>
      <c r="R46" s="149">
        <f t="shared" si="20"/>
        <v>3438.1404977920006</v>
      </c>
      <c r="S46" s="149">
        <f t="shared" si="20"/>
        <v>4132.1002728356789</v>
      </c>
      <c r="T46" s="149">
        <f t="shared" si="20"/>
        <v>4380.026289205819</v>
      </c>
    </row>
    <row r="47" spans="3:21">
      <c r="C47" s="161" t="s">
        <v>183</v>
      </c>
      <c r="D47" s="164">
        <v>0.3</v>
      </c>
      <c r="E47" s="164">
        <v>0.3</v>
      </c>
      <c r="F47" s="164">
        <v>0.3</v>
      </c>
      <c r="G47" s="164">
        <v>0.3</v>
      </c>
      <c r="H47" s="164">
        <v>0.4</v>
      </c>
      <c r="I47" s="164"/>
      <c r="M47" t="s">
        <v>158</v>
      </c>
      <c r="N47" s="149">
        <f>N46*N31</f>
        <v>180</v>
      </c>
      <c r="O47" s="149">
        <f t="shared" ref="O47:U47" si="21">O46*O31</f>
        <v>191.88</v>
      </c>
      <c r="P47" s="149">
        <f t="shared" si="21"/>
        <v>203.39279999999997</v>
      </c>
      <c r="Q47" s="149">
        <f t="shared" si="21"/>
        <v>213.24775679999999</v>
      </c>
      <c r="R47" s="149">
        <f t="shared" si="21"/>
        <v>343.8140497792001</v>
      </c>
      <c r="S47" s="149">
        <f t="shared" si="21"/>
        <v>413.21002728356791</v>
      </c>
      <c r="T47" s="149">
        <f t="shared" si="21"/>
        <v>438.00262892058191</v>
      </c>
    </row>
    <row r="48" spans="3:21">
      <c r="C48" s="149" t="s">
        <v>188</v>
      </c>
      <c r="D48" s="165">
        <v>100000</v>
      </c>
      <c r="E48" s="165">
        <f t="shared" ref="E48:I48" si="22">D48+D55</f>
        <v>106600</v>
      </c>
      <c r="F48" s="165">
        <f t="shared" si="22"/>
        <v>112996</v>
      </c>
      <c r="G48" s="165">
        <f t="shared" si="22"/>
        <v>118470.976</v>
      </c>
      <c r="H48" s="165">
        <f>G48+G55</f>
        <v>122790.732064</v>
      </c>
      <c r="I48" s="165">
        <f t="shared" si="22"/>
        <v>126642.5145544</v>
      </c>
      <c r="J48" s="165">
        <f>I48+I55</f>
        <v>135497.01513904787</v>
      </c>
      <c r="M48" t="s">
        <v>196</v>
      </c>
      <c r="N48" s="149">
        <f>O38-N38</f>
        <v>1980</v>
      </c>
      <c r="O48" s="149">
        <f t="shared" ref="O48:T48" si="23">P38-O38</f>
        <v>1918.7999999999956</v>
      </c>
      <c r="P48" s="149">
        <f t="shared" si="23"/>
        <v>1642.4928</v>
      </c>
      <c r="Q48" s="149">
        <f t="shared" si="23"/>
        <v>13575.000025600006</v>
      </c>
      <c r="R48" s="149">
        <f t="shared" si="23"/>
        <v>9913.7110720525452</v>
      </c>
      <c r="S48" s="149">
        <f t="shared" si="23"/>
        <v>3541.8002338591468</v>
      </c>
      <c r="T48" s="149">
        <f t="shared" si="23"/>
        <v>3754.3082478906945</v>
      </c>
    </row>
    <row r="49" spans="3:21">
      <c r="C49" s="161" t="s">
        <v>192</v>
      </c>
      <c r="D49" s="149">
        <f>D47*D48</f>
        <v>30000</v>
      </c>
      <c r="E49" s="149">
        <f>E47*E48</f>
        <v>31980</v>
      </c>
      <c r="F49" s="149">
        <f>F47*F48</f>
        <v>33898.799999999996</v>
      </c>
      <c r="G49" s="149">
        <f>G47*G48</f>
        <v>35541.292799999996</v>
      </c>
      <c r="H49" s="149">
        <f>H47*H48</f>
        <v>49116.292825600001</v>
      </c>
      <c r="I49" s="149">
        <f>I46*I75</f>
        <v>59030.003897652547</v>
      </c>
      <c r="J49" s="149">
        <f>J46*J75</f>
        <v>62571.804131511693</v>
      </c>
      <c r="M49" t="s">
        <v>69</v>
      </c>
      <c r="N49" s="149">
        <f>N45-N46+N47+N48</f>
        <v>4760</v>
      </c>
      <c r="O49" s="149">
        <f t="shared" ref="O49:U49" si="24">O45-O46+O47+O48</f>
        <v>6587.8799999999956</v>
      </c>
      <c r="P49" s="149">
        <f t="shared" si="24"/>
        <v>8024.4215999999997</v>
      </c>
      <c r="Q49" s="149">
        <f t="shared" si="24"/>
        <v>21735.201030400007</v>
      </c>
      <c r="R49" s="149">
        <f t="shared" si="24"/>
        <v>18374.732095239746</v>
      </c>
      <c r="S49" s="149">
        <f t="shared" si="24"/>
        <v>6788.4504482300363</v>
      </c>
      <c r="T49" s="149">
        <f t="shared" si="24"/>
        <v>7195.757475123839</v>
      </c>
    </row>
    <row r="50" spans="3:21">
      <c r="C50" s="161" t="s">
        <v>193</v>
      </c>
      <c r="D50" s="165">
        <f>D48-D49</f>
        <v>70000</v>
      </c>
      <c r="E50" s="165">
        <f t="shared" ref="E50:J50" si="25">E48-E49</f>
        <v>74620</v>
      </c>
      <c r="F50" s="165">
        <f t="shared" si="25"/>
        <v>79097.200000000012</v>
      </c>
      <c r="G50" s="165">
        <f t="shared" si="25"/>
        <v>82929.683199999999</v>
      </c>
      <c r="H50" s="165">
        <f t="shared" si="25"/>
        <v>73674.439238399995</v>
      </c>
      <c r="I50" s="165">
        <f t="shared" si="25"/>
        <v>67612.510656747443</v>
      </c>
      <c r="J50" s="165">
        <f t="shared" si="25"/>
        <v>72925.211007536185</v>
      </c>
      <c r="M50"/>
    </row>
    <row r="51" spans="3:21">
      <c r="M51"/>
    </row>
    <row r="52" spans="3:21">
      <c r="C52" s="161" t="s">
        <v>267</v>
      </c>
      <c r="D52" s="188">
        <f t="shared" ref="D52:I52" si="26">D38/D37</f>
        <v>0.10000000000000002</v>
      </c>
      <c r="E52" s="188">
        <f t="shared" si="26"/>
        <v>0.1</v>
      </c>
      <c r="F52" s="188">
        <f t="shared" si="26"/>
        <v>0.1</v>
      </c>
      <c r="G52" s="188">
        <f t="shared" si="26"/>
        <v>0.1</v>
      </c>
      <c r="H52" s="188">
        <f t="shared" si="26"/>
        <v>0.1</v>
      </c>
      <c r="I52" s="188">
        <f t="shared" si="26"/>
        <v>0.1</v>
      </c>
      <c r="M52" t="s">
        <v>65</v>
      </c>
      <c r="N52" s="149">
        <f>N45</f>
        <v>4400</v>
      </c>
      <c r="O52" s="149">
        <f t="shared" ref="O52:T52" si="27">O45</f>
        <v>6396</v>
      </c>
      <c r="P52" s="149">
        <f t="shared" si="27"/>
        <v>8212.4639999999999</v>
      </c>
      <c r="Q52" s="149">
        <f t="shared" si="27"/>
        <v>10079.430816</v>
      </c>
      <c r="R52" s="149">
        <f t="shared" si="27"/>
        <v>11555.347471200001</v>
      </c>
      <c r="S52" s="149">
        <f t="shared" si="27"/>
        <v>6965.5404599230005</v>
      </c>
      <c r="T52" s="149">
        <f t="shared" si="27"/>
        <v>7383.472887518381</v>
      </c>
    </row>
    <row r="53" spans="3:21">
      <c r="M53" t="s">
        <v>190</v>
      </c>
      <c r="N53" s="188">
        <f>N40</f>
        <v>0.10846215444348897</v>
      </c>
      <c r="O53" s="188">
        <f t="shared" ref="O53:T53" si="28">O40</f>
        <v>0.10846914864508561</v>
      </c>
      <c r="P53" s="188">
        <f t="shared" si="28"/>
        <v>0.1084654436616982</v>
      </c>
      <c r="Q53" s="188">
        <f t="shared" si="28"/>
        <v>0.10846258613117865</v>
      </c>
      <c r="R53" s="188">
        <f t="shared" si="28"/>
        <v>0.10760692535833603</v>
      </c>
      <c r="S53" s="188">
        <f t="shared" si="28"/>
        <v>0.1072</v>
      </c>
      <c r="T53" s="188">
        <f t="shared" si="28"/>
        <v>0.1072</v>
      </c>
      <c r="U53" s="188"/>
    </row>
    <row r="54" spans="3:21">
      <c r="C54" s="149" t="s">
        <v>166</v>
      </c>
      <c r="D54" s="165">
        <f>D48*D29</f>
        <v>11000</v>
      </c>
      <c r="E54" s="165">
        <f>E29*E48</f>
        <v>12792</v>
      </c>
      <c r="F54" s="165">
        <f>E54+F30*E55</f>
        <v>13687.44</v>
      </c>
      <c r="G54" s="165">
        <f>F54+G30*F55</f>
        <v>14399.186880000001</v>
      </c>
      <c r="H54" s="165">
        <f>G54*(1+H26)</f>
        <v>15407.129961600001</v>
      </c>
      <c r="I54" s="165">
        <f>H54+I30*H55</f>
        <v>15820.041044570882</v>
      </c>
      <c r="J54" s="165">
        <f>I54+J30*I55</f>
        <v>16769.243507245134</v>
      </c>
      <c r="M54" s="624" t="s">
        <v>197</v>
      </c>
      <c r="N54" s="167">
        <f t="shared" ref="N54:Q54" si="29">(N52+O54)/(1+N53)</f>
        <v>117046.86419120882</v>
      </c>
      <c r="O54" s="167">
        <f t="shared" si="29"/>
        <v>125342.01925224179</v>
      </c>
      <c r="P54" s="167">
        <f t="shared" si="29"/>
        <v>132541.76136998838</v>
      </c>
      <c r="Q54" s="167">
        <f t="shared" si="29"/>
        <v>138705.4983206871</v>
      </c>
      <c r="R54" s="167">
        <f>(R52+S54)/(1+R53)</f>
        <v>143670.42456316264</v>
      </c>
      <c r="S54" s="167">
        <f>S52/(S53-S26)</f>
        <v>147575.00974413136</v>
      </c>
      <c r="T54" s="167">
        <f>T52/(T53-T26)</f>
        <v>156429.51032877923</v>
      </c>
    </row>
    <row r="55" spans="3:21">
      <c r="C55" s="149" t="s">
        <v>194</v>
      </c>
      <c r="D55" s="165">
        <f t="shared" ref="D55:I55" si="30">D54*D25</f>
        <v>6600</v>
      </c>
      <c r="E55" s="165">
        <f t="shared" si="30"/>
        <v>6396</v>
      </c>
      <c r="F55" s="165">
        <f t="shared" si="30"/>
        <v>5474.9760000000006</v>
      </c>
      <c r="G55" s="165">
        <f t="shared" si="30"/>
        <v>4319.7560640000002</v>
      </c>
      <c r="H55" s="165">
        <f t="shared" si="30"/>
        <v>3851.7824904000004</v>
      </c>
      <c r="I55" s="165">
        <f t="shared" si="30"/>
        <v>8854.5005846478816</v>
      </c>
      <c r="J55" s="165">
        <f>J54*J25</f>
        <v>9385.7706197267526</v>
      </c>
      <c r="M55"/>
      <c r="N55" s="167"/>
      <c r="O55" s="167"/>
      <c r="P55" s="167"/>
      <c r="Q55" s="167"/>
      <c r="R55" s="167"/>
      <c r="S55" s="167"/>
      <c r="T55" s="167"/>
    </row>
    <row r="56" spans="3:21">
      <c r="C56" s="149" t="s">
        <v>65</v>
      </c>
      <c r="D56" s="165">
        <f>D54-D55</f>
        <v>4400</v>
      </c>
      <c r="E56" s="165">
        <f t="shared" ref="E56:H56" si="31">E54-E55</f>
        <v>6396</v>
      </c>
      <c r="F56" s="165">
        <f t="shared" si="31"/>
        <v>8212.4639999999999</v>
      </c>
      <c r="G56" s="165">
        <f t="shared" si="31"/>
        <v>10079.430816</v>
      </c>
      <c r="H56" s="165">
        <f t="shared" si="31"/>
        <v>11555.347471200001</v>
      </c>
      <c r="I56" s="165">
        <f>I54-I55</f>
        <v>6965.5404599230005</v>
      </c>
      <c r="J56" s="165">
        <f>J54-J55</f>
        <v>7383.472887518381</v>
      </c>
      <c r="M56"/>
      <c r="N56" s="167"/>
      <c r="O56" s="167"/>
      <c r="P56" s="167"/>
      <c r="Q56" s="167"/>
      <c r="R56" s="167"/>
      <c r="S56" s="167"/>
      <c r="T56" s="167"/>
    </row>
    <row r="57" spans="3:21">
      <c r="C57" s="149" t="s">
        <v>195</v>
      </c>
      <c r="D57" s="165">
        <f>D36</f>
        <v>1800</v>
      </c>
      <c r="E57" s="165">
        <f t="shared" ref="E57:J57" si="32">E36</f>
        <v>1918.8</v>
      </c>
      <c r="F57" s="165">
        <f t="shared" si="32"/>
        <v>2033.9279999999997</v>
      </c>
      <c r="G57" s="165">
        <f t="shared" si="32"/>
        <v>2132.4775679999998</v>
      </c>
      <c r="H57" s="165">
        <f t="shared" si="32"/>
        <v>3438.1404977920006</v>
      </c>
      <c r="I57" s="165">
        <f>I36</f>
        <v>4132.1002728356789</v>
      </c>
      <c r="J57" s="165">
        <f t="shared" si="32"/>
        <v>0</v>
      </c>
      <c r="M57" t="s">
        <v>198</v>
      </c>
      <c r="N57" s="167">
        <f>N45+N47</f>
        <v>4580</v>
      </c>
      <c r="O57" s="167">
        <f t="shared" ref="O57:T57" si="33">O45+O47</f>
        <v>6587.88</v>
      </c>
      <c r="P57" s="167">
        <f t="shared" si="33"/>
        <v>8415.8567999999996</v>
      </c>
      <c r="Q57" s="167">
        <f t="shared" si="33"/>
        <v>10292.6785728</v>
      </c>
      <c r="R57" s="167">
        <f t="shared" si="33"/>
        <v>11899.1615209792</v>
      </c>
      <c r="S57" s="167">
        <f t="shared" si="33"/>
        <v>7378.7504872065683</v>
      </c>
      <c r="T57" s="167">
        <f t="shared" si="33"/>
        <v>7821.4755164389626</v>
      </c>
    </row>
    <row r="58" spans="3:21">
      <c r="C58" s="149" t="s">
        <v>158</v>
      </c>
      <c r="D58" s="165">
        <f>D57*D52</f>
        <v>180.00000000000003</v>
      </c>
      <c r="E58" s="165">
        <f t="shared" ref="E58:J58" si="34">E57*E52</f>
        <v>191.88</v>
      </c>
      <c r="F58" s="165">
        <f t="shared" si="34"/>
        <v>203.39279999999997</v>
      </c>
      <c r="G58" s="165">
        <f t="shared" si="34"/>
        <v>213.24775679999999</v>
      </c>
      <c r="H58" s="165">
        <f t="shared" si="34"/>
        <v>343.8140497792001</v>
      </c>
      <c r="I58" s="165">
        <f t="shared" si="34"/>
        <v>413.21002728356791</v>
      </c>
      <c r="J58" s="165">
        <f t="shared" si="34"/>
        <v>0</v>
      </c>
      <c r="M58" t="s">
        <v>259</v>
      </c>
      <c r="N58" s="167">
        <f>N27</f>
        <v>0.11</v>
      </c>
      <c r="O58" s="167">
        <f t="shared" ref="O58:T58" si="35">O27</f>
        <v>0.11</v>
      </c>
      <c r="P58" s="167">
        <f t="shared" si="35"/>
        <v>0.11</v>
      </c>
      <c r="Q58" s="167">
        <f t="shared" si="35"/>
        <v>0.11</v>
      </c>
      <c r="R58" s="167">
        <f t="shared" si="35"/>
        <v>0.11</v>
      </c>
      <c r="S58" s="167">
        <f t="shared" si="35"/>
        <v>0.11</v>
      </c>
      <c r="T58" s="167">
        <f t="shared" si="35"/>
        <v>0.11</v>
      </c>
    </row>
    <row r="59" spans="3:21">
      <c r="C59" s="149" t="s">
        <v>254</v>
      </c>
      <c r="D59" s="165">
        <f t="shared" ref="D59:J59" si="36">E49-D49</f>
        <v>1980</v>
      </c>
      <c r="E59" s="165">
        <f t="shared" si="36"/>
        <v>1918.7999999999956</v>
      </c>
      <c r="F59" s="165">
        <f t="shared" si="36"/>
        <v>1642.4928</v>
      </c>
      <c r="G59" s="165">
        <f t="shared" si="36"/>
        <v>13575.000025600006</v>
      </c>
      <c r="H59" s="165">
        <f t="shared" si="36"/>
        <v>9913.7110720525452</v>
      </c>
      <c r="I59" s="165">
        <f t="shared" si="36"/>
        <v>3541.8002338591468</v>
      </c>
      <c r="J59" s="165">
        <f t="shared" si="36"/>
        <v>-62571.804131511693</v>
      </c>
      <c r="M59" s="624" t="s">
        <v>197</v>
      </c>
      <c r="N59" s="167">
        <f t="shared" ref="N59:Q59" si="37">(N57+O59)/(1+N58)</f>
        <v>117046.86419120878</v>
      </c>
      <c r="O59" s="167">
        <f t="shared" si="37"/>
        <v>125342.01925224175</v>
      </c>
      <c r="P59" s="167">
        <f t="shared" si="37"/>
        <v>132541.76136998835</v>
      </c>
      <c r="Q59" s="167">
        <f t="shared" si="37"/>
        <v>138705.49832068707</v>
      </c>
      <c r="R59" s="167">
        <f>(R57+S59)/(1+R58)</f>
        <v>143670.42456316264</v>
      </c>
      <c r="S59" s="167">
        <f>S57/(S58-S26)</f>
        <v>147575.00974413136</v>
      </c>
      <c r="T59" s="167">
        <f>T57/(T58-T26)</f>
        <v>156429.51032877923</v>
      </c>
    </row>
    <row r="60" spans="3:21">
      <c r="C60" s="149" t="s">
        <v>69</v>
      </c>
      <c r="D60" s="165">
        <f>D56-D57+D58+D59</f>
        <v>4760</v>
      </c>
      <c r="E60" s="165">
        <f t="shared" ref="E60:J60" si="38">E56-E57+E58+E59</f>
        <v>6587.8799999999956</v>
      </c>
      <c r="F60" s="165">
        <f t="shared" si="38"/>
        <v>8024.4215999999997</v>
      </c>
      <c r="G60" s="165">
        <f t="shared" si="38"/>
        <v>21735.201030400007</v>
      </c>
      <c r="H60" s="165">
        <f t="shared" si="38"/>
        <v>18374.732095239746</v>
      </c>
      <c r="I60" s="165">
        <f t="shared" si="38"/>
        <v>6788.4504482300363</v>
      </c>
      <c r="J60" s="165">
        <f t="shared" si="38"/>
        <v>-55188.331243993314</v>
      </c>
      <c r="M60" s="625" t="s">
        <v>76</v>
      </c>
      <c r="N60" s="167"/>
      <c r="O60" s="167"/>
      <c r="P60" s="167"/>
      <c r="Q60" s="167"/>
      <c r="R60" s="167"/>
      <c r="S60" s="167"/>
      <c r="T60" s="167"/>
    </row>
    <row r="61" spans="3:21">
      <c r="C61" s="149" t="str">
        <f>C40</f>
        <v>Dividend</v>
      </c>
      <c r="D61" s="165">
        <f>D40</f>
        <v>4760</v>
      </c>
      <c r="E61" s="165">
        <f t="shared" ref="E61:J61" si="39">E40</f>
        <v>6587.8799999999883</v>
      </c>
      <c r="F61" s="165">
        <f t="shared" si="39"/>
        <v>8024.4216000000124</v>
      </c>
      <c r="G61" s="165">
        <f t="shared" si="39"/>
        <v>12479.9570688</v>
      </c>
      <c r="H61" s="165">
        <f t="shared" si="39"/>
        <v>12312.803513587198</v>
      </c>
      <c r="I61" s="165">
        <f t="shared" si="39"/>
        <v>6788.4504482300272</v>
      </c>
      <c r="J61" s="165">
        <f t="shared" si="39"/>
        <v>0</v>
      </c>
      <c r="N61" s="167"/>
      <c r="O61" s="167"/>
      <c r="P61" s="167"/>
      <c r="Q61" s="167"/>
      <c r="R61" s="167"/>
      <c r="S61" s="167"/>
      <c r="T61" s="167"/>
    </row>
    <row r="62" spans="3:21">
      <c r="C62" s="149" t="s">
        <v>268</v>
      </c>
      <c r="D62" s="165">
        <f>E50-D50-D41</f>
        <v>0</v>
      </c>
      <c r="E62" s="165">
        <f t="shared" ref="E62:J62" si="40">F50-E50-E41</f>
        <v>0</v>
      </c>
      <c r="F62" s="165">
        <f t="shared" si="40"/>
        <v>0</v>
      </c>
      <c r="G62" s="165">
        <f t="shared" si="40"/>
        <v>-9255.2439616000047</v>
      </c>
      <c r="H62" s="165">
        <f t="shared" si="40"/>
        <v>-6061.9285816525517</v>
      </c>
      <c r="I62" s="165">
        <f t="shared" si="40"/>
        <v>0</v>
      </c>
      <c r="J62" s="165">
        <f t="shared" si="40"/>
        <v>-72925.211007536185</v>
      </c>
      <c r="M62" t="s">
        <v>69</v>
      </c>
      <c r="N62" s="167">
        <f>N49</f>
        <v>4760</v>
      </c>
      <c r="O62" s="167">
        <f t="shared" ref="O62:T62" si="41">O49</f>
        <v>6587.8799999999956</v>
      </c>
      <c r="P62" s="167">
        <f t="shared" si="41"/>
        <v>8024.4215999999997</v>
      </c>
      <c r="Q62" s="167">
        <f t="shared" si="41"/>
        <v>21735.201030400007</v>
      </c>
      <c r="R62" s="167">
        <f t="shared" si="41"/>
        <v>18374.732095239746</v>
      </c>
      <c r="S62" s="167">
        <f t="shared" si="41"/>
        <v>6788.4504482300363</v>
      </c>
      <c r="T62" s="167">
        <f t="shared" si="41"/>
        <v>7195.757475123839</v>
      </c>
    </row>
    <row r="63" spans="3:21">
      <c r="C63" s="149" t="s">
        <v>269</v>
      </c>
      <c r="D63" s="165">
        <f>D60-D61+D62</f>
        <v>0</v>
      </c>
      <c r="E63" s="165">
        <f t="shared" ref="E63:J63" si="42">E60-E61+E62</f>
        <v>7.2759576141834259E-12</v>
      </c>
      <c r="F63" s="165">
        <f t="shared" si="42"/>
        <v>-1.2732925824820995E-11</v>
      </c>
      <c r="G63" s="165">
        <f t="shared" si="42"/>
        <v>0</v>
      </c>
      <c r="H63" s="165">
        <f t="shared" si="42"/>
        <v>0</v>
      </c>
      <c r="I63" s="165">
        <f t="shared" si="42"/>
        <v>9.0949470177292824E-12</v>
      </c>
      <c r="J63" s="165">
        <f t="shared" si="42"/>
        <v>-128113.54225152949</v>
      </c>
      <c r="M63" t="s">
        <v>199</v>
      </c>
      <c r="N63" s="167">
        <f>(N27-N28*N34)/(1-N34)</f>
        <v>0.12723209691626652</v>
      </c>
      <c r="O63" s="167">
        <f t="shared" ref="O63:T63" si="43">(O27-O28*O34)/(1-O34)</f>
        <v>0.1271268789257855</v>
      </c>
      <c r="P63" s="167">
        <f t="shared" si="43"/>
        <v>0.12718257416910517</v>
      </c>
      <c r="Q63" s="167">
        <f t="shared" si="43"/>
        <v>0.1272255932281052</v>
      </c>
      <c r="R63" s="167">
        <f t="shared" si="43"/>
        <v>0.13077806307266338</v>
      </c>
      <c r="S63" s="167">
        <f t="shared" si="43"/>
        <v>0.13666666666666666</v>
      </c>
      <c r="T63" s="167">
        <f t="shared" si="43"/>
        <v>0.13666666666666666</v>
      </c>
    </row>
    <row r="64" spans="3:21">
      <c r="M64" t="s">
        <v>200</v>
      </c>
      <c r="N64" s="167">
        <f t="shared" ref="N64:Q64" si="44">(N62+O64)/(1+N63)</f>
        <v>87046.864191208733</v>
      </c>
      <c r="O64" s="167">
        <f t="shared" si="44"/>
        <v>93362.019252241706</v>
      </c>
      <c r="P64" s="167">
        <f t="shared" si="44"/>
        <v>98642.961369988305</v>
      </c>
      <c r="Q64" s="167">
        <f t="shared" si="44"/>
        <v>103164.20552068701</v>
      </c>
      <c r="R64" s="167">
        <f>(R62+S64)/(1+R63)</f>
        <v>94554.131737562595</v>
      </c>
      <c r="S64" s="167">
        <f>S62/(S63-S26)</f>
        <v>88545.005846478743</v>
      </c>
      <c r="T64" s="167">
        <f>T62/(T63-T26)</f>
        <v>93857.706197267471</v>
      </c>
    </row>
    <row r="65" spans="2:20">
      <c r="B65" s="199" t="s">
        <v>270</v>
      </c>
      <c r="M65" t="s">
        <v>522</v>
      </c>
      <c r="N65" s="167">
        <f>N38</f>
        <v>30000</v>
      </c>
      <c r="O65" s="167">
        <f t="shared" ref="O65:T65" si="45">O38</f>
        <v>31980</v>
      </c>
      <c r="P65" s="167">
        <f t="shared" si="45"/>
        <v>33898.799999999996</v>
      </c>
      <c r="Q65" s="167">
        <f t="shared" si="45"/>
        <v>35541.292799999996</v>
      </c>
      <c r="R65" s="167">
        <f t="shared" si="45"/>
        <v>49116.292825600001</v>
      </c>
      <c r="S65" s="167">
        <f t="shared" si="45"/>
        <v>59030.003897652547</v>
      </c>
      <c r="T65" s="167">
        <f t="shared" si="45"/>
        <v>62571.804131511693</v>
      </c>
    </row>
    <row r="66" spans="2:20">
      <c r="C66" s="149" t="str">
        <f>C56</f>
        <v>FCFF</v>
      </c>
      <c r="D66" s="165">
        <f t="shared" ref="D66:G66" si="46">D56</f>
        <v>4400</v>
      </c>
      <c r="E66" s="165">
        <f t="shared" si="46"/>
        <v>6396</v>
      </c>
      <c r="F66" s="165">
        <f t="shared" si="46"/>
        <v>8212.4639999999999</v>
      </c>
      <c r="G66" s="165">
        <f t="shared" si="46"/>
        <v>10079.430816</v>
      </c>
      <c r="H66" s="165">
        <f>H56</f>
        <v>11555.347471200001</v>
      </c>
      <c r="I66" s="165">
        <f>I56</f>
        <v>6965.5404599230005</v>
      </c>
      <c r="M66" s="624" t="s">
        <v>197</v>
      </c>
      <c r="N66" s="167">
        <f>N64+N65</f>
        <v>117046.86419120873</v>
      </c>
      <c r="O66" s="167">
        <f t="shared" ref="O66:T66" si="47">O64+O65</f>
        <v>125342.01925224171</v>
      </c>
      <c r="P66" s="167">
        <f t="shared" si="47"/>
        <v>132541.76136998829</v>
      </c>
      <c r="Q66" s="167">
        <f t="shared" si="47"/>
        <v>138705.49832068701</v>
      </c>
      <c r="R66" s="167">
        <f t="shared" si="47"/>
        <v>143670.42456316261</v>
      </c>
      <c r="S66" s="167">
        <f t="shared" si="47"/>
        <v>147575.0097441313</v>
      </c>
      <c r="T66" s="167">
        <f t="shared" si="47"/>
        <v>156429.51032877917</v>
      </c>
    </row>
    <row r="67" spans="2:20">
      <c r="C67" s="149" t="str">
        <f>C58</f>
        <v>Tax shield</v>
      </c>
      <c r="D67" s="165">
        <f t="shared" ref="D67:I67" si="48">D58</f>
        <v>180.00000000000003</v>
      </c>
      <c r="E67" s="165">
        <f t="shared" si="48"/>
        <v>191.88</v>
      </c>
      <c r="F67" s="165">
        <f t="shared" si="48"/>
        <v>203.39279999999997</v>
      </c>
      <c r="G67" s="165">
        <f t="shared" si="48"/>
        <v>213.24775679999999</v>
      </c>
      <c r="H67" s="165">
        <f>H58</f>
        <v>343.8140497792001</v>
      </c>
      <c r="I67" s="165">
        <f t="shared" si="48"/>
        <v>413.21002728356791</v>
      </c>
      <c r="M67" s="625" t="s">
        <v>76</v>
      </c>
      <c r="N67" s="167"/>
      <c r="O67" s="167"/>
      <c r="P67" s="167"/>
      <c r="Q67" s="167"/>
      <c r="R67" s="167"/>
      <c r="S67" s="167"/>
      <c r="T67" s="167"/>
    </row>
    <row r="68" spans="2:20">
      <c r="C68" s="149" t="s">
        <v>198</v>
      </c>
      <c r="D68" s="165">
        <f t="shared" ref="D68:G68" si="49">SUM(D66:D67)</f>
        <v>4580</v>
      </c>
      <c r="E68" s="165">
        <f t="shared" si="49"/>
        <v>6587.88</v>
      </c>
      <c r="F68" s="165">
        <f t="shared" si="49"/>
        <v>8415.8567999999996</v>
      </c>
      <c r="G68" s="165">
        <f t="shared" si="49"/>
        <v>10292.6785728</v>
      </c>
      <c r="H68" s="165">
        <f>SUM(H66:H67)</f>
        <v>11899.1615209792</v>
      </c>
      <c r="I68" s="165">
        <f>SUM(I66:I67)</f>
        <v>7378.7504872065683</v>
      </c>
    </row>
    <row r="69" spans="2:20">
      <c r="C69" s="188" t="str">
        <f>C27</f>
        <v>rA</v>
      </c>
      <c r="D69" s="188">
        <f t="shared" ref="D69:I69" si="50">D27</f>
        <v>0.11</v>
      </c>
      <c r="E69" s="188">
        <f t="shared" si="50"/>
        <v>0.11</v>
      </c>
      <c r="F69" s="188">
        <f t="shared" si="50"/>
        <v>0.11</v>
      </c>
      <c r="G69" s="188">
        <f t="shared" si="50"/>
        <v>0.11</v>
      </c>
      <c r="H69" s="188">
        <f>H27</f>
        <v>0.11</v>
      </c>
      <c r="I69" s="188">
        <f t="shared" si="50"/>
        <v>0.11</v>
      </c>
    </row>
    <row r="70" spans="2:20">
      <c r="C70" s="199" t="s">
        <v>197</v>
      </c>
      <c r="D70" s="200">
        <f>(D68+E70)/(1+D69)</f>
        <v>117046.86419120878</v>
      </c>
      <c r="E70" s="200">
        <f>(E68+F70)/(1+E69)</f>
        <v>125342.01925224175</v>
      </c>
      <c r="F70" s="200">
        <f>(F68+G70)/(1+F69)</f>
        <v>132541.76136998835</v>
      </c>
      <c r="G70" s="200">
        <f>(G68+H70)/(1+G69)</f>
        <v>138705.49832068707</v>
      </c>
      <c r="H70" s="200">
        <f>(H68+I70)/(1+H69)</f>
        <v>143670.42456316264</v>
      </c>
      <c r="I70" s="200">
        <f>I68/(I69-I26)</f>
        <v>147575.00974413136</v>
      </c>
    </row>
    <row r="72" spans="2:20">
      <c r="B72" s="199" t="s">
        <v>65</v>
      </c>
    </row>
    <row r="73" spans="2:20">
      <c r="C73" s="149" t="str">
        <f>C56</f>
        <v>FCFF</v>
      </c>
      <c r="D73" s="165">
        <f t="shared" ref="D73:H73" si="51">D56</f>
        <v>4400</v>
      </c>
      <c r="E73" s="165">
        <f t="shared" si="51"/>
        <v>6396</v>
      </c>
      <c r="F73" s="165">
        <f t="shared" si="51"/>
        <v>8212.4639999999999</v>
      </c>
      <c r="G73" s="165">
        <f t="shared" si="51"/>
        <v>10079.430816</v>
      </c>
      <c r="H73" s="165">
        <f t="shared" si="51"/>
        <v>11555.347471200001</v>
      </c>
      <c r="I73" s="165">
        <f>I56</f>
        <v>6965.5404599230005</v>
      </c>
      <c r="J73" s="165">
        <f>J56</f>
        <v>7383.472887518381</v>
      </c>
    </row>
    <row r="74" spans="2:20">
      <c r="C74" s="188" t="str">
        <f t="shared" ref="C74:J74" si="52">C32</f>
        <v>WACC</v>
      </c>
      <c r="D74" s="188">
        <f t="shared" si="52"/>
        <v>0.10846215444348897</v>
      </c>
      <c r="E74" s="188">
        <f t="shared" si="52"/>
        <v>0.10846914864508561</v>
      </c>
      <c r="F74" s="188">
        <f t="shared" si="52"/>
        <v>0.1084654436616982</v>
      </c>
      <c r="G74" s="188">
        <f t="shared" si="52"/>
        <v>0.10846258613117865</v>
      </c>
      <c r="H74" s="188">
        <f t="shared" si="52"/>
        <v>0.10760692535833603</v>
      </c>
      <c r="I74" s="188">
        <f t="shared" si="52"/>
        <v>0.1072</v>
      </c>
      <c r="J74" s="188">
        <f t="shared" si="52"/>
        <v>0.1072</v>
      </c>
    </row>
    <row r="75" spans="2:20">
      <c r="C75" s="199" t="s">
        <v>260</v>
      </c>
      <c r="D75" s="200">
        <f>(D73+E75)/(1+D74)</f>
        <v>117046.86419120882</v>
      </c>
      <c r="E75" s="200">
        <f>(E73+F75)/(1+E74)</f>
        <v>125342.01925224179</v>
      </c>
      <c r="F75" s="200">
        <f>(F73+G75)/(1+F74)</f>
        <v>132541.76136998838</v>
      </c>
      <c r="G75" s="200">
        <f>(G73+H75)/(1+G74)</f>
        <v>138705.4983206871</v>
      </c>
      <c r="H75" s="200">
        <f>(H73+I75)/(1+H74)</f>
        <v>143670.42456316264</v>
      </c>
      <c r="I75" s="200">
        <f>I73/(I74-I26)</f>
        <v>147575.00974413136</v>
      </c>
      <c r="J75" s="200">
        <f>J73/(J74-J26)</f>
        <v>156429.51032877923</v>
      </c>
    </row>
    <row r="77" spans="2:20">
      <c r="B77" s="199" t="s">
        <v>69</v>
      </c>
    </row>
    <row r="78" spans="2:20">
      <c r="C78" s="149" t="str">
        <f>C60</f>
        <v>FCFE</v>
      </c>
      <c r="D78" s="165">
        <f t="shared" ref="D78:I78" si="53">D60</f>
        <v>4760</v>
      </c>
      <c r="E78" s="165">
        <f t="shared" si="53"/>
        <v>6587.8799999999956</v>
      </c>
      <c r="F78" s="165">
        <f t="shared" si="53"/>
        <v>8024.4215999999997</v>
      </c>
      <c r="G78" s="165">
        <f t="shared" si="53"/>
        <v>21735.201030400007</v>
      </c>
      <c r="H78" s="165">
        <f t="shared" si="53"/>
        <v>18374.732095239746</v>
      </c>
      <c r="I78" s="165">
        <f t="shared" si="53"/>
        <v>6788.4504482300363</v>
      </c>
    </row>
    <row r="79" spans="2:20">
      <c r="C79" s="149" t="s">
        <v>199</v>
      </c>
      <c r="D79" s="188">
        <f t="shared" ref="D79:I79" si="54">(D27-D28*D46)/(1-D46)</f>
        <v>0.12723209691626652</v>
      </c>
      <c r="E79" s="188">
        <f t="shared" si="54"/>
        <v>0.1271268789257855</v>
      </c>
      <c r="F79" s="188">
        <f t="shared" si="54"/>
        <v>0.12718257416910517</v>
      </c>
      <c r="G79" s="188">
        <f t="shared" si="54"/>
        <v>0.1272255932281052</v>
      </c>
      <c r="H79" s="188">
        <f t="shared" si="54"/>
        <v>0.13077806307266338</v>
      </c>
      <c r="I79" s="188">
        <f t="shared" si="54"/>
        <v>0.13666666666666666</v>
      </c>
    </row>
    <row r="80" spans="2:20">
      <c r="C80" s="149" t="s">
        <v>200</v>
      </c>
      <c r="D80" s="165">
        <f>(D78+E80)/(1+D79)</f>
        <v>87046.864191208733</v>
      </c>
      <c r="E80" s="165">
        <f>(E78+F80)/(1+E79)</f>
        <v>93362.019252241706</v>
      </c>
      <c r="F80" s="165">
        <f>(F78+G80)/(1+F79)</f>
        <v>98642.961369988305</v>
      </c>
      <c r="G80" s="165">
        <f>(G78+H80)/(1+G79)</f>
        <v>103164.20552068701</v>
      </c>
      <c r="H80" s="165">
        <f>(H78+I80)/(1+H79)</f>
        <v>94554.131737562595</v>
      </c>
      <c r="I80" s="165">
        <f>I78/(I79-I26)</f>
        <v>88545.005846478743</v>
      </c>
    </row>
    <row r="81" spans="3:9">
      <c r="C81" s="149" t="str">
        <f>C49</f>
        <v>Debt boy</v>
      </c>
      <c r="D81" s="165">
        <f t="shared" ref="D81:I81" si="55">D49</f>
        <v>30000</v>
      </c>
      <c r="E81" s="165">
        <f t="shared" si="55"/>
        <v>31980</v>
      </c>
      <c r="F81" s="165">
        <f t="shared" si="55"/>
        <v>33898.799999999996</v>
      </c>
      <c r="G81" s="165">
        <f t="shared" si="55"/>
        <v>35541.292799999996</v>
      </c>
      <c r="H81" s="165">
        <f t="shared" si="55"/>
        <v>49116.292825600001</v>
      </c>
      <c r="I81" s="165">
        <f t="shared" si="55"/>
        <v>59030.003897652547</v>
      </c>
    </row>
    <row r="82" spans="3:9">
      <c r="C82" s="199" t="s">
        <v>197</v>
      </c>
      <c r="D82" s="200">
        <f t="shared" ref="D82:I82" si="56">SUM(D80:D81)</f>
        <v>117046.86419120873</v>
      </c>
      <c r="E82" s="200">
        <f t="shared" si="56"/>
        <v>125342.01925224171</v>
      </c>
      <c r="F82" s="200">
        <f t="shared" si="56"/>
        <v>132541.76136998829</v>
      </c>
      <c r="G82" s="200">
        <f t="shared" si="56"/>
        <v>138705.49832068701</v>
      </c>
      <c r="H82" s="200">
        <f t="shared" si="56"/>
        <v>143670.42456316261</v>
      </c>
      <c r="I82" s="200">
        <f t="shared" si="56"/>
        <v>147575.0097441313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9A0D2-8D14-41E1-B038-45C7957E213B}">
  <dimension ref="B24:L84"/>
  <sheetViews>
    <sheetView topLeftCell="A35" workbookViewId="0">
      <selection activeCell="D47" sqref="D47"/>
    </sheetView>
  </sheetViews>
  <sheetFormatPr baseColWidth="10" defaultColWidth="8.83203125" defaultRowHeight="15"/>
  <cols>
    <col min="2" max="2" width="16.33203125" customWidth="1"/>
    <col min="3" max="3" width="27.6640625" bestFit="1" customWidth="1"/>
    <col min="4" max="11" width="11.5" customWidth="1"/>
  </cols>
  <sheetData>
    <row r="24" spans="3:12" ht="16">
      <c r="C24" s="28"/>
      <c r="D24" s="29">
        <v>2022</v>
      </c>
      <c r="E24" s="30">
        <f>+D24+1</f>
        <v>2023</v>
      </c>
      <c r="F24" s="30">
        <f t="shared" ref="F24:H24" si="0">+E24+1</f>
        <v>2024</v>
      </c>
      <c r="G24" s="30">
        <f t="shared" si="0"/>
        <v>2025</v>
      </c>
      <c r="H24" s="30">
        <f t="shared" si="0"/>
        <v>2026</v>
      </c>
      <c r="I24" s="201" t="s">
        <v>179</v>
      </c>
      <c r="J24" s="201" t="s">
        <v>180</v>
      </c>
      <c r="K24" s="201" t="s">
        <v>203</v>
      </c>
      <c r="L24" s="202" t="s">
        <v>271</v>
      </c>
    </row>
    <row r="25" spans="3:12" ht="16">
      <c r="C25" s="203" t="s">
        <v>185</v>
      </c>
      <c r="D25" s="33">
        <v>0.11</v>
      </c>
      <c r="E25" s="33">
        <v>0.12</v>
      </c>
      <c r="F25" s="33">
        <v>0.13</v>
      </c>
      <c r="G25" s="33"/>
      <c r="H25" s="33"/>
      <c r="I25" s="33"/>
      <c r="K25" s="33"/>
    </row>
    <row r="26" spans="3:12" ht="16">
      <c r="C26" s="204" t="s">
        <v>186</v>
      </c>
      <c r="D26" s="33"/>
      <c r="E26" s="33"/>
      <c r="F26" s="33"/>
      <c r="G26" s="33">
        <v>0.13</v>
      </c>
      <c r="H26" s="33">
        <v>0.12</v>
      </c>
      <c r="I26" s="205">
        <f>I39</f>
        <v>0.11635</v>
      </c>
      <c r="J26" s="206">
        <f t="shared" ref="J26" si="1">J39</f>
        <v>0.11635</v>
      </c>
      <c r="K26" s="206">
        <f>K39</f>
        <v>0.11635</v>
      </c>
    </row>
    <row r="27" spans="3:12" ht="16">
      <c r="C27" s="32" t="s">
        <v>209</v>
      </c>
      <c r="D27" s="33">
        <v>0.6</v>
      </c>
      <c r="E27" s="33">
        <v>0.5</v>
      </c>
      <c r="F27" s="33">
        <v>0.4</v>
      </c>
      <c r="G27" s="33">
        <v>0.3</v>
      </c>
      <c r="H27" s="33">
        <v>0.25</v>
      </c>
      <c r="I27" s="207">
        <f>J31/J26</f>
        <v>0.42973785990545771</v>
      </c>
      <c r="J27" s="207">
        <f>K31/K26</f>
        <v>0.42973785990545771</v>
      </c>
    </row>
    <row r="28" spans="3:12" ht="18">
      <c r="C28" s="32" t="s">
        <v>181</v>
      </c>
      <c r="D28" s="33">
        <v>0.12</v>
      </c>
      <c r="E28" s="33">
        <v>0.12</v>
      </c>
      <c r="F28" s="33">
        <v>0.12</v>
      </c>
      <c r="G28" s="33">
        <v>0.12</v>
      </c>
      <c r="H28" s="33">
        <v>0.12</v>
      </c>
      <c r="I28" s="33">
        <v>0.12</v>
      </c>
      <c r="J28" s="208">
        <v>0.12</v>
      </c>
      <c r="K28" s="208">
        <v>0.12</v>
      </c>
    </row>
    <row r="29" spans="3:12" ht="18">
      <c r="C29" s="32" t="s">
        <v>184</v>
      </c>
      <c r="D29" s="33">
        <v>0.06</v>
      </c>
      <c r="E29" s="33">
        <v>7.0000000000000007E-2</v>
      </c>
      <c r="F29" s="33">
        <v>7.1999999999999995E-2</v>
      </c>
      <c r="G29" s="33">
        <v>7.2999999999999995E-2</v>
      </c>
      <c r="H29" s="33">
        <v>7.2999999999999995E-2</v>
      </c>
      <c r="I29" s="33">
        <v>7.2999999999999995E-2</v>
      </c>
      <c r="J29" s="208">
        <v>7.2999999999999995E-2</v>
      </c>
      <c r="K29" s="208">
        <v>7.2999999999999995E-2</v>
      </c>
    </row>
    <row r="30" spans="3:12" ht="16">
      <c r="C30" s="32" t="s">
        <v>77</v>
      </c>
      <c r="D30" s="33">
        <v>0.1</v>
      </c>
      <c r="E30" s="33">
        <v>0.1</v>
      </c>
      <c r="F30" s="33">
        <v>0.1</v>
      </c>
      <c r="G30" s="33">
        <v>0.1</v>
      </c>
      <c r="H30" s="33">
        <v>0.1</v>
      </c>
      <c r="I30" s="33">
        <v>0.1</v>
      </c>
      <c r="J30" s="208">
        <v>0.1</v>
      </c>
      <c r="K30" s="208">
        <v>0.1</v>
      </c>
    </row>
    <row r="31" spans="3:12" ht="16">
      <c r="C31" s="32" t="s">
        <v>213</v>
      </c>
      <c r="D31" s="28"/>
      <c r="E31" s="28"/>
      <c r="F31" s="28"/>
      <c r="G31" s="33"/>
      <c r="H31" s="33"/>
      <c r="I31" s="33"/>
      <c r="J31" s="209">
        <v>0.05</v>
      </c>
      <c r="K31" s="209">
        <v>0.05</v>
      </c>
      <c r="L31" s="210" t="s">
        <v>272</v>
      </c>
    </row>
    <row r="32" spans="3:12" ht="16">
      <c r="C32" s="32"/>
      <c r="D32" s="28"/>
      <c r="E32" s="28"/>
      <c r="F32" s="28"/>
      <c r="G32" s="28"/>
      <c r="H32" s="28"/>
      <c r="I32" s="34"/>
      <c r="J32" s="211"/>
      <c r="K32" s="212"/>
    </row>
    <row r="33" spans="2:11" ht="16">
      <c r="C33" s="32"/>
      <c r="D33" s="31">
        <f>+D24</f>
        <v>2022</v>
      </c>
      <c r="E33" s="31">
        <f t="shared" ref="E33:H33" si="2">+E24</f>
        <v>2023</v>
      </c>
      <c r="F33" s="31">
        <f t="shared" si="2"/>
        <v>2024</v>
      </c>
      <c r="G33" s="31">
        <f t="shared" si="2"/>
        <v>2025</v>
      </c>
      <c r="H33" s="31">
        <f t="shared" si="2"/>
        <v>2026</v>
      </c>
      <c r="I33" s="31"/>
      <c r="J33" s="212"/>
      <c r="K33" s="212"/>
    </row>
    <row r="34" spans="2:11" ht="16">
      <c r="C34" s="32" t="s">
        <v>182</v>
      </c>
      <c r="D34" s="213">
        <f>D42/D78</f>
        <v>9.0777197240058963E-2</v>
      </c>
      <c r="E34" s="213">
        <f t="shared" ref="E34:H34" si="3">E42/E78</f>
        <v>0.17928169292637836</v>
      </c>
      <c r="F34" s="213">
        <f t="shared" si="3"/>
        <v>0.26766991482486308</v>
      </c>
      <c r="G34" s="213">
        <f t="shared" si="3"/>
        <v>0.3580918748735607</v>
      </c>
      <c r="H34" s="213">
        <f t="shared" si="3"/>
        <v>0.44894568115343464</v>
      </c>
      <c r="I34" s="33">
        <v>0.5</v>
      </c>
      <c r="J34" s="208">
        <v>0.5</v>
      </c>
      <c r="K34" s="208">
        <v>0.5</v>
      </c>
    </row>
    <row r="35" spans="2:11" ht="16">
      <c r="C35" s="32" t="s">
        <v>183</v>
      </c>
      <c r="D35" s="33">
        <v>0.1</v>
      </c>
      <c r="E35" s="33">
        <v>0.2</v>
      </c>
      <c r="F35" s="33">
        <v>0.3</v>
      </c>
      <c r="G35" s="33">
        <v>0.4</v>
      </c>
      <c r="H35" s="33">
        <v>0.5</v>
      </c>
      <c r="I35" s="33"/>
    </row>
    <row r="36" spans="2:11" ht="16">
      <c r="C36" s="28" t="s">
        <v>188</v>
      </c>
      <c r="D36" s="36">
        <v>10000</v>
      </c>
      <c r="E36" s="36"/>
      <c r="F36" s="36"/>
      <c r="G36" s="36"/>
      <c r="H36" s="36"/>
      <c r="I36" s="36"/>
    </row>
    <row r="37" spans="2:11" ht="16">
      <c r="C37" s="32"/>
      <c r="D37" s="17"/>
      <c r="E37" s="17"/>
      <c r="F37" s="17"/>
      <c r="G37" s="17"/>
      <c r="H37" s="17"/>
      <c r="I37" s="17"/>
    </row>
    <row r="38" spans="2:11" ht="16">
      <c r="C38" s="32"/>
      <c r="D38" s="17"/>
      <c r="E38" s="17"/>
      <c r="F38" s="17"/>
      <c r="G38" s="17"/>
      <c r="H38" s="17"/>
      <c r="I38" s="17"/>
    </row>
    <row r="39" spans="2:11" ht="16">
      <c r="B39" s="214"/>
      <c r="C39" t="s">
        <v>273</v>
      </c>
      <c r="D39" s="215">
        <f>D28-D34*D29*D30</f>
        <v>0.11945533681655965</v>
      </c>
      <c r="E39" s="215">
        <f t="shared" ref="E39:J39" si="4">E28-E34*E29*E30</f>
        <v>0.11874502814951535</v>
      </c>
      <c r="F39" s="215">
        <f t="shared" si="4"/>
        <v>0.11807277661326099</v>
      </c>
      <c r="G39" s="215">
        <f t="shared" si="4"/>
        <v>0.117385929313423</v>
      </c>
      <c r="H39" s="215">
        <f t="shared" si="4"/>
        <v>0.11672269652757992</v>
      </c>
      <c r="I39" s="216">
        <f>I28-I34*I29*I30</f>
        <v>0.11635</v>
      </c>
      <c r="J39" s="216">
        <f t="shared" si="4"/>
        <v>0.11635</v>
      </c>
      <c r="K39" s="216">
        <f>K28-K34*K29*K30</f>
        <v>0.11635</v>
      </c>
    </row>
    <row r="41" spans="2:11">
      <c r="B41" s="621" t="s">
        <v>217</v>
      </c>
      <c r="C41" t="s">
        <v>188</v>
      </c>
      <c r="D41" s="218">
        <f>D36</f>
        <v>10000</v>
      </c>
      <c r="E41" s="219">
        <f>D41+D59</f>
        <v>10660</v>
      </c>
      <c r="F41" s="219">
        <f>E41+E59</f>
        <v>11299.6</v>
      </c>
      <c r="G41" s="219">
        <f>F41+F59</f>
        <v>11887.1792</v>
      </c>
      <c r="H41" s="219">
        <f>G41+G59</f>
        <v>12350.779188800001</v>
      </c>
      <c r="I41" s="219">
        <f>H41+H59</f>
        <v>12751.020512464002</v>
      </c>
      <c r="J41" s="219">
        <f t="shared" ref="J41" si="5">I41+I59</f>
        <v>13459.027978155582</v>
      </c>
    </row>
    <row r="42" spans="2:11" ht="16">
      <c r="B42" s="621"/>
      <c r="C42" t="s">
        <v>192</v>
      </c>
      <c r="D42" s="218">
        <f>D41*D35</f>
        <v>1000</v>
      </c>
      <c r="E42" s="218">
        <f>E41*E35</f>
        <v>2132</v>
      </c>
      <c r="F42" s="218">
        <f t="shared" ref="F42:G42" si="6">F41*F35</f>
        <v>3389.88</v>
      </c>
      <c r="G42" s="218">
        <f t="shared" si="6"/>
        <v>4754.8716800000002</v>
      </c>
      <c r="H42" s="218">
        <f>H41*H35</f>
        <v>6175.3895944000005</v>
      </c>
      <c r="I42" s="220">
        <f>I74*I34</f>
        <v>7080.0746569157991</v>
      </c>
      <c r="J42" s="220">
        <f>J74*J34</f>
        <v>7434.0783897615893</v>
      </c>
      <c r="K42" s="145" t="s">
        <v>274</v>
      </c>
    </row>
    <row r="43" spans="2:11">
      <c r="B43" s="621"/>
      <c r="C43" t="s">
        <v>275</v>
      </c>
      <c r="D43" s="218">
        <f>D41-D42</f>
        <v>9000</v>
      </c>
      <c r="E43" s="218">
        <f t="shared" ref="E43:J43" si="7">E41-E42</f>
        <v>8528</v>
      </c>
      <c r="F43" s="218">
        <f t="shared" si="7"/>
        <v>7909.72</v>
      </c>
      <c r="G43" s="218">
        <f t="shared" si="7"/>
        <v>7132.3075200000003</v>
      </c>
      <c r="H43" s="218">
        <f t="shared" si="7"/>
        <v>6175.3895944000005</v>
      </c>
      <c r="I43" s="218">
        <f t="shared" si="7"/>
        <v>5670.9458555482024</v>
      </c>
      <c r="J43" s="218">
        <f t="shared" si="7"/>
        <v>6024.9495883939926</v>
      </c>
    </row>
    <row r="45" spans="2:11" ht="16">
      <c r="B45" s="621" t="s">
        <v>276</v>
      </c>
      <c r="C45" t="s">
        <v>277</v>
      </c>
      <c r="D45" s="218">
        <f>D58/(1-D30)</f>
        <v>1222.2222222222222</v>
      </c>
      <c r="E45" s="218">
        <f t="shared" ref="E45:J45" si="8">E58/(1-E30)</f>
        <v>1421.3333333333333</v>
      </c>
      <c r="F45" s="218">
        <f t="shared" si="8"/>
        <v>1632.1644444444446</v>
      </c>
      <c r="G45" s="218">
        <f t="shared" si="8"/>
        <v>1717.0369955555554</v>
      </c>
      <c r="H45" s="218">
        <f t="shared" si="8"/>
        <v>1778.8503273955555</v>
      </c>
      <c r="I45" s="218">
        <f t="shared" si="8"/>
        <v>1830.5926362936736</v>
      </c>
      <c r="J45" s="218">
        <f t="shared" si="8"/>
        <v>1922.1222681083575</v>
      </c>
      <c r="K45" t="s">
        <v>278</v>
      </c>
    </row>
    <row r="46" spans="2:11">
      <c r="B46" s="621"/>
      <c r="C46" t="s">
        <v>279</v>
      </c>
      <c r="D46" s="74">
        <f>D42*D29</f>
        <v>60</v>
      </c>
      <c r="E46" s="74">
        <f t="shared" ref="E46:J46" si="9">E42*E29</f>
        <v>149.24</v>
      </c>
      <c r="F46" s="74">
        <f t="shared" si="9"/>
        <v>244.07136</v>
      </c>
      <c r="G46" s="74">
        <f t="shared" si="9"/>
        <v>347.10563264000001</v>
      </c>
      <c r="H46" s="74">
        <f t="shared" si="9"/>
        <v>450.80344039120001</v>
      </c>
      <c r="I46" s="74">
        <f t="shared" si="9"/>
        <v>516.84544995485328</v>
      </c>
      <c r="J46" s="74">
        <f t="shared" si="9"/>
        <v>542.68772245259595</v>
      </c>
    </row>
    <row r="47" spans="2:11">
      <c r="B47" s="621"/>
      <c r="C47" t="s">
        <v>31</v>
      </c>
      <c r="D47" s="218">
        <f>D45-D46</f>
        <v>1162.2222222222222</v>
      </c>
      <c r="E47" s="218">
        <f t="shared" ref="E47:J47" si="10">E45-E46</f>
        <v>1272.0933333333332</v>
      </c>
      <c r="F47" s="218">
        <f t="shared" si="10"/>
        <v>1388.0930844444447</v>
      </c>
      <c r="G47" s="218">
        <f t="shared" si="10"/>
        <v>1369.9313629155554</v>
      </c>
      <c r="H47" s="218">
        <f t="shared" si="10"/>
        <v>1328.0468870043555</v>
      </c>
      <c r="I47" s="218">
        <f t="shared" si="10"/>
        <v>1313.7471863388205</v>
      </c>
      <c r="J47" s="218">
        <f t="shared" si="10"/>
        <v>1379.4345456557617</v>
      </c>
    </row>
    <row r="48" spans="2:11">
      <c r="B48" s="621"/>
      <c r="C48" t="s">
        <v>32</v>
      </c>
      <c r="D48" s="221">
        <f>+IF(D47&lt;0,0,D47*D30)</f>
        <v>116.22222222222223</v>
      </c>
      <c r="E48" s="221">
        <f t="shared" ref="E48:J48" si="11">+IF(E47&lt;0,0,E47*E30)</f>
        <v>127.20933333333333</v>
      </c>
      <c r="F48" s="221">
        <f t="shared" si="11"/>
        <v>138.80930844444447</v>
      </c>
      <c r="G48" s="221">
        <f t="shared" si="11"/>
        <v>136.99313629155554</v>
      </c>
      <c r="H48" s="221">
        <f t="shared" si="11"/>
        <v>132.80468870043555</v>
      </c>
      <c r="I48" s="221">
        <f t="shared" si="11"/>
        <v>131.37471863388205</v>
      </c>
      <c r="J48" s="221">
        <f t="shared" si="11"/>
        <v>137.94345456557616</v>
      </c>
    </row>
    <row r="49" spans="2:11">
      <c r="B49" s="621"/>
      <c r="C49" t="s">
        <v>33</v>
      </c>
      <c r="D49" s="218">
        <f>D47-D48</f>
        <v>1046</v>
      </c>
      <c r="E49" s="218">
        <f t="shared" ref="E49:J49" si="12">E47-E48</f>
        <v>1144.884</v>
      </c>
      <c r="F49" s="218">
        <f t="shared" si="12"/>
        <v>1249.2837760000002</v>
      </c>
      <c r="G49" s="218">
        <f t="shared" si="12"/>
        <v>1232.9382266239998</v>
      </c>
      <c r="H49" s="218">
        <f t="shared" si="12"/>
        <v>1195.2421983039201</v>
      </c>
      <c r="I49" s="218">
        <f t="shared" si="12"/>
        <v>1182.3724677049383</v>
      </c>
      <c r="J49" s="218">
        <f t="shared" si="12"/>
        <v>1241.4910910901856</v>
      </c>
    </row>
    <row r="50" spans="2:11">
      <c r="B50" s="621"/>
      <c r="C50" t="s">
        <v>34</v>
      </c>
      <c r="D50" s="221">
        <f>+D49-D51</f>
        <v>1046</v>
      </c>
      <c r="E50" s="221">
        <f t="shared" ref="E50:J50" si="13">+E49-E51</f>
        <v>1144.884</v>
      </c>
      <c r="F50" s="221">
        <f t="shared" si="13"/>
        <v>1249.2837760000002</v>
      </c>
      <c r="G50" s="221">
        <f t="shared" si="13"/>
        <v>1232.9382266239998</v>
      </c>
      <c r="H50" s="221">
        <f t="shared" si="13"/>
        <v>1195.2421983039201</v>
      </c>
      <c r="I50" s="221">
        <f t="shared" si="13"/>
        <v>828.36873485914816</v>
      </c>
      <c r="J50" s="221">
        <f t="shared" si="13"/>
        <v>1241.4910910901856</v>
      </c>
    </row>
    <row r="51" spans="2:11">
      <c r="B51" s="621"/>
      <c r="C51" t="s">
        <v>35</v>
      </c>
      <c r="D51" s="221">
        <f>+IF(D49&lt;0,D49,MAX(0,MIN(D49,D53)))</f>
        <v>0</v>
      </c>
      <c r="E51" s="221">
        <f t="shared" ref="E51:J51" si="14">+IF(E49&lt;0,E49,MAX(0,MIN(E49,E53)))</f>
        <v>0</v>
      </c>
      <c r="F51" s="221">
        <f t="shared" si="14"/>
        <v>0</v>
      </c>
      <c r="G51" s="221">
        <f t="shared" si="14"/>
        <v>0</v>
      </c>
      <c r="H51" s="221">
        <f t="shared" si="14"/>
        <v>0</v>
      </c>
      <c r="I51" s="221">
        <f t="shared" si="14"/>
        <v>354.00373284579018</v>
      </c>
      <c r="J51" s="221">
        <f t="shared" si="14"/>
        <v>0</v>
      </c>
    </row>
    <row r="52" spans="2:11">
      <c r="B52" s="621"/>
      <c r="D52" s="221"/>
      <c r="E52" s="221"/>
      <c r="F52" s="221"/>
      <c r="G52" s="221"/>
      <c r="H52" s="221"/>
      <c r="I52" s="221"/>
      <c r="J52" s="221"/>
    </row>
    <row r="53" spans="2:11">
      <c r="C53" t="s">
        <v>249</v>
      </c>
      <c r="D53" s="221">
        <f>+E43-D43</f>
        <v>-472</v>
      </c>
      <c r="E53" s="221">
        <f t="shared" ref="E53:J53" si="15">+F43-E43</f>
        <v>-618.27999999999975</v>
      </c>
      <c r="F53" s="221">
        <f t="shared" si="15"/>
        <v>-777.41247999999996</v>
      </c>
      <c r="G53" s="221">
        <f t="shared" si="15"/>
        <v>-956.91792559999976</v>
      </c>
      <c r="H53" s="221">
        <f t="shared" si="15"/>
        <v>-504.44373885179812</v>
      </c>
      <c r="I53" s="221">
        <f t="shared" si="15"/>
        <v>354.00373284579018</v>
      </c>
      <c r="J53" s="221">
        <f t="shared" si="15"/>
        <v>-6024.9495883939926</v>
      </c>
    </row>
    <row r="54" spans="2:11">
      <c r="C54" t="s">
        <v>250</v>
      </c>
      <c r="D54" s="221">
        <f>+D53-D51</f>
        <v>-472</v>
      </c>
      <c r="E54" s="221">
        <f t="shared" ref="E54:J54" si="16">+E53-E51</f>
        <v>-618.27999999999975</v>
      </c>
      <c r="F54" s="221">
        <f t="shared" si="16"/>
        <v>-777.41247999999996</v>
      </c>
      <c r="G54" s="221">
        <f t="shared" si="16"/>
        <v>-956.91792559999976</v>
      </c>
      <c r="H54" s="221">
        <f t="shared" si="16"/>
        <v>-504.44373885179812</v>
      </c>
      <c r="I54" s="221">
        <f t="shared" si="16"/>
        <v>0</v>
      </c>
      <c r="J54" s="221">
        <f t="shared" si="16"/>
        <v>-6024.9495883939926</v>
      </c>
    </row>
    <row r="55" spans="2:11">
      <c r="C55" t="s">
        <v>251</v>
      </c>
      <c r="D55" s="222">
        <f>D50/D49</f>
        <v>1</v>
      </c>
      <c r="E55" s="222">
        <f t="shared" ref="E55:J55" si="17">E50/E49</f>
        <v>1</v>
      </c>
      <c r="F55" s="222">
        <f t="shared" si="17"/>
        <v>1</v>
      </c>
      <c r="G55" s="222">
        <f t="shared" si="17"/>
        <v>1</v>
      </c>
      <c r="H55" s="222">
        <f t="shared" si="17"/>
        <v>1</v>
      </c>
      <c r="I55" s="222">
        <f t="shared" si="17"/>
        <v>0.70059880239520933</v>
      </c>
      <c r="J55" s="222">
        <f t="shared" si="17"/>
        <v>1</v>
      </c>
    </row>
    <row r="56" spans="2:11" ht="16">
      <c r="C56" s="223" t="s">
        <v>252</v>
      </c>
      <c r="D56" s="224">
        <f>+D48/D47</f>
        <v>0.1</v>
      </c>
      <c r="E56" s="224">
        <f t="shared" ref="E56:J56" si="18">+E48/E47</f>
        <v>0.1</v>
      </c>
      <c r="F56" s="224">
        <f t="shared" si="18"/>
        <v>0.1</v>
      </c>
      <c r="G56" s="224">
        <f t="shared" si="18"/>
        <v>0.1</v>
      </c>
      <c r="H56" s="224">
        <f t="shared" si="18"/>
        <v>9.9999999999999992E-2</v>
      </c>
      <c r="I56" s="224">
        <f t="shared" si="18"/>
        <v>0.1</v>
      </c>
      <c r="J56" s="224">
        <f t="shared" si="18"/>
        <v>9.9999999999999992E-2</v>
      </c>
      <c r="K56" t="s">
        <v>280</v>
      </c>
    </row>
    <row r="57" spans="2:11">
      <c r="J57" s="74"/>
    </row>
    <row r="58" spans="2:11">
      <c r="B58" s="620" t="s">
        <v>281</v>
      </c>
      <c r="C58" t="s">
        <v>166</v>
      </c>
      <c r="D58" s="226">
        <f>D41*D25</f>
        <v>1100</v>
      </c>
      <c r="E58" s="226">
        <f t="shared" ref="E58" si="19">E41*E25</f>
        <v>1279.2</v>
      </c>
      <c r="F58" s="226">
        <f>F41*F25</f>
        <v>1468.9480000000001</v>
      </c>
      <c r="G58" s="227">
        <f>F59*G26+F58</f>
        <v>1545.333296</v>
      </c>
      <c r="H58" s="227">
        <f>G59*H26+G58</f>
        <v>1600.965294656</v>
      </c>
      <c r="I58" s="228">
        <f>H59*I26+H58</f>
        <v>1647.5333726643064</v>
      </c>
      <c r="J58" s="228">
        <f t="shared" ref="J58" si="20">I59*J26+I58</f>
        <v>1729.9100412975217</v>
      </c>
      <c r="K58" t="s">
        <v>282</v>
      </c>
    </row>
    <row r="59" spans="2:11" ht="16">
      <c r="B59" s="620"/>
      <c r="C59" s="229" t="s">
        <v>283</v>
      </c>
      <c r="D59" s="230">
        <f>D58*D27</f>
        <v>660</v>
      </c>
      <c r="E59" s="230">
        <f t="shared" ref="E59:G59" si="21">E58*E27</f>
        <v>639.6</v>
      </c>
      <c r="F59" s="230">
        <f>F58*F27</f>
        <v>587.57920000000001</v>
      </c>
      <c r="G59" s="230">
        <f t="shared" si="21"/>
        <v>463.59998880000001</v>
      </c>
      <c r="H59" s="230">
        <f>H58*H27</f>
        <v>400.24132366399999</v>
      </c>
      <c r="I59" s="230">
        <f>I58*I27</f>
        <v>708.00746569157991</v>
      </c>
      <c r="J59" s="230">
        <f t="shared" ref="J59" si="22">J58*J27</f>
        <v>743.40783897615893</v>
      </c>
    </row>
    <row r="60" spans="2:11">
      <c r="B60" s="620"/>
      <c r="C60" s="231" t="s">
        <v>65</v>
      </c>
      <c r="D60" s="232">
        <f>D58-D59</f>
        <v>440</v>
      </c>
      <c r="E60" s="233">
        <f t="shared" ref="E60:J60" si="23">E58-E59</f>
        <v>639.6</v>
      </c>
      <c r="F60" s="233">
        <f t="shared" si="23"/>
        <v>881.36880000000008</v>
      </c>
      <c r="G60" s="233">
        <f t="shared" si="23"/>
        <v>1081.7333072000001</v>
      </c>
      <c r="H60" s="233">
        <f t="shared" si="23"/>
        <v>1200.723970992</v>
      </c>
      <c r="I60" s="233">
        <f t="shared" si="23"/>
        <v>939.52590697272649</v>
      </c>
      <c r="J60" s="233">
        <f t="shared" si="23"/>
        <v>986.5022023213628</v>
      </c>
    </row>
    <row r="61" spans="2:11" ht="16">
      <c r="B61" s="620"/>
      <c r="C61" s="145" t="s">
        <v>279</v>
      </c>
      <c r="D61" s="74">
        <f>D46</f>
        <v>60</v>
      </c>
      <c r="E61" s="74">
        <f t="shared" ref="E61:J61" si="24">E46</f>
        <v>149.24</v>
      </c>
      <c r="F61" s="74">
        <f t="shared" si="24"/>
        <v>244.07136</v>
      </c>
      <c r="G61" s="74">
        <f t="shared" si="24"/>
        <v>347.10563264000001</v>
      </c>
      <c r="H61" s="74">
        <f t="shared" si="24"/>
        <v>450.80344039120001</v>
      </c>
      <c r="I61" s="74">
        <f t="shared" si="24"/>
        <v>516.84544995485328</v>
      </c>
      <c r="J61" s="74">
        <f t="shared" si="24"/>
        <v>542.68772245259595</v>
      </c>
    </row>
    <row r="62" spans="2:11" ht="16">
      <c r="B62" s="620"/>
      <c r="C62" s="73" t="s">
        <v>158</v>
      </c>
      <c r="D62" s="17">
        <f>D61*D56</f>
        <v>6</v>
      </c>
      <c r="E62" s="17">
        <f t="shared" ref="E62:H62" si="25">E61*E56</f>
        <v>14.924000000000001</v>
      </c>
      <c r="F62" s="17">
        <f t="shared" si="25"/>
        <v>24.407136000000001</v>
      </c>
      <c r="G62" s="17">
        <f t="shared" si="25"/>
        <v>34.710563264000001</v>
      </c>
      <c r="H62" s="17">
        <f t="shared" si="25"/>
        <v>45.08034403912</v>
      </c>
      <c r="I62" s="17">
        <f>I61*I56</f>
        <v>51.684544995485332</v>
      </c>
      <c r="J62" s="17">
        <f>J61*J56</f>
        <v>54.268772245259591</v>
      </c>
    </row>
    <row r="63" spans="2:11" ht="16">
      <c r="B63" s="620"/>
      <c r="C63" s="234" t="s">
        <v>254</v>
      </c>
      <c r="D63" s="235">
        <f>E42-D42</f>
        <v>1132</v>
      </c>
      <c r="E63" s="235">
        <f t="shared" ref="E63:I63" si="26">F42-E42</f>
        <v>1257.8800000000001</v>
      </c>
      <c r="F63" s="235">
        <f t="shared" si="26"/>
        <v>1364.9916800000001</v>
      </c>
      <c r="G63" s="235">
        <f t="shared" si="26"/>
        <v>1420.5179144000003</v>
      </c>
      <c r="H63" s="235">
        <f t="shared" si="26"/>
        <v>904.68506251579856</v>
      </c>
      <c r="I63" s="235">
        <f t="shared" si="26"/>
        <v>354.00373284579018</v>
      </c>
    </row>
    <row r="64" spans="2:11">
      <c r="B64" s="620"/>
      <c r="C64" s="231" t="s">
        <v>69</v>
      </c>
      <c r="D64" s="232">
        <f>D60-D61+D62+D63</f>
        <v>1518</v>
      </c>
      <c r="E64" s="232">
        <f t="shared" ref="E64:I64" si="27">E60-E61+E62+E63</f>
        <v>1763.1640000000002</v>
      </c>
      <c r="F64" s="232">
        <f t="shared" si="27"/>
        <v>2026.6962560000002</v>
      </c>
      <c r="G64" s="232">
        <f t="shared" si="27"/>
        <v>2189.8561522240007</v>
      </c>
      <c r="H64" s="232">
        <f t="shared" si="27"/>
        <v>1699.6859371557184</v>
      </c>
      <c r="I64" s="232">
        <f t="shared" si="27"/>
        <v>828.36873485914873</v>
      </c>
    </row>
    <row r="65" spans="2:11" ht="16">
      <c r="B65" s="620"/>
      <c r="C65" s="145" t="s">
        <v>34</v>
      </c>
      <c r="D65" s="17">
        <f>-D50</f>
        <v>-1046</v>
      </c>
      <c r="E65" s="17">
        <f t="shared" ref="E65:I65" si="28">-E50</f>
        <v>-1144.884</v>
      </c>
      <c r="F65" s="17">
        <f t="shared" si="28"/>
        <v>-1249.2837760000002</v>
      </c>
      <c r="G65" s="17">
        <f t="shared" si="28"/>
        <v>-1232.9382266239998</v>
      </c>
      <c r="H65" s="17">
        <f t="shared" si="28"/>
        <v>-1195.2421983039201</v>
      </c>
      <c r="I65" s="17">
        <f t="shared" si="28"/>
        <v>-828.36873485914816</v>
      </c>
    </row>
    <row r="66" spans="2:11" ht="16">
      <c r="B66" s="620"/>
      <c r="C66" s="234" t="s">
        <v>284</v>
      </c>
      <c r="D66" s="235">
        <f>E43-D43-D51</f>
        <v>-472</v>
      </c>
      <c r="E66" s="235">
        <f t="shared" ref="E66:I66" si="29">F43-E43-E51</f>
        <v>-618.27999999999975</v>
      </c>
      <c r="F66" s="235">
        <f t="shared" si="29"/>
        <v>-777.41247999999996</v>
      </c>
      <c r="G66" s="235">
        <f t="shared" si="29"/>
        <v>-956.91792559999976</v>
      </c>
      <c r="H66" s="235">
        <f t="shared" si="29"/>
        <v>-504.44373885179812</v>
      </c>
      <c r="I66" s="235">
        <f t="shared" si="29"/>
        <v>0</v>
      </c>
    </row>
    <row r="67" spans="2:11">
      <c r="B67" s="620"/>
      <c r="C67" t="s">
        <v>285</v>
      </c>
      <c r="D67" s="17">
        <f>SUM(D64:D66)</f>
        <v>0</v>
      </c>
      <c r="E67" s="17">
        <f t="shared" ref="E67:I67" si="30">SUM(E64:E66)</f>
        <v>0</v>
      </c>
      <c r="F67" s="17">
        <f t="shared" si="30"/>
        <v>0</v>
      </c>
      <c r="G67" s="17">
        <f t="shared" si="30"/>
        <v>1.1368683772161603E-12</v>
      </c>
      <c r="H67" s="17">
        <f t="shared" si="30"/>
        <v>0</v>
      </c>
      <c r="I67" s="17">
        <f t="shared" si="30"/>
        <v>5.6843418860808015E-13</v>
      </c>
    </row>
    <row r="68" spans="2:11" ht="16">
      <c r="B68" s="236"/>
    </row>
    <row r="72" spans="2:11">
      <c r="B72" s="621" t="s">
        <v>65</v>
      </c>
      <c r="C72" t="s">
        <v>65</v>
      </c>
      <c r="D72" s="17">
        <f>D60</f>
        <v>440</v>
      </c>
      <c r="E72" s="17">
        <f t="shared" ref="E72:J72" si="31">E60</f>
        <v>639.6</v>
      </c>
      <c r="F72" s="17">
        <f t="shared" si="31"/>
        <v>881.36880000000008</v>
      </c>
      <c r="G72" s="17">
        <f t="shared" si="31"/>
        <v>1081.7333072000001</v>
      </c>
      <c r="H72" s="17">
        <f t="shared" si="31"/>
        <v>1200.723970992</v>
      </c>
      <c r="I72" s="17">
        <f t="shared" si="31"/>
        <v>939.52590697272649</v>
      </c>
      <c r="J72" s="17">
        <f t="shared" si="31"/>
        <v>986.5022023213628</v>
      </c>
    </row>
    <row r="73" spans="2:11">
      <c r="B73" s="621"/>
      <c r="C73" t="s">
        <v>190</v>
      </c>
      <c r="D73" s="35">
        <f>D39</f>
        <v>0.11945533681655965</v>
      </c>
      <c r="E73" s="35">
        <f t="shared" ref="E73:H73" si="32">E39</f>
        <v>0.11874502814951535</v>
      </c>
      <c r="F73" s="35">
        <f t="shared" si="32"/>
        <v>0.11807277661326099</v>
      </c>
      <c r="G73" s="35">
        <f t="shared" si="32"/>
        <v>0.117385929313423</v>
      </c>
      <c r="H73" s="35">
        <f t="shared" si="32"/>
        <v>0.11672269652757992</v>
      </c>
      <c r="I73" s="35">
        <f>I39</f>
        <v>0.11635</v>
      </c>
      <c r="J73" s="35">
        <f>J39</f>
        <v>0.11635</v>
      </c>
    </row>
    <row r="74" spans="2:11" ht="16">
      <c r="B74" s="621"/>
      <c r="C74" s="75" t="s">
        <v>197</v>
      </c>
      <c r="D74" s="237">
        <f t="shared" ref="D74:G74" si="33">(D72+E74)/(1+D73)</f>
        <v>11015.982321590249</v>
      </c>
      <c r="E74" s="237">
        <f t="shared" si="33"/>
        <v>11891.900200181079</v>
      </c>
      <c r="F74" s="237">
        <f t="shared" si="33"/>
        <v>12664.404224202806</v>
      </c>
      <c r="G74" s="237">
        <f t="shared" si="33"/>
        <v>13278.356795107144</v>
      </c>
      <c r="H74" s="237">
        <f>(H72+I74)/(1+H73)</f>
        <v>13755.315740055999</v>
      </c>
      <c r="I74" s="238">
        <f>I72/(I73-J31)</f>
        <v>14160.149313831598</v>
      </c>
      <c r="J74" s="238">
        <f>J72/(J73-K31)</f>
        <v>14868.156779523179</v>
      </c>
      <c r="K74" s="145" t="s">
        <v>286</v>
      </c>
    </row>
    <row r="75" spans="2:11" ht="16">
      <c r="B75" s="239">
        <f>D74-D78</f>
        <v>0</v>
      </c>
    </row>
    <row r="76" spans="2:11">
      <c r="B76" s="620" t="s">
        <v>270</v>
      </c>
      <c r="C76" t="s">
        <v>198</v>
      </c>
      <c r="D76" s="17">
        <f>D60+D62</f>
        <v>446</v>
      </c>
      <c r="E76" s="17">
        <f t="shared" ref="E76:G76" si="34">E60+E62</f>
        <v>654.524</v>
      </c>
      <c r="F76" s="17">
        <f t="shared" si="34"/>
        <v>905.77593600000012</v>
      </c>
      <c r="G76" s="17">
        <f t="shared" si="34"/>
        <v>1116.4438704640002</v>
      </c>
      <c r="H76" s="17">
        <f>H60+H62</f>
        <v>1245.80431503112</v>
      </c>
      <c r="I76" s="17">
        <f>I60+I62</f>
        <v>991.21045196821183</v>
      </c>
      <c r="J76" s="17">
        <f>J60+J62</f>
        <v>1040.7709745666225</v>
      </c>
    </row>
    <row r="77" spans="2:11">
      <c r="B77" s="620"/>
      <c r="C77" t="s">
        <v>259</v>
      </c>
      <c r="D77" s="35">
        <f>D28</f>
        <v>0.12</v>
      </c>
      <c r="E77" s="35">
        <f t="shared" ref="E77:J77" si="35">E28</f>
        <v>0.12</v>
      </c>
      <c r="F77" s="35">
        <f t="shared" si="35"/>
        <v>0.12</v>
      </c>
      <c r="G77" s="35">
        <f t="shared" si="35"/>
        <v>0.12</v>
      </c>
      <c r="H77" s="35">
        <f t="shared" si="35"/>
        <v>0.12</v>
      </c>
      <c r="I77" s="35">
        <f t="shared" si="35"/>
        <v>0.12</v>
      </c>
      <c r="J77" s="35">
        <f t="shared" si="35"/>
        <v>0.12</v>
      </c>
    </row>
    <row r="78" spans="2:11" ht="16">
      <c r="B78" s="620"/>
      <c r="C78" s="240" t="s">
        <v>197</v>
      </c>
      <c r="D78" s="241">
        <f t="shared" ref="D78:G78" si="36">(D76+E78)/(1+D77)</f>
        <v>11015.982321590242</v>
      </c>
      <c r="E78" s="241">
        <f t="shared" si="36"/>
        <v>11891.900200181071</v>
      </c>
      <c r="F78" s="241">
        <f t="shared" si="36"/>
        <v>12664.404224202803</v>
      </c>
      <c r="G78" s="241">
        <f t="shared" si="36"/>
        <v>13278.35679510714</v>
      </c>
      <c r="H78" s="241">
        <f>(H76+I78)/(1+H77)</f>
        <v>13755.315740055998</v>
      </c>
      <c r="I78" s="242">
        <f>I76/(I77-J31)</f>
        <v>14160.149313831598</v>
      </c>
      <c r="J78" s="242">
        <f>J76/(J77-K31)</f>
        <v>14868.15677952318</v>
      </c>
      <c r="K78" s="144" t="s">
        <v>287</v>
      </c>
    </row>
    <row r="79" spans="2:11" ht="16">
      <c r="B79" s="243">
        <f>D78-D84</f>
        <v>0</v>
      </c>
    </row>
    <row r="80" spans="2:11">
      <c r="B80" s="620" t="s">
        <v>69</v>
      </c>
      <c r="C80" t="s">
        <v>69</v>
      </c>
      <c r="D80" s="17">
        <f>D64</f>
        <v>1518</v>
      </c>
      <c r="E80" s="17">
        <f t="shared" ref="E80:I80" si="37">E64</f>
        <v>1763.1640000000002</v>
      </c>
      <c r="F80" s="17">
        <f t="shared" si="37"/>
        <v>2026.6962560000002</v>
      </c>
      <c r="G80" s="17">
        <f t="shared" si="37"/>
        <v>2189.8561522240007</v>
      </c>
      <c r="H80" s="17">
        <f t="shared" si="37"/>
        <v>1699.6859371557184</v>
      </c>
      <c r="I80" s="17">
        <f t="shared" si="37"/>
        <v>828.36873485914873</v>
      </c>
    </row>
    <row r="81" spans="2:10" ht="16">
      <c r="B81" s="620"/>
      <c r="C81" t="s">
        <v>288</v>
      </c>
      <c r="D81" s="12">
        <f>(D28-D34*D29)/(1-D34)</f>
        <v>0.12599042590866652</v>
      </c>
      <c r="E81" s="12">
        <f t="shared" ref="E81:I81" si="38">(E28-E34*E29)/(1-E34)</f>
        <v>0.13092224283174761</v>
      </c>
      <c r="F81" s="12">
        <f t="shared" si="38"/>
        <v>0.13754421424393729</v>
      </c>
      <c r="G81" s="12">
        <f t="shared" si="38"/>
        <v>0.14621920094210086</v>
      </c>
      <c r="H81" s="12">
        <f t="shared" si="38"/>
        <v>0.15829104734788696</v>
      </c>
      <c r="I81" s="12">
        <f t="shared" si="38"/>
        <v>0.16699999999999998</v>
      </c>
    </row>
    <row r="82" spans="2:10" ht="16">
      <c r="B82" s="620"/>
      <c r="C82" t="s">
        <v>200</v>
      </c>
      <c r="D82" s="244">
        <f t="shared" ref="D82:G82" si="39">(D80+E82)/(1+D81)</f>
        <v>10015.982321590249</v>
      </c>
      <c r="E82" s="244">
        <f t="shared" si="39"/>
        <v>9759.9002001810786</v>
      </c>
      <c r="F82" s="244">
        <f t="shared" si="39"/>
        <v>9274.5242242028071</v>
      </c>
      <c r="G82" s="244">
        <f t="shared" si="39"/>
        <v>8523.4851151071452</v>
      </c>
      <c r="H82" s="244">
        <f>(H80+I82)/(1+H81)</f>
        <v>7579.9261456560016</v>
      </c>
      <c r="I82" s="237">
        <f>I80/(I81-J31)</f>
        <v>7080.0746569158027</v>
      </c>
    </row>
    <row r="83" spans="2:10">
      <c r="B83" s="620"/>
      <c r="C83" t="s">
        <v>192</v>
      </c>
      <c r="D83" s="245">
        <f>D42</f>
        <v>1000</v>
      </c>
      <c r="E83" s="245">
        <f t="shared" ref="E83:H83" si="40">E42</f>
        <v>2132</v>
      </c>
      <c r="F83" s="245">
        <f t="shared" si="40"/>
        <v>3389.88</v>
      </c>
      <c r="G83" s="245">
        <f t="shared" si="40"/>
        <v>4754.8716800000002</v>
      </c>
      <c r="H83" s="245">
        <f t="shared" si="40"/>
        <v>6175.3895944000005</v>
      </c>
      <c r="I83" s="245">
        <f>I42</f>
        <v>7080.0746569157991</v>
      </c>
    </row>
    <row r="84" spans="2:10" ht="16">
      <c r="B84" s="620"/>
      <c r="C84" s="172" t="s">
        <v>197</v>
      </c>
      <c r="D84" s="246">
        <f>D82+D83</f>
        <v>11015.982321590249</v>
      </c>
      <c r="E84" s="246">
        <f t="shared" ref="E84:I84" si="41">E82+E83</f>
        <v>11891.900200181079</v>
      </c>
      <c r="F84" s="246">
        <f t="shared" si="41"/>
        <v>12664.404224202808</v>
      </c>
      <c r="G84" s="246">
        <f t="shared" si="41"/>
        <v>13278.356795107145</v>
      </c>
      <c r="H84" s="246">
        <f t="shared" si="41"/>
        <v>13755.315740056001</v>
      </c>
      <c r="I84" s="247">
        <f t="shared" si="41"/>
        <v>14160.149313831602</v>
      </c>
      <c r="J84" s="73" t="s">
        <v>289</v>
      </c>
    </row>
  </sheetData>
  <mergeCells count="6">
    <mergeCell ref="B80:B84"/>
    <mergeCell ref="B41:B43"/>
    <mergeCell ref="B45:B52"/>
    <mergeCell ref="B58:B67"/>
    <mergeCell ref="B72:B74"/>
    <mergeCell ref="B76:B7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9DA2-FB46-42DD-8EE3-85F0542B74C5}">
  <dimension ref="B1:K83"/>
  <sheetViews>
    <sheetView topLeftCell="A18" workbookViewId="0">
      <selection activeCell="C7" sqref="C7"/>
    </sheetView>
  </sheetViews>
  <sheetFormatPr baseColWidth="10" defaultColWidth="8.83203125" defaultRowHeight="15"/>
  <cols>
    <col min="2" max="2" width="22.6640625" bestFit="1" customWidth="1"/>
    <col min="3" max="3" width="31.1640625" bestFit="1" customWidth="1"/>
    <col min="4" max="10" width="11.5" customWidth="1"/>
    <col min="11" max="11" width="10.33203125" customWidth="1"/>
  </cols>
  <sheetData>
    <row r="1" spans="2:3" ht="16" thickBot="1"/>
    <row r="2" spans="2:3" ht="18">
      <c r="B2" s="248"/>
      <c r="C2" s="249"/>
    </row>
    <row r="3" spans="2:3" ht="18">
      <c r="B3" s="250"/>
      <c r="C3" s="141"/>
    </row>
    <row r="4" spans="2:3" ht="18">
      <c r="B4" s="250"/>
      <c r="C4" s="141"/>
    </row>
    <row r="5" spans="2:3" ht="18">
      <c r="B5" s="250"/>
      <c r="C5" s="142"/>
    </row>
    <row r="6" spans="2:3" ht="18">
      <c r="B6" s="250"/>
      <c r="C6" s="142"/>
    </row>
    <row r="7" spans="2:3" ht="19" thickBot="1">
      <c r="B7" s="251"/>
      <c r="C7" s="143"/>
    </row>
    <row r="8" spans="2:3" ht="16" thickBot="1"/>
    <row r="9" spans="2:3" ht="21" thickBot="1">
      <c r="B9" s="1" t="s">
        <v>114</v>
      </c>
      <c r="C9" s="2"/>
    </row>
    <row r="24" spans="3:11" ht="16">
      <c r="C24" s="28"/>
      <c r="D24" s="29">
        <v>2021</v>
      </c>
      <c r="E24" s="30">
        <v>2022</v>
      </c>
      <c r="F24" s="30">
        <v>2023</v>
      </c>
      <c r="G24" s="30">
        <v>2024</v>
      </c>
      <c r="H24" s="30">
        <v>2025</v>
      </c>
      <c r="I24" s="31" t="s">
        <v>179</v>
      </c>
      <c r="J24" s="31" t="s">
        <v>180</v>
      </c>
      <c r="K24" s="31" t="s">
        <v>203</v>
      </c>
    </row>
    <row r="25" spans="3:11" ht="16">
      <c r="C25" s="203" t="s">
        <v>185</v>
      </c>
      <c r="D25" s="33">
        <v>0.11</v>
      </c>
      <c r="E25" s="33">
        <v>0.12</v>
      </c>
      <c r="F25" s="33"/>
      <c r="G25" s="33"/>
      <c r="H25" s="33"/>
      <c r="I25" s="33"/>
    </row>
    <row r="26" spans="3:11" ht="16">
      <c r="C26" s="204" t="s">
        <v>186</v>
      </c>
      <c r="D26" s="33"/>
      <c r="E26" s="33"/>
      <c r="F26" s="33">
        <v>0.14000000000000001</v>
      </c>
      <c r="G26" s="33">
        <v>0.13</v>
      </c>
      <c r="H26" s="33">
        <v>0.13</v>
      </c>
      <c r="I26" s="252">
        <f>I39</f>
        <v>9.8000000000000004E-2</v>
      </c>
      <c r="J26" s="253">
        <f t="shared" ref="J26:K26" si="0">J39</f>
        <v>9.8000000000000004E-2</v>
      </c>
      <c r="K26" s="253">
        <f t="shared" si="0"/>
        <v>9.8000000000000004E-2</v>
      </c>
    </row>
    <row r="27" spans="3:11" ht="16">
      <c r="C27" s="254" t="s">
        <v>209</v>
      </c>
      <c r="D27" s="33">
        <v>0.6</v>
      </c>
      <c r="E27" s="33">
        <v>0.5</v>
      </c>
      <c r="F27" s="33">
        <v>0.4</v>
      </c>
      <c r="G27" s="33">
        <v>0.3</v>
      </c>
      <c r="H27" s="33">
        <v>0.3</v>
      </c>
      <c r="I27" s="255">
        <f>J31/J26</f>
        <v>0.61224489795918358</v>
      </c>
      <c r="J27" s="256">
        <f>K31/K26</f>
        <v>0.61224489795918358</v>
      </c>
      <c r="K27" s="35"/>
    </row>
    <row r="28" spans="3:11" ht="18">
      <c r="C28" s="32" t="s">
        <v>181</v>
      </c>
      <c r="D28" s="33">
        <v>0.11</v>
      </c>
      <c r="E28" s="33">
        <v>0.11</v>
      </c>
      <c r="F28" s="33">
        <v>0.11</v>
      </c>
      <c r="G28" s="33">
        <v>0.1</v>
      </c>
      <c r="H28" s="33">
        <v>0.1</v>
      </c>
      <c r="I28" s="257">
        <v>0.1</v>
      </c>
      <c r="J28" s="257">
        <v>0.1</v>
      </c>
      <c r="K28" s="257">
        <v>0.1</v>
      </c>
    </row>
    <row r="29" spans="3:11" ht="18">
      <c r="C29" s="32" t="s">
        <v>184</v>
      </c>
      <c r="D29" s="33">
        <v>0.06</v>
      </c>
      <c r="E29" s="33">
        <v>0.06</v>
      </c>
      <c r="F29" s="33">
        <v>0.06</v>
      </c>
      <c r="G29" s="33">
        <v>0.05</v>
      </c>
      <c r="H29" s="33">
        <v>0.05</v>
      </c>
      <c r="I29" s="257">
        <v>0.05</v>
      </c>
      <c r="J29" s="257">
        <v>0.05</v>
      </c>
      <c r="K29" s="257">
        <v>0.05</v>
      </c>
    </row>
    <row r="30" spans="3:11" ht="16">
      <c r="C30" s="32" t="s">
        <v>77</v>
      </c>
      <c r="D30" s="33">
        <v>0.1</v>
      </c>
      <c r="E30" s="33">
        <v>0.1</v>
      </c>
      <c r="F30" s="33">
        <v>0.1</v>
      </c>
      <c r="G30" s="33">
        <v>0.1</v>
      </c>
      <c r="H30" s="33">
        <v>0.1</v>
      </c>
      <c r="I30" s="257">
        <v>0.1</v>
      </c>
      <c r="J30" s="257">
        <v>0.1</v>
      </c>
      <c r="K30" s="257">
        <v>0.1</v>
      </c>
    </row>
    <row r="31" spans="3:11" ht="16">
      <c r="C31" s="32" t="s">
        <v>213</v>
      </c>
      <c r="D31" s="28"/>
      <c r="E31" s="28"/>
      <c r="F31" s="28"/>
      <c r="G31" s="33"/>
      <c r="H31" s="33"/>
      <c r="I31" s="258"/>
      <c r="J31" s="259">
        <v>0.06</v>
      </c>
      <c r="K31" s="259">
        <v>0.06</v>
      </c>
    </row>
    <row r="32" spans="3:11" ht="16">
      <c r="C32" s="28"/>
      <c r="D32" s="28"/>
      <c r="E32" s="28"/>
      <c r="F32" s="28"/>
      <c r="G32" s="28"/>
      <c r="H32" s="28"/>
      <c r="I32" s="28"/>
    </row>
    <row r="33" spans="2:11" ht="16">
      <c r="C33" s="32"/>
      <c r="D33" s="31">
        <f t="shared" ref="D33:K33" si="1">+D24</f>
        <v>2021</v>
      </c>
      <c r="E33" s="31">
        <f t="shared" si="1"/>
        <v>2022</v>
      </c>
      <c r="F33" s="31">
        <f t="shared" si="1"/>
        <v>2023</v>
      </c>
      <c r="G33" s="31">
        <f t="shared" si="1"/>
        <v>2024</v>
      </c>
      <c r="H33" s="31">
        <f t="shared" si="1"/>
        <v>2025</v>
      </c>
      <c r="I33" s="31" t="str">
        <f t="shared" si="1"/>
        <v>TV1</v>
      </c>
      <c r="J33" s="31" t="str">
        <f t="shared" si="1"/>
        <v>TV2</v>
      </c>
      <c r="K33" s="31" t="str">
        <f t="shared" si="1"/>
        <v>TV3</v>
      </c>
    </row>
    <row r="34" spans="2:11" ht="16">
      <c r="C34" s="32" t="s">
        <v>182</v>
      </c>
      <c r="D34" s="260">
        <f>D42/D77</f>
        <v>0.28219285016978485</v>
      </c>
      <c r="E34" s="260">
        <f t="shared" ref="E34:F34" si="2">E42/E77</f>
        <v>0.28039600881015692</v>
      </c>
      <c r="F34" s="260">
        <f t="shared" si="2"/>
        <v>0.28032996287981771</v>
      </c>
      <c r="G34" s="261">
        <v>0.3</v>
      </c>
      <c r="H34" s="261">
        <v>0.4</v>
      </c>
      <c r="I34" s="262">
        <v>0.4</v>
      </c>
      <c r="J34" s="262">
        <v>0.4</v>
      </c>
      <c r="K34" s="262">
        <v>0.4</v>
      </c>
    </row>
    <row r="35" spans="2:11" ht="16">
      <c r="C35" s="32" t="s">
        <v>183</v>
      </c>
      <c r="D35" s="33">
        <v>0.35</v>
      </c>
      <c r="E35" s="33">
        <v>0.35</v>
      </c>
      <c r="F35" s="33">
        <v>0.35</v>
      </c>
      <c r="G35" s="33"/>
      <c r="H35" s="33"/>
      <c r="I35" s="33"/>
    </row>
    <row r="36" spans="2:11" ht="16">
      <c r="C36" s="28" t="s">
        <v>188</v>
      </c>
      <c r="D36" s="36">
        <v>10000</v>
      </c>
      <c r="E36" s="36"/>
      <c r="F36" s="36"/>
      <c r="G36" s="36"/>
      <c r="H36" s="36"/>
      <c r="I36" s="36"/>
    </row>
    <row r="39" spans="2:11" ht="16">
      <c r="B39" s="214"/>
      <c r="C39" t="s">
        <v>273</v>
      </c>
      <c r="D39" s="263">
        <f>D28-D34*D29*D30</f>
        <v>0.10830684289898129</v>
      </c>
      <c r="E39" s="263">
        <f t="shared" ref="E39:J39" si="3">E28-E34*E29*E30</f>
        <v>0.10831762394713906</v>
      </c>
      <c r="F39" s="263">
        <f t="shared" si="3"/>
        <v>0.10831802022272109</v>
      </c>
      <c r="G39" s="263">
        <f t="shared" si="3"/>
        <v>9.8500000000000004E-2</v>
      </c>
      <c r="H39" s="263">
        <f t="shared" si="3"/>
        <v>9.8000000000000004E-2</v>
      </c>
      <c r="I39" s="216">
        <f>I28-I34*I29*I30</f>
        <v>9.8000000000000004E-2</v>
      </c>
      <c r="J39" s="216">
        <f t="shared" si="3"/>
        <v>9.8000000000000004E-2</v>
      </c>
      <c r="K39" s="216">
        <f>K28-K34*K29*K30</f>
        <v>9.8000000000000004E-2</v>
      </c>
    </row>
    <row r="41" spans="2:11">
      <c r="B41" s="621" t="s">
        <v>217</v>
      </c>
      <c r="C41" t="s">
        <v>188</v>
      </c>
      <c r="D41" s="218">
        <f>D36</f>
        <v>10000</v>
      </c>
      <c r="E41" s="219">
        <f>D41+D58</f>
        <v>10660</v>
      </c>
      <c r="F41" s="219">
        <f t="shared" ref="F41:J41" si="4">E41+E58</f>
        <v>11299.6</v>
      </c>
      <c r="G41" s="219">
        <f t="shared" si="4"/>
        <v>11847.097600000001</v>
      </c>
      <c r="H41" s="219">
        <f t="shared" si="4"/>
        <v>12279.0732064</v>
      </c>
      <c r="I41" s="219">
        <f t="shared" si="4"/>
        <v>12727.8958614496</v>
      </c>
      <c r="J41" s="219">
        <f t="shared" si="4"/>
        <v>13670.789822894618</v>
      </c>
    </row>
    <row r="42" spans="2:11" ht="16">
      <c r="B42" s="621"/>
      <c r="C42" t="s">
        <v>192</v>
      </c>
      <c r="D42" s="218">
        <f>D41*D35</f>
        <v>3500</v>
      </c>
      <c r="E42" s="218">
        <f t="shared" ref="E42:F42" si="5">E41*E35</f>
        <v>3730.9999999999995</v>
      </c>
      <c r="F42" s="218">
        <f t="shared" si="5"/>
        <v>3954.8599999999997</v>
      </c>
      <c r="G42" s="220">
        <f>G73*G34</f>
        <v>4444.4296178335953</v>
      </c>
      <c r="H42" s="220">
        <f t="shared" ref="H42" si="6">H73*H34</f>
        <v>6106.4306809469399</v>
      </c>
      <c r="I42" s="220">
        <f>I73*I34</f>
        <v>6285.9597429667801</v>
      </c>
      <c r="J42" s="220">
        <f>J73*J34</f>
        <v>6663.1173275447873</v>
      </c>
      <c r="K42" s="145" t="s">
        <v>274</v>
      </c>
    </row>
    <row r="43" spans="2:11">
      <c r="B43" s="621"/>
      <c r="C43" t="s">
        <v>275</v>
      </c>
      <c r="D43" s="218">
        <f>D41-D42</f>
        <v>6500</v>
      </c>
      <c r="E43" s="218">
        <f t="shared" ref="E43:J43" si="7">E41-E42</f>
        <v>6929</v>
      </c>
      <c r="F43" s="218">
        <f t="shared" si="7"/>
        <v>7344.7400000000007</v>
      </c>
      <c r="G43" s="218">
        <f t="shared" si="7"/>
        <v>7402.6679821664056</v>
      </c>
      <c r="H43" s="218">
        <f t="shared" si="7"/>
        <v>6172.6425254530604</v>
      </c>
      <c r="I43" s="218">
        <f t="shared" si="7"/>
        <v>6441.9361184828203</v>
      </c>
      <c r="J43" s="218">
        <f t="shared" si="7"/>
        <v>7007.6724953498306</v>
      </c>
    </row>
    <row r="45" spans="2:11" ht="16">
      <c r="B45" s="621" t="s">
        <v>276</v>
      </c>
      <c r="C45" s="264" t="s">
        <v>277</v>
      </c>
      <c r="D45" s="221">
        <f t="shared" ref="D45:J45" si="8">D57/(1-D30)</f>
        <v>1222.2222222222222</v>
      </c>
      <c r="E45" s="221">
        <f t="shared" si="8"/>
        <v>1421.3333333333333</v>
      </c>
      <c r="F45" s="221">
        <f t="shared" si="8"/>
        <v>1520.8266666666668</v>
      </c>
      <c r="G45" s="221">
        <f t="shared" si="8"/>
        <v>1599.9096533333336</v>
      </c>
      <c r="H45" s="221">
        <f t="shared" si="8"/>
        <v>1662.3061298133334</v>
      </c>
      <c r="I45" s="221">
        <f t="shared" si="8"/>
        <v>1711.1779300298454</v>
      </c>
      <c r="J45" s="221">
        <f t="shared" si="8"/>
        <v>1813.8486058316362</v>
      </c>
      <c r="K45" t="s">
        <v>278</v>
      </c>
    </row>
    <row r="46" spans="2:11">
      <c r="B46" s="621"/>
      <c r="C46" s="265" t="s">
        <v>279</v>
      </c>
      <c r="D46" s="266">
        <f>D42*D29</f>
        <v>210</v>
      </c>
      <c r="E46" s="266">
        <f t="shared" ref="E46:J46" si="9">E42*E29</f>
        <v>223.85999999999996</v>
      </c>
      <c r="F46" s="266">
        <f t="shared" si="9"/>
        <v>237.29159999999996</v>
      </c>
      <c r="G46" s="266">
        <f t="shared" si="9"/>
        <v>222.22148089167979</v>
      </c>
      <c r="H46" s="266">
        <f t="shared" si="9"/>
        <v>305.32153404734703</v>
      </c>
      <c r="I46" s="266">
        <f t="shared" si="9"/>
        <v>314.29798714833902</v>
      </c>
      <c r="J46" s="266">
        <f t="shared" si="9"/>
        <v>333.15586637723936</v>
      </c>
    </row>
    <row r="47" spans="2:11">
      <c r="B47" s="621"/>
      <c r="C47" t="s">
        <v>31</v>
      </c>
      <c r="D47" s="218">
        <f>D45-D46</f>
        <v>1012.2222222222222</v>
      </c>
      <c r="E47" s="218">
        <f t="shared" ref="E47:J47" si="10">E45-E46</f>
        <v>1197.4733333333334</v>
      </c>
      <c r="F47" s="218">
        <f t="shared" si="10"/>
        <v>1283.5350666666668</v>
      </c>
      <c r="G47" s="218">
        <f t="shared" si="10"/>
        <v>1377.6881724416539</v>
      </c>
      <c r="H47" s="218">
        <f t="shared" si="10"/>
        <v>1356.9845957659863</v>
      </c>
      <c r="I47" s="218">
        <f t="shared" si="10"/>
        <v>1396.8799428815064</v>
      </c>
      <c r="J47" s="218">
        <f t="shared" si="10"/>
        <v>1480.6927394543968</v>
      </c>
    </row>
    <row r="48" spans="2:11">
      <c r="B48" s="621"/>
      <c r="C48" s="265" t="s">
        <v>32</v>
      </c>
      <c r="D48" s="230">
        <f>+IF(D47&lt;0,0,D47*D30)</f>
        <v>101.22222222222223</v>
      </c>
      <c r="E48" s="230">
        <f t="shared" ref="E48:J48" si="11">+IF(E47&lt;0,0,E47*E30)</f>
        <v>119.74733333333334</v>
      </c>
      <c r="F48" s="230">
        <f t="shared" si="11"/>
        <v>128.35350666666668</v>
      </c>
      <c r="G48" s="230">
        <f t="shared" si="11"/>
        <v>137.7688172441654</v>
      </c>
      <c r="H48" s="230">
        <f t="shared" si="11"/>
        <v>135.69845957659865</v>
      </c>
      <c r="I48" s="230">
        <f t="shared" si="11"/>
        <v>139.68799428815063</v>
      </c>
      <c r="J48" s="230">
        <f t="shared" si="11"/>
        <v>148.06927394543968</v>
      </c>
    </row>
    <row r="49" spans="2:11">
      <c r="B49" s="621"/>
      <c r="C49" t="s">
        <v>33</v>
      </c>
      <c r="D49" s="218">
        <f>D47-D48</f>
        <v>911</v>
      </c>
      <c r="E49" s="218">
        <f t="shared" ref="E49:J49" si="12">E47-E48</f>
        <v>1077.7260000000001</v>
      </c>
      <c r="F49" s="218">
        <f t="shared" si="12"/>
        <v>1155.1815600000002</v>
      </c>
      <c r="G49" s="218">
        <f t="shared" si="12"/>
        <v>1239.9193551974886</v>
      </c>
      <c r="H49" s="218">
        <f t="shared" si="12"/>
        <v>1221.2861361893877</v>
      </c>
      <c r="I49" s="218">
        <f t="shared" si="12"/>
        <v>1257.1919485933558</v>
      </c>
      <c r="J49" s="218">
        <f t="shared" si="12"/>
        <v>1332.6234655089572</v>
      </c>
    </row>
    <row r="50" spans="2:11">
      <c r="B50" s="621"/>
      <c r="C50" s="265" t="s">
        <v>34</v>
      </c>
      <c r="D50" s="230">
        <f>+D49-D51</f>
        <v>482</v>
      </c>
      <c r="E50" s="230">
        <f t="shared" ref="E50:J50" si="13">+E49-E51</f>
        <v>661.98599999999942</v>
      </c>
      <c r="F50" s="230">
        <f t="shared" si="13"/>
        <v>1097.2535778335953</v>
      </c>
      <c r="G50" s="230">
        <f t="shared" si="13"/>
        <v>1239.9193551974886</v>
      </c>
      <c r="H50" s="230">
        <f t="shared" si="13"/>
        <v>951.99254315962776</v>
      </c>
      <c r="I50" s="230">
        <f t="shared" si="13"/>
        <v>691.45557172634562</v>
      </c>
      <c r="J50" s="230">
        <f t="shared" si="13"/>
        <v>1332.6234655089572</v>
      </c>
    </row>
    <row r="51" spans="2:11">
      <c r="B51" s="621"/>
      <c r="C51" t="s">
        <v>35</v>
      </c>
      <c r="D51" s="221">
        <f>+IF(D49&lt;0,D49,MAX(0,MIN(D49,D53)))</f>
        <v>429</v>
      </c>
      <c r="E51" s="221">
        <f t="shared" ref="E51:J51" si="14">+IF(E49&lt;0,E49,MAX(0,MIN(E49,E53)))</f>
        <v>415.74000000000069</v>
      </c>
      <c r="F51" s="221">
        <f t="shared" si="14"/>
        <v>57.927982166404945</v>
      </c>
      <c r="G51" s="221">
        <f t="shared" si="14"/>
        <v>0</v>
      </c>
      <c r="H51" s="221">
        <f t="shared" si="14"/>
        <v>269.2935930297599</v>
      </c>
      <c r="I51" s="221">
        <f t="shared" si="14"/>
        <v>565.73637686701022</v>
      </c>
      <c r="J51" s="221">
        <f t="shared" si="14"/>
        <v>0</v>
      </c>
    </row>
    <row r="52" spans="2:11" ht="16">
      <c r="B52" s="267"/>
      <c r="D52" s="221"/>
      <c r="E52" s="221"/>
      <c r="F52" s="221"/>
      <c r="G52" s="221"/>
      <c r="H52" s="221"/>
      <c r="I52" s="221"/>
      <c r="J52" s="221"/>
    </row>
    <row r="53" spans="2:11">
      <c r="B53" s="618" t="s">
        <v>290</v>
      </c>
      <c r="C53" t="s">
        <v>249</v>
      </c>
      <c r="D53" s="221">
        <f>+E43-D43</f>
        <v>429</v>
      </c>
      <c r="E53" s="221">
        <f t="shared" ref="E53:J53" si="15">+F43-E43</f>
        <v>415.74000000000069</v>
      </c>
      <c r="F53" s="221">
        <f t="shared" si="15"/>
        <v>57.927982166404945</v>
      </c>
      <c r="G53" s="221">
        <f t="shared" si="15"/>
        <v>-1230.0254567133452</v>
      </c>
      <c r="H53" s="221">
        <f t="shared" si="15"/>
        <v>269.2935930297599</v>
      </c>
      <c r="I53" s="221">
        <f t="shared" si="15"/>
        <v>565.73637686701022</v>
      </c>
      <c r="J53" s="221">
        <f t="shared" si="15"/>
        <v>-7007.6724953498306</v>
      </c>
    </row>
    <row r="54" spans="2:11">
      <c r="B54" s="618"/>
      <c r="C54" t="s">
        <v>250</v>
      </c>
      <c r="D54" s="221">
        <f>+D53-D51</f>
        <v>0</v>
      </c>
      <c r="E54" s="221">
        <f t="shared" ref="E54:J54" si="16">+E53-E51</f>
        <v>0</v>
      </c>
      <c r="F54" s="221">
        <f t="shared" si="16"/>
        <v>0</v>
      </c>
      <c r="G54" s="221">
        <f t="shared" si="16"/>
        <v>-1230.0254567133452</v>
      </c>
      <c r="H54" s="221">
        <f t="shared" si="16"/>
        <v>0</v>
      </c>
      <c r="I54" s="221">
        <f t="shared" si="16"/>
        <v>0</v>
      </c>
      <c r="J54" s="221">
        <f t="shared" si="16"/>
        <v>-7007.6724953498306</v>
      </c>
    </row>
    <row r="55" spans="2:11" ht="16">
      <c r="B55" s="618"/>
      <c r="C55" s="223" t="s">
        <v>252</v>
      </c>
      <c r="D55" s="224">
        <f t="shared" ref="D55:J55" si="17">+D48/D47</f>
        <v>0.1</v>
      </c>
      <c r="E55" s="224">
        <f t="shared" si="17"/>
        <v>0.1</v>
      </c>
      <c r="F55" s="224">
        <f t="shared" si="17"/>
        <v>9.9999999999999992E-2</v>
      </c>
      <c r="G55" s="224">
        <f t="shared" si="17"/>
        <v>0.1</v>
      </c>
      <c r="H55" s="224">
        <f t="shared" si="17"/>
        <v>0.10000000000000002</v>
      </c>
      <c r="I55" s="224">
        <f t="shared" si="17"/>
        <v>9.9999999999999992E-2</v>
      </c>
      <c r="J55" s="224">
        <f t="shared" si="17"/>
        <v>9.9999999999999992E-2</v>
      </c>
      <c r="K55" t="s">
        <v>280</v>
      </c>
    </row>
    <row r="56" spans="2:11">
      <c r="J56" s="74"/>
    </row>
    <row r="57" spans="2:11">
      <c r="B57" s="620" t="s">
        <v>281</v>
      </c>
      <c r="C57" s="264" t="s">
        <v>166</v>
      </c>
      <c r="D57" s="226">
        <f>D41*D25</f>
        <v>1100</v>
      </c>
      <c r="E57" s="226">
        <f>E41*E25</f>
        <v>1279.2</v>
      </c>
      <c r="F57" s="227">
        <f>E58*F26+E57</f>
        <v>1368.7440000000001</v>
      </c>
      <c r="G57" s="227">
        <f t="shared" ref="G57:H57" si="18">F58*G26+F57</f>
        <v>1439.9186880000002</v>
      </c>
      <c r="H57" s="227">
        <f t="shared" si="18"/>
        <v>1496.0755168320002</v>
      </c>
      <c r="I57" s="228">
        <f>H58*I26+H57</f>
        <v>1540.060137026861</v>
      </c>
      <c r="J57" s="228">
        <f>I58*J26+I57</f>
        <v>1632.4637452484726</v>
      </c>
      <c r="K57" t="s">
        <v>291</v>
      </c>
    </row>
    <row r="58" spans="2:11" ht="16">
      <c r="B58" s="620"/>
      <c r="C58" s="268" t="s">
        <v>283</v>
      </c>
      <c r="D58" s="230">
        <f t="shared" ref="D58:J58" si="19">D57*D27</f>
        <v>660</v>
      </c>
      <c r="E58" s="230">
        <f t="shared" si="19"/>
        <v>639.6</v>
      </c>
      <c r="F58" s="230">
        <f t="shared" si="19"/>
        <v>547.49760000000003</v>
      </c>
      <c r="G58" s="230">
        <f t="shared" si="19"/>
        <v>431.97560640000006</v>
      </c>
      <c r="H58" s="230">
        <f t="shared" si="19"/>
        <v>448.82265504960003</v>
      </c>
      <c r="I58" s="230">
        <f t="shared" si="19"/>
        <v>942.89396144501677</v>
      </c>
      <c r="J58" s="230">
        <f t="shared" si="19"/>
        <v>999.46759913171775</v>
      </c>
    </row>
    <row r="59" spans="2:11">
      <c r="B59" s="620"/>
      <c r="C59" s="231" t="s">
        <v>65</v>
      </c>
      <c r="D59" s="232">
        <f>D57-D58</f>
        <v>440</v>
      </c>
      <c r="E59" s="233">
        <f t="shared" ref="E59:J59" si="20">E57-E58</f>
        <v>639.6</v>
      </c>
      <c r="F59" s="233">
        <f t="shared" si="20"/>
        <v>821.24640000000011</v>
      </c>
      <c r="G59" s="233">
        <f t="shared" si="20"/>
        <v>1007.9430816000001</v>
      </c>
      <c r="H59" s="233">
        <f t="shared" si="20"/>
        <v>1047.2528617824</v>
      </c>
      <c r="I59" s="233">
        <f t="shared" si="20"/>
        <v>597.16617558184419</v>
      </c>
      <c r="J59" s="233">
        <f t="shared" si="20"/>
        <v>632.99614611675486</v>
      </c>
    </row>
    <row r="60" spans="2:11" ht="16">
      <c r="B60" s="620"/>
      <c r="C60" s="269" t="s">
        <v>279</v>
      </c>
      <c r="D60" s="74">
        <f t="shared" ref="D60:J60" si="21">D46</f>
        <v>210</v>
      </c>
      <c r="E60" s="74">
        <f t="shared" si="21"/>
        <v>223.85999999999996</v>
      </c>
      <c r="F60" s="74">
        <f t="shared" si="21"/>
        <v>237.29159999999996</v>
      </c>
      <c r="G60" s="74">
        <f t="shared" si="21"/>
        <v>222.22148089167979</v>
      </c>
      <c r="H60" s="74">
        <f t="shared" si="21"/>
        <v>305.32153404734703</v>
      </c>
      <c r="I60" s="74">
        <f t="shared" si="21"/>
        <v>314.29798714833902</v>
      </c>
      <c r="J60" s="74">
        <f t="shared" si="21"/>
        <v>333.15586637723936</v>
      </c>
    </row>
    <row r="61" spans="2:11" ht="16">
      <c r="B61" s="620"/>
      <c r="C61" s="270" t="s">
        <v>158</v>
      </c>
      <c r="D61" s="17">
        <f>D60*D55</f>
        <v>21</v>
      </c>
      <c r="E61" s="17">
        <f t="shared" ref="E61:H61" si="22">E60*E55</f>
        <v>22.385999999999996</v>
      </c>
      <c r="F61" s="17">
        <f t="shared" si="22"/>
        <v>23.729159999999993</v>
      </c>
      <c r="G61" s="17">
        <f t="shared" si="22"/>
        <v>22.22214808916798</v>
      </c>
      <c r="H61" s="17">
        <f t="shared" si="22"/>
        <v>30.532153404734707</v>
      </c>
      <c r="I61" s="17">
        <f>I60*I55</f>
        <v>31.4297987148339</v>
      </c>
      <c r="J61" s="17">
        <f>J60*J55</f>
        <v>33.315586637723932</v>
      </c>
    </row>
    <row r="62" spans="2:11" ht="16">
      <c r="B62" s="620"/>
      <c r="C62" s="271" t="s">
        <v>254</v>
      </c>
      <c r="D62" s="235">
        <f t="shared" ref="D62:I62" si="23">E42-D42</f>
        <v>230.99999999999955</v>
      </c>
      <c r="E62" s="235">
        <f t="shared" si="23"/>
        <v>223.86000000000013</v>
      </c>
      <c r="F62" s="235">
        <f t="shared" si="23"/>
        <v>489.56961783359566</v>
      </c>
      <c r="G62" s="235">
        <f t="shared" si="23"/>
        <v>1662.0010631133446</v>
      </c>
      <c r="H62" s="235">
        <f t="shared" si="23"/>
        <v>179.52906201984024</v>
      </c>
      <c r="I62" s="235">
        <f t="shared" si="23"/>
        <v>377.15758457800712</v>
      </c>
    </row>
    <row r="63" spans="2:11">
      <c r="B63" s="620"/>
      <c r="C63" s="231" t="s">
        <v>69</v>
      </c>
      <c r="D63" s="232">
        <f>D59-D60+D61+D62</f>
        <v>481.99999999999955</v>
      </c>
      <c r="E63" s="232">
        <f t="shared" ref="E63:I63" si="24">E59-E60+E61+E62</f>
        <v>661.98600000000022</v>
      </c>
      <c r="F63" s="232">
        <f t="shared" si="24"/>
        <v>1097.253577833596</v>
      </c>
      <c r="G63" s="232">
        <f t="shared" si="24"/>
        <v>2469.9448119108329</v>
      </c>
      <c r="H63" s="232">
        <f t="shared" si="24"/>
        <v>951.99254315962787</v>
      </c>
      <c r="I63" s="232">
        <f t="shared" si="24"/>
        <v>691.45557172634619</v>
      </c>
    </row>
    <row r="64" spans="2:11" ht="16">
      <c r="B64" s="620"/>
      <c r="C64" s="269" t="s">
        <v>34</v>
      </c>
      <c r="D64" s="17">
        <f t="shared" ref="D64:I64" si="25">-D50</f>
        <v>-482</v>
      </c>
      <c r="E64" s="17">
        <f t="shared" si="25"/>
        <v>-661.98599999999942</v>
      </c>
      <c r="F64" s="17">
        <f t="shared" si="25"/>
        <v>-1097.2535778335953</v>
      </c>
      <c r="G64" s="17">
        <f t="shared" si="25"/>
        <v>-1239.9193551974886</v>
      </c>
      <c r="H64" s="17">
        <f t="shared" si="25"/>
        <v>-951.99254315962776</v>
      </c>
      <c r="I64" s="17">
        <f t="shared" si="25"/>
        <v>-691.45557172634562</v>
      </c>
    </row>
    <row r="65" spans="2:11" ht="16">
      <c r="B65" s="620"/>
      <c r="C65" s="271" t="s">
        <v>284</v>
      </c>
      <c r="D65" s="235">
        <f t="shared" ref="D65:I65" si="26">E43-D43-D51</f>
        <v>0</v>
      </c>
      <c r="E65" s="235">
        <f t="shared" si="26"/>
        <v>0</v>
      </c>
      <c r="F65" s="235">
        <f t="shared" si="26"/>
        <v>0</v>
      </c>
      <c r="G65" s="235">
        <f t="shared" si="26"/>
        <v>-1230.0254567133452</v>
      </c>
      <c r="H65" s="235">
        <f t="shared" si="26"/>
        <v>0</v>
      </c>
      <c r="I65" s="235">
        <f t="shared" si="26"/>
        <v>0</v>
      </c>
    </row>
    <row r="66" spans="2:11">
      <c r="B66" s="620"/>
      <c r="C66" t="s">
        <v>285</v>
      </c>
      <c r="D66" s="17">
        <f>SUM(D63:D65)</f>
        <v>-4.5474735088646412E-13</v>
      </c>
      <c r="E66" s="17">
        <f t="shared" ref="E66:I66" si="27">SUM(E63:E65)</f>
        <v>7.9580786405131221E-13</v>
      </c>
      <c r="F66" s="17">
        <f t="shared" si="27"/>
        <v>6.8212102632969618E-13</v>
      </c>
      <c r="G66" s="17">
        <f t="shared" si="27"/>
        <v>0</v>
      </c>
      <c r="H66" s="17">
        <f t="shared" si="27"/>
        <v>1.1368683772161603E-13</v>
      </c>
      <c r="I66" s="17">
        <f t="shared" si="27"/>
        <v>5.6843418860808015E-13</v>
      </c>
    </row>
    <row r="67" spans="2:11" ht="16">
      <c r="B67" s="236"/>
    </row>
    <row r="71" spans="2:11">
      <c r="B71" s="621" t="s">
        <v>65</v>
      </c>
      <c r="C71" t="s">
        <v>65</v>
      </c>
      <c r="D71" s="17">
        <f>D59</f>
        <v>440</v>
      </c>
      <c r="E71" s="17">
        <f t="shared" ref="E71:J71" si="28">E59</f>
        <v>639.6</v>
      </c>
      <c r="F71" s="17">
        <f t="shared" si="28"/>
        <v>821.24640000000011</v>
      </c>
      <c r="G71" s="17">
        <f t="shared" si="28"/>
        <v>1007.9430816000001</v>
      </c>
      <c r="H71" s="17">
        <f t="shared" si="28"/>
        <v>1047.2528617824</v>
      </c>
      <c r="I71" s="17">
        <f t="shared" si="28"/>
        <v>597.16617558184419</v>
      </c>
      <c r="J71" s="17">
        <f t="shared" si="28"/>
        <v>632.99614611675486</v>
      </c>
    </row>
    <row r="72" spans="2:11">
      <c r="B72" s="621"/>
      <c r="C72" t="s">
        <v>190</v>
      </c>
      <c r="D72" s="35">
        <f t="shared" ref="D72:J72" si="29">D39</f>
        <v>0.10830684289898129</v>
      </c>
      <c r="E72" s="35">
        <f t="shared" si="29"/>
        <v>0.10831762394713906</v>
      </c>
      <c r="F72" s="35">
        <f t="shared" si="29"/>
        <v>0.10831802022272109</v>
      </c>
      <c r="G72" s="35">
        <f t="shared" si="29"/>
        <v>9.8500000000000004E-2</v>
      </c>
      <c r="H72" s="35">
        <f t="shared" si="29"/>
        <v>9.8000000000000004E-2</v>
      </c>
      <c r="I72" s="35">
        <f t="shared" si="29"/>
        <v>9.8000000000000004E-2</v>
      </c>
      <c r="J72" s="35">
        <f t="shared" si="29"/>
        <v>9.8000000000000004E-2</v>
      </c>
    </row>
    <row r="73" spans="2:11" ht="16">
      <c r="B73" s="621"/>
      <c r="C73" s="75" t="s">
        <v>197</v>
      </c>
      <c r="D73" s="237">
        <f t="shared" ref="D73:G73" si="30">(D71+E73)/(1+D72)</f>
        <v>12402.865621486097</v>
      </c>
      <c r="E73" s="237">
        <f t="shared" si="30"/>
        <v>13306.180839849567</v>
      </c>
      <c r="F73" s="237">
        <f t="shared" si="30"/>
        <v>14107.874732233018</v>
      </c>
      <c r="G73" s="237">
        <f t="shared" si="30"/>
        <v>14814.765392778652</v>
      </c>
      <c r="H73" s="237">
        <f>(H71+I73)/(1+H72)</f>
        <v>15266.076702367349</v>
      </c>
      <c r="I73" s="238">
        <f>I71/(I72-J31)</f>
        <v>15714.899357416949</v>
      </c>
      <c r="J73" s="238">
        <f>J71/(J72-K31)</f>
        <v>16657.793318861968</v>
      </c>
      <c r="K73" s="145" t="s">
        <v>286</v>
      </c>
    </row>
    <row r="74" spans="2:11" ht="16">
      <c r="B74" s="239">
        <f>D73-D77</f>
        <v>0</v>
      </c>
    </row>
    <row r="75" spans="2:11">
      <c r="B75" s="620" t="s">
        <v>270</v>
      </c>
      <c r="C75" t="s">
        <v>198</v>
      </c>
      <c r="D75" s="17">
        <f>D59+D61</f>
        <v>461</v>
      </c>
      <c r="E75" s="17">
        <f t="shared" ref="E75:G75" si="31">E59+E61</f>
        <v>661.98599999999999</v>
      </c>
      <c r="F75" s="17">
        <f t="shared" si="31"/>
        <v>844.97556000000009</v>
      </c>
      <c r="G75" s="17">
        <f t="shared" si="31"/>
        <v>1030.1652296891682</v>
      </c>
      <c r="H75" s="17">
        <f>H59+H61</f>
        <v>1077.7850151871348</v>
      </c>
      <c r="I75" s="17">
        <f>I59+I61</f>
        <v>628.59597429667804</v>
      </c>
      <c r="J75" s="17">
        <f>J59+J61</f>
        <v>666.31173275447884</v>
      </c>
    </row>
    <row r="76" spans="2:11">
      <c r="B76" s="620"/>
      <c r="C76" t="s">
        <v>259</v>
      </c>
      <c r="D76" s="35">
        <f t="shared" ref="D76:J76" si="32">D28</f>
        <v>0.11</v>
      </c>
      <c r="E76" s="35">
        <f t="shared" si="32"/>
        <v>0.11</v>
      </c>
      <c r="F76" s="35">
        <f t="shared" si="32"/>
        <v>0.11</v>
      </c>
      <c r="G76" s="35">
        <f t="shared" si="32"/>
        <v>0.1</v>
      </c>
      <c r="H76" s="35">
        <f t="shared" si="32"/>
        <v>0.1</v>
      </c>
      <c r="I76" s="35">
        <f t="shared" si="32"/>
        <v>0.1</v>
      </c>
      <c r="J76" s="35">
        <f t="shared" si="32"/>
        <v>0.1</v>
      </c>
    </row>
    <row r="77" spans="2:11" ht="16">
      <c r="B77" s="620"/>
      <c r="C77" s="75" t="s">
        <v>197</v>
      </c>
      <c r="D77" s="272">
        <f t="shared" ref="D77:G77" si="33">(D75+E77)/(1+D76)</f>
        <v>12402.865621486091</v>
      </c>
      <c r="E77" s="272">
        <f t="shared" si="33"/>
        <v>13306.180839849563</v>
      </c>
      <c r="F77" s="272">
        <f t="shared" si="33"/>
        <v>14107.874732233016</v>
      </c>
      <c r="G77" s="272">
        <f t="shared" si="33"/>
        <v>14814.765392778649</v>
      </c>
      <c r="H77" s="272">
        <f>(H75+I77)/(1+H76)</f>
        <v>15266.076702367347</v>
      </c>
      <c r="I77" s="273">
        <f>I75/(I76-J31)</f>
        <v>15714.899357416947</v>
      </c>
      <c r="J77" s="273">
        <f>J75/(J76-K31)</f>
        <v>16657.793318861968</v>
      </c>
      <c r="K77" s="274" t="s">
        <v>287</v>
      </c>
    </row>
    <row r="78" spans="2:11" ht="16">
      <c r="B78" s="243">
        <f>D77-D83</f>
        <v>0</v>
      </c>
    </row>
    <row r="79" spans="2:11">
      <c r="B79" s="620" t="s">
        <v>69</v>
      </c>
      <c r="C79" t="s">
        <v>69</v>
      </c>
      <c r="D79" s="17">
        <f>D63</f>
        <v>481.99999999999955</v>
      </c>
      <c r="E79" s="17">
        <f t="shared" ref="E79:I79" si="34">E63</f>
        <v>661.98600000000022</v>
      </c>
      <c r="F79" s="17">
        <f t="shared" si="34"/>
        <v>1097.253577833596</v>
      </c>
      <c r="G79" s="17">
        <f t="shared" si="34"/>
        <v>2469.9448119108329</v>
      </c>
      <c r="H79" s="17">
        <f t="shared" si="34"/>
        <v>951.99254315962787</v>
      </c>
      <c r="I79" s="17">
        <f t="shared" si="34"/>
        <v>691.45557172634619</v>
      </c>
    </row>
    <row r="80" spans="2:11" ht="16">
      <c r="B80" s="620"/>
      <c r="C80" t="s">
        <v>288</v>
      </c>
      <c r="D80" s="12">
        <f t="shared" ref="D80:I80" si="35">(D28-D34*D29)/(1-D34)</f>
        <v>0.12965659231985446</v>
      </c>
      <c r="E80" s="12">
        <f t="shared" si="35"/>
        <v>0.12948266075807408</v>
      </c>
      <c r="F80" s="12">
        <f t="shared" si="35"/>
        <v>0.12947628415944484</v>
      </c>
      <c r="G80" s="12">
        <f t="shared" si="35"/>
        <v>0.12142857142857144</v>
      </c>
      <c r="H80" s="12">
        <f t="shared" si="35"/>
        <v>0.13333333333333333</v>
      </c>
      <c r="I80" s="12">
        <f t="shared" si="35"/>
        <v>0.13333333333333333</v>
      </c>
    </row>
    <row r="81" spans="2:10" ht="16">
      <c r="B81" s="620"/>
      <c r="C81" t="s">
        <v>200</v>
      </c>
      <c r="D81" s="244">
        <f t="shared" ref="D81:G81" si="36">(D79+E81)/(1+D80)</f>
        <v>8902.8656214861003</v>
      </c>
      <c r="E81" s="244">
        <f t="shared" si="36"/>
        <v>9575.1808398495723</v>
      </c>
      <c r="F81" s="244">
        <f t="shared" si="36"/>
        <v>10153.014732233025</v>
      </c>
      <c r="G81" s="244">
        <f t="shared" si="36"/>
        <v>10370.335774945061</v>
      </c>
      <c r="H81" s="244">
        <f>(H79+I81)/(1+H80)</f>
        <v>9159.6460214204144</v>
      </c>
      <c r="I81" s="237">
        <f>I79/(I80-J31)</f>
        <v>9428.9396144501752</v>
      </c>
    </row>
    <row r="82" spans="2:10">
      <c r="B82" s="620"/>
      <c r="C82" t="s">
        <v>192</v>
      </c>
      <c r="D82" s="245">
        <f t="shared" ref="D82:I82" si="37">D42</f>
        <v>3500</v>
      </c>
      <c r="E82" s="245">
        <f t="shared" si="37"/>
        <v>3730.9999999999995</v>
      </c>
      <c r="F82" s="245">
        <f t="shared" si="37"/>
        <v>3954.8599999999997</v>
      </c>
      <c r="G82" s="245">
        <f t="shared" si="37"/>
        <v>4444.4296178335953</v>
      </c>
      <c r="H82" s="245">
        <f t="shared" si="37"/>
        <v>6106.4306809469399</v>
      </c>
      <c r="I82" s="245">
        <f t="shared" si="37"/>
        <v>6285.9597429667801</v>
      </c>
    </row>
    <row r="83" spans="2:10" ht="16">
      <c r="B83" s="620"/>
      <c r="C83" s="172" t="s">
        <v>197</v>
      </c>
      <c r="D83" s="246">
        <f>D81+D82</f>
        <v>12402.8656214861</v>
      </c>
      <c r="E83" s="246">
        <f t="shared" ref="E83:I83" si="38">E81+E82</f>
        <v>13306.180839849572</v>
      </c>
      <c r="F83" s="246">
        <f t="shared" si="38"/>
        <v>14107.874732233024</v>
      </c>
      <c r="G83" s="246">
        <f t="shared" si="38"/>
        <v>14814.765392778656</v>
      </c>
      <c r="H83" s="246">
        <f t="shared" si="38"/>
        <v>15266.076702367354</v>
      </c>
      <c r="I83" s="247">
        <f t="shared" si="38"/>
        <v>15714.899357416954</v>
      </c>
      <c r="J83" s="73" t="s">
        <v>289</v>
      </c>
    </row>
  </sheetData>
  <mergeCells count="7">
    <mergeCell ref="B79:B83"/>
    <mergeCell ref="B41:B43"/>
    <mergeCell ref="B45:B51"/>
    <mergeCell ref="B53:B55"/>
    <mergeCell ref="B57:B66"/>
    <mergeCell ref="B71:B73"/>
    <mergeCell ref="B75:B7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7C8-4410-4ADD-9A4C-B6EB5B8C9214}">
  <dimension ref="B8:I57"/>
  <sheetViews>
    <sheetView topLeftCell="A17" workbookViewId="0">
      <selection activeCell="D51" sqref="D51"/>
    </sheetView>
  </sheetViews>
  <sheetFormatPr baseColWidth="10" defaultColWidth="10.1640625" defaultRowHeight="15"/>
  <cols>
    <col min="2" max="2" width="22.6640625" bestFit="1" customWidth="1"/>
    <col min="3" max="3" width="42.5" bestFit="1" customWidth="1"/>
    <col min="4" max="4" width="16.1640625" bestFit="1" customWidth="1"/>
    <col min="5" max="5" width="31.5" bestFit="1" customWidth="1"/>
    <col min="6" max="6" width="16.6640625" bestFit="1" customWidth="1"/>
    <col min="8" max="8" width="16.5" bestFit="1" customWidth="1"/>
    <col min="9" max="9" width="11.5" bestFit="1" customWidth="1"/>
  </cols>
  <sheetData>
    <row r="8" spans="2:3" ht="16" thickBot="1"/>
    <row r="9" spans="2:3" ht="21" thickBot="1">
      <c r="B9" s="1" t="s">
        <v>19</v>
      </c>
      <c r="C9" s="2"/>
    </row>
    <row r="26" spans="3:7">
      <c r="C26" t="s">
        <v>292</v>
      </c>
      <c r="D26">
        <v>6000000</v>
      </c>
      <c r="E26">
        <v>3000000</v>
      </c>
      <c r="F26" t="s">
        <v>293</v>
      </c>
    </row>
    <row r="27" spans="3:7" ht="16">
      <c r="D27" s="30" t="s">
        <v>294</v>
      </c>
      <c r="E27" s="30" t="s">
        <v>295</v>
      </c>
      <c r="F27" s="30" t="s">
        <v>296</v>
      </c>
    </row>
    <row r="28" spans="3:7">
      <c r="C28" t="s">
        <v>259</v>
      </c>
      <c r="D28" s="35">
        <v>0.1</v>
      </c>
      <c r="E28" s="35">
        <v>0.1</v>
      </c>
      <c r="F28" s="35">
        <v>0.1</v>
      </c>
    </row>
    <row r="29" spans="3:7">
      <c r="C29" t="s">
        <v>77</v>
      </c>
      <c r="D29" s="35">
        <v>0.15</v>
      </c>
      <c r="E29" s="35">
        <v>0.15</v>
      </c>
      <c r="F29" s="35">
        <v>0.15</v>
      </c>
    </row>
    <row r="30" spans="3:7">
      <c r="C30" t="s">
        <v>166</v>
      </c>
      <c r="D30" s="14">
        <v>840</v>
      </c>
      <c r="E30" s="14">
        <v>100</v>
      </c>
      <c r="F30" s="14">
        <v>1000</v>
      </c>
      <c r="G30" t="s">
        <v>297</v>
      </c>
    </row>
    <row r="31" spans="3:7">
      <c r="C31" t="s">
        <v>298</v>
      </c>
      <c r="D31" s="35">
        <v>0.4</v>
      </c>
      <c r="E31" s="35">
        <v>0.25</v>
      </c>
      <c r="F31" s="35">
        <v>0.4</v>
      </c>
      <c r="G31" t="s">
        <v>299</v>
      </c>
    </row>
    <row r="32" spans="3:7">
      <c r="C32" t="s">
        <v>162</v>
      </c>
      <c r="D32" s="35">
        <v>0.05</v>
      </c>
      <c r="E32" s="35">
        <v>0.05</v>
      </c>
      <c r="F32" s="35">
        <v>0.05</v>
      </c>
    </row>
    <row r="33" spans="3:9">
      <c r="C33" t="s">
        <v>186</v>
      </c>
      <c r="D33" s="35">
        <v>0.10100000000000001</v>
      </c>
      <c r="E33" s="35">
        <v>0.12</v>
      </c>
      <c r="F33" s="35">
        <v>0.10199999999999999</v>
      </c>
    </row>
    <row r="34" spans="3:9">
      <c r="C34" t="s">
        <v>300</v>
      </c>
      <c r="D34" s="35">
        <v>0.03</v>
      </c>
      <c r="E34" s="35">
        <v>0.04</v>
      </c>
      <c r="F34" s="35">
        <v>3.3000000000000002E-2</v>
      </c>
    </row>
    <row r="35" spans="3:9">
      <c r="C35" t="s">
        <v>301</v>
      </c>
      <c r="D35" s="17">
        <v>10000000</v>
      </c>
      <c r="E35" s="17">
        <v>5000000</v>
      </c>
    </row>
    <row r="37" spans="3:9">
      <c r="C37" t="s">
        <v>209</v>
      </c>
      <c r="D37" s="35">
        <f>D34/D33</f>
        <v>0.29702970297029702</v>
      </c>
      <c r="E37" s="35">
        <f t="shared" ref="E37:F37" si="0">E34/E33</f>
        <v>0.33333333333333337</v>
      </c>
      <c r="F37" s="35">
        <f t="shared" si="0"/>
        <v>0.3235294117647059</v>
      </c>
    </row>
    <row r="38" spans="3:9">
      <c r="C38" t="s">
        <v>65</v>
      </c>
      <c r="D38" s="48">
        <f>D30*(1-D37)</f>
        <v>590.49504950495043</v>
      </c>
      <c r="E38" s="48">
        <f t="shared" ref="E38:F38" si="1">E30*(1-E37)</f>
        <v>66.666666666666657</v>
      </c>
      <c r="F38" s="48">
        <f t="shared" si="1"/>
        <v>676.47058823529414</v>
      </c>
    </row>
    <row r="39" spans="3:9">
      <c r="C39" t="s">
        <v>190</v>
      </c>
      <c r="D39" s="35">
        <f>D28-D31*D32*D29</f>
        <v>9.7000000000000003E-2</v>
      </c>
      <c r="E39" s="35">
        <f t="shared" ref="E39:F39" si="2">E28-E31*E32*E29</f>
        <v>9.8125000000000004E-2</v>
      </c>
      <c r="F39" s="35">
        <f t="shared" si="2"/>
        <v>9.7000000000000003E-2</v>
      </c>
    </row>
    <row r="40" spans="3:9">
      <c r="H40" t="s">
        <v>302</v>
      </c>
      <c r="I40" t="s">
        <v>303</v>
      </c>
    </row>
    <row r="41" spans="3:9">
      <c r="C41" t="s">
        <v>304</v>
      </c>
      <c r="D41" s="48">
        <f>D38/(D39-D34)</f>
        <v>8813.3589478350805</v>
      </c>
      <c r="E41" s="48">
        <f t="shared" ref="E41:F41" si="3">E38/(E39-E34)</f>
        <v>1146.9534050179209</v>
      </c>
      <c r="F41" s="48">
        <f t="shared" si="3"/>
        <v>10569.85294117647</v>
      </c>
      <c r="H41" s="57">
        <f>D41+E41</f>
        <v>9960.3123528530014</v>
      </c>
      <c r="I41" s="57">
        <f>F41-H41</f>
        <v>609.54058832346891</v>
      </c>
    </row>
    <row r="42" spans="3:9">
      <c r="C42" t="s">
        <v>305</v>
      </c>
      <c r="D42" s="48">
        <f>D41*D31</f>
        <v>3525.3435791340326</v>
      </c>
      <c r="E42" s="48">
        <f t="shared" ref="E42:F42" si="4">E41*E31</f>
        <v>286.73835125448022</v>
      </c>
      <c r="F42" s="48">
        <f t="shared" si="4"/>
        <v>4227.9411764705883</v>
      </c>
      <c r="H42" s="57">
        <f t="shared" ref="H42:H43" si="5">D42+E42</f>
        <v>3812.0819303885128</v>
      </c>
      <c r="I42" s="57">
        <f t="shared" ref="I42:I43" si="6">F42-H42</f>
        <v>415.85924608207552</v>
      </c>
    </row>
    <row r="43" spans="3:9">
      <c r="C43" t="s">
        <v>306</v>
      </c>
      <c r="D43" s="48">
        <f>D41-D42</f>
        <v>5288.0153687010479</v>
      </c>
      <c r="E43" s="48">
        <f t="shared" ref="E43:F43" si="7">E41-E42</f>
        <v>860.21505376344066</v>
      </c>
      <c r="F43" s="48">
        <f t="shared" si="7"/>
        <v>6341.911764705882</v>
      </c>
      <c r="H43" s="57">
        <f t="shared" si="5"/>
        <v>6148.2304224644886</v>
      </c>
      <c r="I43" s="57">
        <f t="shared" si="6"/>
        <v>193.68134224139339</v>
      </c>
    </row>
    <row r="45" spans="3:9">
      <c r="D45" t="s">
        <v>307</v>
      </c>
      <c r="E45" t="s">
        <v>308</v>
      </c>
      <c r="F45" t="s">
        <v>309</v>
      </c>
    </row>
    <row r="46" spans="3:9" ht="16">
      <c r="C46" t="s">
        <v>310</v>
      </c>
      <c r="D46" s="48">
        <f>E43</f>
        <v>860.21505376344066</v>
      </c>
      <c r="E46">
        <v>3</v>
      </c>
      <c r="F46" s="79">
        <f>D46+E46</f>
        <v>863.21505376344066</v>
      </c>
    </row>
    <row r="47" spans="3:9" ht="16">
      <c r="C47" t="s">
        <v>311</v>
      </c>
      <c r="D47" s="48">
        <f>D46+I41</f>
        <v>1469.7556420869096</v>
      </c>
      <c r="E47">
        <v>6</v>
      </c>
      <c r="F47" s="79">
        <f>D47-E47</f>
        <v>1463.7556420869096</v>
      </c>
    </row>
    <row r="51" spans="3:5">
      <c r="C51" t="s">
        <v>312</v>
      </c>
      <c r="D51" s="57">
        <f>F46*(1+25%)</f>
        <v>1079.0188172043008</v>
      </c>
    </row>
    <row r="52" spans="3:5">
      <c r="C52" t="s">
        <v>36</v>
      </c>
      <c r="D52" s="57">
        <f>D51*50%</f>
        <v>539.50940860215042</v>
      </c>
    </row>
    <row r="53" spans="3:5">
      <c r="C53" t="s">
        <v>48</v>
      </c>
      <c r="D53" s="57">
        <f>D51-D52</f>
        <v>539.50940860215042</v>
      </c>
    </row>
    <row r="55" spans="3:5">
      <c r="C55" t="s">
        <v>313</v>
      </c>
      <c r="D55" s="12">
        <f>D53/F43</f>
        <v>8.507046906654199E-2</v>
      </c>
      <c r="E55" s="48">
        <f>D55*D57</f>
        <v>1063380.8633317749</v>
      </c>
    </row>
    <row r="57" spans="3:5">
      <c r="C57" t="s">
        <v>301</v>
      </c>
      <c r="D57">
        <f>D35+50%*E35</f>
        <v>12500000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F641-D8AA-404C-A9DD-FD0E22D24044}">
  <dimension ref="B2:Q58"/>
  <sheetViews>
    <sheetView workbookViewId="0">
      <selection activeCell="D56" sqref="D56"/>
    </sheetView>
  </sheetViews>
  <sheetFormatPr baseColWidth="10" defaultColWidth="9.1640625" defaultRowHeight="16"/>
  <cols>
    <col min="1" max="1" width="9.1640625" style="149"/>
    <col min="2" max="2" width="22.6640625" style="149" bestFit="1" customWidth="1"/>
    <col min="3" max="3" width="31.1640625" style="149" bestFit="1" customWidth="1"/>
    <col min="4" max="4" width="18.5" style="149" customWidth="1"/>
    <col min="5" max="5" width="9.1640625" style="149"/>
    <col min="6" max="6" width="12.5" style="149" bestFit="1" customWidth="1"/>
    <col min="7" max="7" width="9" style="149" bestFit="1" customWidth="1"/>
    <col min="8" max="8" width="14" style="149" customWidth="1"/>
    <col min="9" max="9" width="9" style="149" bestFit="1" customWidth="1"/>
    <col min="10" max="10" width="17.5" style="149" bestFit="1" customWidth="1"/>
    <col min="11" max="11" width="12" style="149" bestFit="1" customWidth="1"/>
    <col min="12" max="16384" width="9.1640625" style="149"/>
  </cols>
  <sheetData>
    <row r="2" spans="3:3">
      <c r="C2" s="291"/>
    </row>
    <row r="3" spans="3:3">
      <c r="C3" s="292"/>
    </row>
    <row r="4" spans="3:3">
      <c r="C4" s="292"/>
    </row>
    <row r="9" spans="3:3">
      <c r="C9" s="291"/>
    </row>
    <row r="19" spans="2:17">
      <c r="D19" s="162" t="s">
        <v>294</v>
      </c>
      <c r="E19" s="162" t="s">
        <v>295</v>
      </c>
      <c r="F19" s="162" t="s">
        <v>296</v>
      </c>
      <c r="G19" s="162"/>
      <c r="H19" s="162"/>
      <c r="I19" s="162"/>
    </row>
    <row r="20" spans="2:17" ht="18">
      <c r="C20" s="161" t="s">
        <v>211</v>
      </c>
      <c r="D20" s="164">
        <v>0.1</v>
      </c>
      <c r="E20" s="164">
        <v>0.1</v>
      </c>
      <c r="F20" s="164">
        <v>0.1</v>
      </c>
      <c r="G20" s="164"/>
      <c r="H20" s="164"/>
      <c r="I20" s="164"/>
    </row>
    <row r="21" spans="2:17" ht="18">
      <c r="C21" s="161" t="s">
        <v>212</v>
      </c>
      <c r="D21" s="164">
        <v>0.05</v>
      </c>
      <c r="E21" s="164">
        <v>0.03</v>
      </c>
      <c r="F21" s="164">
        <v>0.05</v>
      </c>
      <c r="G21" s="164"/>
      <c r="H21" s="164"/>
      <c r="I21" s="164"/>
      <c r="K21" s="149" t="s">
        <v>314</v>
      </c>
    </row>
    <row r="22" spans="2:17">
      <c r="C22" s="161" t="s">
        <v>182</v>
      </c>
      <c r="D22" s="164">
        <v>0.3</v>
      </c>
      <c r="E22" s="164">
        <v>0.1</v>
      </c>
      <c r="F22" s="164">
        <v>0.3</v>
      </c>
      <c r="G22" s="164"/>
      <c r="H22" s="164"/>
      <c r="I22" s="164"/>
    </row>
    <row r="23" spans="2:17">
      <c r="C23" s="161" t="s">
        <v>77</v>
      </c>
      <c r="D23" s="164">
        <v>0.1</v>
      </c>
      <c r="E23" s="164">
        <v>0.1</v>
      </c>
      <c r="F23" s="164">
        <v>0.1</v>
      </c>
      <c r="G23" s="164"/>
      <c r="H23" s="164"/>
      <c r="I23" s="164"/>
      <c r="K23" s="149" t="s">
        <v>315</v>
      </c>
    </row>
    <row r="24" spans="2:17">
      <c r="C24" s="161" t="s">
        <v>300</v>
      </c>
      <c r="D24" s="164">
        <v>0.05</v>
      </c>
      <c r="E24" s="164">
        <v>0.05</v>
      </c>
      <c r="F24" s="164">
        <v>0.05</v>
      </c>
      <c r="G24" s="164"/>
      <c r="H24" s="164"/>
      <c r="I24" s="164"/>
    </row>
    <row r="25" spans="2:17">
      <c r="B25" s="149" t="s">
        <v>316</v>
      </c>
      <c r="C25" s="161" t="s">
        <v>186</v>
      </c>
      <c r="D25" s="164">
        <v>0.105</v>
      </c>
      <c r="E25" s="164">
        <v>0.11</v>
      </c>
      <c r="F25" s="164">
        <v>0.108</v>
      </c>
      <c r="G25" s="162"/>
      <c r="H25" s="162"/>
      <c r="I25" s="162"/>
    </row>
    <row r="26" spans="2:17">
      <c r="C26" s="161" t="s">
        <v>317</v>
      </c>
      <c r="D26" s="165">
        <v>100</v>
      </c>
      <c r="E26" s="165">
        <v>50</v>
      </c>
      <c r="F26" s="165">
        <v>160</v>
      </c>
      <c r="G26" s="165"/>
      <c r="H26" s="165"/>
      <c r="I26" s="165"/>
    </row>
    <row r="27" spans="2:17">
      <c r="M27" s="168"/>
    </row>
    <row r="28" spans="2:17">
      <c r="M28" s="168"/>
    </row>
    <row r="29" spans="2:17">
      <c r="M29" s="161"/>
      <c r="N29" s="161"/>
      <c r="O29" s="161"/>
      <c r="P29" s="161"/>
      <c r="Q29" s="161"/>
    </row>
    <row r="30" spans="2:17">
      <c r="M30" s="295"/>
      <c r="N30" s="295"/>
      <c r="O30" s="295"/>
      <c r="P30" s="295"/>
      <c r="Q30" s="295"/>
    </row>
    <row r="31" spans="2:17">
      <c r="C31" s="161" t="s">
        <v>190</v>
      </c>
      <c r="D31" s="164">
        <f>D20-D21*D22*D23</f>
        <v>9.8500000000000004E-2</v>
      </c>
      <c r="E31" s="164">
        <f>E20-E21*E22*E23</f>
        <v>9.9700000000000011E-2</v>
      </c>
      <c r="F31" s="164">
        <f>F20-F21*F22*F23</f>
        <v>9.8500000000000004E-2</v>
      </c>
      <c r="G31" s="164"/>
      <c r="H31" s="164"/>
      <c r="I31" s="164"/>
      <c r="M31" s="295"/>
      <c r="N31" s="295"/>
      <c r="O31" s="295"/>
      <c r="P31" s="295"/>
      <c r="Q31" s="295"/>
    </row>
    <row r="32" spans="2:17">
      <c r="B32" s="149" t="s">
        <v>318</v>
      </c>
      <c r="C32" s="161" t="s">
        <v>319</v>
      </c>
      <c r="D32" s="293">
        <f>D24/D31</f>
        <v>0.50761421319796951</v>
      </c>
      <c r="E32" s="293">
        <f>E24/E31</f>
        <v>0.50150451354062187</v>
      </c>
      <c r="F32" s="293">
        <f>F24/F31</f>
        <v>0.50761421319796951</v>
      </c>
      <c r="M32" s="295"/>
      <c r="N32" s="295"/>
      <c r="O32" s="295"/>
      <c r="P32" s="295"/>
      <c r="Q32" s="295"/>
    </row>
    <row r="33" spans="3:17">
      <c r="C33" s="161" t="s">
        <v>320</v>
      </c>
      <c r="D33" s="294">
        <f>D26/(1+D24)</f>
        <v>95.238095238095241</v>
      </c>
      <c r="E33" s="294">
        <f>E26/(1+E24)</f>
        <v>47.61904761904762</v>
      </c>
      <c r="F33" s="294">
        <f>F26/(1+F24)</f>
        <v>152.38095238095238</v>
      </c>
      <c r="G33" s="161"/>
      <c r="H33" s="161"/>
      <c r="I33" s="161"/>
      <c r="J33" s="161"/>
      <c r="K33" s="161"/>
      <c r="L33" s="161"/>
      <c r="M33" s="295"/>
      <c r="N33" s="295"/>
      <c r="O33" s="295"/>
      <c r="P33" s="295"/>
      <c r="Q33" s="295"/>
    </row>
    <row r="34" spans="3:17">
      <c r="C34" s="161" t="s">
        <v>321</v>
      </c>
      <c r="D34" s="168">
        <f>D33*D32</f>
        <v>48.344210780758999</v>
      </c>
      <c r="E34" s="168">
        <f t="shared" ref="E34:F34" si="0">E33*E32</f>
        <v>23.881167311458185</v>
      </c>
      <c r="F34" s="168">
        <f t="shared" si="0"/>
        <v>77.350737249214404</v>
      </c>
      <c r="G34" s="164"/>
      <c r="H34" s="164"/>
      <c r="I34" s="164"/>
      <c r="J34" s="165"/>
      <c r="K34" s="188"/>
      <c r="L34" s="188"/>
    </row>
    <row r="35" spans="3:17">
      <c r="C35" s="161" t="s">
        <v>65</v>
      </c>
      <c r="D35" s="168">
        <f>D33-D34</f>
        <v>46.893884457336242</v>
      </c>
      <c r="E35" s="168">
        <f t="shared" ref="E35:F35" si="1">E33-E34</f>
        <v>23.737880307589435</v>
      </c>
      <c r="F35" s="168">
        <f t="shared" si="1"/>
        <v>75.030215131737975</v>
      </c>
      <c r="G35" s="164"/>
      <c r="H35" s="164"/>
      <c r="I35" s="164"/>
      <c r="J35" s="165"/>
      <c r="K35" s="188"/>
      <c r="L35" s="188"/>
      <c r="O35" s="295"/>
      <c r="P35" s="295"/>
      <c r="Q35" s="295"/>
    </row>
    <row r="36" spans="3:17">
      <c r="C36" s="162" t="s">
        <v>322</v>
      </c>
      <c r="D36" s="296">
        <f>D35/(D31-D24)</f>
        <v>966.88421561518021</v>
      </c>
      <c r="E36" s="296">
        <f>E35/(E31-E24)</f>
        <v>477.62334622916359</v>
      </c>
      <c r="F36" s="296">
        <f>F35/(F31-F24)</f>
        <v>1547.0147449842882</v>
      </c>
      <c r="G36" s="164"/>
      <c r="H36" s="164"/>
      <c r="I36" s="164"/>
      <c r="J36" s="165"/>
      <c r="K36" s="167">
        <f>D33/D31</f>
        <v>966.8842156151801</v>
      </c>
      <c r="L36" s="188"/>
    </row>
    <row r="37" spans="3:17">
      <c r="C37" s="162" t="s">
        <v>323</v>
      </c>
      <c r="D37" s="296">
        <f>D36*D22</f>
        <v>290.06526468455405</v>
      </c>
      <c r="E37" s="296">
        <f>E36*E22</f>
        <v>47.762334622916363</v>
      </c>
      <c r="F37" s="296">
        <f>F36*F22</f>
        <v>464.10442349528643</v>
      </c>
      <c r="G37" s="164"/>
      <c r="H37" s="297">
        <f>F37-E37-D37</f>
        <v>126.27682418781603</v>
      </c>
      <c r="I37" s="164"/>
      <c r="J37" s="165"/>
      <c r="K37" s="167"/>
      <c r="L37" s="167"/>
    </row>
    <row r="38" spans="3:17">
      <c r="C38" s="162" t="s">
        <v>324</v>
      </c>
      <c r="D38" s="168">
        <f>D36-D37</f>
        <v>676.81895093062622</v>
      </c>
      <c r="E38" s="168">
        <f t="shared" ref="E38:F38" si="2">E36-E37</f>
        <v>429.86101160624725</v>
      </c>
      <c r="F38" s="168">
        <f t="shared" si="2"/>
        <v>1082.9103214890017</v>
      </c>
      <c r="H38" s="297">
        <f>F38-E38-D38</f>
        <v>-23.769641047871801</v>
      </c>
    </row>
    <row r="39" spans="3:17">
      <c r="C39" s="162" t="s">
        <v>325</v>
      </c>
      <c r="F39" s="298">
        <f>F36-E36-D36</f>
        <v>102.50718313994435</v>
      </c>
    </row>
    <row r="41" spans="3:17">
      <c r="D41" s="299"/>
      <c r="E41" s="295"/>
    </row>
    <row r="42" spans="3:17">
      <c r="C42" s="162" t="s">
        <v>326</v>
      </c>
      <c r="D42" s="300">
        <f>E38</f>
        <v>429.86101160624725</v>
      </c>
      <c r="E42" s="295"/>
      <c r="G42" s="149">
        <v>-5</v>
      </c>
    </row>
    <row r="43" spans="3:17">
      <c r="C43" s="162" t="s">
        <v>327</v>
      </c>
      <c r="D43" s="168">
        <f>D42+F39</f>
        <v>532.36819474619165</v>
      </c>
      <c r="E43" s="168">
        <f>(F38-D38)+H37</f>
        <v>532.36819474619153</v>
      </c>
      <c r="F43" s="168">
        <f>(F36-D36)-(F37-D37)+H37</f>
        <v>532.36819474619165</v>
      </c>
      <c r="G43" s="149">
        <v>5</v>
      </c>
    </row>
    <row r="46" spans="3:17">
      <c r="E46" s="295"/>
    </row>
    <row r="47" spans="3:17">
      <c r="C47" s="149" t="s">
        <v>328</v>
      </c>
      <c r="D47" s="168">
        <f>D43</f>
        <v>532.36819474619165</v>
      </c>
      <c r="E47" s="295"/>
    </row>
    <row r="48" spans="3:17">
      <c r="C48" s="149" t="s">
        <v>36</v>
      </c>
      <c r="D48" s="149">
        <v>100</v>
      </c>
      <c r="E48" s="295"/>
      <c r="F48" s="149" t="s">
        <v>329</v>
      </c>
    </row>
    <row r="49" spans="3:6">
      <c r="C49" s="149" t="s">
        <v>330</v>
      </c>
      <c r="D49" s="168">
        <f>D47-D48</f>
        <v>432.36819474619165</v>
      </c>
      <c r="E49" s="295"/>
    </row>
    <row r="50" spans="3:6">
      <c r="C50" s="149" t="s">
        <v>331</v>
      </c>
      <c r="D50" s="301">
        <f>D49/F36</f>
        <v>0.27948550338515543</v>
      </c>
    </row>
    <row r="52" spans="3:6">
      <c r="D52" s="302"/>
      <c r="E52" s="191"/>
      <c r="F52" s="191"/>
    </row>
    <row r="53" spans="3:6">
      <c r="C53" s="149" t="s">
        <v>332</v>
      </c>
      <c r="D53" s="303">
        <v>1000000</v>
      </c>
      <c r="E53" s="191" t="s">
        <v>333</v>
      </c>
      <c r="F53" s="191"/>
    </row>
    <row r="54" spans="3:6">
      <c r="C54" s="149" t="s">
        <v>334</v>
      </c>
      <c r="D54" s="188">
        <f>1-D50</f>
        <v>0.72051449661484457</v>
      </c>
      <c r="E54" s="295"/>
      <c r="F54" s="295"/>
    </row>
    <row r="56" spans="3:6">
      <c r="C56" s="149" t="s">
        <v>335</v>
      </c>
      <c r="D56" s="304">
        <f>(D53/D54)*D50</f>
        <v>387897.12725871237</v>
      </c>
    </row>
    <row r="58" spans="3:6">
      <c r="C58" s="149" t="s">
        <v>336</v>
      </c>
      <c r="D58" s="168">
        <f>D56+D53</f>
        <v>1387897.1272587124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B87B8-7A74-4F0A-B09A-7872ED3D6FA0}">
  <dimension ref="B1:I55"/>
  <sheetViews>
    <sheetView topLeftCell="A45" workbookViewId="0">
      <selection activeCell="D56" sqref="D56"/>
    </sheetView>
  </sheetViews>
  <sheetFormatPr baseColWidth="10" defaultColWidth="8.83203125" defaultRowHeight="15"/>
  <cols>
    <col min="2" max="2" width="29.33203125" customWidth="1"/>
    <col min="3" max="3" width="61.5" customWidth="1"/>
    <col min="4" max="7" width="14" style="140" customWidth="1"/>
    <col min="8" max="9" width="8" bestFit="1" customWidth="1"/>
  </cols>
  <sheetData>
    <row r="1" spans="2:3" ht="16" thickBot="1"/>
    <row r="2" spans="2:3" ht="18">
      <c r="B2" s="248" t="str">
        <f>+[1]Admin!C12</f>
        <v>Date</v>
      </c>
      <c r="C2" s="249"/>
    </row>
    <row r="3" spans="2:3" ht="18">
      <c r="B3" s="250" t="str">
        <f>+[1]Admin!C13</f>
        <v>Student name</v>
      </c>
      <c r="C3" s="141"/>
    </row>
    <row r="4" spans="2:3" ht="18">
      <c r="B4" s="250" t="str">
        <f>+[1]Admin!C14</f>
        <v>Neptun code</v>
      </c>
      <c r="C4" s="141"/>
    </row>
    <row r="5" spans="2:3" ht="18">
      <c r="B5" s="250"/>
      <c r="C5" s="142"/>
    </row>
    <row r="6" spans="2:3" ht="18">
      <c r="B6" s="250" t="str">
        <f>+[1]Admin!C16</f>
        <v>Study program</v>
      </c>
      <c r="C6" s="142" t="str">
        <f>+[1]Admin!D16</f>
        <v>Master in Finance</v>
      </c>
    </row>
    <row r="7" spans="2:3" ht="19" thickBot="1">
      <c r="B7" s="251" t="str">
        <f>+[1]Admin!C17</f>
        <v>Instructor</v>
      </c>
      <c r="C7" s="143" t="str">
        <f>+[1]Admin!D17</f>
        <v>Péter Juhász, PhD, CFA</v>
      </c>
    </row>
    <row r="8" spans="2:3" ht="16" thickBot="1"/>
    <row r="9" spans="2:3" ht="21" thickBot="1">
      <c r="B9" s="1" t="s">
        <v>114</v>
      </c>
      <c r="C9" s="2"/>
    </row>
    <row r="19" spans="2:9" ht="16">
      <c r="C19" s="28"/>
      <c r="D19" s="305" t="s">
        <v>294</v>
      </c>
      <c r="E19" s="305" t="s">
        <v>295</v>
      </c>
      <c r="F19" s="305" t="s">
        <v>296</v>
      </c>
      <c r="G19" s="305"/>
      <c r="H19" s="31"/>
      <c r="I19" s="31"/>
    </row>
    <row r="20" spans="2:9" ht="16">
      <c r="C20" s="28" t="s">
        <v>337</v>
      </c>
      <c r="D20" s="306">
        <v>10000</v>
      </c>
      <c r="E20" s="306">
        <v>4500</v>
      </c>
      <c r="F20" s="306">
        <v>14500</v>
      </c>
      <c r="G20" s="305"/>
      <c r="H20" s="31"/>
      <c r="I20" s="31"/>
    </row>
    <row r="21" spans="2:9" ht="16">
      <c r="C21" s="28" t="s">
        <v>338</v>
      </c>
      <c r="D21" s="307">
        <v>0.13</v>
      </c>
      <c r="E21" s="307">
        <v>0.14000000000000001</v>
      </c>
      <c r="F21" s="33">
        <v>0.13500000000000001</v>
      </c>
      <c r="G21" s="305"/>
      <c r="H21" s="31"/>
      <c r="I21" s="31"/>
    </row>
    <row r="22" spans="2:9" ht="16">
      <c r="C22" s="32" t="s">
        <v>339</v>
      </c>
      <c r="D22" s="33">
        <v>0.105</v>
      </c>
      <c r="E22" s="33">
        <v>0.12</v>
      </c>
      <c r="F22" s="33">
        <v>0.11</v>
      </c>
      <c r="G22" s="305"/>
      <c r="H22" s="31"/>
      <c r="I22" s="31"/>
    </row>
    <row r="23" spans="2:9" ht="18">
      <c r="C23" s="32" t="s">
        <v>181</v>
      </c>
      <c r="D23" s="33">
        <v>0.10299999999999999</v>
      </c>
      <c r="E23" s="33">
        <v>0.11</v>
      </c>
      <c r="F23" s="33">
        <v>0.105</v>
      </c>
      <c r="G23" s="33"/>
      <c r="H23" s="33"/>
      <c r="I23" s="33"/>
    </row>
    <row r="24" spans="2:9" ht="18">
      <c r="C24" s="32" t="s">
        <v>184</v>
      </c>
      <c r="D24" s="33">
        <v>0.05</v>
      </c>
      <c r="E24" s="33">
        <v>0.03</v>
      </c>
      <c r="F24" s="33">
        <v>0.05</v>
      </c>
      <c r="G24" s="33"/>
      <c r="H24" s="33"/>
      <c r="I24" s="33"/>
    </row>
    <row r="25" spans="2:9" ht="16">
      <c r="C25" s="32" t="s">
        <v>182</v>
      </c>
      <c r="D25" s="33">
        <v>0.2</v>
      </c>
      <c r="E25" s="33">
        <v>0.2</v>
      </c>
      <c r="F25" s="33">
        <v>0.25</v>
      </c>
      <c r="G25" s="33"/>
      <c r="H25" s="33"/>
      <c r="I25" s="33"/>
    </row>
    <row r="26" spans="2:9" ht="16">
      <c r="C26" s="32" t="s">
        <v>77</v>
      </c>
      <c r="D26" s="33">
        <v>0.1</v>
      </c>
      <c r="E26" s="33">
        <v>0.1</v>
      </c>
      <c r="F26" s="33">
        <v>0.1</v>
      </c>
      <c r="G26" s="33"/>
      <c r="H26" s="33"/>
      <c r="I26" s="33"/>
    </row>
    <row r="27" spans="2:9" ht="16">
      <c r="C27" s="32" t="s">
        <v>300</v>
      </c>
      <c r="D27" s="33">
        <v>0.05</v>
      </c>
      <c r="E27" s="33">
        <v>0.06</v>
      </c>
      <c r="F27" s="33">
        <v>5.1999999999999998E-2</v>
      </c>
      <c r="G27" s="33"/>
      <c r="H27" s="33"/>
      <c r="I27" s="33"/>
    </row>
    <row r="28" spans="2:9" ht="16">
      <c r="G28" s="305"/>
      <c r="H28" s="31"/>
      <c r="I28" s="31"/>
    </row>
    <row r="29" spans="2:9" ht="16">
      <c r="C29" s="32" t="s">
        <v>301</v>
      </c>
      <c r="D29" s="308">
        <v>1000000</v>
      </c>
      <c r="E29" s="308">
        <v>200000</v>
      </c>
      <c r="F29" s="33"/>
      <c r="G29" s="33"/>
      <c r="H29" s="33"/>
      <c r="I29" s="33"/>
    </row>
    <row r="31" spans="2:9" ht="16">
      <c r="B31" s="309"/>
      <c r="C31" s="32"/>
      <c r="D31" s="310"/>
      <c r="E31" s="310"/>
      <c r="F31" s="310"/>
    </row>
    <row r="32" spans="2:9" ht="16">
      <c r="B32" s="311" t="s">
        <v>340</v>
      </c>
      <c r="C32" s="178" t="s">
        <v>65</v>
      </c>
      <c r="D32" s="312">
        <f>D20*D21*(1-D27/D22)</f>
        <v>680.95238095238085</v>
      </c>
      <c r="E32" s="312">
        <f t="shared" ref="E32:F32" si="0">E20*E21*(1-E27/E22)</f>
        <v>315.00000000000006</v>
      </c>
      <c r="F32" s="312">
        <f t="shared" si="0"/>
        <v>1032.136363636364</v>
      </c>
      <c r="G32" s="313"/>
    </row>
    <row r="33" spans="2:7" ht="16">
      <c r="C33" t="s">
        <v>273</v>
      </c>
      <c r="D33" s="33">
        <f>D23-D25*D24*D26</f>
        <v>0.10199999999999999</v>
      </c>
      <c r="E33" s="33">
        <f t="shared" ref="E33:F33" si="1">E23-E25*E24*E26</f>
        <v>0.1094</v>
      </c>
      <c r="F33" s="33">
        <f t="shared" si="1"/>
        <v>0.10375</v>
      </c>
      <c r="G33" s="33"/>
    </row>
    <row r="34" spans="2:7" ht="16">
      <c r="D34" s="33"/>
      <c r="E34" s="33"/>
      <c r="F34" s="33"/>
      <c r="G34" s="33"/>
    </row>
    <row r="35" spans="2:7" ht="16">
      <c r="G35" s="314" t="s">
        <v>303</v>
      </c>
    </row>
    <row r="36" spans="2:7" ht="16">
      <c r="C36" s="178" t="s">
        <v>304</v>
      </c>
      <c r="D36" s="315">
        <f>D32/(D33-D27)</f>
        <v>13095.238095238095</v>
      </c>
      <c r="E36" s="315">
        <f>E32/(E33-E27)</f>
        <v>6376.5182186234833</v>
      </c>
      <c r="F36" s="315">
        <f>F32/(F33-F27)</f>
        <v>19944.664031620559</v>
      </c>
      <c r="G36" s="316">
        <f>F36-(D36+E36)</f>
        <v>472.90771775897883</v>
      </c>
    </row>
    <row r="37" spans="2:7" ht="16">
      <c r="C37" t="s">
        <v>305</v>
      </c>
      <c r="D37" s="317">
        <f>D36*D25</f>
        <v>2619.0476190476193</v>
      </c>
      <c r="E37" s="317">
        <f t="shared" ref="E37:F37" si="2">E36*E25</f>
        <v>1275.3036437246967</v>
      </c>
      <c r="F37" s="317">
        <f t="shared" si="2"/>
        <v>4986.1660079051398</v>
      </c>
      <c r="G37" s="318"/>
    </row>
    <row r="38" spans="2:7" ht="16">
      <c r="C38" t="s">
        <v>306</v>
      </c>
      <c r="D38" s="319">
        <f>D36-D37</f>
        <v>10476.190476190477</v>
      </c>
      <c r="E38" s="320">
        <f t="shared" ref="E38:F38" si="3">E36-E37</f>
        <v>5101.2145748987869</v>
      </c>
      <c r="F38" s="319">
        <f t="shared" si="3"/>
        <v>14958.49802371542</v>
      </c>
      <c r="G38" s="319"/>
    </row>
    <row r="40" spans="2:7" ht="16">
      <c r="C40" s="199" t="s">
        <v>341</v>
      </c>
      <c r="D40" s="321">
        <f>E38+G36</f>
        <v>5574.1222926577657</v>
      </c>
    </row>
    <row r="41" spans="2:7">
      <c r="D41" s="322"/>
      <c r="E41" s="323"/>
    </row>
    <row r="42" spans="2:7">
      <c r="C42" t="s">
        <v>342</v>
      </c>
      <c r="D42" s="322">
        <v>200</v>
      </c>
    </row>
    <row r="43" spans="2:7" ht="16">
      <c r="B43" s="146" t="s">
        <v>343</v>
      </c>
      <c r="C43" t="s">
        <v>344</v>
      </c>
      <c r="D43" s="322">
        <f>E38+50%*G36-D42</f>
        <v>5137.6684337782763</v>
      </c>
    </row>
    <row r="44" spans="2:7" ht="16">
      <c r="C44" s="199" t="s">
        <v>345</v>
      </c>
      <c r="D44" s="324">
        <f>+D43/F38</f>
        <v>0.34346151770270933</v>
      </c>
    </row>
    <row r="46" spans="2:7">
      <c r="B46" s="622" t="s">
        <v>346</v>
      </c>
      <c r="C46" s="325" t="s">
        <v>347</v>
      </c>
      <c r="D46" s="326">
        <f>D29+E29</f>
        <v>1200000</v>
      </c>
    </row>
    <row r="47" spans="2:7">
      <c r="B47" s="622"/>
      <c r="C47" s="327" t="s">
        <v>348</v>
      </c>
      <c r="D47" s="328">
        <f>1-D44</f>
        <v>0.65653848229729062</v>
      </c>
    </row>
    <row r="48" spans="2:7" ht="16">
      <c r="B48" s="329"/>
      <c r="C48" s="330"/>
      <c r="D48" s="331"/>
    </row>
    <row r="49" spans="2:6" ht="16">
      <c r="C49" s="199" t="s">
        <v>349</v>
      </c>
      <c r="D49" s="332">
        <f>D46/D47*D44</f>
        <v>627767.95626828412</v>
      </c>
    </row>
    <row r="51" spans="2:6">
      <c r="B51" s="623" t="s">
        <v>105</v>
      </c>
      <c r="C51" t="s">
        <v>350</v>
      </c>
      <c r="D51" s="333">
        <f>D49+D46</f>
        <v>1827767.956268284</v>
      </c>
    </row>
    <row r="52" spans="2:6">
      <c r="B52" s="623"/>
      <c r="C52" t="s">
        <v>351</v>
      </c>
      <c r="D52" s="334">
        <f>D51*D47</f>
        <v>1199999.9999999998</v>
      </c>
    </row>
    <row r="53" spans="2:6">
      <c r="B53" s="623"/>
      <c r="C53" t="s">
        <v>352</v>
      </c>
      <c r="D53" s="334">
        <f>D51*D44</f>
        <v>627767.95626828412</v>
      </c>
    </row>
    <row r="55" spans="2:6" ht="16">
      <c r="C55" s="335" t="s">
        <v>353</v>
      </c>
      <c r="D55" s="336">
        <f>D51/D46</f>
        <v>1.5231399635569034</v>
      </c>
      <c r="E55" s="310"/>
      <c r="F55" s="310"/>
    </row>
  </sheetData>
  <mergeCells count="2">
    <mergeCell ref="B46:B47"/>
    <mergeCell ref="B51:B5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63D1-5E3B-4C48-9212-C4056159B95B}">
  <dimension ref="B2:K61"/>
  <sheetViews>
    <sheetView workbookViewId="0">
      <selection activeCell="B19" sqref="B19"/>
    </sheetView>
  </sheetViews>
  <sheetFormatPr baseColWidth="10" defaultColWidth="8.83203125" defaultRowHeight="15"/>
  <cols>
    <col min="2" max="2" width="50.5" bestFit="1" customWidth="1"/>
    <col min="3" max="3" width="34.6640625" bestFit="1" customWidth="1"/>
    <col min="4" max="4" width="10.1640625" customWidth="1"/>
    <col min="5" max="5" width="16.5" bestFit="1" customWidth="1"/>
    <col min="6" max="6" width="14.5" bestFit="1" customWidth="1"/>
    <col min="7" max="7" width="18.33203125" bestFit="1" customWidth="1"/>
    <col min="10" max="10" width="18.33203125" bestFit="1" customWidth="1"/>
    <col min="11" max="11" width="10.1640625" customWidth="1"/>
  </cols>
  <sheetData>
    <row r="2" spans="2:11" ht="16">
      <c r="B2" s="490" t="s">
        <v>354</v>
      </c>
      <c r="C2" s="490"/>
      <c r="D2" s="490"/>
    </row>
    <row r="4" spans="2:11">
      <c r="C4" t="s">
        <v>355</v>
      </c>
      <c r="J4" t="s">
        <v>356</v>
      </c>
    </row>
    <row r="5" spans="2:11">
      <c r="B5" t="s">
        <v>357</v>
      </c>
      <c r="C5" t="s">
        <v>358</v>
      </c>
      <c r="E5" t="s">
        <v>359</v>
      </c>
      <c r="J5" t="s">
        <v>360</v>
      </c>
    </row>
    <row r="6" spans="2:11">
      <c r="C6" t="s">
        <v>361</v>
      </c>
      <c r="D6">
        <f>+D4-D5</f>
        <v>0</v>
      </c>
      <c r="J6" t="s">
        <v>362</v>
      </c>
      <c r="K6" s="372">
        <f>K4-K5</f>
        <v>0</v>
      </c>
    </row>
    <row r="7" spans="2:11">
      <c r="C7" s="491" t="s">
        <v>363</v>
      </c>
      <c r="D7" s="491"/>
      <c r="E7" t="s">
        <v>364</v>
      </c>
      <c r="J7" t="s">
        <v>365</v>
      </c>
    </row>
    <row r="8" spans="2:11">
      <c r="J8" s="491" t="s">
        <v>363</v>
      </c>
      <c r="K8" s="491">
        <f>+K7-D11</f>
        <v>0</v>
      </c>
    </row>
    <row r="10" spans="2:11" ht="16">
      <c r="B10" s="490" t="s">
        <v>366</v>
      </c>
      <c r="C10" s="490"/>
      <c r="D10" s="490"/>
    </row>
    <row r="12" spans="2:11">
      <c r="B12" t="s">
        <v>367</v>
      </c>
      <c r="C12" t="s">
        <v>368</v>
      </c>
      <c r="E12" s="492" t="s">
        <v>369</v>
      </c>
    </row>
    <row r="13" spans="2:11">
      <c r="B13" t="s">
        <v>370</v>
      </c>
      <c r="C13" s="436" t="s">
        <v>360</v>
      </c>
      <c r="D13" s="436"/>
      <c r="E13" s="492" t="s">
        <v>371</v>
      </c>
    </row>
    <row r="14" spans="2:11">
      <c r="C14" t="s">
        <v>372</v>
      </c>
      <c r="D14">
        <f>+D12-D13</f>
        <v>0</v>
      </c>
    </row>
    <row r="15" spans="2:11">
      <c r="B15" t="s">
        <v>373</v>
      </c>
      <c r="C15" t="s">
        <v>374</v>
      </c>
    </row>
    <row r="16" spans="2:11" ht="16">
      <c r="C16" s="67" t="s">
        <v>375</v>
      </c>
      <c r="D16" s="67">
        <f>+D14-D15</f>
        <v>0</v>
      </c>
    </row>
    <row r="18" spans="2:9" ht="16">
      <c r="B18" t="s">
        <v>376</v>
      </c>
      <c r="C18" s="493" t="s">
        <v>377</v>
      </c>
      <c r="D18" s="493">
        <f>+'[2]Asset Based'!D12-'[2]Asset Based'!D15</f>
        <v>0</v>
      </c>
      <c r="E18">
        <f>D13+D16</f>
        <v>0</v>
      </c>
      <c r="F18" t="s">
        <v>378</v>
      </c>
    </row>
    <row r="22" spans="2:9" ht="16">
      <c r="B22" s="490" t="s">
        <v>379</v>
      </c>
      <c r="C22" s="490"/>
      <c r="D22" s="490"/>
    </row>
    <row r="24" spans="2:9" ht="16">
      <c r="C24" s="67" t="s">
        <v>380</v>
      </c>
      <c r="F24" s="67" t="s">
        <v>381</v>
      </c>
    </row>
    <row r="25" spans="2:9">
      <c r="B25" t="s">
        <v>382</v>
      </c>
      <c r="C25" s="494" t="s">
        <v>383</v>
      </c>
      <c r="F25" s="264" t="str">
        <f>+C25</f>
        <v>Revenue</v>
      </c>
      <c r="G25">
        <f>+D25</f>
        <v>0</v>
      </c>
    </row>
    <row r="26" spans="2:9">
      <c r="B26" t="s">
        <v>384</v>
      </c>
      <c r="C26" s="494" t="s">
        <v>385</v>
      </c>
      <c r="F26" s="264" t="str">
        <f>+C26</f>
        <v>Costs</v>
      </c>
      <c r="G26">
        <f>+D26</f>
        <v>0</v>
      </c>
    </row>
    <row r="27" spans="2:9">
      <c r="B27" t="s">
        <v>386</v>
      </c>
      <c r="C27" s="495" t="s">
        <v>387</v>
      </c>
      <c r="D27" s="436"/>
      <c r="F27" s="265" t="str">
        <f>+C29</f>
        <v>Tax on Profit</v>
      </c>
      <c r="G27" s="436">
        <f>+D29</f>
        <v>0</v>
      </c>
    </row>
    <row r="28" spans="2:9" ht="16">
      <c r="C28" s="494" t="s">
        <v>388</v>
      </c>
      <c r="D28">
        <f>+D25-D26-D27</f>
        <v>0</v>
      </c>
      <c r="F28" s="67" t="s">
        <v>389</v>
      </c>
      <c r="G28">
        <f>+G25-G26-G27</f>
        <v>0</v>
      </c>
      <c r="H28">
        <f>+D30+D27</f>
        <v>0</v>
      </c>
      <c r="I28" t="s">
        <v>378</v>
      </c>
    </row>
    <row r="29" spans="2:9" ht="16">
      <c r="B29" t="s">
        <v>390</v>
      </c>
      <c r="C29" s="494" t="s">
        <v>391</v>
      </c>
      <c r="D29" s="140"/>
      <c r="F29" s="496" t="s">
        <v>392</v>
      </c>
      <c r="G29" s="491"/>
      <c r="H29" t="s">
        <v>393</v>
      </c>
    </row>
    <row r="30" spans="2:9">
      <c r="C30" s="494" t="s">
        <v>52</v>
      </c>
      <c r="D30">
        <f>+D28-D29</f>
        <v>0</v>
      </c>
    </row>
    <row r="32" spans="2:9" ht="16">
      <c r="B32" s="490" t="s">
        <v>394</v>
      </c>
      <c r="C32" s="490"/>
      <c r="D32" s="490"/>
    </row>
    <row r="34" spans="2:7">
      <c r="C34" s="61" t="s">
        <v>395</v>
      </c>
      <c r="D34" s="61"/>
    </row>
    <row r="35" spans="2:7">
      <c r="C35" s="63" t="s">
        <v>396</v>
      </c>
      <c r="D35" s="63"/>
    </row>
    <row r="36" spans="2:7">
      <c r="C36" s="63" t="s">
        <v>397</v>
      </c>
      <c r="D36" s="63"/>
    </row>
    <row r="37" spans="2:7">
      <c r="C37" s="65" t="s">
        <v>398</v>
      </c>
      <c r="D37" s="66"/>
    </row>
    <row r="39" spans="2:7">
      <c r="C39" t="s">
        <v>399</v>
      </c>
    </row>
    <row r="40" spans="2:7">
      <c r="B40" t="s">
        <v>400</v>
      </c>
      <c r="C40" t="s">
        <v>401</v>
      </c>
      <c r="E40" t="s">
        <v>402</v>
      </c>
    </row>
    <row r="41" spans="2:7">
      <c r="B41" t="s">
        <v>403</v>
      </c>
      <c r="C41" t="s">
        <v>24</v>
      </c>
      <c r="E41" t="s">
        <v>404</v>
      </c>
      <c r="G41" t="s">
        <v>405</v>
      </c>
    </row>
    <row r="43" spans="2:7">
      <c r="B43" t="s">
        <v>406</v>
      </c>
      <c r="C43" t="s">
        <v>368</v>
      </c>
    </row>
    <row r="44" spans="2:7">
      <c r="C44" t="s">
        <v>407</v>
      </c>
    </row>
    <row r="46" spans="2:7" ht="16">
      <c r="B46" t="s">
        <v>408</v>
      </c>
      <c r="C46" s="67" t="s">
        <v>409</v>
      </c>
      <c r="D46" t="e">
        <f>((D44/(D34-D37)*(1-(1+D37)^D36/(1+D34)^D36)))</f>
        <v>#DIV/0!</v>
      </c>
      <c r="E46" t="s">
        <v>410</v>
      </c>
    </row>
    <row r="47" spans="2:7" ht="16">
      <c r="C47" s="67"/>
    </row>
    <row r="49" spans="2:5">
      <c r="B49" t="s">
        <v>411</v>
      </c>
      <c r="C49" t="s">
        <v>412</v>
      </c>
    </row>
    <row r="50" spans="2:5">
      <c r="B50" t="s">
        <v>413</v>
      </c>
      <c r="C50" t="s">
        <v>414</v>
      </c>
      <c r="D50" t="e">
        <f>D49/D34*(1-(1/(1+D34)^D35))</f>
        <v>#DIV/0!</v>
      </c>
      <c r="E50" t="s">
        <v>415</v>
      </c>
    </row>
    <row r="52" spans="2:5">
      <c r="B52" t="s">
        <v>416</v>
      </c>
      <c r="C52" t="s">
        <v>417</v>
      </c>
      <c r="D52" t="e">
        <f>+D46+D50</f>
        <v>#DIV/0!</v>
      </c>
    </row>
    <row r="53" spans="2:5">
      <c r="B53" t="s">
        <v>418</v>
      </c>
      <c r="C53" t="s">
        <v>419</v>
      </c>
      <c r="D53">
        <f>D39</f>
        <v>0</v>
      </c>
    </row>
    <row r="54" spans="2:5">
      <c r="B54" t="s">
        <v>420</v>
      </c>
      <c r="C54" t="s">
        <v>421</v>
      </c>
      <c r="D54" t="e">
        <f>D52-D53</f>
        <v>#DIV/0!</v>
      </c>
    </row>
    <row r="55" spans="2:5">
      <c r="B55" t="s">
        <v>422</v>
      </c>
      <c r="C55" t="s">
        <v>423</v>
      </c>
    </row>
    <row r="59" spans="2:5" ht="16">
      <c r="C59" s="497"/>
    </row>
    <row r="60" spans="2:5" ht="16">
      <c r="C60" s="497" t="s">
        <v>424</v>
      </c>
      <c r="D60" s="473"/>
      <c r="E60" s="473"/>
    </row>
    <row r="61" spans="2:5" ht="16">
      <c r="C61" s="497" t="s">
        <v>425</v>
      </c>
      <c r="D61" s="473"/>
      <c r="E61" s="473"/>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83330-BAA2-4239-89B9-795D23C923D6}">
  <dimension ref="B8:I51"/>
  <sheetViews>
    <sheetView topLeftCell="A16" workbookViewId="0">
      <selection activeCell="B9" sqref="B9"/>
    </sheetView>
  </sheetViews>
  <sheetFormatPr baseColWidth="10" defaultColWidth="8.83203125" defaultRowHeight="15"/>
  <cols>
    <col min="2" max="2" width="42.1640625" bestFit="1" customWidth="1"/>
    <col min="3" max="3" width="27.6640625" bestFit="1" customWidth="1"/>
    <col min="4" max="4" width="10.1640625" bestFit="1" customWidth="1"/>
    <col min="5" max="5" width="8" bestFit="1" customWidth="1"/>
    <col min="6" max="6" width="32.5" bestFit="1" customWidth="1"/>
    <col min="7" max="7" width="26.5" bestFit="1" customWidth="1"/>
    <col min="8" max="8" width="8.5" bestFit="1" customWidth="1"/>
    <col min="9" max="9" width="32" bestFit="1" customWidth="1"/>
  </cols>
  <sheetData>
    <row r="8" spans="2:3" ht="16" thickBot="1"/>
    <row r="9" spans="2:3" ht="21" thickBot="1">
      <c r="B9" s="1" t="s">
        <v>19</v>
      </c>
      <c r="C9" s="2"/>
    </row>
    <row r="20" spans="2:9">
      <c r="B20" t="s">
        <v>426</v>
      </c>
      <c r="C20" s="12">
        <v>0.15</v>
      </c>
      <c r="G20" s="61" t="s">
        <v>395</v>
      </c>
      <c r="H20" s="62">
        <f>C21</f>
        <v>0.09</v>
      </c>
    </row>
    <row r="21" spans="2:9">
      <c r="B21" t="s">
        <v>427</v>
      </c>
      <c r="C21" s="12">
        <v>0.09</v>
      </c>
      <c r="G21" s="63" t="s">
        <v>396</v>
      </c>
      <c r="H21" s="63">
        <f>C27</f>
        <v>20</v>
      </c>
    </row>
    <row r="22" spans="2:9">
      <c r="B22" t="s">
        <v>428</v>
      </c>
      <c r="C22" s="64">
        <v>0.08</v>
      </c>
      <c r="G22" s="63" t="s">
        <v>397</v>
      </c>
      <c r="H22" s="63">
        <f>C26</f>
        <v>25</v>
      </c>
    </row>
    <row r="23" spans="2:9">
      <c r="B23" t="s">
        <v>429</v>
      </c>
      <c r="C23" s="35">
        <v>0.02</v>
      </c>
      <c r="G23" s="65" t="s">
        <v>398</v>
      </c>
      <c r="H23" s="66">
        <f>C30</f>
        <v>0.05</v>
      </c>
    </row>
    <row r="24" spans="2:9">
      <c r="C24" s="64"/>
    </row>
    <row r="25" spans="2:9">
      <c r="B25" t="s">
        <v>430</v>
      </c>
      <c r="C25">
        <v>20</v>
      </c>
      <c r="D25" t="s">
        <v>431</v>
      </c>
      <c r="G25" t="s">
        <v>399</v>
      </c>
    </row>
    <row r="26" spans="2:9">
      <c r="B26" t="s">
        <v>432</v>
      </c>
      <c r="C26">
        <v>25</v>
      </c>
      <c r="D26" t="s">
        <v>431</v>
      </c>
      <c r="F26" t="s">
        <v>400</v>
      </c>
      <c r="G26" t="s">
        <v>401</v>
      </c>
      <c r="I26" t="s">
        <v>402</v>
      </c>
    </row>
    <row r="27" spans="2:9">
      <c r="B27" t="s">
        <v>433</v>
      </c>
      <c r="C27">
        <v>20</v>
      </c>
      <c r="D27" t="s">
        <v>431</v>
      </c>
      <c r="F27" t="s">
        <v>403</v>
      </c>
      <c r="G27" t="s">
        <v>24</v>
      </c>
      <c r="H27">
        <f>C32/H21</f>
        <v>1400</v>
      </c>
      <c r="I27" t="s">
        <v>404</v>
      </c>
    </row>
    <row r="29" spans="2:9">
      <c r="B29" t="s">
        <v>434</v>
      </c>
      <c r="C29" s="14">
        <v>200</v>
      </c>
      <c r="F29" t="s">
        <v>406</v>
      </c>
      <c r="G29" t="s">
        <v>368</v>
      </c>
      <c r="H29">
        <f>C29*12</f>
        <v>2400</v>
      </c>
    </row>
    <row r="30" spans="2:9">
      <c r="B30" t="s">
        <v>435</v>
      </c>
      <c r="C30" s="64">
        <v>0.05</v>
      </c>
      <c r="G30" t="s">
        <v>407</v>
      </c>
      <c r="H30">
        <f>H29*(1-C20)</f>
        <v>2040</v>
      </c>
    </row>
    <row r="32" spans="2:9" ht="16">
      <c r="B32" t="s">
        <v>436</v>
      </c>
      <c r="C32">
        <v>28000</v>
      </c>
      <c r="F32" t="s">
        <v>408</v>
      </c>
      <c r="G32" s="67" t="s">
        <v>409</v>
      </c>
      <c r="H32" s="68">
        <f>((H30/(H20-H23)*(1-(1+H23)^H22/(1+H20)^H22)))</f>
        <v>30971.879101291695</v>
      </c>
      <c r="I32" t="s">
        <v>410</v>
      </c>
    </row>
    <row r="33" spans="2:9" ht="16">
      <c r="B33" t="s">
        <v>437</v>
      </c>
      <c r="C33">
        <v>50000</v>
      </c>
      <c r="G33" s="67"/>
    </row>
    <row r="35" spans="2:9">
      <c r="B35" t="s">
        <v>24</v>
      </c>
      <c r="C35">
        <f>C32/C27</f>
        <v>1400</v>
      </c>
      <c r="F35" t="s">
        <v>411</v>
      </c>
      <c r="G35" t="s">
        <v>412</v>
      </c>
      <c r="H35">
        <f>H27*C20</f>
        <v>210</v>
      </c>
      <c r="I35" t="s">
        <v>411</v>
      </c>
    </row>
    <row r="36" spans="2:9" ht="16">
      <c r="F36" t="s">
        <v>413</v>
      </c>
      <c r="G36" t="s">
        <v>414</v>
      </c>
      <c r="H36" s="69">
        <f>H35/H20*(1-(1/(1+H20)^H21))</f>
        <v>1916.9945905080435</v>
      </c>
      <c r="I36" t="s">
        <v>415</v>
      </c>
    </row>
    <row r="37" spans="2:9" ht="16">
      <c r="B37" s="70" t="s">
        <v>438</v>
      </c>
      <c r="C37" s="71">
        <f>C29/(C21-C30)*(1-((1+C30)^C26)/((1+C21)^C26))</f>
        <v>3036.4587354207547</v>
      </c>
    </row>
    <row r="38" spans="2:9" ht="16">
      <c r="B38" s="70" t="s">
        <v>439</v>
      </c>
      <c r="C38" s="71">
        <f>C35*C20/C21*(1-1/(1+C21)^C27)</f>
        <v>1916.9945905080435</v>
      </c>
      <c r="F38" t="s">
        <v>416</v>
      </c>
      <c r="G38" t="s">
        <v>417</v>
      </c>
      <c r="H38">
        <f>+H32+H36</f>
        <v>32888.873691799738</v>
      </c>
    </row>
    <row r="39" spans="2:9" ht="16">
      <c r="B39" s="70" t="s">
        <v>440</v>
      </c>
      <c r="C39" s="71">
        <f>+C37+C38</f>
        <v>4953.4533259287982</v>
      </c>
      <c r="F39" t="s">
        <v>418</v>
      </c>
      <c r="G39" t="s">
        <v>419</v>
      </c>
      <c r="H39">
        <f>H25</f>
        <v>0</v>
      </c>
    </row>
    <row r="40" spans="2:9" ht="16">
      <c r="B40" t="s">
        <v>441</v>
      </c>
      <c r="C40" s="72">
        <f>C32</f>
        <v>28000</v>
      </c>
      <c r="F40" t="s">
        <v>420</v>
      </c>
      <c r="G40" t="s">
        <v>421</v>
      </c>
      <c r="H40" s="73">
        <f>H38-H39</f>
        <v>32888.873691799738</v>
      </c>
    </row>
    <row r="41" spans="2:9">
      <c r="B41" t="s">
        <v>442</v>
      </c>
      <c r="C41" s="72">
        <f>C39+C40</f>
        <v>32953.4533259288</v>
      </c>
      <c r="F41" t="s">
        <v>422</v>
      </c>
      <c r="G41" t="s">
        <v>423</v>
      </c>
    </row>
    <row r="42" spans="2:9">
      <c r="B42" t="s">
        <v>423</v>
      </c>
      <c r="C42" s="74">
        <f>C41/(1+C21)^20</f>
        <v>5879.9139983438827</v>
      </c>
    </row>
    <row r="46" spans="2:9" ht="16">
      <c r="B46" s="75" t="s">
        <v>443</v>
      </c>
      <c r="C46" s="76">
        <f>+C33*(1+C23)^C25*C32/C33</f>
        <v>41606.527087393923</v>
      </c>
    </row>
    <row r="47" spans="2:9" ht="16">
      <c r="B47" s="75" t="s">
        <v>444</v>
      </c>
      <c r="C47" s="76">
        <f>+C29*12/C22</f>
        <v>30000</v>
      </c>
    </row>
    <row r="49" spans="2:3" ht="16">
      <c r="B49" s="75" t="s">
        <v>5</v>
      </c>
      <c r="C49" s="77">
        <f>+C50+C51</f>
        <v>32888.873691799738</v>
      </c>
    </row>
    <row r="50" spans="2:3" ht="16">
      <c r="B50" s="75" t="s">
        <v>445</v>
      </c>
      <c r="C50" s="78">
        <f>+C29*12*(1-C20)/(C21-C30)*(1-(1+C30)^C26/(1+C21)^C26)</f>
        <v>30971.879101291695</v>
      </c>
    </row>
    <row r="51" spans="2:3" ht="16">
      <c r="B51" s="75" t="s">
        <v>446</v>
      </c>
      <c r="C51" s="69">
        <f>+C32/C27*C20/C21*(1-1/(1+C21)^C27)</f>
        <v>1916.9945905080435</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049CD-A861-4AD6-AFC3-7D96CF913B86}">
  <dimension ref="B8:P34"/>
  <sheetViews>
    <sheetView topLeftCell="A10" zoomScaleNormal="100" workbookViewId="0">
      <selection activeCell="B17" sqref="B17:R43"/>
    </sheetView>
  </sheetViews>
  <sheetFormatPr baseColWidth="10" defaultColWidth="8.83203125" defaultRowHeight="15"/>
  <cols>
    <col min="2" max="2" width="20.83203125" bestFit="1" customWidth="1"/>
    <col min="3" max="3" width="27" bestFit="1" customWidth="1"/>
    <col min="4" max="4" width="18.5" bestFit="1" customWidth="1"/>
    <col min="5" max="5" width="14.6640625" bestFit="1" customWidth="1"/>
    <col min="6" max="6" width="16" customWidth="1"/>
    <col min="7" max="7" width="10.83203125" customWidth="1"/>
    <col min="8" max="8" width="15.5" bestFit="1" customWidth="1"/>
    <col min="9" max="9" width="19" bestFit="1" customWidth="1"/>
    <col min="10" max="10" width="8.5" bestFit="1" customWidth="1"/>
    <col min="11" max="11" width="7.33203125" bestFit="1" customWidth="1"/>
    <col min="12" max="12" width="8.5" bestFit="1" customWidth="1"/>
    <col min="13" max="14" width="8.5" customWidth="1"/>
    <col min="15" max="15" width="12.1640625" bestFit="1" customWidth="1"/>
    <col min="16" max="16" width="7.83203125" bestFit="1" customWidth="1"/>
  </cols>
  <sheetData>
    <row r="8" spans="2:3" ht="16" thickBot="1"/>
    <row r="9" spans="2:3" ht="21" thickBot="1">
      <c r="B9" s="1" t="s">
        <v>19</v>
      </c>
      <c r="C9" s="2"/>
    </row>
    <row r="18" spans="2:16">
      <c r="B18" t="s">
        <v>447</v>
      </c>
      <c r="C18" s="64">
        <v>0.03</v>
      </c>
    </row>
    <row r="19" spans="2:16">
      <c r="B19" t="s">
        <v>448</v>
      </c>
      <c r="C19" s="64">
        <v>0.06</v>
      </c>
    </row>
    <row r="21" spans="2:16" ht="16">
      <c r="B21" s="30" t="s">
        <v>449</v>
      </c>
    </row>
    <row r="22" spans="2:16">
      <c r="B22" t="s">
        <v>298</v>
      </c>
      <c r="C22" s="35">
        <v>0.5</v>
      </c>
    </row>
    <row r="23" spans="2:16">
      <c r="B23" t="s">
        <v>162</v>
      </c>
      <c r="C23" s="35">
        <v>0.05</v>
      </c>
    </row>
    <row r="24" spans="2:16" ht="20">
      <c r="K24" s="80"/>
    </row>
    <row r="26" spans="2:16" ht="16">
      <c r="B26" s="75"/>
      <c r="C26" s="613"/>
    </row>
    <row r="30" spans="2:16" ht="16">
      <c r="C30" s="30" t="s">
        <v>450</v>
      </c>
      <c r="D30" s="30" t="s">
        <v>451</v>
      </c>
      <c r="E30" s="30" t="s">
        <v>452</v>
      </c>
      <c r="F30" s="30" t="s">
        <v>453</v>
      </c>
      <c r="G30" s="30" t="s">
        <v>199</v>
      </c>
      <c r="H30" s="30" t="s">
        <v>454</v>
      </c>
      <c r="I30" s="30" t="s">
        <v>455</v>
      </c>
      <c r="J30" s="30" t="s">
        <v>456</v>
      </c>
      <c r="K30" s="30" t="s">
        <v>162</v>
      </c>
      <c r="L30" s="30" t="s">
        <v>298</v>
      </c>
      <c r="M30" s="30" t="s">
        <v>457</v>
      </c>
      <c r="N30" s="30" t="s">
        <v>458</v>
      </c>
      <c r="O30" s="30" t="s">
        <v>306</v>
      </c>
      <c r="P30" s="30" t="s">
        <v>259</v>
      </c>
    </row>
    <row r="31" spans="2:16" ht="16">
      <c r="B31" s="30" t="s">
        <v>459</v>
      </c>
      <c r="C31" s="17">
        <v>10</v>
      </c>
      <c r="D31" s="17">
        <v>1000000</v>
      </c>
      <c r="E31" s="41">
        <f>C31*D31</f>
        <v>10000000</v>
      </c>
      <c r="F31" s="81">
        <f>(G31-C18)/C19</f>
        <v>1.3333333333333335</v>
      </c>
      <c r="G31" s="35">
        <v>0.11</v>
      </c>
      <c r="H31" s="17">
        <v>5000000</v>
      </c>
      <c r="I31" s="44">
        <f>K31-C18</f>
        <v>1.1999999999999997E-2</v>
      </c>
      <c r="J31" s="14">
        <v>0.2</v>
      </c>
      <c r="K31" s="45">
        <f>C18+J31*C19</f>
        <v>4.1999999999999996E-2</v>
      </c>
      <c r="L31" s="82">
        <f>H31/(E31+H31)</f>
        <v>0.33333333333333331</v>
      </c>
      <c r="M31" s="614">
        <f>L31/(1-L31)</f>
        <v>0.49999999999999989</v>
      </c>
      <c r="N31" s="614">
        <f>1-L31</f>
        <v>0.66666666666666674</v>
      </c>
      <c r="O31" s="615">
        <f>H31+E31</f>
        <v>15000000</v>
      </c>
      <c r="P31" s="44">
        <f>N31*G31+L31*K31</f>
        <v>8.7333333333333346E-2</v>
      </c>
    </row>
    <row r="32" spans="2:16" ht="16">
      <c r="B32" s="30" t="s">
        <v>460</v>
      </c>
      <c r="E32" s="17">
        <v>5000000</v>
      </c>
      <c r="F32" s="14">
        <v>1.4</v>
      </c>
      <c r="G32" s="44">
        <f>$C$18+F32*$C$19</f>
        <v>0.11399999999999999</v>
      </c>
      <c r="H32" s="322">
        <f>L32*E32</f>
        <v>2000000</v>
      </c>
      <c r="I32" s="35">
        <v>2.8000000000000001E-2</v>
      </c>
      <c r="J32" s="616">
        <f>I32/(K32-C18)</f>
        <v>1.0000000000000002</v>
      </c>
      <c r="K32" s="44">
        <f>I32+C18</f>
        <v>5.7999999999999996E-2</v>
      </c>
      <c r="L32" s="35">
        <v>0.4</v>
      </c>
      <c r="M32" s="614">
        <f>L32/(1-L32)</f>
        <v>0.66666666666666674</v>
      </c>
      <c r="N32" s="614">
        <f>1-L32</f>
        <v>0.6</v>
      </c>
      <c r="O32" s="615">
        <f>H32+E32</f>
        <v>7000000</v>
      </c>
      <c r="P32" s="44">
        <f>N32*G32+L32*K32</f>
        <v>9.1599999999999987E-2</v>
      </c>
    </row>
    <row r="33" spans="2:16" ht="16">
      <c r="B33" s="30" t="s">
        <v>461</v>
      </c>
      <c r="F33" s="14">
        <v>1.2</v>
      </c>
      <c r="G33" s="44">
        <f>$C$18+F33*$C$19</f>
        <v>0.10199999999999999</v>
      </c>
      <c r="I33" s="614">
        <f>J33*C18</f>
        <v>4.4999999999999997E-3</v>
      </c>
      <c r="J33" s="617">
        <v>0.15</v>
      </c>
      <c r="K33" s="45">
        <f>C18+J33*C19</f>
        <v>3.9E-2</v>
      </c>
      <c r="L33" s="35">
        <v>0.2</v>
      </c>
      <c r="M33" s="614">
        <f t="shared" ref="M33" si="0">L33/(1-L33)</f>
        <v>0.25</v>
      </c>
      <c r="N33" s="614">
        <f>1-L33</f>
        <v>0.8</v>
      </c>
      <c r="O33" s="338"/>
      <c r="P33" s="44">
        <f>N33*G33+L33*K33</f>
        <v>8.9400000000000007E-2</v>
      </c>
    </row>
    <row r="34" spans="2:16" ht="16">
      <c r="B34" s="608" t="s">
        <v>449</v>
      </c>
      <c r="C34" s="609"/>
      <c r="D34" s="609"/>
      <c r="E34" s="609" t="s">
        <v>462</v>
      </c>
      <c r="F34" s="610">
        <f>AVERAGE(F31:F33)</f>
        <v>1.3111111111111111</v>
      </c>
      <c r="G34" s="612">
        <f>(P34-C22*K34)/N34</f>
        <v>0.12888888888888889</v>
      </c>
      <c r="H34" s="609"/>
      <c r="I34" s="611"/>
      <c r="J34" s="609"/>
      <c r="K34" s="611">
        <f>C23</f>
        <v>0.05</v>
      </c>
      <c r="L34" s="611">
        <f>C22</f>
        <v>0.5</v>
      </c>
      <c r="M34" s="609"/>
      <c r="N34" s="609">
        <f>1-L34</f>
        <v>0.5</v>
      </c>
      <c r="O34" s="22" t="s">
        <v>462</v>
      </c>
      <c r="P34" s="612">
        <f>AVERAGE(P31:P33)</f>
        <v>8.9444444444444438E-2</v>
      </c>
    </row>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E08EC-0459-49BA-ADEF-FD3B480BA8AD}">
  <dimension ref="B19:G37"/>
  <sheetViews>
    <sheetView workbookViewId="0">
      <selection sqref="A1:XFD1048576"/>
    </sheetView>
  </sheetViews>
  <sheetFormatPr baseColWidth="10" defaultColWidth="8.83203125" defaultRowHeight="15"/>
  <cols>
    <col min="2" max="2" width="36.83203125" bestFit="1" customWidth="1"/>
    <col min="3" max="3" width="31.1640625" bestFit="1" customWidth="1"/>
    <col min="4" max="7" width="13.1640625" customWidth="1"/>
    <col min="8" max="9" width="8" bestFit="1" customWidth="1"/>
  </cols>
  <sheetData>
    <row r="19" spans="2:7">
      <c r="B19" s="22" t="s">
        <v>463</v>
      </c>
    </row>
    <row r="20" spans="2:7">
      <c r="B20" s="275" t="s">
        <v>464</v>
      </c>
      <c r="D20" t="s">
        <v>465</v>
      </c>
      <c r="E20" t="s">
        <v>466</v>
      </c>
      <c r="F20" t="s">
        <v>467</v>
      </c>
      <c r="G20" t="s">
        <v>468</v>
      </c>
    </row>
    <row r="21" spans="2:7" ht="16">
      <c r="B21" s="145" t="s">
        <v>469</v>
      </c>
      <c r="C21" t="s">
        <v>470</v>
      </c>
      <c r="D21" s="17">
        <v>100000</v>
      </c>
      <c r="E21" s="17">
        <v>20000</v>
      </c>
      <c r="F21" s="17">
        <v>10000</v>
      </c>
      <c r="G21" s="17">
        <v>25000</v>
      </c>
    </row>
    <row r="22" spans="2:7">
      <c r="C22" t="s">
        <v>471</v>
      </c>
      <c r="E22">
        <v>0.4</v>
      </c>
      <c r="F22">
        <v>0.7</v>
      </c>
      <c r="G22">
        <v>0.4</v>
      </c>
    </row>
    <row r="23" spans="2:7" ht="16">
      <c r="C23" s="276" t="s">
        <v>472</v>
      </c>
      <c r="D23" s="277">
        <f>D25-D24</f>
        <v>7000</v>
      </c>
      <c r="E23" s="278">
        <f>E21*E22</f>
        <v>8000</v>
      </c>
      <c r="F23" s="278">
        <f t="shared" ref="F23:G23" si="0">F21*F22</f>
        <v>7000</v>
      </c>
      <c r="G23" s="278">
        <f t="shared" si="0"/>
        <v>10000</v>
      </c>
    </row>
    <row r="24" spans="2:7" ht="16">
      <c r="C24" t="s">
        <v>305</v>
      </c>
      <c r="D24" s="279">
        <v>5000</v>
      </c>
      <c r="E24" s="278">
        <f>E25-E23</f>
        <v>2000</v>
      </c>
      <c r="F24" s="279"/>
      <c r="G24" s="279">
        <v>7000</v>
      </c>
    </row>
    <row r="25" spans="2:7" ht="16">
      <c r="C25" t="s">
        <v>304</v>
      </c>
      <c r="D25" s="279">
        <v>12000</v>
      </c>
      <c r="E25" s="279">
        <v>10000</v>
      </c>
      <c r="F25" s="279"/>
      <c r="G25" s="278">
        <f>G23+G24</f>
        <v>17000</v>
      </c>
    </row>
    <row r="26" spans="2:7" ht="16">
      <c r="C26" t="s">
        <v>298</v>
      </c>
      <c r="D26" s="280">
        <f>D24/D25</f>
        <v>0.41666666666666669</v>
      </c>
      <c r="E26" s="281">
        <f>E24/E25</f>
        <v>0.2</v>
      </c>
      <c r="F26" s="64">
        <v>0.3</v>
      </c>
      <c r="G26" s="282">
        <f>G24/G25</f>
        <v>0.41176470588235292</v>
      </c>
    </row>
    <row r="27" spans="2:7" ht="16">
      <c r="C27" t="s">
        <v>473</v>
      </c>
      <c r="D27">
        <v>1.2</v>
      </c>
      <c r="G27" s="283">
        <f>(G30-$G$33)/$G$34</f>
        <v>1.4244375</v>
      </c>
    </row>
    <row r="28" spans="2:7" ht="16">
      <c r="C28" t="s">
        <v>474</v>
      </c>
      <c r="E28" s="17">
        <v>0.2</v>
      </c>
      <c r="G28" s="283">
        <f>(G31-$G$33)/$G$34</f>
        <v>0.12500000000000003</v>
      </c>
    </row>
    <row r="29" spans="2:7" ht="16">
      <c r="C29" t="s">
        <v>475</v>
      </c>
      <c r="E29" s="17"/>
      <c r="G29" s="284">
        <f>(G32-$G$33)/$G$34</f>
        <v>0.88937500000000003</v>
      </c>
    </row>
    <row r="30" spans="2:7" ht="16">
      <c r="C30" t="s">
        <v>476</v>
      </c>
      <c r="D30" s="285">
        <f>D33+D27*D34</f>
        <v>0.126</v>
      </c>
      <c r="E30" s="35">
        <v>0.12</v>
      </c>
      <c r="F30" s="35">
        <v>0.13</v>
      </c>
      <c r="G30" s="286">
        <f>G32+G24/G23*(G32-G31)</f>
        <v>0.143955</v>
      </c>
    </row>
    <row r="31" spans="2:7" ht="16">
      <c r="C31" t="s">
        <v>162</v>
      </c>
      <c r="D31" s="35">
        <v>4.4999999999999998E-2</v>
      </c>
      <c r="E31" s="285">
        <f>E33+E28*E34</f>
        <v>4.5999999999999999E-2</v>
      </c>
      <c r="F31" s="35">
        <v>0.05</v>
      </c>
      <c r="G31" s="35">
        <v>0.04</v>
      </c>
    </row>
    <row r="32" spans="2:7" ht="16">
      <c r="C32" s="287" t="s">
        <v>477</v>
      </c>
      <c r="D32" s="288">
        <f>+D26*D31+(1-D26)*D30</f>
        <v>9.2249999999999999E-2</v>
      </c>
      <c r="E32" s="289">
        <f>+E26*E31+(1-E26)*E30</f>
        <v>0.1052</v>
      </c>
      <c r="F32" s="288">
        <f>+F26*F31+(1-F26)*F30</f>
        <v>0.106</v>
      </c>
      <c r="G32" s="286">
        <f>AVERAGE(D32:F32)</f>
        <v>0.10115</v>
      </c>
    </row>
    <row r="33" spans="3:7">
      <c r="C33" t="s">
        <v>478</v>
      </c>
      <c r="D33" s="35">
        <v>0.03</v>
      </c>
      <c r="E33" s="35">
        <v>0.03</v>
      </c>
      <c r="F33" s="35">
        <v>0.03</v>
      </c>
      <c r="G33" s="35">
        <v>0.03</v>
      </c>
    </row>
    <row r="34" spans="3:7">
      <c r="C34" t="s">
        <v>479</v>
      </c>
      <c r="D34" s="35">
        <v>0.08</v>
      </c>
      <c r="E34" s="35">
        <v>0.08</v>
      </c>
      <c r="F34" s="35">
        <v>0.08</v>
      </c>
      <c r="G34" s="35">
        <v>0.08</v>
      </c>
    </row>
    <row r="36" spans="3:7" ht="16">
      <c r="C36" s="147" t="s">
        <v>480</v>
      </c>
    </row>
    <row r="37" spans="3:7" ht="16">
      <c r="C37" s="290" t="s">
        <v>481</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CBB4-59E3-4E9D-9A64-9594EFBF97D2}">
  <dimension ref="B8:K21"/>
  <sheetViews>
    <sheetView workbookViewId="0">
      <selection activeCell="A8" sqref="A8:I37"/>
    </sheetView>
  </sheetViews>
  <sheetFormatPr baseColWidth="10" defaultColWidth="8.83203125" defaultRowHeight="15"/>
  <cols>
    <col min="2" max="2" width="22.6640625" bestFit="1" customWidth="1"/>
    <col min="3" max="3" width="42.5" bestFit="1" customWidth="1"/>
  </cols>
  <sheetData>
    <row r="8" spans="2:3" ht="16" thickBot="1"/>
    <row r="9" spans="2:3" ht="21" thickBot="1">
      <c r="B9" s="1" t="s">
        <v>19</v>
      </c>
      <c r="C9" s="2"/>
    </row>
    <row r="21" spans="11:11" ht="20">
      <c r="K21" s="80"/>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EA428-272C-4313-BF95-918678FBEC62}">
  <dimension ref="B23:L66"/>
  <sheetViews>
    <sheetView topLeftCell="A7" workbookViewId="0">
      <selection activeCell="C11" sqref="C11"/>
    </sheetView>
  </sheetViews>
  <sheetFormatPr baseColWidth="10" defaultColWidth="9.1640625" defaultRowHeight="16"/>
  <cols>
    <col min="1" max="1" width="9.1640625" style="149"/>
    <col min="2" max="2" width="44.1640625" style="149" bestFit="1" customWidth="1"/>
    <col min="3" max="3" width="42.6640625" style="149" bestFit="1" customWidth="1"/>
    <col min="4" max="9" width="10.1640625" style="149" bestFit="1" customWidth="1"/>
    <col min="10" max="10" width="11.1640625" style="149" bestFit="1" customWidth="1"/>
    <col min="11" max="16384" width="9.1640625" style="149"/>
  </cols>
  <sheetData>
    <row r="23" spans="3:10">
      <c r="D23" s="341">
        <v>2022</v>
      </c>
      <c r="E23" s="342">
        <f>+D23+1</f>
        <v>2023</v>
      </c>
      <c r="F23" s="342">
        <f t="shared" ref="F23:J23" si="0">+E23+1</f>
        <v>2024</v>
      </c>
      <c r="G23" s="342">
        <f t="shared" si="0"/>
        <v>2025</v>
      </c>
      <c r="H23" s="342">
        <f t="shared" si="0"/>
        <v>2026</v>
      </c>
      <c r="I23" s="342">
        <f t="shared" si="0"/>
        <v>2027</v>
      </c>
      <c r="J23" s="342">
        <f t="shared" si="0"/>
        <v>2028</v>
      </c>
    </row>
    <row r="24" spans="3:10">
      <c r="C24" s="149" t="s">
        <v>188</v>
      </c>
      <c r="D24" s="165">
        <v>10000</v>
      </c>
      <c r="E24" s="165"/>
      <c r="F24" s="165"/>
      <c r="G24" s="165"/>
      <c r="H24" s="165"/>
      <c r="I24" s="165"/>
      <c r="J24" s="165"/>
    </row>
    <row r="25" spans="3:10">
      <c r="C25" s="149" t="s">
        <v>194</v>
      </c>
      <c r="D25" s="165">
        <v>1500</v>
      </c>
      <c r="E25" s="165">
        <v>2000</v>
      </c>
      <c r="F25" s="165">
        <v>1600</v>
      </c>
      <c r="G25" s="165">
        <v>3500</v>
      </c>
      <c r="H25" s="165">
        <v>1200</v>
      </c>
      <c r="I25" s="165">
        <v>4000</v>
      </c>
      <c r="J25" s="165">
        <v>1500</v>
      </c>
    </row>
    <row r="26" spans="3:10">
      <c r="C26" s="149" t="s">
        <v>20</v>
      </c>
      <c r="D26" s="165">
        <v>10000</v>
      </c>
      <c r="E26" s="165">
        <v>12000</v>
      </c>
      <c r="F26" s="165">
        <v>14000</v>
      </c>
      <c r="G26" s="165">
        <v>16000</v>
      </c>
      <c r="H26" s="165">
        <v>18000</v>
      </c>
      <c r="I26" s="165">
        <v>20000</v>
      </c>
      <c r="J26" s="165">
        <v>22000</v>
      </c>
    </row>
    <row r="27" spans="3:10">
      <c r="C27" s="149" t="s">
        <v>482</v>
      </c>
      <c r="D27" s="191">
        <v>0.01</v>
      </c>
      <c r="E27" s="191">
        <v>0.05</v>
      </c>
      <c r="F27" s="191">
        <v>0.1</v>
      </c>
      <c r="G27" s="191">
        <v>0.03</v>
      </c>
      <c r="H27" s="191">
        <v>0.09</v>
      </c>
      <c r="I27" s="191">
        <v>0.1</v>
      </c>
      <c r="J27" s="191">
        <v>0.12</v>
      </c>
    </row>
    <row r="28" spans="3:10">
      <c r="C28" s="149" t="s">
        <v>426</v>
      </c>
      <c r="D28" s="188">
        <v>0.1</v>
      </c>
      <c r="E28" s="188">
        <v>0.1</v>
      </c>
      <c r="F28" s="188">
        <v>0.1</v>
      </c>
      <c r="G28" s="188">
        <v>0.09</v>
      </c>
      <c r="H28" s="188">
        <v>0.09</v>
      </c>
      <c r="I28" s="188">
        <v>0.09</v>
      </c>
      <c r="J28" s="188">
        <v>0.09</v>
      </c>
    </row>
    <row r="29" spans="3:10">
      <c r="C29" s="149" t="s">
        <v>162</v>
      </c>
      <c r="D29" s="188">
        <v>0.04</v>
      </c>
      <c r="E29" s="188">
        <v>0.04</v>
      </c>
      <c r="F29" s="188">
        <v>0.04</v>
      </c>
      <c r="G29" s="188">
        <v>0.05</v>
      </c>
      <c r="H29" s="188">
        <v>0.05</v>
      </c>
      <c r="I29" s="188">
        <v>0.05</v>
      </c>
      <c r="J29" s="188">
        <v>0.05</v>
      </c>
    </row>
    <row r="30" spans="3:10">
      <c r="C30" s="149" t="s">
        <v>192</v>
      </c>
      <c r="D30" s="165">
        <v>5000</v>
      </c>
      <c r="E30" s="165">
        <v>4500</v>
      </c>
      <c r="F30" s="165">
        <v>4000</v>
      </c>
      <c r="G30" s="165">
        <v>7000</v>
      </c>
      <c r="H30" s="165">
        <v>6500</v>
      </c>
      <c r="I30" s="165">
        <v>6000</v>
      </c>
      <c r="J30" s="165">
        <v>7000</v>
      </c>
    </row>
    <row r="32" spans="3:10" ht="17" thickBot="1"/>
    <row r="33" spans="2:12">
      <c r="B33" s="149" t="s">
        <v>483</v>
      </c>
      <c r="C33" s="343" t="s">
        <v>185</v>
      </c>
      <c r="D33" s="344">
        <f>D57/D39</f>
        <v>0.01</v>
      </c>
      <c r="E33" s="344">
        <f t="shared" ref="E33:J33" si="1">E57/E39</f>
        <v>4.6956521739130432E-2</v>
      </c>
      <c r="F33" s="344">
        <f t="shared" si="1"/>
        <v>9.3333333333333338E-2</v>
      </c>
      <c r="G33" s="344">
        <f t="shared" si="1"/>
        <v>2.8927152317880796E-2</v>
      </c>
      <c r="H33" s="344">
        <f t="shared" si="1"/>
        <v>7.9258064516129031E-2</v>
      </c>
      <c r="I33" s="344">
        <f t="shared" si="1"/>
        <v>9.1919191919191914E-2</v>
      </c>
      <c r="J33" s="344">
        <f t="shared" si="1"/>
        <v>0.10094117647058824</v>
      </c>
    </row>
    <row r="34" spans="2:12">
      <c r="B34" s="149" t="s">
        <v>206</v>
      </c>
      <c r="C34" s="345" t="s">
        <v>186</v>
      </c>
      <c r="D34" s="346"/>
      <c r="E34" s="347">
        <f>(E57-D57)/D58</f>
        <v>0.29333333333333333</v>
      </c>
      <c r="F34" s="347">
        <f t="shared" ref="F34:J34" si="2">(F57-E57)/E58</f>
        <v>0.36</v>
      </c>
      <c r="G34" s="347">
        <f t="shared" si="2"/>
        <v>-0.51450000000000007</v>
      </c>
      <c r="H34" s="347">
        <f t="shared" si="2"/>
        <v>0.29640000000000005</v>
      </c>
      <c r="I34" s="347">
        <f t="shared" si="2"/>
        <v>0.28816666666666663</v>
      </c>
      <c r="J34" s="347">
        <f t="shared" si="2"/>
        <v>0.14560000000000003</v>
      </c>
    </row>
    <row r="35" spans="2:12">
      <c r="B35" s="149" t="s">
        <v>208</v>
      </c>
      <c r="C35" s="345" t="s">
        <v>209</v>
      </c>
      <c r="D35" s="347">
        <f>D25/D57</f>
        <v>15</v>
      </c>
      <c r="E35" s="347">
        <f t="shared" ref="E35:J35" si="3">E25/E57</f>
        <v>3.7037037037037037</v>
      </c>
      <c r="F35" s="347">
        <f t="shared" si="3"/>
        <v>1.2698412698412698</v>
      </c>
      <c r="G35" s="347">
        <f t="shared" si="3"/>
        <v>8.0128205128205128</v>
      </c>
      <c r="H35" s="347">
        <f t="shared" si="3"/>
        <v>0.81400081400081392</v>
      </c>
      <c r="I35" s="347">
        <f t="shared" si="3"/>
        <v>2.197802197802198</v>
      </c>
      <c r="J35" s="347">
        <f t="shared" si="3"/>
        <v>0.62437562437562433</v>
      </c>
    </row>
    <row r="36" spans="2:12">
      <c r="B36" s="149" t="s">
        <v>484</v>
      </c>
      <c r="C36" s="345" t="s">
        <v>300</v>
      </c>
      <c r="D36" s="346"/>
      <c r="E36" s="347" t="e" cm="1">
        <f t="array" ref="E36">(E57-\D57)/D57</f>
        <v>#NAME?</v>
      </c>
      <c r="F36" s="347">
        <f t="shared" ref="F36:J36" si="4">(F57-E57)/E57</f>
        <v>1.3333333333333333</v>
      </c>
      <c r="G36" s="347">
        <f t="shared" si="4"/>
        <v>-0.65333333333333332</v>
      </c>
      <c r="H36" s="347">
        <f t="shared" si="4"/>
        <v>2.375</v>
      </c>
      <c r="I36" s="347">
        <f t="shared" si="4"/>
        <v>0.23456790123456786</v>
      </c>
      <c r="J36" s="347">
        <f t="shared" si="4"/>
        <v>0.32000000000000006</v>
      </c>
    </row>
    <row r="37" spans="2:12" ht="17" thickBot="1">
      <c r="B37" s="149" t="s">
        <v>485</v>
      </c>
      <c r="C37" s="348" t="s">
        <v>486</v>
      </c>
      <c r="D37" s="349">
        <f>+D55</f>
        <v>0</v>
      </c>
      <c r="E37" s="349">
        <f t="shared" ref="E37:J37" si="5">+E55</f>
        <v>0.1</v>
      </c>
      <c r="F37" s="349">
        <f t="shared" si="5"/>
        <v>0.1</v>
      </c>
      <c r="G37" s="349">
        <f t="shared" si="5"/>
        <v>0.09</v>
      </c>
      <c r="H37" s="349">
        <f t="shared" si="5"/>
        <v>0.09</v>
      </c>
      <c r="I37" s="349">
        <f t="shared" si="5"/>
        <v>0.09</v>
      </c>
      <c r="J37" s="349">
        <f t="shared" si="5"/>
        <v>0.09</v>
      </c>
    </row>
    <row r="38" spans="2:12">
      <c r="B38" s="172" t="s">
        <v>217</v>
      </c>
    </row>
    <row r="39" spans="2:12">
      <c r="B39" s="149" t="s">
        <v>487</v>
      </c>
      <c r="C39" s="172" t="s">
        <v>488</v>
      </c>
      <c r="D39" s="165">
        <f>+D24</f>
        <v>10000</v>
      </c>
      <c r="E39" s="165">
        <f>D39+D25</f>
        <v>11500</v>
      </c>
      <c r="F39" s="165">
        <f t="shared" ref="F39:I39" si="6">E39+E25</f>
        <v>13500</v>
      </c>
      <c r="G39" s="165">
        <f t="shared" si="6"/>
        <v>15100</v>
      </c>
      <c r="H39" s="165">
        <f t="shared" si="6"/>
        <v>18600</v>
      </c>
      <c r="I39" s="165">
        <f t="shared" si="6"/>
        <v>19800</v>
      </c>
      <c r="J39" s="165">
        <f>I39+I25</f>
        <v>23800</v>
      </c>
      <c r="K39" s="165"/>
    </row>
    <row r="40" spans="2:12">
      <c r="B40" s="149" t="s">
        <v>489</v>
      </c>
      <c r="C40" s="172" t="s">
        <v>490</v>
      </c>
      <c r="D40" s="165">
        <f>+D30</f>
        <v>5000</v>
      </c>
      <c r="E40" s="165">
        <f t="shared" ref="E40:J40" si="7">+E30</f>
        <v>4500</v>
      </c>
      <c r="F40" s="165">
        <f t="shared" si="7"/>
        <v>4000</v>
      </c>
      <c r="G40" s="165">
        <f t="shared" si="7"/>
        <v>7000</v>
      </c>
      <c r="H40" s="165">
        <f t="shared" si="7"/>
        <v>6500</v>
      </c>
      <c r="I40" s="165">
        <f t="shared" si="7"/>
        <v>6000</v>
      </c>
      <c r="J40" s="165">
        <f t="shared" si="7"/>
        <v>7000</v>
      </c>
      <c r="K40" s="165"/>
      <c r="L40" s="165"/>
    </row>
    <row r="41" spans="2:12">
      <c r="B41" s="149" t="s">
        <v>491</v>
      </c>
      <c r="C41" s="172" t="s">
        <v>492</v>
      </c>
      <c r="D41" s="165">
        <f>D39-D40</f>
        <v>5000</v>
      </c>
      <c r="E41" s="165">
        <f t="shared" ref="E41:J41" si="8">E39-E40</f>
        <v>7000</v>
      </c>
      <c r="F41" s="165">
        <f t="shared" si="8"/>
        <v>9500</v>
      </c>
      <c r="G41" s="165">
        <f t="shared" si="8"/>
        <v>8100</v>
      </c>
      <c r="H41" s="165">
        <f t="shared" si="8"/>
        <v>12100</v>
      </c>
      <c r="I41" s="165">
        <f t="shared" si="8"/>
        <v>13800</v>
      </c>
      <c r="J41" s="165">
        <f t="shared" si="8"/>
        <v>16800</v>
      </c>
    </row>
    <row r="42" spans="2:12">
      <c r="B42" s="172" t="s">
        <v>240</v>
      </c>
    </row>
    <row r="43" spans="2:12">
      <c r="B43" s="149" t="s">
        <v>493</v>
      </c>
      <c r="C43" s="172" t="s">
        <v>20</v>
      </c>
      <c r="D43" s="165">
        <f>+D26</f>
        <v>10000</v>
      </c>
      <c r="E43" s="165">
        <f>+E26</f>
        <v>12000</v>
      </c>
      <c r="F43" s="165">
        <f t="shared" ref="F43:J43" si="9">+F26</f>
        <v>14000</v>
      </c>
      <c r="G43" s="165">
        <f t="shared" si="9"/>
        <v>16000</v>
      </c>
      <c r="H43" s="165">
        <f t="shared" si="9"/>
        <v>18000</v>
      </c>
      <c r="I43" s="165">
        <f t="shared" si="9"/>
        <v>20000</v>
      </c>
      <c r="J43" s="165">
        <f t="shared" si="9"/>
        <v>22000</v>
      </c>
    </row>
    <row r="44" spans="2:12">
      <c r="B44" s="149" t="s">
        <v>494</v>
      </c>
      <c r="C44" s="172" t="s">
        <v>25</v>
      </c>
      <c r="D44" s="149">
        <f>D43*D27</f>
        <v>100</v>
      </c>
      <c r="E44" s="149">
        <f t="shared" ref="E44:J44" si="10">E43*E27</f>
        <v>600</v>
      </c>
      <c r="F44" s="149">
        <f t="shared" si="10"/>
        <v>1400</v>
      </c>
      <c r="G44" s="149">
        <f t="shared" si="10"/>
        <v>480</v>
      </c>
      <c r="H44" s="149">
        <f t="shared" si="10"/>
        <v>1620</v>
      </c>
      <c r="I44" s="149">
        <f t="shared" si="10"/>
        <v>2000</v>
      </c>
      <c r="J44" s="149">
        <f t="shared" si="10"/>
        <v>2640</v>
      </c>
    </row>
    <row r="45" spans="2:12">
      <c r="B45" s="149" t="s">
        <v>495</v>
      </c>
      <c r="C45" s="172" t="s">
        <v>496</v>
      </c>
      <c r="D45" s="149">
        <f>D30*D29</f>
        <v>200</v>
      </c>
      <c r="E45" s="149">
        <f t="shared" ref="E45:J45" si="11">E30*E29</f>
        <v>180</v>
      </c>
      <c r="F45" s="149">
        <f t="shared" si="11"/>
        <v>160</v>
      </c>
      <c r="G45" s="149">
        <f t="shared" si="11"/>
        <v>350</v>
      </c>
      <c r="H45" s="149">
        <f t="shared" si="11"/>
        <v>325</v>
      </c>
      <c r="I45" s="149">
        <f t="shared" si="11"/>
        <v>300</v>
      </c>
      <c r="J45" s="149">
        <f t="shared" si="11"/>
        <v>350</v>
      </c>
    </row>
    <row r="46" spans="2:12">
      <c r="B46" s="149" t="s">
        <v>497</v>
      </c>
      <c r="C46" s="172" t="s">
        <v>31</v>
      </c>
      <c r="D46" s="149">
        <f>D44-D45</f>
        <v>-100</v>
      </c>
      <c r="E46" s="149">
        <f t="shared" ref="E46:J46" si="12">E44-E45</f>
        <v>420</v>
      </c>
      <c r="F46" s="149">
        <f t="shared" si="12"/>
        <v>1240</v>
      </c>
      <c r="G46" s="149">
        <f t="shared" si="12"/>
        <v>130</v>
      </c>
      <c r="H46" s="149">
        <f t="shared" si="12"/>
        <v>1295</v>
      </c>
      <c r="I46" s="149">
        <f t="shared" si="12"/>
        <v>1700</v>
      </c>
      <c r="J46" s="149">
        <f t="shared" si="12"/>
        <v>2290</v>
      </c>
    </row>
    <row r="47" spans="2:12">
      <c r="B47" s="175" t="s">
        <v>498</v>
      </c>
      <c r="C47" s="172" t="s">
        <v>32</v>
      </c>
      <c r="D47" s="149">
        <f>+IF(D46&lt;0,0,D46*D28)</f>
        <v>0</v>
      </c>
      <c r="E47" s="149">
        <f t="shared" ref="E47:J47" si="13">+IF(E46&lt;0,0,E46*E28)</f>
        <v>42</v>
      </c>
      <c r="F47" s="149">
        <f t="shared" si="13"/>
        <v>124</v>
      </c>
      <c r="G47" s="149">
        <f t="shared" si="13"/>
        <v>11.7</v>
      </c>
      <c r="H47" s="149">
        <f t="shared" si="13"/>
        <v>116.55</v>
      </c>
      <c r="I47" s="149">
        <f t="shared" si="13"/>
        <v>153</v>
      </c>
      <c r="J47" s="149">
        <f t="shared" si="13"/>
        <v>206.1</v>
      </c>
    </row>
    <row r="48" spans="2:12" ht="18" customHeight="1">
      <c r="B48" s="149" t="s">
        <v>499</v>
      </c>
      <c r="C48" s="172" t="s">
        <v>33</v>
      </c>
      <c r="D48" s="149">
        <f>D46-D47</f>
        <v>-100</v>
      </c>
      <c r="E48" s="149">
        <f t="shared" ref="E48:J48" si="14">E46-E47</f>
        <v>378</v>
      </c>
      <c r="F48" s="149">
        <f t="shared" si="14"/>
        <v>1116</v>
      </c>
      <c r="G48" s="149">
        <f t="shared" si="14"/>
        <v>118.3</v>
      </c>
      <c r="H48" s="149">
        <f t="shared" si="14"/>
        <v>1178.45</v>
      </c>
      <c r="I48" s="149">
        <f t="shared" si="14"/>
        <v>1547</v>
      </c>
      <c r="J48" s="149">
        <f t="shared" si="14"/>
        <v>2083.9</v>
      </c>
    </row>
    <row r="49" spans="2:10">
      <c r="B49" s="149" t="s">
        <v>500</v>
      </c>
      <c r="C49" s="172" t="s">
        <v>34</v>
      </c>
      <c r="D49" s="149">
        <f>+D48-D50</f>
        <v>0</v>
      </c>
      <c r="E49" s="149">
        <f t="shared" ref="E49:I49" si="15">+E48-E50</f>
        <v>0</v>
      </c>
      <c r="F49" s="149">
        <f t="shared" si="15"/>
        <v>1116</v>
      </c>
      <c r="G49" s="149">
        <f t="shared" si="15"/>
        <v>0</v>
      </c>
      <c r="H49" s="149">
        <f t="shared" si="15"/>
        <v>0</v>
      </c>
      <c r="I49" s="149">
        <f t="shared" si="15"/>
        <v>0</v>
      </c>
    </row>
    <row r="50" spans="2:10">
      <c r="C50" s="172" t="s">
        <v>35</v>
      </c>
      <c r="D50" s="149">
        <f>+IF(D48&lt;0,D48,MAX(0,MIN(D48,D52)))</f>
        <v>-100</v>
      </c>
      <c r="E50" s="149">
        <f t="shared" ref="E50:I50" si="16">+IF(E48&lt;0,E48,MAX(0,MIN(E48,E52)))</f>
        <v>378</v>
      </c>
      <c r="F50" s="149">
        <f t="shared" si="16"/>
        <v>0</v>
      </c>
      <c r="G50" s="149">
        <f t="shared" si="16"/>
        <v>118.3</v>
      </c>
      <c r="H50" s="149">
        <f t="shared" si="16"/>
        <v>1178.45</v>
      </c>
      <c r="I50" s="149">
        <f t="shared" si="16"/>
        <v>1547</v>
      </c>
    </row>
    <row r="51" spans="2:10">
      <c r="C51" s="172"/>
    </row>
    <row r="52" spans="2:10">
      <c r="B52" s="149" t="s">
        <v>501</v>
      </c>
      <c r="C52" s="172" t="s">
        <v>249</v>
      </c>
      <c r="D52" s="165">
        <f>+E41-D41</f>
        <v>2000</v>
      </c>
      <c r="E52" s="149">
        <f t="shared" ref="E52:I52" si="17">+F41-E41</f>
        <v>2500</v>
      </c>
      <c r="F52" s="149">
        <f t="shared" si="17"/>
        <v>-1400</v>
      </c>
      <c r="G52" s="149">
        <f t="shared" si="17"/>
        <v>4000</v>
      </c>
      <c r="H52" s="149">
        <f t="shared" si="17"/>
        <v>1700</v>
      </c>
      <c r="I52" s="149">
        <f t="shared" si="17"/>
        <v>3000</v>
      </c>
    </row>
    <row r="53" spans="2:10">
      <c r="B53" s="149" t="s">
        <v>502</v>
      </c>
      <c r="C53" s="172" t="s">
        <v>250</v>
      </c>
      <c r="D53" s="165">
        <f>+D52-D50</f>
        <v>2100</v>
      </c>
      <c r="E53" s="149">
        <f t="shared" ref="E53:I53" si="18">+E52-E50</f>
        <v>2122</v>
      </c>
      <c r="F53" s="149">
        <f t="shared" si="18"/>
        <v>-1400</v>
      </c>
      <c r="G53" s="149">
        <f t="shared" si="18"/>
        <v>3881.7</v>
      </c>
      <c r="H53" s="149">
        <f t="shared" si="18"/>
        <v>521.54999999999995</v>
      </c>
      <c r="I53" s="149">
        <f t="shared" si="18"/>
        <v>1453</v>
      </c>
    </row>
    <row r="54" spans="2:10">
      <c r="B54" s="149" t="s">
        <v>503</v>
      </c>
      <c r="C54" s="172" t="s">
        <v>251</v>
      </c>
      <c r="D54" s="293">
        <f>D49/D48</f>
        <v>0</v>
      </c>
      <c r="E54" s="293">
        <f t="shared" ref="E54:I54" si="19">E49/E48</f>
        <v>0</v>
      </c>
      <c r="F54" s="293">
        <f t="shared" si="19"/>
        <v>1</v>
      </c>
      <c r="G54" s="293">
        <f t="shared" si="19"/>
        <v>0</v>
      </c>
      <c r="H54" s="293">
        <f t="shared" si="19"/>
        <v>0</v>
      </c>
      <c r="I54" s="293">
        <f t="shared" si="19"/>
        <v>0</v>
      </c>
      <c r="J54" s="350"/>
    </row>
    <row r="55" spans="2:10">
      <c r="B55" s="149" t="s">
        <v>504</v>
      </c>
      <c r="C55" s="178" t="s">
        <v>252</v>
      </c>
      <c r="D55" s="293">
        <f>+D47/D46</f>
        <v>0</v>
      </c>
      <c r="E55" s="293">
        <f t="shared" ref="E55:J55" si="20">+E47/E46</f>
        <v>0.1</v>
      </c>
      <c r="F55" s="293">
        <f t="shared" si="20"/>
        <v>0.1</v>
      </c>
      <c r="G55" s="293">
        <f t="shared" si="20"/>
        <v>0.09</v>
      </c>
      <c r="H55" s="293">
        <f t="shared" si="20"/>
        <v>0.09</v>
      </c>
      <c r="I55" s="293">
        <f t="shared" si="20"/>
        <v>0.09</v>
      </c>
      <c r="J55" s="293">
        <f t="shared" si="20"/>
        <v>0.09</v>
      </c>
    </row>
    <row r="56" spans="2:10">
      <c r="B56" s="149" t="s">
        <v>3</v>
      </c>
    </row>
    <row r="57" spans="2:10">
      <c r="B57" s="149" t="s">
        <v>505</v>
      </c>
      <c r="C57" s="172" t="s">
        <v>52</v>
      </c>
      <c r="D57" s="149">
        <f>D44*(1-D55)</f>
        <v>100</v>
      </c>
      <c r="E57" s="149">
        <f t="shared" ref="E57:J57" si="21">E44*(1-E55)</f>
        <v>540</v>
      </c>
      <c r="F57" s="149">
        <f t="shared" si="21"/>
        <v>1260</v>
      </c>
      <c r="G57" s="149">
        <f t="shared" si="21"/>
        <v>436.8</v>
      </c>
      <c r="H57" s="149">
        <f t="shared" si="21"/>
        <v>1474.2</v>
      </c>
      <c r="I57" s="149">
        <f t="shared" si="21"/>
        <v>1820</v>
      </c>
      <c r="J57" s="149">
        <f t="shared" si="21"/>
        <v>2402.4</v>
      </c>
    </row>
    <row r="58" spans="2:10">
      <c r="B58" s="149" t="s">
        <v>128</v>
      </c>
      <c r="C58" s="351" t="s">
        <v>194</v>
      </c>
      <c r="D58" s="165">
        <f>+D25</f>
        <v>1500</v>
      </c>
      <c r="E58" s="165">
        <f t="shared" ref="E58:J58" si="22">+E25</f>
        <v>2000</v>
      </c>
      <c r="F58" s="165">
        <f t="shared" si="22"/>
        <v>1600</v>
      </c>
      <c r="G58" s="165">
        <f t="shared" si="22"/>
        <v>3500</v>
      </c>
      <c r="H58" s="165">
        <f t="shared" si="22"/>
        <v>1200</v>
      </c>
      <c r="I58" s="165">
        <f t="shared" si="22"/>
        <v>4000</v>
      </c>
      <c r="J58" s="165">
        <f t="shared" si="22"/>
        <v>1500</v>
      </c>
    </row>
    <row r="59" spans="2:10">
      <c r="B59" s="149" t="s">
        <v>506</v>
      </c>
      <c r="C59" s="172" t="s">
        <v>65</v>
      </c>
      <c r="D59" s="165">
        <f>D57-D58</f>
        <v>-1400</v>
      </c>
      <c r="E59" s="165">
        <f t="shared" ref="E59:J59" si="23">E57-E58</f>
        <v>-1460</v>
      </c>
      <c r="F59" s="165">
        <f t="shared" si="23"/>
        <v>-340</v>
      </c>
      <c r="G59" s="165">
        <f t="shared" si="23"/>
        <v>-3063.2</v>
      </c>
      <c r="H59" s="165">
        <f t="shared" si="23"/>
        <v>274.20000000000005</v>
      </c>
      <c r="I59" s="165">
        <f t="shared" si="23"/>
        <v>-2180</v>
      </c>
      <c r="J59" s="165">
        <f t="shared" si="23"/>
        <v>902.40000000000009</v>
      </c>
    </row>
    <row r="60" spans="2:10">
      <c r="B60" s="149" t="s">
        <v>128</v>
      </c>
      <c r="C60" s="351" t="s">
        <v>244</v>
      </c>
      <c r="D60" s="149">
        <f>+D45</f>
        <v>200</v>
      </c>
      <c r="E60" s="149">
        <f t="shared" ref="E60:J60" si="24">+E45</f>
        <v>180</v>
      </c>
      <c r="F60" s="149">
        <f t="shared" si="24"/>
        <v>160</v>
      </c>
      <c r="G60" s="149">
        <f t="shared" si="24"/>
        <v>350</v>
      </c>
      <c r="H60" s="149">
        <f t="shared" si="24"/>
        <v>325</v>
      </c>
      <c r="I60" s="149">
        <f t="shared" si="24"/>
        <v>300</v>
      </c>
      <c r="J60" s="149">
        <f t="shared" si="24"/>
        <v>350</v>
      </c>
    </row>
    <row r="61" spans="2:10">
      <c r="B61" s="149" t="s">
        <v>507</v>
      </c>
      <c r="C61" s="172" t="s">
        <v>67</v>
      </c>
      <c r="D61" s="149">
        <f>D60*D55</f>
        <v>0</v>
      </c>
      <c r="E61" s="149">
        <f t="shared" ref="E61:J61" si="25">E60*E55</f>
        <v>18</v>
      </c>
      <c r="F61" s="149">
        <f t="shared" si="25"/>
        <v>16</v>
      </c>
      <c r="G61" s="149">
        <f t="shared" si="25"/>
        <v>31.5</v>
      </c>
      <c r="H61" s="149">
        <f t="shared" si="25"/>
        <v>29.25</v>
      </c>
      <c r="I61" s="149">
        <f t="shared" si="25"/>
        <v>27</v>
      </c>
      <c r="J61" s="149">
        <f t="shared" si="25"/>
        <v>31.5</v>
      </c>
    </row>
    <row r="62" spans="2:10">
      <c r="B62" s="149" t="s">
        <v>508</v>
      </c>
      <c r="C62" s="172" t="s">
        <v>254</v>
      </c>
      <c r="D62" s="165">
        <f>E40-D40</f>
        <v>-500</v>
      </c>
      <c r="E62" s="165">
        <f t="shared" ref="E62:J62" si="26">F40-E40</f>
        <v>-500</v>
      </c>
      <c r="F62" s="165">
        <f t="shared" si="26"/>
        <v>3000</v>
      </c>
      <c r="G62" s="165">
        <f t="shared" si="26"/>
        <v>-500</v>
      </c>
      <c r="H62" s="165">
        <f t="shared" si="26"/>
        <v>-500</v>
      </c>
      <c r="I62" s="165">
        <f t="shared" si="26"/>
        <v>1000</v>
      </c>
      <c r="J62" s="165">
        <f t="shared" si="26"/>
        <v>-7000</v>
      </c>
    </row>
    <row r="63" spans="2:10">
      <c r="B63" s="149" t="s">
        <v>509</v>
      </c>
      <c r="C63" s="172" t="s">
        <v>69</v>
      </c>
      <c r="D63" s="165">
        <f>D59-D60+D61+D62</f>
        <v>-2100</v>
      </c>
      <c r="E63" s="165">
        <f t="shared" ref="E63:J63" si="27">E59-E60+E61+E62</f>
        <v>-2122</v>
      </c>
      <c r="F63" s="165">
        <f t="shared" si="27"/>
        <v>2516</v>
      </c>
      <c r="G63" s="165">
        <f t="shared" si="27"/>
        <v>-3881.7</v>
      </c>
      <c r="H63" s="165">
        <f t="shared" si="27"/>
        <v>-521.54999999999995</v>
      </c>
      <c r="I63" s="165">
        <f t="shared" si="27"/>
        <v>-1453</v>
      </c>
      <c r="J63" s="165">
        <f t="shared" si="27"/>
        <v>-6416.1</v>
      </c>
    </row>
    <row r="64" spans="2:10">
      <c r="B64" s="149" t="s">
        <v>128</v>
      </c>
      <c r="C64" s="351" t="s">
        <v>34</v>
      </c>
      <c r="D64" s="149">
        <f>-D49</f>
        <v>0</v>
      </c>
      <c r="E64" s="149">
        <f t="shared" ref="E64:I64" si="28">-E49</f>
        <v>0</v>
      </c>
      <c r="F64" s="149">
        <f t="shared" si="28"/>
        <v>-1116</v>
      </c>
      <c r="G64" s="149">
        <f t="shared" si="28"/>
        <v>0</v>
      </c>
      <c r="H64" s="149">
        <f t="shared" si="28"/>
        <v>0</v>
      </c>
      <c r="I64" s="149">
        <f t="shared" si="28"/>
        <v>0</v>
      </c>
    </row>
    <row r="65" spans="3:10">
      <c r="C65" s="352" t="s">
        <v>256</v>
      </c>
      <c r="D65" s="187">
        <f>D52-D50</f>
        <v>2100</v>
      </c>
      <c r="E65" s="187">
        <f t="shared" ref="E65:H65" si="29">E52-E50</f>
        <v>2122</v>
      </c>
      <c r="F65" s="187">
        <f t="shared" si="29"/>
        <v>-1400</v>
      </c>
      <c r="G65" s="187">
        <f t="shared" si="29"/>
        <v>3881.7</v>
      </c>
      <c r="H65" s="187">
        <f t="shared" si="29"/>
        <v>521.54999999999995</v>
      </c>
      <c r="I65" s="187">
        <f>I52-I50</f>
        <v>1453</v>
      </c>
      <c r="J65" s="187"/>
    </row>
    <row r="66" spans="3:10">
      <c r="C66" s="172" t="s">
        <v>510</v>
      </c>
      <c r="D66" s="165">
        <f>SUM(D63:D65)</f>
        <v>0</v>
      </c>
      <c r="E66" s="165">
        <f t="shared" ref="E66:I66" si="30">SUM(E63:E65)</f>
        <v>0</v>
      </c>
      <c r="F66" s="165">
        <f>SUM(F63:F65)</f>
        <v>0</v>
      </c>
      <c r="G66" s="165">
        <f t="shared" si="30"/>
        <v>0</v>
      </c>
      <c r="H66" s="165">
        <f t="shared" si="30"/>
        <v>0</v>
      </c>
      <c r="I66" s="165">
        <f t="shared" si="30"/>
        <v>0</v>
      </c>
      <c r="J66" s="165">
        <f>SUM(J63:J65)</f>
        <v>-6416.1</v>
      </c>
    </row>
  </sheetData>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7323F-DE08-4570-8DD6-2437D146742C}">
  <dimension ref="A1:M57"/>
  <sheetViews>
    <sheetView topLeftCell="A24" workbookViewId="0">
      <selection activeCell="D40" sqref="D40"/>
    </sheetView>
  </sheetViews>
  <sheetFormatPr baseColWidth="10" defaultColWidth="8.83203125" defaultRowHeight="15"/>
  <cols>
    <col min="2" max="2" width="22.6640625" bestFit="1" customWidth="1"/>
    <col min="3" max="3" width="42.5" bestFit="1" customWidth="1"/>
    <col min="4" max="10" width="13" customWidth="1"/>
  </cols>
  <sheetData>
    <row r="1" spans="2:3" ht="16" thickBot="1"/>
    <row r="2" spans="2:3" ht="18">
      <c r="B2" s="248" t="str">
        <f>+[1]Admin!C12</f>
        <v>Date</v>
      </c>
      <c r="C2" s="249">
        <f>+[1]Admin!D12</f>
        <v>44201</v>
      </c>
    </row>
    <row r="3" spans="2:3" ht="18">
      <c r="B3" s="250" t="str">
        <f>+[1]Admin!C13</f>
        <v>Student name</v>
      </c>
      <c r="C3" s="141" t="str">
        <f>+[1]Admin!D13</f>
        <v>Balsam Khalaf</v>
      </c>
    </row>
    <row r="4" spans="2:3" ht="18">
      <c r="B4" s="250" t="str">
        <f>+[1]Admin!C14</f>
        <v>Neptun code</v>
      </c>
      <c r="C4" s="141" t="str">
        <f>+[1]Admin!D14</f>
        <v>HA86QX</v>
      </c>
    </row>
    <row r="5" spans="2:3" ht="18">
      <c r="B5" s="250"/>
      <c r="C5" s="142"/>
    </row>
    <row r="6" spans="2:3" ht="18">
      <c r="B6" s="250" t="str">
        <f>+[1]Admin!C16</f>
        <v>Study program</v>
      </c>
      <c r="C6" s="142" t="str">
        <f>+[1]Admin!D16</f>
        <v>Master in Finance</v>
      </c>
    </row>
    <row r="7" spans="2:3" ht="19" thickBot="1">
      <c r="B7" s="251" t="str">
        <f>+[1]Admin!C17</f>
        <v>Instructor</v>
      </c>
      <c r="C7" s="143" t="str">
        <f>+[1]Admin!D17</f>
        <v>Péter Juhász, PhD, CFA</v>
      </c>
    </row>
    <row r="8" spans="2:3" ht="16" thickBot="1"/>
    <row r="9" spans="2:3" ht="21" thickBot="1">
      <c r="B9" s="1" t="s">
        <v>114</v>
      </c>
      <c r="C9" s="2"/>
    </row>
    <row r="25" spans="3:12" s="353" customFormat="1" ht="34">
      <c r="D25" s="217">
        <v>2020</v>
      </c>
      <c r="E25" s="217">
        <v>2021</v>
      </c>
      <c r="F25" s="217">
        <v>2022</v>
      </c>
      <c r="G25" s="217">
        <v>2023</v>
      </c>
      <c r="H25" s="217">
        <v>2024</v>
      </c>
      <c r="I25" s="217">
        <v>2025</v>
      </c>
      <c r="J25" s="225" t="s">
        <v>511</v>
      </c>
    </row>
    <row r="26" spans="3:12" ht="16">
      <c r="C26" t="s">
        <v>512</v>
      </c>
      <c r="D26" s="36">
        <v>5000</v>
      </c>
      <c r="E26" s="36">
        <v>6000</v>
      </c>
      <c r="F26" s="36">
        <v>7000</v>
      </c>
      <c r="G26" s="36">
        <v>8000</v>
      </c>
      <c r="H26" s="36">
        <v>9000</v>
      </c>
      <c r="I26" s="36">
        <v>10000</v>
      </c>
      <c r="J26" s="36">
        <v>11000</v>
      </c>
      <c r="K26" s="36">
        <v>11000</v>
      </c>
      <c r="L26" s="36">
        <v>11000</v>
      </c>
    </row>
    <row r="27" spans="3:12" ht="16">
      <c r="C27" t="s">
        <v>513</v>
      </c>
      <c r="D27" s="36">
        <v>5500</v>
      </c>
      <c r="E27" s="36">
        <v>6500</v>
      </c>
      <c r="F27" s="36">
        <v>7500</v>
      </c>
      <c r="G27" s="36">
        <v>8500</v>
      </c>
      <c r="H27" s="36">
        <v>9500</v>
      </c>
      <c r="I27" s="36">
        <v>10500</v>
      </c>
      <c r="J27" s="36">
        <v>11500</v>
      </c>
      <c r="K27" s="36">
        <v>11500</v>
      </c>
      <c r="L27" s="36">
        <v>11500</v>
      </c>
    </row>
    <row r="28" spans="3:12">
      <c r="C28" t="s">
        <v>514</v>
      </c>
      <c r="D28" s="17">
        <v>1</v>
      </c>
      <c r="E28" s="17">
        <v>1.05</v>
      </c>
      <c r="F28" s="17">
        <v>1.1000000000000001</v>
      </c>
      <c r="G28" s="17">
        <v>1.1499999999999999</v>
      </c>
      <c r="H28" s="17">
        <v>1.1499999999999999</v>
      </c>
      <c r="I28" s="17">
        <v>1.1499999999999999</v>
      </c>
      <c r="J28" s="17">
        <v>1.1499999999999999</v>
      </c>
      <c r="K28" s="17">
        <v>1.1499999999999999</v>
      </c>
      <c r="L28" s="17">
        <v>1.1499999999999999</v>
      </c>
    </row>
    <row r="29" spans="3:12">
      <c r="C29" t="s">
        <v>482</v>
      </c>
      <c r="D29" s="12">
        <v>0.1</v>
      </c>
      <c r="E29" s="12">
        <v>0.1</v>
      </c>
      <c r="F29" s="12">
        <v>0.1</v>
      </c>
      <c r="G29" s="12">
        <v>0.1</v>
      </c>
      <c r="H29" s="12">
        <v>0.1</v>
      </c>
      <c r="I29" s="12">
        <v>0.1</v>
      </c>
      <c r="J29" s="12">
        <v>0.1</v>
      </c>
      <c r="K29" s="12">
        <v>0.1</v>
      </c>
      <c r="L29" s="12">
        <v>0.1</v>
      </c>
    </row>
    <row r="30" spans="3:12">
      <c r="C30" t="s">
        <v>515</v>
      </c>
      <c r="D30" s="35">
        <v>0.1</v>
      </c>
      <c r="E30" s="35">
        <v>0.1</v>
      </c>
      <c r="F30" s="35">
        <v>0.1</v>
      </c>
      <c r="G30" s="35">
        <v>0.1</v>
      </c>
      <c r="H30" s="35">
        <v>0.15</v>
      </c>
      <c r="I30" s="35">
        <v>0.15</v>
      </c>
      <c r="J30" s="35">
        <v>0.15</v>
      </c>
      <c r="K30" s="35">
        <v>0.15</v>
      </c>
      <c r="L30" s="35">
        <v>0.15</v>
      </c>
    </row>
    <row r="31" spans="3:12">
      <c r="C31" t="s">
        <v>162</v>
      </c>
      <c r="D31" s="35">
        <v>0.04</v>
      </c>
      <c r="E31" s="35">
        <v>0.04</v>
      </c>
      <c r="F31" s="35">
        <v>0.06</v>
      </c>
      <c r="G31" s="35">
        <v>0.06</v>
      </c>
      <c r="H31" s="35">
        <v>0.06</v>
      </c>
      <c r="I31" s="35">
        <v>0.06</v>
      </c>
      <c r="J31" s="35">
        <v>0.06</v>
      </c>
      <c r="K31" s="35">
        <v>0.06</v>
      </c>
      <c r="L31" s="35">
        <v>0.06</v>
      </c>
    </row>
    <row r="32" spans="3:12">
      <c r="C32" t="s">
        <v>259</v>
      </c>
      <c r="D32" s="12">
        <v>0.08</v>
      </c>
      <c r="E32" s="12">
        <v>0.08</v>
      </c>
      <c r="F32" s="12">
        <v>0.08</v>
      </c>
      <c r="G32" s="12">
        <v>0.08</v>
      </c>
      <c r="H32" s="12">
        <v>0.08</v>
      </c>
      <c r="I32" s="12">
        <v>0.08</v>
      </c>
      <c r="J32" s="12">
        <v>0.08</v>
      </c>
      <c r="K32" s="12">
        <v>0.08</v>
      </c>
      <c r="L32" s="12">
        <v>0.08</v>
      </c>
    </row>
    <row r="33" spans="1:13" ht="16">
      <c r="C33" s="354" t="s">
        <v>183</v>
      </c>
      <c r="D33" s="12">
        <v>0.3</v>
      </c>
      <c r="E33" s="12">
        <v>0.4</v>
      </c>
      <c r="F33" s="12">
        <v>0.5</v>
      </c>
      <c r="G33" s="12">
        <v>0.5</v>
      </c>
      <c r="H33" s="12">
        <v>0.5</v>
      </c>
      <c r="I33" s="12">
        <v>0.5</v>
      </c>
      <c r="J33" s="12">
        <v>0.5</v>
      </c>
      <c r="K33" s="12">
        <v>0.5</v>
      </c>
      <c r="L33" s="12">
        <v>0.5</v>
      </c>
    </row>
    <row r="34" spans="1:13" ht="16" thickBot="1"/>
    <row r="35" spans="1:13" ht="16">
      <c r="C35" s="355" t="s">
        <v>516</v>
      </c>
      <c r="D35" s="356">
        <f>D37/D42</f>
        <v>6.93E-2</v>
      </c>
      <c r="E35" s="356">
        <f t="shared" ref="E35:J35" si="0">E37/E42</f>
        <v>6.1425E-2</v>
      </c>
      <c r="F35" s="356">
        <f t="shared" si="0"/>
        <v>5.3035714285714283E-2</v>
      </c>
      <c r="G35" s="356">
        <f t="shared" si="0"/>
        <v>5.4984375000000002E-2</v>
      </c>
      <c r="H35" s="356">
        <f t="shared" si="0"/>
        <v>5.1590277777777777E-2</v>
      </c>
      <c r="I35" s="356">
        <f t="shared" si="0"/>
        <v>5.1318749999999989E-2</v>
      </c>
      <c r="J35" s="357">
        <f t="shared" si="0"/>
        <v>5.1096590909090911E-2</v>
      </c>
    </row>
    <row r="36" spans="1:13" ht="16">
      <c r="C36" s="358" t="s">
        <v>517</v>
      </c>
      <c r="D36" s="359"/>
      <c r="E36" s="360">
        <f>(E37-D37)/D40</f>
        <v>4.1737500000000004E-2</v>
      </c>
      <c r="F36" s="360">
        <f t="shared" ref="F36:J36" si="1">(F37-E37)/E40</f>
        <v>3.2062500000000001E-2</v>
      </c>
      <c r="G36" s="360">
        <f t="shared" si="1"/>
        <v>6.8625000000000005E-2</v>
      </c>
      <c r="H36" s="360">
        <f t="shared" si="1"/>
        <v>2.4437500000000001E-2</v>
      </c>
      <c r="I36" s="360">
        <f t="shared" si="1"/>
        <v>4.8874999999999884E-2</v>
      </c>
      <c r="J36" s="361">
        <f t="shared" si="1"/>
        <v>4.8875000000000113E-2</v>
      </c>
    </row>
    <row r="37" spans="1:13" ht="16">
      <c r="B37" t="s">
        <v>518</v>
      </c>
      <c r="C37" s="362" t="s">
        <v>166</v>
      </c>
      <c r="D37" s="363">
        <f>D47*(1-D57)</f>
        <v>495</v>
      </c>
      <c r="E37" s="363">
        <f t="shared" ref="E37:J37" si="2">E47*(1-E57)</f>
        <v>614.25</v>
      </c>
      <c r="F37" s="363">
        <f t="shared" si="2"/>
        <v>742.5</v>
      </c>
      <c r="G37" s="363">
        <f t="shared" si="2"/>
        <v>879.75</v>
      </c>
      <c r="H37" s="363">
        <f t="shared" si="2"/>
        <v>928.625</v>
      </c>
      <c r="I37" s="363">
        <f t="shared" si="2"/>
        <v>1026.3749999999998</v>
      </c>
      <c r="J37" s="364">
        <f t="shared" si="2"/>
        <v>1124.125</v>
      </c>
    </row>
    <row r="38" spans="1:13" ht="16">
      <c r="C38" s="365" t="s">
        <v>65</v>
      </c>
      <c r="D38" s="363">
        <f>D37-D40</f>
        <v>-2362.1428571428569</v>
      </c>
      <c r="E38" s="363">
        <f t="shared" ref="E38:J38" si="3">E37-E40</f>
        <v>-3385.75</v>
      </c>
      <c r="F38" s="363">
        <f t="shared" si="3"/>
        <v>-1257.5</v>
      </c>
      <c r="G38" s="363">
        <f t="shared" si="3"/>
        <v>-1120.25</v>
      </c>
      <c r="H38" s="363">
        <f t="shared" si="3"/>
        <v>-1071.375</v>
      </c>
      <c r="I38" s="363">
        <f t="shared" si="3"/>
        <v>-973.62500000000023</v>
      </c>
      <c r="J38" s="364">
        <f t="shared" si="3"/>
        <v>1124.125</v>
      </c>
    </row>
    <row r="39" spans="1:13" ht="16">
      <c r="C39" s="358" t="s">
        <v>519</v>
      </c>
      <c r="D39" s="366">
        <f>D40/D37</f>
        <v>5.7720057720057714</v>
      </c>
      <c r="E39" s="366">
        <f t="shared" ref="E39:J39" si="4">E40/E37</f>
        <v>6.5120065120065123</v>
      </c>
      <c r="F39" s="366">
        <f t="shared" si="4"/>
        <v>2.6936026936026938</v>
      </c>
      <c r="G39" s="366">
        <f t="shared" si="4"/>
        <v>2.2733731173628873</v>
      </c>
      <c r="H39" s="366">
        <f t="shared" si="4"/>
        <v>2.1537219006595771</v>
      </c>
      <c r="I39" s="366">
        <f t="shared" si="4"/>
        <v>1.9486055291681894</v>
      </c>
      <c r="J39" s="367">
        <f t="shared" si="4"/>
        <v>0</v>
      </c>
    </row>
    <row r="40" spans="1:13" ht="17" thickBot="1">
      <c r="C40" s="368" t="s">
        <v>194</v>
      </c>
      <c r="D40" s="369">
        <f>E42-D42</f>
        <v>2857.1428571428569</v>
      </c>
      <c r="E40" s="369">
        <f t="shared" ref="E40:H40" si="5">F42-E42</f>
        <v>4000</v>
      </c>
      <c r="F40" s="369">
        <f t="shared" si="5"/>
        <v>2000</v>
      </c>
      <c r="G40" s="369">
        <f t="shared" si="5"/>
        <v>2000</v>
      </c>
      <c r="H40" s="369">
        <f t="shared" si="5"/>
        <v>2000</v>
      </c>
      <c r="I40" s="369">
        <f>J42-I42</f>
        <v>2000</v>
      </c>
      <c r="J40" s="370">
        <f>K42-J42</f>
        <v>0</v>
      </c>
    </row>
    <row r="41" spans="1:13">
      <c r="B41" t="s">
        <v>217</v>
      </c>
    </row>
    <row r="42" spans="1:13" ht="16">
      <c r="A42">
        <v>2</v>
      </c>
      <c r="B42" t="s">
        <v>520</v>
      </c>
      <c r="C42" s="371" t="s">
        <v>188</v>
      </c>
      <c r="D42" s="372">
        <f>D44/(1-D33)</f>
        <v>7142.8571428571431</v>
      </c>
      <c r="E42" s="372">
        <f t="shared" ref="E42:L42" si="6">E44/(1-E33)</f>
        <v>10000</v>
      </c>
      <c r="F42" s="372">
        <f t="shared" si="6"/>
        <v>14000</v>
      </c>
      <c r="G42" s="372">
        <f t="shared" si="6"/>
        <v>16000</v>
      </c>
      <c r="H42" s="372">
        <f t="shared" si="6"/>
        <v>18000</v>
      </c>
      <c r="I42" s="372">
        <f t="shared" si="6"/>
        <v>20000</v>
      </c>
      <c r="J42" s="372">
        <f t="shared" si="6"/>
        <v>22000</v>
      </c>
      <c r="K42" s="372">
        <f t="shared" si="6"/>
        <v>22000</v>
      </c>
      <c r="L42" s="372">
        <f t="shared" si="6"/>
        <v>22000</v>
      </c>
      <c r="M42" s="17"/>
    </row>
    <row r="43" spans="1:13" ht="16">
      <c r="A43">
        <v>3</v>
      </c>
      <c r="B43" t="s">
        <v>521</v>
      </c>
      <c r="C43" s="373" t="s">
        <v>522</v>
      </c>
      <c r="D43" s="372">
        <f>D42*D33</f>
        <v>2142.8571428571427</v>
      </c>
      <c r="E43" s="372">
        <f t="shared" ref="E43:L43" si="7">E42*E33</f>
        <v>4000</v>
      </c>
      <c r="F43" s="372">
        <f t="shared" si="7"/>
        <v>7000</v>
      </c>
      <c r="G43" s="372">
        <f t="shared" si="7"/>
        <v>8000</v>
      </c>
      <c r="H43" s="372">
        <f t="shared" si="7"/>
        <v>9000</v>
      </c>
      <c r="I43" s="372">
        <f t="shared" si="7"/>
        <v>10000</v>
      </c>
      <c r="J43" s="372">
        <f t="shared" si="7"/>
        <v>11000</v>
      </c>
      <c r="K43" s="372">
        <f t="shared" si="7"/>
        <v>11000</v>
      </c>
      <c r="L43" s="372">
        <f t="shared" si="7"/>
        <v>11000</v>
      </c>
    </row>
    <row r="44" spans="1:13" ht="16">
      <c r="A44">
        <v>1</v>
      </c>
      <c r="B44" t="s">
        <v>128</v>
      </c>
      <c r="C44" s="374" t="s">
        <v>200</v>
      </c>
      <c r="D44" s="372">
        <f>D26</f>
        <v>5000</v>
      </c>
      <c r="E44" s="372">
        <f t="shared" ref="E44:L44" si="8">E26</f>
        <v>6000</v>
      </c>
      <c r="F44" s="372">
        <f t="shared" si="8"/>
        <v>7000</v>
      </c>
      <c r="G44" s="372">
        <f t="shared" si="8"/>
        <v>8000</v>
      </c>
      <c r="H44" s="372">
        <f t="shared" si="8"/>
        <v>9000</v>
      </c>
      <c r="I44" s="372">
        <f t="shared" si="8"/>
        <v>10000</v>
      </c>
      <c r="J44" s="372">
        <f t="shared" si="8"/>
        <v>11000</v>
      </c>
      <c r="K44" s="372">
        <f t="shared" si="8"/>
        <v>11000</v>
      </c>
      <c r="L44" s="372">
        <f t="shared" si="8"/>
        <v>11000</v>
      </c>
      <c r="M44" s="17"/>
    </row>
    <row r="45" spans="1:13">
      <c r="B45" t="s">
        <v>276</v>
      </c>
    </row>
    <row r="46" spans="1:13" ht="16">
      <c r="A46">
        <v>4</v>
      </c>
      <c r="B46" t="s">
        <v>523</v>
      </c>
      <c r="C46" s="75" t="s">
        <v>20</v>
      </c>
      <c r="D46" s="279">
        <f>D27*D28</f>
        <v>5500</v>
      </c>
      <c r="E46" s="279">
        <f t="shared" ref="E46:L46" si="9">E27*E28</f>
        <v>6825</v>
      </c>
      <c r="F46" s="279">
        <f t="shared" si="9"/>
        <v>8250</v>
      </c>
      <c r="G46" s="279">
        <f t="shared" si="9"/>
        <v>9775</v>
      </c>
      <c r="H46" s="279">
        <f t="shared" si="9"/>
        <v>10925</v>
      </c>
      <c r="I46" s="279">
        <f t="shared" si="9"/>
        <v>12074.999999999998</v>
      </c>
      <c r="J46" s="279">
        <f t="shared" si="9"/>
        <v>13224.999999999998</v>
      </c>
      <c r="K46" s="279">
        <f t="shared" si="9"/>
        <v>13224.999999999998</v>
      </c>
      <c r="L46" s="279">
        <f t="shared" si="9"/>
        <v>13224.999999999998</v>
      </c>
      <c r="M46" s="279"/>
    </row>
    <row r="47" spans="1:13" ht="16">
      <c r="A47">
        <v>5</v>
      </c>
      <c r="B47" t="s">
        <v>524</v>
      </c>
      <c r="C47" s="375" t="s">
        <v>25</v>
      </c>
      <c r="D47" s="279">
        <f>D46*D29</f>
        <v>550</v>
      </c>
      <c r="E47" s="279">
        <f t="shared" ref="E47:L47" si="10">E46*E29</f>
        <v>682.5</v>
      </c>
      <c r="F47" s="279">
        <f t="shared" si="10"/>
        <v>825</v>
      </c>
      <c r="G47" s="279">
        <f t="shared" si="10"/>
        <v>977.5</v>
      </c>
      <c r="H47" s="279">
        <f t="shared" si="10"/>
        <v>1092.5</v>
      </c>
      <c r="I47" s="279">
        <f t="shared" si="10"/>
        <v>1207.4999999999998</v>
      </c>
      <c r="J47" s="279">
        <f t="shared" si="10"/>
        <v>1322.5</v>
      </c>
      <c r="K47" s="279">
        <f t="shared" si="10"/>
        <v>1322.5</v>
      </c>
      <c r="L47" s="279">
        <f t="shared" si="10"/>
        <v>1322.5</v>
      </c>
      <c r="M47" s="279"/>
    </row>
    <row r="48" spans="1:13" ht="15" customHeight="1">
      <c r="A48">
        <v>6</v>
      </c>
      <c r="B48" t="s">
        <v>525</v>
      </c>
      <c r="C48" t="s">
        <v>279</v>
      </c>
      <c r="D48" s="279">
        <f>D43*D31</f>
        <v>85.714285714285708</v>
      </c>
      <c r="E48" s="279">
        <f t="shared" ref="E48:L48" si="11">E43*E31</f>
        <v>160</v>
      </c>
      <c r="F48" s="279">
        <f t="shared" si="11"/>
        <v>420</v>
      </c>
      <c r="G48" s="279">
        <f t="shared" si="11"/>
        <v>480</v>
      </c>
      <c r="H48" s="279">
        <f t="shared" si="11"/>
        <v>540</v>
      </c>
      <c r="I48" s="279">
        <f t="shared" si="11"/>
        <v>600</v>
      </c>
      <c r="J48" s="279">
        <f t="shared" si="11"/>
        <v>660</v>
      </c>
      <c r="K48" s="279">
        <f t="shared" si="11"/>
        <v>660</v>
      </c>
      <c r="L48" s="279">
        <f t="shared" si="11"/>
        <v>660</v>
      </c>
      <c r="M48" s="279"/>
    </row>
    <row r="49" spans="1:13" ht="15" customHeight="1">
      <c r="A49">
        <v>7</v>
      </c>
      <c r="C49" t="s">
        <v>31</v>
      </c>
      <c r="D49" s="279">
        <f>D47-D48</f>
        <v>464.28571428571428</v>
      </c>
      <c r="E49" s="279">
        <f t="shared" ref="E49:L49" si="12">E47-E48</f>
        <v>522.5</v>
      </c>
      <c r="F49" s="279">
        <f t="shared" si="12"/>
        <v>405</v>
      </c>
      <c r="G49" s="279">
        <f t="shared" si="12"/>
        <v>497.5</v>
      </c>
      <c r="H49" s="279">
        <f t="shared" si="12"/>
        <v>552.5</v>
      </c>
      <c r="I49" s="279">
        <f t="shared" si="12"/>
        <v>607.49999999999977</v>
      </c>
      <c r="J49" s="279">
        <f t="shared" si="12"/>
        <v>662.5</v>
      </c>
      <c r="K49" s="279">
        <f t="shared" si="12"/>
        <v>662.5</v>
      </c>
      <c r="L49" s="279">
        <f t="shared" si="12"/>
        <v>662.5</v>
      </c>
      <c r="M49" s="279"/>
    </row>
    <row r="50" spans="1:13" ht="15" customHeight="1">
      <c r="A50">
        <v>8</v>
      </c>
      <c r="B50" s="376" t="s">
        <v>526</v>
      </c>
      <c r="C50" t="s">
        <v>32</v>
      </c>
      <c r="D50" s="221">
        <f t="shared" ref="D50:L50" si="13">+IF(D49&lt;0,0,D49*D30)</f>
        <v>46.428571428571431</v>
      </c>
      <c r="E50" s="221">
        <f t="shared" si="13"/>
        <v>52.25</v>
      </c>
      <c r="F50" s="221">
        <f t="shared" si="13"/>
        <v>40.5</v>
      </c>
      <c r="G50" s="221">
        <f t="shared" si="13"/>
        <v>49.75</v>
      </c>
      <c r="H50" s="221">
        <f t="shared" si="13"/>
        <v>82.875</v>
      </c>
      <c r="I50" s="221">
        <f t="shared" si="13"/>
        <v>91.124999999999957</v>
      </c>
      <c r="J50" s="221">
        <f t="shared" si="13"/>
        <v>99.375</v>
      </c>
      <c r="K50" s="221">
        <f t="shared" si="13"/>
        <v>99.375</v>
      </c>
      <c r="L50" s="221">
        <f t="shared" si="13"/>
        <v>99.375</v>
      </c>
      <c r="M50" s="221"/>
    </row>
    <row r="51" spans="1:13" ht="15" customHeight="1">
      <c r="A51">
        <v>9</v>
      </c>
      <c r="C51" t="s">
        <v>33</v>
      </c>
      <c r="D51" s="218">
        <f>D49-D50</f>
        <v>417.85714285714283</v>
      </c>
      <c r="E51" s="218">
        <f t="shared" ref="E51:L51" si="14">E49-E50</f>
        <v>470.25</v>
      </c>
      <c r="F51" s="218">
        <f t="shared" si="14"/>
        <v>364.5</v>
      </c>
      <c r="G51" s="218">
        <f t="shared" si="14"/>
        <v>447.75</v>
      </c>
      <c r="H51" s="218">
        <f t="shared" si="14"/>
        <v>469.625</v>
      </c>
      <c r="I51" s="218">
        <f t="shared" si="14"/>
        <v>516.37499999999977</v>
      </c>
      <c r="J51" s="218">
        <f t="shared" si="14"/>
        <v>563.125</v>
      </c>
      <c r="K51" s="218">
        <f t="shared" si="14"/>
        <v>563.125</v>
      </c>
      <c r="L51" s="218">
        <f t="shared" si="14"/>
        <v>563.125</v>
      </c>
    </row>
    <row r="52" spans="1:13" ht="15" customHeight="1">
      <c r="A52">
        <v>10</v>
      </c>
      <c r="C52" t="s">
        <v>34</v>
      </c>
      <c r="D52" s="221">
        <f>+D51-D53</f>
        <v>0</v>
      </c>
      <c r="E52" s="221">
        <f t="shared" ref="E52:L52" si="15">+E51-E53</f>
        <v>0</v>
      </c>
      <c r="F52" s="221">
        <f t="shared" si="15"/>
        <v>0</v>
      </c>
      <c r="G52" s="221">
        <f t="shared" si="15"/>
        <v>0</v>
      </c>
      <c r="H52" s="221">
        <f t="shared" si="15"/>
        <v>0</v>
      </c>
      <c r="I52" s="221">
        <f t="shared" si="15"/>
        <v>0</v>
      </c>
      <c r="J52" s="221">
        <f t="shared" si="15"/>
        <v>563.125</v>
      </c>
      <c r="K52" s="221">
        <f t="shared" si="15"/>
        <v>563.125</v>
      </c>
      <c r="L52" s="221">
        <f t="shared" si="15"/>
        <v>563.125</v>
      </c>
    </row>
    <row r="53" spans="1:13" ht="15" customHeight="1">
      <c r="A53">
        <v>10</v>
      </c>
      <c r="C53" t="s">
        <v>35</v>
      </c>
      <c r="D53" s="221">
        <f>+IF(D51&lt;0,D51,MAX(0,MIN(D51,D55)))</f>
        <v>417.85714285714283</v>
      </c>
      <c r="E53" s="221">
        <f t="shared" ref="E53:K53" si="16">+IF(E51&lt;0,E51,MAX(0,MIN(E51,E55)))</f>
        <v>470.25</v>
      </c>
      <c r="F53" s="221">
        <f t="shared" si="16"/>
        <v>364.5</v>
      </c>
      <c r="G53" s="221">
        <f t="shared" si="16"/>
        <v>447.75</v>
      </c>
      <c r="H53" s="221">
        <f t="shared" si="16"/>
        <v>469.625</v>
      </c>
      <c r="I53" s="221">
        <f t="shared" si="16"/>
        <v>516.37499999999977</v>
      </c>
      <c r="J53" s="221">
        <f t="shared" si="16"/>
        <v>0</v>
      </c>
      <c r="K53" s="221">
        <f t="shared" si="16"/>
        <v>0</v>
      </c>
    </row>
    <row r="54" spans="1:13">
      <c r="A54">
        <v>10</v>
      </c>
      <c r="B54" t="s">
        <v>527</v>
      </c>
      <c r="D54" s="221"/>
    </row>
    <row r="55" spans="1:13" ht="15" customHeight="1">
      <c r="A55">
        <v>10</v>
      </c>
      <c r="C55" t="s">
        <v>249</v>
      </c>
      <c r="D55" s="221">
        <f>+E44-D44</f>
        <v>1000</v>
      </c>
      <c r="E55" s="221">
        <f t="shared" ref="E55:I55" si="17">+F44-E44</f>
        <v>1000</v>
      </c>
      <c r="F55" s="221">
        <f t="shared" si="17"/>
        <v>1000</v>
      </c>
      <c r="G55" s="221">
        <f t="shared" si="17"/>
        <v>1000</v>
      </c>
      <c r="H55" s="221">
        <f t="shared" si="17"/>
        <v>1000</v>
      </c>
      <c r="I55" s="221">
        <f t="shared" si="17"/>
        <v>1000</v>
      </c>
      <c r="J55" s="221">
        <f>+K44-J44</f>
        <v>0</v>
      </c>
      <c r="K55" s="221">
        <f t="shared" ref="K55" si="18">+L44-K44</f>
        <v>0</v>
      </c>
    </row>
    <row r="56" spans="1:13" ht="15" customHeight="1">
      <c r="A56">
        <v>10</v>
      </c>
      <c r="C56" t="s">
        <v>250</v>
      </c>
      <c r="D56" s="221">
        <f>+D55-D53</f>
        <v>582.14285714285711</v>
      </c>
      <c r="E56" s="221">
        <f t="shared" ref="E56:K56" si="19">+E55-E53</f>
        <v>529.75</v>
      </c>
      <c r="F56" s="221">
        <f t="shared" si="19"/>
        <v>635.5</v>
      </c>
      <c r="G56" s="221">
        <f t="shared" si="19"/>
        <v>552.25</v>
      </c>
      <c r="H56" s="221">
        <f t="shared" si="19"/>
        <v>530.375</v>
      </c>
      <c r="I56" s="221">
        <f t="shared" si="19"/>
        <v>483.62500000000023</v>
      </c>
      <c r="J56" s="221">
        <f t="shared" si="19"/>
        <v>0</v>
      </c>
      <c r="K56" s="221">
        <f t="shared" si="19"/>
        <v>0</v>
      </c>
    </row>
    <row r="57" spans="1:13" ht="16">
      <c r="A57">
        <v>10</v>
      </c>
      <c r="C57" s="223" t="s">
        <v>252</v>
      </c>
      <c r="D57" s="224">
        <f>+D50/D49</f>
        <v>0.1</v>
      </c>
      <c r="E57" s="224">
        <f t="shared" ref="E57:K57" si="20">+E50/E49</f>
        <v>0.1</v>
      </c>
      <c r="F57" s="224">
        <f t="shared" si="20"/>
        <v>0.1</v>
      </c>
      <c r="G57" s="224">
        <f t="shared" si="20"/>
        <v>0.1</v>
      </c>
      <c r="H57" s="224">
        <f t="shared" si="20"/>
        <v>0.15</v>
      </c>
      <c r="I57" s="224">
        <f t="shared" si="20"/>
        <v>0.15</v>
      </c>
      <c r="J57" s="224">
        <f t="shared" si="20"/>
        <v>0.15</v>
      </c>
      <c r="K57" s="224">
        <f t="shared" si="20"/>
        <v>0.15</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D59C8-2B41-46E4-9EF9-3EF803C5A8F6}">
  <dimension ref="A2:N131"/>
  <sheetViews>
    <sheetView workbookViewId="0">
      <selection activeCell="N26" sqref="N26"/>
    </sheetView>
  </sheetViews>
  <sheetFormatPr baseColWidth="10" defaultColWidth="9.5" defaultRowHeight="16"/>
  <cols>
    <col min="1" max="1" width="3.83203125" style="497" customWidth="1"/>
    <col min="2" max="2" width="23.83203125" style="497" customWidth="1"/>
    <col min="3" max="3" width="13.5" style="497" bestFit="1" customWidth="1"/>
    <col min="4" max="4" width="11" style="497" bestFit="1" customWidth="1"/>
    <col min="5" max="7" width="13.6640625" style="497" bestFit="1" customWidth="1"/>
    <col min="8" max="13" width="11.5" style="497" bestFit="1" customWidth="1"/>
    <col min="14" max="14" width="11" style="497" bestFit="1" customWidth="1"/>
    <col min="15" max="16384" width="9.5" style="497"/>
  </cols>
  <sheetData>
    <row r="2" spans="2:14">
      <c r="C2" s="476">
        <f t="shared" ref="C2:F2" si="0">+D2-1</f>
        <v>2019</v>
      </c>
      <c r="D2" s="476">
        <f t="shared" si="0"/>
        <v>2020</v>
      </c>
      <c r="E2" s="476">
        <f t="shared" si="0"/>
        <v>2021</v>
      </c>
      <c r="F2" s="476">
        <f t="shared" si="0"/>
        <v>2022</v>
      </c>
      <c r="G2" s="476">
        <f>+H2-1</f>
        <v>2023</v>
      </c>
      <c r="H2" s="476">
        <v>2024</v>
      </c>
      <c r="I2" s="476">
        <f>+H2+1</f>
        <v>2025</v>
      </c>
      <c r="J2" s="476">
        <f t="shared" ref="J2:M2" si="1">+I2+1</f>
        <v>2026</v>
      </c>
      <c r="K2" s="476">
        <f t="shared" si="1"/>
        <v>2027</v>
      </c>
      <c r="L2" s="476">
        <f t="shared" si="1"/>
        <v>2028</v>
      </c>
      <c r="M2" s="476">
        <f t="shared" si="1"/>
        <v>2029</v>
      </c>
      <c r="N2" s="473"/>
    </row>
    <row r="3" spans="2:14">
      <c r="B3" s="498" t="s">
        <v>528</v>
      </c>
      <c r="C3" s="499">
        <v>10000</v>
      </c>
      <c r="D3" s="499">
        <v>10700</v>
      </c>
      <c r="E3" s="499">
        <v>11400</v>
      </c>
      <c r="F3" s="499">
        <v>12100</v>
      </c>
      <c r="G3" s="499">
        <v>12800</v>
      </c>
      <c r="H3" s="500">
        <f t="shared" ref="H3:N3" si="2">G$3*(1+H$27)</f>
        <v>14719.999999999998</v>
      </c>
      <c r="I3" s="500">
        <f t="shared" si="2"/>
        <v>16486.399999999998</v>
      </c>
      <c r="J3" s="500">
        <f t="shared" si="2"/>
        <v>17805.311999999998</v>
      </c>
      <c r="K3" s="500">
        <f t="shared" si="2"/>
        <v>18873.630719999997</v>
      </c>
      <c r="L3" s="500">
        <f t="shared" si="2"/>
        <v>19817.312255999997</v>
      </c>
      <c r="M3" s="500">
        <f t="shared" si="2"/>
        <v>20808.177868799998</v>
      </c>
      <c r="N3" s="501">
        <f t="shared" si="2"/>
        <v>21848.58676224</v>
      </c>
    </row>
    <row r="4" spans="2:14">
      <c r="B4" s="502" t="s">
        <v>529</v>
      </c>
      <c r="C4" s="503">
        <v>6500</v>
      </c>
      <c r="D4" s="503">
        <v>6900</v>
      </c>
      <c r="E4" s="503">
        <v>7300</v>
      </c>
      <c r="F4" s="503">
        <v>7800</v>
      </c>
      <c r="G4" s="503">
        <v>8200</v>
      </c>
      <c r="H4" s="504">
        <f>H$3*H$28</f>
        <v>9126.4</v>
      </c>
      <c r="I4" s="504">
        <f t="shared" ref="I4:M4" si="3">I$3*I$28</f>
        <v>10221.567999999999</v>
      </c>
      <c r="J4" s="504">
        <f t="shared" si="3"/>
        <v>11039.293439999999</v>
      </c>
      <c r="K4" s="504">
        <f t="shared" si="3"/>
        <v>11701.651046399998</v>
      </c>
      <c r="L4" s="504">
        <f t="shared" si="3"/>
        <v>12286.733598719999</v>
      </c>
      <c r="M4" s="504">
        <f t="shared" si="3"/>
        <v>12901.070278655998</v>
      </c>
      <c r="N4" s="505"/>
    </row>
    <row r="5" spans="2:14">
      <c r="B5" s="502" t="s">
        <v>530</v>
      </c>
      <c r="C5" s="503">
        <v>1800</v>
      </c>
      <c r="D5" s="503">
        <v>2000</v>
      </c>
      <c r="E5" s="503">
        <v>2100</v>
      </c>
      <c r="F5" s="503">
        <v>2200</v>
      </c>
      <c r="G5" s="503">
        <v>2400</v>
      </c>
      <c r="H5" s="504">
        <f>H$3*H$29</f>
        <v>2355.1999999999998</v>
      </c>
      <c r="I5" s="504">
        <f t="shared" ref="I5:M5" si="4">I$3*I$29</f>
        <v>2637.8239999999996</v>
      </c>
      <c r="J5" s="504">
        <f t="shared" si="4"/>
        <v>2848.8499199999997</v>
      </c>
      <c r="K5" s="504">
        <f t="shared" si="4"/>
        <v>3019.7809151999995</v>
      </c>
      <c r="L5" s="504">
        <f t="shared" si="4"/>
        <v>3170.7699609599995</v>
      </c>
      <c r="M5" s="504">
        <f t="shared" si="4"/>
        <v>3329.3084590079998</v>
      </c>
      <c r="N5" s="505"/>
    </row>
    <row r="6" spans="2:14">
      <c r="B6" s="502" t="s">
        <v>531</v>
      </c>
      <c r="C6" s="503">
        <v>735</v>
      </c>
      <c r="D6" s="503">
        <v>750</v>
      </c>
      <c r="E6" s="503">
        <v>800</v>
      </c>
      <c r="F6" s="503">
        <v>890</v>
      </c>
      <c r="G6" s="503">
        <v>970</v>
      </c>
      <c r="H6" s="506">
        <f>G$18*H$30</f>
        <v>996</v>
      </c>
      <c r="I6" s="504">
        <f t="shared" ref="I6:M6" si="5">H$18*I$30</f>
        <v>1094.69696</v>
      </c>
      <c r="J6" s="504">
        <f t="shared" si="5"/>
        <v>1182.2727167999999</v>
      </c>
      <c r="K6" s="504">
        <f t="shared" si="5"/>
        <v>1253.2090798080001</v>
      </c>
      <c r="L6" s="504">
        <f t="shared" si="5"/>
        <v>1315.8695337984</v>
      </c>
      <c r="M6" s="504">
        <f t="shared" si="5"/>
        <v>1381.66301048832</v>
      </c>
      <c r="N6" s="505"/>
    </row>
    <row r="7" spans="2:14">
      <c r="B7" s="502" t="s">
        <v>532</v>
      </c>
      <c r="C7" s="503">
        <v>965</v>
      </c>
      <c r="D7" s="503">
        <v>1050</v>
      </c>
      <c r="E7" s="503">
        <v>1200</v>
      </c>
      <c r="F7" s="503">
        <v>1210</v>
      </c>
      <c r="G7" s="503">
        <v>1230</v>
      </c>
      <c r="H7" s="504">
        <f>H3-H4-H5-H6</f>
        <v>2242.3999999999987</v>
      </c>
      <c r="I7" s="504">
        <f t="shared" ref="I7:M7" si="6">I3-I4-I5-I6</f>
        <v>2532.3110399999987</v>
      </c>
      <c r="J7" s="504">
        <f t="shared" si="6"/>
        <v>2734.8959231999988</v>
      </c>
      <c r="K7" s="504">
        <f t="shared" si="6"/>
        <v>2898.989678592</v>
      </c>
      <c r="L7" s="504">
        <f t="shared" si="6"/>
        <v>3043.9391625215994</v>
      </c>
      <c r="M7" s="504">
        <f t="shared" si="6"/>
        <v>3196.1361206476804</v>
      </c>
      <c r="N7" s="505"/>
    </row>
    <row r="8" spans="2:14">
      <c r="B8" s="502" t="s">
        <v>533</v>
      </c>
      <c r="C8" s="503">
        <v>0</v>
      </c>
      <c r="D8" s="503">
        <v>0</v>
      </c>
      <c r="E8" s="503">
        <v>0</v>
      </c>
      <c r="F8" s="503">
        <v>0</v>
      </c>
      <c r="G8" s="503">
        <v>0</v>
      </c>
      <c r="H8" s="504">
        <f t="shared" ref="H8:M8" si="7">G$24*H$37</f>
        <v>0</v>
      </c>
      <c r="I8" s="504">
        <f t="shared" si="7"/>
        <v>0</v>
      </c>
      <c r="J8" s="504">
        <f t="shared" si="7"/>
        <v>51.970628266666672</v>
      </c>
      <c r="K8" s="504">
        <f t="shared" si="7"/>
        <v>111.77878118400001</v>
      </c>
      <c r="L8" s="504">
        <f t="shared" si="7"/>
        <v>175.80157894655997</v>
      </c>
      <c r="M8" s="504">
        <f t="shared" si="7"/>
        <v>245.64439310745601</v>
      </c>
      <c r="N8" s="505"/>
    </row>
    <row r="9" spans="2:14">
      <c r="B9" s="502" t="s">
        <v>534</v>
      </c>
      <c r="C9" s="503">
        <v>965</v>
      </c>
      <c r="D9" s="503">
        <v>1050</v>
      </c>
      <c r="E9" s="503">
        <v>1200</v>
      </c>
      <c r="F9" s="503">
        <v>1210</v>
      </c>
      <c r="G9" s="503">
        <v>1230</v>
      </c>
      <c r="H9" s="504">
        <f>H7-H8</f>
        <v>2242.3999999999987</v>
      </c>
      <c r="I9" s="504">
        <f t="shared" ref="I9:M9" si="8">I7-I8</f>
        <v>2532.3110399999987</v>
      </c>
      <c r="J9" s="504">
        <f t="shared" si="8"/>
        <v>2682.9252949333322</v>
      </c>
      <c r="K9" s="504">
        <f t="shared" si="8"/>
        <v>2787.2108974080002</v>
      </c>
      <c r="L9" s="504">
        <f t="shared" si="8"/>
        <v>2868.1375835750396</v>
      </c>
      <c r="M9" s="504">
        <f t="shared" si="8"/>
        <v>2950.4917275402245</v>
      </c>
      <c r="N9" s="505"/>
    </row>
    <row r="10" spans="2:14">
      <c r="B10" s="502" t="s">
        <v>535</v>
      </c>
      <c r="C10" s="503">
        <v>100</v>
      </c>
      <c r="D10" s="503">
        <v>90</v>
      </c>
      <c r="E10" s="503">
        <v>110</v>
      </c>
      <c r="F10" s="503">
        <v>100</v>
      </c>
      <c r="G10" s="503">
        <v>90</v>
      </c>
      <c r="H10" s="504">
        <f>H$9*H$38</f>
        <v>448.47999999999979</v>
      </c>
      <c r="I10" s="504">
        <f t="shared" ref="I10:M10" si="9">I$9*I$38</f>
        <v>506.46220799999975</v>
      </c>
      <c r="J10" s="504">
        <f t="shared" si="9"/>
        <v>536.58505898666647</v>
      </c>
      <c r="K10" s="504">
        <f t="shared" si="9"/>
        <v>557.44217948160008</v>
      </c>
      <c r="L10" s="504">
        <f t="shared" si="9"/>
        <v>573.62751671500791</v>
      </c>
      <c r="M10" s="504">
        <f t="shared" si="9"/>
        <v>590.09834550804487</v>
      </c>
      <c r="N10" s="505"/>
    </row>
    <row r="11" spans="2:14">
      <c r="B11" s="502" t="s">
        <v>536</v>
      </c>
      <c r="C11" s="503">
        <v>865</v>
      </c>
      <c r="D11" s="503">
        <v>960</v>
      </c>
      <c r="E11" s="503">
        <v>1090</v>
      </c>
      <c r="F11" s="503">
        <v>1110</v>
      </c>
      <c r="G11" s="503">
        <v>1140</v>
      </c>
      <c r="H11" s="504">
        <f>H9-H10</f>
        <v>1793.9199999999989</v>
      </c>
      <c r="I11" s="504">
        <f t="shared" ref="I11:M11" si="10">I9-I10</f>
        <v>2025.848831999999</v>
      </c>
      <c r="J11" s="504">
        <f t="shared" si="10"/>
        <v>2146.3402359466659</v>
      </c>
      <c r="K11" s="504">
        <f t="shared" si="10"/>
        <v>2229.7687179264003</v>
      </c>
      <c r="L11" s="504">
        <f t="shared" si="10"/>
        <v>2294.5100668600317</v>
      </c>
      <c r="M11" s="504">
        <f t="shared" si="10"/>
        <v>2360.3933820321795</v>
      </c>
      <c r="N11" s="505"/>
    </row>
    <row r="12" spans="2:14">
      <c r="B12" s="507" t="s">
        <v>537</v>
      </c>
      <c r="C12" s="504"/>
      <c r="D12" s="504">
        <f>D11-D13</f>
        <v>525</v>
      </c>
      <c r="E12" s="504">
        <f t="shared" ref="E12:M12" si="11">E11-E13</f>
        <v>35</v>
      </c>
      <c r="F12" s="504">
        <f t="shared" si="11"/>
        <v>595</v>
      </c>
      <c r="G12" s="504">
        <f t="shared" si="11"/>
        <v>615</v>
      </c>
      <c r="H12" s="508">
        <f>H11-H13</f>
        <v>437.38222222222316</v>
      </c>
      <c r="I12" s="504">
        <f t="shared" si="11"/>
        <v>1551.0732231111099</v>
      </c>
      <c r="J12" s="504">
        <f t="shared" si="11"/>
        <v>1881.0960418133313</v>
      </c>
      <c r="K12" s="504">
        <f t="shared" si="11"/>
        <v>2229.7687179264003</v>
      </c>
      <c r="L12" s="504">
        <f t="shared" si="11"/>
        <v>2294.5100668600317</v>
      </c>
      <c r="M12" s="504">
        <f t="shared" si="11"/>
        <v>1658.5522588680174</v>
      </c>
      <c r="N12" s="509"/>
    </row>
    <row r="13" spans="2:14">
      <c r="B13" s="510" t="s">
        <v>538</v>
      </c>
      <c r="C13" s="511"/>
      <c r="D13" s="512">
        <f>IF(D11&lt;0,D11,MAX(MIN(D15,D11),0))</f>
        <v>435</v>
      </c>
      <c r="E13" s="513">
        <f t="shared" ref="E13:M13" si="12">IF(E11&lt;0,E11,MAX(MIN(E15,E11),0))</f>
        <v>1055</v>
      </c>
      <c r="F13" s="513">
        <f t="shared" si="12"/>
        <v>515</v>
      </c>
      <c r="G13" s="513">
        <f t="shared" si="12"/>
        <v>525</v>
      </c>
      <c r="H13" s="514">
        <f>IF(H11&lt;0,H11,MAX(MIN(H15,H11),0))</f>
        <v>1356.5377777777758</v>
      </c>
      <c r="I13" s="513">
        <f t="shared" si="12"/>
        <v>474.77560888888911</v>
      </c>
      <c r="J13" s="513">
        <f t="shared" si="12"/>
        <v>265.24419413333453</v>
      </c>
      <c r="K13" s="513">
        <f t="shared" si="12"/>
        <v>0</v>
      </c>
      <c r="L13" s="513">
        <f t="shared" si="12"/>
        <v>0</v>
      </c>
      <c r="M13" s="513">
        <f t="shared" si="12"/>
        <v>701.84112316416213</v>
      </c>
      <c r="N13" s="515"/>
    </row>
    <row r="14" spans="2:14">
      <c r="C14" s="516" t="s">
        <v>539</v>
      </c>
      <c r="D14" s="517"/>
      <c r="E14" s="517"/>
      <c r="F14" s="517"/>
      <c r="G14" s="517"/>
      <c r="H14" s="518"/>
      <c r="I14" s="517"/>
      <c r="J14" s="517"/>
      <c r="K14" s="517"/>
      <c r="L14" s="517"/>
      <c r="M14" s="517"/>
    </row>
    <row r="15" spans="2:14">
      <c r="B15" s="519" t="s">
        <v>540</v>
      </c>
      <c r="C15" s="500"/>
      <c r="D15" s="500">
        <f>D25-C25</f>
        <v>435</v>
      </c>
      <c r="E15" s="500">
        <f t="shared" ref="E15:M15" si="13">E25-D25</f>
        <v>1055</v>
      </c>
      <c r="F15" s="500">
        <f t="shared" si="13"/>
        <v>515</v>
      </c>
      <c r="G15" s="500">
        <f t="shared" si="13"/>
        <v>525</v>
      </c>
      <c r="H15" s="520">
        <f t="shared" si="13"/>
        <v>1356.5377777777758</v>
      </c>
      <c r="I15" s="500">
        <f t="shared" si="13"/>
        <v>474.77560888888911</v>
      </c>
      <c r="J15" s="500">
        <f t="shared" si="13"/>
        <v>265.24419413333453</v>
      </c>
      <c r="K15" s="521">
        <f t="shared" si="13"/>
        <v>-140.00118988800023</v>
      </c>
      <c r="L15" s="521">
        <f t="shared" si="13"/>
        <v>-194.7339276288003</v>
      </c>
      <c r="M15" s="500">
        <f t="shared" si="13"/>
        <v>701.84112316416213</v>
      </c>
      <c r="N15" s="522"/>
    </row>
    <row r="16" spans="2:14">
      <c r="B16" s="510" t="s">
        <v>541</v>
      </c>
      <c r="C16" s="511"/>
      <c r="D16" s="513">
        <f>D15-D13</f>
        <v>0</v>
      </c>
      <c r="E16" s="513">
        <f t="shared" ref="E16:M16" si="14">E15-E13</f>
        <v>0</v>
      </c>
      <c r="F16" s="513">
        <f t="shared" si="14"/>
        <v>0</v>
      </c>
      <c r="G16" s="513">
        <f t="shared" si="14"/>
        <v>0</v>
      </c>
      <c r="H16" s="514">
        <f t="shared" si="14"/>
        <v>0</v>
      </c>
      <c r="I16" s="513">
        <f t="shared" si="14"/>
        <v>0</v>
      </c>
      <c r="J16" s="513">
        <f t="shared" si="14"/>
        <v>0</v>
      </c>
      <c r="K16" s="513">
        <f t="shared" si="14"/>
        <v>-140.00118988800023</v>
      </c>
      <c r="L16" s="513">
        <f t="shared" si="14"/>
        <v>-194.7339276288003</v>
      </c>
      <c r="M16" s="513">
        <f t="shared" si="14"/>
        <v>0</v>
      </c>
      <c r="N16" s="523"/>
    </row>
    <row r="17" spans="2:14">
      <c r="C17" s="517"/>
      <c r="D17" s="517"/>
      <c r="E17" s="517"/>
      <c r="F17" s="517"/>
      <c r="G17" s="517"/>
      <c r="H17" s="524" t="s">
        <v>542</v>
      </c>
      <c r="I17" s="517"/>
      <c r="J17" s="517"/>
      <c r="K17" s="517"/>
      <c r="L17" s="517"/>
      <c r="M17" s="517"/>
    </row>
    <row r="18" spans="2:14">
      <c r="B18" s="525" t="s">
        <v>543</v>
      </c>
      <c r="C18" s="499">
        <v>9500</v>
      </c>
      <c r="D18" s="499">
        <v>10000</v>
      </c>
      <c r="E18" s="499">
        <v>11000</v>
      </c>
      <c r="F18" s="499">
        <v>11500</v>
      </c>
      <c r="G18" s="499">
        <v>12000</v>
      </c>
      <c r="H18" s="526">
        <f>I$3*I$31</f>
        <v>13189.119999999999</v>
      </c>
      <c r="I18" s="500">
        <f t="shared" ref="I18:M18" si="15">J$3*J$31</f>
        <v>14244.249599999999</v>
      </c>
      <c r="J18" s="500">
        <f t="shared" si="15"/>
        <v>15098.904575999999</v>
      </c>
      <c r="K18" s="500">
        <f t="shared" si="15"/>
        <v>15853.849804799998</v>
      </c>
      <c r="L18" s="500">
        <f t="shared" si="15"/>
        <v>16646.542295039999</v>
      </c>
      <c r="M18" s="500">
        <f t="shared" si="15"/>
        <v>17478.869409792002</v>
      </c>
      <c r="N18" s="527"/>
    </row>
    <row r="19" spans="2:14">
      <c r="B19" s="528" t="s">
        <v>544</v>
      </c>
      <c r="C19" s="503">
        <v>115</v>
      </c>
      <c r="D19" s="503">
        <v>130</v>
      </c>
      <c r="E19" s="503">
        <v>135</v>
      </c>
      <c r="F19" s="503">
        <v>140</v>
      </c>
      <c r="G19" s="503">
        <v>155</v>
      </c>
      <c r="H19" s="504">
        <f>H$4*H$32/360</f>
        <v>177.45777777777778</v>
      </c>
      <c r="I19" s="504">
        <f t="shared" ref="I19:M19" si="16">I$4*I$32/360</f>
        <v>198.7527111111111</v>
      </c>
      <c r="J19" s="504">
        <f t="shared" si="16"/>
        <v>214.652928</v>
      </c>
      <c r="K19" s="504">
        <f t="shared" si="16"/>
        <v>227.53210367999995</v>
      </c>
      <c r="L19" s="504">
        <f t="shared" si="16"/>
        <v>238.908708864</v>
      </c>
      <c r="M19" s="504">
        <f t="shared" si="16"/>
        <v>250.85414430719996</v>
      </c>
      <c r="N19" s="505"/>
    </row>
    <row r="20" spans="2:14">
      <c r="B20" s="528" t="s">
        <v>39</v>
      </c>
      <c r="C20" s="503">
        <v>0</v>
      </c>
      <c r="D20" s="503">
        <v>0</v>
      </c>
      <c r="E20" s="503">
        <v>0</v>
      </c>
      <c r="F20" s="503">
        <v>0</v>
      </c>
      <c r="G20" s="503">
        <v>0</v>
      </c>
      <c r="H20" s="504">
        <f>H$3*H$33/360</f>
        <v>81.777777777777771</v>
      </c>
      <c r="I20" s="504">
        <f t="shared" ref="I20:M20" si="17">I$3*I$33/360</f>
        <v>228.97777777777773</v>
      </c>
      <c r="J20" s="504">
        <f t="shared" si="17"/>
        <v>494.59199999999998</v>
      </c>
      <c r="K20" s="504">
        <f t="shared" si="17"/>
        <v>524.26751999999999</v>
      </c>
      <c r="L20" s="504">
        <f t="shared" si="17"/>
        <v>550.48089599999992</v>
      </c>
      <c r="M20" s="504">
        <f t="shared" si="17"/>
        <v>578.00494079999999</v>
      </c>
      <c r="N20" s="505"/>
    </row>
    <row r="21" spans="2:14">
      <c r="B21" s="528" t="s">
        <v>36</v>
      </c>
      <c r="C21" s="503">
        <v>430</v>
      </c>
      <c r="D21" s="503">
        <v>400</v>
      </c>
      <c r="E21" s="503">
        <v>470</v>
      </c>
      <c r="F21" s="503">
        <v>500</v>
      </c>
      <c r="G21" s="503">
        <v>520</v>
      </c>
      <c r="H21" s="504">
        <f>H$3*H$34</f>
        <v>588.79999999999995</v>
      </c>
      <c r="I21" s="504">
        <f t="shared" ref="I21:M21" si="18">I$3*I$34</f>
        <v>659.4559999999999</v>
      </c>
      <c r="J21" s="504">
        <f t="shared" si="18"/>
        <v>712.21247999999991</v>
      </c>
      <c r="K21" s="504">
        <f t="shared" si="18"/>
        <v>754.94522879999988</v>
      </c>
      <c r="L21" s="504">
        <f t="shared" si="18"/>
        <v>792.69249023999987</v>
      </c>
      <c r="M21" s="504">
        <f t="shared" si="18"/>
        <v>832.32711475199994</v>
      </c>
      <c r="N21" s="505"/>
    </row>
    <row r="22" spans="2:14">
      <c r="B22" s="528"/>
      <c r="C22" s="503"/>
      <c r="D22" s="503"/>
      <c r="E22" s="503"/>
      <c r="F22" s="503"/>
      <c r="G22" s="503"/>
      <c r="H22" s="529"/>
      <c r="I22" s="529"/>
      <c r="J22" s="529"/>
      <c r="K22" s="529"/>
      <c r="L22" s="529"/>
      <c r="M22" s="529"/>
      <c r="N22" s="505"/>
    </row>
    <row r="23" spans="2:14">
      <c r="B23" s="528" t="s">
        <v>45</v>
      </c>
      <c r="C23" s="503">
        <v>300</v>
      </c>
      <c r="D23" s="503">
        <v>350</v>
      </c>
      <c r="E23" s="503">
        <v>370</v>
      </c>
      <c r="F23" s="503">
        <v>390</v>
      </c>
      <c r="G23" s="503">
        <v>400</v>
      </c>
      <c r="H23" s="504">
        <f>H$35/360*H$4</f>
        <v>405.6177777777778</v>
      </c>
      <c r="I23" s="504">
        <f t="shared" ref="I23:M23" si="19">I$35/360*I$4</f>
        <v>482.68515555555553</v>
      </c>
      <c r="J23" s="504">
        <f t="shared" si="19"/>
        <v>551.96467199999995</v>
      </c>
      <c r="K23" s="504">
        <f t="shared" si="19"/>
        <v>617.58713855999997</v>
      </c>
      <c r="L23" s="504">
        <f t="shared" si="19"/>
        <v>682.59631103999993</v>
      </c>
      <c r="M23" s="504">
        <f t="shared" si="19"/>
        <v>716.72612659199979</v>
      </c>
      <c r="N23" s="505"/>
    </row>
    <row r="24" spans="2:14">
      <c r="B24" s="528" t="s">
        <v>454</v>
      </c>
      <c r="C24" s="503">
        <v>0</v>
      </c>
      <c r="D24" s="503">
        <v>0</v>
      </c>
      <c r="E24" s="503">
        <v>0</v>
      </c>
      <c r="F24" s="503">
        <v>0</v>
      </c>
      <c r="G24" s="503">
        <v>0</v>
      </c>
      <c r="H24" s="508">
        <f>H$36*(H$18+H$19+H$20+H$21-H$23)</f>
        <v>0</v>
      </c>
      <c r="I24" s="504">
        <f t="shared" ref="I24:M24" si="20">I$36*(I$18+I$19+I$20+I$21-I$23)</f>
        <v>742.43754666666666</v>
      </c>
      <c r="J24" s="504">
        <f t="shared" si="20"/>
        <v>1596.8397312</v>
      </c>
      <c r="K24" s="504">
        <f t="shared" si="20"/>
        <v>2511.4511278079995</v>
      </c>
      <c r="L24" s="504">
        <f t="shared" si="20"/>
        <v>3509.2056158207997</v>
      </c>
      <c r="M24" s="504">
        <f t="shared" si="20"/>
        <v>3684.6658966118407</v>
      </c>
      <c r="N24" s="505"/>
    </row>
    <row r="25" spans="2:14">
      <c r="B25" s="530" t="s">
        <v>48</v>
      </c>
      <c r="C25" s="531">
        <v>9745</v>
      </c>
      <c r="D25" s="531">
        <v>10180</v>
      </c>
      <c r="E25" s="531">
        <v>11235</v>
      </c>
      <c r="F25" s="531">
        <v>11750</v>
      </c>
      <c r="G25" s="531">
        <v>12275</v>
      </c>
      <c r="H25" s="514">
        <f>SUM(H18:H21)-SUM(H23:H24)</f>
        <v>13631.537777777776</v>
      </c>
      <c r="I25" s="513">
        <f t="shared" ref="I25:M25" si="21">SUM(I18:I21)-SUM(I23:I24)</f>
        <v>14106.313386666665</v>
      </c>
      <c r="J25" s="513">
        <f t="shared" si="21"/>
        <v>14371.557580799999</v>
      </c>
      <c r="K25" s="513">
        <f t="shared" si="21"/>
        <v>14231.556390911999</v>
      </c>
      <c r="L25" s="513">
        <f t="shared" si="21"/>
        <v>14036.822463283199</v>
      </c>
      <c r="M25" s="513">
        <f t="shared" si="21"/>
        <v>14738.663586447361</v>
      </c>
      <c r="N25" s="523"/>
    </row>
    <row r="27" spans="2:14">
      <c r="B27" s="532" t="s">
        <v>545</v>
      </c>
      <c r="C27" s="533"/>
      <c r="D27" s="534"/>
      <c r="E27" s="534"/>
      <c r="F27" s="534"/>
      <c r="G27" s="534"/>
      <c r="H27" s="535">
        <v>0.15</v>
      </c>
      <c r="I27" s="535">
        <v>0.12</v>
      </c>
      <c r="J27" s="535">
        <v>0.08</v>
      </c>
      <c r="K27" s="535">
        <v>0.06</v>
      </c>
      <c r="L27" s="535">
        <v>0.05</v>
      </c>
      <c r="M27" s="535">
        <v>0.05</v>
      </c>
      <c r="N27" s="536">
        <v>0.05</v>
      </c>
    </row>
    <row r="28" spans="2:14">
      <c r="B28" s="537" t="s">
        <v>546</v>
      </c>
      <c r="C28" s="538"/>
      <c r="D28" s="538"/>
      <c r="E28" s="538"/>
      <c r="F28" s="538"/>
      <c r="G28" s="538"/>
      <c r="H28" s="539">
        <v>0.62</v>
      </c>
      <c r="I28" s="539">
        <v>0.62</v>
      </c>
      <c r="J28" s="539">
        <v>0.62</v>
      </c>
      <c r="K28" s="539">
        <v>0.62</v>
      </c>
      <c r="L28" s="539">
        <v>0.62</v>
      </c>
      <c r="M28" s="539">
        <v>0.62</v>
      </c>
      <c r="N28" s="540"/>
    </row>
    <row r="29" spans="2:14">
      <c r="B29" s="537" t="s">
        <v>547</v>
      </c>
      <c r="C29" s="538"/>
      <c r="D29" s="538"/>
      <c r="E29" s="538"/>
      <c r="F29" s="538"/>
      <c r="G29" s="538"/>
      <c r="H29" s="539">
        <v>0.16</v>
      </c>
      <c r="I29" s="539">
        <v>0.16</v>
      </c>
      <c r="J29" s="539">
        <v>0.16</v>
      </c>
      <c r="K29" s="539">
        <v>0.16</v>
      </c>
      <c r="L29" s="539">
        <v>0.16</v>
      </c>
      <c r="M29" s="539">
        <v>0.16</v>
      </c>
      <c r="N29" s="540"/>
    </row>
    <row r="30" spans="2:14">
      <c r="B30" s="537" t="s">
        <v>548</v>
      </c>
      <c r="C30" s="541"/>
      <c r="D30" s="538"/>
      <c r="E30" s="538"/>
      <c r="F30" s="538"/>
      <c r="G30" s="538"/>
      <c r="H30" s="542">
        <v>8.3000000000000004E-2</v>
      </c>
      <c r="I30" s="542">
        <v>8.3000000000000004E-2</v>
      </c>
      <c r="J30" s="542">
        <v>8.3000000000000004E-2</v>
      </c>
      <c r="K30" s="542">
        <v>8.3000000000000004E-2</v>
      </c>
      <c r="L30" s="542">
        <v>8.3000000000000004E-2</v>
      </c>
      <c r="M30" s="542">
        <v>8.3000000000000004E-2</v>
      </c>
      <c r="N30" s="540"/>
    </row>
    <row r="31" spans="2:14">
      <c r="B31" s="537" t="s">
        <v>549</v>
      </c>
      <c r="C31" s="541"/>
      <c r="D31" s="543"/>
      <c r="E31" s="543"/>
      <c r="F31" s="543"/>
      <c r="G31" s="543"/>
      <c r="H31" s="541"/>
      <c r="I31" s="543">
        <v>0.8</v>
      </c>
      <c r="J31" s="543">
        <v>0.8</v>
      </c>
      <c r="K31" s="543">
        <v>0.8</v>
      </c>
      <c r="L31" s="543">
        <v>0.8</v>
      </c>
      <c r="M31" s="543">
        <v>0.8</v>
      </c>
      <c r="N31" s="544">
        <v>0.8</v>
      </c>
    </row>
    <row r="32" spans="2:14">
      <c r="B32" s="537" t="s">
        <v>550</v>
      </c>
      <c r="C32" s="543"/>
      <c r="D32" s="543"/>
      <c r="E32" s="543"/>
      <c r="F32" s="543"/>
      <c r="G32" s="543"/>
      <c r="H32" s="543">
        <v>7</v>
      </c>
      <c r="I32" s="543">
        <v>7</v>
      </c>
      <c r="J32" s="543">
        <v>7</v>
      </c>
      <c r="K32" s="543">
        <v>7</v>
      </c>
      <c r="L32" s="543">
        <v>7</v>
      </c>
      <c r="M32" s="543">
        <v>7</v>
      </c>
      <c r="N32" s="540"/>
    </row>
    <row r="33" spans="1:14">
      <c r="B33" s="537" t="s">
        <v>551</v>
      </c>
      <c r="C33" s="543"/>
      <c r="D33" s="543"/>
      <c r="E33" s="543"/>
      <c r="F33" s="543"/>
      <c r="G33" s="543"/>
      <c r="H33" s="543">
        <v>2</v>
      </c>
      <c r="I33" s="543">
        <v>5</v>
      </c>
      <c r="J33" s="543">
        <v>10</v>
      </c>
      <c r="K33" s="543">
        <v>10</v>
      </c>
      <c r="L33" s="543">
        <v>10</v>
      </c>
      <c r="M33" s="543">
        <v>10</v>
      </c>
      <c r="N33" s="540"/>
    </row>
    <row r="34" spans="1:14">
      <c r="B34" s="537" t="s">
        <v>552</v>
      </c>
      <c r="C34" s="538"/>
      <c r="D34" s="538"/>
      <c r="E34" s="538"/>
      <c r="F34" s="538"/>
      <c r="G34" s="538"/>
      <c r="H34" s="538">
        <v>0.04</v>
      </c>
      <c r="I34" s="538">
        <v>0.04</v>
      </c>
      <c r="J34" s="538">
        <v>0.04</v>
      </c>
      <c r="K34" s="538">
        <v>0.04</v>
      </c>
      <c r="L34" s="538">
        <v>0.04</v>
      </c>
      <c r="M34" s="538">
        <v>0.04</v>
      </c>
      <c r="N34" s="540"/>
    </row>
    <row r="35" spans="1:14">
      <c r="B35" s="537" t="s">
        <v>553</v>
      </c>
      <c r="C35" s="543"/>
      <c r="D35" s="543"/>
      <c r="E35" s="543"/>
      <c r="F35" s="543"/>
      <c r="G35" s="543"/>
      <c r="H35" s="543">
        <v>16</v>
      </c>
      <c r="I35" s="543">
        <v>17</v>
      </c>
      <c r="J35" s="543">
        <v>18</v>
      </c>
      <c r="K35" s="543">
        <v>19</v>
      </c>
      <c r="L35" s="543">
        <v>20</v>
      </c>
      <c r="M35" s="543">
        <v>20</v>
      </c>
      <c r="N35" s="540"/>
    </row>
    <row r="36" spans="1:14">
      <c r="B36" s="537" t="s">
        <v>554</v>
      </c>
      <c r="C36" s="538"/>
      <c r="D36" s="538"/>
      <c r="E36" s="538"/>
      <c r="F36" s="538"/>
      <c r="G36" s="538"/>
      <c r="H36" s="538">
        <v>0</v>
      </c>
      <c r="I36" s="538">
        <v>0.05</v>
      </c>
      <c r="J36" s="538">
        <v>0.1</v>
      </c>
      <c r="K36" s="538">
        <v>0.15</v>
      </c>
      <c r="L36" s="538">
        <v>0.2</v>
      </c>
      <c r="M36" s="538">
        <v>0.2</v>
      </c>
      <c r="N36" s="540"/>
    </row>
    <row r="37" spans="1:14">
      <c r="B37" s="537" t="s">
        <v>555</v>
      </c>
      <c r="C37" s="541"/>
      <c r="D37" s="541"/>
      <c r="E37" s="541"/>
      <c r="F37" s="541"/>
      <c r="G37" s="541"/>
      <c r="H37" s="541"/>
      <c r="I37" s="542">
        <v>7.0000000000000007E-2</v>
      </c>
      <c r="J37" s="542">
        <v>7.0000000000000007E-2</v>
      </c>
      <c r="K37" s="542">
        <v>7.0000000000000007E-2</v>
      </c>
      <c r="L37" s="542">
        <v>7.0000000000000007E-2</v>
      </c>
      <c r="M37" s="542">
        <v>7.0000000000000007E-2</v>
      </c>
      <c r="N37" s="540"/>
    </row>
    <row r="38" spans="1:14">
      <c r="B38" s="545" t="s">
        <v>77</v>
      </c>
      <c r="C38" s="546">
        <f>C10/C9</f>
        <v>0.10362694300518134</v>
      </c>
      <c r="D38" s="546">
        <f t="shared" ref="D38:G38" si="22">D10/D9</f>
        <v>8.5714285714285715E-2</v>
      </c>
      <c r="E38" s="546">
        <f t="shared" si="22"/>
        <v>9.166666666666666E-2</v>
      </c>
      <c r="F38" s="546">
        <f t="shared" si="22"/>
        <v>8.2644628099173556E-2</v>
      </c>
      <c r="G38" s="546">
        <f t="shared" si="22"/>
        <v>7.3170731707317069E-2</v>
      </c>
      <c r="H38" s="547">
        <v>0.2</v>
      </c>
      <c r="I38" s="547">
        <v>0.2</v>
      </c>
      <c r="J38" s="547">
        <v>0.2</v>
      </c>
      <c r="K38" s="547">
        <v>0.2</v>
      </c>
      <c r="L38" s="547">
        <v>0.2</v>
      </c>
      <c r="M38" s="547">
        <v>0.2</v>
      </c>
      <c r="N38" s="548"/>
    </row>
    <row r="40" spans="1:14">
      <c r="A40" s="497" t="s">
        <v>556</v>
      </c>
      <c r="B40" s="549" t="s">
        <v>557</v>
      </c>
    </row>
    <row r="41" spans="1:14">
      <c r="B41" s="550" t="s">
        <v>558</v>
      </c>
      <c r="C41" s="500">
        <f>C7</f>
        <v>965</v>
      </c>
      <c r="D41" s="500">
        <f t="shared" ref="D41:M41" si="23">D7</f>
        <v>1050</v>
      </c>
      <c r="E41" s="500">
        <f t="shared" si="23"/>
        <v>1200</v>
      </c>
      <c r="F41" s="500">
        <f t="shared" si="23"/>
        <v>1210</v>
      </c>
      <c r="G41" s="500">
        <f t="shared" si="23"/>
        <v>1230</v>
      </c>
      <c r="H41" s="500">
        <f t="shared" si="23"/>
        <v>2242.3999999999987</v>
      </c>
      <c r="I41" s="500">
        <f t="shared" si="23"/>
        <v>2532.3110399999987</v>
      </c>
      <c r="J41" s="500">
        <f t="shared" si="23"/>
        <v>2734.8959231999988</v>
      </c>
      <c r="K41" s="500">
        <f t="shared" si="23"/>
        <v>2898.989678592</v>
      </c>
      <c r="L41" s="500">
        <f t="shared" si="23"/>
        <v>3043.9391625215994</v>
      </c>
      <c r="M41" s="501">
        <f t="shared" si="23"/>
        <v>3196.1361206476804</v>
      </c>
      <c r="N41" s="551"/>
    </row>
    <row r="42" spans="1:14">
      <c r="B42" s="552" t="s">
        <v>559</v>
      </c>
      <c r="C42" s="504">
        <f>C41-C10</f>
        <v>865</v>
      </c>
      <c r="D42" s="504">
        <f t="shared" ref="D42:G42" si="24">D41-D10</f>
        <v>960</v>
      </c>
      <c r="E42" s="504">
        <f t="shared" si="24"/>
        <v>1090</v>
      </c>
      <c r="F42" s="504">
        <f t="shared" si="24"/>
        <v>1110</v>
      </c>
      <c r="G42" s="504">
        <f t="shared" si="24"/>
        <v>1140</v>
      </c>
      <c r="H42" s="553">
        <f>H41*(1-H38)</f>
        <v>1793.9199999999992</v>
      </c>
      <c r="I42" s="554">
        <f t="shared" ref="I42:M42" si="25">I41*(1-I38)</f>
        <v>2025.848831999999</v>
      </c>
      <c r="J42" s="554">
        <f t="shared" si="25"/>
        <v>2187.916738559999</v>
      </c>
      <c r="K42" s="554">
        <f t="shared" si="25"/>
        <v>2319.1917428736001</v>
      </c>
      <c r="L42" s="554">
        <f t="shared" si="25"/>
        <v>2435.1513300172796</v>
      </c>
      <c r="M42" s="555">
        <f t="shared" si="25"/>
        <v>2556.9088965181445</v>
      </c>
      <c r="N42" s="556"/>
    </row>
    <row r="43" spans="1:14">
      <c r="B43" s="552" t="s">
        <v>560</v>
      </c>
      <c r="C43" s="504">
        <f>C6</f>
        <v>735</v>
      </c>
      <c r="D43" s="504">
        <f t="shared" ref="D43:M43" si="26">D6</f>
        <v>750</v>
      </c>
      <c r="E43" s="504">
        <f t="shared" si="26"/>
        <v>800</v>
      </c>
      <c r="F43" s="504">
        <f t="shared" si="26"/>
        <v>890</v>
      </c>
      <c r="G43" s="504">
        <f t="shared" si="26"/>
        <v>970</v>
      </c>
      <c r="H43" s="504">
        <f t="shared" si="26"/>
        <v>996</v>
      </c>
      <c r="I43" s="504">
        <f t="shared" si="26"/>
        <v>1094.69696</v>
      </c>
      <c r="J43" s="504">
        <f t="shared" si="26"/>
        <v>1182.2727167999999</v>
      </c>
      <c r="K43" s="504">
        <f t="shared" si="26"/>
        <v>1253.2090798080001</v>
      </c>
      <c r="L43" s="504">
        <f t="shared" si="26"/>
        <v>1315.8695337984</v>
      </c>
      <c r="M43" s="557">
        <f t="shared" si="26"/>
        <v>1381.66301048832</v>
      </c>
      <c r="N43" s="558"/>
    </row>
    <row r="44" spans="1:14">
      <c r="B44" s="552" t="s">
        <v>561</v>
      </c>
      <c r="C44" s="504">
        <f>C42+C43</f>
        <v>1600</v>
      </c>
      <c r="D44" s="504">
        <f t="shared" ref="D44:M44" si="27">D42+D43</f>
        <v>1710</v>
      </c>
      <c r="E44" s="504">
        <f t="shared" si="27"/>
        <v>1890</v>
      </c>
      <c r="F44" s="504">
        <f t="shared" si="27"/>
        <v>2000</v>
      </c>
      <c r="G44" s="504">
        <f t="shared" si="27"/>
        <v>2110</v>
      </c>
      <c r="H44" s="504">
        <f t="shared" si="27"/>
        <v>2789.9199999999992</v>
      </c>
      <c r="I44" s="504">
        <f t="shared" si="27"/>
        <v>3120.545791999999</v>
      </c>
      <c r="J44" s="504">
        <f t="shared" si="27"/>
        <v>3370.1894553599986</v>
      </c>
      <c r="K44" s="504">
        <f t="shared" si="27"/>
        <v>3572.4008226816004</v>
      </c>
      <c r="L44" s="504">
        <f t="shared" si="27"/>
        <v>3751.0208638156796</v>
      </c>
      <c r="M44" s="557">
        <f t="shared" si="27"/>
        <v>3938.5719070064642</v>
      </c>
      <c r="N44" s="556"/>
    </row>
    <row r="45" spans="1:14">
      <c r="B45" s="552" t="s">
        <v>562</v>
      </c>
      <c r="C45" s="529"/>
      <c r="D45" s="504">
        <f>C19-D19</f>
        <v>-15</v>
      </c>
      <c r="E45" s="504">
        <f t="shared" ref="E45:M45" si="28">D19-E19</f>
        <v>-5</v>
      </c>
      <c r="F45" s="504">
        <f t="shared" si="28"/>
        <v>-5</v>
      </c>
      <c r="G45" s="504">
        <f t="shared" si="28"/>
        <v>-15</v>
      </c>
      <c r="H45" s="504">
        <f t="shared" si="28"/>
        <v>-22.457777777777778</v>
      </c>
      <c r="I45" s="504">
        <f t="shared" si="28"/>
        <v>-21.294933333333319</v>
      </c>
      <c r="J45" s="504">
        <f t="shared" si="28"/>
        <v>-15.900216888888906</v>
      </c>
      <c r="K45" s="504">
        <f t="shared" si="28"/>
        <v>-12.879175679999946</v>
      </c>
      <c r="L45" s="504">
        <f t="shared" si="28"/>
        <v>-11.376605184000056</v>
      </c>
      <c r="M45" s="557">
        <f t="shared" si="28"/>
        <v>-11.945435443199955</v>
      </c>
      <c r="N45" s="556"/>
    </row>
    <row r="46" spans="1:14">
      <c r="B46" s="552" t="s">
        <v>563</v>
      </c>
      <c r="C46" s="529"/>
      <c r="D46" s="504">
        <f t="shared" ref="D46:M47" si="29">C20-D20</f>
        <v>0</v>
      </c>
      <c r="E46" s="504">
        <f t="shared" si="29"/>
        <v>0</v>
      </c>
      <c r="F46" s="504">
        <f t="shared" si="29"/>
        <v>0</v>
      </c>
      <c r="G46" s="504">
        <f t="shared" si="29"/>
        <v>0</v>
      </c>
      <c r="H46" s="504">
        <f t="shared" si="29"/>
        <v>-81.777777777777771</v>
      </c>
      <c r="I46" s="504">
        <f t="shared" si="29"/>
        <v>-147.19999999999996</v>
      </c>
      <c r="J46" s="504">
        <f t="shared" si="29"/>
        <v>-265.61422222222222</v>
      </c>
      <c r="K46" s="504">
        <f t="shared" si="29"/>
        <v>-29.675520000000006</v>
      </c>
      <c r="L46" s="504">
        <f t="shared" si="29"/>
        <v>-26.213375999999926</v>
      </c>
      <c r="M46" s="557">
        <f t="shared" si="29"/>
        <v>-27.52404480000007</v>
      </c>
      <c r="N46" s="556"/>
    </row>
    <row r="47" spans="1:14">
      <c r="B47" s="552" t="s">
        <v>564</v>
      </c>
      <c r="C47" s="529"/>
      <c r="D47" s="504">
        <f t="shared" si="29"/>
        <v>30</v>
      </c>
      <c r="E47" s="504">
        <f t="shared" si="29"/>
        <v>-70</v>
      </c>
      <c r="F47" s="504">
        <f t="shared" si="29"/>
        <v>-30</v>
      </c>
      <c r="G47" s="504">
        <f t="shared" si="29"/>
        <v>-20</v>
      </c>
      <c r="H47" s="504">
        <f t="shared" si="29"/>
        <v>-68.799999999999955</v>
      </c>
      <c r="I47" s="504">
        <f t="shared" si="29"/>
        <v>-70.655999999999949</v>
      </c>
      <c r="J47" s="504">
        <f t="shared" si="29"/>
        <v>-52.75648000000001</v>
      </c>
      <c r="K47" s="504">
        <f t="shared" si="29"/>
        <v>-42.732748799999968</v>
      </c>
      <c r="L47" s="504">
        <f t="shared" si="29"/>
        <v>-37.747261439999988</v>
      </c>
      <c r="M47" s="557">
        <f t="shared" si="29"/>
        <v>-39.634624512000073</v>
      </c>
      <c r="N47" s="556"/>
    </row>
    <row r="48" spans="1:14">
      <c r="B48" s="552" t="s">
        <v>565</v>
      </c>
      <c r="C48" s="504"/>
      <c r="D48" s="504">
        <f>D23-C23</f>
        <v>50</v>
      </c>
      <c r="E48" s="504">
        <f t="shared" ref="E48:M48" si="30">E23-D23</f>
        <v>20</v>
      </c>
      <c r="F48" s="504">
        <f t="shared" si="30"/>
        <v>20</v>
      </c>
      <c r="G48" s="504">
        <f t="shared" si="30"/>
        <v>10</v>
      </c>
      <c r="H48" s="504">
        <f t="shared" si="30"/>
        <v>5.6177777777778033</v>
      </c>
      <c r="I48" s="504">
        <f t="shared" si="30"/>
        <v>77.067377777777722</v>
      </c>
      <c r="J48" s="504">
        <f t="shared" si="30"/>
        <v>69.279516444444425</v>
      </c>
      <c r="K48" s="504">
        <f t="shared" si="30"/>
        <v>65.622466560000021</v>
      </c>
      <c r="L48" s="504">
        <f t="shared" si="30"/>
        <v>65.009172479999961</v>
      </c>
      <c r="M48" s="557">
        <f t="shared" si="30"/>
        <v>34.129815551999855</v>
      </c>
      <c r="N48" s="556"/>
    </row>
    <row r="49" spans="1:13">
      <c r="B49" s="559" t="s">
        <v>566</v>
      </c>
      <c r="C49" s="560"/>
      <c r="D49" s="514">
        <f>D44+D45+D46+D47+D48</f>
        <v>1775</v>
      </c>
      <c r="E49" s="514">
        <f t="shared" ref="E49:M49" si="31">E44+E45+E46+E47+E48</f>
        <v>1835</v>
      </c>
      <c r="F49" s="514">
        <f t="shared" si="31"/>
        <v>1985</v>
      </c>
      <c r="G49" s="514">
        <f t="shared" si="31"/>
        <v>2085</v>
      </c>
      <c r="H49" s="514">
        <f t="shared" si="31"/>
        <v>2622.5022222222219</v>
      </c>
      <c r="I49" s="514">
        <f t="shared" si="31"/>
        <v>2958.462236444444</v>
      </c>
      <c r="J49" s="514">
        <f t="shared" si="31"/>
        <v>3105.1980526933321</v>
      </c>
      <c r="K49" s="514">
        <f t="shared" si="31"/>
        <v>3552.7358447616007</v>
      </c>
      <c r="L49" s="514">
        <f t="shared" si="31"/>
        <v>3740.6927936716793</v>
      </c>
      <c r="M49" s="561">
        <f t="shared" si="31"/>
        <v>3893.5976178032643</v>
      </c>
    </row>
    <row r="50" spans="1:13">
      <c r="B50" s="550" t="s">
        <v>567</v>
      </c>
      <c r="C50" s="562"/>
      <c r="D50" s="500">
        <f>C18-D18</f>
        <v>-500</v>
      </c>
      <c r="E50" s="500">
        <f t="shared" ref="E50:M50" si="32">D18-E18</f>
        <v>-1000</v>
      </c>
      <c r="F50" s="500">
        <f t="shared" si="32"/>
        <v>-500</v>
      </c>
      <c r="G50" s="500">
        <f t="shared" si="32"/>
        <v>-500</v>
      </c>
      <c r="H50" s="500">
        <f t="shared" si="32"/>
        <v>-1189.119999999999</v>
      </c>
      <c r="I50" s="500">
        <f t="shared" si="32"/>
        <v>-1055.1296000000002</v>
      </c>
      <c r="J50" s="500">
        <f t="shared" si="32"/>
        <v>-854.65497599999981</v>
      </c>
      <c r="K50" s="500">
        <f t="shared" si="32"/>
        <v>-754.94522879999931</v>
      </c>
      <c r="L50" s="500">
        <f t="shared" si="32"/>
        <v>-792.69249024000055</v>
      </c>
      <c r="M50" s="501">
        <f t="shared" si="32"/>
        <v>-832.32711475200267</v>
      </c>
    </row>
    <row r="51" spans="1:13">
      <c r="B51" s="552" t="s">
        <v>531</v>
      </c>
      <c r="C51" s="504"/>
      <c r="D51" s="504">
        <f>D43</f>
        <v>750</v>
      </c>
      <c r="E51" s="504">
        <f t="shared" ref="E51:M51" si="33">E43</f>
        <v>800</v>
      </c>
      <c r="F51" s="504">
        <f t="shared" si="33"/>
        <v>890</v>
      </c>
      <c r="G51" s="504">
        <f t="shared" si="33"/>
        <v>970</v>
      </c>
      <c r="H51" s="504">
        <f t="shared" si="33"/>
        <v>996</v>
      </c>
      <c r="I51" s="504">
        <f t="shared" si="33"/>
        <v>1094.69696</v>
      </c>
      <c r="J51" s="504">
        <f t="shared" si="33"/>
        <v>1182.2727167999999</v>
      </c>
      <c r="K51" s="504">
        <f t="shared" si="33"/>
        <v>1253.2090798080001</v>
      </c>
      <c r="L51" s="504">
        <f t="shared" si="33"/>
        <v>1315.8695337984</v>
      </c>
      <c r="M51" s="557">
        <f t="shared" si="33"/>
        <v>1381.66301048832</v>
      </c>
    </row>
    <row r="52" spans="1:13">
      <c r="B52" s="559" t="s">
        <v>568</v>
      </c>
      <c r="C52" s="560"/>
      <c r="D52" s="514">
        <f>D50-D51</f>
        <v>-1250</v>
      </c>
      <c r="E52" s="514">
        <f t="shared" ref="E52:M52" si="34">E50-E51</f>
        <v>-1800</v>
      </c>
      <c r="F52" s="514">
        <f t="shared" si="34"/>
        <v>-1390</v>
      </c>
      <c r="G52" s="514">
        <f t="shared" si="34"/>
        <v>-1470</v>
      </c>
      <c r="H52" s="514">
        <f t="shared" si="34"/>
        <v>-2185.119999999999</v>
      </c>
      <c r="I52" s="514">
        <f t="shared" si="34"/>
        <v>-2149.8265600000004</v>
      </c>
      <c r="J52" s="514">
        <f t="shared" si="34"/>
        <v>-2036.9276927999997</v>
      </c>
      <c r="K52" s="514">
        <f t="shared" si="34"/>
        <v>-2008.1543086079994</v>
      </c>
      <c r="L52" s="514">
        <f t="shared" si="34"/>
        <v>-2108.5620240384005</v>
      </c>
      <c r="M52" s="561">
        <f t="shared" si="34"/>
        <v>-2213.9901252403224</v>
      </c>
    </row>
    <row r="53" spans="1:13">
      <c r="B53" s="563" t="s">
        <v>94</v>
      </c>
      <c r="C53" s="564"/>
      <c r="D53" s="565">
        <f>D49+D52</f>
        <v>525</v>
      </c>
      <c r="E53" s="565">
        <f t="shared" ref="E53:M53" si="35">E49+E52</f>
        <v>35</v>
      </c>
      <c r="F53" s="565">
        <f t="shared" si="35"/>
        <v>595</v>
      </c>
      <c r="G53" s="565">
        <f t="shared" si="35"/>
        <v>615</v>
      </c>
      <c r="H53" s="565">
        <f t="shared" si="35"/>
        <v>437.38222222222294</v>
      </c>
      <c r="I53" s="565">
        <f t="shared" si="35"/>
        <v>808.63567644444356</v>
      </c>
      <c r="J53" s="565">
        <f t="shared" si="35"/>
        <v>1068.2703598933324</v>
      </c>
      <c r="K53" s="565">
        <f t="shared" si="35"/>
        <v>1544.5815361536013</v>
      </c>
      <c r="L53" s="565">
        <f t="shared" si="35"/>
        <v>1632.1307696332788</v>
      </c>
      <c r="M53" s="566">
        <f t="shared" si="35"/>
        <v>1679.6074925629418</v>
      </c>
    </row>
    <row r="54" spans="1:13">
      <c r="B54" s="550" t="s">
        <v>569</v>
      </c>
      <c r="C54" s="567" t="s">
        <v>570</v>
      </c>
      <c r="D54" s="568">
        <f>-D8</f>
        <v>0</v>
      </c>
      <c r="E54" s="500">
        <f t="shared" ref="E54:M54" si="36">-E8</f>
        <v>0</v>
      </c>
      <c r="F54" s="500">
        <f t="shared" si="36"/>
        <v>0</v>
      </c>
      <c r="G54" s="500">
        <f t="shared" si="36"/>
        <v>0</v>
      </c>
      <c r="H54" s="500">
        <f t="shared" si="36"/>
        <v>0</v>
      </c>
      <c r="I54" s="500">
        <f t="shared" si="36"/>
        <v>0</v>
      </c>
      <c r="J54" s="500">
        <f t="shared" si="36"/>
        <v>-51.970628266666672</v>
      </c>
      <c r="K54" s="500">
        <f t="shared" si="36"/>
        <v>-111.77878118400001</v>
      </c>
      <c r="L54" s="500">
        <f t="shared" si="36"/>
        <v>-175.80157894655997</v>
      </c>
      <c r="M54" s="501">
        <f t="shared" si="36"/>
        <v>-245.64439310745601</v>
      </c>
    </row>
    <row r="55" spans="1:13">
      <c r="B55" s="552" t="s">
        <v>571</v>
      </c>
      <c r="C55" s="529"/>
      <c r="D55" s="504">
        <f>-(D54*D38)</f>
        <v>0</v>
      </c>
      <c r="E55" s="504">
        <f t="shared" ref="E55:M55" si="37">-(E54*E38)</f>
        <v>0</v>
      </c>
      <c r="F55" s="504">
        <f t="shared" si="37"/>
        <v>0</v>
      </c>
      <c r="G55" s="504">
        <f t="shared" si="37"/>
        <v>0</v>
      </c>
      <c r="H55" s="504">
        <f t="shared" si="37"/>
        <v>0</v>
      </c>
      <c r="I55" s="504">
        <f t="shared" si="37"/>
        <v>0</v>
      </c>
      <c r="J55" s="504">
        <f t="shared" si="37"/>
        <v>10.394125653333335</v>
      </c>
      <c r="K55" s="504">
        <f t="shared" si="37"/>
        <v>22.355756236800005</v>
      </c>
      <c r="L55" s="504">
        <f t="shared" si="37"/>
        <v>35.160315789311994</v>
      </c>
      <c r="M55" s="557">
        <f t="shared" si="37"/>
        <v>49.128878621491204</v>
      </c>
    </row>
    <row r="56" spans="1:13">
      <c r="B56" s="569" t="s">
        <v>572</v>
      </c>
      <c r="C56" s="511"/>
      <c r="D56" s="513">
        <f>D24-C24</f>
        <v>0</v>
      </c>
      <c r="E56" s="513">
        <f t="shared" ref="E56:M56" si="38">E24-D24</f>
        <v>0</v>
      </c>
      <c r="F56" s="513">
        <f t="shared" si="38"/>
        <v>0</v>
      </c>
      <c r="G56" s="513">
        <f t="shared" si="38"/>
        <v>0</v>
      </c>
      <c r="H56" s="513">
        <f t="shared" si="38"/>
        <v>0</v>
      </c>
      <c r="I56" s="513">
        <f t="shared" si="38"/>
        <v>742.43754666666666</v>
      </c>
      <c r="J56" s="513">
        <f t="shared" si="38"/>
        <v>854.4021845333333</v>
      </c>
      <c r="K56" s="513">
        <f t="shared" si="38"/>
        <v>914.6113966079995</v>
      </c>
      <c r="L56" s="513">
        <f t="shared" si="38"/>
        <v>997.75448801280027</v>
      </c>
      <c r="M56" s="570">
        <f t="shared" si="38"/>
        <v>175.46028079104099</v>
      </c>
    </row>
    <row r="57" spans="1:13">
      <c r="B57" s="571" t="s">
        <v>100</v>
      </c>
      <c r="C57" s="572"/>
      <c r="D57" s="573">
        <f>SUM(D53:D56)</f>
        <v>525</v>
      </c>
      <c r="E57" s="573">
        <f t="shared" ref="E57:M57" si="39">SUM(E53:E56)</f>
        <v>35</v>
      </c>
      <c r="F57" s="573">
        <f t="shared" si="39"/>
        <v>595</v>
      </c>
      <c r="G57" s="573">
        <f t="shared" si="39"/>
        <v>615</v>
      </c>
      <c r="H57" s="573">
        <f t="shared" si="39"/>
        <v>437.38222222222294</v>
      </c>
      <c r="I57" s="573">
        <f t="shared" si="39"/>
        <v>1551.0732231111101</v>
      </c>
      <c r="J57" s="573">
        <f t="shared" si="39"/>
        <v>1881.0960418133322</v>
      </c>
      <c r="K57" s="573">
        <f t="shared" si="39"/>
        <v>2369.7699078144005</v>
      </c>
      <c r="L57" s="573">
        <f t="shared" si="39"/>
        <v>2489.243994488831</v>
      </c>
      <c r="M57" s="574">
        <f t="shared" si="39"/>
        <v>1658.552258868018</v>
      </c>
    </row>
    <row r="58" spans="1:13">
      <c r="B58" s="575" t="s">
        <v>573</v>
      </c>
      <c r="C58" s="576" t="s">
        <v>570</v>
      </c>
      <c r="D58" s="577">
        <f>-D12</f>
        <v>-525</v>
      </c>
      <c r="E58" s="575">
        <f t="shared" ref="E58:M58" si="40">-E12</f>
        <v>-35</v>
      </c>
      <c r="F58" s="575">
        <f t="shared" si="40"/>
        <v>-595</v>
      </c>
      <c r="G58" s="575">
        <f t="shared" si="40"/>
        <v>-615</v>
      </c>
      <c r="H58" s="575">
        <f t="shared" si="40"/>
        <v>-437.38222222222316</v>
      </c>
      <c r="I58" s="575">
        <f t="shared" si="40"/>
        <v>-1551.0732231111099</v>
      </c>
      <c r="J58" s="575">
        <f t="shared" si="40"/>
        <v>-1881.0960418133313</v>
      </c>
      <c r="K58" s="575">
        <f t="shared" si="40"/>
        <v>-2229.7687179264003</v>
      </c>
      <c r="L58" s="575">
        <f t="shared" si="40"/>
        <v>-2294.5100668600317</v>
      </c>
      <c r="M58" s="575">
        <f t="shared" si="40"/>
        <v>-1658.5522588680174</v>
      </c>
    </row>
    <row r="59" spans="1:13">
      <c r="B59" s="577" t="s">
        <v>574</v>
      </c>
      <c r="C59" s="517"/>
      <c r="D59" s="517"/>
      <c r="E59" s="517"/>
      <c r="F59" s="517"/>
      <c r="G59" s="517"/>
      <c r="H59" s="517"/>
      <c r="I59" s="517"/>
      <c r="J59" s="517"/>
      <c r="K59" s="577">
        <f>K57+K58</f>
        <v>140.00118988800023</v>
      </c>
      <c r="L59" s="577">
        <f>L57+L58</f>
        <v>194.73392762879939</v>
      </c>
      <c r="M59" s="517"/>
    </row>
    <row r="60" spans="1:13">
      <c r="J60" s="556"/>
      <c r="K60" s="556"/>
      <c r="L60" s="556"/>
      <c r="M60" s="556"/>
    </row>
    <row r="62" spans="1:13">
      <c r="A62" s="497" t="s">
        <v>575</v>
      </c>
      <c r="B62" s="578" t="s">
        <v>576</v>
      </c>
    </row>
    <row r="63" spans="1:13">
      <c r="B63" s="579" t="s">
        <v>577</v>
      </c>
      <c r="C63" s="580"/>
      <c r="D63" s="520">
        <f>C25+C24</f>
        <v>9745</v>
      </c>
      <c r="E63" s="520">
        <f t="shared" ref="E63:M63" si="41">D25+D24</f>
        <v>10180</v>
      </c>
      <c r="F63" s="520">
        <f t="shared" si="41"/>
        <v>11235</v>
      </c>
      <c r="G63" s="520">
        <f t="shared" si="41"/>
        <v>11750</v>
      </c>
      <c r="H63" s="520">
        <f t="shared" si="41"/>
        <v>12275</v>
      </c>
      <c r="I63" s="520">
        <f t="shared" si="41"/>
        <v>13631.537777777776</v>
      </c>
      <c r="J63" s="520">
        <f t="shared" si="41"/>
        <v>14848.750933333331</v>
      </c>
      <c r="K63" s="520">
        <f t="shared" si="41"/>
        <v>15968.397311999999</v>
      </c>
      <c r="L63" s="520">
        <f t="shared" si="41"/>
        <v>16743.007518719998</v>
      </c>
      <c r="M63" s="581">
        <f t="shared" si="41"/>
        <v>17546.028079103999</v>
      </c>
    </row>
    <row r="64" spans="1:13">
      <c r="B64" s="507" t="s">
        <v>578</v>
      </c>
      <c r="C64" s="529"/>
      <c r="D64" s="504">
        <f>E63-D63</f>
        <v>435</v>
      </c>
      <c r="E64" s="504">
        <f t="shared" ref="E64:M64" si="42">F63-E63</f>
        <v>1055</v>
      </c>
      <c r="F64" s="504">
        <f t="shared" si="42"/>
        <v>515</v>
      </c>
      <c r="G64" s="504">
        <f t="shared" si="42"/>
        <v>525</v>
      </c>
      <c r="H64" s="504">
        <f t="shared" si="42"/>
        <v>1356.5377777777758</v>
      </c>
      <c r="I64" s="504">
        <f t="shared" si="42"/>
        <v>1217.2131555555552</v>
      </c>
      <c r="J64" s="504">
        <f t="shared" si="42"/>
        <v>1119.6463786666682</v>
      </c>
      <c r="K64" s="504">
        <f t="shared" si="42"/>
        <v>774.61020671999904</v>
      </c>
      <c r="L64" s="504">
        <f t="shared" si="42"/>
        <v>803.02056038400042</v>
      </c>
      <c r="M64" s="557">
        <f t="shared" si="42"/>
        <v>-17546.028079103999</v>
      </c>
    </row>
    <row r="65" spans="2:13">
      <c r="B65" s="507" t="s">
        <v>579</v>
      </c>
      <c r="C65" s="504">
        <f>C11</f>
        <v>865</v>
      </c>
      <c r="D65" s="504">
        <f>D42</f>
        <v>960</v>
      </c>
      <c r="E65" s="504">
        <f t="shared" ref="E65:M65" si="43">E42</f>
        <v>1090</v>
      </c>
      <c r="F65" s="504">
        <f t="shared" si="43"/>
        <v>1110</v>
      </c>
      <c r="G65" s="504">
        <f t="shared" si="43"/>
        <v>1140</v>
      </c>
      <c r="H65" s="504">
        <f t="shared" si="43"/>
        <v>1793.9199999999992</v>
      </c>
      <c r="I65" s="504">
        <f t="shared" si="43"/>
        <v>2025.848831999999</v>
      </c>
      <c r="J65" s="504">
        <f t="shared" si="43"/>
        <v>2187.916738559999</v>
      </c>
      <c r="K65" s="504">
        <f t="shared" si="43"/>
        <v>2319.1917428736001</v>
      </c>
      <c r="L65" s="504">
        <f t="shared" si="43"/>
        <v>2435.1513300172796</v>
      </c>
      <c r="M65" s="557">
        <f t="shared" si="43"/>
        <v>2556.9088965181445</v>
      </c>
    </row>
    <row r="66" spans="2:13">
      <c r="B66" s="507" t="s">
        <v>580</v>
      </c>
      <c r="C66" s="504"/>
      <c r="D66" s="504">
        <f>D53</f>
        <v>525</v>
      </c>
      <c r="E66" s="504">
        <f t="shared" ref="E66:M66" si="44">E53</f>
        <v>35</v>
      </c>
      <c r="F66" s="504">
        <f t="shared" si="44"/>
        <v>595</v>
      </c>
      <c r="G66" s="504">
        <f t="shared" si="44"/>
        <v>615</v>
      </c>
      <c r="H66" s="504">
        <f t="shared" si="44"/>
        <v>437.38222222222294</v>
      </c>
      <c r="I66" s="504">
        <f t="shared" si="44"/>
        <v>808.63567644444356</v>
      </c>
      <c r="J66" s="504">
        <f t="shared" si="44"/>
        <v>1068.2703598933324</v>
      </c>
      <c r="K66" s="504">
        <f t="shared" si="44"/>
        <v>1544.5815361536013</v>
      </c>
      <c r="L66" s="504">
        <f t="shared" si="44"/>
        <v>1632.1307696332788</v>
      </c>
      <c r="M66" s="557">
        <f t="shared" si="44"/>
        <v>1679.6074925629418</v>
      </c>
    </row>
    <row r="67" spans="2:13">
      <c r="B67" s="507" t="s">
        <v>581</v>
      </c>
      <c r="C67" s="582"/>
      <c r="D67" s="583">
        <f>D65/C65-1</f>
        <v>0.10982658959537561</v>
      </c>
      <c r="E67" s="583">
        <f t="shared" ref="E67:M67" si="45">E65/D65-1</f>
        <v>0.13541666666666674</v>
      </c>
      <c r="F67" s="583">
        <f t="shared" si="45"/>
        <v>1.8348623853210899E-2</v>
      </c>
      <c r="G67" s="583">
        <f t="shared" si="45"/>
        <v>2.7027027027026973E-2</v>
      </c>
      <c r="H67" s="583">
        <f t="shared" si="45"/>
        <v>0.57361403508771858</v>
      </c>
      <c r="I67" s="583">
        <f t="shared" si="45"/>
        <v>0.12928605066000709</v>
      </c>
      <c r="J67" s="583">
        <f t="shared" si="45"/>
        <v>8.0000000000000071E-2</v>
      </c>
      <c r="K67" s="583">
        <f t="shared" si="45"/>
        <v>6.0000000000000497E-2</v>
      </c>
      <c r="L67" s="583">
        <f t="shared" si="45"/>
        <v>4.9999999999999822E-2</v>
      </c>
      <c r="M67" s="584">
        <f t="shared" si="45"/>
        <v>5.0000000000000266E-2</v>
      </c>
    </row>
    <row r="68" spans="2:13">
      <c r="B68" s="507" t="s">
        <v>582</v>
      </c>
      <c r="C68" s="582"/>
      <c r="D68" s="583">
        <f>D65/D63</f>
        <v>9.8512057465366856E-2</v>
      </c>
      <c r="E68" s="583">
        <f t="shared" ref="E68:M68" si="46">E65/E63</f>
        <v>0.10707269155206287</v>
      </c>
      <c r="F68" s="583">
        <f t="shared" si="46"/>
        <v>9.879839786381843E-2</v>
      </c>
      <c r="G68" s="583">
        <f t="shared" si="46"/>
        <v>9.7021276595744679E-2</v>
      </c>
      <c r="H68" s="583">
        <f t="shared" si="46"/>
        <v>0.14614419551934821</v>
      </c>
      <c r="I68" s="583">
        <f t="shared" si="46"/>
        <v>0.14861484192213084</v>
      </c>
      <c r="J68" s="583">
        <f t="shared" si="46"/>
        <v>0.14734685418208729</v>
      </c>
      <c r="K68" s="583">
        <f t="shared" si="46"/>
        <v>0.14523635012079542</v>
      </c>
      <c r="L68" s="583">
        <f t="shared" si="46"/>
        <v>0.14544288577154307</v>
      </c>
      <c r="M68" s="584">
        <f t="shared" si="46"/>
        <v>0.14572579531906887</v>
      </c>
    </row>
    <row r="69" spans="2:13">
      <c r="B69" s="507" t="s">
        <v>583</v>
      </c>
      <c r="C69" s="582"/>
      <c r="D69" s="583">
        <f>(D65-C65)/D64</f>
        <v>0.21839080459770116</v>
      </c>
      <c r="E69" s="583">
        <f t="shared" ref="E69:M69" si="47">(E65-D65)/E64</f>
        <v>0.12322274881516587</v>
      </c>
      <c r="F69" s="583">
        <f t="shared" si="47"/>
        <v>3.8834951456310676E-2</v>
      </c>
      <c r="G69" s="583">
        <f t="shared" si="47"/>
        <v>5.7142857142857141E-2</v>
      </c>
      <c r="H69" s="583">
        <f t="shared" si="47"/>
        <v>0.48205071079643941</v>
      </c>
      <c r="I69" s="583">
        <f t="shared" si="47"/>
        <v>0.19054085222579104</v>
      </c>
      <c r="J69" s="583">
        <f t="shared" si="47"/>
        <v>0.14474919014430135</v>
      </c>
      <c r="K69" s="583">
        <f t="shared" si="47"/>
        <v>0.16947233999080721</v>
      </c>
      <c r="L69" s="583">
        <f t="shared" si="47"/>
        <v>0.14440425670823201</v>
      </c>
      <c r="M69" s="584">
        <f t="shared" si="47"/>
        <v>-6.9393235866223755E-3</v>
      </c>
    </row>
    <row r="70" spans="2:13">
      <c r="B70" s="510" t="s">
        <v>584</v>
      </c>
      <c r="C70" s="585"/>
      <c r="D70" s="586">
        <f>D64/D65</f>
        <v>0.453125</v>
      </c>
      <c r="E70" s="586">
        <f t="shared" ref="E70:M70" si="48">E64/E65</f>
        <v>0.9678899082568807</v>
      </c>
      <c r="F70" s="586">
        <f t="shared" si="48"/>
        <v>0.46396396396396394</v>
      </c>
      <c r="G70" s="586">
        <f t="shared" si="48"/>
        <v>0.46052631578947367</v>
      </c>
      <c r="H70" s="586">
        <f t="shared" si="48"/>
        <v>0.75618632814048359</v>
      </c>
      <c r="I70" s="586">
        <f t="shared" si="48"/>
        <v>0.60084105799437848</v>
      </c>
      <c r="J70" s="586">
        <f t="shared" si="48"/>
        <v>0.51174085326646179</v>
      </c>
      <c r="K70" s="586">
        <f t="shared" si="48"/>
        <v>0.33400007097309531</v>
      </c>
      <c r="L70" s="586">
        <f t="shared" si="48"/>
        <v>0.32976207699515014</v>
      </c>
      <c r="M70" s="587">
        <f t="shared" si="48"/>
        <v>-6.8622030698853598</v>
      </c>
    </row>
    <row r="102" spans="2:13">
      <c r="B102" s="558" t="str">
        <f>+B7</f>
        <v>=Operational profit</v>
      </c>
      <c r="C102" s="558"/>
      <c r="D102" s="558">
        <f t="shared" ref="D102:M102" si="49">+D7</f>
        <v>1050</v>
      </c>
      <c r="E102" s="558">
        <f t="shared" si="49"/>
        <v>1200</v>
      </c>
      <c r="F102" s="558">
        <f t="shared" si="49"/>
        <v>1210</v>
      </c>
      <c r="G102" s="558">
        <f t="shared" si="49"/>
        <v>1230</v>
      </c>
      <c r="H102" s="558">
        <f t="shared" si="49"/>
        <v>2242.3999999999987</v>
      </c>
      <c r="I102" s="558">
        <f t="shared" si="49"/>
        <v>2532.3110399999987</v>
      </c>
      <c r="J102" s="558">
        <f t="shared" si="49"/>
        <v>2734.8959231999988</v>
      </c>
      <c r="K102" s="558">
        <f t="shared" si="49"/>
        <v>2898.989678592</v>
      </c>
      <c r="L102" s="558">
        <f t="shared" si="49"/>
        <v>3043.9391625215994</v>
      </c>
      <c r="M102" s="558">
        <f t="shared" si="49"/>
        <v>3196.1361206476804</v>
      </c>
    </row>
    <row r="103" spans="2:13">
      <c r="B103" s="497" t="s">
        <v>166</v>
      </c>
      <c r="D103" s="558">
        <f t="shared" ref="D103:M103" si="50">+D102*(1-D38)</f>
        <v>960</v>
      </c>
      <c r="E103" s="558">
        <f t="shared" si="50"/>
        <v>1090</v>
      </c>
      <c r="F103" s="558">
        <f t="shared" si="50"/>
        <v>1110</v>
      </c>
      <c r="G103" s="558">
        <f t="shared" si="50"/>
        <v>1140</v>
      </c>
      <c r="H103" s="558">
        <f t="shared" si="50"/>
        <v>1793.9199999999992</v>
      </c>
      <c r="I103" s="558">
        <f t="shared" si="50"/>
        <v>2025.848831999999</v>
      </c>
      <c r="J103" s="558">
        <f t="shared" si="50"/>
        <v>2187.916738559999</v>
      </c>
      <c r="K103" s="558">
        <f t="shared" si="50"/>
        <v>2319.1917428736001</v>
      </c>
      <c r="L103" s="558">
        <f t="shared" si="50"/>
        <v>2435.1513300172796</v>
      </c>
      <c r="M103" s="558">
        <f t="shared" si="50"/>
        <v>2556.9088965181445</v>
      </c>
    </row>
    <row r="104" spans="2:13">
      <c r="B104" s="497" t="s">
        <v>24</v>
      </c>
      <c r="D104" s="558">
        <f t="shared" ref="D104:M104" si="51">+D6</f>
        <v>750</v>
      </c>
      <c r="E104" s="558">
        <f t="shared" si="51"/>
        <v>800</v>
      </c>
      <c r="F104" s="558">
        <f t="shared" si="51"/>
        <v>890</v>
      </c>
      <c r="G104" s="558">
        <f t="shared" si="51"/>
        <v>970</v>
      </c>
      <c r="H104" s="558">
        <f t="shared" si="51"/>
        <v>996</v>
      </c>
      <c r="I104" s="558">
        <f t="shared" si="51"/>
        <v>1094.69696</v>
      </c>
      <c r="J104" s="558">
        <f t="shared" si="51"/>
        <v>1182.2727167999999</v>
      </c>
      <c r="K104" s="558">
        <f t="shared" si="51"/>
        <v>1253.2090798080001</v>
      </c>
      <c r="L104" s="558">
        <f t="shared" si="51"/>
        <v>1315.8695337984</v>
      </c>
      <c r="M104" s="558">
        <f t="shared" si="51"/>
        <v>1381.66301048832</v>
      </c>
    </row>
    <row r="105" spans="2:13">
      <c r="B105" s="497" t="s">
        <v>81</v>
      </c>
      <c r="D105" s="558">
        <f>+D103+D104</f>
        <v>1710</v>
      </c>
      <c r="E105" s="558">
        <f t="shared" ref="E105:M105" si="52">+E103+E104</f>
        <v>1890</v>
      </c>
      <c r="F105" s="558">
        <f t="shared" si="52"/>
        <v>2000</v>
      </c>
      <c r="G105" s="558">
        <f t="shared" si="52"/>
        <v>2110</v>
      </c>
      <c r="H105" s="558">
        <f t="shared" si="52"/>
        <v>2789.9199999999992</v>
      </c>
      <c r="I105" s="558">
        <f t="shared" si="52"/>
        <v>3120.545791999999</v>
      </c>
      <c r="J105" s="558">
        <f t="shared" si="52"/>
        <v>3370.1894553599986</v>
      </c>
      <c r="K105" s="558">
        <f t="shared" si="52"/>
        <v>3572.4008226816004</v>
      </c>
      <c r="L105" s="558">
        <f t="shared" si="52"/>
        <v>3751.0208638156796</v>
      </c>
      <c r="M105" s="558">
        <f t="shared" si="52"/>
        <v>3938.5719070064642</v>
      </c>
    </row>
    <row r="106" spans="2:13">
      <c r="B106" s="497" t="s">
        <v>168</v>
      </c>
      <c r="D106" s="558">
        <f>+C19-D19</f>
        <v>-15</v>
      </c>
      <c r="E106" s="558">
        <f>+D19-E19</f>
        <v>-5</v>
      </c>
      <c r="F106" s="558">
        <f>+E19-F19</f>
        <v>-5</v>
      </c>
      <c r="G106" s="558">
        <f>+F19-G19</f>
        <v>-15</v>
      </c>
      <c r="H106" s="558">
        <f>+G19-H19</f>
        <v>-22.457777777777778</v>
      </c>
      <c r="I106" s="558" t="e">
        <f>+H19-H17</f>
        <v>#VALUE!</v>
      </c>
      <c r="J106" s="558" t="e">
        <f>+H17-I17</f>
        <v>#VALUE!</v>
      </c>
      <c r="K106" s="558">
        <f>+I17-K19</f>
        <v>-227.53210367999995</v>
      </c>
      <c r="L106" s="558">
        <f>+K19-L19</f>
        <v>-11.376605184000056</v>
      </c>
      <c r="M106" s="558">
        <f>+L19-M19</f>
        <v>-11.945435443199955</v>
      </c>
    </row>
    <row r="107" spans="2:13">
      <c r="B107" s="497" t="s">
        <v>585</v>
      </c>
      <c r="D107" s="558">
        <f>+C20-D20</f>
        <v>0</v>
      </c>
      <c r="E107" s="558">
        <f t="shared" ref="E107:M108" si="53">+D20-E20</f>
        <v>0</v>
      </c>
      <c r="F107" s="558">
        <f t="shared" si="53"/>
        <v>0</v>
      </c>
      <c r="G107" s="558">
        <f t="shared" si="53"/>
        <v>0</v>
      </c>
      <c r="H107" s="558">
        <f t="shared" si="53"/>
        <v>-81.777777777777771</v>
      </c>
      <c r="I107" s="558">
        <f t="shared" si="53"/>
        <v>-147.19999999999996</v>
      </c>
      <c r="J107" s="558">
        <f t="shared" si="53"/>
        <v>-265.61422222222222</v>
      </c>
      <c r="K107" s="558">
        <f t="shared" si="53"/>
        <v>-29.675520000000006</v>
      </c>
      <c r="L107" s="558">
        <f t="shared" si="53"/>
        <v>-26.213375999999926</v>
      </c>
      <c r="M107" s="558">
        <f t="shared" si="53"/>
        <v>-27.52404480000007</v>
      </c>
    </row>
    <row r="108" spans="2:13">
      <c r="B108" s="497" t="s">
        <v>586</v>
      </c>
      <c r="D108" s="558">
        <f>+C21-D21</f>
        <v>30</v>
      </c>
      <c r="E108" s="558">
        <f t="shared" si="53"/>
        <v>-70</v>
      </c>
      <c r="F108" s="558">
        <f t="shared" si="53"/>
        <v>-30</v>
      </c>
      <c r="G108" s="558">
        <f t="shared" si="53"/>
        <v>-20</v>
      </c>
      <c r="H108" s="558">
        <f t="shared" si="53"/>
        <v>-68.799999999999955</v>
      </c>
      <c r="I108" s="558">
        <f t="shared" si="53"/>
        <v>-70.655999999999949</v>
      </c>
      <c r="J108" s="558">
        <f t="shared" si="53"/>
        <v>-52.75648000000001</v>
      </c>
      <c r="K108" s="558">
        <f t="shared" si="53"/>
        <v>-42.732748799999968</v>
      </c>
      <c r="L108" s="558">
        <f t="shared" si="53"/>
        <v>-37.747261439999988</v>
      </c>
      <c r="M108" s="558">
        <f t="shared" si="53"/>
        <v>-39.634624512000073</v>
      </c>
    </row>
    <row r="109" spans="2:13">
      <c r="B109" s="497" t="s">
        <v>170</v>
      </c>
      <c r="D109" s="558">
        <f t="shared" ref="D109:M109" si="54">+D23-C23</f>
        <v>50</v>
      </c>
      <c r="E109" s="558">
        <f t="shared" si="54"/>
        <v>20</v>
      </c>
      <c r="F109" s="558">
        <f t="shared" si="54"/>
        <v>20</v>
      </c>
      <c r="G109" s="558">
        <f t="shared" si="54"/>
        <v>10</v>
      </c>
      <c r="H109" s="558">
        <f t="shared" si="54"/>
        <v>5.6177777777778033</v>
      </c>
      <c r="I109" s="558">
        <f t="shared" si="54"/>
        <v>77.067377777777722</v>
      </c>
      <c r="J109" s="558">
        <f t="shared" si="54"/>
        <v>69.279516444444425</v>
      </c>
      <c r="K109" s="558">
        <f t="shared" si="54"/>
        <v>65.622466560000021</v>
      </c>
      <c r="L109" s="558">
        <f t="shared" si="54"/>
        <v>65.009172479999961</v>
      </c>
      <c r="M109" s="558">
        <f t="shared" si="54"/>
        <v>34.129815551999855</v>
      </c>
    </row>
    <row r="110" spans="2:13">
      <c r="B110" s="497" t="s">
        <v>587</v>
      </c>
      <c r="D110" s="558">
        <f>+D105+D106+D107+D108+D109</f>
        <v>1775</v>
      </c>
      <c r="E110" s="558">
        <f t="shared" ref="E110:M110" si="55">+E105+E106+E107+E108+E109</f>
        <v>1835</v>
      </c>
      <c r="F110" s="558">
        <f t="shared" si="55"/>
        <v>1985</v>
      </c>
      <c r="G110" s="558">
        <f t="shared" si="55"/>
        <v>2085</v>
      </c>
      <c r="H110" s="558">
        <f t="shared" si="55"/>
        <v>2622.5022222222219</v>
      </c>
      <c r="I110" s="558" t="e">
        <f t="shared" si="55"/>
        <v>#VALUE!</v>
      </c>
      <c r="J110" s="558" t="e">
        <f t="shared" si="55"/>
        <v>#VALUE!</v>
      </c>
      <c r="K110" s="558">
        <f t="shared" si="55"/>
        <v>3338.0829167616002</v>
      </c>
      <c r="L110" s="558">
        <f t="shared" si="55"/>
        <v>3740.6927936716793</v>
      </c>
      <c r="M110" s="558">
        <f t="shared" si="55"/>
        <v>3893.5976178032643</v>
      </c>
    </row>
    <row r="111" spans="2:13">
      <c r="B111" s="497" t="s">
        <v>588</v>
      </c>
      <c r="D111" s="558">
        <f>+C18-D18</f>
        <v>-500</v>
      </c>
      <c r="E111" s="558">
        <f>+D18-E18</f>
        <v>-1000</v>
      </c>
      <c r="F111" s="558">
        <f>+E18-F18</f>
        <v>-500</v>
      </c>
      <c r="G111" s="558">
        <f>+F18-G18</f>
        <v>-500</v>
      </c>
      <c r="H111" s="558">
        <f>+G18-H18</f>
        <v>-1189.119999999999</v>
      </c>
      <c r="I111" s="558">
        <f>+H18-H16</f>
        <v>13189.119999999999</v>
      </c>
      <c r="J111" s="558">
        <f>+H16-I16</f>
        <v>0</v>
      </c>
      <c r="K111" s="558">
        <f>+I16-K18</f>
        <v>-15853.849804799998</v>
      </c>
      <c r="L111" s="558">
        <f>+K18-L18</f>
        <v>-792.69249024000055</v>
      </c>
      <c r="M111" s="558">
        <f>+L18-M18</f>
        <v>-832.32711475200267</v>
      </c>
    </row>
    <row r="112" spans="2:13">
      <c r="B112" s="497" t="s">
        <v>24</v>
      </c>
      <c r="D112" s="558">
        <f>-D104</f>
        <v>-750</v>
      </c>
      <c r="E112" s="558">
        <f t="shared" ref="E112:M112" si="56">-E104</f>
        <v>-800</v>
      </c>
      <c r="F112" s="558">
        <f t="shared" si="56"/>
        <v>-890</v>
      </c>
      <c r="G112" s="558">
        <f t="shared" si="56"/>
        <v>-970</v>
      </c>
      <c r="H112" s="558">
        <f t="shared" si="56"/>
        <v>-996</v>
      </c>
      <c r="I112" s="558">
        <f t="shared" si="56"/>
        <v>-1094.69696</v>
      </c>
      <c r="J112" s="558">
        <f t="shared" si="56"/>
        <v>-1182.2727167999999</v>
      </c>
      <c r="K112" s="558">
        <f t="shared" si="56"/>
        <v>-1253.2090798080001</v>
      </c>
      <c r="L112" s="558">
        <f t="shared" si="56"/>
        <v>-1315.8695337984</v>
      </c>
      <c r="M112" s="558">
        <f t="shared" si="56"/>
        <v>-1381.66301048832</v>
      </c>
    </row>
    <row r="113" spans="2:13">
      <c r="B113" s="497" t="s">
        <v>589</v>
      </c>
      <c r="D113" s="558">
        <f>+D111+D112</f>
        <v>-1250</v>
      </c>
      <c r="E113" s="558">
        <f t="shared" ref="E113:M113" si="57">+E111+E112</f>
        <v>-1800</v>
      </c>
      <c r="F113" s="558">
        <f t="shared" si="57"/>
        <v>-1390</v>
      </c>
      <c r="G113" s="558">
        <f t="shared" si="57"/>
        <v>-1470</v>
      </c>
      <c r="H113" s="558">
        <f t="shared" si="57"/>
        <v>-2185.119999999999</v>
      </c>
      <c r="I113" s="558">
        <f t="shared" si="57"/>
        <v>12094.42304</v>
      </c>
      <c r="J113" s="558">
        <f t="shared" si="57"/>
        <v>-1182.2727167999999</v>
      </c>
      <c r="K113" s="558">
        <f t="shared" si="57"/>
        <v>-17107.058884607999</v>
      </c>
      <c r="L113" s="558">
        <f t="shared" si="57"/>
        <v>-2108.5620240384005</v>
      </c>
      <c r="M113" s="558">
        <f t="shared" si="57"/>
        <v>-2213.9901252403224</v>
      </c>
    </row>
    <row r="114" spans="2:13">
      <c r="B114" s="497" t="s">
        <v>65</v>
      </c>
      <c r="D114" s="558">
        <f>+D113+D110</f>
        <v>525</v>
      </c>
      <c r="E114" s="558">
        <f t="shared" ref="E114:M114" si="58">+E113+E110</f>
        <v>35</v>
      </c>
      <c r="F114" s="558">
        <f t="shared" si="58"/>
        <v>595</v>
      </c>
      <c r="G114" s="558">
        <f t="shared" si="58"/>
        <v>615</v>
      </c>
      <c r="H114" s="558">
        <f t="shared" si="58"/>
        <v>437.38222222222294</v>
      </c>
      <c r="I114" s="558" t="e">
        <f t="shared" si="58"/>
        <v>#VALUE!</v>
      </c>
      <c r="J114" s="558" t="e">
        <f t="shared" si="58"/>
        <v>#VALUE!</v>
      </c>
      <c r="K114" s="558">
        <f t="shared" si="58"/>
        <v>-13768.9759678464</v>
      </c>
      <c r="L114" s="558">
        <f t="shared" si="58"/>
        <v>1632.1307696332788</v>
      </c>
      <c r="M114" s="558">
        <f t="shared" si="58"/>
        <v>1679.6074925629418</v>
      </c>
    </row>
    <row r="115" spans="2:13">
      <c r="B115" s="497" t="str">
        <f>+B8</f>
        <v>-Interest</v>
      </c>
      <c r="D115" s="558">
        <f t="shared" ref="D115:M115" si="59">-D8</f>
        <v>0</v>
      </c>
      <c r="E115" s="558">
        <f t="shared" si="59"/>
        <v>0</v>
      </c>
      <c r="F115" s="558">
        <f t="shared" si="59"/>
        <v>0</v>
      </c>
      <c r="G115" s="558">
        <f t="shared" si="59"/>
        <v>0</v>
      </c>
      <c r="H115" s="558">
        <f t="shared" si="59"/>
        <v>0</v>
      </c>
      <c r="I115" s="558">
        <f t="shared" si="59"/>
        <v>0</v>
      </c>
      <c r="J115" s="558">
        <f t="shared" si="59"/>
        <v>-51.970628266666672</v>
      </c>
      <c r="K115" s="558">
        <f t="shared" si="59"/>
        <v>-111.77878118400001</v>
      </c>
      <c r="L115" s="558">
        <f t="shared" si="59"/>
        <v>-175.80157894655997</v>
      </c>
      <c r="M115" s="558">
        <f t="shared" si="59"/>
        <v>-245.64439310745601</v>
      </c>
    </row>
    <row r="116" spans="2:13">
      <c r="B116" s="497" t="s">
        <v>158</v>
      </c>
      <c r="D116" s="558">
        <f t="shared" ref="D116:M116" si="60">-D115*D38</f>
        <v>0</v>
      </c>
      <c r="E116" s="558">
        <f t="shared" si="60"/>
        <v>0</v>
      </c>
      <c r="F116" s="558">
        <f t="shared" si="60"/>
        <v>0</v>
      </c>
      <c r="G116" s="558">
        <f t="shared" si="60"/>
        <v>0</v>
      </c>
      <c r="H116" s="558">
        <f t="shared" si="60"/>
        <v>0</v>
      </c>
      <c r="I116" s="558">
        <f t="shared" si="60"/>
        <v>0</v>
      </c>
      <c r="J116" s="558">
        <f t="shared" si="60"/>
        <v>10.394125653333335</v>
      </c>
      <c r="K116" s="558">
        <f t="shared" si="60"/>
        <v>22.355756236800005</v>
      </c>
      <c r="L116" s="558">
        <f t="shared" si="60"/>
        <v>35.160315789311994</v>
      </c>
      <c r="M116" s="558">
        <f t="shared" si="60"/>
        <v>49.128878621491204</v>
      </c>
    </row>
    <row r="117" spans="2:13">
      <c r="B117" s="497" t="s">
        <v>254</v>
      </c>
      <c r="D117" s="558">
        <f t="shared" ref="D117:M117" si="61">+D24-C24</f>
        <v>0</v>
      </c>
      <c r="E117" s="558">
        <f t="shared" si="61"/>
        <v>0</v>
      </c>
      <c r="F117" s="558">
        <f t="shared" si="61"/>
        <v>0</v>
      </c>
      <c r="G117" s="558">
        <f t="shared" si="61"/>
        <v>0</v>
      </c>
      <c r="H117" s="558">
        <f t="shared" si="61"/>
        <v>0</v>
      </c>
      <c r="I117" s="558">
        <f t="shared" si="61"/>
        <v>742.43754666666666</v>
      </c>
      <c r="J117" s="558">
        <f t="shared" si="61"/>
        <v>854.4021845333333</v>
      </c>
      <c r="K117" s="558">
        <f t="shared" si="61"/>
        <v>914.6113966079995</v>
      </c>
      <c r="L117" s="558">
        <f t="shared" si="61"/>
        <v>997.75448801280027</v>
      </c>
      <c r="M117" s="558">
        <f t="shared" si="61"/>
        <v>175.46028079104099</v>
      </c>
    </row>
    <row r="118" spans="2:13">
      <c r="B118" s="497" t="s">
        <v>69</v>
      </c>
      <c r="D118" s="558">
        <f>SUM(D114:D117)</f>
        <v>525</v>
      </c>
      <c r="E118" s="558">
        <f t="shared" ref="E118:M118" si="62">SUM(E114:E117)</f>
        <v>35</v>
      </c>
      <c r="F118" s="558">
        <f t="shared" si="62"/>
        <v>595</v>
      </c>
      <c r="G118" s="558">
        <f t="shared" si="62"/>
        <v>615</v>
      </c>
      <c r="H118" s="558">
        <f t="shared" si="62"/>
        <v>437.38222222222294</v>
      </c>
      <c r="I118" s="558" t="e">
        <f t="shared" si="62"/>
        <v>#VALUE!</v>
      </c>
      <c r="J118" s="558" t="e">
        <f t="shared" si="62"/>
        <v>#VALUE!</v>
      </c>
      <c r="K118" s="558">
        <f t="shared" si="62"/>
        <v>-12943.787596185601</v>
      </c>
      <c r="L118" s="558">
        <f t="shared" si="62"/>
        <v>2489.243994488831</v>
      </c>
      <c r="M118" s="558">
        <f t="shared" si="62"/>
        <v>1658.552258868018</v>
      </c>
    </row>
    <row r="119" spans="2:13">
      <c r="B119" s="497" t="str">
        <f>+B12</f>
        <v>-Dividend</v>
      </c>
      <c r="D119" s="558">
        <f t="shared" ref="D119:M119" si="63">-D12</f>
        <v>-525</v>
      </c>
      <c r="E119" s="558">
        <f t="shared" si="63"/>
        <v>-35</v>
      </c>
      <c r="F119" s="558">
        <f t="shared" si="63"/>
        <v>-595</v>
      </c>
      <c r="G119" s="558">
        <f t="shared" si="63"/>
        <v>-615</v>
      </c>
      <c r="H119" s="558">
        <f t="shared" si="63"/>
        <v>-437.38222222222316</v>
      </c>
      <c r="I119" s="558">
        <f t="shared" si="63"/>
        <v>-1551.0732231111099</v>
      </c>
      <c r="J119" s="558">
        <f t="shared" si="63"/>
        <v>-1881.0960418133313</v>
      </c>
      <c r="K119" s="558">
        <f t="shared" si="63"/>
        <v>-2229.7687179264003</v>
      </c>
      <c r="L119" s="558">
        <f t="shared" si="63"/>
        <v>-2294.5100668600317</v>
      </c>
      <c r="M119" s="558">
        <f t="shared" si="63"/>
        <v>-1658.5522588680174</v>
      </c>
    </row>
    <row r="120" spans="2:13">
      <c r="B120" s="497" t="s">
        <v>590</v>
      </c>
      <c r="D120" s="558">
        <f>+D25-C25-D13</f>
        <v>0</v>
      </c>
      <c r="E120" s="558">
        <f>+E25-D25-E13</f>
        <v>0</v>
      </c>
      <c r="F120" s="558">
        <f>+F25-E25-F13</f>
        <v>0</v>
      </c>
      <c r="G120" s="558">
        <f>+G25-F25-G13</f>
        <v>0</v>
      </c>
      <c r="H120" s="558" t="e">
        <f>+H25-G25-#REF!</f>
        <v>#REF!</v>
      </c>
      <c r="I120" s="558" t="e">
        <f>+I25-H25-#REF!</f>
        <v>#REF!</v>
      </c>
      <c r="J120" s="558">
        <f>+J25-I25-J13</f>
        <v>0</v>
      </c>
      <c r="K120" s="558">
        <f>+K25-J25-K13</f>
        <v>-140.00118988800023</v>
      </c>
      <c r="L120" s="558">
        <f>+L25-K25-L13</f>
        <v>-194.7339276288003</v>
      </c>
      <c r="M120" s="558">
        <f>+M25-L25-M13</f>
        <v>0</v>
      </c>
    </row>
    <row r="121" spans="2:13">
      <c r="B121" s="497" t="s">
        <v>591</v>
      </c>
      <c r="D121" s="558">
        <f>+D118+D119+D120</f>
        <v>0</v>
      </c>
      <c r="E121" s="558">
        <f t="shared" ref="E121:M121" si="64">+E118+E119+E120</f>
        <v>0</v>
      </c>
      <c r="F121" s="558">
        <f t="shared" si="64"/>
        <v>0</v>
      </c>
      <c r="G121" s="558">
        <f t="shared" si="64"/>
        <v>0</v>
      </c>
      <c r="H121" s="558" t="e">
        <f t="shared" si="64"/>
        <v>#REF!</v>
      </c>
      <c r="I121" s="558" t="e">
        <f t="shared" si="64"/>
        <v>#VALUE!</v>
      </c>
      <c r="J121" s="558" t="e">
        <f t="shared" si="64"/>
        <v>#VALUE!</v>
      </c>
      <c r="K121" s="558">
        <f t="shared" si="64"/>
        <v>-15313.557504</v>
      </c>
      <c r="L121" s="558">
        <f t="shared" si="64"/>
        <v>-9.0949470177292824E-13</v>
      </c>
      <c r="M121" s="558">
        <f t="shared" si="64"/>
        <v>6.8212102632969618E-13</v>
      </c>
    </row>
    <row r="124" spans="2:13">
      <c r="B124" s="497" t="s">
        <v>188</v>
      </c>
      <c r="D124" s="558">
        <f t="shared" ref="D124:M124" si="65">+C24+C25</f>
        <v>9745</v>
      </c>
      <c r="E124" s="558">
        <f t="shared" si="65"/>
        <v>10180</v>
      </c>
      <c r="F124" s="558">
        <f t="shared" si="65"/>
        <v>11235</v>
      </c>
      <c r="G124" s="558">
        <f t="shared" si="65"/>
        <v>11750</v>
      </c>
      <c r="H124" s="558">
        <f t="shared" si="65"/>
        <v>12275</v>
      </c>
      <c r="I124" s="558">
        <f t="shared" si="65"/>
        <v>13631.537777777776</v>
      </c>
      <c r="J124" s="558">
        <f t="shared" si="65"/>
        <v>14848.750933333331</v>
      </c>
      <c r="K124" s="558">
        <f t="shared" si="65"/>
        <v>15968.397311999999</v>
      </c>
      <c r="L124" s="558">
        <f t="shared" si="65"/>
        <v>16743.007518719998</v>
      </c>
      <c r="M124" s="558">
        <f t="shared" si="65"/>
        <v>17546.028079103999</v>
      </c>
    </row>
    <row r="125" spans="2:13">
      <c r="B125" s="497" t="s">
        <v>194</v>
      </c>
      <c r="D125" s="558">
        <f>+E124-D124</f>
        <v>435</v>
      </c>
      <c r="E125" s="558">
        <f t="shared" ref="E125:M125" si="66">+F124-E124</f>
        <v>1055</v>
      </c>
      <c r="F125" s="558">
        <f t="shared" si="66"/>
        <v>515</v>
      </c>
      <c r="G125" s="558">
        <f t="shared" si="66"/>
        <v>525</v>
      </c>
      <c r="H125" s="558">
        <f t="shared" si="66"/>
        <v>1356.5377777777758</v>
      </c>
      <c r="I125" s="558">
        <f t="shared" si="66"/>
        <v>1217.2131555555552</v>
      </c>
      <c r="J125" s="558">
        <f t="shared" si="66"/>
        <v>1119.6463786666682</v>
      </c>
      <c r="K125" s="558">
        <f t="shared" si="66"/>
        <v>774.61020671999904</v>
      </c>
      <c r="L125" s="558">
        <f t="shared" si="66"/>
        <v>803.02056038400042</v>
      </c>
      <c r="M125" s="558">
        <f t="shared" si="66"/>
        <v>-17546.028079103999</v>
      </c>
    </row>
    <row r="126" spans="2:13">
      <c r="B126" s="497" t="s">
        <v>166</v>
      </c>
      <c r="D126" s="558">
        <f>+D103</f>
        <v>960</v>
      </c>
      <c r="E126" s="558">
        <f t="shared" ref="E126:M126" si="67">+E103</f>
        <v>1090</v>
      </c>
      <c r="F126" s="558">
        <f t="shared" si="67"/>
        <v>1110</v>
      </c>
      <c r="G126" s="558">
        <f t="shared" si="67"/>
        <v>1140</v>
      </c>
      <c r="H126" s="558">
        <f t="shared" si="67"/>
        <v>1793.9199999999992</v>
      </c>
      <c r="I126" s="558">
        <f t="shared" si="67"/>
        <v>2025.848831999999</v>
      </c>
      <c r="J126" s="558">
        <f t="shared" si="67"/>
        <v>2187.916738559999</v>
      </c>
      <c r="K126" s="558">
        <f t="shared" si="67"/>
        <v>2319.1917428736001</v>
      </c>
      <c r="L126" s="558">
        <f t="shared" si="67"/>
        <v>2435.1513300172796</v>
      </c>
      <c r="M126" s="558">
        <f t="shared" si="67"/>
        <v>2556.9088965181445</v>
      </c>
    </row>
    <row r="127" spans="2:13">
      <c r="B127" s="497" t="s">
        <v>65</v>
      </c>
      <c r="D127" s="558">
        <f>+D114</f>
        <v>525</v>
      </c>
      <c r="E127" s="558">
        <f t="shared" ref="E127:M127" si="68">+E114</f>
        <v>35</v>
      </c>
      <c r="F127" s="558">
        <f t="shared" si="68"/>
        <v>595</v>
      </c>
      <c r="G127" s="558">
        <f t="shared" si="68"/>
        <v>615</v>
      </c>
      <c r="H127" s="558">
        <f t="shared" si="68"/>
        <v>437.38222222222294</v>
      </c>
      <c r="I127" s="558" t="e">
        <f t="shared" si="68"/>
        <v>#VALUE!</v>
      </c>
      <c r="J127" s="558" t="e">
        <f t="shared" si="68"/>
        <v>#VALUE!</v>
      </c>
      <c r="K127" s="558">
        <f t="shared" si="68"/>
        <v>-13768.9759678464</v>
      </c>
      <c r="L127" s="558">
        <f t="shared" si="68"/>
        <v>1632.1307696332788</v>
      </c>
      <c r="M127" s="558">
        <f t="shared" si="68"/>
        <v>1679.6074925629418</v>
      </c>
    </row>
    <row r="128" spans="2:13">
      <c r="B128" s="497" t="s">
        <v>300</v>
      </c>
      <c r="D128" s="588">
        <f>+E103/D103-1</f>
        <v>0.13541666666666674</v>
      </c>
      <c r="E128" s="588">
        <f t="shared" ref="E128:L128" si="69">+F103/E103-1</f>
        <v>1.8348623853210899E-2</v>
      </c>
      <c r="F128" s="588">
        <f t="shared" si="69"/>
        <v>2.7027027027026973E-2</v>
      </c>
      <c r="G128" s="588">
        <f t="shared" si="69"/>
        <v>0.57361403508771858</v>
      </c>
      <c r="H128" s="588">
        <f t="shared" si="69"/>
        <v>0.12928605066000709</v>
      </c>
      <c r="I128" s="588">
        <f t="shared" si="69"/>
        <v>8.0000000000000071E-2</v>
      </c>
      <c r="J128" s="588">
        <f t="shared" si="69"/>
        <v>6.0000000000000497E-2</v>
      </c>
      <c r="K128" s="588">
        <f t="shared" si="69"/>
        <v>4.9999999999999822E-2</v>
      </c>
      <c r="L128" s="588">
        <f t="shared" si="69"/>
        <v>5.0000000000000266E-2</v>
      </c>
      <c r="M128" s="588"/>
    </row>
    <row r="129" spans="2:13">
      <c r="B129" s="497" t="s">
        <v>185</v>
      </c>
      <c r="D129" s="588">
        <f>+D126/D124</f>
        <v>9.8512057465366856E-2</v>
      </c>
      <c r="E129" s="588">
        <f t="shared" ref="E129:M129" si="70">+E126/E124</f>
        <v>0.10707269155206287</v>
      </c>
      <c r="F129" s="588">
        <f t="shared" si="70"/>
        <v>9.879839786381843E-2</v>
      </c>
      <c r="G129" s="588">
        <f t="shared" si="70"/>
        <v>9.7021276595744679E-2</v>
      </c>
      <c r="H129" s="588">
        <f t="shared" si="70"/>
        <v>0.14614419551934821</v>
      </c>
      <c r="I129" s="588">
        <f t="shared" si="70"/>
        <v>0.14861484192213084</v>
      </c>
      <c r="J129" s="588">
        <f t="shared" si="70"/>
        <v>0.14734685418208729</v>
      </c>
      <c r="K129" s="588">
        <f t="shared" si="70"/>
        <v>0.14523635012079542</v>
      </c>
      <c r="L129" s="588">
        <f t="shared" si="70"/>
        <v>0.14544288577154307</v>
      </c>
      <c r="M129" s="588">
        <f t="shared" si="70"/>
        <v>0.14572579531906887</v>
      </c>
    </row>
    <row r="130" spans="2:13">
      <c r="B130" s="497" t="s">
        <v>186</v>
      </c>
      <c r="E130" s="588">
        <f>+(E126-D126)/D125</f>
        <v>0.2988505747126437</v>
      </c>
      <c r="F130" s="588">
        <f t="shared" ref="F130:M130" si="71">+(F126-E126)/E125</f>
        <v>1.8957345971563982E-2</v>
      </c>
      <c r="G130" s="588">
        <f t="shared" si="71"/>
        <v>5.8252427184466021E-2</v>
      </c>
      <c r="H130" s="588">
        <f t="shared" si="71"/>
        <v>1.2455619047619031</v>
      </c>
      <c r="I130" s="588">
        <f t="shared" si="71"/>
        <v>0.17097115598205903</v>
      </c>
      <c r="J130" s="588">
        <f t="shared" si="71"/>
        <v>0.13314669318212358</v>
      </c>
      <c r="K130" s="588">
        <f t="shared" si="71"/>
        <v>0.11724684401688512</v>
      </c>
      <c r="L130" s="588">
        <f t="shared" si="71"/>
        <v>0.14970056699187781</v>
      </c>
      <c r="M130" s="588">
        <f t="shared" si="71"/>
        <v>0.15162446954364531</v>
      </c>
    </row>
    <row r="131" spans="2:13">
      <c r="B131" s="497" t="s">
        <v>209</v>
      </c>
      <c r="D131" s="588">
        <f>+D125/D126</f>
        <v>0.453125</v>
      </c>
      <c r="E131" s="588">
        <f t="shared" ref="E131:M131" si="72">+E125/E126</f>
        <v>0.9678899082568807</v>
      </c>
      <c r="F131" s="588">
        <f t="shared" si="72"/>
        <v>0.46396396396396394</v>
      </c>
      <c r="G131" s="588">
        <f t="shared" si="72"/>
        <v>0.46052631578947367</v>
      </c>
      <c r="H131" s="588">
        <f t="shared" si="72"/>
        <v>0.75618632814048359</v>
      </c>
      <c r="I131" s="588">
        <f t="shared" si="72"/>
        <v>0.60084105799437848</v>
      </c>
      <c r="J131" s="588">
        <f t="shared" si="72"/>
        <v>0.51174085326646179</v>
      </c>
      <c r="K131" s="588">
        <f t="shared" si="72"/>
        <v>0.33400007097309531</v>
      </c>
      <c r="L131" s="588">
        <f t="shared" si="72"/>
        <v>0.32976207699515014</v>
      </c>
      <c r="M131" s="588">
        <f t="shared" si="72"/>
        <v>-6.8622030698853598</v>
      </c>
    </row>
  </sheetData>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B50A-A031-44CA-8434-9AE25A988557}">
  <dimension ref="B1:I54"/>
  <sheetViews>
    <sheetView topLeftCell="A22" workbookViewId="0">
      <selection activeCell="B54" sqref="B54"/>
    </sheetView>
  </sheetViews>
  <sheetFormatPr baseColWidth="10" defaultColWidth="9.1640625" defaultRowHeight="16"/>
  <cols>
    <col min="1" max="1" width="9.1640625" style="149"/>
    <col min="2" max="2" width="22.6640625" style="149" bestFit="1" customWidth="1"/>
    <col min="3" max="3" width="42.5" style="149" bestFit="1" customWidth="1"/>
    <col min="4" max="4" width="12.6640625" style="149" bestFit="1" customWidth="1"/>
    <col min="5" max="5" width="12.33203125" style="149" customWidth="1"/>
    <col min="6" max="9" width="10.6640625" style="149" bestFit="1" customWidth="1"/>
    <col min="10" max="16384" width="9.1640625" style="149"/>
  </cols>
  <sheetData>
    <row r="1" spans="2:3" ht="17" thickBot="1"/>
    <row r="2" spans="2:3">
      <c r="B2" s="377" t="str">
        <f>+[3]Admin!C12</f>
        <v>Date</v>
      </c>
      <c r="C2" s="378">
        <f>+[3]Admin!D12</f>
        <v>44208</v>
      </c>
    </row>
    <row r="3" spans="2:3">
      <c r="B3" s="379" t="str">
        <f>+[3]Admin!C13</f>
        <v>Student name</v>
      </c>
      <c r="C3" s="380" t="str">
        <f>+[3]Admin!D13</f>
        <v>Sam Sample</v>
      </c>
    </row>
    <row r="4" spans="2:3">
      <c r="B4" s="379" t="str">
        <f>+[3]Admin!C14</f>
        <v>Neptun code</v>
      </c>
      <c r="C4" s="380" t="str">
        <f>+[3]Admin!D14</f>
        <v>ABCD1234</v>
      </c>
    </row>
    <row r="5" spans="2:3">
      <c r="B5" s="379"/>
      <c r="C5" s="381"/>
    </row>
    <row r="6" spans="2:3">
      <c r="B6" s="379" t="str">
        <f>+[3]Admin!C16</f>
        <v>Study program</v>
      </c>
      <c r="C6" s="381" t="str">
        <f>+[3]Admin!D16</f>
        <v>Master in Finance</v>
      </c>
    </row>
    <row r="7" spans="2:3" ht="17" thickBot="1">
      <c r="B7" s="382" t="str">
        <f>+[3]Admin!C17</f>
        <v>Instructor</v>
      </c>
      <c r="C7" s="383" t="str">
        <f>+[3]Admin!D17</f>
        <v>Péter Juhász, PhD, CFA</v>
      </c>
    </row>
    <row r="8" spans="2:3" ht="17" thickBot="1"/>
    <row r="9" spans="2:3" ht="17" thickBot="1">
      <c r="B9" s="384" t="s">
        <v>592</v>
      </c>
      <c r="C9" s="385"/>
    </row>
    <row r="25" spans="3:9">
      <c r="D25" s="342">
        <v>2020</v>
      </c>
      <c r="E25" s="342">
        <v>2021</v>
      </c>
      <c r="F25" s="342">
        <v>2022</v>
      </c>
      <c r="G25" s="342">
        <v>2023</v>
      </c>
      <c r="H25" s="342">
        <v>2024</v>
      </c>
      <c r="I25" s="342">
        <v>2025</v>
      </c>
    </row>
    <row r="26" spans="3:9">
      <c r="C26" s="149" t="s">
        <v>20</v>
      </c>
      <c r="D26" s="165">
        <v>10000</v>
      </c>
      <c r="E26" s="165">
        <v>12000</v>
      </c>
      <c r="F26" s="165">
        <v>14000</v>
      </c>
      <c r="G26" s="165">
        <v>16000</v>
      </c>
      <c r="H26" s="165">
        <v>18000</v>
      </c>
      <c r="I26" s="165">
        <v>20000</v>
      </c>
    </row>
    <row r="27" spans="3:9">
      <c r="C27" s="149" t="s">
        <v>593</v>
      </c>
      <c r="D27" s="165">
        <v>5000</v>
      </c>
      <c r="E27" s="165">
        <v>5600</v>
      </c>
      <c r="F27" s="165">
        <v>6200</v>
      </c>
      <c r="G27" s="165">
        <v>6800</v>
      </c>
      <c r="H27" s="165">
        <v>7400</v>
      </c>
      <c r="I27" s="165">
        <v>8000</v>
      </c>
    </row>
    <row r="28" spans="3:9">
      <c r="C28" s="149" t="s">
        <v>594</v>
      </c>
      <c r="D28" s="165">
        <v>3200</v>
      </c>
      <c r="E28" s="165">
        <v>3500</v>
      </c>
      <c r="F28" s="165">
        <v>3800</v>
      </c>
      <c r="G28" s="165">
        <v>4100</v>
      </c>
      <c r="H28" s="165">
        <v>4400</v>
      </c>
      <c r="I28" s="165">
        <v>4700</v>
      </c>
    </row>
    <row r="29" spans="3:9">
      <c r="C29" s="149" t="s">
        <v>595</v>
      </c>
      <c r="D29" s="386">
        <v>700</v>
      </c>
      <c r="E29" s="386">
        <v>850</v>
      </c>
      <c r="F29" s="386">
        <v>1000</v>
      </c>
      <c r="G29" s="386">
        <v>1150</v>
      </c>
      <c r="H29" s="386">
        <v>1300</v>
      </c>
      <c r="I29" s="386">
        <v>1450</v>
      </c>
    </row>
    <row r="30" spans="3:9">
      <c r="C30" s="149" t="s">
        <v>596</v>
      </c>
      <c r="D30" s="165">
        <f>+D26-D27-D28-D29</f>
        <v>1100</v>
      </c>
      <c r="E30" s="165">
        <f t="shared" ref="E30:I30" si="0">+E26-E27-E28-E29</f>
        <v>2050</v>
      </c>
      <c r="F30" s="165">
        <f t="shared" si="0"/>
        <v>3000</v>
      </c>
      <c r="G30" s="165">
        <f t="shared" si="0"/>
        <v>3950</v>
      </c>
      <c r="H30" s="165">
        <f t="shared" si="0"/>
        <v>4900</v>
      </c>
      <c r="I30" s="165">
        <f t="shared" si="0"/>
        <v>5850</v>
      </c>
    </row>
    <row r="31" spans="3:9">
      <c r="C31" s="149" t="s">
        <v>597</v>
      </c>
      <c r="D31" s="165">
        <v>200</v>
      </c>
      <c r="E31" s="165">
        <v>170</v>
      </c>
      <c r="F31" s="165">
        <v>195</v>
      </c>
      <c r="G31" s="165">
        <v>220</v>
      </c>
      <c r="H31" s="165">
        <v>245</v>
      </c>
      <c r="I31" s="165">
        <v>270</v>
      </c>
    </row>
    <row r="32" spans="3:9">
      <c r="C32" s="149" t="s">
        <v>31</v>
      </c>
      <c r="D32" s="386">
        <f>+D30-D31</f>
        <v>900</v>
      </c>
      <c r="E32" s="386">
        <f t="shared" ref="E32:I32" si="1">+E30-E31</f>
        <v>1880</v>
      </c>
      <c r="F32" s="386">
        <f t="shared" si="1"/>
        <v>2805</v>
      </c>
      <c r="G32" s="386">
        <f t="shared" si="1"/>
        <v>3730</v>
      </c>
      <c r="H32" s="386">
        <f t="shared" si="1"/>
        <v>4655</v>
      </c>
      <c r="I32" s="386">
        <f t="shared" si="1"/>
        <v>5580</v>
      </c>
    </row>
    <row r="33" spans="2:9">
      <c r="C33" s="149" t="s">
        <v>33</v>
      </c>
      <c r="D33" s="386">
        <v>850</v>
      </c>
      <c r="E33" s="386">
        <v>1400</v>
      </c>
      <c r="F33" s="386">
        <v>1950</v>
      </c>
      <c r="G33" s="386">
        <v>2500</v>
      </c>
      <c r="H33" s="386">
        <v>3050</v>
      </c>
      <c r="I33" s="386">
        <v>3600</v>
      </c>
    </row>
    <row r="34" spans="2:9">
      <c r="C34" s="149" t="s">
        <v>34</v>
      </c>
      <c r="D34" s="386">
        <v>600</v>
      </c>
      <c r="E34" s="386">
        <v>1000</v>
      </c>
      <c r="F34" s="386">
        <v>1400</v>
      </c>
      <c r="G34" s="386">
        <v>1800</v>
      </c>
      <c r="H34" s="386">
        <v>2200</v>
      </c>
      <c r="I34" s="386">
        <v>2600</v>
      </c>
    </row>
    <row r="35" spans="2:9">
      <c r="D35" s="191"/>
      <c r="E35" s="191"/>
      <c r="F35" s="191"/>
      <c r="G35" s="191"/>
      <c r="H35" s="191"/>
      <c r="I35" s="191"/>
    </row>
    <row r="36" spans="2:9">
      <c r="C36" s="149" t="s">
        <v>42</v>
      </c>
      <c r="D36" s="386">
        <v>7500</v>
      </c>
      <c r="E36" s="386">
        <v>8600</v>
      </c>
      <c r="F36" s="386">
        <v>9700</v>
      </c>
      <c r="G36" s="386">
        <v>10800</v>
      </c>
      <c r="H36" s="386">
        <v>11900</v>
      </c>
      <c r="I36" s="386">
        <v>13000</v>
      </c>
    </row>
    <row r="37" spans="2:9">
      <c r="C37" s="149" t="s">
        <v>40</v>
      </c>
      <c r="D37" s="386">
        <v>800</v>
      </c>
      <c r="E37" s="386">
        <v>890</v>
      </c>
      <c r="F37" s="386">
        <v>980</v>
      </c>
      <c r="G37" s="386">
        <v>1070</v>
      </c>
      <c r="H37" s="386">
        <v>1160</v>
      </c>
      <c r="I37" s="386">
        <v>1250</v>
      </c>
    </row>
    <row r="38" spans="2:9">
      <c r="C38" s="149" t="s">
        <v>39</v>
      </c>
      <c r="D38" s="386">
        <v>780</v>
      </c>
      <c r="E38" s="386">
        <v>840</v>
      </c>
      <c r="F38" s="386">
        <v>900</v>
      </c>
      <c r="G38" s="386">
        <v>960</v>
      </c>
      <c r="H38" s="386">
        <v>1020</v>
      </c>
      <c r="I38" s="386">
        <v>1080</v>
      </c>
    </row>
    <row r="39" spans="2:9">
      <c r="C39" s="149" t="s">
        <v>36</v>
      </c>
      <c r="D39" s="386">
        <v>250</v>
      </c>
      <c r="E39" s="386">
        <v>340</v>
      </c>
      <c r="F39" s="386">
        <v>430</v>
      </c>
      <c r="G39" s="386">
        <v>520</v>
      </c>
      <c r="H39" s="386">
        <v>610</v>
      </c>
      <c r="I39" s="386">
        <v>700</v>
      </c>
    </row>
    <row r="40" spans="2:9">
      <c r="D40" s="191"/>
      <c r="E40" s="191"/>
      <c r="F40" s="191"/>
      <c r="G40" s="191"/>
      <c r="H40" s="191"/>
      <c r="I40" s="191"/>
    </row>
    <row r="41" spans="2:9">
      <c r="C41" s="149" t="s">
        <v>45</v>
      </c>
      <c r="D41" s="386">
        <v>520</v>
      </c>
      <c r="E41" s="386">
        <v>590</v>
      </c>
      <c r="F41" s="386">
        <v>660</v>
      </c>
      <c r="G41" s="386">
        <v>730</v>
      </c>
      <c r="H41" s="386">
        <v>800</v>
      </c>
      <c r="I41" s="386">
        <v>870</v>
      </c>
    </row>
    <row r="42" spans="2:9">
      <c r="C42" s="149" t="s">
        <v>598</v>
      </c>
      <c r="D42" s="386">
        <v>120</v>
      </c>
      <c r="E42" s="386">
        <v>160</v>
      </c>
      <c r="F42" s="386">
        <v>200</v>
      </c>
      <c r="G42" s="386">
        <v>240</v>
      </c>
      <c r="H42" s="386">
        <v>280</v>
      </c>
      <c r="I42" s="386">
        <v>320</v>
      </c>
    </row>
    <row r="43" spans="2:9">
      <c r="C43" s="149" t="s">
        <v>454</v>
      </c>
      <c r="D43" s="386">
        <v>3000</v>
      </c>
      <c r="E43" s="386">
        <v>3400</v>
      </c>
      <c r="F43" s="386">
        <v>3800</v>
      </c>
      <c r="G43" s="386">
        <v>4200</v>
      </c>
      <c r="H43" s="386">
        <v>4600</v>
      </c>
      <c r="I43" s="386">
        <v>5000</v>
      </c>
    </row>
    <row r="44" spans="2:9">
      <c r="C44" s="149" t="s">
        <v>48</v>
      </c>
      <c r="D44" s="386">
        <f>SUM(D36:D39)-SUM(D41:D43)</f>
        <v>5690</v>
      </c>
      <c r="E44" s="386">
        <f t="shared" ref="E44:I44" si="2">SUM(E36:E39)-SUM(E41:E43)</f>
        <v>6520</v>
      </c>
      <c r="F44" s="386">
        <f t="shared" si="2"/>
        <v>7350</v>
      </c>
      <c r="G44" s="386">
        <f t="shared" si="2"/>
        <v>8180</v>
      </c>
      <c r="H44" s="386">
        <f t="shared" si="2"/>
        <v>9010</v>
      </c>
      <c r="I44" s="386">
        <f t="shared" si="2"/>
        <v>9840</v>
      </c>
    </row>
    <row r="45" spans="2:9">
      <c r="C45" s="149" t="s">
        <v>599</v>
      </c>
      <c r="D45" s="386">
        <f>D43+D44</f>
        <v>8690</v>
      </c>
      <c r="E45" s="386">
        <f t="shared" ref="E45:I45" si="3">E43+E44</f>
        <v>9920</v>
      </c>
      <c r="F45" s="386">
        <f t="shared" si="3"/>
        <v>11150</v>
      </c>
      <c r="G45" s="386">
        <f t="shared" si="3"/>
        <v>12380</v>
      </c>
      <c r="H45" s="386">
        <f t="shared" si="3"/>
        <v>13610</v>
      </c>
      <c r="I45" s="386">
        <f t="shared" si="3"/>
        <v>14840</v>
      </c>
    </row>
    <row r="46" spans="2:9">
      <c r="C46" s="149" t="s">
        <v>252</v>
      </c>
      <c r="D46" s="293">
        <f>(D32-D33)/D32</f>
        <v>5.5555555555555552E-2</v>
      </c>
      <c r="E46" s="293">
        <f t="shared" ref="E46:I46" si="4">(E32-E33)/E32</f>
        <v>0.25531914893617019</v>
      </c>
      <c r="F46" s="293">
        <f t="shared" si="4"/>
        <v>0.30481283422459893</v>
      </c>
      <c r="G46" s="293">
        <f t="shared" si="4"/>
        <v>0.32975871313672922</v>
      </c>
      <c r="H46" s="293">
        <f t="shared" si="4"/>
        <v>0.34479054779806662</v>
      </c>
      <c r="I46" s="293">
        <f t="shared" si="4"/>
        <v>0.35483870967741937</v>
      </c>
    </row>
    <row r="47" spans="2:9" ht="17" thickBot="1"/>
    <row r="48" spans="2:9">
      <c r="B48" s="149" t="s">
        <v>600</v>
      </c>
      <c r="C48" s="343" t="s">
        <v>185</v>
      </c>
      <c r="D48" s="387"/>
      <c r="E48" s="388">
        <f>E50/D45</f>
        <v>0.17567269789192763</v>
      </c>
      <c r="F48" s="388">
        <f t="shared" ref="F48:H48" si="5">F50/E45</f>
        <v>0.2102380541659479</v>
      </c>
      <c r="G48" s="388">
        <f t="shared" si="5"/>
        <v>0.23743973839550847</v>
      </c>
      <c r="H48" s="388">
        <f t="shared" si="5"/>
        <v>0.25933168948218688</v>
      </c>
      <c r="I48" s="388">
        <f>I50/H45</f>
        <v>0.27731032684695789</v>
      </c>
    </row>
    <row r="49" spans="2:9">
      <c r="B49" s="149" t="s">
        <v>601</v>
      </c>
      <c r="C49" s="389" t="s">
        <v>186</v>
      </c>
      <c r="D49" s="390"/>
      <c r="E49" s="391">
        <f>(E50-D50)/D53</f>
        <v>5.6122768215415675E-2</v>
      </c>
      <c r="F49" s="391">
        <f t="shared" ref="F49:I49" si="6">(F50-E50)/E53</f>
        <v>0.45444370133768458</v>
      </c>
      <c r="G49" s="391">
        <f t="shared" si="6"/>
        <v>0.45682242746643614</v>
      </c>
      <c r="H49" s="391">
        <f t="shared" si="6"/>
        <v>0.45778311599963756</v>
      </c>
      <c r="I49" s="391">
        <f t="shared" si="6"/>
        <v>0.45826604276229499</v>
      </c>
    </row>
    <row r="50" spans="2:9">
      <c r="B50" s="149" t="s">
        <v>602</v>
      </c>
      <c r="C50" s="389" t="s">
        <v>166</v>
      </c>
      <c r="D50" s="392">
        <f>D30*(1-D46)</f>
        <v>1038.8888888888889</v>
      </c>
      <c r="E50" s="392">
        <f t="shared" ref="E50:I50" si="7">E30*(1-E46)</f>
        <v>1526.5957446808511</v>
      </c>
      <c r="F50" s="392">
        <f t="shared" si="7"/>
        <v>2085.5614973262032</v>
      </c>
      <c r="G50" s="392">
        <f t="shared" si="7"/>
        <v>2647.4530831099196</v>
      </c>
      <c r="H50" s="392">
        <f t="shared" si="7"/>
        <v>3210.5263157894738</v>
      </c>
      <c r="I50" s="392">
        <f t="shared" si="7"/>
        <v>3774.1935483870966</v>
      </c>
    </row>
    <row r="51" spans="2:9">
      <c r="B51" s="149" t="s">
        <v>506</v>
      </c>
      <c r="C51" s="389" t="s">
        <v>65</v>
      </c>
      <c r="D51" s="392">
        <f>D50-D53</f>
        <v>-7651.1111111111113</v>
      </c>
      <c r="E51" s="392">
        <f t="shared" ref="E51:I51" si="8">E50-E53</f>
        <v>296.59574468085111</v>
      </c>
      <c r="F51" s="392">
        <f t="shared" si="8"/>
        <v>855.56149732620315</v>
      </c>
      <c r="G51" s="392">
        <f t="shared" si="8"/>
        <v>1417.4530831099196</v>
      </c>
      <c r="H51" s="392">
        <f t="shared" si="8"/>
        <v>1980.5263157894738</v>
      </c>
      <c r="I51" s="392">
        <f t="shared" si="8"/>
        <v>2544.1935483870966</v>
      </c>
    </row>
    <row r="52" spans="2:9">
      <c r="B52" s="149" t="s">
        <v>603</v>
      </c>
      <c r="C52" s="345" t="s">
        <v>209</v>
      </c>
      <c r="D52" s="347">
        <f>D53/D50</f>
        <v>8.3647058823529417</v>
      </c>
      <c r="E52" s="347">
        <f t="shared" ref="E52:I52" si="9">E53/E50</f>
        <v>0.80571428571428572</v>
      </c>
      <c r="F52" s="347">
        <f t="shared" si="9"/>
        <v>0.58976923076923082</v>
      </c>
      <c r="G52" s="347">
        <f t="shared" si="9"/>
        <v>0.46459746835443039</v>
      </c>
      <c r="H52" s="347">
        <f t="shared" si="9"/>
        <v>0.38311475409836065</v>
      </c>
      <c r="I52" s="347">
        <f t="shared" si="9"/>
        <v>0.32589743589743592</v>
      </c>
    </row>
    <row r="53" spans="2:9">
      <c r="B53" s="149" t="s">
        <v>604</v>
      </c>
      <c r="C53" s="345" t="s">
        <v>605</v>
      </c>
      <c r="D53" s="393">
        <f>D45</f>
        <v>8690</v>
      </c>
      <c r="E53" s="393">
        <f>E45-D45</f>
        <v>1230</v>
      </c>
      <c r="F53" s="393">
        <f t="shared" ref="F53:I53" si="10">F45-E45</f>
        <v>1230</v>
      </c>
      <c r="G53" s="393">
        <f t="shared" si="10"/>
        <v>1230</v>
      </c>
      <c r="H53" s="393">
        <f t="shared" si="10"/>
        <v>1230</v>
      </c>
      <c r="I53" s="393">
        <f t="shared" si="10"/>
        <v>1230</v>
      </c>
    </row>
    <row r="54" spans="2:9">
      <c r="B54" s="149" t="s">
        <v>606</v>
      </c>
      <c r="C54" s="345" t="s">
        <v>300</v>
      </c>
      <c r="D54" s="394"/>
      <c r="E54" s="395">
        <f>E49*D52</f>
        <v>0.46945044942541819</v>
      </c>
      <c r="F54" s="395">
        <f t="shared" ref="F54:I54" si="11">F49*E52</f>
        <v>0.3661517822206487</v>
      </c>
      <c r="G54" s="395">
        <f t="shared" si="11"/>
        <v>0.26941981164501277</v>
      </c>
      <c r="H54" s="395">
        <f t="shared" si="11"/>
        <v>0.21268487674883416</v>
      </c>
      <c r="I54" s="395">
        <f t="shared" si="11"/>
        <v>0.17556848228450547</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C7D5-0345-40AA-97B3-4B1CFC0F7AB8}">
  <dimension ref="A25:J41"/>
  <sheetViews>
    <sheetView topLeftCell="A39" workbookViewId="0">
      <selection activeCell="D11" sqref="D11"/>
    </sheetView>
  </sheetViews>
  <sheetFormatPr baseColWidth="10" defaultColWidth="9.1640625" defaultRowHeight="16"/>
  <cols>
    <col min="1" max="1" width="9.1640625" style="149"/>
    <col min="2" max="2" width="40.83203125" style="149" bestFit="1" customWidth="1"/>
    <col min="3" max="3" width="28" style="149" bestFit="1" customWidth="1"/>
    <col min="4" max="4" width="10.1640625" style="149" bestFit="1" customWidth="1"/>
    <col min="5" max="6" width="13.83203125" style="149" bestFit="1" customWidth="1"/>
    <col min="7" max="7" width="10.33203125" style="149" bestFit="1" customWidth="1"/>
    <col min="8" max="8" width="12.5" style="149" bestFit="1" customWidth="1"/>
    <col min="9" max="10" width="13.83203125" style="149" bestFit="1" customWidth="1"/>
    <col min="11" max="16384" width="9.1640625" style="149"/>
  </cols>
  <sheetData>
    <row r="25" spans="3:10">
      <c r="D25" s="342">
        <v>2020</v>
      </c>
      <c r="E25" s="342">
        <v>2021</v>
      </c>
      <c r="F25" s="342">
        <v>2022</v>
      </c>
      <c r="G25" s="342">
        <v>2023</v>
      </c>
      <c r="H25" s="342">
        <v>2024</v>
      </c>
      <c r="I25" s="342">
        <v>2025</v>
      </c>
      <c r="J25" s="342">
        <v>2026</v>
      </c>
    </row>
    <row r="26" spans="3:10">
      <c r="C26" s="149" t="s">
        <v>20</v>
      </c>
      <c r="D26" s="165">
        <v>20000</v>
      </c>
      <c r="E26" s="165">
        <f t="shared" ref="E26:J26" si="0">D26*(1+E32)</f>
        <v>22000</v>
      </c>
      <c r="F26" s="165">
        <f t="shared" si="0"/>
        <v>23980</v>
      </c>
      <c r="G26" s="165">
        <f t="shared" si="0"/>
        <v>25898.400000000001</v>
      </c>
      <c r="H26" s="165">
        <f t="shared" si="0"/>
        <v>27711.288000000004</v>
      </c>
      <c r="I26" s="165">
        <f t="shared" si="0"/>
        <v>29373.965280000008</v>
      </c>
      <c r="J26" s="165">
        <f t="shared" si="0"/>
        <v>30842.66354400001</v>
      </c>
    </row>
    <row r="27" spans="3:10">
      <c r="C27" s="149" t="s">
        <v>482</v>
      </c>
      <c r="D27" s="191">
        <v>0.01</v>
      </c>
      <c r="E27" s="191">
        <f t="shared" ref="E27:J27" si="1">E37/(1-E28)/E26</f>
        <v>1.0000000000000002E-2</v>
      </c>
      <c r="F27" s="191">
        <f t="shared" si="1"/>
        <v>1.0227272727272729E-2</v>
      </c>
      <c r="G27" s="191">
        <f t="shared" si="1"/>
        <v>1.0227272727272729E-2</v>
      </c>
      <c r="H27" s="191">
        <f t="shared" si="1"/>
        <v>1.0227272727272729E-2</v>
      </c>
      <c r="I27" s="191">
        <f t="shared" si="1"/>
        <v>1.0227272727272727E-2</v>
      </c>
      <c r="J27" s="191">
        <f t="shared" si="1"/>
        <v>1.0227272727272729E-2</v>
      </c>
    </row>
    <row r="28" spans="3:10">
      <c r="C28" s="149" t="s">
        <v>607</v>
      </c>
      <c r="D28" s="188">
        <v>0.1</v>
      </c>
      <c r="E28" s="188">
        <v>0.1</v>
      </c>
      <c r="F28" s="188">
        <v>0.12</v>
      </c>
      <c r="G28" s="188">
        <v>0.12</v>
      </c>
      <c r="H28" s="188">
        <v>0.12</v>
      </c>
      <c r="I28" s="188">
        <v>0.12</v>
      </c>
      <c r="J28" s="188">
        <v>0.12</v>
      </c>
    </row>
    <row r="29" spans="3:10">
      <c r="C29" s="149" t="s">
        <v>162</v>
      </c>
      <c r="D29" s="188">
        <v>0.04</v>
      </c>
      <c r="E29" s="188">
        <v>0.04</v>
      </c>
      <c r="F29" s="188">
        <v>0.06</v>
      </c>
      <c r="G29" s="188">
        <v>0.06</v>
      </c>
      <c r="H29" s="188">
        <v>0.06</v>
      </c>
      <c r="I29" s="188">
        <v>0.06</v>
      </c>
      <c r="J29" s="188">
        <v>0.06</v>
      </c>
    </row>
    <row r="30" spans="3:10">
      <c r="C30" s="149" t="s">
        <v>188</v>
      </c>
      <c r="D30" s="165">
        <v>10000</v>
      </c>
      <c r="E30" s="165">
        <f t="shared" ref="E30:J30" si="2">D30+D40</f>
        <v>10120</v>
      </c>
      <c r="F30" s="165">
        <f t="shared" si="2"/>
        <v>10247.285714285714</v>
      </c>
      <c r="G30" s="165">
        <f t="shared" si="2"/>
        <v>10380.098021978021</v>
      </c>
      <c r="H30" s="165">
        <f t="shared" si="2"/>
        <v>10516.064621978021</v>
      </c>
      <c r="I30" s="165">
        <f t="shared" si="2"/>
        <v>10652.101853978022</v>
      </c>
      <c r="J30" s="165">
        <f t="shared" si="2"/>
        <v>10784.284697738021</v>
      </c>
    </row>
    <row r="31" spans="3:10">
      <c r="C31" s="149" t="s">
        <v>186</v>
      </c>
      <c r="D31" s="191"/>
      <c r="E31" s="191">
        <v>0.15</v>
      </c>
      <c r="F31" s="191">
        <v>0.14000000000000001</v>
      </c>
      <c r="G31" s="191">
        <v>0.13</v>
      </c>
      <c r="H31" s="191">
        <v>0.12</v>
      </c>
      <c r="I31" s="191">
        <v>0.11</v>
      </c>
      <c r="J31" s="191">
        <v>0.1</v>
      </c>
    </row>
    <row r="32" spans="3:10">
      <c r="C32" s="149" t="s">
        <v>300</v>
      </c>
      <c r="D32" s="191">
        <f>E31*D39</f>
        <v>0.1</v>
      </c>
      <c r="E32" s="191">
        <v>0.1</v>
      </c>
      <c r="F32" s="191">
        <v>0.09</v>
      </c>
      <c r="G32" s="191">
        <v>0.08</v>
      </c>
      <c r="H32" s="191">
        <v>7.0000000000000007E-2</v>
      </c>
      <c r="I32" s="191">
        <v>0.06</v>
      </c>
      <c r="J32" s="191">
        <v>0.05</v>
      </c>
    </row>
    <row r="33" spans="1:10">
      <c r="C33" s="149" t="s">
        <v>259</v>
      </c>
      <c r="D33" s="191">
        <v>0.08</v>
      </c>
      <c r="E33" s="191">
        <v>0.08</v>
      </c>
      <c r="F33" s="191">
        <v>0.08</v>
      </c>
      <c r="G33" s="191">
        <v>0.08</v>
      </c>
      <c r="H33" s="191">
        <v>0.08</v>
      </c>
      <c r="I33" s="191">
        <v>0.08</v>
      </c>
      <c r="J33" s="191">
        <v>0.08</v>
      </c>
    </row>
    <row r="34" spans="1:10">
      <c r="C34" s="149" t="s">
        <v>182</v>
      </c>
      <c r="D34" s="191">
        <v>0.3</v>
      </c>
      <c r="E34" s="191">
        <v>0.4</v>
      </c>
      <c r="F34" s="191">
        <v>0.5</v>
      </c>
      <c r="G34" s="191">
        <v>0.5</v>
      </c>
      <c r="H34" s="191">
        <v>0.5</v>
      </c>
      <c r="I34" s="191">
        <v>0.5</v>
      </c>
      <c r="J34" s="191">
        <v>0.5</v>
      </c>
    </row>
    <row r="35" spans="1:10" ht="17" thickBot="1"/>
    <row r="36" spans="1:10">
      <c r="A36" s="149">
        <v>2</v>
      </c>
      <c r="B36" s="149" t="s">
        <v>608</v>
      </c>
      <c r="C36" s="343" t="s">
        <v>185</v>
      </c>
      <c r="D36" s="344">
        <f>D37/D30</f>
        <v>1.7999999999999999E-2</v>
      </c>
      <c r="E36" s="344">
        <f t="shared" ref="E36:J36" si="3">E37/E30</f>
        <v>1.9565217391304349E-2</v>
      </c>
      <c r="F36" s="344">
        <f t="shared" si="3"/>
        <v>2.1061186934519253E-2</v>
      </c>
      <c r="G36" s="344">
        <f t="shared" si="3"/>
        <v>2.2455048064717938E-2</v>
      </c>
      <c r="H36" s="344">
        <f t="shared" si="3"/>
        <v>2.3716247566486409E-2</v>
      </c>
      <c r="I36" s="344">
        <f t="shared" si="3"/>
        <v>2.4818171206396501E-2</v>
      </c>
      <c r="J36" s="344">
        <f t="shared" si="3"/>
        <v>2.5739673949281287E-2</v>
      </c>
    </row>
    <row r="37" spans="1:10">
      <c r="A37" s="149">
        <v>1</v>
      </c>
      <c r="B37" s="149" t="s">
        <v>609</v>
      </c>
      <c r="C37" s="389" t="s">
        <v>166</v>
      </c>
      <c r="D37" s="396">
        <f>D27*D26*(1-D28)</f>
        <v>180</v>
      </c>
      <c r="E37" s="396">
        <f t="shared" ref="E37:J37" si="4">D37*(1+E32)</f>
        <v>198.00000000000003</v>
      </c>
      <c r="F37" s="396">
        <f t="shared" si="4"/>
        <v>215.82000000000005</v>
      </c>
      <c r="G37" s="396">
        <f t="shared" si="4"/>
        <v>233.08560000000006</v>
      </c>
      <c r="H37" s="396">
        <f t="shared" si="4"/>
        <v>249.40159200000008</v>
      </c>
      <c r="I37" s="396">
        <f t="shared" si="4"/>
        <v>264.36568752000011</v>
      </c>
      <c r="J37" s="396">
        <f t="shared" si="4"/>
        <v>277.58397189600015</v>
      </c>
    </row>
    <row r="38" spans="1:10">
      <c r="A38" s="149">
        <v>5</v>
      </c>
      <c r="B38" s="149" t="s">
        <v>610</v>
      </c>
      <c r="C38" s="389" t="s">
        <v>65</v>
      </c>
      <c r="D38" s="396">
        <f>D37-D40</f>
        <v>59.999999999999986</v>
      </c>
      <c r="E38" s="396">
        <f t="shared" ref="E38:J38" si="5">E37-E40</f>
        <v>70.714285714285737</v>
      </c>
      <c r="F38" s="396">
        <f t="shared" si="5"/>
        <v>83.007692307692309</v>
      </c>
      <c r="G38" s="396">
        <f t="shared" si="5"/>
        <v>97.119000000000028</v>
      </c>
      <c r="H38" s="396">
        <f t="shared" si="5"/>
        <v>113.36436000000003</v>
      </c>
      <c r="I38" s="396">
        <f t="shared" si="5"/>
        <v>132.18284376000005</v>
      </c>
      <c r="J38" s="396">
        <f t="shared" si="5"/>
        <v>277.58397189600015</v>
      </c>
    </row>
    <row r="39" spans="1:10">
      <c r="A39" s="149">
        <v>3</v>
      </c>
      <c r="B39" s="149" t="s">
        <v>611</v>
      </c>
      <c r="C39" s="345" t="s">
        <v>209</v>
      </c>
      <c r="D39" s="395">
        <f>E32/E31</f>
        <v>0.66666666666666674</v>
      </c>
      <c r="E39" s="395">
        <f t="shared" ref="E39:I39" si="6">F32/F31</f>
        <v>0.64285714285714279</v>
      </c>
      <c r="F39" s="395">
        <f t="shared" si="6"/>
        <v>0.61538461538461542</v>
      </c>
      <c r="G39" s="395">
        <f t="shared" si="6"/>
        <v>0.58333333333333337</v>
      </c>
      <c r="H39" s="395">
        <f t="shared" si="6"/>
        <v>0.54545454545454541</v>
      </c>
      <c r="I39" s="395">
        <f t="shared" si="6"/>
        <v>0.5</v>
      </c>
      <c r="J39" s="397"/>
    </row>
    <row r="40" spans="1:10">
      <c r="A40" s="149">
        <v>4</v>
      </c>
      <c r="B40" s="149" t="s">
        <v>612</v>
      </c>
      <c r="C40" s="345" t="s">
        <v>194</v>
      </c>
      <c r="D40" s="398">
        <f>D37*D39</f>
        <v>120.00000000000001</v>
      </c>
      <c r="E40" s="398">
        <f t="shared" ref="E40:I40" si="7">E37*E39</f>
        <v>127.28571428571429</v>
      </c>
      <c r="F40" s="398">
        <f t="shared" si="7"/>
        <v>132.81230769230774</v>
      </c>
      <c r="G40" s="398">
        <f t="shared" si="7"/>
        <v>135.96660000000003</v>
      </c>
      <c r="H40" s="398">
        <f t="shared" si="7"/>
        <v>136.03723200000005</v>
      </c>
      <c r="I40" s="398">
        <f t="shared" si="7"/>
        <v>132.18284376000005</v>
      </c>
      <c r="J40" s="398"/>
    </row>
    <row r="41" spans="1:10" ht="17" thickBot="1">
      <c r="A41" s="149">
        <v>1</v>
      </c>
      <c r="B41" s="149" t="s">
        <v>613</v>
      </c>
      <c r="C41" s="348" t="s">
        <v>190</v>
      </c>
      <c r="D41" s="399">
        <f>D33-D34*D29*D28</f>
        <v>7.8799999999999995E-2</v>
      </c>
      <c r="E41" s="399">
        <f t="shared" ref="E41:J41" si="8">E33-E34*E29*E28</f>
        <v>7.8399999999999997E-2</v>
      </c>
      <c r="F41" s="399">
        <f t="shared" si="8"/>
        <v>7.6399999999999996E-2</v>
      </c>
      <c r="G41" s="399">
        <f t="shared" si="8"/>
        <v>7.6399999999999996E-2</v>
      </c>
      <c r="H41" s="399">
        <f t="shared" si="8"/>
        <v>7.6399999999999996E-2</v>
      </c>
      <c r="I41" s="399">
        <f t="shared" si="8"/>
        <v>7.6399999999999996E-2</v>
      </c>
      <c r="J41" s="399">
        <f t="shared" si="8"/>
        <v>7.6399999999999996E-2</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B7E1B-BD37-4F79-AE1B-34C54EADDB96}">
  <dimension ref="A1:M57"/>
  <sheetViews>
    <sheetView topLeftCell="A37" workbookViewId="0">
      <selection activeCell="F46" sqref="F46"/>
    </sheetView>
  </sheetViews>
  <sheetFormatPr baseColWidth="10" defaultColWidth="8.83203125" defaultRowHeight="15"/>
  <cols>
    <col min="2" max="2" width="22.6640625" bestFit="1" customWidth="1"/>
    <col min="3" max="3" width="42.5" bestFit="1" customWidth="1"/>
    <col min="4" max="10" width="13" customWidth="1"/>
  </cols>
  <sheetData>
    <row r="1" spans="2:3" ht="16" thickBot="1"/>
    <row r="2" spans="2:3" ht="18">
      <c r="B2" s="248" t="str">
        <f>+[1]Admin!C12</f>
        <v>Date</v>
      </c>
      <c r="C2" s="249">
        <f>+[1]Admin!D12</f>
        <v>44201</v>
      </c>
    </row>
    <row r="3" spans="2:3" ht="18">
      <c r="B3" s="250" t="str">
        <f>+[1]Admin!C13</f>
        <v>Student name</v>
      </c>
      <c r="C3" s="141" t="str">
        <f>+[1]Admin!D13</f>
        <v>Balsam Khalaf</v>
      </c>
    </row>
    <row r="4" spans="2:3" ht="18">
      <c r="B4" s="250" t="str">
        <f>+[1]Admin!C14</f>
        <v>Neptun code</v>
      </c>
      <c r="C4" s="141" t="str">
        <f>+[1]Admin!D14</f>
        <v>HA86QX</v>
      </c>
    </row>
    <row r="5" spans="2:3" ht="18">
      <c r="B5" s="250"/>
      <c r="C5" s="142"/>
    </row>
    <row r="6" spans="2:3" ht="18">
      <c r="B6" s="250" t="str">
        <f>+[1]Admin!C16</f>
        <v>Study program</v>
      </c>
      <c r="C6" s="142" t="str">
        <f>+[1]Admin!D16</f>
        <v>Master in Finance</v>
      </c>
    </row>
    <row r="7" spans="2:3" ht="19" thickBot="1">
      <c r="B7" s="251" t="str">
        <f>+[1]Admin!C17</f>
        <v>Instructor</v>
      </c>
      <c r="C7" s="143" t="str">
        <f>+[1]Admin!D17</f>
        <v>Péter Juhász, PhD, CFA</v>
      </c>
    </row>
    <row r="8" spans="2:3" ht="16" thickBot="1"/>
    <row r="9" spans="2:3" ht="21" thickBot="1">
      <c r="B9" s="1" t="s">
        <v>114</v>
      </c>
      <c r="C9" s="2"/>
    </row>
    <row r="25" spans="3:12" s="353" customFormat="1" ht="34">
      <c r="D25" s="217">
        <v>2020</v>
      </c>
      <c r="E25" s="217">
        <v>2021</v>
      </c>
      <c r="F25" s="217">
        <v>2022</v>
      </c>
      <c r="G25" s="217">
        <v>2023</v>
      </c>
      <c r="H25" s="217">
        <v>2024</v>
      </c>
      <c r="I25" s="217">
        <v>2025</v>
      </c>
      <c r="J25" s="225" t="s">
        <v>511</v>
      </c>
    </row>
    <row r="26" spans="3:12" ht="16">
      <c r="C26" t="s">
        <v>512</v>
      </c>
      <c r="D26" s="36">
        <v>5000</v>
      </c>
      <c r="E26" s="36">
        <v>6000</v>
      </c>
      <c r="F26" s="36">
        <v>7000</v>
      </c>
      <c r="G26" s="36">
        <v>8000</v>
      </c>
      <c r="H26" s="36">
        <v>9000</v>
      </c>
      <c r="I26" s="36">
        <v>10000</v>
      </c>
      <c r="J26" s="36">
        <v>11000</v>
      </c>
      <c r="K26" s="36">
        <v>11000</v>
      </c>
      <c r="L26" s="36">
        <v>11000</v>
      </c>
    </row>
    <row r="27" spans="3:12" ht="16">
      <c r="C27" t="s">
        <v>513</v>
      </c>
      <c r="D27" s="36">
        <v>5500</v>
      </c>
      <c r="E27" s="36">
        <v>6500</v>
      </c>
      <c r="F27" s="36">
        <v>7500</v>
      </c>
      <c r="G27" s="36">
        <v>8500</v>
      </c>
      <c r="H27" s="36">
        <v>9500</v>
      </c>
      <c r="I27" s="36">
        <v>10500</v>
      </c>
      <c r="J27" s="36">
        <v>11500</v>
      </c>
      <c r="K27" s="36">
        <v>11500</v>
      </c>
      <c r="L27" s="36">
        <v>11500</v>
      </c>
    </row>
    <row r="28" spans="3:12">
      <c r="C28" t="s">
        <v>514</v>
      </c>
      <c r="D28" s="17">
        <v>1</v>
      </c>
      <c r="E28" s="17">
        <v>1.05</v>
      </c>
      <c r="F28" s="17">
        <v>1.1000000000000001</v>
      </c>
      <c r="G28" s="17">
        <v>1.1499999999999999</v>
      </c>
      <c r="H28" s="17">
        <v>1.1499999999999999</v>
      </c>
      <c r="I28" s="17">
        <v>1.1499999999999999</v>
      </c>
      <c r="J28" s="17">
        <v>1.1499999999999999</v>
      </c>
      <c r="K28" s="17">
        <v>1.1499999999999999</v>
      </c>
      <c r="L28" s="17">
        <v>1.1499999999999999</v>
      </c>
    </row>
    <row r="29" spans="3:12">
      <c r="C29" t="s">
        <v>482</v>
      </c>
      <c r="D29" s="12">
        <v>0.1</v>
      </c>
      <c r="E29" s="12">
        <v>0.1</v>
      </c>
      <c r="F29" s="12">
        <v>0.1</v>
      </c>
      <c r="G29" s="12">
        <v>0.1</v>
      </c>
      <c r="H29" s="12">
        <v>0.1</v>
      </c>
      <c r="I29" s="12">
        <v>0.1</v>
      </c>
      <c r="J29" s="12">
        <v>0.1</v>
      </c>
      <c r="K29" s="12">
        <v>0.1</v>
      </c>
      <c r="L29" s="12">
        <v>0.1</v>
      </c>
    </row>
    <row r="30" spans="3:12">
      <c r="C30" t="s">
        <v>515</v>
      </c>
      <c r="D30" s="35">
        <v>0.1</v>
      </c>
      <c r="E30" s="35">
        <v>0.1</v>
      </c>
      <c r="F30" s="35">
        <v>0.1</v>
      </c>
      <c r="G30" s="35">
        <v>0.1</v>
      </c>
      <c r="H30" s="35">
        <v>0.15</v>
      </c>
      <c r="I30" s="35">
        <v>0.15</v>
      </c>
      <c r="J30" s="35">
        <v>0.15</v>
      </c>
      <c r="K30" s="35">
        <v>0.15</v>
      </c>
      <c r="L30" s="35">
        <v>0.15</v>
      </c>
    </row>
    <row r="31" spans="3:12">
      <c r="C31" t="s">
        <v>162</v>
      </c>
      <c r="D31" s="35">
        <v>0.04</v>
      </c>
      <c r="E31" s="35">
        <v>0.04</v>
      </c>
      <c r="F31" s="35">
        <v>0.06</v>
      </c>
      <c r="G31" s="35">
        <v>0.06</v>
      </c>
      <c r="H31" s="35">
        <v>0.06</v>
      </c>
      <c r="I31" s="35">
        <v>0.06</v>
      </c>
      <c r="J31" s="35">
        <v>0.06</v>
      </c>
      <c r="K31" s="35">
        <v>0.06</v>
      </c>
      <c r="L31" s="35">
        <v>0.06</v>
      </c>
    </row>
    <row r="32" spans="3:12">
      <c r="C32" t="s">
        <v>259</v>
      </c>
      <c r="D32" s="12">
        <v>0.08</v>
      </c>
      <c r="E32" s="12">
        <v>0.08</v>
      </c>
      <c r="F32" s="12">
        <v>0.08</v>
      </c>
      <c r="G32" s="12">
        <v>0.08</v>
      </c>
      <c r="H32" s="12">
        <v>0.08</v>
      </c>
      <c r="I32" s="12">
        <v>0.08</v>
      </c>
      <c r="J32" s="12">
        <v>0.08</v>
      </c>
      <c r="K32" s="12">
        <v>0.08</v>
      </c>
      <c r="L32" s="12">
        <v>0.08</v>
      </c>
    </row>
    <row r="33" spans="1:13" ht="16">
      <c r="C33" s="354" t="s">
        <v>183</v>
      </c>
      <c r="D33" s="12">
        <v>0.3</v>
      </c>
      <c r="E33" s="12">
        <v>0.4</v>
      </c>
      <c r="F33" s="12">
        <v>0.5</v>
      </c>
      <c r="G33" s="12">
        <v>0.5</v>
      </c>
      <c r="H33" s="12">
        <v>0.5</v>
      </c>
      <c r="I33" s="12">
        <v>0.5</v>
      </c>
      <c r="J33" s="12">
        <v>0.5</v>
      </c>
      <c r="K33" s="12">
        <v>0.5</v>
      </c>
      <c r="L33" s="12">
        <v>0.5</v>
      </c>
    </row>
    <row r="34" spans="1:13" ht="16" thickBot="1"/>
    <row r="35" spans="1:13" ht="16">
      <c r="C35" s="355" t="s">
        <v>516</v>
      </c>
      <c r="D35" s="356">
        <f t="shared" ref="D35:J35" si="0">D37/D42</f>
        <v>6.93E-2</v>
      </c>
      <c r="E35" s="356">
        <f t="shared" si="0"/>
        <v>6.1425E-2</v>
      </c>
      <c r="F35" s="356">
        <f t="shared" si="0"/>
        <v>5.3035714285714283E-2</v>
      </c>
      <c r="G35" s="356">
        <f t="shared" si="0"/>
        <v>5.4984375000000002E-2</v>
      </c>
      <c r="H35" s="356">
        <f t="shared" si="0"/>
        <v>5.1590277777777777E-2</v>
      </c>
      <c r="I35" s="356">
        <f t="shared" si="0"/>
        <v>5.1318749999999989E-2</v>
      </c>
      <c r="J35" s="357">
        <f t="shared" si="0"/>
        <v>5.1096590909090911E-2</v>
      </c>
    </row>
    <row r="36" spans="1:13" ht="16">
      <c r="C36" s="358" t="s">
        <v>517</v>
      </c>
      <c r="D36" s="359"/>
      <c r="E36" s="360">
        <f>(E37-D37)/D40</f>
        <v>4.1737500000000004E-2</v>
      </c>
      <c r="F36" s="360">
        <f t="shared" ref="F36:J36" si="1">(F37-E37)/E40</f>
        <v>3.2062500000000001E-2</v>
      </c>
      <c r="G36" s="360">
        <f t="shared" si="1"/>
        <v>6.8625000000000005E-2</v>
      </c>
      <c r="H36" s="360">
        <f t="shared" si="1"/>
        <v>2.4437500000000001E-2</v>
      </c>
      <c r="I36" s="360">
        <f t="shared" si="1"/>
        <v>4.8874999999999884E-2</v>
      </c>
      <c r="J36" s="361">
        <f t="shared" si="1"/>
        <v>4.8875000000000113E-2</v>
      </c>
    </row>
    <row r="37" spans="1:13" ht="16">
      <c r="B37" t="s">
        <v>518</v>
      </c>
      <c r="C37" s="362" t="s">
        <v>166</v>
      </c>
      <c r="D37" s="363">
        <f t="shared" ref="D37:J37" si="2">D47*(1-D57)</f>
        <v>495</v>
      </c>
      <c r="E37" s="363">
        <f t="shared" si="2"/>
        <v>614.25</v>
      </c>
      <c r="F37" s="363">
        <f t="shared" si="2"/>
        <v>742.5</v>
      </c>
      <c r="G37" s="363">
        <f t="shared" si="2"/>
        <v>879.75</v>
      </c>
      <c r="H37" s="363">
        <f t="shared" si="2"/>
        <v>928.625</v>
      </c>
      <c r="I37" s="363">
        <f t="shared" si="2"/>
        <v>1026.3749999999998</v>
      </c>
      <c r="J37" s="364">
        <f t="shared" si="2"/>
        <v>1124.125</v>
      </c>
    </row>
    <row r="38" spans="1:13" ht="16">
      <c r="C38" s="365" t="s">
        <v>65</v>
      </c>
      <c r="D38" s="363">
        <f>D37-D40</f>
        <v>-2362.1428571428569</v>
      </c>
      <c r="E38" s="363">
        <f t="shared" ref="E38:J38" si="3">E37-E40</f>
        <v>-3385.75</v>
      </c>
      <c r="F38" s="363">
        <f t="shared" si="3"/>
        <v>-1257.5</v>
      </c>
      <c r="G38" s="363">
        <f t="shared" si="3"/>
        <v>-1120.25</v>
      </c>
      <c r="H38" s="363">
        <f t="shared" si="3"/>
        <v>-1071.375</v>
      </c>
      <c r="I38" s="363">
        <f t="shared" si="3"/>
        <v>-973.62500000000023</v>
      </c>
      <c r="J38" s="364">
        <f t="shared" si="3"/>
        <v>1124.125</v>
      </c>
    </row>
    <row r="39" spans="1:13" ht="16">
      <c r="C39" s="358" t="s">
        <v>519</v>
      </c>
      <c r="D39" s="366">
        <f>D40/D37</f>
        <v>5.7720057720057714</v>
      </c>
      <c r="E39" s="366">
        <f t="shared" ref="E39:J39" si="4">E40/E37</f>
        <v>6.5120065120065123</v>
      </c>
      <c r="F39" s="366">
        <f t="shared" si="4"/>
        <v>2.6936026936026938</v>
      </c>
      <c r="G39" s="366">
        <f t="shared" si="4"/>
        <v>2.2733731173628873</v>
      </c>
      <c r="H39" s="366">
        <f t="shared" si="4"/>
        <v>2.1537219006595771</v>
      </c>
      <c r="I39" s="366">
        <f t="shared" si="4"/>
        <v>1.9486055291681894</v>
      </c>
      <c r="J39" s="367">
        <f t="shared" si="4"/>
        <v>0</v>
      </c>
    </row>
    <row r="40" spans="1:13" ht="17" thickBot="1">
      <c r="C40" s="368" t="s">
        <v>194</v>
      </c>
      <c r="D40" s="369">
        <f t="shared" ref="D40:J40" si="5">E42-D42</f>
        <v>2857.1428571428569</v>
      </c>
      <c r="E40" s="369">
        <f t="shared" si="5"/>
        <v>4000</v>
      </c>
      <c r="F40" s="369">
        <f t="shared" si="5"/>
        <v>2000</v>
      </c>
      <c r="G40" s="369">
        <f t="shared" si="5"/>
        <v>2000</v>
      </c>
      <c r="H40" s="369">
        <f t="shared" si="5"/>
        <v>2000</v>
      </c>
      <c r="I40" s="369">
        <f t="shared" si="5"/>
        <v>2000</v>
      </c>
      <c r="J40" s="370">
        <f t="shared" si="5"/>
        <v>0</v>
      </c>
    </row>
    <row r="41" spans="1:13">
      <c r="B41" t="s">
        <v>217</v>
      </c>
    </row>
    <row r="42" spans="1:13" ht="16">
      <c r="A42">
        <v>2</v>
      </c>
      <c r="B42" t="s">
        <v>520</v>
      </c>
      <c r="C42" s="371" t="s">
        <v>188</v>
      </c>
      <c r="D42" s="372">
        <f>D44/(1-D33)</f>
        <v>7142.8571428571431</v>
      </c>
      <c r="E42" s="372">
        <f t="shared" ref="E42:L42" si="6">E44/(1-E33)</f>
        <v>10000</v>
      </c>
      <c r="F42" s="372">
        <f t="shared" si="6"/>
        <v>14000</v>
      </c>
      <c r="G42" s="372">
        <f t="shared" si="6"/>
        <v>16000</v>
      </c>
      <c r="H42" s="372">
        <f t="shared" si="6"/>
        <v>18000</v>
      </c>
      <c r="I42" s="372">
        <f t="shared" si="6"/>
        <v>20000</v>
      </c>
      <c r="J42" s="372">
        <f t="shared" si="6"/>
        <v>22000</v>
      </c>
      <c r="K42" s="372">
        <f t="shared" si="6"/>
        <v>22000</v>
      </c>
      <c r="L42" s="372">
        <f t="shared" si="6"/>
        <v>22000</v>
      </c>
      <c r="M42" s="17"/>
    </row>
    <row r="43" spans="1:13" ht="16">
      <c r="A43">
        <v>3</v>
      </c>
      <c r="B43" t="s">
        <v>521</v>
      </c>
      <c r="C43" s="373" t="s">
        <v>522</v>
      </c>
      <c r="D43" s="372">
        <f>D42*D33</f>
        <v>2142.8571428571427</v>
      </c>
      <c r="E43" s="372">
        <f t="shared" ref="E43:L43" si="7">E42*E33</f>
        <v>4000</v>
      </c>
      <c r="F43" s="372">
        <f t="shared" si="7"/>
        <v>7000</v>
      </c>
      <c r="G43" s="372">
        <f t="shared" si="7"/>
        <v>8000</v>
      </c>
      <c r="H43" s="372">
        <f t="shared" si="7"/>
        <v>9000</v>
      </c>
      <c r="I43" s="372">
        <f t="shared" si="7"/>
        <v>10000</v>
      </c>
      <c r="J43" s="372">
        <f t="shared" si="7"/>
        <v>11000</v>
      </c>
      <c r="K43" s="372">
        <f t="shared" si="7"/>
        <v>11000</v>
      </c>
      <c r="L43" s="372">
        <f t="shared" si="7"/>
        <v>11000</v>
      </c>
    </row>
    <row r="44" spans="1:13" ht="16">
      <c r="A44">
        <v>1</v>
      </c>
      <c r="B44" t="s">
        <v>128</v>
      </c>
      <c r="C44" s="374" t="s">
        <v>200</v>
      </c>
      <c r="D44" s="372">
        <f>D26</f>
        <v>5000</v>
      </c>
      <c r="E44" s="372">
        <f t="shared" ref="E44:L44" si="8">E26</f>
        <v>6000</v>
      </c>
      <c r="F44" s="372">
        <f t="shared" si="8"/>
        <v>7000</v>
      </c>
      <c r="G44" s="372">
        <f t="shared" si="8"/>
        <v>8000</v>
      </c>
      <c r="H44" s="372">
        <f t="shared" si="8"/>
        <v>9000</v>
      </c>
      <c r="I44" s="372">
        <f t="shared" si="8"/>
        <v>10000</v>
      </c>
      <c r="J44" s="372">
        <f t="shared" si="8"/>
        <v>11000</v>
      </c>
      <c r="K44" s="372">
        <f t="shared" si="8"/>
        <v>11000</v>
      </c>
      <c r="L44" s="372">
        <f t="shared" si="8"/>
        <v>11000</v>
      </c>
      <c r="M44" s="17"/>
    </row>
    <row r="45" spans="1:13">
      <c r="B45" t="s">
        <v>276</v>
      </c>
    </row>
    <row r="46" spans="1:13" ht="16">
      <c r="A46">
        <v>4</v>
      </c>
      <c r="B46" t="s">
        <v>523</v>
      </c>
      <c r="C46" s="75" t="s">
        <v>20</v>
      </c>
      <c r="D46" s="279">
        <f>D27*D28</f>
        <v>5500</v>
      </c>
      <c r="E46" s="279">
        <f t="shared" ref="E46:L46" si="9">E27*E28</f>
        <v>6825</v>
      </c>
      <c r="F46" s="279">
        <f t="shared" si="9"/>
        <v>8250</v>
      </c>
      <c r="G46" s="279">
        <f t="shared" si="9"/>
        <v>9775</v>
      </c>
      <c r="H46" s="279">
        <f t="shared" si="9"/>
        <v>10925</v>
      </c>
      <c r="I46" s="279">
        <f t="shared" si="9"/>
        <v>12074.999999999998</v>
      </c>
      <c r="J46" s="279">
        <f t="shared" si="9"/>
        <v>13224.999999999998</v>
      </c>
      <c r="K46" s="279">
        <f t="shared" si="9"/>
        <v>13224.999999999998</v>
      </c>
      <c r="L46" s="279">
        <f t="shared" si="9"/>
        <v>13224.999999999998</v>
      </c>
      <c r="M46" s="279"/>
    </row>
    <row r="47" spans="1:13" ht="16">
      <c r="A47">
        <v>5</v>
      </c>
      <c r="B47" t="s">
        <v>524</v>
      </c>
      <c r="C47" s="375" t="s">
        <v>25</v>
      </c>
      <c r="D47" s="279">
        <f>D46*D29</f>
        <v>550</v>
      </c>
      <c r="E47" s="279">
        <f t="shared" ref="E47:L47" si="10">E46*E29</f>
        <v>682.5</v>
      </c>
      <c r="F47" s="279">
        <f t="shared" si="10"/>
        <v>825</v>
      </c>
      <c r="G47" s="279">
        <f t="shared" si="10"/>
        <v>977.5</v>
      </c>
      <c r="H47" s="279">
        <f t="shared" si="10"/>
        <v>1092.5</v>
      </c>
      <c r="I47" s="279">
        <f t="shared" si="10"/>
        <v>1207.4999999999998</v>
      </c>
      <c r="J47" s="279">
        <f t="shared" si="10"/>
        <v>1322.5</v>
      </c>
      <c r="K47" s="279">
        <f t="shared" si="10"/>
        <v>1322.5</v>
      </c>
      <c r="L47" s="279">
        <f t="shared" si="10"/>
        <v>1322.5</v>
      </c>
      <c r="M47" s="279"/>
    </row>
    <row r="48" spans="1:13" ht="15" customHeight="1">
      <c r="A48">
        <v>6</v>
      </c>
      <c r="B48" t="s">
        <v>525</v>
      </c>
      <c r="C48" t="s">
        <v>279</v>
      </c>
      <c r="D48" s="279">
        <f>D43*D31</f>
        <v>85.714285714285708</v>
      </c>
      <c r="E48" s="279">
        <f t="shared" ref="E48:L48" si="11">E43*E31</f>
        <v>160</v>
      </c>
      <c r="F48" s="279">
        <f t="shared" si="11"/>
        <v>420</v>
      </c>
      <c r="G48" s="279">
        <f t="shared" si="11"/>
        <v>480</v>
      </c>
      <c r="H48" s="279">
        <f t="shared" si="11"/>
        <v>540</v>
      </c>
      <c r="I48" s="279">
        <f t="shared" si="11"/>
        <v>600</v>
      </c>
      <c r="J48" s="279">
        <f t="shared" si="11"/>
        <v>660</v>
      </c>
      <c r="K48" s="279">
        <f t="shared" si="11"/>
        <v>660</v>
      </c>
      <c r="L48" s="279">
        <f t="shared" si="11"/>
        <v>660</v>
      </c>
      <c r="M48" s="279"/>
    </row>
    <row r="49" spans="1:13" ht="15" customHeight="1">
      <c r="A49">
        <v>7</v>
      </c>
      <c r="C49" t="s">
        <v>31</v>
      </c>
      <c r="D49" s="279">
        <f>D47-D48</f>
        <v>464.28571428571428</v>
      </c>
      <c r="E49" s="279">
        <f t="shared" ref="E49:L49" si="12">E47-E48</f>
        <v>522.5</v>
      </c>
      <c r="F49" s="279">
        <f t="shared" si="12"/>
        <v>405</v>
      </c>
      <c r="G49" s="279">
        <f t="shared" si="12"/>
        <v>497.5</v>
      </c>
      <c r="H49" s="279">
        <f t="shared" si="12"/>
        <v>552.5</v>
      </c>
      <c r="I49" s="279">
        <f t="shared" si="12"/>
        <v>607.49999999999977</v>
      </c>
      <c r="J49" s="279">
        <f t="shared" si="12"/>
        <v>662.5</v>
      </c>
      <c r="K49" s="279">
        <f t="shared" si="12"/>
        <v>662.5</v>
      </c>
      <c r="L49" s="279">
        <f t="shared" si="12"/>
        <v>662.5</v>
      </c>
      <c r="M49" s="279"/>
    </row>
    <row r="50" spans="1:13" ht="15" customHeight="1">
      <c r="A50">
        <v>8</v>
      </c>
      <c r="B50" s="376" t="s">
        <v>526</v>
      </c>
      <c r="C50" t="s">
        <v>32</v>
      </c>
      <c r="D50" s="221">
        <f t="shared" ref="D50:L50" si="13">+IF(D49&lt;0,0,D49*D30)</f>
        <v>46.428571428571431</v>
      </c>
      <c r="E50" s="221">
        <f t="shared" si="13"/>
        <v>52.25</v>
      </c>
      <c r="F50" s="221">
        <f t="shared" si="13"/>
        <v>40.5</v>
      </c>
      <c r="G50" s="221">
        <f t="shared" si="13"/>
        <v>49.75</v>
      </c>
      <c r="H50" s="221">
        <f t="shared" si="13"/>
        <v>82.875</v>
      </c>
      <c r="I50" s="221">
        <f t="shared" si="13"/>
        <v>91.124999999999957</v>
      </c>
      <c r="J50" s="221">
        <f t="shared" si="13"/>
        <v>99.375</v>
      </c>
      <c r="K50" s="221">
        <f t="shared" si="13"/>
        <v>99.375</v>
      </c>
      <c r="L50" s="221">
        <f t="shared" si="13"/>
        <v>99.375</v>
      </c>
      <c r="M50" s="221"/>
    </row>
    <row r="51" spans="1:13" ht="15" customHeight="1">
      <c r="A51">
        <v>9</v>
      </c>
      <c r="C51" t="s">
        <v>33</v>
      </c>
      <c r="D51" s="218">
        <f>D49-D50</f>
        <v>417.85714285714283</v>
      </c>
      <c r="E51" s="218">
        <f t="shared" ref="E51:L51" si="14">E49-E50</f>
        <v>470.25</v>
      </c>
      <c r="F51" s="218">
        <f t="shared" si="14"/>
        <v>364.5</v>
      </c>
      <c r="G51" s="218">
        <f t="shared" si="14"/>
        <v>447.75</v>
      </c>
      <c r="H51" s="218">
        <f t="shared" si="14"/>
        <v>469.625</v>
      </c>
      <c r="I51" s="218">
        <f t="shared" si="14"/>
        <v>516.37499999999977</v>
      </c>
      <c r="J51" s="218">
        <f t="shared" si="14"/>
        <v>563.125</v>
      </c>
      <c r="K51" s="218">
        <f t="shared" si="14"/>
        <v>563.125</v>
      </c>
      <c r="L51" s="218">
        <f t="shared" si="14"/>
        <v>563.125</v>
      </c>
    </row>
    <row r="52" spans="1:13" ht="15" customHeight="1">
      <c r="A52">
        <v>10</v>
      </c>
      <c r="C52" t="s">
        <v>34</v>
      </c>
      <c r="D52" s="221">
        <f>+D51-D53</f>
        <v>0</v>
      </c>
      <c r="E52" s="221">
        <f t="shared" ref="E52:L52" si="15">+E51-E53</f>
        <v>0</v>
      </c>
      <c r="F52" s="221">
        <f t="shared" si="15"/>
        <v>0</v>
      </c>
      <c r="G52" s="221">
        <f t="shared" si="15"/>
        <v>0</v>
      </c>
      <c r="H52" s="221">
        <f t="shared" si="15"/>
        <v>0</v>
      </c>
      <c r="I52" s="221">
        <f t="shared" si="15"/>
        <v>0</v>
      </c>
      <c r="J52" s="221">
        <f t="shared" si="15"/>
        <v>563.125</v>
      </c>
      <c r="K52" s="221">
        <f t="shared" si="15"/>
        <v>563.125</v>
      </c>
      <c r="L52" s="221">
        <f t="shared" si="15"/>
        <v>563.125</v>
      </c>
    </row>
    <row r="53" spans="1:13" ht="15" customHeight="1">
      <c r="A53">
        <v>10</v>
      </c>
      <c r="C53" t="s">
        <v>35</v>
      </c>
      <c r="D53" s="221">
        <f>+IF(D51&lt;0,D51,MAX(0,MIN(D51,D55)))</f>
        <v>417.85714285714283</v>
      </c>
      <c r="E53" s="221">
        <f t="shared" ref="E53:K53" si="16">+IF(E51&lt;0,E51,MAX(0,MIN(E51,E55)))</f>
        <v>470.25</v>
      </c>
      <c r="F53" s="221">
        <f t="shared" si="16"/>
        <v>364.5</v>
      </c>
      <c r="G53" s="221">
        <f t="shared" si="16"/>
        <v>447.75</v>
      </c>
      <c r="H53" s="221">
        <f t="shared" si="16"/>
        <v>469.625</v>
      </c>
      <c r="I53" s="221">
        <f t="shared" si="16"/>
        <v>516.37499999999977</v>
      </c>
      <c r="J53" s="221">
        <f t="shared" si="16"/>
        <v>0</v>
      </c>
      <c r="K53" s="221">
        <f t="shared" si="16"/>
        <v>0</v>
      </c>
    </row>
    <row r="54" spans="1:13">
      <c r="A54">
        <v>10</v>
      </c>
      <c r="B54" t="s">
        <v>527</v>
      </c>
      <c r="D54" s="221"/>
    </row>
    <row r="55" spans="1:13" ht="15" customHeight="1">
      <c r="A55">
        <v>10</v>
      </c>
      <c r="C55" t="s">
        <v>249</v>
      </c>
      <c r="D55" s="221">
        <f>+E44-D44</f>
        <v>1000</v>
      </c>
      <c r="E55" s="221">
        <f t="shared" ref="E55:I55" si="17">+F44-E44</f>
        <v>1000</v>
      </c>
      <c r="F55" s="221">
        <f t="shared" si="17"/>
        <v>1000</v>
      </c>
      <c r="G55" s="221">
        <f t="shared" si="17"/>
        <v>1000</v>
      </c>
      <c r="H55" s="221">
        <f t="shared" si="17"/>
        <v>1000</v>
      </c>
      <c r="I55" s="221">
        <f t="shared" si="17"/>
        <v>1000</v>
      </c>
      <c r="J55" s="221">
        <f>+K44-J44</f>
        <v>0</v>
      </c>
      <c r="K55" s="221">
        <f t="shared" ref="K55" si="18">+L44-K44</f>
        <v>0</v>
      </c>
    </row>
    <row r="56" spans="1:13" ht="15" customHeight="1">
      <c r="A56">
        <v>10</v>
      </c>
      <c r="C56" t="s">
        <v>250</v>
      </c>
      <c r="D56" s="221">
        <f>+D55-D53</f>
        <v>582.14285714285711</v>
      </c>
      <c r="E56" s="221">
        <f t="shared" ref="E56:K56" si="19">+E55-E53</f>
        <v>529.75</v>
      </c>
      <c r="F56" s="221">
        <f t="shared" si="19"/>
        <v>635.5</v>
      </c>
      <c r="G56" s="221">
        <f t="shared" si="19"/>
        <v>552.25</v>
      </c>
      <c r="H56" s="221">
        <f t="shared" si="19"/>
        <v>530.375</v>
      </c>
      <c r="I56" s="221">
        <f t="shared" si="19"/>
        <v>483.62500000000023</v>
      </c>
      <c r="J56" s="221">
        <f t="shared" si="19"/>
        <v>0</v>
      </c>
      <c r="K56" s="221">
        <f t="shared" si="19"/>
        <v>0</v>
      </c>
    </row>
    <row r="57" spans="1:13" ht="16">
      <c r="A57">
        <v>10</v>
      </c>
      <c r="C57" s="223" t="s">
        <v>252</v>
      </c>
      <c r="D57" s="224">
        <f>+D50/D49</f>
        <v>0.1</v>
      </c>
      <c r="E57" s="224">
        <f t="shared" ref="E57:K57" si="20">+E50/E49</f>
        <v>0.1</v>
      </c>
      <c r="F57" s="224">
        <f t="shared" si="20"/>
        <v>0.1</v>
      </c>
      <c r="G57" s="224">
        <f t="shared" si="20"/>
        <v>0.1</v>
      </c>
      <c r="H57" s="224">
        <f t="shared" si="20"/>
        <v>0.15</v>
      </c>
      <c r="I57" s="224">
        <f t="shared" si="20"/>
        <v>0.15</v>
      </c>
      <c r="J57" s="224">
        <f t="shared" si="20"/>
        <v>0.15</v>
      </c>
      <c r="K57" s="224">
        <f t="shared" si="20"/>
        <v>0.15</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6956-99AD-414B-A596-77A44D6F0CE5}">
  <dimension ref="A3:S78"/>
  <sheetViews>
    <sheetView workbookViewId="0">
      <selection activeCell="B10" sqref="B10"/>
    </sheetView>
  </sheetViews>
  <sheetFormatPr baseColWidth="10" defaultColWidth="8.83203125" defaultRowHeight="15"/>
  <cols>
    <col min="1" max="1" width="13.1640625" bestFit="1" customWidth="1"/>
    <col min="2" max="2" width="23.1640625" bestFit="1" customWidth="1"/>
    <col min="3" max="3" width="10.1640625" bestFit="1" customWidth="1"/>
    <col min="4" max="4" width="12.5" bestFit="1" customWidth="1"/>
    <col min="5" max="5" width="11.5" bestFit="1" customWidth="1"/>
    <col min="6" max="6" width="15.83203125" bestFit="1" customWidth="1"/>
    <col min="9" max="9" width="13.1640625" bestFit="1" customWidth="1"/>
    <col min="10" max="10" width="24.33203125" bestFit="1" customWidth="1"/>
    <col min="11" max="11" width="9.83203125" bestFit="1" customWidth="1"/>
    <col min="12" max="12" width="11" bestFit="1" customWidth="1"/>
    <col min="13" max="13" width="11.5" bestFit="1" customWidth="1"/>
    <col min="14" max="14" width="9.83203125" bestFit="1" customWidth="1"/>
    <col min="15" max="15" width="9.83203125" customWidth="1"/>
    <col min="16" max="16" width="16.6640625" bestFit="1" customWidth="1"/>
    <col min="17" max="17" width="16.1640625" bestFit="1" customWidth="1"/>
    <col min="18" max="18" width="9.83203125" bestFit="1" customWidth="1"/>
    <col min="19" max="19" width="11.5" bestFit="1" customWidth="1"/>
    <col min="20" max="20" width="9" bestFit="1" customWidth="1"/>
  </cols>
  <sheetData>
    <row r="3" spans="2:13" ht="16">
      <c r="B3" s="473" t="s">
        <v>614</v>
      </c>
      <c r="J3" s="473" t="s">
        <v>615</v>
      </c>
    </row>
    <row r="4" spans="2:13" ht="16">
      <c r="B4" t="s">
        <v>616</v>
      </c>
      <c r="C4" s="50" t="s">
        <v>449</v>
      </c>
      <c r="D4" s="50" t="s">
        <v>617</v>
      </c>
      <c r="E4" s="50" t="s">
        <v>618</v>
      </c>
      <c r="F4" s="50" t="s">
        <v>305</v>
      </c>
      <c r="K4" s="309">
        <v>2022</v>
      </c>
      <c r="L4" s="309" t="str">
        <f>+K4+1&amp;"e"</f>
        <v>2023e</v>
      </c>
      <c r="M4" s="309" t="str">
        <f>+K4+2&amp;"f"</f>
        <v>2024f</v>
      </c>
    </row>
    <row r="5" spans="2:13">
      <c r="B5" t="s">
        <v>619</v>
      </c>
      <c r="C5" s="309">
        <f>+K4-4</f>
        <v>2018</v>
      </c>
      <c r="D5" s="309">
        <f>+K4-3</f>
        <v>2019</v>
      </c>
      <c r="E5" s="309">
        <f>+K4-1</f>
        <v>2021</v>
      </c>
      <c r="F5" s="309">
        <f>+K4-1</f>
        <v>2021</v>
      </c>
      <c r="J5" t="s">
        <v>20</v>
      </c>
      <c r="K5" s="17">
        <v>10000</v>
      </c>
      <c r="L5" s="17">
        <v>11000</v>
      </c>
      <c r="M5" s="17">
        <v>13000</v>
      </c>
    </row>
    <row r="6" spans="2:13">
      <c r="B6" t="s">
        <v>620</v>
      </c>
      <c r="C6" t="s">
        <v>621</v>
      </c>
      <c r="D6" t="s">
        <v>622</v>
      </c>
      <c r="E6" t="s">
        <v>623</v>
      </c>
      <c r="F6" t="s">
        <v>624</v>
      </c>
      <c r="J6" t="s">
        <v>625</v>
      </c>
      <c r="K6" s="17">
        <v>1600</v>
      </c>
      <c r="L6" s="17">
        <v>1900</v>
      </c>
      <c r="M6" s="17">
        <v>2400</v>
      </c>
    </row>
    <row r="7" spans="2:13">
      <c r="B7" t="s">
        <v>626</v>
      </c>
      <c r="C7" t="s">
        <v>627</v>
      </c>
      <c r="D7" t="s">
        <v>627</v>
      </c>
      <c r="E7" t="s">
        <v>628</v>
      </c>
      <c r="F7" t="s">
        <v>629</v>
      </c>
      <c r="J7" t="s">
        <v>31</v>
      </c>
      <c r="K7" s="17">
        <v>1300</v>
      </c>
      <c r="L7" s="17">
        <v>1400</v>
      </c>
      <c r="M7" s="17">
        <v>2100</v>
      </c>
    </row>
    <row r="8" spans="2:13" ht="19">
      <c r="B8" t="s">
        <v>630</v>
      </c>
      <c r="C8" s="372">
        <v>700</v>
      </c>
      <c r="D8" s="372">
        <v>3600</v>
      </c>
      <c r="E8" s="372">
        <v>8000</v>
      </c>
      <c r="F8" s="372">
        <v>0</v>
      </c>
      <c r="J8" t="s">
        <v>33</v>
      </c>
      <c r="K8" s="17">
        <v>1200</v>
      </c>
      <c r="L8" s="17">
        <v>1250</v>
      </c>
      <c r="M8" s="17">
        <v>1800</v>
      </c>
    </row>
    <row r="9" spans="2:13">
      <c r="B9" t="s">
        <v>20</v>
      </c>
      <c r="C9" s="372">
        <v>10000</v>
      </c>
      <c r="D9" s="372">
        <v>40000</v>
      </c>
      <c r="E9" s="372">
        <v>120000</v>
      </c>
      <c r="F9" s="372">
        <v>60000</v>
      </c>
      <c r="K9" s="17"/>
      <c r="L9" s="17"/>
      <c r="M9" s="17"/>
    </row>
    <row r="10" spans="2:13">
      <c r="B10" t="s">
        <v>625</v>
      </c>
      <c r="C10" s="372">
        <v>2000</v>
      </c>
      <c r="D10" s="372">
        <v>6000</v>
      </c>
      <c r="E10" s="372">
        <v>28000</v>
      </c>
      <c r="F10" s="372">
        <v>8000</v>
      </c>
      <c r="J10" t="s">
        <v>543</v>
      </c>
      <c r="K10" s="17">
        <v>5000</v>
      </c>
      <c r="L10" s="17">
        <v>5200</v>
      </c>
      <c r="M10" s="17">
        <v>5400</v>
      </c>
    </row>
    <row r="11" spans="2:13">
      <c r="B11" t="s">
        <v>454</v>
      </c>
      <c r="C11" s="372">
        <v>0</v>
      </c>
      <c r="D11" s="372">
        <v>10000</v>
      </c>
      <c r="E11" s="372">
        <v>50000</v>
      </c>
      <c r="F11" s="372">
        <v>20000</v>
      </c>
      <c r="J11" t="s">
        <v>40</v>
      </c>
      <c r="K11" s="17">
        <v>500</v>
      </c>
      <c r="L11" s="17">
        <v>700</v>
      </c>
      <c r="M11" s="17">
        <v>900</v>
      </c>
    </row>
    <row r="12" spans="2:13">
      <c r="B12" t="s">
        <v>631</v>
      </c>
      <c r="C12" s="258">
        <v>0.6</v>
      </c>
      <c r="D12" s="258">
        <v>0.8</v>
      </c>
      <c r="E12" s="258">
        <v>1</v>
      </c>
      <c r="F12" s="258">
        <v>0.4</v>
      </c>
      <c r="J12" t="s">
        <v>39</v>
      </c>
      <c r="K12" s="17">
        <v>2000</v>
      </c>
      <c r="L12" s="17">
        <v>2400</v>
      </c>
      <c r="M12" s="17">
        <v>2600</v>
      </c>
    </row>
    <row r="13" spans="2:13">
      <c r="B13" t="s">
        <v>312</v>
      </c>
      <c r="C13" s="372">
        <v>7000</v>
      </c>
      <c r="D13" s="372">
        <v>39000</v>
      </c>
      <c r="E13" s="372">
        <v>60000</v>
      </c>
      <c r="F13" s="372">
        <v>15000</v>
      </c>
      <c r="J13" t="s">
        <v>36</v>
      </c>
      <c r="K13" s="17">
        <f>+K15+K16+K17-K10-K11-K12</f>
        <v>200</v>
      </c>
      <c r="L13" s="17">
        <f t="shared" ref="L13:M13" si="0">+L15+L16+L17-L10-L11-L12</f>
        <v>400</v>
      </c>
      <c r="M13" s="17">
        <f t="shared" si="0"/>
        <v>500</v>
      </c>
    </row>
    <row r="14" spans="2:13">
      <c r="C14" s="17"/>
      <c r="K14" s="17"/>
      <c r="L14" s="17"/>
      <c r="M14" s="17"/>
    </row>
    <row r="15" spans="2:13">
      <c r="J15" t="s">
        <v>45</v>
      </c>
      <c r="K15" s="17">
        <v>2000</v>
      </c>
      <c r="L15" s="17">
        <v>2700</v>
      </c>
      <c r="M15" s="17">
        <v>3400</v>
      </c>
    </row>
    <row r="16" spans="2:13">
      <c r="J16" t="s">
        <v>454</v>
      </c>
      <c r="K16" s="17">
        <v>2700</v>
      </c>
      <c r="L16" s="17">
        <v>2800</v>
      </c>
      <c r="M16" s="17">
        <v>3000</v>
      </c>
    </row>
    <row r="17" spans="1:13">
      <c r="J17" t="s">
        <v>48</v>
      </c>
      <c r="K17" s="17">
        <v>3000</v>
      </c>
      <c r="L17" s="17">
        <v>3200</v>
      </c>
      <c r="M17" s="17">
        <v>3000</v>
      </c>
    </row>
    <row r="19" spans="1:13">
      <c r="J19" t="s">
        <v>632</v>
      </c>
    </row>
    <row r="20" spans="1:13">
      <c r="J20" t="str">
        <f>+L4</f>
        <v>2023e</v>
      </c>
      <c r="K20" t="s">
        <v>633</v>
      </c>
      <c r="L20" t="s">
        <v>634</v>
      </c>
    </row>
    <row r="21" spans="1:13">
      <c r="J21" t="s">
        <v>20</v>
      </c>
      <c r="K21" s="64">
        <v>0.5</v>
      </c>
      <c r="L21" s="64">
        <f>1-K21</f>
        <v>0.5</v>
      </c>
    </row>
    <row r="22" spans="1:13">
      <c r="J22" t="s">
        <v>25</v>
      </c>
      <c r="K22" s="64">
        <v>0.6</v>
      </c>
      <c r="L22" s="64">
        <f t="shared" ref="L22" si="1">1-K22</f>
        <v>0.4</v>
      </c>
    </row>
    <row r="23" spans="1:13" ht="19">
      <c r="B23" t="s">
        <v>635</v>
      </c>
      <c r="J23" t="s">
        <v>630</v>
      </c>
      <c r="K23" s="17">
        <v>850</v>
      </c>
      <c r="L23" s="17">
        <v>0</v>
      </c>
    </row>
    <row r="24" spans="1:13">
      <c r="K24" s="17"/>
      <c r="L24" s="17"/>
    </row>
    <row r="26" spans="1:13" s="473" customFormat="1" ht="16">
      <c r="B26" s="474" t="s">
        <v>636</v>
      </c>
      <c r="C26" s="474"/>
      <c r="D26" s="474"/>
      <c r="E26" s="474"/>
      <c r="F26" s="474"/>
      <c r="G26" s="474"/>
      <c r="J26" s="474" t="s">
        <v>637</v>
      </c>
      <c r="K26" s="474"/>
      <c r="L26" s="474"/>
      <c r="M26" s="474"/>
    </row>
    <row r="27" spans="1:13" ht="16">
      <c r="C27" s="50" t="s">
        <v>449</v>
      </c>
      <c r="D27" s="50" t="s">
        <v>617</v>
      </c>
      <c r="E27" s="50" t="s">
        <v>618</v>
      </c>
      <c r="F27" s="50" t="s">
        <v>305</v>
      </c>
      <c r="G27" s="473" t="s">
        <v>462</v>
      </c>
      <c r="H27" s="473"/>
      <c r="K27" s="475">
        <f>+K4</f>
        <v>2022</v>
      </c>
      <c r="L27" s="475" t="str">
        <f>+L4</f>
        <v>2023e</v>
      </c>
      <c r="M27" s="476" t="str">
        <f>+M4</f>
        <v>2024f</v>
      </c>
    </row>
    <row r="28" spans="1:13">
      <c r="A28" t="s">
        <v>638</v>
      </c>
      <c r="B28" t="s">
        <v>639</v>
      </c>
      <c r="C28" s="17">
        <f>+C13/C12+C11</f>
        <v>11666.666666666668</v>
      </c>
      <c r="D28" s="17">
        <f>+D13/D12+D11</f>
        <v>58750</v>
      </c>
      <c r="E28" s="17">
        <f>+E13/E12+E11</f>
        <v>110000</v>
      </c>
      <c r="F28" s="17">
        <f>+F13/F12+F11</f>
        <v>57500</v>
      </c>
    </row>
    <row r="29" spans="1:13">
      <c r="A29" t="s">
        <v>638</v>
      </c>
      <c r="B29" t="s">
        <v>640</v>
      </c>
      <c r="C29" s="17">
        <f>+C28/C9</f>
        <v>1.1666666666666667</v>
      </c>
      <c r="D29" s="17">
        <f>+D28/D9</f>
        <v>1.46875</v>
      </c>
      <c r="E29" s="17">
        <f>+E28/E9</f>
        <v>0.91666666666666663</v>
      </c>
      <c r="F29" s="17">
        <f>+F28/F9</f>
        <v>0.95833333333333337</v>
      </c>
      <c r="G29" s="17">
        <f>AVERAGE(C29:F29)</f>
        <v>1.1276041666666667</v>
      </c>
      <c r="H29" s="17"/>
      <c r="I29" t="s">
        <v>641</v>
      </c>
      <c r="J29" t="s">
        <v>642</v>
      </c>
      <c r="K29" s="17">
        <f>+K5*$G$29</f>
        <v>11276.041666666668</v>
      </c>
      <c r="L29" s="17">
        <f>+L5*$G$29</f>
        <v>12403.645833333334</v>
      </c>
      <c r="M29" s="17">
        <f>+M5*$G$29</f>
        <v>14658.854166666668</v>
      </c>
    </row>
    <row r="30" spans="1:13">
      <c r="A30" t="s">
        <v>638</v>
      </c>
      <c r="B30" t="s">
        <v>643</v>
      </c>
      <c r="C30" s="17">
        <f>+C28/C10</f>
        <v>5.8333333333333339</v>
      </c>
      <c r="D30" s="17">
        <f>+D28/D10</f>
        <v>9.7916666666666661</v>
      </c>
      <c r="E30" s="17">
        <f>+E28/E10</f>
        <v>3.9285714285714284</v>
      </c>
      <c r="F30" s="17">
        <f>+F28/F10</f>
        <v>7.1875</v>
      </c>
      <c r="G30" s="17">
        <f>AVERAGE(C30:F30)</f>
        <v>6.6852678571428568</v>
      </c>
      <c r="H30" s="17"/>
      <c r="I30" t="s">
        <v>641</v>
      </c>
      <c r="J30" t="s">
        <v>644</v>
      </c>
      <c r="K30" s="17">
        <f>+$G$30*K6</f>
        <v>10696.428571428571</v>
      </c>
      <c r="L30" s="17">
        <f>+$G$30*L6</f>
        <v>12702.008928571428</v>
      </c>
      <c r="M30" s="17">
        <f>+$G$30*M6</f>
        <v>16044.642857142857</v>
      </c>
    </row>
    <row r="31" spans="1:13">
      <c r="A31" t="s">
        <v>638</v>
      </c>
      <c r="B31" t="s">
        <v>645</v>
      </c>
      <c r="C31" s="17">
        <f>+C28/C8</f>
        <v>16.666666666666668</v>
      </c>
      <c r="D31" s="17">
        <f>+D28/D8</f>
        <v>16.319444444444443</v>
      </c>
      <c r="E31" s="17">
        <f>+E28/E8</f>
        <v>13.75</v>
      </c>
      <c r="F31" s="17"/>
      <c r="G31" s="17">
        <f>AVERAGE(C31:E31)</f>
        <v>15.578703703703704</v>
      </c>
      <c r="H31" s="17"/>
      <c r="I31" t="s">
        <v>641</v>
      </c>
      <c r="J31" t="s">
        <v>646</v>
      </c>
      <c r="L31" s="17">
        <f>+G31*K23</f>
        <v>13241.898148148148</v>
      </c>
    </row>
    <row r="32" spans="1:13" ht="16">
      <c r="J32" s="477" t="s">
        <v>462</v>
      </c>
      <c r="K32" s="478">
        <f>AVERAGE(K29:K31)</f>
        <v>10986.235119047618</v>
      </c>
      <c r="L32" s="478">
        <f>AVERAGE(L29:L31)</f>
        <v>12782.517636684302</v>
      </c>
      <c r="M32" s="479">
        <f>AVERAGE(M29:M31)</f>
        <v>15351.748511904763</v>
      </c>
    </row>
    <row r="34" spans="2:19">
      <c r="J34" t="s">
        <v>647</v>
      </c>
    </row>
    <row r="35" spans="2:19">
      <c r="G35" s="372"/>
      <c r="H35" s="372"/>
    </row>
    <row r="36" spans="2:19" s="473" customFormat="1" ht="16">
      <c r="R36" s="480" t="s">
        <v>648</v>
      </c>
      <c r="S36" s="480"/>
    </row>
    <row r="37" spans="2:19" s="473" customFormat="1" ht="16">
      <c r="K37" s="476" t="s">
        <v>649</v>
      </c>
      <c r="L37" s="476" t="s">
        <v>650</v>
      </c>
      <c r="M37" s="476" t="s">
        <v>651</v>
      </c>
      <c r="N37" s="476" t="s">
        <v>305</v>
      </c>
      <c r="O37" s="476" t="s">
        <v>306</v>
      </c>
      <c r="P37" s="476" t="s">
        <v>652</v>
      </c>
      <c r="Q37" s="476" t="s">
        <v>653</v>
      </c>
      <c r="R37" s="481">
        <v>0.4</v>
      </c>
      <c r="S37" s="481">
        <v>0.5</v>
      </c>
    </row>
    <row r="38" spans="2:19" ht="16">
      <c r="J38" s="473" t="s">
        <v>310</v>
      </c>
      <c r="K38" s="482">
        <f>+K32</f>
        <v>10986.235119047618</v>
      </c>
      <c r="L38" s="483">
        <v>-0.15</v>
      </c>
      <c r="M38" s="17">
        <f>+K38*(1+L38)</f>
        <v>9338.2998511904752</v>
      </c>
      <c r="N38" s="17">
        <f>+$L$16</f>
        <v>2800</v>
      </c>
      <c r="O38" s="17">
        <f>+M38-N38</f>
        <v>6538.2998511904752</v>
      </c>
      <c r="P38" s="484">
        <v>-0.1</v>
      </c>
      <c r="Q38" s="17">
        <f>+O38*(1+P38)</f>
        <v>5884.4698660714275</v>
      </c>
      <c r="R38" s="17">
        <f>+Q38*40%</f>
        <v>2353.7879464285711</v>
      </c>
      <c r="S38" s="17">
        <f>+Q38*50%</f>
        <v>2942.2349330357138</v>
      </c>
    </row>
    <row r="39" spans="2:19" ht="16">
      <c r="J39" s="473" t="s">
        <v>311</v>
      </c>
      <c r="K39" s="482">
        <f>+L32</f>
        <v>12782.517636684302</v>
      </c>
      <c r="L39" s="483">
        <v>-0.15</v>
      </c>
      <c r="M39" s="17">
        <f>+K39*(1+L39)</f>
        <v>10865.139991181657</v>
      </c>
      <c r="N39" s="17">
        <f>+$L$16</f>
        <v>2800</v>
      </c>
      <c r="O39" s="17">
        <f>+M39-N39</f>
        <v>8065.139991181657</v>
      </c>
      <c r="P39" s="484">
        <v>-0.1</v>
      </c>
      <c r="Q39" s="17">
        <f>+O39*(1+P39)</f>
        <v>7258.6259920634911</v>
      </c>
      <c r="R39" s="17">
        <f>+Q39*40%</f>
        <v>2903.4503968253966</v>
      </c>
      <c r="S39" s="17">
        <f>+Q39*50%</f>
        <v>3629.3129960317456</v>
      </c>
    </row>
    <row r="41" spans="2:19">
      <c r="J41" t="s">
        <v>654</v>
      </c>
    </row>
    <row r="44" spans="2:19" ht="16">
      <c r="B44" s="67" t="s">
        <v>655</v>
      </c>
    </row>
    <row r="45" spans="2:19">
      <c r="C45" t="s">
        <v>656</v>
      </c>
      <c r="D45" t="s">
        <v>657</v>
      </c>
    </row>
    <row r="46" spans="2:19">
      <c r="B46" t="s">
        <v>658</v>
      </c>
      <c r="C46">
        <v>6</v>
      </c>
      <c r="D46">
        <v>38</v>
      </c>
    </row>
    <row r="47" spans="2:19">
      <c r="B47" t="s">
        <v>659</v>
      </c>
      <c r="C47" s="17">
        <v>0.87</v>
      </c>
      <c r="D47" s="17">
        <v>1.1000000000000001</v>
      </c>
    </row>
    <row r="48" spans="2:19">
      <c r="B48" t="s">
        <v>643</v>
      </c>
      <c r="C48" s="17">
        <v>4.8</v>
      </c>
      <c r="D48" s="17">
        <v>5.2</v>
      </c>
    </row>
    <row r="51" spans="1:19" ht="16">
      <c r="B51" s="474" t="s">
        <v>660</v>
      </c>
      <c r="C51" s="485"/>
      <c r="D51" s="485"/>
      <c r="E51" s="485"/>
      <c r="F51" s="485"/>
    </row>
    <row r="52" spans="1:19" ht="16">
      <c r="A52" t="s">
        <v>661</v>
      </c>
      <c r="B52" t="str">
        <f>+C45</f>
        <v>CEE</v>
      </c>
      <c r="C52" s="309">
        <f>+K27</f>
        <v>2022</v>
      </c>
      <c r="D52" s="309" t="str">
        <f>+L27</f>
        <v>2023e</v>
      </c>
      <c r="E52" s="309" t="str">
        <f>+M27</f>
        <v>2024f</v>
      </c>
      <c r="F52" s="486" t="s">
        <v>462</v>
      </c>
      <c r="J52" s="473"/>
      <c r="K52" s="473"/>
      <c r="L52" s="473"/>
      <c r="M52" s="473"/>
      <c r="N52" s="473"/>
      <c r="O52" s="473"/>
      <c r="P52" s="473"/>
      <c r="Q52" s="473"/>
      <c r="R52" s="480" t="s">
        <v>648</v>
      </c>
      <c r="S52" s="480"/>
    </row>
    <row r="53" spans="1:19" ht="16">
      <c r="A53" t="s">
        <v>641</v>
      </c>
      <c r="B53" t="s">
        <v>642</v>
      </c>
      <c r="C53" s="17">
        <f>+$C$47*K5</f>
        <v>8700</v>
      </c>
      <c r="D53" s="17">
        <f>+$C$47*L5</f>
        <v>9570</v>
      </c>
      <c r="E53" s="17">
        <f>+$C$47*M5</f>
        <v>11310</v>
      </c>
      <c r="F53" s="487">
        <f>AVERAGE(C53:E53)</f>
        <v>9860</v>
      </c>
      <c r="J53" s="473"/>
      <c r="K53" s="476" t="s">
        <v>649</v>
      </c>
      <c r="L53" s="476" t="s">
        <v>650</v>
      </c>
      <c r="M53" s="476" t="s">
        <v>651</v>
      </c>
      <c r="N53" s="476" t="s">
        <v>305</v>
      </c>
      <c r="O53" s="476" t="s">
        <v>306</v>
      </c>
      <c r="P53" s="476" t="s">
        <v>652</v>
      </c>
      <c r="Q53" s="476" t="s">
        <v>653</v>
      </c>
      <c r="R53" s="481">
        <v>0.4</v>
      </c>
      <c r="S53" s="481">
        <v>0.5</v>
      </c>
    </row>
    <row r="54" spans="1:19" ht="16">
      <c r="A54" t="s">
        <v>641</v>
      </c>
      <c r="B54" t="s">
        <v>644</v>
      </c>
      <c r="C54" s="17">
        <f>+$C$48*K6</f>
        <v>7680</v>
      </c>
      <c r="D54" s="17">
        <f>+$C$48*L6</f>
        <v>9120</v>
      </c>
      <c r="E54" s="17">
        <f>+$C$48*M6</f>
        <v>11520</v>
      </c>
      <c r="F54" s="487">
        <f>AVERAGE(C54:E54)</f>
        <v>9440</v>
      </c>
      <c r="J54" s="473" t="s">
        <v>310</v>
      </c>
      <c r="K54" s="482">
        <f>+F54</f>
        <v>9440</v>
      </c>
      <c r="L54" s="483">
        <v>-0.2</v>
      </c>
      <c r="M54" s="17">
        <f>+K54*(1+L54)</f>
        <v>7552</v>
      </c>
      <c r="N54" s="17">
        <f>+$L$16</f>
        <v>2800</v>
      </c>
      <c r="O54" s="17">
        <f>+M54-N54</f>
        <v>4752</v>
      </c>
      <c r="P54" s="484">
        <v>-0.1</v>
      </c>
      <c r="Q54" s="17">
        <f>+O54*(1+P54)</f>
        <v>4276.8</v>
      </c>
      <c r="R54" s="17">
        <f>+Q54*40%</f>
        <v>1710.7200000000003</v>
      </c>
      <c r="S54" s="17">
        <f>+Q54*50%</f>
        <v>2138.4</v>
      </c>
    </row>
    <row r="55" spans="1:19" ht="16">
      <c r="F55" s="488"/>
      <c r="J55" s="473" t="s">
        <v>311</v>
      </c>
      <c r="K55" s="482">
        <f>+F57</f>
        <v>12466.666666666666</v>
      </c>
      <c r="L55" s="483">
        <v>-0.2</v>
      </c>
      <c r="M55" s="17">
        <f>+K55*(1+L55)</f>
        <v>9973.3333333333339</v>
      </c>
      <c r="N55" s="17">
        <f>+$L$16</f>
        <v>2800</v>
      </c>
      <c r="O55" s="17">
        <f>+M55-N55</f>
        <v>7173.3333333333339</v>
      </c>
      <c r="P55" s="484">
        <v>-0.1</v>
      </c>
      <c r="Q55" s="17">
        <f>+O55*(1+P55)</f>
        <v>6456.0000000000009</v>
      </c>
      <c r="R55" s="17">
        <f>+Q55*40%</f>
        <v>2582.4000000000005</v>
      </c>
      <c r="S55" s="17">
        <f>+Q55*50%</f>
        <v>3228.0000000000005</v>
      </c>
    </row>
    <row r="56" spans="1:19" ht="16">
      <c r="A56" t="s">
        <v>661</v>
      </c>
      <c r="B56" t="str">
        <f>+D45</f>
        <v>West EU</v>
      </c>
      <c r="C56" s="309">
        <f>+C52</f>
        <v>2022</v>
      </c>
      <c r="D56" s="309" t="str">
        <f t="shared" ref="D56:E56" si="2">+D52</f>
        <v>2023e</v>
      </c>
      <c r="E56" s="309" t="str">
        <f t="shared" si="2"/>
        <v>2024f</v>
      </c>
      <c r="F56" s="488"/>
    </row>
    <row r="57" spans="1:19" ht="16">
      <c r="A57" t="s">
        <v>641</v>
      </c>
      <c r="B57" t="s">
        <v>642</v>
      </c>
      <c r="C57" s="17">
        <f>+$D$47*K5</f>
        <v>11000</v>
      </c>
      <c r="D57" s="17">
        <f>+$D$47*L5</f>
        <v>12100.000000000002</v>
      </c>
      <c r="E57" s="17">
        <f>+$D$47*M5</f>
        <v>14300.000000000002</v>
      </c>
      <c r="F57" s="487">
        <f>AVERAGE(C57:E57)</f>
        <v>12466.666666666666</v>
      </c>
    </row>
    <row r="58" spans="1:19" ht="16">
      <c r="A58" t="s">
        <v>641</v>
      </c>
      <c r="B58" t="s">
        <v>644</v>
      </c>
      <c r="C58" s="17">
        <f>+$D$48*K6</f>
        <v>8320</v>
      </c>
      <c r="D58" s="17">
        <f>+$D$48*L6</f>
        <v>9880</v>
      </c>
      <c r="E58" s="17">
        <f>+$D$48*M6</f>
        <v>12480</v>
      </c>
      <c r="F58" s="487">
        <f>AVERAGE(C58:E58)</f>
        <v>10226.666666666666</v>
      </c>
    </row>
    <row r="74" spans="2:8" s="489" customFormat="1" ht="16">
      <c r="B74" s="489" t="s">
        <v>662</v>
      </c>
      <c r="H74" s="473"/>
    </row>
    <row r="75" spans="2:8" s="489" customFormat="1" ht="16">
      <c r="H75" s="473"/>
    </row>
    <row r="76" spans="2:8" s="489" customFormat="1" ht="16">
      <c r="B76" s="489" t="s">
        <v>663</v>
      </c>
      <c r="H76" s="473"/>
    </row>
    <row r="77" spans="2:8" s="489" customFormat="1" ht="16">
      <c r="H77" s="473"/>
    </row>
    <row r="78" spans="2:8" s="489" customFormat="1" ht="16">
      <c r="B78" s="489" t="s">
        <v>664</v>
      </c>
      <c r="H78" s="473"/>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D5DA6-26B8-475D-A368-DAA7FB589B04}">
  <dimension ref="A3:V37"/>
  <sheetViews>
    <sheetView tabSelected="1" topLeftCell="J1" zoomScale="108" workbookViewId="0">
      <selection activeCell="AD35" sqref="AD35"/>
    </sheetView>
  </sheetViews>
  <sheetFormatPr baseColWidth="10" defaultColWidth="8.83203125" defaultRowHeight="15"/>
  <cols>
    <col min="1" max="1" width="10.5" bestFit="1" customWidth="1"/>
    <col min="2" max="2" width="19.5" bestFit="1" customWidth="1"/>
    <col min="3" max="3" width="11.6640625" customWidth="1"/>
    <col min="6" max="6" width="18.6640625" bestFit="1" customWidth="1"/>
    <col min="11" max="11" width="20.5" customWidth="1"/>
  </cols>
  <sheetData>
    <row r="3" spans="2:22">
      <c r="B3" t="s">
        <v>665</v>
      </c>
    </row>
    <row r="5" spans="2:22">
      <c r="B5" t="s">
        <v>666</v>
      </c>
      <c r="C5" s="64">
        <v>0.2</v>
      </c>
    </row>
    <row r="6" spans="2:22">
      <c r="U6" s="376" t="s">
        <v>707</v>
      </c>
    </row>
    <row r="9" spans="2:22">
      <c r="B9" t="s">
        <v>667</v>
      </c>
      <c r="C9" s="64">
        <v>7.0000000000000007E-2</v>
      </c>
      <c r="U9" s="376"/>
    </row>
    <row r="12" spans="2:22" ht="16.25" customHeight="1"/>
    <row r="14" spans="2:22">
      <c r="V14" t="s">
        <v>670</v>
      </c>
    </row>
    <row r="15" spans="2:22">
      <c r="U15" t="s">
        <v>708</v>
      </c>
      <c r="V15" s="17">
        <v>200</v>
      </c>
    </row>
    <row r="16" spans="2:22">
      <c r="U16" t="s">
        <v>709</v>
      </c>
      <c r="V16" s="17">
        <v>0</v>
      </c>
    </row>
    <row r="17" spans="1:22">
      <c r="V17" s="17"/>
    </row>
    <row r="18" spans="1:22">
      <c r="U18" t="s">
        <v>710</v>
      </c>
      <c r="V18" s="17">
        <v>200</v>
      </c>
    </row>
    <row r="19" spans="1:22">
      <c r="B19" t="s">
        <v>668</v>
      </c>
      <c r="V19" s="17"/>
    </row>
    <row r="20" spans="1:22">
      <c r="F20" s="600" t="s">
        <v>669</v>
      </c>
      <c r="G20" s="600">
        <f>L24/(1+C37)^4</f>
        <v>355.49517505221297</v>
      </c>
      <c r="V20" s="17" t="s">
        <v>711</v>
      </c>
    </row>
    <row r="21" spans="1:22">
      <c r="C21" t="s">
        <v>670</v>
      </c>
      <c r="G21" t="s">
        <v>671</v>
      </c>
      <c r="L21" t="s">
        <v>672</v>
      </c>
      <c r="U21" t="s">
        <v>710</v>
      </c>
      <c r="V21" s="17">
        <v>300</v>
      </c>
    </row>
    <row r="22" spans="1:22">
      <c r="B22" s="61" t="s">
        <v>48</v>
      </c>
      <c r="C22" s="61">
        <v>30</v>
      </c>
      <c r="F22" s="61" t="s">
        <v>673</v>
      </c>
      <c r="G22" s="61">
        <v>100</v>
      </c>
      <c r="K22" s="61" t="s">
        <v>674</v>
      </c>
      <c r="L22" s="61">
        <v>1500</v>
      </c>
      <c r="V22" s="17"/>
    </row>
    <row r="23" spans="1:22">
      <c r="B23" t="s">
        <v>675</v>
      </c>
      <c r="C23">
        <f>C26-C24</f>
        <v>58.746532322086466</v>
      </c>
      <c r="F23" s="604" t="s">
        <v>676</v>
      </c>
      <c r="G23" s="604">
        <f>G20-G22</f>
        <v>255.49517505221297</v>
      </c>
      <c r="K23" t="s">
        <v>305</v>
      </c>
      <c r="L23">
        <v>100</v>
      </c>
      <c r="V23" s="17" t="s">
        <v>712</v>
      </c>
    </row>
    <row r="24" spans="1:22">
      <c r="B24" s="61" t="s">
        <v>677</v>
      </c>
      <c r="C24" s="61">
        <v>70</v>
      </c>
      <c r="F24" s="61" t="s">
        <v>678</v>
      </c>
      <c r="G24" s="61">
        <v>100</v>
      </c>
      <c r="K24" s="600" t="s">
        <v>306</v>
      </c>
      <c r="L24" s="600">
        <f>L22-L23</f>
        <v>1400</v>
      </c>
      <c r="U24" t="s">
        <v>713</v>
      </c>
      <c r="V24" s="17">
        <v>500</v>
      </c>
    </row>
    <row r="25" spans="1:22">
      <c r="B25" t="s">
        <v>679</v>
      </c>
      <c r="C25">
        <f>C22+C24</f>
        <v>100</v>
      </c>
      <c r="F25" s="602" t="s">
        <v>680</v>
      </c>
      <c r="G25" s="605">
        <f>G22/G20</f>
        <v>0.28129777003390444</v>
      </c>
      <c r="H25" t="s">
        <v>681</v>
      </c>
      <c r="U25" t="s">
        <v>714</v>
      </c>
      <c r="V25" s="17">
        <v>4</v>
      </c>
    </row>
    <row r="26" spans="1:22">
      <c r="B26" s="61" t="s">
        <v>682</v>
      </c>
      <c r="C26">
        <f>G23/(1+C37)^2</f>
        <v>128.74653232208647</v>
      </c>
      <c r="F26" t="s">
        <v>683</v>
      </c>
      <c r="G26" s="35">
        <f>1-G25</f>
        <v>0.71870222996609556</v>
      </c>
      <c r="K26" s="602" t="s">
        <v>680</v>
      </c>
      <c r="L26" s="605">
        <f>G25</f>
        <v>0.28129777003390444</v>
      </c>
      <c r="U26" t="s">
        <v>715</v>
      </c>
      <c r="V26" s="17">
        <v>1500</v>
      </c>
    </row>
    <row r="27" spans="1:22">
      <c r="D27" s="601">
        <v>0.3</v>
      </c>
      <c r="F27" s="602" t="s">
        <v>684</v>
      </c>
      <c r="G27" s="83">
        <f>G26*C28</f>
        <v>0.39076125318163302</v>
      </c>
      <c r="H27" t="s">
        <v>685</v>
      </c>
      <c r="K27" s="602" t="s">
        <v>684</v>
      </c>
      <c r="L27" s="83">
        <f>G27</f>
        <v>0.39076125318163302</v>
      </c>
    </row>
    <row r="28" spans="1:22">
      <c r="B28" s="65" t="s">
        <v>686</v>
      </c>
      <c r="C28" s="66">
        <v>0.54370396652319697</v>
      </c>
      <c r="F28" s="602" t="s">
        <v>687</v>
      </c>
      <c r="G28" s="83">
        <f>C31*G26</f>
        <v>0.32794097678446255</v>
      </c>
      <c r="H28" t="s">
        <v>688</v>
      </c>
      <c r="K28" s="602" t="s">
        <v>687</v>
      </c>
      <c r="L28" s="83">
        <f>G28</f>
        <v>0.32794097678446255</v>
      </c>
    </row>
    <row r="29" spans="1:22">
      <c r="B29" t="s">
        <v>689</v>
      </c>
      <c r="C29" s="606">
        <f>C24/C26</f>
        <v>0.54370396419594669</v>
      </c>
    </row>
    <row r="30" spans="1:22">
      <c r="B30" t="s">
        <v>690</v>
      </c>
      <c r="C30" s="64">
        <f>C29-C28</f>
        <v>-2.3272502813753704E-9</v>
      </c>
      <c r="D30" s="601">
        <v>0.7</v>
      </c>
      <c r="F30" s="61" t="s">
        <v>691</v>
      </c>
      <c r="G30" s="601">
        <v>0.9</v>
      </c>
      <c r="K30" t="s">
        <v>692</v>
      </c>
      <c r="L30" s="74">
        <f>G31*(1+C9)^4</f>
        <v>117.9716409</v>
      </c>
    </row>
    <row r="31" spans="1:22">
      <c r="A31" s="22" t="s">
        <v>693</v>
      </c>
      <c r="B31" s="602" t="s">
        <v>687</v>
      </c>
      <c r="C31" s="603">
        <f>1-C28</f>
        <v>0.45629603347680303</v>
      </c>
      <c r="D31" t="s">
        <v>431</v>
      </c>
      <c r="F31" t="s">
        <v>694</v>
      </c>
      <c r="G31" s="48">
        <f>G30*C25</f>
        <v>90</v>
      </c>
      <c r="K31" t="s">
        <v>695</v>
      </c>
      <c r="L31" s="74">
        <f>G32*(1+C9)^4</f>
        <v>64.141649094580217</v>
      </c>
    </row>
    <row r="32" spans="1:22">
      <c r="F32" t="s">
        <v>696</v>
      </c>
      <c r="G32" s="74">
        <f>G31*C28</f>
        <v>48.933356987087727</v>
      </c>
      <c r="K32" t="s">
        <v>695</v>
      </c>
      <c r="L32" s="74">
        <f>L30*C28</f>
        <v>64.141649094580217</v>
      </c>
    </row>
    <row r="33" spans="1:13">
      <c r="B33" t="s">
        <v>697</v>
      </c>
      <c r="C33">
        <v>6</v>
      </c>
    </row>
    <row r="34" spans="1:13">
      <c r="B34" t="s">
        <v>698</v>
      </c>
      <c r="C34" s="64">
        <v>0.7</v>
      </c>
      <c r="K34" t="s">
        <v>699</v>
      </c>
      <c r="L34">
        <f>L24*L28</f>
        <v>459.11736749824757</v>
      </c>
      <c r="M34" t="s">
        <v>700</v>
      </c>
    </row>
    <row r="35" spans="1:13">
      <c r="B35" t="s">
        <v>701</v>
      </c>
      <c r="C35" s="607">
        <f>(L31/C24)^(1/6)-1</f>
        <v>-1.4461305704725924E-2</v>
      </c>
      <c r="K35" t="s">
        <v>702</v>
      </c>
      <c r="L35" s="606">
        <f>(L34/C23)^(1/6)-1</f>
        <v>0.408716433356763</v>
      </c>
    </row>
    <row r="36" spans="1:13">
      <c r="B36" t="s">
        <v>703</v>
      </c>
      <c r="C36" s="64">
        <v>0.3</v>
      </c>
    </row>
    <row r="37" spans="1:13">
      <c r="A37" s="22" t="s">
        <v>704</v>
      </c>
      <c r="B37" t="s">
        <v>705</v>
      </c>
      <c r="C37">
        <f>(((1+C5)^C33-C34*(1+C35)^C33)/C36)^(1/C33)-1</f>
        <v>0.40871643455424422</v>
      </c>
      <c r="D37" t="s">
        <v>706</v>
      </c>
    </row>
  </sheetData>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6D189-DC84-F04D-AF89-ED9AD8CE739A}">
  <dimension ref="A3:V37"/>
  <sheetViews>
    <sheetView zoomScale="108" workbookViewId="0">
      <selection activeCell="C37" sqref="C37"/>
    </sheetView>
  </sheetViews>
  <sheetFormatPr baseColWidth="10" defaultColWidth="8.83203125" defaultRowHeight="15"/>
  <cols>
    <col min="1" max="1" width="10.5" bestFit="1" customWidth="1"/>
    <col min="2" max="2" width="19.5" bestFit="1" customWidth="1"/>
    <col min="3" max="3" width="11.6640625" customWidth="1"/>
    <col min="6" max="6" width="18.6640625" bestFit="1" customWidth="1"/>
    <col min="11" max="11" width="20.5" customWidth="1"/>
    <col min="21" max="21" width="50.33203125" bestFit="1" customWidth="1"/>
  </cols>
  <sheetData>
    <row r="3" spans="2:22">
      <c r="B3" t="s">
        <v>665</v>
      </c>
    </row>
    <row r="5" spans="2:22">
      <c r="B5" t="s">
        <v>666</v>
      </c>
      <c r="C5" s="64">
        <v>0.2</v>
      </c>
    </row>
    <row r="6" spans="2:22">
      <c r="U6" s="376" t="s">
        <v>707</v>
      </c>
    </row>
    <row r="9" spans="2:22">
      <c r="B9" t="s">
        <v>667</v>
      </c>
      <c r="C9" s="64">
        <v>0.09</v>
      </c>
      <c r="U9" s="376"/>
    </row>
    <row r="12" spans="2:22" ht="16.25" customHeight="1"/>
    <row r="14" spans="2:22">
      <c r="V14" t="s">
        <v>670</v>
      </c>
    </row>
    <row r="15" spans="2:22">
      <c r="U15" t="s">
        <v>708</v>
      </c>
      <c r="V15" s="17">
        <v>200</v>
      </c>
    </row>
    <row r="16" spans="2:22">
      <c r="U16" t="s">
        <v>709</v>
      </c>
      <c r="V16" s="17">
        <v>0</v>
      </c>
    </row>
    <row r="17" spans="1:22">
      <c r="V17" s="17"/>
    </row>
    <row r="18" spans="1:22">
      <c r="U18" t="s">
        <v>710</v>
      </c>
      <c r="V18" s="17">
        <v>200</v>
      </c>
    </row>
    <row r="19" spans="1:22">
      <c r="B19" t="s">
        <v>668</v>
      </c>
      <c r="V19" s="17"/>
    </row>
    <row r="20" spans="1:22">
      <c r="F20" s="600" t="s">
        <v>669</v>
      </c>
      <c r="G20" s="600">
        <f>L24/(1+C37)^5</f>
        <v>1107.2551492440907</v>
      </c>
      <c r="V20" s="17" t="s">
        <v>711</v>
      </c>
    </row>
    <row r="21" spans="1:22">
      <c r="C21" t="s">
        <v>670</v>
      </c>
      <c r="G21" t="s">
        <v>716</v>
      </c>
      <c r="L21" t="s">
        <v>717</v>
      </c>
      <c r="U21" t="s">
        <v>710</v>
      </c>
      <c r="V21" s="17">
        <v>300</v>
      </c>
    </row>
    <row r="22" spans="1:22">
      <c r="B22" s="61" t="s">
        <v>48</v>
      </c>
      <c r="C22" s="61">
        <v>200</v>
      </c>
      <c r="F22" s="61" t="s">
        <v>673</v>
      </c>
      <c r="G22" s="61">
        <v>200</v>
      </c>
      <c r="K22" s="61" t="s">
        <v>674</v>
      </c>
      <c r="L22" s="61">
        <f>V26*V25</f>
        <v>6000</v>
      </c>
      <c r="V22" s="17"/>
    </row>
    <row r="23" spans="1:22">
      <c r="B23" t="s">
        <v>675</v>
      </c>
      <c r="C23">
        <f>C26-C24</f>
        <v>277.84104271278892</v>
      </c>
      <c r="F23" s="604" t="s">
        <v>676</v>
      </c>
      <c r="G23" s="604">
        <f>G20-G22</f>
        <v>907.25514924409072</v>
      </c>
      <c r="K23" t="s">
        <v>305</v>
      </c>
      <c r="L23">
        <v>500</v>
      </c>
      <c r="V23" s="17" t="s">
        <v>712</v>
      </c>
    </row>
    <row r="24" spans="1:22">
      <c r="B24" s="61" t="s">
        <v>677</v>
      </c>
      <c r="C24" s="61">
        <v>200</v>
      </c>
      <c r="F24" s="61" t="s">
        <v>678</v>
      </c>
      <c r="G24" s="61">
        <v>0</v>
      </c>
      <c r="K24" s="600" t="s">
        <v>306</v>
      </c>
      <c r="L24" s="600">
        <f>L22-L23</f>
        <v>5500</v>
      </c>
      <c r="U24" t="s">
        <v>713</v>
      </c>
      <c r="V24" s="17">
        <v>500</v>
      </c>
    </row>
    <row r="25" spans="1:22">
      <c r="B25" t="s">
        <v>679</v>
      </c>
      <c r="C25">
        <f>C22+C24</f>
        <v>400</v>
      </c>
      <c r="F25" s="602" t="s">
        <v>718</v>
      </c>
      <c r="G25" s="605">
        <f>G22/G20</f>
        <v>0.1806268411906122</v>
      </c>
      <c r="H25" t="s">
        <v>681</v>
      </c>
      <c r="U25" t="s">
        <v>714</v>
      </c>
      <c r="V25" s="17">
        <v>4</v>
      </c>
    </row>
    <row r="26" spans="1:22">
      <c r="B26" s="61" t="s">
        <v>682</v>
      </c>
      <c r="C26">
        <f>G23/(1+C37)^2</f>
        <v>477.84104271278892</v>
      </c>
      <c r="F26" t="s">
        <v>683</v>
      </c>
      <c r="G26" s="35">
        <f>1-G25</f>
        <v>0.81937315880938777</v>
      </c>
      <c r="K26" s="602" t="s">
        <v>680</v>
      </c>
      <c r="L26" s="605">
        <f>G25</f>
        <v>0.1806268411906122</v>
      </c>
      <c r="U26" t="s">
        <v>715</v>
      </c>
      <c r="V26" s="17">
        <v>1500</v>
      </c>
    </row>
    <row r="27" spans="1:22">
      <c r="D27" s="601">
        <v>0.25</v>
      </c>
      <c r="F27" s="602" t="s">
        <v>684</v>
      </c>
      <c r="G27" s="83">
        <f>G26*C28</f>
        <v>0.3429479975532353</v>
      </c>
      <c r="H27" t="s">
        <v>685</v>
      </c>
      <c r="K27" s="602" t="s">
        <v>684</v>
      </c>
      <c r="L27" s="83">
        <f>G27</f>
        <v>0.3429479975532353</v>
      </c>
    </row>
    <row r="28" spans="1:22">
      <c r="B28" s="65" t="s">
        <v>686</v>
      </c>
      <c r="C28" s="66">
        <v>0.41854922127491351</v>
      </c>
      <c r="F28" s="602" t="s">
        <v>687</v>
      </c>
      <c r="G28" s="83">
        <f>C31*G26</f>
        <v>0.47642516125615242</v>
      </c>
      <c r="H28" t="s">
        <v>688</v>
      </c>
      <c r="K28" s="602" t="s">
        <v>687</v>
      </c>
      <c r="L28" s="83">
        <f>G28</f>
        <v>0.47642516125615242</v>
      </c>
    </row>
    <row r="29" spans="1:22">
      <c r="B29" t="s">
        <v>689</v>
      </c>
      <c r="C29" s="606">
        <f>C24/C26</f>
        <v>0.41854922897489988</v>
      </c>
    </row>
    <row r="30" spans="1:22">
      <c r="B30" t="s">
        <v>690</v>
      </c>
      <c r="C30" s="64">
        <f>C29-C28</f>
        <v>7.6999863707349903E-9</v>
      </c>
      <c r="D30" s="601">
        <v>0.75</v>
      </c>
      <c r="F30" s="61" t="s">
        <v>691</v>
      </c>
      <c r="G30" s="601">
        <v>1</v>
      </c>
      <c r="K30" t="s">
        <v>692</v>
      </c>
      <c r="L30" s="74">
        <f>G31*(1+C9)^5</f>
        <v>615.44958196000016</v>
      </c>
    </row>
    <row r="31" spans="1:22">
      <c r="A31" s="22" t="s">
        <v>693</v>
      </c>
      <c r="B31" s="602" t="s">
        <v>687</v>
      </c>
      <c r="C31" s="603">
        <f>1-C28</f>
        <v>0.58145077872508644</v>
      </c>
      <c r="D31" t="s">
        <v>431</v>
      </c>
      <c r="F31" t="s">
        <v>694</v>
      </c>
      <c r="G31" s="48">
        <f>G30*C25</f>
        <v>400</v>
      </c>
      <c r="K31" t="s">
        <v>695</v>
      </c>
      <c r="L31" s="74">
        <f>G32*(1+C9)^5</f>
        <v>257.5959432633291</v>
      </c>
    </row>
    <row r="32" spans="1:22">
      <c r="F32" t="s">
        <v>696</v>
      </c>
      <c r="G32" s="74">
        <f>G31*C28</f>
        <v>167.4196885099654</v>
      </c>
      <c r="K32" t="s">
        <v>695</v>
      </c>
      <c r="L32" s="74">
        <f>L30*C28</f>
        <v>257.5959432633291</v>
      </c>
    </row>
    <row r="33" spans="1:13">
      <c r="B33" t="s">
        <v>697</v>
      </c>
      <c r="C33">
        <v>8</v>
      </c>
    </row>
    <row r="34" spans="1:13">
      <c r="B34" t="s">
        <v>698</v>
      </c>
      <c r="C34" s="64">
        <v>0.75</v>
      </c>
      <c r="K34" t="s">
        <v>699</v>
      </c>
      <c r="L34">
        <f>L24*L28</f>
        <v>2620.3383869088384</v>
      </c>
      <c r="M34" t="s">
        <v>700</v>
      </c>
    </row>
    <row r="35" spans="1:13">
      <c r="B35" t="s">
        <v>701</v>
      </c>
      <c r="C35" s="607">
        <f>(L31/C24)^(1/6)-1</f>
        <v>4.3081326444578405E-2</v>
      </c>
      <c r="K35" t="s">
        <v>702</v>
      </c>
      <c r="L35" s="606">
        <f>(L34/C23)^(1/8)-1</f>
        <v>0.32379312829587437</v>
      </c>
    </row>
    <row r="36" spans="1:13">
      <c r="B36" t="s">
        <v>703</v>
      </c>
      <c r="C36" s="64">
        <v>0.25</v>
      </c>
    </row>
    <row r="37" spans="1:13">
      <c r="A37" s="22" t="s">
        <v>704</v>
      </c>
      <c r="B37" t="s">
        <v>705</v>
      </c>
      <c r="C37">
        <f>(((1+C5)^C33-C34*(1+C35)^C33)/C36)^(1/C33)-1</f>
        <v>0.37791680300303665</v>
      </c>
      <c r="D37" t="s">
        <v>706</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Menu</vt:lpstr>
      <vt:lpstr>T1 v1</vt:lpstr>
      <vt:lpstr>T1 v2</vt:lpstr>
      <vt:lpstr>T1 v3</vt:lpstr>
      <vt:lpstr>T1 v4</vt:lpstr>
      <vt:lpstr>T1 v5</vt:lpstr>
      <vt:lpstr>T2 v1</vt:lpstr>
      <vt:lpstr>T2 v2</vt:lpstr>
      <vt:lpstr>T2 v3</vt:lpstr>
      <vt:lpstr>T2 v4</vt:lpstr>
      <vt:lpstr>T2 v5</vt:lpstr>
      <vt:lpstr>T3 v1</vt:lpstr>
      <vt:lpstr>T3 v2</vt:lpstr>
      <vt:lpstr>T3 v3</vt:lpstr>
      <vt:lpstr>T4 General Template</vt:lpstr>
      <vt:lpstr>T4 v1</vt:lpstr>
      <vt:lpstr>Bonus task</vt:lpstr>
      <vt:lpstr>Bonus Task v2</vt:lpstr>
      <vt:lpstr>T5 v1</vt:lpstr>
      <vt:lpstr>T6 v1</vt:lpstr>
      <vt:lpstr>T6 v2</vt:lpstr>
      <vt:lpstr>T6 v3</vt:lpstr>
      <vt:lpstr>T7 v1</vt:lpstr>
      <vt:lpstr>T7 v2</vt:lpstr>
      <vt:lpstr>T7 v3</vt:lpstr>
      <vt:lpstr>T8 v1</vt:lpstr>
      <vt:lpstr>T9 Private equity</vt:lpstr>
      <vt:lpstr>T9 Private equity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Bangani Mridul Kumar</cp:lastModifiedBy>
  <cp:revision/>
  <dcterms:created xsi:type="dcterms:W3CDTF">2023-12-19T12:15:20Z</dcterms:created>
  <dcterms:modified xsi:type="dcterms:W3CDTF">2024-01-15T12:18:38Z</dcterms:modified>
  <cp:category/>
  <cp:contentStatus/>
</cp:coreProperties>
</file>