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k/Downloads/"/>
    </mc:Choice>
  </mc:AlternateContent>
  <xr:revisionPtr revIDLastSave="0" documentId="13_ncr:1_{058CBF6B-12EF-AF4D-B26D-13CF258EC3B9}" xr6:coauthVersionLast="47" xr6:coauthVersionMax="47" xr10:uidLastSave="{00000000-0000-0000-0000-000000000000}"/>
  <bookViews>
    <workbookView xWindow="0" yWindow="500" windowWidth="28800" windowHeight="15840" xr2:uid="{B762E922-43B5-4588-A3FF-B9B8040C353E}"/>
  </bookViews>
  <sheets>
    <sheet name="BAse" sheetId="1" r:id="rId1"/>
    <sheet name="Improved1" sheetId="2" r:id="rId2"/>
    <sheet name="Improved2" sheetId="4" r:id="rId3"/>
    <sheet name="Improved3" sheetId="5" r:id="rId4"/>
    <sheet name="Improved4" sheetId="6" r:id="rId5"/>
  </sheets>
  <calcPr calcId="191029" iterateCount="10000" iterateDelta="1E-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5" l="1"/>
  <c r="E104" i="1"/>
  <c r="E103" i="1"/>
  <c r="E102" i="1"/>
  <c r="G100" i="1"/>
  <c r="E100" i="1"/>
  <c r="E98" i="1"/>
  <c r="E97" i="1"/>
  <c r="D78" i="1"/>
  <c r="E86" i="1"/>
  <c r="J96" i="1"/>
  <c r="K96" i="1"/>
  <c r="E95" i="1"/>
  <c r="E89" i="1"/>
  <c r="E88" i="1"/>
  <c r="E87" i="1"/>
  <c r="E83" i="1"/>
  <c r="E82" i="1"/>
  <c r="D80" i="1"/>
  <c r="E79" i="1"/>
  <c r="F80" i="1"/>
  <c r="E80" i="1"/>
  <c r="E77" i="1"/>
  <c r="E76" i="1"/>
  <c r="E75" i="1"/>
  <c r="E74" i="1"/>
  <c r="F73" i="1"/>
  <c r="E73" i="1"/>
  <c r="E72" i="1" s="1"/>
  <c r="E71" i="1"/>
  <c r="D70" i="1"/>
  <c r="E69" i="1"/>
  <c r="E68" i="1"/>
  <c r="F65" i="1"/>
  <c r="D65" i="1"/>
  <c r="E63" i="1"/>
  <c r="D62" i="1"/>
  <c r="E60" i="1"/>
  <c r="D58" i="1"/>
  <c r="E57" i="1"/>
  <c r="E55" i="1"/>
  <c r="F49" i="1"/>
  <c r="E49" i="1"/>
  <c r="E50" i="1"/>
  <c r="H68" i="1"/>
  <c r="G68" i="1"/>
  <c r="F68" i="1"/>
  <c r="E97" i="6"/>
  <c r="K95" i="6"/>
  <c r="J95" i="6"/>
  <c r="I95" i="6"/>
  <c r="H95" i="6"/>
  <c r="G95" i="6"/>
  <c r="F95" i="6"/>
  <c r="E95" i="6"/>
  <c r="C94" i="6"/>
  <c r="C89" i="6"/>
  <c r="C86" i="6"/>
  <c r="E75" i="6"/>
  <c r="F74" i="6"/>
  <c r="G74" i="6" s="1"/>
  <c r="H74" i="6" s="1"/>
  <c r="I74" i="6" s="1"/>
  <c r="J74" i="6" s="1"/>
  <c r="K74" i="6" s="1"/>
  <c r="E74" i="6"/>
  <c r="E73" i="6"/>
  <c r="E71" i="6"/>
  <c r="F71" i="6" s="1"/>
  <c r="G71" i="6" s="1"/>
  <c r="H71" i="6" s="1"/>
  <c r="I71" i="6" s="1"/>
  <c r="J71" i="6" s="1"/>
  <c r="K71" i="6" s="1"/>
  <c r="D70" i="6"/>
  <c r="D76" i="6" s="1"/>
  <c r="E68" i="6"/>
  <c r="E70" i="6" s="1"/>
  <c r="D65" i="6"/>
  <c r="E61" i="6"/>
  <c r="F61" i="6" s="1"/>
  <c r="G61" i="6" s="1"/>
  <c r="H61" i="6" s="1"/>
  <c r="I61" i="6" s="1"/>
  <c r="J61" i="6" s="1"/>
  <c r="K61" i="6" s="1"/>
  <c r="F60" i="6"/>
  <c r="E60" i="6"/>
  <c r="D58" i="6"/>
  <c r="D62" i="6" s="1"/>
  <c r="E69" i="6" s="1"/>
  <c r="E57" i="6"/>
  <c r="F55" i="6"/>
  <c r="G55" i="6" s="1"/>
  <c r="H55" i="6" s="1"/>
  <c r="I55" i="6" s="1"/>
  <c r="J55" i="6" s="1"/>
  <c r="K55" i="6" s="1"/>
  <c r="E55" i="6"/>
  <c r="E54" i="6"/>
  <c r="F54" i="6" s="1"/>
  <c r="G54" i="6" s="1"/>
  <c r="H54" i="6" s="1"/>
  <c r="I54" i="6" s="1"/>
  <c r="J54" i="6" s="1"/>
  <c r="K54" i="6" s="1"/>
  <c r="F53" i="6"/>
  <c r="G53" i="6" s="1"/>
  <c r="H53" i="6" s="1"/>
  <c r="I53" i="6" s="1"/>
  <c r="J53" i="6" s="1"/>
  <c r="K53" i="6" s="1"/>
  <c r="E53" i="6"/>
  <c r="E52" i="6"/>
  <c r="F52" i="6" s="1"/>
  <c r="G52" i="6" s="1"/>
  <c r="H52" i="6" s="1"/>
  <c r="I52" i="6" s="1"/>
  <c r="J52" i="6" s="1"/>
  <c r="K52" i="6" s="1"/>
  <c r="H51" i="6"/>
  <c r="I51" i="6" s="1"/>
  <c r="J51" i="6" s="1"/>
  <c r="K51" i="6" s="1"/>
  <c r="F51" i="6"/>
  <c r="G51" i="6" s="1"/>
  <c r="E51" i="6"/>
  <c r="G50" i="6"/>
  <c r="E50" i="6"/>
  <c r="F50" i="6" s="1"/>
  <c r="F49" i="6"/>
  <c r="E49" i="6"/>
  <c r="F75" i="6" s="1"/>
  <c r="F48" i="6"/>
  <c r="G48" i="6" s="1"/>
  <c r="H48" i="6" s="1"/>
  <c r="E48" i="6"/>
  <c r="K10" i="6"/>
  <c r="K23" i="6" s="1"/>
  <c r="K31" i="6" s="1"/>
  <c r="E10" i="6"/>
  <c r="E23" i="6" s="1"/>
  <c r="E31" i="6" s="1"/>
  <c r="D10" i="6"/>
  <c r="D23" i="6" s="1"/>
  <c r="D31" i="6" s="1"/>
  <c r="E97" i="5"/>
  <c r="K95" i="5"/>
  <c r="J95" i="5"/>
  <c r="I95" i="5"/>
  <c r="H95" i="5"/>
  <c r="G95" i="5"/>
  <c r="F95" i="5"/>
  <c r="E95" i="5"/>
  <c r="C94" i="5"/>
  <c r="C89" i="5"/>
  <c r="C86" i="5"/>
  <c r="D76" i="5"/>
  <c r="E75" i="5"/>
  <c r="E74" i="5"/>
  <c r="F74" i="5" s="1"/>
  <c r="G74" i="5" s="1"/>
  <c r="H74" i="5" s="1"/>
  <c r="I74" i="5" s="1"/>
  <c r="J74" i="5" s="1"/>
  <c r="K74" i="5" s="1"/>
  <c r="E73" i="5"/>
  <c r="E71" i="5"/>
  <c r="F71" i="5" s="1"/>
  <c r="G71" i="5" s="1"/>
  <c r="H71" i="5" s="1"/>
  <c r="I71" i="5" s="1"/>
  <c r="J71" i="5" s="1"/>
  <c r="K71" i="5" s="1"/>
  <c r="D70" i="5"/>
  <c r="E68" i="5"/>
  <c r="D65" i="5"/>
  <c r="D62" i="5"/>
  <c r="E69" i="5" s="1"/>
  <c r="E61" i="5"/>
  <c r="F61" i="5" s="1"/>
  <c r="G61" i="5" s="1"/>
  <c r="H61" i="5" s="1"/>
  <c r="I61" i="5" s="1"/>
  <c r="J61" i="5" s="1"/>
  <c r="K61" i="5" s="1"/>
  <c r="E60" i="5"/>
  <c r="F60" i="5" s="1"/>
  <c r="G60" i="5" s="1"/>
  <c r="D58" i="5"/>
  <c r="E55" i="5"/>
  <c r="F55" i="5" s="1"/>
  <c r="G55" i="5" s="1"/>
  <c r="H55" i="5" s="1"/>
  <c r="I55" i="5" s="1"/>
  <c r="J55" i="5" s="1"/>
  <c r="K55" i="5" s="1"/>
  <c r="E54" i="5"/>
  <c r="F54" i="5" s="1"/>
  <c r="G54" i="5" s="1"/>
  <c r="H54" i="5" s="1"/>
  <c r="I54" i="5" s="1"/>
  <c r="J54" i="5" s="1"/>
  <c r="K54" i="5" s="1"/>
  <c r="E53" i="5"/>
  <c r="F53" i="5" s="1"/>
  <c r="G53" i="5" s="1"/>
  <c r="H53" i="5" s="1"/>
  <c r="I53" i="5" s="1"/>
  <c r="J53" i="5" s="1"/>
  <c r="K53" i="5" s="1"/>
  <c r="F52" i="5"/>
  <c r="G52" i="5" s="1"/>
  <c r="H52" i="5" s="1"/>
  <c r="I52" i="5" s="1"/>
  <c r="J52" i="5" s="1"/>
  <c r="K52" i="5" s="1"/>
  <c r="E52" i="5"/>
  <c r="E51" i="5"/>
  <c r="F51" i="5" s="1"/>
  <c r="G51" i="5" s="1"/>
  <c r="H51" i="5" s="1"/>
  <c r="I51" i="5" s="1"/>
  <c r="J51" i="5" s="1"/>
  <c r="K51" i="5" s="1"/>
  <c r="E50" i="5"/>
  <c r="F50" i="5" s="1"/>
  <c r="G50" i="5" s="1"/>
  <c r="E49" i="5"/>
  <c r="E48" i="5"/>
  <c r="F48" i="5" s="1"/>
  <c r="D23" i="5"/>
  <c r="D31" i="5" s="1"/>
  <c r="K10" i="5"/>
  <c r="K23" i="5" s="1"/>
  <c r="K31" i="5" s="1"/>
  <c r="E10" i="5"/>
  <c r="E23" i="5" s="1"/>
  <c r="E31" i="5" s="1"/>
  <c r="D10" i="5"/>
  <c r="E97" i="4"/>
  <c r="K95" i="4"/>
  <c r="J95" i="4"/>
  <c r="I95" i="4"/>
  <c r="H95" i="4"/>
  <c r="G95" i="4"/>
  <c r="F95" i="4"/>
  <c r="E95" i="4"/>
  <c r="C94" i="4"/>
  <c r="C89" i="4"/>
  <c r="C86" i="4"/>
  <c r="E75" i="4"/>
  <c r="J74" i="4"/>
  <c r="K74" i="4" s="1"/>
  <c r="F74" i="4"/>
  <c r="G74" i="4" s="1"/>
  <c r="H74" i="4" s="1"/>
  <c r="I74" i="4" s="1"/>
  <c r="E74" i="4"/>
  <c r="E73" i="4"/>
  <c r="E72" i="4" s="1"/>
  <c r="E71" i="4"/>
  <c r="F71" i="4" s="1"/>
  <c r="G71" i="4" s="1"/>
  <c r="H71" i="4" s="1"/>
  <c r="I71" i="4" s="1"/>
  <c r="J71" i="4" s="1"/>
  <c r="K71" i="4" s="1"/>
  <c r="D70" i="4"/>
  <c r="D76" i="4" s="1"/>
  <c r="E68" i="4"/>
  <c r="D65" i="4"/>
  <c r="E61" i="4"/>
  <c r="F61" i="4" s="1"/>
  <c r="G61" i="4" s="1"/>
  <c r="H61" i="4" s="1"/>
  <c r="I61" i="4" s="1"/>
  <c r="J61" i="4" s="1"/>
  <c r="K61" i="4" s="1"/>
  <c r="F60" i="4"/>
  <c r="E60" i="4"/>
  <c r="D58" i="4"/>
  <c r="D62" i="4" s="1"/>
  <c r="E69" i="4" s="1"/>
  <c r="H55" i="4"/>
  <c r="I55" i="4" s="1"/>
  <c r="J55" i="4" s="1"/>
  <c r="K55" i="4" s="1"/>
  <c r="E55" i="4"/>
  <c r="F55" i="4" s="1"/>
  <c r="G55" i="4" s="1"/>
  <c r="E54" i="4"/>
  <c r="F54" i="4" s="1"/>
  <c r="G54" i="4" s="1"/>
  <c r="H54" i="4" s="1"/>
  <c r="I54" i="4" s="1"/>
  <c r="J54" i="4" s="1"/>
  <c r="K54" i="4" s="1"/>
  <c r="J53" i="4"/>
  <c r="K53" i="4" s="1"/>
  <c r="F53" i="4"/>
  <c r="G53" i="4" s="1"/>
  <c r="H53" i="4" s="1"/>
  <c r="I53" i="4" s="1"/>
  <c r="E53" i="4"/>
  <c r="I52" i="4"/>
  <c r="J52" i="4" s="1"/>
  <c r="K52" i="4" s="1"/>
  <c r="E52" i="4"/>
  <c r="F52" i="4" s="1"/>
  <c r="G52" i="4" s="1"/>
  <c r="H52" i="4" s="1"/>
  <c r="E51" i="4"/>
  <c r="F51" i="4" s="1"/>
  <c r="G51" i="4" s="1"/>
  <c r="H51" i="4" s="1"/>
  <c r="I51" i="4" s="1"/>
  <c r="J51" i="4" s="1"/>
  <c r="K51" i="4" s="1"/>
  <c r="G50" i="4"/>
  <c r="E50" i="4"/>
  <c r="F50" i="4" s="1"/>
  <c r="F49" i="4"/>
  <c r="E49" i="4"/>
  <c r="F75" i="4" s="1"/>
  <c r="E48" i="4"/>
  <c r="F48" i="4" s="1"/>
  <c r="K10" i="4"/>
  <c r="K23" i="4" s="1"/>
  <c r="K31" i="4" s="1"/>
  <c r="E10" i="4"/>
  <c r="E23" i="4" s="1"/>
  <c r="E31" i="4" s="1"/>
  <c r="D10" i="4"/>
  <c r="D23" i="4" s="1"/>
  <c r="D31" i="4" s="1"/>
  <c r="E97" i="2"/>
  <c r="K95" i="2"/>
  <c r="J95" i="2"/>
  <c r="I95" i="2"/>
  <c r="H95" i="2"/>
  <c r="G95" i="2"/>
  <c r="F95" i="2"/>
  <c r="E95" i="2"/>
  <c r="C94" i="2"/>
  <c r="C89" i="2"/>
  <c r="C86" i="2"/>
  <c r="E75" i="2"/>
  <c r="F74" i="2"/>
  <c r="G74" i="2" s="1"/>
  <c r="H74" i="2" s="1"/>
  <c r="I74" i="2" s="1"/>
  <c r="J74" i="2" s="1"/>
  <c r="K74" i="2" s="1"/>
  <c r="E74" i="2"/>
  <c r="E73" i="2"/>
  <c r="E72" i="2" s="1"/>
  <c r="E71" i="2"/>
  <c r="F71" i="2" s="1"/>
  <c r="G71" i="2" s="1"/>
  <c r="H71" i="2" s="1"/>
  <c r="I71" i="2" s="1"/>
  <c r="J71" i="2" s="1"/>
  <c r="K71" i="2" s="1"/>
  <c r="D70" i="2"/>
  <c r="D76" i="2" s="1"/>
  <c r="E68" i="2"/>
  <c r="D65" i="2"/>
  <c r="F61" i="2"/>
  <c r="G61" i="2" s="1"/>
  <c r="H61" i="2" s="1"/>
  <c r="I61" i="2" s="1"/>
  <c r="J61" i="2" s="1"/>
  <c r="K61" i="2" s="1"/>
  <c r="E61" i="2"/>
  <c r="E60" i="2"/>
  <c r="D58" i="2"/>
  <c r="D62" i="2" s="1"/>
  <c r="E69" i="2" s="1"/>
  <c r="G55" i="2"/>
  <c r="H55" i="2" s="1"/>
  <c r="I55" i="2" s="1"/>
  <c r="J55" i="2" s="1"/>
  <c r="K55" i="2" s="1"/>
  <c r="F55" i="2"/>
  <c r="E55" i="2"/>
  <c r="F54" i="2"/>
  <c r="G54" i="2" s="1"/>
  <c r="H54" i="2" s="1"/>
  <c r="I54" i="2" s="1"/>
  <c r="J54" i="2" s="1"/>
  <c r="K54" i="2" s="1"/>
  <c r="E54" i="2"/>
  <c r="E53" i="2"/>
  <c r="F53" i="2" s="1"/>
  <c r="G53" i="2" s="1"/>
  <c r="H53" i="2" s="1"/>
  <c r="I53" i="2" s="1"/>
  <c r="J53" i="2" s="1"/>
  <c r="K53" i="2" s="1"/>
  <c r="H52" i="2"/>
  <c r="I52" i="2" s="1"/>
  <c r="J52" i="2" s="1"/>
  <c r="K52" i="2" s="1"/>
  <c r="G52" i="2"/>
  <c r="F52" i="2"/>
  <c r="E52" i="2"/>
  <c r="G51" i="2"/>
  <c r="H51" i="2" s="1"/>
  <c r="I51" i="2" s="1"/>
  <c r="J51" i="2" s="1"/>
  <c r="K51" i="2" s="1"/>
  <c r="F51" i="2"/>
  <c r="E51" i="2"/>
  <c r="F50" i="2"/>
  <c r="G73" i="2" s="1"/>
  <c r="E50" i="2"/>
  <c r="F73" i="2" s="1"/>
  <c r="E49" i="2"/>
  <c r="F75" i="2" s="1"/>
  <c r="G48" i="2"/>
  <c r="H48" i="2" s="1"/>
  <c r="F48" i="2"/>
  <c r="E48" i="2"/>
  <c r="K10" i="2"/>
  <c r="K23" i="2" s="1"/>
  <c r="K31" i="2" s="1"/>
  <c r="F10" i="2"/>
  <c r="F23" i="2" s="1"/>
  <c r="F31" i="2" s="1"/>
  <c r="E10" i="2"/>
  <c r="E23" i="2" s="1"/>
  <c r="E31" i="2" s="1"/>
  <c r="D10" i="2"/>
  <c r="D23" i="2" s="1"/>
  <c r="D31" i="2" s="1"/>
  <c r="I100" i="1"/>
  <c r="J100" i="1"/>
  <c r="K100" i="1"/>
  <c r="I96" i="1"/>
  <c r="F95" i="1"/>
  <c r="G95" i="1"/>
  <c r="H95" i="1"/>
  <c r="I95" i="1"/>
  <c r="J95" i="1"/>
  <c r="K95" i="1"/>
  <c r="I94" i="1"/>
  <c r="J94" i="1"/>
  <c r="K94" i="1"/>
  <c r="C94" i="1"/>
  <c r="I91" i="1"/>
  <c r="J91" i="1"/>
  <c r="K91" i="1"/>
  <c r="I90" i="1"/>
  <c r="J90" i="1"/>
  <c r="K90" i="1"/>
  <c r="I89" i="1"/>
  <c r="J89" i="1"/>
  <c r="K89" i="1"/>
  <c r="C89" i="1"/>
  <c r="I88" i="1"/>
  <c r="J88" i="1"/>
  <c r="K88" i="1"/>
  <c r="H87" i="1"/>
  <c r="I87" i="1"/>
  <c r="J87" i="1"/>
  <c r="K87" i="1"/>
  <c r="I86" i="1"/>
  <c r="J86" i="1"/>
  <c r="K86" i="1"/>
  <c r="C86" i="1"/>
  <c r="I83" i="1"/>
  <c r="J83" i="1"/>
  <c r="K83" i="1"/>
  <c r="I79" i="1"/>
  <c r="J79" i="1"/>
  <c r="K79" i="1"/>
  <c r="I80" i="1"/>
  <c r="J80" i="1"/>
  <c r="K80" i="1"/>
  <c r="H82" i="1"/>
  <c r="I82" i="1"/>
  <c r="J82" i="1"/>
  <c r="K82" i="1"/>
  <c r="I48" i="6" l="1"/>
  <c r="H10" i="6"/>
  <c r="H23" i="6" s="1"/>
  <c r="H31" i="6" s="1"/>
  <c r="F65" i="6"/>
  <c r="F63" i="6" s="1"/>
  <c r="F58" i="6"/>
  <c r="F62" i="6" s="1"/>
  <c r="G69" i="6" s="1"/>
  <c r="F57" i="6"/>
  <c r="G49" i="6"/>
  <c r="G75" i="6"/>
  <c r="G60" i="6"/>
  <c r="H73" i="6"/>
  <c r="H68" i="6"/>
  <c r="H50" i="6"/>
  <c r="D77" i="6"/>
  <c r="D78" i="6" s="1"/>
  <c r="D80" i="6" s="1"/>
  <c r="G10" i="6"/>
  <c r="G23" i="6" s="1"/>
  <c r="G31" i="6" s="1"/>
  <c r="G73" i="6"/>
  <c r="G72" i="6" s="1"/>
  <c r="G68" i="6"/>
  <c r="E58" i="6"/>
  <c r="E72" i="6"/>
  <c r="E76" i="6" s="1"/>
  <c r="E65" i="6"/>
  <c r="E63" i="6" s="1"/>
  <c r="F68" i="6"/>
  <c r="F73" i="6"/>
  <c r="F72" i="6" s="1"/>
  <c r="F10" i="6"/>
  <c r="F23" i="6" s="1"/>
  <c r="F31" i="6" s="1"/>
  <c r="G48" i="5"/>
  <c r="F10" i="5"/>
  <c r="F23" i="5" s="1"/>
  <c r="F31" i="5" s="1"/>
  <c r="H73" i="5"/>
  <c r="H68" i="5"/>
  <c r="D77" i="5"/>
  <c r="D78" i="5" s="1"/>
  <c r="D80" i="5" s="1"/>
  <c r="E70" i="5"/>
  <c r="F73" i="5"/>
  <c r="F72" i="5" s="1"/>
  <c r="F68" i="5"/>
  <c r="G73" i="5"/>
  <c r="G72" i="5" s="1"/>
  <c r="E72" i="5"/>
  <c r="H50" i="5"/>
  <c r="H60" i="5"/>
  <c r="G68" i="5"/>
  <c r="F75" i="5"/>
  <c r="F49" i="5"/>
  <c r="E57" i="5"/>
  <c r="E58" i="5" s="1"/>
  <c r="G48" i="4"/>
  <c r="F10" i="4"/>
  <c r="F23" i="4" s="1"/>
  <c r="F31" i="4" s="1"/>
  <c r="E57" i="4"/>
  <c r="E58" i="4" s="1"/>
  <c r="E70" i="4"/>
  <c r="E76" i="4" s="1"/>
  <c r="D77" i="4"/>
  <c r="D78" i="4" s="1"/>
  <c r="D80" i="4" s="1"/>
  <c r="F65" i="4"/>
  <c r="F63" i="4" s="1"/>
  <c r="F58" i="4"/>
  <c r="F62" i="4" s="1"/>
  <c r="G69" i="4" s="1"/>
  <c r="F57" i="4"/>
  <c r="G49" i="4"/>
  <c r="G73" i="4"/>
  <c r="G68" i="4"/>
  <c r="G75" i="4"/>
  <c r="H73" i="4"/>
  <c r="H68" i="4"/>
  <c r="H50" i="4"/>
  <c r="G60" i="4"/>
  <c r="E65" i="4"/>
  <c r="E63" i="4" s="1"/>
  <c r="F68" i="4"/>
  <c r="F73" i="4"/>
  <c r="F72" i="4" s="1"/>
  <c r="I48" i="2"/>
  <c r="H10" i="2"/>
  <c r="H23" i="2" s="1"/>
  <c r="H31" i="2" s="1"/>
  <c r="E70" i="2"/>
  <c r="E76" i="2" s="1"/>
  <c r="D77" i="2"/>
  <c r="D78" i="2" s="1"/>
  <c r="D80" i="2" s="1"/>
  <c r="G10" i="2"/>
  <c r="G23" i="2" s="1"/>
  <c r="G31" i="2" s="1"/>
  <c r="F49" i="2"/>
  <c r="G50" i="2"/>
  <c r="E57" i="2"/>
  <c r="E58" i="2" s="1"/>
  <c r="F60" i="2"/>
  <c r="F72" i="2" s="1"/>
  <c r="F68" i="2"/>
  <c r="G68" i="2"/>
  <c r="E77" i="6" l="1"/>
  <c r="E78" i="6" s="1"/>
  <c r="E62" i="6"/>
  <c r="F69" i="6" s="1"/>
  <c r="F87" i="6"/>
  <c r="F82" i="6"/>
  <c r="I50" i="6"/>
  <c r="I68" i="6"/>
  <c r="I73" i="6"/>
  <c r="F70" i="6"/>
  <c r="F76" i="6" s="1"/>
  <c r="G70" i="6"/>
  <c r="G76" i="6" s="1"/>
  <c r="G57" i="6"/>
  <c r="G65" i="6" s="1"/>
  <c r="G63" i="6" s="1"/>
  <c r="H49" i="6"/>
  <c r="H75" i="6"/>
  <c r="E87" i="6"/>
  <c r="E82" i="6"/>
  <c r="H60" i="6"/>
  <c r="J48" i="6"/>
  <c r="J10" i="6" s="1"/>
  <c r="J23" i="6" s="1"/>
  <c r="J31" i="6" s="1"/>
  <c r="I10" i="6"/>
  <c r="I23" i="6" s="1"/>
  <c r="I31" i="6" s="1"/>
  <c r="E65" i="5"/>
  <c r="E63" i="5" s="1"/>
  <c r="E62" i="5" s="1"/>
  <c r="F69" i="5" s="1"/>
  <c r="F70" i="5" s="1"/>
  <c r="F76" i="5" s="1"/>
  <c r="I60" i="5"/>
  <c r="E82" i="5"/>
  <c r="G75" i="5"/>
  <c r="F57" i="5"/>
  <c r="F58" i="5" s="1"/>
  <c r="G49" i="5"/>
  <c r="I73" i="5"/>
  <c r="I68" i="5"/>
  <c r="I50" i="5"/>
  <c r="E76" i="5"/>
  <c r="H72" i="5"/>
  <c r="H48" i="5"/>
  <c r="G10" i="5"/>
  <c r="G23" i="5" s="1"/>
  <c r="G31" i="5" s="1"/>
  <c r="G70" i="4"/>
  <c r="G72" i="4"/>
  <c r="F87" i="4"/>
  <c r="F82" i="4"/>
  <c r="E62" i="4"/>
  <c r="F69" i="4" s="1"/>
  <c r="F70" i="4" s="1"/>
  <c r="F76" i="4" s="1"/>
  <c r="E77" i="4"/>
  <c r="E78" i="4" s="1"/>
  <c r="H60" i="4"/>
  <c r="G57" i="4"/>
  <c r="G65" i="4" s="1"/>
  <c r="G63" i="4" s="1"/>
  <c r="H49" i="4"/>
  <c r="H75" i="4"/>
  <c r="I50" i="4"/>
  <c r="I68" i="4"/>
  <c r="I73" i="4"/>
  <c r="E87" i="4"/>
  <c r="E82" i="4"/>
  <c r="G10" i="4"/>
  <c r="G23" i="4" s="1"/>
  <c r="G31" i="4" s="1"/>
  <c r="H48" i="4"/>
  <c r="E65" i="2"/>
  <c r="E63" i="2" s="1"/>
  <c r="H73" i="2"/>
  <c r="H68" i="2"/>
  <c r="H50" i="2"/>
  <c r="G60" i="2"/>
  <c r="F57" i="2"/>
  <c r="F65" i="2" s="1"/>
  <c r="F63" i="2" s="1"/>
  <c r="G49" i="2"/>
  <c r="G75" i="2"/>
  <c r="E77" i="2"/>
  <c r="E78" i="2" s="1"/>
  <c r="J48" i="2"/>
  <c r="J10" i="2" s="1"/>
  <c r="J23" i="2" s="1"/>
  <c r="J31" i="2" s="1"/>
  <c r="I10" i="2"/>
  <c r="I23" i="2" s="1"/>
  <c r="I31" i="2" s="1"/>
  <c r="G87" i="6" l="1"/>
  <c r="G82" i="6"/>
  <c r="E86" i="6"/>
  <c r="E88" i="6" s="1"/>
  <c r="E100" i="6"/>
  <c r="E80" i="6"/>
  <c r="E90" i="6" s="1"/>
  <c r="G77" i="6"/>
  <c r="G78" i="6" s="1"/>
  <c r="J50" i="6"/>
  <c r="J73" i="6"/>
  <c r="J68" i="6"/>
  <c r="I60" i="6"/>
  <c r="G58" i="6"/>
  <c r="G62" i="6" s="1"/>
  <c r="H69" i="6" s="1"/>
  <c r="H70" i="6" s="1"/>
  <c r="F77" i="6"/>
  <c r="F78" i="6" s="1"/>
  <c r="I72" i="6"/>
  <c r="H57" i="6"/>
  <c r="H58" i="6" s="1"/>
  <c r="I49" i="6"/>
  <c r="I75" i="6"/>
  <c r="H72" i="6"/>
  <c r="F65" i="5"/>
  <c r="F63" i="5" s="1"/>
  <c r="F87" i="5" s="1"/>
  <c r="E87" i="5"/>
  <c r="F82" i="5"/>
  <c r="I48" i="5"/>
  <c r="H10" i="5"/>
  <c r="H23" i="5" s="1"/>
  <c r="H31" i="5" s="1"/>
  <c r="I72" i="5"/>
  <c r="J50" i="5"/>
  <c r="J73" i="5"/>
  <c r="J72" i="5" s="1"/>
  <c r="J68" i="5"/>
  <c r="J60" i="5"/>
  <c r="E77" i="5"/>
  <c r="E78" i="5" s="1"/>
  <c r="G57" i="5"/>
  <c r="G65" i="5" s="1"/>
  <c r="G63" i="5" s="1"/>
  <c r="H75" i="5"/>
  <c r="H49" i="5"/>
  <c r="F77" i="5"/>
  <c r="F78" i="5" s="1"/>
  <c r="E86" i="4"/>
  <c r="E88" i="4" s="1"/>
  <c r="E100" i="4"/>
  <c r="E80" i="4"/>
  <c r="E90" i="4" s="1"/>
  <c r="G82" i="4"/>
  <c r="G87" i="4"/>
  <c r="I60" i="4"/>
  <c r="G58" i="4"/>
  <c r="G62" i="4" s="1"/>
  <c r="H69" i="4" s="1"/>
  <c r="H70" i="4" s="1"/>
  <c r="I48" i="4"/>
  <c r="H10" i="4"/>
  <c r="H23" i="4" s="1"/>
  <c r="H31" i="4" s="1"/>
  <c r="F77" i="4"/>
  <c r="F78" i="4" s="1"/>
  <c r="J50" i="4"/>
  <c r="J73" i="4"/>
  <c r="J68" i="4"/>
  <c r="I72" i="4"/>
  <c r="H57" i="4"/>
  <c r="H58" i="4" s="1"/>
  <c r="I49" i="4"/>
  <c r="I75" i="4"/>
  <c r="H72" i="4"/>
  <c r="G76" i="4"/>
  <c r="F87" i="2"/>
  <c r="F82" i="2"/>
  <c r="E86" i="2"/>
  <c r="E100" i="2"/>
  <c r="G58" i="2"/>
  <c r="G57" i="2"/>
  <c r="H49" i="2"/>
  <c r="H75" i="2"/>
  <c r="G65" i="2"/>
  <c r="G63" i="2" s="1"/>
  <c r="F58" i="2"/>
  <c r="F62" i="2" s="1"/>
  <c r="G69" i="2" s="1"/>
  <c r="G70" i="2" s="1"/>
  <c r="G76" i="2" s="1"/>
  <c r="E87" i="2"/>
  <c r="E82" i="2"/>
  <c r="H60" i="2"/>
  <c r="G72" i="2"/>
  <c r="I50" i="2"/>
  <c r="I73" i="2"/>
  <c r="I68" i="2"/>
  <c r="E62" i="2"/>
  <c r="F69" i="2" s="1"/>
  <c r="F70" i="2" s="1"/>
  <c r="F76" i="2" s="1"/>
  <c r="E83" i="6" l="1"/>
  <c r="F100" i="6"/>
  <c r="F86" i="6"/>
  <c r="F88" i="6" s="1"/>
  <c r="F80" i="6"/>
  <c r="G80" i="6"/>
  <c r="G90" i="6" s="1"/>
  <c r="G100" i="6"/>
  <c r="G86" i="6"/>
  <c r="G88" i="6" s="1"/>
  <c r="H76" i="6"/>
  <c r="E79" i="6"/>
  <c r="E89" i="6" s="1"/>
  <c r="E91" i="6" s="1"/>
  <c r="E94" i="6"/>
  <c r="J75" i="6"/>
  <c r="J49" i="6"/>
  <c r="I57" i="6"/>
  <c r="I65" i="6" s="1"/>
  <c r="I63" i="6" s="1"/>
  <c r="I58" i="6"/>
  <c r="J60" i="6"/>
  <c r="J72" i="6" s="1"/>
  <c r="K73" i="6"/>
  <c r="K68" i="6"/>
  <c r="K50" i="6"/>
  <c r="H65" i="6"/>
  <c r="H63" i="6" s="1"/>
  <c r="F62" i="5"/>
  <c r="G69" i="5" s="1"/>
  <c r="G70" i="5" s="1"/>
  <c r="G76" i="5" s="1"/>
  <c r="G87" i="5"/>
  <c r="G82" i="5"/>
  <c r="F86" i="5"/>
  <c r="F88" i="5" s="1"/>
  <c r="F100" i="5"/>
  <c r="F80" i="5"/>
  <c r="F90" i="5" s="1"/>
  <c r="E100" i="5"/>
  <c r="E86" i="5"/>
  <c r="E88" i="5" s="1"/>
  <c r="E80" i="5"/>
  <c r="H65" i="5"/>
  <c r="H63" i="5" s="1"/>
  <c r="H57" i="5"/>
  <c r="H58" i="5" s="1"/>
  <c r="I49" i="5"/>
  <c r="I75" i="5"/>
  <c r="J48" i="5"/>
  <c r="J10" i="5" s="1"/>
  <c r="J23" i="5" s="1"/>
  <c r="J31" i="5" s="1"/>
  <c r="I10" i="5"/>
  <c r="I23" i="5" s="1"/>
  <c r="I31" i="5" s="1"/>
  <c r="G77" i="5"/>
  <c r="G78" i="5" s="1"/>
  <c r="K60" i="5"/>
  <c r="G58" i="5"/>
  <c r="G62" i="5" s="1"/>
  <c r="H69" i="5" s="1"/>
  <c r="H70" i="5" s="1"/>
  <c r="H76" i="5" s="1"/>
  <c r="K50" i="5"/>
  <c r="K68" i="5"/>
  <c r="K73" i="5"/>
  <c r="K72" i="5" s="1"/>
  <c r="E83" i="4"/>
  <c r="E79" i="4"/>
  <c r="E89" i="4" s="1"/>
  <c r="E91" i="4" s="1"/>
  <c r="G77" i="4"/>
  <c r="G78" i="4"/>
  <c r="J75" i="4"/>
  <c r="I57" i="4"/>
  <c r="I65" i="4" s="1"/>
  <c r="I63" i="4" s="1"/>
  <c r="I58" i="4"/>
  <c r="J49" i="4"/>
  <c r="F100" i="4"/>
  <c r="F80" i="4"/>
  <c r="F79" i="4" s="1"/>
  <c r="F89" i="4" s="1"/>
  <c r="F86" i="4"/>
  <c r="F88" i="4" s="1"/>
  <c r="H76" i="4"/>
  <c r="H65" i="4"/>
  <c r="H63" i="4" s="1"/>
  <c r="K73" i="4"/>
  <c r="K68" i="4"/>
  <c r="K50" i="4"/>
  <c r="J60" i="4"/>
  <c r="J48" i="4"/>
  <c r="J10" i="4" s="1"/>
  <c r="J23" i="4" s="1"/>
  <c r="J31" i="4" s="1"/>
  <c r="I10" i="4"/>
  <c r="I23" i="4" s="1"/>
  <c r="I31" i="4" s="1"/>
  <c r="E94" i="4"/>
  <c r="I60" i="2"/>
  <c r="I72" i="2" s="1"/>
  <c r="G77" i="2"/>
  <c r="G78" i="2" s="1"/>
  <c r="G62" i="2"/>
  <c r="H69" i="2" s="1"/>
  <c r="H70" i="2" s="1"/>
  <c r="H76" i="2" s="1"/>
  <c r="J50" i="2"/>
  <c r="J73" i="2"/>
  <c r="J68" i="2"/>
  <c r="I75" i="2"/>
  <c r="H58" i="2"/>
  <c r="I49" i="2"/>
  <c r="H65" i="2"/>
  <c r="H63" i="2" s="1"/>
  <c r="H57" i="2"/>
  <c r="E80" i="2"/>
  <c r="E83" i="2" s="1"/>
  <c r="G82" i="2"/>
  <c r="G87" i="2"/>
  <c r="E88" i="2"/>
  <c r="F77" i="2"/>
  <c r="F78" i="2" s="1"/>
  <c r="H72" i="2"/>
  <c r="I82" i="6" l="1"/>
  <c r="I87" i="6"/>
  <c r="H82" i="6"/>
  <c r="H87" i="6"/>
  <c r="K72" i="6"/>
  <c r="G79" i="6"/>
  <c r="G89" i="6" s="1"/>
  <c r="F94" i="6"/>
  <c r="I62" i="6"/>
  <c r="J69" i="6" s="1"/>
  <c r="J70" i="6" s="1"/>
  <c r="J76" i="6" s="1"/>
  <c r="K60" i="6"/>
  <c r="J65" i="6"/>
  <c r="J63" i="6" s="1"/>
  <c r="J58" i="6"/>
  <c r="J62" i="6" s="1"/>
  <c r="K69" i="6" s="1"/>
  <c r="K70" i="6" s="1"/>
  <c r="K76" i="6" s="1"/>
  <c r="J57" i="6"/>
  <c r="K49" i="6"/>
  <c r="K75" i="6"/>
  <c r="H77" i="6"/>
  <c r="H78" i="6" s="1"/>
  <c r="F90" i="6"/>
  <c r="F83" i="6"/>
  <c r="G83" i="6"/>
  <c r="G94" i="6"/>
  <c r="G91" i="6"/>
  <c r="F79" i="6"/>
  <c r="F89" i="6" s="1"/>
  <c r="H62" i="6"/>
  <c r="I69" i="6" s="1"/>
  <c r="I70" i="6" s="1"/>
  <c r="I76" i="6" s="1"/>
  <c r="H62" i="5"/>
  <c r="I69" i="5" s="1"/>
  <c r="I70" i="5" s="1"/>
  <c r="I76" i="5" s="1"/>
  <c r="I77" i="5" s="1"/>
  <c r="I78" i="5" s="1"/>
  <c r="F83" i="5"/>
  <c r="F79" i="5"/>
  <c r="F89" i="5" s="1"/>
  <c r="G100" i="5"/>
  <c r="G80" i="5"/>
  <c r="G90" i="5" s="1"/>
  <c r="G86" i="5"/>
  <c r="G88" i="5" s="1"/>
  <c r="F94" i="5"/>
  <c r="F91" i="5"/>
  <c r="E90" i="5"/>
  <c r="E91" i="5" s="1"/>
  <c r="E83" i="5"/>
  <c r="E79" i="5"/>
  <c r="E89" i="5" s="1"/>
  <c r="H82" i="5"/>
  <c r="H87" i="5"/>
  <c r="I57" i="5"/>
  <c r="I58" i="5" s="1"/>
  <c r="J49" i="5"/>
  <c r="J75" i="5"/>
  <c r="I65" i="5"/>
  <c r="I63" i="5" s="1"/>
  <c r="H77" i="5"/>
  <c r="H78" i="5" s="1"/>
  <c r="E94" i="5"/>
  <c r="I87" i="4"/>
  <c r="I82" i="4"/>
  <c r="F94" i="4"/>
  <c r="K60" i="4"/>
  <c r="G80" i="4"/>
  <c r="G100" i="4"/>
  <c r="G86" i="4"/>
  <c r="G88" i="4" s="1"/>
  <c r="H78" i="4"/>
  <c r="H77" i="4"/>
  <c r="F90" i="4"/>
  <c r="F91" i="4" s="1"/>
  <c r="F83" i="4"/>
  <c r="K72" i="4"/>
  <c r="J57" i="4"/>
  <c r="J65" i="4" s="1"/>
  <c r="J63" i="4" s="1"/>
  <c r="K49" i="4"/>
  <c r="K75" i="4"/>
  <c r="H82" i="4"/>
  <c r="H87" i="4"/>
  <c r="I62" i="4"/>
  <c r="J69" i="4" s="1"/>
  <c r="J70" i="4" s="1"/>
  <c r="J72" i="4"/>
  <c r="H62" i="4"/>
  <c r="I69" i="4" s="1"/>
  <c r="I70" i="4" s="1"/>
  <c r="I76" i="4" s="1"/>
  <c r="F100" i="2"/>
  <c r="F80" i="2"/>
  <c r="F79" i="2" s="1"/>
  <c r="F89" i="2" s="1"/>
  <c r="F86" i="2"/>
  <c r="F88" i="2" s="1"/>
  <c r="H77" i="2"/>
  <c r="H78" i="2" s="1"/>
  <c r="G80" i="2"/>
  <c r="G90" i="2" s="1"/>
  <c r="G86" i="2"/>
  <c r="G88" i="2" s="1"/>
  <c r="G100" i="2"/>
  <c r="J75" i="2"/>
  <c r="I65" i="2"/>
  <c r="I63" i="2" s="1"/>
  <c r="I57" i="2"/>
  <c r="I58" i="2" s="1"/>
  <c r="I62" i="2" s="1"/>
  <c r="J69" i="2" s="1"/>
  <c r="J70" i="2" s="1"/>
  <c r="J49" i="2"/>
  <c r="H82" i="2"/>
  <c r="H87" i="2"/>
  <c r="E94" i="2"/>
  <c r="J60" i="2"/>
  <c r="E90" i="2"/>
  <c r="E79" i="2"/>
  <c r="E89" i="2" s="1"/>
  <c r="E91" i="2" s="1"/>
  <c r="H62" i="2"/>
  <c r="I69" i="2" s="1"/>
  <c r="I70" i="2" s="1"/>
  <c r="I76" i="2" s="1"/>
  <c r="K73" i="2"/>
  <c r="K68" i="2"/>
  <c r="K50" i="2"/>
  <c r="F91" i="6" l="1"/>
  <c r="K77" i="6"/>
  <c r="K78" i="6" s="1"/>
  <c r="H86" i="6"/>
  <c r="H88" i="6" s="1"/>
  <c r="H100" i="6"/>
  <c r="H80" i="6"/>
  <c r="H90" i="6" s="1"/>
  <c r="J87" i="6"/>
  <c r="J82" i="6"/>
  <c r="J77" i="6"/>
  <c r="J78" i="6" s="1"/>
  <c r="K65" i="6"/>
  <c r="K63" i="6" s="1"/>
  <c r="K57" i="6"/>
  <c r="K58" i="6" s="1"/>
  <c r="K62" i="6" s="1"/>
  <c r="H83" i="6"/>
  <c r="I77" i="6"/>
  <c r="I78" i="6" s="1"/>
  <c r="I62" i="5"/>
  <c r="J69" i="5" s="1"/>
  <c r="J70" i="5" s="1"/>
  <c r="J76" i="5" s="1"/>
  <c r="J77" i="5" s="1"/>
  <c r="J78" i="5" s="1"/>
  <c r="H80" i="5"/>
  <c r="H90" i="5" s="1"/>
  <c r="H86" i="5"/>
  <c r="H88" i="5" s="1"/>
  <c r="H100" i="5"/>
  <c r="I100" i="5"/>
  <c r="I86" i="5"/>
  <c r="K75" i="5"/>
  <c r="K49" i="5"/>
  <c r="J57" i="5"/>
  <c r="J58" i="5" s="1"/>
  <c r="G83" i="5"/>
  <c r="G94" i="5"/>
  <c r="I82" i="5"/>
  <c r="I87" i="5"/>
  <c r="G79" i="5"/>
  <c r="G89" i="5" s="1"/>
  <c r="G91" i="5" s="1"/>
  <c r="J87" i="4"/>
  <c r="J82" i="4"/>
  <c r="K65" i="4"/>
  <c r="K63" i="4" s="1"/>
  <c r="K57" i="4"/>
  <c r="K58" i="4" s="1"/>
  <c r="K62" i="4" s="1"/>
  <c r="G90" i="4"/>
  <c r="G83" i="4"/>
  <c r="G94" i="4"/>
  <c r="H86" i="4"/>
  <c r="H88" i="4" s="1"/>
  <c r="H100" i="4"/>
  <c r="H80" i="4"/>
  <c r="H90" i="4" s="1"/>
  <c r="J58" i="4"/>
  <c r="J62" i="4" s="1"/>
  <c r="K69" i="4" s="1"/>
  <c r="K70" i="4" s="1"/>
  <c r="K76" i="4" s="1"/>
  <c r="I77" i="4"/>
  <c r="I78" i="4" s="1"/>
  <c r="J76" i="4"/>
  <c r="G79" i="4"/>
  <c r="G89" i="4" s="1"/>
  <c r="G91" i="4" s="1"/>
  <c r="G79" i="2"/>
  <c r="G89" i="2" s="1"/>
  <c r="G91" i="2" s="1"/>
  <c r="H86" i="2"/>
  <c r="H88" i="2" s="1"/>
  <c r="H100" i="2"/>
  <c r="H80" i="2"/>
  <c r="H90" i="2" s="1"/>
  <c r="J76" i="2"/>
  <c r="I87" i="2"/>
  <c r="I82" i="2"/>
  <c r="F94" i="2"/>
  <c r="J65" i="2"/>
  <c r="J63" i="2" s="1"/>
  <c r="J57" i="2"/>
  <c r="J58" i="2" s="1"/>
  <c r="J62" i="2" s="1"/>
  <c r="K69" i="2" s="1"/>
  <c r="K70" i="2" s="1"/>
  <c r="K76" i="2" s="1"/>
  <c r="K49" i="2"/>
  <c r="K75" i="2"/>
  <c r="K60" i="2"/>
  <c r="K72" i="2" s="1"/>
  <c r="J72" i="2"/>
  <c r="F90" i="2"/>
  <c r="F91" i="2" s="1"/>
  <c r="F83" i="2"/>
  <c r="I77" i="2"/>
  <c r="I78" i="2" s="1"/>
  <c r="G83" i="2"/>
  <c r="G94" i="2"/>
  <c r="I86" i="6" l="1"/>
  <c r="I88" i="6" s="1"/>
  <c r="I100" i="6"/>
  <c r="I80" i="6"/>
  <c r="I79" i="6" s="1"/>
  <c r="I89" i="6" s="1"/>
  <c r="J100" i="6"/>
  <c r="J86" i="6"/>
  <c r="J88" i="6" s="1"/>
  <c r="J80" i="6"/>
  <c r="J90" i="6" s="1"/>
  <c r="H94" i="6"/>
  <c r="H79" i="6"/>
  <c r="H89" i="6" s="1"/>
  <c r="H91" i="6" s="1"/>
  <c r="K80" i="6"/>
  <c r="K79" i="6"/>
  <c r="K89" i="6" s="1"/>
  <c r="K86" i="6"/>
  <c r="K100" i="6"/>
  <c r="K87" i="6"/>
  <c r="K90" i="6"/>
  <c r="K82" i="6"/>
  <c r="J83" i="6"/>
  <c r="H83" i="5"/>
  <c r="H79" i="5"/>
  <c r="H89" i="5" s="1"/>
  <c r="H91" i="5" s="1"/>
  <c r="J86" i="5"/>
  <c r="J100" i="5"/>
  <c r="J65" i="5"/>
  <c r="J63" i="5" s="1"/>
  <c r="K57" i="5"/>
  <c r="K65" i="5" s="1"/>
  <c r="K63" i="5" s="1"/>
  <c r="I88" i="5"/>
  <c r="I80" i="5"/>
  <c r="I83" i="5" s="1"/>
  <c r="H94" i="5"/>
  <c r="H79" i="4"/>
  <c r="H89" i="4" s="1"/>
  <c r="I86" i="4"/>
  <c r="I88" i="4" s="1"/>
  <c r="I100" i="4"/>
  <c r="I80" i="4"/>
  <c r="I79" i="4" s="1"/>
  <c r="I89" i="4" s="1"/>
  <c r="K82" i="4"/>
  <c r="K87" i="4"/>
  <c r="K77" i="4"/>
  <c r="K78" i="4" s="1"/>
  <c r="J77" i="4"/>
  <c r="J78" i="4" s="1"/>
  <c r="H94" i="4"/>
  <c r="H91" i="4"/>
  <c r="H83" i="4"/>
  <c r="H83" i="2"/>
  <c r="I86" i="2"/>
  <c r="I88" i="2" s="1"/>
  <c r="I100" i="2"/>
  <c r="I80" i="2"/>
  <c r="I90" i="2" s="1"/>
  <c r="K77" i="2"/>
  <c r="K78" i="2" s="1"/>
  <c r="J77" i="2"/>
  <c r="J78" i="2" s="1"/>
  <c r="H79" i="2"/>
  <c r="H89" i="2" s="1"/>
  <c r="H91" i="2" s="1"/>
  <c r="J87" i="2"/>
  <c r="J82" i="2"/>
  <c r="K58" i="2"/>
  <c r="K62" i="2" s="1"/>
  <c r="K57" i="2"/>
  <c r="K65" i="2"/>
  <c r="K63" i="2" s="1"/>
  <c r="H94" i="2"/>
  <c r="J79" i="6" l="1"/>
  <c r="J89" i="6" s="1"/>
  <c r="J91" i="6" s="1"/>
  <c r="I90" i="6"/>
  <c r="I83" i="6"/>
  <c r="K83" i="6"/>
  <c r="K88" i="6"/>
  <c r="J94" i="6"/>
  <c r="I94" i="6"/>
  <c r="I91" i="6"/>
  <c r="K87" i="5"/>
  <c r="K82" i="5"/>
  <c r="I94" i="5"/>
  <c r="K58" i="5"/>
  <c r="K62" i="5" s="1"/>
  <c r="J87" i="5"/>
  <c r="J88" i="5" s="1"/>
  <c r="J82" i="5"/>
  <c r="I79" i="5"/>
  <c r="I89" i="5" s="1"/>
  <c r="I90" i="5"/>
  <c r="J62" i="5"/>
  <c r="K69" i="5" s="1"/>
  <c r="K70" i="5" s="1"/>
  <c r="K76" i="5" s="1"/>
  <c r="J100" i="4"/>
  <c r="J80" i="4"/>
  <c r="J79" i="4" s="1"/>
  <c r="J89" i="4" s="1"/>
  <c r="J86" i="4"/>
  <c r="J88" i="4" s="1"/>
  <c r="I90" i="4"/>
  <c r="I91" i="4" s="1"/>
  <c r="I83" i="4"/>
  <c r="K80" i="4"/>
  <c r="K90" i="4" s="1"/>
  <c r="K86" i="4"/>
  <c r="K88" i="4" s="1"/>
  <c r="K100" i="4"/>
  <c r="I94" i="4"/>
  <c r="I83" i="2"/>
  <c r="K86" i="2"/>
  <c r="K100" i="2"/>
  <c r="J100" i="2"/>
  <c r="J80" i="2"/>
  <c r="J90" i="2" s="1"/>
  <c r="J86" i="2"/>
  <c r="J88" i="2" s="1"/>
  <c r="K82" i="2"/>
  <c r="K87" i="2"/>
  <c r="I79" i="2"/>
  <c r="I89" i="2" s="1"/>
  <c r="I91" i="2" s="1"/>
  <c r="I94" i="2"/>
  <c r="K94" i="6" l="1"/>
  <c r="K96" i="6" s="1"/>
  <c r="J96" i="6" s="1"/>
  <c r="I96" i="6" s="1"/>
  <c r="H96" i="6" s="1"/>
  <c r="G96" i="6" s="1"/>
  <c r="F96" i="6" s="1"/>
  <c r="E96" i="6" s="1"/>
  <c r="K91" i="6"/>
  <c r="I91" i="5"/>
  <c r="J94" i="5"/>
  <c r="K77" i="5"/>
  <c r="K78" i="5" s="1"/>
  <c r="J80" i="5"/>
  <c r="K83" i="4"/>
  <c r="K79" i="4"/>
  <c r="K89" i="4" s="1"/>
  <c r="K91" i="4" s="1"/>
  <c r="J94" i="4"/>
  <c r="K94" i="4"/>
  <c r="K96" i="4" s="1"/>
  <c r="J90" i="4"/>
  <c r="J91" i="4" s="1"/>
  <c r="J83" i="4"/>
  <c r="J79" i="2"/>
  <c r="J89" i="2" s="1"/>
  <c r="J91" i="2" s="1"/>
  <c r="K88" i="2"/>
  <c r="J83" i="2"/>
  <c r="J94" i="2"/>
  <c r="K80" i="2"/>
  <c r="K83" i="2" s="1"/>
  <c r="E104" i="6" l="1"/>
  <c r="E103" i="6"/>
  <c r="E102" i="6"/>
  <c r="E98" i="6"/>
  <c r="J79" i="5"/>
  <c r="J89" i="5" s="1"/>
  <c r="J90" i="5"/>
  <c r="J83" i="5"/>
  <c r="K100" i="5"/>
  <c r="K80" i="5"/>
  <c r="K79" i="5" s="1"/>
  <c r="K89" i="5" s="1"/>
  <c r="K86" i="5"/>
  <c r="K88" i="5" s="1"/>
  <c r="J96" i="4"/>
  <c r="I96" i="4" s="1"/>
  <c r="H96" i="4" s="1"/>
  <c r="G96" i="4" s="1"/>
  <c r="F96" i="4" s="1"/>
  <c r="E96" i="4" s="1"/>
  <c r="K79" i="2"/>
  <c r="K89" i="2" s="1"/>
  <c r="K90" i="2"/>
  <c r="K94" i="2"/>
  <c r="K96" i="2" s="1"/>
  <c r="J96" i="2" s="1"/>
  <c r="I96" i="2" s="1"/>
  <c r="H96" i="2" s="1"/>
  <c r="G96" i="2" s="1"/>
  <c r="F96" i="2" s="1"/>
  <c r="E96" i="2" s="1"/>
  <c r="F74" i="1"/>
  <c r="G74" i="1" s="1"/>
  <c r="F75" i="1"/>
  <c r="G75" i="1"/>
  <c r="H75" i="1"/>
  <c r="I75" i="1"/>
  <c r="J75" i="1"/>
  <c r="K75" i="1"/>
  <c r="F72" i="1"/>
  <c r="G72" i="1"/>
  <c r="H72" i="1"/>
  <c r="I72" i="1"/>
  <c r="J72" i="1"/>
  <c r="K72" i="1"/>
  <c r="G73" i="1"/>
  <c r="H73" i="1"/>
  <c r="I73" i="1"/>
  <c r="J73" i="1"/>
  <c r="K73" i="1"/>
  <c r="F71" i="1"/>
  <c r="G71" i="1" s="1"/>
  <c r="H71" i="1" s="1"/>
  <c r="I71" i="1" s="1"/>
  <c r="J71" i="1" s="1"/>
  <c r="K71" i="1" s="1"/>
  <c r="I68" i="1"/>
  <c r="I70" i="1" s="1"/>
  <c r="J68" i="1"/>
  <c r="K68" i="1"/>
  <c r="H69" i="1"/>
  <c r="H70" i="1" s="1"/>
  <c r="I69" i="1"/>
  <c r="J69" i="1"/>
  <c r="K69" i="1"/>
  <c r="K70" i="1" s="1"/>
  <c r="J70" i="1"/>
  <c r="E70" i="1"/>
  <c r="K94" i="5" l="1"/>
  <c r="K96" i="5" s="1"/>
  <c r="J96" i="5" s="1"/>
  <c r="I96" i="5" s="1"/>
  <c r="H96" i="5" s="1"/>
  <c r="G96" i="5" s="1"/>
  <c r="F96" i="5" s="1"/>
  <c r="E96" i="5" s="1"/>
  <c r="K90" i="5"/>
  <c r="K91" i="5" s="1"/>
  <c r="K83" i="5"/>
  <c r="J91" i="5"/>
  <c r="E104" i="4"/>
  <c r="E103" i="4"/>
  <c r="E102" i="4"/>
  <c r="E98" i="4"/>
  <c r="K91" i="2"/>
  <c r="E104" i="2"/>
  <c r="E103" i="2"/>
  <c r="E102" i="2"/>
  <c r="E98" i="2"/>
  <c r="E99" i="2" s="1"/>
  <c r="H74" i="1"/>
  <c r="E78" i="1"/>
  <c r="F57" i="1"/>
  <c r="G57" i="1"/>
  <c r="H57" i="1"/>
  <c r="I57" i="1"/>
  <c r="J57" i="1"/>
  <c r="K57" i="1"/>
  <c r="E65" i="1"/>
  <c r="F60" i="1"/>
  <c r="G60" i="1" s="1"/>
  <c r="H60" i="1" s="1"/>
  <c r="I60" i="1" s="1"/>
  <c r="J60" i="1" s="1"/>
  <c r="K60" i="1" s="1"/>
  <c r="F61" i="1"/>
  <c r="G61" i="1"/>
  <c r="H61" i="1"/>
  <c r="I61" i="1"/>
  <c r="J61" i="1" s="1"/>
  <c r="K61" i="1" s="1"/>
  <c r="E61" i="1"/>
  <c r="G49" i="1"/>
  <c r="H49" i="1" s="1"/>
  <c r="I49" i="1" s="1"/>
  <c r="J49" i="1" s="1"/>
  <c r="K49" i="1" s="1"/>
  <c r="F50" i="1"/>
  <c r="G50" i="1" s="1"/>
  <c r="H50" i="1" s="1"/>
  <c r="I50" i="1" s="1"/>
  <c r="J50" i="1" s="1"/>
  <c r="K50" i="1" s="1"/>
  <c r="F51" i="1"/>
  <c r="G51" i="1"/>
  <c r="H51" i="1" s="1"/>
  <c r="I51" i="1" s="1"/>
  <c r="J51" i="1" s="1"/>
  <c r="K51" i="1" s="1"/>
  <c r="F52" i="1"/>
  <c r="G52" i="1" s="1"/>
  <c r="H52" i="1" s="1"/>
  <c r="I52" i="1" s="1"/>
  <c r="J52" i="1" s="1"/>
  <c r="K52" i="1" s="1"/>
  <c r="F53" i="1"/>
  <c r="G53" i="1"/>
  <c r="H53" i="1" s="1"/>
  <c r="I53" i="1" s="1"/>
  <c r="J53" i="1" s="1"/>
  <c r="K53" i="1" s="1"/>
  <c r="F54" i="1"/>
  <c r="G54" i="1" s="1"/>
  <c r="H54" i="1" s="1"/>
  <c r="I54" i="1" s="1"/>
  <c r="J54" i="1" s="1"/>
  <c r="K54" i="1" s="1"/>
  <c r="F55" i="1"/>
  <c r="G55" i="1"/>
  <c r="H55" i="1" s="1"/>
  <c r="I55" i="1" s="1"/>
  <c r="J55" i="1" s="1"/>
  <c r="K55" i="1" s="1"/>
  <c r="E51" i="1"/>
  <c r="E52" i="1"/>
  <c r="E53" i="1"/>
  <c r="E54" i="1"/>
  <c r="D76" i="1"/>
  <c r="K10" i="1"/>
  <c r="K23" i="1" s="1"/>
  <c r="K31" i="1" s="1"/>
  <c r="D10" i="1"/>
  <c r="D23" i="1" s="1"/>
  <c r="D31" i="1" s="1"/>
  <c r="E48" i="1"/>
  <c r="F48" i="1" s="1"/>
  <c r="E104" i="5" l="1"/>
  <c r="E103" i="5"/>
  <c r="E102" i="5"/>
  <c r="E98" i="5"/>
  <c r="H76" i="1"/>
  <c r="I74" i="1"/>
  <c r="D77" i="1"/>
  <c r="F58" i="1"/>
  <c r="E58" i="1"/>
  <c r="E10" i="1"/>
  <c r="E23" i="1" s="1"/>
  <c r="E31" i="1" s="1"/>
  <c r="G48" i="1"/>
  <c r="F10" i="1"/>
  <c r="F23" i="1" s="1"/>
  <c r="F31" i="1" s="1"/>
  <c r="F69" i="1" l="1"/>
  <c r="F70" i="1" s="1"/>
  <c r="F76" i="1" s="1"/>
  <c r="F77" i="1" s="1"/>
  <c r="F78" i="1" s="1"/>
  <c r="F86" i="1" s="1"/>
  <c r="E62" i="1"/>
  <c r="E94" i="1"/>
  <c r="J74" i="1"/>
  <c r="I76" i="1"/>
  <c r="H77" i="1"/>
  <c r="H78" i="1"/>
  <c r="F63" i="1"/>
  <c r="G58" i="1"/>
  <c r="H48" i="1"/>
  <c r="G10" i="1"/>
  <c r="G23" i="1" s="1"/>
  <c r="G31" i="1" s="1"/>
  <c r="F62" i="1" l="1"/>
  <c r="G69" i="1" s="1"/>
  <c r="G70" i="1" s="1"/>
  <c r="G76" i="1" s="1"/>
  <c r="G77" i="1" s="1"/>
  <c r="G78" i="1" s="1"/>
  <c r="G87" i="1"/>
  <c r="G82" i="1"/>
  <c r="F87" i="1"/>
  <c r="F82" i="1"/>
  <c r="F88" i="1"/>
  <c r="F94" i="1" s="1"/>
  <c r="F100" i="1"/>
  <c r="H80" i="1"/>
  <c r="H79" i="1" s="1"/>
  <c r="H89" i="1" s="1"/>
  <c r="H100" i="1"/>
  <c r="H86" i="1"/>
  <c r="H88" i="1" s="1"/>
  <c r="E90" i="1"/>
  <c r="I77" i="1"/>
  <c r="I78" i="1"/>
  <c r="J76" i="1"/>
  <c r="K74" i="1"/>
  <c r="K76" i="1" s="1"/>
  <c r="G65" i="1"/>
  <c r="G63" i="1" s="1"/>
  <c r="G62" i="1" s="1"/>
  <c r="H65" i="1"/>
  <c r="H63" i="1" s="1"/>
  <c r="I48" i="1"/>
  <c r="H10" i="1"/>
  <c r="H23" i="1" s="1"/>
  <c r="H31" i="1" s="1"/>
  <c r="F90" i="1" l="1"/>
  <c r="F79" i="1"/>
  <c r="F89" i="1" s="1"/>
  <c r="F91" i="1" s="1"/>
  <c r="F83" i="1"/>
  <c r="G80" i="1"/>
  <c r="G79" i="1" s="1"/>
  <c r="G89" i="1" s="1"/>
  <c r="G86" i="1"/>
  <c r="G88" i="1" s="1"/>
  <c r="H94" i="1"/>
  <c r="H96" i="1" s="1"/>
  <c r="H90" i="1"/>
  <c r="H91" i="1" s="1"/>
  <c r="H83" i="1"/>
  <c r="E91" i="1"/>
  <c r="K77" i="1"/>
  <c r="K78" i="1" s="1"/>
  <c r="J77" i="1"/>
  <c r="J78" i="1" s="1"/>
  <c r="H58" i="1"/>
  <c r="H62" i="1" s="1"/>
  <c r="I65" i="1"/>
  <c r="I63" i="1" s="1"/>
  <c r="J48" i="1"/>
  <c r="J10" i="1" s="1"/>
  <c r="J23" i="1" s="1"/>
  <c r="J31" i="1" s="1"/>
  <c r="I10" i="1"/>
  <c r="I23" i="1" s="1"/>
  <c r="I31" i="1" s="1"/>
  <c r="G94" i="1" l="1"/>
  <c r="G96" i="1" s="1"/>
  <c r="F96" i="1" s="1"/>
  <c r="E96" i="1" s="1"/>
  <c r="G91" i="1"/>
  <c r="G90" i="1"/>
  <c r="G83" i="1"/>
  <c r="I58" i="1"/>
  <c r="I62" i="1" s="1"/>
  <c r="J65" i="1"/>
  <c r="J63" i="1" s="1"/>
  <c r="E106" i="2" l="1"/>
  <c r="E106" i="6"/>
  <c r="E106" i="4"/>
  <c r="J58" i="1"/>
  <c r="J62" i="1" s="1"/>
  <c r="K65" i="1"/>
  <c r="K63" i="1" s="1"/>
  <c r="K58" i="1" l="1"/>
  <c r="K62" i="1" s="1"/>
</calcChain>
</file>

<file path=xl/sharedStrings.xml><?xml version="1.0" encoding="utf-8"?>
<sst xmlns="http://schemas.openxmlformats.org/spreadsheetml/2006/main" count="426" uniqueCount="62">
  <si>
    <t>Assets</t>
  </si>
  <si>
    <t>Credit card loans</t>
  </si>
  <si>
    <t>Consumer loans</t>
  </si>
  <si>
    <t>Mortgages</t>
  </si>
  <si>
    <t>Car loans</t>
  </si>
  <si>
    <t>SME loans</t>
  </si>
  <si>
    <t>Corporate loans</t>
  </si>
  <si>
    <t>Growth</t>
  </si>
  <si>
    <t>TV</t>
  </si>
  <si>
    <t>Writedowns</t>
  </si>
  <si>
    <t>Interests</t>
  </si>
  <si>
    <t>Loans</t>
  </si>
  <si>
    <t>Deposits</t>
  </si>
  <si>
    <t>Total</t>
  </si>
  <si>
    <t>Cash</t>
  </si>
  <si>
    <t>Short term deposit</t>
  </si>
  <si>
    <t>Long term deposit</t>
  </si>
  <si>
    <t>Equity</t>
  </si>
  <si>
    <t>Bank market financing</t>
  </si>
  <si>
    <t>Interest income</t>
  </si>
  <si>
    <t>Interest expense</t>
  </si>
  <si>
    <t>Net interest Income</t>
  </si>
  <si>
    <t>Operational expenses</t>
  </si>
  <si>
    <t>Aquisition expenses</t>
  </si>
  <si>
    <t>D&amp;A</t>
  </si>
  <si>
    <t>PP&amp;E</t>
  </si>
  <si>
    <t>Operating Income</t>
  </si>
  <si>
    <t>Income taxes</t>
  </si>
  <si>
    <t>Profit after tax</t>
  </si>
  <si>
    <t>Capital adequacy ratio (CAR)</t>
  </si>
  <si>
    <t>Market investments</t>
  </si>
  <si>
    <t>Risk weights</t>
  </si>
  <si>
    <t xml:space="preserve"> Risk weighted assets RWA</t>
  </si>
  <si>
    <t>Cash/Loans</t>
  </si>
  <si>
    <t>Inter-bank finanicing</t>
  </si>
  <si>
    <t>Operational expeneses</t>
  </si>
  <si>
    <t>D&amp;A1/PP&amp;E0</t>
  </si>
  <si>
    <t>Tax rate</t>
  </si>
  <si>
    <t>Retained earnings</t>
  </si>
  <si>
    <t>Dividend</t>
  </si>
  <si>
    <t>rF</t>
  </si>
  <si>
    <t>market risk premium</t>
  </si>
  <si>
    <t>betaE</t>
  </si>
  <si>
    <t>Aquisition costs on new amounts</t>
  </si>
  <si>
    <t>Non-interest income</t>
  </si>
  <si>
    <t>dBV equity required</t>
  </si>
  <si>
    <t>Share issue/buyback</t>
  </si>
  <si>
    <t>dBVequity</t>
  </si>
  <si>
    <t>FCFE</t>
  </si>
  <si>
    <t>dBV Equity w/o retained earnings</t>
  </si>
  <si>
    <t>dNon-operating wealth</t>
  </si>
  <si>
    <t>rE</t>
  </si>
  <si>
    <t>E boy</t>
  </si>
  <si>
    <t>BV E</t>
  </si>
  <si>
    <t>ROE</t>
  </si>
  <si>
    <t>SVA</t>
  </si>
  <si>
    <t>P/E</t>
  </si>
  <si>
    <t>P/R (P/S)</t>
  </si>
  <si>
    <t>P/BV</t>
  </si>
  <si>
    <t>SVA  (NPV)</t>
  </si>
  <si>
    <t>PI (NPV/C0)</t>
  </si>
  <si>
    <t>Inter-bank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</si>
</sst>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9" fontId="0" fillId="2" borderId="0" xfId="0" applyNumberFormat="1" applyFill="1"/>
    <xf numFmtId="4" fontId="0" fillId="0" borderId="0" xfId="0" applyNumberFormat="1" applyAlignment="1">
      <alignment horizontal="right"/>
    </xf>
    <xf numFmtId="4" fontId="2" fillId="0" borderId="0" xfId="0" applyNumberFormat="1" applyFont="1"/>
    <xf numFmtId="10" fontId="0" fillId="2" borderId="0" xfId="1" applyNumberFormat="1" applyFont="1" applyFill="1"/>
    <xf numFmtId="10" fontId="0" fillId="2" borderId="0" xfId="0" applyNumberFormat="1" applyFill="1"/>
    <xf numFmtId="10" fontId="0" fillId="0" borderId="0" xfId="1" applyNumberFormat="1" applyFont="1"/>
    <xf numFmtId="0" fontId="2" fillId="3" borderId="0" xfId="0" applyFont="1" applyFill="1"/>
    <xf numFmtId="4" fontId="2" fillId="3" borderId="0" xfId="0" applyNumberFormat="1" applyFont="1" applyFill="1"/>
    <xf numFmtId="10" fontId="0" fillId="4" borderId="0" xfId="0" applyNumberFormat="1" applyFill="1"/>
    <xf numFmtId="0" fontId="0" fillId="4" borderId="0" xfId="0" applyFill="1"/>
    <xf numFmtId="4" fontId="0" fillId="4" borderId="0" xfId="0" applyNumberFormat="1" applyFill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37419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EE7CEBD-1031-4400-A267-9FF38426A225}"/>
            </a:ext>
          </a:extLst>
        </xdr:cNvPr>
        <xdr:cNvSpPr txBox="1"/>
      </xdr:nvSpPr>
      <xdr:spPr>
        <a:xfrm>
          <a:off x="9950222" y="57830"/>
          <a:ext cx="5575527" cy="17859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fo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06E8BD64-68F2-5079-130A-128E7F49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125" y="2027463"/>
          <a:ext cx="2408571" cy="179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37419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E18BA63-1CEB-4E61-AEF9-7CD68BAA2243}"/>
            </a:ext>
          </a:extLst>
        </xdr:cNvPr>
        <xdr:cNvSpPr txBox="1"/>
      </xdr:nvSpPr>
      <xdr:spPr>
        <a:xfrm>
          <a:off x="9756320" y="57830"/>
          <a:ext cx="5482998" cy="1779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fo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26ACE6D4-1A25-433B-8A99-4626B7237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223" y="2020659"/>
          <a:ext cx="2362306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37419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4D9E2F3D-1F11-4BA9-8D5F-E95E439B3FDF}"/>
            </a:ext>
          </a:extLst>
        </xdr:cNvPr>
        <xdr:cNvSpPr txBox="1"/>
      </xdr:nvSpPr>
      <xdr:spPr>
        <a:xfrm>
          <a:off x="9756320" y="57830"/>
          <a:ext cx="5482998" cy="1779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fo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4C147788-889B-400F-9728-3D56BA8F8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223" y="2020659"/>
          <a:ext cx="2362306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37419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D1C6FF21-8739-4163-8CA8-DE10D0497BBD}"/>
            </a:ext>
          </a:extLst>
        </xdr:cNvPr>
        <xdr:cNvSpPr txBox="1"/>
      </xdr:nvSpPr>
      <xdr:spPr>
        <a:xfrm>
          <a:off x="9756320" y="57830"/>
          <a:ext cx="5482998" cy="1779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fo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3FA1391A-713F-42E6-98E6-168A7718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223" y="2020659"/>
          <a:ext cx="2362306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37419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B3BA7183-AEB8-46CB-9E83-FFE64EB53EC9}"/>
            </a:ext>
          </a:extLst>
        </xdr:cNvPr>
        <xdr:cNvSpPr txBox="1"/>
      </xdr:nvSpPr>
      <xdr:spPr>
        <a:xfrm>
          <a:off x="9756320" y="57830"/>
          <a:ext cx="5482998" cy="1779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fo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C6CF1995-E5CE-47F5-A99B-9AC820879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223" y="2020659"/>
          <a:ext cx="2362306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0B0-19B2-419E-961E-D6325AC59D8D}">
  <dimension ref="B1:K104"/>
  <sheetViews>
    <sheetView tabSelected="1" topLeftCell="A60" zoomScale="114" zoomScaleNormal="160" workbookViewId="0">
      <selection activeCell="I77" sqref="I77"/>
    </sheetView>
  </sheetViews>
  <sheetFormatPr baseColWidth="10" defaultColWidth="8.83203125" defaultRowHeight="16" x14ac:dyDescent="0.2"/>
  <cols>
    <col min="2" max="2" width="10.6640625" bestFit="1" customWidth="1"/>
    <col min="3" max="3" width="28.6640625" bestFit="1" customWidth="1"/>
    <col min="4" max="6" width="9.1640625" bestFit="1" customWidth="1"/>
    <col min="7" max="11" width="8.83203125" bestFit="1" customWidth="1"/>
  </cols>
  <sheetData>
    <row r="1" spans="3:11" x14ac:dyDescent="0.2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">
      <c r="D8" s="4"/>
      <c r="E8" s="4"/>
      <c r="F8" s="4"/>
      <c r="G8" s="4"/>
      <c r="H8" s="4"/>
      <c r="I8" s="4"/>
      <c r="J8" s="4"/>
      <c r="K8" s="4"/>
    </row>
    <row r="10" spans="3:11" x14ac:dyDescent="0.2">
      <c r="C10" s="3" t="s">
        <v>7</v>
      </c>
      <c r="D10" s="3">
        <f t="shared" ref="D10:K10" si="0">+D48</f>
        <v>2023</v>
      </c>
      <c r="E10" s="3">
        <f t="shared" si="0"/>
        <v>2024</v>
      </c>
      <c r="F10" s="3">
        <f t="shared" si="0"/>
        <v>2025</v>
      </c>
      <c r="G10" s="3">
        <f t="shared" si="0"/>
        <v>2026</v>
      </c>
      <c r="H10" s="3">
        <f t="shared" si="0"/>
        <v>2027</v>
      </c>
      <c r="I10" s="3">
        <f t="shared" si="0"/>
        <v>2028</v>
      </c>
      <c r="J10" s="3">
        <f t="shared" si="0"/>
        <v>2029</v>
      </c>
      <c r="K10" s="3" t="str">
        <f t="shared" si="0"/>
        <v>TV</v>
      </c>
    </row>
    <row r="11" spans="3:11" x14ac:dyDescent="0.2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">
      <c r="C23" s="3" t="s">
        <v>9</v>
      </c>
      <c r="D23" s="3">
        <f>+D10</f>
        <v>2023</v>
      </c>
      <c r="E23" s="3">
        <f t="shared" ref="E23:K23" si="1">+E10</f>
        <v>2024</v>
      </c>
      <c r="F23" s="3">
        <f t="shared" si="1"/>
        <v>2025</v>
      </c>
      <c r="G23" s="3">
        <f t="shared" si="1"/>
        <v>2026</v>
      </c>
      <c r="H23" s="3">
        <f t="shared" si="1"/>
        <v>2027</v>
      </c>
      <c r="I23" s="3">
        <f t="shared" si="1"/>
        <v>2028</v>
      </c>
      <c r="J23" s="3">
        <f t="shared" si="1"/>
        <v>2029</v>
      </c>
      <c r="K23" s="3" t="str">
        <f t="shared" si="1"/>
        <v>TV</v>
      </c>
    </row>
    <row r="24" spans="3:11" x14ac:dyDescent="0.2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">
      <c r="C31" s="3" t="s">
        <v>10</v>
      </c>
      <c r="D31" s="3">
        <f>+D23</f>
        <v>2023</v>
      </c>
      <c r="E31" s="3">
        <f t="shared" ref="E31:K31" si="2">+E23</f>
        <v>2024</v>
      </c>
      <c r="F31" s="3">
        <f t="shared" si="2"/>
        <v>2025</v>
      </c>
      <c r="G31" s="3">
        <f t="shared" si="2"/>
        <v>2026</v>
      </c>
      <c r="H31" s="3">
        <f t="shared" si="2"/>
        <v>2027</v>
      </c>
      <c r="I31" s="3">
        <f t="shared" si="2"/>
        <v>2028</v>
      </c>
      <c r="J31" s="3">
        <f t="shared" si="2"/>
        <v>2029</v>
      </c>
      <c r="K31" s="3" t="str">
        <f t="shared" si="2"/>
        <v>TV</v>
      </c>
    </row>
    <row r="32" spans="3:11" x14ac:dyDescent="0.2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">
      <c r="C41" t="s">
        <v>34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">
      <c r="C43" s="3" t="s">
        <v>43</v>
      </c>
    </row>
    <row r="44" spans="2:11" x14ac:dyDescent="0.2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">
      <c r="B48" t="s">
        <v>31</v>
      </c>
      <c r="C48" t="s">
        <v>0</v>
      </c>
      <c r="D48" s="2">
        <v>2023</v>
      </c>
      <c r="E48" s="3">
        <f>+D48+1</f>
        <v>2024</v>
      </c>
      <c r="F48" s="3">
        <f t="shared" ref="F48:J48" si="3">+E48+1</f>
        <v>2025</v>
      </c>
      <c r="G48" s="3">
        <f t="shared" si="3"/>
        <v>2026</v>
      </c>
      <c r="H48" s="3">
        <f t="shared" si="3"/>
        <v>2027</v>
      </c>
      <c r="I48" s="3">
        <f t="shared" si="3"/>
        <v>2028</v>
      </c>
      <c r="J48" s="3">
        <f t="shared" si="3"/>
        <v>2029</v>
      </c>
      <c r="K48" s="3" t="s">
        <v>8</v>
      </c>
    </row>
    <row r="49" spans="2:11" x14ac:dyDescent="0.2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>+E49*(1+F11)</f>
        <v>1554.4860000000001</v>
      </c>
      <c r="G49" s="8">
        <f t="shared" ref="F49:K49" si="4">+F49*(1+G11)</f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 t="shared" si="4"/>
        <v>1727.8986958827297</v>
      </c>
    </row>
    <row r="50" spans="2:11" x14ac:dyDescent="0.2">
      <c r="B50" s="7">
        <v>1.5</v>
      </c>
      <c r="C50" t="s">
        <v>1</v>
      </c>
      <c r="D50" s="6">
        <v>6000</v>
      </c>
      <c r="E50" s="8">
        <f>+D50*(1+E12)</f>
        <v>6180</v>
      </c>
      <c r="F50" s="8">
        <f t="shared" ref="E50:K55" si="5">+E50*(1+F12)</f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si="5"/>
        <v>7415.0647614450918</v>
      </c>
    </row>
    <row r="51" spans="2:11" x14ac:dyDescent="0.2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si="5"/>
        <v>3496.7343118147201</v>
      </c>
    </row>
    <row r="52" spans="2:11" x14ac:dyDescent="0.2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si="5"/>
        <v>4801.1307514013652</v>
      </c>
    </row>
    <row r="53" spans="2:11" x14ac:dyDescent="0.2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si="5"/>
        <v>19084.188941498593</v>
      </c>
    </row>
    <row r="54" spans="2:11" x14ac:dyDescent="0.2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">
      <c r="B55" s="7">
        <v>1</v>
      </c>
      <c r="C55" t="s">
        <v>6</v>
      </c>
      <c r="D55" s="6">
        <v>20000</v>
      </c>
      <c r="E55" s="8">
        <f>+D55*(1+E17)</f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si="5"/>
        <v>26192.103682867204</v>
      </c>
    </row>
    <row r="56" spans="2:11" x14ac:dyDescent="0.2">
      <c r="B56" s="7">
        <v>0.3</v>
      </c>
      <c r="C56" t="s">
        <v>30</v>
      </c>
      <c r="D56" s="6">
        <v>1000</v>
      </c>
      <c r="E56" s="6">
        <v>1000</v>
      </c>
      <c r="F56" s="6">
        <v>1000</v>
      </c>
      <c r="G56" s="6">
        <v>1000</v>
      </c>
      <c r="H56" s="6">
        <v>1000</v>
      </c>
      <c r="I56" s="6">
        <v>1000</v>
      </c>
      <c r="J56" s="6">
        <v>1000</v>
      </c>
      <c r="K56" s="6">
        <v>1000</v>
      </c>
    </row>
    <row r="57" spans="2:11" x14ac:dyDescent="0.2">
      <c r="B57" s="7">
        <v>0</v>
      </c>
      <c r="C57" t="s">
        <v>14</v>
      </c>
      <c r="D57" s="6">
        <v>1000</v>
      </c>
      <c r="E57" s="8">
        <f>SUM(E49:E55)*E1</f>
        <v>1108.6400000000001</v>
      </c>
      <c r="F57" s="8">
        <f t="shared" ref="F57:K57" si="6">SUM(F49:F55)*F1</f>
        <v>1148.76722</v>
      </c>
      <c r="G57" s="8">
        <f t="shared" si="6"/>
        <v>1190.44254746</v>
      </c>
      <c r="H57" s="8">
        <f t="shared" si="6"/>
        <v>1233.7295220267802</v>
      </c>
      <c r="I57" s="8">
        <f t="shared" si="6"/>
        <v>1278.6944584043995</v>
      </c>
      <c r="J57" s="8">
        <f t="shared" si="6"/>
        <v>1325.4065752589283</v>
      </c>
      <c r="K57" s="8">
        <f t="shared" si="6"/>
        <v>1371.7958053929908</v>
      </c>
    </row>
    <row r="58" spans="2:11" x14ac:dyDescent="0.2">
      <c r="C58" s="1" t="s">
        <v>13</v>
      </c>
      <c r="D58" s="9">
        <f>SUM(D49:D57)</f>
        <v>55500</v>
      </c>
      <c r="E58" s="9">
        <f t="shared" ref="E58:K58" si="7">SUM(E49:E57)</f>
        <v>57540.639999999999</v>
      </c>
      <c r="F58" s="9">
        <f t="shared" si="7"/>
        <v>59587.128219999999</v>
      </c>
      <c r="G58" s="9">
        <f t="shared" si="7"/>
        <v>61712.569920459995</v>
      </c>
      <c r="H58" s="9">
        <f t="shared" si="7"/>
        <v>63920.205623365779</v>
      </c>
      <c r="I58" s="9">
        <f t="shared" si="7"/>
        <v>66213.417378624377</v>
      </c>
      <c r="J58" s="9">
        <f t="shared" si="7"/>
        <v>68595.735338205341</v>
      </c>
      <c r="K58" s="9">
        <f t="shared" si="7"/>
        <v>70961.586075042535</v>
      </c>
    </row>
    <row r="59" spans="2:11" x14ac:dyDescent="0.2">
      <c r="D59" s="5"/>
    </row>
    <row r="60" spans="2:11" x14ac:dyDescent="0.2">
      <c r="C60" t="s">
        <v>15</v>
      </c>
      <c r="D60" s="6">
        <v>20000</v>
      </c>
      <c r="E60" s="5">
        <f>+D60*(1+E18)</f>
        <v>20640</v>
      </c>
      <c r="F60" s="5">
        <f t="shared" ref="F60:K60" si="8">+E60*(1+F18)</f>
        <v>21300.48</v>
      </c>
      <c r="G60" s="5">
        <f t="shared" si="8"/>
        <v>21982.095359999999</v>
      </c>
      <c r="H60" s="5">
        <f t="shared" si="8"/>
        <v>22685.52241152</v>
      </c>
      <c r="I60" s="5">
        <f t="shared" si="8"/>
        <v>23411.459128688639</v>
      </c>
      <c r="J60" s="5">
        <f t="shared" si="8"/>
        <v>24160.625820806676</v>
      </c>
      <c r="K60" s="5">
        <f t="shared" si="8"/>
        <v>25006.247724534907</v>
      </c>
    </row>
    <row r="61" spans="2:11" x14ac:dyDescent="0.2">
      <c r="C61" t="s">
        <v>16</v>
      </c>
      <c r="D61" s="6">
        <v>25000</v>
      </c>
      <c r="E61" s="5">
        <f>+D61*(1+E19)</f>
        <v>25824.999999999996</v>
      </c>
      <c r="F61" s="5">
        <f t="shared" ref="F61:K61" si="9">+E61*(1+F19)</f>
        <v>26677.224999999995</v>
      </c>
      <c r="G61" s="5">
        <f t="shared" si="9"/>
        <v>27557.573424999991</v>
      </c>
      <c r="H61" s="5">
        <f t="shared" si="9"/>
        <v>28466.973348024989</v>
      </c>
      <c r="I61" s="5">
        <f t="shared" si="9"/>
        <v>29406.383468509812</v>
      </c>
      <c r="J61" s="5">
        <f t="shared" si="9"/>
        <v>30376.794122970634</v>
      </c>
      <c r="K61" s="5">
        <f t="shared" si="9"/>
        <v>31439.981917274603</v>
      </c>
    </row>
    <row r="62" spans="2:11" x14ac:dyDescent="0.2">
      <c r="C62" t="s">
        <v>18</v>
      </c>
      <c r="D62" s="5">
        <f>+D58-D60-D61-D63</f>
        <v>5500</v>
      </c>
      <c r="E62" s="5">
        <f>+E58-E60-E61-E63</f>
        <v>5915.3100000000022</v>
      </c>
      <c r="F62" s="5">
        <f t="shared" ref="E62:K62" si="10">+F58-F60-F61-F63</f>
        <v>6261.6930300000076</v>
      </c>
      <c r="G62" s="5">
        <f t="shared" si="10"/>
        <v>6630.4029492900045</v>
      </c>
      <c r="H62" s="5">
        <f t="shared" si="10"/>
        <v>7022.764843723483</v>
      </c>
      <c r="I62" s="5">
        <f t="shared" si="10"/>
        <v>7440.1789981583424</v>
      </c>
      <c r="J62" s="5">
        <f t="shared" si="10"/>
        <v>7884.1250901377853</v>
      </c>
      <c r="K62" s="5">
        <f t="shared" si="10"/>
        <v>8126.119468292618</v>
      </c>
    </row>
    <row r="63" spans="2:11" x14ac:dyDescent="0.2">
      <c r="C63" t="s">
        <v>17</v>
      </c>
      <c r="D63" s="6">
        <v>5000</v>
      </c>
      <c r="E63" s="5">
        <f>+E65*E4</f>
        <v>5160.3300000000008</v>
      </c>
      <c r="F63" s="5">
        <f t="shared" ref="F63:K63" si="11">+F65*F4</f>
        <v>5347.7301900000002</v>
      </c>
      <c r="G63" s="5">
        <f t="shared" si="11"/>
        <v>5542.4981861699998</v>
      </c>
      <c r="H63" s="5">
        <f t="shared" si="11"/>
        <v>5744.9450200973106</v>
      </c>
      <c r="I63" s="5">
        <f t="shared" si="11"/>
        <v>5955.3957832675806</v>
      </c>
      <c r="J63" s="5">
        <f t="shared" si="11"/>
        <v>6174.1903042902495</v>
      </c>
      <c r="K63" s="5">
        <f t="shared" si="11"/>
        <v>6389.2369649404063</v>
      </c>
    </row>
    <row r="64" spans="2:11" x14ac:dyDescent="0.2">
      <c r="D64" s="5"/>
    </row>
    <row r="65" spans="3:11" x14ac:dyDescent="0.2">
      <c r="C65" t="s">
        <v>32</v>
      </c>
      <c r="D65" s="5">
        <f>+SUMPRODUCT($B$49:$B$57,D49:D57)</f>
        <v>49800</v>
      </c>
      <c r="E65" s="5">
        <f>+SUMPRODUCT($B$49:$B$57,E49:E57)</f>
        <v>51603.3</v>
      </c>
      <c r="F65" s="5">
        <f>+SUMPRODUCT($B$49:$B$57,F49:F57)</f>
        <v>53477.301899999999</v>
      </c>
      <c r="G65" s="5">
        <f t="shared" ref="F65:K65" si="12">+SUMPRODUCT($B$49:$B$57,G49:G57)</f>
        <v>55424.981861699998</v>
      </c>
      <c r="H65" s="5">
        <f t="shared" si="12"/>
        <v>57449.4502009731</v>
      </c>
      <c r="I65" s="5">
        <f t="shared" si="12"/>
        <v>59553.957832675806</v>
      </c>
      <c r="J65" s="5">
        <f t="shared" si="12"/>
        <v>61741.903042902493</v>
      </c>
      <c r="K65" s="5">
        <f t="shared" si="12"/>
        <v>63892.369649404063</v>
      </c>
    </row>
    <row r="68" spans="3:11" x14ac:dyDescent="0.2">
      <c r="C68" t="s">
        <v>19</v>
      </c>
      <c r="D68" s="6">
        <v>4830</v>
      </c>
      <c r="E68" s="5">
        <f>+SUMPRODUCT(D50:D56,E32:E38)</f>
        <v>4002</v>
      </c>
      <c r="F68" s="5">
        <f>+SUMPRODUCT(E50:E56,F32:F38)</f>
        <v>4139.8999999999996</v>
      </c>
      <c r="G68" s="5">
        <f>+SUMPRODUCT(F50:F56,G32:G38)</f>
        <v>4282.9634999999998</v>
      </c>
      <c r="H68" s="5">
        <f>+SUMPRODUCT(G50:G56,H32:H38)</f>
        <v>4431.3984725</v>
      </c>
      <c r="I68" s="5">
        <f t="shared" ref="F68:K68" si="13">+SUMPRODUCT(H50:H56,I32:I38)</f>
        <v>4585.4219155874998</v>
      </c>
      <c r="J68" s="5">
        <f t="shared" si="13"/>
        <v>4745.2602740268121</v>
      </c>
      <c r="K68" s="5">
        <f t="shared" si="13"/>
        <v>4911.1498813140643</v>
      </c>
    </row>
    <row r="69" spans="3:11" x14ac:dyDescent="0.2">
      <c r="C69" t="s">
        <v>20</v>
      </c>
      <c r="D69" s="6">
        <v>1880</v>
      </c>
      <c r="E69" s="5">
        <f>+D60*E39+D61*E40+E41*D62</f>
        <v>1666</v>
      </c>
      <c r="F69" s="5">
        <f t="shared" ref="F69:K69" si="14">+E60*F39+E61*F40+F41*E62</f>
        <v>1730.2380200000002</v>
      </c>
      <c r="G69" s="5">
        <f t="shared" si="14"/>
        <v>1793.1074222600002</v>
      </c>
      <c r="H69" s="5">
        <f t="shared" si="14"/>
        <v>1858.49066382518</v>
      </c>
      <c r="I69" s="5">
        <f t="shared" si="14"/>
        <v>1926.4948181398213</v>
      </c>
      <c r="J69" s="5">
        <f t="shared" si="14"/>
        <v>1997.2317949237759</v>
      </c>
      <c r="K69" s="5">
        <f t="shared" si="14"/>
        <v>2070.8185710723465</v>
      </c>
    </row>
    <row r="70" spans="3:11" x14ac:dyDescent="0.2">
      <c r="C70" t="s">
        <v>21</v>
      </c>
      <c r="D70" s="5">
        <f>+D68-D69</f>
        <v>2950</v>
      </c>
      <c r="E70" s="5">
        <f>+E68-E69</f>
        <v>2336</v>
      </c>
      <c r="F70" s="5">
        <f t="shared" ref="F70:K70" si="15">+F68-F69</f>
        <v>2409.6619799999994</v>
      </c>
      <c r="G70" s="5">
        <f t="shared" si="15"/>
        <v>2489.8560777399998</v>
      </c>
      <c r="H70" s="5">
        <f t="shared" si="15"/>
        <v>2572.90780867482</v>
      </c>
      <c r="I70" s="5">
        <f t="shared" si="15"/>
        <v>2658.9270974476785</v>
      </c>
      <c r="J70" s="5">
        <f t="shared" si="15"/>
        <v>2748.0284791030363</v>
      </c>
      <c r="K70" s="5">
        <f t="shared" si="15"/>
        <v>2840.3313102417178</v>
      </c>
    </row>
    <row r="71" spans="3:11" x14ac:dyDescent="0.2">
      <c r="C71" t="s">
        <v>44</v>
      </c>
      <c r="D71" s="6">
        <v>1000</v>
      </c>
      <c r="E71" s="5">
        <f>+D71*(1+E21)</f>
        <v>1035</v>
      </c>
      <c r="F71" s="5">
        <f t="shared" ref="F71:K71" si="16">+E71*(1+F21)</f>
        <v>1071.2249999999999</v>
      </c>
      <c r="G71" s="5">
        <f t="shared" si="16"/>
        <v>1108.7178749999998</v>
      </c>
      <c r="H71" s="5">
        <f t="shared" si="16"/>
        <v>1147.5230006249997</v>
      </c>
      <c r="I71" s="5">
        <f t="shared" si="16"/>
        <v>1187.6863056468746</v>
      </c>
      <c r="J71" s="5">
        <f t="shared" si="16"/>
        <v>1229.2553263445152</v>
      </c>
      <c r="K71" s="5">
        <f t="shared" si="16"/>
        <v>1272.2792627665731</v>
      </c>
    </row>
    <row r="72" spans="3:11" x14ac:dyDescent="0.2">
      <c r="C72" t="s">
        <v>23</v>
      </c>
      <c r="D72" s="6">
        <v>60</v>
      </c>
      <c r="E72" s="5">
        <f>(SUM(E50:E55)-SUM(D50:D55)+E73)*E44+(E60-D60+E61-D61)*E45</f>
        <v>63.834999999999987</v>
      </c>
      <c r="F72" s="5">
        <f t="shared" ref="F72:K72" si="17">(SUM(F50:F55)-SUM(E50:E55)+F73)*F44+(F60-E60+F61-E61)*F45</f>
        <v>66.209514999999996</v>
      </c>
      <c r="G72" s="5">
        <f t="shared" si="17"/>
        <v>68.678070355000074</v>
      </c>
      <c r="H72" s="5">
        <f t="shared" si="17"/>
        <v>71.244642188634884</v>
      </c>
      <c r="I72" s="5">
        <f t="shared" si="17"/>
        <v>73.913386327235344</v>
      </c>
      <c r="J72" s="5">
        <f t="shared" si="17"/>
        <v>76.688646958746375</v>
      </c>
      <c r="K72" s="5">
        <f t="shared" si="17"/>
        <v>77.264728158762779</v>
      </c>
    </row>
    <row r="73" spans="3:11" x14ac:dyDescent="0.2">
      <c r="C73" t="s">
        <v>9</v>
      </c>
      <c r="D73" s="6">
        <v>1000</v>
      </c>
      <c r="E73" s="5">
        <f>+SUMPRODUCT(E24:E29,D50:D55)</f>
        <v>1067</v>
      </c>
      <c r="F73" s="5">
        <f>+SUMPRODUCT(F24:F29,E50:E55)</f>
        <v>1104.6949999999999</v>
      </c>
      <c r="G73" s="5">
        <f t="shared" ref="F73:K73" si="18">+SUMPRODUCT(G24:G29,F50:F55)</f>
        <v>1143.8233250000001</v>
      </c>
      <c r="H73" s="5">
        <f t="shared" si="18"/>
        <v>1184.4437363750001</v>
      </c>
      <c r="I73" s="5">
        <f t="shared" si="18"/>
        <v>1226.617592523125</v>
      </c>
      <c r="J73" s="5">
        <f t="shared" si="18"/>
        <v>1270.4089720868092</v>
      </c>
      <c r="K73" s="5">
        <f t="shared" si="18"/>
        <v>1315.884803395797</v>
      </c>
    </row>
    <row r="74" spans="3:11" x14ac:dyDescent="0.2">
      <c r="C74" t="s">
        <v>22</v>
      </c>
      <c r="D74" s="6">
        <v>1500</v>
      </c>
      <c r="E74" s="5">
        <f>+D74*(1+E20)</f>
        <v>1558.4999999999998</v>
      </c>
      <c r="F74" s="5">
        <f t="shared" ref="F74:K74" si="19">+E74*(1+F20)</f>
        <v>1619.2814999999996</v>
      </c>
      <c r="G74" s="5">
        <f t="shared" si="19"/>
        <v>1682.4334784999994</v>
      </c>
      <c r="H74" s="5">
        <f t="shared" si="19"/>
        <v>1748.0483841614994</v>
      </c>
      <c r="I74" s="5">
        <f t="shared" si="19"/>
        <v>1816.2222711437978</v>
      </c>
      <c r="J74" s="5">
        <f t="shared" si="19"/>
        <v>1887.0549397184059</v>
      </c>
      <c r="K74" s="5">
        <f t="shared" si="19"/>
        <v>1953.1018626085499</v>
      </c>
    </row>
    <row r="75" spans="3:11" x14ac:dyDescent="0.2">
      <c r="C75" t="s">
        <v>24</v>
      </c>
      <c r="D75" s="6">
        <v>200</v>
      </c>
      <c r="E75" s="5">
        <f>+D49*E2</f>
        <v>225</v>
      </c>
      <c r="F75" s="5">
        <f t="shared" ref="F75:K75" si="20">+E49*F2</f>
        <v>229.04999999999998</v>
      </c>
      <c r="G75" s="5">
        <f t="shared" si="20"/>
        <v>233.1729</v>
      </c>
      <c r="H75" s="5">
        <f t="shared" si="20"/>
        <v>237.37001219999999</v>
      </c>
      <c r="I75" s="5">
        <f t="shared" si="20"/>
        <v>241.64267241959999</v>
      </c>
      <c r="J75" s="5">
        <f t="shared" si="20"/>
        <v>245.99224052315279</v>
      </c>
      <c r="K75" s="5">
        <f t="shared" si="20"/>
        <v>250.42010085256953</v>
      </c>
    </row>
    <row r="76" spans="3:11" x14ac:dyDescent="0.2">
      <c r="C76" t="s">
        <v>26</v>
      </c>
      <c r="D76" s="5">
        <f>+D70-D72-D74-D75-D73+D71</f>
        <v>1190</v>
      </c>
      <c r="E76" s="5">
        <f>+E70-E72-E74-E75-E73+E71</f>
        <v>456.66500000000019</v>
      </c>
      <c r="F76" s="5">
        <f t="shared" ref="F76:K76" si="21">+F70-F72-F74-F75-F73+F71</f>
        <v>461.65096499999981</v>
      </c>
      <c r="G76" s="5">
        <f t="shared" si="21"/>
        <v>470.46617888499986</v>
      </c>
      <c r="H76" s="5">
        <f t="shared" si="21"/>
        <v>479.32403437468543</v>
      </c>
      <c r="I76" s="5">
        <f t="shared" si="21"/>
        <v>488.21748068079489</v>
      </c>
      <c r="J76" s="5">
        <f t="shared" si="21"/>
        <v>497.13900616043748</v>
      </c>
      <c r="K76" s="5">
        <f t="shared" si="21"/>
        <v>515.9390779926116</v>
      </c>
    </row>
    <row r="77" spans="3:11" x14ac:dyDescent="0.2">
      <c r="C77" t="s">
        <v>27</v>
      </c>
      <c r="D77" s="5">
        <f>+D76*D3</f>
        <v>357</v>
      </c>
      <c r="E77" s="5">
        <f>+E76*E3</f>
        <v>136.99950000000004</v>
      </c>
      <c r="F77" s="5">
        <f t="shared" ref="F77:K77" si="22">+F76*F3</f>
        <v>138.49528949999993</v>
      </c>
      <c r="G77" s="5">
        <f t="shared" si="22"/>
        <v>141.13985366549994</v>
      </c>
      <c r="H77" s="5">
        <f t="shared" si="22"/>
        <v>143.79721031240561</v>
      </c>
      <c r="I77" s="5">
        <f t="shared" si="22"/>
        <v>146.46524420423847</v>
      </c>
      <c r="J77" s="5">
        <f t="shared" si="22"/>
        <v>149.14170184813125</v>
      </c>
      <c r="K77" s="5">
        <f t="shared" si="22"/>
        <v>154.78172339778348</v>
      </c>
    </row>
    <row r="78" spans="3:11" x14ac:dyDescent="0.2">
      <c r="C78" t="s">
        <v>28</v>
      </c>
      <c r="D78" s="5">
        <f>+D76-D77</f>
        <v>833</v>
      </c>
      <c r="E78" s="5">
        <f>+E76-E77</f>
        <v>319.66550000000018</v>
      </c>
      <c r="F78" s="5">
        <f t="shared" ref="F78:K78" si="23">+F76-F77</f>
        <v>323.15567549999992</v>
      </c>
      <c r="G78" s="5">
        <f t="shared" si="23"/>
        <v>329.32632521949995</v>
      </c>
      <c r="H78" s="5">
        <f t="shared" si="23"/>
        <v>335.52682406227984</v>
      </c>
      <c r="I78" s="5">
        <f t="shared" si="23"/>
        <v>341.75223647655639</v>
      </c>
      <c r="J78" s="5">
        <f t="shared" si="23"/>
        <v>347.99730431230626</v>
      </c>
      <c r="K78" s="5">
        <f t="shared" si="23"/>
        <v>361.15735459482812</v>
      </c>
    </row>
    <row r="79" spans="3:11" x14ac:dyDescent="0.2">
      <c r="C79" t="s">
        <v>39</v>
      </c>
      <c r="D79" s="6">
        <v>550</v>
      </c>
      <c r="E79" s="5">
        <f>+E78-E80</f>
        <v>159.33549999999934</v>
      </c>
      <c r="F79" s="5">
        <f t="shared" ref="F79:K79" si="24">+F78-F80</f>
        <v>135.75548550000053</v>
      </c>
      <c r="G79" s="5">
        <f t="shared" si="24"/>
        <v>134.55832904950034</v>
      </c>
      <c r="H79" s="5">
        <f t="shared" si="24"/>
        <v>133.07999013496908</v>
      </c>
      <c r="I79" s="5">
        <f t="shared" si="24"/>
        <v>131.30147330628643</v>
      </c>
      <c r="J79" s="5">
        <f t="shared" si="24"/>
        <v>129.2027832896373</v>
      </c>
      <c r="K79" s="5">
        <f t="shared" si="24"/>
        <v>146.11069394467131</v>
      </c>
    </row>
    <row r="80" spans="3:11" x14ac:dyDescent="0.2">
      <c r="C80" t="s">
        <v>38</v>
      </c>
      <c r="D80" s="5">
        <f>+D78-D79</f>
        <v>283</v>
      </c>
      <c r="E80" s="5">
        <f>+IF(E78&lt;0,E78,MAX(0,MIN(E78,E82)))</f>
        <v>160.33000000000084</v>
      </c>
      <c r="F80" s="5">
        <f>+IF(F78&lt;0,F78,MAX(0,MIN(F78,F82)))</f>
        <v>187.40018999999938</v>
      </c>
      <c r="G80" s="5">
        <f t="shared" ref="F80:K80" si="25">+IF(G78&lt;0,G78,MAX(0,MIN(G78,G82)))</f>
        <v>194.76799616999961</v>
      </c>
      <c r="H80" s="5">
        <f t="shared" si="25"/>
        <v>202.44683392731076</v>
      </c>
      <c r="I80" s="5">
        <f t="shared" si="25"/>
        <v>210.45076317026997</v>
      </c>
      <c r="J80" s="5">
        <f t="shared" si="25"/>
        <v>218.79452102266896</v>
      </c>
      <c r="K80" s="5">
        <f t="shared" si="25"/>
        <v>215.04666065015681</v>
      </c>
    </row>
    <row r="81" spans="3:11" x14ac:dyDescent="0.2">
      <c r="D81" s="5"/>
      <c r="E81" s="5"/>
      <c r="F81" s="5"/>
      <c r="G81" s="5"/>
      <c r="H81" s="5"/>
      <c r="I81" s="5"/>
      <c r="J81" s="5"/>
      <c r="K81" s="5"/>
    </row>
    <row r="82" spans="3:11" x14ac:dyDescent="0.2">
      <c r="C82" t="s">
        <v>45</v>
      </c>
      <c r="E82" s="5">
        <f>+E63-D63</f>
        <v>160.33000000000084</v>
      </c>
      <c r="F82" s="5">
        <f t="shared" ref="F82:K82" si="26">+F63-E63</f>
        <v>187.40018999999938</v>
      </c>
      <c r="G82" s="5">
        <f t="shared" si="26"/>
        <v>194.76799616999961</v>
      </c>
      <c r="H82" s="5">
        <f t="shared" si="26"/>
        <v>202.44683392731076</v>
      </c>
      <c r="I82" s="5">
        <f t="shared" si="26"/>
        <v>210.45076317026997</v>
      </c>
      <c r="J82" s="5">
        <f t="shared" si="26"/>
        <v>218.79452102266896</v>
      </c>
      <c r="K82" s="5">
        <f t="shared" si="26"/>
        <v>215.04666065015681</v>
      </c>
    </row>
    <row r="83" spans="3:11" x14ac:dyDescent="0.2">
      <c r="C83" t="s">
        <v>46</v>
      </c>
      <c r="E83" s="5">
        <f>+E82-E80</f>
        <v>0</v>
      </c>
      <c r="F83" s="5">
        <f t="shared" ref="F83:K83" si="27">+F82-F80</f>
        <v>0</v>
      </c>
      <c r="G83" s="5">
        <f t="shared" si="27"/>
        <v>0</v>
      </c>
      <c r="H83" s="5">
        <f t="shared" si="27"/>
        <v>0</v>
      </c>
      <c r="I83" s="5">
        <f t="shared" si="27"/>
        <v>0</v>
      </c>
      <c r="J83" s="5">
        <f t="shared" si="27"/>
        <v>0</v>
      </c>
      <c r="K83" s="5">
        <f t="shared" si="27"/>
        <v>0</v>
      </c>
    </row>
    <row r="86" spans="3:11" x14ac:dyDescent="0.2">
      <c r="C86" t="str">
        <f>+C78</f>
        <v>Profit after tax</v>
      </c>
      <c r="D86" s="5"/>
      <c r="E86" s="5">
        <f>+E78</f>
        <v>319.66550000000018</v>
      </c>
      <c r="F86" s="5">
        <f t="shared" ref="E86:K86" si="28">+F78</f>
        <v>323.15567549999992</v>
      </c>
      <c r="G86" s="5">
        <f t="shared" si="28"/>
        <v>329.32632521949995</v>
      </c>
      <c r="H86" s="5">
        <f t="shared" si="28"/>
        <v>335.52682406227984</v>
      </c>
      <c r="I86" s="5">
        <f t="shared" si="28"/>
        <v>341.75223647655639</v>
      </c>
      <c r="J86" s="5">
        <f t="shared" si="28"/>
        <v>347.99730431230626</v>
      </c>
      <c r="K86" s="5">
        <f t="shared" si="28"/>
        <v>361.15735459482812</v>
      </c>
    </row>
    <row r="87" spans="3:11" x14ac:dyDescent="0.2">
      <c r="C87" t="s">
        <v>47</v>
      </c>
      <c r="D87" s="5"/>
      <c r="E87" s="5">
        <f>+E63-D63</f>
        <v>160.33000000000084</v>
      </c>
      <c r="F87" s="5">
        <f t="shared" ref="F87:K87" si="29">+F63-E63</f>
        <v>187.40018999999938</v>
      </c>
      <c r="G87" s="5">
        <f t="shared" si="29"/>
        <v>194.76799616999961</v>
      </c>
      <c r="H87" s="5">
        <f t="shared" si="29"/>
        <v>202.44683392731076</v>
      </c>
      <c r="I87" s="5">
        <f t="shared" si="29"/>
        <v>210.45076317026997</v>
      </c>
      <c r="J87" s="5">
        <f t="shared" si="29"/>
        <v>218.79452102266896</v>
      </c>
      <c r="K87" s="5">
        <f t="shared" si="29"/>
        <v>215.04666065015681</v>
      </c>
    </row>
    <row r="88" spans="3:11" x14ac:dyDescent="0.2">
      <c r="C88" t="s">
        <v>48</v>
      </c>
      <c r="E88" s="5">
        <f>+E86-E87</f>
        <v>159.33549999999934</v>
      </c>
      <c r="F88" s="5">
        <f t="shared" ref="F88:K88" si="30">+F86-F87</f>
        <v>135.75548550000053</v>
      </c>
      <c r="G88" s="5">
        <f t="shared" si="30"/>
        <v>134.55832904950034</v>
      </c>
      <c r="H88" s="5">
        <f t="shared" si="30"/>
        <v>133.07999013496908</v>
      </c>
      <c r="I88" s="5">
        <f t="shared" si="30"/>
        <v>131.30147330628643</v>
      </c>
      <c r="J88" s="5">
        <f t="shared" si="30"/>
        <v>129.2027832896373</v>
      </c>
      <c r="K88" s="5">
        <f t="shared" si="30"/>
        <v>146.11069394467131</v>
      </c>
    </row>
    <row r="89" spans="3:11" x14ac:dyDescent="0.2">
      <c r="C89" s="5" t="str">
        <f>+C79</f>
        <v>Dividend</v>
      </c>
      <c r="D89" s="5"/>
      <c r="E89" s="5">
        <f>+E79</f>
        <v>159.33549999999934</v>
      </c>
      <c r="F89" s="5">
        <f t="shared" ref="E89:K89" si="31">+F79</f>
        <v>135.75548550000053</v>
      </c>
      <c r="G89" s="5">
        <f t="shared" si="31"/>
        <v>134.55832904950034</v>
      </c>
      <c r="H89" s="5">
        <f t="shared" si="31"/>
        <v>133.07999013496908</v>
      </c>
      <c r="I89" s="5">
        <f t="shared" si="31"/>
        <v>131.30147330628643</v>
      </c>
      <c r="J89" s="5">
        <f t="shared" si="31"/>
        <v>129.2027832896373</v>
      </c>
      <c r="K89" s="5">
        <f t="shared" si="31"/>
        <v>146.11069394467131</v>
      </c>
    </row>
    <row r="90" spans="3:11" x14ac:dyDescent="0.2">
      <c r="C90" t="s">
        <v>49</v>
      </c>
      <c r="E90" s="5">
        <f>+E63-D63-E80</f>
        <v>0</v>
      </c>
      <c r="F90" s="5">
        <f t="shared" ref="F90:K90" si="32">+F63-E63-F80</f>
        <v>0</v>
      </c>
      <c r="G90" s="5">
        <f t="shared" si="32"/>
        <v>0</v>
      </c>
      <c r="H90" s="5">
        <f t="shared" si="32"/>
        <v>0</v>
      </c>
      <c r="I90" s="5">
        <f t="shared" si="32"/>
        <v>0</v>
      </c>
      <c r="J90" s="5">
        <f t="shared" si="32"/>
        <v>0</v>
      </c>
      <c r="K90" s="5">
        <f t="shared" si="32"/>
        <v>0</v>
      </c>
    </row>
    <row r="91" spans="3:11" x14ac:dyDescent="0.2">
      <c r="C91" t="s">
        <v>50</v>
      </c>
      <c r="E91" s="5">
        <f>+E88-E89+E90</f>
        <v>0</v>
      </c>
      <c r="F91" s="5">
        <f t="shared" ref="F91:K91" si="33">+F88-F89+F90</f>
        <v>0</v>
      </c>
      <c r="G91" s="5">
        <f t="shared" si="33"/>
        <v>0</v>
      </c>
      <c r="H91" s="5">
        <f t="shared" si="33"/>
        <v>0</v>
      </c>
      <c r="I91" s="5">
        <f t="shared" si="33"/>
        <v>0</v>
      </c>
      <c r="J91" s="5">
        <f t="shared" si="33"/>
        <v>0</v>
      </c>
      <c r="K91" s="5">
        <f t="shared" si="33"/>
        <v>0</v>
      </c>
    </row>
    <row r="94" spans="3:11" x14ac:dyDescent="0.2">
      <c r="C94" s="5" t="str">
        <f>+C88</f>
        <v>FCFE</v>
      </c>
      <c r="D94" s="5"/>
      <c r="E94" s="5">
        <f t="shared" ref="D94:K94" si="34">+E88</f>
        <v>159.33549999999934</v>
      </c>
      <c r="F94" s="5">
        <f t="shared" si="34"/>
        <v>135.75548550000053</v>
      </c>
      <c r="G94" s="5">
        <f t="shared" si="34"/>
        <v>134.55832904950034</v>
      </c>
      <c r="H94" s="5">
        <f t="shared" si="34"/>
        <v>133.07999013496908</v>
      </c>
      <c r="I94" s="5">
        <f t="shared" si="34"/>
        <v>131.30147330628643</v>
      </c>
      <c r="J94" s="5">
        <f t="shared" si="34"/>
        <v>129.2027832896373</v>
      </c>
      <c r="K94" s="5">
        <f t="shared" si="34"/>
        <v>146.11069394467131</v>
      </c>
    </row>
    <row r="95" spans="3:11" x14ac:dyDescent="0.2">
      <c r="C95" t="s">
        <v>51</v>
      </c>
      <c r="E95" s="12">
        <f>+E5+E6*E7</f>
        <v>6.6000000000000003E-2</v>
      </c>
      <c r="F95" s="12">
        <f t="shared" ref="F95:K95" si="35">+F5+F6*F7</f>
        <v>6.6000000000000003E-2</v>
      </c>
      <c r="G95" s="12">
        <f t="shared" si="35"/>
        <v>6.6000000000000003E-2</v>
      </c>
      <c r="H95" s="12">
        <f t="shared" si="35"/>
        <v>6.6000000000000003E-2</v>
      </c>
      <c r="I95" s="12">
        <f t="shared" si="35"/>
        <v>6.6000000000000003E-2</v>
      </c>
      <c r="J95" s="12">
        <f t="shared" si="35"/>
        <v>6.6000000000000003E-2</v>
      </c>
      <c r="K95" s="12">
        <f t="shared" si="35"/>
        <v>6.6000000000000003E-2</v>
      </c>
    </row>
    <row r="96" spans="3:11" x14ac:dyDescent="0.2">
      <c r="C96" s="13" t="s">
        <v>52</v>
      </c>
      <c r="D96" s="13"/>
      <c r="E96" s="14">
        <f t="shared" ref="E96:I96" si="36">+(E94+F96)/(1+E95)</f>
        <v>3878.5224493144237</v>
      </c>
      <c r="F96" s="14">
        <f t="shared" si="36"/>
        <v>3975.1694309691766</v>
      </c>
      <c r="G96" s="14">
        <f t="shared" si="36"/>
        <v>4101.7751279131417</v>
      </c>
      <c r="H96" s="14">
        <f t="shared" si="36"/>
        <v>4237.9339573059087</v>
      </c>
      <c r="I96" s="14">
        <f t="shared" si="36"/>
        <v>4384.5576083531296</v>
      </c>
      <c r="J96" s="14">
        <f>+(J94+K96)/(1+J95)</f>
        <v>4542.63693719815</v>
      </c>
      <c r="K96" s="14">
        <f>+K94/(K95-K11)</f>
        <v>4713.2481917635905</v>
      </c>
    </row>
    <row r="97" spans="3:11" x14ac:dyDescent="0.2">
      <c r="C97" t="s">
        <v>53</v>
      </c>
      <c r="E97" s="5">
        <f>+D63</f>
        <v>5000</v>
      </c>
    </row>
    <row r="98" spans="3:11" x14ac:dyDescent="0.2">
      <c r="C98" t="s">
        <v>55</v>
      </c>
      <c r="E98" s="5">
        <f>+E96-E97</f>
        <v>-1121.4775506855763</v>
      </c>
    </row>
    <row r="100" spans="3:11" x14ac:dyDescent="0.2">
      <c r="C100" t="s">
        <v>54</v>
      </c>
      <c r="E100" s="12">
        <f>+E78/D63</f>
        <v>6.3933100000000034E-2</v>
      </c>
      <c r="F100" s="12">
        <f t="shared" ref="F100:K100" si="37">+F78/E63</f>
        <v>6.2623063931957809E-2</v>
      </c>
      <c r="G100" s="12">
        <f>+G78/F63</f>
        <v>6.1582449659731232E-2</v>
      </c>
      <c r="H100" s="12">
        <f t="shared" si="37"/>
        <v>6.0537110305152304E-2</v>
      </c>
      <c r="I100" s="12">
        <f t="shared" si="37"/>
        <v>5.9487468597352676E-2</v>
      </c>
      <c r="J100" s="12">
        <f t="shared" si="37"/>
        <v>5.8433950819867866E-2</v>
      </c>
      <c r="K100" s="12">
        <f t="shared" si="37"/>
        <v>5.8494691092347978E-2</v>
      </c>
    </row>
    <row r="102" spans="3:11" x14ac:dyDescent="0.2">
      <c r="C102" t="s">
        <v>56</v>
      </c>
      <c r="E102" s="5">
        <f>+E96/E78</f>
        <v>12.133065499137134</v>
      </c>
    </row>
    <row r="103" spans="3:11" x14ac:dyDescent="0.2">
      <c r="C103" t="s">
        <v>57</v>
      </c>
      <c r="E103" s="5">
        <f>+E96/(E70+E71)</f>
        <v>1.1505554581175983</v>
      </c>
    </row>
    <row r="104" spans="3:11" x14ac:dyDescent="0.2">
      <c r="C104" t="s">
        <v>58</v>
      </c>
      <c r="E104" s="5">
        <f>+E96/D63</f>
        <v>0.77570448986288476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6C5E-8CC0-4242-9299-787C1DB6055E}">
  <dimension ref="B1:K106"/>
  <sheetViews>
    <sheetView topLeftCell="A79" zoomScaleNormal="160" workbookViewId="0">
      <selection activeCell="I35" sqref="I35"/>
    </sheetView>
  </sheetViews>
  <sheetFormatPr baseColWidth="10" defaultColWidth="8.83203125" defaultRowHeight="16" x14ac:dyDescent="0.2"/>
  <cols>
    <col min="2" max="2" width="10.6640625" bestFit="1" customWidth="1"/>
    <col min="3" max="3" width="28.6640625" bestFit="1" customWidth="1"/>
    <col min="4" max="11" width="8.83203125" bestFit="1" customWidth="1"/>
  </cols>
  <sheetData>
    <row r="1" spans="3:11" x14ac:dyDescent="0.2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">
      <c r="D8" s="4"/>
      <c r="E8" s="4"/>
      <c r="F8" s="4"/>
      <c r="G8" s="4"/>
      <c r="H8" s="4"/>
      <c r="I8" s="4"/>
      <c r="J8" s="4"/>
      <c r="K8" s="4"/>
    </row>
    <row r="10" spans="3:11" x14ac:dyDescent="0.2">
      <c r="C10" s="3" t="s">
        <v>7</v>
      </c>
      <c r="D10" s="3">
        <f t="shared" ref="D10:K10" si="0">+D48</f>
        <v>2023</v>
      </c>
      <c r="E10" s="3">
        <f t="shared" si="0"/>
        <v>2024</v>
      </c>
      <c r="F10" s="3">
        <f t="shared" si="0"/>
        <v>2025</v>
      </c>
      <c r="G10" s="3">
        <f t="shared" si="0"/>
        <v>2026</v>
      </c>
      <c r="H10" s="3">
        <f t="shared" si="0"/>
        <v>2027</v>
      </c>
      <c r="I10" s="3">
        <f t="shared" si="0"/>
        <v>2028</v>
      </c>
      <c r="J10" s="3">
        <f t="shared" si="0"/>
        <v>2029</v>
      </c>
      <c r="K10" s="3" t="str">
        <f t="shared" si="0"/>
        <v>TV</v>
      </c>
    </row>
    <row r="11" spans="3:11" x14ac:dyDescent="0.2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">
      <c r="C23" s="3" t="s">
        <v>9</v>
      </c>
      <c r="D23" s="3">
        <f>+D10</f>
        <v>2023</v>
      </c>
      <c r="E23" s="3">
        <f t="shared" ref="E23:K23" si="1">+E10</f>
        <v>2024</v>
      </c>
      <c r="F23" s="3">
        <f t="shared" si="1"/>
        <v>2025</v>
      </c>
      <c r="G23" s="3">
        <f t="shared" si="1"/>
        <v>2026</v>
      </c>
      <c r="H23" s="3">
        <f t="shared" si="1"/>
        <v>2027</v>
      </c>
      <c r="I23" s="3">
        <f t="shared" si="1"/>
        <v>2028</v>
      </c>
      <c r="J23" s="3">
        <f t="shared" si="1"/>
        <v>2029</v>
      </c>
      <c r="K23" s="3" t="str">
        <f t="shared" si="1"/>
        <v>TV</v>
      </c>
    </row>
    <row r="24" spans="3:11" x14ac:dyDescent="0.2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">
      <c r="C31" s="3" t="s">
        <v>10</v>
      </c>
      <c r="D31" s="3">
        <f>+D23</f>
        <v>2023</v>
      </c>
      <c r="E31" s="3">
        <f t="shared" ref="E31:K31" si="2">+E23</f>
        <v>2024</v>
      </c>
      <c r="F31" s="3">
        <f t="shared" si="2"/>
        <v>2025</v>
      </c>
      <c r="G31" s="3">
        <f t="shared" si="2"/>
        <v>2026</v>
      </c>
      <c r="H31" s="3">
        <f t="shared" si="2"/>
        <v>2027</v>
      </c>
      <c r="I31" s="3">
        <f t="shared" si="2"/>
        <v>2028</v>
      </c>
      <c r="J31" s="3">
        <f t="shared" si="2"/>
        <v>2029</v>
      </c>
      <c r="K31" s="3" t="str">
        <f t="shared" si="2"/>
        <v>TV</v>
      </c>
    </row>
    <row r="32" spans="3:11" x14ac:dyDescent="0.2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">
      <c r="C35" t="s">
        <v>3</v>
      </c>
      <c r="E35" s="15">
        <v>6.4000000000000001E-2</v>
      </c>
      <c r="F35" s="15">
        <v>6.4000000000000001E-2</v>
      </c>
      <c r="G35" s="15">
        <v>6.4000000000000001E-2</v>
      </c>
      <c r="H35" s="15">
        <v>6.4000000000000001E-2</v>
      </c>
      <c r="I35" s="15">
        <v>6.4000000000000001E-2</v>
      </c>
      <c r="J35" s="15">
        <v>6.4000000000000001E-2</v>
      </c>
      <c r="K35" s="15">
        <v>6.4000000000000001E-2</v>
      </c>
    </row>
    <row r="36" spans="2:11" x14ac:dyDescent="0.2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">
      <c r="C41" t="s">
        <v>61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">
      <c r="C43" s="3" t="s">
        <v>43</v>
      </c>
    </row>
    <row r="44" spans="2:11" x14ac:dyDescent="0.2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">
      <c r="B48" t="s">
        <v>31</v>
      </c>
      <c r="C48" t="s">
        <v>0</v>
      </c>
      <c r="D48" s="2">
        <v>2023</v>
      </c>
      <c r="E48" s="3">
        <f>+D48+1</f>
        <v>2024</v>
      </c>
      <c r="F48" s="3">
        <f t="shared" ref="F48:J48" si="3">+E48+1</f>
        <v>2025</v>
      </c>
      <c r="G48" s="3">
        <f t="shared" si="3"/>
        <v>2026</v>
      </c>
      <c r="H48" s="3">
        <f t="shared" si="3"/>
        <v>2027</v>
      </c>
      <c r="I48" s="3">
        <f t="shared" si="3"/>
        <v>2028</v>
      </c>
      <c r="J48" s="3">
        <f t="shared" si="3"/>
        <v>2029</v>
      </c>
      <c r="K48" s="3" t="s">
        <v>8</v>
      </c>
    </row>
    <row r="49" spans="2:11" x14ac:dyDescent="0.2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K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 t="shared" si="4"/>
        <v>1727.8986958827297</v>
      </c>
    </row>
    <row r="50" spans="2:11" x14ac:dyDescent="0.2">
      <c r="B50" s="7">
        <v>1.5</v>
      </c>
      <c r="C50" t="s">
        <v>1</v>
      </c>
      <c r="D50" s="6">
        <v>6000</v>
      </c>
      <c r="E50" s="8">
        <f t="shared" ref="E50:K55" si="5">+D50*(1+E12)</f>
        <v>6180</v>
      </c>
      <c r="F50" s="8">
        <f t="shared" si="5"/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si="5"/>
        <v>7415.0647614450918</v>
      </c>
    </row>
    <row r="51" spans="2:11" x14ac:dyDescent="0.2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si="5"/>
        <v>3496.7343118147201</v>
      </c>
    </row>
    <row r="52" spans="2:11" x14ac:dyDescent="0.2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si="5"/>
        <v>4801.1307514013652</v>
      </c>
    </row>
    <row r="53" spans="2:11" x14ac:dyDescent="0.2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si="5"/>
        <v>19084.188941498593</v>
      </c>
    </row>
    <row r="54" spans="2:11" x14ac:dyDescent="0.2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">
      <c r="B55" s="7">
        <v>1</v>
      </c>
      <c r="C55" t="s">
        <v>6</v>
      </c>
      <c r="D55" s="6">
        <v>20000</v>
      </c>
      <c r="E55" s="8">
        <f t="shared" si="5"/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si="5"/>
        <v>26192.103682867204</v>
      </c>
    </row>
    <row r="56" spans="2:11" x14ac:dyDescent="0.2">
      <c r="B56" s="7">
        <v>0.3</v>
      </c>
      <c r="C56" t="s">
        <v>30</v>
      </c>
      <c r="D56" s="6">
        <v>1000</v>
      </c>
      <c r="E56" s="6">
        <v>1000</v>
      </c>
      <c r="F56" s="6">
        <v>1000</v>
      </c>
      <c r="G56" s="6">
        <v>1000</v>
      </c>
      <c r="H56" s="6">
        <v>1000</v>
      </c>
      <c r="I56" s="6">
        <v>1000</v>
      </c>
      <c r="J56" s="6">
        <v>1000</v>
      </c>
      <c r="K56" s="6">
        <v>1000</v>
      </c>
    </row>
    <row r="57" spans="2:11" x14ac:dyDescent="0.2">
      <c r="B57" s="7">
        <v>0</v>
      </c>
      <c r="C57" t="s">
        <v>14</v>
      </c>
      <c r="D57" s="6">
        <v>1000</v>
      </c>
      <c r="E57" s="8">
        <f>SUM(E49:E55)*E1</f>
        <v>1108.6400000000001</v>
      </c>
      <c r="F57" s="8">
        <f t="shared" ref="F57:K57" si="6">SUM(F49:F55)*F1</f>
        <v>1148.76722</v>
      </c>
      <c r="G57" s="8">
        <f t="shared" si="6"/>
        <v>1190.44254746</v>
      </c>
      <c r="H57" s="8">
        <f t="shared" si="6"/>
        <v>1233.7295220267802</v>
      </c>
      <c r="I57" s="8">
        <f t="shared" si="6"/>
        <v>1278.6944584043995</v>
      </c>
      <c r="J57" s="8">
        <f t="shared" si="6"/>
        <v>1325.4065752589283</v>
      </c>
      <c r="K57" s="8">
        <f t="shared" si="6"/>
        <v>1371.7958053929908</v>
      </c>
    </row>
    <row r="58" spans="2:11" x14ac:dyDescent="0.2">
      <c r="C58" s="1" t="s">
        <v>13</v>
      </c>
      <c r="D58" s="9">
        <f>SUM(D49:D57)</f>
        <v>55500</v>
      </c>
      <c r="E58" s="9">
        <f t="shared" ref="E58:K58" si="7">SUM(E49:E57)</f>
        <v>57540.639999999999</v>
      </c>
      <c r="F58" s="9">
        <f t="shared" si="7"/>
        <v>59587.128219999999</v>
      </c>
      <c r="G58" s="9">
        <f t="shared" si="7"/>
        <v>61712.569920459995</v>
      </c>
      <c r="H58" s="9">
        <f t="shared" si="7"/>
        <v>63920.205623365779</v>
      </c>
      <c r="I58" s="9">
        <f t="shared" si="7"/>
        <v>66213.417378624377</v>
      </c>
      <c r="J58" s="9">
        <f t="shared" si="7"/>
        <v>68595.735338205341</v>
      </c>
      <c r="K58" s="9">
        <f t="shared" si="7"/>
        <v>70961.586075042535</v>
      </c>
    </row>
    <row r="59" spans="2:11" x14ac:dyDescent="0.2">
      <c r="D59" s="5"/>
    </row>
    <row r="60" spans="2:11" x14ac:dyDescent="0.2">
      <c r="C60" t="s">
        <v>15</v>
      </c>
      <c r="D60" s="6">
        <v>20000</v>
      </c>
      <c r="E60" s="5">
        <f>+D60*(1+E18)</f>
        <v>20640</v>
      </c>
      <c r="F60" s="5">
        <f t="shared" ref="F60:K61" si="8">+E60*(1+F18)</f>
        <v>21300.48</v>
      </c>
      <c r="G60" s="5">
        <f t="shared" si="8"/>
        <v>21982.095359999999</v>
      </c>
      <c r="H60" s="5">
        <f t="shared" si="8"/>
        <v>22685.52241152</v>
      </c>
      <c r="I60" s="5">
        <f t="shared" si="8"/>
        <v>23411.459128688639</v>
      </c>
      <c r="J60" s="5">
        <f t="shared" si="8"/>
        <v>24160.625820806676</v>
      </c>
      <c r="K60" s="5">
        <f t="shared" si="8"/>
        <v>25006.247724534907</v>
      </c>
    </row>
    <row r="61" spans="2:11" x14ac:dyDescent="0.2">
      <c r="C61" t="s">
        <v>16</v>
      </c>
      <c r="D61" s="6">
        <v>25000</v>
      </c>
      <c r="E61" s="5">
        <f>+D61*(1+E19)</f>
        <v>25824.999999999996</v>
      </c>
      <c r="F61" s="5">
        <f t="shared" si="8"/>
        <v>26677.224999999995</v>
      </c>
      <c r="G61" s="5">
        <f t="shared" si="8"/>
        <v>27557.573424999991</v>
      </c>
      <c r="H61" s="5">
        <f t="shared" si="8"/>
        <v>28466.973348024989</v>
      </c>
      <c r="I61" s="5">
        <f t="shared" si="8"/>
        <v>29406.383468509812</v>
      </c>
      <c r="J61" s="5">
        <f t="shared" si="8"/>
        <v>30376.794122970634</v>
      </c>
      <c r="K61" s="5">
        <f t="shared" si="8"/>
        <v>31439.981917274603</v>
      </c>
    </row>
    <row r="62" spans="2:11" x14ac:dyDescent="0.2">
      <c r="C62" t="s">
        <v>18</v>
      </c>
      <c r="D62" s="5">
        <f>+D58-D60-D61-D63</f>
        <v>5500</v>
      </c>
      <c r="E62" s="5">
        <f t="shared" ref="E62:K62" si="9">+E58-E60-E61-E63</f>
        <v>5915.3100000000022</v>
      </c>
      <c r="F62" s="5">
        <f t="shared" si="9"/>
        <v>6261.6930300000076</v>
      </c>
      <c r="G62" s="5">
        <f t="shared" si="9"/>
        <v>6630.4029492900045</v>
      </c>
      <c r="H62" s="5">
        <f t="shared" si="9"/>
        <v>7022.764843723483</v>
      </c>
      <c r="I62" s="5">
        <f t="shared" si="9"/>
        <v>7440.1789981583424</v>
      </c>
      <c r="J62" s="5">
        <f t="shared" si="9"/>
        <v>7884.1250901377853</v>
      </c>
      <c r="K62" s="5">
        <f t="shared" si="9"/>
        <v>8126.119468292618</v>
      </c>
    </row>
    <row r="63" spans="2:11" x14ac:dyDescent="0.2">
      <c r="C63" t="s">
        <v>17</v>
      </c>
      <c r="D63" s="6">
        <v>5000</v>
      </c>
      <c r="E63" s="5">
        <f>+E65*E4</f>
        <v>5160.3300000000008</v>
      </c>
      <c r="F63" s="5">
        <f t="shared" ref="F63:K63" si="10">+F65*F4</f>
        <v>5347.7301900000002</v>
      </c>
      <c r="G63" s="5">
        <f t="shared" si="10"/>
        <v>5542.4981861699998</v>
      </c>
      <c r="H63" s="5">
        <f t="shared" si="10"/>
        <v>5744.9450200973106</v>
      </c>
      <c r="I63" s="5">
        <f t="shared" si="10"/>
        <v>5955.3957832675806</v>
      </c>
      <c r="J63" s="5">
        <f t="shared" si="10"/>
        <v>6174.1903042902495</v>
      </c>
      <c r="K63" s="5">
        <f t="shared" si="10"/>
        <v>6389.2369649404063</v>
      </c>
    </row>
    <row r="64" spans="2:11" x14ac:dyDescent="0.2">
      <c r="D64" s="5"/>
    </row>
    <row r="65" spans="3:11" x14ac:dyDescent="0.2">
      <c r="C65" t="s">
        <v>32</v>
      </c>
      <c r="D65" s="5">
        <f>+SUMPRODUCT($B$49:$B$57,D49:D57)</f>
        <v>49800</v>
      </c>
      <c r="E65" s="5">
        <f>+SUMPRODUCT($B$49:$B$57,E49:E57)</f>
        <v>51603.3</v>
      </c>
      <c r="F65" s="5">
        <f t="shared" ref="F65:K65" si="11">+SUMPRODUCT($B$49:$B$57,F49:F57)</f>
        <v>53477.301899999999</v>
      </c>
      <c r="G65" s="5">
        <f t="shared" si="11"/>
        <v>55424.981861699998</v>
      </c>
      <c r="H65" s="5">
        <f t="shared" si="11"/>
        <v>57449.4502009731</v>
      </c>
      <c r="I65" s="5">
        <f t="shared" si="11"/>
        <v>59553.957832675806</v>
      </c>
      <c r="J65" s="5">
        <f t="shared" si="11"/>
        <v>61741.903042902493</v>
      </c>
      <c r="K65" s="5">
        <f t="shared" si="11"/>
        <v>63892.369649404063</v>
      </c>
    </row>
    <row r="68" spans="3:11" x14ac:dyDescent="0.2">
      <c r="C68" t="s">
        <v>19</v>
      </c>
      <c r="D68" s="6">
        <v>4830</v>
      </c>
      <c r="E68" s="5">
        <f>+SUMPRODUCT(D50:D56,E32:E38)</f>
        <v>4062</v>
      </c>
      <c r="F68" s="5">
        <f t="shared" ref="F68:K68" si="12">+SUMPRODUCT(E50:E56,F32:F38)</f>
        <v>4202</v>
      </c>
      <c r="G68" s="5">
        <f t="shared" si="12"/>
        <v>4347.2370000000001</v>
      </c>
      <c r="H68" s="5">
        <f t="shared" si="12"/>
        <v>4497.9215450000002</v>
      </c>
      <c r="I68" s="5">
        <f t="shared" si="12"/>
        <v>4654.2732956250002</v>
      </c>
      <c r="J68" s="5">
        <f t="shared" si="12"/>
        <v>4816.521452365625</v>
      </c>
      <c r="K68" s="5">
        <f t="shared" si="12"/>
        <v>4984.9052008947356</v>
      </c>
    </row>
    <row r="69" spans="3:11" x14ac:dyDescent="0.2">
      <c r="C69" t="s">
        <v>20</v>
      </c>
      <c r="D69" s="6">
        <v>1880</v>
      </c>
      <c r="E69" s="5">
        <f>+D60*E39+D61*E40+E41*D62</f>
        <v>1666</v>
      </c>
      <c r="F69" s="5">
        <f t="shared" ref="F69:K69" si="13">+E60*F39+E61*F40+F41*E62</f>
        <v>1730.2380200000002</v>
      </c>
      <c r="G69" s="5">
        <f t="shared" si="13"/>
        <v>1793.1074222600002</v>
      </c>
      <c r="H69" s="5">
        <f t="shared" si="13"/>
        <v>1858.49066382518</v>
      </c>
      <c r="I69" s="5">
        <f t="shared" si="13"/>
        <v>1926.4948181398213</v>
      </c>
      <c r="J69" s="5">
        <f t="shared" si="13"/>
        <v>1997.2317949237759</v>
      </c>
      <c r="K69" s="5">
        <f t="shared" si="13"/>
        <v>2070.8185710723465</v>
      </c>
    </row>
    <row r="70" spans="3:11" x14ac:dyDescent="0.2">
      <c r="C70" t="s">
        <v>21</v>
      </c>
      <c r="D70" s="5">
        <f>+D68-D69</f>
        <v>2950</v>
      </c>
      <c r="E70" s="5">
        <f>+E68-E69</f>
        <v>2396</v>
      </c>
      <c r="F70" s="5">
        <f t="shared" ref="F70:K70" si="14">+F68-F69</f>
        <v>2471.7619799999998</v>
      </c>
      <c r="G70" s="5">
        <f t="shared" si="14"/>
        <v>2554.1295777400001</v>
      </c>
      <c r="H70" s="5">
        <f t="shared" si="14"/>
        <v>2639.4308811748201</v>
      </c>
      <c r="I70" s="5">
        <f t="shared" si="14"/>
        <v>2727.7784774851789</v>
      </c>
      <c r="J70" s="5">
        <f t="shared" si="14"/>
        <v>2819.2896574418492</v>
      </c>
      <c r="K70" s="5">
        <f t="shared" si="14"/>
        <v>2914.0866298223891</v>
      </c>
    </row>
    <row r="71" spans="3:11" x14ac:dyDescent="0.2">
      <c r="C71" t="s">
        <v>44</v>
      </c>
      <c r="D71" s="6">
        <v>1000</v>
      </c>
      <c r="E71" s="5">
        <f>+D71*(1+E21)</f>
        <v>1035</v>
      </c>
      <c r="F71" s="5">
        <f t="shared" ref="F71:K71" si="15">+E71*(1+F21)</f>
        <v>1071.2249999999999</v>
      </c>
      <c r="G71" s="5">
        <f t="shared" si="15"/>
        <v>1108.7178749999998</v>
      </c>
      <c r="H71" s="5">
        <f t="shared" si="15"/>
        <v>1147.5230006249997</v>
      </c>
      <c r="I71" s="5">
        <f t="shared" si="15"/>
        <v>1187.6863056468746</v>
      </c>
      <c r="J71" s="5">
        <f t="shared" si="15"/>
        <v>1229.2553263445152</v>
      </c>
      <c r="K71" s="5">
        <f t="shared" si="15"/>
        <v>1272.2792627665731</v>
      </c>
    </row>
    <row r="72" spans="3:11" x14ac:dyDescent="0.2">
      <c r="C72" t="s">
        <v>23</v>
      </c>
      <c r="D72" s="6">
        <v>60</v>
      </c>
      <c r="E72" s="5">
        <f>(SUM(E50:E55)-SUM(D50:D55)+E73)*E44+(E60-D60+E61-D61)*E45</f>
        <v>63.834999999999987</v>
      </c>
      <c r="F72" s="5">
        <f t="shared" ref="F72:K72" si="16">(SUM(F50:F55)-SUM(E50:E55)+F73)*F44+(F60-E60+F61-E61)*F45</f>
        <v>66.209514999999996</v>
      </c>
      <c r="G72" s="5">
        <f t="shared" si="16"/>
        <v>68.678070355000074</v>
      </c>
      <c r="H72" s="5">
        <f t="shared" si="16"/>
        <v>71.244642188634884</v>
      </c>
      <c r="I72" s="5">
        <f t="shared" si="16"/>
        <v>73.913386327235344</v>
      </c>
      <c r="J72" s="5">
        <f t="shared" si="16"/>
        <v>76.688646958746375</v>
      </c>
      <c r="K72" s="5">
        <f t="shared" si="16"/>
        <v>77.264728158762779</v>
      </c>
    </row>
    <row r="73" spans="3:11" x14ac:dyDescent="0.2">
      <c r="C73" t="s">
        <v>9</v>
      </c>
      <c r="D73" s="6">
        <v>1000</v>
      </c>
      <c r="E73" s="5">
        <f>+SUMPRODUCT(E24:E29,D50:D55)</f>
        <v>1067</v>
      </c>
      <c r="F73" s="5">
        <f t="shared" ref="F73:K73" si="17">+SUMPRODUCT(F24:F29,E50:E55)</f>
        <v>1104.6949999999999</v>
      </c>
      <c r="G73" s="5">
        <f t="shared" si="17"/>
        <v>1143.8233250000001</v>
      </c>
      <c r="H73" s="5">
        <f t="shared" si="17"/>
        <v>1184.4437363750001</v>
      </c>
      <c r="I73" s="5">
        <f t="shared" si="17"/>
        <v>1226.617592523125</v>
      </c>
      <c r="J73" s="5">
        <f t="shared" si="17"/>
        <v>1270.4089720868092</v>
      </c>
      <c r="K73" s="5">
        <f t="shared" si="17"/>
        <v>1315.884803395797</v>
      </c>
    </row>
    <row r="74" spans="3:11" x14ac:dyDescent="0.2">
      <c r="C74" t="s">
        <v>22</v>
      </c>
      <c r="D74" s="6">
        <v>1500</v>
      </c>
      <c r="E74" s="5">
        <f>+D74*(1+E20)</f>
        <v>1558.4999999999998</v>
      </c>
      <c r="F74" s="5">
        <f t="shared" ref="F74:K74" si="18">+E74*(1+F20)</f>
        <v>1619.2814999999996</v>
      </c>
      <c r="G74" s="5">
        <f t="shared" si="18"/>
        <v>1682.4334784999994</v>
      </c>
      <c r="H74" s="5">
        <f t="shared" si="18"/>
        <v>1748.0483841614994</v>
      </c>
      <c r="I74" s="5">
        <f t="shared" si="18"/>
        <v>1816.2222711437978</v>
      </c>
      <c r="J74" s="5">
        <f t="shared" si="18"/>
        <v>1887.0549397184059</v>
      </c>
      <c r="K74" s="5">
        <f t="shared" si="18"/>
        <v>1953.1018626085499</v>
      </c>
    </row>
    <row r="75" spans="3:11" x14ac:dyDescent="0.2">
      <c r="C75" t="s">
        <v>24</v>
      </c>
      <c r="D75" s="6">
        <v>200</v>
      </c>
      <c r="E75" s="5">
        <f>+D49*E2</f>
        <v>225</v>
      </c>
      <c r="F75" s="5">
        <f t="shared" ref="F75:K75" si="19">+E49*F2</f>
        <v>229.04999999999998</v>
      </c>
      <c r="G75" s="5">
        <f t="shared" si="19"/>
        <v>233.1729</v>
      </c>
      <c r="H75" s="5">
        <f t="shared" si="19"/>
        <v>237.37001219999999</v>
      </c>
      <c r="I75" s="5">
        <f t="shared" si="19"/>
        <v>241.64267241959999</v>
      </c>
      <c r="J75" s="5">
        <f t="shared" si="19"/>
        <v>245.99224052315279</v>
      </c>
      <c r="K75" s="5">
        <f t="shared" si="19"/>
        <v>250.42010085256953</v>
      </c>
    </row>
    <row r="76" spans="3:11" x14ac:dyDescent="0.2">
      <c r="C76" t="s">
        <v>26</v>
      </c>
      <c r="D76" s="5">
        <f>+D70-D72-D74-D75-D73+D71</f>
        <v>1190</v>
      </c>
      <c r="E76" s="5">
        <f>+E70-E72-E74-E75-E73+E71</f>
        <v>516.66500000000019</v>
      </c>
      <c r="F76" s="5">
        <f t="shared" ref="F76:K76" si="20">+F70-F72-F74-F75-F73+F71</f>
        <v>523.75096500000018</v>
      </c>
      <c r="G76" s="5">
        <f t="shared" si="20"/>
        <v>534.7396788850001</v>
      </c>
      <c r="H76" s="5">
        <f t="shared" si="20"/>
        <v>545.84710687468555</v>
      </c>
      <c r="I76" s="5">
        <f t="shared" si="20"/>
        <v>557.06886071829524</v>
      </c>
      <c r="J76" s="5">
        <f t="shared" si="20"/>
        <v>568.40018449925037</v>
      </c>
      <c r="K76" s="5">
        <f t="shared" si="20"/>
        <v>589.69439757328291</v>
      </c>
    </row>
    <row r="77" spans="3:11" x14ac:dyDescent="0.2">
      <c r="C77" t="s">
        <v>27</v>
      </c>
      <c r="D77" s="5">
        <f>+D76*D3</f>
        <v>357</v>
      </c>
      <c r="E77" s="5">
        <f>+E76*E3</f>
        <v>154.99950000000004</v>
      </c>
      <c r="F77" s="5">
        <f t="shared" ref="F77:K77" si="21">+F76*F3</f>
        <v>157.12528950000004</v>
      </c>
      <c r="G77" s="5">
        <f t="shared" si="21"/>
        <v>160.42190366550003</v>
      </c>
      <c r="H77" s="5">
        <f t="shared" si="21"/>
        <v>163.75413206240566</v>
      </c>
      <c r="I77" s="5">
        <f t="shared" si="21"/>
        <v>167.12065821548856</v>
      </c>
      <c r="J77" s="5">
        <f t="shared" si="21"/>
        <v>170.52005534977511</v>
      </c>
      <c r="K77" s="5">
        <f t="shared" si="21"/>
        <v>176.90831927198488</v>
      </c>
    </row>
    <row r="78" spans="3:11" x14ac:dyDescent="0.2">
      <c r="C78" t="s">
        <v>28</v>
      </c>
      <c r="D78" s="5">
        <f>+D76-D77</f>
        <v>833</v>
      </c>
      <c r="E78" s="5">
        <f>+E76-E77</f>
        <v>361.66550000000018</v>
      </c>
      <c r="F78" s="5">
        <f t="shared" ref="F78:K78" si="22">+F76-F77</f>
        <v>366.62567550000017</v>
      </c>
      <c r="G78" s="5">
        <f t="shared" si="22"/>
        <v>374.31777521950005</v>
      </c>
      <c r="H78" s="5">
        <f t="shared" si="22"/>
        <v>382.09297481227986</v>
      </c>
      <c r="I78" s="5">
        <f t="shared" si="22"/>
        <v>389.94820250280668</v>
      </c>
      <c r="J78" s="5">
        <f t="shared" si="22"/>
        <v>397.88012914947524</v>
      </c>
      <c r="K78" s="5">
        <f t="shared" si="22"/>
        <v>412.78607830129806</v>
      </c>
    </row>
    <row r="79" spans="3:11" x14ac:dyDescent="0.2">
      <c r="C79" t="s">
        <v>39</v>
      </c>
      <c r="D79" s="6">
        <v>550</v>
      </c>
      <c r="E79" s="5">
        <f>+E78-E80</f>
        <v>201.33549999999934</v>
      </c>
      <c r="F79" s="5">
        <f t="shared" ref="F79:K79" si="23">+F78-F80</f>
        <v>179.22548550000079</v>
      </c>
      <c r="G79" s="5">
        <f t="shared" si="23"/>
        <v>179.54977904950044</v>
      </c>
      <c r="H79" s="5">
        <f t="shared" si="23"/>
        <v>179.6461408849691</v>
      </c>
      <c r="I79" s="5">
        <f t="shared" si="23"/>
        <v>179.49743933253671</v>
      </c>
      <c r="J79" s="5">
        <f t="shared" si="23"/>
        <v>179.08560812680628</v>
      </c>
      <c r="K79" s="5">
        <f t="shared" si="23"/>
        <v>197.73941765114125</v>
      </c>
    </row>
    <row r="80" spans="3:11" x14ac:dyDescent="0.2">
      <c r="C80" t="s">
        <v>38</v>
      </c>
      <c r="D80" s="5">
        <f>+D78-D79</f>
        <v>283</v>
      </c>
      <c r="E80" s="5">
        <f>+IF(E78&lt;0,E78,MAX(0,MIN(E78,E82)))</f>
        <v>160.33000000000084</v>
      </c>
      <c r="F80" s="5">
        <f t="shared" ref="F80:K80" si="24">+IF(F78&lt;0,F78,MAX(0,MIN(F78,F82)))</f>
        <v>187.40018999999938</v>
      </c>
      <c r="G80" s="5">
        <f t="shared" si="24"/>
        <v>194.76799616999961</v>
      </c>
      <c r="H80" s="5">
        <f t="shared" si="24"/>
        <v>202.44683392731076</v>
      </c>
      <c r="I80" s="5">
        <f t="shared" si="24"/>
        <v>210.45076317026997</v>
      </c>
      <c r="J80" s="5">
        <f t="shared" si="24"/>
        <v>218.79452102266896</v>
      </c>
      <c r="K80" s="5">
        <f t="shared" si="24"/>
        <v>215.04666065015681</v>
      </c>
    </row>
    <row r="81" spans="3:11" x14ac:dyDescent="0.2">
      <c r="D81" s="5"/>
      <c r="E81" s="5"/>
      <c r="F81" s="5"/>
      <c r="G81" s="5"/>
      <c r="H81" s="5"/>
      <c r="I81" s="5"/>
      <c r="J81" s="5"/>
      <c r="K81" s="5"/>
    </row>
    <row r="82" spans="3:11" x14ac:dyDescent="0.2">
      <c r="C82" t="s">
        <v>45</v>
      </c>
      <c r="E82" s="5">
        <f>+E63-D63</f>
        <v>160.33000000000084</v>
      </c>
      <c r="F82" s="5">
        <f t="shared" ref="F82:K82" si="25">+F63-E63</f>
        <v>187.40018999999938</v>
      </c>
      <c r="G82" s="5">
        <f t="shared" si="25"/>
        <v>194.76799616999961</v>
      </c>
      <c r="H82" s="5">
        <f t="shared" si="25"/>
        <v>202.44683392731076</v>
      </c>
      <c r="I82" s="5">
        <f t="shared" si="25"/>
        <v>210.45076317026997</v>
      </c>
      <c r="J82" s="5">
        <f t="shared" si="25"/>
        <v>218.79452102266896</v>
      </c>
      <c r="K82" s="5">
        <f t="shared" si="25"/>
        <v>215.04666065015681</v>
      </c>
    </row>
    <row r="83" spans="3:11" x14ac:dyDescent="0.2">
      <c r="C83" t="s">
        <v>46</v>
      </c>
      <c r="E83" s="5">
        <f>+E82-E80</f>
        <v>0</v>
      </c>
      <c r="F83" s="5">
        <f t="shared" ref="F83:K83" si="26">+F82-F80</f>
        <v>0</v>
      </c>
      <c r="G83" s="5">
        <f t="shared" si="26"/>
        <v>0</v>
      </c>
      <c r="H83" s="5">
        <f t="shared" si="26"/>
        <v>0</v>
      </c>
      <c r="I83" s="5">
        <f t="shared" si="26"/>
        <v>0</v>
      </c>
      <c r="J83" s="5">
        <f t="shared" si="26"/>
        <v>0</v>
      </c>
      <c r="K83" s="5">
        <f t="shared" si="26"/>
        <v>0</v>
      </c>
    </row>
    <row r="86" spans="3:11" x14ac:dyDescent="0.2">
      <c r="C86" t="str">
        <f>+C78</f>
        <v>Profit after tax</v>
      </c>
      <c r="E86" s="5">
        <f t="shared" ref="E86:K86" si="27">+E78</f>
        <v>361.66550000000018</v>
      </c>
      <c r="F86" s="5">
        <f t="shared" si="27"/>
        <v>366.62567550000017</v>
      </c>
      <c r="G86" s="5">
        <f t="shared" si="27"/>
        <v>374.31777521950005</v>
      </c>
      <c r="H86" s="5">
        <f t="shared" si="27"/>
        <v>382.09297481227986</v>
      </c>
      <c r="I86" s="5">
        <f t="shared" si="27"/>
        <v>389.94820250280668</v>
      </c>
      <c r="J86" s="5">
        <f t="shared" si="27"/>
        <v>397.88012914947524</v>
      </c>
      <c r="K86" s="5">
        <f t="shared" si="27"/>
        <v>412.78607830129806</v>
      </c>
    </row>
    <row r="87" spans="3:11" x14ac:dyDescent="0.2">
      <c r="C87" t="s">
        <v>47</v>
      </c>
      <c r="E87" s="5">
        <f>+E63-D63</f>
        <v>160.33000000000084</v>
      </c>
      <c r="F87" s="5">
        <f t="shared" ref="F87:K87" si="28">+F63-E63</f>
        <v>187.40018999999938</v>
      </c>
      <c r="G87" s="5">
        <f t="shared" si="28"/>
        <v>194.76799616999961</v>
      </c>
      <c r="H87" s="5">
        <f t="shared" si="28"/>
        <v>202.44683392731076</v>
      </c>
      <c r="I87" s="5">
        <f t="shared" si="28"/>
        <v>210.45076317026997</v>
      </c>
      <c r="J87" s="5">
        <f t="shared" si="28"/>
        <v>218.79452102266896</v>
      </c>
      <c r="K87" s="5">
        <f t="shared" si="28"/>
        <v>215.04666065015681</v>
      </c>
    </row>
    <row r="88" spans="3:11" x14ac:dyDescent="0.2">
      <c r="C88" t="s">
        <v>48</v>
      </c>
      <c r="E88" s="5">
        <f>+E86-E87</f>
        <v>201.33549999999934</v>
      </c>
      <c r="F88" s="5">
        <f t="shared" ref="F88:K88" si="29">+F86-F87</f>
        <v>179.22548550000079</v>
      </c>
      <c r="G88" s="5">
        <f t="shared" si="29"/>
        <v>179.54977904950044</v>
      </c>
      <c r="H88" s="5">
        <f t="shared" si="29"/>
        <v>179.6461408849691</v>
      </c>
      <c r="I88" s="5">
        <f t="shared" si="29"/>
        <v>179.49743933253671</v>
      </c>
      <c r="J88" s="5">
        <f t="shared" si="29"/>
        <v>179.08560812680628</v>
      </c>
      <c r="K88" s="5">
        <f t="shared" si="29"/>
        <v>197.73941765114125</v>
      </c>
    </row>
    <row r="89" spans="3:11" x14ac:dyDescent="0.2">
      <c r="C89" s="5" t="str">
        <f>+C79</f>
        <v>Dividend</v>
      </c>
      <c r="D89" s="5"/>
      <c r="E89" s="5">
        <f t="shared" ref="E89:K89" si="30">+E79</f>
        <v>201.33549999999934</v>
      </c>
      <c r="F89" s="5">
        <f t="shared" si="30"/>
        <v>179.22548550000079</v>
      </c>
      <c r="G89" s="5">
        <f t="shared" si="30"/>
        <v>179.54977904950044</v>
      </c>
      <c r="H89" s="5">
        <f t="shared" si="30"/>
        <v>179.6461408849691</v>
      </c>
      <c r="I89" s="5">
        <f t="shared" si="30"/>
        <v>179.49743933253671</v>
      </c>
      <c r="J89" s="5">
        <f t="shared" si="30"/>
        <v>179.08560812680628</v>
      </c>
      <c r="K89" s="5">
        <f t="shared" si="30"/>
        <v>197.73941765114125</v>
      </c>
    </row>
    <row r="90" spans="3:11" x14ac:dyDescent="0.2">
      <c r="C90" t="s">
        <v>49</v>
      </c>
      <c r="E90" s="5">
        <f>+E63-D63-E80</f>
        <v>0</v>
      </c>
      <c r="F90" s="5">
        <f t="shared" ref="F90:K90" si="31">+F63-E63-F80</f>
        <v>0</v>
      </c>
      <c r="G90" s="5">
        <f t="shared" si="31"/>
        <v>0</v>
      </c>
      <c r="H90" s="5">
        <f t="shared" si="31"/>
        <v>0</v>
      </c>
      <c r="I90" s="5">
        <f t="shared" si="31"/>
        <v>0</v>
      </c>
      <c r="J90" s="5">
        <f t="shared" si="31"/>
        <v>0</v>
      </c>
      <c r="K90" s="5">
        <f t="shared" si="31"/>
        <v>0</v>
      </c>
    </row>
    <row r="91" spans="3:11" x14ac:dyDescent="0.2">
      <c r="C91" t="s">
        <v>50</v>
      </c>
      <c r="E91" s="5">
        <f>+E88-E89+E90</f>
        <v>0</v>
      </c>
      <c r="F91" s="5">
        <f t="shared" ref="F91:K91" si="32">+F88-F89+F90</f>
        <v>0</v>
      </c>
      <c r="G91" s="5">
        <f t="shared" si="32"/>
        <v>0</v>
      </c>
      <c r="H91" s="5">
        <f t="shared" si="32"/>
        <v>0</v>
      </c>
      <c r="I91" s="5">
        <f t="shared" si="32"/>
        <v>0</v>
      </c>
      <c r="J91" s="5">
        <f t="shared" si="32"/>
        <v>0</v>
      </c>
      <c r="K91" s="5">
        <f t="shared" si="32"/>
        <v>0</v>
      </c>
    </row>
    <row r="94" spans="3:11" x14ac:dyDescent="0.2">
      <c r="C94" s="5" t="str">
        <f>+C88</f>
        <v>FCFE</v>
      </c>
      <c r="D94" s="5"/>
      <c r="E94" s="5">
        <f t="shared" ref="E94:K94" si="33">+E88</f>
        <v>201.33549999999934</v>
      </c>
      <c r="F94" s="5">
        <f t="shared" si="33"/>
        <v>179.22548550000079</v>
      </c>
      <c r="G94" s="5">
        <f t="shared" si="33"/>
        <v>179.54977904950044</v>
      </c>
      <c r="H94" s="5">
        <f t="shared" si="33"/>
        <v>179.6461408849691</v>
      </c>
      <c r="I94" s="5">
        <f t="shared" si="33"/>
        <v>179.49743933253671</v>
      </c>
      <c r="J94" s="5">
        <f t="shared" si="33"/>
        <v>179.08560812680628</v>
      </c>
      <c r="K94" s="5">
        <f t="shared" si="33"/>
        <v>197.73941765114125</v>
      </c>
    </row>
    <row r="95" spans="3:11" x14ac:dyDescent="0.2">
      <c r="C95" t="s">
        <v>51</v>
      </c>
      <c r="E95" s="12">
        <f>+E5+E6*E7</f>
        <v>6.6000000000000003E-2</v>
      </c>
      <c r="F95" s="12">
        <f t="shared" ref="F95:K95" si="34">+F5+F6*F7</f>
        <v>6.6000000000000003E-2</v>
      </c>
      <c r="G95" s="12">
        <f t="shared" si="34"/>
        <v>6.6000000000000003E-2</v>
      </c>
      <c r="H95" s="12">
        <f t="shared" si="34"/>
        <v>6.6000000000000003E-2</v>
      </c>
      <c r="I95" s="12">
        <f t="shared" si="34"/>
        <v>6.6000000000000003E-2</v>
      </c>
      <c r="J95" s="12">
        <f t="shared" si="34"/>
        <v>6.6000000000000003E-2</v>
      </c>
      <c r="K95" s="12">
        <f t="shared" si="34"/>
        <v>6.6000000000000003E-2</v>
      </c>
    </row>
    <row r="96" spans="3:11" x14ac:dyDescent="0.2">
      <c r="C96" s="13" t="s">
        <v>52</v>
      </c>
      <c r="D96" s="13"/>
      <c r="E96" s="14">
        <f t="shared" ref="E96:I96" si="35">+(E94+F96)/(1+E95)</f>
        <v>5233.3611589918482</v>
      </c>
      <c r="F96" s="14">
        <f t="shared" si="35"/>
        <v>5377.4274954853108</v>
      </c>
      <c r="G96" s="14">
        <f t="shared" si="35"/>
        <v>5553.112224687341</v>
      </c>
      <c r="H96" s="14">
        <f t="shared" si="35"/>
        <v>5740.0678524672057</v>
      </c>
      <c r="I96" s="14">
        <f t="shared" si="35"/>
        <v>5939.2661898450724</v>
      </c>
      <c r="J96" s="14">
        <f>+(J94+K96)/(1+J95)</f>
        <v>6151.7603190423115</v>
      </c>
      <c r="K96" s="14">
        <f>+K94/(K95-K11)</f>
        <v>6378.6908919722982</v>
      </c>
    </row>
    <row r="97" spans="3:11" x14ac:dyDescent="0.2">
      <c r="C97" t="s">
        <v>53</v>
      </c>
      <c r="E97" s="5">
        <f>+D63</f>
        <v>5000</v>
      </c>
    </row>
    <row r="98" spans="3:11" x14ac:dyDescent="0.2">
      <c r="C98" t="s">
        <v>59</v>
      </c>
      <c r="E98" s="5">
        <f>+E96-E97</f>
        <v>233.36115899184824</v>
      </c>
    </row>
    <row r="99" spans="3:11" x14ac:dyDescent="0.2">
      <c r="C99" t="s">
        <v>60</v>
      </c>
      <c r="E99" s="12">
        <f>+E98/E97</f>
        <v>4.667223179836965E-2</v>
      </c>
    </row>
    <row r="100" spans="3:11" x14ac:dyDescent="0.2">
      <c r="C100" t="s">
        <v>54</v>
      </c>
      <c r="E100" s="12">
        <f>+E78/D63</f>
        <v>7.2333100000000039E-2</v>
      </c>
      <c r="F100" s="12">
        <f t="shared" ref="F100:K100" si="36">+F78/E63</f>
        <v>7.104694380010583E-2</v>
      </c>
      <c r="G100" s="12">
        <f t="shared" si="36"/>
        <v>6.9995635890429994E-2</v>
      </c>
      <c r="H100" s="12">
        <f t="shared" si="36"/>
        <v>6.8938764069549532E-2</v>
      </c>
      <c r="I100" s="12">
        <f t="shared" si="36"/>
        <v>6.787675097649612E-2</v>
      </c>
      <c r="J100" s="12">
        <f t="shared" si="36"/>
        <v>6.6810022982413453E-2</v>
      </c>
      <c r="K100" s="12">
        <f t="shared" si="36"/>
        <v>6.6856714477113874E-2</v>
      </c>
    </row>
    <row r="102" spans="3:11" x14ac:dyDescent="0.2">
      <c r="C102" t="s">
        <v>56</v>
      </c>
      <c r="E102" s="5">
        <f>+E96/E78</f>
        <v>14.470169698220719</v>
      </c>
    </row>
    <row r="103" spans="3:11" x14ac:dyDescent="0.2">
      <c r="C103" t="s">
        <v>57</v>
      </c>
      <c r="E103" s="5">
        <f>+E96/(E70+E71)</f>
        <v>1.5253165721340274</v>
      </c>
    </row>
    <row r="104" spans="3:11" x14ac:dyDescent="0.2">
      <c r="C104" t="s">
        <v>58</v>
      </c>
      <c r="E104" s="5">
        <f>+E96/D63</f>
        <v>1.0466722317983697</v>
      </c>
    </row>
    <row r="106" spans="3:11" x14ac:dyDescent="0.2">
      <c r="E106" s="12">
        <f>+E96/BAse!E96-1</f>
        <v>0.34931825904911507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7791-7648-49FA-873E-E59E2454151A}">
  <dimension ref="B1:K106"/>
  <sheetViews>
    <sheetView topLeftCell="A21" zoomScaleNormal="160" workbookViewId="0">
      <selection activeCell="C40" sqref="C40:L40"/>
    </sheetView>
  </sheetViews>
  <sheetFormatPr baseColWidth="10" defaultColWidth="8.83203125" defaultRowHeight="16" x14ac:dyDescent="0.2"/>
  <cols>
    <col min="2" max="2" width="10.6640625" bestFit="1" customWidth="1"/>
    <col min="3" max="3" width="28.6640625" bestFit="1" customWidth="1"/>
    <col min="4" max="11" width="8.83203125" bestFit="1" customWidth="1"/>
  </cols>
  <sheetData>
    <row r="1" spans="3:11" x14ac:dyDescent="0.2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">
      <c r="D8" s="4"/>
      <c r="E8" s="4"/>
      <c r="F8" s="4"/>
      <c r="G8" s="4"/>
      <c r="H8" s="4"/>
      <c r="I8" s="4"/>
      <c r="J8" s="4"/>
      <c r="K8" s="4"/>
    </row>
    <row r="10" spans="3:11" x14ac:dyDescent="0.2">
      <c r="C10" s="3" t="s">
        <v>7</v>
      </c>
      <c r="D10" s="3">
        <f t="shared" ref="D10:K10" si="0">+D48</f>
        <v>2023</v>
      </c>
      <c r="E10" s="3">
        <f t="shared" si="0"/>
        <v>2024</v>
      </c>
      <c r="F10" s="3">
        <f t="shared" si="0"/>
        <v>2025</v>
      </c>
      <c r="G10" s="3">
        <f t="shared" si="0"/>
        <v>2026</v>
      </c>
      <c r="H10" s="3">
        <f t="shared" si="0"/>
        <v>2027</v>
      </c>
      <c r="I10" s="3">
        <f t="shared" si="0"/>
        <v>2028</v>
      </c>
      <c r="J10" s="3">
        <f t="shared" si="0"/>
        <v>2029</v>
      </c>
      <c r="K10" s="3" t="str">
        <f t="shared" si="0"/>
        <v>TV</v>
      </c>
    </row>
    <row r="11" spans="3:11" x14ac:dyDescent="0.2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">
      <c r="C23" s="3" t="s">
        <v>9</v>
      </c>
      <c r="D23" s="3">
        <f>+D10</f>
        <v>2023</v>
      </c>
      <c r="E23" s="3">
        <f t="shared" ref="E23:K23" si="1">+E10</f>
        <v>2024</v>
      </c>
      <c r="F23" s="3">
        <f t="shared" si="1"/>
        <v>2025</v>
      </c>
      <c r="G23" s="3">
        <f t="shared" si="1"/>
        <v>2026</v>
      </c>
      <c r="H23" s="3">
        <f t="shared" si="1"/>
        <v>2027</v>
      </c>
      <c r="I23" s="3">
        <f t="shared" si="1"/>
        <v>2028</v>
      </c>
      <c r="J23" s="3">
        <f t="shared" si="1"/>
        <v>2029</v>
      </c>
      <c r="K23" s="3" t="str">
        <f t="shared" si="1"/>
        <v>TV</v>
      </c>
    </row>
    <row r="24" spans="3:11" x14ac:dyDescent="0.2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">
      <c r="C31" s="3" t="s">
        <v>10</v>
      </c>
      <c r="D31" s="3">
        <f>+D23</f>
        <v>2023</v>
      </c>
      <c r="E31" s="3">
        <f t="shared" ref="E31:K31" si="2">+E23</f>
        <v>2024</v>
      </c>
      <c r="F31" s="3">
        <f t="shared" si="2"/>
        <v>2025</v>
      </c>
      <c r="G31" s="3">
        <f t="shared" si="2"/>
        <v>2026</v>
      </c>
      <c r="H31" s="3">
        <f t="shared" si="2"/>
        <v>2027</v>
      </c>
      <c r="I31" s="3">
        <f t="shared" si="2"/>
        <v>2028</v>
      </c>
      <c r="J31" s="3">
        <f t="shared" si="2"/>
        <v>2029</v>
      </c>
      <c r="K31" s="3" t="str">
        <f t="shared" si="2"/>
        <v>TV</v>
      </c>
    </row>
    <row r="32" spans="3:11" x14ac:dyDescent="0.2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">
      <c r="C40" t="s">
        <v>16</v>
      </c>
      <c r="E40" s="15">
        <v>3.3000000000000002E-2</v>
      </c>
      <c r="F40" s="15">
        <v>3.3000000000000002E-2</v>
      </c>
      <c r="G40" s="15">
        <v>3.3000000000000002E-2</v>
      </c>
      <c r="H40" s="15">
        <v>3.3000000000000002E-2</v>
      </c>
      <c r="I40" s="15">
        <v>3.3000000000000002E-2</v>
      </c>
      <c r="J40" s="15">
        <v>3.3000000000000002E-2</v>
      </c>
      <c r="K40" s="15">
        <v>3.3000000000000002E-2</v>
      </c>
    </row>
    <row r="41" spans="2:11" x14ac:dyDescent="0.2">
      <c r="C41" t="s">
        <v>34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">
      <c r="C43" s="3" t="s">
        <v>43</v>
      </c>
    </row>
    <row r="44" spans="2:11" x14ac:dyDescent="0.2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">
      <c r="B48" t="s">
        <v>31</v>
      </c>
      <c r="C48" t="s">
        <v>0</v>
      </c>
      <c r="D48" s="2">
        <v>2023</v>
      </c>
      <c r="E48" s="3">
        <f>+D48+1</f>
        <v>2024</v>
      </c>
      <c r="F48" s="3">
        <f t="shared" ref="F48:J48" si="3">+E48+1</f>
        <v>2025</v>
      </c>
      <c r="G48" s="3">
        <f t="shared" si="3"/>
        <v>2026</v>
      </c>
      <c r="H48" s="3">
        <f t="shared" si="3"/>
        <v>2027</v>
      </c>
      <c r="I48" s="3">
        <f t="shared" si="3"/>
        <v>2028</v>
      </c>
      <c r="J48" s="3">
        <f t="shared" si="3"/>
        <v>2029</v>
      </c>
      <c r="K48" s="3" t="s">
        <v>8</v>
      </c>
    </row>
    <row r="49" spans="2:11" x14ac:dyDescent="0.2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K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 t="shared" si="4"/>
        <v>1727.8986958827297</v>
      </c>
    </row>
    <row r="50" spans="2:11" x14ac:dyDescent="0.2">
      <c r="B50" s="7">
        <v>1.5</v>
      </c>
      <c r="C50" t="s">
        <v>1</v>
      </c>
      <c r="D50" s="6">
        <v>6000</v>
      </c>
      <c r="E50" s="8">
        <f t="shared" ref="E50:K55" si="5">+D50*(1+E12)</f>
        <v>6180</v>
      </c>
      <c r="F50" s="8">
        <f t="shared" si="5"/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si="5"/>
        <v>7415.0647614450918</v>
      </c>
    </row>
    <row r="51" spans="2:11" x14ac:dyDescent="0.2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si="5"/>
        <v>3496.7343118147201</v>
      </c>
    </row>
    <row r="52" spans="2:11" x14ac:dyDescent="0.2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si="5"/>
        <v>4801.1307514013652</v>
      </c>
    </row>
    <row r="53" spans="2:11" x14ac:dyDescent="0.2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si="5"/>
        <v>19084.188941498593</v>
      </c>
    </row>
    <row r="54" spans="2:11" x14ac:dyDescent="0.2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">
      <c r="B55" s="7">
        <v>1</v>
      </c>
      <c r="C55" t="s">
        <v>6</v>
      </c>
      <c r="D55" s="6">
        <v>20000</v>
      </c>
      <c r="E55" s="8">
        <f t="shared" si="5"/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si="5"/>
        <v>26192.103682867204</v>
      </c>
    </row>
    <row r="56" spans="2:11" x14ac:dyDescent="0.2">
      <c r="B56" s="7">
        <v>0.3</v>
      </c>
      <c r="C56" t="s">
        <v>30</v>
      </c>
      <c r="D56" s="6">
        <v>1000</v>
      </c>
      <c r="E56" s="6">
        <v>1000</v>
      </c>
      <c r="F56" s="6">
        <v>1000</v>
      </c>
      <c r="G56" s="6">
        <v>1000</v>
      </c>
      <c r="H56" s="6">
        <v>1000</v>
      </c>
      <c r="I56" s="6">
        <v>1000</v>
      </c>
      <c r="J56" s="6">
        <v>1000</v>
      </c>
      <c r="K56" s="6">
        <v>1000</v>
      </c>
    </row>
    <row r="57" spans="2:11" x14ac:dyDescent="0.2">
      <c r="B57" s="7">
        <v>0</v>
      </c>
      <c r="C57" t="s">
        <v>14</v>
      </c>
      <c r="D57" s="6">
        <v>1000</v>
      </c>
      <c r="E57" s="8">
        <f>SUM(E49:E55)*E1</f>
        <v>1108.6400000000001</v>
      </c>
      <c r="F57" s="8">
        <f t="shared" ref="F57:K57" si="6">SUM(F49:F55)*F1</f>
        <v>1148.76722</v>
      </c>
      <c r="G57" s="8">
        <f t="shared" si="6"/>
        <v>1190.44254746</v>
      </c>
      <c r="H57" s="8">
        <f t="shared" si="6"/>
        <v>1233.7295220267802</v>
      </c>
      <c r="I57" s="8">
        <f t="shared" si="6"/>
        <v>1278.6944584043995</v>
      </c>
      <c r="J57" s="8">
        <f t="shared" si="6"/>
        <v>1325.4065752589283</v>
      </c>
      <c r="K57" s="8">
        <f t="shared" si="6"/>
        <v>1371.7958053929908</v>
      </c>
    </row>
    <row r="58" spans="2:11" x14ac:dyDescent="0.2">
      <c r="C58" s="1" t="s">
        <v>13</v>
      </c>
      <c r="D58" s="9">
        <f>SUM(D49:D57)</f>
        <v>55500</v>
      </c>
      <c r="E58" s="9">
        <f t="shared" ref="E58:K58" si="7">SUM(E49:E57)</f>
        <v>57540.639999999999</v>
      </c>
      <c r="F58" s="9">
        <f t="shared" si="7"/>
        <v>59587.128219999999</v>
      </c>
      <c r="G58" s="9">
        <f t="shared" si="7"/>
        <v>61712.569920459995</v>
      </c>
      <c r="H58" s="9">
        <f t="shared" si="7"/>
        <v>63920.205623365779</v>
      </c>
      <c r="I58" s="9">
        <f t="shared" si="7"/>
        <v>66213.417378624377</v>
      </c>
      <c r="J58" s="9">
        <f t="shared" si="7"/>
        <v>68595.735338205341</v>
      </c>
      <c r="K58" s="9">
        <f t="shared" si="7"/>
        <v>70961.586075042535</v>
      </c>
    </row>
    <row r="59" spans="2:11" x14ac:dyDescent="0.2">
      <c r="D59" s="5"/>
    </row>
    <row r="60" spans="2:11" x14ac:dyDescent="0.2">
      <c r="C60" t="s">
        <v>15</v>
      </c>
      <c r="D60" s="6">
        <v>20000</v>
      </c>
      <c r="E60" s="5">
        <f>+D60*(1+E18)</f>
        <v>20640</v>
      </c>
      <c r="F60" s="5">
        <f t="shared" ref="F60:K61" si="8">+E60*(1+F18)</f>
        <v>21300.48</v>
      </c>
      <c r="G60" s="5">
        <f t="shared" si="8"/>
        <v>21982.095359999999</v>
      </c>
      <c r="H60" s="5">
        <f t="shared" si="8"/>
        <v>22685.52241152</v>
      </c>
      <c r="I60" s="5">
        <f t="shared" si="8"/>
        <v>23411.459128688639</v>
      </c>
      <c r="J60" s="5">
        <f t="shared" si="8"/>
        <v>24160.625820806676</v>
      </c>
      <c r="K60" s="5">
        <f t="shared" si="8"/>
        <v>25006.247724534907</v>
      </c>
    </row>
    <row r="61" spans="2:11" x14ac:dyDescent="0.2">
      <c r="C61" t="s">
        <v>16</v>
      </c>
      <c r="D61" s="6">
        <v>25000</v>
      </c>
      <c r="E61" s="5">
        <f>+D61*(1+E19)</f>
        <v>25824.999999999996</v>
      </c>
      <c r="F61" s="5">
        <f t="shared" si="8"/>
        <v>26677.224999999995</v>
      </c>
      <c r="G61" s="5">
        <f t="shared" si="8"/>
        <v>27557.573424999991</v>
      </c>
      <c r="H61" s="5">
        <f t="shared" si="8"/>
        <v>28466.973348024989</v>
      </c>
      <c r="I61" s="5">
        <f t="shared" si="8"/>
        <v>29406.383468509812</v>
      </c>
      <c r="J61" s="5">
        <f t="shared" si="8"/>
        <v>30376.794122970634</v>
      </c>
      <c r="K61" s="5">
        <f t="shared" si="8"/>
        <v>31439.981917274603</v>
      </c>
    </row>
    <row r="62" spans="2:11" x14ac:dyDescent="0.2">
      <c r="C62" t="s">
        <v>18</v>
      </c>
      <c r="D62" s="5">
        <f>+D58-D60-D61-D63</f>
        <v>5500</v>
      </c>
      <c r="E62" s="5">
        <f t="shared" ref="E62:K62" si="9">+E58-E60-E61-E63</f>
        <v>5915.3100000000022</v>
      </c>
      <c r="F62" s="5">
        <f t="shared" si="9"/>
        <v>6261.6930300000076</v>
      </c>
      <c r="G62" s="5">
        <f t="shared" si="9"/>
        <v>6630.4029492900045</v>
      </c>
      <c r="H62" s="5">
        <f t="shared" si="9"/>
        <v>7022.764843723483</v>
      </c>
      <c r="I62" s="5">
        <f t="shared" si="9"/>
        <v>7440.1789981583424</v>
      </c>
      <c r="J62" s="5">
        <f t="shared" si="9"/>
        <v>7884.1250901377853</v>
      </c>
      <c r="K62" s="5">
        <f t="shared" si="9"/>
        <v>8126.119468292618</v>
      </c>
    </row>
    <row r="63" spans="2:11" x14ac:dyDescent="0.2">
      <c r="C63" t="s">
        <v>17</v>
      </c>
      <c r="D63" s="6">
        <v>5000</v>
      </c>
      <c r="E63" s="5">
        <f>+E65*E4</f>
        <v>5160.3300000000008</v>
      </c>
      <c r="F63" s="5">
        <f t="shared" ref="F63:K63" si="10">+F65*F4</f>
        <v>5347.7301900000002</v>
      </c>
      <c r="G63" s="5">
        <f t="shared" si="10"/>
        <v>5542.4981861699998</v>
      </c>
      <c r="H63" s="5">
        <f t="shared" si="10"/>
        <v>5744.9450200973106</v>
      </c>
      <c r="I63" s="5">
        <f t="shared" si="10"/>
        <v>5955.3957832675806</v>
      </c>
      <c r="J63" s="5">
        <f t="shared" si="10"/>
        <v>6174.1903042902495</v>
      </c>
      <c r="K63" s="5">
        <f t="shared" si="10"/>
        <v>6389.2369649404063</v>
      </c>
    </row>
    <row r="64" spans="2:11" x14ac:dyDescent="0.2">
      <c r="D64" s="5"/>
    </row>
    <row r="65" spans="3:11" x14ac:dyDescent="0.2">
      <c r="C65" t="s">
        <v>32</v>
      </c>
      <c r="D65" s="5">
        <f>+SUMPRODUCT($B$49:$B$57,D49:D57)</f>
        <v>49800</v>
      </c>
      <c r="E65" s="5">
        <f>+SUMPRODUCT($B$49:$B$57,E49:E57)</f>
        <v>51603.3</v>
      </c>
      <c r="F65" s="5">
        <f t="shared" ref="F65:K65" si="11">+SUMPRODUCT($B$49:$B$57,F49:F57)</f>
        <v>53477.301899999999</v>
      </c>
      <c r="G65" s="5">
        <f t="shared" si="11"/>
        <v>55424.981861699998</v>
      </c>
      <c r="H65" s="5">
        <f t="shared" si="11"/>
        <v>57449.4502009731</v>
      </c>
      <c r="I65" s="5">
        <f t="shared" si="11"/>
        <v>59553.957832675806</v>
      </c>
      <c r="J65" s="5">
        <f t="shared" si="11"/>
        <v>61741.903042902493</v>
      </c>
      <c r="K65" s="5">
        <f t="shared" si="11"/>
        <v>63892.369649404063</v>
      </c>
    </row>
    <row r="68" spans="3:11" x14ac:dyDescent="0.2">
      <c r="C68" t="s">
        <v>19</v>
      </c>
      <c r="D68" s="6">
        <v>4830</v>
      </c>
      <c r="E68" s="5">
        <f>+SUMPRODUCT(D50:D56,E32:E38)</f>
        <v>4002</v>
      </c>
      <c r="F68" s="5">
        <f t="shared" ref="F68:K68" si="12">+SUMPRODUCT(E50:E56,F32:F38)</f>
        <v>4139.8999999999996</v>
      </c>
      <c r="G68" s="5">
        <f t="shared" si="12"/>
        <v>4282.9634999999998</v>
      </c>
      <c r="H68" s="5">
        <f t="shared" si="12"/>
        <v>4431.3984725</v>
      </c>
      <c r="I68" s="5">
        <f t="shared" si="12"/>
        <v>4585.4219155874998</v>
      </c>
      <c r="J68" s="5">
        <f t="shared" si="12"/>
        <v>4745.2602740268121</v>
      </c>
      <c r="K68" s="5">
        <f t="shared" si="12"/>
        <v>4911.1498813140643</v>
      </c>
    </row>
    <row r="69" spans="3:11" x14ac:dyDescent="0.2">
      <c r="C69" t="s">
        <v>20</v>
      </c>
      <c r="D69" s="6">
        <v>1880</v>
      </c>
      <c r="E69" s="5">
        <f>+D60*E39+D61*E40+E41*D62</f>
        <v>1616</v>
      </c>
      <c r="F69" s="5">
        <f t="shared" ref="F69:K69" si="13">+E60*F39+E61*F40+F41*E62</f>
        <v>1678.5880200000001</v>
      </c>
      <c r="G69" s="5">
        <f t="shared" si="13"/>
        <v>1739.7529722600002</v>
      </c>
      <c r="H69" s="5">
        <f t="shared" si="13"/>
        <v>1803.3755169751798</v>
      </c>
      <c r="I69" s="5">
        <f t="shared" si="13"/>
        <v>1869.5608714437712</v>
      </c>
      <c r="J69" s="5">
        <f t="shared" si="13"/>
        <v>1938.419027986756</v>
      </c>
      <c r="K69" s="5">
        <f t="shared" si="13"/>
        <v>2010.064982826405</v>
      </c>
    </row>
    <row r="70" spans="3:11" x14ac:dyDescent="0.2">
      <c r="C70" t="s">
        <v>21</v>
      </c>
      <c r="D70" s="5">
        <f>+D68-D69</f>
        <v>2950</v>
      </c>
      <c r="E70" s="5">
        <f>+E68-E69</f>
        <v>2386</v>
      </c>
      <c r="F70" s="5">
        <f t="shared" ref="F70:K70" si="14">+F68-F69</f>
        <v>2461.3119799999995</v>
      </c>
      <c r="G70" s="5">
        <f t="shared" si="14"/>
        <v>2543.2105277399996</v>
      </c>
      <c r="H70" s="5">
        <f t="shared" si="14"/>
        <v>2628.0229555248202</v>
      </c>
      <c r="I70" s="5">
        <f t="shared" si="14"/>
        <v>2715.8610441437286</v>
      </c>
      <c r="J70" s="5">
        <f t="shared" si="14"/>
        <v>2806.8412460400559</v>
      </c>
      <c r="K70" s="5">
        <f t="shared" si="14"/>
        <v>2901.0848984876593</v>
      </c>
    </row>
    <row r="71" spans="3:11" x14ac:dyDescent="0.2">
      <c r="C71" t="s">
        <v>44</v>
      </c>
      <c r="D71" s="6">
        <v>1000</v>
      </c>
      <c r="E71" s="5">
        <f>+D71*(1+E21)</f>
        <v>1035</v>
      </c>
      <c r="F71" s="5">
        <f t="shared" ref="F71:K71" si="15">+E71*(1+F21)</f>
        <v>1071.2249999999999</v>
      </c>
      <c r="G71" s="5">
        <f t="shared" si="15"/>
        <v>1108.7178749999998</v>
      </c>
      <c r="H71" s="5">
        <f t="shared" si="15"/>
        <v>1147.5230006249997</v>
      </c>
      <c r="I71" s="5">
        <f t="shared" si="15"/>
        <v>1187.6863056468746</v>
      </c>
      <c r="J71" s="5">
        <f t="shared" si="15"/>
        <v>1229.2553263445152</v>
      </c>
      <c r="K71" s="5">
        <f t="shared" si="15"/>
        <v>1272.2792627665731</v>
      </c>
    </row>
    <row r="72" spans="3:11" x14ac:dyDescent="0.2">
      <c r="C72" t="s">
        <v>23</v>
      </c>
      <c r="D72" s="6">
        <v>60</v>
      </c>
      <c r="E72" s="5">
        <f>(SUM(E50:E55)-SUM(D50:D55)+E73)*E44+(E60-D60+E61-D61)*E45</f>
        <v>63.834999999999987</v>
      </c>
      <c r="F72" s="5">
        <f t="shared" ref="F72:K72" si="16">(SUM(F50:F55)-SUM(E50:E55)+F73)*F44+(F60-E60+F61-E61)*F45</f>
        <v>66.209514999999996</v>
      </c>
      <c r="G72" s="5">
        <f t="shared" si="16"/>
        <v>68.678070355000074</v>
      </c>
      <c r="H72" s="5">
        <f t="shared" si="16"/>
        <v>71.244642188634884</v>
      </c>
      <c r="I72" s="5">
        <f t="shared" si="16"/>
        <v>73.913386327235344</v>
      </c>
      <c r="J72" s="5">
        <f t="shared" si="16"/>
        <v>76.688646958746375</v>
      </c>
      <c r="K72" s="5">
        <f t="shared" si="16"/>
        <v>77.264728158762779</v>
      </c>
    </row>
    <row r="73" spans="3:11" x14ac:dyDescent="0.2">
      <c r="C73" t="s">
        <v>9</v>
      </c>
      <c r="D73" s="6">
        <v>1000</v>
      </c>
      <c r="E73" s="5">
        <f>+SUMPRODUCT(E24:E29,D50:D55)</f>
        <v>1067</v>
      </c>
      <c r="F73" s="5">
        <f t="shared" ref="F73:K73" si="17">+SUMPRODUCT(F24:F29,E50:E55)</f>
        <v>1104.6949999999999</v>
      </c>
      <c r="G73" s="5">
        <f t="shared" si="17"/>
        <v>1143.8233250000001</v>
      </c>
      <c r="H73" s="5">
        <f t="shared" si="17"/>
        <v>1184.4437363750001</v>
      </c>
      <c r="I73" s="5">
        <f t="shared" si="17"/>
        <v>1226.617592523125</v>
      </c>
      <c r="J73" s="5">
        <f t="shared" si="17"/>
        <v>1270.4089720868092</v>
      </c>
      <c r="K73" s="5">
        <f t="shared" si="17"/>
        <v>1315.884803395797</v>
      </c>
    </row>
    <row r="74" spans="3:11" x14ac:dyDescent="0.2">
      <c r="C74" t="s">
        <v>22</v>
      </c>
      <c r="D74" s="6">
        <v>1500</v>
      </c>
      <c r="E74" s="5">
        <f>+D74*(1+E20)</f>
        <v>1558.4999999999998</v>
      </c>
      <c r="F74" s="5">
        <f t="shared" ref="F74:K74" si="18">+E74*(1+F20)</f>
        <v>1619.2814999999996</v>
      </c>
      <c r="G74" s="5">
        <f t="shared" si="18"/>
        <v>1682.4334784999994</v>
      </c>
      <c r="H74" s="5">
        <f t="shared" si="18"/>
        <v>1748.0483841614994</v>
      </c>
      <c r="I74" s="5">
        <f t="shared" si="18"/>
        <v>1816.2222711437978</v>
      </c>
      <c r="J74" s="5">
        <f t="shared" si="18"/>
        <v>1887.0549397184059</v>
      </c>
      <c r="K74" s="5">
        <f t="shared" si="18"/>
        <v>1953.1018626085499</v>
      </c>
    </row>
    <row r="75" spans="3:11" x14ac:dyDescent="0.2">
      <c r="C75" t="s">
        <v>24</v>
      </c>
      <c r="D75" s="6">
        <v>200</v>
      </c>
      <c r="E75" s="5">
        <f>+D49*E2</f>
        <v>225</v>
      </c>
      <c r="F75" s="5">
        <f t="shared" ref="F75:K75" si="19">+E49*F2</f>
        <v>229.04999999999998</v>
      </c>
      <c r="G75" s="5">
        <f t="shared" si="19"/>
        <v>233.1729</v>
      </c>
      <c r="H75" s="5">
        <f t="shared" si="19"/>
        <v>237.37001219999999</v>
      </c>
      <c r="I75" s="5">
        <f t="shared" si="19"/>
        <v>241.64267241959999</v>
      </c>
      <c r="J75" s="5">
        <f t="shared" si="19"/>
        <v>245.99224052315279</v>
      </c>
      <c r="K75" s="5">
        <f t="shared" si="19"/>
        <v>250.42010085256953</v>
      </c>
    </row>
    <row r="76" spans="3:11" x14ac:dyDescent="0.2">
      <c r="C76" t="s">
        <v>26</v>
      </c>
      <c r="D76" s="5">
        <f>+D70-D72-D74-D75-D73+D71</f>
        <v>1190</v>
      </c>
      <c r="E76" s="5">
        <f>+E70-E72-E74-E75-E73+E71</f>
        <v>506.66500000000019</v>
      </c>
      <c r="F76" s="5">
        <f t="shared" ref="F76:K76" si="20">+F70-F72-F74-F75-F73+F71</f>
        <v>513.30096499999991</v>
      </c>
      <c r="G76" s="5">
        <f t="shared" si="20"/>
        <v>523.82062888499968</v>
      </c>
      <c r="H76" s="5">
        <f t="shared" si="20"/>
        <v>534.43918122468563</v>
      </c>
      <c r="I76" s="5">
        <f t="shared" si="20"/>
        <v>545.15142737684494</v>
      </c>
      <c r="J76" s="5">
        <f t="shared" si="20"/>
        <v>555.95177309745714</v>
      </c>
      <c r="K76" s="5">
        <f t="shared" si="20"/>
        <v>576.6926662385531</v>
      </c>
    </row>
    <row r="77" spans="3:11" x14ac:dyDescent="0.2">
      <c r="C77" t="s">
        <v>27</v>
      </c>
      <c r="D77" s="5">
        <f>+D76*D3</f>
        <v>357</v>
      </c>
      <c r="E77" s="5">
        <f>+E76*E3</f>
        <v>151.99950000000004</v>
      </c>
      <c r="F77" s="5">
        <f t="shared" ref="F77:K77" si="21">+F76*F3</f>
        <v>153.99028949999996</v>
      </c>
      <c r="G77" s="5">
        <f t="shared" si="21"/>
        <v>157.14618866549989</v>
      </c>
      <c r="H77" s="5">
        <f t="shared" si="21"/>
        <v>160.33175436740569</v>
      </c>
      <c r="I77" s="5">
        <f t="shared" si="21"/>
        <v>163.54542821305347</v>
      </c>
      <c r="J77" s="5">
        <f t="shared" si="21"/>
        <v>166.78553192923712</v>
      </c>
      <c r="K77" s="5">
        <f t="shared" si="21"/>
        <v>173.00779987156594</v>
      </c>
    </row>
    <row r="78" spans="3:11" x14ac:dyDescent="0.2">
      <c r="C78" t="s">
        <v>28</v>
      </c>
      <c r="D78" s="5">
        <f>+D76-D77</f>
        <v>833</v>
      </c>
      <c r="E78" s="5">
        <f>+E76-E77</f>
        <v>354.66550000000018</v>
      </c>
      <c r="F78" s="5">
        <f t="shared" ref="F78:K78" si="22">+F76-F77</f>
        <v>359.31067549999995</v>
      </c>
      <c r="G78" s="5">
        <f t="shared" si="22"/>
        <v>366.67444021949979</v>
      </c>
      <c r="H78" s="5">
        <f t="shared" si="22"/>
        <v>374.10742685727996</v>
      </c>
      <c r="I78" s="5">
        <f t="shared" si="22"/>
        <v>381.60599916379147</v>
      </c>
      <c r="J78" s="5">
        <f t="shared" si="22"/>
        <v>389.16624116822004</v>
      </c>
      <c r="K78" s="5">
        <f t="shared" si="22"/>
        <v>403.68486636698719</v>
      </c>
    </row>
    <row r="79" spans="3:11" x14ac:dyDescent="0.2">
      <c r="C79" t="s">
        <v>39</v>
      </c>
      <c r="D79" s="6">
        <v>550</v>
      </c>
      <c r="E79" s="5">
        <f>+E78-E80</f>
        <v>194.33549999999934</v>
      </c>
      <c r="F79" s="5">
        <f t="shared" ref="F79:K79" si="23">+F78-F80</f>
        <v>171.91048550000056</v>
      </c>
      <c r="G79" s="5">
        <f t="shared" si="23"/>
        <v>171.90644404950018</v>
      </c>
      <c r="H79" s="5">
        <f t="shared" si="23"/>
        <v>171.6605929299692</v>
      </c>
      <c r="I79" s="5">
        <f t="shared" si="23"/>
        <v>171.1552359935215</v>
      </c>
      <c r="J79" s="5">
        <f t="shared" si="23"/>
        <v>170.37172014555108</v>
      </c>
      <c r="K79" s="5">
        <f t="shared" si="23"/>
        <v>188.63820571683038</v>
      </c>
    </row>
    <row r="80" spans="3:11" x14ac:dyDescent="0.2">
      <c r="C80" t="s">
        <v>38</v>
      </c>
      <c r="D80" s="5">
        <f>+D78-D79</f>
        <v>283</v>
      </c>
      <c r="E80" s="5">
        <f>+IF(E78&lt;0,E78,MAX(0,MIN(E78,E82)))</f>
        <v>160.33000000000084</v>
      </c>
      <c r="F80" s="5">
        <f t="shared" ref="F80:K80" si="24">+IF(F78&lt;0,F78,MAX(0,MIN(F78,F82)))</f>
        <v>187.40018999999938</v>
      </c>
      <c r="G80" s="5">
        <f t="shared" si="24"/>
        <v>194.76799616999961</v>
      </c>
      <c r="H80" s="5">
        <f t="shared" si="24"/>
        <v>202.44683392731076</v>
      </c>
      <c r="I80" s="5">
        <f t="shared" si="24"/>
        <v>210.45076317026997</v>
      </c>
      <c r="J80" s="5">
        <f t="shared" si="24"/>
        <v>218.79452102266896</v>
      </c>
      <c r="K80" s="5">
        <f t="shared" si="24"/>
        <v>215.04666065015681</v>
      </c>
    </row>
    <row r="81" spans="3:11" x14ac:dyDescent="0.2">
      <c r="D81" s="5"/>
      <c r="E81" s="5"/>
      <c r="F81" s="5"/>
      <c r="G81" s="5"/>
      <c r="H81" s="5"/>
      <c r="I81" s="5"/>
      <c r="J81" s="5"/>
      <c r="K81" s="5"/>
    </row>
    <row r="82" spans="3:11" x14ac:dyDescent="0.2">
      <c r="C82" t="s">
        <v>45</v>
      </c>
      <c r="E82" s="5">
        <f>+E63-D63</f>
        <v>160.33000000000084</v>
      </c>
      <c r="F82" s="5">
        <f t="shared" ref="F82:K82" si="25">+F63-E63</f>
        <v>187.40018999999938</v>
      </c>
      <c r="G82" s="5">
        <f t="shared" si="25"/>
        <v>194.76799616999961</v>
      </c>
      <c r="H82" s="5">
        <f t="shared" si="25"/>
        <v>202.44683392731076</v>
      </c>
      <c r="I82" s="5">
        <f t="shared" si="25"/>
        <v>210.45076317026997</v>
      </c>
      <c r="J82" s="5">
        <f t="shared" si="25"/>
        <v>218.79452102266896</v>
      </c>
      <c r="K82" s="5">
        <f t="shared" si="25"/>
        <v>215.04666065015681</v>
      </c>
    </row>
    <row r="83" spans="3:11" x14ac:dyDescent="0.2">
      <c r="C83" t="s">
        <v>46</v>
      </c>
      <c r="E83" s="5">
        <f>+E82-E80</f>
        <v>0</v>
      </c>
      <c r="F83" s="5">
        <f t="shared" ref="F83:K83" si="26">+F82-F80</f>
        <v>0</v>
      </c>
      <c r="G83" s="5">
        <f t="shared" si="26"/>
        <v>0</v>
      </c>
      <c r="H83" s="5">
        <f t="shared" si="26"/>
        <v>0</v>
      </c>
      <c r="I83" s="5">
        <f t="shared" si="26"/>
        <v>0</v>
      </c>
      <c r="J83" s="5">
        <f t="shared" si="26"/>
        <v>0</v>
      </c>
      <c r="K83" s="5">
        <f t="shared" si="26"/>
        <v>0</v>
      </c>
    </row>
    <row r="86" spans="3:11" x14ac:dyDescent="0.2">
      <c r="C86" t="str">
        <f>+C78</f>
        <v>Profit after tax</v>
      </c>
      <c r="E86" s="5">
        <f t="shared" ref="E86:K86" si="27">+E78</f>
        <v>354.66550000000018</v>
      </c>
      <c r="F86" s="5">
        <f t="shared" si="27"/>
        <v>359.31067549999995</v>
      </c>
      <c r="G86" s="5">
        <f t="shared" si="27"/>
        <v>366.67444021949979</v>
      </c>
      <c r="H86" s="5">
        <f t="shared" si="27"/>
        <v>374.10742685727996</v>
      </c>
      <c r="I86" s="5">
        <f t="shared" si="27"/>
        <v>381.60599916379147</v>
      </c>
      <c r="J86" s="5">
        <f t="shared" si="27"/>
        <v>389.16624116822004</v>
      </c>
      <c r="K86" s="5">
        <f t="shared" si="27"/>
        <v>403.68486636698719</v>
      </c>
    </row>
    <row r="87" spans="3:11" x14ac:dyDescent="0.2">
      <c r="C87" t="s">
        <v>47</v>
      </c>
      <c r="E87" s="5">
        <f>+E63-D63</f>
        <v>160.33000000000084</v>
      </c>
      <c r="F87" s="5">
        <f t="shared" ref="F87:K87" si="28">+F63-E63</f>
        <v>187.40018999999938</v>
      </c>
      <c r="G87" s="5">
        <f t="shared" si="28"/>
        <v>194.76799616999961</v>
      </c>
      <c r="H87" s="5">
        <f t="shared" si="28"/>
        <v>202.44683392731076</v>
      </c>
      <c r="I87" s="5">
        <f t="shared" si="28"/>
        <v>210.45076317026997</v>
      </c>
      <c r="J87" s="5">
        <f t="shared" si="28"/>
        <v>218.79452102266896</v>
      </c>
      <c r="K87" s="5">
        <f t="shared" si="28"/>
        <v>215.04666065015681</v>
      </c>
    </row>
    <row r="88" spans="3:11" x14ac:dyDescent="0.2">
      <c r="C88" t="s">
        <v>48</v>
      </c>
      <c r="E88" s="5">
        <f>+E86-E87</f>
        <v>194.33549999999934</v>
      </c>
      <c r="F88" s="5">
        <f t="shared" ref="F88:K88" si="29">+F86-F87</f>
        <v>171.91048550000056</v>
      </c>
      <c r="G88" s="5">
        <f t="shared" si="29"/>
        <v>171.90644404950018</v>
      </c>
      <c r="H88" s="5">
        <f t="shared" si="29"/>
        <v>171.6605929299692</v>
      </c>
      <c r="I88" s="5">
        <f t="shared" si="29"/>
        <v>171.1552359935215</v>
      </c>
      <c r="J88" s="5">
        <f t="shared" si="29"/>
        <v>170.37172014555108</v>
      </c>
      <c r="K88" s="5">
        <f t="shared" si="29"/>
        <v>188.63820571683038</v>
      </c>
    </row>
    <row r="89" spans="3:11" x14ac:dyDescent="0.2">
      <c r="C89" s="5" t="str">
        <f>+C79</f>
        <v>Dividend</v>
      </c>
      <c r="D89" s="5"/>
      <c r="E89" s="5">
        <f t="shared" ref="E89:K89" si="30">+E79</f>
        <v>194.33549999999934</v>
      </c>
      <c r="F89" s="5">
        <f t="shared" si="30"/>
        <v>171.91048550000056</v>
      </c>
      <c r="G89" s="5">
        <f t="shared" si="30"/>
        <v>171.90644404950018</v>
      </c>
      <c r="H89" s="5">
        <f t="shared" si="30"/>
        <v>171.6605929299692</v>
      </c>
      <c r="I89" s="5">
        <f t="shared" si="30"/>
        <v>171.1552359935215</v>
      </c>
      <c r="J89" s="5">
        <f t="shared" si="30"/>
        <v>170.37172014555108</v>
      </c>
      <c r="K89" s="5">
        <f t="shared" si="30"/>
        <v>188.63820571683038</v>
      </c>
    </row>
    <row r="90" spans="3:11" x14ac:dyDescent="0.2">
      <c r="C90" t="s">
        <v>49</v>
      </c>
      <c r="E90" s="5">
        <f>+E63-D63-E80</f>
        <v>0</v>
      </c>
      <c r="F90" s="5">
        <f t="shared" ref="F90:K90" si="31">+F63-E63-F80</f>
        <v>0</v>
      </c>
      <c r="G90" s="5">
        <f t="shared" si="31"/>
        <v>0</v>
      </c>
      <c r="H90" s="5">
        <f t="shared" si="31"/>
        <v>0</v>
      </c>
      <c r="I90" s="5">
        <f t="shared" si="31"/>
        <v>0</v>
      </c>
      <c r="J90" s="5">
        <f t="shared" si="31"/>
        <v>0</v>
      </c>
      <c r="K90" s="5">
        <f t="shared" si="31"/>
        <v>0</v>
      </c>
    </row>
    <row r="91" spans="3:11" x14ac:dyDescent="0.2">
      <c r="C91" t="s">
        <v>50</v>
      </c>
      <c r="E91" s="5">
        <f>+E88-E89+E90</f>
        <v>0</v>
      </c>
      <c r="F91" s="5">
        <f t="shared" ref="F91:K91" si="32">+F88-F89+F90</f>
        <v>0</v>
      </c>
      <c r="G91" s="5">
        <f t="shared" si="32"/>
        <v>0</v>
      </c>
      <c r="H91" s="5">
        <f t="shared" si="32"/>
        <v>0</v>
      </c>
      <c r="I91" s="5">
        <f t="shared" si="32"/>
        <v>0</v>
      </c>
      <c r="J91" s="5">
        <f t="shared" si="32"/>
        <v>0</v>
      </c>
      <c r="K91" s="5">
        <f t="shared" si="32"/>
        <v>0</v>
      </c>
    </row>
    <row r="94" spans="3:11" x14ac:dyDescent="0.2">
      <c r="C94" s="5" t="str">
        <f>+C88</f>
        <v>FCFE</v>
      </c>
      <c r="D94" s="5"/>
      <c r="E94" s="5">
        <f t="shared" ref="E94:K94" si="33">+E88</f>
        <v>194.33549999999934</v>
      </c>
      <c r="F94" s="5">
        <f t="shared" si="33"/>
        <v>171.91048550000056</v>
      </c>
      <c r="G94" s="5">
        <f t="shared" si="33"/>
        <v>171.90644404950018</v>
      </c>
      <c r="H94" s="5">
        <f t="shared" si="33"/>
        <v>171.6605929299692</v>
      </c>
      <c r="I94" s="5">
        <f t="shared" si="33"/>
        <v>171.1552359935215</v>
      </c>
      <c r="J94" s="5">
        <f t="shared" si="33"/>
        <v>170.37172014555108</v>
      </c>
      <c r="K94" s="5">
        <f t="shared" si="33"/>
        <v>188.63820571683038</v>
      </c>
    </row>
    <row r="95" spans="3:11" x14ac:dyDescent="0.2">
      <c r="C95" t="s">
        <v>51</v>
      </c>
      <c r="E95" s="12">
        <f>+E5+E6*E7</f>
        <v>6.6000000000000003E-2</v>
      </c>
      <c r="F95" s="12">
        <f t="shared" ref="F95:K95" si="34">+F5+F6*F7</f>
        <v>6.6000000000000003E-2</v>
      </c>
      <c r="G95" s="12">
        <f t="shared" si="34"/>
        <v>6.6000000000000003E-2</v>
      </c>
      <c r="H95" s="12">
        <f t="shared" si="34"/>
        <v>6.6000000000000003E-2</v>
      </c>
      <c r="I95" s="12">
        <f t="shared" si="34"/>
        <v>6.6000000000000003E-2</v>
      </c>
      <c r="J95" s="12">
        <f t="shared" si="34"/>
        <v>6.6000000000000003E-2</v>
      </c>
      <c r="K95" s="12">
        <f t="shared" si="34"/>
        <v>6.6000000000000003E-2</v>
      </c>
    </row>
    <row r="96" spans="3:11" x14ac:dyDescent="0.2">
      <c r="C96" s="13" t="s">
        <v>52</v>
      </c>
      <c r="D96" s="13"/>
      <c r="E96" s="14">
        <f t="shared" ref="E96:I96" si="35">+(E94+F96)/(1+E95)</f>
        <v>4995.789101852899</v>
      </c>
      <c r="F96" s="14">
        <f t="shared" si="35"/>
        <v>5131.1756825751918</v>
      </c>
      <c r="G96" s="14">
        <f t="shared" si="35"/>
        <v>5297.922792125154</v>
      </c>
      <c r="H96" s="14">
        <f t="shared" si="35"/>
        <v>5475.6792523559143</v>
      </c>
      <c r="I96" s="14">
        <f t="shared" si="35"/>
        <v>5665.4134900814352</v>
      </c>
      <c r="J96" s="14">
        <f>+(J94+K96)/(1+J95)</f>
        <v>5868.1755444332885</v>
      </c>
      <c r="K96" s="14">
        <f>+K94/(K95-K11)</f>
        <v>6085.1034102203348</v>
      </c>
    </row>
    <row r="97" spans="3:11" x14ac:dyDescent="0.2">
      <c r="C97" t="s">
        <v>53</v>
      </c>
      <c r="E97" s="5">
        <f>+D63</f>
        <v>5000</v>
      </c>
    </row>
    <row r="98" spans="3:11" x14ac:dyDescent="0.2">
      <c r="C98" t="s">
        <v>55</v>
      </c>
      <c r="E98" s="5">
        <f>+E96-E97</f>
        <v>-4.2108981471010338</v>
      </c>
    </row>
    <row r="100" spans="3:11" x14ac:dyDescent="0.2">
      <c r="C100" t="s">
        <v>54</v>
      </c>
      <c r="E100" s="12">
        <f>+E78/D63</f>
        <v>7.0933100000000041E-2</v>
      </c>
      <c r="F100" s="12">
        <f t="shared" ref="F100:K100" si="36">+F78/E63</f>
        <v>6.9629398798138856E-2</v>
      </c>
      <c r="G100" s="12">
        <f t="shared" si="36"/>
        <v>6.856636875681639E-2</v>
      </c>
      <c r="H100" s="12">
        <f t="shared" si="36"/>
        <v>6.7497979122623258E-2</v>
      </c>
      <c r="I100" s="12">
        <f t="shared" si="36"/>
        <v>6.6424656429057982E-2</v>
      </c>
      <c r="J100" s="12">
        <f t="shared" si="36"/>
        <v>6.5346830896047356E-2</v>
      </c>
      <c r="K100" s="12">
        <f t="shared" si="36"/>
        <v>6.5382640714277851E-2</v>
      </c>
    </row>
    <row r="102" spans="3:11" x14ac:dyDescent="0.2">
      <c r="C102" t="s">
        <v>56</v>
      </c>
      <c r="E102" s="5">
        <f>+E96/E78</f>
        <v>14.085917863036851</v>
      </c>
    </row>
    <row r="103" spans="3:11" x14ac:dyDescent="0.2">
      <c r="C103" t="s">
        <v>57</v>
      </c>
      <c r="E103" s="5">
        <f>+E96/(E70+E71)</f>
        <v>1.4603300502346972</v>
      </c>
    </row>
    <row r="104" spans="3:11" x14ac:dyDescent="0.2">
      <c r="C104" t="s">
        <v>58</v>
      </c>
      <c r="E104" s="5">
        <f>+E96/D63</f>
        <v>0.99915782037057976</v>
      </c>
    </row>
    <row r="106" spans="3:11" x14ac:dyDescent="0.2">
      <c r="E106" s="12">
        <f>+E96/BAse!E96-1</f>
        <v>0.28806502144546453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D36-2618-46FD-8F22-23A5CBFACC1A}">
  <dimension ref="B1:K106"/>
  <sheetViews>
    <sheetView topLeftCell="A67" zoomScale="75" zoomScaleNormal="160" workbookViewId="0">
      <selection activeCell="E107" sqref="E107"/>
    </sheetView>
  </sheetViews>
  <sheetFormatPr baseColWidth="10" defaultColWidth="8.83203125" defaultRowHeight="16" x14ac:dyDescent="0.2"/>
  <cols>
    <col min="2" max="2" width="10.6640625" bestFit="1" customWidth="1"/>
    <col min="3" max="3" width="28.6640625" bestFit="1" customWidth="1"/>
    <col min="4" max="11" width="8.83203125" bestFit="1" customWidth="1"/>
  </cols>
  <sheetData>
    <row r="1" spans="3:11" x14ac:dyDescent="0.2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">
      <c r="D8" s="4"/>
      <c r="E8" s="4"/>
      <c r="F8" s="4"/>
      <c r="G8" s="4"/>
      <c r="H8" s="4"/>
      <c r="I8" s="4"/>
      <c r="J8" s="4"/>
      <c r="K8" s="4"/>
    </row>
    <row r="10" spans="3:11" x14ac:dyDescent="0.2">
      <c r="C10" s="3" t="s">
        <v>7</v>
      </c>
      <c r="D10" s="3">
        <f t="shared" ref="D10:K10" si="0">+D48</f>
        <v>2023</v>
      </c>
      <c r="E10" s="3">
        <f t="shared" si="0"/>
        <v>2024</v>
      </c>
      <c r="F10" s="3">
        <f t="shared" si="0"/>
        <v>2025</v>
      </c>
      <c r="G10" s="3">
        <f t="shared" si="0"/>
        <v>2026</v>
      </c>
      <c r="H10" s="3">
        <f t="shared" si="0"/>
        <v>2027</v>
      </c>
      <c r="I10" s="3">
        <f t="shared" si="0"/>
        <v>2028</v>
      </c>
      <c r="J10" s="3">
        <f t="shared" si="0"/>
        <v>2029</v>
      </c>
      <c r="K10" s="3" t="str">
        <f t="shared" si="0"/>
        <v>TV</v>
      </c>
    </row>
    <row r="11" spans="3:11" x14ac:dyDescent="0.2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">
      <c r="C12" t="s">
        <v>1</v>
      </c>
      <c r="E12" s="11">
        <v>0.06</v>
      </c>
      <c r="F12" s="11">
        <v>0.06</v>
      </c>
      <c r="G12" s="11">
        <v>0.06</v>
      </c>
      <c r="H12" s="11">
        <v>0.06</v>
      </c>
      <c r="I12" s="11">
        <v>0.06</v>
      </c>
      <c r="J12" s="11">
        <v>0.06</v>
      </c>
      <c r="K12" s="11">
        <v>3.5000000000000003E-2</v>
      </c>
    </row>
    <row r="13" spans="3:11" x14ac:dyDescent="0.2">
      <c r="C13" t="s">
        <v>2</v>
      </c>
      <c r="E13" s="11">
        <v>0.06</v>
      </c>
      <c r="F13" s="11">
        <v>0.06</v>
      </c>
      <c r="G13" s="11">
        <v>0.06</v>
      </c>
      <c r="H13" s="11">
        <v>0.06</v>
      </c>
      <c r="I13" s="11">
        <v>0.06</v>
      </c>
      <c r="J13" s="11">
        <v>0.06</v>
      </c>
      <c r="K13" s="11">
        <v>3.5000000000000003E-2</v>
      </c>
    </row>
    <row r="14" spans="3:11" x14ac:dyDescent="0.2">
      <c r="C14" t="s">
        <v>4</v>
      </c>
      <c r="E14" s="11">
        <v>0.06</v>
      </c>
      <c r="F14" s="11">
        <v>0.06</v>
      </c>
      <c r="G14" s="11">
        <v>0.06</v>
      </c>
      <c r="H14" s="11">
        <v>0.06</v>
      </c>
      <c r="I14" s="11">
        <v>0.06</v>
      </c>
      <c r="J14" s="11">
        <v>0.06</v>
      </c>
      <c r="K14" s="11">
        <v>3.5000000000000003E-2</v>
      </c>
    </row>
    <row r="15" spans="3:11" x14ac:dyDescent="0.2">
      <c r="C15" t="s">
        <v>3</v>
      </c>
      <c r="E15" s="11">
        <v>0.06</v>
      </c>
      <c r="F15" s="11">
        <v>0.06</v>
      </c>
      <c r="G15" s="11">
        <v>0.06</v>
      </c>
      <c r="H15" s="11">
        <v>0.06</v>
      </c>
      <c r="I15" s="11">
        <v>0.06</v>
      </c>
      <c r="J15" s="11">
        <v>0.06</v>
      </c>
      <c r="K15" s="11">
        <v>3.5000000000000003E-2</v>
      </c>
    </row>
    <row r="16" spans="3:11" x14ac:dyDescent="0.2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">
      <c r="C17" t="s">
        <v>6</v>
      </c>
      <c r="E17" s="11">
        <v>0.06</v>
      </c>
      <c r="F17" s="11">
        <v>0.06</v>
      </c>
      <c r="G17" s="11">
        <v>0.06</v>
      </c>
      <c r="H17" s="11">
        <v>0.06</v>
      </c>
      <c r="I17" s="11">
        <v>0.06</v>
      </c>
      <c r="J17" s="11">
        <v>0.06</v>
      </c>
      <c r="K17" s="11">
        <v>3.5000000000000003E-2</v>
      </c>
    </row>
    <row r="18" spans="3:11" x14ac:dyDescent="0.2">
      <c r="C18" t="s">
        <v>15</v>
      </c>
      <c r="E18" s="11">
        <v>0.06</v>
      </c>
      <c r="F18" s="11">
        <v>0.06</v>
      </c>
      <c r="G18" s="11">
        <v>0.06</v>
      </c>
      <c r="H18" s="11">
        <v>0.06</v>
      </c>
      <c r="I18" s="11">
        <v>0.06</v>
      </c>
      <c r="J18" s="11">
        <v>0.06</v>
      </c>
      <c r="K18" s="11">
        <v>3.5000000000000003E-2</v>
      </c>
    </row>
    <row r="19" spans="3:11" x14ac:dyDescent="0.2">
      <c r="C19" t="s">
        <v>16</v>
      </c>
      <c r="E19" s="11">
        <v>0.06</v>
      </c>
      <c r="F19" s="11">
        <v>0.06</v>
      </c>
      <c r="G19" s="11">
        <v>0.06</v>
      </c>
      <c r="H19" s="11">
        <v>0.06</v>
      </c>
      <c r="I19" s="11">
        <v>0.06</v>
      </c>
      <c r="J19" s="11">
        <v>0.06</v>
      </c>
      <c r="K19" s="11">
        <v>3.5000000000000003E-2</v>
      </c>
    </row>
    <row r="20" spans="3:11" x14ac:dyDescent="0.2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">
      <c r="C23" s="3" t="s">
        <v>9</v>
      </c>
      <c r="D23" s="3">
        <f>+D10</f>
        <v>2023</v>
      </c>
      <c r="E23" s="3">
        <f t="shared" ref="E23:K23" si="1">+E10</f>
        <v>2024</v>
      </c>
      <c r="F23" s="3">
        <f t="shared" si="1"/>
        <v>2025</v>
      </c>
      <c r="G23" s="3">
        <f t="shared" si="1"/>
        <v>2026</v>
      </c>
      <c r="H23" s="3">
        <f t="shared" si="1"/>
        <v>2027</v>
      </c>
      <c r="I23" s="3">
        <f t="shared" si="1"/>
        <v>2028</v>
      </c>
      <c r="J23" s="3">
        <f t="shared" si="1"/>
        <v>2029</v>
      </c>
      <c r="K23" s="3" t="str">
        <f t="shared" si="1"/>
        <v>TV</v>
      </c>
    </row>
    <row r="24" spans="3:11" x14ac:dyDescent="0.2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">
      <c r="C31" s="3" t="s">
        <v>10</v>
      </c>
      <c r="D31" s="3">
        <f>+D23</f>
        <v>2023</v>
      </c>
      <c r="E31" s="3">
        <f t="shared" ref="E31:K31" si="2">+E23</f>
        <v>2024</v>
      </c>
      <c r="F31" s="3">
        <f t="shared" si="2"/>
        <v>2025</v>
      </c>
      <c r="G31" s="3">
        <f t="shared" si="2"/>
        <v>2026</v>
      </c>
      <c r="H31" s="3">
        <f t="shared" si="2"/>
        <v>2027</v>
      </c>
      <c r="I31" s="3">
        <f t="shared" si="2"/>
        <v>2028</v>
      </c>
      <c r="J31" s="3">
        <f t="shared" si="2"/>
        <v>2029</v>
      </c>
      <c r="K31" s="3" t="str">
        <f t="shared" si="2"/>
        <v>TV</v>
      </c>
    </row>
    <row r="32" spans="3:11" x14ac:dyDescent="0.2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">
      <c r="C41" t="s">
        <v>34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">
      <c r="C43" s="3" t="s">
        <v>43</v>
      </c>
    </row>
    <row r="44" spans="2:11" x14ac:dyDescent="0.2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">
      <c r="B48" t="s">
        <v>31</v>
      </c>
      <c r="C48" t="s">
        <v>0</v>
      </c>
      <c r="D48" s="2">
        <v>2023</v>
      </c>
      <c r="E48" s="3">
        <f>+D48+1</f>
        <v>2024</v>
      </c>
      <c r="F48" s="3">
        <f t="shared" ref="F48:J48" si="3">+E48+1</f>
        <v>2025</v>
      </c>
      <c r="G48" s="3">
        <f t="shared" si="3"/>
        <v>2026</v>
      </c>
      <c r="H48" s="3">
        <f t="shared" si="3"/>
        <v>2027</v>
      </c>
      <c r="I48" s="3">
        <f t="shared" si="3"/>
        <v>2028</v>
      </c>
      <c r="J48" s="3">
        <f t="shared" si="3"/>
        <v>2029</v>
      </c>
      <c r="K48" s="3" t="s">
        <v>8</v>
      </c>
    </row>
    <row r="49" spans="2:11" x14ac:dyDescent="0.2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K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 t="shared" si="4"/>
        <v>1727.8986958827297</v>
      </c>
    </row>
    <row r="50" spans="2:11" x14ac:dyDescent="0.2">
      <c r="B50" s="7">
        <v>1.5</v>
      </c>
      <c r="C50" t="s">
        <v>1</v>
      </c>
      <c r="D50" s="6">
        <v>6000</v>
      </c>
      <c r="E50" s="8">
        <f t="shared" ref="E50:K55" si="5">+D50*(1+E12)</f>
        <v>6360</v>
      </c>
      <c r="F50" s="8">
        <f t="shared" si="5"/>
        <v>6741.6</v>
      </c>
      <c r="G50" s="8">
        <f t="shared" si="5"/>
        <v>7146.0960000000005</v>
      </c>
      <c r="H50" s="8">
        <f t="shared" si="5"/>
        <v>7574.8617600000007</v>
      </c>
      <c r="I50" s="8">
        <f t="shared" si="5"/>
        <v>8029.3534656000011</v>
      </c>
      <c r="J50" s="8">
        <f t="shared" si="5"/>
        <v>8511.1146735360016</v>
      </c>
      <c r="K50" s="8">
        <f t="shared" si="5"/>
        <v>8809.0036871097618</v>
      </c>
    </row>
    <row r="51" spans="2:11" x14ac:dyDescent="0.2">
      <c r="B51" s="7">
        <v>1.2</v>
      </c>
      <c r="C51" t="s">
        <v>2</v>
      </c>
      <c r="D51" s="6">
        <v>3000</v>
      </c>
      <c r="E51" s="8">
        <f t="shared" si="5"/>
        <v>3180</v>
      </c>
      <c r="F51" s="8">
        <f t="shared" si="5"/>
        <v>3370.8</v>
      </c>
      <c r="G51" s="8">
        <f t="shared" si="5"/>
        <v>3573.0480000000002</v>
      </c>
      <c r="H51" s="8">
        <f t="shared" si="5"/>
        <v>3787.4308800000003</v>
      </c>
      <c r="I51" s="8">
        <f t="shared" si="5"/>
        <v>4014.6767328000005</v>
      </c>
      <c r="J51" s="8">
        <f t="shared" si="5"/>
        <v>4255.5573367680008</v>
      </c>
      <c r="K51" s="8">
        <f t="shared" si="5"/>
        <v>4404.5018435548809</v>
      </c>
    </row>
    <row r="52" spans="2:11" x14ac:dyDescent="0.2">
      <c r="B52" s="7">
        <v>1</v>
      </c>
      <c r="C52" t="s">
        <v>4</v>
      </c>
      <c r="D52" s="6">
        <v>4000</v>
      </c>
      <c r="E52" s="8">
        <f t="shared" si="5"/>
        <v>4240</v>
      </c>
      <c r="F52" s="8">
        <f t="shared" si="5"/>
        <v>4494.4000000000005</v>
      </c>
      <c r="G52" s="8">
        <f t="shared" si="5"/>
        <v>4764.0640000000012</v>
      </c>
      <c r="H52" s="8">
        <f t="shared" si="5"/>
        <v>5049.9078400000017</v>
      </c>
      <c r="I52" s="8">
        <f t="shared" si="5"/>
        <v>5352.9023104000016</v>
      </c>
      <c r="J52" s="8">
        <f t="shared" si="5"/>
        <v>5674.0764490240017</v>
      </c>
      <c r="K52" s="8">
        <f t="shared" si="5"/>
        <v>5872.6691247398412</v>
      </c>
    </row>
    <row r="53" spans="2:11" x14ac:dyDescent="0.2">
      <c r="B53" s="7">
        <v>0.5</v>
      </c>
      <c r="C53" t="s">
        <v>3</v>
      </c>
      <c r="D53" s="6">
        <v>15000</v>
      </c>
      <c r="E53" s="8">
        <f t="shared" si="5"/>
        <v>15900</v>
      </c>
      <c r="F53" s="8">
        <f t="shared" si="5"/>
        <v>16854</v>
      </c>
      <c r="G53" s="8">
        <f t="shared" si="5"/>
        <v>17865.240000000002</v>
      </c>
      <c r="H53" s="8">
        <f t="shared" si="5"/>
        <v>18937.154400000003</v>
      </c>
      <c r="I53" s="8">
        <f t="shared" si="5"/>
        <v>20073.383664000005</v>
      </c>
      <c r="J53" s="8">
        <f t="shared" si="5"/>
        <v>21277.786683840004</v>
      </c>
      <c r="K53" s="8">
        <f t="shared" si="5"/>
        <v>22022.509217774401</v>
      </c>
    </row>
    <row r="54" spans="2:11" x14ac:dyDescent="0.2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">
      <c r="B55" s="7">
        <v>1</v>
      </c>
      <c r="C55" t="s">
        <v>6</v>
      </c>
      <c r="D55" s="6">
        <v>20000</v>
      </c>
      <c r="E55" s="8">
        <f t="shared" si="5"/>
        <v>21200</v>
      </c>
      <c r="F55" s="8">
        <f t="shared" si="5"/>
        <v>22472</v>
      </c>
      <c r="G55" s="8">
        <f t="shared" si="5"/>
        <v>23820.32</v>
      </c>
      <c r="H55" s="8">
        <f t="shared" si="5"/>
        <v>25249.539199999999</v>
      </c>
      <c r="I55" s="8">
        <f t="shared" si="5"/>
        <v>26764.511552</v>
      </c>
      <c r="J55" s="8">
        <f t="shared" si="5"/>
        <v>28370.382245120003</v>
      </c>
      <c r="K55" s="8">
        <f t="shared" si="5"/>
        <v>29363.345623699202</v>
      </c>
    </row>
    <row r="56" spans="2:11" x14ac:dyDescent="0.2">
      <c r="B56" s="7">
        <v>0.3</v>
      </c>
      <c r="C56" t="s">
        <v>30</v>
      </c>
      <c r="D56" s="6">
        <v>1000</v>
      </c>
      <c r="E56" s="6">
        <v>1000</v>
      </c>
      <c r="F56" s="6">
        <v>1000</v>
      </c>
      <c r="G56" s="6">
        <v>1000</v>
      </c>
      <c r="H56" s="6">
        <v>1000</v>
      </c>
      <c r="I56" s="6">
        <v>1000</v>
      </c>
      <c r="J56" s="6">
        <v>1000</v>
      </c>
      <c r="K56" s="6">
        <v>1000</v>
      </c>
    </row>
    <row r="57" spans="2:11" x14ac:dyDescent="0.2">
      <c r="B57" s="7">
        <v>0</v>
      </c>
      <c r="C57" t="s">
        <v>14</v>
      </c>
      <c r="D57" s="6">
        <v>1000</v>
      </c>
      <c r="E57" s="8">
        <f>SUM(E49:E55)*E1</f>
        <v>1132.94</v>
      </c>
      <c r="F57" s="8">
        <f t="shared" ref="F57:K57" si="6">SUM(F49:F55)*F1</f>
        <v>1199.6337200000003</v>
      </c>
      <c r="G57" s="8">
        <f t="shared" si="6"/>
        <v>1270.30597496</v>
      </c>
      <c r="H57" s="8">
        <f t="shared" si="6"/>
        <v>1345.19506138928</v>
      </c>
      <c r="I57" s="8">
        <f t="shared" si="6"/>
        <v>1424.5535661070874</v>
      </c>
      <c r="J57" s="8">
        <f t="shared" si="6"/>
        <v>1508.649223526583</v>
      </c>
      <c r="K57" s="8">
        <f t="shared" si="6"/>
        <v>1561.4519463500133</v>
      </c>
    </row>
    <row r="58" spans="2:11" x14ac:dyDescent="0.2">
      <c r="C58" s="1" t="s">
        <v>13</v>
      </c>
      <c r="D58" s="9">
        <f>SUM(D49:D57)</f>
        <v>55500</v>
      </c>
      <c r="E58" s="9">
        <f t="shared" ref="E58:K58" si="7">SUM(E49:E57)</f>
        <v>58779.94</v>
      </c>
      <c r="F58" s="9">
        <f t="shared" si="7"/>
        <v>62181.319720000007</v>
      </c>
      <c r="G58" s="9">
        <f t="shared" si="7"/>
        <v>65785.604722960008</v>
      </c>
      <c r="H58" s="9">
        <f t="shared" si="7"/>
        <v>69604.948130853285</v>
      </c>
      <c r="I58" s="9">
        <f t="shared" si="7"/>
        <v>73652.231871461452</v>
      </c>
      <c r="J58" s="9">
        <f t="shared" si="7"/>
        <v>77941.110399855723</v>
      </c>
      <c r="K58" s="9">
        <f t="shared" si="7"/>
        <v>80634.049263850684</v>
      </c>
    </row>
    <row r="59" spans="2:11" x14ac:dyDescent="0.2">
      <c r="D59" s="5"/>
    </row>
    <row r="60" spans="2:11" x14ac:dyDescent="0.2">
      <c r="C60" t="s">
        <v>15</v>
      </c>
      <c r="D60" s="6">
        <v>20000</v>
      </c>
      <c r="E60" s="5">
        <f>+D60*(1+E18)</f>
        <v>21200</v>
      </c>
      <c r="F60" s="5">
        <f t="shared" ref="F60:K61" si="8">+E60*(1+F18)</f>
        <v>22472</v>
      </c>
      <c r="G60" s="5">
        <f t="shared" si="8"/>
        <v>23820.32</v>
      </c>
      <c r="H60" s="5">
        <f t="shared" si="8"/>
        <v>25249.539199999999</v>
      </c>
      <c r="I60" s="5">
        <f t="shared" si="8"/>
        <v>26764.511552</v>
      </c>
      <c r="J60" s="5">
        <f t="shared" si="8"/>
        <v>28370.382245120003</v>
      </c>
      <c r="K60" s="5">
        <f t="shared" si="8"/>
        <v>29363.345623699202</v>
      </c>
    </row>
    <row r="61" spans="2:11" x14ac:dyDescent="0.2">
      <c r="C61" t="s">
        <v>16</v>
      </c>
      <c r="D61" s="6">
        <v>25000</v>
      </c>
      <c r="E61" s="5">
        <f>+D61*(1+E19)</f>
        <v>26500</v>
      </c>
      <c r="F61" s="5">
        <f t="shared" si="8"/>
        <v>28090</v>
      </c>
      <c r="G61" s="5">
        <f t="shared" si="8"/>
        <v>29775.4</v>
      </c>
      <c r="H61" s="5">
        <f t="shared" si="8"/>
        <v>31561.924000000003</v>
      </c>
      <c r="I61" s="5">
        <f t="shared" si="8"/>
        <v>33455.639440000006</v>
      </c>
      <c r="J61" s="5">
        <f t="shared" si="8"/>
        <v>35462.977806400006</v>
      </c>
      <c r="K61" s="5">
        <f t="shared" si="8"/>
        <v>36704.182029624004</v>
      </c>
    </row>
    <row r="62" spans="2:11" x14ac:dyDescent="0.2">
      <c r="C62" t="s">
        <v>18</v>
      </c>
      <c r="D62" s="5">
        <f>+D58-D60-D61-D63</f>
        <v>5500</v>
      </c>
      <c r="E62" s="5">
        <f t="shared" ref="E62:K62" si="9">+E58-E60-E61-E63</f>
        <v>5805.4600000000019</v>
      </c>
      <c r="F62" s="5">
        <f t="shared" si="9"/>
        <v>6032.7362800000055</v>
      </c>
      <c r="G62" s="5">
        <f t="shared" si="9"/>
        <v>6272.5178130400063</v>
      </c>
      <c r="H62" s="5">
        <f t="shared" si="9"/>
        <v>6525.534550474722</v>
      </c>
      <c r="I62" s="5">
        <f t="shared" si="9"/>
        <v>6792.5598741912745</v>
      </c>
      <c r="J62" s="5">
        <f t="shared" si="9"/>
        <v>7074.4131958431881</v>
      </c>
      <c r="K62" s="5">
        <f t="shared" si="9"/>
        <v>7288.0676576977085</v>
      </c>
    </row>
    <row r="63" spans="2:11" x14ac:dyDescent="0.2">
      <c r="C63" t="s">
        <v>17</v>
      </c>
      <c r="D63" s="6">
        <v>5000</v>
      </c>
      <c r="E63" s="5">
        <f>+E65*E4</f>
        <v>5274.4800000000005</v>
      </c>
      <c r="F63" s="5">
        <f t="shared" ref="F63:K63" si="10">+F65*F4</f>
        <v>5586.5834400000012</v>
      </c>
      <c r="G63" s="5">
        <f t="shared" si="10"/>
        <v>5917.3669099200006</v>
      </c>
      <c r="H63" s="5">
        <f t="shared" si="10"/>
        <v>6267.950380378561</v>
      </c>
      <c r="I63" s="5">
        <f t="shared" si="10"/>
        <v>6639.521005270175</v>
      </c>
      <c r="J63" s="5">
        <f t="shared" si="10"/>
        <v>7033.337152492526</v>
      </c>
      <c r="K63" s="5">
        <f t="shared" si="10"/>
        <v>7278.4539528297655</v>
      </c>
    </row>
    <row r="64" spans="2:11" x14ac:dyDescent="0.2">
      <c r="D64" s="5"/>
    </row>
    <row r="65" spans="3:11" x14ac:dyDescent="0.2">
      <c r="C65" t="s">
        <v>32</v>
      </c>
      <c r="D65" s="5">
        <f>+SUMPRODUCT($B$49:$B$57,D49:D57)</f>
        <v>49800</v>
      </c>
      <c r="E65" s="5">
        <f>+SUMPRODUCT($B$49:$B$57,E49:E57)</f>
        <v>52744.800000000003</v>
      </c>
      <c r="F65" s="5">
        <f t="shared" ref="F65:K65" si="11">+SUMPRODUCT($B$49:$B$57,F49:F57)</f>
        <v>55865.834400000007</v>
      </c>
      <c r="G65" s="5">
        <f t="shared" si="11"/>
        <v>59173.6690992</v>
      </c>
      <c r="H65" s="5">
        <f t="shared" si="11"/>
        <v>62679.503803785607</v>
      </c>
      <c r="I65" s="5">
        <f t="shared" si="11"/>
        <v>66395.210052701746</v>
      </c>
      <c r="J65" s="5">
        <f t="shared" si="11"/>
        <v>70333.371524925256</v>
      </c>
      <c r="K65" s="5">
        <f t="shared" si="11"/>
        <v>72784.539528297653</v>
      </c>
    </row>
    <row r="68" spans="3:11" x14ac:dyDescent="0.2">
      <c r="C68" t="s">
        <v>19</v>
      </c>
      <c r="D68" s="6">
        <v>4830</v>
      </c>
      <c r="E68" s="5">
        <f>+SUMPRODUCT(D50:D56,E32:E38)</f>
        <v>4002</v>
      </c>
      <c r="F68" s="5">
        <f t="shared" ref="F68:K68" si="12">+SUMPRODUCT(E50:E56,F32:F38)</f>
        <v>4239</v>
      </c>
      <c r="G68" s="5">
        <f t="shared" si="12"/>
        <v>4490.22</v>
      </c>
      <c r="H68" s="5">
        <f t="shared" si="12"/>
        <v>4756.5132000000003</v>
      </c>
      <c r="I68" s="5">
        <f t="shared" si="12"/>
        <v>5038.7839920000006</v>
      </c>
      <c r="J68" s="5">
        <f t="shared" si="12"/>
        <v>5337.9910315200004</v>
      </c>
      <c r="K68" s="5">
        <f t="shared" si="12"/>
        <v>5655.1504934112018</v>
      </c>
    </row>
    <row r="69" spans="3:11" x14ac:dyDescent="0.2">
      <c r="C69" t="s">
        <v>20</v>
      </c>
      <c r="D69" s="6">
        <v>1880</v>
      </c>
      <c r="E69" s="5">
        <f>+D60*E39+D61*E40+E41*D62</f>
        <v>1666</v>
      </c>
      <c r="F69" s="5">
        <f t="shared" ref="F69:K69" si="13">+E60*F39+E61*F40+F41*E62</f>
        <v>1764.9293200000002</v>
      </c>
      <c r="G69" s="5">
        <f t="shared" si="13"/>
        <v>1865.7409237600002</v>
      </c>
      <c r="H69" s="5">
        <f t="shared" si="13"/>
        <v>1972.5537081476805</v>
      </c>
      <c r="I69" s="5">
        <f t="shared" si="13"/>
        <v>2085.7268887199384</v>
      </c>
      <c r="J69" s="5">
        <f t="shared" si="13"/>
        <v>2205.6412185720337</v>
      </c>
      <c r="K69" s="5">
        <f t="shared" si="13"/>
        <v>2332.7002803127743</v>
      </c>
    </row>
    <row r="70" spans="3:11" x14ac:dyDescent="0.2">
      <c r="C70" t="s">
        <v>21</v>
      </c>
      <c r="D70" s="5">
        <f>+D68-D69</f>
        <v>2950</v>
      </c>
      <c r="E70" s="5">
        <f>+E68-E69</f>
        <v>2336</v>
      </c>
      <c r="F70" s="5">
        <f t="shared" ref="F70:K70" si="14">+F68-F69</f>
        <v>2474.0706799999998</v>
      </c>
      <c r="G70" s="5">
        <f t="shared" si="14"/>
        <v>2624.4790762399998</v>
      </c>
      <c r="H70" s="5">
        <f t="shared" si="14"/>
        <v>2783.9594918523198</v>
      </c>
      <c r="I70" s="5">
        <f t="shared" si="14"/>
        <v>2953.0571032800622</v>
      </c>
      <c r="J70" s="5">
        <f t="shared" si="14"/>
        <v>3132.3498129479667</v>
      </c>
      <c r="K70" s="5">
        <f t="shared" si="14"/>
        <v>3322.4502130984274</v>
      </c>
    </row>
    <row r="71" spans="3:11" x14ac:dyDescent="0.2">
      <c r="C71" t="s">
        <v>44</v>
      </c>
      <c r="D71" s="6">
        <v>1000</v>
      </c>
      <c r="E71" s="5">
        <f>+D71*(1+E21)</f>
        <v>1035</v>
      </c>
      <c r="F71" s="5">
        <f t="shared" ref="F71:K71" si="15">+E71*(1+F21)</f>
        <v>1071.2249999999999</v>
      </c>
      <c r="G71" s="5">
        <f t="shared" si="15"/>
        <v>1108.7178749999998</v>
      </c>
      <c r="H71" s="5">
        <f t="shared" si="15"/>
        <v>1147.5230006249997</v>
      </c>
      <c r="I71" s="5">
        <f t="shared" si="15"/>
        <v>1187.6863056468746</v>
      </c>
      <c r="J71" s="5">
        <f t="shared" si="15"/>
        <v>1229.2553263445152</v>
      </c>
      <c r="K71" s="5">
        <f t="shared" si="15"/>
        <v>1272.2792627665731</v>
      </c>
    </row>
    <row r="72" spans="3:11" x14ac:dyDescent="0.2">
      <c r="C72" t="s">
        <v>23</v>
      </c>
      <c r="D72" s="6">
        <v>60</v>
      </c>
      <c r="E72" s="5">
        <f>(SUM(E50:E55)-SUM(D50:D55)+E73)*E44+(E60-D60+E61-D61)*E45</f>
        <v>91.839999999999989</v>
      </c>
      <c r="F72" s="5">
        <f t="shared" ref="F72:K72" si="16">(SUM(F50:F55)-SUM(E50:E55)+F73)*F44+(F60-E60+F61-E61)*F45</f>
        <v>97.350400000000093</v>
      </c>
      <c r="G72" s="5">
        <f t="shared" si="16"/>
        <v>103.19142399999996</v>
      </c>
      <c r="H72" s="5">
        <f t="shared" si="16"/>
        <v>109.38290943999993</v>
      </c>
      <c r="I72" s="5">
        <f t="shared" si="16"/>
        <v>115.94588400640041</v>
      </c>
      <c r="J72" s="5">
        <f t="shared" si="16"/>
        <v>122.90263704678388</v>
      </c>
      <c r="K72" s="5">
        <f t="shared" si="16"/>
        <v>88.607796347071158</v>
      </c>
    </row>
    <row r="73" spans="3:11" x14ac:dyDescent="0.2">
      <c r="C73" t="s">
        <v>9</v>
      </c>
      <c r="D73" s="6">
        <v>1000</v>
      </c>
      <c r="E73" s="5">
        <f>+SUMPRODUCT(E24:E29,D50:D55)</f>
        <v>1067</v>
      </c>
      <c r="F73" s="5">
        <f t="shared" ref="F73:K73" si="17">+SUMPRODUCT(F24:F29,E50:E55)</f>
        <v>1131.02</v>
      </c>
      <c r="G73" s="5">
        <f t="shared" si="17"/>
        <v>1198.8812000000003</v>
      </c>
      <c r="H73" s="5">
        <f t="shared" si="17"/>
        <v>1270.8140720000001</v>
      </c>
      <c r="I73" s="5">
        <f t="shared" si="17"/>
        <v>1347.0629163200001</v>
      </c>
      <c r="J73" s="5">
        <f t="shared" si="17"/>
        <v>1427.8866912992003</v>
      </c>
      <c r="K73" s="5">
        <f t="shared" si="17"/>
        <v>1513.5598927771525</v>
      </c>
    </row>
    <row r="74" spans="3:11" x14ac:dyDescent="0.2">
      <c r="C74" t="s">
        <v>22</v>
      </c>
      <c r="D74" s="6">
        <v>1500</v>
      </c>
      <c r="E74" s="5">
        <f>+D74*(1+E20)</f>
        <v>1558.4999999999998</v>
      </c>
      <c r="F74" s="5">
        <f t="shared" ref="F74:K74" si="18">+E74*(1+F20)</f>
        <v>1619.2814999999996</v>
      </c>
      <c r="G74" s="5">
        <f t="shared" si="18"/>
        <v>1682.4334784999994</v>
      </c>
      <c r="H74" s="5">
        <f t="shared" si="18"/>
        <v>1748.0483841614994</v>
      </c>
      <c r="I74" s="5">
        <f t="shared" si="18"/>
        <v>1816.2222711437978</v>
      </c>
      <c r="J74" s="5">
        <f t="shared" si="18"/>
        <v>1887.0549397184059</v>
      </c>
      <c r="K74" s="5">
        <f t="shared" si="18"/>
        <v>1953.1018626085499</v>
      </c>
    </row>
    <row r="75" spans="3:11" x14ac:dyDescent="0.2">
      <c r="C75" t="s">
        <v>24</v>
      </c>
      <c r="D75" s="6">
        <v>200</v>
      </c>
      <c r="E75" s="5">
        <f>+D49*E2</f>
        <v>225</v>
      </c>
      <c r="F75" s="5">
        <f t="shared" ref="F75:K75" si="19">+E49*F2</f>
        <v>229.04999999999998</v>
      </c>
      <c r="G75" s="5">
        <f t="shared" si="19"/>
        <v>233.1729</v>
      </c>
      <c r="H75" s="5">
        <f t="shared" si="19"/>
        <v>237.37001219999999</v>
      </c>
      <c r="I75" s="5">
        <f t="shared" si="19"/>
        <v>241.64267241959999</v>
      </c>
      <c r="J75" s="5">
        <f t="shared" si="19"/>
        <v>245.99224052315279</v>
      </c>
      <c r="K75" s="5">
        <f t="shared" si="19"/>
        <v>250.42010085256953</v>
      </c>
    </row>
    <row r="76" spans="3:11" x14ac:dyDescent="0.2">
      <c r="C76" t="s">
        <v>26</v>
      </c>
      <c r="D76" s="5">
        <f>+D70-D72-D74-D75-D73+D71</f>
        <v>1190</v>
      </c>
      <c r="E76" s="5">
        <f>+E70-E72-E74-E75-E73+E71</f>
        <v>428.66000000000008</v>
      </c>
      <c r="F76" s="5">
        <f t="shared" ref="F76:K76" si="20">+F70-F72-F74-F75-F73+F71</f>
        <v>468.59377999999992</v>
      </c>
      <c r="G76" s="5">
        <f t="shared" si="20"/>
        <v>515.51794873999984</v>
      </c>
      <c r="H76" s="5">
        <f t="shared" si="20"/>
        <v>565.86711467582018</v>
      </c>
      <c r="I76" s="5">
        <f t="shared" si="20"/>
        <v>619.86966503713859</v>
      </c>
      <c r="J76" s="5">
        <f t="shared" si="20"/>
        <v>677.76863070493891</v>
      </c>
      <c r="K76" s="5">
        <f t="shared" si="20"/>
        <v>789.03982327965741</v>
      </c>
    </row>
    <row r="77" spans="3:11" x14ac:dyDescent="0.2">
      <c r="C77" t="s">
        <v>27</v>
      </c>
      <c r="D77" s="5">
        <f>+D76*D3</f>
        <v>357</v>
      </c>
      <c r="E77" s="5">
        <f>+E76*E3</f>
        <v>128.59800000000001</v>
      </c>
      <c r="F77" s="5">
        <f t="shared" ref="F77:K77" si="21">+F76*F3</f>
        <v>140.57813399999998</v>
      </c>
      <c r="G77" s="5">
        <f t="shared" si="21"/>
        <v>154.65538462199996</v>
      </c>
      <c r="H77" s="5">
        <f t="shared" si="21"/>
        <v>169.76013440274605</v>
      </c>
      <c r="I77" s="5">
        <f t="shared" si="21"/>
        <v>185.96089951114158</v>
      </c>
      <c r="J77" s="5">
        <f t="shared" si="21"/>
        <v>203.33058921148168</v>
      </c>
      <c r="K77" s="5">
        <f t="shared" si="21"/>
        <v>236.71194698389721</v>
      </c>
    </row>
    <row r="78" spans="3:11" x14ac:dyDescent="0.2">
      <c r="C78" t="s">
        <v>28</v>
      </c>
      <c r="D78" s="5">
        <f>+D76-D77</f>
        <v>833</v>
      </c>
      <c r="E78" s="5">
        <f>+E76-E77</f>
        <v>300.06200000000007</v>
      </c>
      <c r="F78" s="5">
        <f t="shared" ref="F78:K78" si="22">+F76-F77</f>
        <v>328.01564599999995</v>
      </c>
      <c r="G78" s="5">
        <f t="shared" si="22"/>
        <v>360.86256411799991</v>
      </c>
      <c r="H78" s="5">
        <f t="shared" si="22"/>
        <v>396.1069802730741</v>
      </c>
      <c r="I78" s="5">
        <f t="shared" si="22"/>
        <v>433.90876552599701</v>
      </c>
      <c r="J78" s="5">
        <f t="shared" si="22"/>
        <v>474.43804149345726</v>
      </c>
      <c r="K78" s="5">
        <f t="shared" si="22"/>
        <v>552.32787629576023</v>
      </c>
    </row>
    <row r="79" spans="3:11" x14ac:dyDescent="0.2">
      <c r="C79" t="s">
        <v>39</v>
      </c>
      <c r="D79" s="6">
        <v>550</v>
      </c>
      <c r="E79" s="5">
        <f>+E78-E80</f>
        <v>25.581999999999596</v>
      </c>
      <c r="F79" s="5">
        <f t="shared" ref="F79:K79" si="23">+F78-F80</f>
        <v>15.912205999999173</v>
      </c>
      <c r="G79" s="5">
        <f t="shared" si="23"/>
        <v>30.079094198000575</v>
      </c>
      <c r="H79" s="5">
        <f t="shared" si="23"/>
        <v>45.523509814513659</v>
      </c>
      <c r="I79" s="5">
        <f t="shared" si="23"/>
        <v>62.338140634383024</v>
      </c>
      <c r="J79" s="5">
        <f t="shared" si="23"/>
        <v>80.621894271106271</v>
      </c>
      <c r="K79" s="5">
        <f t="shared" si="23"/>
        <v>307.21107595852072</v>
      </c>
    </row>
    <row r="80" spans="3:11" x14ac:dyDescent="0.2">
      <c r="C80" t="s">
        <v>38</v>
      </c>
      <c r="D80" s="5">
        <f>+D78-D79</f>
        <v>283</v>
      </c>
      <c r="E80" s="5">
        <f>+IF(E78&lt;0,E78,MAX(0,MIN(E78,E82)))</f>
        <v>274.48000000000047</v>
      </c>
      <c r="F80" s="5">
        <f t="shared" ref="F80:K80" si="24">+IF(F78&lt;0,F78,MAX(0,MIN(F78,F82)))</f>
        <v>312.10344000000077</v>
      </c>
      <c r="G80" s="5">
        <f t="shared" si="24"/>
        <v>330.78346991999933</v>
      </c>
      <c r="H80" s="5">
        <f t="shared" si="24"/>
        <v>350.58347045856044</v>
      </c>
      <c r="I80" s="5">
        <f t="shared" si="24"/>
        <v>371.57062489161399</v>
      </c>
      <c r="J80" s="5">
        <f t="shared" si="24"/>
        <v>393.81614722235099</v>
      </c>
      <c r="K80" s="5">
        <f t="shared" si="24"/>
        <v>245.11680033723951</v>
      </c>
    </row>
    <row r="81" spans="3:11" x14ac:dyDescent="0.2">
      <c r="D81" s="5"/>
      <c r="E81" s="5"/>
      <c r="F81" s="5"/>
      <c r="G81" s="5"/>
      <c r="H81" s="5"/>
      <c r="I81" s="5"/>
      <c r="J81" s="5"/>
      <c r="K81" s="5"/>
    </row>
    <row r="82" spans="3:11" x14ac:dyDescent="0.2">
      <c r="C82" t="s">
        <v>45</v>
      </c>
      <c r="E82" s="5">
        <f>+E63-D63</f>
        <v>274.48000000000047</v>
      </c>
      <c r="F82" s="5">
        <f t="shared" ref="F82:K82" si="25">+F63-E63</f>
        <v>312.10344000000077</v>
      </c>
      <c r="G82" s="5">
        <f t="shared" si="25"/>
        <v>330.78346991999933</v>
      </c>
      <c r="H82" s="5">
        <f t="shared" si="25"/>
        <v>350.58347045856044</v>
      </c>
      <c r="I82" s="5">
        <f t="shared" si="25"/>
        <v>371.57062489161399</v>
      </c>
      <c r="J82" s="5">
        <f t="shared" si="25"/>
        <v>393.81614722235099</v>
      </c>
      <c r="K82" s="5">
        <f t="shared" si="25"/>
        <v>245.11680033723951</v>
      </c>
    </row>
    <row r="83" spans="3:11" x14ac:dyDescent="0.2">
      <c r="C83" t="s">
        <v>46</v>
      </c>
      <c r="E83" s="5">
        <f>+E82-E80</f>
        <v>0</v>
      </c>
      <c r="F83" s="5">
        <f t="shared" ref="F83:K83" si="26">+F82-F80</f>
        <v>0</v>
      </c>
      <c r="G83" s="5">
        <f t="shared" si="26"/>
        <v>0</v>
      </c>
      <c r="H83" s="5">
        <f t="shared" si="26"/>
        <v>0</v>
      </c>
      <c r="I83" s="5">
        <f t="shared" si="26"/>
        <v>0</v>
      </c>
      <c r="J83" s="5">
        <f t="shared" si="26"/>
        <v>0</v>
      </c>
      <c r="K83" s="5">
        <f t="shared" si="26"/>
        <v>0</v>
      </c>
    </row>
    <row r="86" spans="3:11" x14ac:dyDescent="0.2">
      <c r="C86" t="str">
        <f>+C78</f>
        <v>Profit after tax</v>
      </c>
      <c r="E86" s="5">
        <f t="shared" ref="E86:K86" si="27">+E78</f>
        <v>300.06200000000007</v>
      </c>
      <c r="F86" s="5">
        <f t="shared" si="27"/>
        <v>328.01564599999995</v>
      </c>
      <c r="G86" s="5">
        <f t="shared" si="27"/>
        <v>360.86256411799991</v>
      </c>
      <c r="H86" s="5">
        <f t="shared" si="27"/>
        <v>396.1069802730741</v>
      </c>
      <c r="I86" s="5">
        <f t="shared" si="27"/>
        <v>433.90876552599701</v>
      </c>
      <c r="J86" s="5">
        <f t="shared" si="27"/>
        <v>474.43804149345726</v>
      </c>
      <c r="K86" s="5">
        <f t="shared" si="27"/>
        <v>552.32787629576023</v>
      </c>
    </row>
    <row r="87" spans="3:11" x14ac:dyDescent="0.2">
      <c r="C87" t="s">
        <v>47</v>
      </c>
      <c r="E87" s="5">
        <f>+E63-D63</f>
        <v>274.48000000000047</v>
      </c>
      <c r="F87" s="5">
        <f t="shared" ref="F87:K87" si="28">+F63-E63</f>
        <v>312.10344000000077</v>
      </c>
      <c r="G87" s="5">
        <f t="shared" si="28"/>
        <v>330.78346991999933</v>
      </c>
      <c r="H87" s="5">
        <f t="shared" si="28"/>
        <v>350.58347045856044</v>
      </c>
      <c r="I87" s="5">
        <f t="shared" si="28"/>
        <v>371.57062489161399</v>
      </c>
      <c r="J87" s="5">
        <f t="shared" si="28"/>
        <v>393.81614722235099</v>
      </c>
      <c r="K87" s="5">
        <f t="shared" si="28"/>
        <v>245.11680033723951</v>
      </c>
    </row>
    <row r="88" spans="3:11" x14ac:dyDescent="0.2">
      <c r="C88" t="s">
        <v>48</v>
      </c>
      <c r="E88" s="5">
        <f>+E86-E87</f>
        <v>25.581999999999596</v>
      </c>
      <c r="F88" s="5">
        <f t="shared" ref="F88:K88" si="29">+F86-F87</f>
        <v>15.912205999999173</v>
      </c>
      <c r="G88" s="5">
        <f t="shared" si="29"/>
        <v>30.079094198000575</v>
      </c>
      <c r="H88" s="5">
        <f t="shared" si="29"/>
        <v>45.523509814513659</v>
      </c>
      <c r="I88" s="5">
        <f t="shared" si="29"/>
        <v>62.338140634383024</v>
      </c>
      <c r="J88" s="5">
        <f t="shared" si="29"/>
        <v>80.621894271106271</v>
      </c>
      <c r="K88" s="5">
        <f t="shared" si="29"/>
        <v>307.21107595852072</v>
      </c>
    </row>
    <row r="89" spans="3:11" x14ac:dyDescent="0.2">
      <c r="C89" s="5" t="str">
        <f>+C79</f>
        <v>Dividend</v>
      </c>
      <c r="D89" s="5"/>
      <c r="E89" s="5">
        <f t="shared" ref="E89:K89" si="30">+E79</f>
        <v>25.581999999999596</v>
      </c>
      <c r="F89" s="5">
        <f t="shared" si="30"/>
        <v>15.912205999999173</v>
      </c>
      <c r="G89" s="5">
        <f t="shared" si="30"/>
        <v>30.079094198000575</v>
      </c>
      <c r="H89" s="5">
        <f t="shared" si="30"/>
        <v>45.523509814513659</v>
      </c>
      <c r="I89" s="5">
        <f t="shared" si="30"/>
        <v>62.338140634383024</v>
      </c>
      <c r="J89" s="5">
        <f t="shared" si="30"/>
        <v>80.621894271106271</v>
      </c>
      <c r="K89" s="5">
        <f t="shared" si="30"/>
        <v>307.21107595852072</v>
      </c>
    </row>
    <row r="90" spans="3:11" x14ac:dyDescent="0.2">
      <c r="C90" t="s">
        <v>49</v>
      </c>
      <c r="E90" s="5">
        <f>+E63-D63-E80</f>
        <v>0</v>
      </c>
      <c r="F90" s="5">
        <f t="shared" ref="F90:K90" si="31">+F63-E63-F80</f>
        <v>0</v>
      </c>
      <c r="G90" s="5">
        <f t="shared" si="31"/>
        <v>0</v>
      </c>
      <c r="H90" s="5">
        <f t="shared" si="31"/>
        <v>0</v>
      </c>
      <c r="I90" s="5">
        <f t="shared" si="31"/>
        <v>0</v>
      </c>
      <c r="J90" s="5">
        <f t="shared" si="31"/>
        <v>0</v>
      </c>
      <c r="K90" s="5">
        <f t="shared" si="31"/>
        <v>0</v>
      </c>
    </row>
    <row r="91" spans="3:11" x14ac:dyDescent="0.2">
      <c r="C91" t="s">
        <v>50</v>
      </c>
      <c r="E91" s="5">
        <f>+E88-E89+E90</f>
        <v>0</v>
      </c>
      <c r="F91" s="5">
        <f t="shared" ref="F91:K91" si="32">+F88-F89+F90</f>
        <v>0</v>
      </c>
      <c r="G91" s="5">
        <f t="shared" si="32"/>
        <v>0</v>
      </c>
      <c r="H91" s="5">
        <f t="shared" si="32"/>
        <v>0</v>
      </c>
      <c r="I91" s="5">
        <f t="shared" si="32"/>
        <v>0</v>
      </c>
      <c r="J91" s="5">
        <f t="shared" si="32"/>
        <v>0</v>
      </c>
      <c r="K91" s="5">
        <f t="shared" si="32"/>
        <v>0</v>
      </c>
    </row>
    <row r="94" spans="3:11" x14ac:dyDescent="0.2">
      <c r="C94" s="5" t="str">
        <f>+C88</f>
        <v>FCFE</v>
      </c>
      <c r="D94" s="5"/>
      <c r="E94" s="5">
        <f t="shared" ref="E94:K94" si="33">+E88</f>
        <v>25.581999999999596</v>
      </c>
      <c r="F94" s="5">
        <f t="shared" si="33"/>
        <v>15.912205999999173</v>
      </c>
      <c r="G94" s="5">
        <f t="shared" si="33"/>
        <v>30.079094198000575</v>
      </c>
      <c r="H94" s="5">
        <f t="shared" si="33"/>
        <v>45.523509814513659</v>
      </c>
      <c r="I94" s="5">
        <f t="shared" si="33"/>
        <v>62.338140634383024</v>
      </c>
      <c r="J94" s="5">
        <f t="shared" si="33"/>
        <v>80.621894271106271</v>
      </c>
      <c r="K94" s="5">
        <f t="shared" si="33"/>
        <v>307.21107595852072</v>
      </c>
    </row>
    <row r="95" spans="3:11" x14ac:dyDescent="0.2">
      <c r="C95" t="s">
        <v>51</v>
      </c>
      <c r="E95" s="12">
        <f>+E5+E6*E7</f>
        <v>6.6000000000000003E-2</v>
      </c>
      <c r="F95" s="12">
        <f t="shared" ref="F95:K95" si="34">+F5+F6*F7</f>
        <v>6.6000000000000003E-2</v>
      </c>
      <c r="G95" s="12">
        <f t="shared" si="34"/>
        <v>6.6000000000000003E-2</v>
      </c>
      <c r="H95" s="12">
        <f t="shared" si="34"/>
        <v>6.6000000000000003E-2</v>
      </c>
      <c r="I95" s="12">
        <f t="shared" si="34"/>
        <v>6.6000000000000003E-2</v>
      </c>
      <c r="J95" s="12">
        <f t="shared" si="34"/>
        <v>6.6000000000000003E-2</v>
      </c>
      <c r="K95" s="12">
        <f t="shared" si="34"/>
        <v>6.6000000000000003E-2</v>
      </c>
    </row>
    <row r="96" spans="3:11" x14ac:dyDescent="0.2">
      <c r="C96" s="13" t="s">
        <v>52</v>
      </c>
      <c r="D96" s="13"/>
      <c r="E96" s="14">
        <f t="shared" ref="E96:I96" si="35">+(E94+F96)/(1+E95)</f>
        <v>6951.8621747260022</v>
      </c>
      <c r="F96" s="14">
        <f t="shared" si="35"/>
        <v>7385.1030782579192</v>
      </c>
      <c r="G96" s="14">
        <f t="shared" si="35"/>
        <v>7856.6076754229434</v>
      </c>
      <c r="H96" s="14">
        <f t="shared" si="35"/>
        <v>8345.0646878028565</v>
      </c>
      <c r="I96" s="14">
        <f t="shared" si="35"/>
        <v>8850.3154473833329</v>
      </c>
      <c r="J96" s="14">
        <f>+(J94+K96)/(1+J95)</f>
        <v>9372.0981262762507</v>
      </c>
      <c r="K96" s="14">
        <f>+K94/(K95-K11)</f>
        <v>9910.034708339379</v>
      </c>
    </row>
    <row r="97" spans="3:11" x14ac:dyDescent="0.2">
      <c r="C97" t="s">
        <v>53</v>
      </c>
      <c r="E97" s="5">
        <f>+D63</f>
        <v>5000</v>
      </c>
    </row>
    <row r="98" spans="3:11" x14ac:dyDescent="0.2">
      <c r="C98" t="s">
        <v>55</v>
      </c>
      <c r="E98" s="5">
        <f>+E96-E97</f>
        <v>1951.8621747260022</v>
      </c>
    </row>
    <row r="100" spans="3:11" x14ac:dyDescent="0.2">
      <c r="C100" t="s">
        <v>54</v>
      </c>
      <c r="E100" s="12">
        <f>+E78/D63</f>
        <v>6.0012400000000014E-2</v>
      </c>
      <c r="F100" s="12">
        <f t="shared" ref="F100:K100" si="36">+F78/E63</f>
        <v>6.2189191351564498E-2</v>
      </c>
      <c r="G100" s="12">
        <f t="shared" si="36"/>
        <v>6.4594500018422679E-2</v>
      </c>
      <c r="H100" s="12">
        <f t="shared" si="36"/>
        <v>6.6939736254825077E-2</v>
      </c>
      <c r="I100" s="12">
        <f t="shared" si="36"/>
        <v>6.9226579534567179E-2</v>
      </c>
      <c r="J100" s="12">
        <f t="shared" si="36"/>
        <v>7.1456666997042118E-2</v>
      </c>
      <c r="K100" s="12">
        <f t="shared" si="36"/>
        <v>7.8529987162640452E-2</v>
      </c>
    </row>
    <row r="102" spans="3:11" x14ac:dyDescent="0.2">
      <c r="C102" t="s">
        <v>56</v>
      </c>
      <c r="E102" s="5">
        <f>+E96/E78</f>
        <v>23.168085844678767</v>
      </c>
    </row>
    <row r="103" spans="3:11" x14ac:dyDescent="0.2">
      <c r="C103" t="s">
        <v>57</v>
      </c>
      <c r="E103" s="5">
        <f>+E96/(E70+E71)</f>
        <v>2.0622551690080102</v>
      </c>
    </row>
    <row r="104" spans="3:11" x14ac:dyDescent="0.2">
      <c r="C104" t="s">
        <v>58</v>
      </c>
      <c r="E104" s="5">
        <f>+E96/D63</f>
        <v>1.3903724349452005</v>
      </c>
    </row>
    <row r="106" spans="3:11" x14ac:dyDescent="0.2">
      <c r="E106" s="12">
        <f>+E96/BAse!E96-1</f>
        <v>0.79239962268487796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A3C-5EF2-4854-B3AA-902A5E33D985}">
  <dimension ref="B1:K106"/>
  <sheetViews>
    <sheetView zoomScaleNormal="160" workbookViewId="0">
      <selection activeCell="C71" sqref="C71:K71"/>
    </sheetView>
  </sheetViews>
  <sheetFormatPr baseColWidth="10" defaultColWidth="8.83203125" defaultRowHeight="16" x14ac:dyDescent="0.2"/>
  <cols>
    <col min="2" max="2" width="10.6640625" bestFit="1" customWidth="1"/>
    <col min="3" max="3" width="28.6640625" bestFit="1" customWidth="1"/>
    <col min="4" max="11" width="8.83203125" bestFit="1" customWidth="1"/>
  </cols>
  <sheetData>
    <row r="1" spans="3:11" x14ac:dyDescent="0.2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">
      <c r="D8" s="4"/>
      <c r="E8" s="4"/>
      <c r="F8" s="4"/>
      <c r="G8" s="4"/>
      <c r="H8" s="4"/>
      <c r="I8" s="4"/>
      <c r="J8" s="4"/>
      <c r="K8" s="4"/>
    </row>
    <row r="10" spans="3:11" x14ac:dyDescent="0.2">
      <c r="C10" s="3" t="s">
        <v>7</v>
      </c>
      <c r="D10" s="3">
        <f t="shared" ref="D10:K10" si="0">+D48</f>
        <v>2023</v>
      </c>
      <c r="E10" s="3">
        <f t="shared" si="0"/>
        <v>2024</v>
      </c>
      <c r="F10" s="3">
        <f t="shared" si="0"/>
        <v>2025</v>
      </c>
      <c r="G10" s="3">
        <f t="shared" si="0"/>
        <v>2026</v>
      </c>
      <c r="H10" s="3">
        <f t="shared" si="0"/>
        <v>2027</v>
      </c>
      <c r="I10" s="3">
        <f t="shared" si="0"/>
        <v>2028</v>
      </c>
      <c r="J10" s="3">
        <f t="shared" si="0"/>
        <v>2029</v>
      </c>
      <c r="K10" s="3" t="str">
        <f t="shared" si="0"/>
        <v>TV</v>
      </c>
    </row>
    <row r="11" spans="3:11" x14ac:dyDescent="0.2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">
      <c r="C23" s="3" t="s">
        <v>9</v>
      </c>
      <c r="D23" s="3">
        <f>+D10</f>
        <v>2023</v>
      </c>
      <c r="E23" s="3">
        <f t="shared" ref="E23:K23" si="1">+E10</f>
        <v>2024</v>
      </c>
      <c r="F23" s="3">
        <f t="shared" si="1"/>
        <v>2025</v>
      </c>
      <c r="G23" s="3">
        <f t="shared" si="1"/>
        <v>2026</v>
      </c>
      <c r="H23" s="3">
        <f t="shared" si="1"/>
        <v>2027</v>
      </c>
      <c r="I23" s="3">
        <f t="shared" si="1"/>
        <v>2028</v>
      </c>
      <c r="J23" s="3">
        <f t="shared" si="1"/>
        <v>2029</v>
      </c>
      <c r="K23" s="3" t="str">
        <f t="shared" si="1"/>
        <v>TV</v>
      </c>
    </row>
    <row r="24" spans="3:11" x14ac:dyDescent="0.2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">
      <c r="C31" s="3" t="s">
        <v>10</v>
      </c>
      <c r="D31" s="3">
        <f>+D23</f>
        <v>2023</v>
      </c>
      <c r="E31" s="3">
        <f t="shared" ref="E31:K31" si="2">+E23</f>
        <v>2024</v>
      </c>
      <c r="F31" s="3">
        <f t="shared" si="2"/>
        <v>2025</v>
      </c>
      <c r="G31" s="3">
        <f t="shared" si="2"/>
        <v>2026</v>
      </c>
      <c r="H31" s="3">
        <f t="shared" si="2"/>
        <v>2027</v>
      </c>
      <c r="I31" s="3">
        <f t="shared" si="2"/>
        <v>2028</v>
      </c>
      <c r="J31" s="3">
        <f t="shared" si="2"/>
        <v>2029</v>
      </c>
      <c r="K31" s="3" t="str">
        <f t="shared" si="2"/>
        <v>TV</v>
      </c>
    </row>
    <row r="32" spans="3:11" x14ac:dyDescent="0.2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">
      <c r="C41" t="s">
        <v>34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">
      <c r="C43" s="3" t="s">
        <v>43</v>
      </c>
    </row>
    <row r="44" spans="2:11" x14ac:dyDescent="0.2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">
      <c r="B48" t="s">
        <v>31</v>
      </c>
      <c r="C48" t="s">
        <v>0</v>
      </c>
      <c r="D48" s="2">
        <v>2023</v>
      </c>
      <c r="E48" s="3">
        <f>+D48+1</f>
        <v>2024</v>
      </c>
      <c r="F48" s="3">
        <f t="shared" ref="F48:J48" si="3">+E48+1</f>
        <v>2025</v>
      </c>
      <c r="G48" s="3">
        <f t="shared" si="3"/>
        <v>2026</v>
      </c>
      <c r="H48" s="3">
        <f t="shared" si="3"/>
        <v>2027</v>
      </c>
      <c r="I48" s="3">
        <f t="shared" si="3"/>
        <v>2028</v>
      </c>
      <c r="J48" s="3">
        <f t="shared" si="3"/>
        <v>2029</v>
      </c>
      <c r="K48" s="3" t="s">
        <v>8</v>
      </c>
    </row>
    <row r="49" spans="2:11" x14ac:dyDescent="0.2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K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 t="shared" si="4"/>
        <v>1727.8986958827297</v>
      </c>
    </row>
    <row r="50" spans="2:11" x14ac:dyDescent="0.2">
      <c r="B50" s="7">
        <v>1.5</v>
      </c>
      <c r="C50" t="s">
        <v>1</v>
      </c>
      <c r="D50" s="6">
        <v>6000</v>
      </c>
      <c r="E50" s="8">
        <f t="shared" ref="E50:K55" si="5">+D50*(1+E12)</f>
        <v>6180</v>
      </c>
      <c r="F50" s="8">
        <f t="shared" si="5"/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si="5"/>
        <v>7415.0647614450918</v>
      </c>
    </row>
    <row r="51" spans="2:11" x14ac:dyDescent="0.2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si="5"/>
        <v>3496.7343118147201</v>
      </c>
    </row>
    <row r="52" spans="2:11" x14ac:dyDescent="0.2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si="5"/>
        <v>4801.1307514013652</v>
      </c>
    </row>
    <row r="53" spans="2:11" x14ac:dyDescent="0.2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si="5"/>
        <v>19084.188941498593</v>
      </c>
    </row>
    <row r="54" spans="2:11" x14ac:dyDescent="0.2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">
      <c r="B55" s="7">
        <v>1</v>
      </c>
      <c r="C55" t="s">
        <v>6</v>
      </c>
      <c r="D55" s="6">
        <v>20000</v>
      </c>
      <c r="E55" s="8">
        <f t="shared" si="5"/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si="5"/>
        <v>26192.103682867204</v>
      </c>
    </row>
    <row r="56" spans="2:11" x14ac:dyDescent="0.2">
      <c r="B56" s="7">
        <v>0.3</v>
      </c>
      <c r="C56" t="s">
        <v>30</v>
      </c>
      <c r="D56" s="6">
        <v>1000</v>
      </c>
      <c r="E56" s="6">
        <v>1000</v>
      </c>
      <c r="F56" s="6">
        <v>1000</v>
      </c>
      <c r="G56" s="6">
        <v>1000</v>
      </c>
      <c r="H56" s="6">
        <v>1000</v>
      </c>
      <c r="I56" s="6">
        <v>1000</v>
      </c>
      <c r="J56" s="6">
        <v>1000</v>
      </c>
      <c r="K56" s="6">
        <v>1000</v>
      </c>
    </row>
    <row r="57" spans="2:11" x14ac:dyDescent="0.2">
      <c r="B57" s="7">
        <v>0</v>
      </c>
      <c r="C57" t="s">
        <v>14</v>
      </c>
      <c r="D57" s="6">
        <v>1000</v>
      </c>
      <c r="E57" s="8">
        <f>SUM(E49:E55)*E1</f>
        <v>1108.6400000000001</v>
      </c>
      <c r="F57" s="8">
        <f t="shared" ref="F57:K57" si="6">SUM(F49:F55)*F1</f>
        <v>1148.76722</v>
      </c>
      <c r="G57" s="8">
        <f t="shared" si="6"/>
        <v>1190.44254746</v>
      </c>
      <c r="H57" s="8">
        <f t="shared" si="6"/>
        <v>1233.7295220267802</v>
      </c>
      <c r="I57" s="8">
        <f t="shared" si="6"/>
        <v>1278.6944584043995</v>
      </c>
      <c r="J57" s="8">
        <f t="shared" si="6"/>
        <v>1325.4065752589283</v>
      </c>
      <c r="K57" s="8">
        <f t="shared" si="6"/>
        <v>1371.7958053929908</v>
      </c>
    </row>
    <row r="58" spans="2:11" x14ac:dyDescent="0.2">
      <c r="C58" s="1" t="s">
        <v>13</v>
      </c>
      <c r="D58" s="9">
        <f>SUM(D49:D57)</f>
        <v>55500</v>
      </c>
      <c r="E58" s="9">
        <f t="shared" ref="E58:K58" si="7">SUM(E49:E57)</f>
        <v>57540.639999999999</v>
      </c>
      <c r="F58" s="9">
        <f t="shared" si="7"/>
        <v>59587.128219999999</v>
      </c>
      <c r="G58" s="9">
        <f t="shared" si="7"/>
        <v>61712.569920459995</v>
      </c>
      <c r="H58" s="9">
        <f t="shared" si="7"/>
        <v>63920.205623365779</v>
      </c>
      <c r="I58" s="9">
        <f t="shared" si="7"/>
        <v>66213.417378624377</v>
      </c>
      <c r="J58" s="9">
        <f t="shared" si="7"/>
        <v>68595.735338205341</v>
      </c>
      <c r="K58" s="9">
        <f t="shared" si="7"/>
        <v>70961.586075042535</v>
      </c>
    </row>
    <row r="59" spans="2:11" x14ac:dyDescent="0.2">
      <c r="D59" s="5"/>
    </row>
    <row r="60" spans="2:11" x14ac:dyDescent="0.2">
      <c r="C60" t="s">
        <v>15</v>
      </c>
      <c r="D60" s="6">
        <v>20000</v>
      </c>
      <c r="E60" s="5">
        <f>+D60*(1+E18)</f>
        <v>20640</v>
      </c>
      <c r="F60" s="5">
        <f t="shared" ref="F60:K61" si="8">+E60*(1+F18)</f>
        <v>21300.48</v>
      </c>
      <c r="G60" s="5">
        <f t="shared" si="8"/>
        <v>21982.095359999999</v>
      </c>
      <c r="H60" s="5">
        <f t="shared" si="8"/>
        <v>22685.52241152</v>
      </c>
      <c r="I60" s="5">
        <f t="shared" si="8"/>
        <v>23411.459128688639</v>
      </c>
      <c r="J60" s="5">
        <f t="shared" si="8"/>
        <v>24160.625820806676</v>
      </c>
      <c r="K60" s="5">
        <f t="shared" si="8"/>
        <v>25006.247724534907</v>
      </c>
    </row>
    <row r="61" spans="2:11" x14ac:dyDescent="0.2">
      <c r="C61" t="s">
        <v>16</v>
      </c>
      <c r="D61" s="6">
        <v>25000</v>
      </c>
      <c r="E61" s="5">
        <f>+D61*(1+E19)</f>
        <v>25824.999999999996</v>
      </c>
      <c r="F61" s="5">
        <f t="shared" si="8"/>
        <v>26677.224999999995</v>
      </c>
      <c r="G61" s="5">
        <f t="shared" si="8"/>
        <v>27557.573424999991</v>
      </c>
      <c r="H61" s="5">
        <f t="shared" si="8"/>
        <v>28466.973348024989</v>
      </c>
      <c r="I61" s="5">
        <f t="shared" si="8"/>
        <v>29406.383468509812</v>
      </c>
      <c r="J61" s="5">
        <f t="shared" si="8"/>
        <v>30376.794122970634</v>
      </c>
      <c r="K61" s="5">
        <f t="shared" si="8"/>
        <v>31439.981917274603</v>
      </c>
    </row>
    <row r="62" spans="2:11" x14ac:dyDescent="0.2">
      <c r="C62" t="s">
        <v>18</v>
      </c>
      <c r="D62" s="5">
        <f>+D58-D60-D61-D63</f>
        <v>5500</v>
      </c>
      <c r="E62" s="5">
        <f t="shared" ref="E62:K62" si="9">+E58-E60-E61-E63</f>
        <v>5915.3100000000022</v>
      </c>
      <c r="F62" s="5">
        <f t="shared" si="9"/>
        <v>6261.6930300000076</v>
      </c>
      <c r="G62" s="5">
        <f t="shared" si="9"/>
        <v>6630.4029492900045</v>
      </c>
      <c r="H62" s="5">
        <f t="shared" si="9"/>
        <v>7022.764843723483</v>
      </c>
      <c r="I62" s="5">
        <f t="shared" si="9"/>
        <v>7440.1789981583424</v>
      </c>
      <c r="J62" s="5">
        <f t="shared" si="9"/>
        <v>7884.1250901377853</v>
      </c>
      <c r="K62" s="5">
        <f t="shared" si="9"/>
        <v>8126.119468292618</v>
      </c>
    </row>
    <row r="63" spans="2:11" x14ac:dyDescent="0.2">
      <c r="C63" t="s">
        <v>17</v>
      </c>
      <c r="D63" s="6">
        <v>5000</v>
      </c>
      <c r="E63" s="5">
        <f>+E65*E4</f>
        <v>5160.3300000000008</v>
      </c>
      <c r="F63" s="5">
        <f t="shared" ref="F63:K63" si="10">+F65*F4</f>
        <v>5347.7301900000002</v>
      </c>
      <c r="G63" s="5">
        <f t="shared" si="10"/>
        <v>5542.4981861699998</v>
      </c>
      <c r="H63" s="5">
        <f t="shared" si="10"/>
        <v>5744.9450200973106</v>
      </c>
      <c r="I63" s="5">
        <f t="shared" si="10"/>
        <v>5955.3957832675806</v>
      </c>
      <c r="J63" s="5">
        <f t="shared" si="10"/>
        <v>6174.1903042902495</v>
      </c>
      <c r="K63" s="5">
        <f t="shared" si="10"/>
        <v>6389.2369649404063</v>
      </c>
    </row>
    <row r="64" spans="2:11" x14ac:dyDescent="0.2">
      <c r="D64" s="5"/>
    </row>
    <row r="65" spans="3:11" x14ac:dyDescent="0.2">
      <c r="C65" t="s">
        <v>32</v>
      </c>
      <c r="D65" s="5">
        <f>+SUMPRODUCT($B$49:$B$57,D49:D57)</f>
        <v>49800</v>
      </c>
      <c r="E65" s="5">
        <f>+SUMPRODUCT($B$49:$B$57,E49:E57)</f>
        <v>51603.3</v>
      </c>
      <c r="F65" s="5">
        <f t="shared" ref="F65:K65" si="11">+SUMPRODUCT($B$49:$B$57,F49:F57)</f>
        <v>53477.301899999999</v>
      </c>
      <c r="G65" s="5">
        <f t="shared" si="11"/>
        <v>55424.981861699998</v>
      </c>
      <c r="H65" s="5">
        <f t="shared" si="11"/>
        <v>57449.4502009731</v>
      </c>
      <c r="I65" s="5">
        <f t="shared" si="11"/>
        <v>59553.957832675806</v>
      </c>
      <c r="J65" s="5">
        <f t="shared" si="11"/>
        <v>61741.903042902493</v>
      </c>
      <c r="K65" s="5">
        <f t="shared" si="11"/>
        <v>63892.369649404063</v>
      </c>
    </row>
    <row r="68" spans="3:11" x14ac:dyDescent="0.2">
      <c r="C68" t="s">
        <v>19</v>
      </c>
      <c r="D68" s="6">
        <v>4830</v>
      </c>
      <c r="E68" s="5">
        <f>+SUMPRODUCT(D50:D56,E32:E38)</f>
        <v>4002</v>
      </c>
      <c r="F68" s="5">
        <f t="shared" ref="F68:K68" si="12">+SUMPRODUCT(E50:E56,F32:F38)</f>
        <v>4139.8999999999996</v>
      </c>
      <c r="G68" s="5">
        <f t="shared" si="12"/>
        <v>4282.9634999999998</v>
      </c>
      <c r="H68" s="5">
        <f t="shared" si="12"/>
        <v>4431.3984725</v>
      </c>
      <c r="I68" s="5">
        <f t="shared" si="12"/>
        <v>4585.4219155874998</v>
      </c>
      <c r="J68" s="5">
        <f t="shared" si="12"/>
        <v>4745.2602740268121</v>
      </c>
      <c r="K68" s="5">
        <f t="shared" si="12"/>
        <v>4911.1498813140643</v>
      </c>
    </row>
    <row r="69" spans="3:11" x14ac:dyDescent="0.2">
      <c r="C69" t="s">
        <v>20</v>
      </c>
      <c r="D69" s="6">
        <v>1880</v>
      </c>
      <c r="E69" s="5">
        <f>+D60*E39+D61*E40+E41*D62</f>
        <v>1666</v>
      </c>
      <c r="F69" s="5">
        <f t="shared" ref="F69:K69" si="13">+E60*F39+E61*F40+F41*E62</f>
        <v>1730.2380200000002</v>
      </c>
      <c r="G69" s="5">
        <f t="shared" si="13"/>
        <v>1793.1074222600002</v>
      </c>
      <c r="H69" s="5">
        <f t="shared" si="13"/>
        <v>1858.49066382518</v>
      </c>
      <c r="I69" s="5">
        <f t="shared" si="13"/>
        <v>1926.4948181398213</v>
      </c>
      <c r="J69" s="5">
        <f t="shared" si="13"/>
        <v>1997.2317949237759</v>
      </c>
      <c r="K69" s="5">
        <f t="shared" si="13"/>
        <v>2070.8185710723465</v>
      </c>
    </row>
    <row r="70" spans="3:11" x14ac:dyDescent="0.2">
      <c r="C70" t="s">
        <v>21</v>
      </c>
      <c r="D70" s="5">
        <f>+D68-D69</f>
        <v>2950</v>
      </c>
      <c r="E70" s="5">
        <f>+E68-E69</f>
        <v>2336</v>
      </c>
      <c r="F70" s="5">
        <f t="shared" ref="F70:K70" si="14">+F68-F69</f>
        <v>2409.6619799999994</v>
      </c>
      <c r="G70" s="5">
        <f t="shared" si="14"/>
        <v>2489.8560777399998</v>
      </c>
      <c r="H70" s="5">
        <f t="shared" si="14"/>
        <v>2572.90780867482</v>
      </c>
      <c r="I70" s="5">
        <f t="shared" si="14"/>
        <v>2658.9270974476785</v>
      </c>
      <c r="J70" s="5">
        <f t="shared" si="14"/>
        <v>2748.0284791030363</v>
      </c>
      <c r="K70" s="5">
        <f t="shared" si="14"/>
        <v>2840.3313102417178</v>
      </c>
    </row>
    <row r="71" spans="3:11" x14ac:dyDescent="0.2">
      <c r="C71" s="16" t="s">
        <v>44</v>
      </c>
      <c r="D71" s="17">
        <v>1050</v>
      </c>
      <c r="E71" s="5">
        <f>+D71*(1+E21)</f>
        <v>1086.75</v>
      </c>
      <c r="F71" s="5">
        <f t="shared" ref="F71:K71" si="15">+E71*(1+F21)</f>
        <v>1124.7862499999999</v>
      </c>
      <c r="G71" s="5">
        <f t="shared" si="15"/>
        <v>1164.1537687499997</v>
      </c>
      <c r="H71" s="5">
        <f t="shared" si="15"/>
        <v>1204.8991506562495</v>
      </c>
      <c r="I71" s="5">
        <f t="shared" si="15"/>
        <v>1247.0706209292182</v>
      </c>
      <c r="J71" s="5">
        <f t="shared" si="15"/>
        <v>1290.7180926617407</v>
      </c>
      <c r="K71" s="5">
        <f t="shared" si="15"/>
        <v>1335.8932259049016</v>
      </c>
    </row>
    <row r="72" spans="3:11" x14ac:dyDescent="0.2">
      <c r="C72" t="s">
        <v>23</v>
      </c>
      <c r="D72" s="6">
        <v>60</v>
      </c>
      <c r="E72" s="5">
        <f>(SUM(E50:E55)-SUM(D50:D55)+E73)*E44+(E60-D60+E61-D61)*E45</f>
        <v>63.834999999999987</v>
      </c>
      <c r="F72" s="5">
        <f t="shared" ref="F72:K72" si="16">(SUM(F50:F55)-SUM(E50:E55)+F73)*F44+(F60-E60+F61-E61)*F45</f>
        <v>66.209514999999996</v>
      </c>
      <c r="G72" s="5">
        <f t="shared" si="16"/>
        <v>68.678070355000074</v>
      </c>
      <c r="H72" s="5">
        <f t="shared" si="16"/>
        <v>71.244642188634884</v>
      </c>
      <c r="I72" s="5">
        <f t="shared" si="16"/>
        <v>73.913386327235344</v>
      </c>
      <c r="J72" s="5">
        <f t="shared" si="16"/>
        <v>76.688646958746375</v>
      </c>
      <c r="K72" s="5">
        <f t="shared" si="16"/>
        <v>77.264728158762779</v>
      </c>
    </row>
    <row r="73" spans="3:11" x14ac:dyDescent="0.2">
      <c r="C73" t="s">
        <v>9</v>
      </c>
      <c r="D73" s="6">
        <v>1000</v>
      </c>
      <c r="E73" s="5">
        <f>+SUMPRODUCT(E24:E29,D50:D55)</f>
        <v>1067</v>
      </c>
      <c r="F73" s="5">
        <f t="shared" ref="F73:K73" si="17">+SUMPRODUCT(F24:F29,E50:E55)</f>
        <v>1104.6949999999999</v>
      </c>
      <c r="G73" s="5">
        <f t="shared" si="17"/>
        <v>1143.8233250000001</v>
      </c>
      <c r="H73" s="5">
        <f t="shared" si="17"/>
        <v>1184.4437363750001</v>
      </c>
      <c r="I73" s="5">
        <f t="shared" si="17"/>
        <v>1226.617592523125</v>
      </c>
      <c r="J73" s="5">
        <f t="shared" si="17"/>
        <v>1270.4089720868092</v>
      </c>
      <c r="K73" s="5">
        <f t="shared" si="17"/>
        <v>1315.884803395797</v>
      </c>
    </row>
    <row r="74" spans="3:11" x14ac:dyDescent="0.2">
      <c r="C74" t="s">
        <v>22</v>
      </c>
      <c r="D74" s="6">
        <v>1500</v>
      </c>
      <c r="E74" s="5">
        <f>+D74*(1+E20)</f>
        <v>1558.4999999999998</v>
      </c>
      <c r="F74" s="5">
        <f t="shared" ref="F74:K74" si="18">+E74*(1+F20)</f>
        <v>1619.2814999999996</v>
      </c>
      <c r="G74" s="5">
        <f t="shared" si="18"/>
        <v>1682.4334784999994</v>
      </c>
      <c r="H74" s="5">
        <f t="shared" si="18"/>
        <v>1748.0483841614994</v>
      </c>
      <c r="I74" s="5">
        <f t="shared" si="18"/>
        <v>1816.2222711437978</v>
      </c>
      <c r="J74" s="5">
        <f t="shared" si="18"/>
        <v>1887.0549397184059</v>
      </c>
      <c r="K74" s="5">
        <f t="shared" si="18"/>
        <v>1953.1018626085499</v>
      </c>
    </row>
    <row r="75" spans="3:11" x14ac:dyDescent="0.2">
      <c r="C75" t="s">
        <v>24</v>
      </c>
      <c r="D75" s="6">
        <v>200</v>
      </c>
      <c r="E75" s="5">
        <f>+D49*E2</f>
        <v>225</v>
      </c>
      <c r="F75" s="5">
        <f t="shared" ref="F75:K75" si="19">+E49*F2</f>
        <v>229.04999999999998</v>
      </c>
      <c r="G75" s="5">
        <f t="shared" si="19"/>
        <v>233.1729</v>
      </c>
      <c r="H75" s="5">
        <f t="shared" si="19"/>
        <v>237.37001219999999</v>
      </c>
      <c r="I75" s="5">
        <f t="shared" si="19"/>
        <v>241.64267241959999</v>
      </c>
      <c r="J75" s="5">
        <f t="shared" si="19"/>
        <v>245.99224052315279</v>
      </c>
      <c r="K75" s="5">
        <f t="shared" si="19"/>
        <v>250.42010085256953</v>
      </c>
    </row>
    <row r="76" spans="3:11" x14ac:dyDescent="0.2">
      <c r="C76" t="s">
        <v>26</v>
      </c>
      <c r="D76" s="5">
        <f>+D70-D72-D74-D75-D73+D71</f>
        <v>1240</v>
      </c>
      <c r="E76" s="5">
        <f>+E70-E72-E74-E75-E73+E71</f>
        <v>508.41500000000019</v>
      </c>
      <c r="F76" s="5">
        <f t="shared" ref="F76:K76" si="20">+F70-F72-F74-F75-F73+F71</f>
        <v>515.21221499999979</v>
      </c>
      <c r="G76" s="5">
        <f t="shared" si="20"/>
        <v>525.90207263499974</v>
      </c>
      <c r="H76" s="5">
        <f t="shared" si="20"/>
        <v>536.70018440593526</v>
      </c>
      <c r="I76" s="5">
        <f t="shared" si="20"/>
        <v>547.60179596313844</v>
      </c>
      <c r="J76" s="5">
        <f t="shared" si="20"/>
        <v>558.60177247766296</v>
      </c>
      <c r="K76" s="5">
        <f t="shared" si="20"/>
        <v>579.55304113094007</v>
      </c>
    </row>
    <row r="77" spans="3:11" x14ac:dyDescent="0.2">
      <c r="C77" t="s">
        <v>27</v>
      </c>
      <c r="D77" s="5">
        <f>+D76*D3</f>
        <v>372</v>
      </c>
      <c r="E77" s="5">
        <f>+E76*E3</f>
        <v>152.52450000000005</v>
      </c>
      <c r="F77" s="5">
        <f t="shared" ref="F77:K77" si="21">+F76*F3</f>
        <v>154.56366449999993</v>
      </c>
      <c r="G77" s="5">
        <f t="shared" si="21"/>
        <v>157.77062179049992</v>
      </c>
      <c r="H77" s="5">
        <f t="shared" si="21"/>
        <v>161.01005532178058</v>
      </c>
      <c r="I77" s="5">
        <f t="shared" si="21"/>
        <v>164.28053878894153</v>
      </c>
      <c r="J77" s="5">
        <f t="shared" si="21"/>
        <v>167.58053174329888</v>
      </c>
      <c r="K77" s="5">
        <f t="shared" si="21"/>
        <v>173.865912339282</v>
      </c>
    </row>
    <row r="78" spans="3:11" x14ac:dyDescent="0.2">
      <c r="C78" t="s">
        <v>28</v>
      </c>
      <c r="D78" s="5">
        <f>+D76-D77</f>
        <v>868</v>
      </c>
      <c r="E78" s="5">
        <f>+E76-E77</f>
        <v>355.89050000000015</v>
      </c>
      <c r="F78" s="5">
        <f t="shared" ref="F78:K78" si="22">+F76-F77</f>
        <v>360.64855049999983</v>
      </c>
      <c r="G78" s="5">
        <f t="shared" si="22"/>
        <v>368.1314508444998</v>
      </c>
      <c r="H78" s="5">
        <f t="shared" si="22"/>
        <v>375.69012908415471</v>
      </c>
      <c r="I78" s="5">
        <f t="shared" si="22"/>
        <v>383.32125717419694</v>
      </c>
      <c r="J78" s="5">
        <f t="shared" si="22"/>
        <v>391.02124073436408</v>
      </c>
      <c r="K78" s="5">
        <f t="shared" si="22"/>
        <v>405.6871287916581</v>
      </c>
    </row>
    <row r="79" spans="3:11" x14ac:dyDescent="0.2">
      <c r="C79" t="s">
        <v>39</v>
      </c>
      <c r="D79" s="6">
        <v>550</v>
      </c>
      <c r="E79" s="5">
        <f>+E78-E80</f>
        <v>195.56049999999931</v>
      </c>
      <c r="F79" s="5">
        <f t="shared" ref="F79:K79" si="23">+F78-F80</f>
        <v>173.24836050000044</v>
      </c>
      <c r="G79" s="5">
        <f t="shared" si="23"/>
        <v>173.36345467450019</v>
      </c>
      <c r="H79" s="5">
        <f t="shared" si="23"/>
        <v>173.24329515684394</v>
      </c>
      <c r="I79" s="5">
        <f t="shared" si="23"/>
        <v>172.87049400392698</v>
      </c>
      <c r="J79" s="5">
        <f t="shared" si="23"/>
        <v>172.22671971169513</v>
      </c>
      <c r="K79" s="5">
        <f t="shared" si="23"/>
        <v>190.64046814150129</v>
      </c>
    </row>
    <row r="80" spans="3:11" x14ac:dyDescent="0.2">
      <c r="C80" t="s">
        <v>38</v>
      </c>
      <c r="D80" s="5">
        <f>+D78-D79</f>
        <v>318</v>
      </c>
      <c r="E80" s="5">
        <f>+IF(E78&lt;0,E78,MAX(0,MIN(E78,E82)))</f>
        <v>160.33000000000084</v>
      </c>
      <c r="F80" s="5">
        <f t="shared" ref="F80:K80" si="24">+IF(F78&lt;0,F78,MAX(0,MIN(F78,F82)))</f>
        <v>187.40018999999938</v>
      </c>
      <c r="G80" s="5">
        <f t="shared" si="24"/>
        <v>194.76799616999961</v>
      </c>
      <c r="H80" s="5">
        <f t="shared" si="24"/>
        <v>202.44683392731076</v>
      </c>
      <c r="I80" s="5">
        <f t="shared" si="24"/>
        <v>210.45076317026997</v>
      </c>
      <c r="J80" s="5">
        <f t="shared" si="24"/>
        <v>218.79452102266896</v>
      </c>
      <c r="K80" s="5">
        <f t="shared" si="24"/>
        <v>215.04666065015681</v>
      </c>
    </row>
    <row r="81" spans="3:11" x14ac:dyDescent="0.2">
      <c r="D81" s="5"/>
      <c r="E81" s="5"/>
      <c r="F81" s="5"/>
      <c r="G81" s="5"/>
      <c r="H81" s="5"/>
      <c r="I81" s="5"/>
      <c r="J81" s="5"/>
      <c r="K81" s="5"/>
    </row>
    <row r="82" spans="3:11" x14ac:dyDescent="0.2">
      <c r="C82" t="s">
        <v>45</v>
      </c>
      <c r="E82" s="5">
        <f>+E63-D63</f>
        <v>160.33000000000084</v>
      </c>
      <c r="F82" s="5">
        <f t="shared" ref="F82:K82" si="25">+F63-E63</f>
        <v>187.40018999999938</v>
      </c>
      <c r="G82" s="5">
        <f t="shared" si="25"/>
        <v>194.76799616999961</v>
      </c>
      <c r="H82" s="5">
        <f t="shared" si="25"/>
        <v>202.44683392731076</v>
      </c>
      <c r="I82" s="5">
        <f t="shared" si="25"/>
        <v>210.45076317026997</v>
      </c>
      <c r="J82" s="5">
        <f t="shared" si="25"/>
        <v>218.79452102266896</v>
      </c>
      <c r="K82" s="5">
        <f t="shared" si="25"/>
        <v>215.04666065015681</v>
      </c>
    </row>
    <row r="83" spans="3:11" x14ac:dyDescent="0.2">
      <c r="C83" t="s">
        <v>46</v>
      </c>
      <c r="E83" s="5">
        <f>+E82-E80</f>
        <v>0</v>
      </c>
      <c r="F83" s="5">
        <f t="shared" ref="F83:K83" si="26">+F82-F80</f>
        <v>0</v>
      </c>
      <c r="G83" s="5">
        <f t="shared" si="26"/>
        <v>0</v>
      </c>
      <c r="H83" s="5">
        <f t="shared" si="26"/>
        <v>0</v>
      </c>
      <c r="I83" s="5">
        <f t="shared" si="26"/>
        <v>0</v>
      </c>
      <c r="J83" s="5">
        <f t="shared" si="26"/>
        <v>0</v>
      </c>
      <c r="K83" s="5">
        <f t="shared" si="26"/>
        <v>0</v>
      </c>
    </row>
    <row r="86" spans="3:11" x14ac:dyDescent="0.2">
      <c r="C86" t="str">
        <f>+C78</f>
        <v>Profit after tax</v>
      </c>
      <c r="E86" s="5">
        <f t="shared" ref="E86:K86" si="27">+E78</f>
        <v>355.89050000000015</v>
      </c>
      <c r="F86" s="5">
        <f t="shared" si="27"/>
        <v>360.64855049999983</v>
      </c>
      <c r="G86" s="5">
        <f t="shared" si="27"/>
        <v>368.1314508444998</v>
      </c>
      <c r="H86" s="5">
        <f t="shared" si="27"/>
        <v>375.69012908415471</v>
      </c>
      <c r="I86" s="5">
        <f t="shared" si="27"/>
        <v>383.32125717419694</v>
      </c>
      <c r="J86" s="5">
        <f t="shared" si="27"/>
        <v>391.02124073436408</v>
      </c>
      <c r="K86" s="5">
        <f t="shared" si="27"/>
        <v>405.6871287916581</v>
      </c>
    </row>
    <row r="87" spans="3:11" x14ac:dyDescent="0.2">
      <c r="C87" t="s">
        <v>47</v>
      </c>
      <c r="E87" s="5">
        <f>+E63-D63</f>
        <v>160.33000000000084</v>
      </c>
      <c r="F87" s="5">
        <f t="shared" ref="F87:K87" si="28">+F63-E63</f>
        <v>187.40018999999938</v>
      </c>
      <c r="G87" s="5">
        <f t="shared" si="28"/>
        <v>194.76799616999961</v>
      </c>
      <c r="H87" s="5">
        <f t="shared" si="28"/>
        <v>202.44683392731076</v>
      </c>
      <c r="I87" s="5">
        <f t="shared" si="28"/>
        <v>210.45076317026997</v>
      </c>
      <c r="J87" s="5">
        <f t="shared" si="28"/>
        <v>218.79452102266896</v>
      </c>
      <c r="K87" s="5">
        <f t="shared" si="28"/>
        <v>215.04666065015681</v>
      </c>
    </row>
    <row r="88" spans="3:11" x14ac:dyDescent="0.2">
      <c r="C88" t="s">
        <v>48</v>
      </c>
      <c r="E88" s="5">
        <f>+E86-E87</f>
        <v>195.56049999999931</v>
      </c>
      <c r="F88" s="5">
        <f t="shared" ref="F88:K88" si="29">+F86-F87</f>
        <v>173.24836050000044</v>
      </c>
      <c r="G88" s="5">
        <f t="shared" si="29"/>
        <v>173.36345467450019</v>
      </c>
      <c r="H88" s="5">
        <f t="shared" si="29"/>
        <v>173.24329515684394</v>
      </c>
      <c r="I88" s="5">
        <f t="shared" si="29"/>
        <v>172.87049400392698</v>
      </c>
      <c r="J88" s="5">
        <f t="shared" si="29"/>
        <v>172.22671971169513</v>
      </c>
      <c r="K88" s="5">
        <f t="shared" si="29"/>
        <v>190.64046814150129</v>
      </c>
    </row>
    <row r="89" spans="3:11" x14ac:dyDescent="0.2">
      <c r="C89" s="5" t="str">
        <f>+C79</f>
        <v>Dividend</v>
      </c>
      <c r="D89" s="5"/>
      <c r="E89" s="5">
        <f t="shared" ref="E89:K89" si="30">+E79</f>
        <v>195.56049999999931</v>
      </c>
      <c r="F89" s="5">
        <f t="shared" si="30"/>
        <v>173.24836050000044</v>
      </c>
      <c r="G89" s="5">
        <f t="shared" si="30"/>
        <v>173.36345467450019</v>
      </c>
      <c r="H89" s="5">
        <f t="shared" si="30"/>
        <v>173.24329515684394</v>
      </c>
      <c r="I89" s="5">
        <f t="shared" si="30"/>
        <v>172.87049400392698</v>
      </c>
      <c r="J89" s="5">
        <f t="shared" si="30"/>
        <v>172.22671971169513</v>
      </c>
      <c r="K89" s="5">
        <f t="shared" si="30"/>
        <v>190.64046814150129</v>
      </c>
    </row>
    <row r="90" spans="3:11" x14ac:dyDescent="0.2">
      <c r="C90" t="s">
        <v>49</v>
      </c>
      <c r="E90" s="5">
        <f>+E63-D63-E80</f>
        <v>0</v>
      </c>
      <c r="F90" s="5">
        <f t="shared" ref="F90:K90" si="31">+F63-E63-F80</f>
        <v>0</v>
      </c>
      <c r="G90" s="5">
        <f t="shared" si="31"/>
        <v>0</v>
      </c>
      <c r="H90" s="5">
        <f t="shared" si="31"/>
        <v>0</v>
      </c>
      <c r="I90" s="5">
        <f t="shared" si="31"/>
        <v>0</v>
      </c>
      <c r="J90" s="5">
        <f t="shared" si="31"/>
        <v>0</v>
      </c>
      <c r="K90" s="5">
        <f t="shared" si="31"/>
        <v>0</v>
      </c>
    </row>
    <row r="91" spans="3:11" x14ac:dyDescent="0.2">
      <c r="C91" t="s">
        <v>50</v>
      </c>
      <c r="E91" s="5">
        <f>+E88-E89+E90</f>
        <v>0</v>
      </c>
      <c r="F91" s="5">
        <f t="shared" ref="F91:K91" si="32">+F88-F89+F90</f>
        <v>0</v>
      </c>
      <c r="G91" s="5">
        <f t="shared" si="32"/>
        <v>0</v>
      </c>
      <c r="H91" s="5">
        <f t="shared" si="32"/>
        <v>0</v>
      </c>
      <c r="I91" s="5">
        <f t="shared" si="32"/>
        <v>0</v>
      </c>
      <c r="J91" s="5">
        <f t="shared" si="32"/>
        <v>0</v>
      </c>
      <c r="K91" s="5">
        <f t="shared" si="32"/>
        <v>0</v>
      </c>
    </row>
    <row r="94" spans="3:11" x14ac:dyDescent="0.2">
      <c r="C94" s="5" t="str">
        <f>+C88</f>
        <v>FCFE</v>
      </c>
      <c r="D94" s="5"/>
      <c r="E94" s="5">
        <f t="shared" ref="E94:K94" si="33">+E88</f>
        <v>195.56049999999931</v>
      </c>
      <c r="F94" s="5">
        <f t="shared" si="33"/>
        <v>173.24836050000044</v>
      </c>
      <c r="G94" s="5">
        <f t="shared" si="33"/>
        <v>173.36345467450019</v>
      </c>
      <c r="H94" s="5">
        <f t="shared" si="33"/>
        <v>173.24329515684394</v>
      </c>
      <c r="I94" s="5">
        <f t="shared" si="33"/>
        <v>172.87049400392698</v>
      </c>
      <c r="J94" s="5">
        <f t="shared" si="33"/>
        <v>172.22671971169513</v>
      </c>
      <c r="K94" s="5">
        <f t="shared" si="33"/>
        <v>190.64046814150129</v>
      </c>
    </row>
    <row r="95" spans="3:11" x14ac:dyDescent="0.2">
      <c r="C95" t="s">
        <v>51</v>
      </c>
      <c r="E95" s="12">
        <f>+E5+E6*E7</f>
        <v>6.6000000000000003E-2</v>
      </c>
      <c r="F95" s="12">
        <f t="shared" ref="F95:K95" si="34">+F5+F6*F7</f>
        <v>6.6000000000000003E-2</v>
      </c>
      <c r="G95" s="12">
        <f t="shared" si="34"/>
        <v>6.6000000000000003E-2</v>
      </c>
      <c r="H95" s="12">
        <f t="shared" si="34"/>
        <v>6.6000000000000003E-2</v>
      </c>
      <c r="I95" s="12">
        <f t="shared" si="34"/>
        <v>6.6000000000000003E-2</v>
      </c>
      <c r="J95" s="12">
        <f t="shared" si="34"/>
        <v>6.6000000000000003E-2</v>
      </c>
      <c r="K95" s="12">
        <f t="shared" si="34"/>
        <v>6.6000000000000003E-2</v>
      </c>
    </row>
    <row r="96" spans="3:11" x14ac:dyDescent="0.2">
      <c r="C96" s="13" t="s">
        <v>52</v>
      </c>
      <c r="D96" s="13"/>
      <c r="E96" s="14">
        <f t="shared" ref="E96:I96" si="35">+(E94+F96)/(1+E95)</f>
        <v>5047.0708364111943</v>
      </c>
      <c r="F96" s="14">
        <f t="shared" si="35"/>
        <v>5184.6170116143339</v>
      </c>
      <c r="G96" s="14">
        <f t="shared" si="35"/>
        <v>5353.5533738808799</v>
      </c>
      <c r="H96" s="14">
        <f t="shared" si="35"/>
        <v>5533.5244418825177</v>
      </c>
      <c r="I96" s="14">
        <f t="shared" si="35"/>
        <v>5725.4937598899205</v>
      </c>
      <c r="J96" s="14">
        <f>+(J94+K96)/(1+J95)</f>
        <v>5930.505854038729</v>
      </c>
      <c r="K96" s="14">
        <f>+K94/(K95-K11)</f>
        <v>6149.6925206935903</v>
      </c>
    </row>
    <row r="97" spans="3:11" x14ac:dyDescent="0.2">
      <c r="C97" t="s">
        <v>53</v>
      </c>
      <c r="E97" s="5">
        <f>+D63</f>
        <v>5000</v>
      </c>
    </row>
    <row r="98" spans="3:11" x14ac:dyDescent="0.2">
      <c r="C98" t="s">
        <v>55</v>
      </c>
      <c r="E98" s="5">
        <f>+E96-E97</f>
        <v>47.07083641119425</v>
      </c>
    </row>
    <row r="100" spans="3:11" x14ac:dyDescent="0.2">
      <c r="C100" t="s">
        <v>54</v>
      </c>
      <c r="E100" s="12">
        <f>+E78/D63</f>
        <v>7.1178100000000036E-2</v>
      </c>
      <c r="F100" s="12">
        <f t="shared" ref="F100:K100" si="36">+F78/E63</f>
        <v>6.9888660318235415E-2</v>
      </c>
      <c r="G100" s="12">
        <f t="shared" si="36"/>
        <v>6.883882278370887E-2</v>
      </c>
      <c r="H100" s="12">
        <f t="shared" si="36"/>
        <v>6.7783536676944894E-2</v>
      </c>
      <c r="I100" s="12">
        <f t="shared" si="36"/>
        <v>6.6723224649363838E-2</v>
      </c>
      <c r="J100" s="12">
        <f t="shared" si="36"/>
        <v>6.5658313060063367E-2</v>
      </c>
      <c r="K100" s="12">
        <f t="shared" si="36"/>
        <v>6.570693626170851E-2</v>
      </c>
    </row>
    <row r="102" spans="3:11" x14ac:dyDescent="0.2">
      <c r="C102" t="s">
        <v>56</v>
      </c>
      <c r="E102" s="5">
        <f>+E96/E78</f>
        <v>14.18152728553078</v>
      </c>
    </row>
    <row r="103" spans="3:11" x14ac:dyDescent="0.2">
      <c r="C103" t="s">
        <v>57</v>
      </c>
      <c r="E103" s="5">
        <f>+E96/(E70+E71)</f>
        <v>1.4745660175038184</v>
      </c>
    </row>
    <row r="104" spans="3:11" x14ac:dyDescent="0.2">
      <c r="C104" t="s">
        <v>58</v>
      </c>
      <c r="E104" s="5">
        <f>+E96/D63</f>
        <v>1.0094141672822388</v>
      </c>
    </row>
    <row r="106" spans="3:11" x14ac:dyDescent="0.2">
      <c r="E106" s="12">
        <f>+E96/BAse!E96-1</f>
        <v>0.30128699842985984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BAse</vt:lpstr>
      <vt:lpstr>Improved1</vt:lpstr>
      <vt:lpstr>Improved2</vt:lpstr>
      <vt:lpstr>Improved3</vt:lpstr>
      <vt:lpstr>Improved4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Péter</dc:creator>
  <cp:lastModifiedBy>Kerényi Dominik</cp:lastModifiedBy>
  <dcterms:created xsi:type="dcterms:W3CDTF">2023-12-17T16:04:49Z</dcterms:created>
  <dcterms:modified xsi:type="dcterms:W3CDTF">2024-01-02T20:17:59Z</dcterms:modified>
</cp:coreProperties>
</file>