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C:\Users\ASUS VIVOBOOK\Desktop\Exam Papers\Copied\"/>
    </mc:Choice>
  </mc:AlternateContent>
  <xr:revisionPtr revIDLastSave="0" documentId="13_ncr:1_{1FD4FEB2-35FC-4BDB-BAFB-B4E665BBBC32}" xr6:coauthVersionLast="47" xr6:coauthVersionMax="47" xr10:uidLastSave="{00000000-0000-0000-0000-000000000000}"/>
  <bookViews>
    <workbookView xWindow="-108" yWindow="-108" windowWidth="23256" windowHeight="13896" activeTab="4" xr2:uid="{00000000-000D-0000-FFFF-FFFF00000000}"/>
  </bookViews>
  <sheets>
    <sheet name="OpeningPage" sheetId="5" r:id="rId1"/>
    <sheet name="Admin" sheetId="6" r:id="rId2"/>
    <sheet name="M&amp;A" sheetId="10" r:id="rId3"/>
    <sheet name="DCF" sheetId="11" r:id="rId4"/>
    <sheet name="Task 3" sheetId="12" r:id="rId5"/>
    <sheet name="PE" sheetId="8" r:id="rId6"/>
    <sheet name="Theory" sheetId="9" r:id="rId7"/>
    <sheet name="Bonus Task DCF compare" sheetId="4" r:id="rId8"/>
  </sheets>
  <externalReferences>
    <externalReference r:id="rId9"/>
  </externalReferences>
  <definedNames>
    <definedName name="lista">OFFSET([1]DinamicValidation!$B$4,0,0,COUNTA([1]DinamicValidation!$B$4:$B$1048576),1)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8" i="10" l="1"/>
  <c r="S63" i="11"/>
  <c r="R63" i="11"/>
  <c r="Q63" i="11"/>
  <c r="P63" i="11"/>
  <c r="O63" i="11"/>
  <c r="N63" i="11"/>
  <c r="M63" i="11"/>
  <c r="O31" i="11"/>
  <c r="N31" i="11"/>
  <c r="M31" i="11"/>
  <c r="S71" i="11"/>
  <c r="R71" i="11"/>
  <c r="Q71" i="11"/>
  <c r="P71" i="11"/>
  <c r="O71" i="11"/>
  <c r="N71" i="11"/>
  <c r="M71" i="11"/>
  <c r="S70" i="11"/>
  <c r="R70" i="11"/>
  <c r="Q70" i="11"/>
  <c r="P70" i="11"/>
  <c r="O70" i="11"/>
  <c r="N70" i="11"/>
  <c r="M70" i="11"/>
  <c r="P69" i="11"/>
  <c r="O69" i="11" s="1"/>
  <c r="N69" i="11" s="1"/>
  <c r="M69" i="11" s="1"/>
  <c r="Q69" i="11"/>
  <c r="R69" i="11"/>
  <c r="S69" i="11"/>
  <c r="S68" i="11"/>
  <c r="R68" i="11"/>
  <c r="Q68" i="11"/>
  <c r="P68" i="11"/>
  <c r="O68" i="11"/>
  <c r="N68" i="11"/>
  <c r="M68" i="11"/>
  <c r="S67" i="11"/>
  <c r="R67" i="11"/>
  <c r="Q67" i="11"/>
  <c r="P67" i="11"/>
  <c r="O67" i="11"/>
  <c r="N67" i="11"/>
  <c r="M67" i="11"/>
  <c r="R64" i="11"/>
  <c r="Q64" i="11" s="1"/>
  <c r="P64" i="11" s="1"/>
  <c r="O64" i="11" s="1"/>
  <c r="N64" i="11" s="1"/>
  <c r="S64" i="11"/>
  <c r="T44" i="11"/>
  <c r="S44" i="11"/>
  <c r="R44" i="11"/>
  <c r="Q44" i="11"/>
  <c r="P44" i="11"/>
  <c r="O62" i="11"/>
  <c r="N62" i="11"/>
  <c r="M62" i="11"/>
  <c r="P59" i="11"/>
  <c r="Q59" i="11"/>
  <c r="R59" i="11"/>
  <c r="S59" i="11"/>
  <c r="S58" i="11"/>
  <c r="R58" i="11"/>
  <c r="Q58" i="11"/>
  <c r="P58" i="11"/>
  <c r="S57" i="11"/>
  <c r="R57" i="11"/>
  <c r="Q57" i="11"/>
  <c r="P57" i="11"/>
  <c r="O57" i="11"/>
  <c r="N57" i="11"/>
  <c r="M57" i="11"/>
  <c r="O54" i="11"/>
  <c r="N54" i="11"/>
  <c r="M54" i="11"/>
  <c r="R53" i="11"/>
  <c r="Q53" i="11"/>
  <c r="P53" i="11"/>
  <c r="O53" i="11"/>
  <c r="N53" i="11"/>
  <c r="M53" i="11"/>
  <c r="O52" i="11"/>
  <c r="N52" i="11"/>
  <c r="M52" i="11"/>
  <c r="S53" i="11"/>
  <c r="S45" i="11"/>
  <c r="R45" i="11"/>
  <c r="Q45" i="11"/>
  <c r="P45" i="11"/>
  <c r="O45" i="11"/>
  <c r="N45" i="11"/>
  <c r="M45" i="11"/>
  <c r="O44" i="11"/>
  <c r="N44" i="11"/>
  <c r="M44" i="11"/>
  <c r="S51" i="11"/>
  <c r="S52" i="11" s="1"/>
  <c r="R51" i="11"/>
  <c r="R52" i="11" s="1"/>
  <c r="Q51" i="11"/>
  <c r="Q52" i="11" s="1"/>
  <c r="P51" i="11"/>
  <c r="P52" i="11" s="1"/>
  <c r="O51" i="11"/>
  <c r="N51" i="11"/>
  <c r="M51" i="11"/>
  <c r="S50" i="11"/>
  <c r="R50" i="11"/>
  <c r="Q50" i="11"/>
  <c r="P50" i="11"/>
  <c r="O50" i="11"/>
  <c r="M50" i="11"/>
  <c r="N50" i="11"/>
  <c r="P49" i="11"/>
  <c r="Q48" i="11" s="1"/>
  <c r="P48" i="11"/>
  <c r="O49" i="11"/>
  <c r="N49" i="11"/>
  <c r="M49" i="11"/>
  <c r="N43" i="11" s="1"/>
  <c r="S28" i="11"/>
  <c r="R29" i="11" s="1"/>
  <c r="S29" i="11" s="1"/>
  <c r="S42" i="11"/>
  <c r="R42" i="11"/>
  <c r="R28" i="11" s="1"/>
  <c r="S41" i="11"/>
  <c r="R41" i="11"/>
  <c r="Q41" i="11"/>
  <c r="Q42" i="11" s="1"/>
  <c r="S40" i="11"/>
  <c r="R40" i="11"/>
  <c r="Q40" i="11"/>
  <c r="P40" i="11"/>
  <c r="O40" i="11"/>
  <c r="N40" i="11"/>
  <c r="M40" i="11"/>
  <c r="S39" i="11"/>
  <c r="R39" i="11"/>
  <c r="Q39" i="11"/>
  <c r="P39" i="11"/>
  <c r="P41" i="11" s="1"/>
  <c r="P42" i="11" s="1"/>
  <c r="O39" i="11"/>
  <c r="N39" i="11"/>
  <c r="N41" i="11" s="1"/>
  <c r="N42" i="11" s="1"/>
  <c r="N58" i="11" s="1"/>
  <c r="M39" i="11"/>
  <c r="M43" i="11"/>
  <c r="M48" i="11" s="1"/>
  <c r="N24" i="11"/>
  <c r="O24" i="11" s="1"/>
  <c r="P24" i="11" s="1"/>
  <c r="Q24" i="11" s="1"/>
  <c r="O41" i="11" l="1"/>
  <c r="O42" i="11" s="1"/>
  <c r="O58" i="11" s="1"/>
  <c r="O59" i="11" s="1"/>
  <c r="N59" i="11" s="1"/>
  <c r="Q54" i="11"/>
  <c r="Q62" i="11"/>
  <c r="R54" i="11"/>
  <c r="R62" i="11"/>
  <c r="S54" i="11"/>
  <c r="S62" i="11"/>
  <c r="P62" i="11"/>
  <c r="P54" i="11"/>
  <c r="Q49" i="11"/>
  <c r="R48" i="11" s="1"/>
  <c r="O43" i="11"/>
  <c r="P43" i="11" s="1"/>
  <c r="Q43" i="11" s="1"/>
  <c r="R43" i="11" s="1"/>
  <c r="N48" i="11"/>
  <c r="O48" i="11"/>
  <c r="R49" i="11" l="1"/>
  <c r="S48" i="11" s="1"/>
  <c r="S49" i="11" s="1"/>
  <c r="S43" i="11" l="1"/>
  <c r="D46" i="10" l="1"/>
  <c r="D45" i="10"/>
  <c r="F43" i="10"/>
  <c r="E41" i="10"/>
  <c r="E40" i="10"/>
  <c r="E42" i="10"/>
  <c r="F33" i="10"/>
  <c r="E33" i="10"/>
  <c r="D33" i="10"/>
  <c r="D42" i="10"/>
  <c r="D41" i="10"/>
  <c r="F40" i="10"/>
  <c r="D40" i="10"/>
  <c r="D39" i="11"/>
  <c r="G68" i="11"/>
  <c r="F68" i="11"/>
  <c r="D68" i="11"/>
  <c r="C59" i="11"/>
  <c r="G41" i="11"/>
  <c r="G59" i="11" s="1"/>
  <c r="E39" i="11"/>
  <c r="E68" i="11" s="1"/>
  <c r="F39" i="11"/>
  <c r="G39" i="11"/>
  <c r="H39" i="11"/>
  <c r="H68" i="11" s="1"/>
  <c r="I39" i="11"/>
  <c r="I41" i="11" s="1"/>
  <c r="J39" i="11"/>
  <c r="J41" i="11" s="1"/>
  <c r="J42" i="11" s="1"/>
  <c r="J28" i="11" s="1"/>
  <c r="I29" i="11" s="1"/>
  <c r="E40" i="11"/>
  <c r="F40" i="11"/>
  <c r="G40" i="11"/>
  <c r="H40" i="11"/>
  <c r="I40" i="11"/>
  <c r="J40" i="11"/>
  <c r="D40" i="11"/>
  <c r="I42" i="11" l="1"/>
  <c r="I59" i="11"/>
  <c r="G42" i="11"/>
  <c r="G64" i="11" s="1"/>
  <c r="H41" i="11"/>
  <c r="J59" i="11"/>
  <c r="J68" i="11"/>
  <c r="J64" i="11"/>
  <c r="I68" i="11"/>
  <c r="H42" i="11" l="1"/>
  <c r="H64" i="11" s="1"/>
  <c r="H59" i="11"/>
  <c r="I28" i="11"/>
  <c r="I64" i="11"/>
  <c r="E50" i="11" l="1"/>
  <c r="D50" i="11"/>
  <c r="D49" i="11"/>
  <c r="D52" i="11" s="1"/>
  <c r="D63" i="11" s="1"/>
  <c r="D44" i="11"/>
  <c r="D45" i="11" s="1"/>
  <c r="D53" i="11" l="1"/>
  <c r="D54" i="11" s="1"/>
  <c r="D58" i="11" s="1"/>
  <c r="D70" i="11"/>
  <c r="D46" i="11"/>
  <c r="F41" i="10"/>
  <c r="F42" i="10"/>
  <c r="F38" i="10"/>
  <c r="E38" i="10"/>
  <c r="E37" i="10"/>
  <c r="F37" i="10"/>
  <c r="D37" i="10"/>
  <c r="D38" i="10" s="1"/>
  <c r="E36" i="10"/>
  <c r="F36" i="10"/>
  <c r="D36" i="10"/>
  <c r="E25" i="11" l="1"/>
  <c r="D49" i="10" l="1"/>
  <c r="D50" i="10" s="1"/>
  <c r="D51" i="10" s="1"/>
  <c r="E49" i="11"/>
  <c r="E52" i="11" s="1"/>
  <c r="E63" i="11" s="1"/>
  <c r="E44" i="11"/>
  <c r="E45" i="11" s="1"/>
  <c r="F25" i="11"/>
  <c r="E70" i="11" l="1"/>
  <c r="D54" i="10"/>
  <c r="D56" i="10"/>
  <c r="F49" i="11"/>
  <c r="F44" i="11"/>
  <c r="C46" i="12"/>
  <c r="C38" i="12"/>
  <c r="D55" i="11" l="1"/>
  <c r="D56" i="11" s="1"/>
  <c r="D67" i="11" s="1"/>
  <c r="E53" i="11"/>
  <c r="F45" i="11"/>
  <c r="F70" i="11" s="1"/>
  <c r="E46" i="11"/>
  <c r="F26" i="11"/>
  <c r="D20" i="6"/>
  <c r="C7" i="12"/>
  <c r="B7" i="12"/>
  <c r="C6" i="12"/>
  <c r="B6" i="12"/>
  <c r="C4" i="12"/>
  <c r="B4" i="12"/>
  <c r="C3" i="12"/>
  <c r="B3" i="12"/>
  <c r="C2" i="12"/>
  <c r="B2" i="12"/>
  <c r="F50" i="11" l="1"/>
  <c r="F52" i="11" s="1"/>
  <c r="F63" i="11" s="1"/>
  <c r="G25" i="11"/>
  <c r="G49" i="11"/>
  <c r="E55" i="11"/>
  <c r="F53" i="11"/>
  <c r="F54" i="11" s="1"/>
  <c r="F46" i="11"/>
  <c r="E54" i="11"/>
  <c r="E58" i="11" s="1"/>
  <c r="E56" i="11"/>
  <c r="E67" i="11" s="1"/>
  <c r="D24" i="4"/>
  <c r="E24" i="4" s="1"/>
  <c r="F24" i="4" s="1"/>
  <c r="G24" i="4" s="1"/>
  <c r="E24" i="11"/>
  <c r="G26" i="11" l="1"/>
  <c r="G50" i="11" s="1"/>
  <c r="H49" i="11" s="1"/>
  <c r="G52" i="11"/>
  <c r="G63" i="11" s="1"/>
  <c r="G44" i="11"/>
  <c r="H25" i="11"/>
  <c r="F58" i="11"/>
  <c r="F24" i="11"/>
  <c r="H44" i="11" l="1"/>
  <c r="H26" i="11"/>
  <c r="H50" i="11" s="1"/>
  <c r="I49" i="11" s="1"/>
  <c r="G24" i="11"/>
  <c r="I26" i="11" l="1"/>
  <c r="I50" i="11" s="1"/>
  <c r="J49" i="11" s="1"/>
  <c r="I25" i="11"/>
  <c r="H52" i="11"/>
  <c r="H63" i="11" s="1"/>
  <c r="H24" i="11"/>
  <c r="J25" i="11" l="1"/>
  <c r="J44" i="11" s="1"/>
  <c r="I44" i="11"/>
  <c r="J26" i="11"/>
  <c r="J50" i="11" s="1"/>
  <c r="J52" i="11"/>
  <c r="J63" i="11" s="1"/>
  <c r="J65" i="11" s="1"/>
  <c r="J45" i="11" s="1"/>
  <c r="I52" i="11"/>
  <c r="I63" i="11" s="1"/>
  <c r="I65" i="11" s="1"/>
  <c r="B7" i="11"/>
  <c r="C6" i="11"/>
  <c r="B6" i="11"/>
  <c r="C4" i="11"/>
  <c r="B4" i="11"/>
  <c r="C3" i="11"/>
  <c r="B3" i="11"/>
  <c r="C2" i="11"/>
  <c r="B2" i="11"/>
  <c r="B7" i="10"/>
  <c r="C6" i="10"/>
  <c r="B6" i="10"/>
  <c r="C4" i="10"/>
  <c r="B4" i="10"/>
  <c r="C3" i="10"/>
  <c r="B3" i="10"/>
  <c r="C2" i="10"/>
  <c r="B2" i="10"/>
  <c r="K45" i="11" l="1"/>
  <c r="J55" i="11" s="1"/>
  <c r="J70" i="11"/>
  <c r="J53" i="11"/>
  <c r="J54" i="11" s="1"/>
  <c r="J58" i="11" s="1"/>
  <c r="J60" i="11" s="1"/>
  <c r="J46" i="11"/>
  <c r="I45" i="11"/>
  <c r="I46" i="11" s="1"/>
  <c r="H65" i="11"/>
  <c r="B7" i="9"/>
  <c r="C6" i="9"/>
  <c r="B6" i="9"/>
  <c r="C4" i="9"/>
  <c r="B4" i="9"/>
  <c r="C3" i="9"/>
  <c r="B3" i="9"/>
  <c r="C2" i="9"/>
  <c r="B2" i="9"/>
  <c r="B7" i="8"/>
  <c r="C6" i="8"/>
  <c r="B6" i="8"/>
  <c r="C4" i="8"/>
  <c r="B4" i="8"/>
  <c r="C3" i="8"/>
  <c r="B3" i="8"/>
  <c r="C2" i="8"/>
  <c r="B2" i="8"/>
  <c r="G65" i="11" l="1"/>
  <c r="H45" i="11"/>
  <c r="I70" i="11"/>
  <c r="H55" i="11"/>
  <c r="I53" i="11"/>
  <c r="I55" i="11"/>
  <c r="J56" i="11"/>
  <c r="B3" i="4"/>
  <c r="C3" i="4"/>
  <c r="B4" i="4"/>
  <c r="C4" i="4"/>
  <c r="B6" i="4"/>
  <c r="C6" i="4"/>
  <c r="B7" i="4"/>
  <c r="C2" i="4"/>
  <c r="B2" i="4"/>
  <c r="J67" i="11" l="1"/>
  <c r="J69" i="11" s="1"/>
  <c r="J71" i="11" s="1"/>
  <c r="I54" i="11"/>
  <c r="I58" i="11" s="1"/>
  <c r="I60" i="11" s="1"/>
  <c r="I56" i="11"/>
  <c r="I67" i="11" s="1"/>
  <c r="I69" i="11" s="1"/>
  <c r="H70" i="11"/>
  <c r="H53" i="11"/>
  <c r="H46" i="11"/>
  <c r="G45" i="11"/>
  <c r="C7" i="4"/>
  <c r="C7" i="10"/>
  <c r="C7" i="11"/>
  <c r="C7" i="8"/>
  <c r="C7" i="9"/>
  <c r="H54" i="11" l="1"/>
  <c r="H58" i="11" s="1"/>
  <c r="H56" i="11"/>
  <c r="H67" i="11" s="1"/>
  <c r="H69" i="11"/>
  <c r="H71" i="11" s="1"/>
  <c r="I71" i="11"/>
  <c r="H60" i="11"/>
  <c r="G70" i="11" l="1"/>
  <c r="F55" i="11"/>
  <c r="F56" i="11" s="1"/>
  <c r="F67" i="11" s="1"/>
  <c r="G55" i="11"/>
  <c r="G53" i="11"/>
  <c r="G54" i="11" s="1"/>
  <c r="G58" i="11" s="1"/>
  <c r="G60" i="11" s="1"/>
  <c r="G46" i="11"/>
  <c r="G56" i="11" l="1"/>
  <c r="G67" i="11" s="1"/>
  <c r="G69" i="11" s="1"/>
  <c r="G71" i="11" s="1"/>
  <c r="F69" i="11" l="1"/>
  <c r="F71" i="11"/>
  <c r="F31" i="11" s="1"/>
  <c r="F41" i="11" s="1"/>
  <c r="F59" i="11" s="1"/>
  <c r="E69" i="11"/>
  <c r="D69" i="11" l="1"/>
  <c r="D71" i="11" s="1"/>
  <c r="D31" i="11" s="1"/>
  <c r="D41" i="11" s="1"/>
  <c r="D42" i="11" s="1"/>
  <c r="E71" i="11"/>
  <c r="F42" i="11"/>
  <c r="F64" i="11" s="1"/>
  <c r="F65" i="11" s="1"/>
  <c r="F60" i="11"/>
  <c r="E31" i="11" l="1"/>
  <c r="E41" i="11" s="1"/>
  <c r="D64" i="11"/>
  <c r="D59" i="11"/>
  <c r="E59" i="11" l="1"/>
  <c r="E60" i="11" s="1"/>
  <c r="E42" i="11"/>
  <c r="E64" i="11" s="1"/>
  <c r="E65" i="11" s="1"/>
  <c r="D65" i="11" s="1"/>
  <c r="D60" i="11"/>
  <c r="M41" i="11" l="1"/>
  <c r="M64" i="11" s="1"/>
  <c r="M42" i="11" l="1"/>
  <c r="M58" i="11" l="1"/>
  <c r="M59" i="11" s="1"/>
</calcChain>
</file>

<file path=xl/sharedStrings.xml><?xml version="1.0" encoding="utf-8"?>
<sst xmlns="http://schemas.openxmlformats.org/spreadsheetml/2006/main" count="183" uniqueCount="105">
  <si>
    <t>g</t>
  </si>
  <si>
    <t>RONIC</t>
  </si>
  <si>
    <t>t</t>
  </si>
  <si>
    <t>rD</t>
  </si>
  <si>
    <t>ROIC</t>
  </si>
  <si>
    <t>Master in Finance</t>
  </si>
  <si>
    <t>Master in Accounting</t>
  </si>
  <si>
    <t>Instructor</t>
  </si>
  <si>
    <t>Péter Juhász, PhD, CFA</t>
  </si>
  <si>
    <t>Date</t>
  </si>
  <si>
    <t>Total points achieved</t>
  </si>
  <si>
    <t>Neptun code</t>
  </si>
  <si>
    <t>Student name</t>
  </si>
  <si>
    <t>Study program</t>
  </si>
  <si>
    <t>Points achived:</t>
  </si>
  <si>
    <t>IC boy</t>
  </si>
  <si>
    <t>D/IC boy</t>
  </si>
  <si>
    <t>D/V boy</t>
  </si>
  <si>
    <t>Together</t>
  </si>
  <si>
    <t>Firm A</t>
  </si>
  <si>
    <t>Firm B</t>
  </si>
  <si>
    <t>D/V</t>
  </si>
  <si>
    <t>rA</t>
  </si>
  <si>
    <t>TV1</t>
  </si>
  <si>
    <t>TV2</t>
  </si>
  <si>
    <t>Applied Business Valuation</t>
  </si>
  <si>
    <t>FCFF</t>
  </si>
  <si>
    <t># of shares</t>
  </si>
  <si>
    <t>K</t>
  </si>
  <si>
    <t>g TV period</t>
  </si>
  <si>
    <t>rf</t>
  </si>
  <si>
    <t>FCFE</t>
  </si>
  <si>
    <r>
      <rPr>
        <sz val="12"/>
        <color theme="1"/>
        <rFont val="Symbol"/>
        <family val="1"/>
        <charset val="2"/>
      </rPr>
      <t>b</t>
    </r>
    <r>
      <rPr>
        <sz val="12"/>
        <color theme="1"/>
        <rFont val="Times New Roman"/>
        <family val="1"/>
        <charset val="238"/>
      </rPr>
      <t xml:space="preserve"> unlevered (industry)</t>
    </r>
  </si>
  <si>
    <t>dIC</t>
  </si>
  <si>
    <t>General data</t>
  </si>
  <si>
    <t>Option A</t>
  </si>
  <si>
    <t>Option B</t>
  </si>
  <si>
    <t>g TV</t>
  </si>
  <si>
    <t>D/IC</t>
  </si>
  <si>
    <t>rMarket portfolio</t>
  </si>
  <si>
    <t>Debt risk premium</t>
  </si>
  <si>
    <t>Additional IC boy</t>
  </si>
  <si>
    <t>P/E</t>
  </si>
  <si>
    <t>EV/EBIT</t>
  </si>
  <si>
    <t>P/BV</t>
  </si>
  <si>
    <t>EV/BV</t>
  </si>
  <si>
    <t>EV/S</t>
  </si>
  <si>
    <t>P/L</t>
  </si>
  <si>
    <t>Sales Revenue</t>
  </si>
  <si>
    <t>D&amp;A</t>
  </si>
  <si>
    <t>Operational profit</t>
  </si>
  <si>
    <t>Profit before tax</t>
  </si>
  <si>
    <t>Tax</t>
  </si>
  <si>
    <t>After tax profit</t>
  </si>
  <si>
    <t>Balance sheet</t>
  </si>
  <si>
    <t>PP&amp;E</t>
  </si>
  <si>
    <t>Inventory</t>
  </si>
  <si>
    <t>Receivables</t>
  </si>
  <si>
    <t>Cash</t>
  </si>
  <si>
    <t>Equity</t>
  </si>
  <si>
    <t>Variable rate bank loans</t>
  </si>
  <si>
    <t>Outstanding face value of bonds</t>
  </si>
  <si>
    <t>Payables</t>
  </si>
  <si>
    <t>Closing price of bonds</t>
  </si>
  <si>
    <t>Number of bonds</t>
  </si>
  <si>
    <t>Closing price of shares</t>
  </si>
  <si>
    <t>Number of shares</t>
  </si>
  <si>
    <t>NOPLAT</t>
  </si>
  <si>
    <t>EBIT</t>
  </si>
  <si>
    <t>WACC</t>
  </si>
  <si>
    <t>k</t>
  </si>
  <si>
    <t>V</t>
  </si>
  <si>
    <t>D</t>
  </si>
  <si>
    <t>E</t>
  </si>
  <si>
    <t>Synergy</t>
  </si>
  <si>
    <t>Min</t>
  </si>
  <si>
    <t>Max</t>
  </si>
  <si>
    <t>Base</t>
  </si>
  <si>
    <t>Price</t>
  </si>
  <si>
    <t>Shares worth</t>
  </si>
  <si>
    <t>B hold %</t>
  </si>
  <si>
    <t>Initial Shared held by A</t>
  </si>
  <si>
    <t>% of shared held by A</t>
  </si>
  <si>
    <t>Number of Shared B hold</t>
  </si>
  <si>
    <t>Interest</t>
  </si>
  <si>
    <t>Tax Sheild</t>
  </si>
  <si>
    <t>d Debt</t>
  </si>
  <si>
    <t>Valuation</t>
  </si>
  <si>
    <t>FCFF + TS</t>
  </si>
  <si>
    <t>V boy</t>
  </si>
  <si>
    <t>APV</t>
  </si>
  <si>
    <t>E boy</t>
  </si>
  <si>
    <t>IC</t>
  </si>
  <si>
    <t>rE</t>
  </si>
  <si>
    <t>D boy</t>
  </si>
  <si>
    <t>Trick is to know how to get the FCFF</t>
  </si>
  <si>
    <t>this is the minimum that you need to pay for the Equity of the company you want to acquire</t>
  </si>
  <si>
    <t>this we got from substracting together value - Firm A - Firm B</t>
  </si>
  <si>
    <t>Wacc</t>
  </si>
  <si>
    <t>Debt boy</t>
  </si>
  <si>
    <t>BV Equity boy</t>
  </si>
  <si>
    <t>Noplat</t>
  </si>
  <si>
    <t>Tax shield</t>
  </si>
  <si>
    <t>FCFF+TS</t>
  </si>
  <si>
    <t>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</si>
</sst>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_-* #,##0.00\ _F_t_-;\-* #,##0.00\ _F_t_-;_-* &quot;-&quot;??\ _F_t_-;_-@_-"/>
    <numFmt numFmtId="166" formatCode="0.000%"/>
  </numFmts>
  <fonts count="20">
    <font>
      <sz val="12"/>
      <color theme="1"/>
      <name val="Times New Roman"/>
      <family val="2"/>
      <charset val="238"/>
    </font>
    <font>
      <b/>
      <sz val="12"/>
      <color rgb="FF000000"/>
      <name val="Times New Roman"/>
      <family val="1"/>
      <charset val="238"/>
    </font>
    <font>
      <sz val="12"/>
      <color rgb="FF000000"/>
      <name val="Times New Roman"/>
      <family val="1"/>
      <charset val="238"/>
    </font>
    <font>
      <b/>
      <sz val="12"/>
      <color theme="1"/>
      <name val="Times New Roman"/>
      <family val="1"/>
      <charset val="238"/>
    </font>
    <font>
      <sz val="18"/>
      <color theme="1"/>
      <name val="Times New Roman"/>
      <family val="2"/>
      <charset val="238"/>
    </font>
    <font>
      <b/>
      <sz val="18"/>
      <color theme="1"/>
      <name val="Times New Roman"/>
      <family val="1"/>
      <charset val="238"/>
    </font>
    <font>
      <sz val="8"/>
      <name val="Times New Roman"/>
      <family val="2"/>
      <charset val="238"/>
    </font>
    <font>
      <b/>
      <sz val="28"/>
      <color theme="1"/>
      <name val="Times New Roman"/>
      <family val="1"/>
      <charset val="238"/>
    </font>
    <font>
      <sz val="14"/>
      <color theme="1"/>
      <name val="Times New Roman"/>
      <family val="2"/>
      <charset val="238"/>
    </font>
    <font>
      <b/>
      <sz val="14"/>
      <color theme="1"/>
      <name val="Times New Roman"/>
      <family val="1"/>
      <charset val="238"/>
    </font>
    <font>
      <b/>
      <sz val="16"/>
      <color theme="1"/>
      <name val="Times New Roman"/>
      <family val="1"/>
      <charset val="238"/>
    </font>
    <font>
      <sz val="12"/>
      <color theme="1"/>
      <name val="Times New Roman"/>
      <family val="1"/>
      <charset val="238"/>
    </font>
    <font>
      <sz val="12"/>
      <color theme="0"/>
      <name val="Times New Roman"/>
      <family val="2"/>
      <charset val="238"/>
    </font>
    <font>
      <sz val="16"/>
      <color rgb="FF000000"/>
      <name val="Times New Roman"/>
      <family val="1"/>
      <charset val="238"/>
    </font>
    <font>
      <sz val="12"/>
      <color theme="1"/>
      <name val="Times New Roman"/>
      <family val="2"/>
      <charset val="238"/>
    </font>
    <font>
      <sz val="12"/>
      <color theme="1"/>
      <name val="Symbol"/>
      <family val="1"/>
      <charset val="2"/>
    </font>
    <font>
      <sz val="12"/>
      <color theme="1"/>
      <name val="Times New Roman"/>
      <family val="1"/>
      <charset val="2"/>
    </font>
    <font>
      <b/>
      <sz val="12"/>
      <color rgb="FF000000"/>
      <name val="Times New Roman"/>
      <family val="1"/>
    </font>
    <font>
      <b/>
      <sz val="12"/>
      <name val="Times New Roman"/>
      <family val="1"/>
      <charset val="238"/>
    </font>
    <font>
      <sz val="12"/>
      <color rgb="FFFF0000"/>
      <name val="Calibri"/>
      <family val="2"/>
      <charset val="238"/>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6"/>
        <bgColor rgb="FFA8D08D"/>
      </patternFill>
    </fill>
  </fills>
  <borders count="10">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s>
  <cellStyleXfs count="3">
    <xf numFmtId="0" fontId="0" fillId="0" borderId="0"/>
    <xf numFmtId="9" fontId="14" fillId="0" borderId="0" applyFont="0" applyFill="0" applyBorder="0" applyAlignment="0" applyProtection="0"/>
    <xf numFmtId="43" fontId="14" fillId="0" borderId="0" applyFont="0" applyFill="0" applyBorder="0" applyAlignment="0" applyProtection="0"/>
  </cellStyleXfs>
  <cellXfs count="50">
    <xf numFmtId="0" fontId="0" fillId="0" borderId="0" xfId="0"/>
    <xf numFmtId="0" fontId="1" fillId="0" borderId="0" xfId="0" applyFont="1" applyAlignment="1">
      <alignment horizontal="center" vertical="center"/>
    </xf>
    <xf numFmtId="10" fontId="2" fillId="0" borderId="0" xfId="0" applyNumberFormat="1" applyFont="1" applyAlignment="1">
      <alignment horizontal="right" vertical="center"/>
    </xf>
    <xf numFmtId="0" fontId="4" fillId="0" borderId="0" xfId="0" applyFont="1"/>
    <xf numFmtId="0" fontId="0" fillId="0" borderId="0" xfId="0" applyAlignment="1">
      <alignment horizontal="center"/>
    </xf>
    <xf numFmtId="0" fontId="5" fillId="0" borderId="0" xfId="0" applyFont="1"/>
    <xf numFmtId="0" fontId="5" fillId="0" borderId="0" xfId="0" applyFont="1" applyProtection="1">
      <protection hidden="1"/>
    </xf>
    <xf numFmtId="0" fontId="5" fillId="2" borderId="3" xfId="0" applyFont="1" applyFill="1" applyBorder="1" applyProtection="1">
      <protection hidden="1"/>
    </xf>
    <xf numFmtId="0" fontId="8" fillId="4" borderId="4" xfId="0" applyFont="1" applyFill="1" applyBorder="1"/>
    <xf numFmtId="0" fontId="8" fillId="4" borderId="6" xfId="0" applyFont="1" applyFill="1" applyBorder="1"/>
    <xf numFmtId="164" fontId="9" fillId="4" borderId="7" xfId="0" applyNumberFormat="1" applyFont="1" applyFill="1" applyBorder="1" applyAlignment="1">
      <alignment horizontal="center"/>
    </xf>
    <xf numFmtId="0" fontId="8" fillId="4" borderId="7" xfId="0" applyFont="1" applyFill="1" applyBorder="1"/>
    <xf numFmtId="0" fontId="8" fillId="4" borderId="8" xfId="0" applyFont="1" applyFill="1" applyBorder="1"/>
    <xf numFmtId="0" fontId="8" fillId="4" borderId="2" xfId="0" applyFont="1" applyFill="1" applyBorder="1"/>
    <xf numFmtId="0" fontId="10" fillId="2" borderId="9" xfId="0" applyFont="1" applyFill="1" applyBorder="1" applyAlignment="1">
      <alignment horizontal="center"/>
    </xf>
    <xf numFmtId="0" fontId="10" fillId="2" borderId="1" xfId="0" applyFont="1" applyFill="1" applyBorder="1" applyAlignment="1">
      <alignment horizontal="center"/>
    </xf>
    <xf numFmtId="0" fontId="5" fillId="3" borderId="3" xfId="0" applyFont="1" applyFill="1" applyBorder="1" applyAlignment="1" applyProtection="1">
      <alignment horizontal="center"/>
      <protection locked="0"/>
    </xf>
    <xf numFmtId="0" fontId="3" fillId="0" borderId="0" xfId="0" applyFont="1" applyAlignment="1">
      <alignment horizontal="center"/>
    </xf>
    <xf numFmtId="10" fontId="0" fillId="0" borderId="0" xfId="0" applyNumberFormat="1"/>
    <xf numFmtId="0" fontId="12" fillId="0" borderId="0" xfId="0" applyFont="1"/>
    <xf numFmtId="0" fontId="13" fillId="0" borderId="0" xfId="0" applyFont="1"/>
    <xf numFmtId="0" fontId="5" fillId="0" borderId="0" xfId="0" applyFont="1" applyAlignment="1" applyProtection="1">
      <alignment horizontal="center"/>
      <protection hidden="1"/>
    </xf>
    <xf numFmtId="0" fontId="3" fillId="2" borderId="0" xfId="0" applyFont="1" applyFill="1" applyAlignment="1">
      <alignment horizontal="center"/>
    </xf>
    <xf numFmtId="14" fontId="9" fillId="4" borderId="5" xfId="0" applyNumberFormat="1" applyFont="1" applyFill="1" applyBorder="1" applyAlignment="1">
      <alignment horizontal="center"/>
    </xf>
    <xf numFmtId="14" fontId="5" fillId="0" borderId="0" xfId="0" applyNumberFormat="1" applyFont="1" applyAlignment="1">
      <alignment horizontal="center"/>
    </xf>
    <xf numFmtId="2" fontId="0" fillId="0" borderId="0" xfId="0" applyNumberFormat="1"/>
    <xf numFmtId="9" fontId="0" fillId="0" borderId="0" xfId="0" applyNumberFormat="1"/>
    <xf numFmtId="10" fontId="0" fillId="0" borderId="0" xfId="1" applyNumberFormat="1" applyFont="1"/>
    <xf numFmtId="4" fontId="0" fillId="0" borderId="0" xfId="0" applyNumberFormat="1"/>
    <xf numFmtId="0" fontId="11" fillId="0" borderId="0" xfId="0" applyFont="1"/>
    <xf numFmtId="0" fontId="2" fillId="0" borderId="0" xfId="0" applyFont="1" applyAlignment="1">
      <alignment horizontal="left" vertical="center"/>
    </xf>
    <xf numFmtId="4" fontId="11" fillId="0" borderId="0" xfId="0" applyNumberFormat="1" applyFont="1"/>
    <xf numFmtId="0" fontId="16" fillId="0" borderId="0" xfId="0" applyFont="1"/>
    <xf numFmtId="4" fontId="2" fillId="0" borderId="0" xfId="0" applyNumberFormat="1" applyFont="1" applyAlignment="1">
      <alignment horizontal="right" vertical="center"/>
    </xf>
    <xf numFmtId="0" fontId="3" fillId="0" borderId="0" xfId="0" applyFont="1"/>
    <xf numFmtId="4" fontId="0" fillId="3" borderId="3" xfId="0" applyNumberFormat="1" applyFill="1" applyBorder="1"/>
    <xf numFmtId="4" fontId="3" fillId="0" borderId="0" xfId="0" applyNumberFormat="1" applyFont="1" applyAlignment="1">
      <alignment horizontal="center"/>
    </xf>
    <xf numFmtId="165" fontId="0" fillId="0" borderId="0" xfId="0" applyNumberFormat="1"/>
    <xf numFmtId="43" fontId="0" fillId="0" borderId="0" xfId="0" applyNumberFormat="1"/>
    <xf numFmtId="9" fontId="0" fillId="0" borderId="0" xfId="1" applyFont="1"/>
    <xf numFmtId="1" fontId="0" fillId="0" borderId="0" xfId="0" applyNumberFormat="1"/>
    <xf numFmtId="166" fontId="0" fillId="0" borderId="0" xfId="0" applyNumberFormat="1"/>
    <xf numFmtId="10" fontId="17" fillId="0" borderId="0" xfId="0" applyNumberFormat="1" applyFont="1" applyAlignment="1">
      <alignment horizontal="right" vertical="center"/>
    </xf>
    <xf numFmtId="0" fontId="17" fillId="2" borderId="0" xfId="0" applyFont="1" applyFill="1" applyAlignment="1">
      <alignment horizontal="left" vertical="center"/>
    </xf>
    <xf numFmtId="10" fontId="17" fillId="2" borderId="0" xfId="0" applyNumberFormat="1" applyFont="1" applyFill="1" applyAlignment="1">
      <alignment horizontal="right" vertical="center"/>
    </xf>
    <xf numFmtId="0" fontId="0" fillId="2" borderId="0" xfId="0" applyFill="1"/>
    <xf numFmtId="43" fontId="0" fillId="0" borderId="0" xfId="2" applyFont="1" applyAlignment="1">
      <alignment horizontal="left" indent="2"/>
    </xf>
    <xf numFmtId="0" fontId="18" fillId="5" borderId="0" xfId="0" applyFont="1" applyFill="1"/>
    <xf numFmtId="0" fontId="19" fillId="0" borderId="0" xfId="0" applyFont="1"/>
    <xf numFmtId="0" fontId="7" fillId="0" borderId="0" xfId="0" applyFont="1" applyAlignment="1">
      <alignment horizont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542924</xdr:colOff>
      <xdr:row>28</xdr:row>
      <xdr:rowOff>9525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12887324" cy="5610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en-US" sz="1000"/>
        </a:p>
        <a:p>
          <a:pPr algn="ctr"/>
          <a:r>
            <a:rPr lang="hu-HU" sz="8000" b="1">
              <a:solidFill>
                <a:srgbClr val="7030A0"/>
              </a:solidFill>
            </a:rPr>
            <a:t>Applied Business Valuation</a:t>
          </a:r>
        </a:p>
        <a:p>
          <a:pPr algn="ctr"/>
          <a:r>
            <a:rPr lang="hu-HU" sz="5000"/>
            <a:t>Final exam 3 tasks</a:t>
          </a:r>
        </a:p>
        <a:p>
          <a:pPr algn="ctr"/>
          <a:endParaRPr lang="hu-HU" sz="5000"/>
        </a:p>
        <a:p>
          <a:pPr algn="ctr"/>
          <a:r>
            <a:rPr lang="hu-HU" sz="5000" baseline="0">
              <a:solidFill>
                <a:schemeClr val="dk1"/>
              </a:solidFill>
              <a:latin typeface="+mn-lt"/>
              <a:ea typeface="+mn-ea"/>
              <a:cs typeface="+mn-cs"/>
            </a:rPr>
            <a:t>Péter Juhász, PhD</a:t>
          </a:r>
          <a:r>
            <a:rPr lang="hu-HU" sz="5000" baseline="0"/>
            <a:t>, CFA</a:t>
          </a:r>
        </a:p>
        <a:p>
          <a:pPr algn="ctr"/>
          <a:r>
            <a:rPr lang="hu-HU" sz="3000" baseline="0"/>
            <a:t>peter.juhasz@uni-corvinus.hu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304800</xdr:colOff>
      <xdr:row>1</xdr:row>
      <xdr:rowOff>19050</xdr:rowOff>
    </xdr:from>
    <xdr:to>
      <xdr:col>4</xdr:col>
      <xdr:colOff>666750</xdr:colOff>
      <xdr:row>6</xdr:row>
      <xdr:rowOff>114300</xdr:rowOff>
    </xdr:to>
    <xdr:sp macro="" textlink="">
      <xdr:nvSpPr>
        <xdr:cNvPr id="2" name="Szövegdoboz 1">
          <a:extLst>
            <a:ext uri="{FF2B5EF4-FFF2-40B4-BE49-F238E27FC236}">
              <a16:creationId xmlns:a16="http://schemas.microsoft.com/office/drawing/2014/main" id="{6355EBA2-DB27-4EF1-AFED-D11B8547EEFD}"/>
            </a:ext>
          </a:extLst>
        </xdr:cNvPr>
        <xdr:cNvSpPr txBox="1"/>
      </xdr:nvSpPr>
      <xdr:spPr>
        <a:xfrm>
          <a:off x="990600" y="219075"/>
          <a:ext cx="5629275" cy="1095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600" b="1">
              <a:solidFill>
                <a:srgbClr val="FF0000"/>
              </a:solidFill>
              <a:latin typeface="Times New Roman" panose="02020603050405020304" pitchFamily="18" charset="0"/>
              <a:cs typeface="Times New Roman" panose="02020603050405020304" pitchFamily="18" charset="0"/>
            </a:rPr>
            <a:t>Kindly</a:t>
          </a:r>
          <a:r>
            <a:rPr lang="hu-HU" sz="1600" b="1" baseline="0">
              <a:solidFill>
                <a:srgbClr val="FF0000"/>
              </a:solidFill>
              <a:latin typeface="Times New Roman" panose="02020603050405020304" pitchFamily="18" charset="0"/>
              <a:cs typeface="Times New Roman" panose="02020603050405020304" pitchFamily="18" charset="0"/>
            </a:rPr>
            <a:t> save this file renaming it following the pattern below. Please hand in the file only after named properly.</a:t>
          </a:r>
        </a:p>
        <a:p>
          <a:pPr algn="ctr"/>
          <a:endParaRPr lang="hu-HU" sz="1600" b="1" baseline="0">
            <a:solidFill>
              <a:srgbClr val="FF0000"/>
            </a:solidFill>
            <a:latin typeface="Times New Roman" panose="02020603050405020304" pitchFamily="18" charset="0"/>
            <a:cs typeface="Times New Roman" panose="02020603050405020304" pitchFamily="18" charset="0"/>
          </a:endParaRPr>
        </a:p>
        <a:p>
          <a:pPr algn="ctr"/>
          <a:r>
            <a:rPr lang="hu-HU" sz="1600" b="1" baseline="0">
              <a:solidFill>
                <a:srgbClr val="7030A0"/>
              </a:solidFill>
              <a:latin typeface="Times New Roman" panose="02020603050405020304" pitchFamily="18" charset="0"/>
              <a:cs typeface="Times New Roman" panose="02020603050405020304" pitchFamily="18" charset="0"/>
            </a:rPr>
            <a:t>ABV3rdFinal_Bangani_Mridul_Kumar.xlsx</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15</xdr:row>
      <xdr:rowOff>0</xdr:rowOff>
    </xdr:from>
    <xdr:to>
      <xdr:col>7</xdr:col>
      <xdr:colOff>76201</xdr:colOff>
      <xdr:row>21</xdr:row>
      <xdr:rowOff>182880</xdr:rowOff>
    </xdr:to>
    <xdr:sp macro="" textlink="">
      <xdr:nvSpPr>
        <xdr:cNvPr id="2" name="Szövegdoboz 1">
          <a:extLst>
            <a:ext uri="{FF2B5EF4-FFF2-40B4-BE49-F238E27FC236}">
              <a16:creationId xmlns:a16="http://schemas.microsoft.com/office/drawing/2014/main" id="{00000000-0008-0000-0200-000002000000}"/>
            </a:ext>
          </a:extLst>
        </xdr:cNvPr>
        <xdr:cNvSpPr txBox="1"/>
      </xdr:nvSpPr>
      <xdr:spPr>
        <a:xfrm>
          <a:off x="670560" y="3246120"/>
          <a:ext cx="7383781"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r>
            <a:rPr lang="hu-HU" sz="1400" b="0">
              <a:solidFill>
                <a:schemeClr val="dk1"/>
              </a:solidFill>
              <a:latin typeface="Times New Roman" panose="02020603050405020304" pitchFamily="18" charset="0"/>
              <a:ea typeface="+mn-ea"/>
              <a:cs typeface="Times New Roman" panose="02020603050405020304" pitchFamily="18" charset="0"/>
            </a:rPr>
            <a:t>Firm A plans to take over and merge with Firm B. (Both companies show a perpetuity like operation.) They plans for reorganisations are shown below. The price agreed transfers 30% of the synergies expected to the sellers. 40% of the purchase price will be covered from non-operative cash available initialy at Firm A, the rest would be paid in shares of the next merged firm. Calculate the number of new shares to issue and the trade-in rate of the old Firm B shares. (10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00000000-0008-0000-0200-000003000000}"/>
            </a:ext>
          </a:extLst>
        </xdr:cNvPr>
        <xdr:cNvSpPr txBox="1"/>
      </xdr:nvSpPr>
      <xdr:spPr>
        <a:xfrm>
          <a:off x="685801" y="2333625"/>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15</xdr:row>
      <xdr:rowOff>38100</xdr:rowOff>
    </xdr:from>
    <xdr:to>
      <xdr:col>9</xdr:col>
      <xdr:colOff>304800</xdr:colOff>
      <xdr:row>22</xdr:row>
      <xdr:rowOff>47625</xdr:rowOff>
    </xdr:to>
    <xdr:sp macro="" textlink="">
      <xdr:nvSpPr>
        <xdr:cNvPr id="2" name="Szövegdoboz 1">
          <a:extLst>
            <a:ext uri="{FF2B5EF4-FFF2-40B4-BE49-F238E27FC236}">
              <a16:creationId xmlns:a16="http://schemas.microsoft.com/office/drawing/2014/main" id="{00000000-0008-0000-0300-000002000000}"/>
            </a:ext>
          </a:extLst>
        </xdr:cNvPr>
        <xdr:cNvSpPr txBox="1"/>
      </xdr:nvSpPr>
      <xdr:spPr>
        <a:xfrm>
          <a:off x="695324" y="3362325"/>
          <a:ext cx="7229476"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equity using at least three different DCF methods for the start of 2023 assuming that new projects will not create any added value during the terminal value period.</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00000000-0008-0000-0300-000003000000}"/>
            </a:ext>
          </a:extLst>
        </xdr:cNvPr>
        <xdr:cNvSpPr txBox="1"/>
      </xdr:nvSpPr>
      <xdr:spPr>
        <a:xfrm>
          <a:off x="685800" y="2324100"/>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9524</xdr:colOff>
      <xdr:row>15</xdr:row>
      <xdr:rowOff>38100</xdr:rowOff>
    </xdr:from>
    <xdr:to>
      <xdr:col>9</xdr:col>
      <xdr:colOff>304800</xdr:colOff>
      <xdr:row>22</xdr:row>
      <xdr:rowOff>47625</xdr:rowOff>
    </xdr:to>
    <xdr:sp macro="" textlink="">
      <xdr:nvSpPr>
        <xdr:cNvPr id="2" name="Szövegdoboz 1">
          <a:extLst>
            <a:ext uri="{FF2B5EF4-FFF2-40B4-BE49-F238E27FC236}">
              <a16:creationId xmlns:a16="http://schemas.microsoft.com/office/drawing/2014/main" id="{7B98B3F5-A3B3-488B-AE9A-37BD21D7A852}"/>
            </a:ext>
          </a:extLst>
        </xdr:cNvPr>
        <xdr:cNvSpPr txBox="1"/>
      </xdr:nvSpPr>
      <xdr:spPr>
        <a:xfrm>
          <a:off x="706210" y="3249386"/>
          <a:ext cx="8693604" cy="1381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Based on the given data calculate the value of the listed multiples. (10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837D682C-CD91-4F1C-BCF9-954DD0DFA0A2}"/>
            </a:ext>
          </a:extLst>
        </xdr:cNvPr>
        <xdr:cNvSpPr txBox="1"/>
      </xdr:nvSpPr>
      <xdr:spPr>
        <a:xfrm>
          <a:off x="696686" y="2231571"/>
          <a:ext cx="8703128" cy="926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24764</xdr:colOff>
      <xdr:row>16</xdr:row>
      <xdr:rowOff>175260</xdr:rowOff>
    </xdr:from>
    <xdr:to>
      <xdr:col>9</xdr:col>
      <xdr:colOff>205740</xdr:colOff>
      <xdr:row>28</xdr:row>
      <xdr:rowOff>190500</xdr:rowOff>
    </xdr:to>
    <xdr:sp macro="" textlink="">
      <xdr:nvSpPr>
        <xdr:cNvPr id="2" name="Szövegdoboz 1">
          <a:extLst>
            <a:ext uri="{FF2B5EF4-FFF2-40B4-BE49-F238E27FC236}">
              <a16:creationId xmlns:a16="http://schemas.microsoft.com/office/drawing/2014/main" id="{00000000-0008-0000-0600-000002000000}"/>
            </a:ext>
          </a:extLst>
        </xdr:cNvPr>
        <xdr:cNvSpPr txBox="1"/>
      </xdr:nvSpPr>
      <xdr:spPr>
        <a:xfrm>
          <a:off x="695324" y="3619500"/>
          <a:ext cx="8052436" cy="2392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A venture capital (VC) firm with a yearly cost of capital of 20% wants to invest into Idea Ltd. The current book value of equity at Idea is 200, and the further development of their new product idea requires 300 unit of extra capital right now. In 2 years time, another 500 units of money will be needed to set up a manufacturing facility in case the product development would be successful. Then, based on the forecast, the fully equity financed Idea Ltd could be sold for 6000 in 7 years. If the product development would not be successful, the firm's assets can be sold for 700. After that, any inflow to the VC company will be invested at 5% yearly. The likelihood of success is 25%. What percentage of ownership should the VC firm receive for each of the capital raises? Are the current owners likely to accept the offer?</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7620</xdr:colOff>
      <xdr:row>10</xdr:row>
      <xdr:rowOff>99060</xdr:rowOff>
    </xdr:from>
    <xdr:to>
      <xdr:col>9</xdr:col>
      <xdr:colOff>228600</xdr:colOff>
      <xdr:row>15</xdr:row>
      <xdr:rowOff>43815</xdr:rowOff>
    </xdr:to>
    <xdr:sp macro="" textlink="">
      <xdr:nvSpPr>
        <xdr:cNvPr id="4" name="Szövegdoboz 3">
          <a:extLst>
            <a:ext uri="{FF2B5EF4-FFF2-40B4-BE49-F238E27FC236}">
              <a16:creationId xmlns:a16="http://schemas.microsoft.com/office/drawing/2014/main" id="{0B6EF324-73FB-436A-A1F8-50C48E5F0186}"/>
            </a:ext>
          </a:extLst>
        </xdr:cNvPr>
        <xdr:cNvSpPr txBox="1"/>
      </xdr:nvSpPr>
      <xdr:spPr>
        <a:xfrm>
          <a:off x="678180" y="2354580"/>
          <a:ext cx="8092440" cy="93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00000000-0008-0000-0700-000002000000}"/>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a:t>
          </a:r>
          <a:r>
            <a:rPr lang="hu-HU" sz="1400" b="1" baseline="0">
              <a:latin typeface="Times New Roman" panose="02020603050405020304" pitchFamily="18" charset="0"/>
              <a:cs typeface="Times New Roman" panose="02020603050405020304" pitchFamily="18" charset="0"/>
            </a:rPr>
            <a:t> 5</a:t>
          </a:r>
          <a:endParaRPr lang="hu-HU" sz="1400" b="1">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Describe and contrast five approaches used for asset valuation. (10 points)</a:t>
          </a:r>
        </a:p>
      </xdr:txBody>
    </xdr:sp>
    <xdr:clientData/>
  </xdr:twoCellAnchor>
  <xdr:twoCellAnchor>
    <xdr:from>
      <xdr:col>1</xdr:col>
      <xdr:colOff>9525</xdr:colOff>
      <xdr:row>16</xdr:row>
      <xdr:rowOff>9524</xdr:rowOff>
    </xdr:from>
    <xdr:to>
      <xdr:col>7</xdr:col>
      <xdr:colOff>285751</xdr:colOff>
      <xdr:row>33</xdr:row>
      <xdr:rowOff>85724</xdr:rowOff>
    </xdr:to>
    <xdr:sp macro="" textlink="">
      <xdr:nvSpPr>
        <xdr:cNvPr id="4" name="Szövegdoboz 3">
          <a:extLst>
            <a:ext uri="{FF2B5EF4-FFF2-40B4-BE49-F238E27FC236}">
              <a16:creationId xmlns:a16="http://schemas.microsoft.com/office/drawing/2014/main" id="{B2457B3A-23F9-459B-B509-8C0E2E7D7599}"/>
            </a:ext>
          </a:extLst>
        </xdr:cNvPr>
        <xdr:cNvSpPr txBox="1"/>
      </xdr:nvSpPr>
      <xdr:spPr>
        <a:xfrm>
          <a:off x="695325" y="3533774"/>
          <a:ext cx="7372351" cy="3533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dk1"/>
              </a:solidFill>
              <a:effectLst/>
              <a:latin typeface="Times New Roman" panose="02020603050405020304" pitchFamily="18" charset="0"/>
              <a:ea typeface="+mn-ea"/>
              <a:cs typeface="Times New Roman" panose="02020603050405020304" pitchFamily="18" charset="0"/>
            </a:rPr>
            <a:t>Asset based method aims to find liquidation value, depends on asset prices, list of valuables.</a:t>
          </a:r>
        </a:p>
        <a:p>
          <a:r>
            <a:rPr lang="en-US" sz="1400">
              <a:solidFill>
                <a:schemeClr val="dk1"/>
              </a:solidFill>
              <a:effectLst/>
              <a:latin typeface="Times New Roman" panose="02020603050405020304" pitchFamily="18" charset="0"/>
              <a:ea typeface="+mn-ea"/>
              <a:cs typeface="Times New Roman" panose="02020603050405020304" pitchFamily="18" charset="0"/>
            </a:rPr>
            <a:t>Asset valuation methods try to capture either the entry price or the exit price of an</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asset in the past</a:t>
          </a:r>
          <a:r>
            <a:rPr lang="en-US" sz="1400" baseline="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present or future based on the individual method. Not the same</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method should be used for all assets, we have to consider the industy.</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Purchase cost refers to accounting book value as the measure of the value of the assets with</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adjustment to book value where necessary. </a:t>
          </a:r>
        </a:p>
        <a:p>
          <a:r>
            <a:rPr lang="en-US" sz="1400">
              <a:solidFill>
                <a:schemeClr val="dk1"/>
              </a:solidFill>
              <a:effectLst/>
              <a:latin typeface="Times New Roman" panose="02020603050405020304" pitchFamily="18" charset="0"/>
              <a:ea typeface="+mn-ea"/>
              <a:cs typeface="Times New Roman" panose="02020603050405020304" pitchFamily="18" charset="0"/>
            </a:rPr>
            <a:t>- Liquidation value is obtained by aggregating the estimated sale proceeds of the asset owned</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by the firm. (exit price in the present)</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Replacement cost estimates what it would cost you to replace all of the assets that a firm has</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today but focusing on the fuctionality rather than the asset. (entry price in the present)</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Substitution value refers to the cost of repurchase of recreation of an asset (entry price in the</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present)</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Net realisable value which includes taxes and transaction fee (present exit price)</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DCF calculates the value an asset generates in the future</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Capitalisation</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Real options (multiple based applied on assets)</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400">
            <a:solidFill>
              <a:schemeClr val="dk1"/>
            </a:solidFill>
            <a:effectLst/>
            <a:latin typeface="Times New Roman" panose="02020603050405020304" pitchFamily="18" charset="0"/>
            <a:ea typeface="+mn-ea"/>
            <a:cs typeface="Times New Roman" panose="02020603050405020304" pitchFamily="18" charset="0"/>
          </a:endParaRPr>
        </a:p>
        <a:p>
          <a:endParaRPr lang="en-IN" sz="14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9524</xdr:colOff>
      <xdr:row>16</xdr:row>
      <xdr:rowOff>38100</xdr:rowOff>
    </xdr:from>
    <xdr:to>
      <xdr:col>8</xdr:col>
      <xdr:colOff>53340</xdr:colOff>
      <xdr:row>22</xdr:row>
      <xdr:rowOff>5443</xdr:rowOff>
    </xdr:to>
    <xdr:sp macro="" textlink="">
      <xdr:nvSpPr>
        <xdr:cNvPr id="2" name="Szövegdoboz 1">
          <a:extLst>
            <a:ext uri="{FF2B5EF4-FFF2-40B4-BE49-F238E27FC236}">
              <a16:creationId xmlns:a16="http://schemas.microsoft.com/office/drawing/2014/main" id="{00000000-0008-0000-0400-000002000000}"/>
            </a:ext>
          </a:extLst>
        </xdr:cNvPr>
        <xdr:cNvSpPr txBox="1"/>
      </xdr:nvSpPr>
      <xdr:spPr>
        <a:xfrm>
          <a:off x="706210" y="3445329"/>
          <a:ext cx="7250159"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Below you see the</a:t>
          </a:r>
          <a:r>
            <a:rPr lang="hu-HU" sz="1400" b="0" baseline="0">
              <a:latin typeface="Times New Roman" panose="02020603050405020304" pitchFamily="18" charset="0"/>
              <a:cs typeface="Times New Roman" panose="02020603050405020304" pitchFamily="18" charset="0"/>
            </a:rPr>
            <a:t> financial plan for two alternative strategic options. In both cases, the new projects will not generate added value during the terminal value period. Which alternative would you propose to the shareholders and why?</a:t>
          </a:r>
          <a:endParaRPr lang="hu-HU" sz="1400" b="0">
            <a:latin typeface="Times New Roman" panose="02020603050405020304" pitchFamily="18" charset="0"/>
            <a:cs typeface="Times New Roman" panose="02020603050405020304" pitchFamily="18" charset="0"/>
          </a:endParaRPr>
        </a:p>
        <a:p>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0</xdr:col>
      <xdr:colOff>655320</xdr:colOff>
      <xdr:row>9</xdr:row>
      <xdr:rowOff>190501</xdr:rowOff>
    </xdr:from>
    <xdr:to>
      <xdr:col>8</xdr:col>
      <xdr:colOff>68580</xdr:colOff>
      <xdr:row>14</xdr:row>
      <xdr:rowOff>190501</xdr:rowOff>
    </xdr:to>
    <xdr:sp macro="" textlink="">
      <xdr:nvSpPr>
        <xdr:cNvPr id="4" name="Szövegdoboz 3">
          <a:extLst>
            <a:ext uri="{FF2B5EF4-FFF2-40B4-BE49-F238E27FC236}">
              <a16:creationId xmlns:a16="http://schemas.microsoft.com/office/drawing/2014/main" id="{846A8619-E999-4C03-A94D-EF2B3BD877F9}"/>
            </a:ext>
          </a:extLst>
        </xdr:cNvPr>
        <xdr:cNvSpPr txBox="1"/>
      </xdr:nvSpPr>
      <xdr:spPr>
        <a:xfrm>
          <a:off x="655320" y="2247901"/>
          <a:ext cx="723900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twoCellAnchor>
    <xdr:from>
      <xdr:col>9</xdr:col>
      <xdr:colOff>642257</xdr:colOff>
      <xdr:row>22</xdr:row>
      <xdr:rowOff>146957</xdr:rowOff>
    </xdr:from>
    <xdr:to>
      <xdr:col>20</xdr:col>
      <xdr:colOff>395967</xdr:colOff>
      <xdr:row>41</xdr:row>
      <xdr:rowOff>87086</xdr:rowOff>
    </xdr:to>
    <xdr:sp macro="" textlink="">
      <xdr:nvSpPr>
        <xdr:cNvPr id="3" name="Szövegdoboz 2">
          <a:extLst>
            <a:ext uri="{FF2B5EF4-FFF2-40B4-BE49-F238E27FC236}">
              <a16:creationId xmlns:a16="http://schemas.microsoft.com/office/drawing/2014/main" id="{0F46CD39-068F-44A8-881A-057B25DD9E2D}"/>
            </a:ext>
          </a:extLst>
        </xdr:cNvPr>
        <xdr:cNvSpPr txBox="1"/>
      </xdr:nvSpPr>
      <xdr:spPr>
        <a:xfrm>
          <a:off x="9241971" y="4729843"/>
          <a:ext cx="7417253" cy="3467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Type your answer here.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unka/!!ExcelTr&#233;ningLegfrissebb/MasterExcelTasks2019No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ing"/>
      <sheetName val="MovingAround"/>
      <sheetName val="SelectingRanges"/>
      <sheetName val="InsertCells"/>
      <sheetName val="FormattingCells1"/>
      <sheetName val="FormattingCells2"/>
      <sheetName val="PasteSpecial"/>
      <sheetName val="ConditionalFormatting"/>
      <sheetName val="DataValidation"/>
      <sheetName val="FindSpecialCells"/>
      <sheetName val="FastInput"/>
      <sheetName val="Protecting&amp;Hiding sheets"/>
      <sheetName val="PricingShares"/>
      <sheetName val="Financial Planning"/>
      <sheetName val="Optimizing1FindingIRR"/>
      <sheetName val="Optimizing2GoalSeek"/>
      <sheetName val="Optimizing3Solver"/>
      <sheetName val="SensitivityAnalysis"/>
      <sheetName val="Sparklines"/>
      <sheetName val="VisualisingStatistics"/>
      <sheetName val="Charts1Tornado"/>
      <sheetName val="Charts2Waterfall"/>
      <sheetName val="Charts3Combined"/>
      <sheetName val="Charts4Pictures"/>
      <sheetName val="Charts5FillingPicture"/>
      <sheetName val="Charts6PeopleChart"/>
      <sheetName val="Charts8ProportionalAppearance"/>
      <sheetName val="Charts7RadialBar"/>
      <sheetName val="Charts8Dashboard"/>
      <sheetName val="Shapes"/>
      <sheetName val="LinksAmongCells"/>
      <sheetName val="UsingNames"/>
      <sheetName val="DependentLists"/>
      <sheetName val="Trends"/>
      <sheetName val="Moving Average"/>
      <sheetName val="Seasonality"/>
      <sheetName val="DataAnalysis"/>
      <sheetName val="SubTotals&amp;Groups"/>
      <sheetName val="FunctionsDifferently"/>
      <sheetName val="Sorting"/>
      <sheetName val="AutoFilter"/>
      <sheetName val="AdvancedFiler"/>
      <sheetName val="DatabaseFunctions"/>
      <sheetName val="Tables"/>
      <sheetName val="DinamicValidation"/>
      <sheetName val="PivotTable"/>
      <sheetName val="PowerQuery"/>
      <sheetName val="ReferenceFunctions"/>
      <sheetName val="RandomSample"/>
      <sheetName val="MonteCarlo"/>
      <sheetName val="Objects1"/>
      <sheetName val="ScenarioswithObjects"/>
      <sheetName val="ChartwithObject"/>
      <sheetName val="IntroToMacros"/>
      <sheetName val="Protecting&amp;Hiding_sheets1"/>
      <sheetName val="Financial_Planning1"/>
      <sheetName val="Moving_Average1"/>
      <sheetName val="Protecting&amp;Hiding_sheets"/>
      <sheetName val="Financial_Planning"/>
      <sheetName val="Moving_Average"/>
      <sheetName val="Protecting&amp;Hiding_sheets2"/>
      <sheetName val="Financial_Planning2"/>
      <sheetName val="Moving_Averag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4">
          <cell r="B4" t="str">
            <v>KSA</v>
          </cell>
        </row>
        <row r="5">
          <cell r="B5" t="str">
            <v>Kuvait</v>
          </cell>
        </row>
        <row r="6">
          <cell r="B6" t="str">
            <v>Bahrain</v>
          </cell>
        </row>
        <row r="7">
          <cell r="B7" t="str">
            <v>Qatar</v>
          </cell>
        </row>
        <row r="8">
          <cell r="B8" t="str">
            <v>UAE</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37DBD-DECA-4097-9804-D82621A13861}">
  <sheetPr codeName="Munka2">
    <tabColor rgb="FF7030A0"/>
  </sheetPr>
  <dimension ref="A1"/>
  <sheetViews>
    <sheetView showGridLines="0" zoomScale="75" workbookViewId="0">
      <selection activeCell="I32" sqref="I32"/>
    </sheetView>
  </sheetViews>
  <sheetFormatPr defaultColWidth="8.796875" defaultRowHeight="15.6"/>
  <sheetData/>
  <sheetProtection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C0D39-D3DB-4713-8991-75511A3E78C9}">
  <sheetPr codeName="Munka3"/>
  <dimension ref="C9:I20"/>
  <sheetViews>
    <sheetView showGridLines="0" workbookViewId="0">
      <selection activeCell="D13" sqref="D13:D14"/>
    </sheetView>
  </sheetViews>
  <sheetFormatPr defaultColWidth="8.796875" defaultRowHeight="15.6"/>
  <cols>
    <col min="3" max="3" width="27.5" bestFit="1" customWidth="1"/>
    <col min="4" max="4" width="32.69921875" bestFit="1" customWidth="1"/>
    <col min="9" max="9" width="25.5" bestFit="1" customWidth="1"/>
    <col min="10" max="10" width="12.69921875" bestFit="1" customWidth="1"/>
  </cols>
  <sheetData>
    <row r="9" spans="3:9" ht="34.799999999999997">
      <c r="C9" s="49" t="s">
        <v>25</v>
      </c>
      <c r="D9" s="49"/>
      <c r="E9" s="4"/>
      <c r="F9" s="4"/>
      <c r="G9" s="4"/>
    </row>
    <row r="10" spans="3:9" ht="34.799999999999997">
      <c r="C10" s="49"/>
      <c r="D10" s="49"/>
      <c r="E10" s="4"/>
      <c r="F10" s="4"/>
      <c r="G10" s="4"/>
    </row>
    <row r="11" spans="3:9" ht="22.8">
      <c r="C11" s="3"/>
      <c r="D11" s="3"/>
      <c r="G11" s="6"/>
    </row>
    <row r="12" spans="3:9" ht="22.8">
      <c r="C12" s="3" t="s">
        <v>9</v>
      </c>
      <c r="D12" s="24">
        <v>45280</v>
      </c>
    </row>
    <row r="13" spans="3:9" ht="22.8">
      <c r="C13" s="3" t="s">
        <v>12</v>
      </c>
      <c r="D13" s="16"/>
      <c r="I13" s="19" t="s">
        <v>5</v>
      </c>
    </row>
    <row r="14" spans="3:9" ht="22.8">
      <c r="C14" s="3" t="s">
        <v>11</v>
      </c>
      <c r="D14" s="16"/>
      <c r="I14" s="19" t="s">
        <v>6</v>
      </c>
    </row>
    <row r="15" spans="3:9" ht="22.8">
      <c r="C15" s="3"/>
      <c r="D15" s="5"/>
      <c r="I15" s="19"/>
    </row>
    <row r="16" spans="3:9" ht="22.8">
      <c r="C16" s="3" t="s">
        <v>13</v>
      </c>
      <c r="D16" s="21" t="s">
        <v>5</v>
      </c>
    </row>
    <row r="17" spans="3:4" ht="22.8">
      <c r="C17" s="3" t="s">
        <v>7</v>
      </c>
      <c r="D17" s="6" t="s">
        <v>8</v>
      </c>
    </row>
    <row r="18" spans="3:4" ht="22.8">
      <c r="D18" s="6"/>
    </row>
    <row r="19" spans="3:4" ht="22.8">
      <c r="D19" s="6"/>
    </row>
    <row r="20" spans="3:4" ht="22.8">
      <c r="C20" s="3" t="s">
        <v>10</v>
      </c>
      <c r="D20" s="7">
        <f>+'Bonus Task DCF compare'!C9+PE!C9+Theory!C9+'M&amp;A'!C9+DCF!C9+'Task 3'!C9</f>
        <v>0</v>
      </c>
    </row>
  </sheetData>
  <sheetProtection selectLockedCells="1"/>
  <mergeCells count="2">
    <mergeCell ref="C9:D9"/>
    <mergeCell ref="C10:D10"/>
  </mergeCells>
  <phoneticPr fontId="6" type="noConversion"/>
  <dataValidations count="1">
    <dataValidation allowBlank="1" showInputMessage="1" showErrorMessage="1" errorTitle="Ilyen csoport nincsen!" error="Kérem, a felsorolásból válasszon!" promptTitle="Válassza ki a csoportját!" sqref="D16" xr:uid="{E7C1251C-1580-42F2-91B9-E2C0C2F99FBF}"/>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1001-DD57-4B42-9CDC-B6256E26F6D7}">
  <sheetPr>
    <tabColor rgb="FF92D050"/>
  </sheetPr>
  <dimension ref="B1:I56"/>
  <sheetViews>
    <sheetView zoomScale="108" workbookViewId="0">
      <selection activeCell="B34" sqref="B34"/>
    </sheetView>
  </sheetViews>
  <sheetFormatPr defaultColWidth="8.796875" defaultRowHeight="15.6"/>
  <cols>
    <col min="2" max="2" width="20" bestFit="1" customWidth="1"/>
    <col min="3" max="3" width="37.19921875" bestFit="1" customWidth="1"/>
    <col min="4" max="4" width="15.19921875" customWidth="1"/>
    <col min="5" max="5" width="12" bestFit="1" customWidth="1"/>
    <col min="6" max="6" width="10.69921875" bestFit="1" customWidth="1"/>
    <col min="8" max="8" width="14.296875" bestFit="1" customWidth="1"/>
    <col min="9" max="9" width="10.19921875" bestFit="1" customWidth="1"/>
  </cols>
  <sheetData>
    <row r="1" spans="2:3" ht="16.2" thickBot="1"/>
    <row r="2" spans="2:3" ht="18">
      <c r="B2" s="8" t="str">
        <f>+Admin!C12</f>
        <v>Date</v>
      </c>
      <c r="C2" s="23">
        <f>+Admin!D12</f>
        <v>45280</v>
      </c>
    </row>
    <row r="3" spans="2:3" ht="18">
      <c r="B3" s="9" t="str">
        <f>+Admin!C13</f>
        <v>Student name</v>
      </c>
      <c r="C3" s="10">
        <f>+Admin!D13</f>
        <v>0</v>
      </c>
    </row>
    <row r="4" spans="2:3" ht="18">
      <c r="B4" s="9" t="str">
        <f>+Admin!C14</f>
        <v>Neptun code</v>
      </c>
      <c r="C4" s="10">
        <f>+Admin!D14</f>
        <v>0</v>
      </c>
    </row>
    <row r="5" spans="2:3" ht="18">
      <c r="B5" s="9"/>
      <c r="C5" s="11"/>
    </row>
    <row r="6" spans="2:3" ht="18">
      <c r="B6" s="9" t="str">
        <f>+Admin!C16</f>
        <v>Study program</v>
      </c>
      <c r="C6" s="11" t="str">
        <f>+Admin!D16</f>
        <v>Master in Finance</v>
      </c>
    </row>
    <row r="7" spans="2:3" ht="18.600000000000001" thickBot="1">
      <c r="B7" s="12" t="str">
        <f>+Admin!C17</f>
        <v>Instructor</v>
      </c>
      <c r="C7" s="13" t="str">
        <f>+Admin!D17</f>
        <v>Péter Juhász, PhD, CFA</v>
      </c>
    </row>
    <row r="8" spans="2:3" ht="16.2" thickBot="1"/>
    <row r="9" spans="2:3" ht="21" thickBot="1">
      <c r="B9" s="14" t="s">
        <v>14</v>
      </c>
      <c r="C9" s="15"/>
    </row>
    <row r="23" spans="3:8">
      <c r="D23" s="17" t="s">
        <v>19</v>
      </c>
      <c r="E23" s="17" t="s">
        <v>20</v>
      </c>
      <c r="F23" s="17" t="s">
        <v>18</v>
      </c>
    </row>
    <row r="24" spans="3:8">
      <c r="C24" t="s">
        <v>26</v>
      </c>
      <c r="D24" s="25">
        <v>500</v>
      </c>
      <c r="E24" s="25"/>
      <c r="F24" s="25">
        <v>600</v>
      </c>
      <c r="H24" t="s">
        <v>95</v>
      </c>
    </row>
    <row r="25" spans="3:8">
      <c r="C25" t="s">
        <v>31</v>
      </c>
      <c r="D25" s="25"/>
      <c r="E25" s="25">
        <v>70</v>
      </c>
      <c r="F25" s="25"/>
    </row>
    <row r="26" spans="3:8">
      <c r="C26" t="s">
        <v>0</v>
      </c>
      <c r="D26" s="18">
        <v>0.03</v>
      </c>
      <c r="E26" s="18">
        <v>0.04</v>
      </c>
      <c r="F26" s="18">
        <v>3.3000000000000002E-2</v>
      </c>
    </row>
    <row r="27" spans="3:8">
      <c r="C27" t="s">
        <v>22</v>
      </c>
      <c r="D27" s="18">
        <v>0.1</v>
      </c>
      <c r="E27" s="18">
        <v>0.1</v>
      </c>
      <c r="F27" s="18">
        <v>0.1</v>
      </c>
    </row>
    <row r="28" spans="3:8">
      <c r="C28" t="s">
        <v>21</v>
      </c>
      <c r="D28" s="18">
        <v>0.25</v>
      </c>
      <c r="E28" s="18">
        <v>0.3</v>
      </c>
      <c r="F28" s="18">
        <v>0.25</v>
      </c>
    </row>
    <row r="29" spans="3:8">
      <c r="C29" t="s">
        <v>3</v>
      </c>
      <c r="D29" s="18">
        <v>0.05</v>
      </c>
      <c r="E29" s="18">
        <v>0.06</v>
      </c>
      <c r="F29" s="18">
        <v>0.05</v>
      </c>
    </row>
    <row r="30" spans="3:8">
      <c r="C30" t="s">
        <v>2</v>
      </c>
      <c r="D30" s="18">
        <v>0.15</v>
      </c>
      <c r="E30" s="18">
        <v>0.15</v>
      </c>
      <c r="F30" s="18">
        <v>0.15</v>
      </c>
    </row>
    <row r="31" spans="3:8">
      <c r="C31" t="s">
        <v>27</v>
      </c>
      <c r="D31" s="28">
        <v>1000000</v>
      </c>
      <c r="E31" s="28">
        <v>2000000</v>
      </c>
    </row>
    <row r="33" spans="3:9">
      <c r="C33" t="s">
        <v>93</v>
      </c>
      <c r="D33" s="46">
        <f>(D27-D29*D28)/(1-D28)</f>
        <v>0.11666666666666668</v>
      </c>
      <c r="E33" s="46">
        <f>(E27-E29*E28)/(1-E28)</f>
        <v>0.11714285714285716</v>
      </c>
      <c r="F33" s="46">
        <f>(F27-F29*F28)/(1-F28)</f>
        <v>0.11666666666666668</v>
      </c>
    </row>
    <row r="36" spans="3:9">
      <c r="C36" t="s">
        <v>69</v>
      </c>
      <c r="D36" s="18">
        <f>D27-D29*D28*D30</f>
        <v>9.8125000000000004E-2</v>
      </c>
      <c r="E36" s="18">
        <f>E27-E29*E28*E30</f>
        <v>9.7300000000000011E-2</v>
      </c>
      <c r="F36" s="18">
        <f>F27-F29*F28*F30</f>
        <v>9.8125000000000004E-2</v>
      </c>
    </row>
    <row r="37" spans="3:9">
      <c r="C37" t="s">
        <v>70</v>
      </c>
      <c r="D37" s="18">
        <f>D26/D36</f>
        <v>0.30573248407643311</v>
      </c>
      <c r="E37" s="18">
        <f>E26/E36</f>
        <v>0.41109969167523119</v>
      </c>
      <c r="F37" s="18">
        <f>F26/F36</f>
        <v>0.33630573248407641</v>
      </c>
    </row>
    <row r="38" spans="3:9">
      <c r="C38" t="s">
        <v>67</v>
      </c>
      <c r="D38" s="25">
        <f>D24/(1-D37)</f>
        <v>720.18348623853205</v>
      </c>
      <c r="E38" s="25">
        <f>E24/(1-E37)</f>
        <v>0</v>
      </c>
      <c r="F38" s="25">
        <f>F24/(1-F37)</f>
        <v>904.03071017274465</v>
      </c>
    </row>
    <row r="40" spans="3:9">
      <c r="C40" t="s">
        <v>71</v>
      </c>
      <c r="D40" s="25">
        <f>D24/(D36-D26)</f>
        <v>7339.4495412844035</v>
      </c>
      <c r="E40">
        <f>E42/(1-E28)</f>
        <v>1296.2962962962963</v>
      </c>
      <c r="F40" s="25">
        <f>F24/(F36-F26)</f>
        <v>9213.0518234165065</v>
      </c>
      <c r="H40" s="37"/>
      <c r="I40" s="37"/>
    </row>
    <row r="41" spans="3:9">
      <c r="C41" t="s">
        <v>72</v>
      </c>
      <c r="D41" s="25">
        <f>D40*D28</f>
        <v>1834.8623853211009</v>
      </c>
      <c r="E41" s="25">
        <f>E40-E42</f>
        <v>388.88888888888903</v>
      </c>
      <c r="F41" s="25">
        <f>F40*F28</f>
        <v>2303.2629558541266</v>
      </c>
      <c r="H41" s="37"/>
      <c r="I41" s="37"/>
    </row>
    <row r="42" spans="3:9">
      <c r="C42" t="s">
        <v>73</v>
      </c>
      <c r="D42" s="25">
        <f>D40-D41</f>
        <v>5504.5871559633024</v>
      </c>
      <c r="E42" s="25">
        <f>E25/(E33-E26)</f>
        <v>907.40740740740728</v>
      </c>
      <c r="F42" s="25">
        <f t="shared" ref="F42" si="0">F40-F41</f>
        <v>6909.7888675623799</v>
      </c>
      <c r="H42" s="37"/>
      <c r="I42" s="37"/>
    </row>
    <row r="43" spans="3:9">
      <c r="C43" t="s">
        <v>74</v>
      </c>
      <c r="F43" s="25">
        <f>F40-D40-E40</f>
        <v>577.30598583580672</v>
      </c>
      <c r="G43" t="s">
        <v>97</v>
      </c>
    </row>
    <row r="44" spans="3:9">
      <c r="D44" t="s">
        <v>77</v>
      </c>
    </row>
    <row r="45" spans="3:9">
      <c r="C45" t="s">
        <v>75</v>
      </c>
      <c r="D45" s="25">
        <f>E42</f>
        <v>907.40740740740728</v>
      </c>
      <c r="F45" t="s">
        <v>96</v>
      </c>
    </row>
    <row r="46" spans="3:9">
      <c r="C46" t="s">
        <v>76</v>
      </c>
      <c r="D46" s="38">
        <f>D45+F43</f>
        <v>1484.7133932432139</v>
      </c>
      <c r="E46" s="38"/>
    </row>
    <row r="48" spans="3:9">
      <c r="C48" t="s">
        <v>78</v>
      </c>
      <c r="D48" s="38">
        <f>D45+(0.3*F43)</f>
        <v>1080.5992031581493</v>
      </c>
    </row>
    <row r="49" spans="3:4">
      <c r="C49" t="s">
        <v>58</v>
      </c>
      <c r="D49" s="38">
        <f>D48*40%</f>
        <v>432.23968126325974</v>
      </c>
    </row>
    <row r="50" spans="3:4">
      <c r="C50" t="s">
        <v>79</v>
      </c>
      <c r="D50" s="38">
        <f>D48-D49</f>
        <v>648.35952189488955</v>
      </c>
    </row>
    <row r="51" spans="3:4">
      <c r="C51" t="s">
        <v>80</v>
      </c>
      <c r="D51" s="39">
        <f>D50/F40</f>
        <v>7.0374023105674477E-2</v>
      </c>
    </row>
    <row r="53" spans="3:4">
      <c r="C53" t="s">
        <v>81</v>
      </c>
      <c r="D53">
        <v>1000000</v>
      </c>
    </row>
    <row r="54" spans="3:4">
      <c r="C54" t="s">
        <v>82</v>
      </c>
      <c r="D54" s="26">
        <f>(1-D51)</f>
        <v>0.92962597689432558</v>
      </c>
    </row>
    <row r="56" spans="3:4">
      <c r="C56" t="s">
        <v>83</v>
      </c>
      <c r="D56" s="40">
        <f>D53*D51</f>
        <v>70374.023105674481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A70D-9BBD-467B-9276-4356E1676819}">
  <sheetPr>
    <tabColor rgb="FF92D050"/>
  </sheetPr>
  <dimension ref="B1:T72"/>
  <sheetViews>
    <sheetView topLeftCell="B36" zoomScaleNormal="114" workbookViewId="0">
      <selection activeCell="M72" sqref="M72"/>
    </sheetView>
  </sheetViews>
  <sheetFormatPr defaultColWidth="8.796875" defaultRowHeight="15.6"/>
  <cols>
    <col min="2" max="2" width="18.69921875" bestFit="1" customWidth="1"/>
    <col min="3" max="3" width="26.69921875" bestFit="1" customWidth="1"/>
    <col min="4" max="4" width="11.796875" bestFit="1" customWidth="1"/>
    <col min="5" max="9" width="11.5" bestFit="1" customWidth="1"/>
    <col min="10" max="10" width="12.19921875" bestFit="1" customWidth="1"/>
    <col min="12" max="12" width="13.19921875" bestFit="1" customWidth="1"/>
    <col min="13" max="16" width="12.19921875" bestFit="1" customWidth="1"/>
    <col min="17" max="19" width="11.69921875" bestFit="1" customWidth="1"/>
  </cols>
  <sheetData>
    <row r="1" spans="2:3" ht="16.2" thickBot="1"/>
    <row r="2" spans="2:3" ht="18">
      <c r="B2" s="8" t="str">
        <f>+Admin!C12</f>
        <v>Date</v>
      </c>
      <c r="C2" s="23">
        <f>+Admin!D12</f>
        <v>45280</v>
      </c>
    </row>
    <row r="3" spans="2:3" ht="18">
      <c r="B3" s="9" t="str">
        <f>+Admin!C13</f>
        <v>Student name</v>
      </c>
      <c r="C3" s="10">
        <f>+Admin!D13</f>
        <v>0</v>
      </c>
    </row>
    <row r="4" spans="2:3" ht="18">
      <c r="B4" s="9" t="str">
        <f>+Admin!C14</f>
        <v>Neptun code</v>
      </c>
      <c r="C4" s="10">
        <f>+Admin!D14</f>
        <v>0</v>
      </c>
    </row>
    <row r="5" spans="2:3" ht="18">
      <c r="B5" s="9"/>
      <c r="C5" s="11"/>
    </row>
    <row r="6" spans="2:3" ht="18">
      <c r="B6" s="9" t="str">
        <f>+Admin!C16</f>
        <v>Study program</v>
      </c>
      <c r="C6" s="11" t="str">
        <f>+Admin!D16</f>
        <v>Master in Finance</v>
      </c>
    </row>
    <row r="7" spans="2:3" ht="18.600000000000001" thickBot="1">
      <c r="B7" s="12" t="str">
        <f>+Admin!C17</f>
        <v>Instructor</v>
      </c>
      <c r="C7" s="13" t="str">
        <f>+Admin!D17</f>
        <v>Péter Juhász, PhD, CFA</v>
      </c>
    </row>
    <row r="8" spans="2:3" ht="16.2" thickBot="1"/>
    <row r="9" spans="2:3" ht="21" thickBot="1">
      <c r="B9" s="14" t="s">
        <v>14</v>
      </c>
      <c r="C9" s="15"/>
    </row>
    <row r="24" spans="3:19">
      <c r="C24" s="29"/>
      <c r="D24" s="22">
        <v>2023</v>
      </c>
      <c r="E24" s="17">
        <f>+D24+1</f>
        <v>2024</v>
      </c>
      <c r="F24" s="17">
        <f t="shared" ref="F24:H24" si="0">+E24+1</f>
        <v>2025</v>
      </c>
      <c r="G24" s="17">
        <f t="shared" si="0"/>
        <v>2026</v>
      </c>
      <c r="H24" s="17">
        <f t="shared" si="0"/>
        <v>2027</v>
      </c>
      <c r="I24" s="1" t="s">
        <v>23</v>
      </c>
      <c r="J24" s="1" t="s">
        <v>24</v>
      </c>
      <c r="M24" s="22">
        <v>2023</v>
      </c>
      <c r="N24" s="17">
        <f>+M24+1</f>
        <v>2024</v>
      </c>
      <c r="O24" s="17">
        <f t="shared" ref="O24" si="1">+N24+1</f>
        <v>2025</v>
      </c>
      <c r="P24" s="17">
        <f t="shared" ref="P24" si="2">+O24+1</f>
        <v>2026</v>
      </c>
      <c r="Q24" s="17">
        <f t="shared" ref="Q24" si="3">+P24+1</f>
        <v>2027</v>
      </c>
      <c r="R24" s="1" t="s">
        <v>23</v>
      </c>
      <c r="S24" s="1" t="s">
        <v>24</v>
      </c>
    </row>
    <row r="25" spans="3:19">
      <c r="C25" s="29" t="s">
        <v>15</v>
      </c>
      <c r="D25" s="31">
        <v>750000</v>
      </c>
      <c r="E25" s="36">
        <f t="shared" ref="E25:J25" si="4">D25+D26</f>
        <v>810000</v>
      </c>
      <c r="F25" s="36">
        <f t="shared" si="4"/>
        <v>860000</v>
      </c>
      <c r="G25" s="36">
        <f t="shared" si="4"/>
        <v>903000</v>
      </c>
      <c r="H25" s="36">
        <f t="shared" si="4"/>
        <v>936927</v>
      </c>
      <c r="I25" s="36">
        <f t="shared" si="4"/>
        <v>966302.12749999994</v>
      </c>
      <c r="J25" s="36">
        <f t="shared" si="4"/>
        <v>1050617.6866722482</v>
      </c>
      <c r="L25" s="29" t="s">
        <v>15</v>
      </c>
      <c r="M25" s="31">
        <v>750000</v>
      </c>
      <c r="N25" s="36"/>
      <c r="O25" s="36"/>
      <c r="P25" s="36"/>
      <c r="Q25" s="36"/>
      <c r="R25" s="36"/>
      <c r="S25" s="36"/>
    </row>
    <row r="26" spans="3:19">
      <c r="C26" s="30" t="s">
        <v>33</v>
      </c>
      <c r="D26" s="33">
        <v>60000</v>
      </c>
      <c r="E26" s="33">
        <v>50000</v>
      </c>
      <c r="F26" s="17">
        <f>F49*F29</f>
        <v>43000</v>
      </c>
      <c r="G26" s="17">
        <f>G49*G29</f>
        <v>33927</v>
      </c>
      <c r="H26" s="17">
        <f>H49*H29</f>
        <v>29375.127499999999</v>
      </c>
      <c r="I26" s="17">
        <f>I29*I49</f>
        <v>84315.55917224822</v>
      </c>
      <c r="J26" s="17">
        <f>J29*J49</f>
        <v>89374.49272258312</v>
      </c>
      <c r="L26" s="30" t="s">
        <v>33</v>
      </c>
      <c r="M26" s="33">
        <v>60000</v>
      </c>
      <c r="N26" s="33">
        <v>50000</v>
      </c>
      <c r="O26" s="17"/>
      <c r="P26" s="17"/>
      <c r="Q26" s="17"/>
      <c r="R26" s="17"/>
      <c r="S26" s="17"/>
    </row>
    <row r="27" spans="3:19">
      <c r="C27" s="30" t="s">
        <v>4</v>
      </c>
      <c r="D27" s="2">
        <v>0.11</v>
      </c>
      <c r="E27" s="2">
        <v>0.12</v>
      </c>
      <c r="F27" s="2">
        <v>0.125</v>
      </c>
      <c r="G27" s="2"/>
      <c r="H27" s="2"/>
      <c r="I27" s="2"/>
      <c r="L27" s="30" t="s">
        <v>4</v>
      </c>
      <c r="M27" s="2">
        <v>0.11</v>
      </c>
      <c r="N27" s="2">
        <v>0.12</v>
      </c>
      <c r="O27" s="2">
        <v>0.125</v>
      </c>
      <c r="P27" s="2"/>
      <c r="Q27" s="2"/>
      <c r="R27" s="2"/>
    </row>
    <row r="28" spans="3:19">
      <c r="C28" s="30" t="s">
        <v>1</v>
      </c>
      <c r="D28" s="2"/>
      <c r="E28" s="2"/>
      <c r="F28" s="2"/>
      <c r="G28" s="2">
        <v>0.13</v>
      </c>
      <c r="H28" s="2">
        <v>0.13</v>
      </c>
      <c r="I28" s="42">
        <f>I42</f>
        <v>8.5400000000000004E-2</v>
      </c>
      <c r="J28" s="42">
        <f>J42</f>
        <v>8.5400000000000004E-2</v>
      </c>
      <c r="L28" s="30" t="s">
        <v>1</v>
      </c>
      <c r="M28" s="2"/>
      <c r="N28" s="2"/>
      <c r="O28" s="2"/>
      <c r="P28" s="2">
        <v>0.13</v>
      </c>
      <c r="Q28" s="2">
        <v>0.13</v>
      </c>
      <c r="R28" s="42">
        <f>R42</f>
        <v>8.5400000000000004E-2</v>
      </c>
      <c r="S28" s="42">
        <f>S42</f>
        <v>8.5400000000000004E-2</v>
      </c>
    </row>
    <row r="29" spans="3:19">
      <c r="C29" s="30" t="s">
        <v>28</v>
      </c>
      <c r="D29" s="2"/>
      <c r="E29" s="2"/>
      <c r="F29" s="2">
        <v>0.4</v>
      </c>
      <c r="G29" s="2">
        <v>0.3</v>
      </c>
      <c r="H29" s="2">
        <v>0.25</v>
      </c>
      <c r="I29" s="2">
        <f>J30/J28</f>
        <v>0.70257611241217788</v>
      </c>
      <c r="J29" s="2">
        <v>0.70257611241217788</v>
      </c>
      <c r="L29" s="30" t="s">
        <v>28</v>
      </c>
      <c r="M29" s="2"/>
      <c r="N29" s="2"/>
      <c r="O29" s="2">
        <v>0.4</v>
      </c>
      <c r="P29" s="2">
        <v>0.3</v>
      </c>
      <c r="Q29" s="2">
        <v>0.25</v>
      </c>
      <c r="R29" s="2">
        <f>S30/S28</f>
        <v>0.70257611241217788</v>
      </c>
      <c r="S29" s="2">
        <f>R29</f>
        <v>0.70257611241217788</v>
      </c>
    </row>
    <row r="30" spans="3:19">
      <c r="C30" s="30" t="s">
        <v>29</v>
      </c>
      <c r="D30" s="2"/>
      <c r="E30" s="2"/>
      <c r="F30" s="2"/>
      <c r="G30" s="2"/>
      <c r="H30" s="2"/>
      <c r="I30" s="2">
        <v>0.06</v>
      </c>
      <c r="J30" s="2">
        <v>0.06</v>
      </c>
      <c r="L30" s="30" t="s">
        <v>29</v>
      </c>
      <c r="M30" s="2"/>
      <c r="N30" s="2"/>
      <c r="O30" s="2"/>
      <c r="P30" s="2"/>
      <c r="Q30" s="2"/>
      <c r="R30" s="2">
        <v>0.06</v>
      </c>
      <c r="S30" s="2">
        <v>0.06</v>
      </c>
    </row>
    <row r="31" spans="3:19">
      <c r="C31" s="43" t="s">
        <v>17</v>
      </c>
      <c r="D31" s="44">
        <f>D45/D71</f>
        <v>0</v>
      </c>
      <c r="E31" s="44">
        <f>E45/E71</f>
        <v>0.17346936904675153</v>
      </c>
      <c r="F31" s="44">
        <f t="shared" ref="F31" si="5">F45/F71</f>
        <v>0.25723359623573921</v>
      </c>
      <c r="G31" s="42">
        <v>0.3</v>
      </c>
      <c r="H31" s="42">
        <v>0.3</v>
      </c>
      <c r="I31" s="42">
        <v>0.3</v>
      </c>
      <c r="J31" s="42">
        <v>0.3</v>
      </c>
      <c r="L31" s="43" t="s">
        <v>17</v>
      </c>
      <c r="M31" s="44">
        <f>M44/M71</f>
        <v>0</v>
      </c>
      <c r="N31" s="44">
        <f t="shared" ref="N31:O31" si="6">N44/N71</f>
        <v>0.1390388628845039</v>
      </c>
      <c r="O31" s="44">
        <f t="shared" si="6"/>
        <v>0.20508613232179956</v>
      </c>
      <c r="P31" s="42">
        <v>0.3</v>
      </c>
      <c r="Q31" s="42">
        <v>0.3</v>
      </c>
      <c r="R31" s="42">
        <v>0.3</v>
      </c>
      <c r="S31" s="42">
        <v>0.3</v>
      </c>
    </row>
    <row r="32" spans="3:19">
      <c r="C32" s="30" t="s">
        <v>16</v>
      </c>
      <c r="D32" s="2">
        <v>0</v>
      </c>
      <c r="E32" s="2">
        <v>0.2</v>
      </c>
      <c r="F32" s="2">
        <v>0.3</v>
      </c>
      <c r="G32" s="2"/>
      <c r="H32" s="2"/>
      <c r="I32" s="2"/>
      <c r="J32" s="2"/>
      <c r="L32" s="30" t="s">
        <v>16</v>
      </c>
      <c r="M32" s="2">
        <v>0</v>
      </c>
      <c r="N32" s="2">
        <v>0.2</v>
      </c>
      <c r="O32" s="2">
        <v>0.3</v>
      </c>
      <c r="P32" s="2"/>
      <c r="Q32" s="2"/>
      <c r="R32" s="2"/>
      <c r="S32" s="2"/>
    </row>
    <row r="33" spans="3:20">
      <c r="C33" s="30" t="s">
        <v>2</v>
      </c>
      <c r="D33" s="2">
        <v>0.2</v>
      </c>
      <c r="E33" s="2">
        <v>0.2</v>
      </c>
      <c r="F33" s="2">
        <v>0.2</v>
      </c>
      <c r="G33" s="2">
        <v>0.2</v>
      </c>
      <c r="H33" s="2">
        <v>0.2</v>
      </c>
      <c r="I33" s="2">
        <v>0.2</v>
      </c>
      <c r="J33" s="2">
        <v>0.2</v>
      </c>
      <c r="L33" s="30" t="s">
        <v>2</v>
      </c>
      <c r="M33" s="2">
        <v>0.2</v>
      </c>
      <c r="N33" s="2">
        <v>0.2</v>
      </c>
      <c r="O33" s="2">
        <v>0.2</v>
      </c>
      <c r="P33" s="2">
        <v>0.2</v>
      </c>
      <c r="Q33" s="2">
        <v>0.2</v>
      </c>
      <c r="R33" s="2">
        <v>0.2</v>
      </c>
      <c r="S33" s="2">
        <v>0.2</v>
      </c>
    </row>
    <row r="34" spans="3:20">
      <c r="C34" s="29" t="s">
        <v>30</v>
      </c>
      <c r="D34" s="2">
        <v>0.1</v>
      </c>
      <c r="E34" s="2">
        <v>0.08</v>
      </c>
      <c r="F34" s="2">
        <v>7.0000000000000007E-2</v>
      </c>
      <c r="G34" s="2">
        <v>0.06</v>
      </c>
      <c r="H34" s="2">
        <v>0.05</v>
      </c>
      <c r="I34" s="2">
        <v>0.05</v>
      </c>
      <c r="J34" s="2">
        <v>0.05</v>
      </c>
      <c r="L34" s="29" t="s">
        <v>30</v>
      </c>
      <c r="M34" s="2">
        <v>0.1</v>
      </c>
      <c r="N34" s="2">
        <v>0.08</v>
      </c>
      <c r="O34" s="2">
        <v>7.0000000000000007E-2</v>
      </c>
      <c r="P34" s="2">
        <v>0.06</v>
      </c>
      <c r="Q34" s="2">
        <v>0.05</v>
      </c>
      <c r="R34" s="2">
        <v>0.05</v>
      </c>
      <c r="S34" s="2">
        <v>0.05</v>
      </c>
    </row>
    <row r="35" spans="3:20">
      <c r="C35" t="s">
        <v>39</v>
      </c>
      <c r="D35" s="18">
        <v>0.16</v>
      </c>
      <c r="E35" s="18">
        <v>0.14000000000000001</v>
      </c>
      <c r="F35" s="18">
        <v>0.13</v>
      </c>
      <c r="G35" s="18">
        <v>0.12</v>
      </c>
      <c r="H35" s="18">
        <v>0.11</v>
      </c>
      <c r="I35" s="18">
        <v>0.11</v>
      </c>
      <c r="J35" s="18">
        <v>0.11</v>
      </c>
      <c r="L35" t="s">
        <v>39</v>
      </c>
      <c r="M35" s="18">
        <v>0.16</v>
      </c>
      <c r="N35" s="18">
        <v>0.14000000000000001</v>
      </c>
      <c r="O35" s="18">
        <v>0.13</v>
      </c>
      <c r="P35" s="18">
        <v>0.12</v>
      </c>
      <c r="Q35" s="18">
        <v>0.11</v>
      </c>
      <c r="R35" s="18">
        <v>0.11</v>
      </c>
      <c r="S35" s="18">
        <v>0.11</v>
      </c>
    </row>
    <row r="36" spans="3:20">
      <c r="C36" s="32" t="s">
        <v>32</v>
      </c>
      <c r="D36" s="33">
        <v>0.8</v>
      </c>
      <c r="E36" s="33">
        <v>0.8</v>
      </c>
      <c r="F36" s="33">
        <v>0.8</v>
      </c>
      <c r="G36" s="33">
        <v>0.8</v>
      </c>
      <c r="H36" s="33">
        <v>0.8</v>
      </c>
      <c r="I36" s="33">
        <v>0.8</v>
      </c>
      <c r="J36" s="33">
        <v>0.8</v>
      </c>
      <c r="L36" s="32" t="s">
        <v>32</v>
      </c>
      <c r="M36" s="33">
        <v>0.8</v>
      </c>
      <c r="N36" s="33">
        <v>0.8</v>
      </c>
      <c r="O36" s="33">
        <v>0.8</v>
      </c>
      <c r="P36" s="33">
        <v>0.8</v>
      </c>
      <c r="Q36" s="33">
        <v>0.8</v>
      </c>
      <c r="R36" s="33">
        <v>0.8</v>
      </c>
      <c r="S36" s="33">
        <v>0.8</v>
      </c>
    </row>
    <row r="37" spans="3:20">
      <c r="C37" t="s">
        <v>40</v>
      </c>
      <c r="D37" s="18">
        <v>0</v>
      </c>
      <c r="E37" s="18">
        <v>0.01</v>
      </c>
      <c r="F37" s="18">
        <v>1.4999999999999999E-2</v>
      </c>
      <c r="G37" s="18">
        <v>0.02</v>
      </c>
      <c r="H37" s="18">
        <v>0.02</v>
      </c>
      <c r="I37" s="18">
        <v>0.02</v>
      </c>
      <c r="J37" s="18">
        <v>0.02</v>
      </c>
      <c r="L37" t="s">
        <v>40</v>
      </c>
      <c r="M37" s="18">
        <v>0</v>
      </c>
      <c r="N37" s="18">
        <v>0.01</v>
      </c>
      <c r="O37" s="18">
        <v>1.4999999999999999E-2</v>
      </c>
      <c r="P37" s="18">
        <v>0.02</v>
      </c>
      <c r="Q37" s="18">
        <v>0.02</v>
      </c>
      <c r="R37" s="18">
        <v>0.02</v>
      </c>
      <c r="S37" s="18">
        <v>0.02</v>
      </c>
    </row>
    <row r="39" spans="3:20">
      <c r="C39" t="s">
        <v>93</v>
      </c>
      <c r="D39" s="41">
        <f>D34+D36*(D35-D34)</f>
        <v>0.14800000000000002</v>
      </c>
      <c r="E39" s="41">
        <f t="shared" ref="E39:J39" si="7">E34+E36*(E35-E34)</f>
        <v>0.128</v>
      </c>
      <c r="F39" s="41">
        <f t="shared" si="7"/>
        <v>0.11800000000000001</v>
      </c>
      <c r="G39" s="41">
        <f t="shared" si="7"/>
        <v>0.108</v>
      </c>
      <c r="H39" s="41">
        <f t="shared" si="7"/>
        <v>9.8000000000000004E-2</v>
      </c>
      <c r="I39" s="41">
        <f t="shared" si="7"/>
        <v>9.8000000000000004E-2</v>
      </c>
      <c r="J39" s="41">
        <f t="shared" si="7"/>
        <v>9.8000000000000004E-2</v>
      </c>
      <c r="L39" t="s">
        <v>93</v>
      </c>
      <c r="M39" s="18">
        <f>M34+M36*(M35-M34)</f>
        <v>0.14800000000000002</v>
      </c>
      <c r="N39" s="18">
        <f t="shared" ref="N39:S39" si="8">N34+N36*(N35-N34)</f>
        <v>0.128</v>
      </c>
      <c r="O39" s="18">
        <f t="shared" si="8"/>
        <v>0.11800000000000001</v>
      </c>
      <c r="P39" s="18">
        <f t="shared" si="8"/>
        <v>0.108</v>
      </c>
      <c r="Q39" s="18">
        <f t="shared" si="8"/>
        <v>9.8000000000000004E-2</v>
      </c>
      <c r="R39" s="18">
        <f t="shared" si="8"/>
        <v>9.8000000000000004E-2</v>
      </c>
      <c r="S39" s="18">
        <f t="shared" si="8"/>
        <v>9.8000000000000004E-2</v>
      </c>
    </row>
    <row r="40" spans="3:20">
      <c r="C40" t="s">
        <v>3</v>
      </c>
      <c r="D40" s="28">
        <f>D34+D37</f>
        <v>0.1</v>
      </c>
      <c r="E40" s="28">
        <f t="shared" ref="E40:J40" si="9">E34+E37</f>
        <v>0.09</v>
      </c>
      <c r="F40" s="28">
        <f t="shared" si="9"/>
        <v>8.5000000000000006E-2</v>
      </c>
      <c r="G40" s="28">
        <f t="shared" si="9"/>
        <v>0.08</v>
      </c>
      <c r="H40" s="28">
        <f t="shared" si="9"/>
        <v>7.0000000000000007E-2</v>
      </c>
      <c r="I40" s="28">
        <f t="shared" si="9"/>
        <v>7.0000000000000007E-2</v>
      </c>
      <c r="J40" s="28">
        <f t="shared" si="9"/>
        <v>7.0000000000000007E-2</v>
      </c>
      <c r="K40" s="28"/>
      <c r="L40" t="s">
        <v>3</v>
      </c>
      <c r="M40" s="18">
        <f>M34+M37</f>
        <v>0.1</v>
      </c>
      <c r="N40" s="18">
        <f t="shared" ref="N40:S40" si="10">N34+N37</f>
        <v>0.09</v>
      </c>
      <c r="O40" s="18">
        <f t="shared" si="10"/>
        <v>8.5000000000000006E-2</v>
      </c>
      <c r="P40" s="18">
        <f t="shared" si="10"/>
        <v>0.08</v>
      </c>
      <c r="Q40" s="18">
        <f t="shared" si="10"/>
        <v>7.0000000000000007E-2</v>
      </c>
      <c r="R40" s="18">
        <f t="shared" si="10"/>
        <v>7.0000000000000007E-2</v>
      </c>
      <c r="S40" s="18">
        <f t="shared" si="10"/>
        <v>7.0000000000000007E-2</v>
      </c>
    </row>
    <row r="41" spans="3:20">
      <c r="C41" t="s">
        <v>22</v>
      </c>
      <c r="D41" s="41">
        <f>D39*(1-D31)+(D40*D31)</f>
        <v>0.14800000000000002</v>
      </c>
      <c r="E41" s="41">
        <f t="shared" ref="E41:J41" si="11">E39*(1-E31)+(E40*E31)</f>
        <v>0.12140816397622345</v>
      </c>
      <c r="F41" s="41">
        <f>F39*(1-F31)+(F40*F31)</f>
        <v>0.10951129132422061</v>
      </c>
      <c r="G41" s="41">
        <f t="shared" si="11"/>
        <v>9.9599999999999994E-2</v>
      </c>
      <c r="H41" s="41">
        <f t="shared" si="11"/>
        <v>8.9599999999999999E-2</v>
      </c>
      <c r="I41" s="41">
        <f t="shared" si="11"/>
        <v>8.9599999999999999E-2</v>
      </c>
      <c r="J41" s="41">
        <f t="shared" si="11"/>
        <v>8.9599999999999999E-2</v>
      </c>
      <c r="L41" t="s">
        <v>22</v>
      </c>
      <c r="M41" s="41">
        <f>M39*(1-M31)+M40*M31</f>
        <v>0.14800000000000002</v>
      </c>
      <c r="N41" s="41">
        <f t="shared" ref="N41:S41" si="12">N39*(1-N31)+N40*N31</f>
        <v>0.12271652321038887</v>
      </c>
      <c r="O41" s="41">
        <f t="shared" si="12"/>
        <v>0.11123215763338062</v>
      </c>
      <c r="P41" s="41">
        <f t="shared" si="12"/>
        <v>9.9599999999999994E-2</v>
      </c>
      <c r="Q41" s="41">
        <f t="shared" si="12"/>
        <v>8.9599999999999999E-2</v>
      </c>
      <c r="R41" s="41">
        <f t="shared" si="12"/>
        <v>8.9599999999999999E-2</v>
      </c>
      <c r="S41" s="41">
        <f t="shared" si="12"/>
        <v>8.9599999999999999E-2</v>
      </c>
    </row>
    <row r="42" spans="3:20">
      <c r="C42" t="s">
        <v>69</v>
      </c>
      <c r="D42" s="41">
        <f>D41-D31*D40*D33</f>
        <v>0.14800000000000002</v>
      </c>
      <c r="E42" s="41">
        <f t="shared" ref="E42:J42" si="13">E41-E31*E40*E33</f>
        <v>0.11828571533338192</v>
      </c>
      <c r="F42" s="41">
        <f t="shared" si="13"/>
        <v>0.10513832018821304</v>
      </c>
      <c r="G42" s="41">
        <f t="shared" si="13"/>
        <v>9.4799999999999995E-2</v>
      </c>
      <c r="H42" s="41">
        <f t="shared" si="13"/>
        <v>8.5400000000000004E-2</v>
      </c>
      <c r="I42" s="41">
        <f t="shared" si="13"/>
        <v>8.5400000000000004E-2</v>
      </c>
      <c r="J42" s="41">
        <f t="shared" si="13"/>
        <v>8.5400000000000004E-2</v>
      </c>
      <c r="L42" t="s">
        <v>98</v>
      </c>
      <c r="M42" s="41">
        <f>(M41-M31*M40*M33)</f>
        <v>0.14800000000000002</v>
      </c>
      <c r="N42" s="41">
        <f t="shared" ref="N42:S42" si="14">(N41-N31*N40*N33)</f>
        <v>0.12021382367846779</v>
      </c>
      <c r="O42" s="41">
        <f t="shared" si="14"/>
        <v>0.10774569338391003</v>
      </c>
      <c r="P42" s="41">
        <f t="shared" si="14"/>
        <v>9.4799999999999995E-2</v>
      </c>
      <c r="Q42" s="41">
        <f t="shared" si="14"/>
        <v>8.5400000000000004E-2</v>
      </c>
      <c r="R42" s="41">
        <f t="shared" si="14"/>
        <v>8.5400000000000004E-2</v>
      </c>
      <c r="S42" s="41">
        <f t="shared" si="14"/>
        <v>8.5400000000000004E-2</v>
      </c>
    </row>
    <row r="43" spans="3:20">
      <c r="L43" t="s">
        <v>15</v>
      </c>
      <c r="M43" s="28">
        <f>M25</f>
        <v>750000</v>
      </c>
      <c r="N43" s="28">
        <f>M43+M49</f>
        <v>810000</v>
      </c>
      <c r="O43" s="28">
        <f t="shared" ref="O43:S43" si="15">N43+N49</f>
        <v>860000</v>
      </c>
      <c r="P43" s="28">
        <f t="shared" si="15"/>
        <v>903000</v>
      </c>
      <c r="Q43" s="28">
        <f t="shared" si="15"/>
        <v>936927</v>
      </c>
      <c r="R43" s="28">
        <f t="shared" si="15"/>
        <v>966302.12749999994</v>
      </c>
      <c r="S43" s="28">
        <f t="shared" si="15"/>
        <v>1050617.6866722482</v>
      </c>
    </row>
    <row r="44" spans="3:20">
      <c r="C44" t="s">
        <v>92</v>
      </c>
      <c r="D44" s="28">
        <f>D25</f>
        <v>750000</v>
      </c>
      <c r="E44" s="28">
        <f t="shared" ref="E44:J44" si="16">E25</f>
        <v>810000</v>
      </c>
      <c r="F44" s="28">
        <f t="shared" si="16"/>
        <v>860000</v>
      </c>
      <c r="G44" s="28">
        <f t="shared" si="16"/>
        <v>903000</v>
      </c>
      <c r="H44" s="28">
        <f t="shared" si="16"/>
        <v>936927</v>
      </c>
      <c r="I44" s="28">
        <f t="shared" si="16"/>
        <v>966302.12749999994</v>
      </c>
      <c r="J44" s="28">
        <f t="shared" si="16"/>
        <v>1050617.6866722482</v>
      </c>
      <c r="L44" t="s">
        <v>99</v>
      </c>
      <c r="M44">
        <f>M43*M32</f>
        <v>0</v>
      </c>
      <c r="N44">
        <f t="shared" ref="N44:O44" si="17">N43*N32</f>
        <v>162000</v>
      </c>
      <c r="O44">
        <f t="shared" si="17"/>
        <v>258000</v>
      </c>
      <c r="P44" s="45">
        <f>P31*P59</f>
        <v>398715.89113193395</v>
      </c>
      <c r="Q44" s="45">
        <f t="shared" ref="Q44:S44" si="18">Q31*Q59</f>
        <v>412765.25761124125</v>
      </c>
      <c r="R44" s="45">
        <f t="shared" si="18"/>
        <v>421577.79586124123</v>
      </c>
      <c r="S44" s="45">
        <f t="shared" si="18"/>
        <v>446872.46361291554</v>
      </c>
      <c r="T44" s="45">
        <f>S44+(S44*S30)</f>
        <v>473684.81142969045</v>
      </c>
    </row>
    <row r="45" spans="3:20">
      <c r="C45" t="s">
        <v>72</v>
      </c>
      <c r="D45">
        <f>D44*D32</f>
        <v>0</v>
      </c>
      <c r="E45">
        <f>E44*E32</f>
        <v>162000</v>
      </c>
      <c r="F45">
        <f t="shared" ref="F45" si="19">F44*F32</f>
        <v>258000</v>
      </c>
      <c r="G45" s="45">
        <f>G31*G65</f>
        <v>398715.89113193395</v>
      </c>
      <c r="H45" s="45">
        <f t="shared" ref="H45" si="20">H31*H65</f>
        <v>412765.25761124125</v>
      </c>
      <c r="I45" s="45">
        <f>I31*I65</f>
        <v>421577.79586124123</v>
      </c>
      <c r="J45" s="45">
        <f>J31*J65</f>
        <v>446872.46361291554</v>
      </c>
      <c r="K45" s="45">
        <f>J45*(1+J30)</f>
        <v>473684.81142969051</v>
      </c>
      <c r="L45" t="s">
        <v>100</v>
      </c>
      <c r="M45" s="28">
        <f>M43-M44</f>
        <v>750000</v>
      </c>
      <c r="N45" s="28">
        <f t="shared" ref="N45:S45" si="21">N43-N44</f>
        <v>648000</v>
      </c>
      <c r="O45" s="28">
        <f t="shared" si="21"/>
        <v>602000</v>
      </c>
      <c r="P45" s="28">
        <f t="shared" si="21"/>
        <v>504284.10886806605</v>
      </c>
      <c r="Q45" s="28">
        <f t="shared" si="21"/>
        <v>524161.74238875875</v>
      </c>
      <c r="R45" s="28">
        <f t="shared" si="21"/>
        <v>544724.33163875877</v>
      </c>
      <c r="S45" s="28">
        <f t="shared" si="21"/>
        <v>603745.2230593327</v>
      </c>
    </row>
    <row r="46" spans="3:20">
      <c r="C46" t="s">
        <v>73</v>
      </c>
      <c r="D46" s="28">
        <f>D44-D45</f>
        <v>750000</v>
      </c>
      <c r="E46" s="28">
        <f t="shared" ref="E46:G46" si="22">E44-E45</f>
        <v>648000</v>
      </c>
      <c r="F46" s="28">
        <f t="shared" si="22"/>
        <v>602000</v>
      </c>
      <c r="G46" s="28">
        <f t="shared" si="22"/>
        <v>504284.10886806605</v>
      </c>
      <c r="H46" s="28">
        <f t="shared" ref="H46" si="23">H44-H45</f>
        <v>524161.74238875875</v>
      </c>
      <c r="I46" s="28">
        <f t="shared" ref="I46:J46" si="24">I44-I45</f>
        <v>544724.33163875877</v>
      </c>
      <c r="J46" s="28">
        <f t="shared" si="24"/>
        <v>603745.2230593327</v>
      </c>
    </row>
    <row r="48" spans="3:20">
      <c r="C48" t="s">
        <v>68</v>
      </c>
      <c r="L48" t="s">
        <v>101</v>
      </c>
      <c r="M48">
        <f>M43*M27</f>
        <v>82500</v>
      </c>
      <c r="N48">
        <f>N43*N27</f>
        <v>97200</v>
      </c>
      <c r="O48">
        <f>O43*O27</f>
        <v>107500</v>
      </c>
      <c r="P48">
        <f>O49*P28+O48</f>
        <v>113090</v>
      </c>
      <c r="Q48">
        <f t="shared" ref="Q48:S48" si="25">P49*Q28+P48</f>
        <v>117500.51</v>
      </c>
      <c r="R48">
        <f t="shared" si="25"/>
        <v>120009.14588849999</v>
      </c>
      <c r="S48">
        <f t="shared" si="25"/>
        <v>127209.69464180998</v>
      </c>
    </row>
    <row r="49" spans="2:19">
      <c r="C49" t="s">
        <v>67</v>
      </c>
      <c r="D49">
        <f>D25*D27</f>
        <v>82500</v>
      </c>
      <c r="E49">
        <f t="shared" ref="E49:F49" si="26">E25*E27</f>
        <v>97200</v>
      </c>
      <c r="F49">
        <f t="shared" si="26"/>
        <v>107500</v>
      </c>
      <c r="G49">
        <f>F49+G28*F26</f>
        <v>113090</v>
      </c>
      <c r="H49">
        <f>H28*G50+G49</f>
        <v>117500.51</v>
      </c>
      <c r="I49">
        <f>I28*H50+H49</f>
        <v>120009.14588849999</v>
      </c>
      <c r="J49">
        <f>J28*I50+I49</f>
        <v>127209.69464180998</v>
      </c>
      <c r="L49" t="s">
        <v>33</v>
      </c>
      <c r="M49" s="28">
        <f>M26</f>
        <v>60000</v>
      </c>
      <c r="N49" s="28">
        <f>N26</f>
        <v>50000</v>
      </c>
      <c r="O49">
        <f>O48*O29</f>
        <v>43000</v>
      </c>
      <c r="P49">
        <f t="shared" ref="P49:S49" si="27">P48*P29</f>
        <v>33927</v>
      </c>
      <c r="Q49">
        <f t="shared" si="27"/>
        <v>29375.127499999999</v>
      </c>
      <c r="R49">
        <f t="shared" si="27"/>
        <v>84315.55917224822</v>
      </c>
      <c r="S49">
        <f t="shared" si="27"/>
        <v>89374.49272258312</v>
      </c>
    </row>
    <row r="50" spans="2:19">
      <c r="C50" t="s">
        <v>33</v>
      </c>
      <c r="D50" s="28">
        <f>D26</f>
        <v>60000</v>
      </c>
      <c r="E50" s="28">
        <f>E26</f>
        <v>50000</v>
      </c>
      <c r="F50" s="28">
        <f>F26</f>
        <v>43000</v>
      </c>
      <c r="G50" s="28">
        <f>G26</f>
        <v>33927</v>
      </c>
      <c r="H50" s="28">
        <f>H26</f>
        <v>29375.127499999999</v>
      </c>
      <c r="I50" s="28">
        <f t="shared" ref="I50:J50" si="28">I26</f>
        <v>84315.55917224822</v>
      </c>
      <c r="J50" s="28">
        <f t="shared" si="28"/>
        <v>89374.49272258312</v>
      </c>
      <c r="L50" t="s">
        <v>26</v>
      </c>
      <c r="M50" s="28">
        <f>M48-M49</f>
        <v>22500</v>
      </c>
      <c r="N50" s="28">
        <f>N48-N49</f>
        <v>47200</v>
      </c>
      <c r="O50" s="28">
        <f t="shared" ref="O50:S50" si="29">O48-O49</f>
        <v>64500</v>
      </c>
      <c r="P50" s="28">
        <f t="shared" si="29"/>
        <v>79163</v>
      </c>
      <c r="Q50" s="28">
        <f t="shared" si="29"/>
        <v>88125.382499999992</v>
      </c>
      <c r="R50" s="28">
        <f t="shared" si="29"/>
        <v>35693.586716251768</v>
      </c>
      <c r="S50" s="28">
        <f t="shared" si="29"/>
        <v>37835.201919226864</v>
      </c>
    </row>
    <row r="51" spans="2:19">
      <c r="L51" t="s">
        <v>84</v>
      </c>
      <c r="M51">
        <f>M44*M40</f>
        <v>0</v>
      </c>
      <c r="N51">
        <f t="shared" ref="N51:S51" si="30">N44*N40</f>
        <v>14580</v>
      </c>
      <c r="O51">
        <f t="shared" si="30"/>
        <v>21930</v>
      </c>
      <c r="P51">
        <f t="shared" si="30"/>
        <v>31897.271290554716</v>
      </c>
      <c r="Q51">
        <f t="shared" si="30"/>
        <v>28893.56803278689</v>
      </c>
      <c r="R51">
        <f t="shared" si="30"/>
        <v>29510.445710286887</v>
      </c>
      <c r="S51">
        <f t="shared" si="30"/>
        <v>31281.072452904089</v>
      </c>
    </row>
    <row r="52" spans="2:19">
      <c r="C52" t="s">
        <v>26</v>
      </c>
      <c r="D52" s="28">
        <f>D49-D50</f>
        <v>22500</v>
      </c>
      <c r="E52" s="28">
        <f t="shared" ref="E52:J52" si="31">E49-E50</f>
        <v>47200</v>
      </c>
      <c r="F52" s="28">
        <f t="shared" si="31"/>
        <v>64500</v>
      </c>
      <c r="G52" s="28">
        <f t="shared" si="31"/>
        <v>79163</v>
      </c>
      <c r="H52" s="28">
        <f t="shared" si="31"/>
        <v>88125.382499999992</v>
      </c>
      <c r="I52" s="28">
        <f t="shared" si="31"/>
        <v>35693.586716251768</v>
      </c>
      <c r="J52" s="28">
        <f t="shared" si="31"/>
        <v>37835.201919226864</v>
      </c>
      <c r="L52" t="s">
        <v>102</v>
      </c>
      <c r="M52">
        <f>M51*M33</f>
        <v>0</v>
      </c>
      <c r="N52">
        <f t="shared" ref="N52:S52" si="32">N51*N33</f>
        <v>2916</v>
      </c>
      <c r="O52">
        <f t="shared" si="32"/>
        <v>4386</v>
      </c>
      <c r="P52">
        <f t="shared" si="32"/>
        <v>6379.4542581109436</v>
      </c>
      <c r="Q52">
        <f t="shared" si="32"/>
        <v>5778.7136065573786</v>
      </c>
      <c r="R52">
        <f t="shared" si="32"/>
        <v>5902.089142057378</v>
      </c>
      <c r="S52">
        <f t="shared" si="32"/>
        <v>6256.2144905808182</v>
      </c>
    </row>
    <row r="53" spans="2:19">
      <c r="C53" t="s">
        <v>84</v>
      </c>
      <c r="D53">
        <f>D45*D40</f>
        <v>0</v>
      </c>
      <c r="E53">
        <f t="shared" ref="E53:J53" si="33">E45*E40</f>
        <v>14580</v>
      </c>
      <c r="F53">
        <f t="shared" si="33"/>
        <v>21930</v>
      </c>
      <c r="G53">
        <f t="shared" si="33"/>
        <v>31897.271290554716</v>
      </c>
      <c r="H53">
        <f t="shared" si="33"/>
        <v>28893.56803278689</v>
      </c>
      <c r="I53">
        <f t="shared" si="33"/>
        <v>29510.445710286887</v>
      </c>
      <c r="J53">
        <f t="shared" si="33"/>
        <v>31281.072452904089</v>
      </c>
      <c r="L53" t="s">
        <v>86</v>
      </c>
      <c r="M53" s="28">
        <f>N44-M44</f>
        <v>162000</v>
      </c>
      <c r="N53" s="28">
        <f t="shared" ref="N53:S53" si="34">O44-N44</f>
        <v>96000</v>
      </c>
      <c r="O53" s="28">
        <f t="shared" si="34"/>
        <v>140715.89113193395</v>
      </c>
      <c r="P53" s="28">
        <f t="shared" si="34"/>
        <v>14049.366479307297</v>
      </c>
      <c r="Q53" s="28">
        <f t="shared" si="34"/>
        <v>8812.5382499999832</v>
      </c>
      <c r="R53" s="28">
        <f t="shared" si="34"/>
        <v>25294.667751674308</v>
      </c>
      <c r="S53" s="28">
        <f t="shared" si="34"/>
        <v>26812.347816774913</v>
      </c>
    </row>
    <row r="54" spans="2:19">
      <c r="C54" t="s">
        <v>85</v>
      </c>
      <c r="D54" s="28">
        <f>D53*D33</f>
        <v>0</v>
      </c>
      <c r="E54" s="28">
        <f t="shared" ref="E54:J54" si="35">E53*E33</f>
        <v>2916</v>
      </c>
      <c r="F54" s="28">
        <f t="shared" si="35"/>
        <v>4386</v>
      </c>
      <c r="G54" s="28">
        <f t="shared" si="35"/>
        <v>6379.4542581109436</v>
      </c>
      <c r="H54" s="28">
        <f t="shared" si="35"/>
        <v>5778.7136065573786</v>
      </c>
      <c r="I54" s="28">
        <f t="shared" si="35"/>
        <v>5902.089142057378</v>
      </c>
      <c r="J54" s="28">
        <f t="shared" si="35"/>
        <v>6256.2144905808182</v>
      </c>
      <c r="L54" t="s">
        <v>31</v>
      </c>
      <c r="M54" s="28">
        <f>M50-M51+M52+M53</f>
        <v>184500</v>
      </c>
      <c r="N54" s="28">
        <f t="shared" ref="N54:S54" si="36">N50-N51+N52+N53</f>
        <v>131536</v>
      </c>
      <c r="O54" s="28">
        <f t="shared" si="36"/>
        <v>187671.89113193395</v>
      </c>
      <c r="P54" s="28">
        <f t="shared" si="36"/>
        <v>67694.54944686353</v>
      </c>
      <c r="Q54" s="28">
        <f t="shared" si="36"/>
        <v>73823.066323770472</v>
      </c>
      <c r="R54" s="28">
        <f t="shared" si="36"/>
        <v>37379.897899696567</v>
      </c>
      <c r="S54" s="28">
        <f t="shared" si="36"/>
        <v>39622.691773678504</v>
      </c>
    </row>
    <row r="55" spans="2:19">
      <c r="C55" t="s">
        <v>86</v>
      </c>
      <c r="D55">
        <f>E45-D45</f>
        <v>162000</v>
      </c>
      <c r="E55">
        <f t="shared" ref="E55:J55" si="37">F45-E45</f>
        <v>96000</v>
      </c>
      <c r="F55">
        <f t="shared" si="37"/>
        <v>140715.89113193395</v>
      </c>
      <c r="G55">
        <f t="shared" si="37"/>
        <v>14049.366479307297</v>
      </c>
      <c r="H55">
        <f t="shared" si="37"/>
        <v>8812.5382499999832</v>
      </c>
      <c r="I55">
        <f t="shared" si="37"/>
        <v>25294.667751674308</v>
      </c>
      <c r="J55">
        <f t="shared" si="37"/>
        <v>26812.347816774971</v>
      </c>
    </row>
    <row r="56" spans="2:19">
      <c r="C56" t="s">
        <v>31</v>
      </c>
      <c r="D56" s="28">
        <f>D52-D53-D54+D55</f>
        <v>184500</v>
      </c>
      <c r="E56" s="28">
        <f t="shared" ref="E56:J56" si="38">E52-E53-E54+E55</f>
        <v>125704</v>
      </c>
      <c r="F56" s="28">
        <f t="shared" si="38"/>
        <v>178899.89113193395</v>
      </c>
      <c r="G56" s="28">
        <f t="shared" si="38"/>
        <v>54935.640930641639</v>
      </c>
      <c r="H56" s="28">
        <f t="shared" si="38"/>
        <v>62265.639110655706</v>
      </c>
      <c r="I56" s="28">
        <f t="shared" si="38"/>
        <v>25575.719615581809</v>
      </c>
      <c r="J56" s="28">
        <f t="shared" si="38"/>
        <v>27110.262792516929</v>
      </c>
    </row>
    <row r="57" spans="2:19">
      <c r="B57" t="s">
        <v>87</v>
      </c>
      <c r="L57" t="s">
        <v>26</v>
      </c>
      <c r="M57" s="28">
        <f>M50</f>
        <v>22500</v>
      </c>
      <c r="N57" s="28">
        <f t="shared" ref="N57:S57" si="39">N50</f>
        <v>47200</v>
      </c>
      <c r="O57" s="28">
        <f t="shared" si="39"/>
        <v>64500</v>
      </c>
      <c r="P57" s="28">
        <f t="shared" si="39"/>
        <v>79163</v>
      </c>
      <c r="Q57" s="28">
        <f t="shared" si="39"/>
        <v>88125.382499999992</v>
      </c>
      <c r="R57" s="28">
        <f t="shared" si="39"/>
        <v>35693.586716251768</v>
      </c>
      <c r="S57" s="28">
        <f t="shared" si="39"/>
        <v>37835.201919226864</v>
      </c>
    </row>
    <row r="58" spans="2:19">
      <c r="B58" t="s">
        <v>90</v>
      </c>
      <c r="C58" t="s">
        <v>88</v>
      </c>
      <c r="D58" s="28">
        <f>D52+D54</f>
        <v>22500</v>
      </c>
      <c r="E58" s="28">
        <f t="shared" ref="E58:J58" si="40">E52+E54</f>
        <v>50116</v>
      </c>
      <c r="F58" s="28">
        <f t="shared" si="40"/>
        <v>68886</v>
      </c>
      <c r="G58" s="28">
        <f t="shared" si="40"/>
        <v>85542.454258110942</v>
      </c>
      <c r="H58" s="28">
        <f t="shared" si="40"/>
        <v>93904.096106557365</v>
      </c>
      <c r="I58" s="28">
        <f t="shared" si="40"/>
        <v>41595.675858309143</v>
      </c>
      <c r="J58" s="28">
        <f t="shared" si="40"/>
        <v>44091.41640980768</v>
      </c>
      <c r="L58" t="s">
        <v>69</v>
      </c>
      <c r="M58" s="41">
        <f>M42</f>
        <v>0.14800000000000002</v>
      </c>
      <c r="N58" s="41">
        <f t="shared" ref="N58:S58" si="41">N42</f>
        <v>0.12021382367846779</v>
      </c>
      <c r="O58" s="41">
        <f t="shared" si="41"/>
        <v>0.10774569338391003</v>
      </c>
      <c r="P58" s="41">
        <f t="shared" si="41"/>
        <v>9.4799999999999995E-2</v>
      </c>
      <c r="Q58" s="41">
        <f t="shared" si="41"/>
        <v>8.5400000000000004E-2</v>
      </c>
      <c r="R58" s="41">
        <f t="shared" si="41"/>
        <v>8.5400000000000004E-2</v>
      </c>
      <c r="S58" s="41">
        <f t="shared" si="41"/>
        <v>8.5400000000000004E-2</v>
      </c>
    </row>
    <row r="59" spans="2:19">
      <c r="C59" t="str">
        <f>C41</f>
        <v>rA</v>
      </c>
      <c r="D59">
        <f t="shared" ref="D59:J59" si="42">D41</f>
        <v>0.14800000000000002</v>
      </c>
      <c r="E59">
        <f t="shared" si="42"/>
        <v>0.12140816397622345</v>
      </c>
      <c r="F59" s="41">
        <f>F41</f>
        <v>0.10951129132422061</v>
      </c>
      <c r="G59">
        <f t="shared" si="42"/>
        <v>9.9599999999999994E-2</v>
      </c>
      <c r="H59">
        <f t="shared" si="42"/>
        <v>8.9599999999999999E-2</v>
      </c>
      <c r="I59">
        <f t="shared" si="42"/>
        <v>8.9599999999999999E-2</v>
      </c>
      <c r="J59">
        <f t="shared" si="42"/>
        <v>8.9599999999999999E-2</v>
      </c>
      <c r="L59" s="47" t="s">
        <v>89</v>
      </c>
      <c r="M59">
        <f t="shared" ref="M59:P59" si="43">(M57+N59)/(1+M58)</f>
        <v>1034531.2412345064</v>
      </c>
      <c r="N59">
        <f t="shared" si="43"/>
        <v>1165141.8649372135</v>
      </c>
      <c r="O59">
        <f t="shared" si="43"/>
        <v>1258008.0236491768</v>
      </c>
      <c r="P59">
        <f t="shared" si="43"/>
        <v>1329052.9704397798</v>
      </c>
      <c r="Q59">
        <f>(Q57+R59)/(1+Q58)</f>
        <v>1375884.1920374709</v>
      </c>
      <c r="R59">
        <f>R57/(R58-R30)</f>
        <v>1405259.3195374708</v>
      </c>
      <c r="S59">
        <f>S57/(S58-S30)</f>
        <v>1489574.8787097186</v>
      </c>
    </row>
    <row r="60" spans="2:19">
      <c r="C60" t="s">
        <v>89</v>
      </c>
      <c r="D60">
        <f t="shared" ref="D60:F60" si="44">(D58+E60)/(1+D59)</f>
        <v>1037231.0035631427</v>
      </c>
      <c r="E60">
        <f t="shared" si="44"/>
        <v>1168241.192090488</v>
      </c>
      <c r="F60">
        <f t="shared" si="44"/>
        <v>1259959.2103035888</v>
      </c>
      <c r="G60">
        <f>(G58+H60)/(1+G59)</f>
        <v>1329052.97043978</v>
      </c>
      <c r="H60">
        <f>(H58+I60)/(1+H59)</f>
        <v>1375884.1920374711</v>
      </c>
      <c r="I60">
        <f>I58/(I59-I30)</f>
        <v>1405259.319537471</v>
      </c>
      <c r="J60">
        <f>J58/(J59-J30)</f>
        <v>1489574.8787097188</v>
      </c>
    </row>
    <row r="61" spans="2:19">
      <c r="C61" t="s">
        <v>15</v>
      </c>
    </row>
    <row r="62" spans="2:19">
      <c r="L62" t="s">
        <v>103</v>
      </c>
      <c r="M62" s="28">
        <f>M50+M52</f>
        <v>22500</v>
      </c>
      <c r="N62" s="28">
        <f t="shared" ref="N62:S62" si="45">N50+N52</f>
        <v>50116</v>
      </c>
      <c r="O62" s="28">
        <f t="shared" si="45"/>
        <v>68886</v>
      </c>
      <c r="P62" s="28">
        <f t="shared" si="45"/>
        <v>85542.454258110942</v>
      </c>
      <c r="Q62" s="28">
        <f t="shared" si="45"/>
        <v>93904.096106557365</v>
      </c>
      <c r="R62" s="28">
        <f t="shared" si="45"/>
        <v>41595.675858309143</v>
      </c>
      <c r="S62" s="28">
        <f t="shared" si="45"/>
        <v>44091.41640980768</v>
      </c>
    </row>
    <row r="63" spans="2:19">
      <c r="B63" t="s">
        <v>26</v>
      </c>
      <c r="C63" t="s">
        <v>26</v>
      </c>
      <c r="D63" s="28">
        <f>D52</f>
        <v>22500</v>
      </c>
      <c r="E63" s="28">
        <f t="shared" ref="E63:J63" si="46">E52</f>
        <v>47200</v>
      </c>
      <c r="F63" s="28">
        <f t="shared" si="46"/>
        <v>64500</v>
      </c>
      <c r="G63" s="28">
        <f t="shared" si="46"/>
        <v>79163</v>
      </c>
      <c r="H63" s="28">
        <f t="shared" si="46"/>
        <v>88125.382499999992</v>
      </c>
      <c r="I63" s="28">
        <f t="shared" si="46"/>
        <v>35693.586716251768</v>
      </c>
      <c r="J63" s="28">
        <f t="shared" si="46"/>
        <v>37835.201919226864</v>
      </c>
      <c r="L63" t="s">
        <v>22</v>
      </c>
      <c r="M63" s="41">
        <f>M41</f>
        <v>0.14800000000000002</v>
      </c>
      <c r="N63" s="41">
        <f t="shared" ref="N63:S63" si="47">N41</f>
        <v>0.12271652321038887</v>
      </c>
      <c r="O63" s="41">
        <f t="shared" si="47"/>
        <v>0.11123215763338062</v>
      </c>
      <c r="P63" s="41">
        <f t="shared" si="47"/>
        <v>9.9599999999999994E-2</v>
      </c>
      <c r="Q63" s="41">
        <f t="shared" si="47"/>
        <v>8.9599999999999999E-2</v>
      </c>
      <c r="R63" s="41">
        <f t="shared" si="47"/>
        <v>8.9599999999999999E-2</v>
      </c>
      <c r="S63" s="41">
        <f t="shared" si="47"/>
        <v>8.9599999999999999E-2</v>
      </c>
    </row>
    <row r="64" spans="2:19">
      <c r="C64" t="s">
        <v>69</v>
      </c>
      <c r="D64" s="41">
        <f>D42</f>
        <v>0.14800000000000002</v>
      </c>
      <c r="E64" s="41">
        <f t="shared" ref="E64:H64" si="48">E42</f>
        <v>0.11828571533338192</v>
      </c>
      <c r="F64" s="41">
        <f t="shared" si="48"/>
        <v>0.10513832018821304</v>
      </c>
      <c r="G64" s="41">
        <f t="shared" si="48"/>
        <v>9.4799999999999995E-2</v>
      </c>
      <c r="H64" s="41">
        <f t="shared" si="48"/>
        <v>8.5400000000000004E-2</v>
      </c>
      <c r="I64" s="41">
        <f>I42</f>
        <v>8.5400000000000004E-2</v>
      </c>
      <c r="J64" s="41">
        <f>J42</f>
        <v>8.5400000000000004E-2</v>
      </c>
      <c r="L64" s="47" t="s">
        <v>89</v>
      </c>
      <c r="M64">
        <f t="shared" ref="M64:P64" si="49">(M62+N64)/(1+M63)</f>
        <v>1034531.2412345068</v>
      </c>
      <c r="N64">
        <f t="shared" si="49"/>
        <v>1165141.8649372139</v>
      </c>
      <c r="O64">
        <f t="shared" si="49"/>
        <v>1258008.0236491773</v>
      </c>
      <c r="P64">
        <f t="shared" si="49"/>
        <v>1329052.97043978</v>
      </c>
      <c r="Q64">
        <f>(Q62+R64)/(1+Q63)</f>
        <v>1375884.1920374711</v>
      </c>
      <c r="R64">
        <f>R62/(R63-R30)</f>
        <v>1405259.319537471</v>
      </c>
      <c r="S64">
        <f>S62/(S63-S30)</f>
        <v>1489574.8787097188</v>
      </c>
    </row>
    <row r="65" spans="2:19">
      <c r="C65" t="s">
        <v>89</v>
      </c>
      <c r="D65">
        <f>(E65+D63)/(1+D64)</f>
        <v>1038593.0840027068</v>
      </c>
      <c r="E65">
        <f>(F65+E63)/(1+E64)</f>
        <v>1169804.8604351075</v>
      </c>
      <c r="F65">
        <f>(G65+F63)/(1+F64)</f>
        <v>1260976.065152141</v>
      </c>
      <c r="G65">
        <f>(H65+G63)/(1+G64)</f>
        <v>1329052.9704397798</v>
      </c>
      <c r="H65">
        <f>(I65+H63)/(1+H64)</f>
        <v>1375884.1920374709</v>
      </c>
      <c r="I65">
        <f>I63/(I64-I30)</f>
        <v>1405259.3195374708</v>
      </c>
      <c r="J65">
        <f>J63/(J64-J30)</f>
        <v>1489574.8787097186</v>
      </c>
      <c r="L65" s="48" t="s">
        <v>104</v>
      </c>
    </row>
    <row r="67" spans="2:19">
      <c r="B67" t="s">
        <v>31</v>
      </c>
      <c r="C67" t="s">
        <v>31</v>
      </c>
      <c r="D67" s="28">
        <f>D56</f>
        <v>184500</v>
      </c>
      <c r="E67" s="28">
        <f t="shared" ref="E67:I67" si="50">E56</f>
        <v>125704</v>
      </c>
      <c r="F67" s="28">
        <f t="shared" si="50"/>
        <v>178899.89113193395</v>
      </c>
      <c r="G67" s="28">
        <f t="shared" si="50"/>
        <v>54935.640930641639</v>
      </c>
      <c r="H67" s="28">
        <f t="shared" si="50"/>
        <v>62265.639110655706</v>
      </c>
      <c r="I67" s="28">
        <f t="shared" si="50"/>
        <v>25575.719615581809</v>
      </c>
      <c r="J67" s="28">
        <f>J56</f>
        <v>27110.262792516929</v>
      </c>
      <c r="L67" t="s">
        <v>31</v>
      </c>
      <c r="M67" s="28">
        <f>M54</f>
        <v>184500</v>
      </c>
      <c r="N67" s="28">
        <f t="shared" ref="N67:S67" si="51">N54</f>
        <v>131536</v>
      </c>
      <c r="O67" s="28">
        <f t="shared" si="51"/>
        <v>187671.89113193395</v>
      </c>
      <c r="P67" s="28">
        <f t="shared" si="51"/>
        <v>67694.54944686353</v>
      </c>
      <c r="Q67" s="28">
        <f t="shared" si="51"/>
        <v>73823.066323770472</v>
      </c>
      <c r="R67" s="28">
        <f t="shared" si="51"/>
        <v>37379.897899696567</v>
      </c>
      <c r="S67" s="28">
        <f t="shared" si="51"/>
        <v>39622.691773678504</v>
      </c>
    </row>
    <row r="68" spans="2:19">
      <c r="C68" t="s">
        <v>93</v>
      </c>
      <c r="D68" s="41">
        <f>D39</f>
        <v>0.14800000000000002</v>
      </c>
      <c r="E68" s="41">
        <f t="shared" ref="E68:J68" si="52">E39</f>
        <v>0.128</v>
      </c>
      <c r="F68" s="41">
        <f t="shared" si="52"/>
        <v>0.11800000000000001</v>
      </c>
      <c r="G68" s="41">
        <f t="shared" si="52"/>
        <v>0.108</v>
      </c>
      <c r="H68" s="41">
        <f t="shared" si="52"/>
        <v>9.8000000000000004E-2</v>
      </c>
      <c r="I68" s="41">
        <f t="shared" si="52"/>
        <v>9.8000000000000004E-2</v>
      </c>
      <c r="J68" s="41">
        <f t="shared" si="52"/>
        <v>9.8000000000000004E-2</v>
      </c>
      <c r="L68" t="s">
        <v>93</v>
      </c>
      <c r="M68" s="18">
        <f>M39</f>
        <v>0.14800000000000002</v>
      </c>
      <c r="N68" s="18">
        <f t="shared" ref="N68:S68" si="53">N39</f>
        <v>0.128</v>
      </c>
      <c r="O68" s="18">
        <f t="shared" si="53"/>
        <v>0.11800000000000001</v>
      </c>
      <c r="P68" s="18">
        <f t="shared" si="53"/>
        <v>0.108</v>
      </c>
      <c r="Q68" s="18">
        <f t="shared" si="53"/>
        <v>9.8000000000000004E-2</v>
      </c>
      <c r="R68" s="18">
        <f t="shared" si="53"/>
        <v>9.8000000000000004E-2</v>
      </c>
      <c r="S68" s="18">
        <f t="shared" si="53"/>
        <v>9.8000000000000004E-2</v>
      </c>
    </row>
    <row r="69" spans="2:19">
      <c r="C69" t="s">
        <v>91</v>
      </c>
      <c r="D69">
        <f t="shared" ref="D69:G69" si="54">(E69+D67)/(1+D68)</f>
        <v>833085.76102670759</v>
      </c>
      <c r="E69">
        <f t="shared" si="54"/>
        <v>771882.45365866041</v>
      </c>
      <c r="F69">
        <f t="shared" si="54"/>
        <v>744979.40772696899</v>
      </c>
      <c r="G69">
        <f t="shared" si="54"/>
        <v>653987.08670681738</v>
      </c>
      <c r="H69">
        <f>(I69+H67)/(1+H68)</f>
        <v>669682.05114051199</v>
      </c>
      <c r="I69">
        <f>I67/(I68-I30)</f>
        <v>673045.25304162642</v>
      </c>
      <c r="J69">
        <f>J67/(J68-J30)</f>
        <v>713427.96822412964</v>
      </c>
      <c r="L69" t="s">
        <v>91</v>
      </c>
      <c r="M69" s="28">
        <f t="shared" ref="M69:P69" si="55">(M67+N69)/(1+M68)</f>
        <v>1034531.2412345039</v>
      </c>
      <c r="N69" s="28">
        <f t="shared" si="55"/>
        <v>1003141.8649372107</v>
      </c>
      <c r="O69" s="28">
        <f t="shared" si="55"/>
        <v>1000008.0236491737</v>
      </c>
      <c r="P69" s="28">
        <f t="shared" si="55"/>
        <v>930337.0793078423</v>
      </c>
      <c r="Q69" s="28">
        <f>(Q67+R69)/(1+Q68)</f>
        <v>963118.93442622572</v>
      </c>
      <c r="R69" s="28">
        <f>R67/(R68-R30)</f>
        <v>983681.52367622533</v>
      </c>
      <c r="S69" s="28">
        <f>S67/(S68-S30)</f>
        <v>1042702.4150968025</v>
      </c>
    </row>
    <row r="70" spans="2:19">
      <c r="C70" t="s">
        <v>94</v>
      </c>
      <c r="D70">
        <f>D45</f>
        <v>0</v>
      </c>
      <c r="E70">
        <f t="shared" ref="E70:I70" si="56">E45</f>
        <v>162000</v>
      </c>
      <c r="F70">
        <f t="shared" si="56"/>
        <v>258000</v>
      </c>
      <c r="G70">
        <f t="shared" si="56"/>
        <v>398715.89113193395</v>
      </c>
      <c r="H70">
        <f t="shared" si="56"/>
        <v>412765.25761124125</v>
      </c>
      <c r="I70">
        <f t="shared" si="56"/>
        <v>421577.79586124123</v>
      </c>
      <c r="J70">
        <f>J45</f>
        <v>446872.46361291554</v>
      </c>
      <c r="L70" t="s">
        <v>94</v>
      </c>
      <c r="M70">
        <f>M44</f>
        <v>0</v>
      </c>
      <c r="N70">
        <f t="shared" ref="N70:S70" si="57">N44</f>
        <v>162000</v>
      </c>
      <c r="O70">
        <f t="shared" si="57"/>
        <v>258000</v>
      </c>
      <c r="P70">
        <f t="shared" si="57"/>
        <v>398715.89113193395</v>
      </c>
      <c r="Q70">
        <f t="shared" si="57"/>
        <v>412765.25761124125</v>
      </c>
      <c r="R70">
        <f t="shared" si="57"/>
        <v>421577.79586124123</v>
      </c>
      <c r="S70">
        <f t="shared" si="57"/>
        <v>446872.46361291554</v>
      </c>
    </row>
    <row r="71" spans="2:19">
      <c r="C71" t="s">
        <v>89</v>
      </c>
      <c r="D71">
        <f>D69+D70</f>
        <v>833085.76102670759</v>
      </c>
      <c r="E71">
        <f t="shared" ref="E71:J71" si="58">E69+E70</f>
        <v>933882.45365866041</v>
      </c>
      <c r="F71">
        <f t="shared" si="58"/>
        <v>1002979.407726969</v>
      </c>
      <c r="G71">
        <f t="shared" si="58"/>
        <v>1052702.9778387514</v>
      </c>
      <c r="H71">
        <f t="shared" si="58"/>
        <v>1082447.3087517533</v>
      </c>
      <c r="I71">
        <f t="shared" si="58"/>
        <v>1094623.0489028676</v>
      </c>
      <c r="J71">
        <f t="shared" si="58"/>
        <v>1160300.4318370451</v>
      </c>
      <c r="L71" s="47" t="s">
        <v>89</v>
      </c>
      <c r="M71">
        <f>M69+M70</f>
        <v>1034531.2412345039</v>
      </c>
      <c r="N71">
        <f t="shared" ref="N71:S71" si="59">N69+N70</f>
        <v>1165141.8649372107</v>
      </c>
      <c r="O71">
        <f t="shared" si="59"/>
        <v>1258008.0236491738</v>
      </c>
      <c r="P71">
        <f t="shared" si="59"/>
        <v>1329052.9704397763</v>
      </c>
      <c r="Q71">
        <f t="shared" si="59"/>
        <v>1375884.1920374669</v>
      </c>
      <c r="R71">
        <f t="shared" si="59"/>
        <v>1405259.3195374666</v>
      </c>
      <c r="S71">
        <f t="shared" si="59"/>
        <v>1489574.8787097181</v>
      </c>
    </row>
    <row r="72" spans="2:19">
      <c r="L72" s="48" t="s">
        <v>104</v>
      </c>
    </row>
  </sheetData>
  <phoneticPr fontId="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0FA14-8569-4F9F-90DD-FEC3F1582F75}">
  <sheetPr>
    <tabColor rgb="FFFFFF00"/>
  </sheetPr>
  <dimension ref="B1:F56"/>
  <sheetViews>
    <sheetView tabSelected="1" zoomScaleNormal="90" workbookViewId="0">
      <selection activeCell="G34" sqref="G34"/>
    </sheetView>
  </sheetViews>
  <sheetFormatPr defaultColWidth="8.796875" defaultRowHeight="15.6"/>
  <cols>
    <col min="2" max="2" width="18.69921875" bestFit="1" customWidth="1"/>
    <col min="3" max="3" width="23.5" bestFit="1" customWidth="1"/>
    <col min="4" max="4" width="10" bestFit="1" customWidth="1"/>
    <col min="5" max="9" width="11.5" bestFit="1" customWidth="1"/>
    <col min="10" max="10" width="7" bestFit="1" customWidth="1"/>
  </cols>
  <sheetData>
    <row r="1" spans="2:3" ht="16.2" thickBot="1"/>
    <row r="2" spans="2:3" ht="18">
      <c r="B2" s="8" t="str">
        <f>+Admin!C12</f>
        <v>Date</v>
      </c>
      <c r="C2" s="23">
        <f>+Admin!D12</f>
        <v>45280</v>
      </c>
    </row>
    <row r="3" spans="2:3" ht="18">
      <c r="B3" s="9" t="str">
        <f>+Admin!C13</f>
        <v>Student name</v>
      </c>
      <c r="C3" s="10">
        <f>+Admin!D13</f>
        <v>0</v>
      </c>
    </row>
    <row r="4" spans="2:3" ht="18">
      <c r="B4" s="9" t="str">
        <f>+Admin!C14</f>
        <v>Neptun code</v>
      </c>
      <c r="C4" s="10">
        <f>+Admin!D14</f>
        <v>0</v>
      </c>
    </row>
    <row r="5" spans="2:3" ht="18">
      <c r="B5" s="9"/>
      <c r="C5" s="11"/>
    </row>
    <row r="6" spans="2:3" ht="18">
      <c r="B6" s="9" t="str">
        <f>+Admin!C16</f>
        <v>Study program</v>
      </c>
      <c r="C6" s="11" t="str">
        <f>+Admin!D16</f>
        <v>Master in Finance</v>
      </c>
    </row>
    <row r="7" spans="2:3" ht="18.600000000000001" thickBot="1">
      <c r="B7" s="12" t="str">
        <f>+Admin!C17</f>
        <v>Instructor</v>
      </c>
      <c r="C7" s="13" t="str">
        <f>+Admin!D17</f>
        <v>Péter Juhász, PhD, CFA</v>
      </c>
    </row>
    <row r="8" spans="2:3" ht="16.2" thickBot="1"/>
    <row r="9" spans="2:3" ht="21" thickBot="1">
      <c r="B9" s="14" t="s">
        <v>14</v>
      </c>
      <c r="C9" s="15"/>
    </row>
    <row r="26" spans="2:3">
      <c r="B26" t="s">
        <v>42</v>
      </c>
      <c r="C26" s="35"/>
    </row>
    <row r="27" spans="2:3">
      <c r="B27" t="s">
        <v>43</v>
      </c>
      <c r="C27" s="35"/>
    </row>
    <row r="28" spans="2:3">
      <c r="B28" t="s">
        <v>44</v>
      </c>
      <c r="C28" s="35"/>
    </row>
    <row r="29" spans="2:3">
      <c r="B29" t="s">
        <v>45</v>
      </c>
      <c r="C29" s="35"/>
    </row>
    <row r="30" spans="2:3">
      <c r="B30" t="s">
        <v>46</v>
      </c>
      <c r="C30" s="35"/>
    </row>
    <row r="32" spans="2:3">
      <c r="B32" t="s">
        <v>47</v>
      </c>
    </row>
    <row r="33" spans="2:6">
      <c r="B33" t="s">
        <v>48</v>
      </c>
      <c r="C33" s="28">
        <v>10500000</v>
      </c>
    </row>
    <row r="34" spans="2:6">
      <c r="B34" t="s">
        <v>49</v>
      </c>
      <c r="C34" s="28">
        <v>700000</v>
      </c>
    </row>
    <row r="35" spans="2:6">
      <c r="B35" t="s">
        <v>50</v>
      </c>
      <c r="C35" s="28">
        <v>800000</v>
      </c>
      <c r="F35" s="28"/>
    </row>
    <row r="36" spans="2:6">
      <c r="B36" t="s">
        <v>51</v>
      </c>
      <c r="C36" s="28">
        <v>700000</v>
      </c>
      <c r="F36" s="28"/>
    </row>
    <row r="37" spans="2:6">
      <c r="B37" t="s">
        <v>52</v>
      </c>
      <c r="C37" s="28">
        <v>250000</v>
      </c>
      <c r="F37" s="28"/>
    </row>
    <row r="38" spans="2:6">
      <c r="B38" t="s">
        <v>53</v>
      </c>
      <c r="C38" s="28">
        <f>+C36-C37</f>
        <v>450000</v>
      </c>
      <c r="D38" s="28"/>
    </row>
    <row r="40" spans="2:6">
      <c r="B40" t="s">
        <v>54</v>
      </c>
    </row>
    <row r="41" spans="2:6">
      <c r="B41" t="s">
        <v>55</v>
      </c>
      <c r="C41" s="28">
        <v>4000000</v>
      </c>
    </row>
    <row r="42" spans="2:6">
      <c r="B42" t="s">
        <v>56</v>
      </c>
      <c r="C42" s="28">
        <v>500000</v>
      </c>
    </row>
    <row r="43" spans="2:6">
      <c r="B43" t="s">
        <v>57</v>
      </c>
      <c r="C43" s="28">
        <v>700000</v>
      </c>
    </row>
    <row r="44" spans="2:6">
      <c r="B44" t="s">
        <v>58</v>
      </c>
      <c r="C44" s="28">
        <v>250000</v>
      </c>
    </row>
    <row r="45" spans="2:6">
      <c r="E45" s="28"/>
    </row>
    <row r="46" spans="2:6">
      <c r="B46" t="s">
        <v>59</v>
      </c>
      <c r="C46" s="28">
        <f>SUM(C41:C44)-C49-C48-C47</f>
        <v>2850000</v>
      </c>
      <c r="E46" s="28"/>
    </row>
    <row r="47" spans="2:6">
      <c r="B47" t="s">
        <v>60</v>
      </c>
      <c r="C47" s="28">
        <v>1100000</v>
      </c>
    </row>
    <row r="48" spans="2:6">
      <c r="B48" t="s">
        <v>61</v>
      </c>
      <c r="C48" s="28">
        <v>1000000</v>
      </c>
    </row>
    <row r="49" spans="2:3">
      <c r="B49" t="s">
        <v>62</v>
      </c>
      <c r="C49" s="28">
        <v>500000</v>
      </c>
    </row>
    <row r="51" spans="2:3">
      <c r="B51" t="s">
        <v>63</v>
      </c>
      <c r="C51" s="28">
        <v>9</v>
      </c>
    </row>
    <row r="52" spans="2:3">
      <c r="B52" t="s">
        <v>64</v>
      </c>
      <c r="C52" s="28">
        <v>100000</v>
      </c>
    </row>
    <row r="53" spans="2:3">
      <c r="B53" t="s">
        <v>65</v>
      </c>
      <c r="C53" s="28">
        <v>5</v>
      </c>
    </row>
    <row r="54" spans="2:3">
      <c r="B54" t="s">
        <v>66</v>
      </c>
      <c r="C54" s="28">
        <v>2000000</v>
      </c>
    </row>
    <row r="56" spans="2:3">
      <c r="B56" t="s">
        <v>68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C83F8-C1ED-4618-BEF3-F3B796AB9621}">
  <sheetPr codeName="Munka6">
    <tabColor rgb="FFFFFF00"/>
  </sheetPr>
  <dimension ref="B1:C25"/>
  <sheetViews>
    <sheetView topLeftCell="A17" zoomScale="88" zoomScaleNormal="80" workbookViewId="0">
      <selection activeCell="A10" sqref="A10:J35"/>
    </sheetView>
  </sheetViews>
  <sheetFormatPr defaultColWidth="8.796875" defaultRowHeight="15.6"/>
  <cols>
    <col min="2" max="2" width="35.19921875" bestFit="1" customWidth="1"/>
    <col min="3" max="3" width="24.19921875" bestFit="1" customWidth="1"/>
    <col min="4" max="4" width="9" bestFit="1" customWidth="1"/>
    <col min="5" max="5" width="7" bestFit="1" customWidth="1"/>
    <col min="6" max="6" width="10.796875" bestFit="1" customWidth="1"/>
    <col min="7" max="7" width="12.5" bestFit="1" customWidth="1"/>
    <col min="8" max="8" width="7.796875" bestFit="1" customWidth="1"/>
    <col min="9" max="9" width="7" bestFit="1" customWidth="1"/>
    <col min="10" max="10" width="14.5" bestFit="1" customWidth="1"/>
  </cols>
  <sheetData>
    <row r="1" spans="2:3" ht="16.2" thickBot="1"/>
    <row r="2" spans="2:3" ht="18">
      <c r="B2" s="8" t="str">
        <f>+Admin!C12</f>
        <v>Date</v>
      </c>
      <c r="C2" s="23">
        <f>+Admin!D12</f>
        <v>45280</v>
      </c>
    </row>
    <row r="3" spans="2:3" ht="18">
      <c r="B3" s="9" t="str">
        <f>+Admin!C13</f>
        <v>Student name</v>
      </c>
      <c r="C3" s="10">
        <f>+Admin!D13</f>
        <v>0</v>
      </c>
    </row>
    <row r="4" spans="2:3" ht="18">
      <c r="B4" s="9" t="str">
        <f>+Admin!C14</f>
        <v>Neptun code</v>
      </c>
      <c r="C4" s="10">
        <f>+Admin!D14</f>
        <v>0</v>
      </c>
    </row>
    <row r="5" spans="2:3" ht="18">
      <c r="B5" s="9"/>
      <c r="C5" s="11"/>
    </row>
    <row r="6" spans="2:3" ht="18">
      <c r="B6" s="9" t="str">
        <f>+Admin!C16</f>
        <v>Study program</v>
      </c>
      <c r="C6" s="11" t="str">
        <f>+Admin!D16</f>
        <v>Master in Finance</v>
      </c>
    </row>
    <row r="7" spans="2:3" ht="18.600000000000001" thickBot="1">
      <c r="B7" s="12" t="str">
        <f>+Admin!C17</f>
        <v>Instructor</v>
      </c>
      <c r="C7" s="13" t="str">
        <f>+Admin!D17</f>
        <v>Péter Juhász, PhD, CFA</v>
      </c>
    </row>
    <row r="8" spans="2:3" ht="16.2" thickBot="1"/>
    <row r="9" spans="2:3" ht="21" thickBot="1">
      <c r="B9" s="14" t="s">
        <v>14</v>
      </c>
      <c r="C9" s="15"/>
    </row>
    <row r="21" spans="3:3">
      <c r="C21" s="25"/>
    </row>
    <row r="22" spans="3:3">
      <c r="C22" s="27"/>
    </row>
    <row r="23" spans="3:3">
      <c r="C23" s="27"/>
    </row>
    <row r="24" spans="3:3">
      <c r="C24" s="26"/>
    </row>
    <row r="25" spans="3:3">
      <c r="C25" s="26"/>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F7B94-CD1F-4364-9903-53CFB2227E96}">
  <sheetPr codeName="Munka1">
    <tabColor rgb="FF92D050"/>
  </sheetPr>
  <dimension ref="B1:K21"/>
  <sheetViews>
    <sheetView topLeftCell="A5" workbookViewId="0">
      <selection activeCell="E43" sqref="E43"/>
    </sheetView>
  </sheetViews>
  <sheetFormatPr defaultColWidth="8.796875" defaultRowHeight="15.6"/>
  <cols>
    <col min="2" max="2" width="20" bestFit="1" customWidth="1"/>
    <col min="3" max="3" width="37.19921875" bestFit="1" customWidth="1"/>
  </cols>
  <sheetData>
    <row r="1" spans="2:3" ht="16.2" thickBot="1"/>
    <row r="2" spans="2:3" ht="18">
      <c r="B2" s="8" t="str">
        <f>+Admin!C12</f>
        <v>Date</v>
      </c>
      <c r="C2" s="23">
        <f>+Admin!D12</f>
        <v>45280</v>
      </c>
    </row>
    <row r="3" spans="2:3" ht="18">
      <c r="B3" s="9" t="str">
        <f>+Admin!C13</f>
        <v>Student name</v>
      </c>
      <c r="C3" s="10">
        <f>+Admin!D13</f>
        <v>0</v>
      </c>
    </row>
    <row r="4" spans="2:3" ht="18">
      <c r="B4" s="9" t="str">
        <f>+Admin!C14</f>
        <v>Neptun code</v>
      </c>
      <c r="C4" s="10">
        <f>+Admin!D14</f>
        <v>0</v>
      </c>
    </row>
    <row r="5" spans="2:3" ht="18">
      <c r="B5" s="9"/>
      <c r="C5" s="11"/>
    </row>
    <row r="6" spans="2:3" ht="18">
      <c r="B6" s="9" t="str">
        <f>+Admin!C16</f>
        <v>Study program</v>
      </c>
      <c r="C6" s="11" t="str">
        <f>+Admin!D16</f>
        <v>Master in Finance</v>
      </c>
    </row>
    <row r="7" spans="2:3" ht="18.600000000000001" thickBot="1">
      <c r="B7" s="12" t="str">
        <f>+Admin!C17</f>
        <v>Instructor</v>
      </c>
      <c r="C7" s="13" t="str">
        <f>+Admin!D17</f>
        <v>Péter Juhász, PhD, CFA</v>
      </c>
    </row>
    <row r="8" spans="2:3" ht="16.2" thickBot="1"/>
    <row r="9" spans="2:3" ht="21" thickBot="1">
      <c r="B9" s="14" t="s">
        <v>14</v>
      </c>
      <c r="C9" s="15"/>
    </row>
    <row r="21" spans="11:11" ht="21">
      <c r="K21" s="20"/>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E24AA-CF15-465A-AA1F-31C1352C6464}">
  <sheetPr codeName="Munka4">
    <tabColor rgb="FF92D050"/>
  </sheetPr>
  <dimension ref="B1:I44"/>
  <sheetViews>
    <sheetView topLeftCell="A16" zoomScale="113" zoomScaleNormal="120" workbookViewId="0">
      <selection activeCell="F46" sqref="F46"/>
    </sheetView>
  </sheetViews>
  <sheetFormatPr defaultColWidth="8.796875" defaultRowHeight="15.6"/>
  <cols>
    <col min="2" max="2" width="19.296875" bestFit="1" customWidth="1"/>
    <col min="3" max="3" width="23.5" bestFit="1" customWidth="1"/>
    <col min="4" max="5" width="11.5" bestFit="1" customWidth="1"/>
    <col min="6" max="6" width="10.296875" bestFit="1" customWidth="1"/>
    <col min="7" max="7" width="14" bestFit="1" customWidth="1"/>
    <col min="8" max="8" width="10" bestFit="1" customWidth="1"/>
  </cols>
  <sheetData>
    <row r="1" spans="2:3" ht="16.2" thickBot="1"/>
    <row r="2" spans="2:3" ht="18">
      <c r="B2" s="8" t="str">
        <f>+Admin!C12</f>
        <v>Date</v>
      </c>
      <c r="C2" s="23">
        <f>+Admin!D12</f>
        <v>45280</v>
      </c>
    </row>
    <row r="3" spans="2:3" ht="18">
      <c r="B3" s="9" t="str">
        <f>+Admin!C13</f>
        <v>Student name</v>
      </c>
      <c r="C3" s="10">
        <f>+Admin!D13</f>
        <v>0</v>
      </c>
    </row>
    <row r="4" spans="2:3" ht="18">
      <c r="B4" s="9" t="str">
        <f>+Admin!C14</f>
        <v>Neptun code</v>
      </c>
      <c r="C4" s="10">
        <f>+Admin!D14</f>
        <v>0</v>
      </c>
    </row>
    <row r="5" spans="2:3" ht="18">
      <c r="B5" s="9"/>
      <c r="C5" s="11"/>
    </row>
    <row r="6" spans="2:3" ht="18">
      <c r="B6" s="9" t="str">
        <f>+Admin!C16</f>
        <v>Study program</v>
      </c>
      <c r="C6" s="11" t="str">
        <f>+Admin!D16</f>
        <v>Master in Finance</v>
      </c>
    </row>
    <row r="7" spans="2:3" ht="18.600000000000001" thickBot="1">
      <c r="B7" s="12" t="str">
        <f>+Admin!C17</f>
        <v>Instructor</v>
      </c>
      <c r="C7" s="13" t="str">
        <f>+Admin!D17</f>
        <v>Péter Juhász, PhD, CFA</v>
      </c>
    </row>
    <row r="8" spans="2:3" ht="16.2" thickBot="1"/>
    <row r="9" spans="2:3" ht="21" thickBot="1">
      <c r="B9" s="14" t="s">
        <v>14</v>
      </c>
      <c r="C9" s="15"/>
    </row>
    <row r="24" spans="2:9">
      <c r="B24" s="34" t="s">
        <v>34</v>
      </c>
      <c r="C24" s="22">
        <v>2024</v>
      </c>
      <c r="D24" s="17">
        <f>+C24+1</f>
        <v>2025</v>
      </c>
      <c r="E24" s="17">
        <f t="shared" ref="E24:G24" si="0">+D24+1</f>
        <v>2026</v>
      </c>
      <c r="F24" s="17">
        <f t="shared" si="0"/>
        <v>2027</v>
      </c>
      <c r="G24" s="17">
        <f t="shared" si="0"/>
        <v>2028</v>
      </c>
      <c r="H24" s="17" t="s">
        <v>23</v>
      </c>
      <c r="I24" s="17" t="s">
        <v>24</v>
      </c>
    </row>
    <row r="25" spans="2:9">
      <c r="B25" t="s">
        <v>15</v>
      </c>
      <c r="C25" s="28">
        <v>20000</v>
      </c>
    </row>
    <row r="26" spans="2:9">
      <c r="B26" t="s">
        <v>37</v>
      </c>
      <c r="I26" s="18">
        <v>0.04</v>
      </c>
    </row>
    <row r="27" spans="2:9">
      <c r="B27" t="s">
        <v>22</v>
      </c>
      <c r="C27" s="18">
        <v>0.09</v>
      </c>
      <c r="D27" s="18">
        <v>0.09</v>
      </c>
      <c r="E27" s="18">
        <v>0.09</v>
      </c>
      <c r="F27" s="18">
        <v>0.09</v>
      </c>
      <c r="G27" s="18">
        <v>0.09</v>
      </c>
      <c r="H27" s="18">
        <v>0.09</v>
      </c>
      <c r="I27" s="18">
        <v>0.09</v>
      </c>
    </row>
    <row r="28" spans="2:9">
      <c r="B28" t="s">
        <v>17</v>
      </c>
      <c r="H28" s="18">
        <v>0.35</v>
      </c>
      <c r="I28" s="18">
        <v>0.35</v>
      </c>
    </row>
    <row r="29" spans="2:9">
      <c r="B29" t="s">
        <v>3</v>
      </c>
      <c r="H29" s="18">
        <v>0.05</v>
      </c>
      <c r="I29" s="18">
        <v>0.05</v>
      </c>
    </row>
    <row r="30" spans="2:9">
      <c r="B30" t="s">
        <v>2</v>
      </c>
      <c r="C30" s="18">
        <v>0.2</v>
      </c>
      <c r="D30" s="18">
        <v>0.2</v>
      </c>
      <c r="E30" s="18">
        <v>0.2</v>
      </c>
      <c r="F30" s="18">
        <v>0.2</v>
      </c>
      <c r="G30" s="18">
        <v>0.2</v>
      </c>
      <c r="H30" s="18">
        <v>0.2</v>
      </c>
      <c r="I30" s="18">
        <v>0.2</v>
      </c>
    </row>
    <row r="32" spans="2:9">
      <c r="B32" s="34" t="s">
        <v>35</v>
      </c>
    </row>
    <row r="33" spans="2:8">
      <c r="B33" t="s">
        <v>4</v>
      </c>
      <c r="C33" s="18">
        <v>0.1</v>
      </c>
      <c r="D33" s="18">
        <v>0.1</v>
      </c>
      <c r="E33" s="18">
        <v>0.1</v>
      </c>
      <c r="F33" s="18">
        <v>0.1</v>
      </c>
      <c r="G33" s="18">
        <v>0.1</v>
      </c>
    </row>
    <row r="34" spans="2:8">
      <c r="B34" t="s">
        <v>21</v>
      </c>
      <c r="C34" s="18">
        <v>0.35</v>
      </c>
      <c r="D34" s="18">
        <v>0.35</v>
      </c>
      <c r="E34" s="18">
        <v>0.35</v>
      </c>
      <c r="F34" s="18">
        <v>0.35</v>
      </c>
      <c r="G34" s="18">
        <v>0.35</v>
      </c>
    </row>
    <row r="35" spans="2:8">
      <c r="B35" t="s">
        <v>3</v>
      </c>
      <c r="C35" s="18">
        <v>0.05</v>
      </c>
      <c r="D35" s="18">
        <v>0.05</v>
      </c>
      <c r="E35" s="18">
        <v>0.05</v>
      </c>
      <c r="F35" s="18">
        <v>0.05</v>
      </c>
      <c r="G35" s="18">
        <v>0.05</v>
      </c>
    </row>
    <row r="36" spans="2:8">
      <c r="B36" t="s">
        <v>0</v>
      </c>
      <c r="D36" s="18">
        <v>0.04</v>
      </c>
      <c r="E36" s="18">
        <v>0.04</v>
      </c>
      <c r="F36" s="18">
        <v>0.04</v>
      </c>
      <c r="G36" s="18">
        <v>0.04</v>
      </c>
      <c r="H36" s="18">
        <v>0.04</v>
      </c>
    </row>
    <row r="38" spans="2:8">
      <c r="B38" s="34" t="s">
        <v>36</v>
      </c>
    </row>
    <row r="39" spans="2:8">
      <c r="B39" t="s">
        <v>41</v>
      </c>
      <c r="C39" s="28">
        <v>1000</v>
      </c>
    </row>
    <row r="40" spans="2:8">
      <c r="B40" t="s">
        <v>4</v>
      </c>
      <c r="C40" s="18">
        <v>0.09</v>
      </c>
    </row>
    <row r="41" spans="2:8">
      <c r="B41" t="s">
        <v>1</v>
      </c>
      <c r="D41" s="18">
        <v>0.13</v>
      </c>
      <c r="E41" s="18">
        <v>0.12</v>
      </c>
      <c r="F41" s="18">
        <v>0.11</v>
      </c>
      <c r="G41" s="18">
        <v>0.1</v>
      </c>
    </row>
    <row r="42" spans="2:8">
      <c r="B42" t="s">
        <v>38</v>
      </c>
      <c r="C42" s="18">
        <v>0.5</v>
      </c>
      <c r="D42" s="18">
        <v>0.5</v>
      </c>
      <c r="E42" s="18">
        <v>0.5</v>
      </c>
      <c r="F42" s="18">
        <v>0.5</v>
      </c>
      <c r="G42" s="18">
        <v>0.5</v>
      </c>
    </row>
    <row r="43" spans="2:8">
      <c r="B43" t="s">
        <v>3</v>
      </c>
      <c r="C43" s="18">
        <v>7.0000000000000007E-2</v>
      </c>
      <c r="D43" s="18">
        <v>7.0000000000000007E-2</v>
      </c>
      <c r="E43" s="18">
        <v>7.0000000000000007E-2</v>
      </c>
      <c r="F43" s="18">
        <v>7.0000000000000007E-2</v>
      </c>
      <c r="G43" s="18">
        <v>7.0000000000000007E-2</v>
      </c>
    </row>
    <row r="44" spans="2:8">
      <c r="B44" t="s">
        <v>33</v>
      </c>
      <c r="C44" s="28">
        <v>2000</v>
      </c>
      <c r="D44" s="28">
        <v>1900</v>
      </c>
      <c r="E44" s="28">
        <v>1800</v>
      </c>
      <c r="F44" s="28">
        <v>1700</v>
      </c>
      <c r="G44" s="28">
        <v>1600</v>
      </c>
    </row>
  </sheetData>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OpeningPage</vt:lpstr>
      <vt:lpstr>Admin</vt:lpstr>
      <vt:lpstr>M&amp;A</vt:lpstr>
      <vt:lpstr>DCF</vt:lpstr>
      <vt:lpstr>Task 3</vt:lpstr>
      <vt:lpstr>PE</vt:lpstr>
      <vt:lpstr>Theory</vt:lpstr>
      <vt:lpstr>Bonus Task DCF compare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cp:lastModifiedBy>Borja Figueroa Franco</cp:lastModifiedBy>
  <dcterms:created xsi:type="dcterms:W3CDTF">2014-05-14T18:27:14Z</dcterms:created>
  <dcterms:modified xsi:type="dcterms:W3CDTF">2024-12-10T12:57:24Z</dcterms:modified>
</cp:coreProperties>
</file>