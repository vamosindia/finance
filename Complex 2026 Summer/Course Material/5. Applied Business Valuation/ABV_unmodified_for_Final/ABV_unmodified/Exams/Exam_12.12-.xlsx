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C:\Users\ASUS VIVOBOOK\Desktop\Exam Papers\Copied\"/>
    </mc:Choice>
  </mc:AlternateContent>
  <xr:revisionPtr revIDLastSave="0" documentId="13_ncr:1_{21D4419F-3EFB-4F40-8FCA-9FEB07A9F72E}" xr6:coauthVersionLast="47" xr6:coauthVersionMax="47" xr10:uidLastSave="{00000000-0000-0000-0000-000000000000}"/>
  <bookViews>
    <workbookView xWindow="-108" yWindow="-108" windowWidth="23256" windowHeight="13896" xr2:uid="{00000000-000D-0000-FFFF-FFFF00000000}"/>
  </bookViews>
  <sheets>
    <sheet name="OpeningPage" sheetId="5" r:id="rId1"/>
    <sheet name="Admin" sheetId="6" r:id="rId2"/>
    <sheet name="BCF" sheetId="4" r:id="rId3"/>
    <sheet name="DCF" sheetId="11" r:id="rId4"/>
    <sheet name="PE" sheetId="15" r:id="rId5"/>
    <sheet name="Sheet2" sheetId="16" r:id="rId6"/>
    <sheet name="M&amp;A" sheetId="10" r:id="rId7"/>
    <sheet name="Asset Val." sheetId="8" r:id="rId8"/>
    <sheet name="Value of ratios" sheetId="17" r:id="rId9"/>
    <sheet name="Bonus DCF comparison" sheetId="18" r:id="rId10"/>
    <sheet name="Bonus Task CoE" sheetId="14" r:id="rId11"/>
    <sheet name="Bonus Estimate element" sheetId="19" r:id="rId12"/>
    <sheet name="Theory" sheetId="9" r:id="rId13"/>
  </sheets>
  <definedNames>
    <definedName name="lista">OFFSET(#REF!,0,0,COUNTA(#REF!),1)</definedName>
  </definedNames>
  <calcPr calcId="191028" iterateCount="10000" iterateDelta="1E-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17" l="1"/>
  <c r="F28" i="17"/>
  <c r="F30" i="17"/>
  <c r="F60" i="17"/>
  <c r="F26" i="17" s="1"/>
  <c r="F56" i="17"/>
  <c r="F27" i="17" s="1"/>
  <c r="F61" i="17"/>
  <c r="F57" i="17"/>
  <c r="F58" i="17" s="1"/>
  <c r="M58" i="17"/>
  <c r="F49" i="17"/>
  <c r="AY50" i="15"/>
  <c r="BD49" i="15" s="1"/>
  <c r="BD51" i="15" s="1"/>
  <c r="AU50" i="15"/>
  <c r="AU44" i="15"/>
  <c r="BD43" i="15"/>
  <c r="W63" i="15"/>
  <c r="W53" i="15"/>
  <c r="AE48" i="15"/>
  <c r="AH44" i="15"/>
  <c r="AH43" i="15"/>
  <c r="W43" i="15"/>
  <c r="AA61" i="15" s="1"/>
  <c r="AH42" i="15"/>
  <c r="AA31" i="15"/>
  <c r="AF30" i="15" s="1"/>
  <c r="AF32" i="15" s="1"/>
  <c r="W31" i="15"/>
  <c r="W25" i="15"/>
  <c r="AF23" i="15"/>
  <c r="AF24" i="15" s="1"/>
  <c r="AY39" i="15" l="1"/>
  <c r="AY51" i="15"/>
  <c r="BD50" i="15" s="1"/>
  <c r="AU54" i="15" s="1"/>
  <c r="AU56" i="15" s="1"/>
  <c r="AE61" i="15"/>
  <c r="AA63" i="15"/>
  <c r="AF63" i="15" s="1"/>
  <c r="AA62" i="15"/>
  <c r="AF62" i="15" s="1"/>
  <c r="AA32" i="15"/>
  <c r="AF31" i="15" s="1"/>
  <c r="W35" i="15" s="1"/>
  <c r="W37" i="15" s="1"/>
  <c r="AA20" i="15" s="1"/>
  <c r="AY42" i="15" l="1"/>
  <c r="AU45" i="15" s="1"/>
  <c r="AY44" i="15"/>
  <c r="AA23" i="15"/>
  <c r="W26" i="15" s="1"/>
  <c r="AA25" i="15"/>
  <c r="AE63" i="15"/>
  <c r="AE62" i="15"/>
  <c r="W62" i="15" s="1"/>
  <c r="W64" i="15" s="1"/>
  <c r="AA48" i="15" s="1"/>
  <c r="BD45" i="15" l="1"/>
  <c r="AY45" i="15"/>
  <c r="AU48" i="15"/>
  <c r="AU49" i="15" s="1"/>
  <c r="AU42" i="15"/>
  <c r="AA46" i="15"/>
  <c r="W49" i="15" s="1"/>
  <c r="AA50" i="15"/>
  <c r="AF26" i="15"/>
  <c r="AA26" i="15"/>
  <c r="W23" i="15"/>
  <c r="W29" i="15"/>
  <c r="W30" i="15" s="1"/>
  <c r="AY46" i="15" l="1"/>
  <c r="BD46" i="15" s="1"/>
  <c r="AY47" i="15"/>
  <c r="BD47" i="15" s="1"/>
  <c r="BD53" i="15" s="1"/>
  <c r="BD54" i="15" s="1"/>
  <c r="AA28" i="15"/>
  <c r="AF28" i="15" s="1"/>
  <c r="AF34" i="15" s="1"/>
  <c r="AF35" i="15" s="1"/>
  <c r="AA27" i="15"/>
  <c r="AF27" i="15" s="1"/>
  <c r="AE50" i="15"/>
  <c r="AA51" i="15"/>
  <c r="W47" i="15"/>
  <c r="W55" i="15"/>
  <c r="W56" i="15" s="1"/>
  <c r="AA52" i="15" l="1"/>
  <c r="AA53" i="15"/>
  <c r="AE52" i="15" s="1"/>
  <c r="AE54" i="15" s="1"/>
  <c r="AE55" i="15" s="1"/>
  <c r="AE51" i="15" l="1"/>
  <c r="AA54" i="15"/>
  <c r="M57" i="17" l="1"/>
  <c r="M29" i="17" s="1"/>
  <c r="M47" i="17"/>
  <c r="M62" i="17" s="1"/>
  <c r="M39" i="17"/>
  <c r="M61" i="17" s="1"/>
  <c r="M27" i="17" s="1"/>
  <c r="AO66" i="10"/>
  <c r="AQ50" i="10"/>
  <c r="AO50" i="10"/>
  <c r="AO52" i="10" s="1"/>
  <c r="AQ49" i="10"/>
  <c r="AP49" i="10"/>
  <c r="AO49" i="10"/>
  <c r="AQ47" i="10"/>
  <c r="AP47" i="10"/>
  <c r="AP51" i="10" s="1"/>
  <c r="AO47" i="10"/>
  <c r="M59" i="17" l="1"/>
  <c r="AP53" i="10"/>
  <c r="AP50" i="10"/>
  <c r="AP52" i="10" s="1"/>
  <c r="AQ52" i="10"/>
  <c r="AQ53" i="10" s="1"/>
  <c r="AQ51" i="10" s="1"/>
  <c r="AO53" i="10"/>
  <c r="AO51" i="10" s="1"/>
  <c r="AS50" i="10"/>
  <c r="M30" i="17" l="1"/>
  <c r="M28" i="17"/>
  <c r="M31" i="17"/>
  <c r="AO57" i="10"/>
  <c r="AO61" i="10" l="1"/>
  <c r="AO62" i="10" s="1"/>
  <c r="AO63" i="10" s="1"/>
  <c r="AO64" i="10" s="1"/>
  <c r="AO67" i="10" s="1"/>
  <c r="AO58" i="10"/>
  <c r="AO70" i="10" l="1"/>
  <c r="AO72" i="10" s="1"/>
  <c r="AO69" i="10"/>
  <c r="L54" i="14" l="1"/>
  <c r="N54" i="14" s="1"/>
  <c r="K54" i="14"/>
  <c r="F54" i="14"/>
  <c r="N53" i="14"/>
  <c r="P53" i="14" s="1"/>
  <c r="M53" i="14"/>
  <c r="K53" i="14"/>
  <c r="I53" i="14"/>
  <c r="G53" i="14"/>
  <c r="O52" i="14"/>
  <c r="N52" i="14"/>
  <c r="P52" i="14" s="1"/>
  <c r="M52" i="14"/>
  <c r="K52" i="14"/>
  <c r="J52" i="14" s="1"/>
  <c r="H52" i="14"/>
  <c r="G52" i="14"/>
  <c r="K51" i="14"/>
  <c r="I51" i="14"/>
  <c r="F51" i="14"/>
  <c r="E51" i="14"/>
  <c r="L51" i="14" s="1"/>
  <c r="D24" i="18"/>
  <c r="E24" i="18" s="1"/>
  <c r="F24" i="18" s="1"/>
  <c r="G24" i="18" s="1"/>
  <c r="C46" i="17"/>
  <c r="C38" i="17"/>
  <c r="AF42" i="10"/>
  <c r="AF43" i="10" s="1"/>
  <c r="AF44" i="10" s="1"/>
  <c r="AE42" i="10"/>
  <c r="AE43" i="10" s="1"/>
  <c r="AE44" i="10" s="1"/>
  <c r="AD42" i="10"/>
  <c r="AD46" i="10" s="1"/>
  <c r="AF39" i="10"/>
  <c r="AE39" i="10"/>
  <c r="AE48" i="10" s="1"/>
  <c r="AD39" i="10"/>
  <c r="N51" i="14" l="1"/>
  <c r="P51" i="14" s="1"/>
  <c r="P54" i="14" s="1"/>
  <c r="G54" i="14" s="1"/>
  <c r="M51" i="14"/>
  <c r="O51" i="14"/>
  <c r="AE46" i="10"/>
  <c r="AE47" i="10" s="1"/>
  <c r="AD51" i="10"/>
  <c r="AD47" i="10"/>
  <c r="AD48" i="10"/>
  <c r="AD43" i="10"/>
  <c r="AD44" i="10" s="1"/>
  <c r="AF46" i="10"/>
  <c r="G51" i="15"/>
  <c r="L50" i="15" s="1"/>
  <c r="C51" i="15"/>
  <c r="C45" i="15"/>
  <c r="L44" i="15"/>
  <c r="G40" i="15" s="1"/>
  <c r="L42" i="15"/>
  <c r="G31" i="15"/>
  <c r="C31" i="15"/>
  <c r="L30" i="15"/>
  <c r="C30" i="15"/>
  <c r="C25" i="15"/>
  <c r="L22" i="15"/>
  <c r="L24" i="15" s="1"/>
  <c r="S63" i="10"/>
  <c r="T50" i="10"/>
  <c r="U47" i="10"/>
  <c r="U45" i="10" s="1"/>
  <c r="U46" i="10" s="1"/>
  <c r="V43" i="10"/>
  <c r="V45" i="10" s="1"/>
  <c r="U43" i="10"/>
  <c r="T43" i="10"/>
  <c r="T45" i="10" s="1"/>
  <c r="V41" i="10"/>
  <c r="U41" i="10"/>
  <c r="T41" i="10"/>
  <c r="U39" i="10"/>
  <c r="G51" i="8"/>
  <c r="G47" i="8"/>
  <c r="G46" i="8"/>
  <c r="G48" i="8" s="1"/>
  <c r="G39" i="8"/>
  <c r="G40" i="8" s="1"/>
  <c r="G41" i="8" s="1"/>
  <c r="G43" i="8" s="1"/>
  <c r="G37" i="8"/>
  <c r="L87" i="4"/>
  <c r="K87" i="4"/>
  <c r="L86" i="4"/>
  <c r="K86" i="4"/>
  <c r="L82" i="4"/>
  <c r="K82" i="4"/>
  <c r="L81" i="4"/>
  <c r="K81" i="4"/>
  <c r="L74" i="4"/>
  <c r="K74" i="4"/>
  <c r="L71" i="4"/>
  <c r="K71" i="4"/>
  <c r="L69" i="4"/>
  <c r="K69" i="4"/>
  <c r="L65" i="4"/>
  <c r="K65" i="4"/>
  <c r="L63" i="4"/>
  <c r="K63" i="4"/>
  <c r="L62" i="4"/>
  <c r="K62" i="4"/>
  <c r="L61" i="4"/>
  <c r="K61" i="4"/>
  <c r="L60" i="4"/>
  <c r="K60" i="4"/>
  <c r="L58" i="4"/>
  <c r="L66" i="4" s="1"/>
  <c r="L67" i="4" s="1"/>
  <c r="K58" i="4"/>
  <c r="K66" i="4" s="1"/>
  <c r="K67" i="4" s="1"/>
  <c r="J58" i="4"/>
  <c r="L56" i="4"/>
  <c r="L55" i="4"/>
  <c r="K55" i="4" s="1"/>
  <c r="J55" i="4" s="1"/>
  <c r="L46" i="4"/>
  <c r="L49" i="4" s="1"/>
  <c r="K46" i="4"/>
  <c r="K49" i="4" s="1"/>
  <c r="J46" i="4"/>
  <c r="K43" i="4"/>
  <c r="K48" i="4" s="1"/>
  <c r="J43" i="4"/>
  <c r="J48" i="4" s="1"/>
  <c r="J49" i="4" s="1"/>
  <c r="L41" i="4"/>
  <c r="L43" i="4" s="1"/>
  <c r="L48" i="4" s="1"/>
  <c r="K41" i="4"/>
  <c r="J41" i="4"/>
  <c r="J30" i="4"/>
  <c r="J32" i="4" s="1"/>
  <c r="J34" i="4" s="1"/>
  <c r="L29" i="4"/>
  <c r="K29" i="4"/>
  <c r="J29" i="4"/>
  <c r="L24" i="4"/>
  <c r="L30" i="4" s="1"/>
  <c r="K24" i="4"/>
  <c r="K56" i="4" s="1"/>
  <c r="J24" i="4"/>
  <c r="J56" i="4" s="1"/>
  <c r="L18" i="4"/>
  <c r="K18" i="4" s="1"/>
  <c r="J18" i="4" s="1"/>
  <c r="AF49" i="10" l="1"/>
  <c r="AF47" i="10"/>
  <c r="AF48" i="10" s="1"/>
  <c r="AD54" i="10"/>
  <c r="AD52" i="10"/>
  <c r="G33" i="15"/>
  <c r="G45" i="15"/>
  <c r="G43" i="15"/>
  <c r="C46" i="15" s="1"/>
  <c r="G52" i="15"/>
  <c r="L51" i="15" s="1"/>
  <c r="C54" i="15" s="1"/>
  <c r="G53" i="15"/>
  <c r="G32" i="15"/>
  <c r="L31" i="15" s="1"/>
  <c r="C34" i="15" s="1"/>
  <c r="C36" i="15" s="1"/>
  <c r="G20" i="15" s="1"/>
  <c r="V46" i="10"/>
  <c r="V47" i="10" s="1"/>
  <c r="X45" i="10"/>
  <c r="Y45" i="10" s="1"/>
  <c r="T51" i="10" s="1"/>
  <c r="V51" i="10" s="1"/>
  <c r="T46" i="10"/>
  <c r="X46" i="10" s="1"/>
  <c r="V50" i="10"/>
  <c r="S57" i="10" s="1"/>
  <c r="L32" i="4"/>
  <c r="L34" i="4" s="1"/>
  <c r="L75" i="4" s="1"/>
  <c r="L52" i="4"/>
  <c r="L83" i="4" s="1"/>
  <c r="K30" i="4"/>
  <c r="J52" i="4"/>
  <c r="J57" i="4" s="1"/>
  <c r="J59" i="4" s="1"/>
  <c r="AD55" i="10" l="1"/>
  <c r="AD56" i="10"/>
  <c r="AD57" i="10" s="1"/>
  <c r="G23" i="15"/>
  <c r="C26" i="15" s="1"/>
  <c r="C23" i="15" s="1"/>
  <c r="G25" i="15"/>
  <c r="C43" i="15"/>
  <c r="G54" i="15" s="1"/>
  <c r="C49" i="15"/>
  <c r="C50" i="15" s="1"/>
  <c r="L46" i="15"/>
  <c r="G46" i="15"/>
  <c r="G34" i="15"/>
  <c r="T47" i="10"/>
  <c r="X47" i="10" s="1"/>
  <c r="S60" i="10"/>
  <c r="S61" i="10" s="1"/>
  <c r="S64" i="10" s="1"/>
  <c r="S66" i="10" s="1"/>
  <c r="S68" i="10" s="1"/>
  <c r="S59" i="10"/>
  <c r="K32" i="4"/>
  <c r="K34" i="4" s="1"/>
  <c r="K75" i="4" s="1"/>
  <c r="K52" i="4"/>
  <c r="L57" i="4"/>
  <c r="L59" i="4" s="1"/>
  <c r="L64" i="4" s="1"/>
  <c r="L68" i="4" s="1"/>
  <c r="L70" i="4"/>
  <c r="L72" i="4" s="1"/>
  <c r="AD62" i="10" l="1"/>
  <c r="AD60" i="10"/>
  <c r="G48" i="15"/>
  <c r="L48" i="15" s="1"/>
  <c r="L53" i="15" s="1"/>
  <c r="L54" i="15" s="1"/>
  <c r="G47" i="15"/>
  <c r="L47" i="15" s="1"/>
  <c r="L45" i="15"/>
  <c r="L26" i="15"/>
  <c r="G26" i="15"/>
  <c r="S72" i="10"/>
  <c r="S70" i="10"/>
  <c r="S69" i="10"/>
  <c r="L73" i="4"/>
  <c r="L76" i="4"/>
  <c r="L78" i="4" s="1"/>
  <c r="L89" i="4" s="1"/>
  <c r="K83" i="4"/>
  <c r="K70" i="4"/>
  <c r="K72" i="4" s="1"/>
  <c r="K57" i="4"/>
  <c r="K59" i="4" s="1"/>
  <c r="K64" i="4" s="1"/>
  <c r="K68" i="4" s="1"/>
  <c r="G27" i="15" l="1"/>
  <c r="L27" i="15" s="1"/>
  <c r="L25" i="15" s="1"/>
  <c r="G28" i="15"/>
  <c r="L28" i="15" s="1"/>
  <c r="L33" i="15" s="1"/>
  <c r="L34" i="15" s="1"/>
  <c r="K73" i="4"/>
  <c r="K76" i="4"/>
  <c r="K78" i="4" s="1"/>
  <c r="K89" i="4" s="1"/>
  <c r="J56" i="10" l="1"/>
  <c r="F56" i="10"/>
  <c r="E46" i="10"/>
  <c r="F46" i="10"/>
  <c r="D46" i="10"/>
  <c r="C35" i="8"/>
  <c r="R63" i="11"/>
  <c r="Q63" i="11"/>
  <c r="P63" i="11"/>
  <c r="O63" i="11"/>
  <c r="N63" i="11"/>
  <c r="M63" i="11"/>
  <c r="M62" i="11" a="1"/>
  <c r="M62" i="11" s="1"/>
  <c r="P61" i="11"/>
  <c r="O61" i="11" s="1"/>
  <c r="N61" i="11" s="1"/>
  <c r="M61" i="11" s="1"/>
  <c r="Q61" i="11"/>
  <c r="S36" i="11"/>
  <c r="N60" i="11"/>
  <c r="O60" i="11"/>
  <c r="P60" i="11"/>
  <c r="Q60" i="11"/>
  <c r="R60" i="11"/>
  <c r="M60" i="11"/>
  <c r="Q59" i="11"/>
  <c r="P59" i="11"/>
  <c r="O59" i="11"/>
  <c r="N59" i="11"/>
  <c r="M59" i="11"/>
  <c r="P36" i="11"/>
  <c r="Q36" i="11"/>
  <c r="R36" i="11"/>
  <c r="O36" i="11"/>
  <c r="N55" i="11"/>
  <c r="O55" i="11"/>
  <c r="P55" i="11"/>
  <c r="Q55" i="11"/>
  <c r="R55" i="11"/>
  <c r="M55" i="11"/>
  <c r="N54" i="11"/>
  <c r="M54" i="11"/>
  <c r="P51" i="11"/>
  <c r="O51" i="11" s="1"/>
  <c r="Q51" i="11"/>
  <c r="R51" i="11"/>
  <c r="O50" i="11"/>
  <c r="P50" i="11"/>
  <c r="Q50" i="11"/>
  <c r="R50" i="11"/>
  <c r="N49" i="11"/>
  <c r="O49" i="11"/>
  <c r="P49" i="11"/>
  <c r="Q49" i="11"/>
  <c r="R49" i="11"/>
  <c r="M49" i="11"/>
  <c r="N46" i="11"/>
  <c r="P46" i="11"/>
  <c r="M46" i="11"/>
  <c r="N45" i="11"/>
  <c r="O45" i="11"/>
  <c r="P45" i="11"/>
  <c r="Q45" i="11"/>
  <c r="M45" i="11"/>
  <c r="P44" i="11"/>
  <c r="P54" i="11" s="1"/>
  <c r="O44" i="11"/>
  <c r="O54" i="11" s="1"/>
  <c r="N44" i="11"/>
  <c r="M44" i="11"/>
  <c r="N43" i="11"/>
  <c r="O43" i="11"/>
  <c r="P43" i="11"/>
  <c r="Q43" i="11"/>
  <c r="R43" i="11"/>
  <c r="M43" i="11"/>
  <c r="N42" i="11"/>
  <c r="O42" i="11"/>
  <c r="P42" i="11"/>
  <c r="Q42" i="11"/>
  <c r="R42" i="11"/>
  <c r="M42" i="11"/>
  <c r="N36" i="11"/>
  <c r="O34" i="11"/>
  <c r="P34" i="11" s="1"/>
  <c r="Q34" i="11" s="1"/>
  <c r="R34" i="11" s="1"/>
  <c r="S34" i="11" s="1"/>
  <c r="N34" i="11"/>
  <c r="S30" i="11"/>
  <c r="R41" i="11" s="1"/>
  <c r="R30" i="11"/>
  <c r="O35" i="11"/>
  <c r="P35" i="11"/>
  <c r="Q35" i="11"/>
  <c r="R35" i="11"/>
  <c r="S35" i="11"/>
  <c r="Q41" i="11"/>
  <c r="O41" i="11"/>
  <c r="P41" i="11"/>
  <c r="N41" i="11"/>
  <c r="M41" i="11"/>
  <c r="M33" i="11"/>
  <c r="M36" i="11"/>
  <c r="N39" i="11"/>
  <c r="O39" i="11"/>
  <c r="P39" i="11"/>
  <c r="Q39" i="11"/>
  <c r="R39" i="11"/>
  <c r="S39" i="11"/>
  <c r="M39" i="11"/>
  <c r="O40" i="11"/>
  <c r="P40" i="11" s="1"/>
  <c r="Q40" i="11" s="1"/>
  <c r="R40" i="11" s="1"/>
  <c r="S40" i="11" s="1"/>
  <c r="N40" i="11"/>
  <c r="M40" i="11"/>
  <c r="J58" i="10"/>
  <c r="L40" i="10"/>
  <c r="K40" i="10"/>
  <c r="J40" i="10"/>
  <c r="L38" i="10"/>
  <c r="L39" i="10" s="1"/>
  <c r="L42" i="10" s="1"/>
  <c r="K38" i="10"/>
  <c r="K39" i="10" s="1"/>
  <c r="K42" i="10" s="1"/>
  <c r="J38" i="10"/>
  <c r="J39" i="10" s="1"/>
  <c r="J42" i="10" s="1"/>
  <c r="D38" i="10"/>
  <c r="D45" i="10"/>
  <c r="D44" i="10"/>
  <c r="D43" i="10"/>
  <c r="D42" i="10"/>
  <c r="R44" i="11" l="1"/>
  <c r="R54" i="11" s="1"/>
  <c r="R56" i="11" s="1"/>
  <c r="Q44" i="11"/>
  <c r="Q54" i="11" s="1"/>
  <c r="O46" i="11"/>
  <c r="K43" i="10"/>
  <c r="K44" i="10" s="1"/>
  <c r="J47" i="10" s="1"/>
  <c r="J43" i="10"/>
  <c r="J44" i="10" s="1"/>
  <c r="N42" i="10"/>
  <c r="O42" i="10" s="1"/>
  <c r="L43" i="10"/>
  <c r="L44" i="10" s="1"/>
  <c r="Q56" i="11" l="1"/>
  <c r="P56" i="11" s="1"/>
  <c r="O56" i="11" s="1"/>
  <c r="N56" i="11" s="1"/>
  <c r="Q46" i="11"/>
  <c r="M56" i="11"/>
  <c r="M26" i="11" s="1"/>
  <c r="N26" i="11"/>
  <c r="N35" i="11" s="1"/>
  <c r="N50" i="11" s="1"/>
  <c r="N51" i="11" s="1"/>
  <c r="L47" i="10"/>
  <c r="J52" i="10" s="1"/>
  <c r="J48" i="10"/>
  <c r="L48" i="10" s="1"/>
  <c r="N43" i="10"/>
  <c r="O43" i="10" s="1"/>
  <c r="N44" i="10"/>
  <c r="O44" i="10" s="1"/>
  <c r="J53" i="10" l="1"/>
  <c r="J54" i="10" s="1"/>
  <c r="K56" i="10" s="1"/>
  <c r="E52" i="4" l="1"/>
  <c r="K31" i="14"/>
  <c r="I31" i="14"/>
  <c r="H32" i="14"/>
  <c r="L31" i="14"/>
  <c r="E31" i="14"/>
  <c r="G32" i="14"/>
  <c r="F31" i="14"/>
  <c r="C63" i="8"/>
  <c r="C62" i="8"/>
  <c r="C60" i="8"/>
  <c r="C59" i="8"/>
  <c r="C42" i="8"/>
  <c r="C41" i="8"/>
  <c r="C40" i="8"/>
  <c r="C39" i="8"/>
  <c r="D37" i="10"/>
  <c r="J34" i="11"/>
  <c r="I47" i="11"/>
  <c r="I48" i="11"/>
  <c r="I59" i="11"/>
  <c r="I37" i="11"/>
  <c r="I43" i="11"/>
  <c r="I44" i="11"/>
  <c r="I55" i="11"/>
  <c r="D55" i="11"/>
  <c r="D56" i="11"/>
  <c r="D57" i="11"/>
  <c r="D26" i="11"/>
  <c r="D38" i="11"/>
  <c r="D34" i="11"/>
  <c r="E75" i="4" l="1"/>
  <c r="E56" i="4"/>
  <c r="E58" i="4"/>
  <c r="E57" i="4"/>
  <c r="E62" i="4"/>
  <c r="C38" i="8"/>
  <c r="C37" i="8"/>
  <c r="G33" i="14"/>
  <c r="J43" i="11"/>
  <c r="J39" i="11"/>
  <c r="J38" i="11"/>
  <c r="J30" i="11" s="1"/>
  <c r="H37" i="11"/>
  <c r="I30" i="11"/>
  <c r="E56" i="10" l="1"/>
  <c r="E42" i="10"/>
  <c r="F42" i="10"/>
  <c r="F43" i="10" s="1"/>
  <c r="F44" i="10" s="1"/>
  <c r="E45" i="10"/>
  <c r="E48" i="10" s="1"/>
  <c r="F45" i="10"/>
  <c r="F48" i="10" s="1"/>
  <c r="E37" i="10"/>
  <c r="F37" i="10"/>
  <c r="E38" i="10"/>
  <c r="F38" i="10"/>
  <c r="E39" i="10"/>
  <c r="F39" i="10"/>
  <c r="D39" i="10"/>
  <c r="D48" i="10"/>
  <c r="E51" i="11"/>
  <c r="F51" i="11"/>
  <c r="G51" i="11"/>
  <c r="F52" i="11"/>
  <c r="G52" i="11"/>
  <c r="H52" i="11"/>
  <c r="I52" i="11"/>
  <c r="E55" i="11"/>
  <c r="E56" i="11"/>
  <c r="F56" i="11"/>
  <c r="G56" i="11"/>
  <c r="H56" i="11"/>
  <c r="I56" i="11"/>
  <c r="F60" i="11"/>
  <c r="G60" i="11"/>
  <c r="H60" i="11"/>
  <c r="I60" i="11"/>
  <c r="D59" i="11"/>
  <c r="D51" i="11"/>
  <c r="E44" i="11"/>
  <c r="F44" i="11"/>
  <c r="G44" i="11"/>
  <c r="E45" i="11"/>
  <c r="E46" i="11" s="1"/>
  <c r="F39" i="11"/>
  <c r="G39" i="11"/>
  <c r="H39" i="11"/>
  <c r="I39" i="11"/>
  <c r="F38" i="11"/>
  <c r="G38" i="11"/>
  <c r="H38" i="11"/>
  <c r="I38" i="11"/>
  <c r="F42" i="11"/>
  <c r="E43" i="11"/>
  <c r="E42" i="11"/>
  <c r="D43" i="11"/>
  <c r="E33" i="11" s="1"/>
  <c r="E34" i="11" s="1"/>
  <c r="E35" i="11" s="1"/>
  <c r="G37" i="11"/>
  <c r="D37" i="11"/>
  <c r="E37" i="11"/>
  <c r="F37" i="11"/>
  <c r="D46" i="11"/>
  <c r="D45" i="11"/>
  <c r="D35" i="11"/>
  <c r="D42" i="11"/>
  <c r="E43" i="10" l="1"/>
  <c r="E44" i="10" s="1"/>
  <c r="D49" i="10"/>
  <c r="F49" i="10"/>
  <c r="E49" i="10"/>
  <c r="F43" i="11"/>
  <c r="G42" i="11" s="1"/>
  <c r="D44" i="11"/>
  <c r="D47" i="11"/>
  <c r="F33" i="11"/>
  <c r="D56" i="10" l="1"/>
  <c r="D59" i="10" s="1"/>
  <c r="D60" i="10" s="1"/>
  <c r="E50" i="10"/>
  <c r="D50" i="10"/>
  <c r="D57" i="10"/>
  <c r="F57" i="10" s="1"/>
  <c r="G43" i="11"/>
  <c r="H42" i="11" s="1"/>
  <c r="D48" i="11"/>
  <c r="G33" i="11"/>
  <c r="D61" i="10" l="1"/>
  <c r="H43" i="11"/>
  <c r="H33" i="11"/>
  <c r="I42" i="11" l="1"/>
  <c r="H44" i="11"/>
  <c r="H51" i="11" s="1"/>
  <c r="I33" i="11"/>
  <c r="I51" i="11" l="1"/>
  <c r="I53" i="11" s="1"/>
  <c r="H53" i="11" l="1"/>
  <c r="I34" i="11"/>
  <c r="I45" i="11" l="1"/>
  <c r="I35" i="11"/>
  <c r="G53" i="11"/>
  <c r="H34" i="11"/>
  <c r="H45" i="11" l="1"/>
  <c r="H35" i="11"/>
  <c r="F53" i="11"/>
  <c r="F34" i="11" s="1"/>
  <c r="G34" i="11"/>
  <c r="I46" i="11"/>
  <c r="I57" i="11" s="1"/>
  <c r="H47" i="11"/>
  <c r="I61" i="11" l="1"/>
  <c r="I62" i="11" s="1"/>
  <c r="F45" i="11"/>
  <c r="E47" i="11"/>
  <c r="E48" i="11" s="1"/>
  <c r="E59" i="11" s="1"/>
  <c r="F35" i="11"/>
  <c r="G45" i="11"/>
  <c r="F47" i="11"/>
  <c r="G35" i="11"/>
  <c r="H46" i="11"/>
  <c r="H55" i="11" s="1"/>
  <c r="H57" i="11" s="1"/>
  <c r="G47" i="11"/>
  <c r="G46" i="11" l="1"/>
  <c r="G55" i="11" s="1"/>
  <c r="G57" i="11" s="1"/>
  <c r="H48" i="11"/>
  <c r="H59" i="11" s="1"/>
  <c r="H61" i="11" s="1"/>
  <c r="H62" i="11" s="1"/>
  <c r="F46" i="11"/>
  <c r="F55" i="11" s="1"/>
  <c r="F57" i="11" s="1"/>
  <c r="E57" i="11" s="1"/>
  <c r="G48" i="11" l="1"/>
  <c r="G59" i="11" s="1"/>
  <c r="F48" i="11"/>
  <c r="F59" i="11" s="1"/>
  <c r="E26" i="11"/>
  <c r="G61" i="11"/>
  <c r="G62" i="11" s="1"/>
  <c r="E39" i="11" l="1"/>
  <c r="E60" i="11" s="1"/>
  <c r="E38" i="11"/>
  <c r="E52" i="11" s="1"/>
  <c r="E53" i="11" s="1"/>
  <c r="D52" i="11"/>
  <c r="D39" i="11"/>
  <c r="D60" i="11" s="1"/>
  <c r="F61" i="11"/>
  <c r="D53" i="11" l="1"/>
  <c r="F62" i="11"/>
  <c r="E61" i="11"/>
  <c r="E62" i="11" l="1"/>
  <c r="D61" i="11"/>
  <c r="D62" i="11" s="1"/>
  <c r="E82" i="4" l="1"/>
  <c r="E84" i="4" s="1"/>
  <c r="F82" i="4"/>
  <c r="D82" i="4"/>
  <c r="D84" i="4" s="1"/>
  <c r="E63" i="4"/>
  <c r="E61" i="4"/>
  <c r="E60" i="4"/>
  <c r="E59" i="4"/>
  <c r="E65" i="4" s="1"/>
  <c r="E78" i="4"/>
  <c r="F79" i="4"/>
  <c r="E79" i="4"/>
  <c r="E68" i="4"/>
  <c r="E67" i="4"/>
  <c r="E66" i="4"/>
  <c r="F80" i="4"/>
  <c r="F52" i="4"/>
  <c r="E70" i="4"/>
  <c r="E71" i="4" s="1"/>
  <c r="E73" i="4"/>
  <c r="E69" i="4"/>
  <c r="E54" i="4"/>
  <c r="D83" i="4"/>
  <c r="F83" i="4"/>
  <c r="F84" i="4"/>
  <c r="F85" i="4" s="1"/>
  <c r="F78" i="4"/>
  <c r="F75" i="4"/>
  <c r="F73" i="4"/>
  <c r="F69" i="4"/>
  <c r="F68" i="4"/>
  <c r="F67" i="4"/>
  <c r="F63" i="4"/>
  <c r="F62" i="4"/>
  <c r="F61" i="4"/>
  <c r="F60" i="4"/>
  <c r="F58" i="4"/>
  <c r="F66" i="4" s="1"/>
  <c r="F54" i="4"/>
  <c r="F56" i="4" s="1"/>
  <c r="E83" i="4"/>
  <c r="E85" i="4" l="1"/>
  <c r="F70" i="4"/>
  <c r="F71" i="4" s="1"/>
  <c r="F74" i="4"/>
  <c r="F57" i="4"/>
  <c r="F59" i="4" s="1"/>
  <c r="F65" i="4" s="1"/>
  <c r="F72" i="4" s="1"/>
  <c r="F76" i="4" s="1"/>
  <c r="E74" i="4"/>
  <c r="E72" i="4"/>
  <c r="E76" i="4" s="1"/>
  <c r="E80" i="4" s="1"/>
  <c r="D20" i="6" l="1"/>
  <c r="C7" i="14"/>
  <c r="B7" i="14"/>
  <c r="C6" i="14"/>
  <c r="B6" i="14"/>
  <c r="C4" i="14"/>
  <c r="B4" i="14"/>
  <c r="C3" i="14"/>
  <c r="B3" i="14"/>
  <c r="C2" i="14"/>
  <c r="B2" i="14"/>
  <c r="D41" i="4" l="1"/>
  <c r="D43" i="4" s="1"/>
  <c r="C64" i="8" l="1"/>
  <c r="E41" i="4" l="1"/>
  <c r="F41" i="4"/>
  <c r="E29" i="4"/>
  <c r="D29" i="4"/>
  <c r="F29" i="4"/>
  <c r="F18" i="4" l="1"/>
  <c r="E18" i="4" s="1"/>
  <c r="E24" i="11"/>
  <c r="F24" i="11" s="1"/>
  <c r="G24" i="11" s="1"/>
  <c r="H24" i="11" s="1"/>
  <c r="D18" i="4" l="1"/>
  <c r="B7" i="11"/>
  <c r="C6" i="11"/>
  <c r="B6" i="11"/>
  <c r="C4" i="11"/>
  <c r="B4" i="11"/>
  <c r="C3" i="11"/>
  <c r="B3" i="11"/>
  <c r="C2" i="11"/>
  <c r="B2" i="11"/>
  <c r="B7" i="10"/>
  <c r="C6" i="10"/>
  <c r="B6" i="10"/>
  <c r="C4" i="10"/>
  <c r="B4" i="10"/>
  <c r="C3" i="10"/>
  <c r="B3" i="10"/>
  <c r="C2" i="10"/>
  <c r="B2" i="10"/>
  <c r="B7" i="9" l="1"/>
  <c r="C6" i="9"/>
  <c r="B6" i="9"/>
  <c r="C4" i="9"/>
  <c r="B4" i="9"/>
  <c r="C3" i="9"/>
  <c r="B3" i="9"/>
  <c r="C2" i="9"/>
  <c r="B2" i="9"/>
  <c r="B7" i="8"/>
  <c r="C6" i="8"/>
  <c r="B6" i="8"/>
  <c r="C4" i="8"/>
  <c r="B4" i="8"/>
  <c r="C3" i="8"/>
  <c r="B3" i="8"/>
  <c r="C2" i="8"/>
  <c r="B2" i="8"/>
  <c r="E46" i="4"/>
  <c r="F46" i="4"/>
  <c r="D46" i="4"/>
  <c r="E43" i="4"/>
  <c r="F43" i="4"/>
  <c r="E24" i="4"/>
  <c r="F24" i="4"/>
  <c r="D24" i="4"/>
  <c r="E30" i="4" l="1"/>
  <c r="F30" i="4"/>
  <c r="D30" i="4"/>
  <c r="D48" i="4"/>
  <c r="D49" i="4" s="1"/>
  <c r="F48" i="4"/>
  <c r="E48" i="4"/>
  <c r="B3" i="4"/>
  <c r="C3" i="4"/>
  <c r="B4" i="4"/>
  <c r="C4" i="4"/>
  <c r="B6" i="4"/>
  <c r="C6" i="4"/>
  <c r="B7" i="4"/>
  <c r="C2" i="4"/>
  <c r="B2" i="4"/>
  <c r="E49" i="4" l="1"/>
  <c r="F49" i="4"/>
  <c r="F32" i="4"/>
  <c r="F34" i="4" s="1"/>
  <c r="E32" i="4"/>
  <c r="E34" i="4" s="1"/>
  <c r="D32" i="4"/>
  <c r="D34" i="4" s="1"/>
  <c r="C7" i="4"/>
  <c r="C7" i="10"/>
  <c r="C7" i="11"/>
  <c r="C7" i="8"/>
  <c r="C7" i="9"/>
  <c r="M35" i="11" l="1"/>
  <c r="M50" i="11"/>
  <c r="M51" i="11" s="1"/>
  <c r="R45" i="11"/>
  <c r="R46" i="11"/>
  <c r="R59" i="11" s="1"/>
  <c r="R61" i="11" s="1"/>
  <c r="S43" i="11"/>
  <c r="S44" i="11" s="1"/>
  <c r="S45" i="11"/>
  <c r="S4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tc={B8DC0B82-EE46-4042-B787-FE6EA934A856}</author>
    <author>tc={2EDF158C-C230-B44C-9A07-EEE80C31C289}</author>
    <author>tc={63FCEE55-AE2D-AA4F-9919-11341E814BDD}</author>
    <author>tc={CF4BD2F0-EA05-AB4B-83EA-16D03792BA9F}</author>
    <author>tc={C812A0C2-4729-4A4B-A9D9-A9E90393A5EA}</author>
    <author>tc={614A0287-A9C7-F14C-AC4A-CDA559191F64}</author>
    <author>tc={F863DF87-ECBE-574D-B8C9-7102B4235153}</author>
    <author>Ádám</author>
    <author>tc={239C943A-C84F-3D4D-AC35-C989E55B5133}</author>
    <author>tc={0603C9D7-F9F6-CF40-AF11-416C73186D11}</author>
    <author>tc={098C4DB8-50E6-D44C-A5B1-69C78D5D0A9F}</author>
    <author>tc={ACDD121B-46CA-0241-A199-1DA87906CEE0}</author>
    <author>tc={651290FF-00D8-D247-8169-C172DAED8958}</author>
    <author>tc={92A2F918-3EE8-6648-B539-B7FC93D7F021}</author>
    <author>tc={46B0A127-0E27-1A4E-99AE-BB94BC5C5D54}</author>
    <author>tc={CDCC00EF-96F6-4B44-A970-F7C17993B5C0}</author>
    <author>tc={C3875140-7751-154C-A17F-4705627686AA}</author>
    <author>tc={BF8B11F2-C53D-9346-94D7-E65FFF28F1C9}</author>
    <author>tc={E2F279C9-770A-5247-9BCA-DA65274EDE88}</author>
    <author>tc={C79F0B1F-341A-864C-9B60-CB430EFAF6F0}</author>
    <author>tc={27026B07-13A0-E74F-BF1D-27776B8332EB}</author>
    <author>tc={B7015691-B4D8-374A-A491-68963C5ABF08}</author>
    <author>tc={E7CFC42C-F025-2440-85EA-94EB95167407}</author>
    <author>tc={C52BF9A0-9DDC-7044-8485-BCE3C89CB7B9}</author>
    <author>tc={98C99CD2-B6DF-9A4D-AF63-86542525764D}</author>
    <author>tc={F1DFD01D-F2E7-0A45-B8F5-FE337E264F90}</author>
    <author>tc={8D22EA89-2285-9146-83AF-03B010BE63F9}</author>
    <author>tc={AA22E832-3B1B-614A-BCB8-343081D527C7}</author>
    <author>tc={42A07ACE-6711-0A48-A1DE-12222E424FC8}</author>
    <author>tc={0FB97FA9-EA88-3647-8B26-2C2DC8EDBB80}</author>
    <author>tc={7E7CCE69-57C0-A344-8DA6-89D521849840}</author>
    <author>tc={93460F23-D004-3843-A5D3-F323463AEEC5}</author>
    <author>tc={EA9285AD-4938-8447-AB6B-F2191706D1E4}</author>
    <author>Aya SLIKI</author>
    <author>tc={A4637B19-AD79-C24B-9D04-ADA9271B6D95}</author>
    <author>tc={4C917A83-B29F-B749-955C-285906365C8A}</author>
    <author>tc={05EFD8EF-9984-574E-A82E-9617E49A72E4}</author>
    <author>tc={A56597BB-0EC1-1E45-9348-4F753697F7C1}</author>
    <author>tc={E4320290-CF24-F448-BB89-22B37B2D28AF}</author>
    <author>tc={051F7C18-6AEF-EF46-A25B-D5395BE2BC31}</author>
  </authors>
  <commentList>
    <comment ref="Z20" authorId="0" shapeId="0" xr:uid="{B8DC0B82-EE46-4042-B787-FE6EA934A856}">
      <text>
        <t xml:space="preserve">[Threaded comment]
Your version of Excel allows you to read this threaded comment; however, any edits to it will get removed if the file is opened in a newer version of Excel. Learn more: https://go.microsoft.com/fwlink/?linkid=870924
Comment:
    Post additional investmen tin year 2 of 100
</t>
      </text>
    </comment>
    <comment ref="AA20" authorId="1" shapeId="0" xr:uid="{2EDF158C-C230-B44C-9A07-EEE80C31C289}">
      <text>
        <t xml:space="preserve">[Threaded comment]
Your version of Excel allows you to read this threaded comment; however, any edits to it will get removed if the file is opened in a newer version of Excel. Learn more: https://go.microsoft.com/fwlink/?linkid=870924
Comment:
    4 years (6 yeat -2 years=T-t)
</t>
      </text>
    </comment>
    <comment ref="W23" authorId="2" shapeId="0" xr:uid="{63FCEE55-AE2D-AA4F-9919-11341E814BDD}">
      <text>
        <t xml:space="preserve">[Threaded comment]
Your version of Excel allows you to read this threaded comment; however, any edits to it will get removed if the file is opened in a newer version of Excel. Learn more: https://go.microsoft.com/fwlink/?linkid=870924
Comment:
    Cleared from investment of 70
</t>
      </text>
    </comment>
    <comment ref="Z23" authorId="3" shapeId="0" xr:uid="{CF4BD2F0-EA05-AB4B-83EA-16D03792BA9F}">
      <text>
        <t xml:space="preserve">[Threaded comment]
Your version of Excel allows you to read this threaded comment; however, any edits to it will get removed if the file is opened in a newer version of Excel. Learn more: https://go.microsoft.com/fwlink/?linkid=870924
Comment:
    Cleared from 100 investment in year 2
</t>
      </text>
    </comment>
    <comment ref="AE24" authorId="4" shapeId="0" xr:uid="{C812A0C2-4729-4A4B-A9D9-A9E90393A5EA}">
      <text>
        <t xml:space="preserve">[Threaded comment]
Your version of Excel allows you to read this threaded comment; however, any edits to it will get removed if the file is opened in a newer version of Excel. Learn more: https://go.microsoft.com/fwlink/?linkid=870924
Comment:
    Equity in 6 years
</t>
      </text>
    </comment>
    <comment ref="G25" authorId="5" shapeId="0" xr:uid="{614A0287-A9C7-F14C-AC4A-CDA559191F64}">
      <text>
        <t>[Threaded comment]
Your version of Excel allows you to read this threaded comment; however, any edits to it will get removed if the file is opened in a newer version of Excel. Learn more: https://go.microsoft.com/fwlink/?linkid=870924
Comment:
    % gain in ownership only from year 2 investment</t>
      </text>
    </comment>
    <comment ref="Z25" authorId="6" shapeId="0" xr:uid="{F863DF87-ECBE-574D-B8C9-7102B4235153}">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E26" authorId="7" shapeId="0" xr:uid="{E5034C58-815E-A14F-8AE4-01B0369D663F}">
      <text>
        <r>
          <rPr>
            <b/>
            <sz val="9"/>
            <color indexed="81"/>
            <rFont val="Tahoma"/>
            <family val="2"/>
            <charset val="238"/>
          </rPr>
          <t>Ádám:</t>
        </r>
        <r>
          <rPr>
            <sz val="9"/>
            <color indexed="81"/>
            <rFont val="Tahoma"/>
            <family val="2"/>
            <charset val="238"/>
          </rPr>
          <t xml:space="preserve">
Probability of success
</t>
        </r>
      </text>
    </comment>
    <comment ref="W26" authorId="8" shapeId="0" xr:uid="{239C943A-C84F-3D4D-AC35-C989E55B5133}">
      <text>
        <t xml:space="preserve">[Threaded comment]
Your version of Excel allows you to read this threaded comment; however, any edits to it will get removed if the file is opened in a newer version of Excel. Learn more: https://go.microsoft.com/fwlink/?linkid=870924
Comment:
    After 70 invesement pre money of year two discounted to money value of year 0
</t>
      </text>
    </comment>
    <comment ref="AE26" authorId="9" shapeId="0" xr:uid="{0603C9D7-F9F6-CF40-AF11-416C73186D11}">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G27" authorId="10" shapeId="0" xr:uid="{098C4DB8-50E6-D44C-A5B1-69C78D5D0A9F}">
      <text>
        <t>[Threaded comment]
Your version of Excel allows you to read this threaded comment; however, any edits to it will get removed if the file is opened in a newer version of Excel. Learn more: https://go.microsoft.com/fwlink/?linkid=870924
Comment:
    Share of the ownership from the year 1 investor, it this and the G25 investor is the same person then he has 56% ownership</t>
      </text>
    </comment>
    <comment ref="X27" authorId="11" shapeId="0" xr:uid="{ACDD121B-46CA-0241-A199-1DA87906CEE0}">
      <text>
        <t xml:space="preserve">[Threaded comment]
Your version of Excel allows you to read this threaded comment; however, any edits to it will get removed if the file is opened in a newer version of Excel. Learn more: https://go.microsoft.com/fwlink/?linkid=870924
Comment:
    Probability of succeeding </t>
      </text>
    </comment>
    <comment ref="C28" authorId="12" shapeId="0" xr:uid="{651290FF-00D8-D247-8169-C172DAED8958}">
      <text>
        <t xml:space="preserve">[Threaded comment]
Your version of Excel allows you to read this threaded comment; however, any edits to it will get removed if the file is opened in a newer version of Excel. Learn more: https://go.microsoft.com/fwlink/?linkid=870924
Comment:
    Solverezett érték
</t>
      </text>
    </comment>
    <comment ref="V28" authorId="13" shapeId="0" xr:uid="{92A2F918-3EE8-6648-B539-B7FC93D7F021}">
      <text>
        <t xml:space="preserve">[Threaded comment]
Your version of Excel allows you to read this threaded comment; however, any edits to it will get removed if the file is opened in a newer version of Excel. Learn more: https://go.microsoft.com/fwlink/?linkid=870924
Comment:
    If we fail one year we liquidate 90% - 18
</t>
      </text>
    </comment>
    <comment ref="E30" authorId="14" shapeId="0" xr:uid="{46B0A127-0E27-1A4E-99AE-BB94BC5C5D54}">
      <text>
        <t>[Threaded comment]
Your version of Excel allows you to read this threaded comment; however, any edits to it will get removed if the file is opened in a newer version of Excel. Learn more: https://go.microsoft.com/fwlink/?linkid=870924
Comment:
    Probability of failure</t>
      </text>
    </comment>
    <comment ref="W30" authorId="15" shapeId="0" xr:uid="{CDCC00EF-96F6-4B44-A970-F7C17993B5C0}">
      <text>
        <t xml:space="preserve">[Threaded comment]
Your version of Excel allows you to read this threaded comment; however, any edits to it will get removed if the file is opened in a newer version of Excel. Learn more: https://go.microsoft.com/fwlink/?linkid=870924
Comment:
    Stake guess was put randomly, we have used solved by setting the difference of two guessed stakes at 0 by adjusting value of the first random stake 
</t>
      </text>
    </comment>
    <comment ref="X30" authorId="16" shapeId="0" xr:uid="{C3875140-7751-154C-A17F-4705627686AA}">
      <text>
        <t xml:space="preserve">[Threaded comment]
Your version of Excel allows you to read this threaded comment; however, any edits to it will get removed if the file is opened in a newer version of Excel. Learn more: https://go.microsoft.com/fwlink/?linkid=870924
Comment:
    Probability of failing
</t>
      </text>
    </comment>
    <comment ref="U31" authorId="17" shapeId="0" xr:uid="{BF8B11F2-C53D-9346-94D7-E65FFF28F1C9}">
      <text>
        <t xml:space="preserve">[Threaded comment]
Your version of Excel allows you to read this threaded comment; however, any edits to it will get removed if the file is opened in a newer version of Excel. Learn more: https://go.microsoft.com/fwlink/?linkid=870924
Comment:
    Founders stake decreased from 46% to 33% in the year two because of the loan investment, but in the year 6 it doesn’t change because there are no extra invesments
</t>
      </text>
    </comment>
    <comment ref="B36" authorId="18" shapeId="0" xr:uid="{E2F279C9-770A-5247-9BCA-DA65274EDE88}">
      <text>
        <t>[Threaded comment]
Your version of Excel allows you to read this threaded comment; however, any edits to it will get removed if the file is opened in a newer version of Excel. Learn more: https://go.microsoft.com/fwlink/?linkid=870924
Comment:
    O4-ben levő formula átrendezve</t>
      </text>
    </comment>
    <comment ref="C36" authorId="19" shapeId="0" xr:uid="{C79F0B1F-341A-864C-9B60-CB430EFAF6F0}">
      <text>
        <t>[Threaded comment]
Your version of Excel allows you to read this threaded comment; however, any edits to it will get removed if the file is opened in a newer version of Excel. Learn more: https://go.microsoft.com/fwlink/?linkid=870924
Comment:
    1) point answer</t>
      </text>
    </comment>
    <comment ref="AX39" authorId="20" shapeId="0" xr:uid="{27026B07-13A0-E74F-BF1D-27776B8332EB}">
      <text>
        <t xml:space="preserve">[Threaded comment]
Your version of Excel allows you to read this threaded comment; however, any edits to it will get removed if the file is opened in a newer version of Excel. Learn more: https://go.microsoft.com/fwlink/?linkid=870924
Comment:
    Post additional investmen tin year 2 of 100
</t>
      </text>
    </comment>
    <comment ref="AY39" authorId="21" shapeId="0" xr:uid="{B7015691-B4D8-374A-A491-68963C5ABF08}">
      <text>
        <t xml:space="preserve">[Threaded comment]
Your version of Excel allows you to read this threaded comment; however, any edits to it will get removed if the file is opened in a newer version of Excel. Learn more: https://go.microsoft.com/fwlink/?linkid=870924
Comment:
    4 years (6 yeat -2 years=T-t)
</t>
      </text>
    </comment>
    <comment ref="AU42" authorId="22" shapeId="0" xr:uid="{E7CFC42C-F025-2440-85EA-94EB95167407}">
      <text>
        <t xml:space="preserve">[Threaded comment]
Your version of Excel allows you to read this threaded comment; however, any edits to it will get removed if the file is opened in a newer version of Excel. Learn more: https://go.microsoft.com/fwlink/?linkid=870924
Comment:
    Cleared from investment of 70
</t>
      </text>
    </comment>
    <comment ref="AX42" authorId="23" shapeId="0" xr:uid="{C52BF9A0-9DDC-7044-8485-BCE3C89CB7B9}">
      <text>
        <t xml:space="preserve">[Threaded comment]
Your version of Excel allows you to read this threaded comment; however, any edits to it will get removed if the file is opened in a newer version of Excel. Learn more: https://go.microsoft.com/fwlink/?linkid=870924
Comment:
    Cleared from 100 investment in year 2
</t>
      </text>
    </comment>
    <comment ref="BC43" authorId="24" shapeId="0" xr:uid="{98C99CD2-B6DF-9A4D-AF63-86542525764D}">
      <text>
        <t xml:space="preserve">[Threaded comment]
Your version of Excel allows you to read this threaded comment; however, any edits to it will get removed if the file is opened in a newer version of Excel. Learn more: https://go.microsoft.com/fwlink/?linkid=870924
Comment:
    Equity in 6 years
</t>
      </text>
    </comment>
    <comment ref="AX44" authorId="25" shapeId="0" xr:uid="{F1DFD01D-F2E7-0A45-B8F5-FE337E264F90}">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G45" authorId="26" shapeId="0" xr:uid="{8D22EA89-2285-9146-83AF-03B010BE63F9}">
      <text>
        <t>[Threaded comment]
Your version of Excel allows you to read this threaded comment; however, any edits to it will get removed if the file is opened in a newer version of Excel. Learn more: https://go.microsoft.com/fwlink/?linkid=870924
Comment:
    % gain in ownership only from year 2 investment</t>
      </text>
    </comment>
    <comment ref="AU45" authorId="27" shapeId="0" xr:uid="{AA22E832-3B1B-614A-BCB8-343081D527C7}">
      <text>
        <t xml:space="preserve">[Threaded comment]
Your version of Excel allows you to read this threaded comment; however, any edits to it will get removed if the file is opened in a newer version of Excel. Learn more: https://go.microsoft.com/fwlink/?linkid=870924
Comment:
    After 70 invesement pre money of year two discounted to money value of year 0
</t>
      </text>
    </comment>
    <comment ref="BC45" authorId="28" shapeId="0" xr:uid="{42A07ACE-6711-0A48-A1DE-12222E424FC8}">
      <text>
        <t>[Threaded comment]
Your version of Excel allows you to read this threaded comment; however, any edits to it will get removed if the file is opened in a newer version of Excel. Learn more: https://go.microsoft.com/fwlink/?linkid=870924
Comment:
    In year 6 it will be the same cuz there are no additonal investments</t>
      </text>
    </comment>
    <comment ref="E46" authorId="7" shapeId="0" xr:uid="{6A7F3F95-7F3D-9848-8B5B-C4011CAD1D25}">
      <text>
        <r>
          <rPr>
            <b/>
            <sz val="9"/>
            <color indexed="81"/>
            <rFont val="Tahoma"/>
            <family val="2"/>
            <charset val="238"/>
          </rPr>
          <t>Ádám:</t>
        </r>
        <r>
          <rPr>
            <sz val="9"/>
            <color indexed="81"/>
            <rFont val="Tahoma"/>
            <family val="2"/>
            <charset val="238"/>
          </rPr>
          <t xml:space="preserve">
Probability of success
</t>
        </r>
      </text>
    </comment>
    <comment ref="AV46" authorId="29" shapeId="0" xr:uid="{0FB97FA9-EA88-3647-8B26-2C2DC8EDBB80}">
      <text>
        <t xml:space="preserve">[Threaded comment]
Your version of Excel allows you to read this threaded comment; however, any edits to it will get removed if the file is opened in a newer version of Excel. Learn more: https://go.microsoft.com/fwlink/?linkid=870924
Comment:
    Probability of succeeding </t>
      </text>
    </comment>
    <comment ref="G47" authorId="30" shapeId="0" xr:uid="{7E7CCE69-57C0-A344-8DA6-89D521849840}">
      <text>
        <t>[Threaded comment]
Your version of Excel allows you to read this threaded comment; however, any edits to it will get removed if the file is opened in a newer version of Excel. Learn more: https://go.microsoft.com/fwlink/?linkid=870924
Comment:
    Share of the ownership from the year 1 investor, it this and the G25 investor is the same person then he has 56% ownership</t>
      </text>
    </comment>
    <comment ref="AT47" authorId="31" shapeId="0" xr:uid="{93460F23-D004-3843-A5D3-F323463AEEC5}">
      <text>
        <t xml:space="preserve">[Threaded comment]
Your version of Excel allows you to read this threaded comment; however, any edits to it will get removed if the file is opened in a newer version of Excel. Learn more: https://go.microsoft.com/fwlink/?linkid=870924
Comment:
    If we fail one year we liquidate 90% - 18
</t>
      </text>
    </comment>
    <comment ref="C48" authorId="32" shapeId="0" xr:uid="{EA9285AD-4938-8447-AB6B-F2191706D1E4}">
      <text>
        <t xml:space="preserve">[Threaded comment]
Your version of Excel allows you to read this threaded comment; however, any edits to it will get removed if the file is opened in a newer version of Excel. Learn more: https://go.microsoft.com/fwlink/?linkid=870924
Comment:
    Solverezett érték
</t>
      </text>
    </comment>
    <comment ref="Z48" authorId="33" shapeId="0" xr:uid="{DB5B6835-DEB4-D840-A6C4-33721DD535A4}">
      <text>
        <r>
          <rPr>
            <b/>
            <sz val="9"/>
            <color indexed="81"/>
            <rFont val="Tahoma"/>
            <family val="2"/>
          </rPr>
          <t>Aya SLIKI:</t>
        </r>
        <r>
          <rPr>
            <sz val="9"/>
            <color indexed="81"/>
            <rFont val="Tahoma"/>
            <family val="2"/>
          </rPr>
          <t xml:space="preserve">
Discounting Future Value of E using Success Return rate</t>
        </r>
      </text>
    </comment>
    <comment ref="V49" authorId="33" shapeId="0" xr:uid="{6565D4A8-1B98-8A4F-9764-26FE6910463C}">
      <text>
        <r>
          <rPr>
            <b/>
            <sz val="9"/>
            <color indexed="81"/>
            <rFont val="Tahoma"/>
            <family val="2"/>
          </rPr>
          <t>Aya SLIKI:</t>
        </r>
        <r>
          <rPr>
            <sz val="9"/>
            <color indexed="81"/>
            <rFont val="Tahoma"/>
            <family val="2"/>
          </rPr>
          <t xml:space="preserve">
Discounting Future Value of E using Success Return rate</t>
        </r>
      </text>
    </comment>
    <comment ref="AU49" authorId="34" shapeId="0" xr:uid="{A4637B19-AD79-C24B-9D04-ADA9271B6D95}">
      <text>
        <t xml:space="preserve">[Threaded comment]
Your version of Excel allows you to read this threaded comment; however, any edits to it will get removed if the file is opened in a newer version of Excel. Learn more: https://go.microsoft.com/fwlink/?linkid=870924
Comment:
    Stake guess was put randomly, we have used solved by setting the difference of two guessed stakes at 0 by adjusting value of the first random stake 
</t>
      </text>
    </comment>
    <comment ref="AV49" authorId="35" shapeId="0" xr:uid="{4C917A83-B29F-B749-955C-285906365C8A}">
      <text>
        <t xml:space="preserve">[Threaded comment]
Your version of Excel allows you to read this threaded comment; however, any edits to it will get removed if the file is opened in a newer version of Excel. Learn more: https://go.microsoft.com/fwlink/?linkid=870924
Comment:
    Probability of failing
</t>
      </text>
    </comment>
    <comment ref="E50" authorId="36" shapeId="0" xr:uid="{05EFD8EF-9984-574E-A82E-9617E49A72E4}">
      <text>
        <t>[Threaded comment]
Your version of Excel allows you to read this threaded comment; however, any edits to it will get removed if the file is opened in a newer version of Excel. Learn more: https://go.microsoft.com/fwlink/?linkid=870924
Comment:
    Probability of failure</t>
      </text>
    </comment>
    <comment ref="AD50" authorId="33" shapeId="0" xr:uid="{7C5DD04F-8FE2-2A48-812C-34B70F8CACA0}">
      <text>
        <r>
          <rPr>
            <b/>
            <sz val="9"/>
            <color indexed="81"/>
            <rFont val="Tahoma"/>
            <family val="2"/>
          </rPr>
          <t>Aya SLIKI:</t>
        </r>
        <r>
          <rPr>
            <sz val="9"/>
            <color indexed="81"/>
            <rFont val="Tahoma"/>
            <family val="2"/>
          </rPr>
          <t xml:space="preserve">
Stakes will stay the same because no additional capital 3 was invested</t>
        </r>
      </text>
    </comment>
    <comment ref="AS50" authorId="37" shapeId="0" xr:uid="{A56597BB-0EC1-1E45-9348-4F753697F7C1}">
      <text>
        <t xml:space="preserve">[Threaded comment]
Your version of Excel allows you to read this threaded comment; however, any edits to it will get removed if the file is opened in a newer version of Excel. Learn more: https://go.microsoft.com/fwlink/?linkid=870924
Comment:
    Founders stake decreased from 46% to 33% in the year two because of the loan investment, but in the year 6 it doesn’t change because there are no extra invesments
</t>
      </text>
    </comment>
    <comment ref="V54" authorId="33" shapeId="0" xr:uid="{5C4C7AEC-2D42-B84D-AB32-3BC69814ECBD}">
      <text>
        <r>
          <rPr>
            <b/>
            <sz val="9"/>
            <color indexed="81"/>
            <rFont val="Tahoma"/>
            <family val="2"/>
          </rPr>
          <t>Aya SLIKI:</t>
        </r>
        <r>
          <rPr>
            <sz val="9"/>
            <color indexed="81"/>
            <rFont val="Tahoma"/>
            <family val="2"/>
          </rPr>
          <t xml:space="preserve">
if we don't have it given assume %, then at the end calculate it, and use solver to get 0 in diff by changing it</t>
        </r>
      </text>
    </comment>
    <comment ref="B56" authorId="38" shapeId="0" xr:uid="{E4320290-CF24-F448-BB89-22B37B2D28AF}">
      <text>
        <t>[Threaded comment]
Your version of Excel allows you to read this threaded comment; however, any edits to it will get removed if the file is opened in a newer version of Excel. Learn more: https://go.microsoft.com/fwlink/?linkid=870924
Comment:
    O4-ben levő formula átrendezve</t>
      </text>
    </comment>
    <comment ref="C56" authorId="39" shapeId="0" xr:uid="{051F7C18-6AEF-EF46-A25B-D5395BE2BC31}">
      <text>
        <t>[Threaded comment]
Your version of Excel allows you to read this threaded comment; however, any edits to it will get removed if the file is opened in a newer version of Excel. Learn more: https://go.microsoft.com/fwlink/?linkid=870924
Comment:
    1) point answer</t>
      </text>
    </comment>
    <comment ref="AA62" authorId="33" shapeId="0" xr:uid="{96F5D818-8C16-804A-988C-5F3318CAEB0B}">
      <text>
        <r>
          <rPr>
            <b/>
            <sz val="9"/>
            <color indexed="81"/>
            <rFont val="Tahoma"/>
            <family val="2"/>
          </rPr>
          <t>Aya SLIKI:</t>
        </r>
        <r>
          <rPr>
            <sz val="9"/>
            <color indexed="81"/>
            <rFont val="Tahoma"/>
            <family val="2"/>
          </rPr>
          <t xml:space="preserve">
It will be reinvested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<sst xmlns="http://schemas.openxmlformats.org/spreadsheetml/2006/main" count="931" uniqueCount="436">
  <si>
    <t>Applied Business Valuation</t>
  </si>
  <si>
    <t>Date</t>
  </si>
  <si>
    <t>Student name</t>
  </si>
  <si>
    <t>Master in Finance</t>
  </si>
  <si>
    <t>Neptun code</t>
  </si>
  <si>
    <t>Master in Accounting</t>
  </si>
  <si>
    <t>Study program</t>
  </si>
  <si>
    <t>Instructor</t>
  </si>
  <si>
    <t>Péter Juhász, PhD, CFA</t>
  </si>
  <si>
    <t>Total points achieved</t>
  </si>
  <si>
    <t>Points achived:</t>
  </si>
  <si>
    <t>Sales</t>
  </si>
  <si>
    <t>Other income</t>
  </si>
  <si>
    <t>Material expenses</t>
  </si>
  <si>
    <t>Labour expenses</t>
  </si>
  <si>
    <t>D&amp;A</t>
  </si>
  <si>
    <t>EBIT</t>
  </si>
  <si>
    <t>Dividend received</t>
  </si>
  <si>
    <t>Interests received</t>
  </si>
  <si>
    <t>Interests paid on short term loans</t>
  </si>
  <si>
    <t>Interests paid on long term loans</t>
  </si>
  <si>
    <t>Financial profit</t>
  </si>
  <si>
    <t>Profit before tax</t>
  </si>
  <si>
    <t>Corporate tax</t>
  </si>
  <si>
    <t>Profit after tax</t>
  </si>
  <si>
    <t>Dividend</t>
  </si>
  <si>
    <t>Retained earnings</t>
  </si>
  <si>
    <t>Cash</t>
  </si>
  <si>
    <t>of which operational cash</t>
  </si>
  <si>
    <t>Marketable securities</t>
  </si>
  <si>
    <t>Receivables</t>
  </si>
  <si>
    <t>Inventory</t>
  </si>
  <si>
    <t>Current assets</t>
  </si>
  <si>
    <t>Invested assets</t>
  </si>
  <si>
    <t>Total of assests</t>
  </si>
  <si>
    <t>Short term loans</t>
  </si>
  <si>
    <t>Payables</t>
  </si>
  <si>
    <t>Short term liabilities</t>
  </si>
  <si>
    <t>Long term debt</t>
  </si>
  <si>
    <t>Equity</t>
  </si>
  <si>
    <t>Total of Liabilities and Equity</t>
  </si>
  <si>
    <t>t</t>
  </si>
  <si>
    <t>Int Liquidity Debt</t>
  </si>
  <si>
    <t>NOPLAT</t>
  </si>
  <si>
    <t>Gross CF</t>
  </si>
  <si>
    <t>dInventory</t>
  </si>
  <si>
    <t>dReceivables</t>
  </si>
  <si>
    <t>dOP Cash</t>
  </si>
  <si>
    <t>dPayables</t>
  </si>
  <si>
    <t>dLiquidityDebt</t>
  </si>
  <si>
    <t>CF from operations</t>
  </si>
  <si>
    <t>dInvested Assets</t>
  </si>
  <si>
    <t>Dividend Received</t>
  </si>
  <si>
    <t>Interests Received</t>
  </si>
  <si>
    <t>Tax on Interestes Received</t>
  </si>
  <si>
    <t>CF from Investments</t>
  </si>
  <si>
    <t>FCFF (Free Cash Flow to the Firm)</t>
    <phoneticPr fontId="4" type="noConversion"/>
  </si>
  <si>
    <t>Other Interests</t>
  </si>
  <si>
    <t>Tax Shield</t>
  </si>
  <si>
    <t>dDebt</t>
  </si>
  <si>
    <t>FCFE</t>
    <phoneticPr fontId="4" type="noConversion"/>
  </si>
  <si>
    <t>dBV E-Ret ear</t>
  </si>
  <si>
    <t>dNon-op wealth</t>
  </si>
  <si>
    <t>of which non-operational cash</t>
  </si>
  <si>
    <t>Non op wealth</t>
  </si>
  <si>
    <t>TV1</t>
  </si>
  <si>
    <t>TV2</t>
  </si>
  <si>
    <r>
      <t>r</t>
    </r>
    <r>
      <rPr>
        <vertAlign val="subscript"/>
        <sz val="12"/>
        <color rgb="FF000000"/>
        <rFont val="Times New Roman"/>
        <family val="1"/>
        <charset val="238"/>
      </rPr>
      <t>A</t>
    </r>
  </si>
  <si>
    <t>D/V boy</t>
  </si>
  <si>
    <t>D/IC boy</t>
  </si>
  <si>
    <r>
      <t>r</t>
    </r>
    <r>
      <rPr>
        <vertAlign val="subscript"/>
        <sz val="12"/>
        <color rgb="FF000000"/>
        <rFont val="Times New Roman"/>
        <family val="1"/>
        <charset val="238"/>
      </rPr>
      <t>D</t>
    </r>
  </si>
  <si>
    <t>ROIC</t>
  </si>
  <si>
    <t>RONIC</t>
  </si>
  <si>
    <t>g targeted for the given year</t>
  </si>
  <si>
    <t>IC boy</t>
  </si>
  <si>
    <t>D</t>
  </si>
  <si>
    <t>E</t>
  </si>
  <si>
    <t>K</t>
  </si>
  <si>
    <t>WACC</t>
  </si>
  <si>
    <t>rE</t>
  </si>
  <si>
    <t>dIC</t>
  </si>
  <si>
    <t>FCFF</t>
  </si>
  <si>
    <t>Interest</t>
  </si>
  <si>
    <t>Change in Debt (Increase in Debt)</t>
  </si>
  <si>
    <t>FCFE</t>
  </si>
  <si>
    <t>V boy</t>
  </si>
  <si>
    <t>FCFF+TS</t>
  </si>
  <si>
    <t>rA</t>
  </si>
  <si>
    <t>E boy</t>
  </si>
  <si>
    <t>Firm A</t>
  </si>
  <si>
    <t>Firm B</t>
  </si>
  <si>
    <t>Together</t>
  </si>
  <si>
    <t>Noplat</t>
  </si>
  <si>
    <t>D/V</t>
  </si>
  <si>
    <t>rD</t>
  </si>
  <si>
    <t>g</t>
  </si>
  <si>
    <t>Number of shares</t>
  </si>
  <si>
    <t>Share Price</t>
  </si>
  <si>
    <t>If A takes over B</t>
  </si>
  <si>
    <t>Transaction Costs</t>
  </si>
  <si>
    <t>Value of B Today</t>
  </si>
  <si>
    <t>Min</t>
  </si>
  <si>
    <t>B - Seller</t>
  </si>
  <si>
    <t>Potential Added Value of B after takeover</t>
  </si>
  <si>
    <t>Max</t>
  </si>
  <si>
    <t>A - Buyer</t>
  </si>
  <si>
    <t>Price to pay (including premium)</t>
  </si>
  <si>
    <t>50% of Price</t>
  </si>
  <si>
    <t>Number of Shares</t>
  </si>
  <si>
    <t>Corporate tax rate</t>
  </si>
  <si>
    <t>Required rate of return on renting</t>
  </si>
  <si>
    <t>Capitalisation rate for EBITDA</t>
  </si>
  <si>
    <t>Average inflation during the last 20 years</t>
  </si>
  <si>
    <t>Age of the building</t>
  </si>
  <si>
    <t>years</t>
  </si>
  <si>
    <t>Useful operational years left over</t>
  </si>
  <si>
    <t>Accounting life time left over</t>
  </si>
  <si>
    <t>Total net monthly rental income before D&amp;A</t>
  </si>
  <si>
    <t>Expected g of rental fees</t>
  </si>
  <si>
    <t>Net book value of the building</t>
  </si>
  <si>
    <t>Gross book value of the building</t>
  </si>
  <si>
    <t>Growing annuity of Rent</t>
  </si>
  <si>
    <t>TS of D&amp;A</t>
  </si>
  <si>
    <t>Total PV with TS</t>
  </si>
  <si>
    <t>Book Value of the Building</t>
  </si>
  <si>
    <t>PV in 20 Years</t>
  </si>
  <si>
    <t>PV Today</t>
  </si>
  <si>
    <t>Adjusted historical cost</t>
  </si>
  <si>
    <t>Capitalization</t>
  </si>
  <si>
    <t>DCF</t>
  </si>
  <si>
    <t>Rental income</t>
  </si>
  <si>
    <t>TS</t>
  </si>
  <si>
    <t>rF</t>
  </si>
  <si>
    <t>Market risk premium</t>
  </si>
  <si>
    <t>A</t>
  </si>
  <si>
    <t>Only betaE is missing, why can't we just take the average of peers?!</t>
  </si>
  <si>
    <t>P</t>
  </si>
  <si>
    <t xml:space="preserve"> number of shares</t>
  </si>
  <si>
    <t>Capitalisation</t>
  </si>
  <si>
    <t>betaE</t>
  </si>
  <si>
    <t>Debt</t>
  </si>
  <si>
    <t>debt risk premium</t>
  </si>
  <si>
    <t>betaD</t>
  </si>
  <si>
    <t>X</t>
  </si>
  <si>
    <t>Y</t>
  </si>
  <si>
    <t>Z</t>
  </si>
  <si>
    <t>Adjusted EBIT</t>
  </si>
  <si>
    <t>Valuation</t>
  </si>
  <si>
    <t>APV</t>
  </si>
  <si>
    <t>transaction fee</t>
  </si>
  <si>
    <t>HUF</t>
  </si>
  <si>
    <t>M HUF?</t>
  </si>
  <si>
    <t xml:space="preserve"> </t>
  </si>
  <si>
    <t>Without synergy</t>
  </si>
  <si>
    <t>Synergy</t>
  </si>
  <si>
    <t>V</t>
  </si>
  <si>
    <t>base</t>
  </si>
  <si>
    <t>transaction cost (M HUF)</t>
  </si>
  <si>
    <t>Bargaining range</t>
  </si>
  <si>
    <t>Price paid</t>
  </si>
  <si>
    <t>Share</t>
  </si>
  <si>
    <t>Debt boy</t>
  </si>
  <si>
    <t>BV Equity boy</t>
  </si>
  <si>
    <t>Tax shield</t>
  </si>
  <si>
    <t>d Debt</t>
  </si>
  <si>
    <t>check</t>
  </si>
  <si>
    <t>D boy</t>
  </si>
  <si>
    <t>k</t>
  </si>
  <si>
    <t>Cash Flow</t>
  </si>
  <si>
    <t>Operational profit (EBIT)</t>
  </si>
  <si>
    <t>NOPLAT (=EBIT-tax = EBIT*(1-t))</t>
  </si>
  <si>
    <r>
      <rPr>
        <sz val="12"/>
        <color theme="1"/>
        <rFont val="Symbol"/>
        <family val="1"/>
        <charset val="2"/>
      </rPr>
      <t>D</t>
    </r>
    <r>
      <rPr>
        <sz val="12"/>
        <color theme="1"/>
        <rFont val="Times New Roman"/>
        <family val="2"/>
        <charset val="238"/>
      </rPr>
      <t xml:space="preserve"> Inventory</t>
    </r>
  </si>
  <si>
    <r>
      <rPr>
        <sz val="12"/>
        <color theme="1"/>
        <rFont val="Symbol"/>
        <family val="1"/>
        <charset val="2"/>
      </rPr>
      <t>D</t>
    </r>
    <r>
      <rPr>
        <sz val="12"/>
        <color theme="1"/>
        <rFont val="Times New Roman"/>
        <family val="2"/>
        <charset val="238"/>
      </rPr>
      <t xml:space="preserve"> Receivables</t>
    </r>
  </si>
  <si>
    <r>
      <rPr>
        <sz val="12"/>
        <color theme="1"/>
        <rFont val="Symbol"/>
        <family val="1"/>
        <charset val="2"/>
      </rPr>
      <t>D</t>
    </r>
    <r>
      <rPr>
        <sz val="12"/>
        <color theme="1"/>
        <rFont val="Times New Roman"/>
        <family val="2"/>
        <charset val="238"/>
      </rPr>
      <t xml:space="preserve"> Operational Cash</t>
    </r>
  </si>
  <si>
    <r>
      <rPr>
        <sz val="12"/>
        <color theme="1"/>
        <rFont val="Symbol"/>
        <family val="1"/>
        <charset val="2"/>
      </rPr>
      <t>D</t>
    </r>
    <r>
      <rPr>
        <sz val="12"/>
        <color theme="1"/>
        <rFont val="Times New Roman"/>
        <family val="2"/>
        <charset val="238"/>
      </rPr>
      <t xml:space="preserve"> Payables</t>
    </r>
  </si>
  <si>
    <r>
      <rPr>
        <sz val="12"/>
        <color theme="1"/>
        <rFont val="Symbol"/>
        <family val="1"/>
        <charset val="2"/>
      </rPr>
      <t>D</t>
    </r>
    <r>
      <rPr>
        <sz val="12"/>
        <color theme="1"/>
        <rFont val="Times New Roman"/>
        <family val="2"/>
        <charset val="238"/>
      </rPr>
      <t xml:space="preserve"> PPE</t>
    </r>
  </si>
  <si>
    <t>CF from investments</t>
  </si>
  <si>
    <r>
      <rPr>
        <sz val="12"/>
        <color theme="1"/>
        <rFont val="Symbol"/>
        <family val="1"/>
        <charset val="2"/>
      </rPr>
      <t>D</t>
    </r>
    <r>
      <rPr>
        <sz val="12"/>
        <color theme="1"/>
        <rFont val="Times New Roman"/>
        <family val="2"/>
        <charset val="238"/>
      </rPr>
      <t xml:space="preserve"> Debt</t>
    </r>
  </si>
  <si>
    <t>FCFD</t>
  </si>
  <si>
    <t>Share issue/buyback</t>
  </si>
  <si>
    <t>CF from financing</t>
  </si>
  <si>
    <t>Non-operative items change</t>
  </si>
  <si>
    <t>Non-operative CF</t>
  </si>
  <si>
    <t>TS from Interests received</t>
  </si>
  <si>
    <t>Non-operative cash</t>
  </si>
  <si>
    <t>Rental fee</t>
  </si>
  <si>
    <t>Growing annuity WITHOUT  D&amp;A= (c/(r-g) *  (1- (1+g)^n / (1+r) ^n))* (1+r)</t>
  </si>
  <si>
    <t>tax shield of D&amp;A</t>
  </si>
  <si>
    <t>PV of tax shield</t>
  </si>
  <si>
    <t>Non growing annuity (20 yrs)</t>
  </si>
  <si>
    <t>Total value</t>
  </si>
  <si>
    <t>Net income</t>
  </si>
  <si>
    <t>Capitalization rate</t>
  </si>
  <si>
    <t>Value</t>
  </si>
  <si>
    <t>Adjusted purchase cost</t>
  </si>
  <si>
    <t>number of shares</t>
  </si>
  <si>
    <t>FCFF (M HUF)</t>
  </si>
  <si>
    <t>FCFE (M HUF)</t>
  </si>
  <si>
    <t>E/V</t>
  </si>
  <si>
    <t>(rA-rD*D/V)/(1-D/V)</t>
  </si>
  <si>
    <t>rA-D/V*rD*t</t>
  </si>
  <si>
    <t>FCFF/(wacc-g) OR E/(E/V)</t>
  </si>
  <si>
    <t>Max price</t>
  </si>
  <si>
    <t>Non-operational cash available to A</t>
  </si>
  <si>
    <t>Ownership passed over to B</t>
  </si>
  <si>
    <t>Ownership stake for B (in % of merged firm E)</t>
  </si>
  <si>
    <t>Number of initial shares (A + B)</t>
  </si>
  <si>
    <t>== Equivalent to ownership of A (in % of the merged firm E)</t>
  </si>
  <si>
    <t>Number of new shares to be issued for B</t>
  </si>
  <si>
    <t>Total Number of shares (post-merger)</t>
  </si>
  <si>
    <t>A stake</t>
  </si>
  <si>
    <t>B stake</t>
  </si>
  <si>
    <t>Exchange rate</t>
  </si>
  <si>
    <t>(1+rFIN)^t=Prob.fail*(1+rFAIL)^t+Prob.success*(1+rSUCCESS)^t</t>
  </si>
  <si>
    <t>rFinancing</t>
  </si>
  <si>
    <t>rReinvestment</t>
  </si>
  <si>
    <t>Today</t>
  </si>
  <si>
    <t>Book value of equity (M)</t>
  </si>
  <si>
    <t>Book value of debt (M)</t>
  </si>
  <si>
    <t>Venture capital contribution (M)</t>
  </si>
  <si>
    <t>in 3 years time</t>
  </si>
  <si>
    <t>Post money value of E</t>
  </si>
  <si>
    <t>In 3 years</t>
  </si>
  <si>
    <t>In 8 years</t>
  </si>
  <si>
    <t>in 8 years time</t>
  </si>
  <si>
    <t>Capital increase 2</t>
  </si>
  <si>
    <t>Sales price (V)</t>
  </si>
  <si>
    <t>Expected Debt (M)</t>
  </si>
  <si>
    <t>Pre money value</t>
  </si>
  <si>
    <t>Expected Sales multiple</t>
  </si>
  <si>
    <t>Capital increase 1</t>
  </si>
  <si>
    <t>Bank loan</t>
  </si>
  <si>
    <t>Expected Sales (M)</t>
  </si>
  <si>
    <t>Total investment (IC)</t>
  </si>
  <si>
    <t>PE stake (year 3)</t>
  </si>
  <si>
    <t>% of owner who invested in year 2</t>
  </si>
  <si>
    <t>PE stake altogether</t>
  </si>
  <si>
    <t>Post money value</t>
  </si>
  <si>
    <t>1-PE</t>
  </si>
  <si>
    <t>PE stake (taking year 1 into consideration)</t>
  </si>
  <si>
    <t>% of owner who invested in year 1</t>
  </si>
  <si>
    <t>PE (private equity firm) stake (we guess with a random number and then use solver)</t>
  </si>
  <si>
    <t>Founders stake</t>
  </si>
  <si>
    <t>% of founders</t>
  </si>
  <si>
    <t>PE stake guess - market base</t>
  </si>
  <si>
    <t>diff</t>
  </si>
  <si>
    <t>Liquidation ratio</t>
  </si>
  <si>
    <t>Total value with reinvestment in case of failure</t>
  </si>
  <si>
    <t xml:space="preserve">Liquidation </t>
  </si>
  <si>
    <t>PE value out of total</t>
  </si>
  <si>
    <t>Investment horizon</t>
  </si>
  <si>
    <t>Inflow for PE</t>
  </si>
  <si>
    <t>Chance of failure</t>
  </si>
  <si>
    <t>Inflow for founders</t>
  </si>
  <si>
    <t>Founders cash inflow</t>
  </si>
  <si>
    <t>Yearly return of failure</t>
  </si>
  <si>
    <t>founders yearly return</t>
  </si>
  <si>
    <t>Founders yearly return</t>
  </si>
  <si>
    <t>Chance of success</t>
  </si>
  <si>
    <t>Yearly return of success</t>
  </si>
  <si>
    <t>PE stake altogether if we assume req. Rate of return is 35% for success case</t>
  </si>
  <si>
    <t>dcf</t>
  </si>
  <si>
    <t>mm</t>
  </si>
  <si>
    <t>Ct</t>
  </si>
  <si>
    <t>AB</t>
  </si>
  <si>
    <t>Adam</t>
  </si>
  <si>
    <t>Trick is to know how to get the FCFF</t>
  </si>
  <si>
    <t># of shares</t>
  </si>
  <si>
    <t>this we got from substracting together value - Firm A - Firm B</t>
  </si>
  <si>
    <t>Base</t>
  </si>
  <si>
    <t>this is the minimum that you need to pay for the Equity of the company you want to acquire</t>
  </si>
  <si>
    <t>Price</t>
  </si>
  <si>
    <t>Shares worth</t>
  </si>
  <si>
    <t>B hold %</t>
  </si>
  <si>
    <t>Initial Shared held by A</t>
  </si>
  <si>
    <t>% of shared held by A</t>
  </si>
  <si>
    <t>Number of Shared B hold</t>
  </si>
  <si>
    <t>Mridul</t>
  </si>
  <si>
    <t>P/E</t>
  </si>
  <si>
    <t>EV/EBIT</t>
  </si>
  <si>
    <t>P/BV</t>
  </si>
  <si>
    <t>EV/BV</t>
  </si>
  <si>
    <t>EV/S</t>
  </si>
  <si>
    <t>P/L</t>
  </si>
  <si>
    <t>Sales Revenue</t>
  </si>
  <si>
    <t>Operational profit</t>
  </si>
  <si>
    <t>Tax</t>
  </si>
  <si>
    <t>After tax profit</t>
  </si>
  <si>
    <t>Balance sheet</t>
  </si>
  <si>
    <t>PP&amp;E</t>
  </si>
  <si>
    <t>Variable rate bank loans</t>
  </si>
  <si>
    <t>Outstanding face value of bonds</t>
  </si>
  <si>
    <t>Closing price of bonds</t>
  </si>
  <si>
    <t>Number of bonds</t>
  </si>
  <si>
    <t>Closing price of shares</t>
  </si>
  <si>
    <t>General data</t>
  </si>
  <si>
    <t>g TV</t>
  </si>
  <si>
    <t>Option A</t>
  </si>
  <si>
    <t>Option B</t>
  </si>
  <si>
    <t>Additional IC boy</t>
  </si>
  <si>
    <t>D/IC</t>
  </si>
  <si>
    <t>Make the tab green once copied all the task to document</t>
  </si>
  <si>
    <t>D/E</t>
  </si>
  <si>
    <t>Average</t>
  </si>
  <si>
    <t>my calculations</t>
  </si>
  <si>
    <t>required results</t>
  </si>
  <si>
    <t>Competitor A</t>
  </si>
  <si>
    <t>Competitor B</t>
  </si>
  <si>
    <t>Competitor C</t>
  </si>
  <si>
    <t>Target Firm</t>
  </si>
  <si>
    <t xml:space="preserve">not sure at all about the ones in red lol </t>
  </si>
  <si>
    <t>Current share quote</t>
  </si>
  <si>
    <t>E (market value)</t>
  </si>
  <si>
    <t>beta E = (rE - rf) / (rM - rf)</t>
  </si>
  <si>
    <t>beta D = (rD - rf) / (rM - rf)</t>
  </si>
  <si>
    <t>beta A  = (rA - rf) / (rM - rf)</t>
  </si>
  <si>
    <t>rE = rA + D/E * (rA - rD)</t>
  </si>
  <si>
    <t xml:space="preserve">rA = D/V * rD  + (1-D/V) * rE </t>
  </si>
  <si>
    <t>rf</t>
  </si>
  <si>
    <t>rM-rf</t>
  </si>
  <si>
    <t>The 4 firms have different sizes and financing stuctures, but their operations should be roughly the same</t>
  </si>
  <si>
    <t>==&gt; it makes more sense to consider the average of rA for the target firm rather than rE … and based on rA we can calculated rE then the betas</t>
  </si>
  <si>
    <t>From exam 12.12</t>
  </si>
  <si>
    <t>E*</t>
  </si>
  <si>
    <t>min price</t>
  </si>
  <si>
    <t>max price</t>
  </si>
  <si>
    <t>30% transfer</t>
  </si>
  <si>
    <t>40% cash</t>
  </si>
  <si>
    <t>Ownership pased over to B</t>
  </si>
  <si>
    <t>Ownership stake for B</t>
  </si>
  <si>
    <t>Number of initial shares</t>
  </si>
  <si>
    <t>Ownership stake for A</t>
  </si>
  <si>
    <t>Number of shares to be issued for B</t>
  </si>
  <si>
    <t>Total number of shares post merger</t>
  </si>
  <si>
    <t>Equity Market Value</t>
  </si>
  <si>
    <t>Debt Market Value</t>
  </si>
  <si>
    <t>Enterprise Value</t>
  </si>
  <si>
    <t>IC</t>
  </si>
  <si>
    <t>RiskIt Co.</t>
  </si>
  <si>
    <t>GreatIdea Ltd</t>
  </si>
  <si>
    <t>In 2 years</t>
  </si>
  <si>
    <t>In 6 years</t>
  </si>
  <si>
    <t>Sales price</t>
  </si>
  <si>
    <t xml:space="preserve">Pre money vlaue </t>
  </si>
  <si>
    <t>PE Stake (y=2)</t>
  </si>
  <si>
    <t>% of ownwrr who invested in the first year</t>
  </si>
  <si>
    <t>Post monay vslue</t>
  </si>
  <si>
    <t>PE stake (inc Year 1)</t>
  </si>
  <si>
    <t>% of ownwrr who invested in the 0 year</t>
  </si>
  <si>
    <t xml:space="preserve">PE stake(guess) </t>
  </si>
  <si>
    <t>PE stake (guess)- market based</t>
  </si>
  <si>
    <t>Total Value</t>
  </si>
  <si>
    <t>Q2 Answer</t>
  </si>
  <si>
    <t>Liquidation</t>
  </si>
  <si>
    <t>PE Value</t>
  </si>
  <si>
    <t xml:space="preserve">Investment horizon </t>
  </si>
  <si>
    <t>after selling in 6 years</t>
  </si>
  <si>
    <t>Yearly return for failure</t>
  </si>
  <si>
    <t>Q1 Answer</t>
  </si>
  <si>
    <t>Yearly return on success</t>
  </si>
  <si>
    <t>(1+rfin)^t=Prob fail *(1+r fail)^t+Prob success*(1+rsuccess)^t</t>
  </si>
  <si>
    <t>Investment sum</t>
  </si>
  <si>
    <t>Year</t>
  </si>
  <si>
    <t>Dependance on success</t>
  </si>
  <si>
    <t xml:space="preserve">Owner= founders </t>
  </si>
  <si>
    <t>Nope</t>
  </si>
  <si>
    <t>Total IC</t>
  </si>
  <si>
    <t>PE1 = First Invesor</t>
  </si>
  <si>
    <t>Success (Business will continue)</t>
  </si>
  <si>
    <t>Success (Business will be sold)</t>
  </si>
  <si>
    <t>PE2 = 2nd Investor= Loan providor</t>
  </si>
  <si>
    <t>Only in case of the succes in the first 2 years</t>
  </si>
  <si>
    <t>Equity - Initial</t>
  </si>
  <si>
    <t>3)</t>
  </si>
  <si>
    <t>Equity - Pre Money Value</t>
  </si>
  <si>
    <t>Value (Sales Price)</t>
  </si>
  <si>
    <t>Steps</t>
  </si>
  <si>
    <t>5)</t>
  </si>
  <si>
    <t>Additional IC 2</t>
  </si>
  <si>
    <t>1. Fill out the investments in the noted terms</t>
  </si>
  <si>
    <t>Additional IC 1</t>
  </si>
  <si>
    <t>2)</t>
  </si>
  <si>
    <t>Equity - Post Money Value</t>
  </si>
  <si>
    <t>1)</t>
  </si>
  <si>
    <t>2. Put a random PE-1 stake - will use solver later on</t>
  </si>
  <si>
    <t>4)</t>
  </si>
  <si>
    <t>3.Founder stake 1-PE 1 Stake</t>
  </si>
  <si>
    <t>PE-2 Stake</t>
  </si>
  <si>
    <t>4. Go to part 6, calculated Liquidation value</t>
  </si>
  <si>
    <t>Others Stake</t>
  </si>
  <si>
    <t>PE-1 Stake</t>
  </si>
  <si>
    <t>5. Calculated cash inflow for founders and PE 1</t>
  </si>
  <si>
    <t>&gt;&gt; PE-1 Stake</t>
  </si>
  <si>
    <t>Founders Stake</t>
  </si>
  <si>
    <t>6. Founder and PE1 invest those inflows, for the next 4 years, calc. FV of their investment</t>
  </si>
  <si>
    <t>&gt;&gt; Founders Stake</t>
  </si>
  <si>
    <t>7. Goto part 8- Return = FV of PE1 cashflow/Initial investment of PE1^(1/number of years=6)-1</t>
  </si>
  <si>
    <t>Check Total Stakes</t>
  </si>
  <si>
    <t>Founders CashInflow after Sale</t>
  </si>
  <si>
    <t>8. Calc. Yearly returnof success - (1+rfin)^t=Prob fail *(1+r fail)^t+Prob success*(1+rsuccess)^t</t>
  </si>
  <si>
    <t>PE-1 Stake (Calculated)</t>
  </si>
  <si>
    <t>Founders Yearly Return</t>
  </si>
  <si>
    <t>9. Go to part 2 - Calc Equity value in year 2 after loan investment=Equity year 6, discounted with yearly return on succes (4 years horizon)</t>
  </si>
  <si>
    <t>10)</t>
  </si>
  <si>
    <t>Diff</t>
  </si>
  <si>
    <t>10. Calculated pre- money (before loan) eqity = Post money equity - PE2 additional IC (loan)</t>
  </si>
  <si>
    <t>11. PE 2 stake= PE2 additional IC (loan)/ Post money equity value in year 2</t>
  </si>
  <si>
    <t>Failure (Business is liquidited)</t>
  </si>
  <si>
    <t>Failure (Money from Liquidition was reinvested)</t>
  </si>
  <si>
    <t>12. Other stake 1- PE2 stake</t>
  </si>
  <si>
    <t>13. PE1 Stake = PE 1 Stake from Year=0 (which was put randomly)* others stake value</t>
  </si>
  <si>
    <t>Liquidition Ratio</t>
  </si>
  <si>
    <t>14. Founder Stake =Founders stake  from Year=0 (which was put randomly)* others stake value</t>
  </si>
  <si>
    <t>6)</t>
  </si>
  <si>
    <t>Liquidition Value</t>
  </si>
  <si>
    <t>15. Go to part 2 - Calc Equity value today (year=0) after PE 1 =Equity value year 2 (post money), discounted with yearly return on succes (2 years horizon)</t>
  </si>
  <si>
    <t>8)</t>
  </si>
  <si>
    <t>Yearly return of failure for PE-1</t>
  </si>
  <si>
    <t>PE-1 CashInflow after Liquidition</t>
  </si>
  <si>
    <t>7)</t>
  </si>
  <si>
    <t>16.  Calculated pre- money (before PE 1 additional IC) eqity = Post money equity - PE1 additional IC (70)</t>
  </si>
  <si>
    <t>Founders CashInflow</t>
  </si>
  <si>
    <t>17. PE 1 stake= PE1 additional IC (loan)/ Post money equity value itoday</t>
  </si>
  <si>
    <t>9)</t>
  </si>
  <si>
    <t>18. Part 10 - make difference cell of step 17 and step 2, in solver set it to 0 by adjusting cell from the step 2</t>
  </si>
  <si>
    <t>% of owner who invested in the first year</t>
  </si>
  <si>
    <t>% of owner who invested in the 0 year</t>
  </si>
  <si>
    <t>Q3</t>
  </si>
  <si>
    <t xml:space="preserve">Yearly return uplon failure is stil higer than market investment rate so it is worth investing </t>
  </si>
  <si>
    <t xml:space="preserve">It depends on risk aversion </t>
  </si>
  <si>
    <t>P/S</t>
  </si>
  <si>
    <t>EV/EBITDA</t>
  </si>
  <si>
    <t>EV/tBV</t>
  </si>
  <si>
    <t>Revenue from Sales</t>
  </si>
  <si>
    <t>Goodwill</t>
  </si>
  <si>
    <t>Debt (Bonds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</si>
</sst>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0.00_-;\-* #,##0.00_-;_-* &quot;-&quot;??_-;_-@_-"/>
    <numFmt numFmtId="165" formatCode=";;;@"/>
    <numFmt numFmtId="166" formatCode="_-* #,##0_-;\-* #,##0_-;_-* &quot;-&quot;??_-;_-@_-"/>
    <numFmt numFmtId="167" formatCode="0.0000%"/>
    <numFmt numFmtId="168" formatCode="_(* #,##0_);_(* \(#,##0\);_(* &quot;-&quot;??_);_(@_)"/>
    <numFmt numFmtId="169" formatCode="0.000000000000000%"/>
    <numFmt numFmtId="170" formatCode="_-* #,##0.00\ _F_t_-;\-* #,##0.00\ _F_t_-;_-* &quot;-&quot;??\ _F_t_-;_-@_-"/>
    <numFmt numFmtId="171" formatCode="0.0%"/>
    <numFmt numFmtId="172" formatCode="_-* #,##0.00\ _F_t_-;\-* #,##0.00\ _F_t_-;_-* &quot;-&quot;??\ _F_t_-;_-@"/>
    <numFmt numFmtId="173" formatCode="0.0000"/>
    <numFmt numFmtId="174" formatCode="0.000"/>
    <numFmt numFmtId="175" formatCode="_-* #,##0.0000_-;\-* #,##0.0000_-;_-* &quot;-&quot;??_-;_-@_-"/>
  </numFmts>
  <fonts count="50">
    <font>
      <sz val="12"/>
      <color theme="1"/>
      <name val="Times New Roman"/>
      <family val="2"/>
      <charset val="238"/>
    </font>
    <font>
      <sz val="12"/>
      <color theme="1"/>
      <name val="Calibri"/>
      <family val="2"/>
      <scheme val="minor"/>
    </font>
    <font>
      <sz val="10"/>
      <color theme="1"/>
      <name val="Calibri"/>
      <family val="2"/>
      <charset val="238"/>
    </font>
    <font>
      <b/>
      <sz val="12"/>
      <color rgb="FF000000"/>
      <name val="Times New Roman"/>
      <family val="1"/>
      <charset val="238"/>
    </font>
    <font>
      <sz val="12"/>
      <color rgb="FF000000"/>
      <name val="Times New Roman"/>
      <family val="1"/>
      <charset val="238"/>
    </font>
    <font>
      <b/>
      <sz val="12"/>
      <color theme="1"/>
      <name val="Times New Roman"/>
      <family val="1"/>
      <charset val="238"/>
    </font>
    <font>
      <vertAlign val="subscript"/>
      <sz val="12"/>
      <color rgb="FF000000"/>
      <name val="Times New Roman"/>
      <family val="1"/>
      <charset val="238"/>
    </font>
    <font>
      <sz val="18"/>
      <color theme="1"/>
      <name val="Times New Roman"/>
      <family val="2"/>
      <charset val="238"/>
    </font>
    <font>
      <b/>
      <sz val="18"/>
      <color theme="1"/>
      <name val="Times New Roman"/>
      <family val="1"/>
      <charset val="238"/>
    </font>
    <font>
      <sz val="8"/>
      <name val="Times New Roman"/>
      <family val="2"/>
      <charset val="238"/>
    </font>
    <font>
      <b/>
      <sz val="28"/>
      <color theme="1"/>
      <name val="Times New Roman"/>
      <family val="1"/>
      <charset val="238"/>
    </font>
    <font>
      <sz val="14"/>
      <color theme="1"/>
      <name val="Times New Roman"/>
      <family val="2"/>
      <charset val="238"/>
    </font>
    <font>
      <b/>
      <sz val="14"/>
      <color theme="1"/>
      <name val="Times New Roman"/>
      <family val="1"/>
      <charset val="238"/>
    </font>
    <font>
      <b/>
      <sz val="16"/>
      <color theme="1"/>
      <name val="Times New Roman"/>
      <family val="1"/>
      <charset val="238"/>
    </font>
    <font>
      <sz val="12"/>
      <color theme="1"/>
      <name val="Times New Roman"/>
      <family val="1"/>
      <charset val="238"/>
    </font>
    <font>
      <b/>
      <i/>
      <sz val="12"/>
      <color rgb="FF000000"/>
      <name val="Times New Roman"/>
      <family val="1"/>
      <charset val="238"/>
    </font>
    <font>
      <sz val="12"/>
      <color theme="0"/>
      <name val="Times New Roman"/>
      <family val="2"/>
      <charset val="238"/>
    </font>
    <font>
      <sz val="16"/>
      <color rgb="FF000000"/>
      <name val="Times New Roman"/>
      <family val="1"/>
      <charset val="238"/>
    </font>
    <font>
      <sz val="12"/>
      <color theme="1"/>
      <name val="Times New Roman"/>
      <family val="2"/>
      <charset val="238"/>
    </font>
    <font>
      <b/>
      <sz val="12"/>
      <color theme="1"/>
      <name val="Calibri"/>
      <family val="2"/>
      <scheme val="minor"/>
    </font>
    <font>
      <sz val="12"/>
      <color rgb="FF0070C0"/>
      <name val="Calibri"/>
      <family val="2"/>
      <scheme val="minor"/>
    </font>
    <font>
      <b/>
      <sz val="12"/>
      <color rgb="FF0070C0"/>
      <name val="Calibri"/>
      <family val="2"/>
      <scheme val="minor"/>
    </font>
    <font>
      <b/>
      <sz val="12"/>
      <color theme="1"/>
      <name val="Times New Roman"/>
      <family val="1"/>
    </font>
    <font>
      <b/>
      <sz val="12"/>
      <color theme="1"/>
      <name val="Times New Roman"/>
      <family val="2"/>
      <charset val="238"/>
    </font>
    <font>
      <sz val="12"/>
      <color rgb="FF000000"/>
      <name val="Calibri"/>
      <family val="2"/>
      <charset val="238"/>
    </font>
    <font>
      <b/>
      <sz val="12"/>
      <name val="Times New Roman"/>
      <family val="1"/>
      <charset val="238"/>
    </font>
    <font>
      <sz val="12"/>
      <color rgb="FFFF0000"/>
      <name val="Calibri"/>
      <family val="2"/>
      <charset val="238"/>
    </font>
    <font>
      <sz val="12"/>
      <color theme="1"/>
      <name val="Calibri"/>
      <family val="2"/>
      <charset val="2"/>
      <scheme val="minor"/>
    </font>
    <font>
      <sz val="12"/>
      <color theme="1"/>
      <name val="Symbol"/>
      <family val="1"/>
      <charset val="2"/>
    </font>
    <font>
      <sz val="12"/>
      <color theme="1"/>
      <name val="Calibri"/>
      <family val="2"/>
      <charset val="2"/>
    </font>
    <font>
      <i/>
      <sz val="12"/>
      <color theme="1"/>
      <name val="Times New Roman"/>
      <family val="1"/>
    </font>
    <font>
      <sz val="12"/>
      <color theme="9"/>
      <name val="Times New Roman"/>
      <family val="2"/>
      <charset val="238"/>
    </font>
    <font>
      <sz val="11"/>
      <name val="Calibri"/>
      <family val="2"/>
      <charset val="238"/>
    </font>
    <font>
      <b/>
      <sz val="11"/>
      <name val="Calibri"/>
      <family val="2"/>
      <charset val="238"/>
    </font>
    <font>
      <b/>
      <sz val="12"/>
      <color rgb="FF0070C0"/>
      <name val="Times New Roman"/>
      <family val="1"/>
      <charset val="238"/>
    </font>
    <font>
      <b/>
      <sz val="12"/>
      <color rgb="FFFF0000"/>
      <name val="Times New Roman"/>
      <family val="1"/>
      <charset val="238"/>
    </font>
    <font>
      <b/>
      <sz val="9"/>
      <color indexed="81"/>
      <name val="Tahoma"/>
      <family val="2"/>
      <charset val="238"/>
    </font>
    <font>
      <sz val="9"/>
      <color indexed="81"/>
      <name val="Tahoma"/>
      <family val="2"/>
      <charset val="238"/>
    </font>
    <font>
      <sz val="11"/>
      <color rgb="FF000000"/>
      <name val="Calibri"/>
      <family val="2"/>
    </font>
    <font>
      <sz val="12"/>
      <color rgb="FFFF0000"/>
      <name val="Times New Roman"/>
      <family val="2"/>
      <charset val="238"/>
    </font>
    <font>
      <sz val="12"/>
      <name val="Times New Roman"/>
      <family val="2"/>
      <charset val="238"/>
    </font>
    <font>
      <sz val="12"/>
      <color rgb="FF00B050"/>
      <name val="Times New Roman"/>
      <family val="2"/>
      <charset val="238"/>
    </font>
    <font>
      <sz val="12"/>
      <color rgb="FF000000"/>
      <name val="Times New Roman"/>
      <family val="1"/>
      <charset val="204"/>
    </font>
    <font>
      <i/>
      <sz val="12"/>
      <color rgb="FF000000"/>
      <name val="Times New Roman"/>
      <family val="1"/>
    </font>
    <font>
      <b/>
      <sz val="12"/>
      <color theme="1"/>
      <name val="Calibri"/>
      <family val="2"/>
      <charset val="238"/>
      <scheme val="minor"/>
    </font>
    <font>
      <b/>
      <u/>
      <sz val="12"/>
      <color rgb="FF00B050"/>
      <name val="Calibri"/>
      <family val="2"/>
      <scheme val="minor"/>
    </font>
    <font>
      <b/>
      <u/>
      <sz val="12"/>
      <color rgb="FFFF0000"/>
      <name val="Calibri"/>
      <family val="2"/>
      <scheme val="minor"/>
    </font>
    <font>
      <b/>
      <sz val="9"/>
      <color indexed="81"/>
      <name val="Tahoma"/>
      <family val="2"/>
    </font>
    <font>
      <sz val="9"/>
      <color indexed="81"/>
      <name val="Tahoma"/>
      <family val="2"/>
    </font>
    <font>
      <sz val="12"/>
      <color theme="0"/>
      <name val="Calibri"/>
      <family val="2"/>
      <charset val="238"/>
      <scheme val="minor"/>
    </font>
  </fonts>
  <fills count="3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000"/>
        <bgColor indexed="64"/>
      </patternFill>
    </fill>
    <fill>
      <patternFill patternType="solid">
        <fgColor theme="6"/>
        <bgColor rgb="FFA8D08D"/>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rgb="FFFFFF00"/>
      </patternFill>
    </fill>
    <fill>
      <patternFill patternType="solid">
        <fgColor rgb="FFFFFFCC"/>
        <bgColor rgb="FFFFFFCC"/>
      </patternFill>
    </fill>
    <fill>
      <patternFill patternType="solid">
        <fgColor rgb="FFFFAFFF"/>
        <bgColor indexed="64"/>
      </patternFill>
    </fill>
    <fill>
      <patternFill patternType="solid">
        <fgColor theme="5" tint="0.59999389629810485"/>
        <bgColor indexed="64"/>
      </patternFill>
    </fill>
    <fill>
      <patternFill patternType="solid">
        <fgColor rgb="FFC684FC"/>
        <bgColor indexed="64"/>
      </patternFill>
    </fill>
    <fill>
      <patternFill patternType="solid">
        <fgColor theme="4" tint="0.59999389629810485"/>
        <bgColor indexed="64"/>
      </patternFill>
    </fill>
    <fill>
      <patternFill patternType="solid">
        <fgColor rgb="FFFF0000"/>
        <bgColor indexed="64"/>
      </patternFill>
    </fill>
    <fill>
      <patternFill patternType="solid">
        <fgColor theme="0"/>
        <bgColor indexed="64"/>
      </patternFill>
    </fill>
    <fill>
      <patternFill patternType="solid">
        <fgColor rgb="FFFFFF00"/>
        <bgColor rgb="FF000000"/>
      </patternFill>
    </fill>
    <fill>
      <patternFill patternType="solid">
        <fgColor rgb="FF92D050"/>
        <bgColor rgb="FF000000"/>
      </patternFill>
    </fill>
    <fill>
      <patternFill patternType="solid">
        <fgColor rgb="FFCCCCFF"/>
        <bgColor indexed="64"/>
      </patternFill>
    </fill>
    <fill>
      <patternFill patternType="solid">
        <fgColor rgb="FFFFCCFF"/>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7"/>
        <bgColor indexed="64"/>
      </patternFill>
    </fill>
    <fill>
      <patternFill patternType="solid">
        <fgColor theme="7" tint="0.59999389629810485"/>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8" fillId="0" borderId="0" applyFont="0" applyFill="0" applyBorder="0" applyAlignment="0" applyProtection="0"/>
    <xf numFmtId="164" fontId="18" fillId="0" borderId="0" applyFont="0" applyFill="0" applyBorder="0" applyAlignment="0" applyProtection="0"/>
    <xf numFmtId="9" fontId="18" fillId="0" borderId="0" applyFont="0" applyFill="0" applyBorder="0" applyAlignment="0" applyProtection="0"/>
  </cellStyleXfs>
  <cellXfs count="250">
    <xf numFmtId="0" fontId="0" fillId="0" borderId="0" xfId="0"/>
    <xf numFmtId="0" fontId="3" fillId="0" borderId="0" xfId="0" applyFont="1" applyAlignment="1">
      <alignment horizontal="center" vertical="center"/>
    </xf>
    <xf numFmtId="0" fontId="4" fillId="0" borderId="0" xfId="0" applyFont="1" applyAlignment="1">
      <alignment horizontal="left" vertical="center"/>
    </xf>
    <xf numFmtId="10" fontId="4" fillId="0" borderId="0" xfId="0" applyNumberFormat="1" applyFont="1" applyAlignment="1">
      <alignment horizontal="right" vertical="center"/>
    </xf>
    <xf numFmtId="0" fontId="7" fillId="0" borderId="0" xfId="0" applyFont="1"/>
    <xf numFmtId="0" fontId="0" fillId="0" borderId="0" xfId="0" applyAlignment="1">
      <alignment horizontal="center"/>
    </xf>
    <xf numFmtId="0" fontId="8" fillId="0" borderId="0" xfId="0" applyFont="1"/>
    <xf numFmtId="0" fontId="8" fillId="0" borderId="0" xfId="0" applyFont="1" applyProtection="1">
      <protection hidden="1"/>
    </xf>
    <xf numFmtId="0" fontId="8" fillId="2" borderId="5" xfId="0" applyFont="1" applyFill="1" applyBorder="1" applyProtection="1">
      <protection hidden="1"/>
    </xf>
    <xf numFmtId="0" fontId="11" fillId="5" borderId="6" xfId="0" applyFont="1" applyFill="1" applyBorder="1"/>
    <xf numFmtId="0" fontId="11" fillId="5" borderId="8" xfId="0" applyFont="1" applyFill="1" applyBorder="1"/>
    <xf numFmtId="165" fontId="12" fillId="5" borderId="9" xfId="0" applyNumberFormat="1" applyFont="1" applyFill="1" applyBorder="1" applyAlignment="1">
      <alignment horizontal="center"/>
    </xf>
    <xf numFmtId="0" fontId="11" fillId="5" borderId="9" xfId="0" applyFont="1" applyFill="1" applyBorder="1"/>
    <xf numFmtId="0" fontId="11" fillId="5" borderId="10" xfId="0" applyFont="1" applyFill="1" applyBorder="1"/>
    <xf numFmtId="0" fontId="11" fillId="5" borderId="4" xfId="0" applyFont="1" applyFill="1" applyBorder="1"/>
    <xf numFmtId="0" fontId="13" fillId="2" borderId="11" xfId="0" applyFont="1" applyFill="1" applyBorder="1" applyAlignment="1">
      <alignment horizontal="center"/>
    </xf>
    <xf numFmtId="0" fontId="13" fillId="2" borderId="2" xfId="0" applyFont="1" applyFill="1" applyBorder="1" applyAlignment="1">
      <alignment horizontal="center"/>
    </xf>
    <xf numFmtId="0" fontId="14" fillId="0" borderId="1" xfId="0" applyFont="1" applyBorder="1" applyAlignment="1">
      <alignment horizontal="left" vertical="center"/>
    </xf>
    <xf numFmtId="0" fontId="3" fillId="4" borderId="2" xfId="0" applyFont="1" applyFill="1" applyBorder="1" applyAlignment="1">
      <alignment horizontal="center" vertical="center"/>
    </xf>
    <xf numFmtId="0" fontId="14" fillId="0" borderId="3" xfId="0" applyFont="1" applyBorder="1" applyAlignment="1">
      <alignment horizontal="left" vertical="center"/>
    </xf>
    <xf numFmtId="0" fontId="5" fillId="0" borderId="3" xfId="0" applyFont="1" applyBorder="1" applyAlignment="1">
      <alignment horizontal="left" vertical="center"/>
    </xf>
    <xf numFmtId="0" fontId="2" fillId="0" borderId="12" xfId="0" applyFont="1" applyBorder="1"/>
    <xf numFmtId="4" fontId="4" fillId="4" borderId="4" xfId="0" applyNumberFormat="1" applyFont="1" applyFill="1" applyBorder="1" applyAlignment="1">
      <alignment horizontal="right" vertical="center"/>
    </xf>
    <xf numFmtId="4" fontId="3" fillId="4" borderId="4" xfId="0" applyNumberFormat="1" applyFont="1" applyFill="1" applyBorder="1" applyAlignment="1">
      <alignment horizontal="right" vertical="center"/>
    </xf>
    <xf numFmtId="4" fontId="4" fillId="4" borderId="12" xfId="0" applyNumberFormat="1" applyFont="1" applyFill="1" applyBorder="1" applyAlignment="1">
      <alignment horizontal="left" vertical="center"/>
    </xf>
    <xf numFmtId="4" fontId="15" fillId="4" borderId="4" xfId="0" applyNumberFormat="1" applyFont="1" applyFill="1" applyBorder="1" applyAlignment="1">
      <alignment horizontal="right" vertical="center"/>
    </xf>
    <xf numFmtId="0" fontId="8" fillId="3" borderId="5" xfId="0" applyFont="1" applyFill="1" applyBorder="1" applyAlignment="1" applyProtection="1">
      <alignment horizontal="center"/>
      <protection locked="0"/>
    </xf>
    <xf numFmtId="0" fontId="14" fillId="0" borderId="0" xfId="0" applyFont="1"/>
    <xf numFmtId="0" fontId="5" fillId="0" borderId="0" xfId="0" applyFont="1" applyAlignment="1">
      <alignment horizontal="center"/>
    </xf>
    <xf numFmtId="10" fontId="0" fillId="0" borderId="0" xfId="0" applyNumberFormat="1"/>
    <xf numFmtId="0" fontId="16" fillId="0" borderId="0" xfId="0" applyFont="1"/>
    <xf numFmtId="0" fontId="17" fillId="0" borderId="0" xfId="0" applyFont="1"/>
    <xf numFmtId="0" fontId="8" fillId="0" borderId="0" xfId="0" applyFont="1" applyAlignment="1" applyProtection="1">
      <alignment horizontal="center"/>
      <protection hidden="1"/>
    </xf>
    <xf numFmtId="0" fontId="5" fillId="2" borderId="0" xfId="0" applyFont="1" applyFill="1" applyAlignment="1">
      <alignment horizontal="center"/>
    </xf>
    <xf numFmtId="14" fontId="12" fillId="5" borderId="7" xfId="0" applyNumberFormat="1" applyFont="1" applyFill="1" applyBorder="1" applyAlignment="1">
      <alignment horizontal="center"/>
    </xf>
    <xf numFmtId="14" fontId="8" fillId="0" borderId="0" xfId="0" applyNumberFormat="1" applyFont="1" applyAlignment="1">
      <alignment horizontal="center"/>
    </xf>
    <xf numFmtId="2" fontId="0" fillId="0" borderId="0" xfId="0" applyNumberFormat="1"/>
    <xf numFmtId="9" fontId="0" fillId="0" borderId="0" xfId="0" applyNumberFormat="1"/>
    <xf numFmtId="10" fontId="14" fillId="0" borderId="0" xfId="0" applyNumberFormat="1" applyFont="1"/>
    <xf numFmtId="10" fontId="0" fillId="0" borderId="0" xfId="1" applyNumberFormat="1" applyFont="1"/>
    <xf numFmtId="4" fontId="0" fillId="0" borderId="0" xfId="0" applyNumberFormat="1"/>
    <xf numFmtId="0" fontId="5" fillId="0" borderId="0" xfId="0" applyFont="1"/>
    <xf numFmtId="4" fontId="5" fillId="0" borderId="0" xfId="0" applyNumberFormat="1" applyFont="1"/>
    <xf numFmtId="10" fontId="0" fillId="0" borderId="0" xfId="1" applyNumberFormat="1" applyFont="1" applyFill="1"/>
    <xf numFmtId="164" fontId="0" fillId="0" borderId="0" xfId="2" applyFont="1"/>
    <xf numFmtId="10" fontId="0" fillId="0" borderId="0" xfId="1" applyNumberFormat="1" applyFont="1" applyFill="1" applyBorder="1"/>
    <xf numFmtId="0" fontId="19" fillId="0" borderId="13" xfId="0" applyFont="1" applyBorder="1"/>
    <xf numFmtId="0" fontId="0" fillId="0" borderId="14" xfId="0" applyBorder="1"/>
    <xf numFmtId="10" fontId="19" fillId="0" borderId="14" xfId="1" applyNumberFormat="1" applyFont="1" applyBorder="1"/>
    <xf numFmtId="166" fontId="20" fillId="0" borderId="16" xfId="2" applyNumberFormat="1" applyFont="1" applyBorder="1"/>
    <xf numFmtId="4" fontId="0" fillId="0" borderId="17" xfId="0" applyNumberFormat="1" applyBorder="1"/>
    <xf numFmtId="4" fontId="0" fillId="0" borderId="18" xfId="0" applyNumberFormat="1" applyBorder="1"/>
    <xf numFmtId="166" fontId="20" fillId="0" borderId="19" xfId="2" applyNumberFormat="1" applyFont="1" applyBorder="1"/>
    <xf numFmtId="4" fontId="0" fillId="0" borderId="20" xfId="0" applyNumberFormat="1" applyBorder="1"/>
    <xf numFmtId="164" fontId="0" fillId="0" borderId="0" xfId="2" applyFont="1" applyBorder="1"/>
    <xf numFmtId="164" fontId="0" fillId="0" borderId="20" xfId="2" applyFont="1" applyBorder="1"/>
    <xf numFmtId="166" fontId="21" fillId="6" borderId="19" xfId="2" applyNumberFormat="1" applyFont="1" applyFill="1" applyBorder="1"/>
    <xf numFmtId="164" fontId="19" fillId="6" borderId="0" xfId="2" applyFont="1" applyFill="1" applyBorder="1"/>
    <xf numFmtId="164" fontId="19" fillId="6" borderId="20" xfId="2" applyFont="1" applyFill="1" applyBorder="1"/>
    <xf numFmtId="166" fontId="21" fillId="7" borderId="19" xfId="2" applyNumberFormat="1" applyFont="1" applyFill="1" applyBorder="1"/>
    <xf numFmtId="164" fontId="19" fillId="7" borderId="0" xfId="0" applyNumberFormat="1" applyFont="1" applyFill="1"/>
    <xf numFmtId="164" fontId="19" fillId="7" borderId="20" xfId="0" applyNumberFormat="1" applyFont="1" applyFill="1" applyBorder="1"/>
    <xf numFmtId="166" fontId="20" fillId="0" borderId="19" xfId="2" applyNumberFormat="1" applyFont="1" applyFill="1" applyBorder="1"/>
    <xf numFmtId="0" fontId="0" fillId="0" borderId="20" xfId="0" applyBorder="1"/>
    <xf numFmtId="166" fontId="21" fillId="8" borderId="13" xfId="2" applyNumberFormat="1" applyFont="1" applyFill="1" applyBorder="1"/>
    <xf numFmtId="164" fontId="0" fillId="8" borderId="14" xfId="0" applyNumberFormat="1" applyFill="1" applyBorder="1"/>
    <xf numFmtId="164" fontId="0" fillId="8" borderId="15" xfId="0" applyNumberFormat="1" applyFill="1" applyBorder="1"/>
    <xf numFmtId="166" fontId="20" fillId="0" borderId="21" xfId="2" applyNumberFormat="1" applyFont="1" applyBorder="1"/>
    <xf numFmtId="4" fontId="0" fillId="0" borderId="16" xfId="0" applyNumberFormat="1" applyBorder="1"/>
    <xf numFmtId="0" fontId="0" fillId="2" borderId="19" xfId="0" applyFill="1" applyBorder="1"/>
    <xf numFmtId="4" fontId="0" fillId="2" borderId="0" xfId="0" applyNumberFormat="1" applyFill="1"/>
    <xf numFmtId="4" fontId="0" fillId="2" borderId="20" xfId="0" applyNumberFormat="1" applyFill="1" applyBorder="1"/>
    <xf numFmtId="0" fontId="5" fillId="9" borderId="21" xfId="0" applyFont="1" applyFill="1" applyBorder="1"/>
    <xf numFmtId="4" fontId="0" fillId="9" borderId="22" xfId="0" applyNumberFormat="1" applyFill="1" applyBorder="1"/>
    <xf numFmtId="4" fontId="0" fillId="9" borderId="23" xfId="0" applyNumberFormat="1" applyFill="1" applyBorder="1"/>
    <xf numFmtId="0" fontId="5" fillId="9" borderId="0" xfId="0" applyFont="1" applyFill="1"/>
    <xf numFmtId="0" fontId="0" fillId="9" borderId="0" xfId="0" applyFill="1"/>
    <xf numFmtId="4" fontId="5" fillId="9" borderId="0" xfId="0" applyNumberFormat="1" applyFont="1" applyFill="1"/>
    <xf numFmtId="0" fontId="19" fillId="10" borderId="0" xfId="0" applyFont="1" applyFill="1"/>
    <xf numFmtId="10" fontId="4" fillId="6" borderId="0" xfId="0" applyNumberFormat="1" applyFont="1" applyFill="1" applyAlignment="1">
      <alignment horizontal="right" vertical="center"/>
    </xf>
    <xf numFmtId="0" fontId="0" fillId="6" borderId="0" xfId="0" applyFill="1"/>
    <xf numFmtId="4" fontId="0" fillId="6" borderId="0" xfId="0" applyNumberFormat="1" applyFill="1"/>
    <xf numFmtId="167" fontId="0" fillId="6" borderId="0" xfId="0" applyNumberFormat="1" applyFill="1"/>
    <xf numFmtId="10" fontId="0" fillId="6" borderId="0" xfId="0" applyNumberFormat="1" applyFill="1"/>
    <xf numFmtId="164" fontId="0" fillId="6" borderId="0" xfId="2" applyFont="1" applyFill="1"/>
    <xf numFmtId="4" fontId="5" fillId="6" borderId="0" xfId="0" applyNumberFormat="1" applyFont="1" applyFill="1"/>
    <xf numFmtId="10" fontId="0" fillId="6" borderId="0" xfId="1" applyNumberFormat="1" applyFont="1" applyFill="1"/>
    <xf numFmtId="0" fontId="5" fillId="6" borderId="0" xfId="0" applyFont="1" applyFill="1"/>
    <xf numFmtId="0" fontId="19" fillId="6" borderId="0" xfId="0" applyFont="1" applyFill="1"/>
    <xf numFmtId="0" fontId="4" fillId="6" borderId="0" xfId="0" applyFont="1" applyFill="1" applyAlignment="1">
      <alignment horizontal="left" vertical="center"/>
    </xf>
    <xf numFmtId="9" fontId="0" fillId="0" borderId="0" xfId="1" applyFont="1"/>
    <xf numFmtId="164" fontId="0" fillId="0" borderId="0" xfId="0" applyNumberFormat="1"/>
    <xf numFmtId="0" fontId="0" fillId="10" borderId="0" xfId="0" applyFill="1"/>
    <xf numFmtId="9" fontId="0" fillId="10" borderId="0" xfId="0" applyNumberFormat="1" applyFill="1"/>
    <xf numFmtId="0" fontId="5" fillId="10" borderId="0" xfId="0" applyFont="1" applyFill="1"/>
    <xf numFmtId="0" fontId="0" fillId="11" borderId="0" xfId="0" applyFill="1"/>
    <xf numFmtId="164" fontId="0" fillId="11" borderId="0" xfId="2" applyFont="1" applyFill="1"/>
    <xf numFmtId="0" fontId="0" fillId="7" borderId="0" xfId="0" applyFill="1"/>
    <xf numFmtId="9" fontId="0" fillId="7" borderId="0" xfId="1" applyFont="1" applyFill="1"/>
    <xf numFmtId="164" fontId="0" fillId="10" borderId="0" xfId="2" applyFont="1" applyFill="1"/>
    <xf numFmtId="164" fontId="0" fillId="0" borderId="0" xfId="2" applyFont="1" applyFill="1"/>
    <xf numFmtId="0" fontId="0" fillId="12" borderId="0" xfId="0" applyFill="1"/>
    <xf numFmtId="164" fontId="0" fillId="12" borderId="0" xfId="0" applyNumberFormat="1" applyFill="1"/>
    <xf numFmtId="0" fontId="22" fillId="0" borderId="0" xfId="0" applyFont="1"/>
    <xf numFmtId="164" fontId="22" fillId="0" borderId="0" xfId="0" applyNumberFormat="1" applyFont="1"/>
    <xf numFmtId="166" fontId="0" fillId="0" borderId="0" xfId="2" applyNumberFormat="1" applyFont="1"/>
    <xf numFmtId="166" fontId="0" fillId="6" borderId="0" xfId="2" applyNumberFormat="1" applyFont="1" applyFill="1"/>
    <xf numFmtId="10" fontId="0" fillId="13" borderId="0" xfId="0" applyNumberFormat="1" applyFill="1"/>
    <xf numFmtId="4" fontId="0" fillId="13" borderId="0" xfId="0" applyNumberFormat="1" applyFill="1"/>
    <xf numFmtId="43" fontId="0" fillId="13" borderId="0" xfId="0" applyNumberFormat="1" applyFill="1"/>
    <xf numFmtId="0" fontId="0" fillId="13" borderId="0" xfId="0" applyFill="1"/>
    <xf numFmtId="0" fontId="23" fillId="13" borderId="0" xfId="0" applyFont="1" applyFill="1"/>
    <xf numFmtId="0" fontId="24" fillId="13" borderId="0" xfId="0" applyFont="1" applyFill="1"/>
    <xf numFmtId="168" fontId="24" fillId="13" borderId="0" xfId="0" applyNumberFormat="1" applyFont="1" applyFill="1"/>
    <xf numFmtId="168" fontId="0" fillId="13" borderId="0" xfId="0" applyNumberFormat="1" applyFill="1"/>
    <xf numFmtId="169" fontId="0" fillId="6" borderId="0" xfId="0" applyNumberFormat="1" applyFill="1"/>
    <xf numFmtId="10" fontId="0" fillId="7" borderId="0" xfId="1" applyNumberFormat="1" applyFont="1" applyFill="1"/>
    <xf numFmtId="170" fontId="0" fillId="0" borderId="0" xfId="0" applyNumberFormat="1"/>
    <xf numFmtId="170" fontId="22" fillId="0" borderId="0" xfId="0" applyNumberFormat="1" applyFont="1"/>
    <xf numFmtId="0" fontId="14" fillId="6" borderId="0" xfId="0" applyFont="1" applyFill="1" applyAlignment="1">
      <alignment horizontal="left" indent="1"/>
    </xf>
    <xf numFmtId="4" fontId="14" fillId="0" borderId="0" xfId="0" applyNumberFormat="1" applyFont="1" applyAlignment="1">
      <alignment horizontal="left" indent="1"/>
    </xf>
    <xf numFmtId="164" fontId="4" fillId="6" borderId="0" xfId="2" applyFont="1" applyFill="1" applyAlignment="1">
      <alignment horizontal="left" vertical="center" indent="1"/>
    </xf>
    <xf numFmtId="0" fontId="0" fillId="0" borderId="0" xfId="0" applyAlignment="1">
      <alignment horizontal="left" indent="2"/>
    </xf>
    <xf numFmtId="0" fontId="25" fillId="15" borderId="0" xfId="0" applyFont="1" applyFill="1"/>
    <xf numFmtId="0" fontId="26" fillId="0" borderId="0" xfId="0" applyFont="1"/>
    <xf numFmtId="9" fontId="0" fillId="0" borderId="0" xfId="1" applyFont="1" applyAlignment="1"/>
    <xf numFmtId="9" fontId="0" fillId="14" borderId="0" xfId="1" applyFont="1" applyFill="1" applyAlignment="1"/>
    <xf numFmtId="167" fontId="0" fillId="0" borderId="0" xfId="0" applyNumberFormat="1"/>
    <xf numFmtId="43" fontId="0" fillId="0" borderId="0" xfId="0" applyNumberFormat="1"/>
    <xf numFmtId="43" fontId="0" fillId="14" borderId="0" xfId="0" applyNumberFormat="1" applyFill="1"/>
    <xf numFmtId="0" fontId="0" fillId="16" borderId="0" xfId="0" applyFill="1"/>
    <xf numFmtId="170" fontId="0" fillId="16" borderId="0" xfId="0" applyNumberFormat="1" applyFill="1"/>
    <xf numFmtId="0" fontId="14" fillId="7" borderId="3" xfId="0" applyFont="1" applyFill="1" applyBorder="1" applyAlignment="1">
      <alignment horizontal="left" vertical="center"/>
    </xf>
    <xf numFmtId="4" fontId="4" fillId="7" borderId="4" xfId="0" applyNumberFormat="1" applyFont="1" applyFill="1" applyBorder="1" applyAlignment="1">
      <alignment horizontal="right" vertical="center"/>
    </xf>
    <xf numFmtId="171" fontId="0" fillId="0" borderId="0" xfId="1" applyNumberFormat="1" applyFont="1"/>
    <xf numFmtId="0" fontId="19" fillId="0" borderId="0" xfId="0" applyFont="1"/>
    <xf numFmtId="0" fontId="27" fillId="17" borderId="0" xfId="0" applyFont="1" applyFill="1"/>
    <xf numFmtId="0" fontId="29" fillId="17" borderId="0" xfId="0" applyFont="1" applyFill="1"/>
    <xf numFmtId="0" fontId="27" fillId="7" borderId="22" xfId="0" applyFont="1" applyFill="1" applyBorder="1"/>
    <xf numFmtId="0" fontId="0" fillId="0" borderId="22" xfId="0" applyBorder="1"/>
    <xf numFmtId="0" fontId="1" fillId="0" borderId="0" xfId="0" applyFont="1"/>
    <xf numFmtId="0" fontId="27" fillId="0" borderId="22" xfId="0" applyFont="1" applyBorder="1"/>
    <xf numFmtId="0" fontId="27" fillId="0" borderId="0" xfId="0" applyFont="1"/>
    <xf numFmtId="0" fontId="30" fillId="0" borderId="0" xfId="0" applyFont="1"/>
    <xf numFmtId="0" fontId="14" fillId="7" borderId="0" xfId="0" applyFont="1" applyFill="1" applyAlignment="1">
      <alignment horizontal="left" vertical="center"/>
    </xf>
    <xf numFmtId="0" fontId="31" fillId="0" borderId="0" xfId="0" applyFont="1"/>
    <xf numFmtId="164" fontId="31" fillId="0" borderId="0" xfId="0" applyNumberFormat="1" applyFont="1"/>
    <xf numFmtId="3" fontId="0" fillId="0" borderId="0" xfId="0" applyNumberFormat="1"/>
    <xf numFmtId="2" fontId="5" fillId="0" borderId="0" xfId="0" applyNumberFormat="1" applyFont="1"/>
    <xf numFmtId="9" fontId="14" fillId="0" borderId="0" xfId="3" applyFont="1"/>
    <xf numFmtId="10" fontId="32" fillId="0" borderId="0" xfId="0" applyNumberFormat="1" applyFont="1"/>
    <xf numFmtId="43" fontId="32" fillId="0" borderId="0" xfId="0" applyNumberFormat="1" applyFont="1"/>
    <xf numFmtId="172" fontId="32" fillId="0" borderId="0" xfId="0" applyNumberFormat="1" applyFont="1"/>
    <xf numFmtId="172" fontId="33" fillId="0" borderId="0" xfId="0" applyNumberFormat="1" applyFont="1"/>
    <xf numFmtId="172" fontId="25" fillId="0" borderId="0" xfId="0" applyNumberFormat="1" applyFont="1"/>
    <xf numFmtId="0" fontId="25" fillId="18" borderId="0" xfId="0" applyFont="1" applyFill="1"/>
    <xf numFmtId="43" fontId="34" fillId="18" borderId="0" xfId="0" applyNumberFormat="1" applyFont="1" applyFill="1" applyAlignment="1">
      <alignment horizontal="right"/>
    </xf>
    <xf numFmtId="43" fontId="32" fillId="0" borderId="0" xfId="0" applyNumberFormat="1" applyFont="1" applyAlignment="1">
      <alignment horizontal="right"/>
    </xf>
    <xf numFmtId="171" fontId="25" fillId="18" borderId="0" xfId="3" applyNumberFormat="1" applyFont="1" applyFill="1" applyAlignment="1">
      <alignment horizontal="right"/>
    </xf>
    <xf numFmtId="0" fontId="32" fillId="19" borderId="0" xfId="0" applyFont="1" applyFill="1"/>
    <xf numFmtId="43" fontId="32" fillId="19" borderId="0" xfId="0" applyNumberFormat="1" applyFont="1" applyFill="1" applyAlignment="1">
      <alignment horizontal="right"/>
    </xf>
    <xf numFmtId="4" fontId="32" fillId="0" borderId="0" xfId="0" applyNumberFormat="1" applyFont="1"/>
    <xf numFmtId="0" fontId="32" fillId="19" borderId="0" xfId="0" quotePrefix="1" applyFont="1" applyFill="1" applyAlignment="1">
      <alignment horizontal="left"/>
    </xf>
    <xf numFmtId="171" fontId="32" fillId="19" borderId="0" xfId="3" applyNumberFormat="1" applyFont="1" applyFill="1" applyAlignment="1">
      <alignment horizontal="right"/>
    </xf>
    <xf numFmtId="0" fontId="32" fillId="0" borderId="0" xfId="0" applyFont="1" applyAlignment="1">
      <alignment horizontal="left"/>
    </xf>
    <xf numFmtId="10" fontId="32" fillId="0" borderId="0" xfId="0" applyNumberFormat="1" applyFont="1" applyAlignment="1">
      <alignment horizontal="right"/>
    </xf>
    <xf numFmtId="3" fontId="25" fillId="18" borderId="0" xfId="0" applyNumberFormat="1" applyFont="1" applyFill="1" applyAlignment="1">
      <alignment horizontal="right"/>
    </xf>
    <xf numFmtId="0" fontId="32" fillId="0" borderId="0" xfId="0" applyFont="1" applyAlignment="1">
      <alignment horizontal="right"/>
    </xf>
    <xf numFmtId="3" fontId="32" fillId="0" borderId="0" xfId="0" applyNumberFormat="1" applyFont="1" applyAlignment="1">
      <alignment horizontal="right"/>
    </xf>
    <xf numFmtId="1" fontId="32" fillId="0" borderId="0" xfId="0" applyNumberFormat="1" applyFont="1" applyAlignment="1">
      <alignment horizontal="right" wrapText="1"/>
    </xf>
    <xf numFmtId="0" fontId="35" fillId="18" borderId="0" xfId="0" applyFont="1" applyFill="1"/>
    <xf numFmtId="173" fontId="35" fillId="18" borderId="0" xfId="0" applyNumberFormat="1" applyFont="1" applyFill="1" applyAlignment="1">
      <alignment horizontal="right"/>
    </xf>
    <xf numFmtId="0" fontId="0" fillId="0" borderId="0" xfId="0" quotePrefix="1"/>
    <xf numFmtId="0" fontId="0" fillId="20" borderId="0" xfId="0" applyFill="1"/>
    <xf numFmtId="0" fontId="0" fillId="21" borderId="0" xfId="0" applyFill="1"/>
    <xf numFmtId="0" fontId="0" fillId="22" borderId="0" xfId="0" applyFill="1"/>
    <xf numFmtId="0" fontId="0" fillId="23" borderId="0" xfId="0" applyFill="1"/>
    <xf numFmtId="9" fontId="0" fillId="23" borderId="0" xfId="3" applyFont="1" applyFill="1"/>
    <xf numFmtId="0" fontId="0" fillId="2" borderId="0" xfId="0" applyFill="1"/>
    <xf numFmtId="171" fontId="0" fillId="2" borderId="0" xfId="0" applyNumberFormat="1" applyFill="1"/>
    <xf numFmtId="9" fontId="0" fillId="21" borderId="0" xfId="0" applyNumberFormat="1" applyFill="1"/>
    <xf numFmtId="171" fontId="0" fillId="23" borderId="0" xfId="3" applyNumberFormat="1" applyFont="1" applyFill="1"/>
    <xf numFmtId="10" fontId="0" fillId="23" borderId="0" xfId="0" applyNumberFormat="1" applyFill="1"/>
    <xf numFmtId="10" fontId="0" fillId="0" borderId="0" xfId="3" applyNumberFormat="1" applyFont="1"/>
    <xf numFmtId="10" fontId="0" fillId="2" borderId="0" xfId="0" applyNumberFormat="1" applyFill="1"/>
    <xf numFmtId="10" fontId="5" fillId="24" borderId="0" xfId="0" applyNumberFormat="1" applyFont="1" applyFill="1"/>
    <xf numFmtId="164" fontId="0" fillId="0" borderId="0" xfId="2" applyFont="1" applyAlignment="1">
      <alignment horizontal="left" indent="2"/>
    </xf>
    <xf numFmtId="1" fontId="0" fillId="0" borderId="0" xfId="0" applyNumberFormat="1"/>
    <xf numFmtId="4" fontId="0" fillId="3" borderId="5" xfId="0" applyNumberFormat="1" applyFill="1" applyBorder="1"/>
    <xf numFmtId="10" fontId="5" fillId="0" borderId="0" xfId="0" applyNumberFormat="1" applyFont="1"/>
    <xf numFmtId="10" fontId="0" fillId="5" borderId="0" xfId="0" applyNumberFormat="1" applyFill="1"/>
    <xf numFmtId="10" fontId="0" fillId="5" borderId="0" xfId="1" applyNumberFormat="1" applyFont="1" applyFill="1"/>
    <xf numFmtId="4" fontId="0" fillId="5" borderId="0" xfId="0" applyNumberFormat="1" applyFill="1"/>
    <xf numFmtId="164" fontId="0" fillId="0" borderId="0" xfId="2" applyFont="1" applyAlignment="1">
      <alignment horizontal="right"/>
    </xf>
    <xf numFmtId="164" fontId="0" fillId="5" borderId="0" xfId="2" applyFont="1" applyFill="1"/>
    <xf numFmtId="0" fontId="0" fillId="25" borderId="0" xfId="0" applyFill="1"/>
    <xf numFmtId="0" fontId="0" fillId="5" borderId="0" xfId="0" applyFill="1"/>
    <xf numFmtId="0" fontId="5" fillId="21" borderId="0" xfId="0" applyFont="1" applyFill="1" applyAlignment="1">
      <alignment horizontal="center"/>
    </xf>
    <xf numFmtId="43" fontId="0" fillId="21" borderId="0" xfId="0" applyNumberFormat="1" applyFill="1"/>
    <xf numFmtId="10" fontId="0" fillId="21" borderId="0" xfId="0" applyNumberFormat="1" applyFill="1"/>
    <xf numFmtId="0" fontId="38" fillId="0" borderId="0" xfId="0" applyFont="1"/>
    <xf numFmtId="0" fontId="38" fillId="26" borderId="0" xfId="0" applyFont="1" applyFill="1"/>
    <xf numFmtId="0" fontId="38" fillId="27" borderId="0" xfId="0" applyFont="1" applyFill="1"/>
    <xf numFmtId="0" fontId="39" fillId="0" borderId="0" xfId="0" applyFont="1"/>
    <xf numFmtId="4" fontId="38" fillId="0" borderId="0" xfId="0" applyNumberFormat="1" applyFont="1"/>
    <xf numFmtId="0" fontId="40" fillId="26" borderId="0" xfId="0" applyFont="1" applyFill="1"/>
    <xf numFmtId="168" fontId="41" fillId="26" borderId="0" xfId="0" applyNumberFormat="1" applyFont="1" applyFill="1"/>
    <xf numFmtId="168" fontId="39" fillId="26" borderId="0" xfId="0" applyNumberFormat="1" applyFont="1" applyFill="1"/>
    <xf numFmtId="168" fontId="38" fillId="0" borderId="0" xfId="0" applyNumberFormat="1" applyFont="1"/>
    <xf numFmtId="10" fontId="41" fillId="26" borderId="0" xfId="0" applyNumberFormat="1" applyFont="1" applyFill="1"/>
    <xf numFmtId="10" fontId="39" fillId="26" borderId="0" xfId="0" applyNumberFormat="1" applyFont="1" applyFill="1"/>
    <xf numFmtId="9" fontId="38" fillId="0" borderId="0" xfId="0" applyNumberFormat="1" applyFont="1"/>
    <xf numFmtId="10" fontId="39" fillId="27" borderId="0" xfId="0" applyNumberFormat="1" applyFont="1" applyFill="1"/>
    <xf numFmtId="2" fontId="39" fillId="27" borderId="0" xfId="0" applyNumberFormat="1" applyFont="1" applyFill="1"/>
    <xf numFmtId="2" fontId="39" fillId="26" borderId="0" xfId="0" applyNumberFormat="1" applyFont="1" applyFill="1"/>
    <xf numFmtId="10" fontId="38" fillId="0" borderId="0" xfId="0" applyNumberFormat="1" applyFont="1"/>
    <xf numFmtId="0" fontId="42" fillId="26" borderId="0" xfId="0" applyFont="1" applyFill="1" applyAlignment="1">
      <alignment vertical="center"/>
    </xf>
    <xf numFmtId="0" fontId="43" fillId="0" borderId="0" xfId="0" applyFont="1"/>
    <xf numFmtId="174" fontId="0" fillId="0" borderId="0" xfId="0" applyNumberFormat="1"/>
    <xf numFmtId="175" fontId="0" fillId="0" borderId="0" xfId="2" applyNumberFormat="1" applyFont="1"/>
    <xf numFmtId="0" fontId="0" fillId="28" borderId="0" xfId="0" applyFill="1"/>
    <xf numFmtId="0" fontId="0" fillId="29" borderId="0" xfId="0" applyFill="1"/>
    <xf numFmtId="0" fontId="0" fillId="30" borderId="0" xfId="0" applyFill="1"/>
    <xf numFmtId="10" fontId="0" fillId="30" borderId="0" xfId="1" applyNumberFormat="1" applyFont="1" applyFill="1"/>
    <xf numFmtId="10" fontId="0" fillId="30" borderId="0" xfId="0" applyNumberFormat="1" applyFill="1"/>
    <xf numFmtId="9" fontId="0" fillId="9" borderId="0" xfId="0" applyNumberFormat="1" applyFill="1"/>
    <xf numFmtId="9" fontId="0" fillId="30" borderId="0" xfId="0" applyNumberFormat="1" applyFill="1"/>
    <xf numFmtId="0" fontId="19" fillId="0" borderId="0" xfId="0" applyFont="1" applyAlignment="1">
      <alignment horizontal="right"/>
    </xf>
    <xf numFmtId="9" fontId="0" fillId="31" borderId="0" xfId="0" applyNumberFormat="1" applyFill="1"/>
    <xf numFmtId="0" fontId="44" fillId="0" borderId="0" xfId="0" applyFont="1"/>
    <xf numFmtId="0" fontId="44" fillId="32" borderId="0" xfId="0" applyFont="1" applyFill="1" applyAlignment="1">
      <alignment horizontal="center"/>
    </xf>
    <xf numFmtId="0" fontId="44" fillId="16" borderId="0" xfId="0" applyFont="1" applyFill="1"/>
    <xf numFmtId="166" fontId="44" fillId="16" borderId="0" xfId="0" applyNumberFormat="1" applyFont="1" applyFill="1"/>
    <xf numFmtId="0" fontId="44" fillId="0" borderId="0" xfId="0" applyFont="1" applyAlignment="1">
      <alignment horizontal="center"/>
    </xf>
    <xf numFmtId="0" fontId="45" fillId="0" borderId="0" xfId="0" applyFont="1"/>
    <xf numFmtId="166" fontId="0" fillId="31" borderId="0" xfId="2" applyNumberFormat="1" applyFont="1" applyFill="1"/>
    <xf numFmtId="9" fontId="19" fillId="10" borderId="0" xfId="1" applyFont="1" applyFill="1"/>
    <xf numFmtId="0" fontId="19" fillId="33" borderId="0" xfId="0" applyFont="1" applyFill="1"/>
    <xf numFmtId="9" fontId="19" fillId="33" borderId="0" xfId="1" applyFont="1" applyFill="1"/>
    <xf numFmtId="0" fontId="46" fillId="0" borderId="0" xfId="0" applyFont="1"/>
    <xf numFmtId="0" fontId="19" fillId="31" borderId="0" xfId="0" applyFont="1" applyFill="1" applyAlignment="1">
      <alignment horizontal="center"/>
    </xf>
    <xf numFmtId="9" fontId="19" fillId="31" borderId="0" xfId="1" applyFont="1" applyFill="1" applyAlignment="1">
      <alignment horizontal="center"/>
    </xf>
    <xf numFmtId="0" fontId="19" fillId="24" borderId="0" xfId="0" applyFont="1" applyFill="1"/>
    <xf numFmtId="171" fontId="19" fillId="24" borderId="0" xfId="1" applyNumberFormat="1" applyFont="1" applyFill="1" applyAlignment="1">
      <alignment horizontal="center"/>
    </xf>
    <xf numFmtId="166" fontId="0" fillId="0" borderId="0" xfId="0" applyNumberFormat="1"/>
    <xf numFmtId="0" fontId="19" fillId="3" borderId="0" xfId="0" applyFont="1" applyFill="1"/>
    <xf numFmtId="9" fontId="19" fillId="3" borderId="0" xfId="1" applyFont="1" applyFill="1" applyAlignment="1">
      <alignment horizontal="center"/>
    </xf>
    <xf numFmtId="0" fontId="49" fillId="24" borderId="0" xfId="0" applyFont="1" applyFill="1"/>
    <xf numFmtId="9" fontId="49" fillId="24" borderId="0" xfId="0" applyNumberFormat="1" applyFont="1" applyFill="1"/>
    <xf numFmtId="0" fontId="10" fillId="0" borderId="0" xfId="0" applyFont="1" applyAlignment="1">
      <alignment horizontal="center"/>
    </xf>
  </cellXfs>
  <cellStyles count="4">
    <cellStyle name="Comma" xfId="2" builtinId="3"/>
    <cellStyle name="Normal" xfId="0" builtinId="0"/>
    <cellStyle name="Percent" xfId="1" builtinId="5"/>
    <cellStyle name="Percent 2" xfId="3" xr:uid="{3ACD3EED-6E11-AA41-BDBC-BF410127E7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542924</xdr:colOff>
      <xdr:row>28</xdr:row>
      <xdr:rowOff>9525</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12887324" cy="5610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hu-HU" sz="1000"/>
        </a:p>
        <a:p>
          <a:pPr algn="ctr"/>
          <a:endParaRPr lang="en-US" sz="1000"/>
        </a:p>
        <a:p>
          <a:pPr algn="ctr"/>
          <a:r>
            <a:rPr lang="hu-HU" sz="8000" b="1">
              <a:solidFill>
                <a:srgbClr val="7030A0"/>
              </a:solidFill>
            </a:rPr>
            <a:t>Applied Business Valuation</a:t>
          </a:r>
        </a:p>
        <a:p>
          <a:pPr algn="ctr"/>
          <a:r>
            <a:rPr lang="hu-HU" sz="5000"/>
            <a:t>Final exam 2 tasks</a:t>
          </a:r>
        </a:p>
        <a:p>
          <a:pPr algn="ctr"/>
          <a:endParaRPr lang="hu-HU" sz="5000"/>
        </a:p>
        <a:p>
          <a:pPr algn="ctr"/>
          <a:r>
            <a:rPr lang="hu-HU" sz="5000" baseline="0">
              <a:solidFill>
                <a:schemeClr val="dk1"/>
              </a:solidFill>
              <a:latin typeface="+mn-lt"/>
              <a:ea typeface="+mn-ea"/>
              <a:cs typeface="+mn-cs"/>
            </a:rPr>
            <a:t>Péter Juhász, PhD</a:t>
          </a:r>
          <a:r>
            <a:rPr lang="hu-HU" sz="5000" baseline="0"/>
            <a:t>, CFA</a:t>
          </a:r>
        </a:p>
        <a:p>
          <a:pPr algn="ctr"/>
          <a:r>
            <a:rPr lang="hu-HU" sz="3000" baseline="0"/>
            <a:t>peter.juhasz@uni-corvinus.hu</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304800</xdr:colOff>
      <xdr:row>1</xdr:row>
      <xdr:rowOff>19050</xdr:rowOff>
    </xdr:from>
    <xdr:to>
      <xdr:col>4</xdr:col>
      <xdr:colOff>666750</xdr:colOff>
      <xdr:row>6</xdr:row>
      <xdr:rowOff>114300</xdr:rowOff>
    </xdr:to>
    <xdr:sp macro="" textlink="">
      <xdr:nvSpPr>
        <xdr:cNvPr id="2" name="Szövegdoboz 1">
          <a:extLst>
            <a:ext uri="{FF2B5EF4-FFF2-40B4-BE49-F238E27FC236}">
              <a16:creationId xmlns:a16="http://schemas.microsoft.com/office/drawing/2014/main" id="{6355EBA2-DB27-4EF1-AFED-D11B8547EEFD}"/>
            </a:ext>
          </a:extLst>
        </xdr:cNvPr>
        <xdr:cNvSpPr txBox="1"/>
      </xdr:nvSpPr>
      <xdr:spPr>
        <a:xfrm>
          <a:off x="990600" y="219075"/>
          <a:ext cx="5629275" cy="1095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hu-HU" sz="1600" b="1">
              <a:solidFill>
                <a:srgbClr val="FF0000"/>
              </a:solidFill>
              <a:latin typeface="Times New Roman" panose="02020603050405020304" pitchFamily="18" charset="0"/>
              <a:cs typeface="Times New Roman" panose="02020603050405020304" pitchFamily="18" charset="0"/>
            </a:rPr>
            <a:t>Kindly</a:t>
          </a:r>
          <a:r>
            <a:rPr lang="hu-HU" sz="1600" b="1" baseline="0">
              <a:solidFill>
                <a:srgbClr val="FF0000"/>
              </a:solidFill>
              <a:latin typeface="Times New Roman" panose="02020603050405020304" pitchFamily="18" charset="0"/>
              <a:cs typeface="Times New Roman" panose="02020603050405020304" pitchFamily="18" charset="0"/>
            </a:rPr>
            <a:t> save this file renaming it following the pattern below. Please hand in the file only after named properly.</a:t>
          </a:r>
        </a:p>
        <a:p>
          <a:pPr algn="ctr"/>
          <a:endParaRPr lang="hu-HU" sz="1600" b="1" baseline="0">
            <a:solidFill>
              <a:srgbClr val="FF0000"/>
            </a:solidFill>
            <a:latin typeface="Times New Roman" panose="02020603050405020304" pitchFamily="18" charset="0"/>
            <a:cs typeface="Times New Roman" panose="02020603050405020304" pitchFamily="18" charset="0"/>
          </a:endParaRPr>
        </a:p>
        <a:p>
          <a:pPr algn="ctr"/>
          <a:r>
            <a:rPr lang="hu-HU" sz="1600" b="1" baseline="0">
              <a:solidFill>
                <a:srgbClr val="7030A0"/>
              </a:solidFill>
              <a:latin typeface="Times New Roman" panose="02020603050405020304" pitchFamily="18" charset="0"/>
              <a:cs typeface="Times New Roman" panose="02020603050405020304" pitchFamily="18" charset="0"/>
            </a:rPr>
            <a:t>EV2ndMidTerm_FamilyName_GivenName.xlsx</a:t>
          </a:r>
          <a:endParaRPr lang="hu-HU" sz="1600" b="1">
            <a:solidFill>
              <a:srgbClr val="7030A0"/>
            </a:solidFill>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4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 1</a:t>
          </a:r>
        </a:p>
        <a:p>
          <a:r>
            <a:rPr lang="hu-HU" sz="1400" b="0">
              <a:latin typeface="Times New Roman" panose="02020603050405020304" pitchFamily="18" charset="0"/>
              <a:cs typeface="Times New Roman" panose="02020603050405020304" pitchFamily="18" charset="0"/>
            </a:rPr>
            <a:t>Prepare the business cash flow of the firm for 2021 and 2022 based on the data provided. </a:t>
          </a:r>
        </a:p>
        <a:p>
          <a:r>
            <a:rPr lang="hu-HU" sz="1400" b="0">
              <a:latin typeface="Times New Roman" panose="02020603050405020304" pitchFamily="18" charset="0"/>
              <a:cs typeface="Times New Roman" panose="02020603050405020304" pitchFamily="18" charset="0"/>
            </a:rPr>
            <a:t>List any assumptions you made.</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7</xdr:col>
      <xdr:colOff>657224</xdr:colOff>
      <xdr:row>0</xdr:row>
      <xdr:rowOff>1</xdr:rowOff>
    </xdr:from>
    <xdr:to>
      <xdr:col>18</xdr:col>
      <xdr:colOff>498475</xdr:colOff>
      <xdr:row>13</xdr:row>
      <xdr:rowOff>114301</xdr:rowOff>
    </xdr:to>
    <xdr:sp macro="" textlink="">
      <xdr:nvSpPr>
        <xdr:cNvPr id="3" name="Szövegdoboz 2">
          <a:extLst>
            <a:ext uri="{FF2B5EF4-FFF2-40B4-BE49-F238E27FC236}">
              <a16:creationId xmlns:a16="http://schemas.microsoft.com/office/drawing/2014/main" id="{BFDAC5A9-4707-436A-B503-673577B23A49}"/>
            </a:ext>
          </a:extLst>
        </xdr:cNvPr>
        <xdr:cNvSpPr txBox="1"/>
      </xdr:nvSpPr>
      <xdr:spPr>
        <a:xfrm>
          <a:off x="9674224" y="1"/>
          <a:ext cx="7245351" cy="300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hu-HU" sz="1400" b="0">
              <a:latin typeface="Times New Roman" panose="02020603050405020304" pitchFamily="18" charset="0"/>
              <a:cs typeface="Times New Roman" panose="02020603050405020304" pitchFamily="18" charset="0"/>
            </a:rPr>
            <a:t>List your assumptions here.</a:t>
          </a:r>
        </a:p>
        <a:p>
          <a:r>
            <a:rPr lang="hu-HU" sz="1400" b="0">
              <a:latin typeface="Times New Roman" panose="02020603050405020304" pitchFamily="18" charset="0"/>
              <a:cs typeface="Times New Roman" panose="02020603050405020304" pitchFamily="18" charset="0"/>
            </a:rPr>
            <a:t>Sales</a:t>
          </a:r>
          <a:r>
            <a:rPr lang="hu-HU" sz="1400" b="0" baseline="0">
              <a:latin typeface="Times New Roman" panose="02020603050405020304" pitchFamily="18" charset="0"/>
              <a:cs typeface="Times New Roman" panose="02020603050405020304" pitchFamily="18" charset="0"/>
            </a:rPr>
            <a:t> and other income is all operative, there wasn't one off items, or profit from asset slae.</a:t>
          </a:r>
        </a:p>
        <a:p>
          <a:r>
            <a:rPr lang="hu-HU" sz="1400" b="0" baseline="0">
              <a:latin typeface="Times New Roman" panose="02020603050405020304" pitchFamily="18" charset="0"/>
              <a:cs typeface="Times New Roman" panose="02020603050405020304" pitchFamily="18" charset="0"/>
            </a:rPr>
            <a:t>All of the expenses are operative, there aren't any "owner" items.</a:t>
          </a:r>
        </a:p>
        <a:p>
          <a:r>
            <a:rPr lang="hu-HU" sz="1400" b="0" baseline="0">
              <a:latin typeface="Times New Roman" panose="02020603050405020304" pitchFamily="18" charset="0"/>
              <a:cs typeface="Times New Roman" panose="02020603050405020304" pitchFamily="18" charset="0"/>
            </a:rPr>
            <a:t>The dividends recived are all non-operative and tax exempt.</a:t>
          </a:r>
        </a:p>
        <a:p>
          <a:r>
            <a:rPr lang="hu-HU" sz="1400" b="0" baseline="0">
              <a:latin typeface="Times New Roman" panose="02020603050405020304" pitchFamily="18" charset="0"/>
              <a:cs typeface="Times New Roman" panose="02020603050405020304" pitchFamily="18" charset="0"/>
            </a:rPr>
            <a:t>The interest received is not tax exempt, and non-operative.</a:t>
          </a:r>
        </a:p>
        <a:p>
          <a:r>
            <a:rPr lang="hu-HU" sz="1400" b="0" baseline="0">
              <a:latin typeface="Times New Roman" panose="02020603050405020304" pitchFamily="18" charset="0"/>
              <a:cs typeface="Times New Roman" panose="02020603050405020304" pitchFamily="18" charset="0"/>
            </a:rPr>
            <a:t>Both the short term and long term loan is for financing, none of it is liquidity loan.</a:t>
          </a:r>
        </a:p>
        <a:p>
          <a:r>
            <a:rPr lang="hu-HU" sz="1400" b="0" baseline="0">
              <a:latin typeface="Times New Roman" panose="02020603050405020304" pitchFamily="18" charset="0"/>
              <a:cs typeface="Times New Roman" panose="02020603050405020304" pitchFamily="18" charset="0"/>
            </a:rPr>
            <a:t>The marketable securities are not operative.</a:t>
          </a:r>
        </a:p>
        <a:p>
          <a:endParaRPr lang="hu-HU" sz="1400" b="0" baseline="0">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Generally: the accounting is correct and accurate, for the CF to be used for valuing we should assume the operations are going to continue in a similar manner.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00000000-0008-0000-0300-000002000000}"/>
            </a:ext>
          </a:extLst>
        </xdr:cNvPr>
        <xdr:cNvSpPr txBox="1"/>
      </xdr:nvSpPr>
      <xdr:spPr>
        <a:xfrm>
          <a:off x="695324" y="3362325"/>
          <a:ext cx="7229476" cy="140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2</a:t>
          </a:r>
        </a:p>
        <a:p>
          <a:pPr algn="just"/>
          <a:r>
            <a:rPr lang="hu-HU" sz="1400" b="0">
              <a:latin typeface="Times New Roman" panose="02020603050405020304" pitchFamily="18" charset="0"/>
              <a:cs typeface="Times New Roman" panose="02020603050405020304" pitchFamily="18" charset="0"/>
            </a:rPr>
            <a:t>You find the key numbers of a financial plan below. Determine the value of the firm using at least three different DCF methods for the start of 2024 assuming that projects will not</a:t>
          </a:r>
          <a:r>
            <a:rPr lang="hu-HU" sz="1400" b="0" baseline="0">
              <a:latin typeface="Times New Roman" panose="02020603050405020304" pitchFamily="18" charset="0"/>
              <a:cs typeface="Times New Roman" panose="02020603050405020304" pitchFamily="18" charset="0"/>
            </a:rPr>
            <a:t> create any added value during the terminal value period.</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00000000-0008-0000-0300-000003000000}"/>
            </a:ext>
          </a:extLst>
        </xdr:cNvPr>
        <xdr:cNvSpPr txBox="1"/>
      </xdr:nvSpPr>
      <xdr:spPr>
        <a:xfrm>
          <a:off x="685800" y="2324100"/>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403860</xdr:colOff>
      <xdr:row>24</xdr:row>
      <xdr:rowOff>60960</xdr:rowOff>
    </xdr:from>
    <xdr:to>
      <xdr:col>4</xdr:col>
      <xdr:colOff>548640</xdr:colOff>
      <xdr:row>27</xdr:row>
      <xdr:rowOff>83820</xdr:rowOff>
    </xdr:to>
    <xdr:cxnSp macro="">
      <xdr:nvCxnSpPr>
        <xdr:cNvPr id="2" name="Straight Arrow Connector 1">
          <a:extLst>
            <a:ext uri="{FF2B5EF4-FFF2-40B4-BE49-F238E27FC236}">
              <a16:creationId xmlns:a16="http://schemas.microsoft.com/office/drawing/2014/main" id="{6FB50D67-0DA3-8F4C-862A-51DCC3F5F42F}"/>
            </a:ext>
          </a:extLst>
        </xdr:cNvPr>
        <xdr:cNvCxnSpPr/>
      </xdr:nvCxnSpPr>
      <xdr:spPr>
        <a:xfrm flipV="1">
          <a:off x="4264660" y="4937760"/>
          <a:ext cx="817880" cy="632460"/>
        </a:xfrm>
        <a:prstGeom prst="straightConnector1">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472440</xdr:colOff>
      <xdr:row>28</xdr:row>
      <xdr:rowOff>7620</xdr:rowOff>
    </xdr:from>
    <xdr:to>
      <xdr:col>4</xdr:col>
      <xdr:colOff>525780</xdr:colOff>
      <xdr:row>28</xdr:row>
      <xdr:rowOff>137160</xdr:rowOff>
    </xdr:to>
    <xdr:cxnSp macro="">
      <xdr:nvCxnSpPr>
        <xdr:cNvPr id="3" name="Straight Arrow Connector 2">
          <a:extLst>
            <a:ext uri="{FF2B5EF4-FFF2-40B4-BE49-F238E27FC236}">
              <a16:creationId xmlns:a16="http://schemas.microsoft.com/office/drawing/2014/main" id="{7189B1EC-41AD-5C4D-BB14-431C4EEDCB86}"/>
            </a:ext>
          </a:extLst>
        </xdr:cNvPr>
        <xdr:cNvCxnSpPr/>
      </xdr:nvCxnSpPr>
      <xdr:spPr>
        <a:xfrm>
          <a:off x="4333240" y="5697220"/>
          <a:ext cx="726440" cy="1295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91440</xdr:colOff>
      <xdr:row>29</xdr:row>
      <xdr:rowOff>91440</xdr:rowOff>
    </xdr:from>
    <xdr:to>
      <xdr:col>9</xdr:col>
      <xdr:colOff>632460</xdr:colOff>
      <xdr:row>29</xdr:row>
      <xdr:rowOff>99060</xdr:rowOff>
    </xdr:to>
    <xdr:cxnSp macro="">
      <xdr:nvCxnSpPr>
        <xdr:cNvPr id="4" name="Straight Arrow Connector 3">
          <a:extLst>
            <a:ext uri="{FF2B5EF4-FFF2-40B4-BE49-F238E27FC236}">
              <a16:creationId xmlns:a16="http://schemas.microsoft.com/office/drawing/2014/main" id="{7D461DF3-E2AA-7442-8ED8-86934D767FF4}"/>
            </a:ext>
          </a:extLst>
        </xdr:cNvPr>
        <xdr:cNvCxnSpPr/>
      </xdr:nvCxnSpPr>
      <xdr:spPr>
        <a:xfrm flipV="1">
          <a:off x="7647940" y="5984240"/>
          <a:ext cx="1887220" cy="7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141515</xdr:colOff>
      <xdr:row>2</xdr:row>
      <xdr:rowOff>119743</xdr:rowOff>
    </xdr:from>
    <xdr:to>
      <xdr:col>13</xdr:col>
      <xdr:colOff>28577</xdr:colOff>
      <xdr:row>10</xdr:row>
      <xdr:rowOff>119742</xdr:rowOff>
    </xdr:to>
    <xdr:sp macro="" textlink="">
      <xdr:nvSpPr>
        <xdr:cNvPr id="5" name="Szövegdoboz 1">
          <a:extLst>
            <a:ext uri="{FF2B5EF4-FFF2-40B4-BE49-F238E27FC236}">
              <a16:creationId xmlns:a16="http://schemas.microsoft.com/office/drawing/2014/main" id="{89F7076C-4909-EC42-9AB0-DF626298CE40}"/>
            </a:ext>
          </a:extLst>
        </xdr:cNvPr>
        <xdr:cNvSpPr txBox="1"/>
      </xdr:nvSpPr>
      <xdr:spPr>
        <a:xfrm>
          <a:off x="4675415" y="526143"/>
          <a:ext cx="11482162" cy="1625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Assume a venture</a:t>
          </a:r>
          <a:r>
            <a:rPr lang="hu-HU" sz="1400" b="0" baseline="0">
              <a:latin typeface="Times New Roman" panose="02020603050405020304" pitchFamily="18" charset="0"/>
              <a:cs typeface="Times New Roman" panose="02020603050405020304" pitchFamily="18" charset="0"/>
            </a:rPr>
            <a:t> capital fund with a yearly cost of financing of 20%. Their usual investment horizon is 8 years, probability of project success is 25% and the return collected in case of failure is 9%</a:t>
          </a:r>
          <a:r>
            <a:rPr lang="hu-HU" sz="1400" b="0" baseline="0">
              <a:solidFill>
                <a:schemeClr val="dk1"/>
              </a:solidFill>
              <a:latin typeface="Times New Roman" panose="02020603050405020304" pitchFamily="18" charset="0"/>
              <a:ea typeface="+mn-ea"/>
              <a:cs typeface="Times New Roman" panose="02020603050405020304" pitchFamily="18" charset="0"/>
            </a:rPr>
            <a:t> yearly </a:t>
          </a:r>
          <a:r>
            <a:rPr lang="hu-HU" sz="1400" b="0" baseline="0">
              <a:latin typeface="Times New Roman" panose="02020603050405020304" pitchFamily="18" charset="0"/>
              <a:cs typeface="Times New Roman" panose="02020603050405020304" pitchFamily="18" charset="0"/>
            </a:rPr>
            <a:t>for the total investment horizon. What should be the required rate of return for success cases?</a:t>
          </a:r>
        </a:p>
        <a:p>
          <a:pPr algn="just"/>
          <a:r>
            <a:rPr lang="hu-HU" sz="1400" b="0" baseline="0">
              <a:latin typeface="Times New Roman" panose="02020603050405020304" pitchFamily="18" charset="0"/>
              <a:cs typeface="Times New Roman" panose="02020603050405020304" pitchFamily="18" charset="0"/>
            </a:rPr>
            <a:t>Assume the required return is 35% for the success cases. What ownership stake should the venture capital fund have in 8 years time? Are the founders likely to agree?  </a:t>
          </a:r>
          <a:r>
            <a:rPr lang="hu-HU" sz="1400" b="0">
              <a:latin typeface="Times New Roman" panose="02020603050405020304" pitchFamily="18" charset="0"/>
              <a:cs typeface="Times New Roman" panose="02020603050405020304" pitchFamily="18" charset="0"/>
            </a:rPr>
            <a:t>(10 points) </a:t>
          </a:r>
          <a:r>
            <a:rPr lang="hu-HU" sz="1400" b="1">
              <a:solidFill>
                <a:srgbClr val="FF0000"/>
              </a:solidFill>
              <a:latin typeface="Times New Roman" panose="02020603050405020304" pitchFamily="18" charset="0"/>
              <a:cs typeface="Times New Roman" panose="02020603050405020304" pitchFamily="18" charset="0"/>
            </a:rPr>
            <a:t>--&gt; The founders are likely to agree in both cases,</a:t>
          </a:r>
          <a:r>
            <a:rPr lang="hu-HU" sz="1400" b="1" baseline="0">
              <a:solidFill>
                <a:srgbClr val="FF0000"/>
              </a:solidFill>
              <a:latin typeface="Times New Roman" panose="02020603050405020304" pitchFamily="18" charset="0"/>
              <a:cs typeface="Times New Roman" panose="02020603050405020304" pitchFamily="18" charset="0"/>
            </a:rPr>
            <a:t> since the yearly returns in success case are above 30% in both cases, which is higher then both the market reinvestment rate and the financing cost and aslo the returns in case of failure are hihgher then financing and reinvestment rates expect in the first case, where it is around 15%, so agreeing is dependent on risk tolerance.</a:t>
          </a:r>
        </a:p>
        <a:p>
          <a:pPr algn="just"/>
          <a:endParaRPr lang="hu-HU" sz="1400" b="0">
            <a:latin typeface="Times New Roman" panose="02020603050405020304" pitchFamily="18" charset="0"/>
            <a:cs typeface="Times New Roman" panose="02020603050405020304" pitchFamily="18" charset="0"/>
          </a:endParaRPr>
        </a:p>
      </xdr:txBody>
    </xdr:sp>
    <xdr:clientData/>
  </xdr:twoCellAnchor>
  <xdr:twoCellAnchor>
    <xdr:from>
      <xdr:col>3</xdr:col>
      <xdr:colOff>403860</xdr:colOff>
      <xdr:row>44</xdr:row>
      <xdr:rowOff>60960</xdr:rowOff>
    </xdr:from>
    <xdr:to>
      <xdr:col>4</xdr:col>
      <xdr:colOff>548640</xdr:colOff>
      <xdr:row>47</xdr:row>
      <xdr:rowOff>83820</xdr:rowOff>
    </xdr:to>
    <xdr:cxnSp macro="">
      <xdr:nvCxnSpPr>
        <xdr:cNvPr id="6" name="Straight Arrow Connector 5">
          <a:extLst>
            <a:ext uri="{FF2B5EF4-FFF2-40B4-BE49-F238E27FC236}">
              <a16:creationId xmlns:a16="http://schemas.microsoft.com/office/drawing/2014/main" id="{26DA31FF-D67D-824A-9896-5A8A8BDE03F2}"/>
            </a:ext>
          </a:extLst>
        </xdr:cNvPr>
        <xdr:cNvCxnSpPr/>
      </xdr:nvCxnSpPr>
      <xdr:spPr>
        <a:xfrm flipV="1">
          <a:off x="4264660" y="9001760"/>
          <a:ext cx="817880" cy="632460"/>
        </a:xfrm>
        <a:prstGeom prst="straightConnector1">
          <a:avLst/>
        </a:prstGeom>
        <a:ln>
          <a:solidFill>
            <a:schemeClr val="accent6"/>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472440</xdr:colOff>
      <xdr:row>48</xdr:row>
      <xdr:rowOff>7620</xdr:rowOff>
    </xdr:from>
    <xdr:to>
      <xdr:col>4</xdr:col>
      <xdr:colOff>525780</xdr:colOff>
      <xdr:row>48</xdr:row>
      <xdr:rowOff>137160</xdr:rowOff>
    </xdr:to>
    <xdr:cxnSp macro="">
      <xdr:nvCxnSpPr>
        <xdr:cNvPr id="7" name="Straight Arrow Connector 6">
          <a:extLst>
            <a:ext uri="{FF2B5EF4-FFF2-40B4-BE49-F238E27FC236}">
              <a16:creationId xmlns:a16="http://schemas.microsoft.com/office/drawing/2014/main" id="{41D64001-F6F5-BF47-BDE7-F9E3F5D1F55A}"/>
            </a:ext>
          </a:extLst>
        </xdr:cNvPr>
        <xdr:cNvCxnSpPr/>
      </xdr:nvCxnSpPr>
      <xdr:spPr>
        <a:xfrm>
          <a:off x="4333240" y="9761220"/>
          <a:ext cx="726440" cy="12954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91440</xdr:colOff>
      <xdr:row>49</xdr:row>
      <xdr:rowOff>91440</xdr:rowOff>
    </xdr:from>
    <xdr:to>
      <xdr:col>9</xdr:col>
      <xdr:colOff>632460</xdr:colOff>
      <xdr:row>49</xdr:row>
      <xdr:rowOff>99060</xdr:rowOff>
    </xdr:to>
    <xdr:cxnSp macro="">
      <xdr:nvCxnSpPr>
        <xdr:cNvPr id="8" name="Straight Arrow Connector 7">
          <a:extLst>
            <a:ext uri="{FF2B5EF4-FFF2-40B4-BE49-F238E27FC236}">
              <a16:creationId xmlns:a16="http://schemas.microsoft.com/office/drawing/2014/main" id="{11108FBD-7E1B-FC4D-B725-419C2B9AA333}"/>
            </a:ext>
          </a:extLst>
        </xdr:cNvPr>
        <xdr:cNvCxnSpPr/>
      </xdr:nvCxnSpPr>
      <xdr:spPr>
        <a:xfrm flipV="1">
          <a:off x="7647940" y="10048240"/>
          <a:ext cx="1887220" cy="7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24764</xdr:colOff>
      <xdr:row>70</xdr:row>
      <xdr:rowOff>175260</xdr:rowOff>
    </xdr:from>
    <xdr:to>
      <xdr:col>12</xdr:col>
      <xdr:colOff>205740</xdr:colOff>
      <xdr:row>82</xdr:row>
      <xdr:rowOff>190500</xdr:rowOff>
    </xdr:to>
    <xdr:sp macro="" textlink="">
      <xdr:nvSpPr>
        <xdr:cNvPr id="9" name="Szövegdoboz 1">
          <a:extLst>
            <a:ext uri="{FF2B5EF4-FFF2-40B4-BE49-F238E27FC236}">
              <a16:creationId xmlns:a16="http://schemas.microsoft.com/office/drawing/2014/main" id="{7EFD80EA-8515-4C47-8A16-D70E46FECFF9}"/>
            </a:ext>
          </a:extLst>
        </xdr:cNvPr>
        <xdr:cNvSpPr txBox="1"/>
      </xdr:nvSpPr>
      <xdr:spPr>
        <a:xfrm>
          <a:off x="697864" y="3680460"/>
          <a:ext cx="8829676" cy="2453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A venture capital (VC) firm with a yearly cost of capital of 20% wants to invest into Idea Ltd. The current book value of equity at Idea is 200, and the further development of their new product idea requires 300 unit of extra capital right now. In 2 years time, another 500 units of money will be needed to set up a manufacturing facility in case the product development would be successful. Then, based on the forecast, the fully equity financed Idea Ltd could be sold for 6000 in 7 years. If the product development would not be successful, the firm's assets can be sold for 700. After that, any inflow to the VC company will be invested at 5% yearly. The likelihood of success is 25%. What percentage of ownership should the VC firm receive for each of the capital raises? Are the current owners likely to accept the offer?</a:t>
          </a:r>
        </a:p>
        <a:p>
          <a:pPr algn="just"/>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4</xdr:col>
      <xdr:colOff>7620</xdr:colOff>
      <xdr:row>64</xdr:row>
      <xdr:rowOff>99060</xdr:rowOff>
    </xdr:from>
    <xdr:to>
      <xdr:col>12</xdr:col>
      <xdr:colOff>228600</xdr:colOff>
      <xdr:row>69</xdr:row>
      <xdr:rowOff>43815</xdr:rowOff>
    </xdr:to>
    <xdr:sp macro="" textlink="">
      <xdr:nvSpPr>
        <xdr:cNvPr id="10" name="Szövegdoboz 3">
          <a:extLst>
            <a:ext uri="{FF2B5EF4-FFF2-40B4-BE49-F238E27FC236}">
              <a16:creationId xmlns:a16="http://schemas.microsoft.com/office/drawing/2014/main" id="{93296401-05FD-7A4D-8F06-E69A37751DB0}"/>
            </a:ext>
          </a:extLst>
        </xdr:cNvPr>
        <xdr:cNvSpPr txBox="1"/>
      </xdr:nvSpPr>
      <xdr:spPr>
        <a:xfrm>
          <a:off x="680720" y="2385060"/>
          <a:ext cx="8869680" cy="9607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xdr:from>
      <xdr:col>24</xdr:col>
      <xdr:colOff>248556</xdr:colOff>
      <xdr:row>2</xdr:row>
      <xdr:rowOff>143329</xdr:rowOff>
    </xdr:from>
    <xdr:to>
      <xdr:col>33</xdr:col>
      <xdr:colOff>52614</xdr:colOff>
      <xdr:row>17</xdr:row>
      <xdr:rowOff>145143</xdr:rowOff>
    </xdr:to>
    <xdr:sp macro="" textlink="">
      <xdr:nvSpPr>
        <xdr:cNvPr id="12" name="Szövegdoboz 1">
          <a:extLst>
            <a:ext uri="{FF2B5EF4-FFF2-40B4-BE49-F238E27FC236}">
              <a16:creationId xmlns:a16="http://schemas.microsoft.com/office/drawing/2014/main" id="{708FD40D-B87F-E64B-890A-E133A7298D6E}"/>
            </a:ext>
          </a:extLst>
        </xdr:cNvPr>
        <xdr:cNvSpPr txBox="1"/>
      </xdr:nvSpPr>
      <xdr:spPr>
        <a:xfrm>
          <a:off x="3842656" y="549729"/>
          <a:ext cx="8668658" cy="30498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22</xdr:col>
      <xdr:colOff>800100</xdr:colOff>
      <xdr:row>23</xdr:row>
      <xdr:rowOff>139700</xdr:rowOff>
    </xdr:from>
    <xdr:to>
      <xdr:col>24</xdr:col>
      <xdr:colOff>615950</xdr:colOff>
      <xdr:row>28</xdr:row>
      <xdr:rowOff>158750</xdr:rowOff>
    </xdr:to>
    <xdr:cxnSp macro="">
      <xdr:nvCxnSpPr>
        <xdr:cNvPr id="13" name="Straight Arrow Connector 12">
          <a:extLst>
            <a:ext uri="{FF2B5EF4-FFF2-40B4-BE49-F238E27FC236}">
              <a16:creationId xmlns:a16="http://schemas.microsoft.com/office/drawing/2014/main" id="{918F3AE6-CFE1-3343-8216-B8DAA4917ED7}"/>
            </a:ext>
          </a:extLst>
        </xdr:cNvPr>
        <xdr:cNvCxnSpPr/>
      </xdr:nvCxnSpPr>
      <xdr:spPr>
        <a:xfrm flipV="1">
          <a:off x="2908300" y="4813300"/>
          <a:ext cx="1301750" cy="103505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23</xdr:col>
      <xdr:colOff>38100</xdr:colOff>
      <xdr:row>29</xdr:row>
      <xdr:rowOff>31750</xdr:rowOff>
    </xdr:from>
    <xdr:to>
      <xdr:col>24</xdr:col>
      <xdr:colOff>577850</xdr:colOff>
      <xdr:row>29</xdr:row>
      <xdr:rowOff>31750</xdr:rowOff>
    </xdr:to>
    <xdr:cxnSp macro="">
      <xdr:nvCxnSpPr>
        <xdr:cNvPr id="14" name="Straight Arrow Connector 13">
          <a:extLst>
            <a:ext uri="{FF2B5EF4-FFF2-40B4-BE49-F238E27FC236}">
              <a16:creationId xmlns:a16="http://schemas.microsoft.com/office/drawing/2014/main" id="{45D5769A-3737-E046-82FB-8F63E9411A6B}"/>
            </a:ext>
          </a:extLst>
        </xdr:cNvPr>
        <xdr:cNvCxnSpPr/>
      </xdr:nvCxnSpPr>
      <xdr:spPr>
        <a:xfrm>
          <a:off x="2959100" y="5924550"/>
          <a:ext cx="12128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27</xdr:col>
      <xdr:colOff>209550</xdr:colOff>
      <xdr:row>29</xdr:row>
      <xdr:rowOff>12700</xdr:rowOff>
    </xdr:from>
    <xdr:to>
      <xdr:col>29</xdr:col>
      <xdr:colOff>88900</xdr:colOff>
      <xdr:row>29</xdr:row>
      <xdr:rowOff>12700</xdr:rowOff>
    </xdr:to>
    <xdr:cxnSp macro="">
      <xdr:nvCxnSpPr>
        <xdr:cNvPr id="15" name="Straight Arrow Connector 14">
          <a:extLst>
            <a:ext uri="{FF2B5EF4-FFF2-40B4-BE49-F238E27FC236}">
              <a16:creationId xmlns:a16="http://schemas.microsoft.com/office/drawing/2014/main" id="{8D4CB897-244F-AA46-B22D-FE30BA515F53}"/>
            </a:ext>
          </a:extLst>
        </xdr:cNvPr>
        <xdr:cNvCxnSpPr/>
      </xdr:nvCxnSpPr>
      <xdr:spPr>
        <a:xfrm>
          <a:off x="6457950" y="5905500"/>
          <a:ext cx="12255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50</xdr:col>
      <xdr:colOff>300104</xdr:colOff>
      <xdr:row>3</xdr:row>
      <xdr:rowOff>87299</xdr:rowOff>
    </xdr:from>
    <xdr:to>
      <xdr:col>59</xdr:col>
      <xdr:colOff>286497</xdr:colOff>
      <xdr:row>19</xdr:row>
      <xdr:rowOff>102720</xdr:rowOff>
    </xdr:to>
    <xdr:sp macro="" textlink="">
      <xdr:nvSpPr>
        <xdr:cNvPr id="20" name="Szövegdoboz 1">
          <a:extLst>
            <a:ext uri="{FF2B5EF4-FFF2-40B4-BE49-F238E27FC236}">
              <a16:creationId xmlns:a16="http://schemas.microsoft.com/office/drawing/2014/main" id="{C3F34177-9634-D64E-9403-E133A84EFFF4}"/>
            </a:ext>
          </a:extLst>
        </xdr:cNvPr>
        <xdr:cNvSpPr txBox="1"/>
      </xdr:nvSpPr>
      <xdr:spPr>
        <a:xfrm>
          <a:off x="42210104" y="696899"/>
          <a:ext cx="7530193" cy="3266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GreatIdea</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venture capital fund RiskIt Co. is about to acquire a stake in GreatIdea Ltd. GreatIdea currently operates without leverage using an equity of 30 M HUF, wholly owned by the founders. Based on the plans of RiskIt, the firm's total would be sold in the best case for 1500 M HUF in 6 years from now. </a:t>
          </a:r>
          <a:endParaRPr lang="hu-HU" sz="1100">
            <a:solidFill>
              <a:schemeClr val="dk1"/>
            </a:solidFill>
            <a:effectLst/>
            <a:latin typeface="+mn-lt"/>
            <a:ea typeface="+mn-ea"/>
            <a:cs typeface="+mn-cs"/>
          </a:endParaRPr>
        </a:p>
        <a:p>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 convert the existing idea into a product, GoodIdea needs a capital boost of 70 million. The chance of success is 30 percent. In that case, an additional 100 million is required in 2 years to set up mass production. They also expect to receive a 100 million bank loan to cover the purchase of manufacturing equipment. The loan is expected to have a grace period of 5 years. In case of failure, the firm will be liquidated, providing an inflow of cash equal to 90 percent of the initial investment. Inflows would be invested at a yearly rate of 7 percent until the end of the investment horizon. The cost of financing for RiskIt is 20 percent yearly.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What is the adequate required rate to use for the success case?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How will the stake of ownership of the investors change because of the equity increases?</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Is it worth investing? What difficulties emerge once we could only sell the firm for 1100 million in 6 years?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How should the cost of capital, the probability of success, and the return earned in case of failure change so our proposal would still be acceptable from the business point of view?</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endParaRPr lang="hu-HU" sz="1100"/>
        </a:p>
      </xdr:txBody>
    </xdr:sp>
    <xdr:clientData/>
  </xdr:twoCellAnchor>
  <xdr:twoCellAnchor>
    <xdr:from>
      <xdr:col>46</xdr:col>
      <xdr:colOff>800100</xdr:colOff>
      <xdr:row>42</xdr:row>
      <xdr:rowOff>139700</xdr:rowOff>
    </xdr:from>
    <xdr:to>
      <xdr:col>48</xdr:col>
      <xdr:colOff>615950</xdr:colOff>
      <xdr:row>47</xdr:row>
      <xdr:rowOff>158750</xdr:rowOff>
    </xdr:to>
    <xdr:cxnSp macro="">
      <xdr:nvCxnSpPr>
        <xdr:cNvPr id="21" name="Straight Arrow Connector 20">
          <a:extLst>
            <a:ext uri="{FF2B5EF4-FFF2-40B4-BE49-F238E27FC236}">
              <a16:creationId xmlns:a16="http://schemas.microsoft.com/office/drawing/2014/main" id="{4514CCDB-0B3C-B046-BF24-C44018C9CD36}"/>
            </a:ext>
          </a:extLst>
        </xdr:cNvPr>
        <xdr:cNvCxnSpPr/>
      </xdr:nvCxnSpPr>
      <xdr:spPr>
        <a:xfrm flipV="1">
          <a:off x="2908300" y="4813300"/>
          <a:ext cx="1301750" cy="1035050"/>
        </a:xfrm>
        <a:prstGeom prst="straightConnector1">
          <a:avLst/>
        </a:prstGeom>
        <a:ln>
          <a:tailEnd type="triangle"/>
        </a:ln>
      </xdr:spPr>
      <xdr:style>
        <a:lnRef idx="3">
          <a:schemeClr val="accent6"/>
        </a:lnRef>
        <a:fillRef idx="0">
          <a:schemeClr val="accent6"/>
        </a:fillRef>
        <a:effectRef idx="2">
          <a:schemeClr val="accent6"/>
        </a:effectRef>
        <a:fontRef idx="minor">
          <a:schemeClr val="tx1"/>
        </a:fontRef>
      </xdr:style>
    </xdr:cxnSp>
    <xdr:clientData/>
  </xdr:twoCellAnchor>
  <xdr:twoCellAnchor>
    <xdr:from>
      <xdr:col>47</xdr:col>
      <xdr:colOff>38100</xdr:colOff>
      <xdr:row>48</xdr:row>
      <xdr:rowOff>31750</xdr:rowOff>
    </xdr:from>
    <xdr:to>
      <xdr:col>48</xdr:col>
      <xdr:colOff>577850</xdr:colOff>
      <xdr:row>48</xdr:row>
      <xdr:rowOff>31750</xdr:rowOff>
    </xdr:to>
    <xdr:cxnSp macro="">
      <xdr:nvCxnSpPr>
        <xdr:cNvPr id="22" name="Straight Arrow Connector 21">
          <a:extLst>
            <a:ext uri="{FF2B5EF4-FFF2-40B4-BE49-F238E27FC236}">
              <a16:creationId xmlns:a16="http://schemas.microsoft.com/office/drawing/2014/main" id="{F8E52346-FE79-BF4A-9F6C-58EAFA8BC0A9}"/>
            </a:ext>
          </a:extLst>
        </xdr:cNvPr>
        <xdr:cNvCxnSpPr/>
      </xdr:nvCxnSpPr>
      <xdr:spPr>
        <a:xfrm>
          <a:off x="2959100" y="5924550"/>
          <a:ext cx="12128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51</xdr:col>
      <xdr:colOff>209550</xdr:colOff>
      <xdr:row>48</xdr:row>
      <xdr:rowOff>12700</xdr:rowOff>
    </xdr:from>
    <xdr:to>
      <xdr:col>53</xdr:col>
      <xdr:colOff>88900</xdr:colOff>
      <xdr:row>48</xdr:row>
      <xdr:rowOff>12700</xdr:rowOff>
    </xdr:to>
    <xdr:cxnSp macro="">
      <xdr:nvCxnSpPr>
        <xdr:cNvPr id="23" name="Straight Arrow Connector 22">
          <a:extLst>
            <a:ext uri="{FF2B5EF4-FFF2-40B4-BE49-F238E27FC236}">
              <a16:creationId xmlns:a16="http://schemas.microsoft.com/office/drawing/2014/main" id="{07F4B55D-8121-0D4E-8A59-C9CCBF87EE80}"/>
            </a:ext>
          </a:extLst>
        </xdr:cNvPr>
        <xdr:cNvCxnSpPr/>
      </xdr:nvCxnSpPr>
      <xdr:spPr>
        <a:xfrm>
          <a:off x="6457950" y="5905500"/>
          <a:ext cx="1225550" cy="0"/>
        </a:xfrm>
        <a:prstGeom prst="straightConnector1">
          <a:avLst/>
        </a:prstGeom>
        <a:ln>
          <a:solidFill>
            <a:srgbClr val="FF0000"/>
          </a:solidFill>
          <a:tailEnd type="triangle"/>
        </a:ln>
      </xdr:spPr>
      <xdr:style>
        <a:lnRef idx="3">
          <a:schemeClr val="accent4"/>
        </a:lnRef>
        <a:fillRef idx="0">
          <a:schemeClr val="accent4"/>
        </a:fillRef>
        <a:effectRef idx="2">
          <a:schemeClr val="accent4"/>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15</xdr:row>
      <xdr:rowOff>0</xdr:rowOff>
    </xdr:from>
    <xdr:to>
      <xdr:col>7</xdr:col>
      <xdr:colOff>130629</xdr:colOff>
      <xdr:row>23</xdr:row>
      <xdr:rowOff>157842</xdr:rowOff>
    </xdr:to>
    <xdr:sp macro="" textlink="">
      <xdr:nvSpPr>
        <xdr:cNvPr id="2" name="Szövegdoboz 1">
          <a:extLst>
            <a:ext uri="{FF2B5EF4-FFF2-40B4-BE49-F238E27FC236}">
              <a16:creationId xmlns:a16="http://schemas.microsoft.com/office/drawing/2014/main" id="{00000000-0008-0000-0200-000002000000}"/>
            </a:ext>
          </a:extLst>
        </xdr:cNvPr>
        <xdr:cNvSpPr txBox="1"/>
      </xdr:nvSpPr>
      <xdr:spPr>
        <a:xfrm>
          <a:off x="696686" y="3211286"/>
          <a:ext cx="8006443" cy="17253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3</a:t>
          </a:r>
        </a:p>
        <a:p>
          <a:pPr algn="l"/>
          <a:r>
            <a:rPr lang="hu-HU" sz="1400" b="0">
              <a:latin typeface="Times New Roman" panose="02020603050405020304" pitchFamily="18" charset="0"/>
              <a:cs typeface="Times New Roman" panose="02020603050405020304" pitchFamily="18" charset="0"/>
            </a:rPr>
            <a:t>Firm A </a:t>
          </a:r>
          <a:r>
            <a:rPr lang="hu-HU" sz="1400" b="0" baseline="0">
              <a:solidFill>
                <a:schemeClr val="dk1"/>
              </a:solidFill>
              <a:latin typeface="Times New Roman" panose="02020603050405020304" pitchFamily="18" charset="0"/>
              <a:ea typeface="+mn-ea"/>
              <a:cs typeface="Times New Roman" panose="02020603050405020304" pitchFamily="18" charset="0"/>
            </a:rPr>
            <a:t>plans to take over and merge with Firm B. (Both companies show a perpetuity like operation.) They plan for reorganisations are shown below. Owners of Firm B expect to pay a transaction fee of 3 M HUF, while Firm will pay 6 M HUF for consultatnts and integration. What is the realistic bargaining range firm taking over firm B? How many new shares should we issue if we wish to pay a premium of 25% over the minimum price (transaction costs considered) and 50% of the price will be paid from non-operational cash available? (10 points)</a:t>
          </a:r>
        </a:p>
      </xdr:txBody>
    </xdr:sp>
    <xdr:clientData/>
  </xdr:twoCellAnchor>
  <xdr:twoCellAnchor>
    <xdr:from>
      <xdr:col>1</xdr:col>
      <xdr:colOff>1</xdr:colOff>
      <xdr:row>10</xdr:row>
      <xdr:rowOff>9525</xdr:rowOff>
    </xdr:from>
    <xdr:to>
      <xdr:col>7</xdr:col>
      <xdr:colOff>142876</xdr:colOff>
      <xdr:row>14</xdr:row>
      <xdr:rowOff>152400</xdr:rowOff>
    </xdr:to>
    <xdr:sp macro="" textlink="">
      <xdr:nvSpPr>
        <xdr:cNvPr id="3" name="Szövegdoboz 2">
          <a:extLst>
            <a:ext uri="{FF2B5EF4-FFF2-40B4-BE49-F238E27FC236}">
              <a16:creationId xmlns:a16="http://schemas.microsoft.com/office/drawing/2014/main" id="{00000000-0008-0000-0200-000003000000}"/>
            </a:ext>
          </a:extLst>
        </xdr:cNvPr>
        <xdr:cNvSpPr txBox="1"/>
      </xdr:nvSpPr>
      <xdr:spPr>
        <a:xfrm>
          <a:off x="685801" y="2333625"/>
          <a:ext cx="7239000"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twoCellAnchor>
    <xdr:from>
      <xdr:col>17</xdr:col>
      <xdr:colOff>9523</xdr:colOff>
      <xdr:row>19</xdr:row>
      <xdr:rowOff>38100</xdr:rowOff>
    </xdr:from>
    <xdr:to>
      <xdr:col>24</xdr:col>
      <xdr:colOff>38099</xdr:colOff>
      <xdr:row>28</xdr:row>
      <xdr:rowOff>97972</xdr:rowOff>
    </xdr:to>
    <xdr:sp macro="" textlink="">
      <xdr:nvSpPr>
        <xdr:cNvPr id="4" name="Szövegdoboz 1">
          <a:extLst>
            <a:ext uri="{FF2B5EF4-FFF2-40B4-BE49-F238E27FC236}">
              <a16:creationId xmlns:a16="http://schemas.microsoft.com/office/drawing/2014/main" id="{1307368A-643F-4445-B219-EE91C4360765}"/>
            </a:ext>
          </a:extLst>
        </xdr:cNvPr>
        <xdr:cNvSpPr txBox="1"/>
      </xdr:nvSpPr>
      <xdr:spPr>
        <a:xfrm>
          <a:off x="682623" y="3340100"/>
          <a:ext cx="11026776" cy="18886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pPr algn="l"/>
          <a:r>
            <a:rPr lang="hu-HU" sz="1400" b="0">
              <a:latin typeface="Times New Roman" panose="02020603050405020304" pitchFamily="18" charset="0"/>
              <a:cs typeface="Times New Roman" panose="02020603050405020304" pitchFamily="18" charset="0"/>
            </a:rPr>
            <a:t>Firm A plans</a:t>
          </a:r>
          <a:r>
            <a:rPr lang="hu-HU" sz="1400" b="0" baseline="0">
              <a:latin typeface="Times New Roman" panose="02020603050405020304" pitchFamily="18" charset="0"/>
              <a:cs typeface="Times New Roman" panose="02020603050405020304" pitchFamily="18" charset="0"/>
            </a:rPr>
            <a:t> to take over and merge with Firm B. (Both companies show a perpetuity like operation.) Their plans for reorganisations are shown below. Owners of Firm B expect to pay a transaction fee of 4 M HUF, while Firm will pay 8 M HUF for consultatnts and integration. What is the realistic bargaining range firm taking over firm B? What is the trade-in ratio of the shares B if we wish to pay a premium of 25% over the minimum price (transaction costs not considered) and 30% of the price will be paid from non-operational cash available?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17</xdr:col>
      <xdr:colOff>1</xdr:colOff>
      <xdr:row>14</xdr:row>
      <xdr:rowOff>9525</xdr:rowOff>
    </xdr:from>
    <xdr:to>
      <xdr:col>23</xdr:col>
      <xdr:colOff>142876</xdr:colOff>
      <xdr:row>18</xdr:row>
      <xdr:rowOff>152400</xdr:rowOff>
    </xdr:to>
    <xdr:sp macro="" textlink="">
      <xdr:nvSpPr>
        <xdr:cNvPr id="5" name="Szövegdoboz 2">
          <a:extLst>
            <a:ext uri="{FF2B5EF4-FFF2-40B4-BE49-F238E27FC236}">
              <a16:creationId xmlns:a16="http://schemas.microsoft.com/office/drawing/2014/main" id="{55B928D3-7F32-5045-8F87-464B4EEA1604}"/>
            </a:ext>
          </a:extLst>
        </xdr:cNvPr>
        <xdr:cNvSpPr txBox="1"/>
      </xdr:nvSpPr>
      <xdr:spPr>
        <a:xfrm>
          <a:off x="673101" y="2295525"/>
          <a:ext cx="10036175"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twoCellAnchor>
    <xdr:from>
      <xdr:col>27</xdr:col>
      <xdr:colOff>0</xdr:colOff>
      <xdr:row>21</xdr:row>
      <xdr:rowOff>0</xdr:rowOff>
    </xdr:from>
    <xdr:to>
      <xdr:col>33</xdr:col>
      <xdr:colOff>76201</xdr:colOff>
      <xdr:row>27</xdr:row>
      <xdr:rowOff>182880</xdr:rowOff>
    </xdr:to>
    <xdr:sp macro="" textlink="">
      <xdr:nvSpPr>
        <xdr:cNvPr id="6" name="Szövegdoboz 1">
          <a:extLst>
            <a:ext uri="{FF2B5EF4-FFF2-40B4-BE49-F238E27FC236}">
              <a16:creationId xmlns:a16="http://schemas.microsoft.com/office/drawing/2014/main" id="{B100D0A6-23D9-E147-86B1-2A90BF7EA6FF}"/>
            </a:ext>
          </a:extLst>
        </xdr:cNvPr>
        <xdr:cNvSpPr txBox="1"/>
      </xdr:nvSpPr>
      <xdr:spPr>
        <a:xfrm>
          <a:off x="673100" y="3302000"/>
          <a:ext cx="7988301" cy="1402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r>
            <a:rPr lang="hu-HU" sz="1400" b="0">
              <a:solidFill>
                <a:schemeClr val="dk1"/>
              </a:solidFill>
              <a:latin typeface="Times New Roman" panose="02020603050405020304" pitchFamily="18" charset="0"/>
              <a:ea typeface="+mn-ea"/>
              <a:cs typeface="Times New Roman" panose="02020603050405020304" pitchFamily="18" charset="0"/>
            </a:rPr>
            <a:t>Firm A plans to take over and merge with Firm B. (Both companies show a perpetuity like operation.) They plans for reorganisations are shown below. The price agreed transfers 30% of the synergies expected to the sellers. 40% of the purchase price will be covered from non-operative cash available initialy at Firm A, the rest would be paid in shares of the next merged firm. Calculate the number of new shares to issue and the trade-in rate of the old Firm B shares. (10 points)</a:t>
          </a:r>
        </a:p>
      </xdr:txBody>
    </xdr:sp>
    <xdr:clientData/>
  </xdr:twoCellAnchor>
  <xdr:twoCellAnchor>
    <xdr:from>
      <xdr:col>27</xdr:col>
      <xdr:colOff>1</xdr:colOff>
      <xdr:row>16</xdr:row>
      <xdr:rowOff>9525</xdr:rowOff>
    </xdr:from>
    <xdr:to>
      <xdr:col>33</xdr:col>
      <xdr:colOff>142876</xdr:colOff>
      <xdr:row>20</xdr:row>
      <xdr:rowOff>152400</xdr:rowOff>
    </xdr:to>
    <xdr:sp macro="" textlink="">
      <xdr:nvSpPr>
        <xdr:cNvPr id="7" name="Szövegdoboz 2">
          <a:extLst>
            <a:ext uri="{FF2B5EF4-FFF2-40B4-BE49-F238E27FC236}">
              <a16:creationId xmlns:a16="http://schemas.microsoft.com/office/drawing/2014/main" id="{CFC4D7E2-FB9D-8A46-B9FA-975B8B65F16B}"/>
            </a:ext>
          </a:extLst>
        </xdr:cNvPr>
        <xdr:cNvSpPr txBox="1"/>
      </xdr:nvSpPr>
      <xdr:spPr>
        <a:xfrm>
          <a:off x="673101" y="2295525"/>
          <a:ext cx="8054975"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twoCellAnchor>
    <xdr:from>
      <xdr:col>38</xdr:col>
      <xdr:colOff>0</xdr:colOff>
      <xdr:row>29</xdr:row>
      <xdr:rowOff>0</xdr:rowOff>
    </xdr:from>
    <xdr:to>
      <xdr:col>44</xdr:col>
      <xdr:colOff>76201</xdr:colOff>
      <xdr:row>35</xdr:row>
      <xdr:rowOff>182880</xdr:rowOff>
    </xdr:to>
    <xdr:sp macro="" textlink="">
      <xdr:nvSpPr>
        <xdr:cNvPr id="8" name="Szövegdoboz 1">
          <a:extLst>
            <a:ext uri="{FF2B5EF4-FFF2-40B4-BE49-F238E27FC236}">
              <a16:creationId xmlns:a16="http://schemas.microsoft.com/office/drawing/2014/main" id="{1C8C1486-B6FC-054B-B52C-D96690CF6BA2}"/>
            </a:ext>
          </a:extLst>
        </xdr:cNvPr>
        <xdr:cNvSpPr txBox="1"/>
      </xdr:nvSpPr>
      <xdr:spPr>
        <a:xfrm>
          <a:off x="673100" y="3302000"/>
          <a:ext cx="8191501" cy="1402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1</a:t>
          </a:r>
        </a:p>
        <a:p>
          <a:r>
            <a:rPr lang="hu-HU" sz="1400" b="0">
              <a:solidFill>
                <a:schemeClr val="dk1"/>
              </a:solidFill>
              <a:latin typeface="Times New Roman" panose="02020603050405020304" pitchFamily="18" charset="0"/>
              <a:ea typeface="+mn-ea"/>
              <a:cs typeface="Times New Roman" panose="02020603050405020304" pitchFamily="18" charset="0"/>
            </a:rPr>
            <a:t>Firm A plans to take over and merge with Firm B. (Both companies show a perpetuity like operation.) They plans for reorganisations are shown below. The price agreed transfers 30% of the synergies expected to the sellers. 40% of the purchase price will be covered from non-operative cash available initialy at Firm A, the rest would be paid in shares of the next merged firm. Calculate the number of new shares to issue and the trade-in rate of the old Firm B shares. (10 points)</a:t>
          </a:r>
        </a:p>
      </xdr:txBody>
    </xdr:sp>
    <xdr:clientData/>
  </xdr:twoCellAnchor>
  <xdr:twoCellAnchor>
    <xdr:from>
      <xdr:col>38</xdr:col>
      <xdr:colOff>1</xdr:colOff>
      <xdr:row>24</xdr:row>
      <xdr:rowOff>9525</xdr:rowOff>
    </xdr:from>
    <xdr:to>
      <xdr:col>44</xdr:col>
      <xdr:colOff>142876</xdr:colOff>
      <xdr:row>28</xdr:row>
      <xdr:rowOff>152400</xdr:rowOff>
    </xdr:to>
    <xdr:sp macro="" textlink="">
      <xdr:nvSpPr>
        <xdr:cNvPr id="9" name="Szövegdoboz 2">
          <a:extLst>
            <a:ext uri="{FF2B5EF4-FFF2-40B4-BE49-F238E27FC236}">
              <a16:creationId xmlns:a16="http://schemas.microsoft.com/office/drawing/2014/main" id="{5E41CE37-000D-2C44-A1B4-1FBBE4C3FB37}"/>
            </a:ext>
          </a:extLst>
        </xdr:cNvPr>
        <xdr:cNvSpPr txBox="1"/>
      </xdr:nvSpPr>
      <xdr:spPr>
        <a:xfrm>
          <a:off x="673101" y="2295525"/>
          <a:ext cx="8258175"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9524</xdr:colOff>
      <xdr:row>9</xdr:row>
      <xdr:rowOff>114300</xdr:rowOff>
    </xdr:from>
    <xdr:to>
      <xdr:col>9</xdr:col>
      <xdr:colOff>190500</xdr:colOff>
      <xdr:row>17</xdr:row>
      <xdr:rowOff>114299</xdr:rowOff>
    </xdr:to>
    <xdr:sp macro="" textlink="">
      <xdr:nvSpPr>
        <xdr:cNvPr id="2" name="Szövegdoboz 1">
          <a:extLst>
            <a:ext uri="{FF2B5EF4-FFF2-40B4-BE49-F238E27FC236}">
              <a16:creationId xmlns:a16="http://schemas.microsoft.com/office/drawing/2014/main" id="{00000000-0008-0000-0600-000002000000}"/>
            </a:ext>
          </a:extLst>
        </xdr:cNvPr>
        <xdr:cNvSpPr txBox="1"/>
      </xdr:nvSpPr>
      <xdr:spPr>
        <a:xfrm>
          <a:off x="695324" y="2238375"/>
          <a:ext cx="7115176" cy="1600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Task 4</a:t>
          </a:r>
        </a:p>
        <a:p>
          <a:pPr algn="just"/>
          <a:r>
            <a:rPr lang="hu-HU" sz="1400" b="0">
              <a:latin typeface="Times New Roman" panose="02020603050405020304" pitchFamily="18" charset="0"/>
              <a:cs typeface="Times New Roman" panose="02020603050405020304" pitchFamily="18" charset="0"/>
            </a:rPr>
            <a:t>We consider to take over a firm. Our target firm has</a:t>
          </a:r>
          <a:r>
            <a:rPr lang="hu-HU" sz="1400" b="0" baseline="0">
              <a:latin typeface="Times New Roman" panose="02020603050405020304" pitchFamily="18" charset="0"/>
              <a:cs typeface="Times New Roman" panose="02020603050405020304" pitchFamily="18" charset="0"/>
            </a:rPr>
            <a:t> several non-operative assets. Estimate the value of their office building currently rented to a number of other firms based on the data below using at least two different asset valuation approaches. Explain the differences and shortcommings of the two methods used.</a:t>
          </a:r>
        </a:p>
        <a:p>
          <a:pPr algn="just"/>
          <a:r>
            <a:rPr lang="hu-HU" sz="1400" b="0" baseline="0">
              <a:latin typeface="Times New Roman" panose="02020603050405020304" pitchFamily="18" charset="0"/>
              <a:cs typeface="Times New Roman" panose="02020603050405020304" pitchFamily="18" charset="0"/>
            </a:rPr>
            <a:t>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11</xdr:col>
      <xdr:colOff>12700</xdr:colOff>
      <xdr:row>14</xdr:row>
      <xdr:rowOff>12700</xdr:rowOff>
    </xdr:from>
    <xdr:to>
      <xdr:col>21</xdr:col>
      <xdr:colOff>514351</xdr:colOff>
      <xdr:row>30</xdr:row>
      <xdr:rowOff>196850</xdr:rowOff>
    </xdr:to>
    <xdr:sp macro="" textlink="">
      <xdr:nvSpPr>
        <xdr:cNvPr id="3" name="Szövegdoboz 2">
          <a:extLst>
            <a:ext uri="{FF2B5EF4-FFF2-40B4-BE49-F238E27FC236}">
              <a16:creationId xmlns:a16="http://schemas.microsoft.com/office/drawing/2014/main" id="{92746C0D-371E-44C8-8C2A-1FAAB707CC14}"/>
            </a:ext>
          </a:extLst>
        </xdr:cNvPr>
        <xdr:cNvSpPr txBox="1"/>
      </xdr:nvSpPr>
      <xdr:spPr>
        <a:xfrm>
          <a:off x="10020300" y="3111500"/>
          <a:ext cx="7232651" cy="343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Add your explanation here</a:t>
          </a:r>
        </a:p>
        <a:p>
          <a:endParaRPr lang="hu-HU" sz="1400" b="0">
            <a:latin typeface="Times New Roman" panose="02020603050405020304" pitchFamily="18" charset="0"/>
            <a:cs typeface="Times New Roman" panose="02020603050405020304" pitchFamily="18" charset="0"/>
          </a:endParaRPr>
        </a:p>
        <a:p>
          <a:r>
            <a:rPr lang="hu-HU" sz="1100" b="0">
              <a:solidFill>
                <a:schemeClr val="dk1"/>
              </a:solidFill>
              <a:effectLst/>
              <a:latin typeface="+mn-lt"/>
              <a:ea typeface="+mn-ea"/>
              <a:cs typeface="+mn-cs"/>
            </a:rPr>
            <a:t>We can look at the asset value in</a:t>
          </a:r>
          <a:r>
            <a:rPr lang="hu-HU" sz="1100" b="0" baseline="0">
              <a:solidFill>
                <a:schemeClr val="dk1"/>
              </a:solidFill>
              <a:effectLst/>
              <a:latin typeface="+mn-lt"/>
              <a:ea typeface="+mn-ea"/>
              <a:cs typeface="+mn-cs"/>
            </a:rPr>
            <a:t> 3 different ways from these informations. First we can use a DCF method and look at it from a future exit point of view. We calculate the future CF and the tax shield it provides and take the present value of it. We need to rely on the assumption that the future will be like our estimations for the value drivers.</a:t>
          </a:r>
          <a:br>
            <a:rPr lang="hu-HU" sz="1100" b="0" baseline="0">
              <a:solidFill>
                <a:schemeClr val="dk1"/>
              </a:solidFill>
              <a:effectLst/>
              <a:latin typeface="+mn-lt"/>
              <a:ea typeface="+mn-ea"/>
              <a:cs typeface="+mn-cs"/>
            </a:rPr>
          </a:br>
          <a:r>
            <a:rPr lang="hu-HU" sz="1100" b="0" baseline="0">
              <a:solidFill>
                <a:schemeClr val="dk1"/>
              </a:solidFill>
              <a:effectLst/>
              <a:latin typeface="+mn-lt"/>
              <a:ea typeface="+mn-ea"/>
              <a:cs typeface="+mn-cs"/>
            </a:rPr>
            <a:t>Still looking into future exits we can take the capitalisation rate, as a kind of multiple and calcultate the current value from the net income the asset provides. In this case we assume that the assets we use to get the capitalisation rate are similar and that the market is correct on assesing that.</a:t>
          </a:r>
          <a:endParaRPr lang="en-US" sz="1400">
            <a:effectLst/>
          </a:endParaRPr>
        </a:p>
        <a:p>
          <a:r>
            <a:rPr lang="hu-HU" sz="1100" b="0" baseline="0">
              <a:solidFill>
                <a:schemeClr val="dk1"/>
              </a:solidFill>
              <a:effectLst/>
              <a:latin typeface="+mn-lt"/>
              <a:ea typeface="+mn-ea"/>
              <a:cs typeface="+mn-cs"/>
            </a:rPr>
            <a:t>If we take the past entry point of view  and we are caluclating from the book value and adjusting that with inflation. In this method we don't assume anything about the future and not really looking at the CF producing ability of the asset just the past price.</a:t>
          </a:r>
          <a:endParaRPr lang="en-US" sz="1400">
            <a:effectLst/>
          </a:endParaRP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9524</xdr:colOff>
      <xdr:row>15</xdr:row>
      <xdr:rowOff>38100</xdr:rowOff>
    </xdr:from>
    <xdr:to>
      <xdr:col>9</xdr:col>
      <xdr:colOff>304800</xdr:colOff>
      <xdr:row>22</xdr:row>
      <xdr:rowOff>47625</xdr:rowOff>
    </xdr:to>
    <xdr:sp macro="" textlink="">
      <xdr:nvSpPr>
        <xdr:cNvPr id="2" name="Szövegdoboz 1">
          <a:extLst>
            <a:ext uri="{FF2B5EF4-FFF2-40B4-BE49-F238E27FC236}">
              <a16:creationId xmlns:a16="http://schemas.microsoft.com/office/drawing/2014/main" id="{AEF004CA-9944-DC40-A037-A70E5D10A868}"/>
            </a:ext>
          </a:extLst>
        </xdr:cNvPr>
        <xdr:cNvSpPr txBox="1"/>
      </xdr:nvSpPr>
      <xdr:spPr>
        <a:xfrm>
          <a:off x="682624" y="3340100"/>
          <a:ext cx="8651876" cy="143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Based on the given data calculate the value of the listed multiples. (10 points)</a:t>
          </a:r>
        </a:p>
      </xdr:txBody>
    </xdr:sp>
    <xdr:clientData/>
  </xdr:twoCellAnchor>
  <xdr:twoCellAnchor>
    <xdr:from>
      <xdr:col>1</xdr:col>
      <xdr:colOff>0</xdr:colOff>
      <xdr:row>10</xdr:row>
      <xdr:rowOff>0</xdr:rowOff>
    </xdr:from>
    <xdr:to>
      <xdr:col>9</xdr:col>
      <xdr:colOff>304800</xdr:colOff>
      <xdr:row>14</xdr:row>
      <xdr:rowOff>142875</xdr:rowOff>
    </xdr:to>
    <xdr:sp macro="" textlink="">
      <xdr:nvSpPr>
        <xdr:cNvPr id="3" name="Szövegdoboz 2">
          <a:extLst>
            <a:ext uri="{FF2B5EF4-FFF2-40B4-BE49-F238E27FC236}">
              <a16:creationId xmlns:a16="http://schemas.microsoft.com/office/drawing/2014/main" id="{22BF9472-1DA3-2840-A09F-5C84F2E4BF6D}"/>
            </a:ext>
          </a:extLst>
        </xdr:cNvPr>
        <xdr:cNvSpPr txBox="1"/>
      </xdr:nvSpPr>
      <xdr:spPr>
        <a:xfrm>
          <a:off x="673100" y="2286000"/>
          <a:ext cx="8661400"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xdr:from>
      <xdr:col>11</xdr:col>
      <xdr:colOff>9524</xdr:colOff>
      <xdr:row>16</xdr:row>
      <xdr:rowOff>38100</xdr:rowOff>
    </xdr:from>
    <xdr:to>
      <xdr:col>19</xdr:col>
      <xdr:colOff>304800</xdr:colOff>
      <xdr:row>23</xdr:row>
      <xdr:rowOff>47625</xdr:rowOff>
    </xdr:to>
    <xdr:sp macro="" textlink="">
      <xdr:nvSpPr>
        <xdr:cNvPr id="4" name="Szövegdoboz 1">
          <a:extLst>
            <a:ext uri="{FF2B5EF4-FFF2-40B4-BE49-F238E27FC236}">
              <a16:creationId xmlns:a16="http://schemas.microsoft.com/office/drawing/2014/main" id="{68C5D987-519D-7A4D-9A4F-EB070A761BA3}"/>
            </a:ext>
          </a:extLst>
        </xdr:cNvPr>
        <xdr:cNvSpPr txBox="1"/>
      </xdr:nvSpPr>
      <xdr:spPr>
        <a:xfrm>
          <a:off x="682624" y="3340100"/>
          <a:ext cx="9490076" cy="143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hu-HU" sz="1400" b="1">
              <a:latin typeface="Times New Roman" panose="02020603050405020304" pitchFamily="18" charset="0"/>
              <a:cs typeface="Times New Roman" panose="02020603050405020304" pitchFamily="18" charset="0"/>
            </a:rPr>
            <a:t>Taks 2</a:t>
          </a:r>
        </a:p>
        <a:p>
          <a:pPr algn="just"/>
          <a:r>
            <a:rPr lang="hu-HU" sz="1400" b="0">
              <a:latin typeface="Times New Roman" panose="02020603050405020304" pitchFamily="18" charset="0"/>
              <a:cs typeface="Times New Roman" panose="02020603050405020304" pitchFamily="18" charset="0"/>
            </a:rPr>
            <a:t>Based on the given data calculate the value of the listed multiples. (10 points)</a:t>
          </a:r>
        </a:p>
      </xdr:txBody>
    </xdr:sp>
    <xdr:clientData/>
  </xdr:twoCellAnchor>
  <xdr:twoCellAnchor>
    <xdr:from>
      <xdr:col>11</xdr:col>
      <xdr:colOff>0</xdr:colOff>
      <xdr:row>11</xdr:row>
      <xdr:rowOff>0</xdr:rowOff>
    </xdr:from>
    <xdr:to>
      <xdr:col>19</xdr:col>
      <xdr:colOff>304800</xdr:colOff>
      <xdr:row>15</xdr:row>
      <xdr:rowOff>142875</xdr:rowOff>
    </xdr:to>
    <xdr:sp macro="" textlink="">
      <xdr:nvSpPr>
        <xdr:cNvPr id="5" name="Szövegdoboz 2">
          <a:extLst>
            <a:ext uri="{FF2B5EF4-FFF2-40B4-BE49-F238E27FC236}">
              <a16:creationId xmlns:a16="http://schemas.microsoft.com/office/drawing/2014/main" id="{AB968615-E054-5C44-BB0F-0E96BB25CD95}"/>
            </a:ext>
          </a:extLst>
        </xdr:cNvPr>
        <xdr:cNvSpPr txBox="1"/>
      </xdr:nvSpPr>
      <xdr:spPr>
        <a:xfrm>
          <a:off x="673100" y="2286000"/>
          <a:ext cx="9499600"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editAs="oneCell">
    <xdr:from>
      <xdr:col>23</xdr:col>
      <xdr:colOff>606778</xdr:colOff>
      <xdr:row>19</xdr:row>
      <xdr:rowOff>169334</xdr:rowOff>
    </xdr:from>
    <xdr:to>
      <xdr:col>30</xdr:col>
      <xdr:colOff>226348</xdr:colOff>
      <xdr:row>42</xdr:row>
      <xdr:rowOff>112527</xdr:rowOff>
    </xdr:to>
    <xdr:pic>
      <xdr:nvPicPr>
        <xdr:cNvPr id="6" name="Kép 3">
          <a:extLst>
            <a:ext uri="{FF2B5EF4-FFF2-40B4-BE49-F238E27FC236}">
              <a16:creationId xmlns:a16="http://schemas.microsoft.com/office/drawing/2014/main" id="{54EDAFB9-6DDC-E442-9A1E-8A286C17DE5A}"/>
            </a:ext>
          </a:extLst>
        </xdr:cNvPr>
        <xdr:cNvPicPr>
          <a:picLocks noChangeAspect="1"/>
        </xdr:cNvPicPr>
      </xdr:nvPicPr>
      <xdr:blipFill>
        <a:blip xmlns:r="http://schemas.openxmlformats.org/officeDocument/2006/relationships" r:embed="rId1"/>
        <a:stretch>
          <a:fillRect/>
        </a:stretch>
      </xdr:blipFill>
      <xdr:spPr>
        <a:xfrm>
          <a:off x="13027378" y="4080934"/>
          <a:ext cx="4331269" cy="4616793"/>
        </a:xfrm>
        <a:prstGeom prst="rect">
          <a:avLst/>
        </a:prstGeom>
      </xdr:spPr>
    </xdr:pic>
    <xdr:clientData/>
  </xdr:twoCellAnchor>
  <xdr:twoCellAnchor editAs="oneCell">
    <xdr:from>
      <xdr:col>14</xdr:col>
      <xdr:colOff>818445</xdr:colOff>
      <xdr:row>26</xdr:row>
      <xdr:rowOff>0</xdr:rowOff>
    </xdr:from>
    <xdr:to>
      <xdr:col>24</xdr:col>
      <xdr:colOff>338082</xdr:colOff>
      <xdr:row>42</xdr:row>
      <xdr:rowOff>81826</xdr:rowOff>
    </xdr:to>
    <xdr:pic>
      <xdr:nvPicPr>
        <xdr:cNvPr id="7" name="Kép 4">
          <a:extLst>
            <a:ext uri="{FF2B5EF4-FFF2-40B4-BE49-F238E27FC236}">
              <a16:creationId xmlns:a16="http://schemas.microsoft.com/office/drawing/2014/main" id="{92FAE443-2A3A-B744-8607-6F226FED4DA2}"/>
            </a:ext>
          </a:extLst>
        </xdr:cNvPr>
        <xdr:cNvPicPr>
          <a:picLocks noChangeAspect="1"/>
        </xdr:cNvPicPr>
      </xdr:nvPicPr>
      <xdr:blipFill>
        <a:blip xmlns:r="http://schemas.openxmlformats.org/officeDocument/2006/relationships" r:embed="rId2"/>
        <a:stretch>
          <a:fillRect/>
        </a:stretch>
      </xdr:blipFill>
      <xdr:spPr>
        <a:xfrm>
          <a:off x="6304845" y="5334000"/>
          <a:ext cx="6390337" cy="33330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9524</xdr:colOff>
      <xdr:row>16</xdr:row>
      <xdr:rowOff>38100</xdr:rowOff>
    </xdr:from>
    <xdr:to>
      <xdr:col>8</xdr:col>
      <xdr:colOff>53340</xdr:colOff>
      <xdr:row>22</xdr:row>
      <xdr:rowOff>5443</xdr:rowOff>
    </xdr:to>
    <xdr:sp macro="" textlink="">
      <xdr:nvSpPr>
        <xdr:cNvPr id="2" name="Szövegdoboz 1">
          <a:extLst>
            <a:ext uri="{FF2B5EF4-FFF2-40B4-BE49-F238E27FC236}">
              <a16:creationId xmlns:a16="http://schemas.microsoft.com/office/drawing/2014/main" id="{96B7FA49-E084-4648-9830-DA258F469597}"/>
            </a:ext>
          </a:extLst>
        </xdr:cNvPr>
        <xdr:cNvSpPr txBox="1"/>
      </xdr:nvSpPr>
      <xdr:spPr>
        <a:xfrm>
          <a:off x="682624" y="3543300"/>
          <a:ext cx="7676516" cy="1186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Taks 3</a:t>
          </a:r>
        </a:p>
        <a:p>
          <a:r>
            <a:rPr lang="hu-HU" sz="1400" b="0">
              <a:latin typeface="Times New Roman" panose="02020603050405020304" pitchFamily="18" charset="0"/>
              <a:cs typeface="Times New Roman" panose="02020603050405020304" pitchFamily="18" charset="0"/>
            </a:rPr>
            <a:t>Below you see the</a:t>
          </a:r>
          <a:r>
            <a:rPr lang="hu-HU" sz="1400" b="0" baseline="0">
              <a:latin typeface="Times New Roman" panose="02020603050405020304" pitchFamily="18" charset="0"/>
              <a:cs typeface="Times New Roman" panose="02020603050405020304" pitchFamily="18" charset="0"/>
            </a:rPr>
            <a:t> financial plan for two alternative strategic options. In both cases, the new projects will not generate added value during the terminal value period. Which alternative would you propose to the shareholders and why?</a:t>
          </a:r>
          <a:endParaRPr lang="hu-HU" sz="1400" b="0">
            <a:latin typeface="Times New Roman" panose="02020603050405020304" pitchFamily="18" charset="0"/>
            <a:cs typeface="Times New Roman" panose="02020603050405020304" pitchFamily="18" charset="0"/>
          </a:endParaRPr>
        </a:p>
        <a:p>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0</xdr:col>
      <xdr:colOff>655320</xdr:colOff>
      <xdr:row>9</xdr:row>
      <xdr:rowOff>190501</xdr:rowOff>
    </xdr:from>
    <xdr:to>
      <xdr:col>8</xdr:col>
      <xdr:colOff>68580</xdr:colOff>
      <xdr:row>14</xdr:row>
      <xdr:rowOff>190501</xdr:rowOff>
    </xdr:to>
    <xdr:sp macro="" textlink="">
      <xdr:nvSpPr>
        <xdr:cNvPr id="3" name="Szövegdoboz 3">
          <a:extLst>
            <a:ext uri="{FF2B5EF4-FFF2-40B4-BE49-F238E27FC236}">
              <a16:creationId xmlns:a16="http://schemas.microsoft.com/office/drawing/2014/main" id="{CE1DB052-3A81-FD4B-A264-C0D27916C016}"/>
            </a:ext>
          </a:extLst>
        </xdr:cNvPr>
        <xdr:cNvSpPr txBox="1"/>
      </xdr:nvSpPr>
      <xdr:spPr>
        <a:xfrm>
          <a:off x="655320" y="2273301"/>
          <a:ext cx="7719060" cy="101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400" b="0" baseline="0">
              <a:solidFill>
                <a:schemeClr val="dk1"/>
              </a:solidFill>
              <a:latin typeface="Times New Roman" panose="02020603050405020304" pitchFamily="18" charset="0"/>
              <a:ea typeface="+mn-ea"/>
              <a:cs typeface="Times New Roman" panose="02020603050405020304" pitchFamily="18" charset="0"/>
            </a:rPr>
            <a:t>Notes of the reviewer.</a:t>
          </a:r>
        </a:p>
      </xdr:txBody>
    </xdr:sp>
    <xdr:clientData/>
  </xdr:twoCellAnchor>
  <xdr:twoCellAnchor>
    <xdr:from>
      <xdr:col>9</xdr:col>
      <xdr:colOff>642257</xdr:colOff>
      <xdr:row>22</xdr:row>
      <xdr:rowOff>146957</xdr:rowOff>
    </xdr:from>
    <xdr:to>
      <xdr:col>20</xdr:col>
      <xdr:colOff>395967</xdr:colOff>
      <xdr:row>41</xdr:row>
      <xdr:rowOff>87086</xdr:rowOff>
    </xdr:to>
    <xdr:sp macro="" textlink="">
      <xdr:nvSpPr>
        <xdr:cNvPr id="4" name="Szövegdoboz 2">
          <a:extLst>
            <a:ext uri="{FF2B5EF4-FFF2-40B4-BE49-F238E27FC236}">
              <a16:creationId xmlns:a16="http://schemas.microsoft.com/office/drawing/2014/main" id="{9FA65246-E25D-0341-9F49-0DF056B15A6E}"/>
            </a:ext>
          </a:extLst>
        </xdr:cNvPr>
        <xdr:cNvSpPr txBox="1"/>
      </xdr:nvSpPr>
      <xdr:spPr>
        <a:xfrm>
          <a:off x="9621157" y="4871357"/>
          <a:ext cx="7157810" cy="3800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0">
              <a:latin typeface="Times New Roman" panose="02020603050405020304" pitchFamily="18" charset="0"/>
              <a:cs typeface="Times New Roman" panose="02020603050405020304" pitchFamily="18" charset="0"/>
            </a:rPr>
            <a:t>Type your answer here.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E4EE38FF-1B41-4FE7-8857-8F3EE85ABCBE}"/>
            </a:ext>
          </a:extLst>
        </xdr:cNvPr>
        <xdr:cNvSpPr txBox="1"/>
      </xdr:nvSpPr>
      <xdr:spPr>
        <a:xfrm>
          <a:off x="706210" y="2269671"/>
          <a:ext cx="7411811" cy="10559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Bonus Task</a:t>
          </a:r>
        </a:p>
        <a:p>
          <a:r>
            <a:rPr lang="hu-HU" sz="1400" b="0" baseline="0">
              <a:latin typeface="Times New Roman" panose="02020603050405020304" pitchFamily="18" charset="0"/>
              <a:cs typeface="Times New Roman" panose="02020603050405020304" pitchFamily="18" charset="0"/>
            </a:rPr>
            <a:t>Estimate the cost of equity for company A using data form competitors (X, Y, Z) from the same industry.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editAs="oneCell">
    <xdr:from>
      <xdr:col>8</xdr:col>
      <xdr:colOff>142875</xdr:colOff>
      <xdr:row>14</xdr:row>
      <xdr:rowOff>85725</xdr:rowOff>
    </xdr:from>
    <xdr:to>
      <xdr:col>12</xdr:col>
      <xdr:colOff>323850</xdr:colOff>
      <xdr:row>16</xdr:row>
      <xdr:rowOff>133350</xdr:rowOff>
    </xdr:to>
    <xdr:pic>
      <xdr:nvPicPr>
        <xdr:cNvPr id="3" name="Picture 2">
          <a:extLst>
            <a:ext uri="{FF2B5EF4-FFF2-40B4-BE49-F238E27FC236}">
              <a16:creationId xmlns:a16="http://schemas.microsoft.com/office/drawing/2014/main" id="{342ABEFB-CA7A-0A49-CFAF-B80261FED6D6}"/>
            </a:ext>
            <a:ext uri="{147F2762-F138-4A5C-976F-8EAC2B608ADB}">
              <a16:predDERef xmlns:a16="http://schemas.microsoft.com/office/drawing/2014/main" pred="{E4EE38FF-1B41-4FE7-8857-8F3EE85ABCBE}"/>
            </a:ext>
          </a:extLst>
        </xdr:cNvPr>
        <xdr:cNvPicPr>
          <a:picLocks noChangeAspect="1"/>
        </xdr:cNvPicPr>
      </xdr:nvPicPr>
      <xdr:blipFill>
        <a:blip xmlns:r="http://schemas.openxmlformats.org/officeDocument/2006/relationships" r:embed="rId1"/>
        <a:stretch>
          <a:fillRect/>
        </a:stretch>
      </xdr:blipFill>
      <xdr:spPr>
        <a:xfrm>
          <a:off x="8162925" y="3076575"/>
          <a:ext cx="2905125" cy="428625"/>
        </a:xfrm>
        <a:prstGeom prst="rect">
          <a:avLst/>
        </a:prstGeom>
      </xdr:spPr>
    </xdr:pic>
    <xdr:clientData/>
  </xdr:twoCellAnchor>
  <xdr:twoCellAnchor editAs="oneCell">
    <xdr:from>
      <xdr:col>8</xdr:col>
      <xdr:colOff>152400</xdr:colOff>
      <xdr:row>18</xdr:row>
      <xdr:rowOff>28575</xdr:rowOff>
    </xdr:from>
    <xdr:to>
      <xdr:col>15</xdr:col>
      <xdr:colOff>104775</xdr:colOff>
      <xdr:row>20</xdr:row>
      <xdr:rowOff>85725</xdr:rowOff>
    </xdr:to>
    <xdr:pic>
      <xdr:nvPicPr>
        <xdr:cNvPr id="4" name="Picture 3">
          <a:extLst>
            <a:ext uri="{FF2B5EF4-FFF2-40B4-BE49-F238E27FC236}">
              <a16:creationId xmlns:a16="http://schemas.microsoft.com/office/drawing/2014/main" id="{1DFE07E5-DB4C-D6A8-2F92-8E71444D3615}"/>
            </a:ext>
            <a:ext uri="{147F2762-F138-4A5C-976F-8EAC2B608ADB}">
              <a16:predDERef xmlns:a16="http://schemas.microsoft.com/office/drawing/2014/main" pred="{342ABEFB-CA7A-0A49-CFAF-B80261FED6D6}"/>
            </a:ext>
          </a:extLst>
        </xdr:cNvPr>
        <xdr:cNvPicPr>
          <a:picLocks noChangeAspect="1"/>
        </xdr:cNvPicPr>
      </xdr:nvPicPr>
      <xdr:blipFill>
        <a:blip xmlns:r="http://schemas.openxmlformats.org/officeDocument/2006/relationships" r:embed="rId2"/>
        <a:stretch>
          <a:fillRect/>
        </a:stretch>
      </xdr:blipFill>
      <xdr:spPr>
        <a:xfrm>
          <a:off x="8172450" y="3781425"/>
          <a:ext cx="4572000" cy="4381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762000</xdr:colOff>
      <xdr:row>7</xdr:row>
      <xdr:rowOff>114300</xdr:rowOff>
    </xdr:to>
    <xdr:pic>
      <xdr:nvPicPr>
        <xdr:cNvPr id="2" name="Picture 1">
          <a:extLst>
            <a:ext uri="{FF2B5EF4-FFF2-40B4-BE49-F238E27FC236}">
              <a16:creationId xmlns:a16="http://schemas.microsoft.com/office/drawing/2014/main" id="{952CB61C-F651-30B0-4780-3C2988B99900}"/>
            </a:ext>
          </a:extLst>
        </xdr:cNvPr>
        <xdr:cNvPicPr>
          <a:picLocks noChangeAspect="1"/>
        </xdr:cNvPicPr>
      </xdr:nvPicPr>
      <xdr:blipFill>
        <a:blip xmlns:r="http://schemas.openxmlformats.org/officeDocument/2006/relationships" r:embed="rId1"/>
        <a:stretch>
          <a:fillRect/>
        </a:stretch>
      </xdr:blipFill>
      <xdr:spPr>
        <a:xfrm>
          <a:off x="0" y="0"/>
          <a:ext cx="10668000" cy="1536700"/>
        </a:xfrm>
        <a:prstGeom prst="rect">
          <a:avLst/>
        </a:prstGeom>
      </xdr:spPr>
    </xdr:pic>
    <xdr:clientData/>
  </xdr:twoCellAnchor>
  <xdr:twoCellAnchor editAs="oneCell">
    <xdr:from>
      <xdr:col>10</xdr:col>
      <xdr:colOff>223500</xdr:colOff>
      <xdr:row>13</xdr:row>
      <xdr:rowOff>58400</xdr:rowOff>
    </xdr:from>
    <xdr:to>
      <xdr:col>17</xdr:col>
      <xdr:colOff>756900</xdr:colOff>
      <xdr:row>28</xdr:row>
      <xdr:rowOff>71100</xdr:rowOff>
    </xdr:to>
    <xdr:pic>
      <xdr:nvPicPr>
        <xdr:cNvPr id="3" name="Picture 2">
          <a:extLst>
            <a:ext uri="{FF2B5EF4-FFF2-40B4-BE49-F238E27FC236}">
              <a16:creationId xmlns:a16="http://schemas.microsoft.com/office/drawing/2014/main" id="{75022F4E-4CCF-1A0A-3672-5CD18B40D6E3}"/>
            </a:ext>
          </a:extLst>
        </xdr:cNvPr>
        <xdr:cNvPicPr>
          <a:picLocks noChangeAspect="1"/>
        </xdr:cNvPicPr>
      </xdr:nvPicPr>
      <xdr:blipFill>
        <a:blip xmlns:r="http://schemas.openxmlformats.org/officeDocument/2006/relationships" r:embed="rId2"/>
        <a:stretch>
          <a:fillRect/>
        </a:stretch>
      </xdr:blipFill>
      <xdr:spPr>
        <a:xfrm>
          <a:off x="8478500" y="2700000"/>
          <a:ext cx="6311900" cy="30607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9524</xdr:colOff>
      <xdr:row>10</xdr:row>
      <xdr:rowOff>38100</xdr:rowOff>
    </xdr:from>
    <xdr:to>
      <xdr:col>7</xdr:col>
      <xdr:colOff>285750</xdr:colOff>
      <xdr:row>15</xdr:row>
      <xdr:rowOff>114300</xdr:rowOff>
    </xdr:to>
    <xdr:sp macro="" textlink="">
      <xdr:nvSpPr>
        <xdr:cNvPr id="2" name="Szövegdoboz 1">
          <a:extLst>
            <a:ext uri="{FF2B5EF4-FFF2-40B4-BE49-F238E27FC236}">
              <a16:creationId xmlns:a16="http://schemas.microsoft.com/office/drawing/2014/main" id="{00000000-0008-0000-0700-000002000000}"/>
            </a:ext>
          </a:extLst>
        </xdr:cNvPr>
        <xdr:cNvSpPr txBox="1"/>
      </xdr:nvSpPr>
      <xdr:spPr>
        <a:xfrm>
          <a:off x="695324" y="2362200"/>
          <a:ext cx="7372351" cy="1076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How would you estimate the cost of capital for a privately held SME? Which DCF method would you use to value the company?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xdr:col>
      <xdr:colOff>9525</xdr:colOff>
      <xdr:row>16</xdr:row>
      <xdr:rowOff>9524</xdr:rowOff>
    </xdr:from>
    <xdr:to>
      <xdr:col>7</xdr:col>
      <xdr:colOff>285751</xdr:colOff>
      <xdr:row>33</xdr:row>
      <xdr:rowOff>85724</xdr:rowOff>
    </xdr:to>
    <xdr:sp macro="" textlink="">
      <xdr:nvSpPr>
        <xdr:cNvPr id="4" name="Szövegdoboz 3">
          <a:extLst>
            <a:ext uri="{FF2B5EF4-FFF2-40B4-BE49-F238E27FC236}">
              <a16:creationId xmlns:a16="http://schemas.microsoft.com/office/drawing/2014/main" id="{B2457B3A-23F9-459B-B509-8C0E2E7D7599}"/>
            </a:ext>
          </a:extLst>
        </xdr:cNvPr>
        <xdr:cNvSpPr txBox="1"/>
      </xdr:nvSpPr>
      <xdr:spPr>
        <a:xfrm>
          <a:off x="695325" y="3533774"/>
          <a:ext cx="7372351" cy="3533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hu-HU" sz="1100" b="0">
              <a:solidFill>
                <a:schemeClr val="dk1"/>
              </a:solidFill>
              <a:effectLst/>
              <a:latin typeface="+mn-lt"/>
              <a:ea typeface="+mn-ea"/>
              <a:cs typeface="+mn-cs"/>
            </a:rPr>
            <a:t>First we would need to make sure that the CF matches the cost of capital (in currency, maturity,</a:t>
          </a:r>
          <a:r>
            <a:rPr lang="hu-HU" sz="1100" b="0" baseline="0">
              <a:solidFill>
                <a:schemeClr val="dk1"/>
              </a:solidFill>
              <a:effectLst/>
              <a:latin typeface="+mn-lt"/>
              <a:ea typeface="+mn-ea"/>
              <a:cs typeface="+mn-cs"/>
            </a:rPr>
            <a:t> risk...). We would need to estiamte the cost of debt and equity seperatly. We could estimate the cost of debt from implied debt return of own or similar firms’ bonds, historical regressions, (implied) credit rating, but most likely in case of an SME, looking at the former and existing debt contracts is the best way to do it. For the equity, we could do a regression methods (CAPM, APT) or a built-up method (where we estimate a risk free return from government bods for instance and then add market, industry, size and other firm specific risk premiums), but again in case of an SME maybe the simplest way is the best, and we could estimate it by gathering the expectations in an interview with the owner.</a:t>
          </a:r>
          <a:br>
            <a:rPr lang="hu-HU" sz="1100" b="0" baseline="0">
              <a:solidFill>
                <a:schemeClr val="dk1"/>
              </a:solidFill>
              <a:effectLst/>
              <a:latin typeface="+mn-lt"/>
              <a:ea typeface="+mn-ea"/>
              <a:cs typeface="+mn-cs"/>
            </a:rPr>
          </a:br>
          <a:r>
            <a:rPr lang="hu-HU" sz="1100" b="0" baseline="0">
              <a:solidFill>
                <a:schemeClr val="dk1"/>
              </a:solidFill>
              <a:effectLst/>
              <a:latin typeface="+mn-lt"/>
              <a:ea typeface="+mn-ea"/>
              <a:cs typeface="+mn-cs"/>
            </a:rPr>
            <a:t>The best DCF method might be an APV, estimating the cost of capital could be difficult in this case.</a:t>
          </a:r>
          <a:endParaRPr lang="en-US" sz="1400">
            <a:effectLst/>
          </a:endParaRPr>
        </a:p>
        <a:p>
          <a:endParaRPr lang="hu-HU" sz="1400" b="0">
            <a:latin typeface="Times New Roman" panose="02020603050405020304" pitchFamily="18" charset="0"/>
            <a:cs typeface="Times New Roman" panose="02020603050405020304" pitchFamily="18" charset="0"/>
          </a:endParaRPr>
        </a:p>
      </xdr:txBody>
    </xdr:sp>
    <xdr:clientData/>
  </xdr:twoCellAnchor>
  <xdr:twoCellAnchor>
    <xdr:from>
      <xdr:col>10</xdr:col>
      <xdr:colOff>9524</xdr:colOff>
      <xdr:row>16</xdr:row>
      <xdr:rowOff>38100</xdr:rowOff>
    </xdr:from>
    <xdr:to>
      <xdr:col>16</xdr:col>
      <xdr:colOff>114300</xdr:colOff>
      <xdr:row>30</xdr:row>
      <xdr:rowOff>165100</xdr:rowOff>
    </xdr:to>
    <xdr:sp macro="" textlink="">
      <xdr:nvSpPr>
        <xdr:cNvPr id="3" name="Szövegdoboz 1">
          <a:extLst>
            <a:ext uri="{FF2B5EF4-FFF2-40B4-BE49-F238E27FC236}">
              <a16:creationId xmlns:a16="http://schemas.microsoft.com/office/drawing/2014/main" id="{946111D4-25C2-CE43-B5D4-06A1D5409740}"/>
            </a:ext>
          </a:extLst>
        </xdr:cNvPr>
        <xdr:cNvSpPr txBox="1"/>
      </xdr:nvSpPr>
      <xdr:spPr>
        <a:xfrm>
          <a:off x="9737724" y="3543300"/>
          <a:ext cx="4143376" cy="302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3</a:t>
          </a:r>
        </a:p>
        <a:p>
          <a:pPr algn="l"/>
          <a:r>
            <a:rPr lang="hu-HU" sz="1400" b="0">
              <a:latin typeface="Times New Roman" panose="02020603050405020304" pitchFamily="18" charset="0"/>
              <a:cs typeface="Times New Roman" panose="02020603050405020304" pitchFamily="18" charset="0"/>
            </a:rPr>
            <a:t>Four teams have completed their</a:t>
          </a:r>
          <a:r>
            <a:rPr lang="hu-HU" sz="1400" b="0" baseline="0">
              <a:latin typeface="Times New Roman" panose="02020603050405020304" pitchFamily="18" charset="0"/>
              <a:cs typeface="Times New Roman" panose="02020603050405020304" pitchFamily="18" charset="0"/>
            </a:rPr>
            <a:t> valuation task on the same firm for the same investor and date. They made no numerical or theoretical mistakes. What is your final conclusion on the value of the firm if the four methods used concluded with the following the ranges: DCF 1200-1400, Market multiples: 900-1100, Comparable transactions: 1000-1200, Asset based method: 600-800. What may you conclude from contrasting the ranges? What would be your final value range for valuation?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10</xdr:col>
      <xdr:colOff>1</xdr:colOff>
      <xdr:row>11</xdr:row>
      <xdr:rowOff>9525</xdr:rowOff>
    </xdr:from>
    <xdr:to>
      <xdr:col>16</xdr:col>
      <xdr:colOff>142876</xdr:colOff>
      <xdr:row>15</xdr:row>
      <xdr:rowOff>152400</xdr:rowOff>
    </xdr:to>
    <xdr:sp macro="" textlink="">
      <xdr:nvSpPr>
        <xdr:cNvPr id="5" name="Szövegdoboz 2">
          <a:extLst>
            <a:ext uri="{FF2B5EF4-FFF2-40B4-BE49-F238E27FC236}">
              <a16:creationId xmlns:a16="http://schemas.microsoft.com/office/drawing/2014/main" id="{CC27F0B1-D234-454D-B506-7FB19E38C6EA}"/>
            </a:ext>
          </a:extLst>
        </xdr:cNvPr>
        <xdr:cNvSpPr txBox="1"/>
      </xdr:nvSpPr>
      <xdr:spPr>
        <a:xfrm>
          <a:off x="673101" y="2295525"/>
          <a:ext cx="7178675" cy="955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hu-HU" sz="1600">
              <a:latin typeface="Times New Roman" panose="02020603050405020304" pitchFamily="18" charset="0"/>
              <a:cs typeface="Times New Roman" panose="02020603050405020304" pitchFamily="18" charset="0"/>
            </a:rPr>
            <a:t>Notes of</a:t>
          </a:r>
          <a:r>
            <a:rPr lang="hu-HU" sz="1600" baseline="0">
              <a:latin typeface="Times New Roman" panose="02020603050405020304" pitchFamily="18" charset="0"/>
              <a:cs typeface="Times New Roman" panose="02020603050405020304" pitchFamily="18" charset="0"/>
            </a:rPr>
            <a:t> the reviewer.</a:t>
          </a:r>
          <a:endParaRPr lang="hu-HU" sz="1600">
            <a:latin typeface="Times New Roman" panose="02020603050405020304" pitchFamily="18" charset="0"/>
            <a:cs typeface="Times New Roman" panose="02020603050405020304" pitchFamily="18" charset="0"/>
          </a:endParaRPr>
        </a:p>
      </xdr:txBody>
    </xdr:sp>
    <xdr:clientData/>
  </xdr:twoCellAnchor>
  <xdr:twoCellAnchor>
    <xdr:from>
      <xdr:col>9</xdr:col>
      <xdr:colOff>670560</xdr:colOff>
      <xdr:row>25</xdr:row>
      <xdr:rowOff>59872</xdr:rowOff>
    </xdr:from>
    <xdr:to>
      <xdr:col>16</xdr:col>
      <xdr:colOff>114300</xdr:colOff>
      <xdr:row>49</xdr:row>
      <xdr:rowOff>65314</xdr:rowOff>
    </xdr:to>
    <xdr:sp macro="" textlink="">
      <xdr:nvSpPr>
        <xdr:cNvPr id="6" name="Szövegdoboz 3">
          <a:extLst>
            <a:ext uri="{FF2B5EF4-FFF2-40B4-BE49-F238E27FC236}">
              <a16:creationId xmlns:a16="http://schemas.microsoft.com/office/drawing/2014/main" id="{0AAB72BB-F22D-0840-9345-5A1BEBC2E204}"/>
            </a:ext>
          </a:extLst>
        </xdr:cNvPr>
        <xdr:cNvSpPr txBox="1"/>
      </xdr:nvSpPr>
      <xdr:spPr>
        <a:xfrm>
          <a:off x="670560" y="5190672"/>
          <a:ext cx="7152640" cy="4882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hu-HU" sz="1400" b="1">
              <a:latin typeface="Times New Roman" panose="02020603050405020304" pitchFamily="18" charset="0"/>
              <a:cs typeface="Times New Roman" panose="02020603050405020304" pitchFamily="18" charset="0"/>
            </a:rPr>
            <a:t>Task 3</a:t>
          </a:r>
        </a:p>
        <a:p>
          <a:pPr algn="l"/>
          <a:r>
            <a:rPr lang="hu-HU" sz="1400" b="0">
              <a:latin typeface="Times New Roman" panose="02020603050405020304" pitchFamily="18" charset="0"/>
              <a:cs typeface="Times New Roman" panose="02020603050405020304" pitchFamily="18" charset="0"/>
            </a:rPr>
            <a:t>Four teams have completed their</a:t>
          </a:r>
          <a:r>
            <a:rPr lang="hu-HU" sz="1400" b="0" baseline="0">
              <a:latin typeface="Times New Roman" panose="02020603050405020304" pitchFamily="18" charset="0"/>
              <a:cs typeface="Times New Roman" panose="02020603050405020304" pitchFamily="18" charset="0"/>
            </a:rPr>
            <a:t> valuation task on the same firm for the same investor and date. They made no numerical or theoretical mistakes. What is your final conclusion on the value of the firm if the four methods used concluded with the following the ranges: DCF 1200-1400, Market multiples: 900-1100, Comparable transactions: 1000-1200, Asset based method: 600-800. What may you conclude from contrasting the ranges? What would be your final value range for valuation? </a:t>
          </a:r>
          <a:r>
            <a:rPr lang="hu-HU" sz="1400" b="0">
              <a:latin typeface="Times New Roman" panose="02020603050405020304" pitchFamily="18" charset="0"/>
              <a:cs typeface="Times New Roman" panose="02020603050405020304" pitchFamily="18" charset="0"/>
            </a:rPr>
            <a:t>(10 points)</a:t>
          </a:r>
        </a:p>
        <a:p>
          <a:r>
            <a:rPr lang="hu-HU" sz="1400" b="0">
              <a:latin typeface="Times New Roman" panose="02020603050405020304" pitchFamily="18" charset="0"/>
              <a:cs typeface="Times New Roman" panose="02020603050405020304" pitchFamily="18" charset="0"/>
            </a:rPr>
            <a:t>Type your answer here.</a:t>
          </a:r>
        </a:p>
        <a:p>
          <a:endParaRPr lang="hu-HU" sz="1400" b="0">
            <a:latin typeface="Times New Roman" panose="02020603050405020304" pitchFamily="18" charset="0"/>
            <a:cs typeface="Times New Roman" panose="02020603050405020304" pitchFamily="18" charset="0"/>
          </a:endParaRPr>
        </a:p>
        <a:p>
          <a:r>
            <a:rPr lang="hu-HU" sz="1400" b="0">
              <a:latin typeface="Times New Roman" panose="02020603050405020304" pitchFamily="18" charset="0"/>
              <a:cs typeface="Times New Roman" panose="02020603050405020304" pitchFamily="18" charset="0"/>
            </a:rPr>
            <a:t>Asset based method aims to find liquidation value, depends on asset prices, list of valuables. The disadvantage is that it takes into account quassi assets too.</a:t>
          </a:r>
        </a:p>
        <a:p>
          <a:r>
            <a:rPr lang="hu-HU" sz="1400" b="0">
              <a:latin typeface="Times New Roman" panose="02020603050405020304" pitchFamily="18" charset="0"/>
              <a:cs typeface="Times New Roman" panose="02020603050405020304" pitchFamily="18" charset="0"/>
            </a:rPr>
            <a:t>In this case the value of</a:t>
          </a:r>
          <a:r>
            <a:rPr lang="hu-HU" sz="1400" b="0" baseline="0">
              <a:latin typeface="Times New Roman" panose="02020603050405020304" pitchFamily="18" charset="0"/>
              <a:cs typeface="Times New Roman" panose="02020603050405020304" pitchFamily="18" charset="0"/>
            </a:rPr>
            <a:t> the asset based method gives significantly lower value than the other methods, so there is a good chance that the comnpany operates in not an asset heavy industry, like IT or consulting etc. Hence this method can give false result and it is worth to compare it to the result of the comparable transactions method's reuslt, which can serve as a good benchmark. However it can also have biases, beacuse it is hard to find totally comparable transactions on the market, but if done right (as the tasks says so) then it can give us a good estimation of the current market value of the firm. Also is a good sign that the market multiples give us a pretty similar result comapred to comparable transactions, because this is also a benchmark based method. Market multiples aims to find market price. it tends to underestimate the value. Also it depends on multiples used for valuation. And finally the DCF method aims to find intrinsic value, it highly depends on cash flows, cost of capital and planning. However, it is important to find discount rates correctly, but it also gives us a similar, although a bit higher value range. </a:t>
          </a:r>
        </a:p>
        <a:p>
          <a:endParaRPr lang="hu-HU" sz="1400" b="0" baseline="0">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All in all I would say that the final price range is very likely to be between 900 and 1400.</a:t>
          </a:r>
          <a:endParaRPr lang="hu-HU" sz="1400" b="0">
            <a:latin typeface="Times New Roman" panose="02020603050405020304" pitchFamily="18" charset="0"/>
            <a:cs typeface="Times New Roman" panose="02020603050405020304" pitchFamily="18" charset="0"/>
          </a:endParaRPr>
        </a:p>
      </xdr:txBody>
    </xdr:sp>
    <xdr:clientData/>
  </xdr:twoCellAnchor>
  <xdr:twoCellAnchor>
    <xdr:from>
      <xdr:col>23</xdr:col>
      <xdr:colOff>9524</xdr:colOff>
      <xdr:row>13</xdr:row>
      <xdr:rowOff>38100</xdr:rowOff>
    </xdr:from>
    <xdr:to>
      <xdr:col>29</xdr:col>
      <xdr:colOff>285750</xdr:colOff>
      <xdr:row>18</xdr:row>
      <xdr:rowOff>114300</xdr:rowOff>
    </xdr:to>
    <xdr:sp macro="" textlink="">
      <xdr:nvSpPr>
        <xdr:cNvPr id="7" name="Szövegdoboz 1">
          <a:extLst>
            <a:ext uri="{FF2B5EF4-FFF2-40B4-BE49-F238E27FC236}">
              <a16:creationId xmlns:a16="http://schemas.microsoft.com/office/drawing/2014/main" id="{6E42A6CA-2293-CA42-9B84-797E0CBF5BAA}"/>
            </a:ext>
          </a:extLst>
        </xdr:cNvPr>
        <xdr:cNvSpPr txBox="1"/>
      </xdr:nvSpPr>
      <xdr:spPr>
        <a:xfrm>
          <a:off x="682624" y="2324100"/>
          <a:ext cx="7312026"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Contrast the financial planning process of traditional companies and commertial banks.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23</xdr:col>
      <xdr:colOff>9525</xdr:colOff>
      <xdr:row>19</xdr:row>
      <xdr:rowOff>9524</xdr:rowOff>
    </xdr:from>
    <xdr:to>
      <xdr:col>29</xdr:col>
      <xdr:colOff>285751</xdr:colOff>
      <xdr:row>36</xdr:row>
      <xdr:rowOff>85724</xdr:rowOff>
    </xdr:to>
    <xdr:sp macro="" textlink="">
      <xdr:nvSpPr>
        <xdr:cNvPr id="8" name="Szövegdoboz 3">
          <a:extLst>
            <a:ext uri="{FF2B5EF4-FFF2-40B4-BE49-F238E27FC236}">
              <a16:creationId xmlns:a16="http://schemas.microsoft.com/office/drawing/2014/main" id="{4F005412-2849-1241-A1BA-316E2FE68402}"/>
            </a:ext>
          </a:extLst>
        </xdr:cNvPr>
        <xdr:cNvSpPr txBox="1"/>
      </xdr:nvSpPr>
      <xdr:spPr>
        <a:xfrm>
          <a:off x="682625" y="3514724"/>
          <a:ext cx="7312026" cy="358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Contrast the financial planning process of traditional companies and commertial banks. </a:t>
          </a:r>
          <a:r>
            <a:rPr lang="hu-HU" sz="1400" b="0">
              <a:latin typeface="Times New Roman" panose="02020603050405020304" pitchFamily="18" charset="0"/>
              <a:cs typeface="Times New Roman" panose="02020603050405020304" pitchFamily="18" charset="0"/>
            </a:rPr>
            <a:t>(10 points)</a:t>
          </a:r>
        </a:p>
        <a:p>
          <a:r>
            <a:rPr lang="hu-HU" sz="1400" b="0">
              <a:latin typeface="Times New Roman" panose="02020603050405020304" pitchFamily="18" charset="0"/>
              <a:cs typeface="Times New Roman" panose="02020603050405020304" pitchFamily="18" charset="0"/>
            </a:rPr>
            <a:t>Valuing commercial banks is a more</a:t>
          </a:r>
          <a:r>
            <a:rPr lang="hu-HU" sz="1400" b="0" baseline="0">
              <a:latin typeface="Times New Roman" panose="02020603050405020304" pitchFamily="18" charset="0"/>
              <a:cs typeface="Times New Roman" panose="02020603050405020304" pitchFamily="18" charset="0"/>
            </a:rPr>
            <a:t> complicated task compared to normal companies, since they have a specific financing and investment structure, since their primary income is from these activities. Also it is a very highly regulated insutry and risk management is specific compared to normal firms which also makes valuation harder. Banks have mostly interest income in contrast to normal firms which may have interest income as other comprehesice income, but they have different main field of operation. Valuing banks can be done mostly by valuing the equity of the bank with the FCFE DCF method. </a:t>
          </a:r>
          <a:endParaRPr lang="hu-HU" sz="1400" b="0">
            <a:latin typeface="Times New Roman" panose="02020603050405020304" pitchFamily="18" charset="0"/>
            <a:cs typeface="Times New Roman" panose="02020603050405020304" pitchFamily="18" charset="0"/>
          </a:endParaRPr>
        </a:p>
      </xdr:txBody>
    </xdr:sp>
    <xdr:clientData/>
  </xdr:twoCellAnchor>
  <xdr:twoCellAnchor>
    <xdr:from>
      <xdr:col>2</xdr:col>
      <xdr:colOff>9524</xdr:colOff>
      <xdr:row>37</xdr:row>
      <xdr:rowOff>38100</xdr:rowOff>
    </xdr:from>
    <xdr:to>
      <xdr:col>8</xdr:col>
      <xdr:colOff>285750</xdr:colOff>
      <xdr:row>42</xdr:row>
      <xdr:rowOff>114300</xdr:rowOff>
    </xdr:to>
    <xdr:sp macro="" textlink="">
      <xdr:nvSpPr>
        <xdr:cNvPr id="9" name="Szövegdoboz 1">
          <a:extLst>
            <a:ext uri="{FF2B5EF4-FFF2-40B4-BE49-F238E27FC236}">
              <a16:creationId xmlns:a16="http://schemas.microsoft.com/office/drawing/2014/main" id="{A41FA757-B397-2243-821D-BFA995E0A815}"/>
            </a:ext>
          </a:extLst>
        </xdr:cNvPr>
        <xdr:cNvSpPr txBox="1"/>
      </xdr:nvSpPr>
      <xdr:spPr>
        <a:xfrm>
          <a:off x="682624" y="2324100"/>
          <a:ext cx="7324726" cy="109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Describe and contrast five approaches used for asset valuation. (10 points)</a:t>
          </a:r>
        </a:p>
      </xdr:txBody>
    </xdr:sp>
    <xdr:clientData/>
  </xdr:twoCellAnchor>
  <xdr:twoCellAnchor>
    <xdr:from>
      <xdr:col>2</xdr:col>
      <xdr:colOff>9525</xdr:colOff>
      <xdr:row>43</xdr:row>
      <xdr:rowOff>9524</xdr:rowOff>
    </xdr:from>
    <xdr:to>
      <xdr:col>8</xdr:col>
      <xdr:colOff>285751</xdr:colOff>
      <xdr:row>60</xdr:row>
      <xdr:rowOff>85724</xdr:rowOff>
    </xdr:to>
    <xdr:sp macro="" textlink="">
      <xdr:nvSpPr>
        <xdr:cNvPr id="10" name="Szövegdoboz 3">
          <a:extLst>
            <a:ext uri="{FF2B5EF4-FFF2-40B4-BE49-F238E27FC236}">
              <a16:creationId xmlns:a16="http://schemas.microsoft.com/office/drawing/2014/main" id="{90DAC75B-325A-A344-B26E-2C34E13315F2}"/>
            </a:ext>
          </a:extLst>
        </xdr:cNvPr>
        <xdr:cNvSpPr txBox="1"/>
      </xdr:nvSpPr>
      <xdr:spPr>
        <a:xfrm>
          <a:off x="682625" y="3514724"/>
          <a:ext cx="7324726" cy="358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hu-HU" sz="1400" b="0" baseline="0">
              <a:latin typeface="Times New Roman" panose="02020603050405020304" pitchFamily="18" charset="0"/>
              <a:cs typeface="Times New Roman" panose="02020603050405020304" pitchFamily="18" charset="0"/>
            </a:rPr>
            <a:t>Describe and contrast five approaches used for asset valuation. (10 points)</a:t>
          </a:r>
        </a:p>
        <a:p>
          <a:endParaRPr lang="en-US"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Asset based method aims to find liquidation value, depends on asset prices, list of valuables.</a:t>
          </a:r>
        </a:p>
        <a:p>
          <a:r>
            <a:rPr lang="en-US" sz="1400">
              <a:solidFill>
                <a:schemeClr val="dk1"/>
              </a:solidFill>
              <a:effectLst/>
              <a:latin typeface="Times New Roman" panose="02020603050405020304" pitchFamily="18" charset="0"/>
              <a:ea typeface="+mn-ea"/>
              <a:cs typeface="Times New Roman" panose="02020603050405020304" pitchFamily="18" charset="0"/>
            </a:rPr>
            <a:t>Asset valuation methods try to capture either the entry price or the exit price of an</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asset in the past</a:t>
          </a:r>
          <a:r>
            <a:rPr lang="en-US" sz="1400" baseline="0">
              <a:solidFill>
                <a:schemeClr val="dk1"/>
              </a:solidFill>
              <a:effectLst/>
              <a:latin typeface="Times New Roman" panose="02020603050405020304" pitchFamily="18" charset="0"/>
              <a:ea typeface="+mn-ea"/>
              <a:cs typeface="Times New Roman" panose="02020603050405020304" pitchFamily="18" charset="0"/>
            </a:rPr>
            <a:t>, </a:t>
          </a:r>
          <a:r>
            <a:rPr lang="en-US" sz="1400">
              <a:solidFill>
                <a:schemeClr val="dk1"/>
              </a:solidFill>
              <a:effectLst/>
              <a:latin typeface="Times New Roman" panose="02020603050405020304" pitchFamily="18" charset="0"/>
              <a:ea typeface="+mn-ea"/>
              <a:cs typeface="Times New Roman" panose="02020603050405020304" pitchFamily="18" charset="0"/>
            </a:rPr>
            <a:t>present or future based on the individual method. Not the same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method should be used for all assets, we have to consider the industy.</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Purchase cost refers to accounting book value as the measure of the value of the assets with</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adjustment to book value where necessary. </a:t>
          </a:r>
        </a:p>
        <a:p>
          <a:r>
            <a:rPr lang="en-US" sz="1400">
              <a:solidFill>
                <a:schemeClr val="dk1"/>
              </a:solidFill>
              <a:effectLst/>
              <a:latin typeface="Times New Roman" panose="02020603050405020304" pitchFamily="18" charset="0"/>
              <a:ea typeface="+mn-ea"/>
              <a:cs typeface="Times New Roman" panose="02020603050405020304" pitchFamily="18" charset="0"/>
            </a:rPr>
            <a:t>- Liquidation value is obtained by aggregating the estimated sale proceeds of the asset owned</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by the firm. (exit price in the present)</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Replacement cost estimates what it would cost you to replace all of the assets that a firm has</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today but focusing on the fuctionality rather than the asset. (entry price in the present)</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Substitution value refers to the cost of repurchase of recreation of an asset (entry price in the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present)</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Net realisable value which includes taxes and transaction fee (present exit price)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DCF calculates the value an asset generates in the future</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Capitalisation</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r>
            <a:rPr lang="en-US" sz="1400">
              <a:solidFill>
                <a:schemeClr val="dk1"/>
              </a:solidFill>
              <a:effectLst/>
              <a:latin typeface="Times New Roman" panose="02020603050405020304" pitchFamily="18" charset="0"/>
              <a:ea typeface="+mn-ea"/>
              <a:cs typeface="Times New Roman" panose="02020603050405020304" pitchFamily="18" charset="0"/>
            </a:rPr>
            <a:t>- Real options (multiple based applied on assets)</a:t>
          </a:r>
          <a:endParaRPr lang="en-IN" sz="1400">
            <a:solidFill>
              <a:schemeClr val="dk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400">
            <a:solidFill>
              <a:schemeClr val="dk1"/>
            </a:solidFill>
            <a:effectLst/>
            <a:latin typeface="Times New Roman" panose="02020603050405020304" pitchFamily="18" charset="0"/>
            <a:ea typeface="+mn-ea"/>
            <a:cs typeface="Times New Roman" panose="02020603050405020304" pitchFamily="18" charset="0"/>
          </a:endParaRPr>
        </a:p>
        <a:p>
          <a:endParaRPr lang="en-IN" sz="14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9524</xdr:colOff>
      <xdr:row>64</xdr:row>
      <xdr:rowOff>38100</xdr:rowOff>
    </xdr:from>
    <xdr:to>
      <xdr:col>8</xdr:col>
      <xdr:colOff>285750</xdr:colOff>
      <xdr:row>69</xdr:row>
      <xdr:rowOff>114300</xdr:rowOff>
    </xdr:to>
    <xdr:sp macro="" textlink="">
      <xdr:nvSpPr>
        <xdr:cNvPr id="11" name="Szövegdoboz 1">
          <a:extLst>
            <a:ext uri="{FF2B5EF4-FFF2-40B4-BE49-F238E27FC236}">
              <a16:creationId xmlns:a16="http://schemas.microsoft.com/office/drawing/2014/main" id="{323131A7-7D3A-BA4D-90A7-BCCD72B037FE}"/>
            </a:ext>
          </a:extLst>
        </xdr:cNvPr>
        <xdr:cNvSpPr txBox="1"/>
      </xdr:nvSpPr>
      <xdr:spPr>
        <a:xfrm>
          <a:off x="682624" y="2032000"/>
          <a:ext cx="7934326"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400" b="1">
              <a:latin typeface="Times New Roman" panose="02020603050405020304" pitchFamily="18" charset="0"/>
              <a:cs typeface="Times New Roman" panose="02020603050405020304" pitchFamily="18" charset="0"/>
            </a:rPr>
            <a:t>Task</a:t>
          </a:r>
          <a:r>
            <a:rPr lang="hu-HU" sz="1400" b="1" baseline="0">
              <a:latin typeface="Times New Roman" panose="02020603050405020304" pitchFamily="18" charset="0"/>
              <a:cs typeface="Times New Roman" panose="02020603050405020304" pitchFamily="18" charset="0"/>
            </a:rPr>
            <a:t> 5</a:t>
          </a:r>
          <a:endParaRPr lang="hu-HU" sz="1400" b="1">
            <a:latin typeface="Times New Roman" panose="02020603050405020304" pitchFamily="18" charset="0"/>
            <a:cs typeface="Times New Roman" panose="02020603050405020304" pitchFamily="18" charset="0"/>
          </a:endParaRPr>
        </a:p>
        <a:p>
          <a:r>
            <a:rPr lang="hu-HU" sz="1400" b="0" baseline="0">
              <a:latin typeface="Times New Roman" panose="02020603050405020304" pitchFamily="18" charset="0"/>
              <a:cs typeface="Times New Roman" panose="02020603050405020304" pitchFamily="18" charset="0"/>
            </a:rPr>
            <a:t>How would you estimate the cost of capital for a privately held SME? Which DCF method would you use to value the company? </a:t>
          </a:r>
          <a:r>
            <a:rPr lang="hu-HU" sz="1400" b="0">
              <a:latin typeface="Times New Roman" panose="02020603050405020304" pitchFamily="18" charset="0"/>
              <a:cs typeface="Times New Roman" panose="02020603050405020304" pitchFamily="18" charset="0"/>
            </a:rPr>
            <a:t>(10 points)</a:t>
          </a:r>
        </a:p>
      </xdr:txBody>
    </xdr:sp>
    <xdr:clientData/>
  </xdr:twoCellAnchor>
  <xdr:twoCellAnchor>
    <xdr:from>
      <xdr:col>2</xdr:col>
      <xdr:colOff>9525</xdr:colOff>
      <xdr:row>70</xdr:row>
      <xdr:rowOff>9524</xdr:rowOff>
    </xdr:from>
    <xdr:to>
      <xdr:col>8</xdr:col>
      <xdr:colOff>285751</xdr:colOff>
      <xdr:row>87</xdr:row>
      <xdr:rowOff>85724</xdr:rowOff>
    </xdr:to>
    <xdr:sp macro="" textlink="">
      <xdr:nvSpPr>
        <xdr:cNvPr id="12" name="Szövegdoboz 3">
          <a:extLst>
            <a:ext uri="{FF2B5EF4-FFF2-40B4-BE49-F238E27FC236}">
              <a16:creationId xmlns:a16="http://schemas.microsoft.com/office/drawing/2014/main" id="{24290482-D42C-FB45-9987-43483D393FE4}"/>
            </a:ext>
          </a:extLst>
        </xdr:cNvPr>
        <xdr:cNvSpPr txBox="1"/>
      </xdr:nvSpPr>
      <xdr:spPr>
        <a:xfrm>
          <a:off x="682625" y="3146424"/>
          <a:ext cx="7934326" cy="337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hu-HU" sz="1400" b="0" baseline="0">
              <a:latin typeface="Times New Roman" panose="02020603050405020304" pitchFamily="18" charset="0"/>
              <a:cs typeface="Times New Roman" panose="02020603050405020304" pitchFamily="18" charset="0"/>
            </a:rPr>
            <a:t>How would you estimate the cost of capital for a privately held SME? Which DCF method would you use to value the company? </a:t>
          </a:r>
          <a:r>
            <a:rPr lang="hu-HU" sz="1400" b="0">
              <a:latin typeface="Times New Roman" panose="02020603050405020304" pitchFamily="18" charset="0"/>
              <a:cs typeface="Times New Roman" panose="02020603050405020304" pitchFamily="18" charset="0"/>
            </a:rPr>
            <a:t>(10 points)</a:t>
          </a:r>
        </a:p>
        <a:p>
          <a:r>
            <a:rPr lang="hu-HU" sz="1400" b="0">
              <a:latin typeface="Times New Roman" panose="02020603050405020304" pitchFamily="18" charset="0"/>
              <a:cs typeface="Times New Roman" panose="02020603050405020304" pitchFamily="18" charset="0"/>
            </a:rPr>
            <a:t>First we would need to make sure that the CF matches the cost of capital (in currency, maturity, risk...). We would need to estiamte the cost of debt and equity seperatly. We could estimate the cost of debt from implied debt return of own or similar firms’ bonds, historical regressions, (implied) credit rating, but most likely in case of an SME, looking at the former and existing debt contracts is the best way to do it. For the equity, we could do a regression methods (CAPM, APT) or a built-up method (where we estimate a risk free return from government bods for instance and then add market, industry, size and other firm specific risk premiums), but again in case of an SME maybe the simplest way is the best, and we could estimate it by gathering the expectations in an interview with the owner.</a:t>
          </a:r>
          <a:br>
            <a:rPr lang="hu-HU" sz="1400" b="0">
              <a:latin typeface="Times New Roman" panose="02020603050405020304" pitchFamily="18" charset="0"/>
              <a:cs typeface="Times New Roman" panose="02020603050405020304" pitchFamily="18" charset="0"/>
            </a:rPr>
          </a:br>
          <a:r>
            <a:rPr lang="hu-HU" sz="1400" b="0">
              <a:latin typeface="Times New Roman" panose="02020603050405020304" pitchFamily="18" charset="0"/>
              <a:cs typeface="Times New Roman" panose="02020603050405020304" pitchFamily="18" charset="0"/>
            </a:rPr>
            <a:t>The best DCF method might be an APV, estimating the cost of capital could be difficult in this case.</a:t>
          </a:r>
        </a:p>
        <a:p>
          <a:endParaRPr lang="hu-HU" sz="1400" b="0">
            <a:latin typeface="Times New Roman" panose="02020603050405020304" pitchFamily="18" charset="0"/>
            <a:cs typeface="Times New Roman" panose="020206030504050203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Adam Balassa" id="{A2DAEA7D-DBCC-9E40-BCFF-9F7F243D52C3}" userId="d57ff8ca614d3e32" providerId="Windows Live"/>
  <person displayName="Pustoselova Kristina" id="{B70A5805-332F-2E4A-8D72-0DC3CCDFF99F}" userId="S::kristina.pustoselova@stud.uni-corvinus.hu::de50e634-225d-48c0-a822-5e13b36e7f3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Z20" dT="2023-12-12T15:48:14.53" personId="{B70A5805-332F-2E4A-8D72-0DC3CCDFF99F}" id="{B8DC0B82-EE46-4042-B787-FE6EA934A856}">
    <text xml:space="preserve">Post additional investmen tin year 2 of 100
</text>
  </threadedComment>
  <threadedComment ref="AA20" dT="2023-12-12T15:03:30.00" personId="{B70A5805-332F-2E4A-8D72-0DC3CCDFF99F}" id="{2EDF158C-C230-B44C-9A07-EEE80C31C289}">
    <text xml:space="preserve">4 years (6 yeat -2 years=T-t)
</text>
  </threadedComment>
  <threadedComment ref="W23" dT="2023-12-12T15:50:13.87" personId="{B70A5805-332F-2E4A-8D72-0DC3CCDFF99F}" id="{63FCEE55-AE2D-AA4F-9919-11341E814BDD}">
    <text xml:space="preserve">Cleared from investment of 70
</text>
  </threadedComment>
  <threadedComment ref="Z23" dT="2023-12-12T15:48:50.14" personId="{B70A5805-332F-2E4A-8D72-0DC3CCDFF99F}" id="{CF4BD2F0-EA05-AB4B-83EA-16D03792BA9F}">
    <text xml:space="preserve">Cleared from 100 investment in year 2
</text>
  </threadedComment>
  <threadedComment ref="AE24" dT="2023-12-12T15:01:42.66" personId="{B70A5805-332F-2E4A-8D72-0DC3CCDFF99F}" id="{C812A0C2-4729-4A4B-A9D9-A9E90393A5EA}">
    <text xml:space="preserve">Equity in 6 years
</text>
  </threadedComment>
  <threadedComment ref="G25" dT="2023-12-12T15:37:50.28" personId="{A2DAEA7D-DBCC-9E40-BCFF-9F7F243D52C3}" id="{614A0287-A9C7-F14C-AC4A-CDA559191F64}">
    <text>% gain in ownership only from year 2 investment</text>
  </threadedComment>
  <threadedComment ref="Z25" dT="2023-12-12T15:35:49.65" personId="{B70A5805-332F-2E4A-8D72-0DC3CCDFF99F}" id="{F863DF87-ECBE-574D-B8C9-7102B4235153}">
    <text>In year 6 it will be the same cuz there are no additonal investments</text>
  </threadedComment>
  <threadedComment ref="W26" dT="2023-12-12T15:49:31.42" personId="{B70A5805-332F-2E4A-8D72-0DC3CCDFF99F}" id="{239C943A-C84F-3D4D-AC35-C989E55B5133}">
    <text xml:space="preserve">After 70 invesement pre money of year two discounted to money value of year 0
</text>
  </threadedComment>
  <threadedComment ref="AE26" dT="2023-12-12T15:35:49.65" personId="{B70A5805-332F-2E4A-8D72-0DC3CCDFF99F}" id="{0603C9D7-F9F6-CF40-AF11-416C73186D11}">
    <text>In year 6 it will be the same cuz there are no additonal investments</text>
  </threadedComment>
  <threadedComment ref="G27" dT="2023-12-12T15:39:04.89" personId="{A2DAEA7D-DBCC-9E40-BCFF-9F7F243D52C3}" id="{098C4DB8-50E6-D44C-A5B1-69C78D5D0A9F}">
    <text>Share of the ownership from the year 1 investor, it this and the G25 investor is the same person then he has 56% ownership</text>
  </threadedComment>
  <threadedComment ref="X27" dT="2023-12-12T14:56:46.75" personId="{B70A5805-332F-2E4A-8D72-0DC3CCDFF99F}" id="{ACDD121B-46CA-0241-A199-1DA87906CEE0}">
    <text xml:space="preserve">Probability of succeeding </text>
  </threadedComment>
  <threadedComment ref="C28" dT="2023-12-30T15:02:50.04" personId="{A2DAEA7D-DBCC-9E40-BCFF-9F7F243D52C3}" id="{651290FF-00D8-D247-8169-C172DAED8958}">
    <text xml:space="preserve">Solverezett érték
</text>
  </threadedComment>
  <threadedComment ref="V28" dT="2023-12-12T15:06:33.97" personId="{B70A5805-332F-2E4A-8D72-0DC3CCDFF99F}" id="{92A2F918-3EE8-6648-B539-B7FC93D7F021}">
    <text xml:space="preserve">If we fail one year we liquidate 90% - 18
</text>
  </threadedComment>
  <threadedComment ref="E30" dT="2023-12-12T14:56:43.28" personId="{A2DAEA7D-DBCC-9E40-BCFF-9F7F243D52C3}" id="{46B0A127-0E27-1A4E-99AE-BB94BC5C5D54}">
    <text>Probability of failure</text>
  </threadedComment>
  <threadedComment ref="W30" dT="2023-12-12T15:27:47.48" personId="{B70A5805-332F-2E4A-8D72-0DC3CCDFF99F}" id="{CDCC00EF-96F6-4B44-A970-F7C17993B5C0}">
    <text xml:space="preserve">Stake guess was put randomly, we have used solved by setting the difference of two guessed stakes at 0 by adjusting value of the first random stake 
</text>
  </threadedComment>
  <threadedComment ref="X30" dT="2023-12-12T14:56:23.20" personId="{B70A5805-332F-2E4A-8D72-0DC3CCDFF99F}" id="{C3875140-7751-154C-A17F-4705627686AA}">
    <text xml:space="preserve">Probability of failing
</text>
  </threadedComment>
  <threadedComment ref="U31" dT="2023-12-12T15:37:16.52" personId="{B70A5805-332F-2E4A-8D72-0DC3CCDFF99F}" id="{BF8B11F2-C53D-9346-94D7-E65FFF28F1C9}">
    <text xml:space="preserve">Founders stake decreased from 46% to 33% in the year two because of the loan investment, but in the year 6 it doesn’t change because there are no extra invesments
</text>
  </threadedComment>
  <threadedComment ref="B36" dT="2023-12-12T15:17:48.69" personId="{A2DAEA7D-DBCC-9E40-BCFF-9F7F243D52C3}" id="{E2F279C9-770A-5247-9BCA-DA65274EDE88}">
    <text>O4-ben levő formula átrendezve</text>
  </threadedComment>
  <threadedComment ref="C36" dT="2023-12-12T15:35:36.64" personId="{A2DAEA7D-DBCC-9E40-BCFF-9F7F243D52C3}" id="{C79F0B1F-341A-864C-9B60-CB430EFAF6F0}">
    <text>1) point answer</text>
  </threadedComment>
  <threadedComment ref="AX39" dT="2023-12-12T15:48:14.53" personId="{B70A5805-332F-2E4A-8D72-0DC3CCDFF99F}" id="{27026B07-13A0-E74F-BF1D-27776B8332EB}">
    <text xml:space="preserve">Post additional investmen tin year 2 of 100
</text>
  </threadedComment>
  <threadedComment ref="AY39" dT="2023-12-12T15:03:30.00" personId="{B70A5805-332F-2E4A-8D72-0DC3CCDFF99F}" id="{B7015691-B4D8-374A-A491-68963C5ABF08}">
    <text xml:space="preserve">4 years (6 yeat -2 years=T-t)
</text>
  </threadedComment>
  <threadedComment ref="AU42" dT="2023-12-12T15:50:13.87" personId="{B70A5805-332F-2E4A-8D72-0DC3CCDFF99F}" id="{E7CFC42C-F025-2440-85EA-94EB95167407}">
    <text xml:space="preserve">Cleared from investment of 70
</text>
  </threadedComment>
  <threadedComment ref="AX42" dT="2023-12-12T15:48:50.14" personId="{B70A5805-332F-2E4A-8D72-0DC3CCDFF99F}" id="{C52BF9A0-9DDC-7044-8485-BCE3C89CB7B9}">
    <text xml:space="preserve">Cleared from 100 investment in year 2
</text>
  </threadedComment>
  <threadedComment ref="BC43" dT="2023-12-12T15:01:42.66" personId="{B70A5805-332F-2E4A-8D72-0DC3CCDFF99F}" id="{98C99CD2-B6DF-9A4D-AF63-86542525764D}">
    <text xml:space="preserve">Equity in 6 years
</text>
  </threadedComment>
  <threadedComment ref="AX44" dT="2023-12-12T15:35:49.65" personId="{B70A5805-332F-2E4A-8D72-0DC3CCDFF99F}" id="{F1DFD01D-F2E7-0A45-B8F5-FE337E264F90}">
    <text>In year 6 it will be the same cuz there are no additonal investments</text>
  </threadedComment>
  <threadedComment ref="G45" dT="2023-12-12T15:37:50.28" personId="{A2DAEA7D-DBCC-9E40-BCFF-9F7F243D52C3}" id="{8D22EA89-2285-9146-83AF-03B010BE63F9}">
    <text>% gain in ownership only from year 2 investment</text>
  </threadedComment>
  <threadedComment ref="AU45" dT="2023-12-12T15:49:31.42" personId="{B70A5805-332F-2E4A-8D72-0DC3CCDFF99F}" id="{AA22E832-3B1B-614A-BCB8-343081D527C7}">
    <text xml:space="preserve">After 70 invesement pre money of year two discounted to money value of year 0
</text>
  </threadedComment>
  <threadedComment ref="BC45" dT="2023-12-12T15:35:49.65" personId="{B70A5805-332F-2E4A-8D72-0DC3CCDFF99F}" id="{42A07ACE-6711-0A48-A1DE-12222E424FC8}">
    <text>In year 6 it will be the same cuz there are no additonal investments</text>
  </threadedComment>
  <threadedComment ref="AV46" dT="2023-12-12T14:56:46.75" personId="{B70A5805-332F-2E4A-8D72-0DC3CCDFF99F}" id="{0FB97FA9-EA88-3647-8B26-2C2DC8EDBB80}">
    <text xml:space="preserve">Probability of succeeding </text>
  </threadedComment>
  <threadedComment ref="G47" dT="2023-12-12T15:39:04.89" personId="{A2DAEA7D-DBCC-9E40-BCFF-9F7F243D52C3}" id="{7E7CCE69-57C0-A344-8DA6-89D521849840}">
    <text>Share of the ownership from the year 1 investor, it this and the G25 investor is the same person then he has 56% ownership</text>
  </threadedComment>
  <threadedComment ref="AT47" dT="2023-12-12T15:06:33.97" personId="{B70A5805-332F-2E4A-8D72-0DC3CCDFF99F}" id="{93460F23-D004-3843-A5D3-F323463AEEC5}">
    <text xml:space="preserve">If we fail one year we liquidate 90% - 18
</text>
  </threadedComment>
  <threadedComment ref="C48" dT="2023-12-30T15:02:50.04" personId="{A2DAEA7D-DBCC-9E40-BCFF-9F7F243D52C3}" id="{EA9285AD-4938-8447-AB6B-F2191706D1E4}">
    <text xml:space="preserve">Solverezett érték
</text>
  </threadedComment>
  <threadedComment ref="AU49" dT="2023-12-12T15:27:47.48" personId="{B70A5805-332F-2E4A-8D72-0DC3CCDFF99F}" id="{A4637B19-AD79-C24B-9D04-ADA9271B6D95}">
    <text xml:space="preserve">Stake guess was put randomly, we have used solved by setting the difference of two guessed stakes at 0 by adjusting value of the first random stake 
</text>
  </threadedComment>
  <threadedComment ref="AV49" dT="2023-12-12T14:56:23.20" personId="{B70A5805-332F-2E4A-8D72-0DC3CCDFF99F}" id="{4C917A83-B29F-B749-955C-285906365C8A}">
    <text xml:space="preserve">Probability of failing
</text>
  </threadedComment>
  <threadedComment ref="E50" dT="2023-12-12T14:56:43.28" personId="{A2DAEA7D-DBCC-9E40-BCFF-9F7F243D52C3}" id="{05EFD8EF-9984-574E-A82E-9617E49A72E4}">
    <text>Probability of failure</text>
  </threadedComment>
  <threadedComment ref="AS50" dT="2023-12-12T15:37:16.52" personId="{B70A5805-332F-2E4A-8D72-0DC3CCDFF99F}" id="{A56597BB-0EC1-1E45-9348-4F753697F7C1}">
    <text xml:space="preserve">Founders stake decreased from 46% to 33% in the year two because of the loan investment, but in the year 6 it doesn’t change because there are no extra invesments
</text>
  </threadedComment>
  <threadedComment ref="B56" dT="2023-12-12T15:17:48.69" personId="{A2DAEA7D-DBCC-9E40-BCFF-9F7F243D52C3}" id="{E4320290-CF24-F448-BB89-22B37B2D28AF}">
    <text>O4-ben levő formula átrendezve</text>
  </threadedComment>
  <threadedComment ref="C56" dT="2023-12-12T15:35:36.64" personId="{A2DAEA7D-DBCC-9E40-BCFF-9F7F243D52C3}" id="{051F7C18-6AEF-EF46-A25B-D5395BE2BC31}">
    <text>1) point answer</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BD-DECA-4097-9804-D82621A13861}">
  <sheetPr codeName="Munka2">
    <tabColor rgb="FF7030A0"/>
  </sheetPr>
  <dimension ref="A1"/>
  <sheetViews>
    <sheetView showGridLines="0" tabSelected="1" workbookViewId="0">
      <selection activeCell="I32" sqref="I32"/>
    </sheetView>
  </sheetViews>
  <sheetFormatPr defaultColWidth="8.796875" defaultRowHeight="15.6"/>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C0D39-D3DB-4713-8991-75511A3E78C9}">
  <sheetPr codeName="Munka3"/>
  <dimension ref="C9:I20"/>
  <sheetViews>
    <sheetView showGridLines="0" workbookViewId="0">
      <selection activeCell="D14" sqref="D14"/>
    </sheetView>
  </sheetViews>
  <sheetFormatPr defaultColWidth="8.796875" defaultRowHeight="15.6"/>
  <cols>
    <col min="3" max="3" width="27.296875" bestFit="1" customWidth="1"/>
    <col min="4" max="4" width="32.69921875" bestFit="1" customWidth="1"/>
    <col min="9" max="9" width="25.296875" bestFit="1" customWidth="1"/>
    <col min="10" max="10" width="12.69921875" bestFit="1" customWidth="1"/>
  </cols>
  <sheetData>
    <row r="9" spans="3:9" ht="34.799999999999997">
      <c r="C9" s="249" t="s">
        <v>0</v>
      </c>
      <c r="D9" s="249"/>
      <c r="E9" s="5"/>
      <c r="F9" s="5"/>
      <c r="G9" s="5"/>
    </row>
    <row r="10" spans="3:9" ht="34.799999999999997">
      <c r="C10" s="249"/>
      <c r="D10" s="249"/>
      <c r="E10" s="5"/>
      <c r="F10" s="5"/>
      <c r="G10" s="5"/>
    </row>
    <row r="11" spans="3:9" ht="22.8">
      <c r="C11" s="4"/>
      <c r="D11" s="4"/>
      <c r="G11" s="7"/>
    </row>
    <row r="12" spans="3:9" ht="22.8">
      <c r="C12" s="4" t="s">
        <v>1</v>
      </c>
      <c r="D12" s="35">
        <v>45272</v>
      </c>
    </row>
    <row r="13" spans="3:9" ht="22.8">
      <c r="C13" s="4" t="s">
        <v>2</v>
      </c>
      <c r="D13" s="26"/>
      <c r="I13" s="30" t="s">
        <v>3</v>
      </c>
    </row>
    <row r="14" spans="3:9" ht="22.8">
      <c r="C14" s="4" t="s">
        <v>4</v>
      </c>
      <c r="D14" s="26"/>
      <c r="I14" s="30" t="s">
        <v>5</v>
      </c>
    </row>
    <row r="15" spans="3:9" ht="22.8">
      <c r="C15" s="4"/>
      <c r="D15" s="6"/>
      <c r="I15" s="30"/>
    </row>
    <row r="16" spans="3:9" ht="22.8">
      <c r="C16" s="4" t="s">
        <v>6</v>
      </c>
      <c r="D16" s="32" t="s">
        <v>3</v>
      </c>
    </row>
    <row r="17" spans="3:4" ht="22.8">
      <c r="C17" s="4" t="s">
        <v>7</v>
      </c>
      <c r="D17" s="7" t="s">
        <v>8</v>
      </c>
    </row>
    <row r="18" spans="3:4" ht="22.8">
      <c r="D18" s="7"/>
    </row>
    <row r="19" spans="3:4" ht="22.8">
      <c r="D19" s="7"/>
    </row>
    <row r="20" spans="3:4" ht="22.8">
      <c r="C20" s="4" t="s">
        <v>9</v>
      </c>
      <c r="D20" s="8">
        <f>+BCF!C9+'Asset Val.'!C9+Theory!C9+'M&amp;A'!C9+DCF!C9+'Bonus Task CoE'!C9</f>
        <v>0</v>
      </c>
    </row>
  </sheetData>
  <sheetProtection selectLockedCells="1"/>
  <mergeCells count="2">
    <mergeCell ref="C9:D9"/>
    <mergeCell ref="C10:D10"/>
  </mergeCells>
  <phoneticPr fontId="9" type="noConversion"/>
  <dataValidations count="1">
    <dataValidation allowBlank="1" showInputMessage="1" showErrorMessage="1" errorTitle="Ilyen csoport nincsen!" error="Kérem, a felsorolásból válasszon!" promptTitle="Válassza ki a csoportját!" sqref="D16" xr:uid="{E7C1251C-1580-42F2-91B9-E2C0C2F99FBF}"/>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24AA-CF15-465A-AA1F-31C1352C6464}">
  <sheetPr codeName="Munka4">
    <tabColor rgb="FFFFFF00"/>
  </sheetPr>
  <dimension ref="B1:L89"/>
  <sheetViews>
    <sheetView zoomScaleNormal="100" workbookViewId="0">
      <selection activeCell="A58" sqref="A58"/>
    </sheetView>
  </sheetViews>
  <sheetFormatPr defaultColWidth="8.796875" defaultRowHeight="15.6"/>
  <cols>
    <col min="2" max="2" width="19.796875" bestFit="1" customWidth="1"/>
    <col min="3" max="3" width="37.19921875" bestFit="1" customWidth="1"/>
    <col min="4" max="4" width="9.296875" bestFit="1" customWidth="1"/>
    <col min="5" max="5" width="16.796875" customWidth="1"/>
    <col min="6" max="6" width="17.5" customWidth="1"/>
  </cols>
  <sheetData>
    <row r="1" spans="2:3" ht="16.2" thickBot="1"/>
    <row r="2" spans="2:3" ht="18">
      <c r="B2" s="9" t="str">
        <f>+Admin!C12</f>
        <v>Date</v>
      </c>
      <c r="C2" s="34">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17" spans="3:12" ht="16.2" thickBot="1"/>
    <row r="18" spans="3:12" ht="16.2" thickBot="1">
      <c r="C18" s="17"/>
      <c r="D18" s="18">
        <f ca="1">+E18-1</f>
        <v>2021</v>
      </c>
      <c r="E18" s="18">
        <f ca="1">+F18-1</f>
        <v>2022</v>
      </c>
      <c r="F18" s="18">
        <f ca="1">+YEAR(TODAY())-1</f>
        <v>2023</v>
      </c>
      <c r="I18" s="17"/>
      <c r="J18" s="18">
        <f ca="1">+K18-1</f>
        <v>2021</v>
      </c>
      <c r="K18" s="18">
        <f ca="1">+L18-1</f>
        <v>2022</v>
      </c>
      <c r="L18" s="18">
        <f ca="1">+YEAR(TODAY())-1</f>
        <v>2023</v>
      </c>
    </row>
    <row r="19" spans="3:12" ht="16.2" thickBot="1">
      <c r="C19" s="19" t="s">
        <v>11</v>
      </c>
      <c r="D19" s="22">
        <v>19000</v>
      </c>
      <c r="E19" s="22">
        <v>22000</v>
      </c>
      <c r="F19" s="22">
        <v>25000</v>
      </c>
      <c r="I19" s="19" t="s">
        <v>11</v>
      </c>
      <c r="J19" s="22">
        <v>19000</v>
      </c>
      <c r="K19" s="22">
        <v>22000</v>
      </c>
      <c r="L19" s="22">
        <v>25000</v>
      </c>
    </row>
    <row r="20" spans="3:12" ht="16.2" thickBot="1">
      <c r="C20" s="19" t="s">
        <v>12</v>
      </c>
      <c r="D20" s="22">
        <v>0</v>
      </c>
      <c r="E20" s="22">
        <v>500</v>
      </c>
      <c r="F20" s="22">
        <v>0</v>
      </c>
      <c r="I20" s="19" t="s">
        <v>12</v>
      </c>
      <c r="J20" s="22">
        <v>0</v>
      </c>
      <c r="K20" s="22">
        <v>500</v>
      </c>
      <c r="L20" s="22">
        <v>0</v>
      </c>
    </row>
    <row r="21" spans="3:12" ht="16.2" thickBot="1">
      <c r="C21" s="19" t="s">
        <v>13</v>
      </c>
      <c r="D21" s="22">
        <v>10000</v>
      </c>
      <c r="E21" s="22">
        <v>12000</v>
      </c>
      <c r="F21" s="22">
        <v>13000</v>
      </c>
      <c r="I21" s="19" t="s">
        <v>13</v>
      </c>
      <c r="J21" s="22">
        <v>10000</v>
      </c>
      <c r="K21" s="22">
        <v>12000</v>
      </c>
      <c r="L21" s="22">
        <v>13000</v>
      </c>
    </row>
    <row r="22" spans="3:12" ht="16.2" thickBot="1">
      <c r="C22" s="19" t="s">
        <v>14</v>
      </c>
      <c r="D22" s="22">
        <v>5000</v>
      </c>
      <c r="E22" s="22">
        <v>6000</v>
      </c>
      <c r="F22" s="22">
        <v>7000</v>
      </c>
      <c r="I22" s="19" t="s">
        <v>14</v>
      </c>
      <c r="J22" s="22">
        <v>5000</v>
      </c>
      <c r="K22" s="22">
        <v>6000</v>
      </c>
      <c r="L22" s="22">
        <v>7000</v>
      </c>
    </row>
    <row r="23" spans="3:12" ht="16.2" thickBot="1">
      <c r="C23" s="19" t="s">
        <v>15</v>
      </c>
      <c r="D23" s="22">
        <v>2000</v>
      </c>
      <c r="E23" s="22">
        <v>2300</v>
      </c>
      <c r="F23" s="22">
        <v>2500</v>
      </c>
      <c r="I23" s="19" t="s">
        <v>15</v>
      </c>
      <c r="J23" s="22">
        <v>2000</v>
      </c>
      <c r="K23" s="22">
        <v>2300</v>
      </c>
      <c r="L23" s="22">
        <v>2500</v>
      </c>
    </row>
    <row r="24" spans="3:12" ht="16.2" thickBot="1">
      <c r="C24" s="20" t="s">
        <v>16</v>
      </c>
      <c r="D24" s="23">
        <f>+D19+D20-D21-D22-D23</f>
        <v>2000</v>
      </c>
      <c r="E24" s="23">
        <f t="shared" ref="E24:F24" si="0">+E19+E20-E21-E22-E23</f>
        <v>2200</v>
      </c>
      <c r="F24" s="23">
        <f t="shared" si="0"/>
        <v>2500</v>
      </c>
      <c r="I24" s="20" t="s">
        <v>16</v>
      </c>
      <c r="J24" s="23">
        <f>+J19+J20-J21-J22-J23</f>
        <v>2000</v>
      </c>
      <c r="K24" s="23">
        <f t="shared" ref="K24:L24" si="1">+K19+K20-K21-K22-K23</f>
        <v>2200</v>
      </c>
      <c r="L24" s="23">
        <f t="shared" si="1"/>
        <v>2500</v>
      </c>
    </row>
    <row r="25" spans="3:12" ht="16.2" thickBot="1">
      <c r="C25" s="19" t="s">
        <v>17</v>
      </c>
      <c r="D25" s="22">
        <v>100</v>
      </c>
      <c r="E25" s="22">
        <v>60</v>
      </c>
      <c r="F25" s="22">
        <v>0</v>
      </c>
      <c r="I25" s="132" t="s">
        <v>17</v>
      </c>
      <c r="J25" s="133">
        <v>100</v>
      </c>
      <c r="K25" s="133">
        <v>60</v>
      </c>
      <c r="L25" s="133">
        <v>0</v>
      </c>
    </row>
    <row r="26" spans="3:12" ht="16.2" thickBot="1">
      <c r="C26" s="19" t="s">
        <v>18</v>
      </c>
      <c r="D26" s="22">
        <v>0</v>
      </c>
      <c r="E26" s="22">
        <v>0</v>
      </c>
      <c r="F26" s="22">
        <v>10</v>
      </c>
      <c r="I26" s="132" t="s">
        <v>18</v>
      </c>
      <c r="J26" s="133">
        <v>0</v>
      </c>
      <c r="K26" s="133">
        <v>0</v>
      </c>
      <c r="L26" s="133">
        <v>10</v>
      </c>
    </row>
    <row r="27" spans="3:12" ht="16.2" thickBot="1">
      <c r="C27" s="19" t="s">
        <v>19</v>
      </c>
      <c r="D27" s="22">
        <v>30</v>
      </c>
      <c r="E27" s="22">
        <v>20</v>
      </c>
      <c r="F27" s="22">
        <v>10</v>
      </c>
      <c r="I27" s="19" t="s">
        <v>19</v>
      </c>
      <c r="J27" s="22">
        <v>30</v>
      </c>
      <c r="K27" s="22">
        <v>20</v>
      </c>
      <c r="L27" s="22">
        <v>10</v>
      </c>
    </row>
    <row r="28" spans="3:12" ht="16.2" thickBot="1">
      <c r="C28" s="19" t="s">
        <v>20</v>
      </c>
      <c r="D28" s="22">
        <v>200</v>
      </c>
      <c r="E28" s="22">
        <v>250</v>
      </c>
      <c r="F28" s="22">
        <v>300</v>
      </c>
      <c r="I28" s="19" t="s">
        <v>20</v>
      </c>
      <c r="J28" s="22">
        <v>200</v>
      </c>
      <c r="K28" s="22">
        <v>250</v>
      </c>
      <c r="L28" s="22">
        <v>300</v>
      </c>
    </row>
    <row r="29" spans="3:12" ht="16.2" thickBot="1">
      <c r="C29" s="20" t="s">
        <v>21</v>
      </c>
      <c r="D29" s="23">
        <f t="shared" ref="D29" si="2">+D25+D26-D27-D28</f>
        <v>-130</v>
      </c>
      <c r="E29" s="23">
        <f>+E25+E26-E27-E28</f>
        <v>-210</v>
      </c>
      <c r="F29" s="23">
        <f>+F25+F26-F27-F28</f>
        <v>-300</v>
      </c>
      <c r="I29" s="20" t="s">
        <v>21</v>
      </c>
      <c r="J29" s="23">
        <f t="shared" ref="J29" si="3">+J25+J26-J27-J28</f>
        <v>-130</v>
      </c>
      <c r="K29" s="23">
        <f>+K25+K26-K27-K28</f>
        <v>-210</v>
      </c>
      <c r="L29" s="23">
        <f>+L25+L26-L27-L28</f>
        <v>-300</v>
      </c>
    </row>
    <row r="30" spans="3:12" ht="16.2" thickBot="1">
      <c r="C30" s="19" t="s">
        <v>22</v>
      </c>
      <c r="D30" s="22">
        <f>+D29+D24</f>
        <v>1870</v>
      </c>
      <c r="E30" s="22">
        <f>+E29+E24</f>
        <v>1990</v>
      </c>
      <c r="F30" s="22">
        <f t="shared" ref="F30" si="4">+F29+F24</f>
        <v>2200</v>
      </c>
      <c r="I30" s="19" t="s">
        <v>22</v>
      </c>
      <c r="J30" s="22">
        <f>+J29+J24</f>
        <v>1870</v>
      </c>
      <c r="K30" s="22">
        <f>+K29+K24</f>
        <v>1990</v>
      </c>
      <c r="L30" s="22">
        <f t="shared" ref="L30" si="5">+L29+L24</f>
        <v>2200</v>
      </c>
    </row>
    <row r="31" spans="3:12" ht="16.2" thickBot="1">
      <c r="C31" s="19" t="s">
        <v>23</v>
      </c>
      <c r="D31" s="22">
        <v>300</v>
      </c>
      <c r="E31" s="22">
        <v>330</v>
      </c>
      <c r="F31" s="22">
        <v>370</v>
      </c>
      <c r="I31" s="19" t="s">
        <v>23</v>
      </c>
      <c r="J31" s="22">
        <v>300</v>
      </c>
      <c r="K31" s="22">
        <v>330</v>
      </c>
      <c r="L31" s="22">
        <v>370</v>
      </c>
    </row>
    <row r="32" spans="3:12" ht="16.2" thickBot="1">
      <c r="C32" s="20" t="s">
        <v>24</v>
      </c>
      <c r="D32" s="23">
        <f>+D30-D31</f>
        <v>1570</v>
      </c>
      <c r="E32" s="23">
        <f t="shared" ref="E32:F32" si="6">+E30-E31</f>
        <v>1660</v>
      </c>
      <c r="F32" s="23">
        <f t="shared" si="6"/>
        <v>1830</v>
      </c>
      <c r="I32" s="20" t="s">
        <v>24</v>
      </c>
      <c r="J32" s="23">
        <f>+J30-J31</f>
        <v>1570</v>
      </c>
      <c r="K32" s="23">
        <f t="shared" ref="K32:L32" si="7">+K30-K31</f>
        <v>1660</v>
      </c>
      <c r="L32" s="23">
        <f t="shared" si="7"/>
        <v>1830</v>
      </c>
    </row>
    <row r="33" spans="3:12" ht="16.2" thickBot="1">
      <c r="C33" s="19" t="s">
        <v>25</v>
      </c>
      <c r="D33" s="22">
        <v>1000</v>
      </c>
      <c r="E33" s="22">
        <v>1200</v>
      </c>
      <c r="F33" s="22">
        <v>1400</v>
      </c>
      <c r="I33" s="19" t="s">
        <v>25</v>
      </c>
      <c r="J33" s="22">
        <v>1000</v>
      </c>
      <c r="K33" s="22">
        <v>1200</v>
      </c>
      <c r="L33" s="22">
        <v>1400</v>
      </c>
    </row>
    <row r="34" spans="3:12" ht="16.2" thickBot="1">
      <c r="C34" s="19" t="s">
        <v>26</v>
      </c>
      <c r="D34" s="22">
        <f>+D32-D33</f>
        <v>570</v>
      </c>
      <c r="E34" s="22">
        <f t="shared" ref="E34:F34" si="8">+E32-E33</f>
        <v>460</v>
      </c>
      <c r="F34" s="22">
        <f t="shared" si="8"/>
        <v>430</v>
      </c>
      <c r="I34" s="19" t="s">
        <v>26</v>
      </c>
      <c r="J34" s="22">
        <f>+J32-J33</f>
        <v>570</v>
      </c>
      <c r="K34" s="22">
        <f t="shared" ref="K34:L34" si="9">+K32-K33</f>
        <v>460</v>
      </c>
      <c r="L34" s="22">
        <f t="shared" si="9"/>
        <v>430</v>
      </c>
    </row>
    <row r="35" spans="3:12" ht="16.2" thickBot="1">
      <c r="C35" s="21"/>
      <c r="D35" s="24"/>
      <c r="E35" s="24"/>
      <c r="F35" s="24"/>
      <c r="I35" s="21"/>
      <c r="J35" s="24"/>
      <c r="K35" s="24"/>
      <c r="L35" s="24"/>
    </row>
    <row r="36" spans="3:12" ht="16.2" thickBot="1">
      <c r="C36" s="19" t="s">
        <v>27</v>
      </c>
      <c r="D36" s="22">
        <v>500</v>
      </c>
      <c r="E36" s="22">
        <v>600</v>
      </c>
      <c r="F36" s="22">
        <v>400</v>
      </c>
      <c r="I36" s="19" t="s">
        <v>27</v>
      </c>
      <c r="J36" s="22">
        <v>500</v>
      </c>
      <c r="K36" s="22">
        <v>600</v>
      </c>
      <c r="L36" s="22">
        <v>400</v>
      </c>
    </row>
    <row r="37" spans="3:12" ht="16.2" thickBot="1">
      <c r="C37" s="19" t="s">
        <v>28</v>
      </c>
      <c r="D37" s="22">
        <v>200</v>
      </c>
      <c r="E37" s="22">
        <v>220</v>
      </c>
      <c r="F37" s="22">
        <v>250</v>
      </c>
      <c r="I37" s="132" t="s">
        <v>28</v>
      </c>
      <c r="J37" s="133">
        <v>200</v>
      </c>
      <c r="K37" s="133">
        <v>220</v>
      </c>
      <c r="L37" s="133">
        <v>250</v>
      </c>
    </row>
    <row r="38" spans="3:12" ht="16.2" thickBot="1">
      <c r="C38" s="19" t="s">
        <v>29</v>
      </c>
      <c r="D38" s="22">
        <v>0</v>
      </c>
      <c r="E38" s="22">
        <v>50</v>
      </c>
      <c r="F38" s="22">
        <v>40</v>
      </c>
      <c r="I38" s="132" t="s">
        <v>29</v>
      </c>
      <c r="J38" s="133">
        <v>0</v>
      </c>
      <c r="K38" s="133">
        <v>50</v>
      </c>
      <c r="L38" s="133">
        <v>40</v>
      </c>
    </row>
    <row r="39" spans="3:12" ht="16.2" thickBot="1">
      <c r="C39" s="19" t="s">
        <v>30</v>
      </c>
      <c r="D39" s="22">
        <v>600</v>
      </c>
      <c r="E39" s="22">
        <v>800</v>
      </c>
      <c r="F39" s="22">
        <v>1000</v>
      </c>
      <c r="I39" s="19" t="s">
        <v>30</v>
      </c>
      <c r="J39" s="22">
        <v>600</v>
      </c>
      <c r="K39" s="22">
        <v>800</v>
      </c>
      <c r="L39" s="22">
        <v>1000</v>
      </c>
    </row>
    <row r="40" spans="3:12" ht="16.2" thickBot="1">
      <c r="C40" s="19" t="s">
        <v>31</v>
      </c>
      <c r="D40" s="22">
        <v>400</v>
      </c>
      <c r="E40" s="22">
        <v>500</v>
      </c>
      <c r="F40" s="22">
        <v>450</v>
      </c>
      <c r="I40" s="19" t="s">
        <v>31</v>
      </c>
      <c r="J40" s="22">
        <v>400</v>
      </c>
      <c r="K40" s="22">
        <v>500</v>
      </c>
      <c r="L40" s="22">
        <v>450</v>
      </c>
    </row>
    <row r="41" spans="3:12" ht="16.8" thickBot="1">
      <c r="C41" s="20" t="s">
        <v>32</v>
      </c>
      <c r="D41" s="25">
        <f>+D36+D38+D39+D40</f>
        <v>1500</v>
      </c>
      <c r="E41" s="25">
        <f t="shared" ref="E41:F41" si="10">+E36+E38+E39+E40</f>
        <v>1950</v>
      </c>
      <c r="F41" s="25">
        <f t="shared" si="10"/>
        <v>1890</v>
      </c>
      <c r="I41" s="20" t="s">
        <v>32</v>
      </c>
      <c r="J41" s="25">
        <f>+J36+J38+J39+J40</f>
        <v>1500</v>
      </c>
      <c r="K41" s="25">
        <f t="shared" ref="K41:L41" si="11">+K36+K38+K39+K40</f>
        <v>1950</v>
      </c>
      <c r="L41" s="25">
        <f t="shared" si="11"/>
        <v>1890</v>
      </c>
    </row>
    <row r="42" spans="3:12" ht="16.2" thickBot="1">
      <c r="C42" s="19" t="s">
        <v>33</v>
      </c>
      <c r="D42" s="22">
        <v>15000</v>
      </c>
      <c r="E42" s="22">
        <v>20000</v>
      </c>
      <c r="F42" s="22">
        <v>19500</v>
      </c>
      <c r="I42" s="19" t="s">
        <v>33</v>
      </c>
      <c r="J42" s="22">
        <v>15000</v>
      </c>
      <c r="K42" s="22">
        <v>20000</v>
      </c>
      <c r="L42" s="22">
        <v>19500</v>
      </c>
    </row>
    <row r="43" spans="3:12" ht="16.2" thickBot="1">
      <c r="C43" s="20" t="s">
        <v>34</v>
      </c>
      <c r="D43" s="23">
        <f>+D42+D41</f>
        <v>16500</v>
      </c>
      <c r="E43" s="23">
        <f t="shared" ref="E43:F43" si="12">+E42+E41</f>
        <v>21950</v>
      </c>
      <c r="F43" s="23">
        <f t="shared" si="12"/>
        <v>21390</v>
      </c>
      <c r="I43" s="20" t="s">
        <v>34</v>
      </c>
      <c r="J43" s="23">
        <f>+J42+J41</f>
        <v>16500</v>
      </c>
      <c r="K43" s="23">
        <f t="shared" ref="K43:L43" si="13">+K42+K41</f>
        <v>21950</v>
      </c>
      <c r="L43" s="23">
        <f t="shared" si="13"/>
        <v>21390</v>
      </c>
    </row>
    <row r="44" spans="3:12" ht="16.2" thickBot="1">
      <c r="C44" s="19" t="s">
        <v>35</v>
      </c>
      <c r="D44" s="22">
        <v>300</v>
      </c>
      <c r="E44" s="22">
        <v>200</v>
      </c>
      <c r="F44" s="22">
        <v>250</v>
      </c>
      <c r="I44" s="19" t="s">
        <v>35</v>
      </c>
      <c r="J44" s="22">
        <v>300</v>
      </c>
      <c r="K44" s="22">
        <v>200</v>
      </c>
      <c r="L44" s="22">
        <v>250</v>
      </c>
    </row>
    <row r="45" spans="3:12" ht="16.2" thickBot="1">
      <c r="C45" s="19" t="s">
        <v>36</v>
      </c>
      <c r="D45" s="22">
        <v>300</v>
      </c>
      <c r="E45" s="22">
        <v>240</v>
      </c>
      <c r="F45" s="22">
        <v>450</v>
      </c>
      <c r="I45" s="19" t="s">
        <v>36</v>
      </c>
      <c r="J45" s="22">
        <v>300</v>
      </c>
      <c r="K45" s="22">
        <v>240</v>
      </c>
      <c r="L45" s="22">
        <v>450</v>
      </c>
    </row>
    <row r="46" spans="3:12" ht="16.2" thickBot="1">
      <c r="C46" s="20" t="s">
        <v>37</v>
      </c>
      <c r="D46" s="23">
        <f>+D44+D45</f>
        <v>600</v>
      </c>
      <c r="E46" s="23">
        <f t="shared" ref="E46:F46" si="14">+E44+E45</f>
        <v>440</v>
      </c>
      <c r="F46" s="23">
        <f t="shared" si="14"/>
        <v>700</v>
      </c>
      <c r="I46" s="20" t="s">
        <v>37</v>
      </c>
      <c r="J46" s="23">
        <f>+J44+J45</f>
        <v>600</v>
      </c>
      <c r="K46" s="23">
        <f t="shared" ref="K46:L46" si="15">+K44+K45</f>
        <v>440</v>
      </c>
      <c r="L46" s="23">
        <f t="shared" si="15"/>
        <v>700</v>
      </c>
    </row>
    <row r="47" spans="3:12" ht="16.2" thickBot="1">
      <c r="C47" s="19" t="s">
        <v>38</v>
      </c>
      <c r="D47" s="22">
        <v>5000</v>
      </c>
      <c r="E47" s="22">
        <v>6000</v>
      </c>
      <c r="F47" s="22">
        <v>7000</v>
      </c>
      <c r="I47" s="19" t="s">
        <v>38</v>
      </c>
      <c r="J47" s="22">
        <v>5000</v>
      </c>
      <c r="K47" s="22">
        <v>6000</v>
      </c>
      <c r="L47" s="22">
        <v>7000</v>
      </c>
    </row>
    <row r="48" spans="3:12" ht="16.2" thickBot="1">
      <c r="C48" s="19" t="s">
        <v>39</v>
      </c>
      <c r="D48" s="22">
        <f>+D43-D46-D47</f>
        <v>10900</v>
      </c>
      <c r="E48" s="22">
        <f t="shared" ref="E48:F48" si="16">+E43-E46-E47</f>
        <v>15510</v>
      </c>
      <c r="F48" s="22">
        <f t="shared" si="16"/>
        <v>13690</v>
      </c>
      <c r="I48" s="19" t="s">
        <v>39</v>
      </c>
      <c r="J48" s="22">
        <f>+J43-J46-J47</f>
        <v>10900</v>
      </c>
      <c r="K48" s="22">
        <f t="shared" ref="K48:L48" si="17">+K43-K46-K47</f>
        <v>15510</v>
      </c>
      <c r="L48" s="22">
        <f t="shared" si="17"/>
        <v>13690</v>
      </c>
    </row>
    <row r="49" spans="3:12" ht="16.2" thickBot="1">
      <c r="C49" s="20" t="s">
        <v>40</v>
      </c>
      <c r="D49" s="23">
        <f>+D46+D47+D48</f>
        <v>16500</v>
      </c>
      <c r="E49" s="23">
        <f t="shared" ref="E49:F49" si="18">+E46+E47+E48</f>
        <v>21950</v>
      </c>
      <c r="F49" s="23">
        <f t="shared" si="18"/>
        <v>21390</v>
      </c>
      <c r="I49" s="20" t="s">
        <v>40</v>
      </c>
      <c r="J49" s="23">
        <f>+J46+J47+J48</f>
        <v>16500</v>
      </c>
      <c r="K49" s="23">
        <f t="shared" ref="K49:L49" si="19">+K46+K47+K48</f>
        <v>21950</v>
      </c>
      <c r="L49" s="23">
        <f t="shared" si="19"/>
        <v>21390</v>
      </c>
    </row>
    <row r="51" spans="3:12">
      <c r="E51" s="45"/>
      <c r="F51" s="45"/>
    </row>
    <row r="52" spans="3:12">
      <c r="C52" s="46" t="s">
        <v>41</v>
      </c>
      <c r="D52" s="47"/>
      <c r="E52" s="48">
        <f>E31/(E30-E25)</f>
        <v>0.17098445595854922</v>
      </c>
      <c r="F52" s="48">
        <f>F31/(F30-F25)</f>
        <v>0.16818181818181818</v>
      </c>
      <c r="I52" t="s">
        <v>41</v>
      </c>
      <c r="J52" s="134">
        <f>J31/(J30-J25)</f>
        <v>0.16949152542372881</v>
      </c>
      <c r="K52" s="134">
        <f t="shared" ref="K52:L52" si="20">K31/(K30-K25)</f>
        <v>0.17098445595854922</v>
      </c>
      <c r="L52" s="134">
        <f t="shared" si="20"/>
        <v>0.16818181818181818</v>
      </c>
    </row>
    <row r="54" spans="3:12" ht="16.2" thickBot="1">
      <c r="C54" s="49" t="s">
        <v>16</v>
      </c>
      <c r="D54" s="49"/>
      <c r="E54" s="50">
        <f>E24</f>
        <v>2200</v>
      </c>
      <c r="F54" s="51">
        <f>F24</f>
        <v>2500</v>
      </c>
    </row>
    <row r="55" spans="3:12" ht="16.2" thickBot="1">
      <c r="C55" s="52" t="s">
        <v>42</v>
      </c>
      <c r="D55" s="52"/>
      <c r="E55" s="40"/>
      <c r="F55" s="53"/>
      <c r="I55" s="88" t="s">
        <v>168</v>
      </c>
      <c r="J55" s="18">
        <f ca="1">+K55-1</f>
        <v>2021</v>
      </c>
      <c r="K55" s="18">
        <f ca="1">+L55-1</f>
        <v>2022</v>
      </c>
      <c r="L55" s="18">
        <f ca="1">+YEAR(TODAY())-1</f>
        <v>2023</v>
      </c>
    </row>
    <row r="56" spans="3:12">
      <c r="C56" s="52" t="s">
        <v>146</v>
      </c>
      <c r="D56" s="52"/>
      <c r="E56" s="54">
        <f>+E54-E55</f>
        <v>2200</v>
      </c>
      <c r="F56" s="55">
        <f>+F54-F55</f>
        <v>2500</v>
      </c>
      <c r="I56" s="135" t="s">
        <v>169</v>
      </c>
      <c r="J56" s="44">
        <f>J24</f>
        <v>2000</v>
      </c>
      <c r="K56" s="44">
        <f t="shared" ref="K56:L56" si="21">K24</f>
        <v>2200</v>
      </c>
      <c r="L56" s="44">
        <f t="shared" si="21"/>
        <v>2500</v>
      </c>
    </row>
    <row r="57" spans="3:12">
      <c r="C57" s="52" t="s">
        <v>43</v>
      </c>
      <c r="D57" s="52"/>
      <c r="E57" s="54">
        <f>E56*(1-E52)</f>
        <v>1823.8341968911918</v>
      </c>
      <c r="F57" s="55">
        <f>F56*(1-F52)</f>
        <v>2079.5454545454545</v>
      </c>
      <c r="I57" t="s">
        <v>170</v>
      </c>
      <c r="J57" s="44">
        <f>J56*(1-J52)</f>
        <v>1661.0169491525423</v>
      </c>
      <c r="K57" s="44">
        <f>K56*(1-K52)</f>
        <v>1823.8341968911918</v>
      </c>
      <c r="L57" s="44">
        <f>L56*(1-L52)</f>
        <v>2079.5454545454545</v>
      </c>
    </row>
    <row r="58" spans="3:12">
      <c r="C58" s="52" t="s">
        <v>15</v>
      </c>
      <c r="D58" s="52"/>
      <c r="E58" s="54">
        <f>E23</f>
        <v>2300</v>
      </c>
      <c r="F58" s="55">
        <f>F23</f>
        <v>2500</v>
      </c>
      <c r="I58" t="s">
        <v>15</v>
      </c>
      <c r="J58" s="44">
        <f>J23</f>
        <v>2000</v>
      </c>
      <c r="K58" s="44">
        <f t="shared" ref="K58:L58" si="22">K23</f>
        <v>2300</v>
      </c>
      <c r="L58" s="44">
        <f t="shared" si="22"/>
        <v>2500</v>
      </c>
    </row>
    <row r="59" spans="3:12">
      <c r="C59" s="56" t="s">
        <v>44</v>
      </c>
      <c r="D59" s="56"/>
      <c r="E59" s="57">
        <f>E57+E58</f>
        <v>4123.8341968911918</v>
      </c>
      <c r="F59" s="58">
        <f>F57+F58</f>
        <v>4579.545454545454</v>
      </c>
      <c r="I59" s="135" t="s">
        <v>44</v>
      </c>
      <c r="J59" s="44">
        <f>J57+J58</f>
        <v>3661.0169491525421</v>
      </c>
      <c r="K59" s="44">
        <f t="shared" ref="K59:L59" si="23">K57+K58</f>
        <v>4123.8341968911918</v>
      </c>
      <c r="L59" s="44">
        <f t="shared" si="23"/>
        <v>4579.545454545454</v>
      </c>
    </row>
    <row r="60" spans="3:12">
      <c r="C60" s="52" t="s">
        <v>45</v>
      </c>
      <c r="D60" s="52"/>
      <c r="E60" s="54">
        <f>D40-E40</f>
        <v>-100</v>
      </c>
      <c r="F60" s="55">
        <f>E40-F40</f>
        <v>50</v>
      </c>
      <c r="I60" s="136" t="s">
        <v>171</v>
      </c>
      <c r="J60" s="44"/>
      <c r="K60" s="44">
        <f>-(K40-J40)</f>
        <v>-100</v>
      </c>
      <c r="L60" s="44">
        <f>-(L40-K40)</f>
        <v>50</v>
      </c>
    </row>
    <row r="61" spans="3:12">
      <c r="C61" s="52" t="s">
        <v>46</v>
      </c>
      <c r="D61" s="52"/>
      <c r="E61" s="54">
        <f>D39-E39</f>
        <v>-200</v>
      </c>
      <c r="F61" s="55">
        <f>E39-F39</f>
        <v>-200</v>
      </c>
      <c r="I61" s="136" t="s">
        <v>172</v>
      </c>
      <c r="J61" s="44"/>
      <c r="K61" s="44">
        <f>-(K39-J39)</f>
        <v>-200</v>
      </c>
      <c r="L61" s="44">
        <f>-(L39-K39)</f>
        <v>-200</v>
      </c>
    </row>
    <row r="62" spans="3:12">
      <c r="C62" s="52" t="s">
        <v>47</v>
      </c>
      <c r="D62" s="52"/>
      <c r="E62" s="54">
        <f>D37-E37</f>
        <v>-20</v>
      </c>
      <c r="F62" s="55">
        <f>E37-F37</f>
        <v>-30</v>
      </c>
      <c r="I62" s="137" t="s">
        <v>173</v>
      </c>
      <c r="J62" s="44"/>
      <c r="K62" s="44">
        <f>-(K37-J37)</f>
        <v>-20</v>
      </c>
      <c r="L62" s="44">
        <f>-(L37-K37)</f>
        <v>-30</v>
      </c>
    </row>
    <row r="63" spans="3:12">
      <c r="C63" s="52" t="s">
        <v>48</v>
      </c>
      <c r="D63" s="52"/>
      <c r="E63" s="54">
        <f>E45-D45</f>
        <v>-60</v>
      </c>
      <c r="F63" s="55">
        <f>F45-E45</f>
        <v>210</v>
      </c>
      <c r="I63" s="138" t="s">
        <v>174</v>
      </c>
      <c r="J63" s="44"/>
      <c r="K63" s="44">
        <f>K45-J45</f>
        <v>-60</v>
      </c>
      <c r="L63" s="44">
        <f>L45-K45</f>
        <v>210</v>
      </c>
    </row>
    <row r="64" spans="3:12">
      <c r="C64" s="52" t="s">
        <v>49</v>
      </c>
      <c r="D64" s="52"/>
      <c r="E64" s="54"/>
      <c r="F64" s="55"/>
      <c r="I64" s="135" t="s">
        <v>50</v>
      </c>
      <c r="J64" s="44"/>
      <c r="K64" s="44">
        <f>K59+K60+K61+K62+K63</f>
        <v>3743.8341968911918</v>
      </c>
      <c r="L64" s="44">
        <f>L59+L60+L61+L62+L63</f>
        <v>4609.545454545454</v>
      </c>
    </row>
    <row r="65" spans="3:12">
      <c r="C65" s="59" t="s">
        <v>50</v>
      </c>
      <c r="D65" s="59"/>
      <c r="E65" s="60">
        <f>+E59+SUM(E60:E64)</f>
        <v>3743.8341968911918</v>
      </c>
      <c r="F65" s="61">
        <f>+F59+SUM(F60:F64)</f>
        <v>4609.545454545454</v>
      </c>
      <c r="I65" s="136" t="s">
        <v>175</v>
      </c>
      <c r="J65" s="44"/>
      <c r="K65" s="44">
        <f>-(K42-J42)</f>
        <v>-5000</v>
      </c>
      <c r="L65" s="44">
        <f>-(L42-K42)</f>
        <v>500</v>
      </c>
    </row>
    <row r="66" spans="3:12">
      <c r="C66" s="52" t="s">
        <v>15</v>
      </c>
      <c r="D66" s="52"/>
      <c r="E66" s="40">
        <f>-E58</f>
        <v>-2300</v>
      </c>
      <c r="F66" s="53">
        <f>-F58</f>
        <v>-2500</v>
      </c>
      <c r="I66" s="139" t="s">
        <v>15</v>
      </c>
      <c r="J66" s="44"/>
      <c r="K66" s="44">
        <f>-K58</f>
        <v>-2300</v>
      </c>
      <c r="L66" s="44">
        <f>-L58</f>
        <v>-2500</v>
      </c>
    </row>
    <row r="67" spans="3:12">
      <c r="C67" s="62" t="s">
        <v>51</v>
      </c>
      <c r="D67" s="62"/>
      <c r="E67" s="40">
        <f>D42-E42</f>
        <v>-5000</v>
      </c>
      <c r="F67" s="53">
        <f>E42-F42</f>
        <v>500</v>
      </c>
      <c r="I67" s="135" t="s">
        <v>176</v>
      </c>
      <c r="J67" s="44"/>
      <c r="K67" s="44">
        <f>K65+K66</f>
        <v>-7300</v>
      </c>
      <c r="L67" s="44">
        <f>L65+L66</f>
        <v>-2000</v>
      </c>
    </row>
    <row r="68" spans="3:12">
      <c r="C68" s="62" t="s">
        <v>52</v>
      </c>
      <c r="D68" s="62"/>
      <c r="E68" s="40">
        <f>E25</f>
        <v>60</v>
      </c>
      <c r="F68" s="53">
        <f>F25</f>
        <v>0</v>
      </c>
      <c r="I68" s="135" t="s">
        <v>81</v>
      </c>
      <c r="J68" s="44"/>
      <c r="K68" s="44">
        <f>K67+K64</f>
        <v>-3556.1658031088082</v>
      </c>
      <c r="L68" s="44">
        <f>L67+L64</f>
        <v>2609.545454545454</v>
      </c>
    </row>
    <row r="69" spans="3:12">
      <c r="C69" s="62" t="s">
        <v>53</v>
      </c>
      <c r="D69" s="62"/>
      <c r="E69" s="40">
        <f>E26</f>
        <v>0</v>
      </c>
      <c r="F69" s="53">
        <f>F26</f>
        <v>10</v>
      </c>
      <c r="I69" s="140" t="s">
        <v>82</v>
      </c>
      <c r="J69" s="44"/>
      <c r="K69" s="44">
        <f>-(K27+K28)</f>
        <v>-270</v>
      </c>
      <c r="L69" s="44">
        <f>-(L27+L28)</f>
        <v>-310</v>
      </c>
    </row>
    <row r="70" spans="3:12">
      <c r="C70" s="62" t="s">
        <v>54</v>
      </c>
      <c r="D70" s="62"/>
      <c r="E70">
        <f>E69*E52</f>
        <v>0</v>
      </c>
      <c r="F70" s="63">
        <f>F69*F52</f>
        <v>1.6818181818181819</v>
      </c>
      <c r="I70" t="s">
        <v>163</v>
      </c>
      <c r="J70" s="44"/>
      <c r="K70" s="44">
        <f>-K69*K52</f>
        <v>46.165803108808291</v>
      </c>
      <c r="L70" s="44">
        <f>-L69*L52</f>
        <v>52.136363636363633</v>
      </c>
    </row>
    <row r="71" spans="3:12">
      <c r="C71" s="59" t="s">
        <v>55</v>
      </c>
      <c r="D71" s="59"/>
      <c r="E71" s="60">
        <f>SUM(E66:E69)-E70</f>
        <v>-7240</v>
      </c>
      <c r="F71" s="61">
        <f>SUM(F66:F69)-F70</f>
        <v>-1991.6818181818182</v>
      </c>
      <c r="I71" s="141" t="s">
        <v>177</v>
      </c>
      <c r="J71" s="44"/>
      <c r="K71" s="44">
        <f>(K44+K47)-(J44+J47)</f>
        <v>900</v>
      </c>
      <c r="L71" s="44">
        <f>(L44+L47)-(K44+K47)</f>
        <v>1050</v>
      </c>
    </row>
    <row r="72" spans="3:12">
      <c r="C72" s="64" t="s">
        <v>56</v>
      </c>
      <c r="D72" s="64"/>
      <c r="E72" s="65">
        <f>E65+E71</f>
        <v>-3496.1658031088082</v>
      </c>
      <c r="F72" s="66">
        <f>F65+F71</f>
        <v>2617.863636363636</v>
      </c>
      <c r="I72" s="135" t="s">
        <v>178</v>
      </c>
      <c r="J72" s="44"/>
      <c r="K72" s="44">
        <f>K69+K70+K71</f>
        <v>676.16580310880829</v>
      </c>
      <c r="L72" s="44">
        <f>L69+L70+L71</f>
        <v>792.13636363636363</v>
      </c>
    </row>
    <row r="73" spans="3:12">
      <c r="C73" s="52" t="s">
        <v>57</v>
      </c>
      <c r="D73" s="52"/>
      <c r="E73" s="40">
        <f>E27+E28</f>
        <v>270</v>
      </c>
      <c r="F73" s="53">
        <f>F27+F28</f>
        <v>310</v>
      </c>
      <c r="I73" s="135" t="s">
        <v>84</v>
      </c>
      <c r="J73" s="44"/>
      <c r="K73" s="44">
        <f>K72+K68</f>
        <v>-2880</v>
      </c>
      <c r="L73" s="44">
        <f>L72+L68</f>
        <v>3401.6818181818176</v>
      </c>
    </row>
    <row r="74" spans="3:12">
      <c r="C74" s="52" t="s">
        <v>58</v>
      </c>
      <c r="D74" s="52"/>
      <c r="E74">
        <f>E73*E52</f>
        <v>46.165803108808291</v>
      </c>
      <c r="F74" s="63">
        <f>F73*F52</f>
        <v>52.136363636363633</v>
      </c>
      <c r="I74" t="s">
        <v>25</v>
      </c>
      <c r="J74" s="44"/>
      <c r="K74" s="44">
        <f>-K33</f>
        <v>-1200</v>
      </c>
      <c r="L74" s="44">
        <f>-L33</f>
        <v>-1400</v>
      </c>
    </row>
    <row r="75" spans="3:12">
      <c r="C75" s="67" t="s">
        <v>59</v>
      </c>
      <c r="D75" s="67"/>
      <c r="E75" s="40">
        <f>(E47+E44)-(D47+D44)</f>
        <v>900</v>
      </c>
      <c r="F75" s="53">
        <f>(F47+F44)-(E47+E44)</f>
        <v>1050</v>
      </c>
      <c r="I75" s="142" t="s">
        <v>179</v>
      </c>
      <c r="J75" s="44"/>
      <c r="K75" s="44">
        <f>K48-J48-K34</f>
        <v>4150</v>
      </c>
      <c r="L75" s="44">
        <f>L48-K48-L34</f>
        <v>-2250</v>
      </c>
    </row>
    <row r="76" spans="3:12">
      <c r="C76" s="64" t="s">
        <v>60</v>
      </c>
      <c r="D76" s="64"/>
      <c r="E76" s="65">
        <f>E72-E73+E74+E75</f>
        <v>-2820</v>
      </c>
      <c r="F76" s="66">
        <f>F72-F73+F74+F75</f>
        <v>3409.9999999999995</v>
      </c>
      <c r="I76" s="135" t="s">
        <v>180</v>
      </c>
      <c r="J76" s="44"/>
      <c r="K76" s="44">
        <f>K72+K74+K75</f>
        <v>3626.1658031088082</v>
      </c>
      <c r="L76" s="44">
        <f>L72+L74+L75</f>
        <v>-2857.8636363636365</v>
      </c>
    </row>
    <row r="77" spans="3:12">
      <c r="J77" s="44"/>
      <c r="K77" s="44"/>
      <c r="L77" s="44"/>
    </row>
    <row r="78" spans="3:12">
      <c r="C78" s="68" t="s">
        <v>25</v>
      </c>
      <c r="D78" s="50"/>
      <c r="E78" s="50">
        <f>E33</f>
        <v>1200</v>
      </c>
      <c r="F78" s="51">
        <f>F33</f>
        <v>1400</v>
      </c>
      <c r="I78" s="143" t="s">
        <v>181</v>
      </c>
      <c r="J78" s="44"/>
      <c r="K78" s="44">
        <f>K76+K67+K64</f>
        <v>70</v>
      </c>
      <c r="L78" s="44">
        <f>L76+L67+L64</f>
        <v>-248.31818181818198</v>
      </c>
    </row>
    <row r="79" spans="3:12">
      <c r="C79" s="69" t="s">
        <v>61</v>
      </c>
      <c r="D79" s="70"/>
      <c r="E79" s="70">
        <f>E48-D48-E34</f>
        <v>4150</v>
      </c>
      <c r="F79" s="71">
        <f>F48-E48-F34</f>
        <v>-2250</v>
      </c>
      <c r="J79" s="44"/>
      <c r="K79" s="44"/>
      <c r="L79" s="44"/>
    </row>
    <row r="80" spans="3:12">
      <c r="C80" s="72" t="s">
        <v>62</v>
      </c>
      <c r="D80" s="73"/>
      <c r="E80" s="74">
        <f>+E76-E78+E79</f>
        <v>130</v>
      </c>
      <c r="F80" s="74">
        <f>+F76-F78+F79</f>
        <v>-240.00000000000045</v>
      </c>
      <c r="I80" s="143" t="s">
        <v>182</v>
      </c>
      <c r="J80" s="44"/>
      <c r="K80" s="44"/>
      <c r="L80" s="44"/>
    </row>
    <row r="81" spans="3:12">
      <c r="C81" s="41"/>
      <c r="E81" s="42"/>
      <c r="F81" s="42"/>
      <c r="I81" s="144" t="s">
        <v>17</v>
      </c>
      <c r="J81" s="44"/>
      <c r="K81" s="44">
        <f>K25</f>
        <v>60</v>
      </c>
      <c r="L81" s="44">
        <f>L25</f>
        <v>0</v>
      </c>
    </row>
    <row r="82" spans="3:12">
      <c r="C82" s="40" t="s">
        <v>63</v>
      </c>
      <c r="D82" s="40">
        <f>D36-D37</f>
        <v>300</v>
      </c>
      <c r="E82" s="40">
        <f t="shared" ref="E82:F82" si="24">E36-E37</f>
        <v>380</v>
      </c>
      <c r="F82" s="40">
        <f t="shared" si="24"/>
        <v>150</v>
      </c>
      <c r="I82" s="144" t="s">
        <v>18</v>
      </c>
      <c r="J82" s="44"/>
      <c r="K82" s="44">
        <f>K26</f>
        <v>0</v>
      </c>
      <c r="L82" s="44">
        <f>L26</f>
        <v>10</v>
      </c>
    </row>
    <row r="83" spans="3:12">
      <c r="C83" s="40" t="s">
        <v>29</v>
      </c>
      <c r="D83" s="40">
        <f>+D38</f>
        <v>0</v>
      </c>
      <c r="E83" s="40">
        <f>+E38</f>
        <v>50</v>
      </c>
      <c r="F83" s="40">
        <f>+F38</f>
        <v>40</v>
      </c>
      <c r="I83" s="144" t="s">
        <v>183</v>
      </c>
      <c r="J83" s="44"/>
      <c r="K83" s="44">
        <f>-K82*K52</f>
        <v>0</v>
      </c>
      <c r="L83" s="44">
        <f>-L82*L52</f>
        <v>-1.6818181818181819</v>
      </c>
    </row>
    <row r="84" spans="3:12">
      <c r="C84" t="s">
        <v>64</v>
      </c>
      <c r="D84" s="40">
        <f>+SUM(D82:D83)</f>
        <v>300</v>
      </c>
      <c r="E84" s="40">
        <f>+SUM(E82:E83)</f>
        <v>430</v>
      </c>
      <c r="F84" s="40">
        <f>+SUM(F82:F83)</f>
        <v>190</v>
      </c>
      <c r="J84" s="44"/>
      <c r="K84" s="44"/>
      <c r="L84" s="44"/>
    </row>
    <row r="85" spans="3:12">
      <c r="C85" s="75" t="s">
        <v>62</v>
      </c>
      <c r="D85" s="76"/>
      <c r="E85" s="77">
        <f>+E84-D84</f>
        <v>130</v>
      </c>
      <c r="F85" s="77">
        <f>+F84-E84</f>
        <v>-240</v>
      </c>
      <c r="I85" s="143" t="s">
        <v>181</v>
      </c>
      <c r="J85" s="44"/>
      <c r="K85" s="44"/>
      <c r="L85" s="44"/>
    </row>
    <row r="86" spans="3:12">
      <c r="I86" s="144" t="s">
        <v>29</v>
      </c>
      <c r="J86" s="44"/>
      <c r="K86" s="44">
        <f>-(K38-J38)</f>
        <v>-50</v>
      </c>
      <c r="L86" s="44">
        <f>-(L38-K38)</f>
        <v>10</v>
      </c>
    </row>
    <row r="87" spans="3:12">
      <c r="I87" s="144" t="s">
        <v>184</v>
      </c>
      <c r="K87" s="44">
        <f>-((K36-K37)-(J36-J37))</f>
        <v>-80</v>
      </c>
      <c r="L87" s="44">
        <f>-((L36-L37)-(K36-K37))</f>
        <v>230</v>
      </c>
    </row>
    <row r="88" spans="3:12">
      <c r="K88" s="44"/>
      <c r="L88" s="44"/>
    </row>
    <row r="89" spans="3:12">
      <c r="I89" s="145" t="s">
        <v>165</v>
      </c>
      <c r="J89" s="145"/>
      <c r="K89" s="146">
        <f>SUM(K78:K87)</f>
        <v>0</v>
      </c>
      <c r="L89" s="146">
        <f>SUM(L78:L87)</f>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A70D-9BBD-467B-9276-4356E1676819}">
  <sheetPr>
    <tabColor rgb="FF92D050"/>
  </sheetPr>
  <dimension ref="B1:T64"/>
  <sheetViews>
    <sheetView zoomScale="75" zoomScaleNormal="100" workbookViewId="0">
      <selection activeCell="M41" sqref="M41"/>
    </sheetView>
  </sheetViews>
  <sheetFormatPr defaultColWidth="8.796875" defaultRowHeight="15.6"/>
  <cols>
    <col min="2" max="2" width="18.19921875" bestFit="1" customWidth="1"/>
    <col min="3" max="3" width="28.19921875" bestFit="1" customWidth="1"/>
    <col min="4" max="4" width="12.5" bestFit="1" customWidth="1"/>
    <col min="5" max="8" width="13.69921875" bestFit="1" customWidth="1"/>
    <col min="9" max="9" width="20.296875" bestFit="1" customWidth="1"/>
    <col min="10" max="10" width="11.19921875" bestFit="1" customWidth="1"/>
    <col min="11" max="11" width="9.69921875" bestFit="1" customWidth="1"/>
    <col min="12" max="12" width="27" bestFit="1" customWidth="1"/>
    <col min="13" max="13" width="20.5" bestFit="1" customWidth="1"/>
    <col min="14" max="14" width="13.796875" bestFit="1" customWidth="1"/>
    <col min="15" max="18" width="12" bestFit="1" customWidth="1"/>
    <col min="19" max="19" width="12.69921875" bestFit="1" customWidth="1"/>
    <col min="20" max="20" width="10.5" bestFit="1" customWidth="1"/>
  </cols>
  <sheetData>
    <row r="1" spans="2:3" ht="16.2" thickBot="1"/>
    <row r="2" spans="2:3" ht="18">
      <c r="B2" s="9" t="str">
        <f>+Admin!C12</f>
        <v>Date</v>
      </c>
      <c r="C2" s="34">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24" spans="3:20">
      <c r="C24" s="27"/>
      <c r="D24" s="33">
        <v>2024</v>
      </c>
      <c r="E24" s="28">
        <f>+D24+1</f>
        <v>2025</v>
      </c>
      <c r="F24" s="28">
        <f t="shared" ref="F24:H24" si="0">+E24+1</f>
        <v>2026</v>
      </c>
      <c r="G24" s="28">
        <f t="shared" si="0"/>
        <v>2027</v>
      </c>
      <c r="H24" s="28">
        <f t="shared" si="0"/>
        <v>2028</v>
      </c>
      <c r="I24" s="1" t="s">
        <v>65</v>
      </c>
      <c r="J24" s="1" t="s">
        <v>66</v>
      </c>
      <c r="L24" s="122"/>
      <c r="M24" s="122">
        <v>2024</v>
      </c>
      <c r="N24" s="122">
        <v>2025</v>
      </c>
      <c r="O24" s="122">
        <v>2026</v>
      </c>
      <c r="P24" s="122">
        <v>2027</v>
      </c>
      <c r="Q24" s="122">
        <v>2028</v>
      </c>
      <c r="R24" s="122" t="s">
        <v>65</v>
      </c>
      <c r="S24" s="122" t="s">
        <v>66</v>
      </c>
    </row>
    <row r="25" spans="3:20" ht="18">
      <c r="C25" s="2" t="s">
        <v>67</v>
      </c>
      <c r="D25" s="3">
        <v>0.12</v>
      </c>
      <c r="E25" s="3">
        <v>0.12</v>
      </c>
      <c r="F25" s="3">
        <v>0.12</v>
      </c>
      <c r="G25" s="3">
        <v>0.12</v>
      </c>
      <c r="H25" s="3">
        <v>0.12</v>
      </c>
      <c r="I25" s="3">
        <v>0.12</v>
      </c>
      <c r="J25" s="3">
        <v>0.12</v>
      </c>
      <c r="L25" t="s">
        <v>87</v>
      </c>
      <c r="M25" s="125">
        <v>0.12</v>
      </c>
      <c r="N25" s="125">
        <v>0.12</v>
      </c>
      <c r="O25" s="125">
        <v>0.12</v>
      </c>
      <c r="P25" s="125">
        <v>0.12</v>
      </c>
      <c r="Q25" s="125">
        <v>0.12</v>
      </c>
      <c r="R25" s="125">
        <v>0.12</v>
      </c>
      <c r="S25" s="125">
        <v>0.12</v>
      </c>
    </row>
    <row r="26" spans="3:20">
      <c r="C26" s="2" t="s">
        <v>68</v>
      </c>
      <c r="D26" s="79">
        <f>+D34/D57</f>
        <v>9.2228923097780621E-2</v>
      </c>
      <c r="E26" s="79">
        <f>+E34/E57</f>
        <v>0.18367386940213593</v>
      </c>
      <c r="F26" s="3">
        <v>0.3</v>
      </c>
      <c r="G26" s="3">
        <v>0.4</v>
      </c>
      <c r="H26" s="3">
        <v>0.5</v>
      </c>
      <c r="I26" s="3">
        <v>0.5</v>
      </c>
      <c r="J26" s="3">
        <v>0.5</v>
      </c>
      <c r="L26" t="s">
        <v>68</v>
      </c>
      <c r="M26" s="126">
        <f>M36/M56</f>
        <v>9.2228923097780649E-2</v>
      </c>
      <c r="N26" s="126">
        <f>N36/N56</f>
        <v>0.18367386940213595</v>
      </c>
      <c r="O26" s="125">
        <v>0.3</v>
      </c>
      <c r="P26" s="125">
        <v>0.4</v>
      </c>
      <c r="Q26" s="125">
        <v>0.5</v>
      </c>
      <c r="R26" s="125">
        <v>0.5</v>
      </c>
      <c r="S26" s="125">
        <v>0.5</v>
      </c>
    </row>
    <row r="27" spans="3:20">
      <c r="C27" s="2" t="s">
        <v>69</v>
      </c>
      <c r="D27" s="3">
        <v>0.1</v>
      </c>
      <c r="E27" s="3">
        <v>0.2</v>
      </c>
      <c r="F27" s="3"/>
      <c r="G27" s="3"/>
      <c r="H27" s="3"/>
      <c r="I27" s="3"/>
      <c r="L27" t="s">
        <v>69</v>
      </c>
      <c r="M27" s="125">
        <v>0.1</v>
      </c>
      <c r="N27" s="125">
        <v>0.2</v>
      </c>
      <c r="O27" s="125"/>
      <c r="P27" s="125"/>
      <c r="Q27" s="125"/>
      <c r="R27" s="125"/>
      <c r="S27" s="125"/>
    </row>
    <row r="28" spans="3:20" ht="18">
      <c r="C28" s="2" t="s">
        <v>70</v>
      </c>
      <c r="D28" s="3">
        <v>0.06</v>
      </c>
      <c r="E28" s="3">
        <v>7.0000000000000007E-2</v>
      </c>
      <c r="F28" s="3">
        <v>7.1999999999999995E-2</v>
      </c>
      <c r="G28" s="3">
        <v>7.2999999999999995E-2</v>
      </c>
      <c r="H28" s="3">
        <v>7.3999999999999996E-2</v>
      </c>
      <c r="I28" s="3">
        <v>7.3999999999999996E-2</v>
      </c>
      <c r="J28" s="3">
        <v>7.3999999999999996E-2</v>
      </c>
      <c r="L28" t="s">
        <v>94</v>
      </c>
      <c r="M28" s="125">
        <v>0.06</v>
      </c>
      <c r="N28" s="125">
        <v>7.0000000000000007E-2</v>
      </c>
      <c r="O28" s="125">
        <v>7.1999999999999995E-2</v>
      </c>
      <c r="P28" s="125">
        <v>7.2999999999999995E-2</v>
      </c>
      <c r="Q28" s="125">
        <v>7.3999999999999996E-2</v>
      </c>
      <c r="R28" s="125">
        <v>7.3999999999999996E-2</v>
      </c>
      <c r="S28" s="125">
        <v>7.3999999999999996E-2</v>
      </c>
    </row>
    <row r="29" spans="3:20">
      <c r="C29" s="2" t="s">
        <v>71</v>
      </c>
      <c r="D29" s="3">
        <v>0.115</v>
      </c>
      <c r="E29" s="3"/>
      <c r="F29" s="3"/>
      <c r="G29" s="3"/>
      <c r="H29" s="3"/>
      <c r="I29" s="3"/>
      <c r="L29" t="s">
        <v>71</v>
      </c>
      <c r="M29" s="125">
        <v>0.115</v>
      </c>
      <c r="N29" s="125"/>
      <c r="O29" s="125"/>
      <c r="P29" s="125"/>
      <c r="Q29" s="125"/>
      <c r="R29" s="125"/>
      <c r="S29" s="125"/>
    </row>
    <row r="30" spans="3:20">
      <c r="C30" s="2" t="s">
        <v>72</v>
      </c>
      <c r="D30" s="3"/>
      <c r="E30" s="3">
        <v>0.16</v>
      </c>
      <c r="F30" s="3">
        <v>0.15</v>
      </c>
      <c r="G30" s="3">
        <v>0.14000000000000001</v>
      </c>
      <c r="H30" s="3">
        <v>0.13</v>
      </c>
      <c r="I30" s="79">
        <f>I38</f>
        <v>0.11445</v>
      </c>
      <c r="J30" s="79">
        <f>J38</f>
        <v>0.11445</v>
      </c>
      <c r="K30" s="3"/>
      <c r="L30" t="s">
        <v>72</v>
      </c>
      <c r="M30" s="125"/>
      <c r="N30" s="125">
        <v>0.16</v>
      </c>
      <c r="O30" s="125">
        <v>0.15</v>
      </c>
      <c r="P30" s="125">
        <v>0.14000000000000001</v>
      </c>
      <c r="Q30" s="125">
        <v>0.13</v>
      </c>
      <c r="R30" s="126">
        <f>R35</f>
        <v>0.11445</v>
      </c>
      <c r="S30" s="126">
        <f>S35</f>
        <v>0.11445</v>
      </c>
      <c r="T30" s="126"/>
    </row>
    <row r="31" spans="3:20">
      <c r="C31" s="2" t="s">
        <v>73</v>
      </c>
      <c r="D31" s="27"/>
      <c r="E31" s="38">
        <v>0.15</v>
      </c>
      <c r="F31" s="38">
        <v>0.12</v>
      </c>
      <c r="G31" s="3">
        <v>0.1</v>
      </c>
      <c r="H31" s="3">
        <v>0.08</v>
      </c>
      <c r="I31" s="3">
        <v>0.05</v>
      </c>
      <c r="J31" s="29">
        <v>0.05</v>
      </c>
      <c r="K31" s="29"/>
      <c r="L31" t="s">
        <v>73</v>
      </c>
      <c r="M31" s="125"/>
      <c r="N31" s="125">
        <v>0.15</v>
      </c>
      <c r="O31" s="125">
        <v>0.12</v>
      </c>
      <c r="P31" s="125">
        <v>0.1</v>
      </c>
      <c r="Q31" s="125">
        <v>0.08</v>
      </c>
      <c r="R31" s="125">
        <v>0.05</v>
      </c>
      <c r="S31" s="125">
        <v>0.05</v>
      </c>
      <c r="T31" s="37"/>
    </row>
    <row r="32" spans="3:20">
      <c r="C32" s="2" t="s">
        <v>41</v>
      </c>
      <c r="D32" s="3">
        <v>0.15</v>
      </c>
      <c r="E32" s="3">
        <v>0.15</v>
      </c>
      <c r="F32" s="3">
        <v>0.15</v>
      </c>
      <c r="G32" s="3">
        <v>0.15</v>
      </c>
      <c r="H32" s="3">
        <v>0.15</v>
      </c>
      <c r="I32" s="3">
        <v>0.15</v>
      </c>
      <c r="J32" s="3">
        <v>0.15</v>
      </c>
      <c r="K32" s="3"/>
      <c r="L32" t="s">
        <v>41</v>
      </c>
      <c r="M32" s="125">
        <v>0.15</v>
      </c>
      <c r="N32" s="125">
        <v>0.15</v>
      </c>
      <c r="O32" s="125">
        <v>0.15</v>
      </c>
      <c r="P32" s="125">
        <v>0.15</v>
      </c>
      <c r="Q32" s="125">
        <v>0.15</v>
      </c>
      <c r="R32" s="125">
        <v>0.15</v>
      </c>
      <c r="S32" s="125">
        <v>0.15</v>
      </c>
    </row>
    <row r="33" spans="3:20">
      <c r="C33" s="119" t="s">
        <v>74</v>
      </c>
      <c r="D33" s="120">
        <v>100000</v>
      </c>
      <c r="E33" s="121">
        <f>D33+D43</f>
        <v>110781.25</v>
      </c>
      <c r="F33" s="121">
        <f t="shared" ref="F33:I33" si="1">E33+E43</f>
        <v>121361.25</v>
      </c>
      <c r="G33" s="121">
        <f t="shared" si="1"/>
        <v>131941.25</v>
      </c>
      <c r="H33" s="121">
        <f t="shared" si="1"/>
        <v>141967.83461538461</v>
      </c>
      <c r="I33" s="121">
        <f t="shared" si="1"/>
        <v>149655.32085391672</v>
      </c>
      <c r="J33" s="121"/>
      <c r="L33" t="s">
        <v>167</v>
      </c>
      <c r="M33" s="127">
        <f>N31/N30</f>
        <v>0.9375</v>
      </c>
    </row>
    <row r="34" spans="3:20">
      <c r="C34" s="89" t="s">
        <v>75</v>
      </c>
      <c r="D34" s="80">
        <f>D27*D33</f>
        <v>10000</v>
      </c>
      <c r="E34" s="80">
        <f>E27*E33</f>
        <v>22156.25</v>
      </c>
      <c r="F34" s="80">
        <f>+F26*F53</f>
        <v>39667.786208311431</v>
      </c>
      <c r="G34" s="80">
        <f t="shared" ref="G34:I34" si="2">+G26*G53</f>
        <v>57373.062567991838</v>
      </c>
      <c r="H34" s="80">
        <f t="shared" si="2"/>
        <v>76874.862385321132</v>
      </c>
      <c r="I34" s="80">
        <f t="shared" si="2"/>
        <v>80718.605504587176</v>
      </c>
      <c r="J34" s="80">
        <f>+I34*(1+J31)</f>
        <v>84754.535779816535</v>
      </c>
      <c r="L34" t="s">
        <v>74</v>
      </c>
      <c r="M34" s="120">
        <v>100000</v>
      </c>
      <c r="N34" s="40">
        <f>M34+M41</f>
        <v>110781.25</v>
      </c>
      <c r="O34" s="40">
        <f t="shared" ref="O34:S34" si="3">N34+N41</f>
        <v>121361.25000000001</v>
      </c>
      <c r="P34" s="40">
        <f t="shared" si="3"/>
        <v>131941.25000000003</v>
      </c>
      <c r="Q34" s="40">
        <f t="shared" si="3"/>
        <v>141967.83461538467</v>
      </c>
      <c r="R34" s="40">
        <f t="shared" si="3"/>
        <v>149655.32085391678</v>
      </c>
      <c r="S34" s="40">
        <f t="shared" si="3"/>
        <v>157727.1814043755</v>
      </c>
    </row>
    <row r="35" spans="3:20">
      <c r="C35" s="89" t="s">
        <v>76</v>
      </c>
      <c r="D35" s="81">
        <f>+D33-D34</f>
        <v>90000</v>
      </c>
      <c r="E35" s="81">
        <f>+E33-E34</f>
        <v>88625</v>
      </c>
      <c r="F35" s="81">
        <f t="shared" ref="F35:I35" si="4">+F33-F34</f>
        <v>81693.463791688569</v>
      </c>
      <c r="G35" s="81">
        <f t="shared" si="4"/>
        <v>74568.187432008155</v>
      </c>
      <c r="H35" s="81">
        <f t="shared" si="4"/>
        <v>65092.972230063475</v>
      </c>
      <c r="I35" s="81">
        <f t="shared" si="4"/>
        <v>68936.715349329548</v>
      </c>
      <c r="J35" s="81"/>
      <c r="L35" t="s">
        <v>78</v>
      </c>
      <c r="M35" s="29">
        <f>M25-M26*M28*M32</f>
        <v>0.11916993969211997</v>
      </c>
      <c r="N35" s="29">
        <f t="shared" ref="N35:S35" si="5">N25-N26*N28*N32</f>
        <v>0.11807142437127757</v>
      </c>
      <c r="O35" s="29">
        <f t="shared" si="5"/>
        <v>0.11676</v>
      </c>
      <c r="P35" s="29">
        <f t="shared" si="5"/>
        <v>0.11562</v>
      </c>
      <c r="Q35" s="29">
        <f t="shared" si="5"/>
        <v>0.11445</v>
      </c>
      <c r="R35" s="29">
        <f t="shared" si="5"/>
        <v>0.11445</v>
      </c>
      <c r="S35" s="29">
        <f t="shared" si="5"/>
        <v>0.11445</v>
      </c>
      <c r="T35" s="29"/>
    </row>
    <row r="36" spans="3:20">
      <c r="L36" t="s">
        <v>161</v>
      </c>
      <c r="M36">
        <f>M34*M27</f>
        <v>10000</v>
      </c>
      <c r="N36">
        <f>N34*N27</f>
        <v>22156.25</v>
      </c>
      <c r="O36" s="129">
        <f>O26*O51</f>
        <v>39667.786208311431</v>
      </c>
      <c r="P36" s="129">
        <f t="shared" ref="P36:R36" si="6">P26*P51</f>
        <v>57373.062567991838</v>
      </c>
      <c r="Q36" s="129">
        <f t="shared" si="6"/>
        <v>76874.862385321132</v>
      </c>
      <c r="R36" s="129">
        <f t="shared" si="6"/>
        <v>80718.605504587176</v>
      </c>
      <c r="S36" s="129">
        <f>R36*(1+S31)</f>
        <v>84754.535779816535</v>
      </c>
    </row>
    <row r="37" spans="3:20">
      <c r="C37" s="89" t="s">
        <v>77</v>
      </c>
      <c r="D37" s="82">
        <f>E31/E30</f>
        <v>0.9375</v>
      </c>
      <c r="E37" s="82">
        <f t="shared" ref="E37:F37" si="7">F31/F30</f>
        <v>0.8</v>
      </c>
      <c r="F37" s="82">
        <f t="shared" si="7"/>
        <v>0.7142857142857143</v>
      </c>
      <c r="G37" s="82">
        <f>H31/H30</f>
        <v>0.61538461538461542</v>
      </c>
      <c r="H37" s="82">
        <f t="shared" ref="H37" si="8">I31/I30</f>
        <v>0.43687199650502406</v>
      </c>
      <c r="I37" s="115">
        <f>J31/J30</f>
        <v>0.43687199650502406</v>
      </c>
      <c r="J37" s="80"/>
      <c r="L37" t="s">
        <v>162</v>
      </c>
    </row>
    <row r="38" spans="3:20">
      <c r="C38" s="89" t="s">
        <v>78</v>
      </c>
      <c r="D38" s="83">
        <f>D25-D26*D28*D32</f>
        <v>0.11916993969211997</v>
      </c>
      <c r="E38" s="83">
        <f t="shared" ref="E38:J38" si="9">E25-E26*E28*E32</f>
        <v>0.11807142437127757</v>
      </c>
      <c r="F38" s="83">
        <f t="shared" si="9"/>
        <v>0.11676</v>
      </c>
      <c r="G38" s="83">
        <f t="shared" si="9"/>
        <v>0.11562</v>
      </c>
      <c r="H38" s="83">
        <f t="shared" si="9"/>
        <v>0.11445</v>
      </c>
      <c r="I38" s="83">
        <f t="shared" si="9"/>
        <v>0.11445</v>
      </c>
      <c r="J38" s="83">
        <f t="shared" si="9"/>
        <v>0.11445</v>
      </c>
    </row>
    <row r="39" spans="3:20">
      <c r="C39" s="89" t="s">
        <v>79</v>
      </c>
      <c r="D39" s="83">
        <f>(D25-D26*D28)/(1-D26)</f>
        <v>0.12609595913184499</v>
      </c>
      <c r="E39" s="83">
        <f t="shared" ref="E39:J39" si="10">(E25-E26*E28)/(1-E26)</f>
        <v>0.13125003001359373</v>
      </c>
      <c r="F39" s="83">
        <f t="shared" si="10"/>
        <v>0.14057142857142857</v>
      </c>
      <c r="G39" s="83">
        <f t="shared" si="10"/>
        <v>0.15133333333333332</v>
      </c>
      <c r="H39" s="83">
        <f t="shared" si="10"/>
        <v>0.16599999999999998</v>
      </c>
      <c r="I39" s="83">
        <f t="shared" si="10"/>
        <v>0.16599999999999998</v>
      </c>
      <c r="J39" s="83">
        <f t="shared" si="10"/>
        <v>0.16599999999999998</v>
      </c>
      <c r="L39" t="s">
        <v>16</v>
      </c>
      <c r="M39" s="44">
        <f>M40/(1-M32)</f>
        <v>13529.411764705883</v>
      </c>
      <c r="N39" s="44">
        <f t="shared" ref="N39:S39" si="11">N40/(1-N32)</f>
        <v>15558.823529411762</v>
      </c>
      <c r="O39" s="44">
        <f t="shared" si="11"/>
        <v>17425.882352941178</v>
      </c>
      <c r="P39" s="44">
        <f t="shared" si="11"/>
        <v>19168.470588235294</v>
      </c>
      <c r="Q39" s="44">
        <f t="shared" si="11"/>
        <v>20701.948235294123</v>
      </c>
      <c r="R39" s="44">
        <f t="shared" si="11"/>
        <v>21737.045647058829</v>
      </c>
      <c r="S39" s="44">
        <f t="shared" si="11"/>
        <v>22823.897929411771</v>
      </c>
      <c r="T39" s="44"/>
    </row>
    <row r="40" spans="3:20">
      <c r="L40" t="s">
        <v>92</v>
      </c>
      <c r="M40" s="44">
        <f>M29*M34</f>
        <v>11500</v>
      </c>
      <c r="N40" s="44">
        <f>(1+N31)*M40</f>
        <v>13224.999999999998</v>
      </c>
      <c r="O40" s="44">
        <f t="shared" ref="O40:S40" si="12">(1+O31)*N40</f>
        <v>14812</v>
      </c>
      <c r="P40" s="44">
        <f t="shared" si="12"/>
        <v>16293.2</v>
      </c>
      <c r="Q40" s="44">
        <f t="shared" si="12"/>
        <v>17596.656000000003</v>
      </c>
      <c r="R40" s="44">
        <f t="shared" si="12"/>
        <v>18476.488800000003</v>
      </c>
      <c r="S40" s="44">
        <f t="shared" si="12"/>
        <v>19400.313240000003</v>
      </c>
      <c r="T40" s="44"/>
    </row>
    <row r="41" spans="3:20">
      <c r="C41" s="80" t="s">
        <v>16</v>
      </c>
      <c r="D41" s="80"/>
      <c r="E41" s="80"/>
      <c r="F41" s="80"/>
      <c r="G41" s="80"/>
      <c r="H41" s="80"/>
      <c r="I41" s="80"/>
      <c r="J41" s="80"/>
      <c r="L41" t="s">
        <v>80</v>
      </c>
      <c r="M41" s="44">
        <f>M33*M40</f>
        <v>10781.25</v>
      </c>
      <c r="N41" s="44">
        <f>(O40-N40)/O30</f>
        <v>10580.000000000013</v>
      </c>
      <c r="O41" s="44">
        <f t="shared" ref="O41:R41" si="13">(P40-O40)/P30</f>
        <v>10580.000000000004</v>
      </c>
      <c r="P41" s="44">
        <f t="shared" si="13"/>
        <v>10026.584615384631</v>
      </c>
      <c r="Q41" s="44">
        <f>(R40-Q40)/R30</f>
        <v>7687.4862385321112</v>
      </c>
      <c r="R41" s="44">
        <f t="shared" si="13"/>
        <v>8071.8605504587185</v>
      </c>
      <c r="S41" s="44"/>
      <c r="T41" s="44"/>
    </row>
    <row r="42" spans="3:20">
      <c r="C42" s="80" t="s">
        <v>43</v>
      </c>
      <c r="D42" s="106">
        <f>D29*D33</f>
        <v>11500</v>
      </c>
      <c r="E42" s="106">
        <f>D42+D43*E30</f>
        <v>13225</v>
      </c>
      <c r="F42" s="106">
        <f t="shared" ref="F42:I42" si="14">E42+E43*F30</f>
        <v>14812</v>
      </c>
      <c r="G42" s="106">
        <f t="shared" si="14"/>
        <v>16293.2</v>
      </c>
      <c r="H42" s="106">
        <f t="shared" si="14"/>
        <v>17596.656000000003</v>
      </c>
      <c r="I42" s="106">
        <f t="shared" si="14"/>
        <v>18476.488800000003</v>
      </c>
      <c r="J42" s="84"/>
      <c r="L42" t="s">
        <v>81</v>
      </c>
      <c r="M42" s="44">
        <f>M40-M41</f>
        <v>718.75</v>
      </c>
      <c r="N42" s="44">
        <f t="shared" ref="N42:R42" si="15">N40-N41</f>
        <v>2644.9999999999854</v>
      </c>
      <c r="O42" s="44">
        <f t="shared" si="15"/>
        <v>4231.9999999999964</v>
      </c>
      <c r="P42" s="44">
        <f t="shared" si="15"/>
        <v>6266.6153846153702</v>
      </c>
      <c r="Q42" s="44">
        <f t="shared" si="15"/>
        <v>9909.1697614678924</v>
      </c>
      <c r="R42" s="44">
        <f t="shared" si="15"/>
        <v>10404.628249541285</v>
      </c>
      <c r="S42" s="44"/>
      <c r="T42" s="44"/>
    </row>
    <row r="43" spans="3:20">
      <c r="C43" s="80" t="s">
        <v>80</v>
      </c>
      <c r="D43" s="106">
        <f>D37*D42</f>
        <v>10781.25</v>
      </c>
      <c r="E43" s="106">
        <f t="shared" ref="E43:H43" si="16">E37*E42</f>
        <v>10580</v>
      </c>
      <c r="F43" s="106">
        <f t="shared" si="16"/>
        <v>10580</v>
      </c>
      <c r="G43" s="106">
        <f t="shared" si="16"/>
        <v>10026.584615384616</v>
      </c>
      <c r="H43" s="106">
        <f t="shared" si="16"/>
        <v>7687.4862385321121</v>
      </c>
      <c r="I43" s="106">
        <f>I37*I42</f>
        <v>8071.8605504587176</v>
      </c>
      <c r="J43" s="84">
        <f>J37*J42</f>
        <v>0</v>
      </c>
      <c r="L43" t="s">
        <v>82</v>
      </c>
      <c r="M43" s="44">
        <f>M36*M28</f>
        <v>600</v>
      </c>
      <c r="N43" s="44">
        <f t="shared" ref="N43:S43" si="17">N36*N28</f>
        <v>1550.9375000000002</v>
      </c>
      <c r="O43" s="44">
        <f t="shared" si="17"/>
        <v>2856.0806069984228</v>
      </c>
      <c r="P43" s="44">
        <f t="shared" si="17"/>
        <v>4188.2335674634041</v>
      </c>
      <c r="Q43" s="44">
        <f t="shared" si="17"/>
        <v>5688.7398165137638</v>
      </c>
      <c r="R43" s="44">
        <f t="shared" si="17"/>
        <v>5973.1768073394505</v>
      </c>
      <c r="S43" s="44">
        <f t="shared" si="17"/>
        <v>6271.8356477064235</v>
      </c>
      <c r="T43" s="44"/>
    </row>
    <row r="44" spans="3:20">
      <c r="C44" s="88" t="s">
        <v>81</v>
      </c>
      <c r="D44" s="106">
        <f>D42-D43</f>
        <v>718.75</v>
      </c>
      <c r="E44" s="106">
        <f t="shared" ref="E44:H44" si="18">E42-E43</f>
        <v>2645</v>
      </c>
      <c r="F44" s="106">
        <f t="shared" si="18"/>
        <v>4232</v>
      </c>
      <c r="G44" s="106">
        <f t="shared" si="18"/>
        <v>6266.6153846153848</v>
      </c>
      <c r="H44" s="106">
        <f t="shared" si="18"/>
        <v>9909.1697614678906</v>
      </c>
      <c r="I44" s="106">
        <f>I42-I43</f>
        <v>10404.628249541285</v>
      </c>
      <c r="J44" s="84"/>
      <c r="L44" t="s">
        <v>163</v>
      </c>
      <c r="M44" s="44">
        <f>M43*M32</f>
        <v>90</v>
      </c>
      <c r="N44" s="44">
        <f t="shared" ref="N44:S44" si="19">N43*N32</f>
        <v>232.64062500000003</v>
      </c>
      <c r="O44" s="44">
        <f t="shared" si="19"/>
        <v>428.41209104976343</v>
      </c>
      <c r="P44" s="44">
        <f t="shared" si="19"/>
        <v>628.2350351195106</v>
      </c>
      <c r="Q44" s="44">
        <f t="shared" si="19"/>
        <v>853.31097247706452</v>
      </c>
      <c r="R44" s="44">
        <f t="shared" si="19"/>
        <v>895.97652110091758</v>
      </c>
      <c r="S44" s="44">
        <f t="shared" si="19"/>
        <v>940.77534715596346</v>
      </c>
      <c r="T44" s="44"/>
    </row>
    <row r="45" spans="3:20">
      <c r="C45" s="80" t="s">
        <v>82</v>
      </c>
      <c r="D45" s="106">
        <f>D34*D28</f>
        <v>600</v>
      </c>
      <c r="E45" s="106">
        <f t="shared" ref="E45:I45" si="20">E34*E28</f>
        <v>1550.9375000000002</v>
      </c>
      <c r="F45" s="106">
        <f t="shared" si="20"/>
        <v>2856.0806069984228</v>
      </c>
      <c r="G45" s="106">
        <f t="shared" si="20"/>
        <v>4188.2335674634041</v>
      </c>
      <c r="H45" s="106">
        <f t="shared" si="20"/>
        <v>5688.7398165137638</v>
      </c>
      <c r="I45" s="106">
        <f t="shared" si="20"/>
        <v>5973.1768073394505</v>
      </c>
      <c r="J45" s="84"/>
      <c r="L45" t="s">
        <v>164</v>
      </c>
      <c r="M45" s="44">
        <f>N36-M36</f>
        <v>12156.25</v>
      </c>
      <c r="N45" s="44">
        <f t="shared" ref="N45:S45" si="21">O36-N36</f>
        <v>17511.536208311431</v>
      </c>
      <c r="O45" s="44">
        <f t="shared" si="21"/>
        <v>17705.276359680407</v>
      </c>
      <c r="P45" s="44">
        <f t="shared" si="21"/>
        <v>19501.799817329294</v>
      </c>
      <c r="Q45" s="44">
        <f t="shared" si="21"/>
        <v>3843.7431192660442</v>
      </c>
      <c r="R45" s="44">
        <f t="shared" si="21"/>
        <v>4035.9302752293588</v>
      </c>
      <c r="S45" s="44">
        <f t="shared" si="21"/>
        <v>-84754.535779816535</v>
      </c>
      <c r="T45" s="44"/>
    </row>
    <row r="46" spans="3:20">
      <c r="C46" s="80" t="s">
        <v>58</v>
      </c>
      <c r="D46" s="106">
        <f>D45*D32</f>
        <v>90</v>
      </c>
      <c r="E46" s="106">
        <f t="shared" ref="E46:I46" si="22">E45*E32</f>
        <v>232.64062500000003</v>
      </c>
      <c r="F46" s="106">
        <f t="shared" si="22"/>
        <v>428.41209104976343</v>
      </c>
      <c r="G46" s="106">
        <f t="shared" si="22"/>
        <v>628.2350351195106</v>
      </c>
      <c r="H46" s="106">
        <f t="shared" si="22"/>
        <v>853.31097247706452</v>
      </c>
      <c r="I46" s="106">
        <f t="shared" si="22"/>
        <v>895.97652110091758</v>
      </c>
      <c r="J46" s="84"/>
      <c r="L46" t="s">
        <v>84</v>
      </c>
      <c r="M46" s="44">
        <f>M42-M43+M44+M45</f>
        <v>12365</v>
      </c>
      <c r="N46" s="44">
        <f t="shared" ref="N46:S46" si="23">N42-N43+N44+N45</f>
        <v>18838.239333311416</v>
      </c>
      <c r="O46" s="44">
        <f t="shared" si="23"/>
        <v>19509.607843731745</v>
      </c>
      <c r="P46" s="44">
        <f t="shared" si="23"/>
        <v>22208.416669600771</v>
      </c>
      <c r="Q46" s="44">
        <f t="shared" si="23"/>
        <v>8917.4840366972385</v>
      </c>
      <c r="R46" s="44">
        <f t="shared" si="23"/>
        <v>9363.3582385321115</v>
      </c>
      <c r="S46" s="44">
        <f t="shared" si="23"/>
        <v>-90085.596080366988</v>
      </c>
      <c r="T46" s="44"/>
    </row>
    <row r="47" spans="3:20">
      <c r="C47" s="80" t="s">
        <v>83</v>
      </c>
      <c r="D47" s="106">
        <f>E34-D34</f>
        <v>12156.25</v>
      </c>
      <c r="E47" s="106">
        <f t="shared" ref="E47:H47" si="24">F34-E34</f>
        <v>17511.536208311431</v>
      </c>
      <c r="F47" s="106">
        <f t="shared" si="24"/>
        <v>17705.276359680407</v>
      </c>
      <c r="G47" s="106">
        <f t="shared" si="24"/>
        <v>19501.799817329294</v>
      </c>
      <c r="H47" s="106">
        <f t="shared" si="24"/>
        <v>3843.7431192660442</v>
      </c>
      <c r="I47" s="106">
        <f>J34-I34</f>
        <v>4035.9302752293588</v>
      </c>
      <c r="J47" s="84"/>
      <c r="M47" s="44"/>
      <c r="N47" s="44"/>
      <c r="O47" s="44"/>
      <c r="P47" s="44"/>
      <c r="Q47" s="44"/>
      <c r="R47" s="44"/>
      <c r="S47" s="44"/>
    </row>
    <row r="48" spans="3:20">
      <c r="C48" s="88" t="s">
        <v>84</v>
      </c>
      <c r="D48" s="106">
        <f>D44-D45+D46+D47</f>
        <v>12365</v>
      </c>
      <c r="E48" s="106">
        <f t="shared" ref="E48:H48" si="25">E44-E45+E46+E47</f>
        <v>18838.239333311431</v>
      </c>
      <c r="F48" s="106">
        <f t="shared" si="25"/>
        <v>19509.607843731748</v>
      </c>
      <c r="G48" s="106">
        <f t="shared" si="25"/>
        <v>22208.416669600785</v>
      </c>
      <c r="H48" s="106">
        <f t="shared" si="25"/>
        <v>8917.4840366972348</v>
      </c>
      <c r="I48" s="106">
        <f>I44-I45+I46+I47</f>
        <v>9363.3582385321115</v>
      </c>
      <c r="J48" s="84"/>
      <c r="K48" s="41" t="s">
        <v>147</v>
      </c>
      <c r="M48" s="44"/>
      <c r="N48" s="44"/>
      <c r="O48" s="44"/>
      <c r="P48" s="44"/>
      <c r="Q48" s="44"/>
      <c r="R48" s="44"/>
      <c r="S48" s="44"/>
    </row>
    <row r="49" spans="2:19">
      <c r="K49" s="41" t="s">
        <v>81</v>
      </c>
      <c r="L49" t="s">
        <v>81</v>
      </c>
      <c r="M49" s="44">
        <f>M42</f>
        <v>718.75</v>
      </c>
      <c r="N49" s="44">
        <f t="shared" ref="N49:R49" si="26">N42</f>
        <v>2644.9999999999854</v>
      </c>
      <c r="O49" s="44">
        <f t="shared" si="26"/>
        <v>4231.9999999999964</v>
      </c>
      <c r="P49" s="44">
        <f t="shared" si="26"/>
        <v>6266.6153846153702</v>
      </c>
      <c r="Q49" s="44">
        <f t="shared" si="26"/>
        <v>9909.1697614678924</v>
      </c>
      <c r="R49" s="44">
        <f t="shared" si="26"/>
        <v>10404.628249541285</v>
      </c>
      <c r="S49" s="44"/>
    </row>
    <row r="50" spans="2:19">
      <c r="B50" s="41" t="s">
        <v>147</v>
      </c>
      <c r="K50" s="41"/>
      <c r="L50" t="s">
        <v>78</v>
      </c>
      <c r="M50" s="44">
        <f>M35</f>
        <v>0.11916993969211997</v>
      </c>
      <c r="N50" s="44">
        <f t="shared" ref="N50:R50" si="27">N35</f>
        <v>0.11807142437127757</v>
      </c>
      <c r="O50" s="44">
        <f t="shared" si="27"/>
        <v>0.11676</v>
      </c>
      <c r="P50" s="44">
        <f t="shared" si="27"/>
        <v>0.11562</v>
      </c>
      <c r="Q50" s="44">
        <f t="shared" si="27"/>
        <v>0.11445</v>
      </c>
      <c r="R50" s="44">
        <f t="shared" si="27"/>
        <v>0.11445</v>
      </c>
      <c r="S50" s="44"/>
    </row>
    <row r="51" spans="2:19">
      <c r="B51" s="41" t="s">
        <v>81</v>
      </c>
      <c r="C51" s="85" t="s">
        <v>81</v>
      </c>
      <c r="D51" s="85">
        <f>+D44</f>
        <v>718.75</v>
      </c>
      <c r="E51" s="85">
        <f t="shared" ref="E51:I51" si="28">+E44</f>
        <v>2645</v>
      </c>
      <c r="F51" s="85">
        <f t="shared" si="28"/>
        <v>4232</v>
      </c>
      <c r="G51" s="85">
        <f t="shared" si="28"/>
        <v>6266.6153846153848</v>
      </c>
      <c r="H51" s="85">
        <f t="shared" si="28"/>
        <v>9909.1697614678906</v>
      </c>
      <c r="I51" s="85">
        <f t="shared" si="28"/>
        <v>10404.628249541285</v>
      </c>
      <c r="J51" s="85"/>
      <c r="K51" s="41"/>
      <c r="L51" s="123" t="s">
        <v>85</v>
      </c>
      <c r="M51" s="44">
        <f t="shared" ref="M51:P51" si="29">(N51+M49)/(1+M50)</f>
        <v>108425.85670655675</v>
      </c>
      <c r="N51" s="44">
        <f t="shared" si="29"/>
        <v>120628.20951134356</v>
      </c>
      <c r="O51" s="44">
        <f t="shared" si="29"/>
        <v>132225.95402770478</v>
      </c>
      <c r="P51" s="44">
        <f t="shared" si="29"/>
        <v>143432.65641997958</v>
      </c>
      <c r="Q51" s="44">
        <f>(R51+Q49)/(1+Q50)</f>
        <v>153749.72477064226</v>
      </c>
      <c r="R51" s="44">
        <f>R49/(R50-R31)</f>
        <v>161437.21100917435</v>
      </c>
      <c r="S51" s="44"/>
    </row>
    <row r="52" spans="2:19">
      <c r="B52" s="41"/>
      <c r="C52" s="80" t="s">
        <v>78</v>
      </c>
      <c r="D52" s="86">
        <f>+D38</f>
        <v>0.11916993969211997</v>
      </c>
      <c r="E52" s="86">
        <f t="shared" ref="E52:I52" si="30">+E38</f>
        <v>0.11807142437127757</v>
      </c>
      <c r="F52" s="86">
        <f t="shared" si="30"/>
        <v>0.11676</v>
      </c>
      <c r="G52" s="86">
        <f t="shared" si="30"/>
        <v>0.11562</v>
      </c>
      <c r="H52" s="86">
        <f t="shared" si="30"/>
        <v>0.11445</v>
      </c>
      <c r="I52" s="86">
        <f t="shared" si="30"/>
        <v>0.11445</v>
      </c>
      <c r="J52" s="86"/>
      <c r="K52" s="41"/>
      <c r="M52" s="44"/>
      <c r="N52" s="44"/>
      <c r="O52" s="44"/>
      <c r="P52" s="44"/>
      <c r="Q52" s="44"/>
      <c r="R52" s="44"/>
      <c r="S52" s="44"/>
    </row>
    <row r="53" spans="2:19">
      <c r="B53" s="41"/>
      <c r="C53" s="87" t="s">
        <v>85</v>
      </c>
      <c r="D53" s="85">
        <f t="shared" ref="D53" si="31">(D51+E53)/(1+D52)</f>
        <v>108425.85670655675</v>
      </c>
      <c r="E53" s="85">
        <f t="shared" ref="E53" si="32">(E51+F53)/(1+E52)</f>
        <v>120628.20951134356</v>
      </c>
      <c r="F53" s="85">
        <f t="shared" ref="F53" si="33">(F51+G53)/(1+F52)</f>
        <v>132225.95402770478</v>
      </c>
      <c r="G53" s="85">
        <f t="shared" ref="G53" si="34">(G51+H53)/(1+G52)</f>
        <v>143432.65641997958</v>
      </c>
      <c r="H53" s="85">
        <f>(H51+I53)/(1+H52)</f>
        <v>153749.72477064226</v>
      </c>
      <c r="I53" s="85">
        <f>+I51/(I52-$I$31)</f>
        <v>161437.21100917435</v>
      </c>
      <c r="J53" s="85"/>
      <c r="K53" s="41" t="s">
        <v>148</v>
      </c>
      <c r="M53" s="44"/>
      <c r="N53" s="44"/>
      <c r="O53" s="44"/>
      <c r="P53" s="44"/>
      <c r="Q53" s="44"/>
      <c r="R53" s="44"/>
      <c r="S53" s="44"/>
    </row>
    <row r="54" spans="2:19">
      <c r="B54" s="41"/>
      <c r="C54" s="80"/>
      <c r="D54" s="80"/>
      <c r="E54" s="80"/>
      <c r="F54" s="80"/>
      <c r="G54" s="80"/>
      <c r="H54" s="80"/>
      <c r="I54" s="80"/>
      <c r="J54" s="80"/>
      <c r="K54" s="41"/>
      <c r="L54" t="s">
        <v>86</v>
      </c>
      <c r="M54" s="44">
        <f>M49+M44</f>
        <v>808.75</v>
      </c>
      <c r="N54" s="44">
        <f t="shared" ref="N54:R54" si="35">N49+N44</f>
        <v>2877.6406249999854</v>
      </c>
      <c r="O54" s="44">
        <f t="shared" si="35"/>
        <v>4660.4120910497595</v>
      </c>
      <c r="P54" s="44">
        <f t="shared" si="35"/>
        <v>6894.8504197348811</v>
      </c>
      <c r="Q54" s="44">
        <f t="shared" si="35"/>
        <v>10762.480733944956</v>
      </c>
      <c r="R54" s="44">
        <f t="shared" si="35"/>
        <v>11300.604770642203</v>
      </c>
      <c r="S54" s="44"/>
    </row>
    <row r="55" spans="2:19">
      <c r="B55" s="41" t="s">
        <v>148</v>
      </c>
      <c r="C55" s="80" t="s">
        <v>86</v>
      </c>
      <c r="D55" s="81">
        <f>+D44+D46</f>
        <v>808.75</v>
      </c>
      <c r="E55" s="81">
        <f t="shared" ref="E55:H55" si="36">+E44+E46</f>
        <v>2877.640625</v>
      </c>
      <c r="F55" s="81">
        <f t="shared" si="36"/>
        <v>4660.4120910497631</v>
      </c>
      <c r="G55" s="81">
        <f t="shared" si="36"/>
        <v>6894.8504197348957</v>
      </c>
      <c r="H55" s="81">
        <f t="shared" si="36"/>
        <v>10762.480733944954</v>
      </c>
      <c r="I55" s="81">
        <f>+I44+I46</f>
        <v>11300.604770642203</v>
      </c>
      <c r="J55" s="81"/>
      <c r="K55" s="41"/>
      <c r="L55" t="s">
        <v>87</v>
      </c>
      <c r="M55" s="44">
        <f>M25</f>
        <v>0.12</v>
      </c>
      <c r="N55" s="44">
        <f t="shared" ref="N55:R55" si="37">N25</f>
        <v>0.12</v>
      </c>
      <c r="O55" s="44">
        <f t="shared" si="37"/>
        <v>0.12</v>
      </c>
      <c r="P55" s="44">
        <f t="shared" si="37"/>
        <v>0.12</v>
      </c>
      <c r="Q55" s="44">
        <f t="shared" si="37"/>
        <v>0.12</v>
      </c>
      <c r="R55" s="44">
        <f t="shared" si="37"/>
        <v>0.12</v>
      </c>
      <c r="S55" s="44"/>
    </row>
    <row r="56" spans="2:19">
      <c r="B56" s="41"/>
      <c r="C56" s="86" t="s">
        <v>87</v>
      </c>
      <c r="D56" s="86">
        <f>+D25</f>
        <v>0.12</v>
      </c>
      <c r="E56" s="86">
        <f t="shared" ref="E56:I56" si="38">+E25</f>
        <v>0.12</v>
      </c>
      <c r="F56" s="86">
        <f t="shared" si="38"/>
        <v>0.12</v>
      </c>
      <c r="G56" s="86">
        <f t="shared" si="38"/>
        <v>0.12</v>
      </c>
      <c r="H56" s="86">
        <f t="shared" si="38"/>
        <v>0.12</v>
      </c>
      <c r="I56" s="86">
        <f t="shared" si="38"/>
        <v>0.12</v>
      </c>
      <c r="J56" s="86"/>
      <c r="K56" s="41"/>
      <c r="L56" s="123" t="s">
        <v>85</v>
      </c>
      <c r="M56" s="44">
        <f t="shared" ref="M56:P56" si="39">(N56+M54)/(1+M55)</f>
        <v>108425.85670655667</v>
      </c>
      <c r="N56" s="44">
        <f t="shared" si="39"/>
        <v>120628.20951134349</v>
      </c>
      <c r="O56" s="44">
        <f t="shared" si="39"/>
        <v>132225.95402770472</v>
      </c>
      <c r="P56" s="44">
        <f t="shared" si="39"/>
        <v>143432.65641997952</v>
      </c>
      <c r="Q56" s="44">
        <f>(R56+Q54)/(1+Q55)</f>
        <v>153749.72477064221</v>
      </c>
      <c r="R56" s="44">
        <f>R54/(R55-R31)</f>
        <v>161437.21100917435</v>
      </c>
      <c r="S56" s="44"/>
    </row>
    <row r="57" spans="2:19">
      <c r="B57" s="41"/>
      <c r="C57" s="87" t="s">
        <v>85</v>
      </c>
      <c r="D57" s="85">
        <f>(D55+E57)/(1+D56)</f>
        <v>108425.8567065567</v>
      </c>
      <c r="E57" s="85">
        <f t="shared" ref="E57:G57" si="40">(E55+F57)/(1+E56)</f>
        <v>120628.20951134352</v>
      </c>
      <c r="F57" s="85">
        <f t="shared" si="40"/>
        <v>132225.95402770475</v>
      </c>
      <c r="G57" s="85">
        <f t="shared" si="40"/>
        <v>143432.65641997955</v>
      </c>
      <c r="H57" s="85">
        <f>(H55+I57)/(1+H56)</f>
        <v>153749.72477064221</v>
      </c>
      <c r="I57" s="85">
        <f>+I55/(I56-$I$31)</f>
        <v>161437.21100917435</v>
      </c>
      <c r="J57" s="85"/>
      <c r="L57" s="124" t="s">
        <v>165</v>
      </c>
      <c r="M57" s="44"/>
      <c r="N57" s="44"/>
      <c r="O57" s="44"/>
      <c r="P57" s="44"/>
      <c r="Q57" s="44"/>
      <c r="R57" s="44"/>
      <c r="S57" s="44"/>
    </row>
    <row r="58" spans="2:19">
      <c r="B58" s="41"/>
      <c r="C58" s="87"/>
      <c r="D58" s="85"/>
      <c r="E58" s="85"/>
      <c r="F58" s="85"/>
      <c r="G58" s="85"/>
      <c r="H58" s="85"/>
      <c r="I58" s="85"/>
      <c r="J58" s="85"/>
      <c r="K58" s="41" t="s">
        <v>84</v>
      </c>
      <c r="M58" s="44"/>
      <c r="N58" s="44"/>
      <c r="O58" s="44"/>
      <c r="P58" s="44"/>
      <c r="Q58" s="44"/>
      <c r="R58" s="44"/>
      <c r="S58" s="44"/>
    </row>
    <row r="59" spans="2:19">
      <c r="B59" s="41" t="s">
        <v>84</v>
      </c>
      <c r="C59" s="81" t="s">
        <v>84</v>
      </c>
      <c r="D59" s="81">
        <f>+D48</f>
        <v>12365</v>
      </c>
      <c r="E59" s="81">
        <f t="shared" ref="E59:H59" si="41">+E48</f>
        <v>18838.239333311431</v>
      </c>
      <c r="F59" s="81">
        <f t="shared" si="41"/>
        <v>19509.607843731748</v>
      </c>
      <c r="G59" s="81">
        <f t="shared" si="41"/>
        <v>22208.416669600785</v>
      </c>
      <c r="H59" s="81">
        <f t="shared" si="41"/>
        <v>8917.4840366972348</v>
      </c>
      <c r="I59" s="81">
        <f>+I48</f>
        <v>9363.3582385321115</v>
      </c>
      <c r="J59" s="81"/>
      <c r="L59" t="s">
        <v>84</v>
      </c>
      <c r="M59" s="44">
        <f>M46</f>
        <v>12365</v>
      </c>
      <c r="N59" s="44">
        <f t="shared" ref="N59:R59" si="42">N46</f>
        <v>18838.239333311416</v>
      </c>
      <c r="O59" s="44">
        <f t="shared" si="42"/>
        <v>19509.607843731745</v>
      </c>
      <c r="P59" s="44">
        <f t="shared" si="42"/>
        <v>22208.416669600771</v>
      </c>
      <c r="Q59" s="44">
        <f t="shared" si="42"/>
        <v>8917.4840366972385</v>
      </c>
      <c r="R59" s="44">
        <f t="shared" si="42"/>
        <v>9363.3582385321115</v>
      </c>
      <c r="S59" s="44"/>
    </row>
    <row r="60" spans="2:19">
      <c r="B60" s="41"/>
      <c r="C60" s="80" t="s">
        <v>79</v>
      </c>
      <c r="D60" s="86">
        <f>+D39</f>
        <v>0.12609595913184499</v>
      </c>
      <c r="E60" s="86">
        <f t="shared" ref="E60:I60" si="43">+E39</f>
        <v>0.13125003001359373</v>
      </c>
      <c r="F60" s="86">
        <f t="shared" si="43"/>
        <v>0.14057142857142857</v>
      </c>
      <c r="G60" s="86">
        <f t="shared" si="43"/>
        <v>0.15133333333333332</v>
      </c>
      <c r="H60" s="86">
        <f t="shared" si="43"/>
        <v>0.16599999999999998</v>
      </c>
      <c r="I60" s="86">
        <f t="shared" si="43"/>
        <v>0.16599999999999998</v>
      </c>
      <c r="J60" s="86"/>
      <c r="L60" t="s">
        <v>79</v>
      </c>
      <c r="M60" s="44">
        <f>(M25-M28*M26)/(1-M26)</f>
        <v>0.12609595913184499</v>
      </c>
      <c r="N60" s="44">
        <f t="shared" ref="N60:R60" si="44">(N25-N28*N26)/(1-N26)</f>
        <v>0.1312500300135937</v>
      </c>
      <c r="O60" s="44">
        <f t="shared" si="44"/>
        <v>0.14057142857142857</v>
      </c>
      <c r="P60" s="44">
        <f t="shared" si="44"/>
        <v>0.15133333333333332</v>
      </c>
      <c r="Q60" s="44">
        <f t="shared" si="44"/>
        <v>0.16599999999999998</v>
      </c>
      <c r="R60" s="44">
        <f t="shared" si="44"/>
        <v>0.16599999999999998</v>
      </c>
      <c r="S60" s="44"/>
    </row>
    <row r="61" spans="2:19">
      <c r="C61" s="80" t="s">
        <v>88</v>
      </c>
      <c r="D61" s="85">
        <f t="shared" ref="D61" si="45">(D59+E61)/(1+D60)</f>
        <v>98425.856706556748</v>
      </c>
      <c r="E61" s="85">
        <f t="shared" ref="E61" si="46">(E59+F61)/(1+E60)</f>
        <v>98471.95951134355</v>
      </c>
      <c r="F61" s="85">
        <f t="shared" ref="F61" si="47">(F59+G61)/(1+F60)</f>
        <v>92558.167819393348</v>
      </c>
      <c r="G61" s="85">
        <f t="shared" ref="G61" si="48">(G59+H61)/(1+G60)</f>
        <v>86059.593851987753</v>
      </c>
      <c r="H61" s="85">
        <f>(H59+I61)/(1+H60)</f>
        <v>76874.862385321117</v>
      </c>
      <c r="I61" s="85">
        <f>+I59/(I60-$I$31)</f>
        <v>80718.605504587176</v>
      </c>
      <c r="J61" s="85"/>
      <c r="L61" t="s">
        <v>88</v>
      </c>
      <c r="M61" s="44">
        <f t="shared" ref="M61:P61" si="49">(N61+M59)/(1+M60)</f>
        <v>98425.856706556733</v>
      </c>
      <c r="N61" s="44">
        <f t="shared" si="49"/>
        <v>98471.959511343535</v>
      </c>
      <c r="O61" s="44">
        <f t="shared" si="49"/>
        <v>92558.167819393348</v>
      </c>
      <c r="P61" s="44">
        <f t="shared" si="49"/>
        <v>86059.593851987753</v>
      </c>
      <c r="Q61" s="44">
        <f>(R61+Q59)/(1+Q60)</f>
        <v>76874.862385321117</v>
      </c>
      <c r="R61" s="44">
        <f>R59/(R60-R31)</f>
        <v>80718.605504587176</v>
      </c>
      <c r="S61" s="44"/>
    </row>
    <row r="62" spans="2:19">
      <c r="C62" s="87" t="s">
        <v>85</v>
      </c>
      <c r="D62" s="85">
        <f t="shared" ref="D62:H62" si="50">+D61+D34</f>
        <v>108425.85670655675</v>
      </c>
      <c r="E62" s="85">
        <f t="shared" si="50"/>
        <v>120628.20951134355</v>
      </c>
      <c r="F62" s="85">
        <f t="shared" si="50"/>
        <v>132225.95402770478</v>
      </c>
      <c r="G62" s="85">
        <f t="shared" si="50"/>
        <v>143432.65641997958</v>
      </c>
      <c r="H62" s="85">
        <f t="shared" si="50"/>
        <v>153749.72477064223</v>
      </c>
      <c r="I62" s="85">
        <f>+I61+I34</f>
        <v>161437.21100917435</v>
      </c>
      <c r="J62" s="85"/>
      <c r="L62" t="s">
        <v>166</v>
      </c>
      <c r="M62" s="44" cm="1">
        <f t="array" ref="M62:R62">M36:R36</f>
        <v>10000</v>
      </c>
      <c r="N62" s="44">
        <v>22156.25</v>
      </c>
      <c r="O62" s="44">
        <v>39667.786208311431</v>
      </c>
      <c r="P62" s="44">
        <v>57373.062567991838</v>
      </c>
      <c r="Q62" s="44">
        <v>76874.862385321132</v>
      </c>
      <c r="R62" s="44">
        <v>80718.605504587176</v>
      </c>
      <c r="S62" s="44"/>
    </row>
    <row r="63" spans="2:19">
      <c r="L63" s="123" t="s">
        <v>85</v>
      </c>
      <c r="M63" s="44">
        <f>M61+M62</f>
        <v>108425.85670655673</v>
      </c>
      <c r="N63" s="44">
        <f t="shared" ref="N63:R63" si="51">N61+N62</f>
        <v>120628.20951134354</v>
      </c>
      <c r="O63" s="44">
        <f t="shared" si="51"/>
        <v>132225.95402770478</v>
      </c>
      <c r="P63" s="44">
        <f t="shared" si="51"/>
        <v>143432.65641997958</v>
      </c>
      <c r="Q63" s="44">
        <f t="shared" si="51"/>
        <v>153749.72477064223</v>
      </c>
      <c r="R63" s="44">
        <f t="shared" si="51"/>
        <v>161437.21100917435</v>
      </c>
      <c r="S63" s="44"/>
    </row>
    <row r="64" spans="2:19">
      <c r="L64" s="124" t="s">
        <v>165</v>
      </c>
      <c r="M64" s="44"/>
      <c r="N64" s="44"/>
      <c r="O64" s="44"/>
      <c r="P64" s="44"/>
      <c r="Q64" s="44"/>
      <c r="R64" s="44"/>
      <c r="S64" s="44"/>
    </row>
  </sheetData>
  <phoneticPr fontId="9"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F235D-40D2-6045-90AB-7B112BAF836C}">
  <sheetPr>
    <tabColor rgb="FF92D050"/>
  </sheetPr>
  <dimension ref="B3:BE79"/>
  <sheetViews>
    <sheetView topLeftCell="A29" zoomScale="50" zoomScaleNormal="50" workbookViewId="0">
      <selection activeCell="Z46" sqref="Z46"/>
    </sheetView>
  </sheetViews>
  <sheetFormatPr defaultColWidth="11.19921875" defaultRowHeight="15.6"/>
  <sheetData>
    <row r="3" spans="2:23">
      <c r="V3" t="s">
        <v>338</v>
      </c>
    </row>
    <row r="4" spans="2:23">
      <c r="O4" s="172" t="s">
        <v>213</v>
      </c>
    </row>
    <row r="5" spans="2:23">
      <c r="B5" t="s">
        <v>214</v>
      </c>
      <c r="C5" s="37">
        <v>0.2</v>
      </c>
      <c r="V5" t="s">
        <v>214</v>
      </c>
      <c r="W5" s="37">
        <v>0.2</v>
      </c>
    </row>
    <row r="7" spans="2:23">
      <c r="O7" s="172"/>
    </row>
    <row r="9" spans="2:23">
      <c r="B9" t="s">
        <v>215</v>
      </c>
      <c r="C9" s="37">
        <v>0.09</v>
      </c>
      <c r="V9" t="s">
        <v>215</v>
      </c>
      <c r="W9" s="37">
        <v>7.0000000000000007E-2</v>
      </c>
    </row>
    <row r="12" spans="2:23">
      <c r="P12" t="s">
        <v>216</v>
      </c>
    </row>
    <row r="13" spans="2:23">
      <c r="O13" t="s">
        <v>217</v>
      </c>
      <c r="P13" s="40">
        <v>200</v>
      </c>
    </row>
    <row r="14" spans="2:23">
      <c r="O14" t="s">
        <v>218</v>
      </c>
      <c r="P14" s="40">
        <v>0</v>
      </c>
    </row>
    <row r="15" spans="2:23">
      <c r="P15" s="40"/>
    </row>
    <row r="16" spans="2:23">
      <c r="O16" t="s">
        <v>219</v>
      </c>
      <c r="P16" s="40">
        <v>200</v>
      </c>
    </row>
    <row r="17" spans="2:47">
      <c r="P17" s="40"/>
    </row>
    <row r="18" spans="2:47">
      <c r="P18" s="40" t="s">
        <v>220</v>
      </c>
    </row>
    <row r="19" spans="2:47">
      <c r="O19" t="s">
        <v>219</v>
      </c>
      <c r="P19" s="40">
        <v>300</v>
      </c>
      <c r="V19" t="s">
        <v>339</v>
      </c>
    </row>
    <row r="20" spans="2:47">
      <c r="F20" s="173" t="s">
        <v>221</v>
      </c>
      <c r="G20" s="173">
        <f>L24/(1+C36)^5</f>
        <v>1096.5481032294251</v>
      </c>
      <c r="P20" s="40"/>
      <c r="Z20" s="220" t="s">
        <v>237</v>
      </c>
      <c r="AA20" s="220">
        <f>AF24/(1+W37)^4</f>
        <v>355.49517505221297</v>
      </c>
    </row>
    <row r="21" spans="2:47">
      <c r="C21" t="s">
        <v>216</v>
      </c>
      <c r="G21" t="s">
        <v>222</v>
      </c>
      <c r="L21" t="s">
        <v>223</v>
      </c>
      <c r="P21" s="40" t="s">
        <v>224</v>
      </c>
      <c r="W21" t="s">
        <v>216</v>
      </c>
      <c r="AA21" t="s">
        <v>340</v>
      </c>
      <c r="AF21" t="s">
        <v>341</v>
      </c>
    </row>
    <row r="22" spans="2:47">
      <c r="B22" s="174" t="s">
        <v>39</v>
      </c>
      <c r="C22" s="174">
        <v>200</v>
      </c>
      <c r="F22" s="174" t="s">
        <v>225</v>
      </c>
      <c r="G22" s="174">
        <v>300</v>
      </c>
      <c r="K22" s="174" t="s">
        <v>226</v>
      </c>
      <c r="L22" s="174">
        <f>1500*4</f>
        <v>6000</v>
      </c>
      <c r="O22" t="s">
        <v>227</v>
      </c>
      <c r="P22" s="40">
        <v>500</v>
      </c>
      <c r="V22" s="92" t="s">
        <v>39</v>
      </c>
      <c r="W22" s="92">
        <v>30</v>
      </c>
      <c r="Z22" s="92" t="s">
        <v>225</v>
      </c>
      <c r="AA22" s="92">
        <v>100</v>
      </c>
      <c r="AE22" s="92" t="s">
        <v>342</v>
      </c>
      <c r="AF22" s="92">
        <v>1500</v>
      </c>
      <c r="AT22" t="s">
        <v>338</v>
      </c>
    </row>
    <row r="23" spans="2:47">
      <c r="B23" t="s">
        <v>228</v>
      </c>
      <c r="C23">
        <f>C26-C24</f>
        <v>102.69901442183351</v>
      </c>
      <c r="F23" s="175" t="s">
        <v>228</v>
      </c>
      <c r="G23" s="175">
        <f>+G20-G22</f>
        <v>796.54810322942512</v>
      </c>
      <c r="K23" t="s">
        <v>75</v>
      </c>
      <c r="L23">
        <v>500</v>
      </c>
      <c r="O23" t="s">
        <v>229</v>
      </c>
      <c r="P23" s="40">
        <v>4</v>
      </c>
      <c r="V23" t="s">
        <v>343</v>
      </c>
      <c r="W23">
        <f>W26-W24</f>
        <v>58.746532322086466</v>
      </c>
      <c r="Z23" s="221" t="s">
        <v>228</v>
      </c>
      <c r="AA23" s="221">
        <f>AA20-W25</f>
        <v>255.49517505221297</v>
      </c>
      <c r="AE23" t="s">
        <v>75</v>
      </c>
      <c r="AF23">
        <f>AA22</f>
        <v>100</v>
      </c>
    </row>
    <row r="24" spans="2:47">
      <c r="B24" s="174" t="s">
        <v>230</v>
      </c>
      <c r="C24" s="174">
        <v>200</v>
      </c>
      <c r="F24" s="174" t="s">
        <v>231</v>
      </c>
      <c r="G24" s="174">
        <v>0</v>
      </c>
      <c r="K24" s="173" t="s">
        <v>76</v>
      </c>
      <c r="L24" s="173">
        <f>L22-L23</f>
        <v>5500</v>
      </c>
      <c r="O24" t="s">
        <v>232</v>
      </c>
      <c r="P24" s="40">
        <v>1500</v>
      </c>
      <c r="V24" s="92" t="s">
        <v>230</v>
      </c>
      <c r="W24" s="92">
        <v>70</v>
      </c>
      <c r="Z24" s="92" t="s">
        <v>231</v>
      </c>
      <c r="AA24" s="92">
        <v>100</v>
      </c>
      <c r="AE24" s="220" t="s">
        <v>76</v>
      </c>
      <c r="AF24" s="220">
        <f>AF22-AF23</f>
        <v>1400</v>
      </c>
      <c r="AT24" t="s">
        <v>214</v>
      </c>
      <c r="AU24" s="37">
        <v>0.2</v>
      </c>
    </row>
    <row r="25" spans="2:47">
      <c r="B25" t="s">
        <v>233</v>
      </c>
      <c r="C25">
        <f>C22+C24</f>
        <v>400</v>
      </c>
      <c r="F25" s="176" t="s">
        <v>234</v>
      </c>
      <c r="G25" s="177">
        <f>+G22/G20</f>
        <v>0.27358580906434943</v>
      </c>
      <c r="H25" t="s">
        <v>235</v>
      </c>
      <c r="K25" s="178" t="s">
        <v>236</v>
      </c>
      <c r="L25" s="179">
        <f>+L26+L27</f>
        <v>0.58836515962968461</v>
      </c>
      <c r="V25" t="s">
        <v>233</v>
      </c>
      <c r="W25">
        <f>W22+W24</f>
        <v>100</v>
      </c>
      <c r="Z25" s="222" t="s">
        <v>344</v>
      </c>
      <c r="AA25" s="223">
        <f>AA22/AA20</f>
        <v>0.28129777003390444</v>
      </c>
      <c r="AB25" t="s">
        <v>345</v>
      </c>
    </row>
    <row r="26" spans="2:47">
      <c r="B26" s="174" t="s">
        <v>237</v>
      </c>
      <c r="C26">
        <f>+G23/(1+C36)^3</f>
        <v>302.69901442183351</v>
      </c>
      <c r="E26" s="180">
        <v>0.25</v>
      </c>
      <c r="F26" t="s">
        <v>238</v>
      </c>
      <c r="G26">
        <f>1-G25</f>
        <v>0.72641419093565052</v>
      </c>
      <c r="K26" s="176" t="s">
        <v>234</v>
      </c>
      <c r="L26" s="181">
        <f>G25</f>
        <v>0.27358580906434943</v>
      </c>
      <c r="V26" s="92" t="s">
        <v>346</v>
      </c>
      <c r="W26">
        <f>AA23/(1+W37)^2</f>
        <v>128.74653232208647</v>
      </c>
      <c r="Z26" t="s">
        <v>238</v>
      </c>
      <c r="AA26" s="29">
        <f>1-AA25</f>
        <v>0.71870222996609556</v>
      </c>
      <c r="AE26" s="222" t="s">
        <v>344</v>
      </c>
      <c r="AF26" s="223">
        <f>AA25</f>
        <v>0.28129777003390444</v>
      </c>
    </row>
    <row r="27" spans="2:47">
      <c r="F27" s="176" t="s">
        <v>239</v>
      </c>
      <c r="G27" s="177">
        <f>G26*C28</f>
        <v>0.31477935056533524</v>
      </c>
      <c r="H27" t="s">
        <v>240</v>
      </c>
      <c r="K27" s="176" t="s">
        <v>239</v>
      </c>
      <c r="L27" s="181">
        <f>G27</f>
        <v>0.31477935056533524</v>
      </c>
      <c r="X27" s="93">
        <v>0.3</v>
      </c>
      <c r="Z27" s="222" t="s">
        <v>347</v>
      </c>
      <c r="AA27" s="224">
        <f>AA26*W28</f>
        <v>0.39076125318163285</v>
      </c>
      <c r="AB27" t="s">
        <v>348</v>
      </c>
      <c r="AE27" s="222" t="s">
        <v>347</v>
      </c>
      <c r="AF27" s="224">
        <f>AA27</f>
        <v>0.39076125318163285</v>
      </c>
    </row>
    <row r="28" spans="2:47">
      <c r="B28" t="s">
        <v>241</v>
      </c>
      <c r="C28" s="29">
        <v>0.43333315138005063</v>
      </c>
      <c r="F28" s="176" t="s">
        <v>242</v>
      </c>
      <c r="G28" s="182">
        <f>C31*G26</f>
        <v>0.41163484037031522</v>
      </c>
      <c r="H28" t="s">
        <v>243</v>
      </c>
      <c r="K28" s="176" t="s">
        <v>242</v>
      </c>
      <c r="L28" s="181">
        <f>G28</f>
        <v>0.41163484037031522</v>
      </c>
      <c r="V28" s="76" t="s">
        <v>349</v>
      </c>
      <c r="W28" s="225">
        <v>0.54370396652319675</v>
      </c>
      <c r="Z28" s="222" t="s">
        <v>242</v>
      </c>
      <c r="AA28" s="224">
        <f>W31*AA26</f>
        <v>0.32794097678446271</v>
      </c>
      <c r="AB28" t="s">
        <v>243</v>
      </c>
      <c r="AE28" s="222" t="s">
        <v>242</v>
      </c>
      <c r="AF28" s="224">
        <f>AA28</f>
        <v>0.32794097678446271</v>
      </c>
      <c r="AT28" t="s">
        <v>215</v>
      </c>
      <c r="AU28" s="37">
        <v>7.0000000000000007E-2</v>
      </c>
    </row>
    <row r="29" spans="2:47">
      <c r="B29" s="174" t="s">
        <v>244</v>
      </c>
      <c r="C29" s="183">
        <v>0.43333215138005066</v>
      </c>
      <c r="V29" t="s">
        <v>350</v>
      </c>
      <c r="W29" s="90">
        <f>W24/W26</f>
        <v>0.54370396419594669</v>
      </c>
    </row>
    <row r="30" spans="2:47">
      <c r="B30" t="s">
        <v>245</v>
      </c>
      <c r="C30" s="37">
        <f>C29-C28</f>
        <v>-9.9999999997324451E-7</v>
      </c>
      <c r="E30" s="180">
        <v>0.75</v>
      </c>
      <c r="F30" s="174" t="s">
        <v>246</v>
      </c>
      <c r="G30" s="180">
        <v>0</v>
      </c>
      <c r="K30" t="s">
        <v>247</v>
      </c>
      <c r="L30">
        <f>G31*(1+C9)^5</f>
        <v>615.44958196000016</v>
      </c>
      <c r="V30" t="s">
        <v>245</v>
      </c>
      <c r="W30" s="37">
        <f>W29-W28</f>
        <v>-2.3272500593307655E-9</v>
      </c>
      <c r="X30" s="93">
        <v>0.7</v>
      </c>
      <c r="Z30" s="92" t="s">
        <v>246</v>
      </c>
      <c r="AA30" s="93">
        <v>0.9</v>
      </c>
      <c r="AE30" t="s">
        <v>351</v>
      </c>
      <c r="AF30" s="128">
        <f>AA31*(1+W9)^4</f>
        <v>117.9716409</v>
      </c>
    </row>
    <row r="31" spans="2:47">
      <c r="B31" s="176" t="s">
        <v>242</v>
      </c>
      <c r="C31" s="182">
        <f>1-C28</f>
        <v>0.56666684861994931</v>
      </c>
      <c r="F31" t="s">
        <v>248</v>
      </c>
      <c r="G31" s="40">
        <f>+P16+P13</f>
        <v>400</v>
      </c>
      <c r="K31" t="s">
        <v>249</v>
      </c>
      <c r="L31">
        <f>G32*(1+C9)^5</f>
        <v>266.69470686626164</v>
      </c>
      <c r="U31" s="178" t="s">
        <v>352</v>
      </c>
      <c r="V31" s="222" t="s">
        <v>242</v>
      </c>
      <c r="W31" s="226">
        <f>1-W28</f>
        <v>0.45629603347680325</v>
      </c>
      <c r="X31" t="s">
        <v>114</v>
      </c>
      <c r="Z31" t="s">
        <v>353</v>
      </c>
      <c r="AA31" s="44">
        <f>AA30*W25</f>
        <v>90</v>
      </c>
      <c r="AE31" t="s">
        <v>354</v>
      </c>
      <c r="AF31" s="128">
        <f>AA32*(1+W9)^4</f>
        <v>64.141649094580188</v>
      </c>
    </row>
    <row r="32" spans="2:47">
      <c r="B32" t="s">
        <v>250</v>
      </c>
      <c r="C32">
        <v>8</v>
      </c>
      <c r="D32" t="s">
        <v>114</v>
      </c>
      <c r="F32" t="s">
        <v>251</v>
      </c>
      <c r="G32">
        <f>+C28*G31</f>
        <v>173.33326055202025</v>
      </c>
      <c r="Z32" t="s">
        <v>251</v>
      </c>
      <c r="AA32" s="128">
        <f>AA31*W28</f>
        <v>48.933356987087706</v>
      </c>
      <c r="AE32" t="s">
        <v>354</v>
      </c>
      <c r="AF32" s="128">
        <f>AF30*W28</f>
        <v>64.141649094580188</v>
      </c>
    </row>
    <row r="33" spans="2:56">
      <c r="B33" t="s">
        <v>252</v>
      </c>
      <c r="C33" s="37">
        <v>0.75</v>
      </c>
      <c r="F33" t="s">
        <v>253</v>
      </c>
      <c r="G33" s="40">
        <f>G31-G32</f>
        <v>226.66673944797975</v>
      </c>
      <c r="K33" t="s">
        <v>254</v>
      </c>
      <c r="L33">
        <f>+L24*L28</f>
        <v>2263.9916220367336</v>
      </c>
      <c r="V33" t="s">
        <v>355</v>
      </c>
      <c r="W33">
        <v>6</v>
      </c>
    </row>
    <row r="34" spans="2:56">
      <c r="B34" t="s">
        <v>255</v>
      </c>
      <c r="C34">
        <f>+(L31/C24)^(1/8)-1</f>
        <v>3.6628274102104008E-2</v>
      </c>
      <c r="F34" t="s">
        <v>256</v>
      </c>
      <c r="G34">
        <f>(G33/C23)^(1/3)-1</f>
        <v>0.30198857674477297</v>
      </c>
      <c r="K34" t="s">
        <v>257</v>
      </c>
      <c r="L34">
        <f>(L33/C23)^(1/8)-1</f>
        <v>0.47201951445764112</v>
      </c>
      <c r="V34" t="s">
        <v>252</v>
      </c>
      <c r="W34" s="37">
        <v>0.7</v>
      </c>
      <c r="AE34" t="s">
        <v>254</v>
      </c>
      <c r="AF34">
        <f>AF24*AF28</f>
        <v>459.1173674982478</v>
      </c>
      <c r="AG34" t="s">
        <v>356</v>
      </c>
    </row>
    <row r="35" spans="2:56">
      <c r="B35" t="s">
        <v>258</v>
      </c>
      <c r="C35" s="37">
        <v>0.25</v>
      </c>
      <c r="V35" t="s">
        <v>357</v>
      </c>
      <c r="W35" s="134">
        <f>(AF31/W24)^(1/6)-1</f>
        <v>-1.4461305704725924E-2</v>
      </c>
      <c r="AE35" t="s">
        <v>257</v>
      </c>
      <c r="AF35" s="90">
        <f>(AF34/W23)^(1/6)-1</f>
        <v>0.40871643335676322</v>
      </c>
    </row>
    <row r="36" spans="2:56">
      <c r="B36" s="178" t="s">
        <v>259</v>
      </c>
      <c r="C36" s="184">
        <f>(((1+C5)^C32-C33*(1+C34)^C32)/C35)^(1/C32)-1</f>
        <v>0.38059723827658876</v>
      </c>
      <c r="V36" t="s">
        <v>258</v>
      </c>
      <c r="W36" s="37">
        <v>0.3</v>
      </c>
    </row>
    <row r="37" spans="2:56">
      <c r="U37" s="178" t="s">
        <v>358</v>
      </c>
      <c r="V37" t="s">
        <v>359</v>
      </c>
      <c r="W37">
        <f>(((1+W5)^W33-W34*(1+W35)^W33)/W36)^(1/W33)-1</f>
        <v>0.40871643455424422</v>
      </c>
      <c r="X37" t="s">
        <v>360</v>
      </c>
    </row>
    <row r="38" spans="2:56">
      <c r="AT38" t="s">
        <v>339</v>
      </c>
    </row>
    <row r="39" spans="2:56">
      <c r="AX39" s="220" t="s">
        <v>237</v>
      </c>
      <c r="AY39" s="220">
        <f>BD43/(1+AU56)^4</f>
        <v>274.67780812957466</v>
      </c>
    </row>
    <row r="40" spans="2:56">
      <c r="F40" s="173" t="s">
        <v>221</v>
      </c>
      <c r="G40" s="173">
        <f>L44/(1+C56)^5</f>
        <v>1226.5742610221109</v>
      </c>
      <c r="U40" s="227"/>
      <c r="V40" t="s">
        <v>214</v>
      </c>
      <c r="W40" s="228">
        <v>0.2</v>
      </c>
      <c r="Y40" s="227"/>
      <c r="AC40" s="227"/>
      <c r="AU40" t="s">
        <v>216</v>
      </c>
      <c r="AY40" t="s">
        <v>340</v>
      </c>
      <c r="BD40" t="s">
        <v>341</v>
      </c>
    </row>
    <row r="41" spans="2:56">
      <c r="C41" t="s">
        <v>216</v>
      </c>
      <c r="G41" t="s">
        <v>222</v>
      </c>
      <c r="L41" t="s">
        <v>223</v>
      </c>
      <c r="U41" s="227"/>
      <c r="Y41" s="227"/>
      <c r="AC41" s="227"/>
      <c r="AH41" t="s">
        <v>361</v>
      </c>
      <c r="AI41" s="229" t="s">
        <v>362</v>
      </c>
      <c r="AJ41" s="229" t="s">
        <v>363</v>
      </c>
      <c r="AT41" s="92" t="s">
        <v>39</v>
      </c>
      <c r="AU41" s="92">
        <v>30</v>
      </c>
      <c r="AX41" s="92" t="s">
        <v>225</v>
      </c>
      <c r="AY41" s="92">
        <v>100</v>
      </c>
      <c r="BC41" s="92" t="s">
        <v>342</v>
      </c>
      <c r="BD41" s="247">
        <v>1100</v>
      </c>
    </row>
    <row r="42" spans="2:56">
      <c r="B42" s="174" t="s">
        <v>39</v>
      </c>
      <c r="C42" s="174">
        <v>200</v>
      </c>
      <c r="F42" s="174" t="s">
        <v>225</v>
      </c>
      <c r="G42" s="174">
        <v>300</v>
      </c>
      <c r="K42" s="174" t="s">
        <v>226</v>
      </c>
      <c r="L42" s="174">
        <f>1500*4</f>
        <v>6000</v>
      </c>
      <c r="U42" s="227"/>
      <c r="V42" s="230" t="s">
        <v>216</v>
      </c>
      <c r="W42" s="230"/>
      <c r="Y42" s="227"/>
      <c r="Z42" s="230" t="s">
        <v>340</v>
      </c>
      <c r="AA42" s="230"/>
      <c r="AC42" s="227"/>
      <c r="AD42" s="230" t="s">
        <v>341</v>
      </c>
      <c r="AE42" s="230"/>
      <c r="AG42" s="231" t="s">
        <v>364</v>
      </c>
      <c r="AH42" s="232">
        <f>W45</f>
        <v>30</v>
      </c>
      <c r="AI42" s="229">
        <v>0</v>
      </c>
      <c r="AJ42" s="229" t="s">
        <v>365</v>
      </c>
      <c r="AT42" t="s">
        <v>343</v>
      </c>
      <c r="AU42">
        <f>AU45-AU43</f>
        <v>21.54813899115959</v>
      </c>
      <c r="AX42" s="221" t="s">
        <v>228</v>
      </c>
      <c r="AY42" s="221">
        <f>AY39-AU44</f>
        <v>174.67780812957466</v>
      </c>
      <c r="BC42" t="s">
        <v>75</v>
      </c>
      <c r="BD42">
        <v>100</v>
      </c>
    </row>
    <row r="43" spans="2:56">
      <c r="B43" t="s">
        <v>228</v>
      </c>
      <c r="C43">
        <f>C46-C44</f>
        <v>176.5987953145804</v>
      </c>
      <c r="F43" s="175" t="s">
        <v>228</v>
      </c>
      <c r="G43" s="175">
        <f>+G40-G42</f>
        <v>926.57426102211093</v>
      </c>
      <c r="K43" t="s">
        <v>75</v>
      </c>
      <c r="L43">
        <v>500</v>
      </c>
      <c r="U43" s="227"/>
      <c r="V43" t="s">
        <v>366</v>
      </c>
      <c r="W43" s="105">
        <f>W45+W48</f>
        <v>100</v>
      </c>
      <c r="Y43" s="227"/>
      <c r="AA43" s="233"/>
      <c r="AC43" s="227"/>
      <c r="AE43" s="233"/>
      <c r="AG43" s="231" t="s">
        <v>367</v>
      </c>
      <c r="AH43" s="232">
        <f>W48</f>
        <v>70</v>
      </c>
      <c r="AI43" s="229">
        <v>0</v>
      </c>
      <c r="AJ43" s="229" t="s">
        <v>365</v>
      </c>
      <c r="AT43" s="92" t="s">
        <v>230</v>
      </c>
      <c r="AU43" s="92">
        <v>70</v>
      </c>
      <c r="AX43" s="92" t="s">
        <v>231</v>
      </c>
      <c r="AY43" s="92">
        <v>100</v>
      </c>
      <c r="BC43" s="220" t="s">
        <v>76</v>
      </c>
      <c r="BD43" s="220">
        <f>BD41-BD42</f>
        <v>1000</v>
      </c>
    </row>
    <row r="44" spans="2:56">
      <c r="B44" s="174" t="s">
        <v>230</v>
      </c>
      <c r="C44" s="174">
        <v>200</v>
      </c>
      <c r="F44" s="174" t="s">
        <v>231</v>
      </c>
      <c r="G44" s="174">
        <v>0</v>
      </c>
      <c r="K44" s="173" t="s">
        <v>76</v>
      </c>
      <c r="L44" s="173">
        <f>L42-L43</f>
        <v>5500</v>
      </c>
      <c r="U44" s="227"/>
      <c r="W44" s="105"/>
      <c r="Y44" s="227"/>
      <c r="Z44" s="234" t="s">
        <v>368</v>
      </c>
      <c r="AC44" s="227"/>
      <c r="AD44" s="234" t="s">
        <v>369</v>
      </c>
      <c r="AG44" s="231" t="s">
        <v>370</v>
      </c>
      <c r="AH44" s="232">
        <f>AA47</f>
        <v>100</v>
      </c>
      <c r="AI44" s="229">
        <v>2</v>
      </c>
      <c r="AJ44" s="229" t="s">
        <v>371</v>
      </c>
      <c r="AT44" t="s">
        <v>233</v>
      </c>
      <c r="AU44">
        <f>AU41+AU43</f>
        <v>100</v>
      </c>
      <c r="AX44" s="222" t="s">
        <v>344</v>
      </c>
      <c r="AY44" s="223">
        <f>AY41/AY39</f>
        <v>0.36406290220878229</v>
      </c>
      <c r="AZ44" t="s">
        <v>425</v>
      </c>
    </row>
    <row r="45" spans="2:56">
      <c r="B45" t="s">
        <v>233</v>
      </c>
      <c r="C45">
        <f>C42+C44</f>
        <v>400</v>
      </c>
      <c r="F45" s="176" t="s">
        <v>234</v>
      </c>
      <c r="G45" s="177">
        <f>+G42/G40</f>
        <v>0.24458364204545463</v>
      </c>
      <c r="H45" t="s">
        <v>235</v>
      </c>
      <c r="K45" s="178" t="s">
        <v>260</v>
      </c>
      <c r="L45" s="179">
        <f>+L46+L47</f>
        <v>0.64576271632686955</v>
      </c>
      <c r="U45" s="227"/>
      <c r="V45" t="s">
        <v>372</v>
      </c>
      <c r="W45" s="235">
        <v>30</v>
      </c>
      <c r="Y45" s="227"/>
      <c r="AC45" s="227"/>
      <c r="AT45" s="92" t="s">
        <v>346</v>
      </c>
      <c r="AU45">
        <f>AY42/(1+AU56)^2</f>
        <v>91.54813899115959</v>
      </c>
      <c r="AX45" t="s">
        <v>238</v>
      </c>
      <c r="AY45" s="29">
        <f>1-AY44</f>
        <v>0.63593709779121776</v>
      </c>
      <c r="BC45" s="222" t="s">
        <v>344</v>
      </c>
      <c r="BD45" s="223">
        <f>AY44</f>
        <v>0.36406290220878229</v>
      </c>
    </row>
    <row r="46" spans="2:56">
      <c r="B46" s="174" t="s">
        <v>237</v>
      </c>
      <c r="C46">
        <f>+G43/(1+C56)^3</f>
        <v>376.5987953145804</v>
      </c>
      <c r="E46" s="180">
        <v>0.25</v>
      </c>
      <c r="F46" t="s">
        <v>238</v>
      </c>
      <c r="G46">
        <f>1-G45</f>
        <v>0.75541635795454543</v>
      </c>
      <c r="K46" s="176" t="s">
        <v>234</v>
      </c>
      <c r="L46" s="181">
        <f>G45</f>
        <v>0.24458364204545463</v>
      </c>
      <c r="U46" s="227"/>
      <c r="W46" s="105"/>
      <c r="Y46" s="227" t="s">
        <v>373</v>
      </c>
      <c r="Z46" t="s">
        <v>374</v>
      </c>
      <c r="AA46" s="105">
        <f>AA48-AA47</f>
        <v>255.49517641814828</v>
      </c>
      <c r="AC46" s="227"/>
      <c r="AD46" t="s">
        <v>375</v>
      </c>
      <c r="AE46" s="235">
        <v>1500</v>
      </c>
      <c r="AG46" s="231" t="s">
        <v>376</v>
      </c>
      <c r="AV46" s="93">
        <v>0.3</v>
      </c>
      <c r="AX46" s="222" t="s">
        <v>347</v>
      </c>
      <c r="AY46" s="224">
        <f>AY45*AU47</f>
        <v>0.48625343444740332</v>
      </c>
      <c r="AZ46" t="s">
        <v>426</v>
      </c>
      <c r="BC46" s="222" t="s">
        <v>347</v>
      </c>
      <c r="BD46" s="224">
        <f>AY46</f>
        <v>0.48625343444740332</v>
      </c>
    </row>
    <row r="47" spans="2:56">
      <c r="F47" s="176" t="s">
        <v>239</v>
      </c>
      <c r="G47" s="177">
        <f>G46*C48</f>
        <v>0.40117907428141497</v>
      </c>
      <c r="H47" t="s">
        <v>240</v>
      </c>
      <c r="K47" s="176" t="s">
        <v>239</v>
      </c>
      <c r="L47" s="181">
        <f>G47</f>
        <v>0.40117907428141497</v>
      </c>
      <c r="U47" s="227" t="s">
        <v>377</v>
      </c>
      <c r="V47" t="s">
        <v>374</v>
      </c>
      <c r="W47" s="105">
        <f>W49-W48</f>
        <v>58.746533257739031</v>
      </c>
      <c r="Y47" s="227"/>
      <c r="Z47" t="s">
        <v>378</v>
      </c>
      <c r="AA47" s="235">
        <v>100</v>
      </c>
      <c r="AC47" s="227"/>
      <c r="AD47" t="s">
        <v>140</v>
      </c>
      <c r="AE47" s="235">
        <v>100</v>
      </c>
      <c r="AG47" s="90" t="s">
        <v>379</v>
      </c>
      <c r="AH47" s="90"/>
      <c r="AI47" s="90"/>
      <c r="AJ47" s="90"/>
      <c r="AT47" s="76" t="s">
        <v>349</v>
      </c>
      <c r="AU47" s="225">
        <v>0.76462504882368643</v>
      </c>
      <c r="AX47" s="222" t="s">
        <v>242</v>
      </c>
      <c r="AY47" s="224">
        <f>AU50*AY45</f>
        <v>0.14968366334381444</v>
      </c>
      <c r="AZ47" t="s">
        <v>243</v>
      </c>
      <c r="BC47" s="222" t="s">
        <v>242</v>
      </c>
      <c r="BD47" s="224">
        <f>AY47</f>
        <v>0.14968366334381444</v>
      </c>
    </row>
    <row r="48" spans="2:56">
      <c r="B48" t="s">
        <v>241</v>
      </c>
      <c r="C48" s="29">
        <v>0.53107014437401756</v>
      </c>
      <c r="F48" s="176" t="s">
        <v>242</v>
      </c>
      <c r="G48" s="182">
        <f>C51*G46</f>
        <v>0.35423728367313045</v>
      </c>
      <c r="H48" t="s">
        <v>243</v>
      </c>
      <c r="K48" s="176" t="s">
        <v>242</v>
      </c>
      <c r="L48" s="181">
        <f>G48</f>
        <v>0.35423728367313045</v>
      </c>
      <c r="U48" s="227"/>
      <c r="V48" t="s">
        <v>380</v>
      </c>
      <c r="W48" s="235">
        <v>70</v>
      </c>
      <c r="Y48" s="227" t="s">
        <v>381</v>
      </c>
      <c r="Z48" t="s">
        <v>382</v>
      </c>
      <c r="AA48" s="105">
        <f>AE48/(1+W64)^4</f>
        <v>355.49517641814828</v>
      </c>
      <c r="AC48" s="227" t="s">
        <v>383</v>
      </c>
      <c r="AD48" t="s">
        <v>39</v>
      </c>
      <c r="AE48" s="105">
        <f>AE46-AE47</f>
        <v>1400</v>
      </c>
      <c r="AG48" s="90" t="s">
        <v>384</v>
      </c>
      <c r="AH48" s="90"/>
      <c r="AI48" s="90"/>
      <c r="AJ48" s="90"/>
      <c r="AT48" t="s">
        <v>350</v>
      </c>
      <c r="AU48" s="90">
        <f>AU43/AU45</f>
        <v>0.76462504613839932</v>
      </c>
    </row>
    <row r="49" spans="2:57">
      <c r="B49" s="174" t="s">
        <v>244</v>
      </c>
      <c r="C49" s="183">
        <f>C44/C46</f>
        <v>0.53106914437401764</v>
      </c>
      <c r="U49" s="227" t="s">
        <v>385</v>
      </c>
      <c r="V49" t="s">
        <v>382</v>
      </c>
      <c r="W49" s="105">
        <f>AA46/(1+W64)^2</f>
        <v>128.74653325773903</v>
      </c>
      <c r="Y49" s="227"/>
      <c r="AC49" s="227"/>
      <c r="AG49" s="90" t="s">
        <v>386</v>
      </c>
      <c r="AH49" s="90"/>
      <c r="AI49" s="90"/>
      <c r="AJ49" s="90"/>
      <c r="AT49" s="247" t="s">
        <v>245</v>
      </c>
      <c r="AU49" s="248">
        <f>AU48-AU47</f>
        <v>-2.6852871037874593E-9</v>
      </c>
      <c r="AV49" s="93">
        <v>0.7</v>
      </c>
      <c r="AX49" s="92" t="s">
        <v>246</v>
      </c>
      <c r="AY49" s="93">
        <v>0.9</v>
      </c>
      <c r="BC49" t="s">
        <v>351</v>
      </c>
      <c r="BD49" s="128">
        <f>AY50*(1+AU28)^4</f>
        <v>117.9716409</v>
      </c>
    </row>
    <row r="50" spans="2:57">
      <c r="B50" t="s">
        <v>245</v>
      </c>
      <c r="C50" s="37">
        <f>C49-C48</f>
        <v>-9.9999999991773336E-7</v>
      </c>
      <c r="E50" s="180">
        <v>0.75</v>
      </c>
      <c r="F50" s="174" t="s">
        <v>246</v>
      </c>
      <c r="G50" s="180">
        <v>0</v>
      </c>
      <c r="K50" t="s">
        <v>247</v>
      </c>
      <c r="L50">
        <f>G51*(1+C9)^5</f>
        <v>1077.0367684300004</v>
      </c>
      <c r="U50" s="227"/>
      <c r="W50" s="105"/>
      <c r="Y50" s="227"/>
      <c r="Z50" t="s">
        <v>387</v>
      </c>
      <c r="AA50" s="90">
        <f>AA47/AA48</f>
        <v>0.28129776895306119</v>
      </c>
      <c r="AC50" s="227"/>
      <c r="AD50" t="s">
        <v>387</v>
      </c>
      <c r="AE50" s="90">
        <f>AA50</f>
        <v>0.28129776895306119</v>
      </c>
      <c r="AG50" s="90" t="s">
        <v>388</v>
      </c>
      <c r="AH50" s="90"/>
      <c r="AI50" s="90"/>
      <c r="AJ50" s="90"/>
      <c r="AS50" s="178" t="s">
        <v>352</v>
      </c>
      <c r="AT50" s="222" t="s">
        <v>242</v>
      </c>
      <c r="AU50" s="226">
        <f>1-AU47</f>
        <v>0.23537495117631357</v>
      </c>
      <c r="AV50" t="s">
        <v>114</v>
      </c>
      <c r="AX50" t="s">
        <v>353</v>
      </c>
      <c r="AY50" s="44">
        <f>AY49*AU44</f>
        <v>90</v>
      </c>
      <c r="BC50" t="s">
        <v>354</v>
      </c>
      <c r="BD50" s="128">
        <f>AY51*(1+AU28)^4</f>
        <v>90.204071682972895</v>
      </c>
    </row>
    <row r="51" spans="2:57">
      <c r="B51" s="176" t="s">
        <v>242</v>
      </c>
      <c r="C51" s="182">
        <f>1-C48</f>
        <v>0.46892985562598244</v>
      </c>
      <c r="F51" t="s">
        <v>248</v>
      </c>
      <c r="G51" s="40">
        <f>+P19+P16+P13</f>
        <v>700</v>
      </c>
      <c r="K51" t="s">
        <v>249</v>
      </c>
      <c r="L51">
        <f>G52*(1+C9)^5</f>
        <v>571.9820721062456</v>
      </c>
      <c r="U51" s="227"/>
      <c r="Y51" s="227"/>
      <c r="Z51" t="s">
        <v>389</v>
      </c>
      <c r="AA51" s="90">
        <f>1-AA50</f>
        <v>0.71870223104693887</v>
      </c>
      <c r="AC51" s="227"/>
      <c r="AD51" t="s">
        <v>390</v>
      </c>
      <c r="AE51" s="90">
        <f>AA52</f>
        <v>0.39076126200160111</v>
      </c>
      <c r="AG51" s="90" t="s">
        <v>391</v>
      </c>
      <c r="AH51" s="90"/>
      <c r="AI51" s="90"/>
      <c r="AJ51" s="90"/>
      <c r="AX51" t="s">
        <v>251</v>
      </c>
      <c r="AY51" s="128">
        <f>AY50*AU47</f>
        <v>68.816254394131775</v>
      </c>
      <c r="BC51" t="s">
        <v>354</v>
      </c>
      <c r="BD51" s="128">
        <f>BD49*AU47</f>
        <v>90.204071682972895</v>
      </c>
    </row>
    <row r="52" spans="2:57">
      <c r="B52" t="s">
        <v>250</v>
      </c>
      <c r="C52">
        <v>8</v>
      </c>
      <c r="D52" t="s">
        <v>114</v>
      </c>
      <c r="F52" t="s">
        <v>251</v>
      </c>
      <c r="G52">
        <f>+C48*G51</f>
        <v>371.74910106181227</v>
      </c>
      <c r="U52" s="227"/>
      <c r="Y52" s="227"/>
      <c r="Z52" t="s">
        <v>392</v>
      </c>
      <c r="AA52" s="90">
        <f>W54*AA51</f>
        <v>0.39076126200160111</v>
      </c>
      <c r="AC52" s="227"/>
      <c r="AD52" t="s">
        <v>393</v>
      </c>
      <c r="AE52" s="90">
        <f>AA53</f>
        <v>0.32794096904533776</v>
      </c>
      <c r="AG52" s="90" t="s">
        <v>394</v>
      </c>
      <c r="AH52" s="90"/>
      <c r="AI52" s="90"/>
      <c r="AJ52" s="90"/>
      <c r="AT52" t="s">
        <v>355</v>
      </c>
      <c r="AU52">
        <v>6</v>
      </c>
    </row>
    <row r="53" spans="2:57">
      <c r="B53" t="s">
        <v>252</v>
      </c>
      <c r="C53" s="37">
        <v>0.75</v>
      </c>
      <c r="F53" t="s">
        <v>253</v>
      </c>
      <c r="G53" s="40">
        <f>G51-G52</f>
        <v>328.25089893818773</v>
      </c>
      <c r="K53" t="s">
        <v>254</v>
      </c>
      <c r="L53">
        <f>+L44*L48</f>
        <v>1948.3050602022174</v>
      </c>
      <c r="U53" s="227"/>
      <c r="V53" t="s">
        <v>393</v>
      </c>
      <c r="W53" s="90">
        <f>1-W54</f>
        <v>0.45629602202239405</v>
      </c>
      <c r="Y53" s="227"/>
      <c r="Z53" t="s">
        <v>395</v>
      </c>
      <c r="AA53" s="90">
        <f>W53*AA51</f>
        <v>0.32794096904533776</v>
      </c>
      <c r="AC53" s="227"/>
      <c r="AG53" s="90" t="s">
        <v>396</v>
      </c>
      <c r="AH53" s="90"/>
      <c r="AI53" s="90"/>
      <c r="AJ53" s="90"/>
      <c r="AT53" t="s">
        <v>252</v>
      </c>
      <c r="AU53" s="37">
        <v>0.7</v>
      </c>
      <c r="BC53" t="s">
        <v>254</v>
      </c>
      <c r="BD53">
        <f>BD43*BD47</f>
        <v>149.68366334381443</v>
      </c>
      <c r="BE53" t="s">
        <v>356</v>
      </c>
    </row>
    <row r="54" spans="2:57">
      <c r="B54" t="s">
        <v>255</v>
      </c>
      <c r="C54">
        <f>+(L51/C44)^(1/7)-1</f>
        <v>0.16196541820951338</v>
      </c>
      <c r="F54" t="s">
        <v>256</v>
      </c>
      <c r="G54">
        <f>(G53/C43)^(1/3)-1</f>
        <v>0.22953075310431692</v>
      </c>
      <c r="K54" t="s">
        <v>257</v>
      </c>
      <c r="L54">
        <f>(L53/C43)^(1/8)-1</f>
        <v>0.34999964013850793</v>
      </c>
      <c r="U54" s="227"/>
      <c r="V54" s="78" t="s">
        <v>390</v>
      </c>
      <c r="W54" s="236">
        <v>0.54370397797760595</v>
      </c>
      <c r="Y54" s="227"/>
      <c r="Z54" t="s">
        <v>397</v>
      </c>
      <c r="AA54" s="37">
        <f>AA50+AA52+AA53</f>
        <v>1</v>
      </c>
      <c r="AC54" s="227"/>
      <c r="AD54" t="s">
        <v>398</v>
      </c>
      <c r="AE54" s="105">
        <f>+AE48*AE52</f>
        <v>459.11735666347289</v>
      </c>
      <c r="AG54" s="90" t="s">
        <v>399</v>
      </c>
      <c r="AT54" t="s">
        <v>357</v>
      </c>
      <c r="AU54" s="218">
        <f>(BD50/AU43)^(1/6)-1</f>
        <v>4.3169026368459873E-2</v>
      </c>
      <c r="BC54" t="s">
        <v>257</v>
      </c>
      <c r="BD54" s="90">
        <f>(BD53/AU42)^(1/6)-1</f>
        <v>0.38131938270476096</v>
      </c>
    </row>
    <row r="55" spans="2:57">
      <c r="B55" t="s">
        <v>258</v>
      </c>
      <c r="C55" s="37">
        <v>0.25</v>
      </c>
      <c r="U55" s="227"/>
      <c r="V55" t="s">
        <v>400</v>
      </c>
      <c r="W55" s="90">
        <f>W48/W49</f>
        <v>0.54370396024463252</v>
      </c>
      <c r="Y55" s="227"/>
      <c r="AC55" s="227"/>
      <c r="AD55" s="237" t="s">
        <v>401</v>
      </c>
      <c r="AE55" s="238">
        <f>+(AE54/W47)^(1/6)-1</f>
        <v>0.40871642407658992</v>
      </c>
      <c r="AG55" s="90" t="s">
        <v>402</v>
      </c>
      <c r="AT55" t="s">
        <v>258</v>
      </c>
      <c r="AU55" s="37">
        <v>0.3</v>
      </c>
    </row>
    <row r="56" spans="2:57">
      <c r="B56" s="178" t="s">
        <v>259</v>
      </c>
      <c r="C56" s="185">
        <v>0.35</v>
      </c>
      <c r="U56" s="227" t="s">
        <v>403</v>
      </c>
      <c r="V56" t="s">
        <v>404</v>
      </c>
      <c r="W56" s="90">
        <f>W54-W55</f>
        <v>1.7732973423001397E-8</v>
      </c>
      <c r="Y56" s="227"/>
      <c r="AC56" s="227"/>
      <c r="AG56" s="90" t="s">
        <v>405</v>
      </c>
      <c r="AS56" s="178" t="s">
        <v>358</v>
      </c>
      <c r="AT56" t="s">
        <v>359</v>
      </c>
      <c r="AU56">
        <f>(((1+AU24)^AU52-AU53*(1+AU54)^AU52)/AU55)^(1/AU52)-1</f>
        <v>0.38131938533123622</v>
      </c>
      <c r="AV56" t="s">
        <v>360</v>
      </c>
    </row>
    <row r="57" spans="2:57">
      <c r="U57" s="227"/>
      <c r="W57" s="90"/>
      <c r="Y57" s="227"/>
      <c r="AC57" s="227"/>
      <c r="AG57" s="90" t="s">
        <v>406</v>
      </c>
    </row>
    <row r="58" spans="2:57">
      <c r="U58" s="227"/>
      <c r="Y58" s="227"/>
      <c r="Z58" s="239" t="s">
        <v>407</v>
      </c>
      <c r="AC58" s="227"/>
      <c r="AD58" s="239" t="s">
        <v>408</v>
      </c>
      <c r="AG58" t="s">
        <v>409</v>
      </c>
    </row>
    <row r="59" spans="2:57">
      <c r="U59" s="227"/>
      <c r="Y59" s="227"/>
      <c r="AC59" s="227"/>
      <c r="AG59" s="90" t="s">
        <v>410</v>
      </c>
    </row>
    <row r="60" spans="2:57">
      <c r="U60" s="227"/>
      <c r="V60" s="135" t="s">
        <v>250</v>
      </c>
      <c r="W60" s="240">
        <v>6</v>
      </c>
      <c r="Y60" s="227"/>
      <c r="Z60" t="s">
        <v>411</v>
      </c>
      <c r="AA60" s="228">
        <v>0.9</v>
      </c>
      <c r="AC60" s="227"/>
      <c r="AD60" t="s">
        <v>215</v>
      </c>
      <c r="AE60" s="228">
        <v>7.0000000000000007E-2</v>
      </c>
      <c r="AG60" t="s">
        <v>412</v>
      </c>
    </row>
    <row r="61" spans="2:57">
      <c r="U61" s="227"/>
      <c r="V61" s="135" t="s">
        <v>252</v>
      </c>
      <c r="W61" s="241">
        <v>0.7</v>
      </c>
      <c r="Y61" s="227" t="s">
        <v>413</v>
      </c>
      <c r="Z61" t="s">
        <v>414</v>
      </c>
      <c r="AA61" s="105">
        <f>W43*AA60</f>
        <v>90</v>
      </c>
      <c r="AC61" s="227"/>
      <c r="AD61" t="s">
        <v>414</v>
      </c>
      <c r="AE61" s="105">
        <f>AA61*(1+AE60)^4</f>
        <v>117.9716409</v>
      </c>
      <c r="AG61" s="90" t="s">
        <v>415</v>
      </c>
      <c r="AT61" t="s">
        <v>427</v>
      </c>
      <c r="AU61" t="s">
        <v>428</v>
      </c>
    </row>
    <row r="62" spans="2:57">
      <c r="U62" s="227" t="s">
        <v>416</v>
      </c>
      <c r="V62" s="242" t="s">
        <v>417</v>
      </c>
      <c r="W62" s="243">
        <f>+(AE62/W48)^(1/6)-1</f>
        <v>-1.4461302244275664E-2</v>
      </c>
      <c r="Y62" s="227"/>
      <c r="Z62" t="s">
        <v>418</v>
      </c>
      <c r="AA62" s="105">
        <f>+AA61*W54</f>
        <v>48.933358017984538</v>
      </c>
      <c r="AC62" s="227" t="s">
        <v>419</v>
      </c>
      <c r="AD62" t="s">
        <v>418</v>
      </c>
      <c r="AE62" s="105">
        <f>+AE61*W54</f>
        <v>64.141650445875641</v>
      </c>
      <c r="AF62" s="244">
        <f>AA62*(1+AE60)^4</f>
        <v>64.141650445875641</v>
      </c>
      <c r="AG62" t="s">
        <v>420</v>
      </c>
      <c r="AU62" t="s">
        <v>429</v>
      </c>
    </row>
    <row r="63" spans="2:57">
      <c r="U63" s="227"/>
      <c r="V63" s="135" t="s">
        <v>258</v>
      </c>
      <c r="W63" s="241">
        <f>1-W61</f>
        <v>0.30000000000000004</v>
      </c>
      <c r="Y63" s="227"/>
      <c r="Z63" t="s">
        <v>421</v>
      </c>
      <c r="AA63" s="105">
        <f>+AA61*W53</f>
        <v>41.066641982015462</v>
      </c>
      <c r="AC63" s="227"/>
      <c r="AD63" t="s">
        <v>421</v>
      </c>
      <c r="AE63" s="105">
        <f>+AE61*W53</f>
        <v>53.829990454124363</v>
      </c>
      <c r="AF63" s="244">
        <f>AA63*(1+AE60)^4</f>
        <v>53.829990454124356</v>
      </c>
      <c r="AG63" s="90" t="s">
        <v>422</v>
      </c>
    </row>
    <row r="64" spans="2:57">
      <c r="D64" t="s">
        <v>277</v>
      </c>
      <c r="U64" s="227" t="s">
        <v>423</v>
      </c>
      <c r="V64" s="245" t="s">
        <v>259</v>
      </c>
      <c r="W64" s="246">
        <f>+(((1+W40)^W60-W61*(1+W62)^W60)/W63)^(1/6)-1</f>
        <v>0.40871643320105044</v>
      </c>
      <c r="Y64" s="227"/>
      <c r="AC64" s="227"/>
      <c r="AG64" t="s">
        <v>424</v>
      </c>
    </row>
    <row r="65" spans="6:29">
      <c r="U65" s="227"/>
      <c r="Y65" s="227"/>
      <c r="AC65" s="227"/>
    </row>
    <row r="66" spans="6:29">
      <c r="U66" s="227"/>
      <c r="Y66" s="227"/>
      <c r="AC66" s="227"/>
    </row>
    <row r="75" spans="6:29">
      <c r="F75" s="36"/>
    </row>
    <row r="76" spans="6:29">
      <c r="F76" s="39"/>
    </row>
    <row r="77" spans="6:29">
      <c r="F77" s="39"/>
    </row>
    <row r="78" spans="6:29">
      <c r="F78" s="37"/>
    </row>
    <row r="79" spans="6:29">
      <c r="F79" s="37"/>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97CD9-70D6-B545-87BE-6DEBB4CCD4AD}">
  <sheetPr>
    <tabColor rgb="FF92D050"/>
  </sheetPr>
  <dimension ref="A1"/>
  <sheetViews>
    <sheetView workbookViewId="0"/>
  </sheetViews>
  <sheetFormatPr defaultColWidth="11.19921875" defaultRowHeight="15.6"/>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51001-DD57-4B42-9CDC-B6256E26F6D7}">
  <sheetPr>
    <tabColor rgb="FF92D050"/>
  </sheetPr>
  <dimension ref="B1:AS72"/>
  <sheetViews>
    <sheetView zoomScale="89" workbookViewId="0">
      <selection activeCell="AC42" sqref="AC42:AC62"/>
    </sheetView>
  </sheetViews>
  <sheetFormatPr defaultColWidth="8.796875" defaultRowHeight="15.6"/>
  <cols>
    <col min="2" max="2" width="34.69921875" bestFit="1" customWidth="1"/>
    <col min="3" max="3" width="37.19921875" bestFit="1" customWidth="1"/>
    <col min="4" max="4" width="14.296875" bestFit="1" customWidth="1"/>
    <col min="5" max="5" width="12.796875" bestFit="1" customWidth="1"/>
    <col min="6" max="6" width="12" bestFit="1" customWidth="1"/>
    <col min="9" max="9" width="15" bestFit="1" customWidth="1"/>
    <col min="10" max="10" width="14.296875" customWidth="1"/>
    <col min="11" max="11" width="22.19921875" bestFit="1" customWidth="1"/>
    <col min="12" max="12" width="14.796875" bestFit="1" customWidth="1"/>
    <col min="13" max="13" width="8.5" bestFit="1" customWidth="1"/>
    <col min="14" max="14" width="14.796875" bestFit="1" customWidth="1"/>
    <col min="15" max="15" width="11" bestFit="1" customWidth="1"/>
    <col min="39" max="39" width="18.796875" bestFit="1" customWidth="1"/>
    <col min="40" max="40" width="33" bestFit="1" customWidth="1"/>
    <col min="41" max="41" width="13.69921875" bestFit="1" customWidth="1"/>
    <col min="42" max="42" width="13.19921875" bestFit="1" customWidth="1"/>
    <col min="43" max="43" width="13.69921875" bestFit="1" customWidth="1"/>
  </cols>
  <sheetData>
    <row r="1" spans="2:40" ht="16.2" thickBot="1"/>
    <row r="2" spans="2:40" ht="18">
      <c r="B2" s="9" t="str">
        <f>+Admin!C12</f>
        <v>Date</v>
      </c>
      <c r="C2" s="34">
        <f>+Admin!D12</f>
        <v>45272</v>
      </c>
    </row>
    <row r="3" spans="2:40" ht="18">
      <c r="B3" s="10" t="str">
        <f>+Admin!C13</f>
        <v>Student name</v>
      </c>
      <c r="C3" s="11">
        <f>+Admin!D13</f>
        <v>0</v>
      </c>
    </row>
    <row r="4" spans="2:40" ht="18">
      <c r="B4" s="10" t="str">
        <f>+Admin!C14</f>
        <v>Neptun code</v>
      </c>
      <c r="C4" s="11">
        <f>+Admin!D14</f>
        <v>0</v>
      </c>
    </row>
    <row r="5" spans="2:40" ht="18">
      <c r="B5" s="10"/>
      <c r="C5" s="12"/>
    </row>
    <row r="6" spans="2:40" ht="18">
      <c r="B6" s="10" t="str">
        <f>+Admin!C16</f>
        <v>Study program</v>
      </c>
      <c r="C6" s="12" t="str">
        <f>+Admin!D16</f>
        <v>Master in Finance</v>
      </c>
    </row>
    <row r="7" spans="2:40" ht="18.600000000000001" thickBot="1">
      <c r="B7" s="13" t="str">
        <f>+Admin!C17</f>
        <v>Instructor</v>
      </c>
      <c r="C7" s="14" t="str">
        <f>+Admin!D17</f>
        <v>Péter Juhász, PhD, CFA</v>
      </c>
    </row>
    <row r="8" spans="2:40" ht="16.2" thickBot="1"/>
    <row r="9" spans="2:40" ht="21" thickBot="1">
      <c r="B9" s="15" t="s">
        <v>10</v>
      </c>
      <c r="C9" s="16"/>
    </row>
    <row r="12" spans="2:40" ht="16.2" thickBot="1"/>
    <row r="13" spans="2:40" ht="21" thickBot="1">
      <c r="R13" s="15" t="s">
        <v>10</v>
      </c>
      <c r="S13" s="16"/>
    </row>
    <row r="14" spans="2:40">
      <c r="Q14" t="s">
        <v>265</v>
      </c>
    </row>
    <row r="15" spans="2:40" ht="16.2" thickBot="1">
      <c r="AA15" t="s">
        <v>277</v>
      </c>
      <c r="AL15" t="s">
        <v>212</v>
      </c>
    </row>
    <row r="16" spans="2:40" ht="18">
      <c r="AM16" s="9">
        <v>0</v>
      </c>
      <c r="AN16" s="34">
        <v>0</v>
      </c>
    </row>
    <row r="17" spans="3:40" ht="18">
      <c r="AM17" s="10">
        <v>0</v>
      </c>
      <c r="AN17" s="11">
        <v>0</v>
      </c>
    </row>
    <row r="18" spans="3:40" ht="18">
      <c r="AM18" s="10">
        <v>0</v>
      </c>
      <c r="AN18" s="11">
        <v>0</v>
      </c>
    </row>
    <row r="19" spans="3:40" ht="18">
      <c r="AM19" s="10"/>
      <c r="AN19" s="12"/>
    </row>
    <row r="20" spans="3:40" ht="18">
      <c r="AM20" s="10">
        <v>0</v>
      </c>
      <c r="AN20" s="12">
        <v>0</v>
      </c>
    </row>
    <row r="21" spans="3:40" ht="18.600000000000001" thickBot="1">
      <c r="AM21" s="13">
        <v>0</v>
      </c>
      <c r="AN21" s="14">
        <v>0</v>
      </c>
    </row>
    <row r="22" spans="3:40" ht="16.2" thickBot="1"/>
    <row r="23" spans="3:40" ht="21" thickBot="1">
      <c r="AM23" s="15" t="s">
        <v>10</v>
      </c>
      <c r="AN23" s="16"/>
    </row>
    <row r="27" spans="3:40">
      <c r="D27" s="28" t="s">
        <v>89</v>
      </c>
      <c r="E27" s="28" t="s">
        <v>90</v>
      </c>
      <c r="F27" s="28" t="s">
        <v>91</v>
      </c>
      <c r="I27" t="s">
        <v>149</v>
      </c>
      <c r="J27">
        <v>6000000</v>
      </c>
      <c r="K27">
        <v>3000000</v>
      </c>
      <c r="L27" t="s">
        <v>150</v>
      </c>
    </row>
    <row r="28" spans="3:40">
      <c r="C28" t="s">
        <v>87</v>
      </c>
      <c r="D28" s="29">
        <v>0.1</v>
      </c>
      <c r="E28" s="29">
        <v>0.1</v>
      </c>
      <c r="F28" s="29">
        <v>0.1</v>
      </c>
      <c r="J28" s="28" t="s">
        <v>89</v>
      </c>
      <c r="K28" s="28" t="s">
        <v>90</v>
      </c>
      <c r="L28" s="28" t="s">
        <v>91</v>
      </c>
    </row>
    <row r="29" spans="3:40">
      <c r="C29" t="s">
        <v>41</v>
      </c>
      <c r="D29" s="29">
        <v>0.15</v>
      </c>
      <c r="E29" s="29">
        <v>0.15</v>
      </c>
      <c r="F29" s="29">
        <v>0.15</v>
      </c>
      <c r="I29" t="s">
        <v>87</v>
      </c>
      <c r="J29" s="29">
        <v>0.1</v>
      </c>
      <c r="K29" s="29">
        <v>0.1</v>
      </c>
      <c r="L29" s="29">
        <v>0.1</v>
      </c>
      <c r="AD29" s="28" t="s">
        <v>89</v>
      </c>
      <c r="AE29" s="28" t="s">
        <v>90</v>
      </c>
      <c r="AF29" s="28" t="s">
        <v>91</v>
      </c>
    </row>
    <row r="30" spans="3:40">
      <c r="C30" t="s">
        <v>92</v>
      </c>
      <c r="D30" s="36">
        <v>840</v>
      </c>
      <c r="E30" s="36">
        <v>100</v>
      </c>
      <c r="F30" s="36">
        <v>1000</v>
      </c>
      <c r="I30" t="s">
        <v>41</v>
      </c>
      <c r="J30" s="29">
        <v>0.15</v>
      </c>
      <c r="K30" s="29">
        <v>0.15</v>
      </c>
      <c r="L30" s="29">
        <v>0.15</v>
      </c>
      <c r="T30" s="28" t="s">
        <v>89</v>
      </c>
      <c r="U30" s="28" t="s">
        <v>90</v>
      </c>
      <c r="V30" s="28" t="s">
        <v>91</v>
      </c>
      <c r="AC30" t="s">
        <v>81</v>
      </c>
      <c r="AD30" s="36">
        <v>500</v>
      </c>
      <c r="AE30" s="36"/>
      <c r="AF30" s="36">
        <v>600</v>
      </c>
      <c r="AH30" t="s">
        <v>266</v>
      </c>
    </row>
    <row r="31" spans="3:40">
      <c r="C31" t="s">
        <v>93</v>
      </c>
      <c r="D31" s="29">
        <v>0.4</v>
      </c>
      <c r="E31" s="29">
        <v>0.25</v>
      </c>
      <c r="F31" s="29">
        <v>0.4</v>
      </c>
      <c r="I31" t="s">
        <v>92</v>
      </c>
      <c r="J31" s="36">
        <v>840</v>
      </c>
      <c r="K31" s="36">
        <v>100</v>
      </c>
      <c r="L31" s="36">
        <v>1000</v>
      </c>
      <c r="M31" t="s">
        <v>151</v>
      </c>
      <c r="S31" t="s">
        <v>195</v>
      </c>
      <c r="T31" s="147">
        <v>2000000</v>
      </c>
      <c r="U31" s="147">
        <v>4000000</v>
      </c>
      <c r="AC31" t="s">
        <v>84</v>
      </c>
      <c r="AD31" s="36"/>
      <c r="AE31" s="36">
        <v>70</v>
      </c>
      <c r="AF31" s="36"/>
    </row>
    <row r="32" spans="3:40">
      <c r="C32" t="s">
        <v>94</v>
      </c>
      <c r="D32" s="29">
        <v>0.05</v>
      </c>
      <c r="E32" s="29">
        <v>0.05</v>
      </c>
      <c r="F32" s="29">
        <v>0.05</v>
      </c>
      <c r="I32" t="s">
        <v>93</v>
      </c>
      <c r="J32" s="29">
        <v>0.4</v>
      </c>
      <c r="K32" s="29">
        <v>0.25</v>
      </c>
      <c r="L32" s="29">
        <v>0.4</v>
      </c>
      <c r="M32" t="s">
        <v>152</v>
      </c>
      <c r="S32" t="s">
        <v>41</v>
      </c>
      <c r="T32" s="29">
        <v>0.2</v>
      </c>
      <c r="U32" s="29">
        <v>0.2</v>
      </c>
      <c r="V32" s="29">
        <v>0.2</v>
      </c>
      <c r="AC32" t="s">
        <v>95</v>
      </c>
      <c r="AD32" s="29">
        <v>0.03</v>
      </c>
      <c r="AE32" s="29">
        <v>0.04</v>
      </c>
      <c r="AF32" s="29">
        <v>3.3000000000000002E-2</v>
      </c>
    </row>
    <row r="33" spans="3:43">
      <c r="C33" t="s">
        <v>72</v>
      </c>
      <c r="D33" s="29">
        <v>0.10100000000000001</v>
      </c>
      <c r="E33" s="29">
        <v>0.12</v>
      </c>
      <c r="F33" s="29">
        <v>0.10199999999999999</v>
      </c>
      <c r="I33" t="s">
        <v>94</v>
      </c>
      <c r="J33" s="29">
        <v>0.05</v>
      </c>
      <c r="K33" s="29">
        <v>0.05</v>
      </c>
      <c r="L33" s="29">
        <v>0.05</v>
      </c>
      <c r="S33" t="s">
        <v>87</v>
      </c>
      <c r="T33" s="29">
        <v>0.12</v>
      </c>
      <c r="U33" s="29">
        <v>0.12</v>
      </c>
      <c r="V33" s="29">
        <v>0.12</v>
      </c>
      <c r="AC33" t="s">
        <v>87</v>
      </c>
      <c r="AD33" s="29">
        <v>0.1</v>
      </c>
      <c r="AE33" s="29">
        <v>0.1</v>
      </c>
      <c r="AF33" s="29">
        <v>0.1</v>
      </c>
    </row>
    <row r="34" spans="3:43">
      <c r="C34" t="s">
        <v>95</v>
      </c>
      <c r="D34" s="29">
        <v>0.03</v>
      </c>
      <c r="E34" s="29">
        <v>0.04</v>
      </c>
      <c r="F34" s="29">
        <v>3.3000000000000002E-2</v>
      </c>
      <c r="I34" t="s">
        <v>72</v>
      </c>
      <c r="J34" s="29">
        <v>0.10100000000000001</v>
      </c>
      <c r="K34" s="29">
        <v>0.12</v>
      </c>
      <c r="L34" s="29">
        <v>0.10199999999999999</v>
      </c>
      <c r="S34" t="s">
        <v>95</v>
      </c>
      <c r="T34" s="29">
        <v>0.03</v>
      </c>
      <c r="U34" s="29">
        <v>0.04</v>
      </c>
      <c r="V34" s="29">
        <v>3.2500000000000001E-2</v>
      </c>
      <c r="AC34" t="s">
        <v>93</v>
      </c>
      <c r="AD34" s="29">
        <v>0.25</v>
      </c>
      <c r="AE34" s="29">
        <v>0.3</v>
      </c>
      <c r="AF34" s="29">
        <v>0.25</v>
      </c>
    </row>
    <row r="35" spans="3:43">
      <c r="C35" t="s">
        <v>96</v>
      </c>
      <c r="D35" s="40">
        <v>10000000</v>
      </c>
      <c r="E35" s="40">
        <v>5000000</v>
      </c>
      <c r="I35" t="s">
        <v>95</v>
      </c>
      <c r="J35" s="29">
        <v>0.03</v>
      </c>
      <c r="K35" s="29">
        <v>0.04</v>
      </c>
      <c r="L35" s="29">
        <v>3.3000000000000002E-2</v>
      </c>
      <c r="S35" t="s">
        <v>94</v>
      </c>
      <c r="T35" s="29">
        <v>0.06</v>
      </c>
      <c r="U35" s="29">
        <v>0.06</v>
      </c>
      <c r="V35" s="29">
        <v>0.06</v>
      </c>
      <c r="AC35" t="s">
        <v>94</v>
      </c>
      <c r="AD35" s="29">
        <v>0.05</v>
      </c>
      <c r="AE35" s="29">
        <v>0.06</v>
      </c>
      <c r="AF35" s="29">
        <v>0.05</v>
      </c>
    </row>
    <row r="36" spans="3:43">
      <c r="D36" s="40"/>
      <c r="E36" s="40"/>
      <c r="I36" t="s">
        <v>96</v>
      </c>
      <c r="J36" s="40">
        <v>10000000</v>
      </c>
      <c r="K36" s="40">
        <v>5000000</v>
      </c>
      <c r="S36" t="s">
        <v>93</v>
      </c>
      <c r="T36" s="29">
        <v>0.3</v>
      </c>
      <c r="U36" s="29">
        <v>0.2</v>
      </c>
      <c r="V36" s="29">
        <v>0.3</v>
      </c>
      <c r="AC36" t="s">
        <v>41</v>
      </c>
      <c r="AD36" s="29">
        <v>0.15</v>
      </c>
      <c r="AE36" s="29">
        <v>0.15</v>
      </c>
      <c r="AF36" s="29">
        <v>0.15</v>
      </c>
    </row>
    <row r="37" spans="3:43">
      <c r="C37" s="97" t="s">
        <v>77</v>
      </c>
      <c r="D37" s="98">
        <f>D34/D33</f>
        <v>0.29702970297029702</v>
      </c>
      <c r="E37" s="98">
        <f t="shared" ref="E37:F37" si="0">E34/E33</f>
        <v>0.33333333333333337</v>
      </c>
      <c r="F37" s="98">
        <f t="shared" si="0"/>
        <v>0.3235294117647059</v>
      </c>
      <c r="S37" t="s">
        <v>196</v>
      </c>
      <c r="T37" s="36">
        <v>500</v>
      </c>
      <c r="U37" s="36"/>
      <c r="V37" s="36">
        <v>710</v>
      </c>
      <c r="AC37" t="s">
        <v>267</v>
      </c>
      <c r="AD37" s="40">
        <v>1000000</v>
      </c>
      <c r="AE37" s="40">
        <v>2000000</v>
      </c>
      <c r="AO37" s="28" t="s">
        <v>89</v>
      </c>
      <c r="AP37" s="28" t="s">
        <v>90</v>
      </c>
      <c r="AQ37" s="28" t="s">
        <v>91</v>
      </c>
    </row>
    <row r="38" spans="3:43">
      <c r="C38" s="97" t="s">
        <v>78</v>
      </c>
      <c r="D38" s="116">
        <f>D28-D32*D31*D29</f>
        <v>9.7000000000000003E-2</v>
      </c>
      <c r="E38" s="116">
        <f t="shared" ref="E38:F38" si="1">E28-E32*E31*E29</f>
        <v>9.8125000000000004E-2</v>
      </c>
      <c r="F38" s="116">
        <f t="shared" si="1"/>
        <v>9.7000000000000003E-2</v>
      </c>
      <c r="I38" s="97" t="s">
        <v>77</v>
      </c>
      <c r="J38" s="98">
        <f>J35/J34</f>
        <v>0.29702970297029702</v>
      </c>
      <c r="K38" s="98">
        <f t="shared" ref="K38:L38" si="2">K35/K34</f>
        <v>0.33333333333333337</v>
      </c>
      <c r="L38" s="98">
        <f t="shared" si="2"/>
        <v>0.3235294117647059</v>
      </c>
      <c r="S38" t="s">
        <v>197</v>
      </c>
      <c r="T38" s="36"/>
      <c r="U38" s="36">
        <v>150</v>
      </c>
      <c r="V38" s="36"/>
      <c r="AN38" t="s">
        <v>81</v>
      </c>
      <c r="AO38" s="36">
        <v>500</v>
      </c>
      <c r="AP38" s="36"/>
      <c r="AQ38" s="36">
        <v>600</v>
      </c>
    </row>
    <row r="39" spans="3:43">
      <c r="C39" s="97" t="s">
        <v>79</v>
      </c>
      <c r="D39" s="98">
        <f>(D28-D32*D31)/(1-D31)</f>
        <v>0.13333333333333333</v>
      </c>
      <c r="E39" s="98">
        <f t="shared" ref="E39:F39" si="3">(E28-E32*E31)/(1-E31)</f>
        <v>0.11666666666666668</v>
      </c>
      <c r="F39" s="98">
        <f t="shared" si="3"/>
        <v>0.13333333333333333</v>
      </c>
      <c r="I39" s="97" t="s">
        <v>81</v>
      </c>
      <c r="J39" s="116">
        <f>J31*(1-J38)</f>
        <v>590.49504950495043</v>
      </c>
      <c r="K39" s="116">
        <f t="shared" ref="K39:L39" si="4">K31*(1-K38)</f>
        <v>66.666666666666657</v>
      </c>
      <c r="L39" s="116">
        <f t="shared" si="4"/>
        <v>676.47058823529414</v>
      </c>
      <c r="S39" s="27" t="s">
        <v>198</v>
      </c>
      <c r="T39" s="148"/>
      <c r="U39" s="149">
        <f>1-U36</f>
        <v>0.8</v>
      </c>
      <c r="V39" s="148"/>
      <c r="AC39" t="s">
        <v>79</v>
      </c>
      <c r="AD39" s="186">
        <f>(AD33-AD35*AD34)/(1-AD34)</f>
        <v>0.11666666666666668</v>
      </c>
      <c r="AE39" s="186">
        <f>(AE33-AE35*AE34)/(1-AE34)</f>
        <v>0.11714285714285716</v>
      </c>
      <c r="AF39" s="186">
        <f>(AF33-AF35*AF34)/(1-AF34)</f>
        <v>0.11666666666666668</v>
      </c>
      <c r="AN39" t="s">
        <v>84</v>
      </c>
      <c r="AO39" s="36"/>
      <c r="AP39" s="36">
        <v>70</v>
      </c>
      <c r="AQ39" s="36"/>
    </row>
    <row r="40" spans="3:43">
      <c r="D40" s="90"/>
      <c r="E40" s="90"/>
      <c r="F40" s="90"/>
      <c r="I40" s="97" t="s">
        <v>78</v>
      </c>
      <c r="J40" s="98">
        <f>J29-J32*J33*J30</f>
        <v>9.7000000000000003E-2</v>
      </c>
      <c r="K40" s="98">
        <f t="shared" ref="K40:L40" si="5">K29-K32*K33*K30</f>
        <v>9.8125000000000004E-2</v>
      </c>
      <c r="L40" s="98">
        <f t="shared" si="5"/>
        <v>9.7000000000000003E-2</v>
      </c>
      <c r="S40" s="27"/>
      <c r="T40" s="148"/>
      <c r="U40" s="148"/>
      <c r="V40" s="148"/>
      <c r="AN40" t="s">
        <v>95</v>
      </c>
      <c r="AO40" s="29">
        <v>0.03</v>
      </c>
      <c r="AP40" s="29">
        <v>0.04</v>
      </c>
      <c r="AQ40" s="29">
        <v>3.3000000000000002E-2</v>
      </c>
    </row>
    <row r="41" spans="3:43">
      <c r="N41" s="130" t="s">
        <v>153</v>
      </c>
      <c r="O41" s="130" t="s">
        <v>154</v>
      </c>
      <c r="R41" t="s">
        <v>199</v>
      </c>
      <c r="S41" t="s">
        <v>79</v>
      </c>
      <c r="T41" s="29">
        <f>(T33-T35*T36)/(1-T36)</f>
        <v>0.14571428571428571</v>
      </c>
      <c r="U41" s="29">
        <f t="shared" ref="U41:V41" si="6">(U33-U35*U36)/(1-U36)</f>
        <v>0.13499999999999998</v>
      </c>
      <c r="V41" s="29">
        <f t="shared" si="6"/>
        <v>0.14571428571428571</v>
      </c>
      <c r="AN41" t="s">
        <v>87</v>
      </c>
      <c r="AO41" s="29">
        <v>0.1</v>
      </c>
      <c r="AP41" s="29">
        <v>0.1</v>
      </c>
      <c r="AQ41" s="29">
        <v>0.1</v>
      </c>
    </row>
    <row r="42" spans="3:43">
      <c r="C42" s="92" t="s">
        <v>43</v>
      </c>
      <c r="D42" s="99">
        <f>D30</f>
        <v>840</v>
      </c>
      <c r="E42" s="99">
        <f t="shared" ref="E42:F42" si="7">E30</f>
        <v>100</v>
      </c>
      <c r="F42" s="99">
        <f t="shared" si="7"/>
        <v>1000</v>
      </c>
      <c r="I42" s="95" t="s">
        <v>155</v>
      </c>
      <c r="J42" s="96">
        <f>J39/(J40-J35)</f>
        <v>8813.3589478350805</v>
      </c>
      <c r="K42" s="96">
        <f t="shared" ref="K42:L42" si="8">K39/(K40-K35)</f>
        <v>1146.9534050179209</v>
      </c>
      <c r="L42" s="96">
        <f t="shared" si="8"/>
        <v>10569.85294117647</v>
      </c>
      <c r="N42" s="131">
        <f>J42+K42</f>
        <v>9960.3123528530014</v>
      </c>
      <c r="O42" s="131">
        <f>L42-N42</f>
        <v>609.54058832346891</v>
      </c>
      <c r="AC42" t="s">
        <v>78</v>
      </c>
      <c r="AD42" s="29">
        <f>AD33-AD35*AD34*AD36</f>
        <v>9.8125000000000004E-2</v>
      </c>
      <c r="AE42" s="29">
        <f>AE33-AE35*AE34*AE36</f>
        <v>9.7300000000000011E-2</v>
      </c>
      <c r="AF42" s="29">
        <f>AF33-AF35*AF34*AF36</f>
        <v>9.8125000000000004E-2</v>
      </c>
      <c r="AN42" t="s">
        <v>93</v>
      </c>
      <c r="AO42" s="29">
        <v>0.25</v>
      </c>
      <c r="AP42" s="29">
        <v>0.3</v>
      </c>
      <c r="AQ42" s="29">
        <v>0.25</v>
      </c>
    </row>
    <row r="43" spans="3:43">
      <c r="C43" s="92" t="s">
        <v>80</v>
      </c>
      <c r="D43" s="99">
        <f>D37*D42</f>
        <v>249.50495049504948</v>
      </c>
      <c r="E43" s="99">
        <f>E37*E42</f>
        <v>33.333333333333336</v>
      </c>
      <c r="F43" s="99">
        <f>F37*F42</f>
        <v>323.52941176470591</v>
      </c>
      <c r="I43" s="95" t="s">
        <v>75</v>
      </c>
      <c r="J43" s="96">
        <f>J42*J32</f>
        <v>3525.3435791340326</v>
      </c>
      <c r="K43" s="96">
        <f t="shared" ref="K43:L43" si="9">K42*K32</f>
        <v>286.73835125448022</v>
      </c>
      <c r="L43" s="96">
        <f t="shared" si="9"/>
        <v>4227.9411764705883</v>
      </c>
      <c r="N43" s="131">
        <f t="shared" ref="N43:N44" si="10">J43+K43</f>
        <v>3812.0819303885128</v>
      </c>
      <c r="O43" s="131">
        <f t="shared" ref="O43:O44" si="11">L43-N43</f>
        <v>415.85924608207552</v>
      </c>
      <c r="R43" t="s">
        <v>200</v>
      </c>
      <c r="S43" t="s">
        <v>78</v>
      </c>
      <c r="T43" s="150">
        <f>T33-T35*T36*T32</f>
        <v>0.11639999999999999</v>
      </c>
      <c r="U43" s="150">
        <f t="shared" ref="U43:V43" si="12">U33-U35*U36*U32</f>
        <v>0.1176</v>
      </c>
      <c r="V43" s="150">
        <f t="shared" si="12"/>
        <v>0.11639999999999999</v>
      </c>
      <c r="AC43" t="s">
        <v>167</v>
      </c>
      <c r="AD43" s="29">
        <f>AD32/AD42</f>
        <v>0.30573248407643311</v>
      </c>
      <c r="AE43" s="29">
        <f>AE32/AE42</f>
        <v>0.41109969167523119</v>
      </c>
      <c r="AF43" s="29">
        <f>AF32/AF42</f>
        <v>0.33630573248407641</v>
      </c>
      <c r="AN43" t="s">
        <v>94</v>
      </c>
      <c r="AO43" s="29">
        <v>0.05</v>
      </c>
      <c r="AP43" s="29">
        <v>0.06</v>
      </c>
      <c r="AQ43" s="29">
        <v>0.05</v>
      </c>
    </row>
    <row r="44" spans="3:43">
      <c r="C44" s="78" t="s">
        <v>81</v>
      </c>
      <c r="D44" s="99">
        <f>D42-D43</f>
        <v>590.49504950495054</v>
      </c>
      <c r="E44" s="99">
        <f t="shared" ref="E44:F44" si="13">E42-E43</f>
        <v>66.666666666666657</v>
      </c>
      <c r="F44" s="99">
        <f t="shared" si="13"/>
        <v>676.47058823529414</v>
      </c>
      <c r="I44" s="95" t="s">
        <v>76</v>
      </c>
      <c r="J44" s="96">
        <f>J42-J43</f>
        <v>5288.0153687010479</v>
      </c>
      <c r="K44" s="96">
        <f t="shared" ref="K44:L44" si="14">K42-K43</f>
        <v>860.21505376344066</v>
      </c>
      <c r="L44" s="96">
        <f t="shared" si="14"/>
        <v>6341.911764705882</v>
      </c>
      <c r="N44" s="131">
        <f t="shared" si="10"/>
        <v>6148.2304224644886</v>
      </c>
      <c r="O44" s="131">
        <f t="shared" si="11"/>
        <v>193.68134224139339</v>
      </c>
      <c r="X44" t="s">
        <v>153</v>
      </c>
      <c r="Y44" t="s">
        <v>154</v>
      </c>
      <c r="AC44" t="s">
        <v>43</v>
      </c>
      <c r="AD44" s="36">
        <f>AD30/(1-AD43)</f>
        <v>720.18348623853205</v>
      </c>
      <c r="AE44" s="36">
        <f>AE30/(1-AE43)</f>
        <v>0</v>
      </c>
      <c r="AF44" s="36">
        <f>AF30/(1-AF43)</f>
        <v>904.03071017274465</v>
      </c>
      <c r="AN44" t="s">
        <v>41</v>
      </c>
      <c r="AO44" s="29">
        <v>0.15</v>
      </c>
      <c r="AP44" s="29">
        <v>0.15</v>
      </c>
      <c r="AQ44" s="29">
        <v>0.15</v>
      </c>
    </row>
    <row r="45" spans="3:43">
      <c r="C45" s="92" t="s">
        <v>78</v>
      </c>
      <c r="D45" s="93">
        <f>D38</f>
        <v>9.7000000000000003E-2</v>
      </c>
      <c r="E45" s="93">
        <f t="shared" ref="E45:F45" si="15">E38</f>
        <v>9.8125000000000004E-2</v>
      </c>
      <c r="F45" s="93">
        <f t="shared" si="15"/>
        <v>9.7000000000000003E-2</v>
      </c>
      <c r="R45" t="s">
        <v>201</v>
      </c>
      <c r="S45" t="s">
        <v>155</v>
      </c>
      <c r="T45" s="151">
        <f>T37/(T43-T34)</f>
        <v>5787.0370370370374</v>
      </c>
      <c r="U45" s="151">
        <f>U47/U39</f>
        <v>1973.6842105263163</v>
      </c>
      <c r="V45" s="151">
        <f>V37/(V43-V34)</f>
        <v>8462.455303933255</v>
      </c>
      <c r="X45" s="152">
        <f t="shared" ref="X45:X47" si="16">T45+U45</f>
        <v>7760.7212475633532</v>
      </c>
      <c r="Y45" s="153">
        <f t="shared" ref="Y45" si="17">V45-X45</f>
        <v>701.73405636990174</v>
      </c>
      <c r="AN45" t="s">
        <v>267</v>
      </c>
      <c r="AO45" s="40">
        <v>1000000</v>
      </c>
      <c r="AP45" s="40">
        <v>2000000</v>
      </c>
    </row>
    <row r="46" spans="3:43">
      <c r="C46" s="94" t="s">
        <v>85</v>
      </c>
      <c r="D46" s="99">
        <f>D44/(D45-D34)</f>
        <v>8813.3589478350823</v>
      </c>
      <c r="E46" s="99">
        <f t="shared" ref="E46:F46" si="18">E44/(E45-E34)</f>
        <v>1146.9534050179209</v>
      </c>
      <c r="F46" s="99">
        <f t="shared" si="18"/>
        <v>10569.85294117647</v>
      </c>
      <c r="J46" t="s">
        <v>156</v>
      </c>
      <c r="K46" t="s">
        <v>157</v>
      </c>
      <c r="L46" t="s">
        <v>158</v>
      </c>
      <c r="S46" t="s">
        <v>75</v>
      </c>
      <c r="T46" s="151">
        <f>T45*T36</f>
        <v>1736.1111111111111</v>
      </c>
      <c r="U46" s="151">
        <f>U45*U36</f>
        <v>394.73684210526329</v>
      </c>
      <c r="V46" s="151">
        <f>V45*V36</f>
        <v>2538.7365911799766</v>
      </c>
      <c r="X46" s="152">
        <f t="shared" si="16"/>
        <v>2130.8479532163742</v>
      </c>
      <c r="Y46" s="152"/>
      <c r="AC46" t="s">
        <v>155</v>
      </c>
      <c r="AD46" s="36">
        <f>AD30/(AD42-AD32)</f>
        <v>7339.4495412844035</v>
      </c>
      <c r="AE46">
        <f>AE48/(1-AE34)</f>
        <v>1296.2962962962963</v>
      </c>
      <c r="AF46" s="36">
        <f>AF30/(AF42-AF32)</f>
        <v>9213.0518234165065</v>
      </c>
      <c r="AH46" s="117"/>
      <c r="AI46" s="117"/>
    </row>
    <row r="47" spans="3:43">
      <c r="D47" s="100"/>
      <c r="E47" s="100"/>
      <c r="F47" s="100"/>
      <c r="I47" t="s">
        <v>101</v>
      </c>
      <c r="J47" s="44">
        <f>K44</f>
        <v>860.21505376344066</v>
      </c>
      <c r="K47">
        <v>3</v>
      </c>
      <c r="L47" s="118">
        <f>J47-K47</f>
        <v>857.21505376344066</v>
      </c>
      <c r="S47" t="s">
        <v>76</v>
      </c>
      <c r="T47" s="151">
        <f t="shared" ref="T47:V47" si="19">T45-T46</f>
        <v>4050.9259259259261</v>
      </c>
      <c r="U47" s="151">
        <f>U38/(U41-U34)</f>
        <v>1578.9473684210532</v>
      </c>
      <c r="V47" s="151">
        <f t="shared" si="19"/>
        <v>5923.7187127532779</v>
      </c>
      <c r="X47" s="152">
        <f t="shared" si="16"/>
        <v>5629.8732943469795</v>
      </c>
      <c r="Y47" s="152"/>
      <c r="AC47" t="s">
        <v>75</v>
      </c>
      <c r="AD47" s="36">
        <f>AD46*AD34</f>
        <v>1834.8623853211009</v>
      </c>
      <c r="AE47" s="36">
        <f>AE46-AE48</f>
        <v>388.88888888888903</v>
      </c>
      <c r="AF47" s="36">
        <f>AF46*AF34</f>
        <v>2303.2629558541266</v>
      </c>
      <c r="AH47" s="117"/>
      <c r="AI47" s="117"/>
      <c r="AN47" t="s">
        <v>79</v>
      </c>
      <c r="AO47" s="29">
        <f>(AO41-AO43*AO42)/(1-AO42)</f>
        <v>0.11666666666666668</v>
      </c>
      <c r="AP47" s="29">
        <f>(AP41-AP43*AP42)/(1-AP42)</f>
        <v>0.11714285714285716</v>
      </c>
      <c r="AQ47" s="29">
        <f>(AQ41-AQ43*AQ42)/(1-AQ42)</f>
        <v>0.11666666666666668</v>
      </c>
    </row>
    <row r="48" spans="3:43">
      <c r="C48" s="95" t="s">
        <v>75</v>
      </c>
      <c r="D48" s="96">
        <f>D31*D46</f>
        <v>3525.343579134033</v>
      </c>
      <c r="E48" s="96">
        <f>E31*E46</f>
        <v>286.73835125448022</v>
      </c>
      <c r="F48" s="96">
        <f>F31*F46</f>
        <v>4227.9411764705883</v>
      </c>
      <c r="I48" t="s">
        <v>104</v>
      </c>
      <c r="J48" s="44">
        <f>J47+O42</f>
        <v>1469.7556420869096</v>
      </c>
      <c r="K48">
        <v>6</v>
      </c>
      <c r="L48" s="118">
        <f>J48+K48</f>
        <v>1475.7556420869096</v>
      </c>
      <c r="AC48" t="s">
        <v>76</v>
      </c>
      <c r="AD48" s="36">
        <f>AD46-AD47</f>
        <v>5504.5871559633024</v>
      </c>
      <c r="AE48" s="36">
        <f>AE31/(AE39-AE32)</f>
        <v>907.40740740740728</v>
      </c>
      <c r="AF48" s="36">
        <f t="shared" ref="AF48" si="20">AF46-AF47</f>
        <v>6909.7888675623799</v>
      </c>
      <c r="AH48" s="117"/>
      <c r="AI48" s="117"/>
    </row>
    <row r="49" spans="2:45">
      <c r="C49" s="95" t="s">
        <v>76</v>
      </c>
      <c r="D49" s="96">
        <f>D46-D48</f>
        <v>5288.0153687010497</v>
      </c>
      <c r="E49" s="96">
        <f t="shared" ref="E49:F49" si="21">E46-E48</f>
        <v>860.21505376344066</v>
      </c>
      <c r="F49" s="96">
        <f t="shared" si="21"/>
        <v>6341.911764705882</v>
      </c>
      <c r="T49" t="s">
        <v>156</v>
      </c>
      <c r="U49" t="s">
        <v>157</v>
      </c>
      <c r="V49" t="s">
        <v>158</v>
      </c>
      <c r="AC49" t="s">
        <v>154</v>
      </c>
      <c r="AF49" s="36">
        <f>AF46-AD46-AE46</f>
        <v>577.30598583580672</v>
      </c>
      <c r="AG49" t="s">
        <v>268</v>
      </c>
      <c r="AN49" t="s">
        <v>78</v>
      </c>
      <c r="AO49" s="29">
        <f>AO41-AO42*AO43*AO44</f>
        <v>9.8125000000000004E-2</v>
      </c>
      <c r="AP49" s="29">
        <f>AP41-AP42*AP43*AP44</f>
        <v>9.7300000000000011E-2</v>
      </c>
      <c r="AQ49" s="29">
        <f>AQ41-AQ42*AQ43*AQ44</f>
        <v>9.8125000000000004E-2</v>
      </c>
      <c r="AS49" t="s">
        <v>154</v>
      </c>
    </row>
    <row r="50" spans="2:45">
      <c r="C50" t="s">
        <v>97</v>
      </c>
      <c r="D50" s="91">
        <f>D49*1000000/D35</f>
        <v>528.801536870105</v>
      </c>
      <c r="E50" s="91">
        <f t="shared" ref="E50" si="22">E49*1000000/E35</f>
        <v>172.04301075268813</v>
      </c>
      <c r="F50" s="91"/>
      <c r="S50" t="s">
        <v>101</v>
      </c>
      <c r="T50" s="151">
        <f>U47</f>
        <v>1578.9473684210532</v>
      </c>
      <c r="U50">
        <v>4</v>
      </c>
      <c r="V50" s="154">
        <f>T50+U50</f>
        <v>1582.9473684210532</v>
      </c>
      <c r="AD50" t="s">
        <v>269</v>
      </c>
      <c r="AN50" t="s">
        <v>85</v>
      </c>
      <c r="AO50">
        <f>AO38/(AO49-AO40)</f>
        <v>7339.4495412844035</v>
      </c>
      <c r="AP50" s="218">
        <f>AP51*1/(1-AP42)</f>
        <v>1296.2962962962963</v>
      </c>
      <c r="AQ50">
        <f>AQ38/(AQ49-AQ40)</f>
        <v>9213.0518234165065</v>
      </c>
      <c r="AS50" s="218">
        <f>AQ50-AP50-AO50</f>
        <v>577.3059858358065</v>
      </c>
    </row>
    <row r="51" spans="2:45">
      <c r="S51" t="s">
        <v>104</v>
      </c>
      <c r="T51" s="151">
        <f>T50+Y45</f>
        <v>2280.6814247909551</v>
      </c>
      <c r="U51">
        <v>8</v>
      </c>
      <c r="V51" s="154">
        <f>T51-U51</f>
        <v>2272.6814247909551</v>
      </c>
      <c r="AC51" t="s">
        <v>101</v>
      </c>
      <c r="AD51" s="36">
        <f>AE48</f>
        <v>907.40740740740728</v>
      </c>
      <c r="AF51" t="s">
        <v>270</v>
      </c>
      <c r="AN51" t="s">
        <v>88</v>
      </c>
      <c r="AO51">
        <f>AO53</f>
        <v>5504.5871559633024</v>
      </c>
      <c r="AP51" s="218">
        <f>AP39/(AP47-AP40)</f>
        <v>907.40740740740728</v>
      </c>
      <c r="AQ51">
        <f>AQ53</f>
        <v>6909.7888675623799</v>
      </c>
    </row>
    <row r="52" spans="2:45">
      <c r="I52" t="s">
        <v>159</v>
      </c>
      <c r="J52" s="117">
        <f>L47*(1+25%)</f>
        <v>1071.5188172043008</v>
      </c>
      <c r="AC52" t="s">
        <v>104</v>
      </c>
      <c r="AD52" s="128">
        <f>AD51+AF49</f>
        <v>1484.7133932432139</v>
      </c>
      <c r="AE52" s="128"/>
      <c r="AN52" t="s">
        <v>166</v>
      </c>
      <c r="AO52">
        <f>AO50*AO42</f>
        <v>1834.8623853211009</v>
      </c>
      <c r="AP52" s="218">
        <f>AP50-AP51</f>
        <v>388.88888888888903</v>
      </c>
      <c r="AQ52">
        <f>AQ50*AQ42</f>
        <v>2303.2629558541266</v>
      </c>
    </row>
    <row r="53" spans="2:45">
      <c r="I53" t="s">
        <v>27</v>
      </c>
      <c r="J53" s="117">
        <f>J52*50%</f>
        <v>535.75940860215042</v>
      </c>
      <c r="AN53" t="s">
        <v>323</v>
      </c>
      <c r="AO53">
        <f>AO50-AO52</f>
        <v>5504.5871559633024</v>
      </c>
      <c r="AP53" s="218">
        <f>AP51</f>
        <v>907.40740740740728</v>
      </c>
      <c r="AQ53">
        <f>AQ50-AQ52</f>
        <v>6909.7888675623799</v>
      </c>
    </row>
    <row r="54" spans="2:45">
      <c r="C54" t="s">
        <v>98</v>
      </c>
      <c r="I54" t="s">
        <v>39</v>
      </c>
      <c r="J54" s="117">
        <f>J52-J53</f>
        <v>535.75940860215042</v>
      </c>
      <c r="AC54" t="s">
        <v>271</v>
      </c>
      <c r="AD54" s="128">
        <f>AD51+(0.3*AF49)</f>
        <v>1080.5992031581493</v>
      </c>
    </row>
    <row r="55" spans="2:45">
      <c r="E55" t="s">
        <v>99</v>
      </c>
      <c r="AC55" t="s">
        <v>27</v>
      </c>
      <c r="AD55" s="128">
        <f>AD54*40%</f>
        <v>432.23968126325974</v>
      </c>
    </row>
    <row r="56" spans="2:45">
      <c r="B56" t="s">
        <v>100</v>
      </c>
      <c r="C56" s="101" t="s">
        <v>101</v>
      </c>
      <c r="D56" s="102">
        <f>E49</f>
        <v>860.21505376344066</v>
      </c>
      <c r="E56" s="101">
        <f>3</f>
        <v>3</v>
      </c>
      <c r="F56" s="102">
        <f>+D56-E56</f>
        <v>857.21505376344066</v>
      </c>
      <c r="G56" s="101" t="s">
        <v>102</v>
      </c>
      <c r="I56" t="s">
        <v>160</v>
      </c>
      <c r="J56" s="39">
        <f>J54/L44</f>
        <v>8.4479164718715902E-2</v>
      </c>
      <c r="K56" s="44">
        <f>J56*J58</f>
        <v>1055989.5589839488</v>
      </c>
      <c r="AC56" t="s">
        <v>272</v>
      </c>
      <c r="AD56" s="128">
        <f>AD54-AD55</f>
        <v>648.35952189488955</v>
      </c>
    </row>
    <row r="57" spans="2:45">
      <c r="B57" t="s">
        <v>103</v>
      </c>
      <c r="C57" s="101" t="s">
        <v>104</v>
      </c>
      <c r="D57" s="102">
        <f>F49-D49</f>
        <v>1053.8963960048322</v>
      </c>
      <c r="E57" s="101">
        <v>6</v>
      </c>
      <c r="F57" s="102">
        <f>+D57-E57</f>
        <v>1047.8963960048322</v>
      </c>
      <c r="G57" s="101" t="s">
        <v>105</v>
      </c>
      <c r="R57" s="155" t="s">
        <v>202</v>
      </c>
      <c r="S57" s="156">
        <f>V50*(1+25%)</f>
        <v>1978.6842105263165</v>
      </c>
      <c r="T57" s="152"/>
      <c r="AC57" t="s">
        <v>273</v>
      </c>
      <c r="AD57" s="90">
        <f>AD56/AF46</f>
        <v>7.0374023105674477E-2</v>
      </c>
      <c r="AN57" t="s">
        <v>324</v>
      </c>
      <c r="AO57" s="218">
        <f>AP53</f>
        <v>907.40740740740728</v>
      </c>
    </row>
    <row r="58" spans="2:45">
      <c r="I58" t="s">
        <v>96</v>
      </c>
      <c r="J58">
        <f>J36+50%*K36</f>
        <v>12500000</v>
      </c>
      <c r="S58" s="157"/>
      <c r="T58" s="152"/>
      <c r="AN58" t="s">
        <v>325</v>
      </c>
      <c r="AO58" s="218">
        <f>AO57+AS50</f>
        <v>1484.7133932432139</v>
      </c>
    </row>
    <row r="59" spans="2:45">
      <c r="C59" s="103" t="s">
        <v>106</v>
      </c>
      <c r="D59" s="104">
        <f>F56*(1+25%)</f>
        <v>1071.5188172043008</v>
      </c>
      <c r="R59" t="s">
        <v>203</v>
      </c>
      <c r="S59" s="157">
        <f>S57*30%</f>
        <v>593.60526315789491</v>
      </c>
      <c r="T59" s="152"/>
      <c r="AC59" t="s">
        <v>274</v>
      </c>
      <c r="AD59">
        <v>1000000</v>
      </c>
    </row>
    <row r="60" spans="2:45">
      <c r="C60" t="s">
        <v>107</v>
      </c>
      <c r="D60" s="91">
        <f>D59*50%</f>
        <v>535.75940860215042</v>
      </c>
      <c r="R60" t="s">
        <v>204</v>
      </c>
      <c r="S60" s="157">
        <f>S57-S59</f>
        <v>1385.0789473684217</v>
      </c>
      <c r="AC60" t="s">
        <v>275</v>
      </c>
      <c r="AD60" s="37">
        <f>(1-AD57)</f>
        <v>0.92962597689432558</v>
      </c>
    </row>
    <row r="61" spans="2:45">
      <c r="C61" s="44" t="s">
        <v>108</v>
      </c>
      <c r="D61" s="105">
        <f>+D60*1000000/E50</f>
        <v>3114101.5625</v>
      </c>
      <c r="R61" s="155" t="s">
        <v>205</v>
      </c>
      <c r="S61" s="158">
        <f>+S60/V47</f>
        <v>0.23381916234247602</v>
      </c>
      <c r="T61" s="150"/>
      <c r="U61" s="151"/>
      <c r="AN61" t="s">
        <v>326</v>
      </c>
      <c r="AO61">
        <f>AO57+AS50*30%</f>
        <v>1080.5992031581493</v>
      </c>
    </row>
    <row r="62" spans="2:45">
      <c r="S62" s="157"/>
      <c r="AC62" t="s">
        <v>276</v>
      </c>
      <c r="AD62" s="187">
        <f>AD59*AD57</f>
        <v>70374.023105674481</v>
      </c>
      <c r="AN62" t="s">
        <v>327</v>
      </c>
      <c r="AO62">
        <f>AO61*40%</f>
        <v>432.23968126325974</v>
      </c>
    </row>
    <row r="63" spans="2:45">
      <c r="R63" s="159" t="s">
        <v>206</v>
      </c>
      <c r="S63" s="160">
        <f>T31+U31</f>
        <v>6000000</v>
      </c>
      <c r="T63" s="161"/>
      <c r="AN63" t="s">
        <v>328</v>
      </c>
      <c r="AO63">
        <f>AP53+AS50*30%-AO62</f>
        <v>648.35952189488955</v>
      </c>
    </row>
    <row r="64" spans="2:45">
      <c r="R64" s="162" t="s">
        <v>207</v>
      </c>
      <c r="S64" s="163">
        <f>1-S61</f>
        <v>0.76618083765752398</v>
      </c>
      <c r="AN64" t="s">
        <v>329</v>
      </c>
      <c r="AO64" s="39">
        <f>AO63/AQ53</f>
        <v>9.3832030807565969E-2</v>
      </c>
    </row>
    <row r="65" spans="18:41">
      <c r="R65" s="164"/>
      <c r="S65" s="165"/>
    </row>
    <row r="66" spans="18:41">
      <c r="R66" s="155" t="s">
        <v>208</v>
      </c>
      <c r="S66" s="166">
        <f>S63/S64*S61</f>
        <v>1831049.4143184859</v>
      </c>
      <c r="AN66" t="s">
        <v>330</v>
      </c>
      <c r="AO66" s="40">
        <f>AO45+AP45</f>
        <v>3000000</v>
      </c>
    </row>
    <row r="67" spans="18:41">
      <c r="S67" s="167"/>
      <c r="AN67" t="s">
        <v>331</v>
      </c>
      <c r="AO67" s="90">
        <f>1-AO64</f>
        <v>0.90616796919243403</v>
      </c>
    </row>
    <row r="68" spans="18:41">
      <c r="R68" t="s">
        <v>209</v>
      </c>
      <c r="S68" s="168">
        <f>S66+S63</f>
        <v>7831049.4143184861</v>
      </c>
    </row>
    <row r="69" spans="18:41">
      <c r="R69" t="s">
        <v>210</v>
      </c>
      <c r="S69" s="169">
        <f>S68*S64</f>
        <v>6000000</v>
      </c>
      <c r="AN69" t="s">
        <v>332</v>
      </c>
      <c r="AO69" s="105">
        <f>AO66/AO67*AO64</f>
        <v>310644.4963769397</v>
      </c>
    </row>
    <row r="70" spans="18:41">
      <c r="R70" t="s">
        <v>211</v>
      </c>
      <c r="S70" s="169">
        <f>S68*S61</f>
        <v>1831049.4143184859</v>
      </c>
      <c r="AN70" t="s">
        <v>333</v>
      </c>
      <c r="AO70" s="105">
        <f>AO66/AO67</f>
        <v>3310644.4963769396</v>
      </c>
    </row>
    <row r="72" spans="18:41">
      <c r="R72" s="170" t="s">
        <v>212</v>
      </c>
      <c r="S72" s="171">
        <f>S68/S63</f>
        <v>1.3051749023864143</v>
      </c>
      <c r="AN72" t="s">
        <v>212</v>
      </c>
      <c r="AO72" s="219">
        <f>AO70/AO66</f>
        <v>1.1035481654589798</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3F8-C1ED-4618-BEF3-F3B796AB9621}">
  <sheetPr codeName="Munka6">
    <tabColor rgb="FFFFFF00"/>
  </sheetPr>
  <dimension ref="B1:H64"/>
  <sheetViews>
    <sheetView workbookViewId="0">
      <selection activeCell="G37" sqref="G37"/>
    </sheetView>
  </sheetViews>
  <sheetFormatPr defaultColWidth="8.796875" defaultRowHeight="15.6"/>
  <cols>
    <col min="2" max="2" width="36.796875" bestFit="1" customWidth="1"/>
    <col min="3" max="3" width="24.19921875" bestFit="1" customWidth="1"/>
    <col min="4" max="4" width="8.796875" bestFit="1" customWidth="1"/>
    <col min="5" max="5" width="7" bestFit="1" customWidth="1"/>
    <col min="6" max="6" width="37.296875" bestFit="1" customWidth="1"/>
    <col min="7" max="7" width="10.5" bestFit="1" customWidth="1"/>
    <col min="8" max="9" width="7" bestFit="1" customWidth="1"/>
  </cols>
  <sheetData>
    <row r="1" spans="2:3" ht="16.2" thickBot="1"/>
    <row r="2" spans="2:3" ht="18">
      <c r="B2" s="9" t="str">
        <f>+Admin!C12</f>
        <v>Date</v>
      </c>
      <c r="C2" s="34">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20" spans="2:8">
      <c r="B20" t="s">
        <v>109</v>
      </c>
      <c r="C20" s="39">
        <v>0.15</v>
      </c>
      <c r="F20" t="s">
        <v>109</v>
      </c>
      <c r="G20" s="39">
        <v>0.15</v>
      </c>
    </row>
    <row r="21" spans="2:8">
      <c r="B21" t="s">
        <v>110</v>
      </c>
      <c r="C21" s="39">
        <v>0.09</v>
      </c>
      <c r="F21" t="s">
        <v>110</v>
      </c>
      <c r="G21" s="39">
        <v>0.09</v>
      </c>
    </row>
    <row r="22" spans="2:8">
      <c r="B22" t="s">
        <v>111</v>
      </c>
      <c r="C22" s="37">
        <v>0.08</v>
      </c>
      <c r="F22" t="s">
        <v>111</v>
      </c>
      <c r="G22" s="37">
        <v>0.08</v>
      </c>
    </row>
    <row r="23" spans="2:8">
      <c r="B23" t="s">
        <v>112</v>
      </c>
      <c r="C23" s="29">
        <v>0.02</v>
      </c>
      <c r="F23" t="s">
        <v>112</v>
      </c>
      <c r="G23" s="29">
        <v>0.02</v>
      </c>
    </row>
    <row r="24" spans="2:8">
      <c r="C24" s="37"/>
      <c r="G24" s="37"/>
    </row>
    <row r="25" spans="2:8">
      <c r="B25" t="s">
        <v>113</v>
      </c>
      <c r="C25">
        <v>20</v>
      </c>
      <c r="D25" t="s">
        <v>114</v>
      </c>
      <c r="F25" t="s">
        <v>113</v>
      </c>
      <c r="G25">
        <v>20</v>
      </c>
      <c r="H25" t="s">
        <v>114</v>
      </c>
    </row>
    <row r="26" spans="2:8">
      <c r="B26" t="s">
        <v>115</v>
      </c>
      <c r="C26">
        <v>25</v>
      </c>
      <c r="D26" t="s">
        <v>114</v>
      </c>
      <c r="F26" t="s">
        <v>115</v>
      </c>
      <c r="G26">
        <v>25</v>
      </c>
      <c r="H26" t="s">
        <v>114</v>
      </c>
    </row>
    <row r="27" spans="2:8">
      <c r="B27" t="s">
        <v>116</v>
      </c>
      <c r="C27">
        <v>20</v>
      </c>
      <c r="D27" t="s">
        <v>114</v>
      </c>
      <c r="F27" t="s">
        <v>116</v>
      </c>
      <c r="G27">
        <v>20</v>
      </c>
      <c r="H27" t="s">
        <v>114</v>
      </c>
    </row>
    <row r="29" spans="2:8">
      <c r="B29" t="s">
        <v>117</v>
      </c>
      <c r="C29" s="36">
        <v>200</v>
      </c>
      <c r="F29" t="s">
        <v>117</v>
      </c>
      <c r="G29" s="36">
        <v>200</v>
      </c>
    </row>
    <row r="30" spans="2:8">
      <c r="B30" t="s">
        <v>118</v>
      </c>
      <c r="C30" s="37">
        <v>0.05</v>
      </c>
      <c r="F30" t="s">
        <v>118</v>
      </c>
      <c r="G30" s="37">
        <v>0.05</v>
      </c>
    </row>
    <row r="32" spans="2:8">
      <c r="B32" t="s">
        <v>119</v>
      </c>
      <c r="C32">
        <v>28000</v>
      </c>
      <c r="F32" t="s">
        <v>119</v>
      </c>
      <c r="G32">
        <v>28000</v>
      </c>
    </row>
    <row r="33" spans="2:8">
      <c r="B33" t="s">
        <v>120</v>
      </c>
      <c r="C33">
        <v>50000</v>
      </c>
      <c r="F33" t="s">
        <v>120</v>
      </c>
      <c r="G33">
        <v>50000</v>
      </c>
    </row>
    <row r="35" spans="2:8">
      <c r="B35" s="110" t="s">
        <v>15</v>
      </c>
      <c r="C35" s="110">
        <f>C32/C27</f>
        <v>1400</v>
      </c>
    </row>
    <row r="36" spans="2:8">
      <c r="B36" s="110"/>
      <c r="C36" s="110"/>
    </row>
    <row r="37" spans="2:8">
      <c r="B37" s="112" t="s">
        <v>121</v>
      </c>
      <c r="C37" s="113">
        <f>C29/(C21-C30)*(1-((1+C30)^C26)/((1+C21)^C26))</f>
        <v>3036.4587354207547</v>
      </c>
      <c r="F37" t="s">
        <v>185</v>
      </c>
      <c r="G37" s="44">
        <f>+G29*12*(1-G20)/(G21-G30)*(1-(1+G30)^G26/(1+G21)^G26)</f>
        <v>30971.879101291695</v>
      </c>
      <c r="H37" t="s">
        <v>186</v>
      </c>
    </row>
    <row r="38" spans="2:8">
      <c r="B38" s="112" t="s">
        <v>122</v>
      </c>
      <c r="C38" s="113">
        <f>C35*C20/C21*(1-1/(1+C21)^C27)</f>
        <v>1916.9945905080435</v>
      </c>
    </row>
    <row r="39" spans="2:8">
      <c r="B39" s="112" t="s">
        <v>123</v>
      </c>
      <c r="C39" s="113">
        <f>+C37+C38</f>
        <v>4953.4533259287982</v>
      </c>
      <c r="F39" t="s">
        <v>15</v>
      </c>
      <c r="G39">
        <f>G32/G27</f>
        <v>1400</v>
      </c>
    </row>
    <row r="40" spans="2:8">
      <c r="B40" s="110" t="s">
        <v>124</v>
      </c>
      <c r="C40" s="114">
        <f>C32</f>
        <v>28000</v>
      </c>
      <c r="F40" t="s">
        <v>187</v>
      </c>
      <c r="G40">
        <f>G39*G20</f>
        <v>210</v>
      </c>
    </row>
    <row r="41" spans="2:8">
      <c r="B41" s="110" t="s">
        <v>125</v>
      </c>
      <c r="C41" s="114">
        <f>C39+C40</f>
        <v>32953.4533259288</v>
      </c>
      <c r="F41" t="s">
        <v>188</v>
      </c>
      <c r="G41" s="44">
        <f>G40/G21*(1-1/(1+G21)^G27)</f>
        <v>1916.9945905080435</v>
      </c>
      <c r="H41" t="s">
        <v>189</v>
      </c>
    </row>
    <row r="42" spans="2:8">
      <c r="B42" s="110" t="s">
        <v>126</v>
      </c>
      <c r="C42" s="109">
        <f>C41/(1+C21)^20</f>
        <v>5879.9139983438827</v>
      </c>
    </row>
    <row r="43" spans="2:8">
      <c r="B43" s="110"/>
      <c r="C43" s="110"/>
      <c r="E43" s="103">
        <v>1</v>
      </c>
      <c r="F43" s="103" t="s">
        <v>190</v>
      </c>
      <c r="G43" s="42">
        <f>G37+G41</f>
        <v>32888.873691799738</v>
      </c>
    </row>
    <row r="44" spans="2:8">
      <c r="E44" s="103"/>
    </row>
    <row r="45" spans="2:8">
      <c r="E45" s="103"/>
    </row>
    <row r="46" spans="2:8">
      <c r="E46" s="103"/>
      <c r="F46" t="s">
        <v>191</v>
      </c>
      <c r="G46" s="36">
        <f>G29*12</f>
        <v>2400</v>
      </c>
    </row>
    <row r="47" spans="2:8">
      <c r="E47" s="103"/>
      <c r="F47" t="s">
        <v>192</v>
      </c>
      <c r="G47" s="37">
        <f>G22</f>
        <v>0.08</v>
      </c>
    </row>
    <row r="48" spans="2:8">
      <c r="E48" s="103">
        <v>2</v>
      </c>
      <c r="F48" s="103" t="s">
        <v>193</v>
      </c>
      <c r="G48" s="42">
        <f>G46/G47</f>
        <v>30000</v>
      </c>
    </row>
    <row r="49" spans="2:7">
      <c r="E49" s="103"/>
    </row>
    <row r="50" spans="2:7">
      <c r="E50" s="103"/>
    </row>
    <row r="51" spans="2:7">
      <c r="E51" s="103">
        <v>3</v>
      </c>
      <c r="F51" s="41" t="s">
        <v>194</v>
      </c>
      <c r="G51" s="42">
        <f>+G33*(1+G23)^G25*G32/G33</f>
        <v>41606.527087393923</v>
      </c>
    </row>
    <row r="59" spans="2:7">
      <c r="B59" s="41" t="s">
        <v>127</v>
      </c>
      <c r="C59" s="42">
        <f>+C33*(1+C23)^C25*C32/C33</f>
        <v>41606.527087393923</v>
      </c>
    </row>
    <row r="60" spans="2:7">
      <c r="B60" s="41" t="s">
        <v>128</v>
      </c>
      <c r="C60" s="42">
        <f>+C29*12/C22</f>
        <v>30000</v>
      </c>
    </row>
    <row r="62" spans="2:7">
      <c r="B62" s="41" t="s">
        <v>129</v>
      </c>
      <c r="C62" s="42">
        <f>+C63+C64</f>
        <v>32888.873691799738</v>
      </c>
    </row>
    <row r="63" spans="2:7">
      <c r="B63" s="41" t="s">
        <v>130</v>
      </c>
      <c r="C63" s="42">
        <f>+C29*12*(1-C20)/(C21-C30)*(1-(1+C30)^C26/(1+C21)^C26)</f>
        <v>30971.879101291695</v>
      </c>
    </row>
    <row r="64" spans="2:7">
      <c r="B64" s="41" t="s">
        <v>131</v>
      </c>
      <c r="C64" s="42">
        <f>+C32/C27*C20/C21*(1-1/(1+C21)^C27)</f>
        <v>1916.9945905080435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F7B3E-B7B3-0E41-B99A-CE3A35CFDE34}">
  <sheetPr>
    <tabColor rgb="FF92D050"/>
  </sheetPr>
  <dimension ref="B1:P62"/>
  <sheetViews>
    <sheetView zoomScale="92" workbookViewId="0">
      <selection activeCell="E7" sqref="E7"/>
    </sheetView>
  </sheetViews>
  <sheetFormatPr defaultColWidth="8.796875" defaultRowHeight="15.6"/>
  <cols>
    <col min="2" max="2" width="18.69921875" bestFit="1" customWidth="1"/>
    <col min="3" max="3" width="23.5" bestFit="1" customWidth="1"/>
    <col min="4" max="4" width="10" bestFit="1" customWidth="1"/>
    <col min="5" max="5" width="19.69921875" bestFit="1" customWidth="1"/>
    <col min="6" max="6" width="14.296875" bestFit="1" customWidth="1"/>
    <col min="7" max="9" width="11.5" bestFit="1" customWidth="1"/>
    <col min="10" max="10" width="7" bestFit="1" customWidth="1"/>
    <col min="12" max="12" width="27.5" bestFit="1" customWidth="1"/>
    <col min="13" max="13" width="13.296875" bestFit="1" customWidth="1"/>
  </cols>
  <sheetData>
    <row r="1" spans="2:13" ht="16.2" thickBot="1"/>
    <row r="2" spans="2:13" ht="18.600000000000001" thickBot="1">
      <c r="B2" s="9" t="s">
        <v>1</v>
      </c>
      <c r="C2" s="34">
        <v>45280</v>
      </c>
    </row>
    <row r="3" spans="2:13" ht="18">
      <c r="B3" s="10" t="s">
        <v>2</v>
      </c>
      <c r="C3" s="11"/>
      <c r="L3" s="9">
        <v>0</v>
      </c>
      <c r="M3" s="34">
        <v>0</v>
      </c>
    </row>
    <row r="4" spans="2:13" ht="18">
      <c r="B4" s="10" t="s">
        <v>4</v>
      </c>
      <c r="C4" s="11"/>
      <c r="L4" s="10">
        <v>0</v>
      </c>
      <c r="M4" s="11">
        <v>0</v>
      </c>
    </row>
    <row r="5" spans="2:13" ht="18">
      <c r="B5" s="10"/>
      <c r="C5" s="12"/>
      <c r="L5" s="10">
        <v>0</v>
      </c>
      <c r="M5" s="11">
        <v>0</v>
      </c>
    </row>
    <row r="6" spans="2:13" ht="18">
      <c r="B6" s="10" t="s">
        <v>6</v>
      </c>
      <c r="C6" s="12" t="s">
        <v>3</v>
      </c>
      <c r="L6" s="10"/>
      <c r="M6" s="12"/>
    </row>
    <row r="7" spans="2:13" ht="18.600000000000001" thickBot="1">
      <c r="B7" s="13" t="s">
        <v>7</v>
      </c>
      <c r="C7" s="14" t="s">
        <v>8</v>
      </c>
      <c r="L7" s="10">
        <v>0</v>
      </c>
      <c r="M7" s="12">
        <v>0</v>
      </c>
    </row>
    <row r="8" spans="2:13" ht="18.600000000000001" thickBot="1">
      <c r="L8" s="13">
        <v>0</v>
      </c>
      <c r="M8" s="14">
        <v>0</v>
      </c>
    </row>
    <row r="9" spans="2:13" ht="21" thickBot="1">
      <c r="B9" s="15" t="s">
        <v>10</v>
      </c>
      <c r="C9" s="16"/>
    </row>
    <row r="10" spans="2:13" ht="21" thickBot="1">
      <c r="L10" s="15" t="s">
        <v>10</v>
      </c>
      <c r="M10" s="16"/>
    </row>
    <row r="26" spans="2:13">
      <c r="B26" t="s">
        <v>278</v>
      </c>
      <c r="C26" s="188"/>
      <c r="E26" t="s">
        <v>278</v>
      </c>
      <c r="F26" s="188">
        <f>F54/F60</f>
        <v>12.307692307692308</v>
      </c>
    </row>
    <row r="27" spans="2:13">
      <c r="B27" t="s">
        <v>279</v>
      </c>
      <c r="C27" s="188"/>
      <c r="E27" t="s">
        <v>280</v>
      </c>
      <c r="F27" s="188">
        <f>F56/F49</f>
        <v>1.8823529411764706</v>
      </c>
      <c r="L27" t="s">
        <v>278</v>
      </c>
      <c r="M27" s="188">
        <f>M54/M61</f>
        <v>22.222222222222221</v>
      </c>
    </row>
    <row r="28" spans="2:13">
      <c r="B28" t="s">
        <v>280</v>
      </c>
      <c r="C28" s="188"/>
      <c r="E28" t="s">
        <v>430</v>
      </c>
      <c r="F28" s="188">
        <f>F56/F34</f>
        <v>0.64</v>
      </c>
      <c r="L28" t="s">
        <v>279</v>
      </c>
      <c r="M28" s="188">
        <f>(M59-M45)/M36</f>
        <v>14.6875</v>
      </c>
    </row>
    <row r="29" spans="2:13">
      <c r="B29" t="s">
        <v>281</v>
      </c>
      <c r="C29" s="188"/>
      <c r="E29" t="s">
        <v>431</v>
      </c>
      <c r="F29" s="188">
        <f>(F58-F41)/(F36)</f>
        <v>13.25</v>
      </c>
      <c r="L29" t="s">
        <v>280</v>
      </c>
      <c r="M29" s="188">
        <f>M57/M47</f>
        <v>3.5087719298245612</v>
      </c>
    </row>
    <row r="30" spans="2:13">
      <c r="B30" t="s">
        <v>282</v>
      </c>
      <c r="C30" s="188"/>
      <c r="E30" t="s">
        <v>432</v>
      </c>
      <c r="F30" s="188">
        <f>(F58-F41)/F61</f>
        <v>1.7966101694915255</v>
      </c>
      <c r="L30" t="s">
        <v>281</v>
      </c>
      <c r="M30" s="188">
        <f>(M59-M45)/M62</f>
        <v>2.1559633027522938</v>
      </c>
    </row>
    <row r="31" spans="2:13">
      <c r="L31" t="s">
        <v>282</v>
      </c>
      <c r="M31" s="188">
        <f>(M59-M45)/M34</f>
        <v>1.1190476190476191</v>
      </c>
    </row>
    <row r="32" spans="2:13">
      <c r="B32" t="s">
        <v>283</v>
      </c>
    </row>
    <row r="33" spans="2:16">
      <c r="B33" t="s">
        <v>284</v>
      </c>
      <c r="C33" s="40">
        <v>10500000</v>
      </c>
      <c r="E33" t="s">
        <v>283</v>
      </c>
      <c r="L33" t="s">
        <v>283</v>
      </c>
    </row>
    <row r="34" spans="2:16">
      <c r="B34" t="s">
        <v>15</v>
      </c>
      <c r="C34" s="40">
        <v>700000</v>
      </c>
      <c r="E34" t="s">
        <v>433</v>
      </c>
      <c r="F34" s="40">
        <v>10000000</v>
      </c>
      <c r="L34" t="s">
        <v>284</v>
      </c>
      <c r="M34" s="40">
        <v>10500000</v>
      </c>
    </row>
    <row r="35" spans="2:16">
      <c r="B35" t="s">
        <v>285</v>
      </c>
      <c r="C35" s="40">
        <v>800000</v>
      </c>
      <c r="E35" t="s">
        <v>15</v>
      </c>
      <c r="F35" s="40">
        <v>600000</v>
      </c>
      <c r="L35" t="s">
        <v>15</v>
      </c>
      <c r="M35" s="40">
        <v>700000</v>
      </c>
    </row>
    <row r="36" spans="2:16">
      <c r="B36" t="s">
        <v>22</v>
      </c>
      <c r="C36" s="40">
        <v>700000</v>
      </c>
      <c r="E36" t="s">
        <v>285</v>
      </c>
      <c r="F36" s="40">
        <v>800000</v>
      </c>
      <c r="L36" t="s">
        <v>285</v>
      </c>
      <c r="M36" s="40">
        <v>800000</v>
      </c>
      <c r="P36" s="40"/>
    </row>
    <row r="37" spans="2:16">
      <c r="B37" t="s">
        <v>286</v>
      </c>
      <c r="C37" s="40">
        <v>250000</v>
      </c>
      <c r="E37" t="s">
        <v>22</v>
      </c>
      <c r="F37" s="40">
        <v>700000</v>
      </c>
      <c r="L37" t="s">
        <v>22</v>
      </c>
      <c r="M37" s="40">
        <v>700000</v>
      </c>
      <c r="P37" s="40"/>
    </row>
    <row r="38" spans="2:16">
      <c r="B38" t="s">
        <v>287</v>
      </c>
      <c r="C38" s="40">
        <f>+C36-C37</f>
        <v>450000</v>
      </c>
      <c r="D38" s="40"/>
      <c r="E38" t="s">
        <v>287</v>
      </c>
      <c r="F38" s="40">
        <v>520000</v>
      </c>
      <c r="L38" t="s">
        <v>286</v>
      </c>
      <c r="M38" s="40">
        <v>250000</v>
      </c>
      <c r="P38" s="40"/>
    </row>
    <row r="39" spans="2:16">
      <c r="L39" t="s">
        <v>287</v>
      </c>
      <c r="M39" s="40">
        <f>+M37-M38</f>
        <v>450000</v>
      </c>
      <c r="N39" s="40"/>
    </row>
    <row r="40" spans="2:16">
      <c r="B40" t="s">
        <v>288</v>
      </c>
      <c r="E40" t="s">
        <v>288</v>
      </c>
    </row>
    <row r="41" spans="2:16">
      <c r="B41" t="s">
        <v>289</v>
      </c>
      <c r="C41" s="40">
        <v>4000000</v>
      </c>
      <c r="E41" t="s">
        <v>27</v>
      </c>
      <c r="F41" s="40">
        <v>200000</v>
      </c>
      <c r="L41" t="s">
        <v>288</v>
      </c>
    </row>
    <row r="42" spans="2:16">
      <c r="B42" t="s">
        <v>31</v>
      </c>
      <c r="C42" s="40">
        <v>500000</v>
      </c>
      <c r="E42" t="s">
        <v>30</v>
      </c>
      <c r="F42" s="40">
        <v>800000</v>
      </c>
      <c r="L42" t="s">
        <v>289</v>
      </c>
      <c r="M42" s="40">
        <v>4000000</v>
      </c>
    </row>
    <row r="43" spans="2:16">
      <c r="B43" t="s">
        <v>30</v>
      </c>
      <c r="C43" s="40">
        <v>700000</v>
      </c>
      <c r="E43" t="s">
        <v>31</v>
      </c>
      <c r="F43" s="40">
        <v>500000</v>
      </c>
      <c r="L43" t="s">
        <v>31</v>
      </c>
      <c r="M43" s="40">
        <v>500000</v>
      </c>
    </row>
    <row r="44" spans="2:16">
      <c r="B44" t="s">
        <v>27</v>
      </c>
      <c r="C44" s="40">
        <v>250000</v>
      </c>
      <c r="E44" t="s">
        <v>289</v>
      </c>
      <c r="F44" s="40">
        <v>4000000</v>
      </c>
      <c r="L44" t="s">
        <v>30</v>
      </c>
      <c r="M44" s="40">
        <v>700000</v>
      </c>
    </row>
    <row r="45" spans="2:16">
      <c r="E45" t="s">
        <v>434</v>
      </c>
      <c r="F45" s="40">
        <v>400000</v>
      </c>
      <c r="L45" t="s">
        <v>27</v>
      </c>
      <c r="M45" s="40">
        <v>250000</v>
      </c>
    </row>
    <row r="46" spans="2:16">
      <c r="B46" t="s">
        <v>39</v>
      </c>
      <c r="C46" s="40">
        <f>SUM(C41:C44)-C49-C48-C47</f>
        <v>2850000</v>
      </c>
      <c r="O46" s="40"/>
    </row>
    <row r="47" spans="2:16">
      <c r="B47" t="s">
        <v>290</v>
      </c>
      <c r="C47" s="40">
        <v>1100000</v>
      </c>
      <c r="E47" t="s">
        <v>36</v>
      </c>
      <c r="F47" s="40">
        <v>500000</v>
      </c>
      <c r="L47" t="s">
        <v>39</v>
      </c>
      <c r="M47" s="40">
        <f>SUM(M42:M45)-M50-M49-M48</f>
        <v>2850000</v>
      </c>
      <c r="O47" s="40"/>
    </row>
    <row r="48" spans="2:16">
      <c r="B48" t="s">
        <v>291</v>
      </c>
      <c r="C48" s="40">
        <v>1000000</v>
      </c>
      <c r="E48" t="s">
        <v>435</v>
      </c>
      <c r="F48" s="40">
        <v>2000000</v>
      </c>
      <c r="L48" t="s">
        <v>290</v>
      </c>
      <c r="M48" s="40">
        <v>1100000</v>
      </c>
    </row>
    <row r="49" spans="2:13">
      <c r="B49" t="s">
        <v>36</v>
      </c>
      <c r="C49" s="40">
        <v>500000</v>
      </c>
      <c r="E49" t="s">
        <v>39</v>
      </c>
      <c r="F49" s="40">
        <f>SUM(F41:F45)-F47-F48</f>
        <v>3400000</v>
      </c>
      <c r="L49" t="s">
        <v>291</v>
      </c>
      <c r="M49" s="40">
        <v>1000000</v>
      </c>
    </row>
    <row r="50" spans="2:13">
      <c r="L50" t="s">
        <v>36</v>
      </c>
      <c r="M50" s="40">
        <v>500000</v>
      </c>
    </row>
    <row r="51" spans="2:13">
      <c r="B51" t="s">
        <v>292</v>
      </c>
      <c r="C51" s="40">
        <v>9</v>
      </c>
      <c r="E51" t="s">
        <v>293</v>
      </c>
      <c r="F51" s="40">
        <v>100000</v>
      </c>
    </row>
    <row r="52" spans="2:13">
      <c r="B52" t="s">
        <v>293</v>
      </c>
      <c r="C52" s="40">
        <v>100000</v>
      </c>
      <c r="E52" t="s">
        <v>292</v>
      </c>
      <c r="F52" s="40">
        <v>24</v>
      </c>
      <c r="L52" t="s">
        <v>292</v>
      </c>
      <c r="M52" s="40">
        <v>9</v>
      </c>
    </row>
    <row r="53" spans="2:13">
      <c r="B53" t="s">
        <v>294</v>
      </c>
      <c r="C53" s="40">
        <v>5</v>
      </c>
      <c r="E53" t="s">
        <v>96</v>
      </c>
      <c r="F53" s="40">
        <v>2000000</v>
      </c>
      <c r="L53" t="s">
        <v>293</v>
      </c>
      <c r="M53" s="40">
        <v>100000</v>
      </c>
    </row>
    <row r="54" spans="2:13">
      <c r="B54" t="s">
        <v>96</v>
      </c>
      <c r="C54" s="40">
        <v>2000000</v>
      </c>
      <c r="E54" t="s">
        <v>294</v>
      </c>
      <c r="F54" s="40">
        <v>3.2</v>
      </c>
      <c r="L54" t="s">
        <v>294</v>
      </c>
      <c r="M54" s="40">
        <v>5</v>
      </c>
    </row>
    <row r="55" spans="2:13">
      <c r="L55" t="s">
        <v>96</v>
      </c>
      <c r="M55" s="40">
        <v>2000000</v>
      </c>
    </row>
    <row r="56" spans="2:13">
      <c r="B56" t="s">
        <v>16</v>
      </c>
      <c r="E56" t="s">
        <v>334</v>
      </c>
      <c r="F56">
        <f>F53*F54</f>
        <v>6400000</v>
      </c>
    </row>
    <row r="57" spans="2:13">
      <c r="E57" t="s">
        <v>335</v>
      </c>
      <c r="F57">
        <f>F48+F51*F52</f>
        <v>4400000</v>
      </c>
      <c r="L57" t="s">
        <v>334</v>
      </c>
      <c r="M57">
        <f>M54*M55</f>
        <v>10000000</v>
      </c>
    </row>
    <row r="58" spans="2:13">
      <c r="E58" t="s">
        <v>336</v>
      </c>
      <c r="F58">
        <f>F56+F57</f>
        <v>10800000</v>
      </c>
      <c r="L58" t="s">
        <v>335</v>
      </c>
      <c r="M58" s="172">
        <f>M48+M52*M53</f>
        <v>2000000</v>
      </c>
    </row>
    <row r="59" spans="2:13">
      <c r="L59" t="s">
        <v>336</v>
      </c>
      <c r="M59">
        <f>M57+M58</f>
        <v>12000000</v>
      </c>
    </row>
    <row r="60" spans="2:13">
      <c r="E60" t="s">
        <v>76</v>
      </c>
      <c r="F60">
        <f>F38/F53</f>
        <v>0.26</v>
      </c>
    </row>
    <row r="61" spans="2:13">
      <c r="E61" t="s">
        <v>337</v>
      </c>
      <c r="F61" s="40">
        <f>SUM(F47:F49)</f>
        <v>5900000</v>
      </c>
      <c r="L61" t="s">
        <v>76</v>
      </c>
      <c r="M61">
        <f>M39/M55</f>
        <v>0.22500000000000001</v>
      </c>
    </row>
    <row r="62" spans="2:13">
      <c r="L62" t="s">
        <v>337</v>
      </c>
      <c r="M62" s="40">
        <f>SUM(M47:M50)</f>
        <v>5450000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A83C-A6C1-E84B-BB56-8A22DB785EFD}">
  <sheetPr>
    <tabColor rgb="FFFFFF00"/>
  </sheetPr>
  <dimension ref="B1:I44"/>
  <sheetViews>
    <sheetView workbookViewId="0">
      <selection activeCell="C3" sqref="C3:C4"/>
    </sheetView>
  </sheetViews>
  <sheetFormatPr defaultColWidth="8.796875" defaultRowHeight="15.6"/>
  <cols>
    <col min="2" max="2" width="19.296875" bestFit="1" customWidth="1"/>
    <col min="3" max="3" width="23.5" bestFit="1" customWidth="1"/>
    <col min="4" max="5" width="11.5" bestFit="1" customWidth="1"/>
    <col min="6" max="6" width="10.296875" bestFit="1" customWidth="1"/>
    <col min="7" max="7" width="14" bestFit="1" customWidth="1"/>
    <col min="8" max="8" width="10" bestFit="1" customWidth="1"/>
  </cols>
  <sheetData>
    <row r="1" spans="2:3" ht="16.2" thickBot="1"/>
    <row r="2" spans="2:3" ht="18">
      <c r="B2" s="9" t="s">
        <v>1</v>
      </c>
      <c r="C2" s="34">
        <v>45280</v>
      </c>
    </row>
    <row r="3" spans="2:3" ht="18">
      <c r="B3" s="10" t="s">
        <v>2</v>
      </c>
      <c r="C3" s="11"/>
    </row>
    <row r="4" spans="2:3" ht="18">
      <c r="B4" s="10" t="s">
        <v>4</v>
      </c>
      <c r="C4" s="11"/>
    </row>
    <row r="5" spans="2:3" ht="18">
      <c r="B5" s="10"/>
      <c r="C5" s="12"/>
    </row>
    <row r="6" spans="2:3" ht="18">
      <c r="B6" s="10" t="s">
        <v>6</v>
      </c>
      <c r="C6" s="12" t="s">
        <v>3</v>
      </c>
    </row>
    <row r="7" spans="2:3" ht="18.600000000000001" thickBot="1">
      <c r="B7" s="13" t="s">
        <v>7</v>
      </c>
      <c r="C7" s="14" t="s">
        <v>8</v>
      </c>
    </row>
    <row r="8" spans="2:3" ht="16.2" thickBot="1"/>
    <row r="9" spans="2:3" ht="21" thickBot="1">
      <c r="B9" s="15" t="s">
        <v>10</v>
      </c>
      <c r="C9" s="16"/>
    </row>
    <row r="24" spans="2:9">
      <c r="B24" s="41" t="s">
        <v>295</v>
      </c>
      <c r="C24" s="33">
        <v>2024</v>
      </c>
      <c r="D24" s="28">
        <f>+C24+1</f>
        <v>2025</v>
      </c>
      <c r="E24" s="28">
        <f t="shared" ref="E24:G24" si="0">+D24+1</f>
        <v>2026</v>
      </c>
      <c r="F24" s="28">
        <f t="shared" si="0"/>
        <v>2027</v>
      </c>
      <c r="G24" s="28">
        <f t="shared" si="0"/>
        <v>2028</v>
      </c>
      <c r="H24" s="28" t="s">
        <v>65</v>
      </c>
      <c r="I24" s="28" t="s">
        <v>66</v>
      </c>
    </row>
    <row r="25" spans="2:9">
      <c r="B25" t="s">
        <v>74</v>
      </c>
      <c r="C25" s="40">
        <v>20000</v>
      </c>
    </row>
    <row r="26" spans="2:9">
      <c r="B26" t="s">
        <v>296</v>
      </c>
      <c r="I26" s="29">
        <v>0.04</v>
      </c>
    </row>
    <row r="27" spans="2:9">
      <c r="B27" t="s">
        <v>87</v>
      </c>
      <c r="C27" s="29">
        <v>0.09</v>
      </c>
      <c r="D27" s="29">
        <v>0.09</v>
      </c>
      <c r="E27" s="29">
        <v>0.09</v>
      </c>
      <c r="F27" s="29">
        <v>0.09</v>
      </c>
      <c r="G27" s="29">
        <v>0.09</v>
      </c>
      <c r="H27" s="29">
        <v>0.09</v>
      </c>
      <c r="I27" s="29">
        <v>0.09</v>
      </c>
    </row>
    <row r="28" spans="2:9">
      <c r="B28" t="s">
        <v>68</v>
      </c>
      <c r="H28" s="29">
        <v>0.35</v>
      </c>
      <c r="I28" s="29">
        <v>0.35</v>
      </c>
    </row>
    <row r="29" spans="2:9">
      <c r="B29" t="s">
        <v>94</v>
      </c>
      <c r="H29" s="29">
        <v>0.05</v>
      </c>
      <c r="I29" s="29">
        <v>0.05</v>
      </c>
    </row>
    <row r="30" spans="2:9">
      <c r="B30" t="s">
        <v>41</v>
      </c>
      <c r="C30" s="29">
        <v>0.2</v>
      </c>
      <c r="D30" s="29">
        <v>0.2</v>
      </c>
      <c r="E30" s="29">
        <v>0.2</v>
      </c>
      <c r="F30" s="29">
        <v>0.2</v>
      </c>
      <c r="G30" s="29">
        <v>0.2</v>
      </c>
      <c r="H30" s="29">
        <v>0.2</v>
      </c>
      <c r="I30" s="29">
        <v>0.2</v>
      </c>
    </row>
    <row r="32" spans="2:9">
      <c r="B32" s="41" t="s">
        <v>297</v>
      </c>
    </row>
    <row r="33" spans="2:8">
      <c r="B33" t="s">
        <v>71</v>
      </c>
      <c r="C33" s="29">
        <v>0.1</v>
      </c>
      <c r="D33" s="29">
        <v>0.1</v>
      </c>
      <c r="E33" s="29">
        <v>0.1</v>
      </c>
      <c r="F33" s="29">
        <v>0.1</v>
      </c>
      <c r="G33" s="29">
        <v>0.1</v>
      </c>
    </row>
    <row r="34" spans="2:8">
      <c r="B34" t="s">
        <v>93</v>
      </c>
      <c r="C34" s="29">
        <v>0.35</v>
      </c>
      <c r="D34" s="29">
        <v>0.35</v>
      </c>
      <c r="E34" s="29">
        <v>0.35</v>
      </c>
      <c r="F34" s="29">
        <v>0.35</v>
      </c>
      <c r="G34" s="29">
        <v>0.35</v>
      </c>
    </row>
    <row r="35" spans="2:8">
      <c r="B35" t="s">
        <v>94</v>
      </c>
      <c r="C35" s="29">
        <v>0.05</v>
      </c>
      <c r="D35" s="29">
        <v>0.05</v>
      </c>
      <c r="E35" s="29">
        <v>0.05</v>
      </c>
      <c r="F35" s="29">
        <v>0.05</v>
      </c>
      <c r="G35" s="29">
        <v>0.05</v>
      </c>
    </row>
    <row r="36" spans="2:8">
      <c r="B36" t="s">
        <v>95</v>
      </c>
      <c r="D36" s="29">
        <v>0.04</v>
      </c>
      <c r="E36" s="29">
        <v>0.04</v>
      </c>
      <c r="F36" s="29">
        <v>0.04</v>
      </c>
      <c r="G36" s="29">
        <v>0.04</v>
      </c>
      <c r="H36" s="29">
        <v>0.04</v>
      </c>
    </row>
    <row r="38" spans="2:8">
      <c r="B38" s="41" t="s">
        <v>298</v>
      </c>
    </row>
    <row r="39" spans="2:8">
      <c r="B39" t="s">
        <v>299</v>
      </c>
      <c r="C39" s="40">
        <v>1000</v>
      </c>
    </row>
    <row r="40" spans="2:8">
      <c r="B40" t="s">
        <v>71</v>
      </c>
      <c r="C40" s="29">
        <v>0.09</v>
      </c>
    </row>
    <row r="41" spans="2:8">
      <c r="B41" t="s">
        <v>72</v>
      </c>
      <c r="D41" s="29">
        <v>0.13</v>
      </c>
      <c r="E41" s="29">
        <v>0.12</v>
      </c>
      <c r="F41" s="29">
        <v>0.11</v>
      </c>
      <c r="G41" s="29">
        <v>0.1</v>
      </c>
    </row>
    <row r="42" spans="2:8">
      <c r="B42" t="s">
        <v>300</v>
      </c>
      <c r="C42" s="29">
        <v>0.5</v>
      </c>
      <c r="D42" s="29">
        <v>0.5</v>
      </c>
      <c r="E42" s="29">
        <v>0.5</v>
      </c>
      <c r="F42" s="29">
        <v>0.5</v>
      </c>
      <c r="G42" s="29">
        <v>0.5</v>
      </c>
    </row>
    <row r="43" spans="2:8">
      <c r="B43" t="s">
        <v>94</v>
      </c>
      <c r="C43" s="29">
        <v>7.0000000000000007E-2</v>
      </c>
      <c r="D43" s="29">
        <v>7.0000000000000007E-2</v>
      </c>
      <c r="E43" s="29">
        <v>7.0000000000000007E-2</v>
      </c>
      <c r="F43" s="29">
        <v>7.0000000000000007E-2</v>
      </c>
      <c r="G43" s="29">
        <v>7.0000000000000007E-2</v>
      </c>
    </row>
    <row r="44" spans="2:8">
      <c r="B44" t="s">
        <v>80</v>
      </c>
      <c r="C44" s="40">
        <v>2000</v>
      </c>
      <c r="D44" s="40">
        <v>1900</v>
      </c>
      <c r="E44" s="40">
        <v>1800</v>
      </c>
      <c r="F44" s="40">
        <v>1700</v>
      </c>
      <c r="G44" s="40">
        <v>1600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9109-2294-4339-96E1-62238F74142B}">
  <sheetPr>
    <tabColor rgb="FFFFFF00"/>
  </sheetPr>
  <dimension ref="B1:P54"/>
  <sheetViews>
    <sheetView workbookViewId="0">
      <selection activeCell="O68" sqref="O68"/>
    </sheetView>
  </sheetViews>
  <sheetFormatPr defaultColWidth="8.796875" defaultRowHeight="15.6"/>
  <cols>
    <col min="2" max="2" width="18.19921875" bestFit="1" customWidth="1"/>
    <col min="3" max="3" width="23.69921875" bestFit="1" customWidth="1"/>
    <col min="4" max="4" width="16.19921875" bestFit="1" customWidth="1"/>
    <col min="5" max="5" width="12.796875" bestFit="1" customWidth="1"/>
    <col min="6" max="6" width="5.69921875" bestFit="1" customWidth="1"/>
    <col min="7" max="7" width="7.296875" bestFit="1" customWidth="1"/>
    <col min="8" max="8" width="13" bestFit="1" customWidth="1"/>
    <col min="9" max="9" width="16.69921875" bestFit="1" customWidth="1"/>
    <col min="10" max="10" width="5.796875" bestFit="1" customWidth="1"/>
    <col min="11" max="11" width="6.19921875" bestFit="1" customWidth="1"/>
    <col min="12" max="12" width="7.19921875" bestFit="1" customWidth="1"/>
    <col min="14" max="14" width="6.796875" bestFit="1" customWidth="1"/>
  </cols>
  <sheetData>
    <row r="1" spans="2:3" ht="16.2" thickBot="1"/>
    <row r="2" spans="2:3" ht="18">
      <c r="B2" s="9" t="str">
        <f>+Admin!C12</f>
        <v>Date</v>
      </c>
      <c r="C2" s="34">
        <f>+Admin!D12</f>
        <v>45272</v>
      </c>
    </row>
    <row r="3" spans="2:3" ht="18">
      <c r="B3" s="10" t="str">
        <f>+Admin!C13</f>
        <v>Student name</v>
      </c>
      <c r="C3" s="11">
        <f>+Admin!D13</f>
        <v>0</v>
      </c>
    </row>
    <row r="4" spans="2:3" ht="18">
      <c r="B4" s="10" t="str">
        <f>+Admin!C14</f>
        <v>Neptun code</v>
      </c>
      <c r="C4" s="11">
        <f>+Admin!D14</f>
        <v>0</v>
      </c>
    </row>
    <row r="5" spans="2:3" ht="18">
      <c r="B5" s="10"/>
      <c r="C5" s="12"/>
    </row>
    <row r="6" spans="2:3" ht="18">
      <c r="B6" s="10" t="str">
        <f>+Admin!C16</f>
        <v>Study program</v>
      </c>
      <c r="C6" s="12" t="str">
        <f>+Admin!D16</f>
        <v>Master in Finance</v>
      </c>
    </row>
    <row r="7" spans="2:3" ht="18.600000000000001" thickBot="1">
      <c r="B7" s="13" t="str">
        <f>+Admin!C17</f>
        <v>Instructor</v>
      </c>
      <c r="C7" s="14" t="str">
        <f>+Admin!D17</f>
        <v>Péter Juhász, PhD, CFA</v>
      </c>
    </row>
    <row r="8" spans="2:3" ht="16.2" thickBot="1"/>
    <row r="9" spans="2:3" ht="21" thickBot="1">
      <c r="B9" s="15" t="s">
        <v>10</v>
      </c>
      <c r="C9" s="16"/>
    </row>
    <row r="18" spans="2:13">
      <c r="B18" t="s">
        <v>132</v>
      </c>
      <c r="C18" s="37">
        <v>0.03</v>
      </c>
    </row>
    <row r="19" spans="2:13">
      <c r="B19" t="s">
        <v>133</v>
      </c>
      <c r="C19" s="37">
        <v>0.06</v>
      </c>
    </row>
    <row r="21" spans="2:13">
      <c r="B21" s="28" t="s">
        <v>134</v>
      </c>
    </row>
    <row r="22" spans="2:13">
      <c r="B22" t="s">
        <v>93</v>
      </c>
      <c r="C22" s="29">
        <v>0.5</v>
      </c>
    </row>
    <row r="23" spans="2:13">
      <c r="B23" t="s">
        <v>94</v>
      </c>
      <c r="C23" s="29">
        <v>0.05</v>
      </c>
    </row>
    <row r="24" spans="2:13" ht="21">
      <c r="K24" s="31"/>
    </row>
    <row r="25" spans="2:13">
      <c r="B25" s="111" t="s">
        <v>135</v>
      </c>
      <c r="C25" s="110"/>
      <c r="D25" s="110"/>
    </row>
    <row r="30" spans="2:13">
      <c r="C30" s="28" t="s">
        <v>136</v>
      </c>
      <c r="D30" s="28" t="s">
        <v>137</v>
      </c>
      <c r="E30" s="28" t="s">
        <v>138</v>
      </c>
      <c r="F30" s="28" t="s">
        <v>139</v>
      </c>
      <c r="G30" s="28" t="s">
        <v>79</v>
      </c>
      <c r="H30" s="28" t="s">
        <v>140</v>
      </c>
      <c r="I30" s="28" t="s">
        <v>141</v>
      </c>
      <c r="J30" s="28" t="s">
        <v>142</v>
      </c>
      <c r="K30" s="28" t="s">
        <v>94</v>
      </c>
      <c r="L30" s="28" t="s">
        <v>93</v>
      </c>
      <c r="M30" s="28"/>
    </row>
    <row r="31" spans="2:13">
      <c r="B31" s="28" t="s">
        <v>143</v>
      </c>
      <c r="C31" s="40">
        <v>10</v>
      </c>
      <c r="D31" s="40">
        <v>1000000</v>
      </c>
      <c r="E31" s="108">
        <f>C31*D31</f>
        <v>10000000</v>
      </c>
      <c r="F31" s="109">
        <f>(G31-C18)/C19</f>
        <v>1.3333333333333335</v>
      </c>
      <c r="G31" s="29">
        <v>0.11</v>
      </c>
      <c r="H31" s="40">
        <v>5000000</v>
      </c>
      <c r="I31" s="29">
        <f>K31-C18</f>
        <v>5.9999999999999984E-3</v>
      </c>
      <c r="J31" s="36">
        <v>0.2</v>
      </c>
      <c r="K31" s="107">
        <f>C18+J31*(C19-C18)</f>
        <v>3.5999999999999997E-2</v>
      </c>
      <c r="L31" s="43">
        <f>H31/E31</f>
        <v>0.5</v>
      </c>
    </row>
    <row r="32" spans="2:13">
      <c r="B32" s="28" t="s">
        <v>144</v>
      </c>
      <c r="E32" s="40">
        <v>5000000</v>
      </c>
      <c r="F32" s="36">
        <v>1.4</v>
      </c>
      <c r="G32" s="107">
        <f>$C$18+F32*$C$19</f>
        <v>0.11399999999999999</v>
      </c>
      <c r="H32" s="44">
        <f>L32*E32</f>
        <v>2000000</v>
      </c>
      <c r="I32" s="29">
        <v>2.8000000000000001E-2</v>
      </c>
      <c r="K32" s="29"/>
      <c r="L32" s="29">
        <v>0.4</v>
      </c>
    </row>
    <row r="33" spans="2:12">
      <c r="B33" s="28" t="s">
        <v>145</v>
      </c>
      <c r="F33" s="36">
        <v>1.2</v>
      </c>
      <c r="G33" s="107">
        <f t="shared" ref="G33" si="0">$C$18+F33*$C$19</f>
        <v>0.10199999999999999</v>
      </c>
      <c r="J33">
        <v>0.15</v>
      </c>
      <c r="K33" s="29"/>
      <c r="L33" s="29">
        <v>0.2</v>
      </c>
    </row>
    <row r="34" spans="2:12">
      <c r="G34" s="29"/>
    </row>
    <row r="38" spans="2:12">
      <c r="B38" t="s">
        <v>132</v>
      </c>
      <c r="C38" s="37">
        <v>0.03</v>
      </c>
    </row>
    <row r="39" spans="2:12">
      <c r="B39" t="s">
        <v>133</v>
      </c>
      <c r="C39" s="37">
        <v>0.06</v>
      </c>
    </row>
    <row r="41" spans="2:12">
      <c r="B41" s="28" t="s">
        <v>134</v>
      </c>
    </row>
    <row r="42" spans="2:12">
      <c r="B42" t="s">
        <v>93</v>
      </c>
      <c r="C42" s="29">
        <v>0.5</v>
      </c>
    </row>
    <row r="43" spans="2:12">
      <c r="B43" t="s">
        <v>94</v>
      </c>
      <c r="C43" s="29">
        <v>0.05</v>
      </c>
    </row>
    <row r="44" spans="2:12" ht="21">
      <c r="K44" s="31"/>
    </row>
    <row r="46" spans="2:12">
      <c r="B46" s="41"/>
      <c r="C46" s="189"/>
    </row>
    <row r="50" spans="2:16">
      <c r="C50" s="28" t="s">
        <v>136</v>
      </c>
      <c r="D50" s="28" t="s">
        <v>137</v>
      </c>
      <c r="E50" s="28" t="s">
        <v>138</v>
      </c>
      <c r="F50" s="28" t="s">
        <v>139</v>
      </c>
      <c r="G50" s="28" t="s">
        <v>79</v>
      </c>
      <c r="H50" s="28" t="s">
        <v>140</v>
      </c>
      <c r="I50" s="28" t="s">
        <v>141</v>
      </c>
      <c r="J50" s="28" t="s">
        <v>142</v>
      </c>
      <c r="K50" s="28" t="s">
        <v>94</v>
      </c>
      <c r="L50" s="28" t="s">
        <v>93</v>
      </c>
      <c r="M50" s="28" t="s">
        <v>302</v>
      </c>
      <c r="N50" s="28" t="s">
        <v>198</v>
      </c>
      <c r="O50" s="28" t="s">
        <v>76</v>
      </c>
      <c r="P50" s="28" t="s">
        <v>87</v>
      </c>
    </row>
    <row r="51" spans="2:16">
      <c r="B51" s="28" t="s">
        <v>143</v>
      </c>
      <c r="C51" s="40">
        <v>10</v>
      </c>
      <c r="D51" s="40">
        <v>1000000</v>
      </c>
      <c r="E51" s="108">
        <f>C51*D51</f>
        <v>10000000</v>
      </c>
      <c r="F51" s="109">
        <f>(G51-C38)/C39</f>
        <v>1.3333333333333335</v>
      </c>
      <c r="G51" s="29">
        <v>0.11</v>
      </c>
      <c r="H51" s="40">
        <v>5000000</v>
      </c>
      <c r="I51" s="190">
        <f>K51-C38</f>
        <v>1.1999999999999997E-2</v>
      </c>
      <c r="J51" s="36">
        <v>0.2</v>
      </c>
      <c r="K51" s="107">
        <f>C38+J51*C39</f>
        <v>4.1999999999999996E-2</v>
      </c>
      <c r="L51" s="43">
        <f>H51/(E51+H51)</f>
        <v>0.33333333333333331</v>
      </c>
      <c r="M51" s="191">
        <f>L51/(1-L51)</f>
        <v>0.49999999999999994</v>
      </c>
      <c r="N51" s="191">
        <f>1-L51</f>
        <v>0.66666666666666674</v>
      </c>
      <c r="O51" s="192">
        <f>H51+E51</f>
        <v>15000000</v>
      </c>
      <c r="P51" s="190">
        <f>N51*G51+L51*K51</f>
        <v>8.7333333333333346E-2</v>
      </c>
    </row>
    <row r="52" spans="2:16">
      <c r="B52" s="28" t="s">
        <v>144</v>
      </c>
      <c r="E52" s="40">
        <v>5000000</v>
      </c>
      <c r="F52" s="36">
        <v>1.4</v>
      </c>
      <c r="G52" s="190">
        <f>$C$18+F52*$C$19</f>
        <v>0.11399999999999999</v>
      </c>
      <c r="H52" s="193">
        <f>L52*E52</f>
        <v>2000000</v>
      </c>
      <c r="I52" s="29">
        <v>2.8000000000000001E-2</v>
      </c>
      <c r="J52" s="194">
        <f>I52/(K52-C38)</f>
        <v>1.0000000000000002</v>
      </c>
      <c r="K52" s="190">
        <f>I52+C38</f>
        <v>5.7999999999999996E-2</v>
      </c>
      <c r="L52" s="29">
        <v>0.4</v>
      </c>
      <c r="M52" s="191">
        <f>L52/(1-L52)</f>
        <v>0.66666666666666674</v>
      </c>
      <c r="N52" s="191">
        <f>1-L52</f>
        <v>0.6</v>
      </c>
      <c r="O52" s="192">
        <f>H52+E52</f>
        <v>7000000</v>
      </c>
      <c r="P52" s="190">
        <f>N52*G52+L52*K52</f>
        <v>9.1599999999999987E-2</v>
      </c>
    </row>
    <row r="53" spans="2:16">
      <c r="B53" s="28" t="s">
        <v>145</v>
      </c>
      <c r="F53" s="36">
        <v>1.2</v>
      </c>
      <c r="G53" s="190">
        <f>$C$18+F53*$C$19</f>
        <v>0.10199999999999999</v>
      </c>
      <c r="I53" s="191">
        <f>J53*C38</f>
        <v>4.4999999999999997E-3</v>
      </c>
      <c r="J53" s="195">
        <v>0.15</v>
      </c>
      <c r="K53" s="107">
        <f>C38+J53*C39</f>
        <v>3.9E-2</v>
      </c>
      <c r="L53" s="29">
        <v>0.2</v>
      </c>
      <c r="M53" s="191">
        <f t="shared" ref="M53" si="1">L53/(1-L53)</f>
        <v>0.25</v>
      </c>
      <c r="N53" s="191">
        <f>1-L53</f>
        <v>0.8</v>
      </c>
      <c r="O53" s="196"/>
      <c r="P53" s="190">
        <f>N53*G53+L53*K53</f>
        <v>8.9400000000000007E-2</v>
      </c>
    </row>
    <row r="54" spans="2:16">
      <c r="B54" s="197" t="s">
        <v>134</v>
      </c>
      <c r="C54" s="174"/>
      <c r="D54" s="174"/>
      <c r="E54" s="174" t="s">
        <v>303</v>
      </c>
      <c r="F54" s="198">
        <f>AVERAGE(F51:F53)</f>
        <v>1.3111111111111111</v>
      </c>
      <c r="G54" s="184">
        <f>(P54-C42*K54)/N54</f>
        <v>0.12888888888888889</v>
      </c>
      <c r="H54" s="174"/>
      <c r="I54" s="199"/>
      <c r="J54" s="174"/>
      <c r="K54" s="199">
        <f>C43</f>
        <v>0.05</v>
      </c>
      <c r="L54" s="199">
        <f>C42</f>
        <v>0.5</v>
      </c>
      <c r="M54" s="174"/>
      <c r="N54" s="174">
        <f>1-L54</f>
        <v>0.5</v>
      </c>
      <c r="O54" s="178" t="s">
        <v>303</v>
      </c>
      <c r="P54" s="184">
        <f>AVERAGE(P51:P53)</f>
        <v>8.9444444444444438E-2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DDD30-C93A-3347-83EF-FD3404B1940D}">
  <sheetPr>
    <tabColor rgb="FF92D050"/>
  </sheetPr>
  <dimension ref="A1:Q37"/>
  <sheetViews>
    <sheetView workbookViewId="0">
      <selection activeCell="K32" sqref="K32"/>
    </sheetView>
  </sheetViews>
  <sheetFormatPr defaultColWidth="11.19921875" defaultRowHeight="15.6"/>
  <sheetData>
    <row r="1" spans="1:17">
      <c r="A1" s="200"/>
      <c r="B1" s="200"/>
      <c r="C1" s="200"/>
      <c r="D1" s="200"/>
      <c r="E1" s="200"/>
      <c r="F1" s="200"/>
      <c r="G1" s="200"/>
      <c r="H1" s="200"/>
      <c r="I1" s="200"/>
      <c r="J1" s="200"/>
      <c r="K1" s="200"/>
      <c r="L1" s="200"/>
      <c r="M1" s="200"/>
      <c r="N1" s="200"/>
      <c r="O1" s="200"/>
      <c r="P1" s="200"/>
      <c r="Q1" s="200"/>
    </row>
    <row r="2" spans="1:17">
      <c r="A2" s="200"/>
      <c r="B2" s="200"/>
      <c r="C2" s="200"/>
      <c r="D2" s="200"/>
      <c r="E2" s="200"/>
      <c r="F2" s="200"/>
      <c r="G2" s="200"/>
      <c r="H2" s="200"/>
      <c r="I2" s="200"/>
      <c r="J2" s="200"/>
      <c r="K2" s="200"/>
      <c r="L2" s="200"/>
      <c r="M2" s="200"/>
      <c r="N2" s="200"/>
      <c r="O2" s="200"/>
      <c r="P2" s="200"/>
      <c r="Q2" s="200"/>
    </row>
    <row r="3" spans="1:17">
      <c r="A3" s="200"/>
      <c r="B3" s="200"/>
      <c r="C3" s="200"/>
      <c r="D3" s="200"/>
      <c r="E3" s="200"/>
      <c r="F3" s="200"/>
      <c r="G3" s="200"/>
      <c r="H3" s="200"/>
      <c r="I3" s="200"/>
      <c r="J3" s="200"/>
      <c r="K3" s="200"/>
      <c r="L3" s="200"/>
      <c r="M3" s="200"/>
      <c r="N3" s="200"/>
      <c r="O3" s="200"/>
      <c r="P3" s="200"/>
      <c r="Q3" s="200"/>
    </row>
    <row r="4" spans="1:17">
      <c r="A4" s="200"/>
      <c r="B4" s="200"/>
      <c r="C4" s="200"/>
      <c r="D4" s="200"/>
      <c r="E4" s="200"/>
      <c r="F4" s="200"/>
      <c r="G4" s="200"/>
      <c r="H4" s="200"/>
      <c r="I4" s="200"/>
      <c r="J4" s="200"/>
      <c r="K4" s="200"/>
      <c r="L4" s="200"/>
      <c r="M4" s="200"/>
      <c r="N4" s="200"/>
      <c r="O4" s="200"/>
      <c r="P4" s="200"/>
      <c r="Q4" s="200"/>
    </row>
    <row r="5" spans="1:17">
      <c r="A5" s="200"/>
      <c r="B5" s="200"/>
      <c r="C5" s="200"/>
      <c r="D5" s="200"/>
      <c r="E5" s="200"/>
      <c r="F5" s="200"/>
      <c r="G5" s="200"/>
      <c r="H5" s="200"/>
      <c r="I5" s="200"/>
      <c r="J5" s="200"/>
      <c r="K5" s="200"/>
      <c r="L5" s="200"/>
      <c r="M5" s="200"/>
      <c r="N5" s="200"/>
      <c r="O5" s="200"/>
      <c r="P5" s="200"/>
      <c r="Q5" s="200"/>
    </row>
    <row r="6" spans="1:17">
      <c r="A6" s="200"/>
      <c r="B6" s="200"/>
      <c r="C6" s="200"/>
      <c r="D6" s="200"/>
      <c r="E6" s="200"/>
      <c r="F6" s="200"/>
      <c r="G6" s="200"/>
      <c r="H6" s="200"/>
      <c r="I6" s="200"/>
      <c r="J6" s="200"/>
      <c r="K6" s="200"/>
      <c r="L6" s="200"/>
      <c r="M6" s="200"/>
      <c r="N6" s="200"/>
      <c r="O6" s="200"/>
      <c r="P6" s="200"/>
      <c r="Q6" s="200"/>
    </row>
    <row r="7" spans="1:17">
      <c r="A7" s="200"/>
      <c r="B7" s="200"/>
      <c r="C7" s="200"/>
      <c r="D7" s="200"/>
      <c r="E7" s="200"/>
      <c r="F7" s="200"/>
      <c r="G7" s="200"/>
      <c r="H7" s="200"/>
      <c r="I7" s="200"/>
      <c r="J7" s="200"/>
      <c r="K7" s="200"/>
      <c r="L7" s="200"/>
      <c r="M7" s="200"/>
      <c r="N7" s="200"/>
      <c r="O7" s="200"/>
      <c r="P7" s="200"/>
      <c r="Q7" s="200"/>
    </row>
    <row r="8" spans="1:17">
      <c r="A8" s="200"/>
      <c r="B8" s="200"/>
      <c r="C8" s="200"/>
      <c r="D8" s="200"/>
      <c r="E8" s="200"/>
      <c r="F8" s="200"/>
      <c r="G8" s="200"/>
      <c r="H8" s="200"/>
      <c r="I8" s="200"/>
      <c r="J8" s="200"/>
      <c r="K8" s="200"/>
      <c r="L8" s="200"/>
      <c r="M8" s="200"/>
      <c r="N8" s="200"/>
      <c r="O8" s="200"/>
      <c r="P8" s="200"/>
      <c r="Q8" s="200"/>
    </row>
    <row r="9" spans="1:17">
      <c r="A9" s="200"/>
      <c r="B9" s="200"/>
      <c r="C9" s="200"/>
      <c r="D9" s="200"/>
      <c r="E9" s="200"/>
      <c r="F9" s="200"/>
      <c r="G9" s="200"/>
      <c r="H9" s="200"/>
      <c r="I9" s="200"/>
      <c r="J9" s="200"/>
      <c r="K9" s="200"/>
      <c r="L9" s="200"/>
      <c r="M9" s="200"/>
      <c r="N9" s="200"/>
      <c r="O9" s="200"/>
      <c r="P9" s="200"/>
      <c r="Q9" s="200"/>
    </row>
    <row r="10" spans="1:17">
      <c r="A10" s="200"/>
      <c r="B10" s="200"/>
      <c r="C10" s="200"/>
      <c r="D10" s="200"/>
      <c r="E10" s="200"/>
      <c r="F10" s="200"/>
      <c r="G10" s="200"/>
      <c r="H10" s="200"/>
      <c r="I10" s="200"/>
      <c r="J10" s="200"/>
      <c r="K10" s="200"/>
      <c r="L10" s="200"/>
      <c r="M10" s="200"/>
      <c r="N10" s="200"/>
      <c r="O10" s="200"/>
      <c r="P10" s="200"/>
      <c r="Q10" s="200"/>
    </row>
    <row r="11" spans="1:17">
      <c r="A11" s="200"/>
      <c r="B11" s="200"/>
      <c r="C11" s="200"/>
      <c r="D11" s="200"/>
      <c r="E11" s="200"/>
      <c r="F11" s="200"/>
      <c r="G11" s="200"/>
      <c r="H11" s="200"/>
      <c r="I11" s="200"/>
      <c r="J11" s="200"/>
      <c r="K11" s="200"/>
      <c r="L11" s="200"/>
      <c r="M11" s="200"/>
      <c r="N11" s="200"/>
      <c r="O11" s="200"/>
      <c r="P11" s="200"/>
      <c r="Q11" s="200"/>
    </row>
    <row r="12" spans="1:17">
      <c r="A12" s="200"/>
      <c r="B12" s="200"/>
      <c r="C12" s="200"/>
      <c r="D12" s="200"/>
      <c r="E12" s="200"/>
      <c r="F12" s="200"/>
      <c r="G12" s="200"/>
      <c r="H12" s="200"/>
      <c r="I12" s="200"/>
      <c r="J12" s="200"/>
      <c r="K12" s="200"/>
      <c r="L12" s="200"/>
      <c r="M12" s="200"/>
      <c r="N12" s="200"/>
      <c r="O12" s="200"/>
      <c r="P12" s="200"/>
      <c r="Q12" s="200"/>
    </row>
    <row r="13" spans="1:17">
      <c r="A13" s="200"/>
      <c r="B13" s="200"/>
      <c r="C13" s="200"/>
      <c r="D13" s="200"/>
      <c r="E13" s="200"/>
      <c r="F13" s="200"/>
      <c r="G13" s="200"/>
      <c r="H13" s="200"/>
      <c r="I13" s="200"/>
      <c r="J13" s="200"/>
      <c r="K13" s="200"/>
      <c r="L13" s="200"/>
      <c r="M13" s="200"/>
      <c r="N13" s="200"/>
      <c r="O13" s="200"/>
      <c r="P13" s="200"/>
      <c r="Q13" s="200"/>
    </row>
    <row r="14" spans="1:17">
      <c r="A14" s="200"/>
      <c r="B14" s="200"/>
      <c r="C14" s="200"/>
      <c r="D14" s="200"/>
      <c r="E14" s="200"/>
      <c r="F14" s="200"/>
      <c r="G14" s="200"/>
      <c r="H14" s="200"/>
      <c r="I14" s="200"/>
      <c r="J14" s="200"/>
      <c r="K14" s="200"/>
      <c r="L14" s="200"/>
      <c r="M14" s="200"/>
      <c r="N14" s="200"/>
      <c r="O14" s="200"/>
      <c r="P14" s="200"/>
      <c r="Q14" s="200"/>
    </row>
    <row r="15" spans="1:17">
      <c r="A15" s="200"/>
      <c r="B15" s="200"/>
      <c r="C15" s="200"/>
      <c r="D15" s="200"/>
      <c r="E15" s="200"/>
      <c r="F15" s="200"/>
      <c r="G15" s="200"/>
      <c r="H15" s="200"/>
      <c r="I15" s="200"/>
      <c r="J15" s="200"/>
      <c r="K15" s="200"/>
      <c r="L15" s="200"/>
      <c r="M15" s="200"/>
      <c r="N15" s="200"/>
      <c r="O15" s="200"/>
      <c r="P15" s="200"/>
      <c r="Q15" s="200"/>
    </row>
    <row r="16" spans="1:17">
      <c r="A16" s="200"/>
      <c r="B16" s="200"/>
      <c r="C16" s="200"/>
      <c r="D16" s="200"/>
      <c r="E16" s="200"/>
      <c r="F16" s="200"/>
      <c r="G16" s="200"/>
      <c r="H16" s="200"/>
      <c r="I16" s="200"/>
      <c r="J16" s="200"/>
      <c r="K16" s="200"/>
      <c r="L16" s="200"/>
      <c r="M16" s="200"/>
      <c r="N16" s="200"/>
      <c r="O16" s="200"/>
      <c r="P16" s="200"/>
      <c r="Q16" s="200"/>
    </row>
    <row r="17" spans="1:17">
      <c r="A17" s="200"/>
      <c r="B17" s="200"/>
      <c r="C17" s="200"/>
      <c r="D17" s="200"/>
      <c r="E17" s="200"/>
      <c r="F17" s="200"/>
      <c r="G17" s="200"/>
      <c r="H17" s="200"/>
      <c r="I17" s="200"/>
      <c r="J17" s="200"/>
      <c r="K17" s="200"/>
      <c r="L17" s="200"/>
      <c r="M17" s="200"/>
      <c r="N17" s="200"/>
      <c r="O17" s="200"/>
      <c r="P17" s="200"/>
      <c r="Q17" s="200"/>
    </row>
    <row r="18" spans="1:17">
      <c r="A18" s="200"/>
      <c r="B18" s="200"/>
      <c r="C18" s="200"/>
      <c r="D18" s="200"/>
      <c r="E18" s="200"/>
      <c r="F18" s="200"/>
      <c r="G18" s="200"/>
      <c r="H18" s="200"/>
      <c r="I18" s="200"/>
      <c r="J18" s="200"/>
      <c r="K18" s="200"/>
      <c r="L18" s="200"/>
      <c r="M18" s="200"/>
      <c r="N18" s="200"/>
      <c r="O18" s="200"/>
      <c r="P18" s="200"/>
      <c r="Q18" s="200"/>
    </row>
    <row r="19" spans="1:17">
      <c r="A19" s="200"/>
      <c r="B19" s="201" t="s">
        <v>304</v>
      </c>
      <c r="C19" s="200"/>
      <c r="D19" s="200"/>
      <c r="E19" s="200"/>
      <c r="F19" s="200"/>
      <c r="G19" s="200"/>
      <c r="H19" s="200"/>
      <c r="I19" s="200"/>
      <c r="J19" s="200"/>
      <c r="K19" s="200"/>
      <c r="L19" s="200"/>
      <c r="M19" s="200"/>
      <c r="N19" s="200"/>
      <c r="O19" s="200"/>
      <c r="P19" s="200"/>
      <c r="Q19" s="200"/>
    </row>
    <row r="20" spans="1:17">
      <c r="A20" s="200"/>
      <c r="B20" s="202" t="s">
        <v>305</v>
      </c>
      <c r="C20" s="200"/>
      <c r="D20" s="200" t="s">
        <v>306</v>
      </c>
      <c r="E20" s="200" t="s">
        <v>307</v>
      </c>
      <c r="F20" s="200" t="s">
        <v>308</v>
      </c>
      <c r="G20" s="200" t="s">
        <v>309</v>
      </c>
      <c r="H20" s="200"/>
      <c r="I20" s="200"/>
      <c r="J20" s="200"/>
      <c r="K20" s="200"/>
      <c r="L20" s="200"/>
      <c r="M20" s="200"/>
      <c r="N20" s="200"/>
      <c r="O20" s="200"/>
      <c r="P20" s="200"/>
      <c r="Q20" s="200"/>
    </row>
    <row r="21" spans="1:17">
      <c r="A21" s="200"/>
      <c r="B21" s="203" t="s">
        <v>310</v>
      </c>
      <c r="C21" s="200" t="s">
        <v>267</v>
      </c>
      <c r="D21" s="204">
        <v>100000</v>
      </c>
      <c r="E21" s="204">
        <v>20000</v>
      </c>
      <c r="F21" s="204">
        <v>10000</v>
      </c>
      <c r="G21" s="204">
        <v>25000</v>
      </c>
      <c r="H21" s="200"/>
      <c r="I21" s="200"/>
      <c r="J21" s="200"/>
      <c r="K21" s="200"/>
      <c r="L21" s="200"/>
      <c r="M21" s="200"/>
      <c r="N21" s="200"/>
      <c r="O21" s="200"/>
      <c r="P21" s="200"/>
      <c r="Q21" s="200"/>
    </row>
    <row r="22" spans="1:17">
      <c r="A22" s="200"/>
      <c r="B22" s="200"/>
      <c r="C22" s="200" t="s">
        <v>311</v>
      </c>
      <c r="D22" s="200"/>
      <c r="E22" s="200">
        <v>0.4</v>
      </c>
      <c r="F22" s="200">
        <v>0.7</v>
      </c>
      <c r="G22" s="200">
        <v>0.4</v>
      </c>
      <c r="H22" s="200"/>
      <c r="I22" s="200"/>
      <c r="J22" s="200"/>
      <c r="K22" s="200"/>
      <c r="L22" s="200"/>
      <c r="M22" s="200"/>
      <c r="N22" s="200"/>
      <c r="O22" s="200"/>
      <c r="P22" s="200"/>
      <c r="Q22" s="200"/>
    </row>
    <row r="23" spans="1:17">
      <c r="A23" s="200"/>
      <c r="B23" s="200"/>
      <c r="C23" s="205" t="s">
        <v>312</v>
      </c>
      <c r="D23" s="206">
        <v>7000</v>
      </c>
      <c r="E23" s="207">
        <v>8000</v>
      </c>
      <c r="F23" s="207">
        <v>7000</v>
      </c>
      <c r="G23" s="207">
        <v>10000</v>
      </c>
      <c r="H23" s="200"/>
      <c r="I23" s="200"/>
      <c r="J23" s="200"/>
      <c r="K23" s="200"/>
      <c r="L23" s="200"/>
      <c r="M23" s="200"/>
      <c r="N23" s="200"/>
      <c r="O23" s="200"/>
      <c r="P23" s="200"/>
      <c r="Q23" s="200"/>
    </row>
    <row r="24" spans="1:17">
      <c r="A24" s="200"/>
      <c r="B24" s="200"/>
      <c r="C24" s="200" t="s">
        <v>75</v>
      </c>
      <c r="D24" s="208">
        <v>5000</v>
      </c>
      <c r="E24" s="207">
        <v>2000</v>
      </c>
      <c r="F24" s="208"/>
      <c r="G24" s="208">
        <v>7000</v>
      </c>
      <c r="H24" s="200"/>
      <c r="I24" s="200"/>
      <c r="J24" s="200"/>
      <c r="K24" s="200"/>
      <c r="L24" s="200"/>
      <c r="M24" s="200"/>
      <c r="N24" s="200"/>
      <c r="O24" s="200"/>
      <c r="P24" s="200"/>
      <c r="Q24" s="200"/>
    </row>
    <row r="25" spans="1:17">
      <c r="A25" s="200"/>
      <c r="B25" s="200"/>
      <c r="C25" s="200" t="s">
        <v>155</v>
      </c>
      <c r="D25" s="208">
        <v>12000</v>
      </c>
      <c r="E25" s="208">
        <v>10000</v>
      </c>
      <c r="F25" s="208"/>
      <c r="G25" s="207">
        <v>17000</v>
      </c>
      <c r="H25" s="200"/>
      <c r="I25" s="200"/>
      <c r="J25" s="200"/>
      <c r="K25" s="200"/>
      <c r="L25" s="200"/>
      <c r="M25" s="200"/>
      <c r="N25" s="200"/>
      <c r="O25" s="200"/>
      <c r="P25" s="200"/>
      <c r="Q25" s="200"/>
    </row>
    <row r="26" spans="1:17">
      <c r="A26" s="200"/>
      <c r="B26" s="200"/>
      <c r="C26" s="200" t="s">
        <v>93</v>
      </c>
      <c r="D26" s="209">
        <v>0.41670000000000001</v>
      </c>
      <c r="E26" s="210">
        <v>0.2</v>
      </c>
      <c r="F26" s="211">
        <v>0.3</v>
      </c>
      <c r="G26" s="212">
        <v>0.4118</v>
      </c>
      <c r="H26" s="200"/>
      <c r="I26" s="200"/>
      <c r="J26" s="200"/>
      <c r="K26" s="200"/>
      <c r="L26" s="200"/>
      <c r="M26" s="200"/>
      <c r="N26" s="200"/>
      <c r="O26" s="200"/>
      <c r="P26" s="200"/>
      <c r="Q26" s="200"/>
    </row>
    <row r="27" spans="1:17">
      <c r="A27" s="200"/>
      <c r="B27" s="200"/>
      <c r="C27" s="200" t="s">
        <v>313</v>
      </c>
      <c r="D27" s="200">
        <v>1.2</v>
      </c>
      <c r="E27" s="200"/>
      <c r="F27" s="200"/>
      <c r="G27" s="213">
        <v>1.42</v>
      </c>
      <c r="H27" s="200"/>
      <c r="I27" s="200"/>
      <c r="J27" s="200"/>
      <c r="K27" s="200"/>
      <c r="L27" s="200"/>
      <c r="M27" s="200"/>
      <c r="N27" s="200"/>
      <c r="O27" s="200"/>
      <c r="P27" s="200"/>
      <c r="Q27" s="200"/>
    </row>
    <row r="28" spans="1:17">
      <c r="A28" s="200"/>
      <c r="B28" s="200"/>
      <c r="C28" s="200" t="s">
        <v>314</v>
      </c>
      <c r="D28" s="200"/>
      <c r="E28" s="204">
        <v>0.2</v>
      </c>
      <c r="F28" s="200"/>
      <c r="G28" s="213">
        <v>0.13</v>
      </c>
      <c r="H28" s="200"/>
      <c r="I28" s="200"/>
      <c r="J28" s="200"/>
      <c r="K28" s="200"/>
      <c r="L28" s="200"/>
      <c r="M28" s="200"/>
      <c r="N28" s="200"/>
      <c r="O28" s="200"/>
      <c r="P28" s="200"/>
      <c r="Q28" s="200"/>
    </row>
    <row r="29" spans="1:17">
      <c r="A29" s="200"/>
      <c r="B29" s="200"/>
      <c r="C29" s="200" t="s">
        <v>315</v>
      </c>
      <c r="D29" s="200"/>
      <c r="E29" s="204"/>
      <c r="F29" s="200"/>
      <c r="G29" s="214">
        <v>0.89</v>
      </c>
      <c r="H29" s="200"/>
      <c r="I29" s="200"/>
      <c r="J29" s="200"/>
      <c r="K29" s="200"/>
      <c r="L29" s="200"/>
      <c r="M29" s="200"/>
      <c r="N29" s="200"/>
      <c r="O29" s="200"/>
      <c r="P29" s="200"/>
      <c r="Q29" s="200"/>
    </row>
    <row r="30" spans="1:17">
      <c r="A30" s="200"/>
      <c r="B30" s="200"/>
      <c r="C30" s="200" t="s">
        <v>316</v>
      </c>
      <c r="D30" s="209">
        <v>0.126</v>
      </c>
      <c r="E30" s="215">
        <v>0.12</v>
      </c>
      <c r="F30" s="215">
        <v>0.13</v>
      </c>
      <c r="G30" s="212">
        <v>0.14399999999999999</v>
      </c>
      <c r="H30" s="200"/>
      <c r="I30" s="200"/>
      <c r="J30" s="200"/>
      <c r="K30" s="200"/>
      <c r="L30" s="200"/>
      <c r="M30" s="200"/>
      <c r="N30" s="200"/>
      <c r="O30" s="200"/>
      <c r="P30" s="200"/>
      <c r="Q30" s="200"/>
    </row>
    <row r="31" spans="1:17">
      <c r="A31" s="200"/>
      <c r="B31" s="200"/>
      <c r="C31" s="200" t="s">
        <v>94</v>
      </c>
      <c r="D31" s="215">
        <v>4.4999999999999998E-2</v>
      </c>
      <c r="E31" s="209">
        <v>4.5999999999999999E-2</v>
      </c>
      <c r="F31" s="215">
        <v>0.05</v>
      </c>
      <c r="G31" s="215">
        <v>0.04</v>
      </c>
      <c r="H31" s="200"/>
      <c r="I31" s="200"/>
      <c r="J31" s="200"/>
      <c r="K31" s="200"/>
      <c r="L31" s="200"/>
      <c r="M31" s="200"/>
      <c r="N31" s="200"/>
      <c r="O31" s="200"/>
      <c r="P31" s="200"/>
      <c r="Q31" s="200"/>
    </row>
    <row r="32" spans="1:17">
      <c r="A32" s="200"/>
      <c r="B32" s="200"/>
      <c r="C32" s="216" t="s">
        <v>317</v>
      </c>
      <c r="D32" s="209">
        <v>9.2299999999999993E-2</v>
      </c>
      <c r="E32" s="210">
        <v>0.1052</v>
      </c>
      <c r="F32" s="209">
        <v>0.106</v>
      </c>
      <c r="G32" s="212">
        <v>0.1012</v>
      </c>
      <c r="H32" s="200"/>
      <c r="I32" s="200"/>
      <c r="J32" s="200"/>
      <c r="K32" s="200"/>
      <c r="L32" s="200"/>
      <c r="M32" s="200"/>
      <c r="N32" s="200"/>
      <c r="O32" s="200"/>
      <c r="P32" s="200"/>
      <c r="Q32" s="200"/>
    </row>
    <row r="33" spans="1:17">
      <c r="A33" s="200"/>
      <c r="B33" s="200"/>
      <c r="C33" s="200" t="s">
        <v>318</v>
      </c>
      <c r="D33" s="215">
        <v>0.03</v>
      </c>
      <c r="E33" s="215">
        <v>0.03</v>
      </c>
      <c r="F33" s="215">
        <v>0.03</v>
      </c>
      <c r="G33" s="215">
        <v>0.03</v>
      </c>
      <c r="H33" s="200"/>
      <c r="I33" s="200"/>
      <c r="J33" s="200"/>
      <c r="K33" s="200"/>
      <c r="L33" s="200"/>
      <c r="M33" s="200"/>
      <c r="N33" s="200"/>
      <c r="O33" s="200"/>
      <c r="P33" s="200"/>
      <c r="Q33" s="200"/>
    </row>
    <row r="34" spans="1:17">
      <c r="A34" s="200"/>
      <c r="B34" s="200"/>
      <c r="C34" s="200" t="s">
        <v>319</v>
      </c>
      <c r="D34" s="215">
        <v>0.08</v>
      </c>
      <c r="E34" s="215">
        <v>0.08</v>
      </c>
      <c r="F34" s="215">
        <v>0.08</v>
      </c>
      <c r="G34" s="215">
        <v>0.08</v>
      </c>
      <c r="H34" s="200"/>
      <c r="I34" s="200"/>
      <c r="J34" s="200"/>
      <c r="K34" s="200"/>
      <c r="L34" s="200"/>
      <c r="M34" s="200"/>
      <c r="N34" s="200"/>
      <c r="O34" s="200"/>
      <c r="P34" s="200"/>
      <c r="Q34" s="200"/>
    </row>
    <row r="35" spans="1:17">
      <c r="A35" s="200"/>
      <c r="B35" s="200"/>
      <c r="C35" s="200"/>
      <c r="D35" s="200"/>
      <c r="E35" s="200"/>
      <c r="F35" s="200"/>
      <c r="G35" s="200"/>
      <c r="H35" s="200"/>
      <c r="I35" s="200"/>
      <c r="J35" s="200"/>
      <c r="K35" s="200"/>
      <c r="L35" s="200"/>
      <c r="M35" s="200"/>
      <c r="N35" s="200"/>
      <c r="O35" s="200"/>
      <c r="P35" s="200"/>
      <c r="Q35" s="200"/>
    </row>
    <row r="36" spans="1:17">
      <c r="A36" s="200"/>
      <c r="B36" s="200"/>
      <c r="C36" s="217" t="s">
        <v>320</v>
      </c>
      <c r="D36" s="217"/>
      <c r="E36" s="217"/>
      <c r="F36" s="217"/>
      <c r="G36" s="217"/>
      <c r="H36" s="200"/>
      <c r="I36" s="200"/>
      <c r="J36" s="200"/>
      <c r="K36" s="200"/>
      <c r="L36" s="200"/>
      <c r="M36" s="200"/>
      <c r="N36" s="200"/>
      <c r="O36" s="200"/>
      <c r="P36" s="200"/>
      <c r="Q36" s="200"/>
    </row>
    <row r="37" spans="1:17">
      <c r="A37" s="200"/>
      <c r="B37" s="200"/>
      <c r="C37" s="217" t="s">
        <v>321</v>
      </c>
      <c r="D37" s="217"/>
      <c r="E37" s="217"/>
      <c r="F37" s="217"/>
      <c r="G37" s="217"/>
      <c r="H37" s="217"/>
      <c r="I37" s="217"/>
      <c r="J37" s="217"/>
      <c r="K37" s="217"/>
      <c r="L37" s="200"/>
      <c r="M37" s="200"/>
      <c r="N37" s="200"/>
      <c r="O37" s="200"/>
      <c r="P37" s="200"/>
      <c r="Q37" s="200"/>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7B94-CD1F-4364-9903-53CFB2227E96}">
  <sheetPr codeName="Munka1">
    <tabColor rgb="FF92D050"/>
  </sheetPr>
  <dimension ref="B1:AG63"/>
  <sheetViews>
    <sheetView zoomScale="25" workbookViewId="0">
      <selection activeCell="U29" sqref="U29"/>
    </sheetView>
  </sheetViews>
  <sheetFormatPr defaultColWidth="8.796875" defaultRowHeight="15.6"/>
  <cols>
    <col min="2" max="2" width="19.796875" bestFit="1" customWidth="1"/>
    <col min="3" max="3" width="37.19921875" bestFit="1" customWidth="1"/>
  </cols>
  <sheetData>
    <row r="1" spans="2:23" ht="16.2" thickBot="1"/>
    <row r="2" spans="2:23" ht="18">
      <c r="B2" s="9" t="str">
        <f>+Admin!C12</f>
        <v>Date</v>
      </c>
      <c r="C2" s="34">
        <f>+Admin!D12</f>
        <v>45272</v>
      </c>
    </row>
    <row r="3" spans="2:23" ht="18">
      <c r="B3" s="10" t="str">
        <f>+Admin!C13</f>
        <v>Student name</v>
      </c>
      <c r="C3" s="11">
        <f>+Admin!D13</f>
        <v>0</v>
      </c>
    </row>
    <row r="4" spans="2:23" ht="18">
      <c r="B4" s="10" t="str">
        <f>+Admin!C14</f>
        <v>Neptun code</v>
      </c>
      <c r="C4" s="11">
        <f>+Admin!D14</f>
        <v>0</v>
      </c>
    </row>
    <row r="5" spans="2:23" ht="18">
      <c r="B5" s="10"/>
      <c r="C5" s="12"/>
    </row>
    <row r="6" spans="2:23" ht="18">
      <c r="B6" s="10" t="str">
        <f>+Admin!C16</f>
        <v>Study program</v>
      </c>
      <c r="C6" s="12" t="str">
        <f>+Admin!D16</f>
        <v>Master in Finance</v>
      </c>
    </row>
    <row r="7" spans="2:23" ht="18.600000000000001" thickBot="1">
      <c r="B7" s="13" t="str">
        <f>+Admin!C17</f>
        <v>Instructor</v>
      </c>
      <c r="C7" s="14" t="str">
        <f>+Admin!D17</f>
        <v>Péter Juhász, PhD, CFA</v>
      </c>
      <c r="E7" t="s">
        <v>301</v>
      </c>
    </row>
    <row r="8" spans="2:23" ht="16.2" thickBot="1"/>
    <row r="9" spans="2:23" ht="21" thickBot="1">
      <c r="B9" s="15" t="s">
        <v>10</v>
      </c>
      <c r="C9" s="16"/>
    </row>
    <row r="11" spans="2:23">
      <c r="J11" t="s">
        <v>265</v>
      </c>
    </row>
    <row r="13" spans="2:23">
      <c r="W13" t="s">
        <v>265</v>
      </c>
    </row>
    <row r="20" spans="19:33">
      <c r="S20" t="s">
        <v>261</v>
      </c>
      <c r="T20">
        <v>1200</v>
      </c>
      <c r="U20">
        <v>1400</v>
      </c>
    </row>
    <row r="21" spans="19:33">
      <c r="S21" t="s">
        <v>262</v>
      </c>
      <c r="T21">
        <v>900</v>
      </c>
      <c r="U21">
        <v>1100</v>
      </c>
    </row>
    <row r="22" spans="19:33">
      <c r="S22" t="s">
        <v>263</v>
      </c>
      <c r="T22">
        <v>1000</v>
      </c>
      <c r="U22">
        <v>1200</v>
      </c>
    </row>
    <row r="23" spans="19:33">
      <c r="S23" t="s">
        <v>264</v>
      </c>
      <c r="T23">
        <v>600</v>
      </c>
      <c r="U23">
        <v>800</v>
      </c>
    </row>
    <row r="24" spans="19:33" ht="21">
      <c r="AG24" s="31"/>
    </row>
    <row r="37" spans="2:2">
      <c r="B37" t="s">
        <v>277</v>
      </c>
    </row>
    <row r="62" spans="3:4" ht="16.2" thickBot="1"/>
    <row r="63" spans="3:4" ht="21" thickBot="1">
      <c r="C63" s="15" t="s">
        <v>322</v>
      </c>
      <c r="D63" s="1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OpeningPage</vt:lpstr>
      <vt:lpstr>Admin</vt:lpstr>
      <vt:lpstr>BCF</vt:lpstr>
      <vt:lpstr>DCF</vt:lpstr>
      <vt:lpstr>PE</vt:lpstr>
      <vt:lpstr>Sheet2</vt:lpstr>
      <vt:lpstr>M&amp;A</vt:lpstr>
      <vt:lpstr>Asset Val.</vt:lpstr>
      <vt:lpstr>Value of ratios</vt:lpstr>
      <vt:lpstr>Bonus DCF comparison</vt:lpstr>
      <vt:lpstr>Bonus Task CoE</vt:lpstr>
      <vt:lpstr>Bonus Estimate element</vt:lpstr>
      <vt:lpstr>Theory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Peter</dc:creator>
  <cp:keywords/>
  <dc:description/>
  <cp:lastModifiedBy>Borja Figueroa Franco</cp:lastModifiedBy>
  <cp:revision/>
  <dcterms:created xsi:type="dcterms:W3CDTF">2014-05-14T18:27:14Z</dcterms:created>
  <dcterms:modified xsi:type="dcterms:W3CDTF">2024-12-10T12:58:09Z</dcterms:modified>
  <cp:category/>
  <cp:contentStatus/>
</cp:coreProperties>
</file>