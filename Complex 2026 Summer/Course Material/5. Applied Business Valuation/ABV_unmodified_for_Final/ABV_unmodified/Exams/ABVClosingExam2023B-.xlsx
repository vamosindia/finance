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4"/>
  <workbookPr defaultThemeVersion="124226"/>
  <mc:AlternateContent xmlns:mc="http://schemas.openxmlformats.org/markup-compatibility/2006">
    <mc:Choice Requires="x15">
      <x15ac:absPath xmlns:x15ac="http://schemas.microsoft.com/office/spreadsheetml/2010/11/ac" url="/Users/bangani/Library/CloudStorage/OneDrive-CorvinusUniversityofBudapest/MSc Finance/Sem 3/ABV/Exam material/Exam Papers/Yet to check/"/>
    </mc:Choice>
  </mc:AlternateContent>
  <xr:revisionPtr revIDLastSave="0" documentId="13_ncr:1_{AA3C21C5-7DC0-D349-9791-121DBA5504FB}" xr6:coauthVersionLast="47" xr6:coauthVersionMax="47" xr10:uidLastSave="{00000000-0000-0000-0000-000000000000}"/>
  <bookViews>
    <workbookView xWindow="0" yWindow="500" windowWidth="28800" windowHeight="16100" activeTab="7" xr2:uid="{00000000-000D-0000-FFFF-FFFF00000000}"/>
  </bookViews>
  <sheets>
    <sheet name="OpeningPage" sheetId="5" r:id="rId1"/>
    <sheet name="Admin" sheetId="6" r:id="rId2"/>
    <sheet name="Task 1" sheetId="10" r:id="rId3"/>
    <sheet name="Task 2" sheetId="11" r:id="rId4"/>
    <sheet name="Task 3" sheetId="12" r:id="rId5"/>
    <sheet name="Task 4" sheetId="8" r:id="rId6"/>
    <sheet name="Task 5" sheetId="9" r:id="rId7"/>
    <sheet name="Bonus Task" sheetId="4" r:id="rId8"/>
  </sheets>
  <externalReferences>
    <externalReference r:id="rId9"/>
  </externalReferences>
  <definedNames>
    <definedName name="lista">OFFSET([1]DinamicValidation!$B$4,0,0,COUNTA([1]DinamicValidation!$B$4:$B$1048576),1)</definedName>
    <definedName name="solver_adj" localSheetId="5" hidden="1">'Task 4'!$D$60</definedName>
    <definedName name="solver_cvg" localSheetId="5" hidden="1">0.0001</definedName>
    <definedName name="solver_drv" localSheetId="5" hidden="1">1</definedName>
    <definedName name="solver_eng" localSheetId="5" hidden="1">1</definedName>
    <definedName name="solver_itr" localSheetId="5" hidden="1">2147483647</definedName>
    <definedName name="solver_lin" localSheetId="5" hidden="1">2</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0</definedName>
    <definedName name="solver_opt" localSheetId="5" hidden="1">'Task 4'!$D$62</definedName>
    <definedName name="solver_pre" localSheetId="5" hidden="1">0.000001</definedName>
    <definedName name="solver_rbv" localSheetId="5" hidden="1">1</definedName>
    <definedName name="solver_rlx" localSheetId="5" hidden="1">2</definedName>
    <definedName name="solver_rsd" localSheetId="5" hidden="1">0</definedName>
    <definedName name="solver_scl" localSheetId="5" hidden="1">1</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3</definedName>
    <definedName name="solver_val" localSheetId="5" hidden="1">0</definedName>
    <definedName name="solver_ver" localSheetId="5"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11" l="1"/>
  <c r="C43" i="4"/>
  <c r="C41" i="4"/>
  <c r="C39" i="4"/>
  <c r="C26" i="12"/>
  <c r="D58" i="10"/>
  <c r="D56" i="10"/>
  <c r="D55" i="10"/>
  <c r="D49" i="10"/>
  <c r="D47" i="10"/>
  <c r="D52" i="10"/>
  <c r="D50" i="10"/>
  <c r="D53" i="10" s="1"/>
  <c r="D48" i="10"/>
  <c r="D44" i="10"/>
  <c r="D43" i="10"/>
  <c r="H36" i="10"/>
  <c r="E38" i="10"/>
  <c r="E36" i="10"/>
  <c r="K45" i="11"/>
  <c r="J56" i="11" s="1"/>
  <c r="J57" i="11" s="1"/>
  <c r="J70" i="11" s="1"/>
  <c r="J72" i="11" s="1"/>
  <c r="J73" i="11"/>
  <c r="D72" i="11"/>
  <c r="E73" i="11"/>
  <c r="I68" i="11"/>
  <c r="I45" i="11"/>
  <c r="J45" i="11"/>
  <c r="D73" i="11"/>
  <c r="G45" i="11"/>
  <c r="D31" i="11"/>
  <c r="H64" i="11"/>
  <c r="I64" i="11"/>
  <c r="J64" i="11"/>
  <c r="H45" i="11"/>
  <c r="J62" i="11"/>
  <c r="D62" i="11"/>
  <c r="F51" i="11"/>
  <c r="G51" i="11"/>
  <c r="D51" i="11"/>
  <c r="D45" i="11"/>
  <c r="D41" i="11"/>
  <c r="D40" i="11"/>
  <c r="D39" i="11"/>
  <c r="E31" i="11"/>
  <c r="I56" i="11" l="1"/>
  <c r="D67" i="11"/>
  <c r="D63" i="11"/>
  <c r="D71" i="11"/>
  <c r="D69" i="8"/>
  <c r="D55" i="8"/>
  <c r="M64" i="8"/>
  <c r="H64" i="8"/>
  <c r="M63" i="8" s="1"/>
  <c r="D67" i="8" s="1"/>
  <c r="M62" i="8"/>
  <c r="D63" i="8"/>
  <c r="M56" i="8"/>
  <c r="D57" i="8"/>
  <c r="C30" i="12"/>
  <c r="C61" i="12"/>
  <c r="C29" i="12" s="1"/>
  <c r="C28" i="12"/>
  <c r="C60" i="12"/>
  <c r="C27" i="12"/>
  <c r="D38" i="11"/>
  <c r="F31" i="11"/>
  <c r="C57" i="12"/>
  <c r="C46" i="12"/>
  <c r="E37" i="10"/>
  <c r="E39" i="10"/>
  <c r="E33" i="10"/>
  <c r="D33" i="10"/>
  <c r="F37" i="10"/>
  <c r="D37" i="10"/>
  <c r="F39" i="10"/>
  <c r="D39" i="10"/>
  <c r="F38" i="10"/>
  <c r="D38" i="10"/>
  <c r="F33" i="10"/>
  <c r="E35" i="10"/>
  <c r="D35" i="10"/>
  <c r="D36" i="10"/>
  <c r="C58" i="12"/>
  <c r="C56" i="12"/>
  <c r="I29" i="11"/>
  <c r="I26" i="11"/>
  <c r="F52" i="11"/>
  <c r="F46" i="11"/>
  <c r="F45" i="11"/>
  <c r="G44" i="11"/>
  <c r="J25" i="11"/>
  <c r="I25" i="11"/>
  <c r="H25" i="11"/>
  <c r="G25" i="11"/>
  <c r="J26" i="11"/>
  <c r="H26" i="11"/>
  <c r="G26" i="11"/>
  <c r="I52" i="11"/>
  <c r="G52" i="11"/>
  <c r="E52" i="11"/>
  <c r="D52" i="11"/>
  <c r="E51" i="11"/>
  <c r="E45" i="11"/>
  <c r="H73" i="11"/>
  <c r="G68" i="11"/>
  <c r="H68" i="11"/>
  <c r="J68" i="11"/>
  <c r="I73" i="11"/>
  <c r="F73" i="11"/>
  <c r="J71" i="11"/>
  <c r="I71" i="11"/>
  <c r="H71" i="11"/>
  <c r="G71" i="11"/>
  <c r="F71" i="11"/>
  <c r="E71" i="11"/>
  <c r="E70" i="11"/>
  <c r="D70" i="11"/>
  <c r="J67" i="11"/>
  <c r="XFD67" i="11"/>
  <c r="I67" i="11"/>
  <c r="H67" i="11"/>
  <c r="G67" i="11"/>
  <c r="J66" i="11"/>
  <c r="I66" i="11"/>
  <c r="H66" i="11"/>
  <c r="G66" i="11"/>
  <c r="F66" i="11"/>
  <c r="E66" i="11"/>
  <c r="D66" i="11"/>
  <c r="J63" i="11"/>
  <c r="I63" i="11"/>
  <c r="H63" i="11"/>
  <c r="G63" i="11"/>
  <c r="F62" i="11"/>
  <c r="E62" i="11"/>
  <c r="E57" i="11"/>
  <c r="D57" i="11"/>
  <c r="H56" i="11"/>
  <c r="E56" i="11"/>
  <c r="D56" i="11"/>
  <c r="J55" i="11"/>
  <c r="H55" i="11"/>
  <c r="H62" i="11" s="1"/>
  <c r="F55" i="11"/>
  <c r="E55" i="11"/>
  <c r="D55" i="11"/>
  <c r="J54" i="11"/>
  <c r="I54" i="11"/>
  <c r="H54" i="11"/>
  <c r="F54" i="11"/>
  <c r="E54" i="11"/>
  <c r="D54" i="11"/>
  <c r="J53" i="11"/>
  <c r="I53" i="11"/>
  <c r="H53" i="11"/>
  <c r="G53" i="11"/>
  <c r="F53" i="11"/>
  <c r="E53" i="11"/>
  <c r="D53" i="11"/>
  <c r="J52" i="11"/>
  <c r="J44" i="11"/>
  <c r="J46" i="11" s="1"/>
  <c r="J29" i="11"/>
  <c r="J51" i="11"/>
  <c r="I51" i="11"/>
  <c r="J28" i="11"/>
  <c r="I28" i="11"/>
  <c r="I44" i="11"/>
  <c r="H51" i="11"/>
  <c r="H52" i="11"/>
  <c r="H44" i="11"/>
  <c r="F44" i="11"/>
  <c r="XFD44" i="11"/>
  <c r="E44" i="11"/>
  <c r="F25" i="11"/>
  <c r="E25" i="11"/>
  <c r="XFD45" i="11"/>
  <c r="D44" i="11"/>
  <c r="D46" i="11" s="1"/>
  <c r="XFD41" i="11"/>
  <c r="I39" i="11"/>
  <c r="J38" i="11"/>
  <c r="I38" i="11"/>
  <c r="I40" i="11" s="1"/>
  <c r="I41" i="11" s="1"/>
  <c r="H38" i="11"/>
  <c r="G38" i="11"/>
  <c r="F38" i="11"/>
  <c r="E38" i="11"/>
  <c r="J39" i="11"/>
  <c r="H39" i="11"/>
  <c r="G39" i="11"/>
  <c r="F39" i="11"/>
  <c r="E39" i="11"/>
  <c r="F36" i="10"/>
  <c r="F35" i="10"/>
  <c r="C38" i="12"/>
  <c r="H52" i="8" l="1"/>
  <c r="J74" i="11"/>
  <c r="I55" i="11"/>
  <c r="I62" i="11" s="1"/>
  <c r="H57" i="11"/>
  <c r="H70" i="11" s="1"/>
  <c r="H46" i="11"/>
  <c r="I46" i="11"/>
  <c r="E46" i="11"/>
  <c r="J40" i="11"/>
  <c r="J41" i="11" s="1"/>
  <c r="G40" i="11"/>
  <c r="G41" i="11" s="1"/>
  <c r="H40" i="11"/>
  <c r="H41" i="11" s="1"/>
  <c r="D20" i="6"/>
  <c r="C7" i="12"/>
  <c r="B7" i="12"/>
  <c r="C6" i="12"/>
  <c r="B6" i="12"/>
  <c r="C4" i="12"/>
  <c r="B4" i="12"/>
  <c r="C3" i="12"/>
  <c r="B3" i="12"/>
  <c r="C2" i="12"/>
  <c r="B2" i="12"/>
  <c r="I57" i="11" l="1"/>
  <c r="I70" i="11" s="1"/>
  <c r="I72" i="11" s="1"/>
  <c r="I74" i="11" s="1"/>
  <c r="D24" i="4"/>
  <c r="E24" i="4" s="1"/>
  <c r="F24" i="4" s="1"/>
  <c r="G24" i="4" s="1"/>
  <c r="E24" i="11"/>
  <c r="H57" i="8" l="1"/>
  <c r="H72" i="11"/>
  <c r="H74" i="11" s="1"/>
  <c r="F24" i="11"/>
  <c r="H58" i="8" l="1"/>
  <c r="H59" i="8" s="1"/>
  <c r="M59" i="8" s="1"/>
  <c r="M58" i="8"/>
  <c r="H55" i="8"/>
  <c r="G24" i="11"/>
  <c r="D58" i="8" l="1"/>
  <c r="H60" i="8"/>
  <c r="M60" i="8" s="1"/>
  <c r="M66" i="8" s="1"/>
  <c r="H24" i="11"/>
  <c r="D61" i="8" l="1"/>
  <c r="D62" i="8" s="1"/>
  <c r="M67" i="8"/>
  <c r="B7" i="11"/>
  <c r="C6" i="11"/>
  <c r="B6" i="11"/>
  <c r="C4" i="11"/>
  <c r="B4" i="11"/>
  <c r="C3" i="11"/>
  <c r="B3" i="11"/>
  <c r="C2" i="11"/>
  <c r="B2" i="11"/>
  <c r="B7" i="10"/>
  <c r="C6" i="10"/>
  <c r="B6" i="10"/>
  <c r="C4" i="10"/>
  <c r="B4" i="10"/>
  <c r="C3" i="10"/>
  <c r="B3" i="10"/>
  <c r="C2" i="10"/>
  <c r="B2" i="10"/>
  <c r="B7" i="9" l="1"/>
  <c r="C6" i="9"/>
  <c r="B6" i="9"/>
  <c r="C4" i="9"/>
  <c r="B4" i="9"/>
  <c r="C3" i="9"/>
  <c r="B3" i="9"/>
  <c r="C2" i="9"/>
  <c r="B2" i="9"/>
  <c r="B7" i="8"/>
  <c r="C6" i="8"/>
  <c r="B6" i="8"/>
  <c r="C4" i="8"/>
  <c r="B4" i="8"/>
  <c r="C3" i="8"/>
  <c r="B3" i="8"/>
  <c r="C2" i="8"/>
  <c r="B2" i="8"/>
  <c r="B3" i="4" l="1"/>
  <c r="C3" i="4"/>
  <c r="B4" i="4"/>
  <c r="C4" i="4"/>
  <c r="B6" i="4"/>
  <c r="C6" i="4"/>
  <c r="B7" i="4"/>
  <c r="C2" i="4"/>
  <c r="B2" i="4"/>
  <c r="C7" i="4" l="1"/>
  <c r="C7" i="10"/>
  <c r="C7" i="11"/>
  <c r="C7" i="8"/>
  <c r="C7" i="9"/>
  <c r="F56" i="11" l="1"/>
  <c r="F57" i="11" s="1"/>
  <c r="F70" i="11" s="1"/>
  <c r="G46" i="11"/>
  <c r="G73" i="11"/>
  <c r="G56" i="11"/>
  <c r="G54" i="11"/>
  <c r="G57" i="11" l="1"/>
  <c r="G70" i="11" s="1"/>
  <c r="G72" i="11" s="1"/>
  <c r="G74" i="11" s="1"/>
  <c r="G55" i="11"/>
  <c r="G62" i="11" s="1"/>
  <c r="G64" i="11" s="1"/>
  <c r="F72" i="11" l="1"/>
  <c r="E72" i="11" l="1"/>
  <c r="F74" i="11"/>
  <c r="D74" i="11" l="1"/>
  <c r="E74" i="11"/>
  <c r="F40" i="11"/>
  <c r="F63" i="11" s="1"/>
  <c r="F64" i="11" s="1"/>
  <c r="E40" i="11"/>
  <c r="E41" i="11" s="1"/>
  <c r="E67" i="11" s="1"/>
  <c r="F41" i="11" l="1"/>
  <c r="F67" i="11" s="1"/>
  <c r="F68" i="11" s="1"/>
  <c r="E68" i="11" s="1"/>
  <c r="E63" i="11"/>
  <c r="E64" i="11" s="1"/>
  <c r="D64" i="11" l="1"/>
  <c r="D6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4" authorId="0" shapeId="0" xr:uid="{DF8486BF-3593-F84B-A3FB-8A24A222C594}">
      <text>
        <r>
          <rPr>
            <sz val="11"/>
            <rFont val="Calibri"/>
            <family val="2"/>
            <scheme val="minor"/>
          </rPr>
          <t xml:space="preserve">Musa Bleta:
(VALUE + VALUE T+1)/(1+RATIO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52" authorId="0" shapeId="0" xr:uid="{1BE9BCEF-3446-784C-B5CF-FE9C1ADB2B0D}">
      <text>
        <r>
          <rPr>
            <sz val="1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Post additional investmen tin year 2 of 100
</t>
        </r>
      </text>
    </comment>
    <comment ref="H52" authorId="0" shapeId="0" xr:uid="{C844A4F9-A581-754F-B947-AD6F91060779}">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4 years (6 yeat -2 years=T-t)
</t>
        </r>
      </text>
    </comment>
    <comment ref="D55" authorId="0" shapeId="0" xr:uid="{203C4D14-FA0C-2C48-BFF5-7A9B6F6289A2}">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Cleared from investment of 70
</t>
        </r>
      </text>
    </comment>
    <comment ref="G55" authorId="0" shapeId="0" xr:uid="{CA998AFF-2950-B74C-9C84-A246B4C24610}">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Cleared from 100 investment in year 2
</t>
        </r>
      </text>
    </comment>
    <comment ref="L56" authorId="0" shapeId="0" xr:uid="{C4EC978A-ECFA-7F4E-B1F9-FB8B0314BD11}">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Equity in 6 years
</t>
        </r>
      </text>
    </comment>
    <comment ref="G57" authorId="0" shapeId="0" xr:uid="{4A98C38B-677B-1F43-96AB-ACD30F509CDF}">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In year 6 it will be the same cuz there are no additonal investments</t>
        </r>
      </text>
    </comment>
    <comment ref="D58" authorId="0" shapeId="0" xr:uid="{A7345A33-8FB2-5148-A75E-89AF2C4D109B}">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After 70 invesement pre money of year two discounted to money value of year 0
</t>
        </r>
        <r>
          <rPr>
            <sz val="11"/>
            <color rgb="FF000000"/>
            <rFont val="Calibri"/>
            <family val="2"/>
          </rPr>
          <t xml:space="preserve">
</t>
        </r>
      </text>
    </comment>
    <comment ref="L58" authorId="0" shapeId="0" xr:uid="{BD1EEDFD-5981-B64C-9187-62443A518F3C}">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In year 6 it will be the same cuz there are no additonal investments</t>
        </r>
      </text>
    </comment>
    <comment ref="E59" authorId="0" shapeId="0" xr:uid="{E23ED921-64D7-5542-8812-FB05A3F83550}">
      <text>
        <r>
          <rPr>
            <sz val="1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Probability of succeeding </t>
        </r>
      </text>
    </comment>
    <comment ref="C60" authorId="0" shapeId="0" xr:uid="{800F27F0-041C-2A40-A826-D6D5B652E244}">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If we fail one year we liquidate 90% - 18
</t>
        </r>
        <r>
          <rPr>
            <sz val="11"/>
            <color rgb="FF000000"/>
            <rFont val="Calibri"/>
            <family val="2"/>
          </rPr>
          <t xml:space="preserve">
</t>
        </r>
        <r>
          <rPr>
            <sz val="11"/>
            <color rgb="FF000000"/>
            <rFont val="Calibri"/>
            <family val="2"/>
          </rPr>
          <t xml:space="preserve">
</t>
        </r>
      </text>
    </comment>
    <comment ref="D62" authorId="0" shapeId="0" xr:uid="{AF39ACBB-BCA5-444F-8465-F2A9CF4C0723}">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Stake guess was put randomly, we have used solved by setting the difference of two guessed stakes at 0 by adjusting value of the first random stake 
</t>
        </r>
      </text>
    </comment>
    <comment ref="E62" authorId="0" shapeId="0" xr:uid="{B8041D67-22F8-4A4D-A50D-B0DD191A621C}">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Probability of failing
</t>
        </r>
      </text>
    </comment>
    <comment ref="B63" authorId="0" shapeId="0" xr:uid="{8F413227-A957-944A-AA02-65BC6C07409C}">
      <text>
        <r>
          <rPr>
            <sz val="1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Founders stake decreased from 46% to 33% in the year two because of the loan investment, but in the year 6 it doesn’t change because there are no extra invesments
</t>
        </r>
      </text>
    </comment>
  </commentList>
</comments>
</file>

<file path=xl/sharedStrings.xml><?xml version="1.0" encoding="utf-8"?>
<sst xmlns="http://schemas.openxmlformats.org/spreadsheetml/2006/main" count="198" uniqueCount="147">
  <si>
    <t>g</t>
  </si>
  <si>
    <t>RONIC</t>
  </si>
  <si>
    <t>t</t>
  </si>
  <si>
    <t>ABCD1234</t>
  </si>
  <si>
    <t>rD</t>
  </si>
  <si>
    <t>ROIC</t>
  </si>
  <si>
    <t>Master in Finance</t>
  </si>
  <si>
    <t>Master in Accounting</t>
  </si>
  <si>
    <t>Instructor</t>
  </si>
  <si>
    <t>Péter Juhász, PhD, CFA</t>
  </si>
  <si>
    <t>Date</t>
  </si>
  <si>
    <t>Sam Sample</t>
  </si>
  <si>
    <t>Total points achieved</t>
  </si>
  <si>
    <t>Neptun code</t>
  </si>
  <si>
    <t>Student name</t>
  </si>
  <si>
    <t>Study program</t>
  </si>
  <si>
    <t>Points achived:</t>
  </si>
  <si>
    <t>IC boy</t>
  </si>
  <si>
    <t>D/IC boy</t>
  </si>
  <si>
    <t>D/V boy</t>
  </si>
  <si>
    <t>Together</t>
  </si>
  <si>
    <t>Firm A</t>
  </si>
  <si>
    <t>Firm B</t>
  </si>
  <si>
    <t>D/V</t>
  </si>
  <si>
    <t>rA</t>
  </si>
  <si>
    <t>TV1</t>
  </si>
  <si>
    <t>TV2</t>
  </si>
  <si>
    <t>Applied Business Valuation</t>
  </si>
  <si>
    <t>FCFF</t>
  </si>
  <si>
    <t># of shares</t>
  </si>
  <si>
    <t>K</t>
  </si>
  <si>
    <t>g TV period</t>
  </si>
  <si>
    <t>rf</t>
  </si>
  <si>
    <t>FCFE</t>
  </si>
  <si>
    <r>
      <rPr>
        <sz val="12"/>
        <color theme="1"/>
        <rFont val="Symbol"/>
        <family val="1"/>
        <charset val="2"/>
      </rPr>
      <t>b</t>
    </r>
    <r>
      <rPr>
        <sz val="12"/>
        <color theme="1"/>
        <rFont val="Times New Roman"/>
        <family val="1"/>
        <charset val="238"/>
      </rPr>
      <t xml:space="preserve"> unlevered (industry)</t>
    </r>
  </si>
  <si>
    <t>dIC</t>
  </si>
  <si>
    <t>General data</t>
  </si>
  <si>
    <t>Option A</t>
  </si>
  <si>
    <t>Option B</t>
  </si>
  <si>
    <t>g TV</t>
  </si>
  <si>
    <t>D/IC</t>
  </si>
  <si>
    <t>rMarket portfolio</t>
  </si>
  <si>
    <t>Debt risk premium</t>
  </si>
  <si>
    <t>Additional IC boy</t>
  </si>
  <si>
    <t>P/E</t>
  </si>
  <si>
    <t>EV/EBIT</t>
  </si>
  <si>
    <t>P/BV</t>
  </si>
  <si>
    <t>EV/BV</t>
  </si>
  <si>
    <t>EV/S</t>
  </si>
  <si>
    <t>P/L</t>
  </si>
  <si>
    <t>Sales Revenue</t>
  </si>
  <si>
    <t>D&amp;A</t>
  </si>
  <si>
    <t>Operational profit</t>
  </si>
  <si>
    <t>Profit before tax</t>
  </si>
  <si>
    <t>Tax</t>
  </si>
  <si>
    <t>After tax profit</t>
  </si>
  <si>
    <t>Balance sheet</t>
  </si>
  <si>
    <t>PP&amp;E</t>
  </si>
  <si>
    <t>Inventory</t>
  </si>
  <si>
    <t>Receivables</t>
  </si>
  <si>
    <t>Cash</t>
  </si>
  <si>
    <t>Equity</t>
  </si>
  <si>
    <t>Variable rate bank loans</t>
  </si>
  <si>
    <t>Outstanding face value of bonds</t>
  </si>
  <si>
    <t>Payables</t>
  </si>
  <si>
    <t>Closing price of bonds</t>
  </si>
  <si>
    <t>Number of bonds</t>
  </si>
  <si>
    <t>Closing price of shares</t>
  </si>
  <si>
    <t>Number of shares</t>
  </si>
  <si>
    <t>WACC</t>
  </si>
  <si>
    <t>V boy</t>
  </si>
  <si>
    <t>E boy</t>
  </si>
  <si>
    <t>rE</t>
  </si>
  <si>
    <t>D boy</t>
  </si>
  <si>
    <t>E*</t>
  </si>
  <si>
    <t>IC BOY</t>
  </si>
  <si>
    <t>DEBT BOY</t>
  </si>
  <si>
    <t>EQUITY BOY</t>
  </si>
  <si>
    <t>NOPLAT</t>
  </si>
  <si>
    <t>interest payment</t>
  </si>
  <si>
    <t>tax shield</t>
  </si>
  <si>
    <t>dDebt</t>
  </si>
  <si>
    <t>FCFF+TS</t>
  </si>
  <si>
    <t>Vboy</t>
  </si>
  <si>
    <r>
      <rPr>
        <sz val="12"/>
        <rFont val="Times New Roman"/>
        <family val="1"/>
      </rPr>
      <t>rE</t>
    </r>
    <r>
      <rPr>
        <i/>
        <sz val="12"/>
        <rFont val="Times New Roman"/>
        <family val="1"/>
      </rPr>
      <t>=(rA-D/V*rD)/(1-D/V)</t>
    </r>
  </si>
  <si>
    <t>Debt boy</t>
  </si>
  <si>
    <t>Equity Market Value</t>
  </si>
  <si>
    <t>Debt Market Value</t>
  </si>
  <si>
    <t>Enterprise Value</t>
  </si>
  <si>
    <t>E</t>
  </si>
  <si>
    <t>IC</t>
  </si>
  <si>
    <t>RiskIt Co.</t>
  </si>
  <si>
    <t>rFinancing</t>
  </si>
  <si>
    <t>rReinvestment</t>
  </si>
  <si>
    <t>GreatIdea Ltd</t>
  </si>
  <si>
    <t>Post money value</t>
  </si>
  <si>
    <t>Today</t>
  </si>
  <si>
    <t>In 2 years</t>
  </si>
  <si>
    <t>Capital increase 2</t>
  </si>
  <si>
    <t>Sales price</t>
  </si>
  <si>
    <t xml:space="preserve">Pre money vlaue </t>
  </si>
  <si>
    <t>Pre money value</t>
  </si>
  <si>
    <t>D</t>
  </si>
  <si>
    <t>Capital increase 1</t>
  </si>
  <si>
    <t>Bank loan</t>
  </si>
  <si>
    <t>Total investment (IC)</t>
  </si>
  <si>
    <t>PE Stake (y=2)</t>
  </si>
  <si>
    <t>% of ownwrr who invested in the first year</t>
  </si>
  <si>
    <t>Post monay vslue</t>
  </si>
  <si>
    <t>1-PE</t>
  </si>
  <si>
    <t>PE stake (inc Year 1)</t>
  </si>
  <si>
    <t>% of ownwrr who invested in the 0 year</t>
  </si>
  <si>
    <t xml:space="preserve">PE stake(guess) </t>
  </si>
  <si>
    <t>Founders stake</t>
  </si>
  <si>
    <t>% of founders</t>
  </si>
  <si>
    <t>PE stake (guess)- market based</t>
  </si>
  <si>
    <t>diff</t>
  </si>
  <si>
    <t>Total Value</t>
  </si>
  <si>
    <t>Q2 Answer</t>
  </si>
  <si>
    <t>years</t>
  </si>
  <si>
    <t>Liquidation</t>
  </si>
  <si>
    <t>PE Value</t>
  </si>
  <si>
    <t>Inflow for PE</t>
  </si>
  <si>
    <t xml:space="preserve">Investment horizon </t>
  </si>
  <si>
    <t>Chance of failure</t>
  </si>
  <si>
    <t>Founders cash inflow</t>
  </si>
  <si>
    <t>after selling in 6 years</t>
  </si>
  <si>
    <t>Yearly return for failure</t>
  </si>
  <si>
    <t>Founders yearly return</t>
  </si>
  <si>
    <t>Chance of success</t>
  </si>
  <si>
    <t>Q1 Answer</t>
  </si>
  <si>
    <t>Yearly return on success</t>
  </si>
  <si>
    <t>(1+rfin)^t=Prob fail *(1+r fail)^t+Prob success*(1+rsuccess)^t</t>
  </si>
  <si>
    <t>In 7 years</t>
  </si>
  <si>
    <t>Synergy</t>
  </si>
  <si>
    <t>min price</t>
  </si>
  <si>
    <t>max price</t>
  </si>
  <si>
    <t>30% transfer</t>
  </si>
  <si>
    <t>40% cash</t>
  </si>
  <si>
    <t>Ownership pased over to B</t>
  </si>
  <si>
    <t>Ownership stake for B</t>
  </si>
  <si>
    <t>Number of initial shares</t>
  </si>
  <si>
    <t>Ownership stake for A</t>
  </si>
  <si>
    <t>Number of shares to be issued for B</t>
  </si>
  <si>
    <t>Exchange rate</t>
  </si>
  <si>
    <t>Total number of shares post merger</t>
  </si>
  <si>
    <t>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</si>
</sst>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_-;\-* #,##0.00_-;_-* &quot;-&quot;??_-;_-@_-"/>
    <numFmt numFmtId="165" formatCode=";;;@"/>
    <numFmt numFmtId="166" formatCode="0.0%"/>
    <numFmt numFmtId="167" formatCode="0.000"/>
    <numFmt numFmtId="168" formatCode="_-* #,##0.0000_-;\-* #,##0.0000_-;_-* &quot;-&quot;??_-;_-@_-"/>
    <numFmt numFmtId="169" formatCode="_-* #,##0_-;\-* #,##0_-;_-* &quot;-&quot;??_-;_-@_-"/>
  </numFmts>
  <fonts count="25" x14ac:knownFonts="1">
    <font>
      <sz val="12"/>
      <color theme="1"/>
      <name val="Times New Roman"/>
      <family val="2"/>
      <charset val="238"/>
    </font>
    <font>
      <b/>
      <sz val="12"/>
      <color rgb="FF000000"/>
      <name val="Times New Roman"/>
      <family val="1"/>
      <charset val="238"/>
    </font>
    <font>
      <sz val="12"/>
      <color rgb="FF000000"/>
      <name val="Times New Roman"/>
      <family val="1"/>
      <charset val="238"/>
    </font>
    <font>
      <b/>
      <sz val="12"/>
      <color theme="1"/>
      <name val="Times New Roman"/>
      <family val="1"/>
      <charset val="238"/>
    </font>
    <font>
      <sz val="18"/>
      <color theme="1"/>
      <name val="Times New Roman"/>
      <family val="2"/>
      <charset val="238"/>
    </font>
    <font>
      <b/>
      <sz val="18"/>
      <color theme="1"/>
      <name val="Times New Roman"/>
      <family val="1"/>
      <charset val="238"/>
    </font>
    <font>
      <sz val="8"/>
      <name val="Times New Roman"/>
      <family val="2"/>
      <charset val="238"/>
    </font>
    <font>
      <b/>
      <sz val="28"/>
      <color theme="1"/>
      <name val="Times New Roman"/>
      <family val="1"/>
      <charset val="238"/>
    </font>
    <font>
      <sz val="14"/>
      <color theme="1"/>
      <name val="Times New Roman"/>
      <family val="2"/>
      <charset val="238"/>
    </font>
    <font>
      <b/>
      <sz val="14"/>
      <color theme="1"/>
      <name val="Times New Roman"/>
      <family val="1"/>
      <charset val="238"/>
    </font>
    <font>
      <b/>
      <sz val="16"/>
      <color theme="1"/>
      <name val="Times New Roman"/>
      <family val="1"/>
      <charset val="238"/>
    </font>
    <font>
      <sz val="12"/>
      <color theme="1"/>
      <name val="Times New Roman"/>
      <family val="1"/>
      <charset val="238"/>
    </font>
    <font>
      <sz val="12"/>
      <color theme="0"/>
      <name val="Times New Roman"/>
      <family val="2"/>
      <charset val="238"/>
    </font>
    <font>
      <sz val="16"/>
      <color rgb="FF000000"/>
      <name val="Times New Roman"/>
      <family val="1"/>
      <charset val="238"/>
    </font>
    <font>
      <sz val="12"/>
      <color theme="1"/>
      <name val="Times New Roman"/>
      <family val="2"/>
      <charset val="238"/>
    </font>
    <font>
      <sz val="12"/>
      <color theme="1"/>
      <name val="Symbol"/>
      <family val="1"/>
      <charset val="2"/>
    </font>
    <font>
      <sz val="12"/>
      <color theme="1"/>
      <name val="Times New Roman"/>
      <family val="1"/>
      <charset val="2"/>
    </font>
    <font>
      <sz val="12"/>
      <name val="Times New Roman"/>
      <family val="1"/>
    </font>
    <font>
      <sz val="12"/>
      <color rgb="FFFF0000"/>
      <name val="Times New Roman"/>
      <family val="1"/>
    </font>
    <font>
      <sz val="12"/>
      <color rgb="FF00B050"/>
      <name val="Times New Roman"/>
      <family val="1"/>
    </font>
    <font>
      <b/>
      <sz val="12"/>
      <name val="Times New Roman"/>
      <family val="1"/>
    </font>
    <font>
      <i/>
      <sz val="12"/>
      <name val="Times New Roman"/>
      <family val="1"/>
    </font>
    <font>
      <sz val="11"/>
      <name val="Calibri"/>
      <family val="2"/>
      <scheme val="minor"/>
    </font>
    <font>
      <sz val="11"/>
      <name val="Calibri"/>
      <family val="2"/>
    </font>
    <font>
      <sz val="11"/>
      <color rgb="FF000000"/>
      <name val="Calibri"/>
      <family val="2"/>
    </font>
  </fonts>
  <fills count="1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E2EFD9"/>
        <bgColor rgb="FFE2EFD9"/>
      </patternFill>
    </fill>
    <fill>
      <patternFill patternType="solid">
        <fgColor rgb="FFDEEAF6"/>
        <bgColor rgb="FFDEEAF6"/>
      </patternFill>
    </fill>
    <fill>
      <patternFill patternType="solid">
        <fgColor rgb="FFFEF2CB"/>
        <bgColor rgb="FFFEF2CB"/>
      </patternFill>
    </fill>
    <fill>
      <patternFill patternType="solid">
        <fgColor rgb="FFCCCCFF"/>
        <bgColor rgb="FFCCCCFF"/>
      </patternFill>
    </fill>
    <fill>
      <patternFill patternType="solid">
        <fgColor rgb="FFFFCCFF"/>
        <bgColor rgb="FFFFCCFF"/>
      </patternFill>
    </fill>
    <fill>
      <patternFill patternType="solid">
        <fgColor rgb="FFBDD6EE"/>
        <bgColor rgb="FFBDD6EE"/>
      </patternFill>
    </fill>
    <fill>
      <patternFill patternType="solid">
        <fgColor rgb="FFFFFF00"/>
        <bgColor rgb="FFFFFF00"/>
      </patternFill>
    </fill>
  </fills>
  <borders count="12">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bottom style="thin">
        <color rgb="FF000000"/>
      </bottom>
      <diagonal/>
    </border>
    <border>
      <left/>
      <right/>
      <top style="thin">
        <color rgb="FF000000"/>
      </top>
      <bottom/>
      <diagonal/>
    </border>
  </borders>
  <cellStyleXfs count="3">
    <xf numFmtId="0" fontId="0" fillId="0" borderId="0"/>
    <xf numFmtId="9" fontId="14" fillId="0" borderId="0" applyFont="0" applyFill="0" applyBorder="0" applyAlignment="0" applyProtection="0"/>
    <xf numFmtId="164" fontId="14" fillId="0" borderId="0" applyFont="0" applyFill="0" applyBorder="0" applyAlignment="0" applyProtection="0"/>
  </cellStyleXfs>
  <cellXfs count="66">
    <xf numFmtId="0" fontId="0" fillId="0" borderId="0" xfId="0"/>
    <xf numFmtId="0" fontId="1" fillId="0" borderId="0" xfId="0" applyFont="1" applyAlignment="1">
      <alignment horizontal="center" vertical="center"/>
    </xf>
    <xf numFmtId="10" fontId="2" fillId="0" borderId="0" xfId="0" applyNumberFormat="1" applyFont="1" applyAlignment="1">
      <alignment horizontal="right" vertical="center"/>
    </xf>
    <xf numFmtId="0" fontId="4" fillId="0" borderId="0" xfId="0" applyFont="1"/>
    <xf numFmtId="0" fontId="0" fillId="0" borderId="0" xfId="0" applyAlignment="1">
      <alignment horizontal="center"/>
    </xf>
    <xf numFmtId="0" fontId="5" fillId="0" borderId="0" xfId="0" applyFont="1"/>
    <xf numFmtId="0" fontId="5" fillId="0" borderId="0" xfId="0" applyFont="1" applyProtection="1">
      <protection hidden="1"/>
    </xf>
    <xf numFmtId="0" fontId="5" fillId="2" borderId="3" xfId="0" applyFont="1" applyFill="1" applyBorder="1" applyProtection="1">
      <protection hidden="1"/>
    </xf>
    <xf numFmtId="0" fontId="8" fillId="4" borderId="4" xfId="0" applyFont="1" applyFill="1" applyBorder="1"/>
    <xf numFmtId="0" fontId="8" fillId="4" borderId="6" xfId="0" applyFont="1" applyFill="1" applyBorder="1"/>
    <xf numFmtId="165" fontId="9" fillId="4" borderId="7" xfId="0" applyNumberFormat="1" applyFont="1" applyFill="1" applyBorder="1" applyAlignment="1">
      <alignment horizontal="center"/>
    </xf>
    <xf numFmtId="0" fontId="8" fillId="4" borderId="7" xfId="0" applyFont="1" applyFill="1" applyBorder="1"/>
    <xf numFmtId="0" fontId="8" fillId="4" borderId="8" xfId="0" applyFont="1" applyFill="1" applyBorder="1"/>
    <xf numFmtId="0" fontId="8" fillId="4" borderId="2" xfId="0" applyFont="1" applyFill="1" applyBorder="1"/>
    <xf numFmtId="0" fontId="10" fillId="2" borderId="9" xfId="0" applyFont="1" applyFill="1" applyBorder="1" applyAlignment="1">
      <alignment horizontal="center"/>
    </xf>
    <xf numFmtId="0" fontId="10" fillId="2" borderId="1" xfId="0" applyFont="1" applyFill="1" applyBorder="1" applyAlignment="1">
      <alignment horizontal="center"/>
    </xf>
    <xf numFmtId="0" fontId="5" fillId="3" borderId="3" xfId="0" applyFont="1" applyFill="1" applyBorder="1" applyAlignment="1" applyProtection="1">
      <alignment horizontal="center"/>
      <protection locked="0"/>
    </xf>
    <xf numFmtId="0" fontId="3" fillId="0" borderId="0" xfId="0" applyFont="1" applyAlignment="1">
      <alignment horizontal="center"/>
    </xf>
    <xf numFmtId="10" fontId="0" fillId="0" borderId="0" xfId="0" applyNumberFormat="1"/>
    <xf numFmtId="0" fontId="12" fillId="0" borderId="0" xfId="0" applyFont="1"/>
    <xf numFmtId="0" fontId="13" fillId="0" borderId="0" xfId="0" applyFont="1"/>
    <xf numFmtId="0" fontId="5" fillId="0" borderId="0" xfId="0" applyFont="1" applyAlignment="1" applyProtection="1">
      <alignment horizontal="center"/>
      <protection hidden="1"/>
    </xf>
    <xf numFmtId="0" fontId="3" fillId="2" borderId="0" xfId="0" applyFont="1" applyFill="1" applyAlignment="1">
      <alignment horizontal="center"/>
    </xf>
    <xf numFmtId="14" fontId="9" fillId="4" borderId="5" xfId="0" applyNumberFormat="1" applyFont="1" applyFill="1" applyBorder="1" applyAlignment="1">
      <alignment horizontal="center"/>
    </xf>
    <xf numFmtId="14" fontId="5" fillId="0" borderId="0" xfId="0" applyNumberFormat="1" applyFont="1" applyAlignment="1">
      <alignment horizontal="center"/>
    </xf>
    <xf numFmtId="2" fontId="0" fillId="0" borderId="0" xfId="0" applyNumberFormat="1"/>
    <xf numFmtId="9" fontId="0" fillId="0" borderId="0" xfId="0" applyNumberFormat="1"/>
    <xf numFmtId="10" fontId="0" fillId="0" borderId="0" xfId="1" applyNumberFormat="1" applyFont="1"/>
    <xf numFmtId="4" fontId="0" fillId="0" borderId="0" xfId="0" applyNumberFormat="1"/>
    <xf numFmtId="0" fontId="11" fillId="0" borderId="0" xfId="0" applyFont="1"/>
    <xf numFmtId="0" fontId="2" fillId="0" borderId="0" xfId="0" applyFont="1" applyAlignment="1">
      <alignment horizontal="left" vertical="center"/>
    </xf>
    <xf numFmtId="4" fontId="11" fillId="0" borderId="0" xfId="0" applyNumberFormat="1" applyFont="1"/>
    <xf numFmtId="0" fontId="16" fillId="0" borderId="0" xfId="0" applyFont="1"/>
    <xf numFmtId="4" fontId="2" fillId="0" borderId="0" xfId="0" applyNumberFormat="1" applyFont="1" applyAlignment="1">
      <alignment horizontal="right" vertical="center"/>
    </xf>
    <xf numFmtId="0" fontId="3" fillId="0" borderId="0" xfId="0" applyFont="1"/>
    <xf numFmtId="4" fontId="0" fillId="3" borderId="3" xfId="0" applyNumberFormat="1" applyFill="1" applyBorder="1"/>
    <xf numFmtId="0" fontId="17" fillId="0" borderId="0" xfId="0" applyFont="1"/>
    <xf numFmtId="0" fontId="17" fillId="5" borderId="0" xfId="0" applyFont="1" applyFill="1"/>
    <xf numFmtId="43" fontId="17" fillId="6" borderId="10" xfId="0" applyNumberFormat="1" applyFont="1" applyFill="1" applyBorder="1"/>
    <xf numFmtId="0" fontId="17" fillId="0" borderId="11" xfId="0" applyFont="1" applyBorder="1"/>
    <xf numFmtId="0" fontId="18" fillId="0" borderId="0" xfId="0" applyFont="1"/>
    <xf numFmtId="0" fontId="19" fillId="0" borderId="0" xfId="0" applyFont="1"/>
    <xf numFmtId="0" fontId="19" fillId="0" borderId="10" xfId="0" applyFont="1" applyBorder="1"/>
    <xf numFmtId="0" fontId="20" fillId="7" borderId="0" xfId="0" applyFont="1" applyFill="1"/>
    <xf numFmtId="0" fontId="20" fillId="0" borderId="0" xfId="0" applyFont="1"/>
    <xf numFmtId="4" fontId="3" fillId="0" borderId="0" xfId="0" applyNumberFormat="1" applyFont="1" applyAlignment="1">
      <alignment horizontal="center"/>
    </xf>
    <xf numFmtId="0" fontId="0" fillId="2" borderId="0" xfId="0" applyFill="1"/>
    <xf numFmtId="9" fontId="23" fillId="0" borderId="0" xfId="0" applyNumberFormat="1" applyFont="1"/>
    <xf numFmtId="0" fontId="23" fillId="8" borderId="0" xfId="0" applyFont="1" applyFill="1"/>
    <xf numFmtId="0" fontId="23" fillId="7" borderId="0" xfId="0" applyFont="1" applyFill="1"/>
    <xf numFmtId="0" fontId="23" fillId="9" borderId="0" xfId="0" applyFont="1" applyFill="1"/>
    <xf numFmtId="0" fontId="23" fillId="10" borderId="0" xfId="0" applyFont="1" applyFill="1"/>
    <xf numFmtId="10" fontId="23" fillId="10" borderId="0" xfId="0" applyNumberFormat="1" applyFont="1" applyFill="1"/>
    <xf numFmtId="10" fontId="23" fillId="0" borderId="0" xfId="0" applyNumberFormat="1" applyFont="1"/>
    <xf numFmtId="9" fontId="23" fillId="7" borderId="0" xfId="0" applyNumberFormat="1" applyFont="1" applyFill="1"/>
    <xf numFmtId="0" fontId="23" fillId="5" borderId="0" xfId="0" applyFont="1" applyFill="1"/>
    <xf numFmtId="9" fontId="23" fillId="5" borderId="0" xfId="0" applyNumberFormat="1" applyFont="1" applyFill="1"/>
    <xf numFmtId="43" fontId="23" fillId="0" borderId="0" xfId="0" applyNumberFormat="1" applyFont="1"/>
    <xf numFmtId="0" fontId="23" fillId="11" borderId="0" xfId="0" applyFont="1" applyFill="1"/>
    <xf numFmtId="9" fontId="23" fillId="10" borderId="0" xfId="0" applyNumberFormat="1" applyFont="1" applyFill="1"/>
    <xf numFmtId="166" fontId="23" fillId="0" borderId="0" xfId="0" applyNumberFormat="1" applyFont="1"/>
    <xf numFmtId="167" fontId="0" fillId="0" borderId="0" xfId="0" applyNumberFormat="1"/>
    <xf numFmtId="168" fontId="0" fillId="0" borderId="0" xfId="2" applyNumberFormat="1" applyFont="1"/>
    <xf numFmtId="169" fontId="0" fillId="0" borderId="0" xfId="2" applyNumberFormat="1" applyFont="1"/>
    <xf numFmtId="9" fontId="0" fillId="0" borderId="0" xfId="1" applyFont="1"/>
    <xf numFmtId="0" fontId="7" fillId="0" borderId="0" xfId="0" applyFont="1" applyAlignment="1">
      <alignment horizontal="center"/>
    </xf>
  </cellXfs>
  <cellStyles count="3">
    <cellStyle name="Comma" xfId="2" builtinId="3"/>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542924</xdr:colOff>
      <xdr:row>28</xdr:row>
      <xdr:rowOff>9525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12887324" cy="5610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en-US" sz="1000"/>
        </a:p>
        <a:p>
          <a:pPr algn="ctr"/>
          <a:r>
            <a:rPr lang="hu-HU" sz="8000" b="1">
              <a:solidFill>
                <a:srgbClr val="7030A0"/>
              </a:solidFill>
            </a:rPr>
            <a:t>Applied Business Valuation</a:t>
          </a:r>
        </a:p>
        <a:p>
          <a:pPr algn="ctr"/>
          <a:r>
            <a:rPr lang="hu-HU" sz="5000"/>
            <a:t>Final exam 3 tasks</a:t>
          </a:r>
        </a:p>
        <a:p>
          <a:pPr algn="ctr"/>
          <a:endParaRPr lang="hu-HU" sz="5000"/>
        </a:p>
        <a:p>
          <a:pPr algn="ctr"/>
          <a:r>
            <a:rPr lang="hu-HU" sz="5000" baseline="0">
              <a:solidFill>
                <a:schemeClr val="dk1"/>
              </a:solidFill>
              <a:latin typeface="+mn-lt"/>
              <a:ea typeface="+mn-ea"/>
              <a:cs typeface="+mn-cs"/>
            </a:rPr>
            <a:t>Péter Juhász, PhD</a:t>
          </a:r>
          <a:r>
            <a:rPr lang="hu-HU" sz="5000" baseline="0"/>
            <a:t>, CFA</a:t>
          </a:r>
        </a:p>
        <a:p>
          <a:pPr algn="ctr"/>
          <a:r>
            <a:rPr lang="hu-HU" sz="3000" baseline="0"/>
            <a:t>peter.juhasz@uni-corvinus.hu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304800</xdr:colOff>
      <xdr:row>1</xdr:row>
      <xdr:rowOff>19050</xdr:rowOff>
    </xdr:from>
    <xdr:to>
      <xdr:col>4</xdr:col>
      <xdr:colOff>666750</xdr:colOff>
      <xdr:row>6</xdr:row>
      <xdr:rowOff>114300</xdr:rowOff>
    </xdr:to>
    <xdr:sp macro="" textlink="">
      <xdr:nvSpPr>
        <xdr:cNvPr id="2" name="Szövegdoboz 1">
          <a:extLst>
            <a:ext uri="{FF2B5EF4-FFF2-40B4-BE49-F238E27FC236}">
              <a16:creationId xmlns:a16="http://schemas.microsoft.com/office/drawing/2014/main" id="{6355EBA2-DB27-4EF1-AFED-D11B8547EEFD}"/>
            </a:ext>
          </a:extLst>
        </xdr:cNvPr>
        <xdr:cNvSpPr txBox="1"/>
      </xdr:nvSpPr>
      <xdr:spPr>
        <a:xfrm>
          <a:off x="990600" y="219075"/>
          <a:ext cx="5629275" cy="109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600" b="1">
              <a:solidFill>
                <a:srgbClr val="FF0000"/>
              </a:solidFill>
              <a:latin typeface="Times New Roman" panose="02020603050405020304" pitchFamily="18" charset="0"/>
              <a:cs typeface="Times New Roman" panose="02020603050405020304" pitchFamily="18" charset="0"/>
            </a:rPr>
            <a:t>Kindly</a:t>
          </a:r>
          <a:r>
            <a:rPr lang="hu-HU" sz="1600" b="1" baseline="0">
              <a:solidFill>
                <a:srgbClr val="FF0000"/>
              </a:solidFill>
              <a:latin typeface="Times New Roman" panose="02020603050405020304" pitchFamily="18" charset="0"/>
              <a:cs typeface="Times New Roman" panose="02020603050405020304" pitchFamily="18" charset="0"/>
            </a:rPr>
            <a:t> save this file renaming it following the pattern below. Please hand in the file only after named properly.</a:t>
          </a:r>
        </a:p>
        <a:p>
          <a:pPr algn="ctr"/>
          <a:endParaRPr lang="hu-HU" sz="1600" b="1" baseline="0">
            <a:solidFill>
              <a:srgbClr val="FF0000"/>
            </a:solidFill>
            <a:latin typeface="Times New Roman" panose="02020603050405020304" pitchFamily="18" charset="0"/>
            <a:cs typeface="Times New Roman" panose="02020603050405020304" pitchFamily="18" charset="0"/>
          </a:endParaRPr>
        </a:p>
        <a:p>
          <a:pPr algn="ctr"/>
          <a:r>
            <a:rPr lang="hu-HU" sz="1600" b="1" baseline="0">
              <a:solidFill>
                <a:srgbClr val="7030A0"/>
              </a:solidFill>
              <a:latin typeface="Times New Roman" panose="02020603050405020304" pitchFamily="18" charset="0"/>
              <a:cs typeface="Times New Roman" panose="02020603050405020304" pitchFamily="18" charset="0"/>
            </a:rPr>
            <a:t>ABV3rdFinal_FamilyName_GivenName.xlsx</a:t>
          </a:r>
          <a:endParaRPr lang="hu-HU" sz="1600" b="1">
            <a:solidFill>
              <a:srgbClr val="7030A0"/>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15</xdr:row>
      <xdr:rowOff>0</xdr:rowOff>
    </xdr:from>
    <xdr:to>
      <xdr:col>7</xdr:col>
      <xdr:colOff>76201</xdr:colOff>
      <xdr:row>21</xdr:row>
      <xdr:rowOff>182880</xdr:rowOff>
    </xdr:to>
    <xdr:sp macro="" textlink="">
      <xdr:nvSpPr>
        <xdr:cNvPr id="2" name="Szövegdoboz 1">
          <a:extLst>
            <a:ext uri="{FF2B5EF4-FFF2-40B4-BE49-F238E27FC236}">
              <a16:creationId xmlns:a16="http://schemas.microsoft.com/office/drawing/2014/main" id="{00000000-0008-0000-0200-000002000000}"/>
            </a:ext>
          </a:extLst>
        </xdr:cNvPr>
        <xdr:cNvSpPr txBox="1"/>
      </xdr:nvSpPr>
      <xdr:spPr>
        <a:xfrm>
          <a:off x="670560" y="3246120"/>
          <a:ext cx="7383781"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r>
            <a:rPr lang="hu-HU" sz="1400" b="0">
              <a:solidFill>
                <a:schemeClr val="dk1"/>
              </a:solidFill>
              <a:latin typeface="Times New Roman" panose="02020603050405020304" pitchFamily="18" charset="0"/>
              <a:ea typeface="+mn-ea"/>
              <a:cs typeface="Times New Roman" panose="02020603050405020304" pitchFamily="18" charset="0"/>
            </a:rPr>
            <a:t>Firm A plans to take over and merge with Firm B. (Both companies show a perpetuity like operation.) They plans for reorganisations are shown below. The price agreed transfers 30% of the synergies expected to the sellers. 40% of the purchase price will be covered from non-operative cash available initialy at Firm A, the rest would be paid in shares of the next merged firm. Calculate the number of new shares to issue and the trade-in rate of the old Firm B shares. (10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00000000-0008-0000-0200-000003000000}"/>
            </a:ext>
          </a:extLst>
        </xdr:cNvPr>
        <xdr:cNvSpPr txBox="1"/>
      </xdr:nvSpPr>
      <xdr:spPr>
        <a:xfrm>
          <a:off x="685801" y="2333625"/>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15</xdr:row>
      <xdr:rowOff>38100</xdr:rowOff>
    </xdr:from>
    <xdr:to>
      <xdr:col>9</xdr:col>
      <xdr:colOff>304800</xdr:colOff>
      <xdr:row>22</xdr:row>
      <xdr:rowOff>47625</xdr:rowOff>
    </xdr:to>
    <xdr:sp macro="" textlink="">
      <xdr:nvSpPr>
        <xdr:cNvPr id="2" name="Szövegdoboz 1">
          <a:extLst>
            <a:ext uri="{FF2B5EF4-FFF2-40B4-BE49-F238E27FC236}">
              <a16:creationId xmlns:a16="http://schemas.microsoft.com/office/drawing/2014/main" id="{00000000-0008-0000-0300-000002000000}"/>
            </a:ext>
          </a:extLst>
        </xdr:cNvPr>
        <xdr:cNvSpPr txBox="1"/>
      </xdr:nvSpPr>
      <xdr:spPr>
        <a:xfrm>
          <a:off x="695324" y="3362325"/>
          <a:ext cx="7229476"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equity using at least three different DCF methods for the start of 2023 assuming that new projects will not create any added value during the terminal value period.</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00000000-0008-0000-0300-000003000000}"/>
            </a:ext>
          </a:extLst>
        </xdr:cNvPr>
        <xdr:cNvSpPr txBox="1"/>
      </xdr:nvSpPr>
      <xdr:spPr>
        <a:xfrm>
          <a:off x="685800" y="2324100"/>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9524</xdr:colOff>
      <xdr:row>15</xdr:row>
      <xdr:rowOff>38100</xdr:rowOff>
    </xdr:from>
    <xdr:to>
      <xdr:col>9</xdr:col>
      <xdr:colOff>304800</xdr:colOff>
      <xdr:row>22</xdr:row>
      <xdr:rowOff>47625</xdr:rowOff>
    </xdr:to>
    <xdr:sp macro="" textlink="">
      <xdr:nvSpPr>
        <xdr:cNvPr id="2" name="Szövegdoboz 1">
          <a:extLst>
            <a:ext uri="{FF2B5EF4-FFF2-40B4-BE49-F238E27FC236}">
              <a16:creationId xmlns:a16="http://schemas.microsoft.com/office/drawing/2014/main" id="{7B98B3F5-A3B3-488B-AE9A-37BD21D7A852}"/>
            </a:ext>
          </a:extLst>
        </xdr:cNvPr>
        <xdr:cNvSpPr txBox="1"/>
      </xdr:nvSpPr>
      <xdr:spPr>
        <a:xfrm>
          <a:off x="706210" y="3249386"/>
          <a:ext cx="8693604" cy="1381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Based on the given data calculate the value of the listed multiples. (10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837D682C-CD91-4F1C-BCF9-954DD0DFA0A2}"/>
            </a:ext>
          </a:extLst>
        </xdr:cNvPr>
        <xdr:cNvSpPr txBox="1"/>
      </xdr:nvSpPr>
      <xdr:spPr>
        <a:xfrm>
          <a:off x="696686" y="2231571"/>
          <a:ext cx="8703128" cy="926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twoCellAnchor editAs="oneCell">
    <xdr:from>
      <xdr:col>13</xdr:col>
      <xdr:colOff>606778</xdr:colOff>
      <xdr:row>18</xdr:row>
      <xdr:rowOff>169334</xdr:rowOff>
    </xdr:from>
    <xdr:to>
      <xdr:col>20</xdr:col>
      <xdr:colOff>226347</xdr:colOff>
      <xdr:row>41</xdr:row>
      <xdr:rowOff>112527</xdr:rowOff>
    </xdr:to>
    <xdr:pic>
      <xdr:nvPicPr>
        <xdr:cNvPr id="4" name="Kép 3">
          <a:extLst>
            <a:ext uri="{FF2B5EF4-FFF2-40B4-BE49-F238E27FC236}">
              <a16:creationId xmlns:a16="http://schemas.microsoft.com/office/drawing/2014/main" id="{60F369C8-5E26-B748-93DE-1D7F2494FB69}"/>
            </a:ext>
          </a:extLst>
        </xdr:cNvPr>
        <xdr:cNvPicPr>
          <a:picLocks noChangeAspect="1"/>
        </xdr:cNvPicPr>
      </xdr:nvPicPr>
      <xdr:blipFill>
        <a:blip xmlns:r="http://schemas.openxmlformats.org/officeDocument/2006/relationships" r:embed="rId1"/>
        <a:stretch>
          <a:fillRect/>
        </a:stretch>
      </xdr:blipFill>
      <xdr:spPr>
        <a:xfrm>
          <a:off x="13038667" y="4007556"/>
          <a:ext cx="4360902" cy="4486971"/>
        </a:xfrm>
        <a:prstGeom prst="rect">
          <a:avLst/>
        </a:prstGeom>
      </xdr:spPr>
    </xdr:pic>
    <xdr:clientData/>
  </xdr:twoCellAnchor>
  <xdr:twoCellAnchor editAs="oneCell">
    <xdr:from>
      <xdr:col>4</xdr:col>
      <xdr:colOff>818445</xdr:colOff>
      <xdr:row>25</xdr:row>
      <xdr:rowOff>0</xdr:rowOff>
    </xdr:from>
    <xdr:to>
      <xdr:col>13</xdr:col>
      <xdr:colOff>274582</xdr:colOff>
      <xdr:row>41</xdr:row>
      <xdr:rowOff>81826</xdr:rowOff>
    </xdr:to>
    <xdr:pic>
      <xdr:nvPicPr>
        <xdr:cNvPr id="5" name="Kép 4">
          <a:extLst>
            <a:ext uri="{FF2B5EF4-FFF2-40B4-BE49-F238E27FC236}">
              <a16:creationId xmlns:a16="http://schemas.microsoft.com/office/drawing/2014/main" id="{B6EADC3E-FCD8-2040-AA39-E1CEFD1532ED}"/>
            </a:ext>
          </a:extLst>
        </xdr:cNvPr>
        <xdr:cNvPicPr>
          <a:picLocks noChangeAspect="1"/>
        </xdr:cNvPicPr>
      </xdr:nvPicPr>
      <xdr:blipFill>
        <a:blip xmlns:r="http://schemas.openxmlformats.org/officeDocument/2006/relationships" r:embed="rId2"/>
        <a:stretch>
          <a:fillRect/>
        </a:stretch>
      </xdr:blipFill>
      <xdr:spPr>
        <a:xfrm>
          <a:off x="6307667" y="5221111"/>
          <a:ext cx="6398804" cy="32427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24764</xdr:colOff>
      <xdr:row>16</xdr:row>
      <xdr:rowOff>175260</xdr:rowOff>
    </xdr:from>
    <xdr:to>
      <xdr:col>9</xdr:col>
      <xdr:colOff>205740</xdr:colOff>
      <xdr:row>28</xdr:row>
      <xdr:rowOff>190500</xdr:rowOff>
    </xdr:to>
    <xdr:sp macro="" textlink="">
      <xdr:nvSpPr>
        <xdr:cNvPr id="2" name="Szövegdoboz 1">
          <a:extLst>
            <a:ext uri="{FF2B5EF4-FFF2-40B4-BE49-F238E27FC236}">
              <a16:creationId xmlns:a16="http://schemas.microsoft.com/office/drawing/2014/main" id="{00000000-0008-0000-0600-000002000000}"/>
            </a:ext>
          </a:extLst>
        </xdr:cNvPr>
        <xdr:cNvSpPr txBox="1"/>
      </xdr:nvSpPr>
      <xdr:spPr>
        <a:xfrm>
          <a:off x="695324" y="3619500"/>
          <a:ext cx="8052436" cy="2392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A venture capital (VC) firm with a yearly cost of capital of 20% wants to invest into Idea Ltd. The current book value of equity at Idea is 200, and the further development of their new product idea requires 300 unit of extra capital right now. In 2 years time, another 500 units of money will be needed to set up a manufacturing facility in case the product development would be successful. Then, based on the forecast, the fully equity financed Idea Ltd could be sold for 6000 in 7 years. If the product development would not be successful, the firm's assets can be sold for 700. After that, any inflow to the VC company will be invested at 5% yearly. The likelihood of success is 25%. What percentage of ownership should the VC firm receive for each of the capital raises? Are the current owners likely to accept the offer?</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7620</xdr:colOff>
      <xdr:row>10</xdr:row>
      <xdr:rowOff>99060</xdr:rowOff>
    </xdr:from>
    <xdr:to>
      <xdr:col>9</xdr:col>
      <xdr:colOff>228600</xdr:colOff>
      <xdr:row>15</xdr:row>
      <xdr:rowOff>43815</xdr:rowOff>
    </xdr:to>
    <xdr:sp macro="" textlink="">
      <xdr:nvSpPr>
        <xdr:cNvPr id="4" name="Szövegdoboz 3">
          <a:extLst>
            <a:ext uri="{FF2B5EF4-FFF2-40B4-BE49-F238E27FC236}">
              <a16:creationId xmlns:a16="http://schemas.microsoft.com/office/drawing/2014/main" id="{0B6EF324-73FB-436A-A1F8-50C48E5F0186}"/>
            </a:ext>
          </a:extLst>
        </xdr:cNvPr>
        <xdr:cNvSpPr txBox="1"/>
      </xdr:nvSpPr>
      <xdr:spPr>
        <a:xfrm>
          <a:off x="678180" y="2354580"/>
          <a:ext cx="8092440" cy="93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oneCellAnchor>
    <xdr:from>
      <xdr:col>5</xdr:col>
      <xdr:colOff>247650</xdr:colOff>
      <xdr:row>34</xdr:row>
      <xdr:rowOff>142875</xdr:rowOff>
    </xdr:from>
    <xdr:ext cx="8220075" cy="2733675"/>
    <xdr:sp macro="" textlink="">
      <xdr:nvSpPr>
        <xdr:cNvPr id="3" name="Szövegdoboz 2">
          <a:extLst>
            <a:ext uri="{FF2B5EF4-FFF2-40B4-BE49-F238E27FC236}">
              <a16:creationId xmlns:a16="http://schemas.microsoft.com/office/drawing/2014/main" id="{92659FBB-79BD-1540-B54B-84D6FB8F90BB}"/>
            </a:ext>
          </a:extLst>
        </xdr:cNvPr>
        <xdr:cNvSpPr txBox="1"/>
      </xdr:nvSpPr>
      <xdr:spPr>
        <a:xfrm>
          <a:off x="4248150" y="498475"/>
          <a:ext cx="8220075" cy="2733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fLocksWithSheet="0"/>
  </xdr:oneCellAnchor>
  <xdr:oneCellAnchor>
    <xdr:from>
      <xdr:col>5</xdr:col>
      <xdr:colOff>247650</xdr:colOff>
      <xdr:row>34</xdr:row>
      <xdr:rowOff>142875</xdr:rowOff>
    </xdr:from>
    <xdr:ext cx="8220075" cy="2733675"/>
    <xdr:sp macro="" textlink="">
      <xdr:nvSpPr>
        <xdr:cNvPr id="5" name="Szövegdoboz 1">
          <a:extLst>
            <a:ext uri="{FF2B5EF4-FFF2-40B4-BE49-F238E27FC236}">
              <a16:creationId xmlns:a16="http://schemas.microsoft.com/office/drawing/2014/main" id="{424ED694-B29E-F34F-91AD-1EC043671E0E}"/>
            </a:ext>
          </a:extLst>
        </xdr:cNvPr>
        <xdr:cNvSpPr txBox="1"/>
      </xdr:nvSpPr>
      <xdr:spPr>
        <a:xfrm>
          <a:off x="4248150" y="498475"/>
          <a:ext cx="8220075" cy="2733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fLocksWithSheet="0"/>
  </xdr:oneCellAnchor>
  <xdr:oneCellAnchor>
    <xdr:from>
      <xdr:col>5</xdr:col>
      <xdr:colOff>247650</xdr:colOff>
      <xdr:row>34</xdr:row>
      <xdr:rowOff>142875</xdr:rowOff>
    </xdr:from>
    <xdr:ext cx="8220075" cy="2733675"/>
    <xdr:sp macro="" textlink="">
      <xdr:nvSpPr>
        <xdr:cNvPr id="6" name="Szövegdoboz 1">
          <a:extLst>
            <a:ext uri="{FF2B5EF4-FFF2-40B4-BE49-F238E27FC236}">
              <a16:creationId xmlns:a16="http://schemas.microsoft.com/office/drawing/2014/main" id="{C64FBE4B-B853-284B-8DD4-F0657DC6F2F0}"/>
            </a:ext>
          </a:extLst>
        </xdr:cNvPr>
        <xdr:cNvSpPr txBox="1"/>
      </xdr:nvSpPr>
      <xdr:spPr>
        <a:xfrm>
          <a:off x="4248150" y="498475"/>
          <a:ext cx="8220075" cy="2733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fLocksWithSheet="0"/>
  </xdr:oneCellAnchor>
  <xdr:oneCellAnchor>
    <xdr:from>
      <xdr:col>3</xdr:col>
      <xdr:colOff>800100</xdr:colOff>
      <xdr:row>55</xdr:row>
      <xdr:rowOff>133350</xdr:rowOff>
    </xdr:from>
    <xdr:ext cx="1219200" cy="923925"/>
    <xdr:cxnSp macro="">
      <xdr:nvCxnSpPr>
        <xdr:cNvPr id="7" name="Straight Arrow Connector 6">
          <a:extLst>
            <a:ext uri="{FF2B5EF4-FFF2-40B4-BE49-F238E27FC236}">
              <a16:creationId xmlns:a16="http://schemas.microsoft.com/office/drawing/2014/main" id="{E01251BD-042F-F145-A0C0-5F774BF4619A}"/>
            </a:ext>
          </a:extLst>
        </xdr:cNvPr>
        <xdr:cNvCxnSpPr/>
      </xdr:nvCxnSpPr>
      <xdr:spPr>
        <a:xfrm flipV="1">
          <a:off x="3200400" y="4235450"/>
          <a:ext cx="1219200" cy="923925"/>
        </a:xfrm>
        <a:prstGeom prst="straightConnector1">
          <a:avLst/>
        </a:prstGeom>
        <a:ln w="19050" cap="flat" cmpd="sng" algn="ctr">
          <a:solidFill>
            <a:schemeClr val="accent6"/>
          </a:solidFill>
          <a:prstDash val="solid"/>
          <a:miter lim="800000"/>
          <a:tailEnd type="triangle"/>
        </a:ln>
      </xdr:spPr>
      <xdr:style>
        <a:lnRef idx="3">
          <a:schemeClr val="accent6"/>
        </a:lnRef>
        <a:fillRef idx="0">
          <a:schemeClr val="accent6"/>
        </a:fillRef>
        <a:effectRef idx="2">
          <a:schemeClr val="accent6"/>
        </a:effectRef>
        <a:fontRef idx="minor">
          <a:schemeClr val="tx1"/>
        </a:fontRef>
      </xdr:style>
    </xdr:cxnSp>
    <xdr:clientData fLocksWithSheet="0"/>
  </xdr:oneCellAnchor>
  <xdr:oneCellAnchor>
    <xdr:from>
      <xdr:col>4</xdr:col>
      <xdr:colOff>38100</xdr:colOff>
      <xdr:row>61</xdr:row>
      <xdr:rowOff>28575</xdr:rowOff>
    </xdr:from>
    <xdr:ext cx="1114425" cy="0"/>
    <xdr:cxnSp macro="">
      <xdr:nvCxnSpPr>
        <xdr:cNvPr id="8" name="Straight Arrow Connector 7">
          <a:extLst>
            <a:ext uri="{FF2B5EF4-FFF2-40B4-BE49-F238E27FC236}">
              <a16:creationId xmlns:a16="http://schemas.microsoft.com/office/drawing/2014/main" id="{BC0D02BE-B18D-3742-B8E7-CCFD7C91E28C}"/>
            </a:ext>
          </a:extLst>
        </xdr:cNvPr>
        <xdr:cNvCxnSpPr/>
      </xdr:nvCxnSpPr>
      <xdr:spPr>
        <a:xfrm>
          <a:off x="3378200" y="5197475"/>
          <a:ext cx="1114425" cy="0"/>
        </a:xfrm>
        <a:prstGeom prst="straightConnector1">
          <a:avLst/>
        </a:prstGeom>
        <a:ln w="19050" cap="flat" cmpd="sng" algn="ctr">
          <a:solidFill>
            <a:srgbClr val="FF0000"/>
          </a:solidFill>
          <a:prstDash val="solid"/>
          <a:miter lim="800000"/>
          <a:tailEnd type="triangle"/>
        </a:ln>
      </xdr:spPr>
      <xdr:style>
        <a:lnRef idx="3">
          <a:schemeClr val="accent4"/>
        </a:lnRef>
        <a:fillRef idx="0">
          <a:schemeClr val="accent4"/>
        </a:fillRef>
        <a:effectRef idx="2">
          <a:schemeClr val="accent4"/>
        </a:effectRef>
        <a:fontRef idx="minor">
          <a:schemeClr val="tx1"/>
        </a:fontRef>
      </xdr:style>
    </xdr:cxnSp>
    <xdr:clientData fLocksWithSheet="0"/>
  </xdr:oneCellAnchor>
  <xdr:oneCellAnchor>
    <xdr:from>
      <xdr:col>8</xdr:col>
      <xdr:colOff>209550</xdr:colOff>
      <xdr:row>61</xdr:row>
      <xdr:rowOff>9525</xdr:rowOff>
    </xdr:from>
    <xdr:ext cx="1047750" cy="0"/>
    <xdr:cxnSp macro="">
      <xdr:nvCxnSpPr>
        <xdr:cNvPr id="9" name="Straight Arrow Connector 8">
          <a:extLst>
            <a:ext uri="{FF2B5EF4-FFF2-40B4-BE49-F238E27FC236}">
              <a16:creationId xmlns:a16="http://schemas.microsoft.com/office/drawing/2014/main" id="{5544306A-9CA6-654E-8D9A-CCC96B027B6D}"/>
            </a:ext>
          </a:extLst>
        </xdr:cNvPr>
        <xdr:cNvCxnSpPr/>
      </xdr:nvCxnSpPr>
      <xdr:spPr>
        <a:xfrm>
          <a:off x="7016750" y="5178425"/>
          <a:ext cx="1047750" cy="0"/>
        </a:xfrm>
        <a:prstGeom prst="straightConnector1">
          <a:avLst/>
        </a:prstGeom>
        <a:ln w="19050" cap="flat" cmpd="sng" algn="ctr">
          <a:solidFill>
            <a:srgbClr val="FF0000"/>
          </a:solidFill>
          <a:prstDash val="solid"/>
          <a:miter lim="800000"/>
          <a:tailEnd type="triangle"/>
        </a:ln>
      </xdr:spPr>
      <xdr:style>
        <a:lnRef idx="3">
          <a:schemeClr val="accent4"/>
        </a:lnRef>
        <a:fillRef idx="0">
          <a:schemeClr val="accent4"/>
        </a:fillRef>
        <a:effectRef idx="2">
          <a:schemeClr val="accent4"/>
        </a:effectRef>
        <a:fontRef idx="minor">
          <a:schemeClr val="tx1"/>
        </a:fontRef>
      </xdr:style>
    </xdr:cxnSp>
    <xdr:clientData fLocksWithSheet="0"/>
  </xdr:oneCellAnchor>
  <xdr:oneCellAnchor>
    <xdr:from>
      <xdr:col>3</xdr:col>
      <xdr:colOff>800100</xdr:colOff>
      <xdr:row>55</xdr:row>
      <xdr:rowOff>133350</xdr:rowOff>
    </xdr:from>
    <xdr:ext cx="1219200" cy="923925"/>
    <xdr:cxnSp macro="">
      <xdr:nvCxnSpPr>
        <xdr:cNvPr id="11" name="Straight Arrow Connector 3">
          <a:extLst>
            <a:ext uri="{FF2B5EF4-FFF2-40B4-BE49-F238E27FC236}">
              <a16:creationId xmlns:a16="http://schemas.microsoft.com/office/drawing/2014/main" id="{B3687B10-AACC-0C44-BF73-FE678972BCB0}"/>
            </a:ext>
          </a:extLst>
        </xdr:cNvPr>
        <xdr:cNvCxnSpPr/>
      </xdr:nvCxnSpPr>
      <xdr:spPr>
        <a:xfrm flipV="1">
          <a:off x="3200400" y="4235450"/>
          <a:ext cx="1219200" cy="923925"/>
        </a:xfrm>
        <a:prstGeom prst="straightConnector1">
          <a:avLst/>
        </a:prstGeom>
        <a:ln w="19050" cap="flat" cmpd="sng" algn="ctr">
          <a:solidFill>
            <a:schemeClr val="accent6"/>
          </a:solidFill>
          <a:prstDash val="solid"/>
          <a:miter lim="800000"/>
          <a:tailEnd type="triangle"/>
        </a:ln>
      </xdr:spPr>
      <xdr:style>
        <a:lnRef idx="3">
          <a:schemeClr val="accent6"/>
        </a:lnRef>
        <a:fillRef idx="0">
          <a:schemeClr val="accent6"/>
        </a:fillRef>
        <a:effectRef idx="2">
          <a:schemeClr val="accent6"/>
        </a:effectRef>
        <a:fontRef idx="minor">
          <a:schemeClr val="tx1"/>
        </a:fontRef>
      </xdr:style>
    </xdr:cxnSp>
    <xdr:clientData fLocksWithSheet="0"/>
  </xdr:oneCellAnchor>
  <xdr:oneCellAnchor>
    <xdr:from>
      <xdr:col>4</xdr:col>
      <xdr:colOff>38100</xdr:colOff>
      <xdr:row>61</xdr:row>
      <xdr:rowOff>28575</xdr:rowOff>
    </xdr:from>
    <xdr:ext cx="1114425" cy="0"/>
    <xdr:cxnSp macro="">
      <xdr:nvCxnSpPr>
        <xdr:cNvPr id="12" name="Straight Arrow Connector 9">
          <a:extLst>
            <a:ext uri="{FF2B5EF4-FFF2-40B4-BE49-F238E27FC236}">
              <a16:creationId xmlns:a16="http://schemas.microsoft.com/office/drawing/2014/main" id="{1C7255A0-CBD8-FE45-93F0-2E3383D2A243}"/>
            </a:ext>
          </a:extLst>
        </xdr:cNvPr>
        <xdr:cNvCxnSpPr/>
      </xdr:nvCxnSpPr>
      <xdr:spPr>
        <a:xfrm>
          <a:off x="3378200" y="5197475"/>
          <a:ext cx="1114425" cy="0"/>
        </a:xfrm>
        <a:prstGeom prst="straightConnector1">
          <a:avLst/>
        </a:prstGeom>
        <a:ln w="19050" cap="flat" cmpd="sng" algn="ctr">
          <a:solidFill>
            <a:srgbClr val="FF0000"/>
          </a:solidFill>
          <a:prstDash val="solid"/>
          <a:miter lim="800000"/>
          <a:tailEnd type="triangle"/>
        </a:ln>
      </xdr:spPr>
      <xdr:style>
        <a:lnRef idx="3">
          <a:schemeClr val="accent4"/>
        </a:lnRef>
        <a:fillRef idx="0">
          <a:schemeClr val="accent4"/>
        </a:fillRef>
        <a:effectRef idx="2">
          <a:schemeClr val="accent4"/>
        </a:effectRef>
        <a:fontRef idx="minor">
          <a:schemeClr val="tx1"/>
        </a:fontRef>
      </xdr:style>
    </xdr:cxnSp>
    <xdr:clientData fLocksWithSheet="0"/>
  </xdr:oneCellAnchor>
  <xdr:oneCellAnchor>
    <xdr:from>
      <xdr:col>8</xdr:col>
      <xdr:colOff>209550</xdr:colOff>
      <xdr:row>61</xdr:row>
      <xdr:rowOff>9525</xdr:rowOff>
    </xdr:from>
    <xdr:ext cx="1047750" cy="0"/>
    <xdr:cxnSp macro="">
      <xdr:nvCxnSpPr>
        <xdr:cNvPr id="13" name="Straight Arrow Connector 10">
          <a:extLst>
            <a:ext uri="{FF2B5EF4-FFF2-40B4-BE49-F238E27FC236}">
              <a16:creationId xmlns:a16="http://schemas.microsoft.com/office/drawing/2014/main" id="{C4A5A257-B559-2842-B26B-401DF302BD3C}"/>
            </a:ext>
          </a:extLst>
        </xdr:cNvPr>
        <xdr:cNvCxnSpPr/>
      </xdr:nvCxnSpPr>
      <xdr:spPr>
        <a:xfrm>
          <a:off x="7016750" y="5178425"/>
          <a:ext cx="1047750" cy="0"/>
        </a:xfrm>
        <a:prstGeom prst="straightConnector1">
          <a:avLst/>
        </a:prstGeom>
        <a:ln w="19050" cap="flat" cmpd="sng" algn="ctr">
          <a:solidFill>
            <a:srgbClr val="FF0000"/>
          </a:solidFill>
          <a:prstDash val="solid"/>
          <a:miter lim="800000"/>
          <a:tailEnd type="triangle"/>
        </a:ln>
      </xdr:spPr>
      <xdr:style>
        <a:lnRef idx="3">
          <a:schemeClr val="accent4"/>
        </a:lnRef>
        <a:fillRef idx="0">
          <a:schemeClr val="accent4"/>
        </a:fillRef>
        <a:effectRef idx="2">
          <a:schemeClr val="accent4"/>
        </a:effectRef>
        <a:fontRef idx="minor">
          <a:schemeClr val="tx1"/>
        </a:fontRef>
      </xdr:style>
    </xdr:cxnSp>
    <xdr:clientData fLocksWithSheet="0"/>
  </xdr:oneCellAnchor>
</xdr:wsDr>
</file>

<file path=xl/drawings/drawing7.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7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Describe and contrast five approaches used for asset valuation. (10 points)</a:t>
          </a:r>
        </a:p>
      </xdr:txBody>
    </xdr:sp>
    <xdr:clientData/>
  </xdr:twoCellAnchor>
  <xdr:twoCellAnchor>
    <xdr:from>
      <xdr:col>1</xdr:col>
      <xdr:colOff>9525</xdr:colOff>
      <xdr:row>16</xdr:row>
      <xdr:rowOff>9524</xdr:rowOff>
    </xdr:from>
    <xdr:to>
      <xdr:col>7</xdr:col>
      <xdr:colOff>285751</xdr:colOff>
      <xdr:row>33</xdr:row>
      <xdr:rowOff>85724</xdr:rowOff>
    </xdr:to>
    <xdr:sp macro="" textlink="">
      <xdr:nvSpPr>
        <xdr:cNvPr id="4" name="Szövegdoboz 3">
          <a:extLst>
            <a:ext uri="{FF2B5EF4-FFF2-40B4-BE49-F238E27FC236}">
              <a16:creationId xmlns:a16="http://schemas.microsoft.com/office/drawing/2014/main" id="{B2457B3A-23F9-459B-B509-8C0E2E7D7599}"/>
            </a:ext>
          </a:extLst>
        </xdr:cNvPr>
        <xdr:cNvSpPr txBox="1"/>
      </xdr:nvSpPr>
      <xdr:spPr>
        <a:xfrm>
          <a:off x="695325" y="3533774"/>
          <a:ext cx="7372351" cy="353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Type your answer here.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9524</xdr:colOff>
      <xdr:row>16</xdr:row>
      <xdr:rowOff>38100</xdr:rowOff>
    </xdr:from>
    <xdr:to>
      <xdr:col>8</xdr:col>
      <xdr:colOff>53340</xdr:colOff>
      <xdr:row>22</xdr:row>
      <xdr:rowOff>5443</xdr:rowOff>
    </xdr:to>
    <xdr:sp macro="" textlink="">
      <xdr:nvSpPr>
        <xdr:cNvPr id="2" name="Szövegdoboz 1">
          <a:extLst>
            <a:ext uri="{FF2B5EF4-FFF2-40B4-BE49-F238E27FC236}">
              <a16:creationId xmlns:a16="http://schemas.microsoft.com/office/drawing/2014/main" id="{00000000-0008-0000-0400-000002000000}"/>
            </a:ext>
          </a:extLst>
        </xdr:cNvPr>
        <xdr:cNvSpPr txBox="1"/>
      </xdr:nvSpPr>
      <xdr:spPr>
        <a:xfrm>
          <a:off x="706210" y="3445329"/>
          <a:ext cx="7250159"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Below you see the</a:t>
          </a:r>
          <a:r>
            <a:rPr lang="hu-HU" sz="1400" b="0" baseline="0">
              <a:latin typeface="Times New Roman" panose="02020603050405020304" pitchFamily="18" charset="0"/>
              <a:cs typeface="Times New Roman" panose="02020603050405020304" pitchFamily="18" charset="0"/>
            </a:rPr>
            <a:t> financial plan for two alternative strategic options. In both cases, the new projects will not generate added value during the terminal value period. Which alternative would you propose to the shareholders and why?</a:t>
          </a:r>
          <a:endParaRPr lang="hu-HU" sz="1400" b="0">
            <a:latin typeface="Times New Roman" panose="02020603050405020304" pitchFamily="18" charset="0"/>
            <a:cs typeface="Times New Roman" panose="02020603050405020304" pitchFamily="18" charset="0"/>
          </a:endParaRPr>
        </a:p>
        <a:p>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0</xdr:col>
      <xdr:colOff>655320</xdr:colOff>
      <xdr:row>9</xdr:row>
      <xdr:rowOff>190501</xdr:rowOff>
    </xdr:from>
    <xdr:to>
      <xdr:col>8</xdr:col>
      <xdr:colOff>68580</xdr:colOff>
      <xdr:row>14</xdr:row>
      <xdr:rowOff>190501</xdr:rowOff>
    </xdr:to>
    <xdr:sp macro="" textlink="">
      <xdr:nvSpPr>
        <xdr:cNvPr id="4" name="Szövegdoboz 3">
          <a:extLst>
            <a:ext uri="{FF2B5EF4-FFF2-40B4-BE49-F238E27FC236}">
              <a16:creationId xmlns:a16="http://schemas.microsoft.com/office/drawing/2014/main" id="{846A8619-E999-4C03-A94D-EF2B3BD877F9}"/>
            </a:ext>
          </a:extLst>
        </xdr:cNvPr>
        <xdr:cNvSpPr txBox="1"/>
      </xdr:nvSpPr>
      <xdr:spPr>
        <a:xfrm>
          <a:off x="655320" y="2247901"/>
          <a:ext cx="723900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twoCellAnchor>
    <xdr:from>
      <xdr:col>10</xdr:col>
      <xdr:colOff>337457</xdr:colOff>
      <xdr:row>13</xdr:row>
      <xdr:rowOff>197757</xdr:rowOff>
    </xdr:from>
    <xdr:to>
      <xdr:col>21</xdr:col>
      <xdr:colOff>91167</xdr:colOff>
      <xdr:row>32</xdr:row>
      <xdr:rowOff>137886</xdr:rowOff>
    </xdr:to>
    <xdr:sp macro="" textlink="">
      <xdr:nvSpPr>
        <xdr:cNvPr id="3" name="Szövegdoboz 2">
          <a:extLst>
            <a:ext uri="{FF2B5EF4-FFF2-40B4-BE49-F238E27FC236}">
              <a16:creationId xmlns:a16="http://schemas.microsoft.com/office/drawing/2014/main" id="{0F46CD39-068F-44A8-881A-057B25DD9E2D}"/>
            </a:ext>
          </a:extLst>
        </xdr:cNvPr>
        <xdr:cNvSpPr txBox="1"/>
      </xdr:nvSpPr>
      <xdr:spPr>
        <a:xfrm>
          <a:off x="9989457" y="3093357"/>
          <a:ext cx="7157810" cy="3800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Type your answer here.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Munka/!!ExcelTr&#233;ningLegfrissebb/MasterExcelTasks2019No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
      <sheetName val="MovingAround"/>
      <sheetName val="SelectingRanges"/>
      <sheetName val="InsertCells"/>
      <sheetName val="FormattingCells1"/>
      <sheetName val="FormattingCells2"/>
      <sheetName val="PasteSpecial"/>
      <sheetName val="ConditionalFormatting"/>
      <sheetName val="DataValidation"/>
      <sheetName val="FindSpecialCells"/>
      <sheetName val="FastInput"/>
      <sheetName val="Protecting&amp;Hiding sheets"/>
      <sheetName val="PricingShares"/>
      <sheetName val="Financial Planning"/>
      <sheetName val="Optimizing1FindingIRR"/>
      <sheetName val="Optimizing2GoalSeek"/>
      <sheetName val="Optimizing3Solver"/>
      <sheetName val="SensitivityAnalysis"/>
      <sheetName val="Sparklines"/>
      <sheetName val="VisualisingStatistics"/>
      <sheetName val="Charts1Tornado"/>
      <sheetName val="Charts2Waterfall"/>
      <sheetName val="Charts3Combined"/>
      <sheetName val="Charts4Pictures"/>
      <sheetName val="Charts5FillingPicture"/>
      <sheetName val="Charts6PeopleChart"/>
      <sheetName val="Charts8ProportionalAppearance"/>
      <sheetName val="Charts7RadialBar"/>
      <sheetName val="Charts8Dashboard"/>
      <sheetName val="Shapes"/>
      <sheetName val="LinksAmongCells"/>
      <sheetName val="UsingNames"/>
      <sheetName val="DependentLists"/>
      <sheetName val="Trends"/>
      <sheetName val="Moving Average"/>
      <sheetName val="Seasonality"/>
      <sheetName val="DataAnalysis"/>
      <sheetName val="SubTotals&amp;Groups"/>
      <sheetName val="FunctionsDifferently"/>
      <sheetName val="Sorting"/>
      <sheetName val="AutoFilter"/>
      <sheetName val="AdvancedFiler"/>
      <sheetName val="DatabaseFunctions"/>
      <sheetName val="Tables"/>
      <sheetName val="DinamicValidation"/>
      <sheetName val="PivotTable"/>
      <sheetName val="PowerQuery"/>
      <sheetName val="ReferenceFunctions"/>
      <sheetName val="RandomSample"/>
      <sheetName val="MonteCarlo"/>
      <sheetName val="Objects1"/>
      <sheetName val="ScenarioswithObjects"/>
      <sheetName val="ChartwithObject"/>
      <sheetName val="IntroToMacros"/>
      <sheetName val="Protecting&amp;Hiding_sheets1"/>
      <sheetName val="Financial_Planning1"/>
      <sheetName val="Moving_Average1"/>
      <sheetName val="Protecting&amp;Hiding_sheets"/>
      <sheetName val="Financial_Planning"/>
      <sheetName val="Moving_Average"/>
      <sheetName val="Protecting&amp;Hiding_sheets2"/>
      <sheetName val="Financial_Planning2"/>
      <sheetName val="Moving_Averag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
          <cell r="B4" t="str">
            <v>KSA</v>
          </cell>
        </row>
        <row r="5">
          <cell r="B5" t="str">
            <v>Kuvait</v>
          </cell>
        </row>
        <row r="6">
          <cell r="B6" t="str">
            <v>Bahrain</v>
          </cell>
        </row>
        <row r="7">
          <cell r="B7" t="str">
            <v>Qatar</v>
          </cell>
        </row>
        <row r="8">
          <cell r="B8" t="str">
            <v>UAE</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7DBD-DECA-4097-9804-D82621A13861}">
  <sheetPr codeName="Munka2">
    <tabColor rgb="FF7030A0"/>
  </sheetPr>
  <dimension ref="A1"/>
  <sheetViews>
    <sheetView showGridLines="0" workbookViewId="0">
      <selection activeCell="I32" sqref="I32"/>
    </sheetView>
  </sheetViews>
  <sheetFormatPr baseColWidth="10" defaultColWidth="8.83203125" defaultRowHeight="16" x14ac:dyDescent="0.2"/>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0D39-D3DB-4713-8991-75511A3E78C9}">
  <sheetPr codeName="Munka3"/>
  <dimension ref="C9:I20"/>
  <sheetViews>
    <sheetView showGridLines="0" workbookViewId="0">
      <selection activeCell="C10" sqref="C10:D10"/>
    </sheetView>
  </sheetViews>
  <sheetFormatPr baseColWidth="10" defaultColWidth="8.83203125" defaultRowHeight="16" x14ac:dyDescent="0.2"/>
  <cols>
    <col min="3" max="3" width="27.5" bestFit="1" customWidth="1"/>
    <col min="4" max="4" width="32.6640625" bestFit="1" customWidth="1"/>
    <col min="9" max="9" width="25.5" bestFit="1" customWidth="1"/>
    <col min="10" max="10" width="12.6640625" bestFit="1" customWidth="1"/>
  </cols>
  <sheetData>
    <row r="9" spans="3:9" ht="35" x14ac:dyDescent="0.35">
      <c r="C9" s="65" t="s">
        <v>27</v>
      </c>
      <c r="D9" s="65"/>
      <c r="E9" s="4"/>
      <c r="F9" s="4"/>
      <c r="G9" s="4"/>
    </row>
    <row r="10" spans="3:9" ht="35" x14ac:dyDescent="0.35">
      <c r="C10" s="65"/>
      <c r="D10" s="65"/>
      <c r="E10" s="4"/>
      <c r="F10" s="4"/>
      <c r="G10" s="4"/>
    </row>
    <row r="11" spans="3:9" ht="23" x14ac:dyDescent="0.25">
      <c r="C11" s="3"/>
      <c r="D11" s="3"/>
      <c r="G11" s="6"/>
    </row>
    <row r="12" spans="3:9" ht="23" x14ac:dyDescent="0.25">
      <c r="C12" s="3" t="s">
        <v>10</v>
      </c>
      <c r="D12" s="24">
        <v>45280</v>
      </c>
    </row>
    <row r="13" spans="3:9" ht="23" x14ac:dyDescent="0.25">
      <c r="C13" s="3" t="s">
        <v>14</v>
      </c>
      <c r="D13" s="16" t="s">
        <v>11</v>
      </c>
      <c r="I13" s="19" t="s">
        <v>6</v>
      </c>
    </row>
    <row r="14" spans="3:9" ht="23" x14ac:dyDescent="0.25">
      <c r="C14" s="3" t="s">
        <v>13</v>
      </c>
      <c r="D14" s="16" t="s">
        <v>3</v>
      </c>
      <c r="I14" s="19" t="s">
        <v>7</v>
      </c>
    </row>
    <row r="15" spans="3:9" ht="23" x14ac:dyDescent="0.25">
      <c r="C15" s="3"/>
      <c r="D15" s="5"/>
      <c r="I15" s="19"/>
    </row>
    <row r="16" spans="3:9" ht="23" x14ac:dyDescent="0.25">
      <c r="C16" s="3" t="s">
        <v>15</v>
      </c>
      <c r="D16" s="21" t="s">
        <v>6</v>
      </c>
    </row>
    <row r="17" spans="3:4" ht="23" x14ac:dyDescent="0.25">
      <c r="C17" s="3" t="s">
        <v>8</v>
      </c>
      <c r="D17" s="6" t="s">
        <v>9</v>
      </c>
    </row>
    <row r="18" spans="3:4" ht="23" x14ac:dyDescent="0.25">
      <c r="D18" s="6"/>
    </row>
    <row r="19" spans="3:4" ht="23" x14ac:dyDescent="0.25">
      <c r="D19" s="6"/>
    </row>
    <row r="20" spans="3:4" ht="23" x14ac:dyDescent="0.25">
      <c r="C20" s="3" t="s">
        <v>12</v>
      </c>
      <c r="D20" s="7">
        <f>+'Bonus Task'!C9+'Task 4'!C9+'Task 5'!C9+'Task 1'!C9+'Task 2'!C9+'Task 3'!C9</f>
        <v>0</v>
      </c>
    </row>
  </sheetData>
  <sheetProtection selectLockedCells="1"/>
  <mergeCells count="2">
    <mergeCell ref="C9:D9"/>
    <mergeCell ref="C10:D10"/>
  </mergeCells>
  <phoneticPr fontId="6" type="noConversion"/>
  <dataValidations count="1">
    <dataValidation allowBlank="1" showInputMessage="1" showErrorMessage="1" errorTitle="Ilyen csoport nincsen!" error="Kérem, a felsorolásból válasszon!" promptTitle="Válassza ki a csoportját!" sqref="D16" xr:uid="{E7C1251C-1580-42F2-91B9-E2C0C2F99FBF}"/>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1001-DD57-4B42-9CDC-B6256E26F6D7}">
  <sheetPr>
    <tabColor rgb="FFFFFF00"/>
  </sheetPr>
  <dimension ref="B1:H58"/>
  <sheetViews>
    <sheetView topLeftCell="A14" zoomScale="117" workbookViewId="0">
      <selection activeCell="A2" sqref="A2:H58"/>
    </sheetView>
  </sheetViews>
  <sheetFormatPr baseColWidth="10" defaultColWidth="8.83203125" defaultRowHeight="16" x14ac:dyDescent="0.2"/>
  <cols>
    <col min="2" max="2" width="20" bestFit="1" customWidth="1"/>
    <col min="3" max="3" width="37.1640625" bestFit="1" customWidth="1"/>
    <col min="4" max="4" width="14.6640625" bestFit="1" customWidth="1"/>
    <col min="5" max="5" width="11.6640625" bestFit="1" customWidth="1"/>
    <col min="6" max="6" width="14.1640625" bestFit="1" customWidth="1"/>
    <col min="8" max="8" width="9" bestFit="1" customWidth="1"/>
  </cols>
  <sheetData>
    <row r="1" spans="2:3" ht="17" thickBot="1" x14ac:dyDescent="0.25"/>
    <row r="2" spans="2:3" ht="18" x14ac:dyDescent="0.2">
      <c r="B2" s="8" t="str">
        <f>+Admin!C12</f>
        <v>Date</v>
      </c>
      <c r="C2" s="23">
        <f>+Admin!D12</f>
        <v>45280</v>
      </c>
    </row>
    <row r="3" spans="2:3" ht="18" x14ac:dyDescent="0.2">
      <c r="B3" s="9" t="str">
        <f>+Admin!C13</f>
        <v>Student name</v>
      </c>
      <c r="C3" s="10" t="str">
        <f>+Admin!D13</f>
        <v>Sam Sample</v>
      </c>
    </row>
    <row r="4" spans="2:3" ht="18" x14ac:dyDescent="0.2">
      <c r="B4" s="9" t="str">
        <f>+Admin!C14</f>
        <v>Neptun code</v>
      </c>
      <c r="C4" s="10" t="str">
        <f>+Admin!D14</f>
        <v>ABCD1234</v>
      </c>
    </row>
    <row r="5" spans="2:3" ht="18" x14ac:dyDescent="0.2">
      <c r="B5" s="9"/>
      <c r="C5" s="11"/>
    </row>
    <row r="6" spans="2:3" ht="18" x14ac:dyDescent="0.2">
      <c r="B6" s="9" t="str">
        <f>+Admin!C16</f>
        <v>Study program</v>
      </c>
      <c r="C6" s="11" t="str">
        <f>+Admin!D16</f>
        <v>Master in Finance</v>
      </c>
    </row>
    <row r="7" spans="2:3" ht="19" thickBot="1" x14ac:dyDescent="0.25">
      <c r="B7" s="12" t="str">
        <f>+Admin!C17</f>
        <v>Instructor</v>
      </c>
      <c r="C7" s="13" t="str">
        <f>+Admin!D17</f>
        <v>Péter Juhász, PhD, CFA</v>
      </c>
    </row>
    <row r="8" spans="2:3" ht="17" thickBot="1" x14ac:dyDescent="0.25"/>
    <row r="9" spans="2:3" ht="21" thickBot="1" x14ac:dyDescent="0.25">
      <c r="B9" s="14" t="s">
        <v>16</v>
      </c>
      <c r="C9" s="15"/>
    </row>
    <row r="23" spans="3:6" x14ac:dyDescent="0.2">
      <c r="D23" s="17" t="s">
        <v>21</v>
      </c>
      <c r="E23" s="17" t="s">
        <v>22</v>
      </c>
      <c r="F23" s="17" t="s">
        <v>20</v>
      </c>
    </row>
    <row r="24" spans="3:6" x14ac:dyDescent="0.2">
      <c r="C24" t="s">
        <v>28</v>
      </c>
      <c r="D24" s="25">
        <v>500</v>
      </c>
      <c r="E24" s="25"/>
      <c r="F24" s="25">
        <v>600</v>
      </c>
    </row>
    <row r="25" spans="3:6" x14ac:dyDescent="0.2">
      <c r="C25" t="s">
        <v>33</v>
      </c>
      <c r="D25" s="25"/>
      <c r="E25" s="25">
        <v>70</v>
      </c>
      <c r="F25" s="25"/>
    </row>
    <row r="26" spans="3:6" x14ac:dyDescent="0.2">
      <c r="C26" t="s">
        <v>0</v>
      </c>
      <c r="D26" s="18">
        <v>0.03</v>
      </c>
      <c r="E26" s="18">
        <v>0.04</v>
      </c>
      <c r="F26" s="18">
        <v>3.3000000000000002E-2</v>
      </c>
    </row>
    <row r="27" spans="3:6" x14ac:dyDescent="0.2">
      <c r="C27" t="s">
        <v>24</v>
      </c>
      <c r="D27" s="18">
        <v>0.1</v>
      </c>
      <c r="E27" s="18">
        <v>0.1</v>
      </c>
      <c r="F27" s="18">
        <v>0.1</v>
      </c>
    </row>
    <row r="28" spans="3:6" x14ac:dyDescent="0.2">
      <c r="C28" t="s">
        <v>23</v>
      </c>
      <c r="D28" s="18">
        <v>0.25</v>
      </c>
      <c r="E28" s="18">
        <v>0.3</v>
      </c>
      <c r="F28" s="18">
        <v>0.25</v>
      </c>
    </row>
    <row r="29" spans="3:6" x14ac:dyDescent="0.2">
      <c r="C29" t="s">
        <v>4</v>
      </c>
      <c r="D29" s="18">
        <v>0.05</v>
      </c>
      <c r="E29" s="18">
        <v>0.06</v>
      </c>
      <c r="F29" s="18">
        <v>0.05</v>
      </c>
    </row>
    <row r="30" spans="3:6" x14ac:dyDescent="0.2">
      <c r="C30" t="s">
        <v>2</v>
      </c>
      <c r="D30" s="18">
        <v>0.15</v>
      </c>
      <c r="E30" s="18">
        <v>0.15</v>
      </c>
      <c r="F30" s="18">
        <v>0.15</v>
      </c>
    </row>
    <row r="31" spans="3:6" x14ac:dyDescent="0.2">
      <c r="C31" t="s">
        <v>29</v>
      </c>
      <c r="D31" s="28">
        <v>1000000</v>
      </c>
      <c r="E31" s="28">
        <v>2000000</v>
      </c>
    </row>
    <row r="33" spans="3:8" x14ac:dyDescent="0.2">
      <c r="C33" t="s">
        <v>72</v>
      </c>
      <c r="D33" s="18">
        <f>(D27-D29*D28)/(1-D28)</f>
        <v>0.11666666666666668</v>
      </c>
      <c r="E33" s="18">
        <f>(E27-E29*E28)/(1-E28)</f>
        <v>0.11714285714285716</v>
      </c>
      <c r="F33" s="18">
        <f>(F27-F29*F28)/(1-F28)</f>
        <v>0.11666666666666668</v>
      </c>
    </row>
    <row r="35" spans="3:8" x14ac:dyDescent="0.2">
      <c r="C35" t="s">
        <v>69</v>
      </c>
      <c r="D35" s="18">
        <f>D27-D28*D29*D30</f>
        <v>9.8125000000000004E-2</v>
      </c>
      <c r="E35" s="18">
        <f>E27-E28*E29*E30</f>
        <v>9.7300000000000011E-2</v>
      </c>
      <c r="F35" s="18">
        <f>F27-F28*F29*F30</f>
        <v>9.8125000000000004E-2</v>
      </c>
      <c r="H35" t="s">
        <v>134</v>
      </c>
    </row>
    <row r="36" spans="3:8" x14ac:dyDescent="0.2">
      <c r="C36" t="s">
        <v>70</v>
      </c>
      <c r="D36">
        <f>D24/(D35-D26)</f>
        <v>7339.4495412844035</v>
      </c>
      <c r="E36" s="61">
        <f>E37*1/(1-E28)</f>
        <v>1296.2962962962963</v>
      </c>
      <c r="F36">
        <f>F24/(F35-F26)</f>
        <v>9213.0518234165065</v>
      </c>
      <c r="H36" s="61">
        <f>F36-E36-D36</f>
        <v>577.3059858358065</v>
      </c>
    </row>
    <row r="37" spans="3:8" x14ac:dyDescent="0.2">
      <c r="C37" t="s">
        <v>71</v>
      </c>
      <c r="D37">
        <f>D39</f>
        <v>5504.5871559633024</v>
      </c>
      <c r="E37" s="61">
        <f>E25/(E33-E26)</f>
        <v>907.40740740740728</v>
      </c>
      <c r="F37">
        <f>F39</f>
        <v>6909.7888675623799</v>
      </c>
    </row>
    <row r="38" spans="3:8" x14ac:dyDescent="0.2">
      <c r="C38" t="s">
        <v>73</v>
      </c>
      <c r="D38">
        <f>D36*D28</f>
        <v>1834.8623853211009</v>
      </c>
      <c r="E38" s="61">
        <f>E36-E37</f>
        <v>388.88888888888903</v>
      </c>
      <c r="F38">
        <f>F36*F28</f>
        <v>2303.2629558541266</v>
      </c>
    </row>
    <row r="39" spans="3:8" x14ac:dyDescent="0.2">
      <c r="C39" t="s">
        <v>74</v>
      </c>
      <c r="D39">
        <f>D36-D38</f>
        <v>5504.5871559633024</v>
      </c>
      <c r="E39" s="61">
        <f>E37</f>
        <v>907.40740740740728</v>
      </c>
      <c r="F39">
        <f>F36-F38</f>
        <v>6909.7888675623799</v>
      </c>
    </row>
    <row r="43" spans="3:8" x14ac:dyDescent="0.2">
      <c r="C43" t="s">
        <v>135</v>
      </c>
      <c r="D43" s="61">
        <f>E39</f>
        <v>907.40740740740728</v>
      </c>
    </row>
    <row r="44" spans="3:8" x14ac:dyDescent="0.2">
      <c r="C44" t="s">
        <v>136</v>
      </c>
      <c r="D44" s="61">
        <f>D43+H36</f>
        <v>1484.7133932432139</v>
      </c>
    </row>
    <row r="47" spans="3:8" x14ac:dyDescent="0.2">
      <c r="C47" t="s">
        <v>137</v>
      </c>
      <c r="D47">
        <f>D43+H36*30%</f>
        <v>1080.5992031581493</v>
      </c>
    </row>
    <row r="48" spans="3:8" x14ac:dyDescent="0.2">
      <c r="C48" t="s">
        <v>138</v>
      </c>
      <c r="D48">
        <f>D47*40%</f>
        <v>432.23968126325974</v>
      </c>
    </row>
    <row r="49" spans="3:4" x14ac:dyDescent="0.2">
      <c r="C49" t="s">
        <v>139</v>
      </c>
      <c r="D49">
        <f>E39+H36*30%-D48</f>
        <v>648.35952189488955</v>
      </c>
    </row>
    <row r="50" spans="3:4" x14ac:dyDescent="0.2">
      <c r="C50" t="s">
        <v>140</v>
      </c>
      <c r="D50" s="27">
        <f>D49/F39</f>
        <v>9.3832030807565969E-2</v>
      </c>
    </row>
    <row r="52" spans="3:4" x14ac:dyDescent="0.2">
      <c r="C52" t="s">
        <v>141</v>
      </c>
      <c r="D52" s="28">
        <f>D31+E31</f>
        <v>3000000</v>
      </c>
    </row>
    <row r="53" spans="3:4" x14ac:dyDescent="0.2">
      <c r="C53" t="s">
        <v>142</v>
      </c>
      <c r="D53" s="64">
        <f>1-D50</f>
        <v>0.90616796919243403</v>
      </c>
    </row>
    <row r="55" spans="3:4" x14ac:dyDescent="0.2">
      <c r="C55" t="s">
        <v>143</v>
      </c>
      <c r="D55" s="63">
        <f>D52/D53*D50</f>
        <v>310644.4963769397</v>
      </c>
    </row>
    <row r="56" spans="3:4" x14ac:dyDescent="0.2">
      <c r="C56" t="s">
        <v>145</v>
      </c>
      <c r="D56" s="63">
        <f>D52/D53</f>
        <v>3310644.4963769396</v>
      </c>
    </row>
    <row r="58" spans="3:4" x14ac:dyDescent="0.2">
      <c r="C58" t="s">
        <v>144</v>
      </c>
      <c r="D58" s="62">
        <f>D56/D52</f>
        <v>1.1035481654589798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A70D-9BBD-467B-9276-4356E1676819}">
  <sheetPr>
    <tabColor rgb="FFFFFF00"/>
  </sheetPr>
  <dimension ref="A1:XFD90"/>
  <sheetViews>
    <sheetView zoomScale="113" zoomScaleNormal="90" workbookViewId="0">
      <selection activeCell="E27" sqref="E27"/>
    </sheetView>
  </sheetViews>
  <sheetFormatPr baseColWidth="10" defaultColWidth="8.83203125" defaultRowHeight="16" x14ac:dyDescent="0.2"/>
  <cols>
    <col min="2" max="2" width="18.6640625" bestFit="1" customWidth="1"/>
    <col min="3" max="3" width="23.5" bestFit="1" customWidth="1"/>
    <col min="4" max="9" width="13.5" bestFit="1" customWidth="1"/>
    <col min="10" max="10" width="14.1640625" bestFit="1" customWidth="1"/>
  </cols>
  <sheetData>
    <row r="1" spans="2:3" ht="17" thickBot="1" x14ac:dyDescent="0.25"/>
    <row r="2" spans="2:3" ht="18" x14ac:dyDescent="0.2">
      <c r="B2" s="8" t="str">
        <f>+Admin!C12</f>
        <v>Date</v>
      </c>
      <c r="C2" s="23">
        <f>+Admin!D12</f>
        <v>45280</v>
      </c>
    </row>
    <row r="3" spans="2:3" ht="18" x14ac:dyDescent="0.2">
      <c r="B3" s="9" t="str">
        <f>+Admin!C13</f>
        <v>Student name</v>
      </c>
      <c r="C3" s="10" t="str">
        <f>+Admin!D13</f>
        <v>Sam Sample</v>
      </c>
    </row>
    <row r="4" spans="2:3" ht="18" x14ac:dyDescent="0.2">
      <c r="B4" s="9" t="str">
        <f>+Admin!C14</f>
        <v>Neptun code</v>
      </c>
      <c r="C4" s="10" t="str">
        <f>+Admin!D14</f>
        <v>ABCD1234</v>
      </c>
    </row>
    <row r="5" spans="2:3" ht="18" x14ac:dyDescent="0.2">
      <c r="B5" s="9"/>
      <c r="C5" s="11"/>
    </row>
    <row r="6" spans="2:3" ht="18" x14ac:dyDescent="0.2">
      <c r="B6" s="9" t="str">
        <f>+Admin!C16</f>
        <v>Study program</v>
      </c>
      <c r="C6" s="11" t="str">
        <f>+Admin!D16</f>
        <v>Master in Finance</v>
      </c>
    </row>
    <row r="7" spans="2:3" ht="19" thickBot="1" x14ac:dyDescent="0.25">
      <c r="B7" s="12" t="str">
        <f>+Admin!C17</f>
        <v>Instructor</v>
      </c>
      <c r="C7" s="13" t="str">
        <f>+Admin!D17</f>
        <v>Péter Juhász, PhD, CFA</v>
      </c>
    </row>
    <row r="8" spans="2:3" ht="17" thickBot="1" x14ac:dyDescent="0.25"/>
    <row r="9" spans="2:3" ht="21" thickBot="1" x14ac:dyDescent="0.25">
      <c r="B9" s="14" t="s">
        <v>16</v>
      </c>
      <c r="C9" s="15"/>
    </row>
    <row r="24" spans="3:10" x14ac:dyDescent="0.2">
      <c r="C24" s="29"/>
      <c r="D24" s="22">
        <v>2023</v>
      </c>
      <c r="E24" s="17">
        <f>+D24+1</f>
        <v>2024</v>
      </c>
      <c r="F24" s="17">
        <f t="shared" ref="F24:H24" si="0">+E24+1</f>
        <v>2025</v>
      </c>
      <c r="G24" s="17">
        <f t="shared" si="0"/>
        <v>2026</v>
      </c>
      <c r="H24" s="17">
        <f t="shared" si="0"/>
        <v>2027</v>
      </c>
      <c r="I24" s="1" t="s">
        <v>25</v>
      </c>
      <c r="J24" s="1" t="s">
        <v>26</v>
      </c>
    </row>
    <row r="25" spans="3:10" x14ac:dyDescent="0.2">
      <c r="C25" s="29" t="s">
        <v>17</v>
      </c>
      <c r="D25" s="31">
        <v>750000</v>
      </c>
      <c r="E25" s="45">
        <f t="shared" ref="E25:J25" si="1">D25+D26</f>
        <v>810000</v>
      </c>
      <c r="F25" s="45">
        <f t="shared" si="1"/>
        <v>860000</v>
      </c>
      <c r="G25" s="45">
        <f t="shared" si="1"/>
        <v>903000</v>
      </c>
      <c r="H25" s="45">
        <f t="shared" si="1"/>
        <v>936927</v>
      </c>
      <c r="I25" s="45">
        <f t="shared" si="1"/>
        <v>966302.12749999994</v>
      </c>
      <c r="J25" s="45">
        <f t="shared" si="1"/>
        <v>1050617.6866722482</v>
      </c>
    </row>
    <row r="26" spans="3:10" x14ac:dyDescent="0.2">
      <c r="C26" s="30" t="s">
        <v>35</v>
      </c>
      <c r="D26" s="33">
        <v>60000</v>
      </c>
      <c r="E26" s="33">
        <v>50000</v>
      </c>
      <c r="F26" s="17">
        <f>F29*F51</f>
        <v>43000</v>
      </c>
      <c r="G26" s="17">
        <f>G29*G51</f>
        <v>33927</v>
      </c>
      <c r="H26" s="17">
        <f>H29*H51</f>
        <v>29375.127499999999</v>
      </c>
      <c r="I26" s="1">
        <f>I29*I51</f>
        <v>84315.55917224822</v>
      </c>
      <c r="J26" s="1">
        <f>J29*J51</f>
        <v>89374.49272258312</v>
      </c>
    </row>
    <row r="27" spans="3:10" x14ac:dyDescent="0.2">
      <c r="C27" s="30" t="s">
        <v>5</v>
      </c>
      <c r="D27" s="2">
        <v>0.11</v>
      </c>
      <c r="E27" s="2">
        <v>0.12</v>
      </c>
      <c r="F27" s="2">
        <v>0.125</v>
      </c>
      <c r="G27" s="2"/>
      <c r="H27" s="2"/>
      <c r="I27" s="2"/>
    </row>
    <row r="28" spans="3:10" x14ac:dyDescent="0.2">
      <c r="C28" s="30" t="s">
        <v>1</v>
      </c>
      <c r="D28" s="2"/>
      <c r="E28" s="2"/>
      <c r="F28" s="2"/>
      <c r="G28" s="2">
        <v>0.13</v>
      </c>
      <c r="H28" s="2">
        <v>0.13</v>
      </c>
      <c r="I28" s="2">
        <f>I41</f>
        <v>8.5400000000000004E-2</v>
      </c>
      <c r="J28" s="2">
        <f>J41</f>
        <v>8.5400000000000004E-2</v>
      </c>
    </row>
    <row r="29" spans="3:10" x14ac:dyDescent="0.2">
      <c r="C29" s="30" t="s">
        <v>30</v>
      </c>
      <c r="D29" s="2"/>
      <c r="E29" s="2"/>
      <c r="F29" s="2">
        <v>0.4</v>
      </c>
      <c r="G29" s="2">
        <v>0.3</v>
      </c>
      <c r="H29" s="2">
        <v>0.25</v>
      </c>
      <c r="I29" s="2">
        <f>J30/J28</f>
        <v>0.70257611241217788</v>
      </c>
      <c r="J29" s="2">
        <f>I29</f>
        <v>0.70257611241217788</v>
      </c>
    </row>
    <row r="30" spans="3:10" x14ac:dyDescent="0.2">
      <c r="C30" s="30" t="s">
        <v>31</v>
      </c>
      <c r="D30" s="2"/>
      <c r="E30" s="2"/>
      <c r="F30" s="2"/>
      <c r="G30" s="2"/>
      <c r="H30" s="2"/>
      <c r="I30" s="2"/>
      <c r="J30" s="2">
        <v>0.06</v>
      </c>
    </row>
    <row r="31" spans="3:10" x14ac:dyDescent="0.2">
      <c r="C31" s="30" t="s">
        <v>19</v>
      </c>
      <c r="D31" s="2">
        <f>D45/D74</f>
        <v>0</v>
      </c>
      <c r="E31" s="2">
        <f>E45/E74</f>
        <v>0.1390388628845039</v>
      </c>
      <c r="F31" s="2">
        <f>F45/F74</f>
        <v>0.20508613232179956</v>
      </c>
      <c r="G31" s="2">
        <v>0.3</v>
      </c>
      <c r="H31" s="2">
        <v>0.3</v>
      </c>
      <c r="I31" s="2">
        <v>0.3</v>
      </c>
      <c r="J31" s="2">
        <v>0.3</v>
      </c>
    </row>
    <row r="32" spans="3:10" x14ac:dyDescent="0.2">
      <c r="C32" s="30" t="s">
        <v>18</v>
      </c>
      <c r="D32" s="2">
        <v>0</v>
      </c>
      <c r="E32" s="2">
        <v>0.2</v>
      </c>
      <c r="F32" s="2">
        <v>0.3</v>
      </c>
      <c r="G32" s="2"/>
      <c r="H32" s="2"/>
      <c r="I32" s="2"/>
      <c r="J32" s="2"/>
    </row>
    <row r="33" spans="3:11 16384:16384" x14ac:dyDescent="0.2">
      <c r="C33" s="30" t="s">
        <v>2</v>
      </c>
      <c r="D33" s="2">
        <v>0.2</v>
      </c>
      <c r="E33" s="2">
        <v>0.2</v>
      </c>
      <c r="F33" s="2">
        <v>0.2</v>
      </c>
      <c r="G33" s="2">
        <v>0.2</v>
      </c>
      <c r="H33" s="2">
        <v>0.2</v>
      </c>
      <c r="I33" s="2">
        <v>0.2</v>
      </c>
      <c r="J33" s="2">
        <v>0.2</v>
      </c>
    </row>
    <row r="34" spans="3:11 16384:16384" x14ac:dyDescent="0.2">
      <c r="C34" s="29" t="s">
        <v>32</v>
      </c>
      <c r="D34" s="2">
        <v>0.1</v>
      </c>
      <c r="E34" s="2">
        <v>0.08</v>
      </c>
      <c r="F34" s="2">
        <v>7.0000000000000007E-2</v>
      </c>
      <c r="G34" s="2">
        <v>0.06</v>
      </c>
      <c r="H34" s="2">
        <v>0.05</v>
      </c>
      <c r="I34" s="2">
        <v>0.05</v>
      </c>
      <c r="J34" s="2">
        <v>0.05</v>
      </c>
    </row>
    <row r="35" spans="3:11 16384:16384" x14ac:dyDescent="0.2">
      <c r="C35" t="s">
        <v>41</v>
      </c>
      <c r="D35" s="18">
        <v>0.16</v>
      </c>
      <c r="E35" s="18">
        <v>0.14000000000000001</v>
      </c>
      <c r="F35" s="18">
        <v>0.13</v>
      </c>
      <c r="G35" s="18">
        <v>0.12</v>
      </c>
      <c r="H35" s="18">
        <v>0.11</v>
      </c>
      <c r="I35" s="18">
        <v>0.11</v>
      </c>
      <c r="J35" s="18">
        <v>0.11</v>
      </c>
    </row>
    <row r="36" spans="3:11 16384:16384" x14ac:dyDescent="0.2">
      <c r="C36" s="32" t="s">
        <v>34</v>
      </c>
      <c r="D36" s="33">
        <v>0.8</v>
      </c>
      <c r="E36" s="33">
        <v>0.8</v>
      </c>
      <c r="F36" s="33">
        <v>0.8</v>
      </c>
      <c r="G36" s="33">
        <v>0.8</v>
      </c>
      <c r="H36" s="33">
        <v>0.8</v>
      </c>
      <c r="I36" s="33">
        <v>0.8</v>
      </c>
      <c r="J36" s="33">
        <v>0.8</v>
      </c>
    </row>
    <row r="37" spans="3:11 16384:16384" x14ac:dyDescent="0.2">
      <c r="C37" t="s">
        <v>42</v>
      </c>
      <c r="D37" s="18">
        <v>0</v>
      </c>
      <c r="E37" s="18">
        <v>0.01</v>
      </c>
      <c r="F37" s="18">
        <v>1.4999999999999999E-2</v>
      </c>
      <c r="G37" s="18">
        <v>0.02</v>
      </c>
      <c r="H37" s="18">
        <v>0.02</v>
      </c>
      <c r="I37" s="18">
        <v>0.02</v>
      </c>
      <c r="J37" s="18">
        <v>0.02</v>
      </c>
    </row>
    <row r="38" spans="3:11 16384:16384" x14ac:dyDescent="0.2">
      <c r="C38" t="s">
        <v>4</v>
      </c>
      <c r="D38" s="18">
        <f t="shared" ref="D38:J38" si="2">D37+D34</f>
        <v>0.1</v>
      </c>
      <c r="E38" s="18">
        <f t="shared" si="2"/>
        <v>0.09</v>
      </c>
      <c r="F38" s="18">
        <f t="shared" si="2"/>
        <v>8.5000000000000006E-2</v>
      </c>
      <c r="G38" s="18">
        <f t="shared" si="2"/>
        <v>0.08</v>
      </c>
      <c r="H38" s="18">
        <f t="shared" si="2"/>
        <v>7.0000000000000007E-2</v>
      </c>
      <c r="I38" s="18">
        <f t="shared" si="2"/>
        <v>7.0000000000000007E-2</v>
      </c>
      <c r="J38" s="18">
        <f t="shared" si="2"/>
        <v>7.0000000000000007E-2</v>
      </c>
    </row>
    <row r="39" spans="3:11 16384:16384" x14ac:dyDescent="0.2">
      <c r="C39" t="s">
        <v>72</v>
      </c>
      <c r="D39" s="18">
        <f t="shared" ref="D39:J39" si="3">D34+D36*(D35-D34)</f>
        <v>0.14800000000000002</v>
      </c>
      <c r="E39" s="18">
        <f t="shared" si="3"/>
        <v>0.128</v>
      </c>
      <c r="F39" s="18">
        <f t="shared" si="3"/>
        <v>0.11800000000000001</v>
      </c>
      <c r="G39" s="18">
        <f t="shared" si="3"/>
        <v>0.108</v>
      </c>
      <c r="H39" s="18">
        <f t="shared" si="3"/>
        <v>9.8000000000000004E-2</v>
      </c>
      <c r="I39" s="18">
        <f t="shared" si="3"/>
        <v>9.8000000000000004E-2</v>
      </c>
      <c r="J39" s="18">
        <f t="shared" si="3"/>
        <v>9.8000000000000004E-2</v>
      </c>
    </row>
    <row r="40" spans="3:11 16384:16384" x14ac:dyDescent="0.2">
      <c r="C40" t="s">
        <v>24</v>
      </c>
      <c r="D40" s="18">
        <f t="shared" ref="D40:J40" si="4">D31*D38+(1-D31)*D39</f>
        <v>0.14800000000000002</v>
      </c>
      <c r="E40" s="18">
        <f t="shared" si="4"/>
        <v>0.12271652321038887</v>
      </c>
      <c r="F40" s="18">
        <f t="shared" si="4"/>
        <v>0.11123215763338062</v>
      </c>
      <c r="G40" s="18">
        <f t="shared" si="4"/>
        <v>9.9599999999999994E-2</v>
      </c>
      <c r="H40" s="18">
        <f t="shared" si="4"/>
        <v>8.9599999999999999E-2</v>
      </c>
      <c r="I40" s="18">
        <f t="shared" si="4"/>
        <v>8.9599999999999999E-2</v>
      </c>
      <c r="J40" s="18">
        <f t="shared" si="4"/>
        <v>8.9599999999999999E-2</v>
      </c>
    </row>
    <row r="41" spans="3:11 16384:16384" x14ac:dyDescent="0.2">
      <c r="C41" t="s">
        <v>69</v>
      </c>
      <c r="D41" s="18">
        <f t="shared" ref="D41:J41" si="5">D40-D38*D31*D33</f>
        <v>0.14800000000000002</v>
      </c>
      <c r="E41" s="18">
        <f t="shared" si="5"/>
        <v>0.12021382367846779</v>
      </c>
      <c r="F41" s="18">
        <f t="shared" si="5"/>
        <v>0.10774569338391003</v>
      </c>
      <c r="G41" s="18">
        <f t="shared" si="5"/>
        <v>9.4799999999999995E-2</v>
      </c>
      <c r="H41" s="18">
        <f t="shared" si="5"/>
        <v>8.5400000000000004E-2</v>
      </c>
      <c r="I41" s="18">
        <f t="shared" si="5"/>
        <v>8.5400000000000004E-2</v>
      </c>
      <c r="J41" s="18">
        <f t="shared" si="5"/>
        <v>8.5400000000000004E-2</v>
      </c>
      <c r="XFD41" s="18">
        <f>XFD40-XFD38*XFD31*XFD33</f>
        <v>0</v>
      </c>
    </row>
    <row r="44" spans="3:11 16384:16384" x14ac:dyDescent="0.2">
      <c r="C44" s="36" t="s">
        <v>75</v>
      </c>
      <c r="D44" s="28">
        <f t="shared" ref="D44:J44" si="6">D25</f>
        <v>750000</v>
      </c>
      <c r="E44" s="28">
        <f t="shared" si="6"/>
        <v>810000</v>
      </c>
      <c r="F44" s="28">
        <f t="shared" si="6"/>
        <v>860000</v>
      </c>
      <c r="G44" s="28">
        <f t="shared" si="6"/>
        <v>903000</v>
      </c>
      <c r="H44" s="28">
        <f t="shared" si="6"/>
        <v>936927</v>
      </c>
      <c r="I44" s="28">
        <f t="shared" si="6"/>
        <v>966302.12749999994</v>
      </c>
      <c r="J44" s="28">
        <f t="shared" si="6"/>
        <v>1050617.6866722482</v>
      </c>
      <c r="XFD44" s="28">
        <f>XFD25</f>
        <v>0</v>
      </c>
    </row>
    <row r="45" spans="3:11 16384:16384" x14ac:dyDescent="0.2">
      <c r="C45" s="36" t="s">
        <v>76</v>
      </c>
      <c r="D45">
        <f>D32*D44</f>
        <v>0</v>
      </c>
      <c r="E45">
        <f>E32*E44</f>
        <v>162000</v>
      </c>
      <c r="F45">
        <f>F32*F44</f>
        <v>258000</v>
      </c>
      <c r="G45" s="46">
        <f>G31*G68</f>
        <v>398715.89113193395</v>
      </c>
      <c r="H45" s="46">
        <f>H31*H68</f>
        <v>412765.25761124125</v>
      </c>
      <c r="I45" s="46">
        <f>I31*I68</f>
        <v>421577.79586124123</v>
      </c>
      <c r="J45" s="46">
        <f>J31*J68</f>
        <v>446872.46361291554</v>
      </c>
      <c r="K45" s="46">
        <f>J45*(1+J30)</f>
        <v>473684.81142969051</v>
      </c>
      <c r="XFD45">
        <f>XFD31*XFD42</f>
        <v>0</v>
      </c>
    </row>
    <row r="46" spans="3:11 16384:16384" x14ac:dyDescent="0.2">
      <c r="C46" s="36" t="s">
        <v>77</v>
      </c>
      <c r="D46" s="28">
        <f t="shared" ref="D46:J46" si="7">D44-D45</f>
        <v>750000</v>
      </c>
      <c r="E46" s="28">
        <f t="shared" si="7"/>
        <v>648000</v>
      </c>
      <c r="F46" s="28">
        <f t="shared" si="7"/>
        <v>602000</v>
      </c>
      <c r="G46" s="28">
        <f t="shared" si="7"/>
        <v>504284.10886806605</v>
      </c>
      <c r="H46" s="28">
        <f t="shared" si="7"/>
        <v>524161.74238875875</v>
      </c>
      <c r="I46" s="28">
        <f t="shared" si="7"/>
        <v>544724.33163875877</v>
      </c>
      <c r="J46" s="28">
        <f t="shared" si="7"/>
        <v>603745.2230593327</v>
      </c>
    </row>
    <row r="47" spans="3:11 16384:16384" x14ac:dyDescent="0.2">
      <c r="C47" s="36"/>
    </row>
    <row r="48" spans="3:11 16384:16384" x14ac:dyDescent="0.2">
      <c r="C48" s="36"/>
    </row>
    <row r="49" spans="1:10" x14ac:dyDescent="0.2">
      <c r="C49" s="36"/>
    </row>
    <row r="50" spans="1:10" x14ac:dyDescent="0.2">
      <c r="C50" s="36"/>
    </row>
    <row r="51" spans="1:10" x14ac:dyDescent="0.2">
      <c r="C51" s="37" t="s">
        <v>78</v>
      </c>
      <c r="D51">
        <f>D25*D27</f>
        <v>82500</v>
      </c>
      <c r="E51">
        <f>E25*E27</f>
        <v>97200</v>
      </c>
      <c r="F51">
        <f>F25*F27</f>
        <v>107500</v>
      </c>
      <c r="G51">
        <f>F51+F52*G28</f>
        <v>113090</v>
      </c>
      <c r="H51">
        <f>G51+G52*H28</f>
        <v>117500.51</v>
      </c>
      <c r="I51">
        <f>H51+H52*I28</f>
        <v>120009.14588849999</v>
      </c>
      <c r="J51">
        <f>I51+I52*J28</f>
        <v>127209.69464180998</v>
      </c>
    </row>
    <row r="52" spans="1:10" x14ac:dyDescent="0.2">
      <c r="C52" s="38" t="s">
        <v>35</v>
      </c>
      <c r="D52" s="28">
        <f t="shared" ref="D52:J52" si="8">D26</f>
        <v>60000</v>
      </c>
      <c r="E52" s="28">
        <f t="shared" si="8"/>
        <v>50000</v>
      </c>
      <c r="F52" s="28">
        <f t="shared" si="8"/>
        <v>43000</v>
      </c>
      <c r="G52" s="28">
        <f t="shared" si="8"/>
        <v>33927</v>
      </c>
      <c r="H52" s="28">
        <f t="shared" si="8"/>
        <v>29375.127499999999</v>
      </c>
      <c r="I52" s="28">
        <f t="shared" si="8"/>
        <v>84315.55917224822</v>
      </c>
      <c r="J52" s="28">
        <f t="shared" si="8"/>
        <v>89374.49272258312</v>
      </c>
    </row>
    <row r="53" spans="1:10" x14ac:dyDescent="0.2">
      <c r="C53" s="39" t="s">
        <v>28</v>
      </c>
      <c r="D53" s="28">
        <f t="shared" ref="D53:J53" si="9">D51-D52</f>
        <v>22500</v>
      </c>
      <c r="E53" s="28">
        <f t="shared" si="9"/>
        <v>47200</v>
      </c>
      <c r="F53" s="28">
        <f t="shared" si="9"/>
        <v>64500</v>
      </c>
      <c r="G53" s="28">
        <f t="shared" si="9"/>
        <v>79163</v>
      </c>
      <c r="H53" s="28">
        <f t="shared" si="9"/>
        <v>88125.382499999992</v>
      </c>
      <c r="I53" s="28">
        <f t="shared" si="9"/>
        <v>35693.586716251768</v>
      </c>
      <c r="J53" s="28">
        <f t="shared" si="9"/>
        <v>37835.201919226864</v>
      </c>
    </row>
    <row r="54" spans="1:10" x14ac:dyDescent="0.2">
      <c r="C54" s="40" t="s">
        <v>79</v>
      </c>
      <c r="D54">
        <f t="shared" ref="D54:J54" si="10">D45*D38</f>
        <v>0</v>
      </c>
      <c r="E54">
        <f t="shared" si="10"/>
        <v>14580</v>
      </c>
      <c r="F54">
        <f t="shared" si="10"/>
        <v>21930</v>
      </c>
      <c r="G54">
        <f t="shared" si="10"/>
        <v>31897.271290554716</v>
      </c>
      <c r="H54">
        <f t="shared" si="10"/>
        <v>28893.56803278689</v>
      </c>
      <c r="I54">
        <f t="shared" si="10"/>
        <v>29510.445710286887</v>
      </c>
      <c r="J54">
        <f t="shared" si="10"/>
        <v>31281.072452904089</v>
      </c>
    </row>
    <row r="55" spans="1:10" x14ac:dyDescent="0.2">
      <c r="C55" s="41" t="s">
        <v>80</v>
      </c>
      <c r="D55">
        <f t="shared" ref="D55:J55" si="11">D54*D33</f>
        <v>0</v>
      </c>
      <c r="E55">
        <f t="shared" si="11"/>
        <v>2916</v>
      </c>
      <c r="F55">
        <f t="shared" si="11"/>
        <v>4386</v>
      </c>
      <c r="G55">
        <f t="shared" si="11"/>
        <v>6379.4542581109436</v>
      </c>
      <c r="H55">
        <f t="shared" si="11"/>
        <v>5778.7136065573786</v>
      </c>
      <c r="I55">
        <f t="shared" si="11"/>
        <v>5902.089142057378</v>
      </c>
      <c r="J55">
        <f t="shared" si="11"/>
        <v>6256.2144905808182</v>
      </c>
    </row>
    <row r="56" spans="1:10" x14ac:dyDescent="0.2">
      <c r="C56" s="42" t="s">
        <v>81</v>
      </c>
      <c r="D56">
        <f t="shared" ref="D56:H56" si="12">E45-D45</f>
        <v>162000</v>
      </c>
      <c r="E56">
        <f t="shared" si="12"/>
        <v>96000</v>
      </c>
      <c r="F56">
        <f t="shared" si="12"/>
        <v>140715.89113193395</v>
      </c>
      <c r="G56">
        <f t="shared" si="12"/>
        <v>14049.366479307297</v>
      </c>
      <c r="H56">
        <f t="shared" si="12"/>
        <v>8812.5382499999832</v>
      </c>
      <c r="I56">
        <f>J45-I45</f>
        <v>25294.667751674308</v>
      </c>
      <c r="J56">
        <f>K45-J45</f>
        <v>26812.347816774971</v>
      </c>
    </row>
    <row r="57" spans="1:10" x14ac:dyDescent="0.2">
      <c r="C57" s="39" t="s">
        <v>33</v>
      </c>
      <c r="D57" s="28">
        <f t="shared" ref="D57:I57" si="13">D53-D54+D55+D56</f>
        <v>184500</v>
      </c>
      <c r="E57" s="28">
        <f t="shared" si="13"/>
        <v>131536</v>
      </c>
      <c r="F57" s="28">
        <f t="shared" si="13"/>
        <v>187671.89113193395</v>
      </c>
      <c r="G57" s="28">
        <f t="shared" si="13"/>
        <v>67694.54944686353</v>
      </c>
      <c r="H57" s="28">
        <f t="shared" si="13"/>
        <v>73823.066323770472</v>
      </c>
      <c r="I57" s="28">
        <f t="shared" si="13"/>
        <v>37379.897899696567</v>
      </c>
      <c r="J57" s="28">
        <f>J53-J54+J55+J56</f>
        <v>39622.691773678562</v>
      </c>
    </row>
    <row r="58" spans="1:10" x14ac:dyDescent="0.2">
      <c r="C58" s="40"/>
    </row>
    <row r="59" spans="1:10" x14ac:dyDescent="0.2">
      <c r="C59" s="42"/>
    </row>
    <row r="60" spans="1:10" x14ac:dyDescent="0.2">
      <c r="C60" s="41"/>
    </row>
    <row r="61" spans="1:10" x14ac:dyDescent="0.2">
      <c r="C61" s="36"/>
    </row>
    <row r="62" spans="1:10" x14ac:dyDescent="0.2">
      <c r="A62">
        <v>1</v>
      </c>
      <c r="B62" s="36" t="s">
        <v>82</v>
      </c>
      <c r="C62" s="36" t="s">
        <v>82</v>
      </c>
      <c r="D62" s="28">
        <f>D53+D55</f>
        <v>22500</v>
      </c>
      <c r="E62" s="28">
        <f t="shared" ref="E62:I62" si="14">E53+E55</f>
        <v>50116</v>
      </c>
      <c r="F62" s="28">
        <f t="shared" si="14"/>
        <v>68886</v>
      </c>
      <c r="G62" s="28">
        <f t="shared" si="14"/>
        <v>85542.454258110942</v>
      </c>
      <c r="H62" s="28">
        <f t="shared" si="14"/>
        <v>93904.096106557365</v>
      </c>
      <c r="I62" s="28">
        <f t="shared" si="14"/>
        <v>41595.675858309143</v>
      </c>
      <c r="J62" s="28">
        <f>J53+J55</f>
        <v>44091.41640980768</v>
      </c>
    </row>
    <row r="63" spans="1:10" x14ac:dyDescent="0.2">
      <c r="C63" s="36" t="s">
        <v>24</v>
      </c>
      <c r="D63" s="18">
        <f>D40</f>
        <v>0.14800000000000002</v>
      </c>
      <c r="E63" s="18">
        <f t="shared" ref="E63:J63" si="15">E40</f>
        <v>0.12271652321038887</v>
      </c>
      <c r="F63" s="18">
        <f t="shared" si="15"/>
        <v>0.11123215763338062</v>
      </c>
      <c r="G63" s="18">
        <f t="shared" si="15"/>
        <v>9.9599999999999994E-2</v>
      </c>
      <c r="H63" s="18">
        <f t="shared" si="15"/>
        <v>8.9599999999999999E-2</v>
      </c>
      <c r="I63" s="18">
        <f t="shared" si="15"/>
        <v>8.9599999999999999E-2</v>
      </c>
      <c r="J63" s="18">
        <f t="shared" si="15"/>
        <v>8.9599999999999999E-2</v>
      </c>
    </row>
    <row r="64" spans="1:10" x14ac:dyDescent="0.2">
      <c r="C64" s="43" t="s">
        <v>83</v>
      </c>
      <c r="D64">
        <f>(D62+E64)/(1+D63)</f>
        <v>1034531.2412345068</v>
      </c>
      <c r="E64">
        <f>(E62+F64)/(1+E63)</f>
        <v>1165141.8649372139</v>
      </c>
      <c r="F64">
        <f>(F62+G64)/(1+F63)</f>
        <v>1258008.0236491773</v>
      </c>
      <c r="G64">
        <f>(G62+H64)/(1+G63)</f>
        <v>1329052.97043978</v>
      </c>
      <c r="H64">
        <f>(H62+I64)/(1+H63)</f>
        <v>1375884.1920374711</v>
      </c>
      <c r="I64">
        <f>I62/(I63-J30)</f>
        <v>1405259.319537471</v>
      </c>
      <c r="J64">
        <f>J62/(J63-J30)</f>
        <v>1489574.8787097188</v>
      </c>
    </row>
    <row r="65" spans="1:10 16384:16384" x14ac:dyDescent="0.2">
      <c r="C65" s="36"/>
    </row>
    <row r="66" spans="1:10 16384:16384" x14ac:dyDescent="0.2">
      <c r="A66">
        <v>2</v>
      </c>
      <c r="B66" s="36" t="s">
        <v>28</v>
      </c>
      <c r="C66" s="36" t="s">
        <v>28</v>
      </c>
      <c r="D66" s="28">
        <f>D53</f>
        <v>22500</v>
      </c>
      <c r="E66" s="28">
        <f>E53</f>
        <v>47200</v>
      </c>
      <c r="F66" s="28">
        <f>F53</f>
        <v>64500</v>
      </c>
      <c r="G66" s="28">
        <f>G53</f>
        <v>79163</v>
      </c>
      <c r="H66" s="28">
        <f>H53</f>
        <v>88125.382499999992</v>
      </c>
      <c r="I66" s="28">
        <f>I53</f>
        <v>35693.586716251768</v>
      </c>
      <c r="J66" s="28">
        <f>J53</f>
        <v>37835.201919226864</v>
      </c>
    </row>
    <row r="67" spans="1:10 16384:16384" x14ac:dyDescent="0.2">
      <c r="C67" s="36" t="s">
        <v>69</v>
      </c>
      <c r="D67" s="18">
        <f>D41</f>
        <v>0.14800000000000002</v>
      </c>
      <c r="E67" s="18">
        <f>E41</f>
        <v>0.12021382367846779</v>
      </c>
      <c r="F67" s="18">
        <f>F41</f>
        <v>0.10774569338391003</v>
      </c>
      <c r="G67" s="18">
        <f>G41</f>
        <v>9.4799999999999995E-2</v>
      </c>
      <c r="H67" s="18">
        <f>H41</f>
        <v>8.5400000000000004E-2</v>
      </c>
      <c r="I67" s="18">
        <f>I41</f>
        <v>8.5400000000000004E-2</v>
      </c>
      <c r="J67" s="18">
        <f>J41</f>
        <v>8.5400000000000004E-2</v>
      </c>
      <c r="XFD67" s="18">
        <f>XFD41</f>
        <v>0</v>
      </c>
    </row>
    <row r="68" spans="1:10 16384:16384" x14ac:dyDescent="0.2">
      <c r="C68" s="44" t="s">
        <v>70</v>
      </c>
      <c r="D68">
        <f>(D66+E68)/(1+D67)</f>
        <v>1034531.2412345064</v>
      </c>
      <c r="E68">
        <f>(E66+F68)/(1+E67)</f>
        <v>1165141.8649372135</v>
      </c>
      <c r="F68">
        <f>(F66+G68)/(1+F67)</f>
        <v>1258008.0236491768</v>
      </c>
      <c r="G68">
        <f>(G66+H68)/(1+G67)</f>
        <v>1329052.9704397798</v>
      </c>
      <c r="H68">
        <f>(H66+I68)/(1+H67)</f>
        <v>1375884.1920374709</v>
      </c>
      <c r="I68">
        <f>I66/(I67-$J$30)</f>
        <v>1405259.3195374708</v>
      </c>
      <c r="J68">
        <f>J66/(J67-$J$30)</f>
        <v>1489574.8787097186</v>
      </c>
    </row>
    <row r="69" spans="1:10 16384:16384" x14ac:dyDescent="0.2">
      <c r="C69" s="36"/>
    </row>
    <row r="70" spans="1:10 16384:16384" x14ac:dyDescent="0.2">
      <c r="A70">
        <v>3</v>
      </c>
      <c r="B70" s="36" t="s">
        <v>33</v>
      </c>
      <c r="C70" s="36" t="s">
        <v>33</v>
      </c>
      <c r="D70" s="28">
        <f>D57</f>
        <v>184500</v>
      </c>
      <c r="E70" s="28">
        <f>E57</f>
        <v>131536</v>
      </c>
      <c r="F70" s="28">
        <f>F57</f>
        <v>187671.89113193395</v>
      </c>
      <c r="G70" s="28">
        <f>G57</f>
        <v>67694.54944686353</v>
      </c>
      <c r="H70" s="28">
        <f>H57</f>
        <v>73823.066323770472</v>
      </c>
      <c r="I70" s="28">
        <f>I57</f>
        <v>37379.897899696567</v>
      </c>
      <c r="J70" s="28">
        <f>J57</f>
        <v>39622.691773678562</v>
      </c>
    </row>
    <row r="71" spans="1:10 16384:16384" x14ac:dyDescent="0.2">
      <c r="C71" s="36" t="s">
        <v>84</v>
      </c>
      <c r="D71" s="18">
        <f>D39</f>
        <v>0.14800000000000002</v>
      </c>
      <c r="E71" s="18">
        <f>E39</f>
        <v>0.128</v>
      </c>
      <c r="F71" s="18">
        <f>F39</f>
        <v>0.11800000000000001</v>
      </c>
      <c r="G71" s="18">
        <f>G39</f>
        <v>0.108</v>
      </c>
      <c r="H71" s="18">
        <f>H39</f>
        <v>9.8000000000000004E-2</v>
      </c>
      <c r="I71" s="18">
        <f>I39</f>
        <v>9.8000000000000004E-2</v>
      </c>
      <c r="J71" s="18">
        <f>J39</f>
        <v>9.8000000000000004E-2</v>
      </c>
    </row>
    <row r="72" spans="1:10 16384:16384" x14ac:dyDescent="0.2">
      <c r="C72" s="36" t="s">
        <v>71</v>
      </c>
      <c r="D72">
        <f>(D70+E72)/(1+D71)</f>
        <v>1034531.2412345039</v>
      </c>
      <c r="E72">
        <f>(E70+F72)/(1+E71)</f>
        <v>1003141.8649372107</v>
      </c>
      <c r="F72">
        <f>(F70+G72)/(1+F71)</f>
        <v>1000008.0236491737</v>
      </c>
      <c r="G72">
        <f>(G70+H72)/(1+G71)</f>
        <v>930337.0793078423</v>
      </c>
      <c r="H72">
        <f>(H70+I72)/(1+H71)</f>
        <v>963118.93442622572</v>
      </c>
      <c r="I72">
        <f>I70/(I71-$J$30)</f>
        <v>983681.52367622533</v>
      </c>
      <c r="J72">
        <f>J70/(J71-$J$30)</f>
        <v>1042702.415096804</v>
      </c>
    </row>
    <row r="73" spans="1:10 16384:16384" x14ac:dyDescent="0.2">
      <c r="C73" s="36" t="s">
        <v>85</v>
      </c>
      <c r="D73">
        <f>D45</f>
        <v>0</v>
      </c>
      <c r="E73">
        <f>E45</f>
        <v>162000</v>
      </c>
      <c r="F73">
        <f>F45</f>
        <v>258000</v>
      </c>
      <c r="G73">
        <f>G45</f>
        <v>398715.89113193395</v>
      </c>
      <c r="H73">
        <f>H45</f>
        <v>412765.25761124125</v>
      </c>
      <c r="I73">
        <f>I45</f>
        <v>421577.79586124123</v>
      </c>
      <c r="J73">
        <f>J45</f>
        <v>446872.46361291554</v>
      </c>
    </row>
    <row r="74" spans="1:10 16384:16384" x14ac:dyDescent="0.2">
      <c r="C74" s="44" t="s">
        <v>70</v>
      </c>
      <c r="D74">
        <f>D72+D73</f>
        <v>1034531.2412345039</v>
      </c>
      <c r="E74">
        <f>E72+E73</f>
        <v>1165141.8649372107</v>
      </c>
      <c r="F74">
        <f>F72+F73</f>
        <v>1258008.0236491738</v>
      </c>
      <c r="G74">
        <f>G72+G73</f>
        <v>1329052.9704397763</v>
      </c>
      <c r="H74">
        <f>H72+H73</f>
        <v>1375884.1920374669</v>
      </c>
      <c r="I74">
        <f>I72+I73</f>
        <v>1405259.3195374666</v>
      </c>
      <c r="J74">
        <f>J72+J73</f>
        <v>1489574.8787097195</v>
      </c>
    </row>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sheetData>
  <phoneticPr fontId="6"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0FA14-8569-4F9F-90DD-FEC3F1582F75}">
  <sheetPr>
    <tabColor rgb="FFFFFF00"/>
  </sheetPr>
  <dimension ref="B1:F61"/>
  <sheetViews>
    <sheetView zoomScale="44" zoomScaleNormal="90" workbookViewId="0">
      <selection activeCell="AC47" sqref="AC47"/>
    </sheetView>
  </sheetViews>
  <sheetFormatPr baseColWidth="10" defaultColWidth="8.83203125" defaultRowHeight="16" x14ac:dyDescent="0.2"/>
  <cols>
    <col min="2" max="2" width="29.6640625" bestFit="1" customWidth="1"/>
    <col min="3" max="3" width="23.5" bestFit="1" customWidth="1"/>
    <col min="4" max="4" width="10" bestFit="1" customWidth="1"/>
    <col min="5" max="9" width="11.5" bestFit="1" customWidth="1"/>
    <col min="10" max="10" width="7" bestFit="1" customWidth="1"/>
  </cols>
  <sheetData>
    <row r="1" spans="2:3" ht="17" thickBot="1" x14ac:dyDescent="0.25"/>
    <row r="2" spans="2:3" ht="18" x14ac:dyDescent="0.2">
      <c r="B2" s="8" t="str">
        <f>+Admin!C12</f>
        <v>Date</v>
      </c>
      <c r="C2" s="23">
        <f>+Admin!D12</f>
        <v>45280</v>
      </c>
    </row>
    <row r="3" spans="2:3" ht="18" x14ac:dyDescent="0.2">
      <c r="B3" s="9" t="str">
        <f>+Admin!C13</f>
        <v>Student name</v>
      </c>
      <c r="C3" s="10" t="str">
        <f>+Admin!D13</f>
        <v>Sam Sample</v>
      </c>
    </row>
    <row r="4" spans="2:3" ht="18" x14ac:dyDescent="0.2">
      <c r="B4" s="9" t="str">
        <f>+Admin!C14</f>
        <v>Neptun code</v>
      </c>
      <c r="C4" s="10" t="str">
        <f>+Admin!D14</f>
        <v>ABCD1234</v>
      </c>
    </row>
    <row r="5" spans="2:3" ht="18" x14ac:dyDescent="0.2">
      <c r="B5" s="9"/>
      <c r="C5" s="11"/>
    </row>
    <row r="6" spans="2:3" ht="18" x14ac:dyDescent="0.2">
      <c r="B6" s="9" t="str">
        <f>+Admin!C16</f>
        <v>Study program</v>
      </c>
      <c r="C6" s="11" t="str">
        <f>+Admin!D16</f>
        <v>Master in Finance</v>
      </c>
    </row>
    <row r="7" spans="2:3" ht="19" thickBot="1" x14ac:dyDescent="0.25">
      <c r="B7" s="12" t="str">
        <f>+Admin!C17</f>
        <v>Instructor</v>
      </c>
      <c r="C7" s="13" t="str">
        <f>+Admin!D17</f>
        <v>Péter Juhász, PhD, CFA</v>
      </c>
    </row>
    <row r="8" spans="2:3" ht="17" thickBot="1" x14ac:dyDescent="0.25"/>
    <row r="9" spans="2:3" ht="21" thickBot="1" x14ac:dyDescent="0.25">
      <c r="B9" s="14" t="s">
        <v>16</v>
      </c>
      <c r="C9" s="15"/>
    </row>
    <row r="26" spans="2:3" x14ac:dyDescent="0.2">
      <c r="B26" t="s">
        <v>44</v>
      </c>
      <c r="C26" s="35">
        <f>C53/C60</f>
        <v>22.222222222222221</v>
      </c>
    </row>
    <row r="27" spans="2:3" x14ac:dyDescent="0.2">
      <c r="B27" t="s">
        <v>45</v>
      </c>
      <c r="C27" s="35">
        <f>(C58-C44)/C35</f>
        <v>14.6875</v>
      </c>
    </row>
    <row r="28" spans="2:3" x14ac:dyDescent="0.2">
      <c r="B28" t="s">
        <v>46</v>
      </c>
      <c r="C28" s="35">
        <f>C56/C46</f>
        <v>3.5087719298245612</v>
      </c>
    </row>
    <row r="29" spans="2:3" x14ac:dyDescent="0.2">
      <c r="B29" t="s">
        <v>47</v>
      </c>
      <c r="C29" s="35">
        <f>(C58-C44)/C61</f>
        <v>2.1559633027522938</v>
      </c>
    </row>
    <row r="30" spans="2:3" x14ac:dyDescent="0.2">
      <c r="B30" t="s">
        <v>48</v>
      </c>
      <c r="C30" s="35">
        <f>(C58-C44)/C33</f>
        <v>1.1190476190476191</v>
      </c>
    </row>
    <row r="32" spans="2:3" x14ac:dyDescent="0.2">
      <c r="B32" t="s">
        <v>49</v>
      </c>
    </row>
    <row r="33" spans="2:6" x14ac:dyDescent="0.2">
      <c r="B33" t="s">
        <v>50</v>
      </c>
      <c r="C33" s="28">
        <v>10500000</v>
      </c>
    </row>
    <row r="34" spans="2:6" x14ac:dyDescent="0.2">
      <c r="B34" t="s">
        <v>51</v>
      </c>
      <c r="C34" s="28">
        <v>700000</v>
      </c>
    </row>
    <row r="35" spans="2:6" x14ac:dyDescent="0.2">
      <c r="B35" t="s">
        <v>52</v>
      </c>
      <c r="C35" s="28">
        <v>800000</v>
      </c>
      <c r="F35" s="28"/>
    </row>
    <row r="36" spans="2:6" x14ac:dyDescent="0.2">
      <c r="B36" t="s">
        <v>53</v>
      </c>
      <c r="C36" s="28">
        <v>700000</v>
      </c>
      <c r="F36" s="28"/>
    </row>
    <row r="37" spans="2:6" x14ac:dyDescent="0.2">
      <c r="B37" t="s">
        <v>54</v>
      </c>
      <c r="C37" s="28">
        <v>250000</v>
      </c>
      <c r="F37" s="28"/>
    </row>
    <row r="38" spans="2:6" x14ac:dyDescent="0.2">
      <c r="B38" t="s">
        <v>55</v>
      </c>
      <c r="C38" s="28">
        <f>+C36-C37</f>
        <v>450000</v>
      </c>
      <c r="D38" s="28"/>
    </row>
    <row r="40" spans="2:6" x14ac:dyDescent="0.2">
      <c r="B40" t="s">
        <v>56</v>
      </c>
    </row>
    <row r="41" spans="2:6" x14ac:dyDescent="0.2">
      <c r="B41" t="s">
        <v>57</v>
      </c>
      <c r="C41" s="28">
        <v>4000000</v>
      </c>
    </row>
    <row r="42" spans="2:6" x14ac:dyDescent="0.2">
      <c r="B42" t="s">
        <v>58</v>
      </c>
      <c r="C42" s="28">
        <v>500000</v>
      </c>
    </row>
    <row r="43" spans="2:6" x14ac:dyDescent="0.2">
      <c r="B43" t="s">
        <v>59</v>
      </c>
      <c r="C43" s="28">
        <v>700000</v>
      </c>
    </row>
    <row r="44" spans="2:6" x14ac:dyDescent="0.2">
      <c r="B44" t="s">
        <v>60</v>
      </c>
      <c r="C44" s="28">
        <v>250000</v>
      </c>
    </row>
    <row r="45" spans="2:6" x14ac:dyDescent="0.2">
      <c r="E45" s="28"/>
    </row>
    <row r="46" spans="2:6" x14ac:dyDescent="0.2">
      <c r="B46" t="s">
        <v>61</v>
      </c>
      <c r="C46" s="28">
        <f>SUM(C41:C44)-C49-C48-C47</f>
        <v>2850000</v>
      </c>
      <c r="E46" s="28"/>
    </row>
    <row r="47" spans="2:6" x14ac:dyDescent="0.2">
      <c r="B47" t="s">
        <v>62</v>
      </c>
      <c r="C47" s="28">
        <v>1100000</v>
      </c>
    </row>
    <row r="48" spans="2:6" x14ac:dyDescent="0.2">
      <c r="B48" t="s">
        <v>63</v>
      </c>
      <c r="C48" s="28">
        <v>1000000</v>
      </c>
    </row>
    <row r="49" spans="2:3" x14ac:dyDescent="0.2">
      <c r="B49" t="s">
        <v>64</v>
      </c>
      <c r="C49" s="28">
        <v>500000</v>
      </c>
    </row>
    <row r="51" spans="2:3" x14ac:dyDescent="0.2">
      <c r="B51" t="s">
        <v>65</v>
      </c>
      <c r="C51" s="28">
        <v>9</v>
      </c>
    </row>
    <row r="52" spans="2:3" x14ac:dyDescent="0.2">
      <c r="B52" t="s">
        <v>66</v>
      </c>
      <c r="C52" s="28">
        <v>100000</v>
      </c>
    </row>
    <row r="53" spans="2:3" x14ac:dyDescent="0.2">
      <c r="B53" t="s">
        <v>67</v>
      </c>
      <c r="C53" s="28">
        <v>5</v>
      </c>
    </row>
    <row r="54" spans="2:3" x14ac:dyDescent="0.2">
      <c r="B54" t="s">
        <v>68</v>
      </c>
      <c r="C54" s="28">
        <v>2000000</v>
      </c>
    </row>
    <row r="56" spans="2:3" x14ac:dyDescent="0.2">
      <c r="B56" t="s">
        <v>86</v>
      </c>
      <c r="C56">
        <f>C53*C54</f>
        <v>10000000</v>
      </c>
    </row>
    <row r="57" spans="2:3" x14ac:dyDescent="0.2">
      <c r="B57" t="s">
        <v>87</v>
      </c>
      <c r="C57">
        <f>C47+C51*C52</f>
        <v>2000000</v>
      </c>
    </row>
    <row r="58" spans="2:3" x14ac:dyDescent="0.2">
      <c r="B58" t="s">
        <v>88</v>
      </c>
      <c r="C58">
        <f>C56+C57</f>
        <v>12000000</v>
      </c>
    </row>
    <row r="60" spans="2:3" x14ac:dyDescent="0.2">
      <c r="B60" t="s">
        <v>89</v>
      </c>
      <c r="C60">
        <f>C38/C54</f>
        <v>0.22500000000000001</v>
      </c>
    </row>
    <row r="61" spans="2:3" x14ac:dyDescent="0.2">
      <c r="B61" t="s">
        <v>90</v>
      </c>
      <c r="C61" s="28">
        <f>SUM(C46:C49)</f>
        <v>5450000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C83F8-C1ED-4618-BEF3-F3B796AB9621}">
  <sheetPr codeName="Munka6">
    <tabColor rgb="FFFFFF00"/>
  </sheetPr>
  <dimension ref="B1:N69"/>
  <sheetViews>
    <sheetView zoomScaleNormal="80" workbookViewId="0">
      <selection activeCell="F68" sqref="F68"/>
    </sheetView>
  </sheetViews>
  <sheetFormatPr baseColWidth="10" defaultColWidth="8.83203125" defaultRowHeight="16" x14ac:dyDescent="0.2"/>
  <cols>
    <col min="2" max="2" width="35.1640625" bestFit="1" customWidth="1"/>
    <col min="3" max="3" width="24.1640625" bestFit="1" customWidth="1"/>
    <col min="4" max="4" width="9" bestFit="1" customWidth="1"/>
    <col min="5" max="5" width="17.33203125" customWidth="1"/>
    <col min="6" max="6" width="10.83203125" bestFit="1" customWidth="1"/>
    <col min="7" max="7" width="15.6640625" bestFit="1" customWidth="1"/>
    <col min="8" max="8" width="12.1640625" bestFit="1" customWidth="1"/>
    <col min="9" max="9" width="7" bestFit="1" customWidth="1"/>
    <col min="10" max="10" width="14.5" bestFit="1" customWidth="1"/>
    <col min="12" max="12" width="19.33203125" bestFit="1" customWidth="1"/>
  </cols>
  <sheetData>
    <row r="1" spans="2:3" ht="17" thickBot="1" x14ac:dyDescent="0.25"/>
    <row r="2" spans="2:3" ht="18" x14ac:dyDescent="0.2">
      <c r="B2" s="8" t="str">
        <f>+Admin!C12</f>
        <v>Date</v>
      </c>
      <c r="C2" s="23">
        <f>+Admin!D12</f>
        <v>45280</v>
      </c>
    </row>
    <row r="3" spans="2:3" ht="18" x14ac:dyDescent="0.2">
      <c r="B3" s="9" t="str">
        <f>+Admin!C13</f>
        <v>Student name</v>
      </c>
      <c r="C3" s="10" t="str">
        <f>+Admin!D13</f>
        <v>Sam Sample</v>
      </c>
    </row>
    <row r="4" spans="2:3" ht="18" x14ac:dyDescent="0.2">
      <c r="B4" s="9" t="str">
        <f>+Admin!C14</f>
        <v>Neptun code</v>
      </c>
      <c r="C4" s="10" t="str">
        <f>+Admin!D14</f>
        <v>ABCD1234</v>
      </c>
    </row>
    <row r="5" spans="2:3" ht="18" x14ac:dyDescent="0.2">
      <c r="B5" s="9"/>
      <c r="C5" s="11"/>
    </row>
    <row r="6" spans="2:3" ht="18" x14ac:dyDescent="0.2">
      <c r="B6" s="9" t="str">
        <f>+Admin!C16</f>
        <v>Study program</v>
      </c>
      <c r="C6" s="11" t="str">
        <f>+Admin!D16</f>
        <v>Master in Finance</v>
      </c>
    </row>
    <row r="7" spans="2:3" ht="19" thickBot="1" x14ac:dyDescent="0.25">
      <c r="B7" s="12" t="str">
        <f>+Admin!C17</f>
        <v>Instructor</v>
      </c>
      <c r="C7" s="13" t="str">
        <f>+Admin!D17</f>
        <v>Péter Juhász, PhD, CFA</v>
      </c>
    </row>
    <row r="8" spans="2:3" ht="17" thickBot="1" x14ac:dyDescent="0.25"/>
    <row r="9" spans="2:3" ht="21" thickBot="1" x14ac:dyDescent="0.25">
      <c r="B9" s="14" t="s">
        <v>16</v>
      </c>
      <c r="C9" s="15"/>
    </row>
    <row r="21" spans="3:3" x14ac:dyDescent="0.2">
      <c r="C21" s="25"/>
    </row>
    <row r="22" spans="3:3" x14ac:dyDescent="0.2">
      <c r="C22" s="27"/>
    </row>
    <row r="23" spans="3:3" x14ac:dyDescent="0.2">
      <c r="C23" s="27"/>
    </row>
    <row r="24" spans="3:3" x14ac:dyDescent="0.2">
      <c r="C24" s="26"/>
    </row>
    <row r="25" spans="3:3" x14ac:dyDescent="0.2">
      <c r="C25" s="26"/>
    </row>
    <row r="35" spans="3:4" x14ac:dyDescent="0.2">
      <c r="C35" t="s">
        <v>91</v>
      </c>
    </row>
    <row r="37" spans="3:4" x14ac:dyDescent="0.2">
      <c r="C37" t="s">
        <v>92</v>
      </c>
      <c r="D37" s="47">
        <v>0.2</v>
      </c>
    </row>
    <row r="41" spans="3:4" x14ac:dyDescent="0.2">
      <c r="C41" t="s">
        <v>93</v>
      </c>
      <c r="D41" s="47">
        <v>0.05</v>
      </c>
    </row>
    <row r="51" spans="2:13" x14ac:dyDescent="0.2">
      <c r="C51" t="s">
        <v>94</v>
      </c>
    </row>
    <row r="52" spans="2:13" x14ac:dyDescent="0.2">
      <c r="G52" s="48" t="s">
        <v>95</v>
      </c>
      <c r="H52" s="48">
        <f>M56/(1+D69)^5</f>
        <v>1319.21898597007</v>
      </c>
    </row>
    <row r="53" spans="2:13" x14ac:dyDescent="0.2">
      <c r="D53" t="s">
        <v>96</v>
      </c>
      <c r="H53" t="s">
        <v>97</v>
      </c>
      <c r="M53" t="s">
        <v>133</v>
      </c>
    </row>
    <row r="54" spans="2:13" x14ac:dyDescent="0.2">
      <c r="C54" s="49" t="s">
        <v>61</v>
      </c>
      <c r="D54" s="49">
        <v>200</v>
      </c>
      <c r="G54" s="49" t="s">
        <v>98</v>
      </c>
      <c r="H54" s="49">
        <v>500</v>
      </c>
      <c r="L54" s="49" t="s">
        <v>99</v>
      </c>
      <c r="M54" s="49">
        <v>6000</v>
      </c>
    </row>
    <row r="55" spans="2:13" x14ac:dyDescent="0.2">
      <c r="C55" t="s">
        <v>100</v>
      </c>
      <c r="D55">
        <f>D58-D56</f>
        <v>146.95753774198863</v>
      </c>
      <c r="G55" s="50" t="s">
        <v>101</v>
      </c>
      <c r="H55" s="50">
        <f>H52-D57</f>
        <v>819.21898597006998</v>
      </c>
      <c r="L55" t="s">
        <v>102</v>
      </c>
      <c r="M55">
        <v>0</v>
      </c>
    </row>
    <row r="56" spans="2:13" x14ac:dyDescent="0.2">
      <c r="C56" s="49" t="s">
        <v>103</v>
      </c>
      <c r="D56" s="49">
        <v>300</v>
      </c>
      <c r="G56" s="49" t="s">
        <v>104</v>
      </c>
      <c r="H56" s="49">
        <v>0</v>
      </c>
      <c r="L56" s="48" t="s">
        <v>89</v>
      </c>
      <c r="M56" s="48">
        <f>M54-M55</f>
        <v>6000</v>
      </c>
    </row>
    <row r="57" spans="2:13" x14ac:dyDescent="0.2">
      <c r="C57" t="s">
        <v>105</v>
      </c>
      <c r="D57">
        <f>D54+D56</f>
        <v>500</v>
      </c>
      <c r="G57" s="51" t="s">
        <v>106</v>
      </c>
      <c r="H57" s="52">
        <f>H54/H52</f>
        <v>0.37901213166086428</v>
      </c>
      <c r="I57" t="s">
        <v>107</v>
      </c>
    </row>
    <row r="58" spans="2:13" x14ac:dyDescent="0.2">
      <c r="C58" s="49" t="s">
        <v>108</v>
      </c>
      <c r="D58">
        <f>H55/(1+D69)^2</f>
        <v>446.95753774198863</v>
      </c>
      <c r="G58" t="s">
        <v>109</v>
      </c>
      <c r="H58" s="53">
        <f>1-H57</f>
        <v>0.62098786833913566</v>
      </c>
      <c r="L58" s="51" t="s">
        <v>106</v>
      </c>
      <c r="M58" s="52">
        <f>H57</f>
        <v>0.37901213166086428</v>
      </c>
    </row>
    <row r="59" spans="2:13" x14ac:dyDescent="0.2">
      <c r="E59" s="54">
        <v>0.25</v>
      </c>
      <c r="G59" s="51" t="s">
        <v>110</v>
      </c>
      <c r="H59" s="52">
        <f>H58*D60</f>
        <v>0.41681000371424431</v>
      </c>
      <c r="I59" t="s">
        <v>111</v>
      </c>
      <c r="L59" s="51" t="s">
        <v>110</v>
      </c>
      <c r="M59" s="52">
        <f t="shared" ref="M59:M60" si="0">H59</f>
        <v>0.41681000371424431</v>
      </c>
    </row>
    <row r="60" spans="2:13" x14ac:dyDescent="0.2">
      <c r="C60" s="55" t="s">
        <v>112</v>
      </c>
      <c r="D60" s="56">
        <v>0.6712047448350712</v>
      </c>
      <c r="G60" s="51" t="s">
        <v>113</v>
      </c>
      <c r="H60" s="52">
        <f>D63*H58</f>
        <v>0.20417786462489132</v>
      </c>
      <c r="I60" t="s">
        <v>114</v>
      </c>
      <c r="L60" s="51" t="s">
        <v>113</v>
      </c>
      <c r="M60" s="52">
        <f t="shared" si="0"/>
        <v>0.20417786462489132</v>
      </c>
    </row>
    <row r="61" spans="2:13" x14ac:dyDescent="0.2">
      <c r="C61" t="s">
        <v>115</v>
      </c>
      <c r="D61" s="47">
        <f>D56/D58</f>
        <v>0.67120469992650278</v>
      </c>
    </row>
    <row r="62" spans="2:13" x14ac:dyDescent="0.2">
      <c r="C62" t="s">
        <v>116</v>
      </c>
      <c r="D62" s="47">
        <f>D61-D60</f>
        <v>-4.4908568419543826E-8</v>
      </c>
      <c r="E62" s="54">
        <v>0.75</v>
      </c>
      <c r="G62" s="49"/>
      <c r="H62" s="54"/>
      <c r="L62" t="s">
        <v>117</v>
      </c>
      <c r="M62" s="57">
        <f>H63*(1+D41)^5</f>
        <v>893.39709375000007</v>
      </c>
    </row>
    <row r="63" spans="2:13" x14ac:dyDescent="0.2">
      <c r="B63" s="58" t="s">
        <v>118</v>
      </c>
      <c r="C63" s="51" t="s">
        <v>113</v>
      </c>
      <c r="D63" s="59">
        <f>1-D60</f>
        <v>0.3287952551649288</v>
      </c>
      <c r="E63" t="s">
        <v>119</v>
      </c>
      <c r="G63" t="s">
        <v>120</v>
      </c>
      <c r="H63" s="57">
        <v>700</v>
      </c>
      <c r="L63" t="s">
        <v>121</v>
      </c>
      <c r="M63" s="57">
        <f>H64*(1+D41)^5</f>
        <v>599.652368346863</v>
      </c>
    </row>
    <row r="64" spans="2:13" x14ac:dyDescent="0.2">
      <c r="G64" t="s">
        <v>122</v>
      </c>
      <c r="H64" s="57">
        <f>H63*D60</f>
        <v>469.84332138454982</v>
      </c>
      <c r="L64" t="s">
        <v>121</v>
      </c>
      <c r="M64" s="57">
        <f>M62*D60</f>
        <v>599.652368346863</v>
      </c>
    </row>
    <row r="65" spans="2:14" x14ac:dyDescent="0.2">
      <c r="C65" t="s">
        <v>123</v>
      </c>
      <c r="D65">
        <v>7</v>
      </c>
    </row>
    <row r="66" spans="2:14" x14ac:dyDescent="0.2">
      <c r="C66" t="s">
        <v>124</v>
      </c>
      <c r="D66" s="47">
        <v>0.75</v>
      </c>
      <c r="L66" t="s">
        <v>125</v>
      </c>
      <c r="M66">
        <f>M56*M60</f>
        <v>1225.067187749348</v>
      </c>
      <c r="N66" t="s">
        <v>126</v>
      </c>
    </row>
    <row r="67" spans="2:14" x14ac:dyDescent="0.2">
      <c r="C67" t="s">
        <v>127</v>
      </c>
      <c r="D67" s="60">
        <f>(M63/D56)^(1/7)-1</f>
        <v>0.10399810610193883</v>
      </c>
      <c r="L67" t="s">
        <v>128</v>
      </c>
      <c r="M67" s="47">
        <f>(M66/D55)^(1/7)-1</f>
        <v>0.35383850857979393</v>
      </c>
    </row>
    <row r="68" spans="2:14" x14ac:dyDescent="0.2">
      <c r="C68" t="s">
        <v>129</v>
      </c>
      <c r="D68" s="47">
        <v>0.25</v>
      </c>
    </row>
    <row r="69" spans="2:14" x14ac:dyDescent="0.2">
      <c r="B69" s="58" t="s">
        <v>130</v>
      </c>
      <c r="C69" t="s">
        <v>131</v>
      </c>
      <c r="D69">
        <f>(((1+D37)^D65-D66*(1+D67)^D65)/D68)^(1/D65)-1</f>
        <v>0.35383853499612306</v>
      </c>
      <c r="E69" t="s">
        <v>132</v>
      </c>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F7B94-CD1F-4364-9903-53CFB2227E96}">
  <sheetPr codeName="Munka1">
    <tabColor rgb="FFFFFF00"/>
  </sheetPr>
  <dimension ref="B1:K21"/>
  <sheetViews>
    <sheetView topLeftCell="A7" workbookViewId="0">
      <selection activeCell="D8" sqref="D8"/>
    </sheetView>
  </sheetViews>
  <sheetFormatPr baseColWidth="10" defaultColWidth="8.83203125" defaultRowHeight="16" x14ac:dyDescent="0.2"/>
  <cols>
    <col min="2" max="2" width="20" bestFit="1" customWidth="1"/>
    <col min="3" max="3" width="37.1640625" bestFit="1" customWidth="1"/>
  </cols>
  <sheetData>
    <row r="1" spans="2:3" ht="17" thickBot="1" x14ac:dyDescent="0.25"/>
    <row r="2" spans="2:3" ht="18" x14ac:dyDescent="0.2">
      <c r="B2" s="8" t="str">
        <f>+Admin!C12</f>
        <v>Date</v>
      </c>
      <c r="C2" s="23">
        <f>+Admin!D12</f>
        <v>45280</v>
      </c>
    </row>
    <row r="3" spans="2:3" ht="18" x14ac:dyDescent="0.2">
      <c r="B3" s="9" t="str">
        <f>+Admin!C13</f>
        <v>Student name</v>
      </c>
      <c r="C3" s="10" t="str">
        <f>+Admin!D13</f>
        <v>Sam Sample</v>
      </c>
    </row>
    <row r="4" spans="2:3" ht="18" x14ac:dyDescent="0.2">
      <c r="B4" s="9" t="str">
        <f>+Admin!C14</f>
        <v>Neptun code</v>
      </c>
      <c r="C4" s="10" t="str">
        <f>+Admin!D14</f>
        <v>ABCD1234</v>
      </c>
    </row>
    <row r="5" spans="2:3" ht="18" x14ac:dyDescent="0.2">
      <c r="B5" s="9"/>
      <c r="C5" s="11"/>
    </row>
    <row r="6" spans="2:3" ht="18" x14ac:dyDescent="0.2">
      <c r="B6" s="9" t="str">
        <f>+Admin!C16</f>
        <v>Study program</v>
      </c>
      <c r="C6" s="11" t="str">
        <f>+Admin!D16</f>
        <v>Master in Finance</v>
      </c>
    </row>
    <row r="7" spans="2:3" ht="19" thickBot="1" x14ac:dyDescent="0.25">
      <c r="B7" s="12" t="str">
        <f>+Admin!C17</f>
        <v>Instructor</v>
      </c>
      <c r="C7" s="13" t="str">
        <f>+Admin!D17</f>
        <v>Péter Juhász, PhD, CFA</v>
      </c>
    </row>
    <row r="8" spans="2:3" ht="17" thickBot="1" x14ac:dyDescent="0.25"/>
    <row r="9" spans="2:3" ht="21" thickBot="1" x14ac:dyDescent="0.25">
      <c r="B9" s="14" t="s">
        <v>16</v>
      </c>
      <c r="C9" s="15"/>
    </row>
    <row r="21" spans="11:11" ht="20" x14ac:dyDescent="0.2">
      <c r="K21" s="20"/>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24AA-CF15-465A-AA1F-31C1352C6464}">
  <sheetPr codeName="Munka4">
    <tabColor rgb="FFFFFF00"/>
  </sheetPr>
  <dimension ref="B1:P45"/>
  <sheetViews>
    <sheetView tabSelected="1" topLeftCell="A22" zoomScaleNormal="120" workbookViewId="0">
      <selection activeCell="C34" sqref="C34"/>
    </sheetView>
  </sheetViews>
  <sheetFormatPr baseColWidth="10" defaultColWidth="8.83203125" defaultRowHeight="16" x14ac:dyDescent="0.2"/>
  <cols>
    <col min="2" max="2" width="19.33203125" bestFit="1" customWidth="1"/>
    <col min="3" max="3" width="23.5" bestFit="1" customWidth="1"/>
    <col min="4" max="5" width="11.5" bestFit="1" customWidth="1"/>
    <col min="6" max="6" width="10.33203125" bestFit="1" customWidth="1"/>
    <col min="7" max="7" width="14" bestFit="1" customWidth="1"/>
    <col min="8" max="8" width="10" bestFit="1" customWidth="1"/>
  </cols>
  <sheetData>
    <row r="1" spans="2:3" ht="17" thickBot="1" x14ac:dyDescent="0.25"/>
    <row r="2" spans="2:3" ht="18" x14ac:dyDescent="0.2">
      <c r="B2" s="8" t="str">
        <f>+Admin!C12</f>
        <v>Date</v>
      </c>
      <c r="C2" s="23">
        <f>+Admin!D12</f>
        <v>45280</v>
      </c>
    </row>
    <row r="3" spans="2:3" ht="18" x14ac:dyDescent="0.2">
      <c r="B3" s="9" t="str">
        <f>+Admin!C13</f>
        <v>Student name</v>
      </c>
      <c r="C3" s="10" t="str">
        <f>+Admin!D13</f>
        <v>Sam Sample</v>
      </c>
    </row>
    <row r="4" spans="2:3" ht="18" x14ac:dyDescent="0.2">
      <c r="B4" s="9" t="str">
        <f>+Admin!C14</f>
        <v>Neptun code</v>
      </c>
      <c r="C4" s="10" t="str">
        <f>+Admin!D14</f>
        <v>ABCD1234</v>
      </c>
    </row>
    <row r="5" spans="2:3" ht="18" x14ac:dyDescent="0.2">
      <c r="B5" s="9"/>
      <c r="C5" s="11"/>
    </row>
    <row r="6" spans="2:3" ht="18" x14ac:dyDescent="0.2">
      <c r="B6" s="9" t="str">
        <f>+Admin!C16</f>
        <v>Study program</v>
      </c>
      <c r="C6" s="11" t="str">
        <f>+Admin!D16</f>
        <v>Master in Finance</v>
      </c>
    </row>
    <row r="7" spans="2:3" ht="19" thickBot="1" x14ac:dyDescent="0.25">
      <c r="B7" s="12" t="str">
        <f>+Admin!C17</f>
        <v>Instructor</v>
      </c>
      <c r="C7" s="13" t="str">
        <f>+Admin!D17</f>
        <v>Péter Juhász, PhD, CFA</v>
      </c>
    </row>
    <row r="8" spans="2:3" ht="17" thickBot="1" x14ac:dyDescent="0.25"/>
    <row r="9" spans="2:3" ht="21" thickBot="1" x14ac:dyDescent="0.25">
      <c r="B9" s="14" t="s">
        <v>16</v>
      </c>
      <c r="C9" s="15"/>
    </row>
    <row r="24" spans="2:11" x14ac:dyDescent="0.2">
      <c r="B24" s="34" t="s">
        <v>36</v>
      </c>
      <c r="C24" s="22">
        <v>2024</v>
      </c>
      <c r="D24" s="17">
        <f>+C24+1</f>
        <v>2025</v>
      </c>
      <c r="E24" s="17">
        <f t="shared" ref="E24:G24" si="0">+D24+1</f>
        <v>2026</v>
      </c>
      <c r="F24" s="17">
        <f t="shared" si="0"/>
        <v>2027</v>
      </c>
      <c r="G24" s="17">
        <f t="shared" si="0"/>
        <v>2028</v>
      </c>
      <c r="H24" s="17" t="s">
        <v>25</v>
      </c>
      <c r="I24" s="17" t="s">
        <v>26</v>
      </c>
    </row>
    <row r="25" spans="2:11" x14ac:dyDescent="0.2">
      <c r="B25" t="s">
        <v>17</v>
      </c>
      <c r="C25" s="28">
        <v>20000</v>
      </c>
    </row>
    <row r="26" spans="2:11" x14ac:dyDescent="0.2">
      <c r="B26" t="s">
        <v>39</v>
      </c>
      <c r="I26" s="18">
        <v>0.04</v>
      </c>
    </row>
    <row r="27" spans="2:11" x14ac:dyDescent="0.2">
      <c r="B27" t="s">
        <v>24</v>
      </c>
      <c r="C27" s="18">
        <v>0.09</v>
      </c>
      <c r="D27" s="18">
        <v>0.09</v>
      </c>
      <c r="E27" s="18">
        <v>0.09</v>
      </c>
      <c r="F27" s="18">
        <v>0.09</v>
      </c>
      <c r="G27" s="18">
        <v>0.09</v>
      </c>
      <c r="H27" s="18">
        <v>0.09</v>
      </c>
      <c r="I27" s="18">
        <v>0.09</v>
      </c>
    </row>
    <row r="28" spans="2:11" x14ac:dyDescent="0.2">
      <c r="B28" t="s">
        <v>19</v>
      </c>
      <c r="H28" s="18">
        <v>0.35</v>
      </c>
      <c r="I28" s="18">
        <v>0.35</v>
      </c>
    </row>
    <row r="29" spans="2:11" x14ac:dyDescent="0.2">
      <c r="B29" t="s">
        <v>4</v>
      </c>
      <c r="H29" s="18">
        <v>0.05</v>
      </c>
      <c r="I29" s="18">
        <v>0.05</v>
      </c>
    </row>
    <row r="30" spans="2:11" x14ac:dyDescent="0.2">
      <c r="B30" t="s">
        <v>2</v>
      </c>
      <c r="C30" s="18">
        <v>0.2</v>
      </c>
      <c r="D30" s="18">
        <v>0.2</v>
      </c>
      <c r="E30" s="18">
        <v>0.2</v>
      </c>
      <c r="F30" s="18">
        <v>0.2</v>
      </c>
      <c r="G30" s="18">
        <v>0.2</v>
      </c>
      <c r="H30" s="18">
        <v>0.2</v>
      </c>
      <c r="I30" s="18">
        <v>0.2</v>
      </c>
    </row>
    <row r="32" spans="2:11" x14ac:dyDescent="0.2">
      <c r="B32" s="34" t="s">
        <v>37</v>
      </c>
      <c r="K32" s="34" t="s">
        <v>38</v>
      </c>
    </row>
    <row r="33" spans="2:16" x14ac:dyDescent="0.2">
      <c r="B33" t="s">
        <v>5</v>
      </c>
      <c r="C33" s="18">
        <v>0.1</v>
      </c>
      <c r="D33" s="18">
        <v>0.1</v>
      </c>
      <c r="E33" s="18">
        <v>0.1</v>
      </c>
      <c r="F33" s="18">
        <v>0.1</v>
      </c>
      <c r="G33" s="18">
        <v>0.1</v>
      </c>
      <c r="K33" t="s">
        <v>43</v>
      </c>
      <c r="L33" s="28">
        <v>1000</v>
      </c>
    </row>
    <row r="34" spans="2:16" x14ac:dyDescent="0.2">
      <c r="B34" t="s">
        <v>23</v>
      </c>
      <c r="C34" s="18">
        <v>0.35</v>
      </c>
      <c r="D34" s="18">
        <v>0.35</v>
      </c>
      <c r="E34" s="18">
        <v>0.35</v>
      </c>
      <c r="F34" s="18">
        <v>0.35</v>
      </c>
      <c r="G34" s="18">
        <v>0.35</v>
      </c>
      <c r="K34" t="s">
        <v>5</v>
      </c>
      <c r="L34" s="18">
        <v>0.09</v>
      </c>
    </row>
    <row r="35" spans="2:16" x14ac:dyDescent="0.2">
      <c r="B35" t="s">
        <v>4</v>
      </c>
      <c r="C35" s="18">
        <v>0.05</v>
      </c>
      <c r="D35" s="18">
        <v>0.05</v>
      </c>
      <c r="E35" s="18">
        <v>0.05</v>
      </c>
      <c r="F35" s="18">
        <v>0.05</v>
      </c>
      <c r="G35" s="18">
        <v>0.05</v>
      </c>
      <c r="K35" t="s">
        <v>1</v>
      </c>
      <c r="M35" s="18">
        <v>0.13</v>
      </c>
      <c r="N35" s="18">
        <v>0.12</v>
      </c>
      <c r="O35" s="18">
        <v>0.11</v>
      </c>
      <c r="P35" s="18">
        <v>0.1</v>
      </c>
    </row>
    <row r="36" spans="2:16" x14ac:dyDescent="0.2">
      <c r="B36" t="s">
        <v>0</v>
      </c>
      <c r="D36" s="18">
        <v>0.04</v>
      </c>
      <c r="E36" s="18">
        <v>0.04</v>
      </c>
      <c r="F36" s="18">
        <v>0.04</v>
      </c>
      <c r="G36" s="18">
        <v>0.04</v>
      </c>
      <c r="H36" s="18">
        <v>0.04</v>
      </c>
      <c r="K36" t="s">
        <v>40</v>
      </c>
      <c r="L36" s="18">
        <v>0.5</v>
      </c>
      <c r="M36" s="18">
        <v>0.5</v>
      </c>
      <c r="N36" s="18">
        <v>0.5</v>
      </c>
      <c r="O36" s="18">
        <v>0.5</v>
      </c>
      <c r="P36" s="18">
        <v>0.5</v>
      </c>
    </row>
    <row r="37" spans="2:16" x14ac:dyDescent="0.2">
      <c r="K37" t="s">
        <v>4</v>
      </c>
      <c r="L37" s="18">
        <v>7.0000000000000007E-2</v>
      </c>
      <c r="M37" s="18">
        <v>7.0000000000000007E-2</v>
      </c>
      <c r="N37" s="18">
        <v>7.0000000000000007E-2</v>
      </c>
      <c r="O37" s="18">
        <v>7.0000000000000007E-2</v>
      </c>
      <c r="P37" s="18">
        <v>7.0000000000000007E-2</v>
      </c>
    </row>
    <row r="38" spans="2:16" x14ac:dyDescent="0.2">
      <c r="K38" t="s">
        <v>35</v>
      </c>
      <c r="L38" s="28">
        <v>2000</v>
      </c>
      <c r="M38" s="28">
        <v>1900</v>
      </c>
      <c r="N38" s="28">
        <v>1800</v>
      </c>
      <c r="O38" s="28">
        <v>1700</v>
      </c>
      <c r="P38" s="28">
        <v>1600</v>
      </c>
    </row>
    <row r="39" spans="2:16" x14ac:dyDescent="0.2">
      <c r="B39" t="s">
        <v>17</v>
      </c>
      <c r="C39" s="28">
        <f>C25</f>
        <v>20000</v>
      </c>
    </row>
    <row r="40" spans="2:16" x14ac:dyDescent="0.2">
      <c r="B40" t="s">
        <v>146</v>
      </c>
    </row>
    <row r="41" spans="2:16" x14ac:dyDescent="0.2">
      <c r="B41" t="s">
        <v>61</v>
      </c>
      <c r="C41" s="28">
        <f>C39-C40</f>
        <v>20000</v>
      </c>
    </row>
    <row r="43" spans="2:16" x14ac:dyDescent="0.2">
      <c r="B43" t="s">
        <v>78</v>
      </c>
      <c r="C43">
        <f>C39*C33</f>
        <v>2000</v>
      </c>
    </row>
    <row r="44" spans="2:16" x14ac:dyDescent="0.2">
      <c r="B44" t="s">
        <v>35</v>
      </c>
    </row>
    <row r="45" spans="2:16" x14ac:dyDescent="0.2">
      <c r="B45" t="s">
        <v>28</v>
      </c>
    </row>
  </sheetData>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OpeningPage</vt:lpstr>
      <vt:lpstr>Admin</vt:lpstr>
      <vt:lpstr>Task 1</vt:lpstr>
      <vt:lpstr>Task 2</vt:lpstr>
      <vt:lpstr>Task 3</vt:lpstr>
      <vt:lpstr>Task 4</vt:lpstr>
      <vt:lpstr>Task 5</vt:lpstr>
      <vt:lpstr>Bonus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Bangani Mridul Kumar</cp:lastModifiedBy>
  <dcterms:created xsi:type="dcterms:W3CDTF">2014-05-14T18:27:14Z</dcterms:created>
  <dcterms:modified xsi:type="dcterms:W3CDTF">2024-01-17T09:17:29Z</dcterms:modified>
</cp:coreProperties>
</file>