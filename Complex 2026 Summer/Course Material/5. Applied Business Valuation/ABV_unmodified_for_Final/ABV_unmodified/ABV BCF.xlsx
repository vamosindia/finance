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2.xml" ContentType="application/vnd.openxmlformats-officedocument.spreadsheetml.comments+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codeName="ThisWorkbook" defaultThemeVersion="166925"/>
  <mc:AlternateContent xmlns:mc="http://schemas.openxmlformats.org/markup-compatibility/2006">
    <mc:Choice Requires="x15">
      <x15ac:absPath xmlns:x15ac="http://schemas.microsoft.com/office/spreadsheetml/2010/11/ac" url="/Users/bangani/Library/CloudStorage/OneDrive-CorvinusUniversityofBudapest/MSc Finance/Sem 3/ABV/Exam material/"/>
    </mc:Choice>
  </mc:AlternateContent>
  <xr:revisionPtr revIDLastSave="0" documentId="13_ncr:1_{643BCD2D-89C8-4043-9A4F-424E54FF912C}" xr6:coauthVersionLast="47" xr6:coauthVersionMax="47" xr10:uidLastSave="{00000000-0000-0000-0000-000000000000}"/>
  <bookViews>
    <workbookView xWindow="0" yWindow="500" windowWidth="28800" windowHeight="16100" activeTab="14" xr2:uid="{0144E615-E11A-544D-A138-3C1B14634D3D}"/>
  </bookViews>
  <sheets>
    <sheet name="12.21" sheetId="1" r:id="rId1"/>
    <sheet name="12.22" sheetId="2" r:id="rId2"/>
    <sheet name="12.23" sheetId="3" r:id="rId3"/>
    <sheet name="3YCF" sheetId="7" r:id="rId4"/>
    <sheet name="3YCF1" sheetId="8" r:id="rId5"/>
    <sheet name="3YCF2" sheetId="49" r:id="rId6"/>
    <sheet name="3YCF3" sheetId="10" r:id="rId7"/>
    <sheet name="3YCF13" sheetId="36" r:id="rId8"/>
    <sheet name="3YCF16" sheetId="40" r:id="rId9"/>
    <sheet name="FITMT3" sheetId="4" r:id="rId10"/>
    <sheet name="FITMT7" sheetId="13" r:id="rId11"/>
    <sheet name="FITMT14" sheetId="26" r:id="rId12"/>
    <sheet name="Kebab_shop" sheetId="44" r:id="rId13"/>
    <sheet name="Sheet47" sheetId="47" r:id="rId14"/>
    <sheet name="Sheet48" sheetId="48" r:id="rId15"/>
  </sheets>
  <externalReferences>
    <externalReference r:id="rId16"/>
    <externalReference r:id="rId17"/>
    <externalReference r:id="rId18"/>
    <externalReference r:id="rId19"/>
    <externalReference r:id="rId20"/>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9" i="47" l="1"/>
  <c r="F61" i="8"/>
  <c r="E61" i="8"/>
  <c r="E38" i="2"/>
  <c r="F38" i="2"/>
  <c r="G38" i="2"/>
  <c r="H38" i="2"/>
  <c r="I38" i="2"/>
  <c r="J38" i="2"/>
  <c r="D38" i="2"/>
  <c r="F37" i="2"/>
  <c r="G37" i="2"/>
  <c r="H37" i="2"/>
  <c r="I37" i="2"/>
  <c r="J37" i="2"/>
  <c r="E37" i="2"/>
  <c r="J36" i="2"/>
  <c r="I36" i="2"/>
  <c r="H36" i="2"/>
  <c r="G36" i="2"/>
  <c r="F36" i="2"/>
  <c r="E36" i="2"/>
  <c r="D36" i="2"/>
  <c r="G35" i="2"/>
  <c r="H35" i="2"/>
  <c r="I35" i="2"/>
  <c r="J35" i="2"/>
  <c r="F35" i="2"/>
  <c r="F34" i="2"/>
  <c r="G34" i="2"/>
  <c r="H34" i="2"/>
  <c r="I34" i="2"/>
  <c r="J34" i="2"/>
  <c r="K49" i="2" s="1"/>
  <c r="J57" i="2" s="1"/>
  <c r="J58" i="2" s="1"/>
  <c r="E34" i="2"/>
  <c r="E45" i="2"/>
  <c r="F45" i="2"/>
  <c r="G45" i="2"/>
  <c r="H45" i="2"/>
  <c r="I45" i="2"/>
  <c r="J45" i="2"/>
  <c r="D45" i="2"/>
  <c r="E44" i="2"/>
  <c r="F44" i="2"/>
  <c r="G44" i="2"/>
  <c r="H44" i="2"/>
  <c r="I44" i="2"/>
  <c r="J44" i="2"/>
  <c r="D44" i="2"/>
  <c r="E43" i="2"/>
  <c r="F43" i="2"/>
  <c r="G43" i="2"/>
  <c r="H43" i="2"/>
  <c r="I43" i="2"/>
  <c r="J43" i="2"/>
  <c r="D43" i="2"/>
  <c r="J60" i="2"/>
  <c r="I60" i="2"/>
  <c r="H60" i="2"/>
  <c r="G60" i="2"/>
  <c r="F60" i="2"/>
  <c r="E60" i="2"/>
  <c r="D60" i="2"/>
  <c r="E58" i="2"/>
  <c r="F58" i="2"/>
  <c r="G58" i="2"/>
  <c r="H58" i="2"/>
  <c r="I58" i="2"/>
  <c r="D58" i="2"/>
  <c r="E57" i="2"/>
  <c r="F57" i="2"/>
  <c r="G57" i="2"/>
  <c r="H57" i="2"/>
  <c r="I57" i="2"/>
  <c r="D57" i="2"/>
  <c r="E56" i="2"/>
  <c r="F56" i="2"/>
  <c r="G56" i="2"/>
  <c r="H56" i="2"/>
  <c r="I56" i="2"/>
  <c r="J56" i="2"/>
  <c r="D56" i="2"/>
  <c r="J55" i="2"/>
  <c r="I55" i="2"/>
  <c r="H55" i="2"/>
  <c r="G55" i="2"/>
  <c r="F55" i="2"/>
  <c r="E55" i="2"/>
  <c r="D55" i="2"/>
  <c r="J50" i="2"/>
  <c r="I50" i="2"/>
  <c r="H50" i="2"/>
  <c r="G50" i="2"/>
  <c r="F50" i="2"/>
  <c r="E50" i="2"/>
  <c r="D50" i="2"/>
  <c r="E49" i="2"/>
  <c r="F49" i="2"/>
  <c r="G49" i="2"/>
  <c r="H49" i="2"/>
  <c r="I49" i="2"/>
  <c r="J49" i="2"/>
  <c r="D49" i="2"/>
  <c r="F48" i="2"/>
  <c r="G48" i="2" s="1"/>
  <c r="H48" i="2" s="1"/>
  <c r="I48" i="2" s="1"/>
  <c r="J48" i="2" s="1"/>
  <c r="E48" i="2"/>
  <c r="D48" i="2"/>
  <c r="D40" i="1"/>
  <c r="E54" i="2" l="1"/>
  <c r="F54" i="2"/>
  <c r="G54" i="2"/>
  <c r="H54" i="2"/>
  <c r="I54" i="2"/>
  <c r="J54" i="2"/>
  <c r="D54" i="2"/>
  <c r="G53" i="2"/>
  <c r="H53" i="2"/>
  <c r="I53" i="2"/>
  <c r="J53" i="2"/>
  <c r="F53" i="2"/>
  <c r="E53" i="2"/>
  <c r="D53" i="2"/>
  <c r="E52" i="2"/>
  <c r="F52" i="2"/>
  <c r="G52" i="2"/>
  <c r="H52" i="2"/>
  <c r="I52" i="2"/>
  <c r="J52" i="2"/>
  <c r="D52" i="2"/>
  <c r="F49" i="49" l="1"/>
  <c r="E49" i="49"/>
  <c r="D49" i="49"/>
  <c r="F48" i="49"/>
  <c r="E48" i="49"/>
  <c r="D48" i="49"/>
  <c r="F47" i="49"/>
  <c r="E47" i="49"/>
  <c r="D47" i="49"/>
  <c r="F46" i="49"/>
  <c r="E46" i="49"/>
  <c r="F37" i="49"/>
  <c r="E37" i="49"/>
  <c r="D37" i="49"/>
  <c r="F32" i="49"/>
  <c r="F34" i="49" s="1"/>
  <c r="E32" i="49"/>
  <c r="E34" i="49" s="1"/>
  <c r="E39" i="49" s="1"/>
  <c r="D32" i="49"/>
  <c r="D34" i="49" s="1"/>
  <c r="D39" i="49" s="1"/>
  <c r="F21" i="49"/>
  <c r="F23" i="49" s="1"/>
  <c r="F25" i="49" s="1"/>
  <c r="F20" i="49"/>
  <c r="E20" i="49"/>
  <c r="E21" i="49" s="1"/>
  <c r="D20" i="49"/>
  <c r="D21" i="49" s="1"/>
  <c r="F16" i="49"/>
  <c r="E16" i="49"/>
  <c r="D16" i="49"/>
  <c r="F10" i="49"/>
  <c r="E10" i="49" s="1"/>
  <c r="D10" i="49" s="1"/>
  <c r="E45" i="48"/>
  <c r="D45" i="48"/>
  <c r="E35" i="48"/>
  <c r="D35" i="48"/>
  <c r="C35" i="48"/>
  <c r="E24" i="48"/>
  <c r="D24" i="48"/>
  <c r="E20" i="48"/>
  <c r="E21" i="48" s="1"/>
  <c r="D20" i="48"/>
  <c r="D21" i="48" s="1"/>
  <c r="E16" i="48"/>
  <c r="D16" i="48"/>
  <c r="E6" i="48"/>
  <c r="E7" i="48" s="1"/>
  <c r="E9" i="48" s="1"/>
  <c r="E15" i="48" s="1"/>
  <c r="D6" i="48"/>
  <c r="D7" i="48" s="1"/>
  <c r="D9" i="48" s="1"/>
  <c r="D15" i="48" s="1"/>
  <c r="D22" i="48" s="1"/>
  <c r="D27" i="48" s="1"/>
  <c r="D31" i="48" s="1"/>
  <c r="I102" i="47"/>
  <c r="H102" i="47"/>
  <c r="G102" i="47"/>
  <c r="F102" i="47"/>
  <c r="E102" i="47"/>
  <c r="D102" i="47"/>
  <c r="I98" i="47"/>
  <c r="H98" i="47"/>
  <c r="I97" i="47"/>
  <c r="H97" i="47"/>
  <c r="G97" i="47"/>
  <c r="F97" i="47"/>
  <c r="E97" i="47"/>
  <c r="D97" i="47"/>
  <c r="I92" i="47"/>
  <c r="H92" i="47"/>
  <c r="G92" i="47"/>
  <c r="F92" i="47"/>
  <c r="E92" i="47"/>
  <c r="D92" i="47"/>
  <c r="D89" i="47" s="1"/>
  <c r="I88" i="47"/>
  <c r="H88" i="47"/>
  <c r="G88" i="47"/>
  <c r="F88" i="47"/>
  <c r="E88" i="47"/>
  <c r="D88" i="47"/>
  <c r="D90" i="47" s="1"/>
  <c r="F83" i="47"/>
  <c r="E83" i="47"/>
  <c r="E89" i="47" s="1"/>
  <c r="E90" i="47" s="1"/>
  <c r="G82" i="47"/>
  <c r="I77" i="47"/>
  <c r="H77" i="47"/>
  <c r="G77" i="47"/>
  <c r="F77" i="47"/>
  <c r="E77" i="47"/>
  <c r="D77" i="47"/>
  <c r="D75" i="47"/>
  <c r="I70" i="47"/>
  <c r="H70" i="47"/>
  <c r="G70" i="47"/>
  <c r="F70" i="47"/>
  <c r="E70" i="47"/>
  <c r="D70" i="47"/>
  <c r="I62" i="47"/>
  <c r="H62" i="47"/>
  <c r="G62" i="47"/>
  <c r="F62" i="47"/>
  <c r="E62" i="47"/>
  <c r="D62" i="47"/>
  <c r="I59" i="47"/>
  <c r="I82" i="47" s="1"/>
  <c r="H59" i="47"/>
  <c r="H82" i="47" s="1"/>
  <c r="G59" i="47"/>
  <c r="F59" i="47"/>
  <c r="F82" i="47" s="1"/>
  <c r="E59" i="47"/>
  <c r="E82" i="47" s="1"/>
  <c r="D59" i="47"/>
  <c r="D82" i="47" s="1"/>
  <c r="I51" i="47"/>
  <c r="H51" i="47"/>
  <c r="G51" i="47"/>
  <c r="F51" i="47"/>
  <c r="E51" i="47"/>
  <c r="D51" i="47"/>
  <c r="D46" i="47"/>
  <c r="D54" i="47" s="1"/>
  <c r="E45" i="47"/>
  <c r="E46" i="47" s="1"/>
  <c r="E54" i="47" s="1"/>
  <c r="D45" i="47"/>
  <c r="I44" i="47"/>
  <c r="H44" i="47"/>
  <c r="G44" i="47"/>
  <c r="G60" i="47" s="1"/>
  <c r="F44" i="47"/>
  <c r="F60" i="47" s="1"/>
  <c r="E44" i="47"/>
  <c r="E60" i="47" s="1"/>
  <c r="D44" i="47"/>
  <c r="D60" i="47" s="1"/>
  <c r="I31" i="47"/>
  <c r="J31" i="47" s="1"/>
  <c r="H31" i="47"/>
  <c r="H83" i="47" s="1"/>
  <c r="H89" i="47" s="1"/>
  <c r="G31" i="47"/>
  <c r="G83" i="47" s="1"/>
  <c r="F31" i="47"/>
  <c r="E31" i="47"/>
  <c r="D31" i="47"/>
  <c r="D83" i="47" s="1"/>
  <c r="I30" i="47"/>
  <c r="I75" i="47" s="1"/>
  <c r="H30" i="47"/>
  <c r="H75" i="47" s="1"/>
  <c r="G30" i="47"/>
  <c r="G75" i="47" s="1"/>
  <c r="F30" i="47"/>
  <c r="F75" i="47" s="1"/>
  <c r="E30" i="47"/>
  <c r="E75" i="47" s="1"/>
  <c r="D30" i="47"/>
  <c r="J24" i="47"/>
  <c r="J22" i="47"/>
  <c r="D51" i="49" l="1"/>
  <c r="D53" i="49"/>
  <c r="F45" i="47"/>
  <c r="E36" i="48"/>
  <c r="D38" i="48"/>
  <c r="D36" i="48"/>
  <c r="D98" i="47"/>
  <c r="G45" i="47"/>
  <c r="I83" i="47"/>
  <c r="I89" i="47" s="1"/>
  <c r="I90" i="47" s="1"/>
  <c r="I91" i="47" s="1"/>
  <c r="I93" i="47" s="1"/>
  <c r="F39" i="49"/>
  <c r="F53" i="49" s="1"/>
  <c r="D44" i="49"/>
  <c r="D54" i="49" s="1"/>
  <c r="D23" i="49"/>
  <c r="D25" i="49" s="1"/>
  <c r="E44" i="49"/>
  <c r="E52" i="49" s="1"/>
  <c r="E23" i="49"/>
  <c r="E25" i="49" s="1"/>
  <c r="E51" i="49"/>
  <c r="E40" i="49"/>
  <c r="E53" i="49"/>
  <c r="F51" i="49"/>
  <c r="F40" i="49"/>
  <c r="F44" i="49"/>
  <c r="F52" i="49" s="1"/>
  <c r="D40" i="49"/>
  <c r="E22" i="48"/>
  <c r="E27" i="48" s="1"/>
  <c r="E31" i="48" s="1"/>
  <c r="H90" i="47"/>
  <c r="H60" i="47"/>
  <c r="H45" i="47"/>
  <c r="F89" i="47"/>
  <c r="I45" i="47"/>
  <c r="I60" i="47"/>
  <c r="D47" i="47"/>
  <c r="F98" i="47"/>
  <c r="E47" i="47"/>
  <c r="D61" i="47"/>
  <c r="D69" i="47" s="1"/>
  <c r="E61" i="47"/>
  <c r="E69" i="47" s="1"/>
  <c r="F90" i="47"/>
  <c r="E98" i="47"/>
  <c r="G98" i="47"/>
  <c r="G89" i="47"/>
  <c r="G90" i="47" s="1"/>
  <c r="F46" i="47" l="1"/>
  <c r="F54" i="47" s="1"/>
  <c r="F61" i="47" s="1"/>
  <c r="H91" i="47"/>
  <c r="H93" i="47" s="1"/>
  <c r="E38" i="48"/>
  <c r="G46" i="47"/>
  <c r="G54" i="47" s="1"/>
  <c r="G61" i="47" s="1"/>
  <c r="G47" i="47"/>
  <c r="D52" i="49"/>
  <c r="I84" i="47"/>
  <c r="F54" i="49"/>
  <c r="E54" i="49"/>
  <c r="I46" i="47"/>
  <c r="I54" i="47" s="1"/>
  <c r="I61" i="47" s="1"/>
  <c r="D49" i="47"/>
  <c r="H46" i="47"/>
  <c r="H54" i="47" s="1"/>
  <c r="H47" i="47"/>
  <c r="H61" i="47"/>
  <c r="E49" i="47"/>
  <c r="E99" i="47"/>
  <c r="E63" i="47"/>
  <c r="D63" i="47"/>
  <c r="F47" i="47" l="1"/>
  <c r="G99" i="47"/>
  <c r="G49" i="47"/>
  <c r="G48" i="47" s="1"/>
  <c r="G69" i="47"/>
  <c r="G63" i="47"/>
  <c r="G91" i="47"/>
  <c r="H84" i="47"/>
  <c r="I85" i="47"/>
  <c r="F69" i="47"/>
  <c r="F63" i="47"/>
  <c r="I94" i="47"/>
  <c r="I69" i="47"/>
  <c r="I71" i="47" s="1"/>
  <c r="I63" i="47"/>
  <c r="E52" i="47"/>
  <c r="E65" i="47"/>
  <c r="D52" i="47"/>
  <c r="D65" i="47"/>
  <c r="I47" i="47"/>
  <c r="E74" i="47"/>
  <c r="E66" i="47"/>
  <c r="H49" i="47"/>
  <c r="H99" i="47"/>
  <c r="H48" i="47"/>
  <c r="E48" i="47"/>
  <c r="D48" i="47"/>
  <c r="H63" i="47"/>
  <c r="H69" i="47"/>
  <c r="D66" i="47"/>
  <c r="D74" i="47"/>
  <c r="G53" i="47" l="1"/>
  <c r="G64" i="47"/>
  <c r="G84" i="47"/>
  <c r="H85" i="47"/>
  <c r="G93" i="47"/>
  <c r="G94" i="47" s="1"/>
  <c r="F91" i="47"/>
  <c r="G66" i="47"/>
  <c r="G74" i="47"/>
  <c r="H94" i="47"/>
  <c r="G52" i="47"/>
  <c r="G65" i="47"/>
  <c r="F74" i="47"/>
  <c r="F66" i="47"/>
  <c r="F49" i="47"/>
  <c r="F99" i="47"/>
  <c r="F48" i="47"/>
  <c r="I49" i="47"/>
  <c r="I99" i="47"/>
  <c r="I48" i="47"/>
  <c r="H64" i="47"/>
  <c r="H53" i="47"/>
  <c r="H52" i="47"/>
  <c r="H65" i="47"/>
  <c r="H66" i="47"/>
  <c r="H74" i="47"/>
  <c r="D64" i="47"/>
  <c r="D53" i="47"/>
  <c r="E64" i="47"/>
  <c r="E53" i="47"/>
  <c r="I74" i="47"/>
  <c r="I76" i="47" s="1"/>
  <c r="I66" i="47"/>
  <c r="H71" i="47"/>
  <c r="G71" i="47" s="1"/>
  <c r="F71" i="47" s="1"/>
  <c r="E71" i="47" s="1"/>
  <c r="D71" i="47" s="1"/>
  <c r="F53" i="47" l="1"/>
  <c r="F64" i="47"/>
  <c r="F52" i="47"/>
  <c r="F65" i="47"/>
  <c r="F93" i="47"/>
  <c r="E91" i="47"/>
  <c r="F84" i="47"/>
  <c r="G85" i="47"/>
  <c r="I64" i="47"/>
  <c r="I53" i="47"/>
  <c r="I100" i="47"/>
  <c r="I78" i="47"/>
  <c r="I79" i="47" s="1"/>
  <c r="H76" i="47"/>
  <c r="I52" i="47"/>
  <c r="I65" i="47"/>
  <c r="E84" i="47" l="1"/>
  <c r="F85" i="47"/>
  <c r="F94" i="47"/>
  <c r="E93" i="47"/>
  <c r="E94" i="47" s="1"/>
  <c r="D91" i="47"/>
  <c r="D93" i="47" s="1"/>
  <c r="H78" i="47"/>
  <c r="H79" i="47" s="1"/>
  <c r="G76" i="47"/>
  <c r="I101" i="47"/>
  <c r="I103" i="47" s="1"/>
  <c r="I104" i="47" s="1"/>
  <c r="H100" i="47"/>
  <c r="D84" i="47" l="1"/>
  <c r="D85" i="47" s="1"/>
  <c r="E85" i="47"/>
  <c r="H101" i="47"/>
  <c r="H103" i="47" s="1"/>
  <c r="H104" i="47" s="1"/>
  <c r="G100" i="47"/>
  <c r="G78" i="47"/>
  <c r="G79" i="47" s="1"/>
  <c r="F76" i="47"/>
  <c r="D94" i="47" l="1"/>
  <c r="E76" i="47"/>
  <c r="F78" i="47"/>
  <c r="F79" i="47" s="1"/>
  <c r="G101" i="47"/>
  <c r="G103" i="47" s="1"/>
  <c r="G104" i="47" s="1"/>
  <c r="F100" i="47"/>
  <c r="F101" i="47" l="1"/>
  <c r="F103" i="47" s="1"/>
  <c r="F104" i="47" s="1"/>
  <c r="E100" i="47"/>
  <c r="D76" i="47"/>
  <c r="D78" i="47" s="1"/>
  <c r="D79" i="47" s="1"/>
  <c r="E78" i="47"/>
  <c r="E79" i="47" s="1"/>
  <c r="E101" i="47" l="1"/>
  <c r="E103" i="47" s="1"/>
  <c r="E104" i="47" s="1"/>
  <c r="D100" i="47"/>
  <c r="D101" i="47" s="1"/>
  <c r="D103" i="47" s="1"/>
  <c r="D104" i="47" s="1"/>
  <c r="H124" i="44" l="1"/>
  <c r="G124" i="44"/>
  <c r="F125" i="44" s="1"/>
  <c r="F124" i="44"/>
  <c r="E124" i="44"/>
  <c r="D124" i="44"/>
  <c r="B119" i="44"/>
  <c r="G117" i="44"/>
  <c r="F117" i="44"/>
  <c r="E117" i="44"/>
  <c r="D117" i="44"/>
  <c r="G115" i="44"/>
  <c r="F115" i="44"/>
  <c r="E115" i="44"/>
  <c r="D115" i="44"/>
  <c r="B115" i="44"/>
  <c r="D112" i="44"/>
  <c r="G111" i="44"/>
  <c r="F111" i="44"/>
  <c r="E111" i="44"/>
  <c r="D111" i="44"/>
  <c r="H109" i="44"/>
  <c r="G109" i="44"/>
  <c r="F109" i="44"/>
  <c r="E109" i="44"/>
  <c r="D109" i="44"/>
  <c r="G108" i="44"/>
  <c r="F108" i="44"/>
  <c r="E108" i="44"/>
  <c r="D108" i="44"/>
  <c r="G107" i="44"/>
  <c r="F107" i="44"/>
  <c r="E107" i="44"/>
  <c r="D107" i="44"/>
  <c r="J106" i="44"/>
  <c r="G106" i="44"/>
  <c r="F106" i="44"/>
  <c r="E106" i="44"/>
  <c r="D106" i="44"/>
  <c r="G104" i="44"/>
  <c r="G112" i="44" s="1"/>
  <c r="G113" i="44" s="1"/>
  <c r="F104" i="44"/>
  <c r="F112" i="44" s="1"/>
  <c r="E104" i="44"/>
  <c r="E112" i="44" s="1"/>
  <c r="D104" i="44"/>
  <c r="G102" i="44"/>
  <c r="F102" i="44"/>
  <c r="F103" i="44" s="1"/>
  <c r="E102" i="44"/>
  <c r="D102" i="44"/>
  <c r="D103" i="44" s="1"/>
  <c r="B102" i="44"/>
  <c r="C65" i="44"/>
  <c r="E64" i="44"/>
  <c r="D64" i="44"/>
  <c r="H63" i="44"/>
  <c r="G63" i="44"/>
  <c r="F64" i="44" s="1"/>
  <c r="F63" i="44"/>
  <c r="E63" i="44"/>
  <c r="D63" i="44"/>
  <c r="G56" i="44"/>
  <c r="F56" i="44"/>
  <c r="E56" i="44"/>
  <c r="D56" i="44"/>
  <c r="D55" i="44"/>
  <c r="G54" i="44"/>
  <c r="F54" i="44"/>
  <c r="E54" i="44"/>
  <c r="D54" i="44"/>
  <c r="G50" i="44"/>
  <c r="F50" i="44"/>
  <c r="F52" i="44" s="1"/>
  <c r="E50" i="44"/>
  <c r="D50" i="44"/>
  <c r="G48" i="44"/>
  <c r="F48" i="44"/>
  <c r="E48" i="44"/>
  <c r="D48" i="44"/>
  <c r="G47" i="44"/>
  <c r="F47" i="44"/>
  <c r="E47" i="44"/>
  <c r="D47" i="44"/>
  <c r="G46" i="44"/>
  <c r="F46" i="44"/>
  <c r="E46" i="44"/>
  <c r="D46" i="44"/>
  <c r="G45" i="44"/>
  <c r="F45" i="44"/>
  <c r="E45" i="44"/>
  <c r="D45" i="44"/>
  <c r="G43" i="44"/>
  <c r="G51" i="44" s="1"/>
  <c r="G52" i="44" s="1"/>
  <c r="F43" i="44"/>
  <c r="F51" i="44" s="1"/>
  <c r="E43" i="44"/>
  <c r="E51" i="44" s="1"/>
  <c r="D43" i="44"/>
  <c r="D51" i="44" s="1"/>
  <c r="C43" i="44"/>
  <c r="G41" i="44"/>
  <c r="G42" i="44" s="1"/>
  <c r="F41" i="44"/>
  <c r="F42" i="44" s="1"/>
  <c r="E41" i="44"/>
  <c r="E42" i="44" s="1"/>
  <c r="E65" i="44" s="1"/>
  <c r="D41" i="44"/>
  <c r="D42" i="44" s="1"/>
  <c r="D65" i="44" s="1"/>
  <c r="D69" i="44" s="1"/>
  <c r="C41" i="44"/>
  <c r="C42" i="44" s="1"/>
  <c r="G38" i="44"/>
  <c r="G116" i="44" s="1"/>
  <c r="F38" i="44"/>
  <c r="E38" i="44"/>
  <c r="D38" i="44"/>
  <c r="C38" i="44"/>
  <c r="H20" i="44"/>
  <c r="H19" i="44"/>
  <c r="H45" i="44" s="1"/>
  <c r="G15" i="44"/>
  <c r="F15" i="44"/>
  <c r="E15" i="44"/>
  <c r="D15" i="44"/>
  <c r="G13" i="44"/>
  <c r="G12" i="44" s="1"/>
  <c r="F13" i="44"/>
  <c r="H8" i="44"/>
  <c r="H115" i="44" s="1"/>
  <c r="H116" i="44" s="1"/>
  <c r="H6" i="44"/>
  <c r="H4" i="44"/>
  <c r="H23" i="44" s="1"/>
  <c r="H48" i="44" s="1"/>
  <c r="H3" i="44"/>
  <c r="H21" i="44" s="1"/>
  <c r="I2" i="44"/>
  <c r="J2" i="44" s="1"/>
  <c r="K2" i="44" s="1"/>
  <c r="L2" i="44" s="1"/>
  <c r="M2" i="44" s="1"/>
  <c r="G2" i="44"/>
  <c r="F2" i="44" s="1"/>
  <c r="E2" i="44" s="1"/>
  <c r="D2" i="44" s="1"/>
  <c r="C2" i="44"/>
  <c r="E79" i="40"/>
  <c r="F78" i="40"/>
  <c r="F79" i="40" s="1"/>
  <c r="F80" i="40" s="1"/>
  <c r="E78" i="40"/>
  <c r="D78" i="40"/>
  <c r="F77" i="40"/>
  <c r="E77" i="40"/>
  <c r="D77" i="40"/>
  <c r="D79" i="40" s="1"/>
  <c r="F74" i="40"/>
  <c r="E74" i="40"/>
  <c r="F73" i="40"/>
  <c r="E73" i="40"/>
  <c r="F70" i="40"/>
  <c r="E70" i="40"/>
  <c r="F68" i="40"/>
  <c r="F69" i="40" s="1"/>
  <c r="E68" i="40"/>
  <c r="E69" i="40" s="1"/>
  <c r="F64" i="40"/>
  <c r="F65" i="40" s="1"/>
  <c r="E64" i="40"/>
  <c r="F63" i="40"/>
  <c r="E63" i="40"/>
  <c r="F62" i="40"/>
  <c r="E62" i="40"/>
  <c r="F59" i="40"/>
  <c r="E59" i="40"/>
  <c r="F58" i="40"/>
  <c r="E58" i="40"/>
  <c r="F57" i="40"/>
  <c r="E57" i="40"/>
  <c r="F56" i="40"/>
  <c r="E56" i="40"/>
  <c r="F55" i="40"/>
  <c r="E55" i="40"/>
  <c r="F53" i="40"/>
  <c r="F61" i="40" s="1"/>
  <c r="E53" i="40"/>
  <c r="E61" i="40" s="1"/>
  <c r="F50" i="40"/>
  <c r="E50" i="40"/>
  <c r="F49" i="40"/>
  <c r="E49" i="40"/>
  <c r="F47" i="40"/>
  <c r="E47" i="40"/>
  <c r="K33" i="40"/>
  <c r="L32" i="40" s="1"/>
  <c r="J33" i="40"/>
  <c r="F80" i="36"/>
  <c r="F81" i="36" s="1"/>
  <c r="E80" i="36"/>
  <c r="D80" i="36"/>
  <c r="D81" i="36" s="1"/>
  <c r="F79" i="36"/>
  <c r="E79" i="36"/>
  <c r="E81" i="36" s="1"/>
  <c r="E82" i="36" s="1"/>
  <c r="D79" i="36"/>
  <c r="F75" i="36"/>
  <c r="E75" i="36"/>
  <c r="F73" i="36"/>
  <c r="E73" i="36"/>
  <c r="F71" i="36"/>
  <c r="E71" i="36"/>
  <c r="F67" i="36"/>
  <c r="E67" i="36"/>
  <c r="F66" i="36"/>
  <c r="E66" i="36"/>
  <c r="F65" i="36"/>
  <c r="E65" i="36"/>
  <c r="F64" i="36"/>
  <c r="E64" i="36"/>
  <c r="F62" i="36"/>
  <c r="E62" i="36"/>
  <c r="F61" i="36"/>
  <c r="E61" i="36"/>
  <c r="F60" i="36"/>
  <c r="E60" i="36"/>
  <c r="F59" i="36"/>
  <c r="E59" i="36"/>
  <c r="F58" i="36"/>
  <c r="E58" i="36"/>
  <c r="F56" i="36"/>
  <c r="E56" i="36"/>
  <c r="F51" i="36"/>
  <c r="F72" i="36" s="1"/>
  <c r="F46" i="36"/>
  <c r="E46" i="36"/>
  <c r="D46" i="36"/>
  <c r="F41" i="36"/>
  <c r="F43" i="36" s="1"/>
  <c r="E41" i="36"/>
  <c r="E43" i="36" s="1"/>
  <c r="E48" i="36" s="1"/>
  <c r="D41" i="36"/>
  <c r="D43" i="36" s="1"/>
  <c r="D48" i="36" s="1"/>
  <c r="F30" i="36"/>
  <c r="F32" i="36" s="1"/>
  <c r="F34" i="36" s="1"/>
  <c r="F29" i="36"/>
  <c r="E29" i="36"/>
  <c r="E30" i="36" s="1"/>
  <c r="D29" i="36"/>
  <c r="F24" i="36"/>
  <c r="F54" i="36" s="1"/>
  <c r="F55" i="36" s="1"/>
  <c r="F57" i="36" s="1"/>
  <c r="F63" i="36" s="1"/>
  <c r="E24" i="36"/>
  <c r="E54" i="36" s="1"/>
  <c r="D24" i="36"/>
  <c r="D30" i="36" s="1"/>
  <c r="D32" i="36" s="1"/>
  <c r="D34" i="36" s="1"/>
  <c r="F18" i="36"/>
  <c r="E18" i="36" s="1"/>
  <c r="D18" i="36" s="1"/>
  <c r="E69" i="44" l="1"/>
  <c r="G65" i="44"/>
  <c r="G69" i="44" s="1"/>
  <c r="G44" i="44"/>
  <c r="G49" i="44" s="1"/>
  <c r="G53" i="44" s="1"/>
  <c r="G57" i="44" s="1"/>
  <c r="E32" i="36"/>
  <c r="E34" i="36" s="1"/>
  <c r="E51" i="36"/>
  <c r="E55" i="36" s="1"/>
  <c r="E57" i="36" s="1"/>
  <c r="E63" i="36" s="1"/>
  <c r="E70" i="36" s="1"/>
  <c r="E74" i="36" s="1"/>
  <c r="E77" i="36" s="1"/>
  <c r="E83" i="36" s="1"/>
  <c r="F82" i="36"/>
  <c r="F66" i="40"/>
  <c r="F48" i="36"/>
  <c r="E68" i="36"/>
  <c r="E51" i="40"/>
  <c r="E52" i="40" s="1"/>
  <c r="E54" i="40" s="1"/>
  <c r="E60" i="40" s="1"/>
  <c r="H5" i="44"/>
  <c r="E72" i="36"/>
  <c r="E65" i="40"/>
  <c r="E52" i="44"/>
  <c r="G64" i="44"/>
  <c r="G125" i="44"/>
  <c r="E103" i="44"/>
  <c r="E128" i="44" s="1"/>
  <c r="E69" i="36"/>
  <c r="D116" i="44"/>
  <c r="E80" i="40"/>
  <c r="D113" i="44"/>
  <c r="D114" i="44" s="1"/>
  <c r="E116" i="44"/>
  <c r="E55" i="44"/>
  <c r="F51" i="40"/>
  <c r="F52" i="40" s="1"/>
  <c r="F54" i="40" s="1"/>
  <c r="F60" i="40" s="1"/>
  <c r="F67" i="40" s="1"/>
  <c r="F71" i="40" s="1"/>
  <c r="F75" i="40" s="1"/>
  <c r="F82" i="40" s="1"/>
  <c r="E126" i="44"/>
  <c r="E105" i="44"/>
  <c r="E110" i="44" s="1"/>
  <c r="G66" i="44"/>
  <c r="F126" i="44"/>
  <c r="F105" i="44"/>
  <c r="F110" i="44" s="1"/>
  <c r="H107" i="44"/>
  <c r="H46" i="44"/>
  <c r="F70" i="44"/>
  <c r="G120" i="44"/>
  <c r="E67" i="44"/>
  <c r="D67" i="44"/>
  <c r="F12" i="44"/>
  <c r="F120" i="44"/>
  <c r="D52" i="44"/>
  <c r="G119" i="44"/>
  <c r="G58" i="44"/>
  <c r="C44" i="44"/>
  <c r="D13" i="44"/>
  <c r="D16" i="44"/>
  <c r="F55" i="44"/>
  <c r="D70" i="44"/>
  <c r="D68" i="44"/>
  <c r="F116" i="44"/>
  <c r="E13" i="44"/>
  <c r="F65" i="44"/>
  <c r="F44" i="44"/>
  <c r="F49" i="44" s="1"/>
  <c r="F53" i="44" s="1"/>
  <c r="G55" i="44"/>
  <c r="E68" i="44"/>
  <c r="D125" i="44"/>
  <c r="D131" i="44" s="1"/>
  <c r="H108" i="44"/>
  <c r="H47" i="44"/>
  <c r="F16" i="44"/>
  <c r="G67" i="44"/>
  <c r="D126" i="44"/>
  <c r="D129" i="44" s="1"/>
  <c r="D105" i="44"/>
  <c r="D110" i="44" s="1"/>
  <c r="E125" i="44"/>
  <c r="E131" i="44" s="1"/>
  <c r="H43" i="44"/>
  <c r="H51" i="44" s="1"/>
  <c r="H104" i="44"/>
  <c r="H112" i="44" s="1"/>
  <c r="G16" i="44"/>
  <c r="I106" i="44"/>
  <c r="D44" i="44"/>
  <c r="D49" i="44" s="1"/>
  <c r="E70" i="44"/>
  <c r="G103" i="44"/>
  <c r="E113" i="44"/>
  <c r="E44" i="44"/>
  <c r="E49" i="44" s="1"/>
  <c r="E53" i="44" s="1"/>
  <c r="H106" i="44"/>
  <c r="F113" i="44"/>
  <c r="H54" i="44"/>
  <c r="H55" i="44" s="1"/>
  <c r="I3" i="44"/>
  <c r="H7" i="44"/>
  <c r="E66" i="40"/>
  <c r="E67" i="40" s="1"/>
  <c r="E71" i="40" s="1"/>
  <c r="E75" i="40" s="1"/>
  <c r="E82" i="40" s="1"/>
  <c r="E76" i="36"/>
  <c r="F76" i="36"/>
  <c r="D49" i="36"/>
  <c r="E49" i="36"/>
  <c r="F49" i="36"/>
  <c r="F68" i="36"/>
  <c r="F69" i="36" s="1"/>
  <c r="F70" i="36" s="1"/>
  <c r="F74" i="36" s="1"/>
  <c r="G70" i="44" l="1"/>
  <c r="D128" i="44"/>
  <c r="D53" i="44"/>
  <c r="D66" i="44" s="1"/>
  <c r="G68" i="44"/>
  <c r="F128" i="44"/>
  <c r="G105" i="44"/>
  <c r="G110" i="44" s="1"/>
  <c r="G114" i="44" s="1"/>
  <c r="G126" i="44"/>
  <c r="E120" i="44"/>
  <c r="E12" i="44"/>
  <c r="H102" i="44"/>
  <c r="H103" i="44" s="1"/>
  <c r="H9" i="44"/>
  <c r="H41" i="44"/>
  <c r="H42" i="44" s="1"/>
  <c r="D127" i="44"/>
  <c r="D118" i="44"/>
  <c r="I4" i="44"/>
  <c r="H18" i="44"/>
  <c r="I21" i="44"/>
  <c r="J3" i="44"/>
  <c r="I5" i="44"/>
  <c r="I20" i="44"/>
  <c r="D57" i="44"/>
  <c r="F130" i="44"/>
  <c r="F129" i="44"/>
  <c r="F114" i="44"/>
  <c r="F119" i="44"/>
  <c r="F58" i="44"/>
  <c r="F131" i="44"/>
  <c r="F66" i="44"/>
  <c r="F57" i="44"/>
  <c r="E66" i="44"/>
  <c r="E57" i="44"/>
  <c r="F69" i="44"/>
  <c r="F67" i="44"/>
  <c r="F68" i="44"/>
  <c r="D120" i="44"/>
  <c r="D12" i="44"/>
  <c r="E114" i="44"/>
  <c r="E16" i="44"/>
  <c r="E130" i="44"/>
  <c r="E129" i="44"/>
  <c r="F77" i="36"/>
  <c r="F83" i="36" s="1"/>
  <c r="J4" i="44" l="1"/>
  <c r="I18" i="44"/>
  <c r="J5" i="44"/>
  <c r="K3" i="44"/>
  <c r="J21" i="44"/>
  <c r="J108" i="44" s="1"/>
  <c r="J20" i="44"/>
  <c r="J46" i="44" s="1"/>
  <c r="I108" i="44"/>
  <c r="I47" i="44"/>
  <c r="H65" i="44"/>
  <c r="H44" i="44"/>
  <c r="H49" i="44" s="1"/>
  <c r="H53" i="44" s="1"/>
  <c r="H10" i="44"/>
  <c r="H11" i="44" s="1"/>
  <c r="F127" i="44"/>
  <c r="F118" i="44"/>
  <c r="F121" i="44" s="1"/>
  <c r="G128" i="44"/>
  <c r="H126" i="44"/>
  <c r="H105" i="44"/>
  <c r="H110" i="44" s="1"/>
  <c r="E119" i="44"/>
  <c r="E58" i="44"/>
  <c r="I50" i="44"/>
  <c r="H111" i="44"/>
  <c r="H113" i="44" s="1"/>
  <c r="H50" i="44"/>
  <c r="H52" i="44" s="1"/>
  <c r="H24" i="44"/>
  <c r="I6" i="44"/>
  <c r="H25" i="44"/>
  <c r="E127" i="44"/>
  <c r="E118" i="44"/>
  <c r="E121" i="44" s="1"/>
  <c r="I23" i="44"/>
  <c r="I19" i="44"/>
  <c r="G130" i="44"/>
  <c r="G129" i="44"/>
  <c r="G131" i="44"/>
  <c r="D58" i="44"/>
  <c r="D119" i="44"/>
  <c r="D121" i="44"/>
  <c r="G127" i="44"/>
  <c r="G118" i="44"/>
  <c r="G121" i="44" s="1"/>
  <c r="I107" i="44"/>
  <c r="I46" i="44"/>
  <c r="I109" i="44" l="1"/>
  <c r="I48" i="44"/>
  <c r="I52" i="44"/>
  <c r="H66" i="44"/>
  <c r="H57" i="44"/>
  <c r="H15" i="44"/>
  <c r="H120" i="44"/>
  <c r="I63" i="44"/>
  <c r="H64" i="44" s="1"/>
  <c r="H70" i="44" s="1"/>
  <c r="I43" i="44"/>
  <c r="I51" i="44" s="1"/>
  <c r="I104" i="44"/>
  <c r="I112" i="44" s="1"/>
  <c r="I7" i="44"/>
  <c r="H68" i="44"/>
  <c r="H67" i="44"/>
  <c r="I24" i="44"/>
  <c r="J6" i="44"/>
  <c r="J18" i="44"/>
  <c r="K5" i="44"/>
  <c r="K4" i="44"/>
  <c r="K21" i="44"/>
  <c r="K47" i="44" s="1"/>
  <c r="K20" i="44"/>
  <c r="K46" i="44" s="1"/>
  <c r="L3" i="44"/>
  <c r="I124" i="44"/>
  <c r="H125" i="44" s="1"/>
  <c r="H131" i="44" s="1"/>
  <c r="I8" i="44"/>
  <c r="H56" i="44"/>
  <c r="H117" i="44"/>
  <c r="H129" i="44"/>
  <c r="H130" i="44"/>
  <c r="J107" i="44"/>
  <c r="I45" i="44"/>
  <c r="H114" i="44"/>
  <c r="J47" i="44"/>
  <c r="J23" i="44"/>
  <c r="J19" i="44"/>
  <c r="J45" i="44" s="1"/>
  <c r="K47" i="26"/>
  <c r="L46" i="26"/>
  <c r="L47" i="26" s="1"/>
  <c r="K46" i="26"/>
  <c r="J46" i="26"/>
  <c r="J47" i="26" s="1"/>
  <c r="I46" i="26"/>
  <c r="I47" i="26" s="1"/>
  <c r="H46" i="26"/>
  <c r="H47" i="26" s="1"/>
  <c r="G46" i="26"/>
  <c r="G47" i="26" s="1"/>
  <c r="F46" i="26"/>
  <c r="F47" i="26" s="1"/>
  <c r="E46" i="26"/>
  <c r="E47" i="26" s="1"/>
  <c r="D46" i="26"/>
  <c r="D47" i="26" s="1"/>
  <c r="L44" i="26"/>
  <c r="K44" i="26"/>
  <c r="J55" i="26" s="1"/>
  <c r="J44" i="26"/>
  <c r="I44" i="26"/>
  <c r="I42" i="26" s="1"/>
  <c r="H44" i="26"/>
  <c r="G44" i="26"/>
  <c r="F44" i="26"/>
  <c r="F42" i="26" s="1"/>
  <c r="E44" i="26"/>
  <c r="E42" i="26" s="1"/>
  <c r="D44" i="26"/>
  <c r="D42" i="26" s="1"/>
  <c r="D43" i="26" s="1"/>
  <c r="D48" i="26" s="1"/>
  <c r="J42" i="26"/>
  <c r="J43" i="26" s="1"/>
  <c r="J48" i="26" s="1"/>
  <c r="G42" i="26"/>
  <c r="G43" i="26" s="1"/>
  <c r="G48" i="26" s="1"/>
  <c r="C7" i="26"/>
  <c r="B7" i="26"/>
  <c r="C6" i="26"/>
  <c r="B6" i="26"/>
  <c r="C4" i="26"/>
  <c r="B4" i="26"/>
  <c r="C3" i="26"/>
  <c r="B3" i="26"/>
  <c r="C2" i="26"/>
  <c r="B2" i="26"/>
  <c r="H55" i="26" l="1"/>
  <c r="K42" i="26"/>
  <c r="K43" i="26" s="1"/>
  <c r="K48" i="26" s="1"/>
  <c r="I55" i="26"/>
  <c r="K55" i="26"/>
  <c r="H69" i="44"/>
  <c r="K49" i="26"/>
  <c r="K50" i="26" s="1"/>
  <c r="K57" i="26" s="1"/>
  <c r="K108" i="44"/>
  <c r="H42" i="26"/>
  <c r="H43" i="26" s="1"/>
  <c r="H48" i="26" s="1"/>
  <c r="G55" i="26"/>
  <c r="J109" i="44"/>
  <c r="J48" i="44"/>
  <c r="K19" i="44"/>
  <c r="K45" i="44" s="1"/>
  <c r="K23" i="44"/>
  <c r="J8" i="44"/>
  <c r="I56" i="44"/>
  <c r="I117" i="44"/>
  <c r="L5" i="44"/>
  <c r="L20" i="44"/>
  <c r="K18" i="44"/>
  <c r="L4" i="44"/>
  <c r="L21" i="44"/>
  <c r="L47" i="44" s="1"/>
  <c r="M3" i="44"/>
  <c r="K107" i="44"/>
  <c r="I102" i="44"/>
  <c r="I103" i="44" s="1"/>
  <c r="I9" i="44"/>
  <c r="I41" i="44"/>
  <c r="I42" i="44" s="1"/>
  <c r="J43" i="44"/>
  <c r="J51" i="44" s="1"/>
  <c r="J104" i="44"/>
  <c r="J112" i="44" s="1"/>
  <c r="J7" i="44"/>
  <c r="I25" i="44"/>
  <c r="H118" i="44"/>
  <c r="H127" i="44"/>
  <c r="I54" i="44"/>
  <c r="I55" i="44" s="1"/>
  <c r="I115" i="44"/>
  <c r="I116" i="44" s="1"/>
  <c r="J24" i="44"/>
  <c r="J25" i="44"/>
  <c r="K6" i="44"/>
  <c r="J50" i="44"/>
  <c r="J52" i="44" s="1"/>
  <c r="H13" i="44"/>
  <c r="H12" i="44" s="1"/>
  <c r="D40" i="26"/>
  <c r="E43" i="26"/>
  <c r="E48" i="26" s="1"/>
  <c r="E49" i="26" s="1"/>
  <c r="D49" i="26"/>
  <c r="G49" i="26"/>
  <c r="H49" i="26"/>
  <c r="J49" i="26"/>
  <c r="F43" i="26"/>
  <c r="F48" i="26" s="1"/>
  <c r="E40" i="26"/>
  <c r="F49" i="26"/>
  <c r="I40" i="26"/>
  <c r="I43" i="26"/>
  <c r="I48" i="26" s="1"/>
  <c r="I49" i="26" s="1"/>
  <c r="D55" i="26"/>
  <c r="F55" i="26"/>
  <c r="G40" i="26"/>
  <c r="J40" i="26"/>
  <c r="F40" i="26"/>
  <c r="L42" i="26"/>
  <c r="L43" i="26" s="1"/>
  <c r="L48" i="26" s="1"/>
  <c r="L49" i="26" s="1"/>
  <c r="E55" i="26"/>
  <c r="H40" i="26" l="1"/>
  <c r="J54" i="44"/>
  <c r="J55" i="44" s="1"/>
  <c r="J115" i="44"/>
  <c r="J116" i="44" s="1"/>
  <c r="L19" i="44"/>
  <c r="L23" i="44"/>
  <c r="K106" i="44"/>
  <c r="H58" i="44"/>
  <c r="H119" i="44"/>
  <c r="H121" i="44" s="1"/>
  <c r="K109" i="44"/>
  <c r="K48" i="44"/>
  <c r="I65" i="44"/>
  <c r="I44" i="44"/>
  <c r="I49" i="44" s="1"/>
  <c r="I53" i="44" s="1"/>
  <c r="K24" i="44"/>
  <c r="L6" i="44"/>
  <c r="K25" i="44"/>
  <c r="L111" i="44"/>
  <c r="K43" i="44"/>
  <c r="K51" i="44" s="1"/>
  <c r="K104" i="44"/>
  <c r="K112" i="44" s="1"/>
  <c r="K7" i="44"/>
  <c r="I15" i="44"/>
  <c r="I120" i="44"/>
  <c r="J63" i="44"/>
  <c r="I64" i="44" s="1"/>
  <c r="I10" i="44"/>
  <c r="I11" i="44" s="1"/>
  <c r="M107" i="44"/>
  <c r="M46" i="44"/>
  <c r="J15" i="44"/>
  <c r="K63" i="44"/>
  <c r="J102" i="44"/>
  <c r="J103" i="44" s="1"/>
  <c r="J9" i="44"/>
  <c r="J41" i="44"/>
  <c r="J42" i="44" s="1"/>
  <c r="H128" i="44"/>
  <c r="I126" i="44"/>
  <c r="I105" i="44"/>
  <c r="I110" i="44" s="1"/>
  <c r="K50" i="44"/>
  <c r="L46" i="44"/>
  <c r="J117" i="44"/>
  <c r="K8" i="44"/>
  <c r="K124" i="44"/>
  <c r="J56" i="44"/>
  <c r="L7" i="44"/>
  <c r="L107" i="44"/>
  <c r="L108" i="44"/>
  <c r="M20" i="44"/>
  <c r="M5" i="44"/>
  <c r="M21" i="44"/>
  <c r="M108" i="44" s="1"/>
  <c r="L18" i="44"/>
  <c r="M4" i="44"/>
  <c r="N3" i="44"/>
  <c r="M18" i="44" s="1"/>
  <c r="J124" i="44"/>
  <c r="I125" i="44" s="1"/>
  <c r="H16" i="44"/>
  <c r="I50" i="26"/>
  <c r="I57" i="26" s="1"/>
  <c r="I37" i="26" s="1"/>
  <c r="I39" i="26" s="1"/>
  <c r="E50" i="26"/>
  <c r="E57" i="26" s="1"/>
  <c r="E37" i="26" s="1"/>
  <c r="L50" i="26"/>
  <c r="L51" i="26" s="1"/>
  <c r="L52" i="26" s="1"/>
  <c r="H50" i="26"/>
  <c r="H57" i="26" s="1"/>
  <c r="H37" i="26" s="1"/>
  <c r="D50" i="26"/>
  <c r="D57" i="26" s="1"/>
  <c r="D37" i="26" s="1"/>
  <c r="J50" i="26"/>
  <c r="J57" i="26" s="1"/>
  <c r="J37" i="26" s="1"/>
  <c r="J51" i="26"/>
  <c r="F50" i="26"/>
  <c r="F57" i="26" s="1"/>
  <c r="F37" i="26" s="1"/>
  <c r="F39" i="26" s="1"/>
  <c r="K51" i="26"/>
  <c r="G50" i="26"/>
  <c r="G57" i="26" s="1"/>
  <c r="G37" i="26" s="1"/>
  <c r="I51" i="26" l="1"/>
  <c r="J125" i="44"/>
  <c r="I13" i="44"/>
  <c r="I16" i="44" s="1"/>
  <c r="K111" i="44" s="1"/>
  <c r="K113" i="44" s="1"/>
  <c r="I12" i="44"/>
  <c r="K102" i="44"/>
  <c r="K103" i="44" s="1"/>
  <c r="K9" i="44"/>
  <c r="K41" i="44"/>
  <c r="K42" i="44" s="1"/>
  <c r="I57" i="44"/>
  <c r="I66" i="44"/>
  <c r="L41" i="44"/>
  <c r="L42" i="44" s="1"/>
  <c r="L102" i="44"/>
  <c r="L103" i="44" s="1"/>
  <c r="J131" i="44"/>
  <c r="K115" i="44"/>
  <c r="K116" i="44" s="1"/>
  <c r="K54" i="44"/>
  <c r="K55" i="44" s="1"/>
  <c r="I128" i="44"/>
  <c r="J126" i="44"/>
  <c r="J105" i="44"/>
  <c r="J110" i="44" s="1"/>
  <c r="M19" i="44"/>
  <c r="M45" i="44" s="1"/>
  <c r="M23" i="44"/>
  <c r="I129" i="44"/>
  <c r="I130" i="44"/>
  <c r="L24" i="44"/>
  <c r="M6" i="44"/>
  <c r="L25" i="44"/>
  <c r="M111" i="44"/>
  <c r="M50" i="44"/>
  <c r="L63" i="44"/>
  <c r="K64" i="44" s="1"/>
  <c r="K15" i="44"/>
  <c r="I68" i="44"/>
  <c r="I69" i="44"/>
  <c r="I67" i="44"/>
  <c r="L109" i="44"/>
  <c r="L48" i="44"/>
  <c r="J65" i="44"/>
  <c r="J44" i="44"/>
  <c r="J49" i="44" s="1"/>
  <c r="J53" i="44" s="1"/>
  <c r="J10" i="44"/>
  <c r="J11" i="44" s="1"/>
  <c r="I70" i="44"/>
  <c r="L50" i="44"/>
  <c r="I111" i="44"/>
  <c r="I113" i="44" s="1"/>
  <c r="I114" i="44" s="1"/>
  <c r="L104" i="44"/>
  <c r="L112" i="44" s="1"/>
  <c r="L113" i="44" s="1"/>
  <c r="L43" i="44"/>
  <c r="L51" i="44" s="1"/>
  <c r="L45" i="44"/>
  <c r="M47" i="44"/>
  <c r="I131" i="44"/>
  <c r="K52" i="44"/>
  <c r="J64" i="44"/>
  <c r="K117" i="44"/>
  <c r="K56" i="44"/>
  <c r="L124" i="44"/>
  <c r="K125" i="44" s="1"/>
  <c r="L8" i="44"/>
  <c r="L106" i="44"/>
  <c r="D35" i="26"/>
  <c r="D38" i="26"/>
  <c r="J53" i="26"/>
  <c r="J56" i="26" s="1"/>
  <c r="J38" i="26"/>
  <c r="J36" i="26"/>
  <c r="J35" i="26"/>
  <c r="E38" i="26"/>
  <c r="E35" i="26"/>
  <c r="E36" i="26"/>
  <c r="J39" i="26"/>
  <c r="F51" i="26"/>
  <c r="H51" i="26"/>
  <c r="I53" i="26"/>
  <c r="I56" i="26" s="1"/>
  <c r="G36" i="26"/>
  <c r="G38" i="26"/>
  <c r="G35" i="26"/>
  <c r="G51" i="26"/>
  <c r="K53" i="26"/>
  <c r="K56" i="26" s="1"/>
  <c r="D39" i="26"/>
  <c r="D51" i="26"/>
  <c r="G39" i="26"/>
  <c r="E51" i="26"/>
  <c r="E39" i="26"/>
  <c r="F35" i="26"/>
  <c r="F38" i="26"/>
  <c r="F36" i="26"/>
  <c r="H36" i="26"/>
  <c r="H35" i="26"/>
  <c r="H38" i="26"/>
  <c r="H39" i="26"/>
  <c r="I38" i="26"/>
  <c r="I35" i="26"/>
  <c r="I36" i="26"/>
  <c r="J70" i="44" l="1"/>
  <c r="L52" i="44"/>
  <c r="I52" i="26"/>
  <c r="J13" i="44"/>
  <c r="J12" i="44"/>
  <c r="K70" i="44"/>
  <c r="I118" i="44"/>
  <c r="I127" i="44"/>
  <c r="M109" i="44"/>
  <c r="M48" i="44"/>
  <c r="K44" i="44"/>
  <c r="K49" i="44" s="1"/>
  <c r="K53" i="44" s="1"/>
  <c r="K65" i="44"/>
  <c r="M113" i="44"/>
  <c r="K10" i="44"/>
  <c r="K11" i="44" s="1"/>
  <c r="M63" i="44"/>
  <c r="L15" i="44"/>
  <c r="M24" i="44"/>
  <c r="L126" i="44"/>
  <c r="L105" i="44"/>
  <c r="L110" i="44" s="1"/>
  <c r="L114" i="44" s="1"/>
  <c r="K128" i="44"/>
  <c r="K126" i="44"/>
  <c r="K105" i="44"/>
  <c r="K110" i="44" s="1"/>
  <c r="K114" i="44" s="1"/>
  <c r="J128" i="44"/>
  <c r="J57" i="44"/>
  <c r="J66" i="44"/>
  <c r="J111" i="44"/>
  <c r="J113" i="44" s="1"/>
  <c r="J114" i="44" s="1"/>
  <c r="J68" i="44"/>
  <c r="J67" i="44"/>
  <c r="J69" i="44"/>
  <c r="L115" i="44"/>
  <c r="L116" i="44" s="1"/>
  <c r="L54" i="44"/>
  <c r="L55" i="44" s="1"/>
  <c r="M104" i="44"/>
  <c r="M112" i="44" s="1"/>
  <c r="M43" i="44"/>
  <c r="M51" i="44" s="1"/>
  <c r="M52" i="44" s="1"/>
  <c r="M25" i="44"/>
  <c r="L44" i="44"/>
  <c r="L49" i="44" s="1"/>
  <c r="L53" i="44" s="1"/>
  <c r="L65" i="44"/>
  <c r="M106" i="44"/>
  <c r="L117" i="44"/>
  <c r="L56" i="44"/>
  <c r="M124" i="44"/>
  <c r="M8" i="44"/>
  <c r="L9" i="44"/>
  <c r="I58" i="44"/>
  <c r="I119" i="44"/>
  <c r="M7" i="44"/>
  <c r="J129" i="44"/>
  <c r="J130" i="44"/>
  <c r="D53" i="26"/>
  <c r="D56" i="26" s="1"/>
  <c r="K52" i="26"/>
  <c r="H53" i="26"/>
  <c r="H56" i="26" s="1"/>
  <c r="F53" i="26"/>
  <c r="F56" i="26" s="1"/>
  <c r="J52" i="26"/>
  <c r="G53" i="26"/>
  <c r="G56" i="26" s="1"/>
  <c r="E53" i="26"/>
  <c r="E56" i="26" s="1"/>
  <c r="K127" i="44" l="1"/>
  <c r="K118" i="44"/>
  <c r="K13" i="44"/>
  <c r="K12" i="44" s="1"/>
  <c r="L127" i="44"/>
  <c r="L118" i="44"/>
  <c r="L64" i="44"/>
  <c r="L70" i="44" s="1"/>
  <c r="M64" i="44"/>
  <c r="L67" i="44"/>
  <c r="L68" i="44"/>
  <c r="K130" i="44"/>
  <c r="K129" i="44"/>
  <c r="L66" i="44"/>
  <c r="L57" i="44"/>
  <c r="I121" i="44"/>
  <c r="L10" i="44"/>
  <c r="L11" i="44"/>
  <c r="M15" i="44"/>
  <c r="M115" i="44"/>
  <c r="M116" i="44" s="1"/>
  <c r="M54" i="44"/>
  <c r="M55" i="44" s="1"/>
  <c r="J118" i="44"/>
  <c r="J127" i="44"/>
  <c r="L130" i="44"/>
  <c r="L129" i="44"/>
  <c r="K67" i="44"/>
  <c r="K68" i="44"/>
  <c r="K69" i="44"/>
  <c r="M125" i="44"/>
  <c r="L125" i="44"/>
  <c r="L131" i="44" s="1"/>
  <c r="M56" i="44"/>
  <c r="M117" i="44"/>
  <c r="K57" i="44"/>
  <c r="K66" i="44"/>
  <c r="K131" i="44"/>
  <c r="J58" i="44"/>
  <c r="J119" i="44"/>
  <c r="M41" i="44"/>
  <c r="M42" i="44" s="1"/>
  <c r="M9" i="44"/>
  <c r="M102" i="44"/>
  <c r="M103" i="44" s="1"/>
  <c r="J120" i="44"/>
  <c r="J16" i="44"/>
  <c r="F52" i="26"/>
  <c r="E52" i="26"/>
  <c r="H52" i="26"/>
  <c r="G52" i="26"/>
  <c r="D52" i="26"/>
  <c r="L69" i="44" l="1"/>
  <c r="K120" i="44"/>
  <c r="K16" i="44"/>
  <c r="M10" i="44"/>
  <c r="M11" i="44"/>
  <c r="L13" i="44"/>
  <c r="L12" i="44"/>
  <c r="M44" i="44"/>
  <c r="M49" i="44" s="1"/>
  <c r="M53" i="44" s="1"/>
  <c r="M65" i="44"/>
  <c r="J121" i="44"/>
  <c r="M70" i="44"/>
  <c r="K119" i="44"/>
  <c r="K58" i="44"/>
  <c r="K59" i="44" s="1"/>
  <c r="M126" i="44"/>
  <c r="M131" i="44" s="1"/>
  <c r="M105" i="44"/>
  <c r="M110" i="44" s="1"/>
  <c r="M114" i="44" s="1"/>
  <c r="L128" i="44"/>
  <c r="K121" i="44" l="1"/>
  <c r="M13" i="44"/>
  <c r="M127" i="44"/>
  <c r="M118" i="44"/>
  <c r="M67" i="44"/>
  <c r="M68" i="44"/>
  <c r="M69" i="44"/>
  <c r="M130" i="44"/>
  <c r="M129" i="44"/>
  <c r="M66" i="44"/>
  <c r="M57" i="44"/>
  <c r="L119" i="44"/>
  <c r="L58" i="44"/>
  <c r="L59" i="44" s="1"/>
  <c r="L120" i="44"/>
  <c r="L16" i="44"/>
  <c r="L121" i="44" l="1"/>
  <c r="M120" i="44"/>
  <c r="M16" i="44"/>
  <c r="M12" i="44"/>
  <c r="M119" i="44" l="1"/>
  <c r="M121" i="44" s="1"/>
  <c r="M58" i="44"/>
  <c r="I44" i="13" l="1"/>
  <c r="I45" i="13" s="1"/>
  <c r="H44" i="13"/>
  <c r="H45" i="13" s="1"/>
  <c r="G44" i="13"/>
  <c r="G45" i="13" s="1"/>
  <c r="F44" i="13"/>
  <c r="F45" i="13" s="1"/>
  <c r="E44" i="13"/>
  <c r="E45" i="13" s="1"/>
  <c r="E53" i="13" s="1"/>
  <c r="D44" i="13"/>
  <c r="D45" i="13" s="1"/>
  <c r="D53" i="13" s="1"/>
  <c r="F32" i="13"/>
  <c r="F46" i="13" s="1"/>
  <c r="E32" i="13"/>
  <c r="E46" i="13" s="1"/>
  <c r="D32" i="13"/>
  <c r="D46" i="13" s="1"/>
  <c r="I30" i="13"/>
  <c r="I32" i="13" s="1"/>
  <c r="I46" i="13" s="1"/>
  <c r="H30" i="13"/>
  <c r="G30" i="13"/>
  <c r="F30" i="13"/>
  <c r="E30" i="13"/>
  <c r="D30" i="13"/>
  <c r="C7" i="13"/>
  <c r="B7" i="13"/>
  <c r="C6" i="13"/>
  <c r="B6" i="13"/>
  <c r="C4" i="13"/>
  <c r="B4" i="13"/>
  <c r="C3" i="13"/>
  <c r="B3" i="13"/>
  <c r="C2" i="13"/>
  <c r="B2" i="13"/>
  <c r="F100" i="10"/>
  <c r="E100" i="10"/>
  <c r="F98" i="10"/>
  <c r="E98" i="10"/>
  <c r="F94" i="10"/>
  <c r="E94" i="10"/>
  <c r="F92" i="10"/>
  <c r="E92" i="10"/>
  <c r="F83" i="10"/>
  <c r="E83" i="10"/>
  <c r="F81" i="10"/>
  <c r="E81" i="10"/>
  <c r="C80" i="10"/>
  <c r="F79" i="10"/>
  <c r="E79" i="10"/>
  <c r="F78" i="10"/>
  <c r="E78" i="10"/>
  <c r="F75" i="10"/>
  <c r="E75" i="10"/>
  <c r="F74" i="10"/>
  <c r="E74" i="10"/>
  <c r="F73" i="10"/>
  <c r="E73" i="10"/>
  <c r="F72" i="10"/>
  <c r="E72" i="10"/>
  <c r="F71" i="10"/>
  <c r="E71" i="10"/>
  <c r="F70" i="10"/>
  <c r="F80" i="10" s="1"/>
  <c r="E70" i="10"/>
  <c r="E80" i="10" s="1"/>
  <c r="F66" i="10"/>
  <c r="E66" i="10"/>
  <c r="F65" i="10"/>
  <c r="E65" i="10"/>
  <c r="F64" i="10"/>
  <c r="E64" i="10"/>
  <c r="F55" i="10"/>
  <c r="E55" i="10"/>
  <c r="D55" i="10"/>
  <c r="F53" i="10"/>
  <c r="E53" i="10"/>
  <c r="D53" i="10"/>
  <c r="D50" i="10"/>
  <c r="F48" i="10"/>
  <c r="F50" i="10" s="1"/>
  <c r="E48" i="10"/>
  <c r="E50" i="10" s="1"/>
  <c r="E57" i="10" s="1"/>
  <c r="D48" i="10"/>
  <c r="F44" i="10"/>
  <c r="F106" i="10" s="1"/>
  <c r="E44" i="10"/>
  <c r="D44" i="10"/>
  <c r="F35" i="10"/>
  <c r="F36" i="10" s="1"/>
  <c r="E35" i="10"/>
  <c r="E36" i="10" s="1"/>
  <c r="D35" i="10"/>
  <c r="D36" i="10" s="1"/>
  <c r="D38" i="10" s="1"/>
  <c r="D40" i="10" s="1"/>
  <c r="F34" i="10"/>
  <c r="F89" i="10" s="1"/>
  <c r="E34" i="10"/>
  <c r="E89" i="10" s="1"/>
  <c r="D34" i="10"/>
  <c r="F29" i="10"/>
  <c r="F63" i="10" s="1"/>
  <c r="E29" i="10"/>
  <c r="E63" i="10" s="1"/>
  <c r="D29" i="10"/>
  <c r="F28" i="10"/>
  <c r="E28" i="10"/>
  <c r="D28" i="10"/>
  <c r="F22" i="10"/>
  <c r="E22" i="10"/>
  <c r="D22" i="10"/>
  <c r="C7" i="10"/>
  <c r="B7" i="10"/>
  <c r="C6" i="10"/>
  <c r="B6" i="10"/>
  <c r="B4" i="10"/>
  <c r="B3" i="10"/>
  <c r="B2" i="10"/>
  <c r="P93" i="8"/>
  <c r="O93" i="8"/>
  <c r="P89" i="8"/>
  <c r="O89" i="8"/>
  <c r="P80" i="8"/>
  <c r="O80" i="8"/>
  <c r="P78" i="8"/>
  <c r="O78" i="8"/>
  <c r="P77" i="8"/>
  <c r="O77" i="8"/>
  <c r="P72" i="8"/>
  <c r="O72" i="8"/>
  <c r="P71" i="8"/>
  <c r="O71" i="8"/>
  <c r="P70" i="8"/>
  <c r="O70" i="8"/>
  <c r="P69" i="8"/>
  <c r="O69" i="8"/>
  <c r="P68" i="8"/>
  <c r="O68" i="8"/>
  <c r="P67" i="8"/>
  <c r="P76" i="8" s="1"/>
  <c r="O67" i="8"/>
  <c r="O76" i="8" s="1"/>
  <c r="P63" i="8"/>
  <c r="O63" i="8"/>
  <c r="F52" i="8"/>
  <c r="F55" i="8" s="1"/>
  <c r="E52" i="8"/>
  <c r="E55" i="8" s="1"/>
  <c r="D52" i="8"/>
  <c r="D55" i="8" s="1"/>
  <c r="F50" i="8"/>
  <c r="E50" i="8"/>
  <c r="D50" i="8"/>
  <c r="F45" i="8"/>
  <c r="F46" i="8" s="1"/>
  <c r="E45" i="8"/>
  <c r="E46" i="8" s="1"/>
  <c r="D45" i="8"/>
  <c r="D46" i="8" s="1"/>
  <c r="F41" i="8"/>
  <c r="E41" i="8"/>
  <c r="D41" i="8"/>
  <c r="F32" i="8"/>
  <c r="F33" i="8" s="1"/>
  <c r="P59" i="8" s="1"/>
  <c r="E32" i="8"/>
  <c r="D32" i="8"/>
  <c r="F31" i="8"/>
  <c r="P86" i="8" s="1"/>
  <c r="E31" i="8"/>
  <c r="O86" i="8" s="1"/>
  <c r="D31" i="8"/>
  <c r="F25" i="8"/>
  <c r="P62" i="8" s="1"/>
  <c r="E25" i="8"/>
  <c r="O62" i="8" s="1"/>
  <c r="D25" i="8"/>
  <c r="C7" i="8"/>
  <c r="B7" i="8"/>
  <c r="C6" i="8"/>
  <c r="B6" i="8"/>
  <c r="C4" i="8"/>
  <c r="B4" i="8"/>
  <c r="C3" i="8"/>
  <c r="B3" i="8"/>
  <c r="C2" i="8"/>
  <c r="B2" i="8"/>
  <c r="F87" i="7"/>
  <c r="E87" i="7"/>
  <c r="F82" i="7"/>
  <c r="E82" i="7"/>
  <c r="F78" i="7"/>
  <c r="E78" i="7"/>
  <c r="F76" i="7"/>
  <c r="F74" i="7"/>
  <c r="E74" i="7"/>
  <c r="F72" i="7"/>
  <c r="E72" i="7"/>
  <c r="F71" i="7"/>
  <c r="E71" i="7"/>
  <c r="F65" i="7"/>
  <c r="F67" i="7" s="1"/>
  <c r="E65" i="7"/>
  <c r="F62" i="7"/>
  <c r="E62" i="7"/>
  <c r="F61" i="7"/>
  <c r="E61" i="7"/>
  <c r="F60" i="7"/>
  <c r="E60" i="7"/>
  <c r="F59" i="7"/>
  <c r="E59" i="7"/>
  <c r="F58" i="7"/>
  <c r="E58" i="7"/>
  <c r="F57" i="7"/>
  <c r="F66" i="7" s="1"/>
  <c r="E57" i="7"/>
  <c r="E66" i="7" s="1"/>
  <c r="F53" i="7"/>
  <c r="E53" i="7"/>
  <c r="F52" i="7"/>
  <c r="F54" i="7" s="1"/>
  <c r="F47" i="7"/>
  <c r="F44" i="7"/>
  <c r="E44" i="7"/>
  <c r="E47" i="7" s="1"/>
  <c r="D44" i="7"/>
  <c r="D47" i="7" s="1"/>
  <c r="F39" i="7"/>
  <c r="F41" i="7" s="1"/>
  <c r="E39" i="7"/>
  <c r="E41" i="7" s="1"/>
  <c r="D39" i="7"/>
  <c r="D41" i="7" s="1"/>
  <c r="F28" i="7"/>
  <c r="F29" i="7" s="1"/>
  <c r="E28" i="7"/>
  <c r="E76" i="7" s="1"/>
  <c r="D28" i="7"/>
  <c r="F24" i="7"/>
  <c r="E24" i="7"/>
  <c r="E52" i="7" s="1"/>
  <c r="E54" i="7" s="1"/>
  <c r="D24" i="7"/>
  <c r="D29" i="7" s="1"/>
  <c r="D31" i="7" s="1"/>
  <c r="D33" i="7" s="1"/>
  <c r="F18" i="7"/>
  <c r="E18" i="7" s="1"/>
  <c r="D18" i="7" s="1"/>
  <c r="O64" i="8" l="1"/>
  <c r="P64" i="8"/>
  <c r="O98" i="8"/>
  <c r="P81" i="8"/>
  <c r="P75" i="8"/>
  <c r="I53" i="13"/>
  <c r="D33" i="8"/>
  <c r="D35" i="8" s="1"/>
  <c r="D37" i="8" s="1"/>
  <c r="E29" i="7"/>
  <c r="E49" i="7" s="1"/>
  <c r="E77" i="7" s="1"/>
  <c r="E67" i="7"/>
  <c r="E69" i="7" s="1"/>
  <c r="E33" i="8"/>
  <c r="O59" i="8" s="1"/>
  <c r="O81" i="8" s="1"/>
  <c r="F53" i="13"/>
  <c r="F57" i="10"/>
  <c r="P88" i="8"/>
  <c r="D57" i="10"/>
  <c r="D58" i="10" s="1"/>
  <c r="O88" i="8"/>
  <c r="P98" i="8"/>
  <c r="P79" i="8"/>
  <c r="E67" i="10"/>
  <c r="E91" i="10"/>
  <c r="G32" i="13"/>
  <c r="G46" i="13" s="1"/>
  <c r="G50" i="13" s="1"/>
  <c r="G48" i="13" s="1"/>
  <c r="F58" i="10"/>
  <c r="P87" i="8"/>
  <c r="O75" i="8"/>
  <c r="F67" i="10"/>
  <c r="E106" i="10"/>
  <c r="F91" i="10"/>
  <c r="E52" i="13"/>
  <c r="F52" i="13"/>
  <c r="D50" i="13"/>
  <c r="D51" i="13" s="1"/>
  <c r="H53" i="13"/>
  <c r="G53" i="13"/>
  <c r="E50" i="13"/>
  <c r="F50" i="13"/>
  <c r="I50" i="13"/>
  <c r="H32" i="13"/>
  <c r="H46" i="13" s="1"/>
  <c r="H50" i="13" s="1"/>
  <c r="E58" i="10"/>
  <c r="E38" i="10"/>
  <c r="E40" i="10" s="1"/>
  <c r="E60" i="10"/>
  <c r="F60" i="10"/>
  <c r="F38" i="10"/>
  <c r="F40" i="10" s="1"/>
  <c r="F95" i="10" s="1"/>
  <c r="E90" i="10"/>
  <c r="F35" i="8"/>
  <c r="F37" i="8" s="1"/>
  <c r="P94" i="8" s="1"/>
  <c r="P65" i="8"/>
  <c r="P66" i="8" s="1"/>
  <c r="P73" i="8" s="1"/>
  <c r="E75" i="7"/>
  <c r="E88" i="7"/>
  <c r="E89" i="7" s="1"/>
  <c r="E55" i="7"/>
  <c r="E56" i="7"/>
  <c r="E63" i="7" s="1"/>
  <c r="F55" i="7"/>
  <c r="F56" i="7" s="1"/>
  <c r="F63" i="7" s="1"/>
  <c r="F69" i="7" s="1"/>
  <c r="F49" i="7"/>
  <c r="F31" i="7"/>
  <c r="F33" i="7" s="1"/>
  <c r="F83" i="7" s="1"/>
  <c r="F88" i="7"/>
  <c r="F89" i="7" s="1"/>
  <c r="E31" i="7"/>
  <c r="E33" i="7" s="1"/>
  <c r="E83" i="7" s="1"/>
  <c r="N59" i="8" l="1"/>
  <c r="P82" i="8"/>
  <c r="E35" i="8"/>
  <c r="E37" i="8" s="1"/>
  <c r="O94" i="8" s="1"/>
  <c r="E73" i="7"/>
  <c r="E80" i="7" s="1"/>
  <c r="E85" i="7" s="1"/>
  <c r="E92" i="7" s="1"/>
  <c r="E95" i="10"/>
  <c r="O79" i="8"/>
  <c r="O82" i="8" s="1"/>
  <c r="O87" i="8"/>
  <c r="O65" i="8"/>
  <c r="O66" i="8" s="1"/>
  <c r="O73" i="8" s="1"/>
  <c r="G52" i="13"/>
  <c r="H49" i="13"/>
  <c r="H54" i="13" s="1"/>
  <c r="H51" i="13"/>
  <c r="H48" i="13"/>
  <c r="I49" i="13"/>
  <c r="I51" i="13"/>
  <c r="I48" i="13"/>
  <c r="H52" i="13"/>
  <c r="I52" i="13"/>
  <c r="F49" i="13"/>
  <c r="F54" i="13" s="1"/>
  <c r="F51" i="13"/>
  <c r="F48" i="13"/>
  <c r="G49" i="13"/>
  <c r="G54" i="13" s="1"/>
  <c r="E49" i="13"/>
  <c r="E51" i="13"/>
  <c r="E48" i="13"/>
  <c r="D52" i="13"/>
  <c r="G51" i="13"/>
  <c r="F101" i="10"/>
  <c r="F82" i="10"/>
  <c r="E82" i="10"/>
  <c r="E101" i="10"/>
  <c r="E68" i="10"/>
  <c r="E69" i="10" s="1"/>
  <c r="E76" i="10" s="1"/>
  <c r="F99" i="10"/>
  <c r="F102" i="10" s="1"/>
  <c r="F90" i="10"/>
  <c r="F84" i="10"/>
  <c r="E99" i="10"/>
  <c r="E84" i="10"/>
  <c r="F68" i="10"/>
  <c r="F69" i="10" s="1"/>
  <c r="F76" i="10" s="1"/>
  <c r="P84" i="8"/>
  <c r="P91" i="8" s="1"/>
  <c r="P96" i="8" s="1"/>
  <c r="F77" i="7"/>
  <c r="F73" i="7"/>
  <c r="F75" i="7"/>
  <c r="O84" i="8" l="1"/>
  <c r="O91" i="8" s="1"/>
  <c r="O96" i="8" s="1"/>
  <c r="F80" i="7"/>
  <c r="F85" i="7" s="1"/>
  <c r="F92" i="7" s="1"/>
  <c r="E54" i="13"/>
  <c r="I54" i="13"/>
  <c r="E85" i="10"/>
  <c r="E87" i="10"/>
  <c r="E93" i="10" s="1"/>
  <c r="E96" i="10" s="1"/>
  <c r="F85" i="10"/>
  <c r="F87" i="10" s="1"/>
  <c r="F93" i="10" s="1"/>
  <c r="F96" i="10" s="1"/>
  <c r="F104" i="10" s="1"/>
  <c r="E102" i="10"/>
  <c r="E104" i="10" l="1"/>
  <c r="J27" i="4" l="1"/>
  <c r="I27" i="4"/>
  <c r="H27" i="4"/>
  <c r="G27" i="4"/>
  <c r="F27" i="4"/>
  <c r="E27" i="4"/>
  <c r="D27" i="4"/>
  <c r="I25" i="4"/>
  <c r="H25" i="4"/>
  <c r="G25" i="4"/>
  <c r="F25" i="4"/>
  <c r="E25" i="4"/>
  <c r="D25" i="4"/>
  <c r="D18" i="4" s="1"/>
  <c r="D23" i="4"/>
  <c r="D22" i="4" s="1"/>
  <c r="E12" i="4"/>
  <c r="F12" i="4" s="1"/>
  <c r="G12" i="4" s="1"/>
  <c r="H12" i="4" s="1"/>
  <c r="I12" i="4" s="1"/>
  <c r="J12" i="4" s="1"/>
  <c r="E23" i="4" l="1"/>
  <c r="F23" i="4" s="1"/>
  <c r="D26" i="4"/>
  <c r="D42" i="2"/>
  <c r="E41" i="2"/>
  <c r="E42" i="2" s="1"/>
  <c r="D41" i="2"/>
  <c r="F41" i="2" l="1"/>
  <c r="G41" i="2" s="1"/>
  <c r="H41" i="2" s="1"/>
  <c r="I41" i="2" s="1"/>
  <c r="J41" i="2" s="1"/>
  <c r="J42" i="2" s="1"/>
  <c r="E13" i="4"/>
  <c r="E26" i="4"/>
  <c r="E24" i="4" s="1"/>
  <c r="D24" i="4"/>
  <c r="E16" i="4"/>
  <c r="F16" i="4" s="1"/>
  <c r="G16" i="4" s="1"/>
  <c r="F26" i="4"/>
  <c r="F24" i="4" s="1"/>
  <c r="F13" i="4"/>
  <c r="G23" i="4"/>
  <c r="F42" i="2"/>
  <c r="I42" i="2"/>
  <c r="H42" i="2"/>
  <c r="G42" i="2"/>
  <c r="E22" i="4" l="1"/>
  <c r="H23" i="4"/>
  <c r="G26" i="4"/>
  <c r="H16" i="4" s="1"/>
  <c r="G13" i="4"/>
  <c r="G22" i="4"/>
  <c r="F22" i="4"/>
  <c r="J58" i="1"/>
  <c r="I58" i="1"/>
  <c r="H58" i="1"/>
  <c r="G58" i="1"/>
  <c r="F58" i="1"/>
  <c r="E58" i="1"/>
  <c r="J62" i="1"/>
  <c r="H62" i="1"/>
  <c r="D58" i="1"/>
  <c r="G45" i="1"/>
  <c r="G60" i="1" s="1"/>
  <c r="H45" i="1"/>
  <c r="H60" i="1" s="1"/>
  <c r="J45" i="1"/>
  <c r="J60" i="1" s="1"/>
  <c r="D43" i="1"/>
  <c r="E43" i="1"/>
  <c r="F43" i="1"/>
  <c r="G43" i="1"/>
  <c r="H43" i="1"/>
  <c r="I43" i="1"/>
  <c r="J43" i="1"/>
  <c r="E40" i="1"/>
  <c r="E45" i="1" s="1"/>
  <c r="E60" i="1" s="1"/>
  <c r="F40" i="1"/>
  <c r="E62" i="1" s="1"/>
  <c r="G40" i="1"/>
  <c r="F62" i="1" s="1"/>
  <c r="H40" i="1"/>
  <c r="G62" i="1" s="1"/>
  <c r="I40" i="1"/>
  <c r="I45" i="1" s="1"/>
  <c r="I60" i="1" s="1"/>
  <c r="J40" i="1"/>
  <c r="I62" i="1" s="1"/>
  <c r="D45" i="1"/>
  <c r="D60" i="1" s="1"/>
  <c r="D39" i="1"/>
  <c r="D41" i="1" s="1"/>
  <c r="F45" i="1" l="1"/>
  <c r="F60" i="1" s="1"/>
  <c r="D62" i="1"/>
  <c r="G24" i="4"/>
  <c r="H26" i="4"/>
  <c r="I16" i="4" s="1"/>
  <c r="H13" i="4"/>
  <c r="H22" i="4"/>
  <c r="I23" i="4"/>
  <c r="H24" i="4"/>
  <c r="I13" i="4" l="1"/>
  <c r="J23" i="4"/>
  <c r="I22" i="4"/>
  <c r="I26" i="4"/>
  <c r="J16" i="4" s="1"/>
  <c r="I24" i="4"/>
  <c r="J22" i="4" l="1"/>
  <c r="J24" i="4"/>
  <c r="J13" i="4"/>
  <c r="E44" i="1" l="1"/>
  <c r="F44" i="1"/>
  <c r="G44" i="1"/>
  <c r="H44" i="1"/>
  <c r="I44" i="1"/>
  <c r="J44" i="1"/>
  <c r="D44" i="1"/>
  <c r="E24" i="1"/>
  <c r="E39" i="1" s="1"/>
  <c r="E41" i="1" s="1"/>
  <c r="D52" i="1" s="1"/>
  <c r="G46" i="1" l="1"/>
  <c r="F46" i="1"/>
  <c r="F24" i="1"/>
  <c r="E46" i="1"/>
  <c r="D46" i="1"/>
  <c r="J46" i="1"/>
  <c r="I46" i="1"/>
  <c r="H46" i="1"/>
  <c r="E47" i="1" l="1"/>
  <c r="E55" i="1" s="1"/>
  <c r="I47" i="1"/>
  <c r="I55" i="1" s="1"/>
  <c r="I48" i="1"/>
  <c r="G24" i="1"/>
  <c r="F39" i="1"/>
  <c r="F41" i="1" s="1"/>
  <c r="E52" i="1" s="1"/>
  <c r="F47" i="1"/>
  <c r="F55" i="1" s="1"/>
  <c r="J47" i="1"/>
  <c r="J55" i="1" s="1"/>
  <c r="J48" i="1"/>
  <c r="D47" i="1"/>
  <c r="D55" i="1" s="1"/>
  <c r="D48" i="1"/>
  <c r="H47" i="1"/>
  <c r="H55" i="1" s="1"/>
  <c r="H48" i="1"/>
  <c r="G47" i="1"/>
  <c r="G55" i="1" s="1"/>
  <c r="F83" i="3"/>
  <c r="E83" i="3"/>
  <c r="D83" i="3"/>
  <c r="F82" i="3"/>
  <c r="E82" i="3"/>
  <c r="D82" i="3"/>
  <c r="F78" i="3"/>
  <c r="E78" i="3"/>
  <c r="F75" i="3"/>
  <c r="E75" i="3"/>
  <c r="F73" i="3"/>
  <c r="E73" i="3"/>
  <c r="F69" i="3"/>
  <c r="E69" i="3"/>
  <c r="F68" i="3"/>
  <c r="E68" i="3"/>
  <c r="F67" i="3"/>
  <c r="E67" i="3"/>
  <c r="E66" i="3"/>
  <c r="F63" i="3"/>
  <c r="E63" i="3"/>
  <c r="F62" i="3"/>
  <c r="E62" i="3"/>
  <c r="F61" i="3"/>
  <c r="E61" i="3"/>
  <c r="F60" i="3"/>
  <c r="E60" i="3"/>
  <c r="F58" i="3"/>
  <c r="F66" i="3" s="1"/>
  <c r="E58" i="3"/>
  <c r="F46" i="3"/>
  <c r="E46" i="3"/>
  <c r="D46" i="3"/>
  <c r="F41" i="3"/>
  <c r="F43" i="3" s="1"/>
  <c r="F48" i="3" s="1"/>
  <c r="E41" i="3"/>
  <c r="E43" i="3" s="1"/>
  <c r="E48" i="3" s="1"/>
  <c r="D41" i="3"/>
  <c r="D43" i="3" s="1"/>
  <c r="F29" i="3"/>
  <c r="E29" i="3"/>
  <c r="D29" i="3"/>
  <c r="F24" i="3"/>
  <c r="F54" i="3" s="1"/>
  <c r="F56" i="3" s="1"/>
  <c r="E24" i="3"/>
  <c r="E54" i="3" s="1"/>
  <c r="E56" i="3" s="1"/>
  <c r="D24" i="3"/>
  <c r="F18" i="3"/>
  <c r="E18" i="3" s="1"/>
  <c r="D18" i="3" s="1"/>
  <c r="C7" i="3"/>
  <c r="B7" i="3"/>
  <c r="C6" i="3"/>
  <c r="B6" i="3"/>
  <c r="C4" i="3"/>
  <c r="B4" i="3"/>
  <c r="C3" i="3"/>
  <c r="B3" i="3"/>
  <c r="C2" i="3"/>
  <c r="B2" i="3"/>
  <c r="E30" i="3" l="1"/>
  <c r="E52" i="3" s="1"/>
  <c r="D84" i="3"/>
  <c r="D30" i="3"/>
  <c r="D32" i="3" s="1"/>
  <c r="D34" i="3" s="1"/>
  <c r="F30" i="3"/>
  <c r="F52" i="3" s="1"/>
  <c r="E84" i="3"/>
  <c r="F84" i="3"/>
  <c r="F85" i="3"/>
  <c r="F61" i="1"/>
  <c r="F57" i="1"/>
  <c r="G48" i="1"/>
  <c r="D48" i="3"/>
  <c r="D49" i="3" s="1"/>
  <c r="D50" i="1"/>
  <c r="D49" i="1"/>
  <c r="D61" i="1"/>
  <c r="D57" i="1"/>
  <c r="I61" i="1"/>
  <c r="I57" i="1"/>
  <c r="G61" i="1"/>
  <c r="G57" i="1"/>
  <c r="F48" i="1"/>
  <c r="H61" i="1"/>
  <c r="H57" i="1"/>
  <c r="H24" i="1"/>
  <c r="G39" i="1"/>
  <c r="G41" i="1" s="1"/>
  <c r="F52" i="1" s="1"/>
  <c r="E61" i="1"/>
  <c r="E57" i="1"/>
  <c r="J61" i="1"/>
  <c r="J57" i="1"/>
  <c r="E48" i="1"/>
  <c r="E85" i="3"/>
  <c r="F49" i="3"/>
  <c r="E32" i="3"/>
  <c r="E34" i="3" s="1"/>
  <c r="E57" i="3"/>
  <c r="E59" i="3" s="1"/>
  <c r="E65" i="3" s="1"/>
  <c r="E49" i="3"/>
  <c r="F32" i="3" l="1"/>
  <c r="F34" i="3" s="1"/>
  <c r="F79" i="3" s="1"/>
  <c r="I59" i="1"/>
  <c r="I63" i="1" s="1"/>
  <c r="I36" i="1"/>
  <c r="I34" i="1"/>
  <c r="I35" i="1"/>
  <c r="H59" i="1"/>
  <c r="H63" i="1" s="1"/>
  <c r="H36" i="1"/>
  <c r="H34" i="1"/>
  <c r="H35" i="1"/>
  <c r="H33" i="1"/>
  <c r="E50" i="1"/>
  <c r="E49" i="1"/>
  <c r="F59" i="1"/>
  <c r="F63" i="1" s="1"/>
  <c r="F36" i="1"/>
  <c r="F35" i="1"/>
  <c r="F34" i="1"/>
  <c r="F33" i="1"/>
  <c r="E59" i="1"/>
  <c r="E63" i="1" s="1"/>
  <c r="E36" i="1"/>
  <c r="E33" i="1"/>
  <c r="E35" i="1"/>
  <c r="E34" i="1"/>
  <c r="F50" i="1"/>
  <c r="F49" i="1"/>
  <c r="I24" i="1"/>
  <c r="H39" i="1"/>
  <c r="H41" i="1" s="1"/>
  <c r="G52" i="1" s="1"/>
  <c r="E79" i="3"/>
  <c r="D59" i="1"/>
  <c r="D63" i="1" s="1"/>
  <c r="D35" i="1"/>
  <c r="D33" i="1"/>
  <c r="J59" i="1"/>
  <c r="J63" i="1" s="1"/>
  <c r="J66" i="1" s="1"/>
  <c r="J35" i="1"/>
  <c r="J36" i="1"/>
  <c r="J34" i="1"/>
  <c r="G59" i="1"/>
  <c r="G63" i="1" s="1"/>
  <c r="G35" i="1"/>
  <c r="G33" i="1"/>
  <c r="G36" i="1"/>
  <c r="G34" i="1"/>
  <c r="D54" i="1"/>
  <c r="D64" i="1"/>
  <c r="F65" i="1"/>
  <c r="F53" i="1"/>
  <c r="D65" i="1"/>
  <c r="D53" i="1"/>
  <c r="F74" i="3"/>
  <c r="F70" i="3"/>
  <c r="F71" i="3" s="1"/>
  <c r="F57" i="3"/>
  <c r="F59" i="3" s="1"/>
  <c r="F65" i="3" s="1"/>
  <c r="F72" i="3" s="1"/>
  <c r="F76" i="3" s="1"/>
  <c r="F80" i="3" s="1"/>
  <c r="E74" i="3"/>
  <c r="E70" i="3"/>
  <c r="E71" i="3" s="1"/>
  <c r="E72" i="3" s="1"/>
  <c r="D66" i="1" l="1"/>
  <c r="E64" i="1"/>
  <c r="E54" i="1"/>
  <c r="E76" i="3"/>
  <c r="E80" i="3" s="1"/>
  <c r="E65" i="1"/>
  <c r="E53" i="1"/>
  <c r="J24" i="1"/>
  <c r="I39" i="1"/>
  <c r="I41" i="1" s="1"/>
  <c r="H52" i="1" s="1"/>
  <c r="G50" i="1"/>
  <c r="G49" i="1" s="1"/>
  <c r="F64" i="1"/>
  <c r="F66" i="1" s="1"/>
  <c r="F54" i="1"/>
  <c r="I33" i="1"/>
  <c r="E23" i="1"/>
  <c r="F23" i="1" s="1"/>
  <c r="G23" i="1" s="1"/>
  <c r="H23" i="1" s="1"/>
  <c r="I23" i="1" s="1"/>
  <c r="J23" i="1" s="1"/>
  <c r="C7" i="1"/>
  <c r="B7" i="1"/>
  <c r="C6" i="1"/>
  <c r="B6" i="1"/>
  <c r="C4" i="1"/>
  <c r="B4" i="1"/>
  <c r="C3" i="1"/>
  <c r="B3" i="1"/>
  <c r="C2" i="1"/>
  <c r="B2" i="1"/>
  <c r="G53" i="1" l="1"/>
  <c r="E66" i="1"/>
  <c r="J39" i="1"/>
  <c r="J41" i="1" s="1"/>
  <c r="I52" i="1" s="1"/>
  <c r="K24" i="1"/>
  <c r="J33" i="1"/>
  <c r="G64" i="1"/>
  <c r="G54" i="1"/>
  <c r="G65" i="1"/>
  <c r="H65" i="1"/>
  <c r="H50" i="1"/>
  <c r="H49" i="1" s="1"/>
  <c r="G66" i="1" l="1"/>
  <c r="H64" i="1"/>
  <c r="H66" i="1" s="1"/>
  <c r="H54" i="1"/>
  <c r="I50" i="1"/>
  <c r="I49" i="1" s="1"/>
  <c r="H53" i="1"/>
  <c r="I64" i="1" l="1"/>
  <c r="I54" i="1"/>
  <c r="I53" i="1"/>
  <c r="I65" i="1"/>
  <c r="I6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Musa Bleta</author>
  </authors>
  <commentList>
    <comment ref="B36" authorId="0" shapeId="0" xr:uid="{5E69C809-39C8-824B-89C1-0F63D45A449B}">
      <text>
        <r>
          <rPr>
            <b/>
            <sz val="9"/>
            <color rgb="FF000000"/>
            <rFont val="Tahoma"/>
            <family val="2"/>
            <charset val="238"/>
          </rPr>
          <t>Musa Bleta:</t>
        </r>
        <r>
          <rPr>
            <sz val="9"/>
            <color rgb="FF000000"/>
            <rFont val="Tahoma"/>
            <family val="2"/>
            <charset val="238"/>
          </rPr>
          <t xml:space="preserve">
</t>
        </r>
        <r>
          <rPr>
            <sz val="9"/>
            <color rgb="FF000000"/>
            <rFont val="Tahoma"/>
            <family val="2"/>
            <charset val="238"/>
          </rPr>
          <t xml:space="preserve">T-1 (2023-2022)
</t>
        </r>
      </text>
    </comment>
    <comment ref="B44" authorId="0" shapeId="0" xr:uid="{4959800F-0848-9543-AE5B-BFDF7EF606DB}">
      <text>
        <r>
          <rPr>
            <b/>
            <sz val="9"/>
            <color rgb="FF000000"/>
            <rFont val="Tahoma"/>
            <family val="2"/>
            <charset val="238"/>
          </rPr>
          <t>Musa Bleta:</t>
        </r>
        <r>
          <rPr>
            <sz val="9"/>
            <color rgb="FF000000"/>
            <rFont val="Tahoma"/>
            <family val="2"/>
            <charset val="238"/>
          </rPr>
          <t xml:space="preserve">
</t>
        </r>
        <r>
          <rPr>
            <sz val="9"/>
            <color rgb="FF000000"/>
            <rFont val="Tahoma"/>
            <family val="2"/>
            <charset val="238"/>
          </rPr>
          <t xml:space="preserve">the ratio is Ebit/Sales - formula reversal
</t>
        </r>
      </text>
    </comment>
    <comment ref="C44" authorId="0" shapeId="0" xr:uid="{07E1B9B6-9972-0649-B69E-A5B8D250C097}">
      <text>
        <r>
          <rPr>
            <b/>
            <sz val="9"/>
            <color rgb="FF000000"/>
            <rFont val="Tahoma"/>
            <family val="2"/>
            <charset val="238"/>
          </rPr>
          <t>Musa Bleta:</t>
        </r>
        <r>
          <rPr>
            <sz val="9"/>
            <color rgb="FF000000"/>
            <rFont val="Tahoma"/>
            <family val="2"/>
            <charset val="238"/>
          </rPr>
          <t xml:space="preserve">
</t>
        </r>
        <r>
          <rPr>
            <sz val="9"/>
            <color rgb="FF000000"/>
            <rFont val="Tahoma"/>
            <family val="2"/>
            <charset val="238"/>
          </rPr>
          <t xml:space="preserve">Earnings before interest and tax
</t>
        </r>
      </text>
    </comment>
    <comment ref="L44" authorId="0" shapeId="0" xr:uid="{A3AF515A-4C97-3546-804D-532A27644127}">
      <text>
        <r>
          <rPr>
            <b/>
            <sz val="9"/>
            <color rgb="FF000000"/>
            <rFont val="Tahoma"/>
            <family val="2"/>
            <charset val="238"/>
          </rPr>
          <t>Musa Bleta:</t>
        </r>
        <r>
          <rPr>
            <sz val="9"/>
            <color rgb="FF000000"/>
            <rFont val="Tahoma"/>
            <family val="2"/>
            <charset val="238"/>
          </rPr>
          <t xml:space="preserve">
</t>
        </r>
        <r>
          <rPr>
            <sz val="9"/>
            <color rgb="FF000000"/>
            <rFont val="Tahoma"/>
            <family val="2"/>
            <charset val="238"/>
          </rPr>
          <t xml:space="preserve">Earnings before interest and tax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午餐肉</author>
  </authors>
  <commentList>
    <comment ref="H42" authorId="0" shapeId="0" xr:uid="{2ED89CDA-9844-D74D-A6CF-31660EF5B5D1}">
      <text>
        <r>
          <rPr>
            <b/>
            <sz val="9"/>
            <color indexed="81"/>
            <rFont val="宋体"/>
            <family val="3"/>
            <charset val="134"/>
          </rPr>
          <t>午餐肉:</t>
        </r>
        <r>
          <rPr>
            <sz val="9"/>
            <color indexed="81"/>
            <rFont val="宋体"/>
            <family val="3"/>
            <charset val="134"/>
          </rPr>
          <t xml:space="preserve">
From here the formula changed to EBIT*(1-t) because of tax shield.</t>
        </r>
      </text>
    </comment>
    <comment ref="K59" authorId="0" shapeId="0" xr:uid="{CA697D19-2D03-574D-B0B2-E6975A81E49C}">
      <text>
        <r>
          <rPr>
            <b/>
            <sz val="9"/>
            <color indexed="81"/>
            <rFont val="宋体"/>
            <family val="3"/>
            <charset val="134"/>
          </rPr>
          <t>午餐肉:</t>
        </r>
        <r>
          <rPr>
            <sz val="9"/>
            <color indexed="81"/>
            <rFont val="宋体"/>
            <family val="3"/>
            <charset val="134"/>
          </rPr>
          <t xml:space="preserve">
because we didn't pay dividend this year.</t>
        </r>
      </text>
    </comment>
  </commentList>
</comments>
</file>

<file path=xl/sharedStrings.xml><?xml version="1.0" encoding="utf-8"?>
<sst xmlns="http://schemas.openxmlformats.org/spreadsheetml/2006/main" count="1079" uniqueCount="482">
  <si>
    <t>Points achived:</t>
  </si>
  <si>
    <t>IC boy</t>
  </si>
  <si>
    <t>dIC</t>
  </si>
  <si>
    <t>Sales</t>
  </si>
  <si>
    <t>EBIT/Sales</t>
  </si>
  <si>
    <t>Corporate tax rate</t>
  </si>
  <si>
    <t>rD</t>
  </si>
  <si>
    <t>Debt boy</t>
  </si>
  <si>
    <t>ROIC</t>
  </si>
  <si>
    <t>RONIC</t>
  </si>
  <si>
    <t>K</t>
  </si>
  <si>
    <t>g</t>
  </si>
  <si>
    <t>t (effective)</t>
  </si>
  <si>
    <t>Date</t>
  </si>
  <si>
    <t>2 November 2022</t>
  </si>
  <si>
    <t>Student name</t>
  </si>
  <si>
    <t>Sam Sample</t>
  </si>
  <si>
    <t>Neptun code</t>
  </si>
  <si>
    <t>ABCD1234</t>
  </si>
  <si>
    <t>Study program</t>
  </si>
  <si>
    <t>Master in Finance</t>
  </si>
  <si>
    <t>Instructor</t>
  </si>
  <si>
    <t>Péter Juhász, PhD, CFA</t>
  </si>
  <si>
    <t>Points achieved:</t>
  </si>
  <si>
    <t>growth of Sales</t>
  </si>
  <si>
    <t>D/IC boy</t>
  </si>
  <si>
    <t>EBIT</t>
  </si>
  <si>
    <t>D*rD</t>
  </si>
  <si>
    <t>PBT</t>
  </si>
  <si>
    <t>tax</t>
  </si>
  <si>
    <t>PAT</t>
  </si>
  <si>
    <t>IC</t>
  </si>
  <si>
    <t>D</t>
  </si>
  <si>
    <t>t</t>
  </si>
  <si>
    <t>NOPLAT</t>
  </si>
  <si>
    <t>FCFF</t>
  </si>
  <si>
    <t>D*rD*t</t>
  </si>
  <si>
    <t>dD</t>
  </si>
  <si>
    <t>Other income</t>
  </si>
  <si>
    <t>Material expenses</t>
  </si>
  <si>
    <t>Labour expenses</t>
  </si>
  <si>
    <t>D&amp;A</t>
  </si>
  <si>
    <t>Dividend received</t>
  </si>
  <si>
    <t>Interests received</t>
  </si>
  <si>
    <t>Interests paid on short term loans</t>
  </si>
  <si>
    <t>Interests paid on long term loans</t>
  </si>
  <si>
    <t>Financial profit</t>
  </si>
  <si>
    <t>Profit before tax</t>
  </si>
  <si>
    <t>Corporate tax</t>
  </si>
  <si>
    <t>Profit after tax</t>
  </si>
  <si>
    <t>Dividend</t>
  </si>
  <si>
    <t>Retained earnings</t>
  </si>
  <si>
    <t>Cash</t>
  </si>
  <si>
    <t>of which operational cash</t>
  </si>
  <si>
    <t>Marketable securities</t>
  </si>
  <si>
    <t>Receivables</t>
  </si>
  <si>
    <t>Inventory</t>
  </si>
  <si>
    <t>Current assets</t>
  </si>
  <si>
    <t>Invested assets</t>
  </si>
  <si>
    <t>Total of assests</t>
  </si>
  <si>
    <t>Short term loans</t>
  </si>
  <si>
    <t>Payables</t>
  </si>
  <si>
    <t>Short term liabilities</t>
  </si>
  <si>
    <t>Long term debt</t>
  </si>
  <si>
    <t>Equity</t>
  </si>
  <si>
    <t>Total of Liabilities and Equity</t>
  </si>
  <si>
    <t>Int Liquidity Debt</t>
  </si>
  <si>
    <t>Adjusted EBIT</t>
  </si>
  <si>
    <t>Gross CF</t>
  </si>
  <si>
    <t>dInventory</t>
  </si>
  <si>
    <t>dReceivables</t>
  </si>
  <si>
    <t>dOP Cash</t>
  </si>
  <si>
    <t>dPayables</t>
  </si>
  <si>
    <t>dLiquidityDebt</t>
  </si>
  <si>
    <t>CF from operations</t>
  </si>
  <si>
    <t>dInvested Assets</t>
  </si>
  <si>
    <t>Dividend Received</t>
  </si>
  <si>
    <t>Interests Received</t>
  </si>
  <si>
    <t>Tax on Interestes Received</t>
  </si>
  <si>
    <t>CF from Investments</t>
  </si>
  <si>
    <t>FCFF (Free Cash Flow to the Firm)</t>
    <phoneticPr fontId="0" type="noConversion"/>
  </si>
  <si>
    <t>Other Interests</t>
  </si>
  <si>
    <t>Tax Shield</t>
  </si>
  <si>
    <t>dDebt</t>
  </si>
  <si>
    <t>FCFE</t>
    <phoneticPr fontId="0" type="noConversion"/>
  </si>
  <si>
    <t>dBV E-Ret ear</t>
  </si>
  <si>
    <t>dNon-op wealth</t>
  </si>
  <si>
    <t>of which non-operational cash</t>
  </si>
  <si>
    <t>Non op wealth</t>
  </si>
  <si>
    <t>Noplat</t>
  </si>
  <si>
    <r>
      <t xml:space="preserve">ROICt </t>
    </r>
    <r>
      <rPr>
        <i/>
        <sz val="12"/>
        <color theme="1"/>
        <rFont val="Times New Roman"/>
        <family val="1"/>
      </rPr>
      <t>= NOPLATt / ICt boy</t>
    </r>
  </si>
  <si>
    <r>
      <t xml:space="preserve">RONICt </t>
    </r>
    <r>
      <rPr>
        <i/>
        <sz val="12"/>
        <color theme="1"/>
        <rFont val="Times New Roman"/>
        <family val="1"/>
      </rPr>
      <t>= (NOPLATt - NOPLATt-1)/ dICt-1</t>
    </r>
  </si>
  <si>
    <r>
      <t xml:space="preserve">Kt </t>
    </r>
    <r>
      <rPr>
        <i/>
        <sz val="12"/>
        <color theme="1"/>
        <rFont val="Times New Roman"/>
        <family val="1"/>
      </rPr>
      <t xml:space="preserve">= dICt / NOPLATt </t>
    </r>
  </si>
  <si>
    <r>
      <t xml:space="preserve">gt </t>
    </r>
    <r>
      <rPr>
        <i/>
        <sz val="12"/>
        <color theme="1"/>
        <rFont val="Times New Roman"/>
        <family val="1"/>
      </rPr>
      <t>= (NOPLATt - NOPLATt-1)/NOPLATt-1</t>
    </r>
  </si>
  <si>
    <t>effective tax rate = corp tax/PBT</t>
  </si>
  <si>
    <t>BS</t>
  </si>
  <si>
    <t>IC+dIC(previous year)</t>
  </si>
  <si>
    <t>bring down debt</t>
  </si>
  <si>
    <t>IC Boy-Debt Boy</t>
  </si>
  <si>
    <t>IS</t>
  </si>
  <si>
    <t>Given, bring from above</t>
  </si>
  <si>
    <t>Sales*ratio</t>
  </si>
  <si>
    <t>Debt*rate of debt (rD)</t>
  </si>
  <si>
    <t>ebit-interest</t>
  </si>
  <si>
    <t>=IF(PBT&lt;0,0,PBT*Corp tax rate)</t>
  </si>
  <si>
    <t>PBT-corporate tax</t>
  </si>
  <si>
    <t>PAT-Retained Earnings</t>
  </si>
  <si>
    <t>dEquity 2023-2022</t>
  </si>
  <si>
    <t>retaind earnings-dequity required</t>
  </si>
  <si>
    <t>PAT/Dividend</t>
  </si>
  <si>
    <t>corp.tax/PBT</t>
  </si>
  <si>
    <t>BCF</t>
  </si>
  <si>
    <t>EBIT*(1-effective tax rate)</t>
  </si>
  <si>
    <t>brought down</t>
  </si>
  <si>
    <t>noplat-dic</t>
  </si>
  <si>
    <t>interest payment*eff.tax rate</t>
  </si>
  <si>
    <t>debt 2023-2022</t>
  </si>
  <si>
    <t>FCFF- int.pay,+tax sh.+ddebt</t>
  </si>
  <si>
    <t>Debt</t>
  </si>
  <si>
    <t>dEquity required</t>
  </si>
  <si>
    <t>Issue/buyback of equity</t>
  </si>
  <si>
    <t>Div payoff ratio</t>
  </si>
  <si>
    <t>effective tax rate</t>
  </si>
  <si>
    <t>interest payment</t>
  </si>
  <si>
    <t>tax shield</t>
  </si>
  <si>
    <t>FCFE</t>
  </si>
  <si>
    <t>dequity-retained earnings</t>
  </si>
  <si>
    <t>Non-Operating Wealth</t>
  </si>
  <si>
    <t>IC Boy</t>
  </si>
  <si>
    <t>Debt Boy</t>
  </si>
  <si>
    <t>Equity Boy</t>
  </si>
  <si>
    <t>intrest payment</t>
  </si>
  <si>
    <t>brought down but added (-ve sign)</t>
  </si>
  <si>
    <t>Interest (D*rD)</t>
  </si>
  <si>
    <t>Corporate tax rate (effective)</t>
  </si>
  <si>
    <t>rA</t>
  </si>
  <si>
    <t>D/V boy</t>
  </si>
  <si>
    <t>NOPLAT/IC</t>
  </si>
  <si>
    <t>EBIT/SALES*SALES/(1-EFF.TAX.RATE)</t>
  </si>
  <si>
    <t>NOPLAT/DIC</t>
  </si>
  <si>
    <t>G+1/RONIC+1</t>
  </si>
  <si>
    <t>NOPLAT*K</t>
  </si>
  <si>
    <t>RA-DV*RD*T</t>
  </si>
  <si>
    <t>WACC</t>
  </si>
  <si>
    <t>Material expences</t>
  </si>
  <si>
    <t>Labour expences</t>
  </si>
  <si>
    <t>Other expences</t>
  </si>
  <si>
    <t>Operational profit</t>
  </si>
  <si>
    <t>Interest paid</t>
  </si>
  <si>
    <t>Other short term liabilities</t>
  </si>
  <si>
    <t>NOPLAT/IC-1</t>
  </si>
  <si>
    <t>Dnoplat/dic</t>
  </si>
  <si>
    <t>oper.profit/(1-eff.tax)</t>
  </si>
  <si>
    <t>dic/noplat</t>
  </si>
  <si>
    <t>ic2023-ic2022</t>
  </si>
  <si>
    <t>Dic</t>
  </si>
  <si>
    <t>RONIC*k-1</t>
  </si>
  <si>
    <t>2026 and after</t>
  </si>
  <si>
    <t>Equity start of the year</t>
  </si>
  <si>
    <t>Invested Assets start of the year</t>
  </si>
  <si>
    <t>Sales/Invested Assets</t>
  </si>
  <si>
    <t>Corporate tax rate (nominal)</t>
  </si>
  <si>
    <r>
      <t xml:space="preserve">ROICt = </t>
    </r>
    <r>
      <rPr>
        <i/>
        <sz val="12"/>
        <color theme="1"/>
        <rFont val="Times New Roman"/>
        <family val="1"/>
      </rPr>
      <t>NOPLAT</t>
    </r>
    <r>
      <rPr>
        <i/>
        <sz val="9"/>
        <color theme="1"/>
        <rFont val="Times New Roman"/>
        <family val="1"/>
      </rPr>
      <t>t</t>
    </r>
    <r>
      <rPr>
        <i/>
        <sz val="12"/>
        <color theme="1"/>
        <rFont val="Times New Roman"/>
        <family val="1"/>
      </rPr>
      <t xml:space="preserve"> / IC</t>
    </r>
    <r>
      <rPr>
        <i/>
        <sz val="9"/>
        <color theme="1"/>
        <rFont val="Times New Roman"/>
        <family val="1"/>
      </rPr>
      <t>t-1</t>
    </r>
    <r>
      <rPr>
        <i/>
        <sz val="12"/>
        <color theme="1"/>
        <rFont val="Times New Roman"/>
        <family val="1"/>
      </rPr>
      <t xml:space="preserve"> (i.e. IC</t>
    </r>
    <r>
      <rPr>
        <i/>
        <sz val="10"/>
        <color theme="1"/>
        <rFont val="Times New Roman"/>
        <family val="1"/>
      </rPr>
      <t>t boy</t>
    </r>
    <r>
      <rPr>
        <i/>
        <sz val="12"/>
        <color theme="1"/>
        <rFont val="Times New Roman"/>
        <family val="1"/>
      </rPr>
      <t>)</t>
    </r>
  </si>
  <si>
    <r>
      <t xml:space="preserve">RONICt </t>
    </r>
    <r>
      <rPr>
        <i/>
        <sz val="12"/>
        <color theme="1"/>
        <rFont val="Times New Roman"/>
        <family val="1"/>
        <charset val="238"/>
      </rPr>
      <t>= (NOPLAT</t>
    </r>
    <r>
      <rPr>
        <i/>
        <sz val="8"/>
        <color theme="1"/>
        <rFont val="Times New Roman"/>
        <family val="1"/>
        <charset val="238"/>
      </rPr>
      <t xml:space="preserve">t </t>
    </r>
    <r>
      <rPr>
        <i/>
        <sz val="12"/>
        <color theme="1"/>
        <rFont val="Times New Roman"/>
        <family val="1"/>
        <charset val="238"/>
      </rPr>
      <t>- NOPLAT</t>
    </r>
    <r>
      <rPr>
        <i/>
        <sz val="8"/>
        <color theme="1"/>
        <rFont val="Times New Roman"/>
        <family val="1"/>
        <charset val="238"/>
      </rPr>
      <t>t-1</t>
    </r>
    <r>
      <rPr>
        <i/>
        <sz val="12"/>
        <color theme="1"/>
        <rFont val="Times New Roman"/>
        <family val="1"/>
        <charset val="238"/>
      </rPr>
      <t>)/ dIC</t>
    </r>
    <r>
      <rPr>
        <i/>
        <sz val="8"/>
        <color theme="1"/>
        <rFont val="Times New Roman"/>
        <family val="1"/>
        <charset val="238"/>
      </rPr>
      <t>t-1</t>
    </r>
  </si>
  <si>
    <t>Ebit*(1-eff.tax)</t>
  </si>
  <si>
    <r>
      <t xml:space="preserve">Kt </t>
    </r>
    <r>
      <rPr>
        <i/>
        <sz val="12"/>
        <color theme="1"/>
        <rFont val="Times New Roman"/>
        <family val="1"/>
        <charset val="238"/>
      </rPr>
      <t>= dIC</t>
    </r>
    <r>
      <rPr>
        <i/>
        <sz val="8"/>
        <color theme="1"/>
        <rFont val="Times New Roman"/>
        <family val="1"/>
        <charset val="238"/>
      </rPr>
      <t>t</t>
    </r>
    <r>
      <rPr>
        <i/>
        <sz val="12"/>
        <color theme="1"/>
        <rFont val="Times New Roman"/>
        <family val="1"/>
        <charset val="238"/>
      </rPr>
      <t xml:space="preserve"> / NOPLAT</t>
    </r>
    <r>
      <rPr>
        <i/>
        <sz val="8"/>
        <color theme="1"/>
        <rFont val="Times New Roman"/>
        <family val="1"/>
        <charset val="238"/>
      </rPr>
      <t xml:space="preserve">t </t>
    </r>
  </si>
  <si>
    <t>E/(1-D/ICratio)</t>
  </si>
  <si>
    <t>IC*D/ICRATIO)</t>
  </si>
  <si>
    <t>D boy</t>
  </si>
  <si>
    <t>E boy</t>
  </si>
  <si>
    <t>P/L</t>
  </si>
  <si>
    <t>INV ASSETS*SALES-INV</t>
  </si>
  <si>
    <t>SALES*EBIT/SALES</t>
  </si>
  <si>
    <t>d*rd</t>
  </si>
  <si>
    <t>Interest payment</t>
  </si>
  <si>
    <t>+IF(D49&lt;0,0,D49*D30</t>
  </si>
  <si>
    <t>INTERMEDIATE CALCULATIONS</t>
  </si>
  <si>
    <t>Interests paid</t>
  </si>
  <si>
    <t>corp tax/PBT</t>
  </si>
  <si>
    <t>Business Cash Flow</t>
  </si>
  <si>
    <t>minus in front</t>
  </si>
  <si>
    <t>less: Extraordinary other income</t>
  </si>
  <si>
    <t>Adj. EBIT*eff.tax rate</t>
  </si>
  <si>
    <t>Tax on Adjusted EBIT</t>
  </si>
  <si>
    <t>adj ebit-tax on adj ebit</t>
  </si>
  <si>
    <t>Operational D&amp;A</t>
  </si>
  <si>
    <r>
      <rPr>
        <sz val="12"/>
        <color rgb="FFFF0000"/>
        <rFont val="Symbol"/>
        <family val="1"/>
        <charset val="2"/>
      </rPr>
      <t>D</t>
    </r>
    <r>
      <rPr>
        <sz val="12"/>
        <color rgb="FFFF0000"/>
        <rFont val="Times New Roman"/>
        <family val="1"/>
      </rPr>
      <t>inventory</t>
    </r>
  </si>
  <si>
    <r>
      <rPr>
        <sz val="12"/>
        <color rgb="FFFF0000"/>
        <rFont val="Symbol"/>
        <family val="1"/>
        <charset val="2"/>
      </rPr>
      <t>D</t>
    </r>
    <r>
      <rPr>
        <sz val="12"/>
        <color rgb="FFFF0000"/>
        <rFont val="Times New Roman"/>
        <family val="1"/>
      </rPr>
      <t>receivables</t>
    </r>
  </si>
  <si>
    <r>
      <rPr>
        <sz val="12"/>
        <color rgb="FFFF0000"/>
        <rFont val="Symbol"/>
        <family val="1"/>
        <charset val="2"/>
      </rPr>
      <t>D</t>
    </r>
    <r>
      <rPr>
        <sz val="12"/>
        <color rgb="FFFF0000"/>
        <rFont val="Times New Roman"/>
        <family val="1"/>
      </rPr>
      <t>operational cash</t>
    </r>
  </si>
  <si>
    <r>
      <rPr>
        <sz val="12"/>
        <color rgb="FF00B050"/>
        <rFont val="Symbol"/>
        <family val="1"/>
        <charset val="2"/>
      </rPr>
      <t>D</t>
    </r>
    <r>
      <rPr>
        <sz val="12"/>
        <color rgb="FF00B050"/>
        <rFont val="Times New Roman"/>
        <family val="1"/>
      </rPr>
      <t>payables</t>
    </r>
  </si>
  <si>
    <r>
      <rPr>
        <sz val="12"/>
        <color rgb="FF00B050"/>
        <rFont val="Symbol"/>
        <family val="1"/>
        <charset val="2"/>
      </rPr>
      <t>D</t>
    </r>
    <r>
      <rPr>
        <sz val="12"/>
        <color rgb="FF00B050"/>
        <rFont val="Times New Roman"/>
        <family val="1"/>
      </rPr>
      <t>other short term liab</t>
    </r>
  </si>
  <si>
    <t>Operational CF</t>
  </si>
  <si>
    <r>
      <rPr>
        <sz val="12"/>
        <color rgb="FFFF0000"/>
        <rFont val="Symbol"/>
        <family val="1"/>
        <charset val="2"/>
      </rPr>
      <t>D</t>
    </r>
    <r>
      <rPr>
        <sz val="12"/>
        <color rgb="FFFF0000"/>
        <rFont val="Times New Roman"/>
        <family val="1"/>
      </rPr>
      <t>operational invested assets</t>
    </r>
  </si>
  <si>
    <t>Investment CF</t>
  </si>
  <si>
    <r>
      <rPr>
        <sz val="12"/>
        <color rgb="FFFF0000"/>
        <rFont val="Symbol"/>
        <family val="1"/>
        <charset val="2"/>
      </rPr>
      <t>D</t>
    </r>
    <r>
      <rPr>
        <sz val="12"/>
        <color rgb="FFFF0000"/>
        <rFont val="Times New Roman"/>
        <family val="1"/>
      </rPr>
      <t>marketable securities</t>
    </r>
  </si>
  <si>
    <t>Dividends received</t>
  </si>
  <si>
    <t xml:space="preserve">dividends*eff.tax rate (minus in front) </t>
  </si>
  <si>
    <t>Tax on Dividends received</t>
  </si>
  <si>
    <t>Tax on Interests received</t>
  </si>
  <si>
    <t>Financing interest paid</t>
  </si>
  <si>
    <t>why?</t>
  </si>
  <si>
    <t>Tax shield</t>
  </si>
  <si>
    <r>
      <rPr>
        <sz val="12"/>
        <color rgb="FF00B050"/>
        <rFont val="Symbol"/>
        <family val="1"/>
        <charset val="2"/>
      </rPr>
      <t>D</t>
    </r>
    <r>
      <rPr>
        <sz val="12"/>
        <color rgb="FF00B050"/>
        <rFont val="Times New Roman"/>
        <family val="1"/>
      </rPr>
      <t>financing debt</t>
    </r>
  </si>
  <si>
    <t>Dividends paid</t>
  </si>
  <si>
    <t>equity (2019-2018)-ret.earning</t>
  </si>
  <si>
    <r>
      <rPr>
        <sz val="12"/>
        <color rgb="FF00B050"/>
        <rFont val="Symbol"/>
        <family val="1"/>
        <charset val="2"/>
      </rPr>
      <t>D</t>
    </r>
    <r>
      <rPr>
        <sz val="12"/>
        <color rgb="FF00B050"/>
        <rFont val="Times New Roman"/>
        <family val="1"/>
      </rPr>
      <t>equity</t>
    </r>
    <r>
      <rPr>
        <sz val="12"/>
        <color rgb="FFFF0000"/>
        <rFont val="Times New Roman"/>
        <family val="1"/>
      </rPr>
      <t>-Retained Earnings</t>
    </r>
  </si>
  <si>
    <r>
      <rPr>
        <b/>
        <sz val="12"/>
        <color theme="1"/>
        <rFont val="Symbol"/>
        <family val="1"/>
        <charset val="2"/>
      </rPr>
      <t>D</t>
    </r>
    <r>
      <rPr>
        <b/>
        <sz val="12"/>
        <color theme="1"/>
        <rFont val="Times New Roman"/>
        <family val="1"/>
      </rPr>
      <t>Non operational wealth due to operation</t>
    </r>
  </si>
  <si>
    <t>Extraordinary other income</t>
  </si>
  <si>
    <t>Tax on extraordinary income</t>
  </si>
  <si>
    <r>
      <rPr>
        <b/>
        <sz val="12"/>
        <color theme="1"/>
        <rFont val="Symbol"/>
        <family val="1"/>
        <charset val="2"/>
      </rPr>
      <t>D</t>
    </r>
    <r>
      <rPr>
        <b/>
        <sz val="12"/>
        <color theme="1"/>
        <rFont val="Times New Roman"/>
        <family val="1"/>
      </rPr>
      <t>Non operational wealth due to other reasons</t>
    </r>
  </si>
  <si>
    <r>
      <rPr>
        <b/>
        <sz val="12"/>
        <color theme="1"/>
        <rFont val="Symbol"/>
        <family val="1"/>
        <charset val="2"/>
      </rPr>
      <t>D</t>
    </r>
    <r>
      <rPr>
        <b/>
        <sz val="12"/>
        <color theme="1"/>
        <rFont val="Times New Roman"/>
        <family val="1"/>
      </rPr>
      <t>Non operational wealth Total</t>
    </r>
  </si>
  <si>
    <t>Other expeneses</t>
  </si>
  <si>
    <t>of which interest on liquidity debt</t>
  </si>
  <si>
    <t>Financing interest</t>
  </si>
  <si>
    <t>Non operational cash</t>
  </si>
  <si>
    <t>of which liquidity debt</t>
  </si>
  <si>
    <t>Financing short term debt</t>
  </si>
  <si>
    <r>
      <t xml:space="preserve">Business CF = </t>
    </r>
    <r>
      <rPr>
        <b/>
        <sz val="14"/>
        <color theme="1"/>
        <rFont val="Symbol"/>
        <family val="1"/>
        <charset val="2"/>
      </rPr>
      <t>D</t>
    </r>
    <r>
      <rPr>
        <b/>
        <sz val="14"/>
        <color theme="1"/>
        <rFont val="Times New Roman"/>
        <family val="1"/>
      </rPr>
      <t xml:space="preserve">L - </t>
    </r>
    <r>
      <rPr>
        <b/>
        <sz val="14"/>
        <color theme="1"/>
        <rFont val="Symbol"/>
        <family val="1"/>
        <charset val="2"/>
      </rPr>
      <t>D</t>
    </r>
    <r>
      <rPr>
        <b/>
        <sz val="14"/>
        <color theme="1"/>
        <rFont val="Times New Roman"/>
        <family val="1"/>
      </rPr>
      <t>A +P/L</t>
    </r>
  </si>
  <si>
    <t>Liquidity interest</t>
  </si>
  <si>
    <r>
      <rPr>
        <sz val="12"/>
        <color rgb="FF00B050"/>
        <rFont val="Symbol"/>
        <family val="1"/>
        <charset val="2"/>
      </rPr>
      <t>D</t>
    </r>
    <r>
      <rPr>
        <sz val="12"/>
        <color rgb="FF00B050"/>
        <rFont val="Times New Roman"/>
        <family val="1"/>
      </rPr>
      <t>liquidity debt</t>
    </r>
  </si>
  <si>
    <r>
      <rPr>
        <sz val="12"/>
        <color rgb="FFFF0000"/>
        <rFont val="Symbol"/>
        <family val="1"/>
        <charset val="2"/>
      </rPr>
      <t>D</t>
    </r>
    <r>
      <rPr>
        <sz val="12"/>
        <color rgb="FFFF0000"/>
        <rFont val="Times New Roman"/>
        <family val="1"/>
      </rPr>
      <t>invested assets</t>
    </r>
  </si>
  <si>
    <r>
      <rPr>
        <sz val="12"/>
        <color rgb="FF00B050"/>
        <rFont val="Symbol"/>
        <family val="1"/>
        <charset val="2"/>
      </rPr>
      <t>D</t>
    </r>
    <r>
      <rPr>
        <sz val="12"/>
        <color rgb="FF00B050"/>
        <rFont val="Times New Roman"/>
        <family val="1"/>
      </rPr>
      <t>financing debt</t>
    </r>
    <r>
      <rPr>
        <sz val="12"/>
        <color rgb="FF00B050"/>
        <rFont val="Times New Roman"/>
        <family val="1"/>
        <charset val="2"/>
      </rPr>
      <t xml:space="preserve"> (short-term)</t>
    </r>
  </si>
  <si>
    <r>
      <rPr>
        <sz val="12"/>
        <color rgb="FF00B050"/>
        <rFont val="Symbol"/>
        <family val="1"/>
        <charset val="2"/>
      </rPr>
      <t>D</t>
    </r>
    <r>
      <rPr>
        <sz val="12"/>
        <color rgb="FF00B050"/>
        <rFont val="Times New Roman"/>
        <family val="1"/>
      </rPr>
      <t>financing debt (long-term)</t>
    </r>
  </si>
  <si>
    <r>
      <rPr>
        <b/>
        <sz val="12"/>
        <color rgb="FF000000"/>
        <rFont val="Symbol"/>
        <family val="1"/>
        <charset val="2"/>
      </rPr>
      <t>D</t>
    </r>
    <r>
      <rPr>
        <b/>
        <sz val="12"/>
        <color rgb="FF000000"/>
        <rFont val="Times New Roman"/>
        <family val="1"/>
      </rPr>
      <t>Non-operational cash BS check</t>
    </r>
  </si>
  <si>
    <t>other income IS part of the company's operations</t>
  </si>
  <si>
    <t>financing (not part of operations ==&gt; not incl. in ROE or ROC)</t>
  </si>
  <si>
    <t>only this portion of cash is inlcuded in ROC</t>
  </si>
  <si>
    <t>of which operational</t>
  </si>
  <si>
    <t>financing (not part of operations ==&gt; not incl. in ROC)</t>
  </si>
  <si>
    <t>All assets are operational assets</t>
  </si>
  <si>
    <t>I have no idea if this impacts everything or just sales lol</t>
  </si>
  <si>
    <t>Inflation</t>
  </si>
  <si>
    <t>Effective tax rate</t>
  </si>
  <si>
    <t>decreased by inflation??</t>
  </si>
  <si>
    <t>Growth of sales</t>
  </si>
  <si>
    <t>Seminar 3</t>
  </si>
  <si>
    <t xml:space="preserve">Rec/Sales*360 </t>
  </si>
  <si>
    <t>Receivables turnover days</t>
  </si>
  <si>
    <t>Payables/Material expense (COGS) *360</t>
  </si>
  <si>
    <t>Payables turnover days</t>
  </si>
  <si>
    <t>Inventory/(Mat exp+Labour Exp)*360</t>
  </si>
  <si>
    <t>Total Debt/(Equity+ Total Debt)</t>
  </si>
  <si>
    <t>Leverage</t>
  </si>
  <si>
    <t>EBIT*(1-t)/ E</t>
  </si>
  <si>
    <t>ROE</t>
  </si>
  <si>
    <t>Total Debt / E</t>
  </si>
  <si>
    <t>D/E</t>
  </si>
  <si>
    <t>EBIT*(1-t)/ (Total IC - Payables)??</t>
  </si>
  <si>
    <t>ROC</t>
  </si>
  <si>
    <t xml:space="preserve"> </t>
  </si>
  <si>
    <t>Summary or summarized lines</t>
  </si>
  <si>
    <t>Non OP</t>
  </si>
  <si>
    <t>of which Sales of Invested assets</t>
  </si>
  <si>
    <t>Other Normal Income</t>
  </si>
  <si>
    <t>OP</t>
  </si>
  <si>
    <t>INV</t>
  </si>
  <si>
    <t>FIN</t>
  </si>
  <si>
    <t>of which book value of Invested assets sold</t>
  </si>
  <si>
    <t>Other Normal Expenses</t>
  </si>
  <si>
    <t>to be adjusted</t>
  </si>
  <si>
    <t>of which interest on financing debt</t>
  </si>
  <si>
    <t>of which financing debt</t>
  </si>
  <si>
    <t>Effective Tax Rate</t>
  </si>
  <si>
    <t>less Sales of Invested assets</t>
  </si>
  <si>
    <t>add Book value of Invested assets sold</t>
  </si>
  <si>
    <t>less interest on liquidity debt</t>
  </si>
  <si>
    <t>sum</t>
  </si>
  <si>
    <t>adj.Ebit*eff.tax</t>
  </si>
  <si>
    <t>less Tax on Adjusted EBIT</t>
  </si>
  <si>
    <t>2018-2019</t>
  </si>
  <si>
    <t>D operational cash</t>
  </si>
  <si>
    <t>D Receivables</t>
  </si>
  <si>
    <t>D Inventory</t>
  </si>
  <si>
    <t>2019-2018</t>
  </si>
  <si>
    <t>D liquidity debt</t>
  </si>
  <si>
    <t>D Payables</t>
  </si>
  <si>
    <t>D Marketable securities</t>
  </si>
  <si>
    <t>D Invested assets</t>
  </si>
  <si>
    <t>div.rec*eff.tax</t>
  </si>
  <si>
    <t>TAX on Dividend received</t>
  </si>
  <si>
    <t>int.rec.*eff.tax</t>
  </si>
  <si>
    <t>TAX on Interests received</t>
  </si>
  <si>
    <t>Interest paid on financing debt</t>
  </si>
  <si>
    <t>TAX SHIELD</t>
  </si>
  <si>
    <t>D financing debt (short-term)</t>
  </si>
  <si>
    <t>D Long term debt</t>
  </si>
  <si>
    <r>
      <rPr>
        <sz val="12"/>
        <color rgb="FF00B050"/>
        <rFont val="Times New Roman"/>
        <family val="1"/>
      </rPr>
      <t>D Equity</t>
    </r>
    <r>
      <rPr>
        <sz val="12"/>
        <color theme="1"/>
        <rFont val="Times New Roman"/>
        <family val="1"/>
        <charset val="238"/>
      </rPr>
      <t xml:space="preserve"> </t>
    </r>
    <r>
      <rPr>
        <sz val="12"/>
        <color rgb="FFFF0000"/>
        <rFont val="Times New Roman"/>
        <family val="1"/>
      </rPr>
      <t>- Retained earnings</t>
    </r>
  </si>
  <si>
    <t>D Non-operational wealth due to operation</t>
  </si>
  <si>
    <t>Sales of Invested assets</t>
  </si>
  <si>
    <t>Tax on sale</t>
  </si>
  <si>
    <t>Expensed Book value of Invested assets sold</t>
  </si>
  <si>
    <t>D Non-operational wealth due to other effects</t>
  </si>
  <si>
    <t>D Non-operational wealth (Total)</t>
  </si>
  <si>
    <r>
      <rPr>
        <b/>
        <sz val="12"/>
        <rFont val="Times New Roman"/>
        <family val="1"/>
      </rPr>
      <t>D Non-operational cash</t>
    </r>
    <r>
      <rPr>
        <b/>
        <i/>
        <sz val="12"/>
        <rFont val="Times New Roman"/>
        <family val="1"/>
      </rPr>
      <t xml:space="preserve"> (BS Control)</t>
    </r>
  </si>
  <si>
    <t>dOP cash</t>
  </si>
  <si>
    <t>Liquidity debt</t>
  </si>
  <si>
    <t>Liq debt int</t>
  </si>
  <si>
    <t>EBIT*</t>
  </si>
  <si>
    <t>dRec</t>
  </si>
  <si>
    <t>dInv</t>
  </si>
  <si>
    <t>dLiqu debt</t>
  </si>
  <si>
    <t>dPay</t>
  </si>
  <si>
    <t>OP CF</t>
  </si>
  <si>
    <t>dInv A</t>
  </si>
  <si>
    <t>Tax on inv rec</t>
  </si>
  <si>
    <t>Inv CF</t>
  </si>
  <si>
    <t>Other int</t>
  </si>
  <si>
    <t>Taxshield</t>
  </si>
  <si>
    <t>From exam 12.12</t>
  </si>
  <si>
    <t>t effective</t>
  </si>
  <si>
    <t>Business C-F</t>
  </si>
  <si>
    <t>+</t>
  </si>
  <si>
    <t>Gross profit</t>
  </si>
  <si>
    <t>d Inventory</t>
  </si>
  <si>
    <t>d Receivables</t>
  </si>
  <si>
    <t>d Operational Cash</t>
  </si>
  <si>
    <t>d Payables</t>
  </si>
  <si>
    <t>d short-term Debt</t>
  </si>
  <si>
    <t>Cash from operation/Operation C-F</t>
  </si>
  <si>
    <t>-</t>
  </si>
  <si>
    <t>d Ivested assets</t>
  </si>
  <si>
    <t>tax on int rec</t>
  </si>
  <si>
    <t>interest paid</t>
  </si>
  <si>
    <t>d long-term Debt</t>
  </si>
  <si>
    <t>DIV</t>
  </si>
  <si>
    <t>Share issued/buyback</t>
  </si>
  <si>
    <t>D Non-operational wealth</t>
  </si>
  <si>
    <t>check</t>
  </si>
  <si>
    <t>Tax / (PBT - Dividends Received)</t>
  </si>
  <si>
    <t>Interest on Liquidity Debt</t>
  </si>
  <si>
    <t>Other Interests paid</t>
  </si>
  <si>
    <t>Exclude Liquidity Debt</t>
  </si>
  <si>
    <t>dDebt (Short and Long Terms)</t>
  </si>
  <si>
    <t>t - (t-1)</t>
  </si>
  <si>
    <t>dBV Equity [ t - (t-1) ] - Retained Earnings</t>
  </si>
  <si>
    <t>Non-operational cash</t>
  </si>
  <si>
    <t>NON OP CASH</t>
  </si>
  <si>
    <t>Check</t>
  </si>
  <si>
    <t>(t-1) - t</t>
  </si>
  <si>
    <t>Remove liquidity debt, keep only financing debt</t>
  </si>
  <si>
    <t>+Sales</t>
    <phoneticPr fontId="0" type="noConversion"/>
  </si>
  <si>
    <t>-Material Expenses</t>
    <phoneticPr fontId="0" type="noConversion"/>
  </si>
  <si>
    <t>-Labour Expeneses</t>
    <phoneticPr fontId="0" type="noConversion"/>
  </si>
  <si>
    <t>-D&amp;A</t>
    <phoneticPr fontId="0" type="noConversion"/>
  </si>
  <si>
    <t>=Operational profit</t>
    <phoneticPr fontId="0" type="noConversion"/>
  </si>
  <si>
    <t>-Interest</t>
    <phoneticPr fontId="0" type="noConversion"/>
  </si>
  <si>
    <t>=Profit before tax</t>
    <phoneticPr fontId="0" type="noConversion"/>
  </si>
  <si>
    <t>-Tax</t>
    <phoneticPr fontId="0" type="noConversion"/>
  </si>
  <si>
    <t>=Profit after tax</t>
    <phoneticPr fontId="0" type="noConversion"/>
  </si>
  <si>
    <t>-Dividend</t>
    <phoneticPr fontId="0" type="noConversion"/>
  </si>
  <si>
    <t>=Retained earning</t>
    <phoneticPr fontId="0" type="noConversion"/>
  </si>
  <si>
    <t>Formula is important!</t>
    <phoneticPr fontId="0" type="noConversion"/>
  </si>
  <si>
    <t>▲ Equity needed</t>
    <phoneticPr fontId="0" type="noConversion"/>
  </si>
  <si>
    <t>Share issue/buyback</t>
    <phoneticPr fontId="0" type="noConversion"/>
  </si>
  <si>
    <t>Important!</t>
    <phoneticPr fontId="0" type="noConversion"/>
  </si>
  <si>
    <t>PP&amp;E</t>
  </si>
  <si>
    <t>Investory</t>
  </si>
  <si>
    <t>g Sales</t>
  </si>
  <si>
    <t>Material exp/Sales</t>
  </si>
  <si>
    <t>Labour exp/Sales</t>
  </si>
  <si>
    <t>D&amp;A/PPE boy (beginning of the year)</t>
    <phoneticPr fontId="0" type="noConversion"/>
  </si>
  <si>
    <t>PPE boy/Sales</t>
  </si>
  <si>
    <t>Inventory tod (raw material only!)</t>
  </si>
  <si>
    <t>Receivables tod (turnover the days)</t>
    <phoneticPr fontId="0" type="noConversion"/>
  </si>
  <si>
    <t>Cash/Sales</t>
  </si>
  <si>
    <t>Payables tod</t>
  </si>
  <si>
    <t>Debt/IC (investment capital)</t>
    <phoneticPr fontId="0" type="noConversion"/>
  </si>
  <si>
    <t>rD (cost od Debt)</t>
    <phoneticPr fontId="0" type="noConversion"/>
  </si>
  <si>
    <t>Q4</t>
    <phoneticPr fontId="0" type="noConversion"/>
  </si>
  <si>
    <t>! NOPLAT (Net operating profit less Adjusted-tax) = EBIT - Taxs = EBIT*(1-t)</t>
    <phoneticPr fontId="0" type="noConversion"/>
  </si>
  <si>
    <t>Operational profit (EBIT)</t>
    <phoneticPr fontId="0" type="noConversion"/>
  </si>
  <si>
    <t>+NOPLAT (Net operating profit less Adjusted-tax) = EBIT - Taxs = EBIT*(1-t)</t>
    <phoneticPr fontId="0" type="noConversion"/>
  </si>
  <si>
    <t>+D&amp;A</t>
    <phoneticPr fontId="0" type="noConversion"/>
  </si>
  <si>
    <t>=Gross CF</t>
    <phoneticPr fontId="0" type="noConversion"/>
  </si>
  <si>
    <t>+▲ Inventory (Y0-Y1)</t>
    <phoneticPr fontId="0" type="noConversion"/>
  </si>
  <si>
    <t>+▲ Receivable (Y0-Y1)</t>
    <phoneticPr fontId="0" type="noConversion"/>
  </si>
  <si>
    <t>+▲ Cash (Y0-Y1)</t>
    <phoneticPr fontId="0" type="noConversion"/>
  </si>
  <si>
    <t>+▲ Payable (Y1-Y0)</t>
    <phoneticPr fontId="0" type="noConversion"/>
  </si>
  <si>
    <t>=Cash from operation</t>
    <phoneticPr fontId="0" type="noConversion"/>
  </si>
  <si>
    <t>+▲ PP&amp;E (Y0-Y1)</t>
    <phoneticPr fontId="0" type="noConversion"/>
  </si>
  <si>
    <t>=CF from investment</t>
    <phoneticPr fontId="0" type="noConversion"/>
  </si>
  <si>
    <t>+Interest</t>
    <phoneticPr fontId="0" type="noConversion"/>
  </si>
  <si>
    <t>! minus</t>
    <phoneticPr fontId="0" type="noConversion"/>
  </si>
  <si>
    <t>+tax shield</t>
    <phoneticPr fontId="0" type="noConversion"/>
  </si>
  <si>
    <t>+▲ Debt (Y1-Y0)</t>
    <phoneticPr fontId="0" type="noConversion"/>
  </si>
  <si>
    <t>Dividend</t>
    <phoneticPr fontId="0" type="noConversion"/>
  </si>
  <si>
    <t>FCFE and Dividend should be equal!</t>
    <phoneticPr fontId="0" type="noConversion"/>
  </si>
  <si>
    <t>Q5</t>
    <phoneticPr fontId="0" type="noConversion"/>
  </si>
  <si>
    <t>Value drivers</t>
    <phoneticPr fontId="0" type="noConversion"/>
  </si>
  <si>
    <t>IC boy</t>
    <phoneticPr fontId="0" type="noConversion"/>
  </si>
  <si>
    <t>▲ IC</t>
    <phoneticPr fontId="0" type="noConversion"/>
  </si>
  <si>
    <t>NOPLAT</t>
    <phoneticPr fontId="0" type="noConversion"/>
  </si>
  <si>
    <t>FCFF</t>
    <phoneticPr fontId="0" type="noConversion"/>
  </si>
  <si>
    <t>g</t>
    <phoneticPr fontId="0" type="noConversion"/>
  </si>
  <si>
    <t>ROIC = NOPLAT - IC boy</t>
    <phoneticPr fontId="0" type="noConversion"/>
  </si>
  <si>
    <t>RONIC = ▲ NOPLAT - ▲ IC</t>
    <phoneticPr fontId="0" type="noConversion"/>
  </si>
  <si>
    <t>k = ▲ IC / NOPLAT</t>
    <phoneticPr fontId="0" type="noConversion"/>
  </si>
  <si>
    <t>dREc</t>
  </si>
  <si>
    <t>dCash</t>
  </si>
  <si>
    <t>CF form operation</t>
  </si>
  <si>
    <t>dPP&amp;E</t>
  </si>
  <si>
    <t>CF from Investment</t>
  </si>
  <si>
    <t>Dequity w/o Ret Ear</t>
  </si>
  <si>
    <t>dUnneeded wealth</t>
  </si>
  <si>
    <t>This template is for building the three financial statements + valuation using the five methods</t>
  </si>
  <si>
    <t>First check how many years we need, if more or less than what's here then add/delete columns from the middle to not mess up TV Formulas</t>
  </si>
  <si>
    <t>Value Drivers</t>
  </si>
  <si>
    <t>NOPAT / IC</t>
  </si>
  <si>
    <t>dNOPAT / dIC</t>
  </si>
  <si>
    <t>RONIC = WACC if no added value</t>
  </si>
  <si>
    <t>dIC / NOPAT || g(t+1) / RONIC(t+1)</t>
  </si>
  <si>
    <t>RONIC * K(t-1) || NOPAT / NOPAT(t-1) -1</t>
  </si>
  <si>
    <t>( rA - rD * D/V ) / ( 1 - D/V )</t>
  </si>
  <si>
    <t>rE</t>
  </si>
  <si>
    <t>rA - rD * D/V * t</t>
  </si>
  <si>
    <t>D/IC</t>
  </si>
  <si>
    <t>Add missing D/V to get WACC</t>
  </si>
  <si>
    <t>D/V</t>
  </si>
  <si>
    <t>Balance Sheet ( D + E = IC)</t>
  </si>
  <si>
    <t>IC = E / (1 - D/IC)</t>
  </si>
  <si>
    <t>Calculate IC for TV also</t>
  </si>
  <si>
    <t>TV: Debt = D*(1+g)</t>
  </si>
  <si>
    <t>Income Statement</t>
  </si>
  <si>
    <t>Sales * EBIT/Sales || NOPAT/(1-t)</t>
  </si>
  <si>
    <t>Debt * rD</t>
  </si>
  <si>
    <t>EBIT - I</t>
  </si>
  <si>
    <t>PBT * t (Only if PBT &gt; 0 )</t>
  </si>
  <si>
    <t>PBT- Tax</t>
  </si>
  <si>
    <t>PAT - RE</t>
  </si>
  <si>
    <t>RE - dEquity required</t>
  </si>
  <si>
    <t>PAT / Dividend</t>
  </si>
  <si>
    <t>Tax / PBT</t>
  </si>
  <si>
    <t>Business CFs</t>
  </si>
  <si>
    <t>EBIT (1- t) || ROIC*IC || NOPAT + RONIC*dIC || NOPAT(t-1)*(1+g)</t>
  </si>
  <si>
    <t>K * NOPAT || IC(t+1) - IC(t)</t>
  </si>
  <si>
    <t>NOPLAT - dIC</t>
  </si>
  <si>
    <t>I * t</t>
  </si>
  <si>
    <t>FCFF - I + TaxShield + dDebt</t>
  </si>
  <si>
    <t>APV Valuation</t>
  </si>
  <si>
    <t>FCFF + TS</t>
  </si>
  <si>
    <t>Take V from here to get D/V ratios that we need for WACC</t>
  </si>
  <si>
    <t>V boy</t>
  </si>
  <si>
    <t>TV: Growing perpetuity (We divide by rA-g )</t>
  </si>
  <si>
    <t>FCFE Valuation</t>
  </si>
  <si>
    <t>TV: Growing perpetuity (We divide by rE-g )</t>
  </si>
  <si>
    <t>FCFF Valuation</t>
  </si>
  <si>
    <t>Take V from here to get D if we have D/V</t>
  </si>
  <si>
    <t>TV: Growing perpetuity (We divide by WACC-g )</t>
  </si>
  <si>
    <t>EVA Valuation</t>
  </si>
  <si>
    <t>NOPLAT*</t>
  </si>
  <si>
    <t>Total IC x WACC</t>
  </si>
  <si>
    <t>if we don't have numbers for the next TVs</t>
  </si>
  <si>
    <t>EVA</t>
  </si>
  <si>
    <t>we might just take PV EVA = V - IC</t>
  </si>
  <si>
    <t>PV EVA</t>
  </si>
  <si>
    <t>TV: if we are selling the business, EVA = 0 (no more added value)</t>
  </si>
  <si>
    <t>Total IC</t>
  </si>
  <si>
    <t>RI Valuation</t>
  </si>
  <si>
    <t>BV Equity boy</t>
  </si>
  <si>
    <t>BV Equity * rE</t>
  </si>
  <si>
    <t>RI</t>
  </si>
  <si>
    <t>PV RI</t>
  </si>
  <si>
    <t>Maybe should be adjusted also if we have sales of assets EBIT* = EBIT - Sales Price + Book Value</t>
  </si>
  <si>
    <t>dOperational Cash</t>
  </si>
  <si>
    <t>(t-1) - t  Only operational Cash if specified</t>
  </si>
  <si>
    <t>dLiquidityDebt (Short term)</t>
  </si>
  <si>
    <t xml:space="preserve">t - (t-1)  </t>
  </si>
  <si>
    <t>(t-1) - t  This is PP&amp;A</t>
  </si>
  <si>
    <t>FCFF (Free Cash Flow to the Firm)</t>
    <phoneticPr fontId="0" type="noConversion"/>
  </si>
  <si>
    <t>Only what's paid on financing debt, Exclude Liquidity Debt</t>
  </si>
  <si>
    <t>dShort term financing debt</t>
  </si>
  <si>
    <t>t - (t-1)  Remove liquidity debt, keep only financing debt</t>
  </si>
  <si>
    <t>dLong Term Debt</t>
  </si>
  <si>
    <t>FCFE</t>
    <phoneticPr fontId="0" type="noConversion"/>
  </si>
  <si>
    <t>Usually Total Cash - Operational Cash</t>
  </si>
  <si>
    <t>Sales of invested assets and their corresponding book value under the other expenses are regarded as extraordinary items, therefore as non-operational wealth. Non-operational cash also pertains to this category.</t>
  </si>
  <si>
    <t>dNon-op wealth due to other factors</t>
  </si>
  <si>
    <t>Inventory turnover days</t>
  </si>
  <si>
    <t>It Should be EBIT / (TOTAL ASSETS - CURRENT LIABILITIES)</t>
  </si>
  <si>
    <t xml:space="preserve"> EBIT / ( Equity + Non Current Liabilities )</t>
  </si>
  <si>
    <t>DCF</t>
  </si>
  <si>
    <t>APV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</si>
</sst>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
    <numFmt numFmtId="165" formatCode="_-* #,##0.00_-;\-* #,##0.00_-;_-* &quot;-&quot;??_-;_-@_-"/>
    <numFmt numFmtId="166" formatCode="_-* #,##0_-;\-* #,##0_-;_-* &quot;-&quot;??_-;_-@_-"/>
    <numFmt numFmtId="167" formatCode="dd/\ mmmm\ yyyy/"/>
    <numFmt numFmtId="168" formatCode="_(* #,##0_);_(* \(#,##0\);_(* &quot;-&quot;??_);_(@_)"/>
    <numFmt numFmtId="169" formatCode="_(* #,##0.0_);_(* \(#,##0.0\);_(* &quot;-&quot;??_);_(@_)"/>
    <numFmt numFmtId="170" formatCode="0.0%"/>
    <numFmt numFmtId="171" formatCode="#,##0.00_ "/>
  </numFmts>
  <fonts count="75">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sz val="14"/>
      <color theme="1"/>
      <name val="Times New Roman"/>
      <family val="2"/>
      <charset val="238"/>
    </font>
    <font>
      <b/>
      <sz val="14"/>
      <color theme="1"/>
      <name val="Times New Roman"/>
      <family val="1"/>
      <charset val="238"/>
    </font>
    <font>
      <b/>
      <sz val="16"/>
      <color theme="1"/>
      <name val="Times New Roman"/>
      <family val="1"/>
      <charset val="238"/>
    </font>
    <font>
      <b/>
      <sz val="12"/>
      <color theme="1"/>
      <name val="Times New Roman"/>
      <family val="1"/>
      <charset val="238"/>
    </font>
    <font>
      <sz val="12"/>
      <color theme="1"/>
      <name val="Times New Roman"/>
      <family val="1"/>
      <charset val="238"/>
    </font>
    <font>
      <b/>
      <sz val="12"/>
      <color rgb="FF000000"/>
      <name val="Times New Roman"/>
      <family val="1"/>
      <charset val="238"/>
    </font>
    <font>
      <sz val="12"/>
      <color rgb="FF000000"/>
      <name val="Times New Roman"/>
      <family val="1"/>
      <charset val="238"/>
    </font>
    <font>
      <sz val="10"/>
      <color theme="1"/>
      <name val="Calibri"/>
      <family val="2"/>
      <charset val="238"/>
    </font>
    <font>
      <b/>
      <i/>
      <sz val="12"/>
      <color rgb="FF000000"/>
      <name val="Times New Roman"/>
      <family val="1"/>
      <charset val="238"/>
    </font>
    <font>
      <sz val="12"/>
      <color rgb="FF0070C0"/>
      <name val="Calibri"/>
      <family val="2"/>
      <scheme val="minor"/>
    </font>
    <font>
      <b/>
      <sz val="12"/>
      <color rgb="FF0070C0"/>
      <name val="Calibri"/>
      <family val="2"/>
      <scheme val="minor"/>
    </font>
    <font>
      <sz val="12"/>
      <color theme="1"/>
      <name val="Times New Roman"/>
      <family val="1"/>
    </font>
    <font>
      <i/>
      <sz val="12"/>
      <color theme="1"/>
      <name val="Times New Roman"/>
      <family val="1"/>
    </font>
    <font>
      <b/>
      <sz val="12"/>
      <color theme="1"/>
      <name val="Times New Roman"/>
      <family val="1"/>
    </font>
    <font>
      <b/>
      <sz val="9"/>
      <color rgb="FF000000"/>
      <name val="Tahoma"/>
      <family val="2"/>
      <charset val="238"/>
    </font>
    <font>
      <sz val="9"/>
      <color rgb="FF000000"/>
      <name val="Tahoma"/>
      <family val="2"/>
      <charset val="238"/>
    </font>
    <font>
      <b/>
      <sz val="12"/>
      <color rgb="FF000000"/>
      <name val="Times New Roman"/>
      <family val="1"/>
    </font>
    <font>
      <b/>
      <sz val="12"/>
      <color rgb="FFFF0000"/>
      <name val="Times New Roman"/>
      <family val="1"/>
    </font>
    <font>
      <sz val="12"/>
      <color rgb="FF00B050"/>
      <name val="Times New Roman"/>
      <family val="2"/>
      <charset val="238"/>
    </font>
    <font>
      <i/>
      <sz val="9"/>
      <color theme="1"/>
      <name val="Times New Roman"/>
      <family val="1"/>
    </font>
    <font>
      <i/>
      <sz val="10"/>
      <color theme="1"/>
      <name val="Times New Roman"/>
      <family val="1"/>
    </font>
    <font>
      <i/>
      <sz val="12"/>
      <color theme="1"/>
      <name val="Times New Roman"/>
      <family val="1"/>
      <charset val="238"/>
    </font>
    <font>
      <i/>
      <sz val="8"/>
      <color theme="1"/>
      <name val="Times New Roman"/>
      <family val="1"/>
      <charset val="238"/>
    </font>
    <font>
      <b/>
      <sz val="12"/>
      <color rgb="FF00B050"/>
      <name val="Times New Roman"/>
      <family val="1"/>
      <charset val="238"/>
    </font>
    <font>
      <sz val="12"/>
      <color rgb="FFFF0000"/>
      <name val="Times New Roman"/>
      <family val="1"/>
    </font>
    <font>
      <sz val="12"/>
      <color rgb="FF92D050"/>
      <name val="Times New Roman"/>
      <family val="2"/>
      <charset val="238"/>
    </font>
    <font>
      <sz val="12"/>
      <color rgb="FFFF0000"/>
      <name val="Times New Roman"/>
      <family val="1"/>
      <charset val="2"/>
    </font>
    <font>
      <sz val="12"/>
      <color rgb="FFFF0000"/>
      <name val="Symbol"/>
      <family val="1"/>
      <charset val="2"/>
    </font>
    <font>
      <sz val="12"/>
      <color rgb="FF00B050"/>
      <name val="Times New Roman"/>
      <family val="1"/>
      <charset val="2"/>
    </font>
    <font>
      <sz val="12"/>
      <color rgb="FF00B050"/>
      <name val="Symbol"/>
      <family val="1"/>
      <charset val="2"/>
    </font>
    <font>
      <sz val="12"/>
      <color rgb="FF00B050"/>
      <name val="Times New Roman"/>
      <family val="1"/>
    </font>
    <font>
      <sz val="12"/>
      <color theme="1"/>
      <name val="Times New Roman"/>
      <family val="1"/>
      <charset val="2"/>
    </font>
    <font>
      <b/>
      <sz val="12"/>
      <color theme="1"/>
      <name val="Times New Roman"/>
      <family val="1"/>
      <charset val="2"/>
    </font>
    <font>
      <b/>
      <sz val="12"/>
      <color theme="1"/>
      <name val="Symbol"/>
      <family val="1"/>
      <charset val="2"/>
    </font>
    <font>
      <sz val="12"/>
      <name val="Times New Roman"/>
      <family val="1"/>
      <charset val="238"/>
    </font>
    <font>
      <sz val="12"/>
      <color rgb="FFFF0000"/>
      <name val="Times New Roman"/>
      <family val="1"/>
      <charset val="238"/>
    </font>
    <font>
      <b/>
      <sz val="12"/>
      <color rgb="FFFF0000"/>
      <name val="Times New Roman"/>
      <family val="1"/>
      <charset val="238"/>
    </font>
    <font>
      <b/>
      <sz val="14"/>
      <color theme="1"/>
      <name val="Times New Roman"/>
      <family val="1"/>
    </font>
    <font>
      <b/>
      <sz val="14"/>
      <color theme="1"/>
      <name val="Symbol"/>
      <family val="1"/>
      <charset val="2"/>
    </font>
    <font>
      <b/>
      <sz val="12"/>
      <color rgb="FF000000"/>
      <name val="Times New Roman"/>
      <family val="1"/>
      <charset val="2"/>
    </font>
    <font>
      <b/>
      <sz val="12"/>
      <color rgb="FF000000"/>
      <name val="Symbol"/>
      <family val="1"/>
      <charset val="2"/>
    </font>
    <font>
      <b/>
      <sz val="12"/>
      <color theme="1"/>
      <name val="Times New Roman"/>
      <family val="1"/>
      <charset val="204"/>
    </font>
    <font>
      <sz val="12"/>
      <color theme="1"/>
      <name val="Times New Roman"/>
      <family val="1"/>
      <charset val="204"/>
    </font>
    <font>
      <i/>
      <sz val="12"/>
      <color rgb="FF00B050"/>
      <name val="Times New Roman"/>
      <family val="1"/>
    </font>
    <font>
      <i/>
      <sz val="12"/>
      <color theme="9" tint="-0.249977111117893"/>
      <name val="Times New Roman"/>
      <family val="1"/>
    </font>
    <font>
      <sz val="12"/>
      <color theme="9" tint="-0.249977111117893"/>
      <name val="Times New Roman"/>
      <family val="1"/>
      <charset val="238"/>
    </font>
    <font>
      <b/>
      <sz val="12"/>
      <color theme="9" tint="-0.249977111117893"/>
      <name val="Times New Roman"/>
      <family val="1"/>
      <charset val="238"/>
    </font>
    <font>
      <sz val="12"/>
      <color rgb="FF00B050"/>
      <name val="Times New Roman"/>
      <family val="1"/>
      <charset val="238"/>
    </font>
    <font>
      <sz val="12"/>
      <color theme="9" tint="-0.249977111117893"/>
      <name val="Times New Roman"/>
      <family val="1"/>
    </font>
    <font>
      <i/>
      <sz val="12"/>
      <color rgb="FF00B0F0"/>
      <name val="Times New Roman"/>
      <family val="1"/>
    </font>
    <font>
      <sz val="12"/>
      <color rgb="FF00B0F0"/>
      <name val="Times New Roman"/>
      <family val="2"/>
      <charset val="238"/>
    </font>
    <font>
      <i/>
      <sz val="12"/>
      <color rgb="FFFF0000"/>
      <name val="Times New Roman"/>
      <family val="1"/>
    </font>
    <font>
      <sz val="12"/>
      <color rgb="FFFF0000"/>
      <name val="Times New Roman"/>
      <family val="2"/>
      <charset val="238"/>
    </font>
    <font>
      <b/>
      <i/>
      <sz val="12"/>
      <name val="Times New Roman"/>
      <family val="1"/>
    </font>
    <font>
      <b/>
      <sz val="12"/>
      <name val="Times New Roman"/>
      <family val="1"/>
    </font>
    <font>
      <b/>
      <i/>
      <sz val="12"/>
      <color theme="1"/>
      <name val="Times New Roman"/>
      <family val="1"/>
    </font>
    <font>
      <b/>
      <sz val="12"/>
      <color theme="1"/>
      <name val="Calibri"/>
      <family val="2"/>
      <charset val="238"/>
      <scheme val="minor"/>
    </font>
    <font>
      <sz val="12"/>
      <color theme="1"/>
      <name val="Calibri"/>
      <family val="2"/>
      <charset val="238"/>
      <scheme val="minor"/>
    </font>
    <font>
      <sz val="12"/>
      <name val="Calibri"/>
      <family val="2"/>
      <scheme val="minor"/>
    </font>
    <font>
      <b/>
      <sz val="12"/>
      <name val="Calibri"/>
      <family val="2"/>
      <scheme val="minor"/>
    </font>
    <font>
      <sz val="11"/>
      <color rgb="FFFF0000"/>
      <name val="Calibri"/>
      <family val="2"/>
    </font>
    <font>
      <sz val="11"/>
      <color rgb="FF000000"/>
      <name val="Calibri"/>
      <family val="2"/>
    </font>
    <font>
      <i/>
      <sz val="12"/>
      <color rgb="FF0070C0"/>
      <name val="Calibri"/>
      <family val="2"/>
      <scheme val="minor"/>
    </font>
    <font>
      <b/>
      <sz val="9"/>
      <color indexed="81"/>
      <name val="宋体"/>
      <family val="3"/>
      <charset val="134"/>
    </font>
    <font>
      <sz val="9"/>
      <color indexed="81"/>
      <name val="宋体"/>
      <family val="3"/>
      <charset val="134"/>
    </font>
    <font>
      <b/>
      <u/>
      <sz val="12"/>
      <color theme="1"/>
      <name val="Calibri"/>
      <family val="2"/>
      <scheme val="minor"/>
    </font>
    <font>
      <b/>
      <u/>
      <sz val="12"/>
      <color theme="1"/>
      <name val="Times New Roman"/>
      <family val="1"/>
    </font>
    <font>
      <sz val="12"/>
      <name val="Times New Roman"/>
      <family val="1"/>
    </font>
    <font>
      <b/>
      <u/>
      <sz val="12"/>
      <name val="Calibri"/>
      <family val="2"/>
      <scheme val="minor"/>
    </font>
    <font>
      <b/>
      <sz val="12"/>
      <color theme="4"/>
      <name val="Calibri"/>
      <family val="2"/>
      <scheme val="minor"/>
    </font>
    <font>
      <b/>
      <sz val="11"/>
      <color theme="1"/>
      <name val="Calibri"/>
      <family val="2"/>
      <scheme val="minor"/>
    </font>
  </fonts>
  <fills count="2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FFFFF"/>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bgColor indexed="64"/>
      </patternFill>
    </fill>
    <fill>
      <patternFill patternType="solid">
        <fgColor rgb="FFFFC000"/>
        <bgColor indexed="64"/>
      </patternFill>
    </fill>
    <fill>
      <patternFill patternType="solid">
        <fgColor rgb="FF92D050"/>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rgb="FFCCCCFF"/>
        <bgColor indexed="64"/>
      </patternFill>
    </fill>
    <fill>
      <patternFill patternType="solid">
        <fgColor theme="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3" tint="0.79998168889431442"/>
        <bgColor indexed="64"/>
      </patternFill>
    </fill>
  </fills>
  <borders count="3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double">
        <color indexed="64"/>
      </bottom>
      <diagonal/>
    </border>
    <border>
      <left/>
      <right/>
      <top style="medium">
        <color indexed="64"/>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61" fillId="0" borderId="0"/>
  </cellStyleXfs>
  <cellXfs count="540">
    <xf numFmtId="0" fontId="0" fillId="0" borderId="0" xfId="0"/>
    <xf numFmtId="0" fontId="4" fillId="2" borderId="1" xfId="0" applyFont="1" applyFill="1" applyBorder="1"/>
    <xf numFmtId="14" fontId="5" fillId="2" borderId="2" xfId="0" applyNumberFormat="1" applyFont="1" applyFill="1" applyBorder="1" applyAlignment="1">
      <alignment horizontal="center"/>
    </xf>
    <xf numFmtId="0" fontId="4" fillId="2" borderId="3" xfId="0" applyFont="1" applyFill="1" applyBorder="1"/>
    <xf numFmtId="164" fontId="5" fillId="2" borderId="4" xfId="0" applyNumberFormat="1" applyFont="1" applyFill="1" applyBorder="1" applyAlignment="1">
      <alignment horizontal="center"/>
    </xf>
    <xf numFmtId="0" fontId="4" fillId="2" borderId="4" xfId="0" applyFont="1" applyFill="1" applyBorder="1"/>
    <xf numFmtId="0" fontId="4" fillId="2" borderId="5" xfId="0" applyFont="1" applyFill="1" applyBorder="1"/>
    <xf numFmtId="0" fontId="4" fillId="2" borderId="6" xfId="0" applyFont="1" applyFill="1" applyBorder="1"/>
    <xf numFmtId="0" fontId="6" fillId="3" borderId="7" xfId="0" applyFont="1" applyFill="1" applyBorder="1" applyAlignment="1">
      <alignment horizontal="center"/>
    </xf>
    <xf numFmtId="0" fontId="6" fillId="3" borderId="8" xfId="0" applyFont="1" applyFill="1" applyBorder="1" applyAlignment="1">
      <alignment horizontal="center"/>
    </xf>
    <xf numFmtId="0" fontId="7" fillId="3" borderId="0" xfId="0" applyFont="1" applyFill="1" applyAlignment="1">
      <alignment horizontal="center"/>
    </xf>
    <xf numFmtId="0" fontId="7" fillId="0" borderId="0" xfId="0" applyFont="1" applyAlignment="1">
      <alignment horizontal="center"/>
    </xf>
    <xf numFmtId="4" fontId="0" fillId="0" borderId="0" xfId="0" applyNumberFormat="1"/>
    <xf numFmtId="10" fontId="0" fillId="0" borderId="0" xfId="2" applyNumberFormat="1" applyFont="1"/>
    <xf numFmtId="10" fontId="0" fillId="0" borderId="0" xfId="0" applyNumberFormat="1"/>
    <xf numFmtId="0" fontId="7" fillId="0" borderId="9" xfId="0" applyFont="1" applyBorder="1"/>
    <xf numFmtId="0" fontId="7" fillId="4" borderId="10" xfId="0" applyFont="1" applyFill="1" applyBorder="1"/>
    <xf numFmtId="0" fontId="7" fillId="0" borderId="12" xfId="0" applyFont="1" applyBorder="1"/>
    <xf numFmtId="0" fontId="7" fillId="2" borderId="13" xfId="0" applyFont="1" applyFill="1" applyBorder="1"/>
    <xf numFmtId="0" fontId="7" fillId="4" borderId="13" xfId="0" applyFont="1" applyFill="1" applyBorder="1"/>
    <xf numFmtId="0" fontId="7" fillId="0" borderId="15" xfId="0" applyFont="1" applyBorder="1"/>
    <xf numFmtId="0" fontId="7" fillId="4" borderId="16" xfId="0" applyFont="1" applyFill="1" applyBorder="1"/>
    <xf numFmtId="0" fontId="7" fillId="4" borderId="17" xfId="0" applyFont="1" applyFill="1" applyBorder="1"/>
    <xf numFmtId="0" fontId="5" fillId="2" borderId="2" xfId="0" applyFont="1" applyFill="1" applyBorder="1" applyAlignment="1">
      <alignment horizontal="center"/>
    </xf>
    <xf numFmtId="0" fontId="0" fillId="2" borderId="0" xfId="0" applyFill="1"/>
    <xf numFmtId="4" fontId="0" fillId="2" borderId="0" xfId="0" applyNumberFormat="1" applyFill="1"/>
    <xf numFmtId="0" fontId="7" fillId="2" borderId="0" xfId="0" applyFont="1" applyFill="1" applyAlignment="1">
      <alignment horizontal="center"/>
    </xf>
    <xf numFmtId="10" fontId="0" fillId="2" borderId="0" xfId="2" applyNumberFormat="1" applyFont="1" applyFill="1"/>
    <xf numFmtId="10" fontId="0" fillId="2" borderId="0" xfId="0" applyNumberFormat="1" applyFill="1"/>
    <xf numFmtId="0" fontId="7" fillId="0" borderId="13" xfId="0" applyFont="1" applyBorder="1"/>
    <xf numFmtId="10" fontId="7" fillId="4" borderId="13" xfId="2" applyNumberFormat="1" applyFont="1" applyFill="1" applyBorder="1"/>
    <xf numFmtId="0" fontId="7" fillId="0" borderId="0" xfId="0" applyFont="1"/>
    <xf numFmtId="0" fontId="8" fillId="0" borderId="18" xfId="0" applyFont="1" applyBorder="1" applyAlignment="1">
      <alignment horizontal="left" vertical="center"/>
    </xf>
    <xf numFmtId="0" fontId="9" fillId="5" borderId="8" xfId="0" applyFont="1" applyFill="1" applyBorder="1" applyAlignment="1">
      <alignment horizontal="center" vertical="center"/>
    </xf>
    <xf numFmtId="0" fontId="8" fillId="0" borderId="19" xfId="0" applyFont="1" applyBorder="1" applyAlignment="1">
      <alignment horizontal="left" vertical="center"/>
    </xf>
    <xf numFmtId="4" fontId="10" fillId="5" borderId="6" xfId="0" applyNumberFormat="1" applyFont="1" applyFill="1" applyBorder="1" applyAlignment="1">
      <alignment horizontal="right" vertical="center"/>
    </xf>
    <xf numFmtId="0" fontId="7" fillId="0" borderId="19" xfId="0" applyFont="1" applyBorder="1" applyAlignment="1">
      <alignment horizontal="left" vertical="center"/>
    </xf>
    <xf numFmtId="4" fontId="9" fillId="5" borderId="6" xfId="0" applyNumberFormat="1" applyFont="1" applyFill="1" applyBorder="1" applyAlignment="1">
      <alignment horizontal="right" vertical="center"/>
    </xf>
    <xf numFmtId="0" fontId="11" fillId="0" borderId="20" xfId="0" applyFont="1" applyBorder="1"/>
    <xf numFmtId="4" fontId="10" fillId="5" borderId="20" xfId="0" applyNumberFormat="1" applyFont="1" applyFill="1" applyBorder="1" applyAlignment="1">
      <alignment horizontal="left" vertical="center"/>
    </xf>
    <xf numFmtId="4" fontId="12" fillId="5" borderId="6" xfId="0" applyNumberFormat="1" applyFont="1" applyFill="1" applyBorder="1" applyAlignment="1">
      <alignment horizontal="right" vertical="center"/>
    </xf>
    <xf numFmtId="10" fontId="0" fillId="0" borderId="0" xfId="2" applyNumberFormat="1" applyFont="1" applyFill="1" applyBorder="1"/>
    <xf numFmtId="0" fontId="3" fillId="0" borderId="21" xfId="0" applyFont="1" applyBorder="1"/>
    <xf numFmtId="0" fontId="0" fillId="0" borderId="22" xfId="0" applyBorder="1"/>
    <xf numFmtId="10" fontId="3" fillId="0" borderId="22" xfId="2" applyNumberFormat="1" applyFont="1" applyBorder="1"/>
    <xf numFmtId="166" fontId="13" fillId="0" borderId="23" xfId="1" applyNumberFormat="1" applyFont="1" applyBorder="1"/>
    <xf numFmtId="4" fontId="0" fillId="0" borderId="24" xfId="0" applyNumberFormat="1" applyBorder="1"/>
    <xf numFmtId="4" fontId="0" fillId="0" borderId="25" xfId="0" applyNumberFormat="1" applyBorder="1"/>
    <xf numFmtId="166" fontId="13" fillId="0" borderId="26" xfId="1" applyNumberFormat="1" applyFont="1" applyBorder="1"/>
    <xf numFmtId="4" fontId="0" fillId="0" borderId="27" xfId="0" applyNumberFormat="1" applyBorder="1"/>
    <xf numFmtId="43" fontId="0" fillId="0" borderId="0" xfId="1" applyFont="1" applyBorder="1"/>
    <xf numFmtId="43" fontId="0" fillId="0" borderId="27" xfId="1" applyFont="1" applyBorder="1"/>
    <xf numFmtId="166" fontId="14" fillId="6" borderId="26" xfId="1" applyNumberFormat="1" applyFont="1" applyFill="1" applyBorder="1"/>
    <xf numFmtId="43" fontId="3" fillId="6" borderId="0" xfId="1" applyFont="1" applyFill="1" applyBorder="1"/>
    <xf numFmtId="43" fontId="3" fillId="6" borderId="27" xfId="1" applyFont="1" applyFill="1" applyBorder="1"/>
    <xf numFmtId="166" fontId="14" fillId="7" borderId="26" xfId="1" applyNumberFormat="1" applyFont="1" applyFill="1" applyBorder="1"/>
    <xf numFmtId="165" fontId="3" fillId="7" borderId="0" xfId="0" applyNumberFormat="1" applyFont="1" applyFill="1"/>
    <xf numFmtId="165" fontId="3" fillId="7" borderId="27" xfId="0" applyNumberFormat="1" applyFont="1" applyFill="1" applyBorder="1"/>
    <xf numFmtId="166" fontId="13" fillId="0" borderId="26" xfId="1" applyNumberFormat="1" applyFont="1" applyFill="1" applyBorder="1"/>
    <xf numFmtId="0" fontId="0" fillId="0" borderId="27" xfId="0" applyBorder="1"/>
    <xf numFmtId="166" fontId="14" fillId="8" borderId="21" xfId="1" applyNumberFormat="1" applyFont="1" applyFill="1" applyBorder="1"/>
    <xf numFmtId="165" fontId="0" fillId="8" borderId="22" xfId="0" applyNumberFormat="1" applyFill="1" applyBorder="1"/>
    <xf numFmtId="165" fontId="0" fillId="8" borderId="28" xfId="0" applyNumberFormat="1" applyFill="1" applyBorder="1"/>
    <xf numFmtId="166" fontId="13" fillId="0" borderId="29" xfId="1" applyNumberFormat="1" applyFont="1" applyBorder="1"/>
    <xf numFmtId="4" fontId="0" fillId="0" borderId="23" xfId="0" applyNumberFormat="1" applyBorder="1"/>
    <xf numFmtId="0" fontId="0" fillId="3" borderId="26" xfId="0" applyFill="1" applyBorder="1"/>
    <xf numFmtId="4" fontId="0" fillId="3" borderId="0" xfId="0" applyNumberFormat="1" applyFill="1"/>
    <xf numFmtId="4" fontId="0" fillId="3" borderId="27" xfId="0" applyNumberFormat="1" applyFill="1" applyBorder="1"/>
    <xf numFmtId="0" fontId="7" fillId="9" borderId="29" xfId="0" applyFont="1" applyFill="1" applyBorder="1"/>
    <xf numFmtId="4" fontId="0" fillId="9" borderId="30" xfId="0" applyNumberFormat="1" applyFill="1" applyBorder="1"/>
    <xf numFmtId="4" fontId="0" fillId="9" borderId="31" xfId="0" applyNumberFormat="1" applyFill="1" applyBorder="1"/>
    <xf numFmtId="4" fontId="7" fillId="0" borderId="0" xfId="0" applyNumberFormat="1" applyFont="1"/>
    <xf numFmtId="0" fontId="7" fillId="9" borderId="0" xfId="0" applyFont="1" applyFill="1"/>
    <xf numFmtId="0" fontId="0" fillId="9" borderId="0" xfId="0" applyFill="1"/>
    <xf numFmtId="4" fontId="7" fillId="9" borderId="0" xfId="0" applyNumberFormat="1" applyFont="1" applyFill="1"/>
    <xf numFmtId="0" fontId="0" fillId="10" borderId="0" xfId="0" applyFill="1"/>
    <xf numFmtId="4" fontId="0" fillId="10" borderId="0" xfId="0" applyNumberFormat="1" applyFill="1"/>
    <xf numFmtId="10" fontId="0" fillId="10" borderId="0" xfId="2" applyNumberFormat="1" applyFont="1" applyFill="1"/>
    <xf numFmtId="10" fontId="0" fillId="10" borderId="0" xfId="0" applyNumberFormat="1" applyFill="1"/>
    <xf numFmtId="2" fontId="0" fillId="0" borderId="0" xfId="0" applyNumberFormat="1"/>
    <xf numFmtId="0" fontId="15" fillId="0" borderId="0" xfId="0" applyFont="1"/>
    <xf numFmtId="0" fontId="17" fillId="0" borderId="0" xfId="0" applyFont="1"/>
    <xf numFmtId="0" fontId="15" fillId="0" borderId="0" xfId="0" quotePrefix="1" applyFont="1"/>
    <xf numFmtId="0" fontId="3" fillId="0" borderId="0" xfId="0" applyFont="1"/>
    <xf numFmtId="0" fontId="20" fillId="0" borderId="0" xfId="0" applyFont="1" applyAlignment="1">
      <alignment horizontal="left" vertical="center"/>
    </xf>
    <xf numFmtId="0" fontId="21" fillId="0" borderId="0" xfId="0" applyFont="1"/>
    <xf numFmtId="0" fontId="17" fillId="0" borderId="30" xfId="0" applyFont="1" applyBorder="1"/>
    <xf numFmtId="9" fontId="0" fillId="0" borderId="0" xfId="2" applyFont="1"/>
    <xf numFmtId="4" fontId="15" fillId="0" borderId="0" xfId="0" applyNumberFormat="1" applyFont="1"/>
    <xf numFmtId="4" fontId="15" fillId="0" borderId="30" xfId="0" applyNumberFormat="1" applyFont="1" applyBorder="1"/>
    <xf numFmtId="0" fontId="0" fillId="0" borderId="24" xfId="0" applyBorder="1"/>
    <xf numFmtId="2" fontId="0" fillId="0" borderId="24" xfId="0" applyNumberFormat="1" applyBorder="1"/>
    <xf numFmtId="0" fontId="17" fillId="0" borderId="0" xfId="0" applyFont="1" applyAlignment="1">
      <alignment horizontal="center"/>
    </xf>
    <xf numFmtId="10" fontId="15" fillId="0" borderId="0" xfId="2" applyNumberFormat="1" applyFont="1"/>
    <xf numFmtId="10" fontId="15" fillId="0" borderId="0" xfId="0" applyNumberFormat="1" applyFont="1"/>
    <xf numFmtId="0" fontId="17" fillId="0" borderId="9" xfId="0" applyFont="1" applyBorder="1"/>
    <xf numFmtId="10" fontId="17" fillId="4" borderId="10" xfId="2" applyNumberFormat="1" applyFont="1" applyFill="1" applyBorder="1"/>
    <xf numFmtId="0" fontId="17" fillId="0" borderId="32" xfId="0" applyFont="1" applyBorder="1"/>
    <xf numFmtId="43" fontId="17" fillId="4" borderId="33" xfId="1" applyFont="1" applyFill="1" applyBorder="1"/>
    <xf numFmtId="0" fontId="17" fillId="0" borderId="12" xfId="0" applyFont="1" applyBorder="1"/>
    <xf numFmtId="10" fontId="17" fillId="4" borderId="13" xfId="0" applyNumberFormat="1" applyFont="1" applyFill="1" applyBorder="1"/>
    <xf numFmtId="0" fontId="17" fillId="4" borderId="14" xfId="0" applyFont="1" applyFill="1" applyBorder="1"/>
    <xf numFmtId="43" fontId="17" fillId="4" borderId="13" xfId="1" applyFont="1" applyFill="1" applyBorder="1"/>
    <xf numFmtId="0" fontId="17" fillId="0" borderId="15" xfId="0" applyFont="1" applyBorder="1"/>
    <xf numFmtId="10" fontId="17" fillId="4" borderId="16" xfId="0" applyNumberFormat="1" applyFont="1" applyFill="1" applyBorder="1"/>
    <xf numFmtId="0" fontId="15" fillId="2" borderId="1" xfId="0" applyFont="1" applyFill="1" applyBorder="1"/>
    <xf numFmtId="167" fontId="17" fillId="2" borderId="2" xfId="0" applyNumberFormat="1" applyFont="1" applyFill="1" applyBorder="1" applyAlignment="1">
      <alignment horizontal="center"/>
    </xf>
    <xf numFmtId="0" fontId="15" fillId="2" borderId="3" xfId="0" applyFont="1" applyFill="1" applyBorder="1"/>
    <xf numFmtId="164" fontId="17" fillId="2" borderId="4" xfId="0" applyNumberFormat="1" applyFont="1" applyFill="1" applyBorder="1" applyAlignment="1">
      <alignment horizontal="center"/>
    </xf>
    <xf numFmtId="0" fontId="15" fillId="2" borderId="4" xfId="0" applyFont="1" applyFill="1" applyBorder="1"/>
    <xf numFmtId="0" fontId="15" fillId="2" borderId="5" xfId="0" applyFont="1" applyFill="1" applyBorder="1"/>
    <xf numFmtId="0" fontId="15" fillId="2" borderId="6" xfId="0" applyFont="1" applyFill="1" applyBorder="1"/>
    <xf numFmtId="0" fontId="17" fillId="3" borderId="7" xfId="0" applyFont="1" applyFill="1" applyBorder="1" applyAlignment="1">
      <alignment horizontal="center"/>
    </xf>
    <xf numFmtId="0" fontId="17" fillId="3" borderId="8" xfId="0" applyFont="1" applyFill="1" applyBorder="1" applyAlignment="1">
      <alignment horizontal="center"/>
    </xf>
    <xf numFmtId="4" fontId="15" fillId="0" borderId="0" xfId="2" applyNumberFormat="1" applyFont="1"/>
    <xf numFmtId="9" fontId="15" fillId="0" borderId="0" xfId="2" applyFont="1"/>
    <xf numFmtId="0" fontId="17" fillId="4" borderId="10" xfId="0" applyFont="1" applyFill="1" applyBorder="1"/>
    <xf numFmtId="9" fontId="17" fillId="4" borderId="10" xfId="2" applyFont="1" applyFill="1" applyBorder="1"/>
    <xf numFmtId="0" fontId="17" fillId="4" borderId="33" xfId="0" applyFont="1" applyFill="1" applyBorder="1"/>
    <xf numFmtId="9" fontId="17" fillId="4" borderId="33" xfId="2" applyFont="1" applyFill="1" applyBorder="1"/>
    <xf numFmtId="2" fontId="17" fillId="4" borderId="33" xfId="0" applyNumberFormat="1" applyFont="1" applyFill="1" applyBorder="1"/>
    <xf numFmtId="9" fontId="17" fillId="4" borderId="13" xfId="2" applyFont="1" applyFill="1" applyBorder="1"/>
    <xf numFmtId="4" fontId="17" fillId="4" borderId="13" xfId="0" applyNumberFormat="1" applyFont="1" applyFill="1" applyBorder="1"/>
    <xf numFmtId="0" fontId="17" fillId="4" borderId="13" xfId="0" applyFont="1" applyFill="1" applyBorder="1"/>
    <xf numFmtId="167" fontId="5" fillId="2" borderId="2" xfId="0" applyNumberFormat="1" applyFont="1" applyFill="1" applyBorder="1" applyAlignment="1">
      <alignment horizontal="center"/>
    </xf>
    <xf numFmtId="0" fontId="0" fillId="0" borderId="0" xfId="0" applyAlignment="1">
      <alignment vertical="center"/>
    </xf>
    <xf numFmtId="0" fontId="7" fillId="0" borderId="0" xfId="0" applyFont="1" applyAlignment="1">
      <alignment horizontal="center" vertical="center"/>
    </xf>
    <xf numFmtId="0" fontId="7" fillId="0" borderId="0" xfId="0" applyFont="1" applyAlignment="1">
      <alignment horizontal="center" vertical="center" wrapText="1"/>
    </xf>
    <xf numFmtId="4" fontId="8" fillId="0" borderId="0" xfId="0" applyNumberFormat="1" applyFont="1"/>
    <xf numFmtId="0" fontId="22" fillId="6" borderId="0" xfId="0" applyFont="1" applyFill="1"/>
    <xf numFmtId="10" fontId="7" fillId="4" borderId="10" xfId="2" applyNumberFormat="1" applyFont="1" applyFill="1" applyBorder="1"/>
    <xf numFmtId="10" fontId="7" fillId="4" borderId="11" xfId="2" applyNumberFormat="1" applyFont="1" applyFill="1" applyBorder="1"/>
    <xf numFmtId="0" fontId="7" fillId="4" borderId="33" xfId="0" applyFont="1" applyFill="1" applyBorder="1"/>
    <xf numFmtId="10" fontId="7" fillId="4" borderId="33" xfId="2" applyNumberFormat="1" applyFont="1" applyFill="1" applyBorder="1"/>
    <xf numFmtId="10" fontId="7" fillId="4" borderId="34" xfId="2" applyNumberFormat="1" applyFont="1" applyFill="1" applyBorder="1"/>
    <xf numFmtId="0" fontId="7" fillId="11" borderId="32" xfId="0" applyFont="1" applyFill="1" applyBorder="1"/>
    <xf numFmtId="43" fontId="7" fillId="4" borderId="33" xfId="0" applyNumberFormat="1" applyFont="1" applyFill="1" applyBorder="1"/>
    <xf numFmtId="43" fontId="7" fillId="4" borderId="34" xfId="0" applyNumberFormat="1" applyFont="1" applyFill="1" applyBorder="1"/>
    <xf numFmtId="0" fontId="7" fillId="0" borderId="32" xfId="0" applyFont="1" applyBorder="1"/>
    <xf numFmtId="9" fontId="7" fillId="4" borderId="13" xfId="2" applyFont="1" applyFill="1" applyBorder="1"/>
    <xf numFmtId="9" fontId="7" fillId="4" borderId="14" xfId="2" applyFont="1" applyFill="1" applyBorder="1"/>
    <xf numFmtId="4" fontId="7" fillId="4" borderId="16" xfId="0" applyNumberFormat="1" applyFont="1" applyFill="1" applyBorder="1"/>
    <xf numFmtId="4" fontId="7" fillId="4" borderId="17" xfId="0" applyNumberFormat="1" applyFont="1" applyFill="1" applyBorder="1"/>
    <xf numFmtId="0" fontId="27" fillId="6" borderId="0" xfId="0" applyFont="1" applyFill="1"/>
    <xf numFmtId="3" fontId="0" fillId="0" borderId="0" xfId="0" applyNumberFormat="1"/>
    <xf numFmtId="0" fontId="27" fillId="0" borderId="0" xfId="0" applyFont="1"/>
    <xf numFmtId="0" fontId="7" fillId="6" borderId="0" xfId="0" applyFont="1" applyFill="1"/>
    <xf numFmtId="168" fontId="0" fillId="0" borderId="0" xfId="1" applyNumberFormat="1" applyFont="1"/>
    <xf numFmtId="0" fontId="17" fillId="11" borderId="0" xfId="0" applyFont="1" applyFill="1"/>
    <xf numFmtId="0" fontId="0" fillId="0" borderId="0" xfId="0" quotePrefix="1"/>
    <xf numFmtId="169" fontId="0" fillId="0" borderId="0" xfId="1" applyNumberFormat="1" applyFont="1" applyBorder="1"/>
    <xf numFmtId="169" fontId="0" fillId="0" borderId="0" xfId="1" applyNumberFormat="1" applyFont="1"/>
    <xf numFmtId="0" fontId="9" fillId="0" borderId="0" xfId="0" applyFont="1" applyAlignment="1">
      <alignment horizontal="left" vertical="center"/>
    </xf>
    <xf numFmtId="10" fontId="9" fillId="0" borderId="0" xfId="2" applyNumberFormat="1" applyFont="1" applyFill="1" applyBorder="1" applyAlignment="1">
      <alignment horizontal="right" vertical="center"/>
    </xf>
    <xf numFmtId="0" fontId="28" fillId="0" borderId="0" xfId="0" applyFont="1" applyAlignment="1">
      <alignment horizontal="left" indent="1"/>
    </xf>
    <xf numFmtId="4" fontId="17" fillId="0" borderId="0" xfId="0" applyNumberFormat="1" applyFont="1"/>
    <xf numFmtId="0" fontId="29" fillId="0" borderId="0" xfId="0" applyFont="1"/>
    <xf numFmtId="0" fontId="30" fillId="0" borderId="0" xfId="0" applyFont="1" applyAlignment="1">
      <alignment horizontal="left" indent="1"/>
    </xf>
    <xf numFmtId="0" fontId="32" fillId="0" borderId="0" xfId="0" applyFont="1" applyAlignment="1">
      <alignment horizontal="left" indent="1"/>
    </xf>
    <xf numFmtId="4" fontId="28" fillId="0" borderId="0" xfId="0" applyNumberFormat="1" applyFont="1" applyAlignment="1">
      <alignment horizontal="left" indent="1"/>
    </xf>
    <xf numFmtId="0" fontId="17" fillId="12" borderId="0" xfId="0" applyFont="1" applyFill="1"/>
    <xf numFmtId="4" fontId="17" fillId="12" borderId="0" xfId="0" applyNumberFormat="1" applyFont="1" applyFill="1"/>
    <xf numFmtId="0" fontId="34" fillId="0" borderId="0" xfId="0" applyFont="1" applyAlignment="1">
      <alignment horizontal="left" indent="1"/>
    </xf>
    <xf numFmtId="0" fontId="28" fillId="0" borderId="0" xfId="0" applyFont="1" applyAlignment="1">
      <alignment horizontal="left" indent="2"/>
    </xf>
    <xf numFmtId="0" fontId="34" fillId="0" borderId="0" xfId="0" applyFont="1" applyAlignment="1">
      <alignment horizontal="left" indent="2"/>
    </xf>
    <xf numFmtId="0" fontId="35" fillId="0" borderId="0" xfId="0" applyFont="1" applyAlignment="1">
      <alignment horizontal="left" indent="1"/>
    </xf>
    <xf numFmtId="0" fontId="36" fillId="0" borderId="0" xfId="0" applyFont="1"/>
    <xf numFmtId="0" fontId="35" fillId="0" borderId="0" xfId="0" applyFont="1"/>
    <xf numFmtId="4" fontId="34" fillId="0" borderId="0" xfId="0" applyNumberFormat="1" applyFont="1"/>
    <xf numFmtId="0" fontId="28" fillId="0" borderId="0" xfId="0" applyFont="1"/>
    <xf numFmtId="0" fontId="38" fillId="13" borderId="19" xfId="0" applyFont="1" applyFill="1" applyBorder="1" applyAlignment="1">
      <alignment horizontal="left" vertical="center"/>
    </xf>
    <xf numFmtId="4" fontId="38" fillId="13" borderId="6" xfId="0" applyNumberFormat="1" applyFont="1" applyFill="1" applyBorder="1" applyAlignment="1">
      <alignment horizontal="right" vertical="center"/>
    </xf>
    <xf numFmtId="0" fontId="8" fillId="14" borderId="19" xfId="0" applyFont="1" applyFill="1" applyBorder="1" applyAlignment="1">
      <alignment horizontal="left" vertical="center"/>
    </xf>
    <xf numFmtId="4" fontId="10" fillId="14" borderId="6" xfId="0" applyNumberFormat="1" applyFont="1" applyFill="1" applyBorder="1" applyAlignment="1">
      <alignment horizontal="right" vertical="center"/>
    </xf>
    <xf numFmtId="0" fontId="38" fillId="14" borderId="19" xfId="0" applyFont="1" applyFill="1" applyBorder="1" applyAlignment="1">
      <alignment horizontal="left" vertical="center"/>
    </xf>
    <xf numFmtId="4" fontId="38" fillId="14" borderId="6" xfId="0" applyNumberFormat="1" applyFont="1" applyFill="1" applyBorder="1" applyAlignment="1">
      <alignment horizontal="right" vertical="center"/>
    </xf>
    <xf numFmtId="0" fontId="8" fillId="15" borderId="19" xfId="0" applyFont="1" applyFill="1" applyBorder="1" applyAlignment="1">
      <alignment horizontal="left" vertical="center"/>
    </xf>
    <xf numFmtId="4" fontId="10" fillId="15" borderId="6" xfId="0" applyNumberFormat="1" applyFont="1" applyFill="1" applyBorder="1" applyAlignment="1">
      <alignment horizontal="right" vertical="center"/>
    </xf>
    <xf numFmtId="0" fontId="8" fillId="13" borderId="19" xfId="0" applyFont="1" applyFill="1" applyBorder="1" applyAlignment="1">
      <alignment horizontal="left" vertical="center" indent="1"/>
    </xf>
    <xf numFmtId="4" fontId="10" fillId="13" borderId="6" xfId="0" applyNumberFormat="1" applyFont="1" applyFill="1" applyBorder="1" applyAlignment="1">
      <alignment horizontal="right" vertical="center"/>
    </xf>
    <xf numFmtId="0" fontId="8" fillId="3" borderId="19" xfId="0" applyFont="1" applyFill="1" applyBorder="1" applyAlignment="1">
      <alignment horizontal="left" vertical="center" indent="1"/>
    </xf>
    <xf numFmtId="4" fontId="10" fillId="3" borderId="6" xfId="0" applyNumberFormat="1" applyFont="1" applyFill="1" applyBorder="1" applyAlignment="1">
      <alignment horizontal="right" vertical="center"/>
    </xf>
    <xf numFmtId="0" fontId="8" fillId="16" borderId="19" xfId="0" applyFont="1" applyFill="1" applyBorder="1" applyAlignment="1">
      <alignment horizontal="left" vertical="center" indent="1"/>
    </xf>
    <xf numFmtId="4" fontId="10" fillId="16" borderId="6" xfId="0" applyNumberFormat="1" applyFont="1" applyFill="1" applyBorder="1" applyAlignment="1">
      <alignment horizontal="right" vertical="center"/>
    </xf>
    <xf numFmtId="0" fontId="39" fillId="14" borderId="19" xfId="0" applyFont="1" applyFill="1" applyBorder="1" applyAlignment="1">
      <alignment horizontal="left" vertical="center"/>
    </xf>
    <xf numFmtId="4" fontId="39" fillId="14" borderId="6" xfId="0" applyNumberFormat="1" applyFont="1" applyFill="1" applyBorder="1" applyAlignment="1">
      <alignment horizontal="right" vertical="center"/>
    </xf>
    <xf numFmtId="0" fontId="40" fillId="0" borderId="19" xfId="0" applyFont="1" applyBorder="1" applyAlignment="1">
      <alignment horizontal="left" vertical="center"/>
    </xf>
    <xf numFmtId="4" fontId="40" fillId="5" borderId="6" xfId="0" applyNumberFormat="1" applyFont="1" applyFill="1" applyBorder="1" applyAlignment="1">
      <alignment horizontal="right" vertical="center"/>
    </xf>
    <xf numFmtId="170" fontId="17" fillId="0" borderId="0" xfId="2" applyNumberFormat="1" applyFont="1"/>
    <xf numFmtId="0" fontId="41" fillId="0" borderId="0" xfId="0" applyFont="1"/>
    <xf numFmtId="0" fontId="15" fillId="0" borderId="0" xfId="0" applyFont="1" applyAlignment="1">
      <alignment horizontal="left" indent="1"/>
    </xf>
    <xf numFmtId="0" fontId="17" fillId="0" borderId="0" xfId="0" applyFont="1" applyAlignment="1">
      <alignment horizontal="left"/>
    </xf>
    <xf numFmtId="4" fontId="17" fillId="0" borderId="24" xfId="0" applyNumberFormat="1" applyFont="1" applyBorder="1"/>
    <xf numFmtId="4" fontId="34" fillId="0" borderId="0" xfId="0" applyNumberFormat="1" applyFont="1" applyAlignment="1">
      <alignment horizontal="left" indent="1"/>
    </xf>
    <xf numFmtId="3" fontId="15" fillId="0" borderId="0" xfId="0" applyNumberFormat="1" applyFont="1"/>
    <xf numFmtId="3" fontId="15" fillId="0" borderId="35" xfId="0" applyNumberFormat="1" applyFont="1" applyBorder="1"/>
    <xf numFmtId="0" fontId="17" fillId="13" borderId="0" xfId="0" applyFont="1" applyFill="1"/>
    <xf numFmtId="4" fontId="17" fillId="13" borderId="0" xfId="0" applyNumberFormat="1" applyFont="1" applyFill="1"/>
    <xf numFmtId="0" fontId="17" fillId="14" borderId="0" xfId="0" applyFont="1" applyFill="1"/>
    <xf numFmtId="4" fontId="17" fillId="14" borderId="0" xfId="0" applyNumberFormat="1" applyFont="1" applyFill="1"/>
    <xf numFmtId="0" fontId="17" fillId="11" borderId="7" xfId="0" applyFont="1" applyFill="1" applyBorder="1"/>
    <xf numFmtId="0" fontId="17" fillId="11" borderId="36" xfId="0" applyFont="1" applyFill="1" applyBorder="1"/>
    <xf numFmtId="4" fontId="17" fillId="11" borderId="36" xfId="0" applyNumberFormat="1" applyFont="1" applyFill="1" applyBorder="1"/>
    <xf numFmtId="4" fontId="17" fillId="11" borderId="8" xfId="0" applyNumberFormat="1" applyFont="1" applyFill="1" applyBorder="1"/>
    <xf numFmtId="0" fontId="17" fillId="3" borderId="7" xfId="0" applyFont="1" applyFill="1" applyBorder="1"/>
    <xf numFmtId="0" fontId="17" fillId="3" borderId="36" xfId="0" applyFont="1" applyFill="1" applyBorder="1"/>
    <xf numFmtId="4" fontId="17" fillId="3" borderId="36" xfId="0" applyNumberFormat="1" applyFont="1" applyFill="1" applyBorder="1"/>
    <xf numFmtId="4" fontId="17" fillId="3" borderId="8" xfId="0" applyNumberFormat="1" applyFont="1" applyFill="1" applyBorder="1"/>
    <xf numFmtId="0" fontId="36" fillId="8" borderId="7" xfId="0" applyFont="1" applyFill="1" applyBorder="1"/>
    <xf numFmtId="0" fontId="17" fillId="8" borderId="36" xfId="0" applyFont="1" applyFill="1" applyBorder="1"/>
    <xf numFmtId="4" fontId="17" fillId="8" borderId="36" xfId="0" applyNumberFormat="1" applyFont="1" applyFill="1" applyBorder="1"/>
    <xf numFmtId="4" fontId="17" fillId="8" borderId="8" xfId="0" applyNumberFormat="1" applyFont="1" applyFill="1" applyBorder="1"/>
    <xf numFmtId="0" fontId="43" fillId="8" borderId="7" xfId="0" applyFont="1" applyFill="1" applyBorder="1"/>
    <xf numFmtId="0" fontId="20" fillId="8" borderId="36" xfId="0" applyFont="1" applyFill="1" applyBorder="1"/>
    <xf numFmtId="4" fontId="20" fillId="8" borderId="36" xfId="0" applyNumberFormat="1" applyFont="1" applyFill="1" applyBorder="1"/>
    <xf numFmtId="4" fontId="20" fillId="8" borderId="8" xfId="0" applyNumberFormat="1" applyFont="1" applyFill="1" applyBorder="1"/>
    <xf numFmtId="0" fontId="45" fillId="0" borderId="0" xfId="0" applyFont="1"/>
    <xf numFmtId="4" fontId="46" fillId="0" borderId="0" xfId="0" applyNumberFormat="1" applyFont="1"/>
    <xf numFmtId="0" fontId="0" fillId="0" borderId="0" xfId="0" applyAlignment="1">
      <alignment horizontal="right"/>
    </xf>
    <xf numFmtId="0" fontId="47" fillId="0" borderId="0" xfId="0" applyFont="1" applyAlignment="1">
      <alignment horizontal="right"/>
    </xf>
    <xf numFmtId="0" fontId="34" fillId="0" borderId="19" xfId="0" applyFont="1" applyBorder="1" applyAlignment="1">
      <alignment horizontal="left" vertical="center"/>
    </xf>
    <xf numFmtId="4" fontId="34" fillId="5" borderId="6" xfId="0" applyNumberFormat="1" applyFont="1" applyFill="1" applyBorder="1" applyAlignment="1">
      <alignment horizontal="right" vertical="center"/>
    </xf>
    <xf numFmtId="0" fontId="49" fillId="0" borderId="19" xfId="0" applyFont="1" applyBorder="1" applyAlignment="1">
      <alignment horizontal="left" vertical="center"/>
    </xf>
    <xf numFmtId="4" fontId="49" fillId="5" borderId="6" xfId="0" applyNumberFormat="1" applyFont="1" applyFill="1" applyBorder="1" applyAlignment="1">
      <alignment horizontal="right" vertical="center"/>
    </xf>
    <xf numFmtId="0" fontId="50" fillId="0" borderId="19" xfId="0" applyFont="1" applyBorder="1" applyAlignment="1">
      <alignment horizontal="left" vertical="center"/>
    </xf>
    <xf numFmtId="4" fontId="50" fillId="5" borderId="6" xfId="0" applyNumberFormat="1" applyFont="1" applyFill="1" applyBorder="1" applyAlignment="1">
      <alignment horizontal="right" vertical="center"/>
    </xf>
    <xf numFmtId="0" fontId="51" fillId="0" borderId="19" xfId="0" applyFont="1" applyBorder="1" applyAlignment="1">
      <alignment horizontal="left" vertical="center"/>
    </xf>
    <xf numFmtId="4" fontId="51" fillId="5" borderId="6" xfId="0" applyNumberFormat="1" applyFont="1" applyFill="1" applyBorder="1" applyAlignment="1">
      <alignment horizontal="right" vertical="center"/>
    </xf>
    <xf numFmtId="0" fontId="48" fillId="0" borderId="0" xfId="0" applyFont="1" applyAlignment="1">
      <alignment horizontal="right"/>
    </xf>
    <xf numFmtId="0" fontId="52" fillId="0" borderId="19" xfId="0" applyFont="1" applyBorder="1" applyAlignment="1">
      <alignment horizontal="left" vertical="center"/>
    </xf>
    <xf numFmtId="4" fontId="52" fillId="5" borderId="6" xfId="0" applyNumberFormat="1" applyFont="1" applyFill="1" applyBorder="1" applyAlignment="1">
      <alignment horizontal="right" vertical="center"/>
    </xf>
    <xf numFmtId="0" fontId="53" fillId="0" borderId="0" xfId="0" applyFont="1" applyAlignment="1">
      <alignment horizontal="right"/>
    </xf>
    <xf numFmtId="0" fontId="53" fillId="0" borderId="0" xfId="0" applyFont="1"/>
    <xf numFmtId="0" fontId="54" fillId="0" borderId="0" xfId="0" applyFont="1"/>
    <xf numFmtId="10" fontId="54" fillId="0" borderId="0" xfId="0" applyNumberFormat="1" applyFont="1"/>
    <xf numFmtId="0" fontId="55" fillId="0" borderId="0" xfId="0" applyFont="1" applyAlignment="1">
      <alignment horizontal="right"/>
    </xf>
    <xf numFmtId="0" fontId="56" fillId="0" borderId="0" xfId="0" applyFont="1"/>
    <xf numFmtId="10" fontId="56" fillId="0" borderId="0" xfId="2" applyNumberFormat="1" applyFont="1" applyFill="1"/>
    <xf numFmtId="0" fontId="16" fillId="0" borderId="0" xfId="0" applyFont="1" applyAlignment="1">
      <alignment horizontal="right"/>
    </xf>
    <xf numFmtId="0" fontId="16" fillId="0" borderId="0" xfId="0" applyFont="1" applyAlignment="1">
      <alignment vertical="center"/>
    </xf>
    <xf numFmtId="0" fontId="16" fillId="0" borderId="0" xfId="0" applyFont="1"/>
    <xf numFmtId="0" fontId="55" fillId="0" borderId="0" xfId="0" applyFont="1" applyAlignment="1">
      <alignment horizontal="right" vertical="center"/>
    </xf>
    <xf numFmtId="2" fontId="28" fillId="0" borderId="0" xfId="0" applyNumberFormat="1" applyFont="1"/>
    <xf numFmtId="10" fontId="28" fillId="0" borderId="0" xfId="2" applyNumberFormat="1" applyFont="1"/>
    <xf numFmtId="0" fontId="16" fillId="0" borderId="0" xfId="0" applyFont="1" applyAlignment="1">
      <alignment horizontal="center"/>
    </xf>
    <xf numFmtId="2" fontId="56" fillId="0" borderId="0" xfId="2" applyNumberFormat="1" applyFont="1"/>
    <xf numFmtId="0" fontId="9" fillId="5" borderId="8" xfId="0" applyFont="1" applyFill="1" applyBorder="1" applyAlignment="1">
      <alignment horizontal="right"/>
    </xf>
    <xf numFmtId="0" fontId="8" fillId="2" borderId="19" xfId="0" applyFont="1" applyFill="1" applyBorder="1" applyAlignment="1">
      <alignment horizontal="left" vertical="center"/>
    </xf>
    <xf numFmtId="4" fontId="10" fillId="2" borderId="6" xfId="0" applyNumberFormat="1" applyFont="1" applyFill="1" applyBorder="1" applyAlignment="1">
      <alignment horizontal="right" vertical="center"/>
    </xf>
    <xf numFmtId="4" fontId="10" fillId="2" borderId="6" xfId="0" applyNumberFormat="1" applyFont="1" applyFill="1" applyBorder="1" applyAlignment="1">
      <alignment horizontal="right"/>
    </xf>
    <xf numFmtId="0" fontId="0" fillId="7" borderId="0" xfId="0" applyFill="1"/>
    <xf numFmtId="0" fontId="8" fillId="7" borderId="19" xfId="0" applyFont="1" applyFill="1" applyBorder="1" applyAlignment="1">
      <alignment horizontal="left" vertical="center" indent="1"/>
    </xf>
    <xf numFmtId="4" fontId="10" fillId="7" borderId="6" xfId="0" applyNumberFormat="1" applyFont="1" applyFill="1" applyBorder="1" applyAlignment="1">
      <alignment horizontal="right" vertical="center"/>
    </xf>
    <xf numFmtId="4" fontId="10" fillId="7" borderId="6" xfId="0" applyNumberFormat="1" applyFont="1" applyFill="1" applyBorder="1" applyAlignment="1">
      <alignment horizontal="right"/>
    </xf>
    <xf numFmtId="0" fontId="8" fillId="6" borderId="19" xfId="0" applyFont="1" applyFill="1" applyBorder="1" applyAlignment="1">
      <alignment horizontal="left" vertical="center" indent="1"/>
    </xf>
    <xf numFmtId="4" fontId="10" fillId="6" borderId="6" xfId="0" applyNumberFormat="1" applyFont="1" applyFill="1" applyBorder="1" applyAlignment="1">
      <alignment horizontal="right" vertical="center"/>
    </xf>
    <xf numFmtId="4" fontId="10" fillId="6" borderId="6" xfId="0" applyNumberFormat="1" applyFont="1" applyFill="1" applyBorder="1" applyAlignment="1">
      <alignment horizontal="right"/>
    </xf>
    <xf numFmtId="0" fontId="0" fillId="6" borderId="0" xfId="0" applyFill="1"/>
    <xf numFmtId="0" fontId="0" fillId="17" borderId="0" xfId="0" applyFill="1"/>
    <xf numFmtId="0" fontId="8" fillId="6" borderId="19" xfId="0" applyFont="1" applyFill="1" applyBorder="1" applyAlignment="1">
      <alignment horizontal="left" vertical="center"/>
    </xf>
    <xf numFmtId="0" fontId="16" fillId="3" borderId="0" xfId="0" applyFont="1" applyFill="1" applyAlignment="1">
      <alignment horizontal="center"/>
    </xf>
    <xf numFmtId="0" fontId="7" fillId="3" borderId="19" xfId="0" applyFont="1" applyFill="1" applyBorder="1" applyAlignment="1">
      <alignment horizontal="left" vertical="center"/>
    </xf>
    <xf numFmtId="4" fontId="9" fillId="3" borderId="6" xfId="0" applyNumberFormat="1" applyFont="1" applyFill="1" applyBorder="1" applyAlignment="1">
      <alignment horizontal="right" vertical="center"/>
    </xf>
    <xf numFmtId="4" fontId="9" fillId="3" borderId="6" xfId="0" applyNumberFormat="1" applyFont="1" applyFill="1" applyBorder="1" applyAlignment="1">
      <alignment horizontal="right"/>
    </xf>
    <xf numFmtId="0" fontId="8" fillId="17" borderId="19" xfId="0" applyFont="1" applyFill="1" applyBorder="1" applyAlignment="1">
      <alignment horizontal="left" vertical="center"/>
    </xf>
    <xf numFmtId="4" fontId="10" fillId="17" borderId="6" xfId="0" applyNumberFormat="1" applyFont="1" applyFill="1" applyBorder="1" applyAlignment="1">
      <alignment horizontal="right" vertical="center"/>
    </xf>
    <xf numFmtId="4" fontId="10" fillId="17" borderId="6" xfId="0" applyNumberFormat="1" applyFont="1" applyFill="1" applyBorder="1" applyAlignment="1">
      <alignment horizontal="right"/>
    </xf>
    <xf numFmtId="0" fontId="8" fillId="9" borderId="19" xfId="0" applyFont="1" applyFill="1" applyBorder="1" applyAlignment="1">
      <alignment horizontal="left" vertical="center" indent="1"/>
    </xf>
    <xf numFmtId="4" fontId="10" fillId="9" borderId="6" xfId="0" applyNumberFormat="1" applyFont="1" applyFill="1" applyBorder="1" applyAlignment="1">
      <alignment horizontal="right" vertical="center"/>
    </xf>
    <xf numFmtId="4" fontId="10" fillId="9" borderId="6" xfId="0" applyNumberFormat="1" applyFont="1" applyFill="1" applyBorder="1" applyAlignment="1">
      <alignment horizontal="right"/>
    </xf>
    <xf numFmtId="0" fontId="7" fillId="2" borderId="19" xfId="0" applyFont="1" applyFill="1" applyBorder="1" applyAlignment="1">
      <alignment horizontal="left" vertical="center"/>
    </xf>
    <xf numFmtId="4" fontId="9" fillId="2" borderId="6" xfId="0" applyNumberFormat="1" applyFont="1" applyFill="1" applyBorder="1" applyAlignment="1">
      <alignment horizontal="right" vertical="center"/>
    </xf>
    <xf numFmtId="4" fontId="9" fillId="2" borderId="6" xfId="0" applyNumberFormat="1" applyFont="1" applyFill="1" applyBorder="1" applyAlignment="1">
      <alignment horizontal="right"/>
    </xf>
    <xf numFmtId="4" fontId="10" fillId="5" borderId="6" xfId="0" applyNumberFormat="1" applyFont="1" applyFill="1" applyBorder="1" applyAlignment="1">
      <alignment horizontal="right"/>
    </xf>
    <xf numFmtId="0" fontId="8" fillId="9" borderId="19" xfId="0" applyFont="1" applyFill="1" applyBorder="1" applyAlignment="1">
      <alignment horizontal="left" vertical="center"/>
    </xf>
    <xf numFmtId="4" fontId="10" fillId="5" borderId="20" xfId="0" applyNumberFormat="1" applyFont="1" applyFill="1" applyBorder="1" applyAlignment="1">
      <alignment horizontal="right"/>
    </xf>
    <xf numFmtId="4" fontId="12" fillId="2" borderId="6" xfId="0" applyNumberFormat="1" applyFont="1" applyFill="1" applyBorder="1" applyAlignment="1">
      <alignment horizontal="right" vertical="center"/>
    </xf>
    <xf numFmtId="4" fontId="12" fillId="2" borderId="6" xfId="0" applyNumberFormat="1" applyFont="1" applyFill="1" applyBorder="1" applyAlignment="1">
      <alignment horizontal="right"/>
    </xf>
    <xf numFmtId="10" fontId="0" fillId="0" borderId="0" xfId="2" applyNumberFormat="1" applyFont="1" applyAlignment="1">
      <alignment horizontal="right"/>
    </xf>
    <xf numFmtId="0" fontId="7" fillId="3" borderId="0" xfId="0" applyFont="1" applyFill="1" applyAlignment="1">
      <alignment horizontal="left" vertical="center"/>
    </xf>
    <xf numFmtId="4" fontId="0" fillId="0" borderId="0" xfId="0" applyNumberFormat="1" applyAlignment="1">
      <alignment horizontal="right"/>
    </xf>
    <xf numFmtId="0" fontId="39" fillId="7" borderId="0" xfId="0" applyFont="1" applyFill="1" applyAlignment="1">
      <alignment horizontal="left" vertical="center" indent="1"/>
    </xf>
    <xf numFmtId="0" fontId="51" fillId="7" borderId="0" xfId="0" applyFont="1" applyFill="1" applyAlignment="1">
      <alignment horizontal="left" vertical="center" indent="1"/>
    </xf>
    <xf numFmtId="0" fontId="39" fillId="6" borderId="30" xfId="0" applyFont="1" applyFill="1" applyBorder="1" applyAlignment="1">
      <alignment horizontal="left" vertical="center" indent="1"/>
    </xf>
    <xf numFmtId="0" fontId="0" fillId="0" borderId="30" xfId="0" applyBorder="1"/>
    <xf numFmtId="4" fontId="0" fillId="0" borderId="30" xfId="0" applyNumberFormat="1" applyBorder="1" applyAlignment="1">
      <alignment horizontal="right"/>
    </xf>
    <xf numFmtId="0" fontId="17" fillId="3" borderId="0" xfId="0" applyFont="1" applyFill="1"/>
    <xf numFmtId="0" fontId="56" fillId="3" borderId="30" xfId="0" applyFont="1" applyFill="1" applyBorder="1" applyAlignment="1">
      <alignment horizontal="left" indent="1"/>
    </xf>
    <xf numFmtId="2" fontId="0" fillId="0" borderId="30" xfId="0" applyNumberFormat="1" applyBorder="1" applyAlignment="1">
      <alignment horizontal="right"/>
    </xf>
    <xf numFmtId="2" fontId="0" fillId="0" borderId="0" xfId="0" applyNumberFormat="1" applyAlignment="1">
      <alignment horizontal="right"/>
    </xf>
    <xf numFmtId="0" fontId="51" fillId="6" borderId="0" xfId="0" applyFont="1" applyFill="1" applyAlignment="1">
      <alignment horizontal="left" vertical="center" indent="1"/>
    </xf>
    <xf numFmtId="0" fontId="28" fillId="6" borderId="0" xfId="0" applyFont="1" applyFill="1" applyAlignment="1">
      <alignment horizontal="left" vertical="center" indent="1"/>
    </xf>
    <xf numFmtId="0" fontId="51" fillId="6" borderId="30" xfId="0" applyFont="1" applyFill="1" applyBorder="1" applyAlignment="1">
      <alignment horizontal="left" vertical="center" indent="1"/>
    </xf>
    <xf numFmtId="0" fontId="17" fillId="6" borderId="0" xfId="0" applyFont="1" applyFill="1"/>
    <xf numFmtId="2" fontId="17" fillId="0" borderId="0" xfId="0" applyNumberFormat="1" applyFont="1" applyAlignment="1">
      <alignment horizontal="right"/>
    </xf>
    <xf numFmtId="0" fontId="39" fillId="17" borderId="0" xfId="0" applyFont="1" applyFill="1" applyAlignment="1">
      <alignment horizontal="left" vertical="center" indent="1"/>
    </xf>
    <xf numFmtId="0" fontId="39" fillId="0" borderId="0" xfId="0" applyFont="1" applyAlignment="1">
      <alignment horizontal="left" vertical="center" indent="1"/>
    </xf>
    <xf numFmtId="2" fontId="38" fillId="0" borderId="0" xfId="0" applyNumberFormat="1" applyFont="1" applyAlignment="1">
      <alignment horizontal="right"/>
    </xf>
    <xf numFmtId="0" fontId="51" fillId="17" borderId="0" xfId="0" applyFont="1" applyFill="1" applyAlignment="1">
      <alignment horizontal="left" vertical="center" indent="1"/>
    </xf>
    <xf numFmtId="0" fontId="39" fillId="17" borderId="0" xfId="0" applyFont="1" applyFill="1" applyAlignment="1">
      <alignment horizontal="left" vertical="center" indent="2"/>
    </xf>
    <xf numFmtId="0" fontId="39" fillId="17" borderId="30" xfId="0" applyFont="1" applyFill="1" applyBorder="1" applyAlignment="1">
      <alignment horizontal="left" vertical="center" indent="2"/>
    </xf>
    <xf numFmtId="0" fontId="17" fillId="17" borderId="0" xfId="0" applyFont="1" applyFill="1"/>
    <xf numFmtId="0" fontId="17" fillId="18" borderId="0" xfId="0" applyFont="1" applyFill="1"/>
    <xf numFmtId="2" fontId="17" fillId="18" borderId="0" xfId="0" applyNumberFormat="1" applyFont="1" applyFill="1" applyAlignment="1">
      <alignment horizontal="right"/>
    </xf>
    <xf numFmtId="0" fontId="39" fillId="9" borderId="0" xfId="0" applyFont="1" applyFill="1" applyAlignment="1">
      <alignment horizontal="left" vertical="center" indent="1"/>
    </xf>
    <xf numFmtId="0" fontId="51" fillId="9" borderId="0" xfId="0" applyFont="1" applyFill="1" applyAlignment="1">
      <alignment horizontal="left" vertical="center" indent="2"/>
    </xf>
    <xf numFmtId="0" fontId="51" fillId="9" borderId="0" xfId="0" applyFont="1" applyFill="1" applyAlignment="1">
      <alignment horizontal="left" vertical="center" indent="1"/>
    </xf>
    <xf numFmtId="0" fontId="51" fillId="9" borderId="30" xfId="0" applyFont="1" applyFill="1" applyBorder="1" applyAlignment="1">
      <alignment horizontal="left" vertical="center" indent="1"/>
    </xf>
    <xf numFmtId="0" fontId="17" fillId="9" borderId="0" xfId="0" applyFont="1" applyFill="1"/>
    <xf numFmtId="0" fontId="15" fillId="9" borderId="0" xfId="0" applyFont="1" applyFill="1" applyAlignment="1">
      <alignment horizontal="left" vertical="center" indent="1"/>
    </xf>
    <xf numFmtId="0" fontId="17" fillId="12" borderId="7" xfId="0" applyFont="1" applyFill="1" applyBorder="1" applyAlignment="1">
      <alignment vertical="center"/>
    </xf>
    <xf numFmtId="0" fontId="0" fillId="0" borderId="36" xfId="0" applyBorder="1" applyAlignment="1">
      <alignment vertical="center"/>
    </xf>
    <xf numFmtId="2" fontId="17" fillId="0" borderId="36" xfId="0" applyNumberFormat="1" applyFont="1" applyBorder="1" applyAlignment="1">
      <alignment horizontal="right" vertical="center"/>
    </xf>
    <xf numFmtId="2" fontId="17" fillId="0" borderId="8" xfId="0" applyNumberFormat="1" applyFont="1" applyBorder="1" applyAlignment="1">
      <alignment horizontal="right" vertical="center"/>
    </xf>
    <xf numFmtId="0" fontId="39" fillId="7" borderId="0" xfId="0" applyFont="1" applyFill="1" applyAlignment="1">
      <alignment horizontal="left" vertical="center" indent="2"/>
    </xf>
    <xf numFmtId="0" fontId="51" fillId="7" borderId="0" xfId="0" applyFont="1" applyFill="1" applyAlignment="1">
      <alignment horizontal="left" vertical="center" indent="2"/>
    </xf>
    <xf numFmtId="0" fontId="17" fillId="12" borderId="7" xfId="0" applyFont="1" applyFill="1" applyBorder="1"/>
    <xf numFmtId="0" fontId="17" fillId="0" borderId="36" xfId="0" applyFont="1" applyBorder="1"/>
    <xf numFmtId="2" fontId="17" fillId="0" borderId="36" xfId="0" applyNumberFormat="1" applyFont="1" applyBorder="1" applyAlignment="1">
      <alignment horizontal="right"/>
    </xf>
    <xf numFmtId="2" fontId="17" fillId="0" borderId="8" xfId="0" applyNumberFormat="1" applyFont="1" applyBorder="1" applyAlignment="1">
      <alignment horizontal="right"/>
    </xf>
    <xf numFmtId="0" fontId="17" fillId="0" borderId="0" xfId="0" applyFont="1" applyAlignment="1">
      <alignment horizontal="right"/>
    </xf>
    <xf numFmtId="0" fontId="57" fillId="12" borderId="7" xfId="0" applyFont="1" applyFill="1" applyBorder="1" applyAlignment="1">
      <alignment horizontal="left" vertical="center"/>
    </xf>
    <xf numFmtId="0" fontId="59" fillId="0" borderId="36" xfId="0" applyFont="1" applyBorder="1"/>
    <xf numFmtId="0" fontId="59" fillId="0" borderId="0" xfId="0" applyFont="1" applyAlignment="1">
      <alignment horizontal="center"/>
    </xf>
    <xf numFmtId="9" fontId="15" fillId="0" borderId="0" xfId="2" applyFont="1" applyFill="1"/>
    <xf numFmtId="0" fontId="0" fillId="3" borderId="0" xfId="0" applyFill="1"/>
    <xf numFmtId="0" fontId="60" fillId="0" borderId="0" xfId="0" applyFont="1"/>
    <xf numFmtId="0" fontId="8" fillId="2" borderId="18" xfId="0" applyFont="1" applyFill="1" applyBorder="1" applyAlignment="1">
      <alignment horizontal="left" vertical="center"/>
    </xf>
    <xf numFmtId="0" fontId="9" fillId="2" borderId="8" xfId="0" applyFont="1" applyFill="1" applyBorder="1" applyAlignment="1">
      <alignment horizontal="center" vertical="center"/>
    </xf>
    <xf numFmtId="4" fontId="10" fillId="0" borderId="6" xfId="0" applyNumberFormat="1" applyFont="1" applyBorder="1" applyAlignment="1">
      <alignment horizontal="right" vertical="center"/>
    </xf>
    <xf numFmtId="0" fontId="8" fillId="2" borderId="13" xfId="0" applyFont="1" applyFill="1" applyBorder="1" applyAlignment="1">
      <alignment horizontal="left" vertical="center"/>
    </xf>
    <xf numFmtId="4" fontId="10" fillId="2" borderId="13" xfId="0" applyNumberFormat="1" applyFont="1" applyFill="1" applyBorder="1" applyAlignment="1">
      <alignment horizontal="right" vertical="center"/>
    </xf>
    <xf numFmtId="0" fontId="8" fillId="0" borderId="0" xfId="0" applyFont="1" applyAlignment="1">
      <alignment horizontal="left" vertical="center"/>
    </xf>
    <xf numFmtId="0" fontId="7" fillId="0" borderId="0" xfId="0" applyFont="1" applyAlignment="1">
      <alignment horizontal="left" vertical="center"/>
    </xf>
    <xf numFmtId="0" fontId="7" fillId="3" borderId="0" xfId="0" applyFont="1" applyFill="1"/>
    <xf numFmtId="4" fontId="7" fillId="3" borderId="0" xfId="0" applyNumberFormat="1" applyFont="1" applyFill="1"/>
    <xf numFmtId="0" fontId="7" fillId="16" borderId="0" xfId="0" applyFont="1" applyFill="1"/>
    <xf numFmtId="0" fontId="61" fillId="0" borderId="0" xfId="3"/>
    <xf numFmtId="0" fontId="60" fillId="0" borderId="0" xfId="3" applyFont="1"/>
    <xf numFmtId="2" fontId="7" fillId="0" borderId="0" xfId="0" applyNumberFormat="1" applyFont="1"/>
    <xf numFmtId="0" fontId="60" fillId="19" borderId="0" xfId="3" applyFont="1" applyFill="1"/>
    <xf numFmtId="0" fontId="60" fillId="10" borderId="0" xfId="3" applyFont="1" applyFill="1"/>
    <xf numFmtId="0" fontId="60" fillId="3" borderId="0" xfId="3" applyFont="1" applyFill="1"/>
    <xf numFmtId="2" fontId="0" fillId="3" borderId="0" xfId="0" applyNumberFormat="1" applyFill="1"/>
    <xf numFmtId="10" fontId="3" fillId="0" borderId="28" xfId="2" applyNumberFormat="1" applyFont="1" applyBorder="1"/>
    <xf numFmtId="166" fontId="62" fillId="0" borderId="23" xfId="1" applyNumberFormat="1" applyFont="1" applyBorder="1"/>
    <xf numFmtId="4" fontId="62" fillId="0" borderId="24" xfId="0" applyNumberFormat="1" applyFont="1" applyBorder="1"/>
    <xf numFmtId="4" fontId="62" fillId="0" borderId="25" xfId="0" applyNumberFormat="1" applyFont="1" applyBorder="1"/>
    <xf numFmtId="166" fontId="62" fillId="0" borderId="26" xfId="1" applyNumberFormat="1" applyFont="1" applyBorder="1"/>
    <xf numFmtId="4" fontId="62" fillId="0" borderId="0" xfId="0" applyNumberFormat="1" applyFont="1"/>
    <xf numFmtId="4" fontId="62" fillId="0" borderId="27" xfId="0" applyNumberFormat="1" applyFont="1" applyBorder="1"/>
    <xf numFmtId="43" fontId="62" fillId="0" borderId="0" xfId="1" applyFont="1" applyBorder="1"/>
    <xf numFmtId="43" fontId="62" fillId="0" borderId="27" xfId="1" applyFont="1" applyBorder="1"/>
    <xf numFmtId="166" fontId="63" fillId="6" borderId="26" xfId="1" applyNumberFormat="1" applyFont="1" applyFill="1" applyBorder="1"/>
    <xf numFmtId="43" fontId="63" fillId="6" borderId="0" xfId="1" applyFont="1" applyFill="1" applyBorder="1"/>
    <xf numFmtId="43" fontId="63" fillId="6" borderId="27" xfId="1" applyFont="1" applyFill="1" applyBorder="1"/>
    <xf numFmtId="166" fontId="63" fillId="18" borderId="26" xfId="1" applyNumberFormat="1" applyFont="1" applyFill="1" applyBorder="1"/>
    <xf numFmtId="165" fontId="63" fillId="18" borderId="0" xfId="0" applyNumberFormat="1" applyFont="1" applyFill="1"/>
    <xf numFmtId="165" fontId="63" fillId="18" borderId="27" xfId="0" applyNumberFormat="1" applyFont="1" applyFill="1" applyBorder="1"/>
    <xf numFmtId="166" fontId="62" fillId="0" borderId="26" xfId="1" applyNumberFormat="1" applyFont="1" applyFill="1" applyBorder="1"/>
    <xf numFmtId="0" fontId="62" fillId="0" borderId="0" xfId="0" applyFont="1"/>
    <xf numFmtId="0" fontId="62" fillId="0" borderId="27" xfId="0" applyFont="1" applyBorder="1"/>
    <xf numFmtId="166" fontId="63" fillId="9" borderId="21" xfId="1" applyNumberFormat="1" applyFont="1" applyFill="1" applyBorder="1"/>
    <xf numFmtId="165" fontId="62" fillId="9" borderId="22" xfId="0" applyNumberFormat="1" applyFont="1" applyFill="1" applyBorder="1"/>
    <xf numFmtId="165" fontId="62" fillId="9" borderId="28" xfId="0" applyNumberFormat="1" applyFont="1" applyFill="1" applyBorder="1"/>
    <xf numFmtId="166" fontId="62" fillId="0" borderId="29" xfId="1" applyNumberFormat="1" applyFont="1" applyBorder="1"/>
    <xf numFmtId="166" fontId="63" fillId="4" borderId="21" xfId="1" applyNumberFormat="1" applyFont="1" applyFill="1" applyBorder="1"/>
    <xf numFmtId="165" fontId="62" fillId="4" borderId="22" xfId="0" applyNumberFormat="1" applyFont="1" applyFill="1" applyBorder="1"/>
    <xf numFmtId="165" fontId="62" fillId="4" borderId="28" xfId="0" applyNumberFormat="1" applyFont="1" applyFill="1" applyBorder="1"/>
    <xf numFmtId="4" fontId="62" fillId="0" borderId="23" xfId="0" applyNumberFormat="1" applyFont="1" applyBorder="1"/>
    <xf numFmtId="0" fontId="62" fillId="0" borderId="26" xfId="0" applyFont="1" applyBorder="1"/>
    <xf numFmtId="0" fontId="63" fillId="17" borderId="29" xfId="0" applyFont="1" applyFill="1" applyBorder="1"/>
    <xf numFmtId="4" fontId="62" fillId="17" borderId="30" xfId="0" applyNumberFormat="1" applyFont="1" applyFill="1" applyBorder="1"/>
    <xf numFmtId="4" fontId="62" fillId="17" borderId="31" xfId="0" applyNumberFormat="1" applyFont="1" applyFill="1" applyBorder="1"/>
    <xf numFmtId="0" fontId="63" fillId="0" borderId="0" xfId="0" applyFont="1"/>
    <xf numFmtId="4" fontId="63" fillId="0" borderId="0" xfId="0" applyNumberFormat="1" applyFont="1"/>
    <xf numFmtId="0" fontId="63" fillId="17" borderId="0" xfId="0" applyFont="1" applyFill="1"/>
    <xf numFmtId="0" fontId="62" fillId="17" borderId="0" xfId="0" applyFont="1" applyFill="1"/>
    <xf numFmtId="4" fontId="63" fillId="17" borderId="0" xfId="0" applyNumberFormat="1" applyFont="1" applyFill="1"/>
    <xf numFmtId="43" fontId="0" fillId="0" borderId="0" xfId="1" applyFont="1"/>
    <xf numFmtId="4" fontId="60" fillId="0" borderId="0" xfId="0" applyNumberFormat="1" applyFont="1"/>
    <xf numFmtId="4" fontId="7" fillId="0" borderId="0" xfId="0" applyNumberFormat="1" applyFont="1" applyAlignment="1">
      <alignment horizontal="left" vertical="center"/>
    </xf>
    <xf numFmtId="4" fontId="7" fillId="0" borderId="0" xfId="0" applyNumberFormat="1" applyFont="1" applyAlignment="1">
      <alignment horizontal="right" vertical="center"/>
    </xf>
    <xf numFmtId="4" fontId="3" fillId="0" borderId="0" xfId="0" applyNumberFormat="1" applyFont="1"/>
    <xf numFmtId="0" fontId="1" fillId="0" borderId="0" xfId="0" applyFont="1"/>
    <xf numFmtId="0" fontId="3" fillId="0" borderId="0" xfId="0" applyFont="1" applyAlignment="1">
      <alignment horizontal="center"/>
    </xf>
    <xf numFmtId="49" fontId="1" fillId="0" borderId="23" xfId="0" applyNumberFormat="1" applyFont="1" applyBorder="1"/>
    <xf numFmtId="166" fontId="1" fillId="18" borderId="24" xfId="1" applyNumberFormat="1" applyFont="1" applyFill="1" applyBorder="1"/>
    <xf numFmtId="166" fontId="13" fillId="0" borderId="24" xfId="1" applyNumberFormat="1" applyFont="1" applyBorder="1"/>
    <xf numFmtId="166" fontId="13" fillId="0" borderId="25" xfId="1" applyNumberFormat="1" applyFont="1" applyBorder="1"/>
    <xf numFmtId="49" fontId="1" fillId="0" borderId="26" xfId="0" applyNumberFormat="1" applyFont="1" applyBorder="1"/>
    <xf numFmtId="166" fontId="1" fillId="18" borderId="0" xfId="1" applyNumberFormat="1" applyFont="1" applyFill="1" applyBorder="1"/>
    <xf numFmtId="166" fontId="13" fillId="0" borderId="0" xfId="1" applyNumberFormat="1" applyFont="1" applyBorder="1"/>
    <xf numFmtId="0" fontId="1" fillId="0" borderId="27" xfId="0" applyFont="1" applyBorder="1"/>
    <xf numFmtId="166" fontId="13" fillId="3" borderId="0" xfId="1" applyNumberFormat="1" applyFont="1" applyFill="1" applyBorder="1"/>
    <xf numFmtId="49" fontId="13" fillId="0" borderId="26" xfId="0" applyNumberFormat="1" applyFont="1" applyBorder="1"/>
    <xf numFmtId="166" fontId="13" fillId="20" borderId="0" xfId="1" applyNumberFormat="1" applyFont="1" applyFill="1" applyBorder="1"/>
    <xf numFmtId="0" fontId="13" fillId="0" borderId="27" xfId="0" applyFont="1" applyBorder="1"/>
    <xf numFmtId="49" fontId="13" fillId="0" borderId="29" xfId="0" applyNumberFormat="1" applyFont="1" applyBorder="1"/>
    <xf numFmtId="166" fontId="1" fillId="0" borderId="30" xfId="1" applyNumberFormat="1" applyFont="1" applyBorder="1"/>
    <xf numFmtId="166" fontId="2" fillId="0" borderId="30" xfId="1" applyNumberFormat="1" applyFont="1" applyBorder="1"/>
    <xf numFmtId="166" fontId="13" fillId="0" borderId="30" xfId="1" applyNumberFormat="1" applyFont="1" applyBorder="1"/>
    <xf numFmtId="166" fontId="13" fillId="20" borderId="30" xfId="1" applyNumberFormat="1" applyFont="1" applyFill="1" applyBorder="1"/>
    <xf numFmtId="0" fontId="13" fillId="0" borderId="31" xfId="0" applyFont="1" applyBorder="1"/>
    <xf numFmtId="166" fontId="64" fillId="0" borderId="0" xfId="1" applyNumberFormat="1" applyFont="1" applyAlignment="1">
      <alignment vertical="center"/>
    </xf>
    <xf numFmtId="166" fontId="1" fillId="0" borderId="0" xfId="1" applyNumberFormat="1" applyFont="1"/>
    <xf numFmtId="166" fontId="65" fillId="0" borderId="0" xfId="1" applyNumberFormat="1" applyFont="1"/>
    <xf numFmtId="49" fontId="13" fillId="0" borderId="23" xfId="0" applyNumberFormat="1" applyFont="1" applyBorder="1"/>
    <xf numFmtId="166" fontId="13" fillId="20" borderId="24" xfId="1" applyNumberFormat="1" applyFont="1" applyFill="1" applyBorder="1"/>
    <xf numFmtId="166" fontId="66" fillId="0" borderId="24" xfId="1" applyNumberFormat="1" applyFont="1" applyBorder="1"/>
    <xf numFmtId="4" fontId="13" fillId="0" borderId="25" xfId="0" applyNumberFormat="1" applyFont="1" applyBorder="1"/>
    <xf numFmtId="0" fontId="1" fillId="0" borderId="31" xfId="0" applyFont="1" applyBorder="1"/>
    <xf numFmtId="166" fontId="64" fillId="0" borderId="0" xfId="1" applyNumberFormat="1" applyFont="1"/>
    <xf numFmtId="0" fontId="1" fillId="0" borderId="23" xfId="0" applyFont="1" applyBorder="1"/>
    <xf numFmtId="166" fontId="2" fillId="3" borderId="24" xfId="1" applyNumberFormat="1" applyFont="1" applyFill="1" applyBorder="1"/>
    <xf numFmtId="0" fontId="1" fillId="0" borderId="25" xfId="0" applyFont="1" applyBorder="1"/>
    <xf numFmtId="0" fontId="1" fillId="0" borderId="26" xfId="0" applyFont="1" applyBorder="1"/>
    <xf numFmtId="166" fontId="1" fillId="0" borderId="0" xfId="1" applyNumberFormat="1" applyFont="1" applyBorder="1"/>
    <xf numFmtId="0" fontId="1" fillId="0" borderId="29" xfId="0" applyFont="1" applyBorder="1"/>
    <xf numFmtId="166" fontId="1" fillId="18" borderId="30" xfId="1" applyNumberFormat="1" applyFont="1" applyFill="1" applyBorder="1"/>
    <xf numFmtId="0" fontId="1" fillId="18" borderId="23" xfId="0" applyFont="1" applyFill="1" applyBorder="1"/>
    <xf numFmtId="0" fontId="1" fillId="18" borderId="24" xfId="0" applyFont="1" applyFill="1" applyBorder="1"/>
    <xf numFmtId="10" fontId="1" fillId="18" borderId="24" xfId="2" applyNumberFormat="1" applyFont="1" applyFill="1" applyBorder="1"/>
    <xf numFmtId="9" fontId="1" fillId="18" borderId="24" xfId="0" applyNumberFormat="1" applyFont="1" applyFill="1" applyBorder="1"/>
    <xf numFmtId="9" fontId="1" fillId="18" borderId="25" xfId="0" applyNumberFormat="1" applyFont="1" applyFill="1" applyBorder="1"/>
    <xf numFmtId="0" fontId="1" fillId="18" borderId="26" xfId="0" applyFont="1" applyFill="1" applyBorder="1"/>
    <xf numFmtId="10" fontId="1" fillId="18" borderId="0" xfId="2" applyNumberFormat="1" applyFont="1" applyFill="1" applyBorder="1"/>
    <xf numFmtId="9" fontId="1" fillId="18" borderId="0" xfId="0" applyNumberFormat="1" applyFont="1" applyFill="1"/>
    <xf numFmtId="0" fontId="1" fillId="18" borderId="27" xfId="0" applyFont="1" applyFill="1" applyBorder="1"/>
    <xf numFmtId="0" fontId="1" fillId="18" borderId="0" xfId="0" applyFont="1" applyFill="1"/>
    <xf numFmtId="10" fontId="1" fillId="18" borderId="0" xfId="0" applyNumberFormat="1" applyFont="1" applyFill="1"/>
    <xf numFmtId="4" fontId="1" fillId="18" borderId="0" xfId="0" applyNumberFormat="1" applyFont="1" applyFill="1"/>
    <xf numFmtId="4" fontId="1" fillId="18" borderId="27" xfId="0" applyNumberFormat="1" applyFont="1" applyFill="1" applyBorder="1"/>
    <xf numFmtId="0" fontId="1" fillId="18" borderId="29" xfId="0" applyFont="1" applyFill="1" applyBorder="1"/>
    <xf numFmtId="10" fontId="13" fillId="21" borderId="30" xfId="2" applyNumberFormat="1" applyFont="1" applyFill="1" applyBorder="1"/>
    <xf numFmtId="10" fontId="1" fillId="18" borderId="30" xfId="0" applyNumberFormat="1" applyFont="1" applyFill="1" applyBorder="1"/>
    <xf numFmtId="0" fontId="1" fillId="18" borderId="31" xfId="0" applyFont="1" applyFill="1" applyBorder="1"/>
    <xf numFmtId="0" fontId="2" fillId="0" borderId="0" xfId="0" applyFont="1"/>
    <xf numFmtId="4" fontId="13" fillId="0" borderId="0" xfId="0" applyNumberFormat="1" applyFont="1"/>
    <xf numFmtId="166" fontId="2" fillId="16" borderId="0" xfId="1" applyNumberFormat="1" applyFont="1" applyFill="1" applyBorder="1"/>
    <xf numFmtId="166" fontId="13" fillId="16" borderId="0" xfId="1" applyNumberFormat="1" applyFont="1" applyFill="1" applyBorder="1"/>
    <xf numFmtId="166" fontId="13" fillId="16" borderId="27" xfId="1" applyNumberFormat="1" applyFont="1" applyFill="1" applyBorder="1"/>
    <xf numFmtId="171" fontId="1" fillId="0" borderId="0" xfId="0" applyNumberFormat="1" applyFont="1"/>
    <xf numFmtId="166" fontId="13" fillId="0" borderId="27" xfId="1" applyNumberFormat="1" applyFont="1" applyBorder="1"/>
    <xf numFmtId="4" fontId="1" fillId="0" borderId="0" xfId="0" applyNumberFormat="1" applyFont="1"/>
    <xf numFmtId="166" fontId="13" fillId="20" borderId="29" xfId="1" applyNumberFormat="1" applyFont="1" applyFill="1" applyBorder="1"/>
    <xf numFmtId="166" fontId="1" fillId="20" borderId="30" xfId="1" applyNumberFormat="1" applyFont="1" applyFill="1" applyBorder="1"/>
    <xf numFmtId="166" fontId="13" fillId="20" borderId="31" xfId="1" applyNumberFormat="1" applyFont="1" applyFill="1" applyBorder="1"/>
    <xf numFmtId="166" fontId="1" fillId="0" borderId="24" xfId="1" applyNumberFormat="1" applyFont="1" applyBorder="1"/>
    <xf numFmtId="166" fontId="13" fillId="22" borderId="29" xfId="1" applyNumberFormat="1" applyFont="1" applyFill="1" applyBorder="1"/>
    <xf numFmtId="166" fontId="1" fillId="22" borderId="30" xfId="1" applyNumberFormat="1" applyFont="1" applyFill="1" applyBorder="1"/>
    <xf numFmtId="166" fontId="13" fillId="22" borderId="30" xfId="1" applyNumberFormat="1" applyFont="1" applyFill="1" applyBorder="1"/>
    <xf numFmtId="166" fontId="13" fillId="22" borderId="31" xfId="1" applyNumberFormat="1" applyFont="1" applyFill="1" applyBorder="1"/>
    <xf numFmtId="166" fontId="2" fillId="0" borderId="24" xfId="1" applyNumberFormat="1" applyFont="1" applyBorder="1" applyAlignment="1">
      <alignment horizontal="right"/>
    </xf>
    <xf numFmtId="166" fontId="2" fillId="0" borderId="24" xfId="1" applyNumberFormat="1" applyFont="1" applyBorder="1"/>
    <xf numFmtId="166" fontId="13" fillId="0" borderId="31" xfId="1" applyNumberFormat="1" applyFont="1" applyBorder="1"/>
    <xf numFmtId="166" fontId="13" fillId="22" borderId="21" xfId="1" applyNumberFormat="1" applyFont="1" applyFill="1" applyBorder="1"/>
    <xf numFmtId="166" fontId="1" fillId="22" borderId="22" xfId="1" applyNumberFormat="1" applyFont="1" applyFill="1" applyBorder="1"/>
    <xf numFmtId="166" fontId="13" fillId="22" borderId="22" xfId="1" applyNumberFormat="1" applyFont="1" applyFill="1" applyBorder="1"/>
    <xf numFmtId="166" fontId="13" fillId="22" borderId="28" xfId="1" applyNumberFormat="1" applyFont="1" applyFill="1" applyBorder="1"/>
    <xf numFmtId="166" fontId="13" fillId="0" borderId="0" xfId="1" applyNumberFormat="1" applyFont="1"/>
    <xf numFmtId="166" fontId="2" fillId="0" borderId="0" xfId="1" applyNumberFormat="1" applyFont="1" applyAlignment="1">
      <alignment horizontal="right"/>
    </xf>
    <xf numFmtId="166" fontId="2" fillId="0" borderId="0" xfId="1" applyNumberFormat="1" applyFont="1"/>
    <xf numFmtId="49" fontId="13" fillId="0" borderId="0" xfId="0" applyNumberFormat="1" applyFont="1"/>
    <xf numFmtId="49" fontId="13" fillId="20" borderId="23" xfId="0" applyNumberFormat="1" applyFont="1" applyFill="1" applyBorder="1"/>
    <xf numFmtId="166" fontId="1" fillId="20" borderId="24" xfId="1" applyNumberFormat="1" applyFont="1" applyFill="1" applyBorder="1"/>
    <xf numFmtId="166" fontId="13" fillId="20" borderId="25" xfId="1" applyNumberFormat="1" applyFont="1" applyFill="1" applyBorder="1"/>
    <xf numFmtId="0" fontId="13" fillId="0" borderId="0" xfId="0" applyFont="1"/>
    <xf numFmtId="10" fontId="13" fillId="0" borderId="0" xfId="2" applyNumberFormat="1" applyFont="1" applyBorder="1"/>
    <xf numFmtId="10" fontId="13" fillId="0" borderId="27" xfId="2" applyNumberFormat="1" applyFont="1" applyBorder="1"/>
    <xf numFmtId="0" fontId="13" fillId="0" borderId="30" xfId="0" applyFont="1" applyBorder="1"/>
    <xf numFmtId="10" fontId="13" fillId="0" borderId="30" xfId="2" applyNumberFormat="1" applyFont="1" applyBorder="1"/>
    <xf numFmtId="10" fontId="13" fillId="0" borderId="31" xfId="2" applyNumberFormat="1" applyFont="1" applyBorder="1"/>
    <xf numFmtId="10" fontId="1" fillId="0" borderId="0" xfId="2" applyNumberFormat="1" applyFont="1"/>
    <xf numFmtId="0" fontId="15" fillId="0" borderId="0" xfId="0" applyFont="1" applyAlignment="1">
      <alignment horizontal="right"/>
    </xf>
    <xf numFmtId="49" fontId="15" fillId="0" borderId="0" xfId="0" applyNumberFormat="1" applyFont="1" applyAlignment="1">
      <alignment horizontal="right"/>
    </xf>
    <xf numFmtId="0" fontId="69" fillId="0" borderId="0" xfId="0" applyFont="1"/>
    <xf numFmtId="0" fontId="0" fillId="23" borderId="0" xfId="0" applyFill="1"/>
    <xf numFmtId="9" fontId="0" fillId="23" borderId="0" xfId="2" applyFont="1" applyFill="1"/>
    <xf numFmtId="9" fontId="0" fillId="0" borderId="0" xfId="0" applyNumberFormat="1"/>
    <xf numFmtId="0" fontId="3" fillId="6" borderId="0" xfId="0" applyFont="1" applyFill="1"/>
    <xf numFmtId="9" fontId="0" fillId="6" borderId="0" xfId="2" applyFont="1" applyFill="1"/>
    <xf numFmtId="9" fontId="0" fillId="17" borderId="0" xfId="2" applyFont="1" applyFill="1"/>
    <xf numFmtId="0" fontId="0" fillId="24" borderId="0" xfId="0" applyFill="1"/>
    <xf numFmtId="9" fontId="0" fillId="24" borderId="0" xfId="2" applyFont="1" applyFill="1"/>
    <xf numFmtId="9" fontId="0" fillId="0" borderId="0" xfId="2" applyFont="1" applyFill="1"/>
    <xf numFmtId="0" fontId="70" fillId="0" borderId="0" xfId="0" applyFont="1"/>
    <xf numFmtId="166" fontId="15" fillId="6" borderId="0" xfId="1" applyNumberFormat="1" applyFont="1" applyFill="1"/>
    <xf numFmtId="166" fontId="15" fillId="0" borderId="0" xfId="1" applyNumberFormat="1" applyFont="1"/>
    <xf numFmtId="0" fontId="71" fillId="0" borderId="0" xfId="0" applyFont="1"/>
    <xf numFmtId="166" fontId="0" fillId="0" borderId="0" xfId="1" applyNumberFormat="1" applyFont="1"/>
    <xf numFmtId="0" fontId="58" fillId="0" borderId="0" xfId="0" applyFont="1"/>
    <xf numFmtId="166" fontId="71" fillId="6" borderId="0" xfId="1" applyNumberFormat="1" applyFont="1" applyFill="1"/>
    <xf numFmtId="4" fontId="71" fillId="0" borderId="0" xfId="0" applyNumberFormat="1" applyFont="1"/>
    <xf numFmtId="0" fontId="58" fillId="9" borderId="0" xfId="0" applyFont="1" applyFill="1"/>
    <xf numFmtId="166" fontId="71" fillId="9" borderId="0" xfId="1" applyNumberFormat="1" applyFont="1" applyFill="1"/>
    <xf numFmtId="166" fontId="71" fillId="0" borderId="0" xfId="1" applyNumberFormat="1" applyFont="1"/>
    <xf numFmtId="0" fontId="58" fillId="4" borderId="0" xfId="0" applyFont="1" applyFill="1"/>
    <xf numFmtId="166" fontId="71" fillId="4" borderId="0" xfId="1" applyNumberFormat="1" applyFont="1" applyFill="1"/>
    <xf numFmtId="0" fontId="58" fillId="0" borderId="30" xfId="0" applyFont="1" applyBorder="1"/>
    <xf numFmtId="166" fontId="71" fillId="0" borderId="30" xfId="1" applyNumberFormat="1" applyFont="1" applyBorder="1"/>
    <xf numFmtId="4" fontId="71" fillId="0" borderId="30" xfId="0" applyNumberFormat="1" applyFont="1" applyBorder="1"/>
    <xf numFmtId="0" fontId="72" fillId="0" borderId="0" xfId="0" applyFont="1"/>
    <xf numFmtId="166" fontId="0" fillId="0" borderId="0" xfId="0" applyNumberFormat="1"/>
    <xf numFmtId="0" fontId="3" fillId="12" borderId="0" xfId="0" applyFont="1" applyFill="1"/>
    <xf numFmtId="166" fontId="3" fillId="12" borderId="0" xfId="1" applyNumberFormat="1" applyFont="1" applyFill="1"/>
    <xf numFmtId="166" fontId="3" fillId="0" borderId="0" xfId="1" applyNumberFormat="1" applyFont="1" applyFill="1"/>
    <xf numFmtId="0" fontId="73" fillId="0" borderId="0" xfId="0" applyFont="1"/>
    <xf numFmtId="166" fontId="0" fillId="0" borderId="0" xfId="1" applyNumberFormat="1" applyFont="1" applyFill="1"/>
    <xf numFmtId="0" fontId="0" fillId="18" borderId="0" xfId="0" applyFill="1"/>
    <xf numFmtId="166" fontId="3" fillId="18" borderId="0" xfId="1" applyNumberFormat="1" applyFont="1" applyFill="1"/>
    <xf numFmtId="166" fontId="0" fillId="18" borderId="0" xfId="1" applyNumberFormat="1" applyFont="1" applyFill="1"/>
    <xf numFmtId="0" fontId="3" fillId="0" borderId="0" xfId="1" applyNumberFormat="1" applyFont="1" applyFill="1"/>
    <xf numFmtId="166" fontId="0" fillId="3" borderId="0" xfId="1" applyNumberFormat="1" applyFont="1" applyFill="1"/>
    <xf numFmtId="0" fontId="0" fillId="0" borderId="0" xfId="1" applyNumberFormat="1" applyFont="1" applyFill="1"/>
    <xf numFmtId="0" fontId="51" fillId="0" borderId="23" xfId="0" applyFont="1" applyBorder="1" applyAlignment="1">
      <alignment horizontal="left" vertical="center" indent="1"/>
    </xf>
    <xf numFmtId="2" fontId="0" fillId="0" borderId="24" xfId="0" applyNumberFormat="1" applyBorder="1" applyAlignment="1">
      <alignment horizontal="right"/>
    </xf>
    <xf numFmtId="2" fontId="0" fillId="0" borderId="25" xfId="0" applyNumberFormat="1" applyBorder="1" applyAlignment="1">
      <alignment horizontal="right"/>
    </xf>
    <xf numFmtId="0" fontId="39" fillId="0" borderId="26" xfId="0" applyFont="1" applyBorder="1" applyAlignment="1">
      <alignment horizontal="left" vertical="center" indent="2"/>
    </xf>
    <xf numFmtId="2" fontId="0" fillId="0" borderId="27" xfId="0" applyNumberFormat="1" applyBorder="1" applyAlignment="1">
      <alignment horizontal="right"/>
    </xf>
    <xf numFmtId="0" fontId="39" fillId="0" borderId="26" xfId="0" applyFont="1" applyBorder="1" applyAlignment="1">
      <alignment horizontal="left" vertical="center" indent="1"/>
    </xf>
    <xf numFmtId="0" fontId="51" fillId="0" borderId="26" xfId="0" applyFont="1" applyBorder="1" applyAlignment="1">
      <alignment horizontal="left" vertical="center" indent="2"/>
    </xf>
    <xf numFmtId="0" fontId="62" fillId="17" borderId="30" xfId="0" applyFont="1" applyFill="1" applyBorder="1"/>
    <xf numFmtId="4" fontId="63" fillId="17" borderId="30" xfId="0" applyNumberFormat="1" applyFont="1" applyFill="1" applyBorder="1"/>
    <xf numFmtId="4" fontId="63" fillId="17" borderId="31" xfId="0" applyNumberFormat="1" applyFont="1" applyFill="1" applyBorder="1"/>
    <xf numFmtId="0" fontId="74" fillId="0" borderId="0" xfId="0" applyFont="1" applyAlignment="1">
      <alignment horizontal="center"/>
    </xf>
    <xf numFmtId="0" fontId="74" fillId="0" borderId="0" xfId="0" applyFont="1" applyAlignment="1">
      <alignment horizontal="right"/>
    </xf>
    <xf numFmtId="10" fontId="7" fillId="0" borderId="0" xfId="2" applyNumberFormat="1" applyFont="1" applyFill="1" applyBorder="1"/>
    <xf numFmtId="4" fontId="10" fillId="0" borderId="0" xfId="0" applyNumberFormat="1" applyFont="1" applyAlignment="1">
      <alignment horizontal="left" vertical="center"/>
    </xf>
    <xf numFmtId="4" fontId="9" fillId="0" borderId="0" xfId="0" applyNumberFormat="1" applyFont="1" applyAlignment="1">
      <alignment horizontal="left" vertical="center"/>
    </xf>
    <xf numFmtId="0" fontId="11" fillId="0" borderId="0" xfId="0" applyFont="1" applyAlignment="1">
      <alignment horizontal="left"/>
    </xf>
    <xf numFmtId="4" fontId="12" fillId="0" borderId="0" xfId="0" applyNumberFormat="1" applyFont="1" applyAlignment="1">
      <alignment horizontal="left" vertical="center"/>
    </xf>
    <xf numFmtId="0" fontId="0" fillId="0" borderId="0" xfId="0" applyAlignment="1">
      <alignment horizontal="left"/>
    </xf>
    <xf numFmtId="170" fontId="17" fillId="0" borderId="0" xfId="2" applyNumberFormat="1" applyFont="1" applyFill="1" applyBorder="1"/>
    <xf numFmtId="0" fontId="43" fillId="0" borderId="0" xfId="0" applyFont="1"/>
    <xf numFmtId="0" fontId="20" fillId="0" borderId="0" xfId="0" applyFont="1"/>
    <xf numFmtId="4" fontId="20" fillId="0" borderId="0" xfId="0" applyNumberFormat="1" applyFont="1"/>
    <xf numFmtId="0" fontId="48" fillId="0" borderId="4" xfId="0" applyFont="1" applyBorder="1" applyAlignment="1">
      <alignment horizontal="center" vertical="center" wrapText="1"/>
    </xf>
    <xf numFmtId="0" fontId="16" fillId="0" borderId="0" xfId="0" applyFont="1" applyAlignment="1">
      <alignment horizontal="center" vertical="center"/>
    </xf>
    <xf numFmtId="0" fontId="0" fillId="0" borderId="0" xfId="0" applyAlignment="1">
      <alignment horizontal="left" vertical="center" wrapText="1"/>
    </xf>
  </cellXfs>
  <cellStyles count="4">
    <cellStyle name="Comma" xfId="1" builtinId="3"/>
    <cellStyle name="Normal" xfId="0" builtinId="0"/>
    <cellStyle name="Normál 2" xfId="3" xr:uid="{990560BE-0BA7-3E49-93FD-E86DDDE1D34C}"/>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9524</xdr:colOff>
      <xdr:row>15</xdr:row>
      <xdr:rowOff>38100</xdr:rowOff>
    </xdr:from>
    <xdr:to>
      <xdr:col>7</xdr:col>
      <xdr:colOff>114300</xdr:colOff>
      <xdr:row>20</xdr:row>
      <xdr:rowOff>114300</xdr:rowOff>
    </xdr:to>
    <xdr:sp macro="" textlink="">
      <xdr:nvSpPr>
        <xdr:cNvPr id="2" name="Szövegdoboz 1">
          <a:extLst>
            <a:ext uri="{FF2B5EF4-FFF2-40B4-BE49-F238E27FC236}">
              <a16:creationId xmlns:a16="http://schemas.microsoft.com/office/drawing/2014/main" id="{DCA6492B-25B0-C34F-BCF7-CB2B58CCC8D2}"/>
            </a:ext>
          </a:extLst>
        </xdr:cNvPr>
        <xdr:cNvSpPr txBox="1"/>
      </xdr:nvSpPr>
      <xdr:spPr>
        <a:xfrm>
          <a:off x="682624" y="3340100"/>
          <a:ext cx="7140576" cy="1092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Prepare the financial statements (Balance sheet, P/L, Business cash flow) of the firm using the data given and 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1</xdr:colOff>
      <xdr:row>10</xdr:row>
      <xdr:rowOff>9525</xdr:rowOff>
    </xdr:from>
    <xdr:to>
      <xdr:col>7</xdr:col>
      <xdr:colOff>142876</xdr:colOff>
      <xdr:row>14</xdr:row>
      <xdr:rowOff>152400</xdr:rowOff>
    </xdr:to>
    <xdr:sp macro="" textlink="">
      <xdr:nvSpPr>
        <xdr:cNvPr id="3" name="Szövegdoboz 2">
          <a:extLst>
            <a:ext uri="{FF2B5EF4-FFF2-40B4-BE49-F238E27FC236}">
              <a16:creationId xmlns:a16="http://schemas.microsoft.com/office/drawing/2014/main" id="{7F89E977-90EF-4C4B-B5FD-BD8EA7A4E92B}"/>
            </a:ext>
          </a:extLst>
        </xdr:cNvPr>
        <xdr:cNvSpPr txBox="1"/>
      </xdr:nvSpPr>
      <xdr:spPr>
        <a:xfrm>
          <a:off x="673101" y="2295525"/>
          <a:ext cx="7178675" cy="955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9524</xdr:colOff>
      <xdr:row>15</xdr:row>
      <xdr:rowOff>38100</xdr:rowOff>
    </xdr:from>
    <xdr:to>
      <xdr:col>7</xdr:col>
      <xdr:colOff>114300</xdr:colOff>
      <xdr:row>20</xdr:row>
      <xdr:rowOff>114300</xdr:rowOff>
    </xdr:to>
    <xdr:sp macro="" textlink="">
      <xdr:nvSpPr>
        <xdr:cNvPr id="2" name="Szövegdoboz 1">
          <a:extLst>
            <a:ext uri="{FF2B5EF4-FFF2-40B4-BE49-F238E27FC236}">
              <a16:creationId xmlns:a16="http://schemas.microsoft.com/office/drawing/2014/main" id="{6586D794-5324-EB4D-9D05-22E6AD4C6CDB}"/>
            </a:ext>
          </a:extLst>
        </xdr:cNvPr>
        <xdr:cNvSpPr txBox="1"/>
      </xdr:nvSpPr>
      <xdr:spPr>
        <a:xfrm>
          <a:off x="682624" y="3340100"/>
          <a:ext cx="7140576" cy="1092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Prepare the financial statements (Balance sheet, P/L, Business cash flow) of the firm using the data given and 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1</xdr:colOff>
      <xdr:row>10</xdr:row>
      <xdr:rowOff>9525</xdr:rowOff>
    </xdr:from>
    <xdr:to>
      <xdr:col>7</xdr:col>
      <xdr:colOff>142876</xdr:colOff>
      <xdr:row>14</xdr:row>
      <xdr:rowOff>152400</xdr:rowOff>
    </xdr:to>
    <xdr:sp macro="" textlink="">
      <xdr:nvSpPr>
        <xdr:cNvPr id="3" name="Szövegdoboz 2">
          <a:extLst>
            <a:ext uri="{FF2B5EF4-FFF2-40B4-BE49-F238E27FC236}">
              <a16:creationId xmlns:a16="http://schemas.microsoft.com/office/drawing/2014/main" id="{1AAC09B8-FEB8-8B47-921E-00B88EAAD6CD}"/>
            </a:ext>
          </a:extLst>
        </xdr:cNvPr>
        <xdr:cNvSpPr txBox="1"/>
      </xdr:nvSpPr>
      <xdr:spPr>
        <a:xfrm>
          <a:off x="673101" y="2295525"/>
          <a:ext cx="7178675" cy="955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twoCellAnchor>
    <xdr:from>
      <xdr:col>1</xdr:col>
      <xdr:colOff>9524</xdr:colOff>
      <xdr:row>15</xdr:row>
      <xdr:rowOff>38100</xdr:rowOff>
    </xdr:from>
    <xdr:to>
      <xdr:col>7</xdr:col>
      <xdr:colOff>114300</xdr:colOff>
      <xdr:row>20</xdr:row>
      <xdr:rowOff>114300</xdr:rowOff>
    </xdr:to>
    <xdr:sp macro="" textlink="">
      <xdr:nvSpPr>
        <xdr:cNvPr id="4" name="Szövegdoboz 3">
          <a:extLst>
            <a:ext uri="{FF2B5EF4-FFF2-40B4-BE49-F238E27FC236}">
              <a16:creationId xmlns:a16="http://schemas.microsoft.com/office/drawing/2014/main" id="{66390C22-F01A-BA42-B5BA-D66477C2D1AD}"/>
            </a:ext>
          </a:extLst>
        </xdr:cNvPr>
        <xdr:cNvSpPr txBox="1"/>
      </xdr:nvSpPr>
      <xdr:spPr>
        <a:xfrm>
          <a:off x="682624" y="3340100"/>
          <a:ext cx="7140576" cy="1092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Prepare the financial statements (Balance sheet, P/L, Business cash flow) of the firm using the data given and 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1</xdr:colOff>
      <xdr:row>10</xdr:row>
      <xdr:rowOff>9525</xdr:rowOff>
    </xdr:from>
    <xdr:to>
      <xdr:col>7</xdr:col>
      <xdr:colOff>142876</xdr:colOff>
      <xdr:row>14</xdr:row>
      <xdr:rowOff>152400</xdr:rowOff>
    </xdr:to>
    <xdr:sp macro="" textlink="">
      <xdr:nvSpPr>
        <xdr:cNvPr id="5" name="Szövegdoboz 4">
          <a:extLst>
            <a:ext uri="{FF2B5EF4-FFF2-40B4-BE49-F238E27FC236}">
              <a16:creationId xmlns:a16="http://schemas.microsoft.com/office/drawing/2014/main" id="{97A4F03F-7343-6B4B-9B39-46FDF41C8F5A}"/>
            </a:ext>
          </a:extLst>
        </xdr:cNvPr>
        <xdr:cNvSpPr txBox="1"/>
      </xdr:nvSpPr>
      <xdr:spPr>
        <a:xfrm>
          <a:off x="673101" y="2295525"/>
          <a:ext cx="7178675" cy="955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2B7975D8-CBF0-D540-A450-4D1D72C65856}"/>
            </a:ext>
          </a:extLst>
        </xdr:cNvPr>
        <xdr:cNvSpPr txBox="1"/>
      </xdr:nvSpPr>
      <xdr:spPr>
        <a:xfrm>
          <a:off x="682624" y="2324100"/>
          <a:ext cx="8620126" cy="1092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Task 1</a:t>
          </a:r>
        </a:p>
        <a:p>
          <a:r>
            <a:rPr lang="hu-HU" sz="1400" b="0">
              <a:latin typeface="Times New Roman" panose="02020603050405020304" pitchFamily="18" charset="0"/>
              <a:cs typeface="Times New Roman" panose="02020603050405020304" pitchFamily="18" charset="0"/>
            </a:rPr>
            <a:t>Prepare the business cash flow of the firm for 2021 and 2022 based on the data provided. </a:t>
          </a:r>
        </a:p>
        <a:p>
          <a:r>
            <a:rPr lang="hu-HU" sz="1400" b="0">
              <a:latin typeface="Times New Roman" panose="02020603050405020304" pitchFamily="18" charset="0"/>
              <a:cs typeface="Times New Roman" panose="02020603050405020304" pitchFamily="18" charset="0"/>
            </a:rPr>
            <a:t>List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8</xdr:col>
      <xdr:colOff>9524</xdr:colOff>
      <xdr:row>17</xdr:row>
      <xdr:rowOff>19050</xdr:rowOff>
    </xdr:from>
    <xdr:to>
      <xdr:col>18</xdr:col>
      <xdr:colOff>523875</xdr:colOff>
      <xdr:row>37</xdr:row>
      <xdr:rowOff>47625</xdr:rowOff>
    </xdr:to>
    <xdr:sp macro="" textlink="">
      <xdr:nvSpPr>
        <xdr:cNvPr id="3" name="Szövegdoboz 2">
          <a:extLst>
            <a:ext uri="{FF2B5EF4-FFF2-40B4-BE49-F238E27FC236}">
              <a16:creationId xmlns:a16="http://schemas.microsoft.com/office/drawing/2014/main" id="{95DDE8AC-1C14-EC49-B868-A87F3C84B7B1}"/>
            </a:ext>
          </a:extLst>
        </xdr:cNvPr>
        <xdr:cNvSpPr txBox="1"/>
      </xdr:nvSpPr>
      <xdr:spPr>
        <a:xfrm>
          <a:off x="9699624" y="3740150"/>
          <a:ext cx="7245351" cy="4346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List your assumptions here.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571499</xdr:colOff>
      <xdr:row>1</xdr:row>
      <xdr:rowOff>19050</xdr:rowOff>
    </xdr:from>
    <xdr:to>
      <xdr:col>7</xdr:col>
      <xdr:colOff>238125</xdr:colOff>
      <xdr:row>6</xdr:row>
      <xdr:rowOff>95250</xdr:rowOff>
    </xdr:to>
    <xdr:sp macro="" textlink="">
      <xdr:nvSpPr>
        <xdr:cNvPr id="2" name="Szövegdoboz 1">
          <a:extLst>
            <a:ext uri="{FF2B5EF4-FFF2-40B4-BE49-F238E27FC236}">
              <a16:creationId xmlns:a16="http://schemas.microsoft.com/office/drawing/2014/main" id="{C4917F9C-5200-8843-A06D-E28A0A303358}"/>
            </a:ext>
          </a:extLst>
        </xdr:cNvPr>
        <xdr:cNvSpPr txBox="1"/>
      </xdr:nvSpPr>
      <xdr:spPr>
        <a:xfrm>
          <a:off x="571499" y="209550"/>
          <a:ext cx="7997826"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Taks 3</a:t>
          </a:r>
        </a:p>
        <a:p>
          <a:r>
            <a:rPr lang="hu-HU" sz="1400" b="0">
              <a:latin typeface="Times New Roman" panose="02020603050405020304" pitchFamily="18" charset="0"/>
              <a:cs typeface="Times New Roman" panose="02020603050405020304" pitchFamily="18" charset="0"/>
            </a:rPr>
            <a:t>Prepare the business cash flow of the firm for 2019 and 2020 based on the data provided. </a:t>
          </a:r>
        </a:p>
        <a:p>
          <a:r>
            <a:rPr lang="hu-HU" sz="1400" b="0">
              <a:latin typeface="Times New Roman" panose="02020603050405020304" pitchFamily="18" charset="0"/>
              <a:cs typeface="Times New Roman" panose="02020603050405020304" pitchFamily="18" charset="0"/>
            </a:rPr>
            <a:t>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8</xdr:col>
      <xdr:colOff>9524</xdr:colOff>
      <xdr:row>17</xdr:row>
      <xdr:rowOff>19050</xdr:rowOff>
    </xdr:from>
    <xdr:to>
      <xdr:col>18</xdr:col>
      <xdr:colOff>523875</xdr:colOff>
      <xdr:row>35</xdr:row>
      <xdr:rowOff>47625</xdr:rowOff>
    </xdr:to>
    <xdr:sp macro="" textlink="">
      <xdr:nvSpPr>
        <xdr:cNvPr id="3" name="Szövegdoboz 2">
          <a:extLst>
            <a:ext uri="{FF2B5EF4-FFF2-40B4-BE49-F238E27FC236}">
              <a16:creationId xmlns:a16="http://schemas.microsoft.com/office/drawing/2014/main" id="{8316756D-EE58-6541-9E94-72F99C6107A0}"/>
            </a:ext>
          </a:extLst>
        </xdr:cNvPr>
        <xdr:cNvSpPr txBox="1"/>
      </xdr:nvSpPr>
      <xdr:spPr>
        <a:xfrm>
          <a:off x="9013824" y="3270250"/>
          <a:ext cx="7245351" cy="3914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List your assumptions here.</a:t>
          </a:r>
          <a:endParaRPr lang="en-US" sz="1400" b="0">
            <a:latin typeface="Times New Roman" panose="02020603050405020304" pitchFamily="18" charset="0"/>
            <a:cs typeface="Times New Roman" panose="02020603050405020304" pitchFamily="18" charset="0"/>
          </a:endParaRPr>
        </a:p>
        <a:p>
          <a:endParaRPr lang="en-US" sz="1400" b="0">
            <a:latin typeface="Times New Roman" panose="02020603050405020304" pitchFamily="18" charset="0"/>
            <a:cs typeface="Times New Roman" panose="02020603050405020304" pitchFamily="18" charset="0"/>
          </a:endParaRPr>
        </a:p>
        <a:p>
          <a:r>
            <a:rPr lang="en-US" sz="1100" b="0">
              <a:solidFill>
                <a:schemeClr val="dk1"/>
              </a:solidFill>
              <a:effectLst/>
              <a:latin typeface="+mn-lt"/>
              <a:ea typeface="+mn-ea"/>
              <a:cs typeface="+mn-cs"/>
            </a:rPr>
            <a:t>The</a:t>
          </a:r>
          <a:r>
            <a:rPr lang="en-US" sz="1100" b="0" baseline="0">
              <a:solidFill>
                <a:schemeClr val="dk1"/>
              </a:solidFill>
              <a:effectLst/>
              <a:latin typeface="+mn-lt"/>
              <a:ea typeface="+mn-ea"/>
              <a:cs typeface="+mn-cs"/>
            </a:rPr>
            <a:t> following elements are NOT part of the business operations of the firm:</a:t>
          </a:r>
          <a:endParaRPr lang="en-US" sz="1400">
            <a:effectLst/>
          </a:endParaRPr>
        </a:p>
        <a:p>
          <a:r>
            <a:rPr lang="en-US" sz="1100" b="0">
              <a:solidFill>
                <a:schemeClr val="dk1"/>
              </a:solidFill>
              <a:effectLst/>
              <a:latin typeface="+mn-lt"/>
              <a:ea typeface="+mn-ea"/>
              <a:cs typeface="+mn-cs"/>
            </a:rPr>
            <a:t>1. Othe</a:t>
          </a:r>
          <a:r>
            <a:rPr lang="en-US" sz="1100" b="0" baseline="0">
              <a:solidFill>
                <a:schemeClr val="dk1"/>
              </a:solidFill>
              <a:effectLst/>
              <a:latin typeface="+mn-lt"/>
              <a:ea typeface="+mn-ea"/>
              <a:cs typeface="+mn-cs"/>
            </a:rPr>
            <a:t>r income ==&gt; should be deducted first from the operational profit and added back as a non-op increase in wealth</a:t>
          </a:r>
          <a:endParaRPr lang="en-US" sz="1400">
            <a:effectLst/>
          </a:endParaRPr>
        </a:p>
        <a:p>
          <a:r>
            <a:rPr lang="en-US" sz="1100" b="0" baseline="0">
              <a:solidFill>
                <a:schemeClr val="dk1"/>
              </a:solidFill>
              <a:effectLst/>
              <a:latin typeface="+mn-lt"/>
              <a:ea typeface="+mn-ea"/>
              <a:cs typeface="+mn-cs"/>
            </a:rPr>
            <a:t>2. Dividend received ==&gt; is part of the finacing CF, will need to account for a TAX deduction</a:t>
          </a:r>
          <a:endParaRPr lang="en-US" sz="1400">
            <a:effectLst/>
          </a:endParaRPr>
        </a:p>
        <a:p>
          <a:r>
            <a:rPr lang="en-US" sz="1100" b="0" baseline="0">
              <a:solidFill>
                <a:schemeClr val="dk1"/>
              </a:solidFill>
              <a:effectLst/>
              <a:latin typeface="+mn-lt"/>
              <a:ea typeface="+mn-ea"/>
              <a:cs typeface="+mn-cs"/>
            </a:rPr>
            <a:t>3. Interests received ==&gt; is part of the finacing CF, will need to account for a TAX deduction </a:t>
          </a:r>
          <a:endParaRPr lang="en-US" sz="1400">
            <a:effectLst/>
          </a:endParaRPr>
        </a:p>
        <a:p>
          <a:r>
            <a:rPr lang="en-US" sz="1100" b="0" baseline="0">
              <a:solidFill>
                <a:schemeClr val="dk1"/>
              </a:solidFill>
              <a:effectLst/>
              <a:latin typeface="+mn-lt"/>
              <a:ea typeface="+mn-ea"/>
              <a:cs typeface="+mn-cs"/>
            </a:rPr>
            <a:t>4. Marketable securities ==&gt; also part of the finacing CF</a:t>
          </a:r>
          <a:endParaRPr lang="en-US" sz="1400">
            <a:effectLst/>
          </a:endParaRPr>
        </a:p>
        <a:p>
          <a:endParaRPr lang="hu-HU" sz="1400" b="0">
            <a:latin typeface="Times New Roman" panose="02020603050405020304" pitchFamily="18" charset="0"/>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A52FD649-06CA-AF4A-AA81-90B64F2C1DF2}"/>
            </a:ext>
          </a:extLst>
        </xdr:cNvPr>
        <xdr:cNvSpPr txBox="1"/>
      </xdr:nvSpPr>
      <xdr:spPr>
        <a:xfrm>
          <a:off x="682624" y="2286000"/>
          <a:ext cx="8137526"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Taks 3</a:t>
          </a:r>
        </a:p>
        <a:p>
          <a:r>
            <a:rPr lang="hu-HU" sz="1400" b="0">
              <a:latin typeface="Times New Roman" panose="02020603050405020304" pitchFamily="18" charset="0"/>
              <a:cs typeface="Times New Roman" panose="02020603050405020304" pitchFamily="18" charset="0"/>
            </a:rPr>
            <a:t>Prepare the business cash flow of the firm for 2018 and 2019 based on the data provided. </a:t>
          </a:r>
        </a:p>
        <a:p>
          <a:r>
            <a:rPr lang="hu-HU" sz="1400" b="0">
              <a:latin typeface="Times New Roman" panose="02020603050405020304" pitchFamily="18" charset="0"/>
              <a:cs typeface="Times New Roman" panose="02020603050405020304" pitchFamily="18" charset="0"/>
            </a:rPr>
            <a:t>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16</xdr:col>
      <xdr:colOff>649753</xdr:colOff>
      <xdr:row>17</xdr:row>
      <xdr:rowOff>125880</xdr:rowOff>
    </xdr:from>
    <xdr:to>
      <xdr:col>27</xdr:col>
      <xdr:colOff>491752</xdr:colOff>
      <xdr:row>41</xdr:row>
      <xdr:rowOff>154455</xdr:rowOff>
    </xdr:to>
    <xdr:sp macro="" textlink="">
      <xdr:nvSpPr>
        <xdr:cNvPr id="3" name="Szövegdoboz 2">
          <a:extLst>
            <a:ext uri="{FF2B5EF4-FFF2-40B4-BE49-F238E27FC236}">
              <a16:creationId xmlns:a16="http://schemas.microsoft.com/office/drawing/2014/main" id="{80A6DE28-2333-0145-8255-C4D80583C636}"/>
            </a:ext>
          </a:extLst>
        </xdr:cNvPr>
        <xdr:cNvSpPr txBox="1"/>
      </xdr:nvSpPr>
      <xdr:spPr>
        <a:xfrm>
          <a:off x="15366812" y="3846233"/>
          <a:ext cx="7237881" cy="48396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List your assumptions here.</a:t>
          </a:r>
          <a:endParaRPr lang="en-US" sz="1400" b="0">
            <a:latin typeface="Times New Roman" panose="02020603050405020304" pitchFamily="18" charset="0"/>
            <a:cs typeface="Times New Roman" panose="02020603050405020304" pitchFamily="18" charset="0"/>
          </a:endParaRPr>
        </a:p>
        <a:p>
          <a:endParaRPr lang="en-US" sz="1400" b="0">
            <a:latin typeface="Times New Roman" panose="02020603050405020304" pitchFamily="18" charset="0"/>
            <a:cs typeface="Times New Roman" panose="02020603050405020304" pitchFamily="18" charset="0"/>
          </a:endParaRPr>
        </a:p>
        <a:p>
          <a:r>
            <a:rPr lang="en-US" sz="1400" b="0">
              <a:latin typeface="Times New Roman" panose="02020603050405020304" pitchFamily="18" charset="0"/>
              <a:cs typeface="Times New Roman" panose="02020603050405020304" pitchFamily="18" charset="0"/>
            </a:rPr>
            <a:t>Liquidity debt and interest should be separated as they relate to Opeartional cash flow.</a:t>
          </a:r>
        </a:p>
        <a:p>
          <a:r>
            <a:rPr lang="en-US" sz="1400" b="0">
              <a:latin typeface="Times New Roman" panose="02020603050405020304" pitchFamily="18" charset="0"/>
              <a:cs typeface="Times New Roman" panose="02020603050405020304" pitchFamily="18" charset="0"/>
            </a:rPr>
            <a:t>I also separate Operational cash from non-operational,</a:t>
          </a:r>
          <a:r>
            <a:rPr lang="en-US" sz="1400" b="0" baseline="0">
              <a:latin typeface="Times New Roman" panose="02020603050405020304" pitchFamily="18" charset="0"/>
              <a:cs typeface="Times New Roman" panose="02020603050405020304" pitchFamily="18" charset="0"/>
            </a:rPr>
            <a:t> as the first one is the part of change in working capital and is needed to calculate Operational cash flow. The non operational cash is used to calculate Non oper wealth.</a:t>
          </a:r>
        </a:p>
        <a:p>
          <a:r>
            <a:rPr lang="en-US" sz="1400" b="0" baseline="0">
              <a:latin typeface="Times New Roman" panose="02020603050405020304" pitchFamily="18" charset="0"/>
              <a:cs typeface="Times New Roman" panose="02020603050405020304" pitchFamily="18" charset="0"/>
            </a:rPr>
            <a:t>Dividend received is a part of Investment cash flow as it is inflow from our investment in equity. Tax effect of received dividends should be calculated as they resulted in higher tax paid.</a:t>
          </a:r>
        </a:p>
        <a:p>
          <a:r>
            <a:rPr lang="en-US" sz="1400" b="0" baseline="0">
              <a:latin typeface="Times New Roman" panose="02020603050405020304" pitchFamily="18" charset="0"/>
              <a:cs typeface="Times New Roman" panose="02020603050405020304" pitchFamily="18" charset="0"/>
            </a:rPr>
            <a:t>Marketable securities are not operational assets, therefore they are non oper wealth.</a:t>
          </a:r>
          <a:endParaRPr lang="hu-HU" sz="1400" b="0">
            <a:latin typeface="Times New Roman" panose="02020603050405020304" pitchFamily="18" charset="0"/>
            <a:cs typeface="Times New Roman" panose="02020603050405020304" pitchFamily="18" charset="0"/>
          </a:endParaRPr>
        </a:p>
      </xdr:txBody>
    </xdr:sp>
    <xdr:clientData/>
  </xdr:twoCellAnchor>
  <xdr:twoCellAnchor>
    <xdr:from>
      <xdr:col>1</xdr:col>
      <xdr:colOff>9524</xdr:colOff>
      <xdr:row>10</xdr:row>
      <xdr:rowOff>38100</xdr:rowOff>
    </xdr:from>
    <xdr:to>
      <xdr:col>7</xdr:col>
      <xdr:colOff>285750</xdr:colOff>
      <xdr:row>15</xdr:row>
      <xdr:rowOff>114300</xdr:rowOff>
    </xdr:to>
    <xdr:sp macro="" textlink="">
      <xdr:nvSpPr>
        <xdr:cNvPr id="4" name="Szövegdoboz 1">
          <a:extLst>
            <a:ext uri="{FF2B5EF4-FFF2-40B4-BE49-F238E27FC236}">
              <a16:creationId xmlns:a16="http://schemas.microsoft.com/office/drawing/2014/main" id="{AC60AD14-9ECC-5947-BBD5-DBFD50E95C97}"/>
            </a:ext>
          </a:extLst>
        </xdr:cNvPr>
        <xdr:cNvSpPr txBox="1"/>
      </xdr:nvSpPr>
      <xdr:spPr>
        <a:xfrm>
          <a:off x="682624" y="2286000"/>
          <a:ext cx="8137526"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Taks 3</a:t>
          </a:r>
        </a:p>
        <a:p>
          <a:r>
            <a:rPr lang="hu-HU" sz="1400" b="0">
              <a:latin typeface="Times New Roman" panose="02020603050405020304" pitchFamily="18" charset="0"/>
              <a:cs typeface="Times New Roman" panose="02020603050405020304" pitchFamily="18" charset="0"/>
            </a:rPr>
            <a:t>Prepare the business cash flow of the firm for </a:t>
          </a:r>
          <a:r>
            <a:rPr lang="hu-HU" sz="1400" b="0">
              <a:solidFill>
                <a:srgbClr val="FF0000"/>
              </a:solidFill>
              <a:latin typeface="Times New Roman" panose="02020603050405020304" pitchFamily="18" charset="0"/>
              <a:cs typeface="Times New Roman" panose="02020603050405020304" pitchFamily="18" charset="0"/>
            </a:rPr>
            <a:t>2018 and 2019 </a:t>
          </a:r>
          <a:r>
            <a:rPr lang="hu-HU" sz="1400" b="0">
              <a:latin typeface="Times New Roman" panose="02020603050405020304" pitchFamily="18" charset="0"/>
              <a:cs typeface="Times New Roman" panose="02020603050405020304" pitchFamily="18" charset="0"/>
            </a:rPr>
            <a:t>based on the data provided. </a:t>
          </a:r>
        </a:p>
        <a:p>
          <a:r>
            <a:rPr lang="hu-HU" sz="1400" b="0">
              <a:latin typeface="Times New Roman" panose="02020603050405020304" pitchFamily="18" charset="0"/>
              <a:cs typeface="Times New Roman" panose="02020603050405020304" pitchFamily="18" charset="0"/>
            </a:rPr>
            <a:t>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9524</xdr:colOff>
      <xdr:row>2</xdr:row>
      <xdr:rowOff>38100</xdr:rowOff>
    </xdr:from>
    <xdr:to>
      <xdr:col>7</xdr:col>
      <xdr:colOff>285750</xdr:colOff>
      <xdr:row>7</xdr:row>
      <xdr:rowOff>114300</xdr:rowOff>
    </xdr:to>
    <xdr:sp macro="" textlink="">
      <xdr:nvSpPr>
        <xdr:cNvPr id="2" name="Szövegdoboz 1">
          <a:extLst>
            <a:ext uri="{FF2B5EF4-FFF2-40B4-BE49-F238E27FC236}">
              <a16:creationId xmlns:a16="http://schemas.microsoft.com/office/drawing/2014/main" id="{402D8503-2A5B-6C44-9922-E56670195E7A}"/>
            </a:ext>
          </a:extLst>
        </xdr:cNvPr>
        <xdr:cNvSpPr txBox="1"/>
      </xdr:nvSpPr>
      <xdr:spPr>
        <a:xfrm>
          <a:off x="1038224" y="419100"/>
          <a:ext cx="11020426"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Taks 3</a:t>
          </a:r>
        </a:p>
        <a:p>
          <a:r>
            <a:rPr lang="hu-HU" sz="1400" b="0">
              <a:latin typeface="Times New Roman" panose="02020603050405020304" pitchFamily="18" charset="0"/>
              <a:cs typeface="Times New Roman" panose="02020603050405020304" pitchFamily="18" charset="0"/>
            </a:rPr>
            <a:t>Calculate and</a:t>
          </a:r>
          <a:r>
            <a:rPr lang="hu-HU" sz="1400" b="0">
              <a:solidFill>
                <a:srgbClr val="FF0000"/>
              </a:solidFill>
              <a:latin typeface="Times New Roman" panose="02020603050405020304" pitchFamily="18" charset="0"/>
              <a:cs typeface="Times New Roman" panose="02020603050405020304" pitchFamily="18" charset="0"/>
            </a:rPr>
            <a:t> </a:t>
          </a:r>
          <a:r>
            <a:rPr lang="hu-HU" sz="1400" b="0">
              <a:solidFill>
                <a:sysClr val="windowText" lastClr="000000"/>
              </a:solidFill>
              <a:latin typeface="Times New Roman" panose="02020603050405020304" pitchFamily="18" charset="0"/>
              <a:cs typeface="Times New Roman" panose="02020603050405020304" pitchFamily="18" charset="0"/>
            </a:rPr>
            <a:t>interpret</a:t>
          </a:r>
          <a:r>
            <a:rPr lang="hu-HU" sz="1400" b="0">
              <a:solidFill>
                <a:srgbClr val="FF0000"/>
              </a:solidFill>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following ratios based on the data provided for a manufacturing firm. 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8</xdr:col>
      <xdr:colOff>9524</xdr:colOff>
      <xdr:row>9</xdr:row>
      <xdr:rowOff>19050</xdr:rowOff>
    </xdr:from>
    <xdr:to>
      <xdr:col>18</xdr:col>
      <xdr:colOff>523875</xdr:colOff>
      <xdr:row>27</xdr:row>
      <xdr:rowOff>47625</xdr:rowOff>
    </xdr:to>
    <xdr:sp macro="" textlink="">
      <xdr:nvSpPr>
        <xdr:cNvPr id="3" name="Szövegdoboz 2">
          <a:extLst>
            <a:ext uri="{FF2B5EF4-FFF2-40B4-BE49-F238E27FC236}">
              <a16:creationId xmlns:a16="http://schemas.microsoft.com/office/drawing/2014/main" id="{0FC82453-0E88-AE46-B9F7-69C3DC00A447}"/>
            </a:ext>
          </a:extLst>
        </xdr:cNvPr>
        <xdr:cNvSpPr txBox="1"/>
      </xdr:nvSpPr>
      <xdr:spPr>
        <a:xfrm>
          <a:off x="12455524" y="1746250"/>
          <a:ext cx="7245351" cy="3914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List your assumptions and present your interpretation here.</a:t>
          </a:r>
          <a:endParaRPr lang="en-US" sz="1400" b="0">
            <a:latin typeface="Times New Roman" panose="02020603050405020304" pitchFamily="18" charset="0"/>
            <a:cs typeface="Times New Roman" panose="02020603050405020304" pitchFamily="18" charset="0"/>
          </a:endParaRPr>
        </a:p>
        <a:p>
          <a:endParaRPr lang="en-US" sz="1400" b="0">
            <a:latin typeface="Times New Roman" panose="02020603050405020304" pitchFamily="18" charset="0"/>
            <a:cs typeface="Times New Roman" panose="02020603050405020304" pitchFamily="18" charset="0"/>
          </a:endParaRPr>
        </a:p>
        <a:p>
          <a:r>
            <a:rPr lang="en-US" sz="1400" b="0">
              <a:latin typeface="Times New Roman" panose="02020603050405020304" pitchFamily="18" charset="0"/>
              <a:cs typeface="Times New Roman" panose="02020603050405020304" pitchFamily="18" charset="0"/>
            </a:rPr>
            <a:t>Refer to the assumptions</a:t>
          </a:r>
          <a:r>
            <a:rPr lang="en-US" sz="1400" b="0" baseline="0">
              <a:latin typeface="Times New Roman" panose="02020603050405020304" pitchFamily="18" charset="0"/>
              <a:cs typeface="Times New Roman" panose="02020603050405020304" pitchFamily="18" charset="0"/>
            </a:rPr>
            <a:t> in column B.</a:t>
          </a:r>
        </a:p>
        <a:p>
          <a:endParaRPr lang="en-US" sz="1400" b="0">
            <a:latin typeface="Times New Roman" panose="02020603050405020304" pitchFamily="18" charset="0"/>
            <a:cs typeface="Times New Roman" panose="02020603050405020304" pitchFamily="18" charset="0"/>
          </a:endParaRPr>
        </a:p>
        <a:p>
          <a:r>
            <a:rPr lang="en-US" sz="1400" b="0">
              <a:latin typeface="Times New Roman" panose="02020603050405020304" pitchFamily="18" charset="0"/>
              <a:cs typeface="Times New Roman" panose="02020603050405020304" pitchFamily="18" charset="0"/>
            </a:rPr>
            <a:t>Sales seem</a:t>
          </a:r>
          <a:r>
            <a:rPr lang="en-US" sz="1400" b="0" baseline="0">
              <a:latin typeface="Times New Roman" panose="02020603050405020304" pitchFamily="18" charset="0"/>
              <a:cs typeface="Times New Roman" panose="02020603050405020304" pitchFamily="18" charset="0"/>
            </a:rPr>
            <a:t> to have grown by 10% (nominal rate) from 2018 to 2019, but considering the effect of inflation, the real growth is limited to 8.8%.</a:t>
          </a:r>
        </a:p>
        <a:p>
          <a:endParaRPr lang="en-US" sz="1400" b="0" baseline="0">
            <a:latin typeface="Times New Roman" panose="02020603050405020304" pitchFamily="18" charset="0"/>
            <a:cs typeface="Times New Roman" panose="02020603050405020304" pitchFamily="18" charset="0"/>
          </a:endParaRPr>
        </a:p>
        <a:p>
          <a:r>
            <a:rPr lang="en-US" sz="1400" b="0">
              <a:latin typeface="Times New Roman" panose="02020603050405020304" pitchFamily="18" charset="0"/>
              <a:cs typeface="Times New Roman" panose="02020603050405020304" pitchFamily="18" charset="0"/>
            </a:rPr>
            <a:t>The company could</a:t>
          </a:r>
          <a:r>
            <a:rPr lang="en-US" sz="1400" b="0" baseline="0">
              <a:latin typeface="Times New Roman" panose="02020603050405020304" pitchFamily="18" charset="0"/>
              <a:cs typeface="Times New Roman" panose="02020603050405020304" pitchFamily="18" charset="0"/>
            </a:rPr>
            <a:t> collect its receivables within 17.28 days following the sale in 2020.</a:t>
          </a:r>
        </a:p>
        <a:p>
          <a:r>
            <a:rPr lang="en-US" sz="1400" b="0" baseline="0">
              <a:latin typeface="Times New Roman" panose="02020603050405020304" pitchFamily="18" charset="0"/>
              <a:cs typeface="Times New Roman" panose="02020603050405020304" pitchFamily="18" charset="0"/>
            </a:rPr>
            <a:t>The company had to repay its suppliers within 12.46 days following the purchase in 2020.</a:t>
          </a:r>
        </a:p>
        <a:p>
          <a:pPr marL="0" marR="0" lvl="0" indent="0" defTabSz="914400" eaLnBrk="1" fontAlgn="auto" latinLnBrk="0" hangingPunct="1">
            <a:lnSpc>
              <a:spcPct val="100000"/>
            </a:lnSpc>
            <a:spcBef>
              <a:spcPts val="0"/>
            </a:spcBef>
            <a:spcAft>
              <a:spcPts val="0"/>
            </a:spcAft>
            <a:buClrTx/>
            <a:buSzTx/>
            <a:buFontTx/>
            <a:buNone/>
            <a:tabLst/>
            <a:defRPr/>
          </a:pPr>
          <a:r>
            <a:rPr lang="en-US" sz="1400" b="0">
              <a:solidFill>
                <a:schemeClr val="dk1"/>
              </a:solidFill>
              <a:latin typeface="Times New Roman" panose="02020603050405020304" pitchFamily="18" charset="0"/>
              <a:ea typeface="+mn-ea"/>
              <a:cs typeface="Times New Roman" panose="02020603050405020304" pitchFamily="18" charset="0"/>
            </a:rPr>
            <a:t>The company could sell its inventory within 12.60 days after having stocked</a:t>
          </a:r>
          <a:r>
            <a:rPr lang="en-US" sz="1400" b="0" baseline="0">
              <a:solidFill>
                <a:schemeClr val="dk1"/>
              </a:solidFill>
              <a:latin typeface="Times New Roman" panose="02020603050405020304" pitchFamily="18" charset="0"/>
              <a:ea typeface="+mn-ea"/>
              <a:cs typeface="Times New Roman" panose="02020603050405020304" pitchFamily="18" charset="0"/>
            </a:rPr>
            <a:t> it</a:t>
          </a:r>
          <a:r>
            <a:rPr lang="en-US" sz="1400" b="0">
              <a:solidFill>
                <a:schemeClr val="dk1"/>
              </a:solidFill>
              <a:latin typeface="Times New Roman" panose="02020603050405020304" pitchFamily="18" charset="0"/>
              <a:ea typeface="+mn-ea"/>
              <a:cs typeface="Times New Roman" panose="02020603050405020304" pitchFamily="18" charset="0"/>
            </a:rPr>
            <a:t> in 2020.</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a:solidFill>
              <a:schemeClr val="dk1"/>
            </a:solidFill>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a:solidFill>
                <a:schemeClr val="dk1"/>
              </a:solidFill>
              <a:latin typeface="Times New Roman" panose="02020603050405020304" pitchFamily="18" charset="0"/>
              <a:ea typeface="+mn-ea"/>
              <a:cs typeface="Times New Roman" panose="02020603050405020304" pitchFamily="18" charset="0"/>
            </a:rPr>
            <a:t>The</a:t>
          </a:r>
          <a:r>
            <a:rPr lang="en-US" sz="1400" b="0" baseline="0">
              <a:solidFill>
                <a:schemeClr val="dk1"/>
              </a:solidFill>
              <a:latin typeface="Times New Roman" panose="02020603050405020304" pitchFamily="18" charset="0"/>
              <a:ea typeface="+mn-ea"/>
              <a:cs typeface="Times New Roman" panose="02020603050405020304" pitchFamily="18" charset="0"/>
            </a:rPr>
            <a:t> company has increased it leverage (considering both short and long term debt) over the years up to 49.44% in 2020, also shown by a higher D/E ratio.</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baseline="0">
            <a:solidFill>
              <a:schemeClr val="dk1"/>
            </a:solidFill>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baseline="0">
              <a:solidFill>
                <a:schemeClr val="dk1"/>
              </a:solidFill>
              <a:latin typeface="Times New Roman" panose="02020603050405020304" pitchFamily="18" charset="0"/>
              <a:ea typeface="+mn-ea"/>
              <a:cs typeface="Times New Roman" panose="02020603050405020304" pitchFamily="18" charset="0"/>
            </a:rPr>
            <a:t>In 2020, $1 invested in Equity and in Capital yielded $2.33 and $1.29 in net operating profit, respectively. The 2 ratios have decreased from 2018 to 2019 but rebounded slighlty in 2020. The company faced higher growth in its operating costs than the growth of its sales. The "Other income" in 2020 has obsorbed to a certain extent the increase in costs.</a:t>
          </a:r>
          <a:endParaRPr lang="en-US" sz="1400" b="0">
            <a:solidFill>
              <a:schemeClr val="dk1"/>
            </a:solidFill>
            <a:latin typeface="Times New Roman" panose="02020603050405020304" pitchFamily="18" charset="0"/>
            <a:ea typeface="+mn-ea"/>
            <a:cs typeface="Times New Roman" panose="02020603050405020304" pitchFamily="18" charset="0"/>
          </a:endParaRPr>
        </a:p>
        <a:p>
          <a:endParaRPr lang="en-US" sz="1400" b="0">
            <a:latin typeface="Times New Roman" panose="02020603050405020304" pitchFamily="18" charset="0"/>
            <a:cs typeface="Times New Roman" panose="02020603050405020304" pitchFamily="18"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BD572A80-E3D2-5B44-AFAE-4895F96A3FD9}"/>
            </a:ext>
          </a:extLst>
        </xdr:cNvPr>
        <xdr:cNvSpPr txBox="1"/>
      </xdr:nvSpPr>
      <xdr:spPr>
        <a:xfrm>
          <a:off x="682624" y="2286000"/>
          <a:ext cx="8188326"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Takes 2</a:t>
          </a:r>
        </a:p>
        <a:p>
          <a:r>
            <a:rPr lang="hu-HU" sz="1400" b="0">
              <a:latin typeface="Times New Roman" panose="02020603050405020304" pitchFamily="18" charset="0"/>
              <a:cs typeface="Times New Roman" panose="02020603050405020304" pitchFamily="18" charset="0"/>
            </a:rPr>
            <a:t>Prepare the business cash flow of the firm for 2019 and 2020 based on the data provided. </a:t>
          </a:r>
        </a:p>
        <a:p>
          <a:r>
            <a:rPr lang="hu-HU" sz="1400" b="0">
              <a:latin typeface="Times New Roman" panose="02020603050405020304" pitchFamily="18" charset="0"/>
              <a:cs typeface="Times New Roman" panose="02020603050405020304" pitchFamily="18" charset="0"/>
            </a:rPr>
            <a:t>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(12 points)</a:t>
          </a:r>
        </a:p>
      </xdr:txBody>
    </xdr:sp>
    <xdr:clientData/>
  </xdr:twoCellAnchor>
  <xdr:twoCellAnchor>
    <xdr:from>
      <xdr:col>7</xdr:col>
      <xdr:colOff>895349</xdr:colOff>
      <xdr:row>16</xdr:row>
      <xdr:rowOff>142875</xdr:rowOff>
    </xdr:from>
    <xdr:to>
      <xdr:col>18</xdr:col>
      <xdr:colOff>514350</xdr:colOff>
      <xdr:row>43</xdr:row>
      <xdr:rowOff>180975</xdr:rowOff>
    </xdr:to>
    <xdr:sp macro="" textlink="">
      <xdr:nvSpPr>
        <xdr:cNvPr id="3" name="Szövegdoboz 2">
          <a:extLst>
            <a:ext uri="{FF2B5EF4-FFF2-40B4-BE49-F238E27FC236}">
              <a16:creationId xmlns:a16="http://schemas.microsoft.com/office/drawing/2014/main" id="{AD0B0E38-37DB-4042-814C-331EA062A63A}"/>
            </a:ext>
          </a:extLst>
        </xdr:cNvPr>
        <xdr:cNvSpPr txBox="1"/>
      </xdr:nvSpPr>
      <xdr:spPr>
        <a:xfrm>
          <a:off x="9480549" y="3533775"/>
          <a:ext cx="7378701" cy="5854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latin typeface="Times New Roman" panose="02020603050405020304" pitchFamily="18" charset="0"/>
              <a:cs typeface="Times New Roman" panose="02020603050405020304" pitchFamily="18" charset="0"/>
            </a:rPr>
            <a:t>1. Sales of invested</a:t>
          </a:r>
          <a:r>
            <a:rPr lang="en-US" sz="1400" b="0" baseline="0">
              <a:latin typeface="Times New Roman" panose="02020603050405020304" pitchFamily="18" charset="0"/>
              <a:cs typeface="Times New Roman" panose="02020603050405020304" pitchFamily="18" charset="0"/>
            </a:rPr>
            <a:t> assets and their corresponding book value under the other expenses are regarded as extraordinary items, therefore as non-operational wealth. Non-operational cash also pertains to this category.</a:t>
          </a:r>
        </a:p>
        <a:p>
          <a:endParaRPr lang="en-US" sz="1400" b="0" baseline="0">
            <a:latin typeface="Times New Roman" panose="02020603050405020304" pitchFamily="18" charset="0"/>
            <a:cs typeface="Times New Roman" panose="02020603050405020304" pitchFamily="18" charset="0"/>
          </a:endParaRPr>
        </a:p>
        <a:p>
          <a:r>
            <a:rPr lang="en-US" sz="1400" b="0" baseline="0">
              <a:latin typeface="Times New Roman" panose="02020603050405020304" pitchFamily="18" charset="0"/>
              <a:cs typeface="Times New Roman" panose="02020603050405020304" pitchFamily="18" charset="0"/>
            </a:rPr>
            <a:t>All other elements will be classified under operational, investing and financing CFs as indicated.</a:t>
          </a:r>
        </a:p>
      </xdr:txBody>
    </xdr:sp>
    <xdr:clientData/>
  </xdr:twoCellAnchor>
  <xdr:twoCellAnchor>
    <xdr:from>
      <xdr:col>1</xdr:col>
      <xdr:colOff>9524</xdr:colOff>
      <xdr:row>10</xdr:row>
      <xdr:rowOff>38100</xdr:rowOff>
    </xdr:from>
    <xdr:to>
      <xdr:col>7</xdr:col>
      <xdr:colOff>285750</xdr:colOff>
      <xdr:row>15</xdr:row>
      <xdr:rowOff>114300</xdr:rowOff>
    </xdr:to>
    <xdr:sp macro="" textlink="">
      <xdr:nvSpPr>
        <xdr:cNvPr id="4" name="Szövegdoboz 1">
          <a:extLst>
            <a:ext uri="{FF2B5EF4-FFF2-40B4-BE49-F238E27FC236}">
              <a16:creationId xmlns:a16="http://schemas.microsoft.com/office/drawing/2014/main" id="{77CD043A-835B-264E-A284-A68C752C414E}"/>
            </a:ext>
          </a:extLst>
        </xdr:cNvPr>
        <xdr:cNvSpPr txBox="1"/>
      </xdr:nvSpPr>
      <xdr:spPr>
        <a:xfrm>
          <a:off x="682624" y="2286000"/>
          <a:ext cx="8188326"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Takes 2</a:t>
          </a:r>
        </a:p>
        <a:p>
          <a:r>
            <a:rPr lang="hu-HU" sz="1400" b="0">
              <a:latin typeface="Times New Roman" panose="02020603050405020304" pitchFamily="18" charset="0"/>
              <a:cs typeface="Times New Roman" panose="02020603050405020304" pitchFamily="18" charset="0"/>
            </a:rPr>
            <a:t>Prepare the business cash flow of the firm for 2019 and 2020 based on the data provided. </a:t>
          </a:r>
        </a:p>
        <a:p>
          <a:r>
            <a:rPr lang="hu-HU" sz="1400" b="0">
              <a:latin typeface="Times New Roman" panose="02020603050405020304" pitchFamily="18" charset="0"/>
              <a:cs typeface="Times New Roman" panose="02020603050405020304" pitchFamily="18" charset="0"/>
            </a:rPr>
            <a:t>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(12 points)</a:t>
          </a:r>
        </a:p>
      </xdr:txBody>
    </xdr:sp>
    <xdr:clientData/>
  </xdr:twoCellAnchor>
  <xdr:twoCellAnchor>
    <xdr:from>
      <xdr:col>7</xdr:col>
      <xdr:colOff>895349</xdr:colOff>
      <xdr:row>16</xdr:row>
      <xdr:rowOff>142875</xdr:rowOff>
    </xdr:from>
    <xdr:to>
      <xdr:col>18</xdr:col>
      <xdr:colOff>514350</xdr:colOff>
      <xdr:row>43</xdr:row>
      <xdr:rowOff>180975</xdr:rowOff>
    </xdr:to>
    <xdr:sp macro="" textlink="">
      <xdr:nvSpPr>
        <xdr:cNvPr id="5" name="Szövegdoboz 2">
          <a:extLst>
            <a:ext uri="{FF2B5EF4-FFF2-40B4-BE49-F238E27FC236}">
              <a16:creationId xmlns:a16="http://schemas.microsoft.com/office/drawing/2014/main" id="{EF82FD80-A162-7346-A5CD-3C33B90834C9}"/>
            </a:ext>
          </a:extLst>
        </xdr:cNvPr>
        <xdr:cNvSpPr txBox="1"/>
      </xdr:nvSpPr>
      <xdr:spPr>
        <a:xfrm>
          <a:off x="9480549" y="3533775"/>
          <a:ext cx="7378701" cy="5854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latin typeface="Times New Roman" panose="02020603050405020304" pitchFamily="18" charset="0"/>
              <a:cs typeface="Times New Roman" panose="02020603050405020304" pitchFamily="18" charset="0"/>
            </a:rPr>
            <a:t>1. Sales of invested</a:t>
          </a:r>
          <a:r>
            <a:rPr lang="en-US" sz="1400" b="0" baseline="0">
              <a:latin typeface="Times New Roman" panose="02020603050405020304" pitchFamily="18" charset="0"/>
              <a:cs typeface="Times New Roman" panose="02020603050405020304" pitchFamily="18" charset="0"/>
            </a:rPr>
            <a:t> assets and their corresponding book value under the other expenses are regarded as extraordinary items, therefore as non-operational wealth. Non-operational cash also pertains to this category.</a:t>
          </a:r>
        </a:p>
        <a:p>
          <a:endParaRPr lang="en-US" sz="1400" b="0" baseline="0">
            <a:latin typeface="Times New Roman" panose="02020603050405020304" pitchFamily="18" charset="0"/>
            <a:cs typeface="Times New Roman" panose="02020603050405020304" pitchFamily="18" charset="0"/>
          </a:endParaRPr>
        </a:p>
        <a:p>
          <a:r>
            <a:rPr lang="en-US" sz="1400" b="0" baseline="0">
              <a:latin typeface="Times New Roman" panose="02020603050405020304" pitchFamily="18" charset="0"/>
              <a:cs typeface="Times New Roman" panose="02020603050405020304" pitchFamily="18" charset="0"/>
            </a:rPr>
            <a:t>All other elements will be classified under operational, investing and financing CFs as indicated.</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5EFA31C0-3B8A-1E45-AAC2-EDC392910538}"/>
            </a:ext>
          </a:extLst>
        </xdr:cNvPr>
        <xdr:cNvSpPr txBox="1"/>
      </xdr:nvSpPr>
      <xdr:spPr>
        <a:xfrm>
          <a:off x="682624" y="2032000"/>
          <a:ext cx="8442326"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Task 1</a:t>
          </a:r>
        </a:p>
        <a:p>
          <a:r>
            <a:rPr lang="hu-HU" sz="1400" b="0">
              <a:latin typeface="Times New Roman" panose="02020603050405020304" pitchFamily="18" charset="0"/>
              <a:cs typeface="Times New Roman" panose="02020603050405020304" pitchFamily="18" charset="0"/>
            </a:rPr>
            <a:t>Prepare the business cash flow of the firm for 2021 and 2022 based on the data provided. </a:t>
          </a:r>
        </a:p>
        <a:p>
          <a:r>
            <a:rPr lang="hu-HU" sz="1400" b="0">
              <a:latin typeface="Times New Roman" panose="02020603050405020304" pitchFamily="18" charset="0"/>
              <a:cs typeface="Times New Roman" panose="02020603050405020304" pitchFamily="18" charset="0"/>
            </a:rPr>
            <a:t>List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8</xdr:col>
      <xdr:colOff>9524</xdr:colOff>
      <xdr:row>17</xdr:row>
      <xdr:rowOff>19050</xdr:rowOff>
    </xdr:from>
    <xdr:to>
      <xdr:col>18</xdr:col>
      <xdr:colOff>523875</xdr:colOff>
      <xdr:row>37</xdr:row>
      <xdr:rowOff>47625</xdr:rowOff>
    </xdr:to>
    <xdr:sp macro="" textlink="">
      <xdr:nvSpPr>
        <xdr:cNvPr id="3" name="Szövegdoboz 2">
          <a:extLst>
            <a:ext uri="{FF2B5EF4-FFF2-40B4-BE49-F238E27FC236}">
              <a16:creationId xmlns:a16="http://schemas.microsoft.com/office/drawing/2014/main" id="{F3E0AE5B-1EBF-B14B-93A9-D02CC839A5AF}"/>
            </a:ext>
          </a:extLst>
        </xdr:cNvPr>
        <xdr:cNvSpPr txBox="1"/>
      </xdr:nvSpPr>
      <xdr:spPr>
        <a:xfrm>
          <a:off x="9521824" y="3359150"/>
          <a:ext cx="7245351" cy="4346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List your assumptions here.</a:t>
          </a:r>
        </a:p>
        <a:p>
          <a:endParaRPr lang="hu-HU" sz="1400" b="0">
            <a:latin typeface="Times New Roman" panose="02020603050405020304" pitchFamily="18" charset="0"/>
            <a:cs typeface="Times New Roman" panose="02020603050405020304" pitchFamily="18" charset="0"/>
          </a:endParaRPr>
        </a:p>
        <a:p>
          <a:r>
            <a:rPr lang="en-US" sz="1100" b="0">
              <a:solidFill>
                <a:schemeClr val="dk1"/>
              </a:solidFill>
              <a:effectLst/>
              <a:latin typeface="+mn-lt"/>
              <a:ea typeface="+mn-ea"/>
              <a:cs typeface="+mn-cs"/>
            </a:rPr>
            <a:t>The</a:t>
          </a:r>
          <a:r>
            <a:rPr lang="en-US" sz="1100" b="0" baseline="0">
              <a:solidFill>
                <a:schemeClr val="dk1"/>
              </a:solidFill>
              <a:effectLst/>
              <a:latin typeface="+mn-lt"/>
              <a:ea typeface="+mn-ea"/>
              <a:cs typeface="+mn-cs"/>
            </a:rPr>
            <a:t> following elements are NOT part of the business operations of the firm:</a:t>
          </a:r>
          <a:endParaRPr lang="en-US" sz="1400">
            <a:effectLst/>
          </a:endParaRPr>
        </a:p>
        <a:p>
          <a:r>
            <a:rPr lang="hu-HU" sz="1100" b="0" baseline="0">
              <a:solidFill>
                <a:schemeClr val="dk1"/>
              </a:solidFill>
              <a:effectLst/>
              <a:latin typeface="+mn-lt"/>
              <a:ea typeface="+mn-ea"/>
              <a:cs typeface="+mn-cs"/>
            </a:rPr>
            <a:t>1. The tax base (profit before tax) is cleared from fividend received. </a:t>
          </a:r>
          <a:endParaRPr lang="en-US" sz="1400">
            <a:effectLst/>
          </a:endParaRPr>
        </a:p>
        <a:p>
          <a:r>
            <a:rPr lang="hu-HU" sz="1100" b="0">
              <a:solidFill>
                <a:schemeClr val="dk1"/>
              </a:solidFill>
              <a:effectLst/>
              <a:latin typeface="+mn-lt"/>
              <a:ea typeface="+mn-ea"/>
              <a:cs typeface="+mn-cs"/>
            </a:rPr>
            <a:t>2.</a:t>
          </a:r>
          <a:r>
            <a:rPr lang="en-US" sz="1100" b="0">
              <a:solidFill>
                <a:schemeClr val="dk1"/>
              </a:solidFill>
              <a:effectLst/>
              <a:latin typeface="+mn-lt"/>
              <a:ea typeface="+mn-ea"/>
              <a:cs typeface="+mn-cs"/>
            </a:rPr>
            <a:t> Othe</a:t>
          </a:r>
          <a:r>
            <a:rPr lang="en-US" sz="1100" b="0" baseline="0">
              <a:solidFill>
                <a:schemeClr val="dk1"/>
              </a:solidFill>
              <a:effectLst/>
              <a:latin typeface="+mn-lt"/>
              <a:ea typeface="+mn-ea"/>
              <a:cs typeface="+mn-cs"/>
            </a:rPr>
            <a:t>r income ==&gt; should be </a:t>
          </a:r>
          <a:r>
            <a:rPr lang="hu-HU" sz="1100" b="1" baseline="0">
              <a:solidFill>
                <a:schemeClr val="dk1"/>
              </a:solidFill>
              <a:effectLst/>
              <a:latin typeface="+mn-lt"/>
              <a:ea typeface="+mn-ea"/>
              <a:cs typeface="+mn-cs"/>
            </a:rPr>
            <a:t>included</a:t>
          </a:r>
          <a:r>
            <a:rPr lang="en-US" sz="1100" b="0" baseline="0">
              <a:solidFill>
                <a:schemeClr val="dk1"/>
              </a:solidFill>
              <a:effectLst/>
              <a:latin typeface="+mn-lt"/>
              <a:ea typeface="+mn-ea"/>
              <a:cs typeface="+mn-cs"/>
            </a:rPr>
            <a:t> </a:t>
          </a:r>
          <a:r>
            <a:rPr lang="hu-HU" sz="1100" b="0" baseline="0">
              <a:solidFill>
                <a:schemeClr val="dk1"/>
              </a:solidFill>
              <a:effectLst/>
              <a:latin typeface="+mn-lt"/>
              <a:ea typeface="+mn-ea"/>
              <a:cs typeface="+mn-cs"/>
            </a:rPr>
            <a:t>part of the</a:t>
          </a:r>
          <a:r>
            <a:rPr lang="en-US" sz="1100" b="0" baseline="0">
              <a:solidFill>
                <a:schemeClr val="dk1"/>
              </a:solidFill>
              <a:effectLst/>
              <a:latin typeface="+mn-lt"/>
              <a:ea typeface="+mn-ea"/>
              <a:cs typeface="+mn-cs"/>
            </a:rPr>
            <a:t> operational </a:t>
          </a:r>
          <a:r>
            <a:rPr lang="hu-HU" sz="1100" b="0" baseline="0">
              <a:solidFill>
                <a:schemeClr val="dk1"/>
              </a:solidFill>
              <a:effectLst/>
              <a:latin typeface="+mn-lt"/>
              <a:ea typeface="+mn-ea"/>
              <a:cs typeface="+mn-cs"/>
            </a:rPr>
            <a:t>, neither an OCI nor extraordinary income.</a:t>
          </a:r>
          <a:endParaRPr lang="en-US" sz="1400">
            <a:effectLst/>
          </a:endParaRPr>
        </a:p>
        <a:p>
          <a:r>
            <a:rPr lang="hu-HU" sz="1100" b="0" baseline="0">
              <a:solidFill>
                <a:schemeClr val="dk1"/>
              </a:solidFill>
              <a:effectLst/>
              <a:latin typeface="+mn-lt"/>
              <a:ea typeface="+mn-ea"/>
              <a:cs typeface="+mn-cs"/>
            </a:rPr>
            <a:t>3. I consider short-term debt as a part of operational cash-flow as it is maturing in less than 1 year. </a:t>
          </a:r>
          <a:endParaRPr lang="en-US" sz="1400">
            <a:effectLst/>
          </a:endParaRPr>
        </a:p>
        <a:p>
          <a:r>
            <a:rPr lang="en-US" sz="1100" b="0" baseline="0">
              <a:solidFill>
                <a:schemeClr val="dk1"/>
              </a:solidFill>
              <a:effectLst/>
              <a:latin typeface="+mn-lt"/>
              <a:ea typeface="+mn-ea"/>
              <a:cs typeface="+mn-cs"/>
            </a:rPr>
            <a:t>3. Interests received ==&gt; is part of the finacing CF, </a:t>
          </a:r>
          <a:r>
            <a:rPr lang="hu-HU" sz="1100" b="0" baseline="0">
              <a:solidFill>
                <a:schemeClr val="dk1"/>
              </a:solidFill>
              <a:effectLst/>
              <a:latin typeface="+mn-lt"/>
              <a:ea typeface="+mn-ea"/>
              <a:cs typeface="+mn-cs"/>
            </a:rPr>
            <a:t>is </a:t>
          </a:r>
          <a:r>
            <a:rPr lang="en-US" sz="1100" b="0" baseline="0">
              <a:solidFill>
                <a:schemeClr val="dk1"/>
              </a:solidFill>
              <a:effectLst/>
              <a:latin typeface="+mn-lt"/>
              <a:ea typeface="+mn-ea"/>
              <a:cs typeface="+mn-cs"/>
            </a:rPr>
            <a:t>account</a:t>
          </a:r>
          <a:r>
            <a:rPr lang="hu-HU" sz="1100" b="0" baseline="0">
              <a:solidFill>
                <a:schemeClr val="dk1"/>
              </a:solidFill>
              <a:effectLst/>
              <a:latin typeface="+mn-lt"/>
              <a:ea typeface="+mn-ea"/>
              <a:cs typeface="+mn-cs"/>
            </a:rPr>
            <a:t>ed</a:t>
          </a:r>
          <a:r>
            <a:rPr lang="en-US" sz="1100" b="0" baseline="0">
              <a:solidFill>
                <a:schemeClr val="dk1"/>
              </a:solidFill>
              <a:effectLst/>
              <a:latin typeface="+mn-lt"/>
              <a:ea typeface="+mn-ea"/>
              <a:cs typeface="+mn-cs"/>
            </a:rPr>
            <a:t> for </a:t>
          </a:r>
          <a:r>
            <a:rPr lang="hu-HU" sz="1100" b="0" baseline="0">
              <a:solidFill>
                <a:schemeClr val="dk1"/>
              </a:solidFill>
              <a:effectLst/>
              <a:latin typeface="+mn-lt"/>
              <a:ea typeface="+mn-ea"/>
              <a:cs typeface="+mn-cs"/>
            </a:rPr>
            <a:t>the tax deduction.</a:t>
          </a:r>
          <a:r>
            <a:rPr lang="en-US" sz="1100" b="0" baseline="0">
              <a:solidFill>
                <a:schemeClr val="dk1"/>
              </a:solidFill>
              <a:effectLst/>
              <a:latin typeface="+mn-lt"/>
              <a:ea typeface="+mn-ea"/>
              <a:cs typeface="+mn-cs"/>
            </a:rPr>
            <a:t> </a:t>
          </a:r>
          <a:endParaRPr lang="en-US" sz="1400">
            <a:effectLst/>
          </a:endParaRPr>
        </a:p>
        <a:p>
          <a:r>
            <a:rPr lang="en-US" sz="1100" b="0" baseline="0">
              <a:solidFill>
                <a:schemeClr val="dk1"/>
              </a:solidFill>
              <a:effectLst/>
              <a:latin typeface="+mn-lt"/>
              <a:ea typeface="+mn-ea"/>
              <a:cs typeface="+mn-cs"/>
            </a:rPr>
            <a:t>4. Marketable securities </a:t>
          </a:r>
          <a:r>
            <a:rPr lang="hu-HU" sz="1100" b="0" baseline="0">
              <a:solidFill>
                <a:schemeClr val="dk1"/>
              </a:solidFill>
              <a:effectLst/>
              <a:latin typeface="+mn-lt"/>
              <a:ea typeface="+mn-ea"/>
              <a:cs typeface="+mn-cs"/>
            </a:rPr>
            <a:t>is non-operating asset.</a:t>
          </a:r>
          <a:endParaRPr lang="en-US" sz="1400">
            <a:effectLst/>
          </a:endParaRPr>
        </a:p>
        <a:p>
          <a:endParaRPr lang="hu-HU" sz="1400" b="0">
            <a:latin typeface="Times New Roman" panose="02020603050405020304" pitchFamily="18" charset="0"/>
            <a:cs typeface="Times New Roman" panose="02020603050405020304" pitchFamily="18"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9524</xdr:colOff>
      <xdr:row>0</xdr:row>
      <xdr:rowOff>38100</xdr:rowOff>
    </xdr:from>
    <xdr:to>
      <xdr:col>7</xdr:col>
      <xdr:colOff>285750</xdr:colOff>
      <xdr:row>5</xdr:row>
      <xdr:rowOff>114300</xdr:rowOff>
    </xdr:to>
    <xdr:sp macro="" textlink="">
      <xdr:nvSpPr>
        <xdr:cNvPr id="2" name="Szövegdoboz 1">
          <a:extLst>
            <a:ext uri="{FF2B5EF4-FFF2-40B4-BE49-F238E27FC236}">
              <a16:creationId xmlns:a16="http://schemas.microsoft.com/office/drawing/2014/main" id="{BF35CFA4-B434-7C4A-AD39-61059021B7CF}"/>
            </a:ext>
          </a:extLst>
        </xdr:cNvPr>
        <xdr:cNvSpPr txBox="1"/>
      </xdr:nvSpPr>
      <xdr:spPr>
        <a:xfrm>
          <a:off x="263524" y="38100"/>
          <a:ext cx="9394826"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Taks 3</a:t>
          </a:r>
        </a:p>
        <a:p>
          <a:r>
            <a:rPr lang="hu-HU" sz="1400" b="0">
              <a:latin typeface="Times New Roman" panose="02020603050405020304" pitchFamily="18" charset="0"/>
              <a:cs typeface="Times New Roman" panose="02020603050405020304" pitchFamily="18" charset="0"/>
            </a:rPr>
            <a:t>Prepare the historical business cash flow of the firm for 2020 and 2021 based on the data provided. </a:t>
          </a:r>
        </a:p>
        <a:p>
          <a:r>
            <a:rPr lang="hu-HU" sz="1400" b="0">
              <a:latin typeface="Times New Roman" panose="02020603050405020304" pitchFamily="18" charset="0"/>
              <a:cs typeface="Times New Roman" panose="02020603050405020304" pitchFamily="18" charset="0"/>
            </a:rPr>
            <a:t>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12</xdr:col>
      <xdr:colOff>17144</xdr:colOff>
      <xdr:row>6</xdr:row>
      <xdr:rowOff>3810</xdr:rowOff>
    </xdr:from>
    <xdr:to>
      <xdr:col>15</xdr:col>
      <xdr:colOff>272415</xdr:colOff>
      <xdr:row>29</xdr:row>
      <xdr:rowOff>32385</xdr:rowOff>
    </xdr:to>
    <xdr:sp macro="" textlink="">
      <xdr:nvSpPr>
        <xdr:cNvPr id="3" name="Szövegdoboz 2">
          <a:extLst>
            <a:ext uri="{FF2B5EF4-FFF2-40B4-BE49-F238E27FC236}">
              <a16:creationId xmlns:a16="http://schemas.microsoft.com/office/drawing/2014/main" id="{F44BAC9C-493C-604C-B5E4-552B53F8DEAA}"/>
            </a:ext>
          </a:extLst>
        </xdr:cNvPr>
        <xdr:cNvSpPr txBox="1"/>
      </xdr:nvSpPr>
      <xdr:spPr>
        <a:xfrm>
          <a:off x="13847444" y="1146810"/>
          <a:ext cx="7837171" cy="4968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List your assumptions here.</a:t>
          </a:r>
        </a:p>
      </xdr:txBody>
    </xdr:sp>
    <xdr:clientData/>
  </xdr:twoCellAnchor>
  <xdr:twoCellAnchor>
    <xdr:from>
      <xdr:col>1</xdr:col>
      <xdr:colOff>9524</xdr:colOff>
      <xdr:row>0</xdr:row>
      <xdr:rowOff>38100</xdr:rowOff>
    </xdr:from>
    <xdr:to>
      <xdr:col>7</xdr:col>
      <xdr:colOff>285750</xdr:colOff>
      <xdr:row>5</xdr:row>
      <xdr:rowOff>114300</xdr:rowOff>
    </xdr:to>
    <xdr:sp macro="" textlink="">
      <xdr:nvSpPr>
        <xdr:cNvPr id="4" name="Szövegdoboz 3">
          <a:extLst>
            <a:ext uri="{FF2B5EF4-FFF2-40B4-BE49-F238E27FC236}">
              <a16:creationId xmlns:a16="http://schemas.microsoft.com/office/drawing/2014/main" id="{E19CAFF8-44CE-BF48-9809-352CD0C938C4}"/>
            </a:ext>
          </a:extLst>
        </xdr:cNvPr>
        <xdr:cNvSpPr txBox="1"/>
      </xdr:nvSpPr>
      <xdr:spPr>
        <a:xfrm>
          <a:off x="263524" y="38100"/>
          <a:ext cx="9394826"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Taks 3</a:t>
          </a:r>
        </a:p>
        <a:p>
          <a:r>
            <a:rPr lang="hu-HU" sz="1400" b="0">
              <a:latin typeface="Times New Roman" panose="02020603050405020304" pitchFamily="18" charset="0"/>
              <a:cs typeface="Times New Roman" panose="02020603050405020304" pitchFamily="18" charset="0"/>
            </a:rPr>
            <a:t>Prepare the historical business cash flow of the firm for 2020 and 2021 based on the data provided. </a:t>
          </a:r>
        </a:p>
        <a:p>
          <a:r>
            <a:rPr lang="hu-HU" sz="1400" b="0">
              <a:latin typeface="Times New Roman" panose="02020603050405020304" pitchFamily="18" charset="0"/>
              <a:cs typeface="Times New Roman" panose="02020603050405020304" pitchFamily="18" charset="0"/>
            </a:rPr>
            <a:t>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66674</xdr:colOff>
      <xdr:row>0</xdr:row>
      <xdr:rowOff>190500</xdr:rowOff>
    </xdr:from>
    <xdr:to>
      <xdr:col>7</xdr:col>
      <xdr:colOff>171450</xdr:colOff>
      <xdr:row>6</xdr:row>
      <xdr:rowOff>66675</xdr:rowOff>
    </xdr:to>
    <xdr:sp macro="" textlink="">
      <xdr:nvSpPr>
        <xdr:cNvPr id="2" name="Szövegdoboz 1">
          <a:extLst>
            <a:ext uri="{FF2B5EF4-FFF2-40B4-BE49-F238E27FC236}">
              <a16:creationId xmlns:a16="http://schemas.microsoft.com/office/drawing/2014/main" id="{D940DF8E-B1E3-A341-8900-70DE22000641}"/>
            </a:ext>
          </a:extLst>
        </xdr:cNvPr>
        <xdr:cNvSpPr txBox="1"/>
      </xdr:nvSpPr>
      <xdr:spPr>
        <a:xfrm>
          <a:off x="765174" y="190500"/>
          <a:ext cx="9020176" cy="1095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66674</xdr:colOff>
      <xdr:row>0</xdr:row>
      <xdr:rowOff>190500</xdr:rowOff>
    </xdr:from>
    <xdr:to>
      <xdr:col>7</xdr:col>
      <xdr:colOff>171450</xdr:colOff>
      <xdr:row>6</xdr:row>
      <xdr:rowOff>66675</xdr:rowOff>
    </xdr:to>
    <xdr:sp macro="" textlink="">
      <xdr:nvSpPr>
        <xdr:cNvPr id="3" name="Szövegdoboz 1">
          <a:extLst>
            <a:ext uri="{FF2B5EF4-FFF2-40B4-BE49-F238E27FC236}">
              <a16:creationId xmlns:a16="http://schemas.microsoft.com/office/drawing/2014/main" id="{06323428-E426-C84C-B286-339A4CC0C51C}"/>
            </a:ext>
          </a:extLst>
        </xdr:cNvPr>
        <xdr:cNvSpPr txBox="1"/>
      </xdr:nvSpPr>
      <xdr:spPr>
        <a:xfrm>
          <a:off x="765174" y="190500"/>
          <a:ext cx="9020176" cy="1095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9524</xdr:colOff>
      <xdr:row>15</xdr:row>
      <xdr:rowOff>38100</xdr:rowOff>
    </xdr:from>
    <xdr:to>
      <xdr:col>7</xdr:col>
      <xdr:colOff>114300</xdr:colOff>
      <xdr:row>20</xdr:row>
      <xdr:rowOff>114300</xdr:rowOff>
    </xdr:to>
    <xdr:sp macro="" textlink="">
      <xdr:nvSpPr>
        <xdr:cNvPr id="2" name="Szövegdoboz 1">
          <a:extLst>
            <a:ext uri="{FF2B5EF4-FFF2-40B4-BE49-F238E27FC236}">
              <a16:creationId xmlns:a16="http://schemas.microsoft.com/office/drawing/2014/main" id="{360B684F-9486-3447-8987-B3E196FFD29E}"/>
            </a:ext>
          </a:extLst>
        </xdr:cNvPr>
        <xdr:cNvSpPr txBox="1"/>
      </xdr:nvSpPr>
      <xdr:spPr>
        <a:xfrm>
          <a:off x="708024" y="3136900"/>
          <a:ext cx="8601076" cy="1092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(15 points)</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9524</xdr:colOff>
      <xdr:row>15</xdr:row>
      <xdr:rowOff>38100</xdr:rowOff>
    </xdr:from>
    <xdr:to>
      <xdr:col>7</xdr:col>
      <xdr:colOff>114300</xdr:colOff>
      <xdr:row>20</xdr:row>
      <xdr:rowOff>114300</xdr:rowOff>
    </xdr:to>
    <xdr:sp macro="" textlink="">
      <xdr:nvSpPr>
        <xdr:cNvPr id="2" name="Szövegdoboz 1">
          <a:extLst>
            <a:ext uri="{FF2B5EF4-FFF2-40B4-BE49-F238E27FC236}">
              <a16:creationId xmlns:a16="http://schemas.microsoft.com/office/drawing/2014/main" id="{CA0A5A94-AA4A-E547-9B1F-FB2469D80714}"/>
            </a:ext>
          </a:extLst>
        </xdr:cNvPr>
        <xdr:cNvSpPr txBox="1"/>
      </xdr:nvSpPr>
      <xdr:spPr>
        <a:xfrm>
          <a:off x="682624" y="3238500"/>
          <a:ext cx="9032876"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(12 points)</a:t>
          </a:r>
        </a:p>
      </xdr:txBody>
    </xdr:sp>
    <xdr:clientData/>
  </xdr:twoCellAnchor>
  <xdr:twoCellAnchor>
    <xdr:from>
      <xdr:col>1</xdr:col>
      <xdr:colOff>1</xdr:colOff>
      <xdr:row>10</xdr:row>
      <xdr:rowOff>9525</xdr:rowOff>
    </xdr:from>
    <xdr:to>
      <xdr:col>7</xdr:col>
      <xdr:colOff>142876</xdr:colOff>
      <xdr:row>14</xdr:row>
      <xdr:rowOff>152400</xdr:rowOff>
    </xdr:to>
    <xdr:sp macro="" textlink="">
      <xdr:nvSpPr>
        <xdr:cNvPr id="3" name="Szövegdoboz 2">
          <a:extLst>
            <a:ext uri="{FF2B5EF4-FFF2-40B4-BE49-F238E27FC236}">
              <a16:creationId xmlns:a16="http://schemas.microsoft.com/office/drawing/2014/main" id="{C532D365-2857-3448-8F10-8247B8D941D4}"/>
            </a:ext>
          </a:extLst>
        </xdr:cNvPr>
        <xdr:cNvSpPr txBox="1"/>
      </xdr:nvSpPr>
      <xdr:spPr>
        <a:xfrm>
          <a:off x="673101" y="2257425"/>
          <a:ext cx="9070975" cy="904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14</xdr:col>
      <xdr:colOff>311150</xdr:colOff>
      <xdr:row>0</xdr:row>
      <xdr:rowOff>197938</xdr:rowOff>
    </xdr:from>
    <xdr:to>
      <xdr:col>25</xdr:col>
      <xdr:colOff>7620</xdr:colOff>
      <xdr:row>22</xdr:row>
      <xdr:rowOff>30480</xdr:rowOff>
    </xdr:to>
    <xdr:sp macro="" textlink="">
      <xdr:nvSpPr>
        <xdr:cNvPr id="2" name="Szövegdoboz 1">
          <a:extLst>
            <a:ext uri="{FF2B5EF4-FFF2-40B4-BE49-F238E27FC236}">
              <a16:creationId xmlns:a16="http://schemas.microsoft.com/office/drawing/2014/main" id="{32E2C8F5-1A2E-874B-BE23-8578BD99EAD4}"/>
            </a:ext>
          </a:extLst>
        </xdr:cNvPr>
        <xdr:cNvSpPr txBox="1"/>
      </xdr:nvSpPr>
      <xdr:spPr>
        <a:xfrm>
          <a:off x="13506450" y="197938"/>
          <a:ext cx="7659370" cy="43029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Inheriting a Kebab Shop</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had an excellent personal connection to his grandfather, who arrived in Central Europe two decades ago. By now, he has established a small self-service restaurant called “The Kebab Shop”, selling Turkish and Arabic food in a big city some 100 kilometres away from the capital. As a child, John spent most of his time with his grandmother while his parents worked as doctors, sometimes even at night. The grandparents lived in a flat just above their small restaurant, often working more than 10 hours daily in the shop. Thus, John grew up there and was involved in operational activities early on. </a:t>
          </a:r>
          <a:endParaRPr lang="hu-HU" sz="1100">
            <a:solidFill>
              <a:schemeClr val="dk1"/>
            </a:solidFill>
            <a:effectLst/>
            <a:latin typeface="+mn-lt"/>
            <a:ea typeface="+mn-ea"/>
            <a:cs typeface="+mn-cs"/>
          </a:endParaRPr>
        </a:p>
        <a:p>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While John learned how to manage a restaurant based on his real-life experience, he also gained a BA in Hotel management. During the last few years, the health of his grandparents deteriorated, and recently, on his grandfather’s 70</a:t>
          </a:r>
          <a:r>
            <a:rPr lang="en-GB" sz="1100" baseline="30000">
              <a:solidFill>
                <a:schemeClr val="dk1"/>
              </a:solidFill>
              <a:effectLst/>
              <a:latin typeface="+mn-lt"/>
              <a:ea typeface="+mn-ea"/>
              <a:cs typeface="+mn-cs"/>
            </a:rPr>
            <a:t>th</a:t>
          </a:r>
          <a:r>
            <a:rPr lang="en-GB" sz="1100">
              <a:solidFill>
                <a:schemeClr val="dk1"/>
              </a:solidFill>
              <a:effectLst/>
              <a:latin typeface="+mn-lt"/>
              <a:ea typeface="+mn-ea"/>
              <a:cs typeface="+mn-cs"/>
            </a:rPr>
            <a:t> birthday, Grandpa asked him to take over the daily management of the shop and made the impression that it might be John who would inherit the ownership of the shop sooner or later. John started his work as a CEO by analysing historical statements and setting up a new financial plan for the future. You see the data collected and predicted below.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Review the financial plan and give an overview of what the new strategy may look like.</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Predict the financial statements of the company. (Assume 360-day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How much dividend can be paid in each of the years? (Assume that additional equity need is covered using retained earnings if possible.)</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Calculate the business cash flow for all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5. </a:t>
          </a:r>
          <a:r>
            <a:rPr lang="en-GB" sz="1100">
              <a:solidFill>
                <a:schemeClr val="dk1"/>
              </a:solidFill>
              <a:effectLst/>
              <a:latin typeface="+mn-lt"/>
              <a:ea typeface="+mn-ea"/>
              <a:cs typeface="+mn-cs"/>
            </a:rPr>
            <a:t>Quantify the value drivers both historically and for the predicted years.</a:t>
          </a:r>
          <a:endParaRPr lang="hu-HU" sz="1100">
            <a:solidFill>
              <a:schemeClr val="dk1"/>
            </a:solidFill>
            <a:effectLst/>
            <a:latin typeface="+mn-lt"/>
            <a:ea typeface="+mn-ea"/>
            <a:cs typeface="+mn-cs"/>
          </a:endParaRPr>
        </a:p>
        <a:p>
          <a:endParaRPr lang="hu-HU" sz="1100"/>
        </a:p>
      </xdr:txBody>
    </xdr:sp>
    <xdr:clientData/>
  </xdr:twoCellAnchor>
  <xdr:twoCellAnchor>
    <xdr:from>
      <xdr:col>14</xdr:col>
      <xdr:colOff>311150</xdr:colOff>
      <xdr:row>0</xdr:row>
      <xdr:rowOff>197938</xdr:rowOff>
    </xdr:from>
    <xdr:to>
      <xdr:col>25</xdr:col>
      <xdr:colOff>7620</xdr:colOff>
      <xdr:row>22</xdr:row>
      <xdr:rowOff>30480</xdr:rowOff>
    </xdr:to>
    <xdr:sp macro="" textlink="">
      <xdr:nvSpPr>
        <xdr:cNvPr id="3" name="Szövegdoboz 1">
          <a:extLst>
            <a:ext uri="{FF2B5EF4-FFF2-40B4-BE49-F238E27FC236}">
              <a16:creationId xmlns:a16="http://schemas.microsoft.com/office/drawing/2014/main" id="{B35189EE-15CE-5544-A33E-74ED75254832}"/>
            </a:ext>
          </a:extLst>
        </xdr:cNvPr>
        <xdr:cNvSpPr txBox="1"/>
      </xdr:nvSpPr>
      <xdr:spPr>
        <a:xfrm>
          <a:off x="13506450" y="197938"/>
          <a:ext cx="7659370" cy="43029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Inheriting a Kebab Shop</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had an excellent personal connection to his grandfather, who arrived in Central Europe two decades ago. By now, he has established a small self-service restaurant called “The Kebab Shop”, selling Turkish and Arabic food in a big city some 100 kilometres away from the capital. As a child, John spent most of his time with his grandmother while his parents worked as doctors, sometimes even at night. The grandparents lived in a flat just above their small restaurant, often working more than 10 hours daily in the shop. Thus, John grew up there and was involved in operational activities early on. </a:t>
          </a:r>
          <a:endParaRPr lang="hu-HU" sz="1100">
            <a:solidFill>
              <a:schemeClr val="dk1"/>
            </a:solidFill>
            <a:effectLst/>
            <a:latin typeface="+mn-lt"/>
            <a:ea typeface="+mn-ea"/>
            <a:cs typeface="+mn-cs"/>
          </a:endParaRPr>
        </a:p>
        <a:p>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While John learned how to manage a restaurant based on his real-life experience, he also gained a BA in Hotel management. During the last few years, the health of his grandparents deteriorated, and recently, on his grandfather’s 70</a:t>
          </a:r>
          <a:r>
            <a:rPr lang="en-GB" sz="1100" baseline="30000">
              <a:solidFill>
                <a:schemeClr val="dk1"/>
              </a:solidFill>
              <a:effectLst/>
              <a:latin typeface="+mn-lt"/>
              <a:ea typeface="+mn-ea"/>
              <a:cs typeface="+mn-cs"/>
            </a:rPr>
            <a:t>th</a:t>
          </a:r>
          <a:r>
            <a:rPr lang="en-GB" sz="1100">
              <a:solidFill>
                <a:schemeClr val="dk1"/>
              </a:solidFill>
              <a:effectLst/>
              <a:latin typeface="+mn-lt"/>
              <a:ea typeface="+mn-ea"/>
              <a:cs typeface="+mn-cs"/>
            </a:rPr>
            <a:t> birthday, Grandpa asked him to take over the daily management of the shop and made the impression that it might be John who would inherit the ownership of the shop sooner or later. John started his work as a CEO by analysing historical statements and setting up a new financial plan for the future. You see the data collected and predicted below.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Review the financial plan and give an overview of what the new strategy may look like.</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Predict the financial statements of the company. (Assume 360-day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How much dividend can be paid in each of the years? (Assume that additional equity need is covered using retained earnings if possible.)</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Calculate the business cash flow for all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5. </a:t>
          </a:r>
          <a:r>
            <a:rPr lang="en-GB" sz="1100">
              <a:solidFill>
                <a:schemeClr val="dk1"/>
              </a:solidFill>
              <a:effectLst/>
              <a:latin typeface="+mn-lt"/>
              <a:ea typeface="+mn-ea"/>
              <a:cs typeface="+mn-cs"/>
            </a:rPr>
            <a:t>Quantify the value drivers both historically and for the predicted years.</a:t>
          </a:r>
          <a:endParaRPr lang="hu-HU" sz="1100">
            <a:solidFill>
              <a:schemeClr val="dk1"/>
            </a:solidFill>
            <a:effectLst/>
            <a:latin typeface="+mn-lt"/>
            <a:ea typeface="+mn-ea"/>
            <a:cs typeface="+mn-cs"/>
          </a:endParaRPr>
        </a:p>
        <a:p>
          <a:endParaRPr lang="hu-HU"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402404</xdr:colOff>
      <xdr:row>30</xdr:row>
      <xdr:rowOff>119865</xdr:rowOff>
    </xdr:from>
    <xdr:to>
      <xdr:col>11</xdr:col>
      <xdr:colOff>2106256</xdr:colOff>
      <xdr:row>31</xdr:row>
      <xdr:rowOff>201098</xdr:rowOff>
    </xdr:to>
    <xdr:pic>
      <xdr:nvPicPr>
        <xdr:cNvPr id="2" name="Picture 1">
          <a:extLst>
            <a:ext uri="{FF2B5EF4-FFF2-40B4-BE49-F238E27FC236}">
              <a16:creationId xmlns:a16="http://schemas.microsoft.com/office/drawing/2014/main" id="{FB9BB9EB-2241-BE4E-8A55-6D4DD94C5EEF}"/>
            </a:ext>
          </a:extLst>
        </xdr:cNvPr>
        <xdr:cNvPicPr>
          <a:picLocks noChangeAspect="1"/>
        </xdr:cNvPicPr>
      </xdr:nvPicPr>
      <xdr:blipFill>
        <a:blip xmlns:r="http://schemas.openxmlformats.org/officeDocument/2006/relationships" r:embed="rId1"/>
        <a:stretch>
          <a:fillRect/>
        </a:stretch>
      </xdr:blipFill>
      <xdr:spPr>
        <a:xfrm>
          <a:off x="13927904" y="6215865"/>
          <a:ext cx="2656352" cy="297133"/>
        </a:xfrm>
        <a:prstGeom prst="rect">
          <a:avLst/>
        </a:prstGeom>
      </xdr:spPr>
    </xdr:pic>
    <xdr:clientData/>
  </xdr:twoCellAnchor>
  <xdr:twoCellAnchor editAs="oneCell">
    <xdr:from>
      <xdr:col>10</xdr:col>
      <xdr:colOff>443593</xdr:colOff>
      <xdr:row>28</xdr:row>
      <xdr:rowOff>94525</xdr:rowOff>
    </xdr:from>
    <xdr:to>
      <xdr:col>11</xdr:col>
      <xdr:colOff>1263435</xdr:colOff>
      <xdr:row>30</xdr:row>
      <xdr:rowOff>84259</xdr:rowOff>
    </xdr:to>
    <xdr:pic>
      <xdr:nvPicPr>
        <xdr:cNvPr id="3" name="Picture 2">
          <a:extLst>
            <a:ext uri="{FF2B5EF4-FFF2-40B4-BE49-F238E27FC236}">
              <a16:creationId xmlns:a16="http://schemas.microsoft.com/office/drawing/2014/main" id="{9FA24246-5FDB-D841-9EE5-22433C00BDE8}"/>
            </a:ext>
          </a:extLst>
        </xdr:cNvPr>
        <xdr:cNvPicPr>
          <a:picLocks noChangeAspect="1"/>
        </xdr:cNvPicPr>
      </xdr:nvPicPr>
      <xdr:blipFill>
        <a:blip xmlns:r="http://schemas.openxmlformats.org/officeDocument/2006/relationships" r:embed="rId2"/>
        <a:stretch>
          <a:fillRect/>
        </a:stretch>
      </xdr:blipFill>
      <xdr:spPr>
        <a:xfrm>
          <a:off x="13969093" y="5784125"/>
          <a:ext cx="1619942" cy="396134"/>
        </a:xfrm>
        <a:prstGeom prst="rect">
          <a:avLst/>
        </a:prstGeom>
      </xdr:spPr>
    </xdr:pic>
    <xdr:clientData/>
  </xdr:twoCellAnchor>
  <xdr:twoCellAnchor editAs="oneCell">
    <xdr:from>
      <xdr:col>11</xdr:col>
      <xdr:colOff>1851</xdr:colOff>
      <xdr:row>26</xdr:row>
      <xdr:rowOff>142028</xdr:rowOff>
    </xdr:from>
    <xdr:to>
      <xdr:col>11</xdr:col>
      <xdr:colOff>1030653</xdr:colOff>
      <xdr:row>28</xdr:row>
      <xdr:rowOff>126657</xdr:rowOff>
    </xdr:to>
    <xdr:pic>
      <xdr:nvPicPr>
        <xdr:cNvPr id="4" name="Picture 3">
          <a:extLst>
            <a:ext uri="{FF2B5EF4-FFF2-40B4-BE49-F238E27FC236}">
              <a16:creationId xmlns:a16="http://schemas.microsoft.com/office/drawing/2014/main" id="{D6F849DC-6060-384D-AFD7-30D1316A746D}"/>
            </a:ext>
          </a:extLst>
        </xdr:cNvPr>
        <xdr:cNvPicPr>
          <a:picLocks noChangeAspect="1"/>
        </xdr:cNvPicPr>
      </xdr:nvPicPr>
      <xdr:blipFill rotWithShape="1">
        <a:blip xmlns:r="http://schemas.openxmlformats.org/officeDocument/2006/relationships" r:embed="rId3"/>
        <a:srcRect t="9238"/>
        <a:stretch/>
      </xdr:blipFill>
      <xdr:spPr>
        <a:xfrm>
          <a:off x="14022651" y="5425228"/>
          <a:ext cx="1181202" cy="391029"/>
        </a:xfrm>
        <a:prstGeom prst="rect">
          <a:avLst/>
        </a:prstGeom>
      </xdr:spPr>
    </xdr:pic>
    <xdr:clientData/>
  </xdr:twoCellAnchor>
  <xdr:twoCellAnchor editAs="oneCell">
    <xdr:from>
      <xdr:col>10</xdr:col>
      <xdr:colOff>403994</xdr:colOff>
      <xdr:row>24</xdr:row>
      <xdr:rowOff>118213</xdr:rowOff>
    </xdr:from>
    <xdr:to>
      <xdr:col>11</xdr:col>
      <xdr:colOff>1315284</xdr:colOff>
      <xdr:row>26</xdr:row>
      <xdr:rowOff>106380</xdr:rowOff>
    </xdr:to>
    <xdr:pic>
      <xdr:nvPicPr>
        <xdr:cNvPr id="5" name="Picture 4">
          <a:extLst>
            <a:ext uri="{FF2B5EF4-FFF2-40B4-BE49-F238E27FC236}">
              <a16:creationId xmlns:a16="http://schemas.microsoft.com/office/drawing/2014/main" id="{31D444D3-0742-C844-B057-26785BD8B05E}"/>
            </a:ext>
          </a:extLst>
        </xdr:cNvPr>
        <xdr:cNvPicPr>
          <a:picLocks noChangeAspect="1"/>
        </xdr:cNvPicPr>
      </xdr:nvPicPr>
      <xdr:blipFill>
        <a:blip xmlns:r="http://schemas.openxmlformats.org/officeDocument/2006/relationships" r:embed="rId4"/>
        <a:stretch>
          <a:fillRect/>
        </a:stretch>
      </xdr:blipFill>
      <xdr:spPr>
        <a:xfrm>
          <a:off x="13929494" y="4995013"/>
          <a:ext cx="1711390" cy="394567"/>
        </a:xfrm>
        <a:prstGeom prst="rect">
          <a:avLst/>
        </a:prstGeom>
      </xdr:spPr>
    </xdr:pic>
    <xdr:clientData/>
  </xdr:twoCellAnchor>
  <xdr:twoCellAnchor editAs="oneCell">
    <xdr:from>
      <xdr:col>11</xdr:col>
      <xdr:colOff>1623744</xdr:colOff>
      <xdr:row>28</xdr:row>
      <xdr:rowOff>16329</xdr:rowOff>
    </xdr:from>
    <xdr:to>
      <xdr:col>11</xdr:col>
      <xdr:colOff>2511297</xdr:colOff>
      <xdr:row>29</xdr:row>
      <xdr:rowOff>177786</xdr:rowOff>
    </xdr:to>
    <xdr:pic>
      <xdr:nvPicPr>
        <xdr:cNvPr id="6" name="Picture 5">
          <a:extLst>
            <a:ext uri="{FF2B5EF4-FFF2-40B4-BE49-F238E27FC236}">
              <a16:creationId xmlns:a16="http://schemas.microsoft.com/office/drawing/2014/main" id="{AE9CB55B-957F-5349-95F6-BB151AA38016}"/>
            </a:ext>
          </a:extLst>
        </xdr:cNvPr>
        <xdr:cNvPicPr>
          <a:picLocks noChangeAspect="1"/>
        </xdr:cNvPicPr>
      </xdr:nvPicPr>
      <xdr:blipFill>
        <a:blip xmlns:r="http://schemas.openxmlformats.org/officeDocument/2006/relationships" r:embed="rId5"/>
        <a:stretch>
          <a:fillRect/>
        </a:stretch>
      </xdr:blipFill>
      <xdr:spPr>
        <a:xfrm>
          <a:off x="15644544" y="5705929"/>
          <a:ext cx="1039953" cy="364657"/>
        </a:xfrm>
        <a:prstGeom prst="rect">
          <a:avLst/>
        </a:prstGeom>
      </xdr:spPr>
    </xdr:pic>
    <xdr:clientData/>
  </xdr:twoCellAnchor>
  <xdr:twoCellAnchor editAs="oneCell">
    <xdr:from>
      <xdr:col>11</xdr:col>
      <xdr:colOff>1300967</xdr:colOff>
      <xdr:row>26</xdr:row>
      <xdr:rowOff>114302</xdr:rowOff>
    </xdr:from>
    <xdr:to>
      <xdr:col>11</xdr:col>
      <xdr:colOff>2136509</xdr:colOff>
      <xdr:row>28</xdr:row>
      <xdr:rowOff>68684</xdr:rowOff>
    </xdr:to>
    <xdr:pic>
      <xdr:nvPicPr>
        <xdr:cNvPr id="7" name="Picture 6">
          <a:extLst>
            <a:ext uri="{FF2B5EF4-FFF2-40B4-BE49-F238E27FC236}">
              <a16:creationId xmlns:a16="http://schemas.microsoft.com/office/drawing/2014/main" id="{750E8C24-0B45-9144-96EE-BE166367C38B}"/>
            </a:ext>
          </a:extLst>
        </xdr:cNvPr>
        <xdr:cNvPicPr>
          <a:picLocks noChangeAspect="1"/>
        </xdr:cNvPicPr>
      </xdr:nvPicPr>
      <xdr:blipFill>
        <a:blip xmlns:r="http://schemas.openxmlformats.org/officeDocument/2006/relationships" r:embed="rId6"/>
        <a:stretch>
          <a:fillRect/>
        </a:stretch>
      </xdr:blipFill>
      <xdr:spPr>
        <a:xfrm>
          <a:off x="15321767" y="5397502"/>
          <a:ext cx="987942" cy="36078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nicorvinus-my.sharepoint.com/personal/mridul_bangani_stud_uni-corvinus_hu/Documents/MSc%20Finance/Sem%203/ABV/Exam%20material/ABVSampleExam2021AugWithoutSolution.xlsx" TargetMode="External"/><Relationship Id="rId1" Type="http://schemas.openxmlformats.org/officeDocument/2006/relationships/externalLinkPath" Target="https://unicorvinus-my.sharepoint.com/personal/mridul_bangani_stud_uni-corvinus_hu/Documents/MSc%20Finance/Sem%203/ABV/Exam%20material/Final%20folder%20for%20exam/Exam%20material/ABVSampleExam2021AugWithoutSolutio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unicorvinus-my.sharepoint.com/personal/mridul_bangani_stud_uni-corvinus_hu/Documents/MSc%20Finance/Sem%203/ABV/Exam%20material/Exam_12.12_Aya.xlsx" TargetMode="External"/><Relationship Id="rId1" Type="http://schemas.openxmlformats.org/officeDocument/2006/relationships/externalLinkPath" Target="https://unicorvinus-my.sharepoint.com/personal/mridul_bangani_stud_uni-corvinus_hu/Documents/MSc%20Finance/Sem%203/ABV/Exam%20material/Final%20folder%20for%20exam/Exam%20material/Exam_12.12_Ay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nicorvinus-my.sharepoint.com/Users/b/Desktop/ABV1Exam_Moi.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corvinus-my.sharepoint.com/Users/b/Desktop/ABV2Exam_Moi.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icorvinus-my.sharepoint.com/Users/b/Desktop/Year-End/AppBusinessValuation3Exam%20task%20solv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Page"/>
      <sheetName val="Admin"/>
      <sheetName val="Task 1"/>
      <sheetName val="Task 2"/>
      <sheetName val="Task 3"/>
      <sheetName val="Task 4"/>
      <sheetName val="Task 5"/>
      <sheetName val="Sample theoretical questions"/>
    </sheetNames>
    <sheetDataSet>
      <sheetData sheetId="0" refreshError="1"/>
      <sheetData sheetId="1">
        <row r="12">
          <cell r="C12" t="str">
            <v>Date</v>
          </cell>
          <cell r="D12">
            <v>44538</v>
          </cell>
        </row>
        <row r="13">
          <cell r="C13" t="str">
            <v>Student name</v>
          </cell>
          <cell r="D13" t="str">
            <v>Sam Sample</v>
          </cell>
        </row>
        <row r="14">
          <cell r="C14" t="str">
            <v>Neptun code</v>
          </cell>
          <cell r="D14" t="str">
            <v>ABCD1234</v>
          </cell>
        </row>
        <row r="16">
          <cell r="C16" t="str">
            <v>Study program</v>
          </cell>
          <cell r="D16" t="str">
            <v>Master in Finance</v>
          </cell>
        </row>
        <row r="17">
          <cell r="C17" t="str">
            <v>Instructor</v>
          </cell>
          <cell r="D17" t="str">
            <v>Péter Juhász, PhD, CFA</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Page"/>
      <sheetName val="Admin"/>
      <sheetName val="Task 1"/>
      <sheetName val="Task 2"/>
      <sheetName val="Task 3"/>
      <sheetName val="Task 4"/>
      <sheetName val="Task 5"/>
      <sheetName val="Bonus Task"/>
    </sheetNames>
    <sheetDataSet>
      <sheetData sheetId="0" refreshError="1"/>
      <sheetData sheetId="1">
        <row r="12">
          <cell r="C12" t="str">
            <v>Date</v>
          </cell>
          <cell r="D12">
            <v>45272</v>
          </cell>
        </row>
        <row r="13">
          <cell r="C13" t="str">
            <v>Student name</v>
          </cell>
        </row>
        <row r="14">
          <cell r="C14" t="str">
            <v>Neptun code</v>
          </cell>
        </row>
        <row r="16">
          <cell r="C16" t="str">
            <v>Study program</v>
          </cell>
          <cell r="D16" t="str">
            <v>Master in Finance</v>
          </cell>
        </row>
        <row r="17">
          <cell r="C17" t="str">
            <v>Instructor</v>
          </cell>
          <cell r="D17" t="str">
            <v>Péter Juhász, PhD, CFA</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ningPage"/>
      <sheetName val="Admin"/>
      <sheetName val="Task 1"/>
      <sheetName val="Task 2"/>
      <sheetName val="Task 3"/>
      <sheetName val="Task 4"/>
      <sheetName val="Task 5"/>
      <sheetName val="Task 6"/>
    </sheetNames>
    <sheetDataSet>
      <sheetData sheetId="0" refreshError="1"/>
      <sheetData sheetId="1" refreshError="1">
        <row r="12">
          <cell r="C12" t="str">
            <v>Date</v>
          </cell>
          <cell r="D12">
            <v>44187</v>
          </cell>
        </row>
        <row r="13">
          <cell r="C13" t="str">
            <v>Student name</v>
          </cell>
          <cell r="D13" t="str">
            <v>Balsam Khalaf</v>
          </cell>
        </row>
        <row r="14">
          <cell r="C14" t="str">
            <v>Neptun code</v>
          </cell>
          <cell r="D14" t="str">
            <v>HA86QX</v>
          </cell>
        </row>
        <row r="16">
          <cell r="C16" t="str">
            <v>Study program</v>
          </cell>
          <cell r="D16" t="str">
            <v>Master in Finance</v>
          </cell>
        </row>
        <row r="17">
          <cell r="C17" t="str">
            <v>Instructor</v>
          </cell>
          <cell r="D17" t="str">
            <v>Péter Juhász, PhD, CFA</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ningPage"/>
      <sheetName val="Admin"/>
      <sheetName val="Task 1"/>
      <sheetName val="Task 2"/>
      <sheetName val="Task 3"/>
      <sheetName val="Task 4"/>
      <sheetName val="Task 5"/>
      <sheetName val="Task 6"/>
    </sheetNames>
    <sheetDataSet>
      <sheetData sheetId="0" refreshError="1"/>
      <sheetData sheetId="1" refreshError="1">
        <row r="12">
          <cell r="C12" t="str">
            <v>Date</v>
          </cell>
          <cell r="D12">
            <v>44201</v>
          </cell>
        </row>
        <row r="13">
          <cell r="C13" t="str">
            <v>Student name</v>
          </cell>
          <cell r="D13" t="str">
            <v>Balsam Khalaf</v>
          </cell>
        </row>
        <row r="14">
          <cell r="C14" t="str">
            <v>Neptun code</v>
          </cell>
          <cell r="D14" t="str">
            <v>HA86QX</v>
          </cell>
        </row>
        <row r="16">
          <cell r="C16" t="str">
            <v>Study program</v>
          </cell>
          <cell r="D16" t="str">
            <v>Master in Finance</v>
          </cell>
        </row>
        <row r="17">
          <cell r="C17" t="str">
            <v>Instructor</v>
          </cell>
          <cell r="D17" t="str">
            <v>Péter Juhász, PhD, CFA</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ningPage"/>
      <sheetName val="Admin"/>
      <sheetName val="Task 1"/>
      <sheetName val="Task 2"/>
      <sheetName val="Task 3"/>
      <sheetName val="Task 4"/>
      <sheetName val="Task 5"/>
    </sheetNames>
    <sheetDataSet>
      <sheetData sheetId="0" refreshError="1"/>
      <sheetData sheetId="1" refreshError="1">
        <row r="12">
          <cell r="C12" t="str">
            <v>Date</v>
          </cell>
          <cell r="D12">
            <v>44208</v>
          </cell>
        </row>
        <row r="13">
          <cell r="C13" t="str">
            <v>Student name</v>
          </cell>
          <cell r="D13" t="str">
            <v>Sam Sample</v>
          </cell>
        </row>
        <row r="14">
          <cell r="C14" t="str">
            <v>Neptun code</v>
          </cell>
          <cell r="D14" t="str">
            <v>ABCD1234</v>
          </cell>
        </row>
        <row r="16">
          <cell r="C16" t="str">
            <v>Study program</v>
          </cell>
          <cell r="D16" t="str">
            <v>Master in Finance</v>
          </cell>
        </row>
        <row r="17">
          <cell r="C17" t="str">
            <v>Instructor</v>
          </cell>
          <cell r="D17" t="str">
            <v>Péter Juhász, PhD, CFA</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D7F53-77E6-B146-938E-1C614CFD9384}">
  <sheetPr codeName="Sheet1">
    <tabColor theme="9"/>
  </sheetPr>
  <dimension ref="B1:T66"/>
  <sheetViews>
    <sheetView topLeftCell="A28" workbookViewId="0">
      <selection activeCell="D45" sqref="D45"/>
    </sheetView>
  </sheetViews>
  <sheetFormatPr baseColWidth="10" defaultColWidth="8.83203125" defaultRowHeight="16"/>
  <cols>
    <col min="2" max="2" width="38.33203125" bestFit="1" customWidth="1"/>
    <col min="3" max="3" width="37.1640625" bestFit="1" customWidth="1"/>
    <col min="5" max="5" width="9.1640625" bestFit="1" customWidth="1"/>
    <col min="10" max="10" width="9.83203125" customWidth="1"/>
    <col min="12" max="12" width="23.5" bestFit="1" customWidth="1"/>
    <col min="13" max="13" width="13.1640625" bestFit="1" customWidth="1"/>
    <col min="14" max="14" width="9.1640625" bestFit="1" customWidth="1"/>
  </cols>
  <sheetData>
    <row r="1" spans="2:3" ht="17" thickBot="1"/>
    <row r="2" spans="2:3" ht="18">
      <c r="B2" s="1" t="str">
        <f>+[1]Admin!C12</f>
        <v>Date</v>
      </c>
      <c r="C2" s="2">
        <f>+[1]Admin!D12</f>
        <v>44538</v>
      </c>
    </row>
    <row r="3" spans="2:3" ht="18">
      <c r="B3" s="3" t="str">
        <f>+[1]Admin!C13</f>
        <v>Student name</v>
      </c>
      <c r="C3" s="4" t="str">
        <f>+[1]Admin!D13</f>
        <v>Sam Sample</v>
      </c>
    </row>
    <row r="4" spans="2:3" ht="18">
      <c r="B4" s="3" t="str">
        <f>+[1]Admin!C14</f>
        <v>Neptun code</v>
      </c>
      <c r="C4" s="4" t="str">
        <f>+[1]Admin!D14</f>
        <v>ABCD1234</v>
      </c>
    </row>
    <row r="5" spans="2:3" ht="18">
      <c r="B5" s="3"/>
      <c r="C5" s="5"/>
    </row>
    <row r="6" spans="2:3" ht="18">
      <c r="B6" s="3" t="str">
        <f>+[1]Admin!C16</f>
        <v>Study program</v>
      </c>
      <c r="C6" s="5" t="str">
        <f>+[1]Admin!D16</f>
        <v>Master in Finance</v>
      </c>
    </row>
    <row r="7" spans="2:3" ht="19" thickBot="1">
      <c r="B7" s="6" t="str">
        <f>+[1]Admin!C17</f>
        <v>Instructor</v>
      </c>
      <c r="C7" s="7" t="str">
        <f>+[1]Admin!D17</f>
        <v>Péter Juhász, PhD, CFA</v>
      </c>
    </row>
    <row r="8" spans="2:3" ht="17" thickBot="1"/>
    <row r="9" spans="2:3" ht="21" thickBot="1">
      <c r="B9" s="8" t="s">
        <v>0</v>
      </c>
      <c r="C9" s="9"/>
    </row>
    <row r="22" spans="3:20">
      <c r="M22" s="11"/>
      <c r="N22" s="11"/>
      <c r="O22" s="11"/>
      <c r="P22" s="11"/>
      <c r="Q22" s="11"/>
      <c r="R22" s="11"/>
      <c r="S22" s="11"/>
    </row>
    <row r="23" spans="3:20">
      <c r="D23" s="10">
        <v>2022</v>
      </c>
      <c r="E23" s="11">
        <f>+D23+1</f>
        <v>2023</v>
      </c>
      <c r="F23" s="11">
        <f t="shared" ref="F23:J23" si="0">+E23+1</f>
        <v>2024</v>
      </c>
      <c r="G23" s="11">
        <f t="shared" si="0"/>
        <v>2025</v>
      </c>
      <c r="H23" s="11">
        <f t="shared" si="0"/>
        <v>2026</v>
      </c>
      <c r="I23" s="11">
        <f t="shared" si="0"/>
        <v>2027</v>
      </c>
      <c r="J23" s="11">
        <f t="shared" si="0"/>
        <v>2028</v>
      </c>
      <c r="M23" s="12"/>
      <c r="N23" s="11"/>
      <c r="O23" s="11"/>
      <c r="P23" s="11"/>
      <c r="Q23" s="11"/>
      <c r="R23" s="11"/>
      <c r="S23" s="11"/>
      <c r="T23" s="11"/>
    </row>
    <row r="24" spans="3:20">
      <c r="C24" s="75" t="s">
        <v>1</v>
      </c>
      <c r="D24" s="76">
        <v>10000</v>
      </c>
      <c r="E24" s="12">
        <f>D24+D25</f>
        <v>11500</v>
      </c>
      <c r="F24" s="12">
        <f t="shared" ref="F24:J24" si="1">E24+E25</f>
        <v>13500</v>
      </c>
      <c r="G24" s="12">
        <f t="shared" si="1"/>
        <v>15100</v>
      </c>
      <c r="H24" s="12">
        <f t="shared" si="1"/>
        <v>18600</v>
      </c>
      <c r="I24" s="12">
        <f t="shared" si="1"/>
        <v>19800</v>
      </c>
      <c r="J24" s="12">
        <f t="shared" si="1"/>
        <v>23800</v>
      </c>
      <c r="K24" s="12">
        <f>J24+J25</f>
        <v>25300</v>
      </c>
      <c r="M24" s="12"/>
      <c r="N24" s="41"/>
      <c r="O24" s="41"/>
      <c r="P24" s="41"/>
      <c r="Q24" s="41"/>
      <c r="R24" s="41"/>
      <c r="S24" s="41"/>
    </row>
    <row r="25" spans="3:20">
      <c r="C25" s="75" t="s">
        <v>2</v>
      </c>
      <c r="D25" s="76">
        <v>1500</v>
      </c>
      <c r="E25" s="76">
        <v>2000</v>
      </c>
      <c r="F25" s="76">
        <v>1600</v>
      </c>
      <c r="G25" s="76">
        <v>3500</v>
      </c>
      <c r="H25" s="76">
        <v>1200</v>
      </c>
      <c r="I25" s="76">
        <v>4000</v>
      </c>
      <c r="J25" s="76">
        <v>1500</v>
      </c>
      <c r="M25" s="41"/>
      <c r="N25" s="41"/>
      <c r="O25" s="41"/>
      <c r="P25" s="41"/>
      <c r="Q25" s="41"/>
      <c r="R25" s="41"/>
      <c r="S25" s="41"/>
    </row>
    <row r="26" spans="3:20">
      <c r="C26" s="75" t="s">
        <v>3</v>
      </c>
      <c r="D26" s="76">
        <v>10000</v>
      </c>
      <c r="E26" s="76">
        <v>12000</v>
      </c>
      <c r="F26" s="76">
        <v>14000</v>
      </c>
      <c r="G26" s="76">
        <v>16000</v>
      </c>
      <c r="H26" s="76">
        <v>18000</v>
      </c>
      <c r="I26" s="76">
        <v>20000</v>
      </c>
      <c r="J26" s="76">
        <v>22000</v>
      </c>
      <c r="M26" s="14"/>
      <c r="N26" s="14"/>
      <c r="O26" s="14"/>
      <c r="P26" s="14"/>
      <c r="Q26" s="14"/>
      <c r="R26" s="14"/>
      <c r="S26" s="14"/>
    </row>
    <row r="27" spans="3:20">
      <c r="C27" s="75" t="s">
        <v>4</v>
      </c>
      <c r="D27" s="77">
        <v>0.01</v>
      </c>
      <c r="E27" s="77">
        <v>0.05</v>
      </c>
      <c r="F27" s="77">
        <v>0.1</v>
      </c>
      <c r="G27" s="77">
        <v>0.03</v>
      </c>
      <c r="H27" s="77">
        <v>0.09</v>
      </c>
      <c r="I27" s="77">
        <v>0.1</v>
      </c>
      <c r="J27" s="77">
        <v>0.12</v>
      </c>
      <c r="M27" s="12"/>
      <c r="N27" s="12"/>
      <c r="O27" s="12"/>
      <c r="P27" s="12"/>
      <c r="Q27" s="12"/>
      <c r="R27" s="12"/>
      <c r="S27" s="12"/>
    </row>
    <row r="28" spans="3:20">
      <c r="C28" s="75" t="s">
        <v>5</v>
      </c>
      <c r="D28" s="78">
        <v>0.1</v>
      </c>
      <c r="E28" s="78">
        <v>0.1</v>
      </c>
      <c r="F28" s="78">
        <v>0.1</v>
      </c>
      <c r="G28" s="78">
        <v>0.09</v>
      </c>
      <c r="H28" s="78">
        <v>0.09</v>
      </c>
      <c r="I28" s="78">
        <v>0.09</v>
      </c>
      <c r="J28" s="78">
        <v>0.09</v>
      </c>
      <c r="M28" s="41"/>
      <c r="N28" s="41"/>
      <c r="O28" s="12"/>
      <c r="P28" s="12"/>
      <c r="Q28" s="12"/>
      <c r="R28" s="12"/>
      <c r="S28" s="12"/>
    </row>
    <row r="29" spans="3:20">
      <c r="C29" s="75" t="s">
        <v>6</v>
      </c>
      <c r="D29" s="78">
        <v>0.04</v>
      </c>
      <c r="E29" s="78">
        <v>0.04</v>
      </c>
      <c r="F29" s="78">
        <v>0.04</v>
      </c>
      <c r="G29" s="78">
        <v>0.05</v>
      </c>
      <c r="H29" s="78">
        <v>0.05</v>
      </c>
      <c r="I29" s="78">
        <v>0.05</v>
      </c>
      <c r="J29" s="78">
        <v>0.05</v>
      </c>
      <c r="M29" s="12"/>
      <c r="N29" s="12"/>
      <c r="O29" s="12"/>
      <c r="P29" s="12"/>
      <c r="Q29" s="12"/>
      <c r="R29" s="12"/>
      <c r="S29" s="12"/>
    </row>
    <row r="30" spans="3:20">
      <c r="C30" s="75" t="s">
        <v>7</v>
      </c>
      <c r="D30" s="76">
        <v>5000</v>
      </c>
      <c r="E30" s="76">
        <v>4500</v>
      </c>
      <c r="F30" s="76">
        <v>4000</v>
      </c>
      <c r="G30" s="76">
        <v>7000</v>
      </c>
      <c r="H30" s="76">
        <v>6500</v>
      </c>
      <c r="I30" s="76">
        <v>6000</v>
      </c>
      <c r="J30" s="76">
        <v>7000</v>
      </c>
      <c r="M30" s="14"/>
      <c r="N30" s="14"/>
      <c r="O30" s="14"/>
      <c r="P30" s="14"/>
      <c r="Q30" s="14"/>
      <c r="R30" s="14"/>
      <c r="S30" s="14"/>
    </row>
    <row r="31" spans="3:20">
      <c r="M31" s="41"/>
      <c r="N31" s="41"/>
      <c r="O31" s="41"/>
      <c r="P31" s="41"/>
      <c r="Q31" s="41"/>
      <c r="R31" s="41"/>
      <c r="S31" s="41"/>
    </row>
    <row r="32" spans="3:20" ht="17" thickBot="1">
      <c r="N32" s="14"/>
      <c r="O32" s="14"/>
      <c r="P32" s="14"/>
      <c r="Q32" s="14"/>
      <c r="R32" s="14"/>
      <c r="S32" s="14"/>
    </row>
    <row r="33" spans="2:19">
      <c r="B33" s="80" t="s">
        <v>90</v>
      </c>
      <c r="C33" s="15" t="s">
        <v>8</v>
      </c>
      <c r="D33" s="16">
        <f t="shared" ref="D33:J33" si="2">D57/D24</f>
        <v>0.01</v>
      </c>
      <c r="E33" s="16">
        <f t="shared" si="2"/>
        <v>4.6956521739130432E-2</v>
      </c>
      <c r="F33" s="16">
        <f t="shared" si="2"/>
        <v>9.3333333333333338E-2</v>
      </c>
      <c r="G33" s="16">
        <f t="shared" si="2"/>
        <v>2.8927152317880796E-2</v>
      </c>
      <c r="H33" s="16">
        <f t="shared" si="2"/>
        <v>7.9258064516129031E-2</v>
      </c>
      <c r="I33" s="16">
        <f t="shared" si="2"/>
        <v>9.1919191919191914E-2</v>
      </c>
      <c r="J33" s="16">
        <f t="shared" si="2"/>
        <v>0.10094117647058824</v>
      </c>
      <c r="L33" s="31"/>
      <c r="M33" s="31"/>
      <c r="N33" s="527"/>
      <c r="O33" s="527"/>
      <c r="P33" s="527"/>
      <c r="Q33" s="527"/>
      <c r="R33" s="527"/>
      <c r="S33" s="527"/>
    </row>
    <row r="34" spans="2:19">
      <c r="B34" s="80" t="s">
        <v>91</v>
      </c>
      <c r="C34" s="17" t="s">
        <v>9</v>
      </c>
      <c r="D34" s="18"/>
      <c r="E34" s="19">
        <f t="shared" ref="E34:J34" si="3">(E57-D57)/E25</f>
        <v>0.22</v>
      </c>
      <c r="F34" s="19">
        <f t="shared" si="3"/>
        <v>0.45</v>
      </c>
      <c r="G34" s="19">
        <f t="shared" si="3"/>
        <v>-0.23520000000000002</v>
      </c>
      <c r="H34" s="19">
        <f t="shared" si="3"/>
        <v>0.86450000000000005</v>
      </c>
      <c r="I34" s="19">
        <f t="shared" si="3"/>
        <v>8.6449999999999985E-2</v>
      </c>
      <c r="J34" s="19">
        <f t="shared" si="3"/>
        <v>0.3882666666666667</v>
      </c>
      <c r="L34" s="31"/>
      <c r="M34" s="31"/>
      <c r="N34" s="31"/>
      <c r="O34" s="527"/>
      <c r="P34" s="527"/>
      <c r="Q34" s="527"/>
      <c r="R34" s="527"/>
      <c r="S34" s="527"/>
    </row>
    <row r="35" spans="2:19">
      <c r="B35" s="80" t="s">
        <v>92</v>
      </c>
      <c r="C35" s="17" t="s">
        <v>10</v>
      </c>
      <c r="D35" s="19">
        <f t="shared" ref="D35:J35" si="4">D25/D57</f>
        <v>15</v>
      </c>
      <c r="E35" s="19">
        <f t="shared" si="4"/>
        <v>3.7037037037037037</v>
      </c>
      <c r="F35" s="19">
        <f t="shared" si="4"/>
        <v>1.2698412698412698</v>
      </c>
      <c r="G35" s="19">
        <f t="shared" si="4"/>
        <v>8.0128205128205128</v>
      </c>
      <c r="H35" s="19">
        <f t="shared" si="4"/>
        <v>0.81400081400081392</v>
      </c>
      <c r="I35" s="19">
        <f t="shared" si="4"/>
        <v>2.197802197802198</v>
      </c>
      <c r="J35" s="19">
        <f t="shared" si="4"/>
        <v>0.62437562437562433</v>
      </c>
      <c r="L35" s="31"/>
      <c r="M35" s="527"/>
      <c r="N35" s="527"/>
      <c r="O35" s="527"/>
      <c r="P35" s="527"/>
      <c r="Q35" s="527"/>
      <c r="R35" s="527"/>
      <c r="S35" s="527"/>
    </row>
    <row r="36" spans="2:19">
      <c r="B36" s="80" t="s">
        <v>93</v>
      </c>
      <c r="C36" s="17" t="s">
        <v>11</v>
      </c>
      <c r="D36" s="18"/>
      <c r="E36" s="19">
        <f t="shared" ref="E36:J36" si="5">(E57/D57)-1</f>
        <v>4.4000000000000004</v>
      </c>
      <c r="F36" s="19">
        <f t="shared" si="5"/>
        <v>1.3333333333333335</v>
      </c>
      <c r="G36" s="19">
        <f t="shared" si="5"/>
        <v>-0.65333333333333332</v>
      </c>
      <c r="H36" s="19">
        <f t="shared" si="5"/>
        <v>2.375</v>
      </c>
      <c r="I36" s="19">
        <f t="shared" si="5"/>
        <v>0.23456790123456783</v>
      </c>
      <c r="J36" s="19">
        <f t="shared" si="5"/>
        <v>0.32000000000000006</v>
      </c>
      <c r="L36" s="31"/>
      <c r="M36" s="31"/>
      <c r="N36" s="527"/>
      <c r="O36" s="527"/>
      <c r="P36" s="527"/>
      <c r="Q36" s="527"/>
      <c r="R36" s="527"/>
      <c r="S36" s="527"/>
    </row>
    <row r="37" spans="2:19" ht="17" thickBot="1">
      <c r="B37" s="80" t="s">
        <v>94</v>
      </c>
      <c r="C37" s="20" t="s">
        <v>12</v>
      </c>
      <c r="D37" s="21"/>
      <c r="E37" s="21"/>
      <c r="F37" s="21"/>
      <c r="G37" s="21"/>
      <c r="H37" s="21"/>
      <c r="I37" s="21"/>
      <c r="J37" s="22"/>
      <c r="L37" s="31"/>
      <c r="M37" s="527"/>
      <c r="N37" s="527"/>
      <c r="O37" s="527"/>
      <c r="P37" s="527"/>
      <c r="Q37" s="527"/>
      <c r="R37" s="527"/>
      <c r="S37" s="527"/>
    </row>
    <row r="38" spans="2:19">
      <c r="B38" s="81" t="s">
        <v>95</v>
      </c>
      <c r="C38" s="80"/>
    </row>
    <row r="39" spans="2:19">
      <c r="B39" s="80" t="s">
        <v>96</v>
      </c>
      <c r="C39" s="81" t="s">
        <v>128</v>
      </c>
      <c r="D39">
        <f t="shared" ref="D39:J39" si="6">D24</f>
        <v>10000</v>
      </c>
      <c r="E39">
        <f t="shared" si="6"/>
        <v>11500</v>
      </c>
      <c r="F39">
        <f t="shared" si="6"/>
        <v>13500</v>
      </c>
      <c r="G39">
        <f t="shared" si="6"/>
        <v>15100</v>
      </c>
      <c r="H39">
        <f t="shared" si="6"/>
        <v>18600</v>
      </c>
      <c r="I39">
        <f t="shared" si="6"/>
        <v>19800</v>
      </c>
      <c r="J39">
        <f t="shared" si="6"/>
        <v>23800</v>
      </c>
      <c r="L39" s="81"/>
      <c r="M39" s="12"/>
      <c r="N39" s="12"/>
      <c r="O39" s="12"/>
      <c r="P39" s="12"/>
      <c r="Q39" s="12"/>
      <c r="R39" s="12"/>
      <c r="S39" s="12"/>
    </row>
    <row r="40" spans="2:19">
      <c r="B40" s="80" t="s">
        <v>97</v>
      </c>
      <c r="C40" s="81" t="s">
        <v>129</v>
      </c>
      <c r="D40" s="12">
        <f>D30</f>
        <v>5000</v>
      </c>
      <c r="E40" s="12">
        <f t="shared" ref="E40:J40" si="7">E30</f>
        <v>4500</v>
      </c>
      <c r="F40" s="12">
        <f t="shared" si="7"/>
        <v>4000</v>
      </c>
      <c r="G40" s="12">
        <f t="shared" si="7"/>
        <v>7000</v>
      </c>
      <c r="H40" s="12">
        <f t="shared" si="7"/>
        <v>6500</v>
      </c>
      <c r="I40" s="12">
        <f t="shared" si="7"/>
        <v>6000</v>
      </c>
      <c r="J40" s="12">
        <f t="shared" si="7"/>
        <v>7000</v>
      </c>
      <c r="L40" s="81"/>
      <c r="M40" s="12"/>
      <c r="N40" s="12"/>
      <c r="O40" s="12"/>
      <c r="P40" s="12"/>
      <c r="Q40" s="12"/>
      <c r="R40" s="12"/>
      <c r="S40" s="12"/>
    </row>
    <row r="41" spans="2:19">
      <c r="B41" s="80" t="s">
        <v>98</v>
      </c>
      <c r="C41" s="81" t="s">
        <v>130</v>
      </c>
      <c r="D41" s="12">
        <f>D39-D40</f>
        <v>5000</v>
      </c>
      <c r="E41" s="12">
        <f t="shared" ref="E41:J41" si="8">E39-E40</f>
        <v>7000</v>
      </c>
      <c r="F41" s="12">
        <f t="shared" si="8"/>
        <v>9500</v>
      </c>
      <c r="G41" s="12">
        <f t="shared" si="8"/>
        <v>8100</v>
      </c>
      <c r="H41" s="12">
        <f t="shared" si="8"/>
        <v>12100</v>
      </c>
      <c r="I41" s="12">
        <f t="shared" si="8"/>
        <v>13800</v>
      </c>
      <c r="J41" s="12">
        <f t="shared" si="8"/>
        <v>16800</v>
      </c>
      <c r="L41" s="81"/>
      <c r="M41" s="12"/>
      <c r="N41" s="12"/>
      <c r="O41" s="12"/>
      <c r="P41" s="12"/>
      <c r="Q41" s="12"/>
      <c r="R41" s="12"/>
      <c r="S41" s="12"/>
    </row>
    <row r="42" spans="2:19">
      <c r="B42" s="81" t="s">
        <v>99</v>
      </c>
      <c r="C42" s="80"/>
      <c r="L42" s="80"/>
    </row>
    <row r="43" spans="2:19">
      <c r="B43" s="80" t="s">
        <v>100</v>
      </c>
      <c r="C43" s="81" t="s">
        <v>3</v>
      </c>
      <c r="D43">
        <f t="shared" ref="D43:J43" si="9">D26</f>
        <v>10000</v>
      </c>
      <c r="E43">
        <f t="shared" si="9"/>
        <v>12000</v>
      </c>
      <c r="F43">
        <f t="shared" si="9"/>
        <v>14000</v>
      </c>
      <c r="G43">
        <f t="shared" si="9"/>
        <v>16000</v>
      </c>
      <c r="H43">
        <f t="shared" si="9"/>
        <v>18000</v>
      </c>
      <c r="I43">
        <f t="shared" si="9"/>
        <v>20000</v>
      </c>
      <c r="J43">
        <f t="shared" si="9"/>
        <v>22000</v>
      </c>
      <c r="L43" s="81"/>
      <c r="M43" s="12"/>
      <c r="N43" s="12"/>
      <c r="O43" s="12"/>
      <c r="P43" s="12"/>
      <c r="Q43" s="12"/>
      <c r="R43" s="12"/>
      <c r="S43" s="12"/>
    </row>
    <row r="44" spans="2:19">
      <c r="B44" s="80" t="s">
        <v>101</v>
      </c>
      <c r="C44" s="81" t="s">
        <v>26</v>
      </c>
      <c r="D44">
        <f t="shared" ref="D44:J44" si="10">D26*D27</f>
        <v>100</v>
      </c>
      <c r="E44">
        <f t="shared" si="10"/>
        <v>600</v>
      </c>
      <c r="F44">
        <f t="shared" si="10"/>
        <v>1400</v>
      </c>
      <c r="G44">
        <f t="shared" si="10"/>
        <v>480</v>
      </c>
      <c r="H44">
        <f t="shared" si="10"/>
        <v>1620</v>
      </c>
      <c r="I44">
        <f t="shared" si="10"/>
        <v>2000</v>
      </c>
      <c r="J44">
        <f t="shared" si="10"/>
        <v>2640</v>
      </c>
      <c r="L44" s="81"/>
    </row>
    <row r="45" spans="2:19">
      <c r="B45" s="80" t="s">
        <v>102</v>
      </c>
      <c r="C45" s="81" t="s">
        <v>131</v>
      </c>
      <c r="D45">
        <f>D40*D29</f>
        <v>200</v>
      </c>
      <c r="E45">
        <f t="shared" ref="E45:J45" si="11">E40*E29</f>
        <v>180</v>
      </c>
      <c r="F45">
        <f t="shared" si="11"/>
        <v>160</v>
      </c>
      <c r="G45">
        <f t="shared" si="11"/>
        <v>350</v>
      </c>
      <c r="H45">
        <f t="shared" si="11"/>
        <v>325</v>
      </c>
      <c r="I45">
        <f t="shared" si="11"/>
        <v>300</v>
      </c>
      <c r="J45">
        <f t="shared" si="11"/>
        <v>350</v>
      </c>
      <c r="L45" s="81"/>
    </row>
    <row r="46" spans="2:19">
      <c r="B46" s="80" t="s">
        <v>103</v>
      </c>
      <c r="C46" s="81" t="s">
        <v>47</v>
      </c>
      <c r="D46">
        <f>D44-D45</f>
        <v>-100</v>
      </c>
      <c r="E46">
        <f t="shared" ref="E46:J46" si="12">E44-E45</f>
        <v>420</v>
      </c>
      <c r="F46">
        <f t="shared" si="12"/>
        <v>1240</v>
      </c>
      <c r="G46">
        <f t="shared" si="12"/>
        <v>130</v>
      </c>
      <c r="H46">
        <f t="shared" si="12"/>
        <v>1295</v>
      </c>
      <c r="I46">
        <f t="shared" si="12"/>
        <v>1700</v>
      </c>
      <c r="J46">
        <f t="shared" si="12"/>
        <v>2290</v>
      </c>
      <c r="L46" s="81"/>
    </row>
    <row r="47" spans="2:19">
      <c r="B47" s="82" t="s">
        <v>104</v>
      </c>
      <c r="C47" s="81" t="s">
        <v>48</v>
      </c>
      <c r="D47">
        <f>IF(D46&lt;0,0,D46*D28)</f>
        <v>0</v>
      </c>
      <c r="E47">
        <f t="shared" ref="E47:J47" si="13">IF(E46&lt;0,0,E46*E28)</f>
        <v>42</v>
      </c>
      <c r="F47">
        <f t="shared" si="13"/>
        <v>124</v>
      </c>
      <c r="G47">
        <f t="shared" si="13"/>
        <v>11.7</v>
      </c>
      <c r="H47">
        <f t="shared" si="13"/>
        <v>116.55</v>
      </c>
      <c r="I47">
        <f t="shared" si="13"/>
        <v>153</v>
      </c>
      <c r="J47">
        <f t="shared" si="13"/>
        <v>206.1</v>
      </c>
      <c r="L47" s="81"/>
    </row>
    <row r="48" spans="2:19">
      <c r="B48" s="80" t="s">
        <v>105</v>
      </c>
      <c r="C48" s="81" t="s">
        <v>49</v>
      </c>
      <c r="D48">
        <f>D46-D47</f>
        <v>-100</v>
      </c>
      <c r="E48">
        <f t="shared" ref="E48:J48" si="14">E46-E47</f>
        <v>378</v>
      </c>
      <c r="F48">
        <f t="shared" si="14"/>
        <v>1116</v>
      </c>
      <c r="G48">
        <f t="shared" si="14"/>
        <v>118.3</v>
      </c>
      <c r="H48">
        <f t="shared" si="14"/>
        <v>1178.45</v>
      </c>
      <c r="I48">
        <f t="shared" si="14"/>
        <v>1547</v>
      </c>
      <c r="J48">
        <f t="shared" si="14"/>
        <v>2083.9</v>
      </c>
      <c r="L48" s="81"/>
    </row>
    <row r="49" spans="2:19">
      <c r="B49" s="80" t="s">
        <v>106</v>
      </c>
      <c r="C49" s="81" t="s">
        <v>50</v>
      </c>
      <c r="D49">
        <f>D48-D50</f>
        <v>0</v>
      </c>
      <c r="E49">
        <f t="shared" ref="E49:I49" si="15">E48-E50</f>
        <v>0</v>
      </c>
      <c r="F49">
        <f t="shared" si="15"/>
        <v>1116</v>
      </c>
      <c r="G49">
        <f t="shared" si="15"/>
        <v>0</v>
      </c>
      <c r="H49">
        <f t="shared" si="15"/>
        <v>0</v>
      </c>
      <c r="I49">
        <f t="shared" si="15"/>
        <v>0</v>
      </c>
      <c r="L49" s="81"/>
    </row>
    <row r="50" spans="2:19">
      <c r="B50" s="80"/>
      <c r="C50" s="81" t="s">
        <v>51</v>
      </c>
      <c r="D50">
        <f>IF(D48&lt;0,D48,MAX(0,MIN(D48,D52)))</f>
        <v>-100</v>
      </c>
      <c r="E50">
        <f t="shared" ref="E50:I50" si="16">IF(E48&lt;0,E48,MAX(0,MIN(E48,E52)))</f>
        <v>378</v>
      </c>
      <c r="F50">
        <f t="shared" si="16"/>
        <v>0</v>
      </c>
      <c r="G50">
        <f t="shared" si="16"/>
        <v>118.3</v>
      </c>
      <c r="H50">
        <f t="shared" si="16"/>
        <v>1178.45</v>
      </c>
      <c r="I50">
        <f t="shared" si="16"/>
        <v>1547</v>
      </c>
      <c r="L50" s="81"/>
    </row>
    <row r="51" spans="2:19">
      <c r="B51" s="80"/>
      <c r="C51" s="81"/>
      <c r="L51" s="81"/>
    </row>
    <row r="52" spans="2:19">
      <c r="B52" s="80" t="s">
        <v>107</v>
      </c>
      <c r="C52" s="81" t="s">
        <v>119</v>
      </c>
      <c r="D52" s="12">
        <f>E41-D41</f>
        <v>2000</v>
      </c>
      <c r="E52" s="12">
        <f t="shared" ref="E52:I52" si="17">F41-E41</f>
        <v>2500</v>
      </c>
      <c r="F52" s="12">
        <f t="shared" si="17"/>
        <v>-1400</v>
      </c>
      <c r="G52" s="12">
        <f t="shared" si="17"/>
        <v>4000</v>
      </c>
      <c r="H52" s="12">
        <f t="shared" si="17"/>
        <v>1700</v>
      </c>
      <c r="I52" s="12">
        <f t="shared" si="17"/>
        <v>3000</v>
      </c>
      <c r="J52" s="12"/>
      <c r="K52" s="81"/>
      <c r="L52" s="81"/>
      <c r="M52" s="12"/>
      <c r="N52" s="12"/>
      <c r="O52" s="12"/>
      <c r="P52" s="12"/>
      <c r="Q52" s="12"/>
      <c r="R52" s="12"/>
      <c r="S52" s="12"/>
    </row>
    <row r="53" spans="2:19">
      <c r="B53" s="80" t="s">
        <v>108</v>
      </c>
      <c r="C53" s="81" t="s">
        <v>120</v>
      </c>
      <c r="D53" s="12">
        <f>D52-D50</f>
        <v>2100</v>
      </c>
      <c r="E53" s="12">
        <f t="shared" ref="E53:I53" si="18">E52-E50</f>
        <v>2122</v>
      </c>
      <c r="F53" s="12">
        <f t="shared" si="18"/>
        <v>-1400</v>
      </c>
      <c r="G53" s="12">
        <f t="shared" si="18"/>
        <v>3881.7</v>
      </c>
      <c r="H53" s="12">
        <f t="shared" si="18"/>
        <v>521.54999999999995</v>
      </c>
      <c r="I53" s="12">
        <f t="shared" si="18"/>
        <v>1453</v>
      </c>
      <c r="J53" s="12"/>
      <c r="K53" s="81"/>
      <c r="L53" s="81"/>
      <c r="M53" s="12"/>
      <c r="N53" s="12"/>
      <c r="O53" s="12"/>
      <c r="P53" s="12"/>
      <c r="Q53" s="12"/>
      <c r="R53" s="12"/>
      <c r="S53" s="12"/>
    </row>
    <row r="54" spans="2:19">
      <c r="B54" s="80" t="s">
        <v>109</v>
      </c>
      <c r="C54" s="81" t="s">
        <v>121</v>
      </c>
      <c r="D54" s="87">
        <f t="shared" ref="D54:I54" si="19">D49/D48</f>
        <v>0</v>
      </c>
      <c r="E54" s="87">
        <f t="shared" si="19"/>
        <v>0</v>
      </c>
      <c r="F54" s="87">
        <f t="shared" si="19"/>
        <v>1</v>
      </c>
      <c r="G54" s="87">
        <f t="shared" si="19"/>
        <v>0</v>
      </c>
      <c r="H54" s="87">
        <f t="shared" si="19"/>
        <v>0</v>
      </c>
      <c r="I54" s="87">
        <f t="shared" si="19"/>
        <v>0</v>
      </c>
      <c r="J54" s="87"/>
      <c r="K54" s="81"/>
      <c r="L54" s="81"/>
      <c r="M54" s="87"/>
      <c r="N54" s="87"/>
      <c r="O54" s="87"/>
      <c r="P54" s="87"/>
      <c r="Q54" s="87"/>
      <c r="R54" s="87"/>
      <c r="S54" s="87"/>
    </row>
    <row r="55" spans="2:19">
      <c r="B55" s="80" t="s">
        <v>110</v>
      </c>
      <c r="C55" s="84" t="s">
        <v>122</v>
      </c>
      <c r="D55" s="87">
        <f>D47/D46</f>
        <v>0</v>
      </c>
      <c r="E55" s="87">
        <f t="shared" ref="E55:I55" si="20">E47/E46</f>
        <v>0.1</v>
      </c>
      <c r="F55" s="87">
        <f t="shared" si="20"/>
        <v>0.1</v>
      </c>
      <c r="G55" s="87">
        <f t="shared" si="20"/>
        <v>0.09</v>
      </c>
      <c r="H55" s="87">
        <f t="shared" si="20"/>
        <v>0.09</v>
      </c>
      <c r="I55" s="87">
        <f t="shared" si="20"/>
        <v>0.09</v>
      </c>
      <c r="J55" s="87">
        <f>J47/J46</f>
        <v>0.09</v>
      </c>
      <c r="K55" s="84"/>
      <c r="L55" s="84"/>
      <c r="M55" s="87"/>
      <c r="N55" s="87"/>
      <c r="O55" s="87"/>
      <c r="P55" s="87"/>
      <c r="Q55" s="87"/>
      <c r="R55" s="87"/>
      <c r="S55" s="87"/>
    </row>
    <row r="56" spans="2:19">
      <c r="B56" s="80" t="s">
        <v>111</v>
      </c>
      <c r="C56" s="80"/>
      <c r="K56" s="80"/>
      <c r="L56" s="80"/>
    </row>
    <row r="57" spans="2:19">
      <c r="B57" s="80" t="s">
        <v>112</v>
      </c>
      <c r="C57" s="81" t="s">
        <v>34</v>
      </c>
      <c r="D57" s="79">
        <f>D44*(1-D55)</f>
        <v>100</v>
      </c>
      <c r="E57" s="79">
        <f t="shared" ref="E57:J57" si="21">E44*(1-E55)</f>
        <v>540</v>
      </c>
      <c r="F57" s="79">
        <f t="shared" si="21"/>
        <v>1260</v>
      </c>
      <c r="G57" s="79">
        <f t="shared" si="21"/>
        <v>436.8</v>
      </c>
      <c r="H57" s="79">
        <f t="shared" si="21"/>
        <v>1474.2</v>
      </c>
      <c r="I57" s="79">
        <f t="shared" si="21"/>
        <v>1820</v>
      </c>
      <c r="J57" s="79">
        <f t="shared" si="21"/>
        <v>2402.4</v>
      </c>
      <c r="K57" s="81"/>
      <c r="L57" s="81"/>
      <c r="M57" s="79"/>
      <c r="N57" s="79"/>
      <c r="O57" s="79"/>
      <c r="P57" s="79"/>
      <c r="Q57" s="79"/>
      <c r="R57" s="79"/>
      <c r="S57" s="79"/>
    </row>
    <row r="58" spans="2:19">
      <c r="B58" s="80" t="s">
        <v>113</v>
      </c>
      <c r="C58" s="85" t="s">
        <v>2</v>
      </c>
      <c r="D58" s="12">
        <f>D25</f>
        <v>1500</v>
      </c>
      <c r="E58" s="12">
        <f t="shared" ref="E58:J58" si="22">E25</f>
        <v>2000</v>
      </c>
      <c r="F58" s="12">
        <f t="shared" si="22"/>
        <v>1600</v>
      </c>
      <c r="G58" s="12">
        <f t="shared" si="22"/>
        <v>3500</v>
      </c>
      <c r="H58" s="12">
        <f t="shared" si="22"/>
        <v>1200</v>
      </c>
      <c r="I58" s="12">
        <f t="shared" si="22"/>
        <v>4000</v>
      </c>
      <c r="J58" s="12">
        <f t="shared" si="22"/>
        <v>1500</v>
      </c>
      <c r="K58" s="85"/>
      <c r="L58" s="85"/>
      <c r="M58" s="12"/>
      <c r="N58" s="12"/>
      <c r="O58" s="12"/>
      <c r="P58" s="12"/>
      <c r="Q58" s="12"/>
      <c r="R58" s="12"/>
      <c r="S58" s="12"/>
    </row>
    <row r="59" spans="2:19">
      <c r="B59" s="80" t="s">
        <v>114</v>
      </c>
      <c r="C59" s="81" t="s">
        <v>35</v>
      </c>
      <c r="D59" s="79">
        <f>D57-D58</f>
        <v>-1400</v>
      </c>
      <c r="E59" s="79">
        <f t="shared" ref="E59:J59" si="23">E57-E58</f>
        <v>-1460</v>
      </c>
      <c r="F59" s="79">
        <f t="shared" si="23"/>
        <v>-340</v>
      </c>
      <c r="G59" s="79">
        <f t="shared" si="23"/>
        <v>-3063.2</v>
      </c>
      <c r="H59" s="79">
        <f t="shared" si="23"/>
        <v>274.20000000000005</v>
      </c>
      <c r="I59" s="79">
        <f t="shared" si="23"/>
        <v>-2180</v>
      </c>
      <c r="J59" s="79">
        <f t="shared" si="23"/>
        <v>902.40000000000009</v>
      </c>
      <c r="K59" s="81"/>
      <c r="L59" s="81"/>
      <c r="M59" s="79"/>
      <c r="N59" s="79"/>
      <c r="O59" s="79"/>
      <c r="P59" s="79"/>
      <c r="Q59" s="79"/>
      <c r="R59" s="79"/>
      <c r="S59" s="79"/>
    </row>
    <row r="60" spans="2:19">
      <c r="B60" s="80" t="s">
        <v>113</v>
      </c>
      <c r="C60" s="85" t="s">
        <v>123</v>
      </c>
      <c r="D60">
        <f>D45</f>
        <v>200</v>
      </c>
      <c r="E60">
        <f t="shared" ref="E60:J60" si="24">E45</f>
        <v>180</v>
      </c>
      <c r="F60">
        <f t="shared" si="24"/>
        <v>160</v>
      </c>
      <c r="G60">
        <f t="shared" si="24"/>
        <v>350</v>
      </c>
      <c r="H60">
        <f t="shared" si="24"/>
        <v>325</v>
      </c>
      <c r="I60">
        <f t="shared" si="24"/>
        <v>300</v>
      </c>
      <c r="J60">
        <f t="shared" si="24"/>
        <v>350</v>
      </c>
      <c r="K60" s="85"/>
      <c r="L60" s="85"/>
    </row>
    <row r="61" spans="2:19">
      <c r="B61" s="80" t="s">
        <v>115</v>
      </c>
      <c r="C61" s="81" t="s">
        <v>124</v>
      </c>
      <c r="D61">
        <f>D60*D55</f>
        <v>0</v>
      </c>
      <c r="E61">
        <f t="shared" ref="E61:J61" si="25">E60*E55</f>
        <v>18</v>
      </c>
      <c r="F61">
        <f t="shared" si="25"/>
        <v>16</v>
      </c>
      <c r="G61">
        <f t="shared" si="25"/>
        <v>31.5</v>
      </c>
      <c r="H61">
        <f t="shared" si="25"/>
        <v>29.25</v>
      </c>
      <c r="I61">
        <f t="shared" si="25"/>
        <v>27</v>
      </c>
      <c r="J61">
        <f t="shared" si="25"/>
        <v>31.5</v>
      </c>
      <c r="K61" s="81"/>
      <c r="L61" s="81"/>
    </row>
    <row r="62" spans="2:19">
      <c r="B62" s="80" t="s">
        <v>116</v>
      </c>
      <c r="C62" s="81" t="s">
        <v>83</v>
      </c>
      <c r="D62" s="12">
        <f>E40-D40</f>
        <v>-500</v>
      </c>
      <c r="E62" s="12">
        <f t="shared" ref="E62:J62" si="26">F40-E40</f>
        <v>-500</v>
      </c>
      <c r="F62" s="12">
        <f t="shared" si="26"/>
        <v>3000</v>
      </c>
      <c r="G62" s="12">
        <f t="shared" si="26"/>
        <v>-500</v>
      </c>
      <c r="H62" s="12">
        <f t="shared" si="26"/>
        <v>-500</v>
      </c>
      <c r="I62" s="12">
        <f t="shared" si="26"/>
        <v>1000</v>
      </c>
      <c r="J62" s="12">
        <f t="shared" si="26"/>
        <v>-7000</v>
      </c>
      <c r="K62" s="81"/>
      <c r="L62" s="81"/>
      <c r="M62" s="12"/>
      <c r="N62" s="12"/>
      <c r="O62" s="12"/>
      <c r="P62" s="12"/>
      <c r="Q62" s="12"/>
      <c r="R62" s="12"/>
      <c r="S62" s="12"/>
    </row>
    <row r="63" spans="2:19">
      <c r="B63" s="80" t="s">
        <v>117</v>
      </c>
      <c r="C63" s="81" t="s">
        <v>125</v>
      </c>
      <c r="D63" s="79">
        <f>D59-D60+D61+D62</f>
        <v>-2100</v>
      </c>
      <c r="E63" s="79">
        <f t="shared" ref="E63:J63" si="27">E59-E60+E61+E62</f>
        <v>-2122</v>
      </c>
      <c r="F63" s="79">
        <f t="shared" si="27"/>
        <v>2516</v>
      </c>
      <c r="G63" s="79">
        <f t="shared" si="27"/>
        <v>-3881.7</v>
      </c>
      <c r="H63" s="79">
        <f t="shared" si="27"/>
        <v>-521.54999999999995</v>
      </c>
      <c r="I63" s="79">
        <f t="shared" si="27"/>
        <v>-1453</v>
      </c>
      <c r="J63" s="79">
        <f t="shared" si="27"/>
        <v>-6416.1</v>
      </c>
      <c r="K63" s="81"/>
      <c r="L63" s="81"/>
      <c r="M63" s="79"/>
      <c r="N63" s="79"/>
      <c r="O63" s="79"/>
      <c r="P63" s="79"/>
      <c r="Q63" s="79"/>
      <c r="R63" s="79"/>
      <c r="S63" s="79"/>
    </row>
    <row r="64" spans="2:19">
      <c r="B64" s="80" t="s">
        <v>132</v>
      </c>
      <c r="C64" s="85" t="s">
        <v>50</v>
      </c>
      <c r="D64">
        <f>-D49</f>
        <v>0</v>
      </c>
      <c r="E64">
        <f t="shared" ref="E64:I64" si="28">-E49</f>
        <v>0</v>
      </c>
      <c r="F64">
        <f t="shared" si="28"/>
        <v>-1116</v>
      </c>
      <c r="G64">
        <f t="shared" si="28"/>
        <v>0</v>
      </c>
      <c r="H64">
        <f t="shared" si="28"/>
        <v>0</v>
      </c>
      <c r="I64">
        <f t="shared" si="28"/>
        <v>0</v>
      </c>
      <c r="K64" s="85"/>
      <c r="L64" s="85"/>
    </row>
    <row r="65" spans="2:19">
      <c r="B65" s="80"/>
      <c r="C65" s="86" t="s">
        <v>126</v>
      </c>
      <c r="D65" s="12">
        <f>D52-D50</f>
        <v>2100</v>
      </c>
      <c r="E65" s="12">
        <f t="shared" ref="E65:I65" si="29">E52-E50</f>
        <v>2122</v>
      </c>
      <c r="F65" s="12">
        <f t="shared" si="29"/>
        <v>-1400</v>
      </c>
      <c r="G65" s="12">
        <f t="shared" si="29"/>
        <v>3881.7</v>
      </c>
      <c r="H65" s="12">
        <f t="shared" si="29"/>
        <v>521.54999999999995</v>
      </c>
      <c r="I65" s="12">
        <f t="shared" si="29"/>
        <v>1453</v>
      </c>
      <c r="J65" s="12"/>
      <c r="K65" s="81"/>
      <c r="L65" s="86"/>
      <c r="M65" s="12"/>
      <c r="N65" s="12"/>
      <c r="O65" s="12"/>
      <c r="P65" s="12"/>
      <c r="Q65" s="12"/>
      <c r="R65" s="12"/>
      <c r="S65" s="12"/>
    </row>
    <row r="66" spans="2:19">
      <c r="B66" s="80"/>
      <c r="C66" s="81" t="s">
        <v>127</v>
      </c>
      <c r="D66" s="91">
        <f>SUM(D63:D65)</f>
        <v>0</v>
      </c>
      <c r="E66" s="91">
        <f t="shared" ref="E66:J66" si="30">SUM(E63:E65)</f>
        <v>0</v>
      </c>
      <c r="F66" s="91">
        <f t="shared" si="30"/>
        <v>0</v>
      </c>
      <c r="G66" s="91">
        <f t="shared" si="30"/>
        <v>0</v>
      </c>
      <c r="H66" s="91">
        <f t="shared" si="30"/>
        <v>0</v>
      </c>
      <c r="I66" s="91">
        <f t="shared" si="30"/>
        <v>0</v>
      </c>
      <c r="J66" s="91">
        <f t="shared" si="30"/>
        <v>-6416.1</v>
      </c>
      <c r="K66" s="81"/>
      <c r="L66" s="81"/>
      <c r="M66" s="91"/>
      <c r="N66" s="91"/>
      <c r="O66" s="91"/>
      <c r="P66" s="91"/>
      <c r="Q66" s="91"/>
      <c r="R66" s="91"/>
      <c r="S66" s="91"/>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3FB8B-3896-FE4B-A8FD-53C72727477E}">
  <sheetPr codeName="Sheet2">
    <tabColor rgb="FF92D050"/>
  </sheetPr>
  <dimension ref="A1:T61"/>
  <sheetViews>
    <sheetView topLeftCell="A31" workbookViewId="0">
      <selection activeCell="D38" sqref="D38:J38"/>
    </sheetView>
  </sheetViews>
  <sheetFormatPr baseColWidth="10" defaultColWidth="8.83203125" defaultRowHeight="16"/>
  <cols>
    <col min="2" max="2" width="19.83203125" bestFit="1" customWidth="1"/>
    <col min="3" max="3" width="37.1640625" bestFit="1" customWidth="1"/>
    <col min="4" max="4" width="9.1640625" bestFit="1" customWidth="1"/>
    <col min="5" max="5" width="9.6640625" bestFit="1" customWidth="1"/>
    <col min="10" max="10" width="10.5" customWidth="1"/>
    <col min="11" max="11" width="9.1640625" bestFit="1" customWidth="1"/>
    <col min="19" max="19" width="9.83203125" bestFit="1" customWidth="1"/>
  </cols>
  <sheetData>
    <row r="1" spans="2:3" ht="17" thickBot="1"/>
    <row r="2" spans="2:3" ht="18">
      <c r="B2" s="1" t="s">
        <v>13</v>
      </c>
      <c r="C2" s="23" t="s">
        <v>14</v>
      </c>
    </row>
    <row r="3" spans="2:3" ht="18">
      <c r="B3" s="3" t="s">
        <v>15</v>
      </c>
      <c r="C3" s="4" t="s">
        <v>16</v>
      </c>
    </row>
    <row r="4" spans="2:3" ht="18">
      <c r="B4" s="3" t="s">
        <v>17</v>
      </c>
      <c r="C4" s="4" t="s">
        <v>18</v>
      </c>
    </row>
    <row r="5" spans="2:3" ht="18">
      <c r="B5" s="3"/>
      <c r="C5" s="5"/>
    </row>
    <row r="6" spans="2:3" ht="18">
      <c r="B6" s="3" t="s">
        <v>19</v>
      </c>
      <c r="C6" s="5" t="s">
        <v>20</v>
      </c>
    </row>
    <row r="7" spans="2:3" ht="19" thickBot="1">
      <c r="B7" s="6" t="s">
        <v>21</v>
      </c>
      <c r="C7" s="7" t="s">
        <v>22</v>
      </c>
    </row>
    <row r="8" spans="2:3" ht="17" thickBot="1"/>
    <row r="9" spans="2:3" ht="21" thickBot="1">
      <c r="B9" s="8" t="s">
        <v>23</v>
      </c>
      <c r="C9" s="9"/>
    </row>
    <row r="23" spans="3:10">
      <c r="D23" s="11">
        <v>2022</v>
      </c>
      <c r="E23" s="11">
        <v>2023</v>
      </c>
      <c r="F23" s="11">
        <v>2024</v>
      </c>
      <c r="G23" s="11">
        <v>2025</v>
      </c>
      <c r="H23" s="11">
        <v>2026</v>
      </c>
      <c r="I23" s="11">
        <v>2027</v>
      </c>
      <c r="J23" s="11">
        <v>2028</v>
      </c>
    </row>
    <row r="24" spans="3:10">
      <c r="C24" s="24" t="s">
        <v>3</v>
      </c>
      <c r="D24" s="25">
        <v>50000</v>
      </c>
      <c r="E24" s="26"/>
      <c r="F24" s="26"/>
      <c r="G24" s="26"/>
      <c r="H24" s="26"/>
      <c r="I24" s="26"/>
      <c r="J24" s="26"/>
    </row>
    <row r="25" spans="3:10">
      <c r="C25" s="24" t="s">
        <v>24</v>
      </c>
      <c r="D25" s="25"/>
      <c r="E25" s="27">
        <v>0.12</v>
      </c>
      <c r="F25" s="27">
        <v>0.11</v>
      </c>
      <c r="G25" s="27">
        <v>0.1</v>
      </c>
      <c r="H25" s="27">
        <v>0.09</v>
      </c>
      <c r="I25" s="27">
        <v>0.08</v>
      </c>
      <c r="J25" s="27">
        <v>0.05</v>
      </c>
    </row>
    <row r="26" spans="3:10">
      <c r="C26" s="24" t="s">
        <v>4</v>
      </c>
      <c r="D26" s="27">
        <v>0.01</v>
      </c>
      <c r="E26" s="27">
        <v>0.04</v>
      </c>
      <c r="F26" s="27">
        <v>7.0000000000000007E-2</v>
      </c>
      <c r="G26" s="27">
        <v>0.1</v>
      </c>
      <c r="H26" s="27">
        <v>0.13</v>
      </c>
      <c r="I26" s="27">
        <v>0.16</v>
      </c>
      <c r="J26" s="27">
        <v>0.19</v>
      </c>
    </row>
    <row r="27" spans="3:10">
      <c r="C27" s="24" t="s">
        <v>5</v>
      </c>
      <c r="D27" s="28">
        <v>0.2</v>
      </c>
      <c r="E27" s="28">
        <v>0.2</v>
      </c>
      <c r="F27" s="28">
        <v>0.2</v>
      </c>
      <c r="G27" s="28">
        <v>0.2</v>
      </c>
      <c r="H27" s="28">
        <v>0.2</v>
      </c>
      <c r="I27" s="28">
        <v>0.2</v>
      </c>
      <c r="J27" s="28">
        <v>0.2</v>
      </c>
    </row>
    <row r="28" spans="3:10">
      <c r="C28" s="24" t="s">
        <v>1</v>
      </c>
      <c r="D28" s="25">
        <v>40000</v>
      </c>
      <c r="E28" s="25"/>
      <c r="F28" s="25"/>
      <c r="G28" s="25"/>
      <c r="H28" s="25"/>
      <c r="I28" s="25"/>
      <c r="J28" s="25"/>
    </row>
    <row r="29" spans="3:10">
      <c r="C29" s="24" t="s">
        <v>10</v>
      </c>
      <c r="D29" s="27">
        <v>0.8</v>
      </c>
      <c r="E29" s="27">
        <v>0.5</v>
      </c>
      <c r="F29" s="25"/>
      <c r="G29" s="25"/>
      <c r="H29" s="25"/>
      <c r="I29" s="25"/>
      <c r="J29" s="25"/>
    </row>
    <row r="30" spans="3:10">
      <c r="C30" s="24" t="s">
        <v>2</v>
      </c>
      <c r="D30" s="25"/>
      <c r="E30" s="25"/>
      <c r="F30" s="25">
        <v>2500</v>
      </c>
      <c r="G30" s="25">
        <v>1000</v>
      </c>
      <c r="H30" s="25">
        <v>500</v>
      </c>
      <c r="I30" s="25">
        <v>3000</v>
      </c>
      <c r="J30" s="25">
        <v>700</v>
      </c>
    </row>
    <row r="31" spans="3:10">
      <c r="C31" s="24" t="s">
        <v>6</v>
      </c>
      <c r="D31" s="28">
        <v>0.06</v>
      </c>
      <c r="E31" s="28">
        <v>0.05</v>
      </c>
      <c r="F31" s="28">
        <v>0.04</v>
      </c>
      <c r="G31" s="28">
        <v>0.04</v>
      </c>
      <c r="H31" s="28">
        <v>0.04</v>
      </c>
      <c r="I31" s="28">
        <v>0.04</v>
      </c>
      <c r="J31" s="28">
        <v>0.04</v>
      </c>
    </row>
    <row r="32" spans="3:10">
      <c r="C32" s="24" t="s">
        <v>25</v>
      </c>
      <c r="D32" s="27">
        <v>0</v>
      </c>
      <c r="E32" s="27">
        <v>0.2</v>
      </c>
      <c r="F32" s="27">
        <v>0.25</v>
      </c>
      <c r="G32" s="27">
        <v>0.5</v>
      </c>
      <c r="H32" s="27">
        <v>0.5</v>
      </c>
      <c r="I32" s="27">
        <v>0.5</v>
      </c>
      <c r="J32" s="27">
        <v>0.5</v>
      </c>
    </row>
    <row r="33" spans="3:20">
      <c r="C33" s="24" t="s">
        <v>143</v>
      </c>
      <c r="E33" s="14"/>
      <c r="F33" s="14"/>
      <c r="G33" s="14"/>
      <c r="H33" s="14"/>
      <c r="I33" s="14"/>
      <c r="J33" s="14"/>
    </row>
    <row r="34" spans="3:20">
      <c r="C34" s="29" t="s">
        <v>11</v>
      </c>
      <c r="D34" s="18"/>
      <c r="E34" s="30">
        <f>E52/D52 - 1</f>
        <v>3.4800000000000013</v>
      </c>
      <c r="F34" s="30">
        <f t="shared" ref="F34:J34" si="0">F52/E52 - 1</f>
        <v>0.94250000000000034</v>
      </c>
      <c r="G34" s="30">
        <f t="shared" si="0"/>
        <v>0.5714285714285714</v>
      </c>
      <c r="H34" s="30">
        <f t="shared" si="0"/>
        <v>0.41700000000000004</v>
      </c>
      <c r="I34" s="30">
        <f t="shared" si="0"/>
        <v>0.32923076923076944</v>
      </c>
      <c r="J34" s="30">
        <f t="shared" si="0"/>
        <v>0.24687499999999996</v>
      </c>
      <c r="L34" s="29" t="s">
        <v>11</v>
      </c>
      <c r="M34" s="18"/>
      <c r="N34" s="30">
        <v>3.4800000000000013</v>
      </c>
      <c r="O34" s="30">
        <v>0.94250000000000034</v>
      </c>
      <c r="P34" s="30">
        <v>0.5714285714285714</v>
      </c>
      <c r="Q34" s="30">
        <v>0.41700000000000004</v>
      </c>
      <c r="R34" s="30">
        <v>0.32923076923076944</v>
      </c>
      <c r="S34" s="30">
        <v>0.24687499999999996</v>
      </c>
    </row>
    <row r="35" spans="3:20">
      <c r="C35" s="29" t="s">
        <v>10</v>
      </c>
      <c r="D35" s="18"/>
      <c r="E35" s="18"/>
      <c r="F35" s="30">
        <f>F53/F52</f>
        <v>0.71819268247839652</v>
      </c>
      <c r="G35" s="30">
        <f t="shared" ref="G35:J35" si="1">G53/G52</f>
        <v>0.18281268281268276</v>
      </c>
      <c r="H35" s="30">
        <f t="shared" si="1"/>
        <v>6.4506945240890165E-2</v>
      </c>
      <c r="I35" s="30">
        <f t="shared" si="1"/>
        <v>0.2911771833790181</v>
      </c>
      <c r="J35" s="30">
        <f t="shared" si="1"/>
        <v>5.4489297474436135E-2</v>
      </c>
      <c r="L35" s="29" t="s">
        <v>10</v>
      </c>
      <c r="M35" s="18"/>
      <c r="N35" s="18"/>
      <c r="O35" s="30">
        <v>0.71819268247839652</v>
      </c>
      <c r="P35" s="30">
        <v>0.18281268281268276</v>
      </c>
      <c r="Q35" s="30">
        <v>6.4506945240890165E-2</v>
      </c>
      <c r="R35" s="30">
        <v>0.2911771833790181</v>
      </c>
      <c r="S35" s="30">
        <v>5.4489297474436135E-2</v>
      </c>
    </row>
    <row r="36" spans="3:20">
      <c r="C36" s="29" t="s">
        <v>8</v>
      </c>
      <c r="D36" s="30">
        <f>D52/D48</f>
        <v>0.01</v>
      </c>
      <c r="E36" s="30">
        <f t="shared" ref="E36:J36" si="2">E52/E48</f>
        <v>4.4444444444444453E-2</v>
      </c>
      <c r="F36" s="30">
        <f t="shared" si="2"/>
        <v>8.4456521739130472E-2</v>
      </c>
      <c r="G36" s="30">
        <f t="shared" si="2"/>
        <v>0.12512764205325286</v>
      </c>
      <c r="H36" s="30">
        <f t="shared" si="2"/>
        <v>0.17334071383844715</v>
      </c>
      <c r="I36" s="30">
        <f t="shared" si="2"/>
        <v>0.22786193121019122</v>
      </c>
      <c r="J36" s="30">
        <f t="shared" si="2"/>
        <v>0.26643768585365868</v>
      </c>
      <c r="L36" s="29" t="s">
        <v>8</v>
      </c>
      <c r="M36" s="30">
        <v>0.01</v>
      </c>
      <c r="N36" s="30">
        <v>4.4444444444444453E-2</v>
      </c>
      <c r="O36" s="30">
        <v>8.4456521739130472E-2</v>
      </c>
      <c r="P36" s="30">
        <v>0.12512764205325286</v>
      </c>
      <c r="Q36" s="30">
        <v>0.17334071383844715</v>
      </c>
      <c r="R36" s="30">
        <v>0.22786193121019122</v>
      </c>
      <c r="S36" s="30">
        <v>0.26643768585365868</v>
      </c>
    </row>
    <row r="37" spans="3:20">
      <c r="C37" s="29" t="s">
        <v>9</v>
      </c>
      <c r="D37" s="18"/>
      <c r="E37" s="30">
        <f>(E52-D52)/D53</f>
        <v>4.3500000000000014</v>
      </c>
      <c r="F37" s="30">
        <f t="shared" ref="F37:J37" si="3">(F52-E52)/E53</f>
        <v>1.8850000000000007</v>
      </c>
      <c r="G37" s="30">
        <f t="shared" si="3"/>
        <v>0.79564800000000013</v>
      </c>
      <c r="H37" s="30">
        <f t="shared" si="3"/>
        <v>2.2810233600000012</v>
      </c>
      <c r="I37" s="30">
        <f t="shared" si="3"/>
        <v>5.1038034432000057</v>
      </c>
      <c r="J37" s="30">
        <f t="shared" si="3"/>
        <v>0.84785145984000032</v>
      </c>
      <c r="L37" s="29" t="s">
        <v>9</v>
      </c>
      <c r="M37" s="18"/>
      <c r="N37" s="30">
        <v>4.3500000000000014</v>
      </c>
      <c r="O37" s="30">
        <v>1.8850000000000007</v>
      </c>
      <c r="P37" s="30">
        <v>0.79564800000000013</v>
      </c>
      <c r="Q37" s="30">
        <v>2.2810233600000012</v>
      </c>
      <c r="R37" s="30">
        <v>5.1038034432000057</v>
      </c>
      <c r="S37" s="30">
        <v>0.84785145984000032</v>
      </c>
    </row>
    <row r="38" spans="3:20">
      <c r="C38" s="29" t="s">
        <v>12</v>
      </c>
      <c r="D38" s="30">
        <f>D45/D44</f>
        <v>0.2</v>
      </c>
      <c r="E38" s="30">
        <f t="shared" ref="E38:J38" si="4">E45/E44</f>
        <v>0.2</v>
      </c>
      <c r="F38" s="30">
        <f t="shared" si="4"/>
        <v>0.2</v>
      </c>
      <c r="G38" s="30">
        <f t="shared" si="4"/>
        <v>0.2</v>
      </c>
      <c r="H38" s="30">
        <f t="shared" si="4"/>
        <v>0.2</v>
      </c>
      <c r="I38" s="30">
        <f t="shared" si="4"/>
        <v>0.2</v>
      </c>
      <c r="J38" s="30">
        <f t="shared" si="4"/>
        <v>0.2</v>
      </c>
      <c r="L38" s="29" t="s">
        <v>12</v>
      </c>
      <c r="M38" s="30">
        <v>0.2</v>
      </c>
      <c r="N38" s="30">
        <v>0.2</v>
      </c>
      <c r="O38" s="30">
        <v>0.2</v>
      </c>
      <c r="P38" s="30">
        <v>0.2</v>
      </c>
      <c r="Q38" s="30">
        <v>0.2</v>
      </c>
      <c r="R38" s="30">
        <v>0.2</v>
      </c>
      <c r="S38" s="30">
        <v>0.2</v>
      </c>
    </row>
    <row r="41" spans="3:20">
      <c r="C41" s="31" t="s">
        <v>3</v>
      </c>
      <c r="D41" s="12">
        <f>D24</f>
        <v>50000</v>
      </c>
      <c r="E41">
        <f t="shared" ref="E41:J41" si="5">D41*(1+E25)</f>
        <v>56000.000000000007</v>
      </c>
      <c r="F41">
        <f t="shared" si="5"/>
        <v>62160.000000000015</v>
      </c>
      <c r="G41">
        <f t="shared" si="5"/>
        <v>68376.000000000015</v>
      </c>
      <c r="H41">
        <f t="shared" si="5"/>
        <v>74529.840000000026</v>
      </c>
      <c r="I41">
        <f t="shared" si="5"/>
        <v>80492.227200000038</v>
      </c>
      <c r="J41">
        <f t="shared" si="5"/>
        <v>84516.838560000047</v>
      </c>
      <c r="L41" s="31" t="s">
        <v>3</v>
      </c>
      <c r="M41" s="12">
        <v>50000</v>
      </c>
      <c r="N41" s="12">
        <v>56000.000000000007</v>
      </c>
      <c r="O41" s="12">
        <v>62160.000000000015</v>
      </c>
      <c r="P41" s="12">
        <v>68376.000000000015</v>
      </c>
      <c r="Q41" s="12">
        <v>74529.840000000026</v>
      </c>
      <c r="R41" s="12">
        <v>80492.227200000038</v>
      </c>
      <c r="S41" s="12">
        <v>84516.838560000047</v>
      </c>
    </row>
    <row r="42" spans="3:20">
      <c r="C42" s="31" t="s">
        <v>26</v>
      </c>
      <c r="D42" s="12">
        <f t="shared" ref="D42:J42" si="6">D41*D26</f>
        <v>500</v>
      </c>
      <c r="E42" s="12">
        <f t="shared" si="6"/>
        <v>2240.0000000000005</v>
      </c>
      <c r="F42" s="12">
        <f t="shared" si="6"/>
        <v>4351.2000000000016</v>
      </c>
      <c r="G42" s="12">
        <f t="shared" si="6"/>
        <v>6837.6000000000022</v>
      </c>
      <c r="H42" s="12">
        <f t="shared" si="6"/>
        <v>9688.879200000003</v>
      </c>
      <c r="I42" s="12">
        <f t="shared" si="6"/>
        <v>12878.756352000006</v>
      </c>
      <c r="J42" s="12">
        <f t="shared" si="6"/>
        <v>16058.199326400008</v>
      </c>
      <c r="L42" s="31" t="s">
        <v>26</v>
      </c>
      <c r="M42" s="12">
        <v>500</v>
      </c>
      <c r="N42" s="12">
        <v>2240.0000000000005</v>
      </c>
      <c r="O42" s="12">
        <v>4351.2000000000016</v>
      </c>
      <c r="P42" s="12">
        <v>6837.6000000000022</v>
      </c>
      <c r="Q42" s="12">
        <v>9688.879200000003</v>
      </c>
      <c r="R42" s="12">
        <v>12878.756352000006</v>
      </c>
      <c r="S42" s="12">
        <v>16058.199326400008</v>
      </c>
    </row>
    <row r="43" spans="3:20">
      <c r="C43" s="31" t="s">
        <v>133</v>
      </c>
      <c r="D43" s="12">
        <f>D55</f>
        <v>0</v>
      </c>
      <c r="E43" s="12">
        <f t="shared" ref="E43:J43" si="7">E55</f>
        <v>403.20000000000005</v>
      </c>
      <c r="F43" s="12">
        <f t="shared" si="7"/>
        <v>412.16</v>
      </c>
      <c r="G43" s="12">
        <f t="shared" si="7"/>
        <v>874.32</v>
      </c>
      <c r="H43" s="12">
        <f t="shared" si="7"/>
        <v>894.32</v>
      </c>
      <c r="I43" s="12">
        <f t="shared" si="7"/>
        <v>904.32</v>
      </c>
      <c r="J43" s="12">
        <f t="shared" si="7"/>
        <v>964.32</v>
      </c>
      <c r="L43" s="12" t="s">
        <v>27</v>
      </c>
      <c r="M43" s="12">
        <v>0</v>
      </c>
      <c r="N43" s="12">
        <v>403.20000000000005</v>
      </c>
      <c r="O43" s="12">
        <v>412.16</v>
      </c>
      <c r="P43" s="12">
        <v>874.32</v>
      </c>
      <c r="Q43" s="12">
        <v>894.32</v>
      </c>
      <c r="R43" s="12">
        <v>904.32</v>
      </c>
      <c r="S43" s="12">
        <v>964.32</v>
      </c>
    </row>
    <row r="44" spans="3:20">
      <c r="C44" s="12" t="s">
        <v>28</v>
      </c>
      <c r="D44" s="12">
        <f>D42-D43</f>
        <v>500</v>
      </c>
      <c r="E44" s="12">
        <f t="shared" ref="E44:J44" si="8">E42-E43</f>
        <v>1836.8000000000004</v>
      </c>
      <c r="F44" s="12">
        <f t="shared" si="8"/>
        <v>3939.0400000000018</v>
      </c>
      <c r="G44" s="12">
        <f t="shared" si="8"/>
        <v>5963.2800000000025</v>
      </c>
      <c r="H44" s="12">
        <f t="shared" si="8"/>
        <v>8794.5592000000033</v>
      </c>
      <c r="I44" s="12">
        <f t="shared" si="8"/>
        <v>11974.436352000006</v>
      </c>
      <c r="J44" s="12">
        <f t="shared" si="8"/>
        <v>15093.879326400009</v>
      </c>
      <c r="L44" t="s">
        <v>28</v>
      </c>
      <c r="M44" s="12">
        <v>500</v>
      </c>
      <c r="N44" s="12">
        <v>1836.8000000000004</v>
      </c>
      <c r="O44" s="12">
        <v>3939.0400000000018</v>
      </c>
      <c r="P44" s="12">
        <v>5963.2800000000025</v>
      </c>
      <c r="Q44" s="12">
        <v>8794.5592000000033</v>
      </c>
      <c r="R44" s="12">
        <v>11974.436352000006</v>
      </c>
      <c r="S44" s="12">
        <v>15093.879326400009</v>
      </c>
    </row>
    <row r="45" spans="3:20">
      <c r="C45" s="31" t="s">
        <v>29</v>
      </c>
      <c r="D45">
        <f>D44*D27</f>
        <v>100</v>
      </c>
      <c r="E45">
        <f t="shared" ref="E45:J45" si="9">E44*E27</f>
        <v>367.36000000000013</v>
      </c>
      <c r="F45">
        <f t="shared" si="9"/>
        <v>787.80800000000045</v>
      </c>
      <c r="G45">
        <f t="shared" si="9"/>
        <v>1192.6560000000006</v>
      </c>
      <c r="H45">
        <f t="shared" si="9"/>
        <v>1758.9118400000007</v>
      </c>
      <c r="I45">
        <f t="shared" si="9"/>
        <v>2394.8872704000014</v>
      </c>
      <c r="J45">
        <f t="shared" si="9"/>
        <v>3018.7758652800021</v>
      </c>
      <c r="L45" t="s">
        <v>29</v>
      </c>
      <c r="M45" s="12">
        <v>100</v>
      </c>
      <c r="N45" s="12">
        <v>367.36000000000013</v>
      </c>
      <c r="O45" s="12">
        <v>787.80800000000045</v>
      </c>
      <c r="P45" s="12">
        <v>1192.6560000000006</v>
      </c>
      <c r="Q45" s="12">
        <v>1758.9118400000007</v>
      </c>
      <c r="R45" s="12">
        <v>2394.8872704000014</v>
      </c>
      <c r="S45" s="12">
        <v>3018.7758652800021</v>
      </c>
    </row>
    <row r="46" spans="3:20">
      <c r="C46" s="31" t="s">
        <v>30</v>
      </c>
      <c r="D46" s="12"/>
      <c r="E46" s="12"/>
      <c r="F46" s="12"/>
      <c r="G46" s="12"/>
      <c r="H46" s="12"/>
      <c r="I46" s="12"/>
      <c r="J46" s="12"/>
      <c r="L46" t="s">
        <v>30</v>
      </c>
      <c r="M46" s="12">
        <v>400</v>
      </c>
      <c r="N46" s="12">
        <v>1469.4400000000003</v>
      </c>
      <c r="O46" s="12">
        <v>3151.2320000000013</v>
      </c>
      <c r="P46" s="12">
        <v>4770.6240000000016</v>
      </c>
      <c r="Q46" s="12">
        <v>7035.6473600000027</v>
      </c>
      <c r="R46" s="12">
        <v>9579.5490816000056</v>
      </c>
      <c r="S46" s="12">
        <v>12075.103461120007</v>
      </c>
    </row>
    <row r="47" spans="3:20">
      <c r="E47" s="12"/>
      <c r="F47" s="12"/>
      <c r="G47" s="12"/>
      <c r="H47" s="12"/>
      <c r="I47" s="12"/>
      <c r="J47" s="12"/>
    </row>
    <row r="48" spans="3:20">
      <c r="C48" s="31" t="s">
        <v>31</v>
      </c>
      <c r="D48" s="12">
        <f>D28</f>
        <v>40000</v>
      </c>
      <c r="E48" s="12">
        <f>D48+D53</f>
        <v>40320</v>
      </c>
      <c r="F48" s="12">
        <f t="shared" ref="F48:J48" si="10">E48+E53</f>
        <v>41216</v>
      </c>
      <c r="G48" s="12">
        <f t="shared" si="10"/>
        <v>43716</v>
      </c>
      <c r="H48" s="12">
        <f t="shared" si="10"/>
        <v>44716</v>
      </c>
      <c r="I48" s="12">
        <f t="shared" si="10"/>
        <v>45216</v>
      </c>
      <c r="J48" s="12">
        <f t="shared" si="10"/>
        <v>48216</v>
      </c>
      <c r="K48" s="12"/>
      <c r="L48" t="s">
        <v>31</v>
      </c>
      <c r="M48" s="12">
        <v>40000</v>
      </c>
      <c r="N48" s="12">
        <v>40320</v>
      </c>
      <c r="O48" s="12">
        <v>41216</v>
      </c>
      <c r="P48" s="12">
        <v>43716</v>
      </c>
      <c r="Q48" s="12">
        <v>44716</v>
      </c>
      <c r="R48" s="12">
        <v>45216</v>
      </c>
      <c r="S48" s="12">
        <v>48216</v>
      </c>
      <c r="T48" s="12">
        <v>48916</v>
      </c>
    </row>
    <row r="49" spans="1:20">
      <c r="C49" s="31" t="s">
        <v>118</v>
      </c>
      <c r="D49" s="12">
        <f>D32*D48</f>
        <v>0</v>
      </c>
      <c r="E49" s="12">
        <f t="shared" ref="E49:J49" si="11">E32*E48</f>
        <v>8064</v>
      </c>
      <c r="F49" s="12">
        <f t="shared" si="11"/>
        <v>10304</v>
      </c>
      <c r="G49" s="12">
        <f t="shared" si="11"/>
        <v>21858</v>
      </c>
      <c r="H49" s="12">
        <f t="shared" si="11"/>
        <v>22358</v>
      </c>
      <c r="I49" s="12">
        <f t="shared" si="11"/>
        <v>22608</v>
      </c>
      <c r="J49" s="12">
        <f t="shared" si="11"/>
        <v>24108</v>
      </c>
      <c r="K49" s="12">
        <f>J49*(1+J34)</f>
        <v>30059.662499999999</v>
      </c>
      <c r="L49" t="s">
        <v>32</v>
      </c>
      <c r="M49" s="12">
        <v>0</v>
      </c>
      <c r="N49" s="12">
        <v>8064</v>
      </c>
      <c r="O49" s="12">
        <v>10304</v>
      </c>
      <c r="P49" s="12">
        <v>21858</v>
      </c>
      <c r="Q49" s="12">
        <v>22358</v>
      </c>
      <c r="R49" s="12">
        <v>22608</v>
      </c>
      <c r="S49" s="12">
        <v>24108</v>
      </c>
      <c r="T49" s="12">
        <v>0</v>
      </c>
    </row>
    <row r="50" spans="1:20">
      <c r="C50" t="s">
        <v>64</v>
      </c>
      <c r="D50" s="12">
        <f>D48-D49</f>
        <v>40000</v>
      </c>
      <c r="E50" s="12">
        <f t="shared" ref="E50:J50" si="12">E48-E49</f>
        <v>32256</v>
      </c>
      <c r="F50" s="12">
        <f t="shared" si="12"/>
        <v>30912</v>
      </c>
      <c r="G50" s="12">
        <f t="shared" si="12"/>
        <v>21858</v>
      </c>
      <c r="H50" s="12">
        <f t="shared" si="12"/>
        <v>22358</v>
      </c>
      <c r="I50" s="12">
        <f t="shared" si="12"/>
        <v>22608</v>
      </c>
      <c r="J50" s="12">
        <f t="shared" si="12"/>
        <v>24108</v>
      </c>
      <c r="K50" s="12"/>
      <c r="M50" s="12"/>
      <c r="N50" s="12"/>
      <c r="O50" s="12"/>
      <c r="P50" s="12"/>
      <c r="Q50" s="12"/>
      <c r="R50" s="12"/>
      <c r="S50" s="12"/>
      <c r="T50" s="12"/>
    </row>
    <row r="51" spans="1:20">
      <c r="C51" t="s">
        <v>33</v>
      </c>
      <c r="D51" s="14"/>
      <c r="E51" s="14"/>
      <c r="F51" s="14"/>
      <c r="G51" s="14"/>
      <c r="H51" s="14"/>
      <c r="I51" s="14"/>
      <c r="J51" s="14"/>
      <c r="L51" t="s">
        <v>33</v>
      </c>
      <c r="M51" s="14">
        <v>0.2</v>
      </c>
      <c r="N51" s="14">
        <v>0.2</v>
      </c>
      <c r="O51" s="14">
        <v>0.2</v>
      </c>
      <c r="P51" s="14">
        <v>0.2</v>
      </c>
      <c r="Q51" s="14">
        <v>0.2</v>
      </c>
      <c r="R51" s="14">
        <v>0.2</v>
      </c>
      <c r="S51" s="14">
        <v>0.2</v>
      </c>
    </row>
    <row r="52" spans="1:20">
      <c r="C52" t="s">
        <v>34</v>
      </c>
      <c r="D52" s="12">
        <f>D42*(1-D27)</f>
        <v>400</v>
      </c>
      <c r="E52" s="12">
        <f t="shared" ref="E52:J52" si="13">E42*(1-E27)</f>
        <v>1792.0000000000005</v>
      </c>
      <c r="F52" s="12">
        <f t="shared" si="13"/>
        <v>3480.9600000000014</v>
      </c>
      <c r="G52" s="12">
        <f t="shared" si="13"/>
        <v>5470.0800000000017</v>
      </c>
      <c r="H52" s="12">
        <f t="shared" si="13"/>
        <v>7751.1033600000028</v>
      </c>
      <c r="I52" s="12">
        <f t="shared" si="13"/>
        <v>10303.005081600006</v>
      </c>
      <c r="J52" s="12">
        <f t="shared" si="13"/>
        <v>12846.559461120007</v>
      </c>
      <c r="L52" t="s">
        <v>34</v>
      </c>
      <c r="M52" s="12">
        <v>400</v>
      </c>
      <c r="N52" s="12">
        <v>1792.0000000000005</v>
      </c>
      <c r="O52" s="12">
        <v>3480.9600000000014</v>
      </c>
      <c r="P52" s="12">
        <v>5470.0800000000017</v>
      </c>
      <c r="Q52" s="12">
        <v>7751.1033600000028</v>
      </c>
      <c r="R52" s="12">
        <v>10303.005081600006</v>
      </c>
      <c r="S52" s="12">
        <v>12846.559461120007</v>
      </c>
    </row>
    <row r="53" spans="1:20">
      <c r="C53" t="s">
        <v>2</v>
      </c>
      <c r="D53" s="12">
        <f>D29*D52</f>
        <v>320</v>
      </c>
      <c r="E53" s="12">
        <f>E29*E52</f>
        <v>896.00000000000023</v>
      </c>
      <c r="F53" s="12">
        <f>F30</f>
        <v>2500</v>
      </c>
      <c r="G53" s="12">
        <f t="shared" ref="G53:J53" si="14">G30</f>
        <v>1000</v>
      </c>
      <c r="H53" s="12">
        <f t="shared" si="14"/>
        <v>500</v>
      </c>
      <c r="I53" s="12">
        <f t="shared" si="14"/>
        <v>3000</v>
      </c>
      <c r="J53" s="12">
        <f t="shared" si="14"/>
        <v>700</v>
      </c>
      <c r="L53" t="s">
        <v>2</v>
      </c>
      <c r="M53" s="12">
        <v>320</v>
      </c>
      <c r="N53" s="12">
        <v>896.00000000000023</v>
      </c>
      <c r="O53" s="12">
        <v>2500</v>
      </c>
      <c r="P53" s="12">
        <v>1000</v>
      </c>
      <c r="Q53" s="12">
        <v>500</v>
      </c>
      <c r="R53" s="12">
        <v>3000</v>
      </c>
      <c r="S53" s="12">
        <v>700</v>
      </c>
    </row>
    <row r="54" spans="1:20">
      <c r="C54" t="s">
        <v>35</v>
      </c>
      <c r="D54" s="12">
        <f>D52-D53</f>
        <v>80</v>
      </c>
      <c r="E54" s="12">
        <f t="shared" ref="E54:J54" si="15">E52-E53</f>
        <v>896.00000000000023</v>
      </c>
      <c r="F54" s="12">
        <f t="shared" si="15"/>
        <v>980.9600000000014</v>
      </c>
      <c r="G54" s="12">
        <f t="shared" si="15"/>
        <v>4470.0800000000017</v>
      </c>
      <c r="H54" s="12">
        <f t="shared" si="15"/>
        <v>7251.1033600000028</v>
      </c>
      <c r="I54" s="12">
        <f t="shared" si="15"/>
        <v>7303.0050816000057</v>
      </c>
      <c r="J54" s="12">
        <f t="shared" si="15"/>
        <v>12146.559461120007</v>
      </c>
      <c r="L54" t="s">
        <v>35</v>
      </c>
      <c r="M54" s="12">
        <v>80</v>
      </c>
      <c r="N54" s="12">
        <v>896.00000000000023</v>
      </c>
      <c r="O54" s="12">
        <v>980.9600000000014</v>
      </c>
      <c r="P54" s="12">
        <v>4470.0800000000017</v>
      </c>
      <c r="Q54" s="12">
        <v>7251.1033600000028</v>
      </c>
      <c r="R54" s="12">
        <v>7303.0050816000057</v>
      </c>
      <c r="S54" s="12">
        <v>12146.559461120007</v>
      </c>
    </row>
    <row r="55" spans="1:20">
      <c r="C55" t="s">
        <v>27</v>
      </c>
      <c r="D55" s="12">
        <f>D49*D31</f>
        <v>0</v>
      </c>
      <c r="E55" s="12">
        <f t="shared" ref="E55:J55" si="16">E49*E31</f>
        <v>403.20000000000005</v>
      </c>
      <c r="F55" s="12">
        <f t="shared" si="16"/>
        <v>412.16</v>
      </c>
      <c r="G55" s="12">
        <f t="shared" si="16"/>
        <v>874.32</v>
      </c>
      <c r="H55" s="12">
        <f t="shared" si="16"/>
        <v>894.32</v>
      </c>
      <c r="I55" s="12">
        <f t="shared" si="16"/>
        <v>904.32</v>
      </c>
      <c r="J55" s="12">
        <f t="shared" si="16"/>
        <v>964.32</v>
      </c>
      <c r="L55" t="s">
        <v>27</v>
      </c>
      <c r="M55" s="12">
        <v>0</v>
      </c>
      <c r="N55" s="12">
        <v>403.20000000000005</v>
      </c>
      <c r="O55" s="12">
        <v>412.16</v>
      </c>
      <c r="P55" s="12">
        <v>874.32</v>
      </c>
      <c r="Q55" s="12">
        <v>894.32</v>
      </c>
      <c r="R55" s="12">
        <v>904.32</v>
      </c>
      <c r="S55" s="12">
        <v>964.32</v>
      </c>
    </row>
    <row r="56" spans="1:20">
      <c r="C56" t="s">
        <v>36</v>
      </c>
      <c r="D56" s="12">
        <f>D55*D27</f>
        <v>0</v>
      </c>
      <c r="E56" s="12">
        <f t="shared" ref="E56:J56" si="17">E55*E27</f>
        <v>80.640000000000015</v>
      </c>
      <c r="F56" s="12">
        <f t="shared" si="17"/>
        <v>82.432000000000016</v>
      </c>
      <c r="G56" s="12">
        <f t="shared" si="17"/>
        <v>174.86400000000003</v>
      </c>
      <c r="H56" s="12">
        <f t="shared" si="17"/>
        <v>178.86400000000003</v>
      </c>
      <c r="I56" s="12">
        <f t="shared" si="17"/>
        <v>180.86400000000003</v>
      </c>
      <c r="J56" s="12">
        <f t="shared" si="17"/>
        <v>192.86400000000003</v>
      </c>
      <c r="L56" t="s">
        <v>36</v>
      </c>
      <c r="M56" s="12">
        <v>0</v>
      </c>
      <c r="N56" s="12">
        <v>80.640000000000015</v>
      </c>
      <c r="O56" s="12">
        <v>82.432000000000016</v>
      </c>
      <c r="P56" s="12">
        <v>174.86400000000003</v>
      </c>
      <c r="Q56" s="12">
        <v>178.86400000000003</v>
      </c>
      <c r="R56" s="12">
        <v>180.86400000000003</v>
      </c>
      <c r="S56" s="12">
        <v>192.86400000000003</v>
      </c>
    </row>
    <row r="57" spans="1:20">
      <c r="C57" t="s">
        <v>37</v>
      </c>
      <c r="D57" s="12">
        <f>E49-D49</f>
        <v>8064</v>
      </c>
      <c r="E57" s="12">
        <f t="shared" ref="E57:J57" si="18">F49-E49</f>
        <v>2240</v>
      </c>
      <c r="F57" s="12">
        <f t="shared" si="18"/>
        <v>11554</v>
      </c>
      <c r="G57" s="12">
        <f t="shared" si="18"/>
        <v>500</v>
      </c>
      <c r="H57" s="12">
        <f t="shared" si="18"/>
        <v>250</v>
      </c>
      <c r="I57" s="12">
        <f t="shared" si="18"/>
        <v>1500</v>
      </c>
      <c r="J57" s="12">
        <f t="shared" si="18"/>
        <v>5951.6624999999985</v>
      </c>
      <c r="L57" t="s">
        <v>37</v>
      </c>
      <c r="M57" s="12">
        <v>8064</v>
      </c>
      <c r="N57" s="12">
        <v>2240</v>
      </c>
      <c r="O57" s="12">
        <v>11554</v>
      </c>
      <c r="P57" s="12">
        <v>500</v>
      </c>
      <c r="Q57" s="12">
        <v>250</v>
      </c>
      <c r="R57" s="12">
        <v>1500</v>
      </c>
      <c r="S57" s="12">
        <v>-24108</v>
      </c>
    </row>
    <row r="58" spans="1:20">
      <c r="C58" t="s">
        <v>125</v>
      </c>
      <c r="D58" s="12">
        <f>D54-D55-D56+D57</f>
        <v>8144</v>
      </c>
      <c r="E58" s="12">
        <f t="shared" ref="E58:J58" si="19">E54-E55-E56+E57</f>
        <v>2652.1600000000003</v>
      </c>
      <c r="F58" s="12">
        <f t="shared" si="19"/>
        <v>12040.368000000002</v>
      </c>
      <c r="G58" s="12">
        <f t="shared" si="19"/>
        <v>3920.8960000000015</v>
      </c>
      <c r="H58" s="12">
        <f t="shared" si="19"/>
        <v>6427.9193600000035</v>
      </c>
      <c r="I58" s="12">
        <f t="shared" si="19"/>
        <v>7717.8210816000064</v>
      </c>
      <c r="J58" s="12">
        <f t="shared" si="19"/>
        <v>16941.037961120004</v>
      </c>
    </row>
    <row r="60" spans="1:20">
      <c r="A60" t="s">
        <v>480</v>
      </c>
      <c r="B60" t="s">
        <v>481</v>
      </c>
      <c r="C60" t="s">
        <v>439</v>
      </c>
      <c r="D60" s="12">
        <f>D54+D56</f>
        <v>80</v>
      </c>
      <c r="E60" s="12">
        <f t="shared" ref="E60:J60" si="20">E54+E56</f>
        <v>976.64000000000021</v>
      </c>
      <c r="F60" s="12">
        <f t="shared" si="20"/>
        <v>1063.3920000000014</v>
      </c>
      <c r="G60" s="12">
        <f t="shared" si="20"/>
        <v>4644.9440000000013</v>
      </c>
      <c r="H60" s="12">
        <f t="shared" si="20"/>
        <v>7429.9673600000024</v>
      </c>
      <c r="I60" s="12">
        <f t="shared" si="20"/>
        <v>7483.8690816000053</v>
      </c>
      <c r="J60" s="12">
        <f t="shared" si="20"/>
        <v>12339.423461120006</v>
      </c>
    </row>
    <row r="61" spans="1:20">
      <c r="C61" t="s">
        <v>143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94510-A6AD-FB46-9F6C-9121F99DD1FC}">
  <sheetPr codeName="Sheet3"/>
  <dimension ref="B1:F85"/>
  <sheetViews>
    <sheetView workbookViewId="0">
      <selection activeCell="H52" sqref="H52:K85"/>
    </sheetView>
  </sheetViews>
  <sheetFormatPr baseColWidth="10" defaultColWidth="8.83203125" defaultRowHeight="16"/>
  <cols>
    <col min="2" max="2" width="19.83203125" bestFit="1" customWidth="1"/>
    <col min="3" max="3" width="37.1640625" bestFit="1" customWidth="1"/>
    <col min="4" max="4" width="9.33203125" bestFit="1" customWidth="1"/>
    <col min="5" max="5" width="16.83203125" customWidth="1"/>
    <col min="6" max="6" width="17.5" customWidth="1"/>
    <col min="8" max="8" width="31" bestFit="1" customWidth="1"/>
    <col min="9" max="9" width="6.6640625" bestFit="1" customWidth="1"/>
    <col min="10" max="11" width="12.1640625" bestFit="1" customWidth="1"/>
  </cols>
  <sheetData>
    <row r="1" spans="2:3" ht="17" thickBot="1"/>
    <row r="2" spans="2:3" ht="18">
      <c r="B2" s="1" t="str">
        <f>+[2]Admin!C12</f>
        <v>Date</v>
      </c>
      <c r="C2" s="2">
        <f>+[2]Admin!D12</f>
        <v>45272</v>
      </c>
    </row>
    <row r="3" spans="2:3" ht="18">
      <c r="B3" s="3" t="str">
        <f>+[2]Admin!C13</f>
        <v>Student name</v>
      </c>
      <c r="C3" s="4">
        <f>+[2]Admin!D13</f>
        <v>0</v>
      </c>
    </row>
    <row r="4" spans="2:3" ht="18">
      <c r="B4" s="3" t="str">
        <f>+[2]Admin!C14</f>
        <v>Neptun code</v>
      </c>
      <c r="C4" s="4">
        <f>+[2]Admin!D14</f>
        <v>0</v>
      </c>
    </row>
    <row r="5" spans="2:3" ht="18">
      <c r="B5" s="3"/>
      <c r="C5" s="5"/>
    </row>
    <row r="6" spans="2:3" ht="18">
      <c r="B6" s="3" t="str">
        <f>+[2]Admin!C16</f>
        <v>Study program</v>
      </c>
      <c r="C6" s="5" t="str">
        <f>+[2]Admin!D16</f>
        <v>Master in Finance</v>
      </c>
    </row>
    <row r="7" spans="2:3" ht="19" thickBot="1">
      <c r="B7" s="6" t="str">
        <f>+[2]Admin!C17</f>
        <v>Instructor</v>
      </c>
      <c r="C7" s="7" t="str">
        <f>+[2]Admin!D17</f>
        <v>Péter Juhász, PhD, CFA</v>
      </c>
    </row>
    <row r="8" spans="2:3" ht="17" thickBot="1"/>
    <row r="9" spans="2:3" ht="21" thickBot="1">
      <c r="B9" s="8" t="s">
        <v>0</v>
      </c>
      <c r="C9" s="9"/>
    </row>
    <row r="17" spans="3:6" ht="17" thickBot="1"/>
    <row r="18" spans="3:6" ht="17" thickBot="1">
      <c r="C18" s="32"/>
      <c r="D18" s="33">
        <f ca="1">+E18-1</f>
        <v>2021</v>
      </c>
      <c r="E18" s="33">
        <f ca="1">+F18-1</f>
        <v>2022</v>
      </c>
      <c r="F18" s="33">
        <f ca="1">+YEAR(TODAY())-1</f>
        <v>2023</v>
      </c>
    </row>
    <row r="19" spans="3:6" ht="17" thickBot="1">
      <c r="C19" s="34" t="s">
        <v>3</v>
      </c>
      <c r="D19" s="35">
        <v>19000</v>
      </c>
      <c r="E19" s="35">
        <v>22000</v>
      </c>
      <c r="F19" s="35">
        <v>25000</v>
      </c>
    </row>
    <row r="20" spans="3:6" ht="17" thickBot="1">
      <c r="C20" s="34" t="s">
        <v>38</v>
      </c>
      <c r="D20" s="35">
        <v>0</v>
      </c>
      <c r="E20" s="35">
        <v>500</v>
      </c>
      <c r="F20" s="35">
        <v>0</v>
      </c>
    </row>
    <row r="21" spans="3:6" ht="17" thickBot="1">
      <c r="C21" s="34" t="s">
        <v>39</v>
      </c>
      <c r="D21" s="35">
        <v>10000</v>
      </c>
      <c r="E21" s="35">
        <v>12000</v>
      </c>
      <c r="F21" s="35">
        <v>13000</v>
      </c>
    </row>
    <row r="22" spans="3:6" ht="17" thickBot="1">
      <c r="C22" s="34" t="s">
        <v>40</v>
      </c>
      <c r="D22" s="35">
        <v>5000</v>
      </c>
      <c r="E22" s="35">
        <v>6000</v>
      </c>
      <c r="F22" s="35">
        <v>7000</v>
      </c>
    </row>
    <row r="23" spans="3:6" ht="17" thickBot="1">
      <c r="C23" s="34" t="s">
        <v>41</v>
      </c>
      <c r="D23" s="35">
        <v>2000</v>
      </c>
      <c r="E23" s="35">
        <v>2300</v>
      </c>
      <c r="F23" s="35">
        <v>2500</v>
      </c>
    </row>
    <row r="24" spans="3:6" ht="17" thickBot="1">
      <c r="C24" s="36" t="s">
        <v>26</v>
      </c>
      <c r="D24" s="37">
        <f>+D19+D20-D21-D22-D23</f>
        <v>2000</v>
      </c>
      <c r="E24" s="37">
        <f t="shared" ref="E24:F24" si="0">+E19+E20-E21-E22-E23</f>
        <v>2200</v>
      </c>
      <c r="F24" s="37">
        <f t="shared" si="0"/>
        <v>2500</v>
      </c>
    </row>
    <row r="25" spans="3:6" ht="17" thickBot="1">
      <c r="C25" s="34" t="s">
        <v>42</v>
      </c>
      <c r="D25" s="35">
        <v>100</v>
      </c>
      <c r="E25" s="35">
        <v>60</v>
      </c>
      <c r="F25" s="35">
        <v>0</v>
      </c>
    </row>
    <row r="26" spans="3:6" ht="17" thickBot="1">
      <c r="C26" s="34" t="s">
        <v>43</v>
      </c>
      <c r="D26" s="35">
        <v>0</v>
      </c>
      <c r="E26" s="35">
        <v>0</v>
      </c>
      <c r="F26" s="35">
        <v>10</v>
      </c>
    </row>
    <row r="27" spans="3:6" ht="17" thickBot="1">
      <c r="C27" s="34" t="s">
        <v>44</v>
      </c>
      <c r="D27" s="35">
        <v>30</v>
      </c>
      <c r="E27" s="35">
        <v>20</v>
      </c>
      <c r="F27" s="35">
        <v>10</v>
      </c>
    </row>
    <row r="28" spans="3:6" ht="17" thickBot="1">
      <c r="C28" s="34" t="s">
        <v>45</v>
      </c>
      <c r="D28" s="35">
        <v>200</v>
      </c>
      <c r="E28" s="35">
        <v>250</v>
      </c>
      <c r="F28" s="35">
        <v>300</v>
      </c>
    </row>
    <row r="29" spans="3:6" ht="17" thickBot="1">
      <c r="C29" s="36" t="s">
        <v>46</v>
      </c>
      <c r="D29" s="37">
        <f t="shared" ref="D29" si="1">+D25+D26-D27-D28</f>
        <v>-130</v>
      </c>
      <c r="E29" s="37">
        <f>+E25+E26-E27-E28</f>
        <v>-210</v>
      </c>
      <c r="F29" s="37">
        <f>+F25+F26-F27-F28</f>
        <v>-300</v>
      </c>
    </row>
    <row r="30" spans="3:6" ht="17" thickBot="1">
      <c r="C30" s="34" t="s">
        <v>47</v>
      </c>
      <c r="D30" s="35">
        <f>+D29+D24</f>
        <v>1870</v>
      </c>
      <c r="E30" s="35">
        <f>+E29+E24</f>
        <v>1990</v>
      </c>
      <c r="F30" s="35">
        <f t="shared" ref="F30" si="2">+F29+F24</f>
        <v>2200</v>
      </c>
    </row>
    <row r="31" spans="3:6" ht="17" thickBot="1">
      <c r="C31" s="34" t="s">
        <v>48</v>
      </c>
      <c r="D31" s="35">
        <v>300</v>
      </c>
      <c r="E31" s="35">
        <v>330</v>
      </c>
      <c r="F31" s="35">
        <v>370</v>
      </c>
    </row>
    <row r="32" spans="3:6" ht="17" thickBot="1">
      <c r="C32" s="36" t="s">
        <v>49</v>
      </c>
      <c r="D32" s="37">
        <f>+D30-D31</f>
        <v>1570</v>
      </c>
      <c r="E32" s="37">
        <f t="shared" ref="E32:F32" si="3">+E30-E31</f>
        <v>1660</v>
      </c>
      <c r="F32" s="37">
        <f t="shared" si="3"/>
        <v>1830</v>
      </c>
    </row>
    <row r="33" spans="3:6" ht="17" thickBot="1">
      <c r="C33" s="34" t="s">
        <v>50</v>
      </c>
      <c r="D33" s="35">
        <v>1000</v>
      </c>
      <c r="E33" s="35">
        <v>1200</v>
      </c>
      <c r="F33" s="35">
        <v>1400</v>
      </c>
    </row>
    <row r="34" spans="3:6" ht="17" thickBot="1">
      <c r="C34" s="34" t="s">
        <v>51</v>
      </c>
      <c r="D34" s="35">
        <f>+D32-D33</f>
        <v>570</v>
      </c>
      <c r="E34" s="35">
        <f t="shared" ref="E34:F34" si="4">+E32-E33</f>
        <v>460</v>
      </c>
      <c r="F34" s="35">
        <f t="shared" si="4"/>
        <v>430</v>
      </c>
    </row>
    <row r="35" spans="3:6" ht="17" thickBot="1">
      <c r="C35" s="38"/>
      <c r="D35" s="39"/>
      <c r="E35" s="39"/>
      <c r="F35" s="39"/>
    </row>
    <row r="36" spans="3:6" ht="17" thickBot="1">
      <c r="C36" s="34" t="s">
        <v>52</v>
      </c>
      <c r="D36" s="35">
        <v>500</v>
      </c>
      <c r="E36" s="35">
        <v>600</v>
      </c>
      <c r="F36" s="35">
        <v>400</v>
      </c>
    </row>
    <row r="37" spans="3:6" ht="17" thickBot="1">
      <c r="C37" s="34" t="s">
        <v>53</v>
      </c>
      <c r="D37" s="35">
        <v>200</v>
      </c>
      <c r="E37" s="35">
        <v>220</v>
      </c>
      <c r="F37" s="35">
        <v>250</v>
      </c>
    </row>
    <row r="38" spans="3:6" ht="17" thickBot="1">
      <c r="C38" s="34" t="s">
        <v>54</v>
      </c>
      <c r="D38" s="35">
        <v>0</v>
      </c>
      <c r="E38" s="35">
        <v>50</v>
      </c>
      <c r="F38" s="35">
        <v>40</v>
      </c>
    </row>
    <row r="39" spans="3:6" ht="17" thickBot="1">
      <c r="C39" s="34" t="s">
        <v>55</v>
      </c>
      <c r="D39" s="35">
        <v>600</v>
      </c>
      <c r="E39" s="35">
        <v>800</v>
      </c>
      <c r="F39" s="35">
        <v>1000</v>
      </c>
    </row>
    <row r="40" spans="3:6" ht="17" thickBot="1">
      <c r="C40" s="34" t="s">
        <v>56</v>
      </c>
      <c r="D40" s="35">
        <v>400</v>
      </c>
      <c r="E40" s="35">
        <v>500</v>
      </c>
      <c r="F40" s="35">
        <v>450</v>
      </c>
    </row>
    <row r="41" spans="3:6" ht="17" thickBot="1">
      <c r="C41" s="36" t="s">
        <v>57</v>
      </c>
      <c r="D41" s="40">
        <f>+D36+D38+D39+D40</f>
        <v>1500</v>
      </c>
      <c r="E41" s="40">
        <f t="shared" ref="E41:F41" si="5">+E36+E38+E39+E40</f>
        <v>1950</v>
      </c>
      <c r="F41" s="40">
        <f t="shared" si="5"/>
        <v>1890</v>
      </c>
    </row>
    <row r="42" spans="3:6" ht="17" thickBot="1">
      <c r="C42" s="34" t="s">
        <v>58</v>
      </c>
      <c r="D42" s="35">
        <v>15000</v>
      </c>
      <c r="E42" s="35">
        <v>20000</v>
      </c>
      <c r="F42" s="35">
        <v>19500</v>
      </c>
    </row>
    <row r="43" spans="3:6" ht="17" thickBot="1">
      <c r="C43" s="36" t="s">
        <v>59</v>
      </c>
      <c r="D43" s="37">
        <f>+D42+D41</f>
        <v>16500</v>
      </c>
      <c r="E43" s="37">
        <f t="shared" ref="E43:F43" si="6">+E42+E41</f>
        <v>21950</v>
      </c>
      <c r="F43" s="37">
        <f t="shared" si="6"/>
        <v>21390</v>
      </c>
    </row>
    <row r="44" spans="3:6" ht="17" thickBot="1">
      <c r="C44" s="34" t="s">
        <v>60</v>
      </c>
      <c r="D44" s="35">
        <v>300</v>
      </c>
      <c r="E44" s="35">
        <v>200</v>
      </c>
      <c r="F44" s="35">
        <v>250</v>
      </c>
    </row>
    <row r="45" spans="3:6" ht="17" thickBot="1">
      <c r="C45" s="34" t="s">
        <v>61</v>
      </c>
      <c r="D45" s="35">
        <v>300</v>
      </c>
      <c r="E45" s="35">
        <v>240</v>
      </c>
      <c r="F45" s="35">
        <v>450</v>
      </c>
    </row>
    <row r="46" spans="3:6" ht="17" thickBot="1">
      <c r="C46" s="36" t="s">
        <v>62</v>
      </c>
      <c r="D46" s="37">
        <f>+D44+D45</f>
        <v>600</v>
      </c>
      <c r="E46" s="37">
        <f t="shared" ref="E46:F46" si="7">+E44+E45</f>
        <v>440</v>
      </c>
      <c r="F46" s="37">
        <f t="shared" si="7"/>
        <v>700</v>
      </c>
    </row>
    <row r="47" spans="3:6" ht="17" thickBot="1">
      <c r="C47" s="34" t="s">
        <v>63</v>
      </c>
      <c r="D47" s="35">
        <v>5000</v>
      </c>
      <c r="E47" s="35">
        <v>6000</v>
      </c>
      <c r="F47" s="35">
        <v>7000</v>
      </c>
    </row>
    <row r="48" spans="3:6" ht="17" thickBot="1">
      <c r="C48" s="34" t="s">
        <v>64</v>
      </c>
      <c r="D48" s="35">
        <f>+D43-D46-D47</f>
        <v>10900</v>
      </c>
      <c r="E48" s="35">
        <f t="shared" ref="E48:F48" si="8">+E43-E46-E47</f>
        <v>15510</v>
      </c>
      <c r="F48" s="35">
        <f t="shared" si="8"/>
        <v>13690</v>
      </c>
    </row>
    <row r="49" spans="3:6" ht="17" thickBot="1">
      <c r="C49" s="36" t="s">
        <v>65</v>
      </c>
      <c r="D49" s="37">
        <f>+D46+D47+D48</f>
        <v>16500</v>
      </c>
      <c r="E49" s="37">
        <f t="shared" ref="E49:F49" si="9">+E46+E47+E48</f>
        <v>21950</v>
      </c>
      <c r="F49" s="37">
        <f t="shared" si="9"/>
        <v>21390</v>
      </c>
    </row>
    <row r="51" spans="3:6">
      <c r="E51" s="41"/>
      <c r="F51" s="41"/>
    </row>
    <row r="52" spans="3:6">
      <c r="C52" s="42" t="s">
        <v>33</v>
      </c>
      <c r="D52" s="43"/>
      <c r="E52" s="44">
        <f>E31/(E30-E25)</f>
        <v>0.17098445595854922</v>
      </c>
      <c r="F52" s="44">
        <f>F31/(F30-F25)</f>
        <v>0.16818181818181818</v>
      </c>
    </row>
    <row r="54" spans="3:6">
      <c r="C54" s="45" t="s">
        <v>26</v>
      </c>
      <c r="D54" s="45"/>
      <c r="E54" s="46">
        <f>E24</f>
        <v>2200</v>
      </c>
      <c r="F54" s="47">
        <f>F24</f>
        <v>2500</v>
      </c>
    </row>
    <row r="55" spans="3:6">
      <c r="C55" s="48" t="s">
        <v>66</v>
      </c>
      <c r="D55" s="48"/>
      <c r="E55" s="12"/>
      <c r="F55" s="49"/>
    </row>
    <row r="56" spans="3:6">
      <c r="C56" s="48" t="s">
        <v>67</v>
      </c>
      <c r="D56" s="48"/>
      <c r="E56" s="50">
        <f>+E54-E55</f>
        <v>2200</v>
      </c>
      <c r="F56" s="51">
        <f>+F54-F55</f>
        <v>2500</v>
      </c>
    </row>
    <row r="57" spans="3:6">
      <c r="C57" s="48" t="s">
        <v>34</v>
      </c>
      <c r="D57" s="48"/>
      <c r="E57" s="50">
        <f>E56*(1-E52)</f>
        <v>1823.8341968911918</v>
      </c>
      <c r="F57" s="51">
        <f>F56*(1-F52)</f>
        <v>2079.5454545454545</v>
      </c>
    </row>
    <row r="58" spans="3:6">
      <c r="C58" s="48" t="s">
        <v>41</v>
      </c>
      <c r="D58" s="48"/>
      <c r="E58" s="50">
        <f>E23</f>
        <v>2300</v>
      </c>
      <c r="F58" s="51">
        <f>F23</f>
        <v>2500</v>
      </c>
    </row>
    <row r="59" spans="3:6">
      <c r="C59" s="52" t="s">
        <v>68</v>
      </c>
      <c r="D59" s="52"/>
      <c r="E59" s="53">
        <f>E57+E58</f>
        <v>4123.8341968911918</v>
      </c>
      <c r="F59" s="54">
        <f>F57+F58</f>
        <v>4579.545454545454</v>
      </c>
    </row>
    <row r="60" spans="3:6">
      <c r="C60" s="48" t="s">
        <v>69</v>
      </c>
      <c r="D60" s="48"/>
      <c r="E60" s="50">
        <f>D40-E40</f>
        <v>-100</v>
      </c>
      <c r="F60" s="51">
        <f>E40-F40</f>
        <v>50</v>
      </c>
    </row>
    <row r="61" spans="3:6">
      <c r="C61" s="48" t="s">
        <v>70</v>
      </c>
      <c r="D61" s="48"/>
      <c r="E61" s="50">
        <f>D39-E39</f>
        <v>-200</v>
      </c>
      <c r="F61" s="51">
        <f>E39-F39</f>
        <v>-200</v>
      </c>
    </row>
    <row r="62" spans="3:6">
      <c r="C62" s="48" t="s">
        <v>71</v>
      </c>
      <c r="D62" s="48"/>
      <c r="E62" s="50">
        <f>D37-E37</f>
        <v>-20</v>
      </c>
      <c r="F62" s="51">
        <f>E37-F37</f>
        <v>-30</v>
      </c>
    </row>
    <row r="63" spans="3:6">
      <c r="C63" s="48" t="s">
        <v>72</v>
      </c>
      <c r="D63" s="48"/>
      <c r="E63" s="50">
        <f>E45-D45</f>
        <v>-60</v>
      </c>
      <c r="F63" s="51">
        <f>F45-E45</f>
        <v>210</v>
      </c>
    </row>
    <row r="64" spans="3:6">
      <c r="C64" s="48" t="s">
        <v>73</v>
      </c>
      <c r="D64" s="48"/>
      <c r="E64" s="50"/>
      <c r="F64" s="51"/>
    </row>
    <row r="65" spans="3:6">
      <c r="C65" s="55" t="s">
        <v>74</v>
      </c>
      <c r="D65" s="55"/>
      <c r="E65" s="56">
        <f>+E59+SUM(E60:E64)</f>
        <v>3743.8341968911918</v>
      </c>
      <c r="F65" s="57">
        <f>+F59+SUM(F60:F64)</f>
        <v>4609.545454545454</v>
      </c>
    </row>
    <row r="66" spans="3:6">
      <c r="C66" s="48" t="s">
        <v>41</v>
      </c>
      <c r="D66" s="48"/>
      <c r="E66" s="12">
        <f>-E58</f>
        <v>-2300</v>
      </c>
      <c r="F66" s="49">
        <f>-F58</f>
        <v>-2500</v>
      </c>
    </row>
    <row r="67" spans="3:6">
      <c r="C67" s="58" t="s">
        <v>75</v>
      </c>
      <c r="D67" s="58"/>
      <c r="E67" s="12">
        <f>D42-E42</f>
        <v>-5000</v>
      </c>
      <c r="F67" s="49">
        <f>E42-F42</f>
        <v>500</v>
      </c>
    </row>
    <row r="68" spans="3:6">
      <c r="C68" s="58" t="s">
        <v>76</v>
      </c>
      <c r="D68" s="58"/>
      <c r="E68" s="12">
        <f>E25</f>
        <v>60</v>
      </c>
      <c r="F68" s="49">
        <f>F25</f>
        <v>0</v>
      </c>
    </row>
    <row r="69" spans="3:6">
      <c r="C69" s="58" t="s">
        <v>77</v>
      </c>
      <c r="D69" s="58"/>
      <c r="E69" s="12">
        <f>E26</f>
        <v>0</v>
      </c>
      <c r="F69" s="49">
        <f>F26</f>
        <v>10</v>
      </c>
    </row>
    <row r="70" spans="3:6">
      <c r="C70" s="58" t="s">
        <v>78</v>
      </c>
      <c r="D70" s="58"/>
      <c r="E70">
        <f>E69*E52</f>
        <v>0</v>
      </c>
      <c r="F70" s="59">
        <f>F69*F52</f>
        <v>1.6818181818181819</v>
      </c>
    </row>
    <row r="71" spans="3:6">
      <c r="C71" s="55" t="s">
        <v>79</v>
      </c>
      <c r="D71" s="55"/>
      <c r="E71" s="56">
        <f>SUM(E66:E69)-E70</f>
        <v>-7240</v>
      </c>
      <c r="F71" s="57">
        <f>SUM(F66:F69)-F70</f>
        <v>-1991.6818181818182</v>
      </c>
    </row>
    <row r="72" spans="3:6">
      <c r="C72" s="60" t="s">
        <v>80</v>
      </c>
      <c r="D72" s="60"/>
      <c r="E72" s="61">
        <f>E65+E71</f>
        <v>-3496.1658031088082</v>
      </c>
      <c r="F72" s="62">
        <f>F65+F71</f>
        <v>2617.863636363636</v>
      </c>
    </row>
    <row r="73" spans="3:6">
      <c r="C73" s="48" t="s">
        <v>81</v>
      </c>
      <c r="D73" s="48"/>
      <c r="E73" s="12">
        <f>E27+E28</f>
        <v>270</v>
      </c>
      <c r="F73" s="49">
        <f>F27+F28</f>
        <v>310</v>
      </c>
    </row>
    <row r="74" spans="3:6">
      <c r="C74" s="48" t="s">
        <v>82</v>
      </c>
      <c r="D74" s="48"/>
      <c r="E74">
        <f>E73*E52</f>
        <v>46.165803108808291</v>
      </c>
      <c r="F74" s="59">
        <f>F73*F52</f>
        <v>52.136363636363633</v>
      </c>
    </row>
    <row r="75" spans="3:6">
      <c r="C75" s="63" t="s">
        <v>83</v>
      </c>
      <c r="D75" s="63"/>
      <c r="E75" s="12">
        <f>(E47+E44)-(D47+D44)</f>
        <v>900</v>
      </c>
      <c r="F75" s="49">
        <f>(F47+F44)-(E47+E44)</f>
        <v>1050</v>
      </c>
    </row>
    <row r="76" spans="3:6">
      <c r="C76" s="60" t="s">
        <v>84</v>
      </c>
      <c r="D76" s="60"/>
      <c r="E76" s="61">
        <f>E72-E73+E74+E75</f>
        <v>-2820</v>
      </c>
      <c r="F76" s="62">
        <f>F72-F73+F74+F75</f>
        <v>3409.9999999999995</v>
      </c>
    </row>
    <row r="78" spans="3:6">
      <c r="C78" s="64" t="s">
        <v>50</v>
      </c>
      <c r="D78" s="46"/>
      <c r="E78" s="46">
        <f>E33</f>
        <v>1200</v>
      </c>
      <c r="F78" s="47">
        <f>F33</f>
        <v>1400</v>
      </c>
    </row>
    <row r="79" spans="3:6">
      <c r="C79" s="65" t="s">
        <v>85</v>
      </c>
      <c r="D79" s="66"/>
      <c r="E79" s="66">
        <f>E48-D48-E34</f>
        <v>4150</v>
      </c>
      <c r="F79" s="67">
        <f>F48-E48-F34</f>
        <v>-2250</v>
      </c>
    </row>
    <row r="80" spans="3:6">
      <c r="C80" s="68" t="s">
        <v>86</v>
      </c>
      <c r="D80" s="69"/>
      <c r="E80" s="70">
        <f>+E76-E78+E79</f>
        <v>130</v>
      </c>
      <c r="F80" s="70">
        <f>+F76-F78+F79</f>
        <v>-240.00000000000045</v>
      </c>
    </row>
    <row r="81" spans="3:6">
      <c r="C81" s="31"/>
      <c r="E81" s="71"/>
      <c r="F81" s="71"/>
    </row>
    <row r="82" spans="3:6">
      <c r="C82" s="12" t="s">
        <v>87</v>
      </c>
      <c r="D82" s="12">
        <f>D36-D37</f>
        <v>300</v>
      </c>
      <c r="E82" s="12">
        <f>E36-E37</f>
        <v>380</v>
      </c>
      <c r="F82" s="12">
        <f>F36-F37</f>
        <v>150</v>
      </c>
    </row>
    <row r="83" spans="3:6">
      <c r="C83" s="12" t="s">
        <v>54</v>
      </c>
      <c r="D83" s="12">
        <f>+D38</f>
        <v>0</v>
      </c>
      <c r="E83" s="12">
        <f>+E38</f>
        <v>50</v>
      </c>
      <c r="F83" s="12">
        <f>+F38</f>
        <v>40</v>
      </c>
    </row>
    <row r="84" spans="3:6">
      <c r="C84" t="s">
        <v>88</v>
      </c>
      <c r="D84" s="12">
        <f>+SUM(D82:D83)</f>
        <v>300</v>
      </c>
      <c r="E84" s="12">
        <f>+SUM(E82:E83)</f>
        <v>430</v>
      </c>
      <c r="F84" s="12">
        <f>+SUM(F82:F83)</f>
        <v>190</v>
      </c>
    </row>
    <row r="85" spans="3:6">
      <c r="C85" s="72" t="s">
        <v>86</v>
      </c>
      <c r="D85" s="73"/>
      <c r="E85" s="74">
        <f>+E84-D84</f>
        <v>130</v>
      </c>
      <c r="F85" s="74">
        <f>+F84-E84</f>
        <v>-240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80338-7F5D-7641-9B4F-3211F80CA8B8}">
  <sheetPr codeName="Sheet7"/>
  <dimension ref="A1:G92"/>
  <sheetViews>
    <sheetView workbookViewId="0">
      <selection activeCell="C53" sqref="C53"/>
    </sheetView>
  </sheetViews>
  <sheetFormatPr baseColWidth="10" defaultColWidth="8.83203125" defaultRowHeight="16"/>
  <cols>
    <col min="2" max="2" width="22.6640625" bestFit="1" customWidth="1"/>
    <col min="3" max="3" width="42.5" bestFit="1" customWidth="1"/>
    <col min="4" max="6" width="9.5" bestFit="1" customWidth="1"/>
  </cols>
  <sheetData>
    <row r="1" spans="1:1">
      <c r="A1" t="s">
        <v>111</v>
      </c>
    </row>
    <row r="17" spans="3:6" ht="17" thickBot="1"/>
    <row r="18" spans="3:6" ht="17" thickBot="1">
      <c r="C18" s="32"/>
      <c r="D18" s="33">
        <f ca="1">+E18-1</f>
        <v>2021</v>
      </c>
      <c r="E18" s="33">
        <f ca="1">+F18-1</f>
        <v>2022</v>
      </c>
      <c r="F18" s="33">
        <f ca="1">+YEAR(TODAY())-1</f>
        <v>2023</v>
      </c>
    </row>
    <row r="19" spans="3:6" ht="17" thickBot="1">
      <c r="C19" s="34" t="s">
        <v>3</v>
      </c>
      <c r="D19" s="35">
        <v>12000</v>
      </c>
      <c r="E19" s="35">
        <v>13200</v>
      </c>
      <c r="F19" s="35">
        <v>14256</v>
      </c>
    </row>
    <row r="20" spans="3:6" ht="17" thickBot="1">
      <c r="C20" s="34" t="s">
        <v>38</v>
      </c>
      <c r="D20" s="35">
        <v>0</v>
      </c>
      <c r="E20" s="35">
        <v>396</v>
      </c>
      <c r="F20" s="35">
        <v>712.8</v>
      </c>
    </row>
    <row r="21" spans="3:6" ht="17" thickBot="1">
      <c r="C21" s="34" t="s">
        <v>39</v>
      </c>
      <c r="D21" s="35">
        <v>7680</v>
      </c>
      <c r="E21" s="35">
        <v>8580</v>
      </c>
      <c r="F21" s="35">
        <v>9408.9599999999991</v>
      </c>
    </row>
    <row r="22" spans="3:6" ht="17" thickBot="1">
      <c r="C22" s="34" t="s">
        <v>40</v>
      </c>
      <c r="D22" s="35">
        <v>3840</v>
      </c>
      <c r="E22" s="35">
        <v>3960</v>
      </c>
      <c r="F22" s="35">
        <v>4419.3599999999997</v>
      </c>
    </row>
    <row r="23" spans="3:6" ht="17" thickBot="1">
      <c r="C23" s="34" t="s">
        <v>41</v>
      </c>
      <c r="D23" s="35">
        <v>250</v>
      </c>
      <c r="E23" s="35">
        <v>150</v>
      </c>
      <c r="F23" s="35">
        <v>180</v>
      </c>
    </row>
    <row r="24" spans="3:6" ht="17" thickBot="1">
      <c r="C24" s="36" t="s">
        <v>26</v>
      </c>
      <c r="D24" s="37">
        <f>+D19+D20-D21-D22-D23</f>
        <v>230</v>
      </c>
      <c r="E24" s="37">
        <f t="shared" ref="E24:F24" si="0">+E19+E20-E21-E22-E23</f>
        <v>906</v>
      </c>
      <c r="F24" s="37">
        <f t="shared" si="0"/>
        <v>960.48000000000047</v>
      </c>
    </row>
    <row r="25" spans="3:6" ht="17" thickBot="1">
      <c r="C25" s="34" t="s">
        <v>42</v>
      </c>
      <c r="D25" s="35">
        <v>100</v>
      </c>
      <c r="E25" s="35">
        <v>0</v>
      </c>
      <c r="F25" s="35">
        <v>120</v>
      </c>
    </row>
    <row r="26" spans="3:6" ht="17" thickBot="1">
      <c r="C26" s="34" t="s">
        <v>43</v>
      </c>
      <c r="D26" s="35">
        <v>10</v>
      </c>
      <c r="E26" s="35">
        <v>0</v>
      </c>
      <c r="F26" s="35">
        <v>50</v>
      </c>
    </row>
    <row r="27" spans="3:6" ht="17" thickBot="1">
      <c r="C27" s="34" t="s">
        <v>177</v>
      </c>
      <c r="D27" s="35">
        <v>80</v>
      </c>
      <c r="E27" s="35">
        <v>85</v>
      </c>
      <c r="F27" s="35">
        <v>40</v>
      </c>
    </row>
    <row r="28" spans="3:6" ht="17" thickBot="1">
      <c r="C28" s="36" t="s">
        <v>46</v>
      </c>
      <c r="D28" s="37">
        <f>+D25+D26-D27</f>
        <v>30</v>
      </c>
      <c r="E28" s="37">
        <f t="shared" ref="E28:F28" si="1">+E25+E26-E27</f>
        <v>-85</v>
      </c>
      <c r="F28" s="37">
        <f t="shared" si="1"/>
        <v>130</v>
      </c>
    </row>
    <row r="29" spans="3:6" ht="17" thickBot="1">
      <c r="C29" s="34" t="s">
        <v>47</v>
      </c>
      <c r="D29" s="35">
        <f>+D28+D24</f>
        <v>260</v>
      </c>
      <c r="E29" s="35">
        <f t="shared" ref="E29:F29" si="2">+E28+E24</f>
        <v>821</v>
      </c>
      <c r="F29" s="35">
        <f t="shared" si="2"/>
        <v>1090.4800000000005</v>
      </c>
    </row>
    <row r="30" spans="3:6" ht="17" thickBot="1">
      <c r="C30" s="34" t="s">
        <v>48</v>
      </c>
      <c r="D30" s="35">
        <v>23</v>
      </c>
      <c r="E30" s="35">
        <v>74</v>
      </c>
      <c r="F30" s="35">
        <v>98</v>
      </c>
    </row>
    <row r="31" spans="3:6" ht="17" thickBot="1">
      <c r="C31" s="36" t="s">
        <v>49</v>
      </c>
      <c r="D31" s="37">
        <f>+D29-D30</f>
        <v>237</v>
      </c>
      <c r="E31" s="37">
        <f t="shared" ref="E31:F31" si="3">+E29-E30</f>
        <v>747</v>
      </c>
      <c r="F31" s="37">
        <f t="shared" si="3"/>
        <v>992.48000000000047</v>
      </c>
    </row>
    <row r="32" spans="3:6" ht="17" thickBot="1">
      <c r="C32" s="34" t="s">
        <v>50</v>
      </c>
      <c r="D32" s="35">
        <v>30</v>
      </c>
      <c r="E32" s="35">
        <v>164.2</v>
      </c>
      <c r="F32" s="35">
        <v>297.70999999999998</v>
      </c>
    </row>
    <row r="33" spans="3:6" ht="17" thickBot="1">
      <c r="C33" s="34" t="s">
        <v>51</v>
      </c>
      <c r="D33" s="35">
        <f>+D31-D32</f>
        <v>207</v>
      </c>
      <c r="E33" s="35">
        <f t="shared" ref="E33:F33" si="4">+E31-E32</f>
        <v>582.79999999999995</v>
      </c>
      <c r="F33" s="35">
        <f t="shared" si="4"/>
        <v>694.77000000000044</v>
      </c>
    </row>
    <row r="34" spans="3:6" ht="17" thickBot="1">
      <c r="C34" s="38"/>
      <c r="D34" s="39"/>
      <c r="E34" s="39"/>
      <c r="F34" s="39"/>
    </row>
    <row r="35" spans="3:6" ht="17" thickBot="1">
      <c r="C35" s="34" t="s">
        <v>52</v>
      </c>
      <c r="D35" s="35">
        <v>779.6</v>
      </c>
      <c r="E35" s="35">
        <v>254.77</v>
      </c>
      <c r="F35" s="35">
        <v>182.54</v>
      </c>
    </row>
    <row r="36" spans="3:6" ht="17" thickBot="1">
      <c r="C36" s="34" t="s">
        <v>54</v>
      </c>
      <c r="D36" s="35">
        <v>48.4</v>
      </c>
      <c r="E36" s="35">
        <v>50</v>
      </c>
      <c r="F36" s="35">
        <v>0</v>
      </c>
    </row>
    <row r="37" spans="3:6" ht="17" thickBot="1">
      <c r="C37" s="34" t="s">
        <v>55</v>
      </c>
      <c r="D37" s="35">
        <v>300</v>
      </c>
      <c r="E37" s="35">
        <v>733.33</v>
      </c>
      <c r="F37" s="35">
        <v>1108.8</v>
      </c>
    </row>
    <row r="38" spans="3:6" ht="17" thickBot="1">
      <c r="C38" s="34" t="s">
        <v>56</v>
      </c>
      <c r="D38" s="35">
        <v>250</v>
      </c>
      <c r="E38" s="35">
        <v>870.83</v>
      </c>
      <c r="F38" s="35">
        <v>768.24</v>
      </c>
    </row>
    <row r="39" spans="3:6" ht="17" thickBot="1">
      <c r="C39" s="36" t="s">
        <v>57</v>
      </c>
      <c r="D39" s="40">
        <f>SUM(D35:D38)</f>
        <v>1378</v>
      </c>
      <c r="E39" s="40">
        <f t="shared" ref="E39:F39" si="5">SUM(E35:E38)</f>
        <v>1908.9299999999998</v>
      </c>
      <c r="F39" s="40">
        <f t="shared" si="5"/>
        <v>2059.58</v>
      </c>
    </row>
    <row r="40" spans="3:6" ht="17" thickBot="1">
      <c r="C40" s="34" t="s">
        <v>58</v>
      </c>
      <c r="D40" s="35">
        <v>1000</v>
      </c>
      <c r="E40" s="35">
        <v>1200</v>
      </c>
      <c r="F40" s="35">
        <v>1500</v>
      </c>
    </row>
    <row r="41" spans="3:6" ht="17" thickBot="1">
      <c r="C41" s="36" t="s">
        <v>59</v>
      </c>
      <c r="D41" s="37">
        <f>+D40+D39</f>
        <v>2378</v>
      </c>
      <c r="E41" s="37">
        <f t="shared" ref="E41:F41" si="6">+E40+E39</f>
        <v>3108.93</v>
      </c>
      <c r="F41" s="37">
        <f t="shared" si="6"/>
        <v>3559.58</v>
      </c>
    </row>
    <row r="42" spans="3:6" ht="17" thickBot="1">
      <c r="C42" s="34" t="s">
        <v>60</v>
      </c>
      <c r="D42" s="35">
        <v>300</v>
      </c>
      <c r="E42" s="35">
        <v>250</v>
      </c>
      <c r="F42" s="35">
        <v>100</v>
      </c>
    </row>
    <row r="43" spans="3:6" ht="17" thickBot="1">
      <c r="C43" s="34" t="s">
        <v>61</v>
      </c>
      <c r="D43" s="35">
        <v>300</v>
      </c>
      <c r="E43" s="35">
        <v>238.33</v>
      </c>
      <c r="F43" s="35">
        <v>444.31</v>
      </c>
    </row>
    <row r="44" spans="3:6" ht="17" thickBot="1">
      <c r="C44" s="36" t="s">
        <v>62</v>
      </c>
      <c r="D44" s="37">
        <f>+D42+D43</f>
        <v>600</v>
      </c>
      <c r="E44" s="37">
        <f t="shared" ref="E44:F44" si="7">+E42+E43</f>
        <v>488.33000000000004</v>
      </c>
      <c r="F44" s="37">
        <f t="shared" si="7"/>
        <v>544.30999999999995</v>
      </c>
    </row>
    <row r="45" spans="3:6" ht="17" thickBot="1">
      <c r="C45" s="34" t="s">
        <v>63</v>
      </c>
      <c r="D45" s="35">
        <v>500</v>
      </c>
      <c r="E45" s="35">
        <v>600</v>
      </c>
      <c r="F45" s="35">
        <v>300</v>
      </c>
    </row>
    <row r="46" spans="3:6" ht="17" thickBot="1">
      <c r="C46" s="34" t="s">
        <v>64</v>
      </c>
      <c r="D46" s="35">
        <v>1278</v>
      </c>
      <c r="E46" s="35">
        <v>2020.6</v>
      </c>
      <c r="F46" s="35">
        <v>2715.27</v>
      </c>
    </row>
    <row r="47" spans="3:6" ht="17" thickBot="1">
      <c r="C47" s="36" t="s">
        <v>65</v>
      </c>
      <c r="D47" s="37">
        <f>+D44+D45+D46</f>
        <v>2378</v>
      </c>
      <c r="E47" s="37">
        <f t="shared" ref="E47:F47" si="8">+E44+E45+E46</f>
        <v>3108.93</v>
      </c>
      <c r="F47" s="37">
        <f t="shared" si="8"/>
        <v>3559.58</v>
      </c>
    </row>
    <row r="49" spans="2:6">
      <c r="B49" t="s">
        <v>178</v>
      </c>
      <c r="C49" t="s">
        <v>122</v>
      </c>
      <c r="D49" s="13"/>
      <c r="E49" s="13">
        <f t="shared" ref="E49:F49" si="9">E30/E29</f>
        <v>9.0133982947624841E-2</v>
      </c>
      <c r="F49" s="13">
        <f t="shared" si="9"/>
        <v>8.9868681681461338E-2</v>
      </c>
    </row>
    <row r="51" spans="2:6">
      <c r="C51" s="81" t="s">
        <v>179</v>
      </c>
    </row>
    <row r="52" spans="2:6">
      <c r="C52" t="s">
        <v>26</v>
      </c>
      <c r="E52" s="12">
        <f>E24</f>
        <v>906</v>
      </c>
      <c r="F52" s="12">
        <f>F24</f>
        <v>960.48000000000047</v>
      </c>
    </row>
    <row r="53" spans="2:6">
      <c r="B53" t="s">
        <v>180</v>
      </c>
      <c r="C53" s="154" t="s">
        <v>181</v>
      </c>
      <c r="E53" s="12">
        <f>-E20</f>
        <v>-396</v>
      </c>
      <c r="F53" s="12">
        <f>-F20</f>
        <v>-712.8</v>
      </c>
    </row>
    <row r="54" spans="2:6">
      <c r="C54" s="81" t="s">
        <v>67</v>
      </c>
      <c r="D54" s="81"/>
      <c r="E54" s="155">
        <f>SUM(E52:E53)</f>
        <v>510</v>
      </c>
      <c r="F54" s="155">
        <f>SUM(F52:F53)</f>
        <v>247.68000000000052</v>
      </c>
    </row>
    <row r="55" spans="2:6">
      <c r="B55" t="s">
        <v>182</v>
      </c>
      <c r="C55" t="s">
        <v>183</v>
      </c>
      <c r="E55" s="12">
        <f>E54*E49</f>
        <v>45.968331303288672</v>
      </c>
      <c r="F55" s="12">
        <f>F54*F49</f>
        <v>22.258675078864389</v>
      </c>
    </row>
    <row r="56" spans="2:6">
      <c r="B56" t="s">
        <v>184</v>
      </c>
      <c r="C56" t="s">
        <v>34</v>
      </c>
      <c r="E56" s="12">
        <f>E54-E55</f>
        <v>464.03166869671134</v>
      </c>
      <c r="F56" s="12">
        <f>F54-F55</f>
        <v>225.42132492113612</v>
      </c>
    </row>
    <row r="57" spans="2:6">
      <c r="C57" s="156" t="s">
        <v>185</v>
      </c>
      <c r="E57" s="12">
        <f>+E23</f>
        <v>150</v>
      </c>
      <c r="F57" s="12">
        <f>+F23</f>
        <v>180</v>
      </c>
    </row>
    <row r="58" spans="2:6">
      <c r="C58" s="157" t="s">
        <v>186</v>
      </c>
      <c r="E58" s="12">
        <f>D38-E38</f>
        <v>-620.83000000000004</v>
      </c>
      <c r="F58" s="12">
        <f>E38-F38</f>
        <v>102.59000000000003</v>
      </c>
    </row>
    <row r="59" spans="2:6">
      <c r="C59" s="157" t="s">
        <v>187</v>
      </c>
      <c r="E59" s="12">
        <f>D37-E37</f>
        <v>-433.33000000000004</v>
      </c>
      <c r="F59" s="12">
        <f>E37-F37</f>
        <v>-375.46999999999991</v>
      </c>
    </row>
    <row r="60" spans="2:6">
      <c r="C60" s="157" t="s">
        <v>188</v>
      </c>
      <c r="E60" s="12">
        <f>D35-E35</f>
        <v>524.83000000000004</v>
      </c>
      <c r="F60" s="12">
        <f>E35-F35</f>
        <v>72.230000000000018</v>
      </c>
    </row>
    <row r="61" spans="2:6">
      <c r="C61" s="158" t="s">
        <v>189</v>
      </c>
      <c r="E61" s="12">
        <f>E43-D43</f>
        <v>-61.669999999999987</v>
      </c>
      <c r="F61" s="12">
        <f>F43-E43</f>
        <v>205.98</v>
      </c>
    </row>
    <row r="62" spans="2:6">
      <c r="C62" s="158" t="s">
        <v>190</v>
      </c>
      <c r="E62" s="12">
        <f>E42-D42</f>
        <v>-50</v>
      </c>
      <c r="F62" s="12">
        <f>F42-E42</f>
        <v>-150</v>
      </c>
    </row>
    <row r="63" spans="2:6">
      <c r="C63" s="81" t="s">
        <v>191</v>
      </c>
      <c r="E63" s="155">
        <f>SUM(E56:E62)</f>
        <v>-26.968331303288693</v>
      </c>
      <c r="F63" s="155">
        <f>SUM(F56:F62)</f>
        <v>260.7513249211363</v>
      </c>
    </row>
    <row r="64" spans="2:6">
      <c r="C64" s="81"/>
    </row>
    <row r="65" spans="2:7">
      <c r="C65" s="157" t="s">
        <v>192</v>
      </c>
      <c r="E65" s="12">
        <f>D40-E40</f>
        <v>-200</v>
      </c>
      <c r="F65" s="12">
        <f>E40-F40</f>
        <v>-300</v>
      </c>
    </row>
    <row r="66" spans="2:7">
      <c r="B66" t="s">
        <v>180</v>
      </c>
      <c r="C66" s="159" t="s">
        <v>185</v>
      </c>
      <c r="E66" s="12">
        <f>-E57</f>
        <v>-150</v>
      </c>
      <c r="F66" s="12">
        <f>-F57</f>
        <v>-180</v>
      </c>
    </row>
    <row r="67" spans="2:7">
      <c r="C67" s="81" t="s">
        <v>193</v>
      </c>
      <c r="E67" s="12">
        <f>SUM(E65:E66)</f>
        <v>-350</v>
      </c>
      <c r="F67" s="12">
        <f>SUM(F65:F66)</f>
        <v>-480</v>
      </c>
    </row>
    <row r="69" spans="2:7">
      <c r="C69" s="160" t="s">
        <v>35</v>
      </c>
      <c r="D69" s="160"/>
      <c r="E69" s="161">
        <f>E67+E63</f>
        <v>-376.96833130328866</v>
      </c>
      <c r="F69" s="161">
        <f>F67+F63</f>
        <v>-219.2486750788637</v>
      </c>
    </row>
    <row r="71" spans="2:7">
      <c r="C71" s="157" t="s">
        <v>194</v>
      </c>
      <c r="E71" s="12">
        <f>D36-E36</f>
        <v>-1.6000000000000014</v>
      </c>
      <c r="F71" s="12">
        <f>E36-F36</f>
        <v>50</v>
      </c>
    </row>
    <row r="72" spans="2:7">
      <c r="C72" s="162" t="s">
        <v>195</v>
      </c>
      <c r="E72" s="12">
        <f>E25</f>
        <v>0</v>
      </c>
      <c r="F72" s="12">
        <f>F25</f>
        <v>120</v>
      </c>
    </row>
    <row r="73" spans="2:7">
      <c r="B73" t="s">
        <v>196</v>
      </c>
      <c r="C73" s="163" t="s">
        <v>197</v>
      </c>
      <c r="E73">
        <f>-E72*E49</f>
        <v>0</v>
      </c>
      <c r="F73" s="79">
        <f>-F72*F49</f>
        <v>-10.784241801775361</v>
      </c>
    </row>
    <row r="74" spans="2:7">
      <c r="C74" s="162" t="s">
        <v>43</v>
      </c>
      <c r="E74" s="12">
        <f>E26</f>
        <v>0</v>
      </c>
      <c r="F74" s="12">
        <f>F26</f>
        <v>50</v>
      </c>
    </row>
    <row r="75" spans="2:7">
      <c r="C75" s="163" t="s">
        <v>198</v>
      </c>
      <c r="E75">
        <f>E74*E49</f>
        <v>0</v>
      </c>
      <c r="F75" s="79">
        <f>F74*F49</f>
        <v>4.4934340840730673</v>
      </c>
    </row>
    <row r="76" spans="2:7">
      <c r="B76" t="s">
        <v>180</v>
      </c>
      <c r="C76" s="154" t="s">
        <v>199</v>
      </c>
      <c r="E76" s="12">
        <f>E28</f>
        <v>-85</v>
      </c>
      <c r="F76" s="12">
        <f>-F27</f>
        <v>-40</v>
      </c>
      <c r="G76" t="s">
        <v>200</v>
      </c>
    </row>
    <row r="77" spans="2:7">
      <c r="C77" s="164" t="s">
        <v>201</v>
      </c>
      <c r="E77" s="79">
        <f>-E76*E49</f>
        <v>7.6613885505481116</v>
      </c>
      <c r="F77" s="79">
        <f>-F76*F49</f>
        <v>3.5947472672584535</v>
      </c>
    </row>
    <row r="78" spans="2:7">
      <c r="C78" s="158" t="s">
        <v>202</v>
      </c>
      <c r="E78" s="12">
        <f>E45-D45</f>
        <v>100</v>
      </c>
      <c r="F78" s="12">
        <f>F45-E45</f>
        <v>-300</v>
      </c>
    </row>
    <row r="80" spans="2:7">
      <c r="C80" s="160" t="s">
        <v>125</v>
      </c>
      <c r="D80" s="160"/>
      <c r="E80" s="161">
        <f>SUM(E69:E78)</f>
        <v>-355.90694275274058</v>
      </c>
      <c r="F80" s="161">
        <f>SUM(F69:F78)</f>
        <v>-341.94473552930754</v>
      </c>
    </row>
    <row r="82" spans="2:7">
      <c r="B82" t="s">
        <v>180</v>
      </c>
      <c r="C82" s="154" t="s">
        <v>203</v>
      </c>
      <c r="E82" s="12">
        <f>-D32</f>
        <v>-30</v>
      </c>
      <c r="F82" s="12">
        <f>-E32</f>
        <v>-164.2</v>
      </c>
      <c r="G82" t="s">
        <v>200</v>
      </c>
    </row>
    <row r="83" spans="2:7">
      <c r="B83" t="s">
        <v>204</v>
      </c>
      <c r="C83" s="165" t="s">
        <v>205</v>
      </c>
      <c r="E83" s="12">
        <f>(E46-D46)-E33</f>
        <v>159.79999999999995</v>
      </c>
      <c r="F83" s="12">
        <f>(F46-E46)-F33</f>
        <v>-0.1000000000003638</v>
      </c>
    </row>
    <row r="84" spans="2:7">
      <c r="C84" s="80"/>
    </row>
    <row r="85" spans="2:7">
      <c r="C85" s="166" t="s">
        <v>206</v>
      </c>
      <c r="E85" s="155">
        <f>SUM(E80:E83)</f>
        <v>-226.10694275274062</v>
      </c>
      <c r="F85" s="155">
        <f>SUM(F80:F83)</f>
        <v>-506.24473552930789</v>
      </c>
    </row>
    <row r="86" spans="2:7">
      <c r="C86" s="167"/>
    </row>
    <row r="87" spans="2:7">
      <c r="C87" s="168" t="s">
        <v>207</v>
      </c>
      <c r="E87" s="12">
        <f>E20</f>
        <v>396</v>
      </c>
      <c r="F87" s="12">
        <f>F20</f>
        <v>712.8</v>
      </c>
    </row>
    <row r="88" spans="2:7">
      <c r="B88" t="s">
        <v>180</v>
      </c>
      <c r="C88" s="169" t="s">
        <v>208</v>
      </c>
      <c r="E88" s="79">
        <f>-E87*$E$49</f>
        <v>-35.693057247259439</v>
      </c>
      <c r="F88" s="79">
        <f>-F87*$E$49</f>
        <v>-64.247503045066978</v>
      </c>
    </row>
    <row r="89" spans="2:7">
      <c r="C89" s="166" t="s">
        <v>209</v>
      </c>
      <c r="E89" s="155">
        <f>SUM(E87:E88)</f>
        <v>360.30694275274055</v>
      </c>
      <c r="F89" s="155">
        <f>SUM(F87:F88)</f>
        <v>648.55249695493296</v>
      </c>
    </row>
    <row r="92" spans="2:7">
      <c r="C92" s="166" t="s">
        <v>210</v>
      </c>
      <c r="E92" s="155">
        <f>E89+E85</f>
        <v>134.19999999999993</v>
      </c>
      <c r="F92" s="155">
        <f>F89+F85</f>
        <v>142.30776142562507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48888-80A5-6A44-A1D7-E05C3CB829E8}">
  <sheetPr codeName="Sheet8"/>
  <dimension ref="A1:P107"/>
  <sheetViews>
    <sheetView topLeftCell="A22" zoomScale="85" workbookViewId="0">
      <selection activeCell="F75" sqref="F75"/>
    </sheetView>
  </sheetViews>
  <sheetFormatPr baseColWidth="10" defaultColWidth="8.83203125" defaultRowHeight="16"/>
  <cols>
    <col min="2" max="2" width="22.6640625" bestFit="1" customWidth="1"/>
    <col min="3" max="3" width="45.1640625" bestFit="1" customWidth="1"/>
    <col min="4" max="6" width="9.33203125" bestFit="1" customWidth="1"/>
    <col min="8" max="8" width="28.1640625" bestFit="1" customWidth="1"/>
    <col min="9" max="11" width="12.5" bestFit="1" customWidth="1"/>
    <col min="13" max="13" width="29.6640625" bestFit="1" customWidth="1"/>
  </cols>
  <sheetData>
    <row r="1" spans="1:3" ht="17" thickBot="1">
      <c r="A1" t="s">
        <v>111</v>
      </c>
    </row>
    <row r="2" spans="1:3" ht="18">
      <c r="B2" s="1" t="str">
        <f>+[3]Admin!C12</f>
        <v>Date</v>
      </c>
      <c r="C2" s="124">
        <f>+[3]Admin!D12</f>
        <v>44187</v>
      </c>
    </row>
    <row r="3" spans="1:3" ht="18">
      <c r="B3" s="3" t="str">
        <f>+[3]Admin!C13</f>
        <v>Student name</v>
      </c>
      <c r="C3" s="4" t="str">
        <f>+[3]Admin!D13</f>
        <v>Balsam Khalaf</v>
      </c>
    </row>
    <row r="4" spans="1:3" ht="18">
      <c r="B4" s="3" t="str">
        <f>+[3]Admin!C14</f>
        <v>Neptun code</v>
      </c>
      <c r="C4" s="4" t="str">
        <f>+[3]Admin!D14</f>
        <v>HA86QX</v>
      </c>
    </row>
    <row r="5" spans="1:3" ht="18">
      <c r="B5" s="3"/>
      <c r="C5" s="5"/>
    </row>
    <row r="6" spans="1:3" ht="18">
      <c r="B6" s="3" t="str">
        <f>+[3]Admin!C16</f>
        <v>Study program</v>
      </c>
      <c r="C6" s="5" t="str">
        <f>+[3]Admin!D16</f>
        <v>Master in Finance</v>
      </c>
    </row>
    <row r="7" spans="1:3" ht="19" thickBot="1">
      <c r="B7" s="6" t="str">
        <f>+[3]Admin!C17</f>
        <v>Instructor</v>
      </c>
      <c r="C7" s="7" t="str">
        <f>+[3]Admin!D17</f>
        <v>Péter Juhász, PhD, CFA</v>
      </c>
    </row>
    <row r="8" spans="1:3" ht="17" thickBot="1"/>
    <row r="9" spans="1:3" ht="21" thickBot="1">
      <c r="B9" s="8" t="s">
        <v>0</v>
      </c>
      <c r="C9" s="9"/>
    </row>
    <row r="17" spans="3:11" ht="17" thickBot="1"/>
    <row r="18" spans="3:11" ht="17" thickBot="1">
      <c r="C18" s="32"/>
      <c r="D18" s="33">
        <v>2018</v>
      </c>
      <c r="E18" s="33">
        <v>2019</v>
      </c>
      <c r="F18" s="33">
        <v>2020</v>
      </c>
      <c r="H18" s="332"/>
      <c r="I18" s="152"/>
      <c r="J18" s="152"/>
      <c r="K18" s="152"/>
    </row>
    <row r="19" spans="3:11" ht="17" thickBot="1">
      <c r="C19" s="34" t="s">
        <v>3</v>
      </c>
      <c r="D19" s="35">
        <v>12000</v>
      </c>
      <c r="E19" s="35">
        <v>13500</v>
      </c>
      <c r="F19" s="35">
        <v>15000</v>
      </c>
      <c r="H19" s="332"/>
      <c r="I19" s="528"/>
      <c r="J19" s="528"/>
      <c r="K19" s="528"/>
    </row>
    <row r="20" spans="3:11" ht="17" thickBot="1">
      <c r="C20" s="170" t="s">
        <v>38</v>
      </c>
      <c r="D20" s="171">
        <v>170</v>
      </c>
      <c r="E20" s="171">
        <v>250</v>
      </c>
      <c r="F20" s="171">
        <v>300</v>
      </c>
      <c r="H20" s="332"/>
      <c r="I20" s="528"/>
      <c r="J20" s="528"/>
      <c r="K20" s="528"/>
    </row>
    <row r="21" spans="3:11" ht="17" thickBot="1">
      <c r="C21" s="34" t="s">
        <v>39</v>
      </c>
      <c r="D21" s="35">
        <v>7680</v>
      </c>
      <c r="E21" s="35">
        <v>8580</v>
      </c>
      <c r="F21" s="35">
        <v>9408.9599999999991</v>
      </c>
      <c r="H21" s="332"/>
      <c r="I21" s="528"/>
      <c r="J21" s="528"/>
      <c r="K21" s="528"/>
    </row>
    <row r="22" spans="3:11" ht="17" thickBot="1">
      <c r="C22" s="34" t="s">
        <v>40</v>
      </c>
      <c r="D22" s="35">
        <v>3840</v>
      </c>
      <c r="E22" s="35">
        <v>3960</v>
      </c>
      <c r="F22" s="35">
        <v>4419.3599999999997</v>
      </c>
      <c r="H22" s="332"/>
      <c r="I22" s="528"/>
      <c r="J22" s="528"/>
      <c r="K22" s="528"/>
    </row>
    <row r="23" spans="3:11" ht="17" thickBot="1">
      <c r="C23" s="34" t="s">
        <v>41</v>
      </c>
      <c r="D23" s="35">
        <v>250</v>
      </c>
      <c r="E23" s="35">
        <v>150</v>
      </c>
      <c r="F23" s="35">
        <v>180</v>
      </c>
      <c r="H23" s="332"/>
      <c r="I23" s="528"/>
      <c r="J23" s="528"/>
      <c r="K23" s="528"/>
    </row>
    <row r="24" spans="3:11" ht="17" thickBot="1">
      <c r="C24" s="170" t="s">
        <v>211</v>
      </c>
      <c r="D24" s="171">
        <v>50</v>
      </c>
      <c r="E24" s="171">
        <v>70</v>
      </c>
      <c r="F24" s="171">
        <v>80</v>
      </c>
    </row>
    <row r="25" spans="3:11" ht="17" thickBot="1">
      <c r="C25" s="36" t="s">
        <v>26</v>
      </c>
      <c r="D25" s="37">
        <f>+D19+D20-D21-D22-D23-D24</f>
        <v>350</v>
      </c>
      <c r="E25" s="37">
        <f>+E19+E20-E21-E22-E23-E24</f>
        <v>990</v>
      </c>
      <c r="F25" s="37">
        <f t="shared" ref="F25" si="0">+F19+F20-F21-F22-F23-F24</f>
        <v>1211.6800000000012</v>
      </c>
      <c r="H25" s="333"/>
      <c r="I25" s="529"/>
      <c r="J25" s="529"/>
      <c r="K25" s="529"/>
    </row>
    <row r="26" spans="3:11" ht="17" thickBot="1">
      <c r="C26" s="172" t="s">
        <v>42</v>
      </c>
      <c r="D26" s="173">
        <v>0</v>
      </c>
      <c r="E26" s="173">
        <v>20</v>
      </c>
      <c r="F26" s="173">
        <v>0</v>
      </c>
      <c r="H26" s="332"/>
      <c r="I26" s="528"/>
      <c r="J26" s="528"/>
      <c r="K26" s="528"/>
    </row>
    <row r="27" spans="3:11" ht="17" thickBot="1">
      <c r="C27" s="174" t="s">
        <v>43</v>
      </c>
      <c r="D27" s="175">
        <v>0</v>
      </c>
      <c r="E27" s="175">
        <v>0</v>
      </c>
      <c r="F27" s="175">
        <v>0</v>
      </c>
      <c r="H27" s="332"/>
      <c r="I27" s="528"/>
      <c r="J27" s="528"/>
      <c r="K27" s="528"/>
    </row>
    <row r="28" spans="3:11" ht="17" thickBot="1">
      <c r="C28" s="174"/>
      <c r="D28" s="175"/>
      <c r="E28" s="175"/>
      <c r="F28" s="175"/>
      <c r="H28" s="332"/>
      <c r="I28" s="528"/>
      <c r="J28" s="528"/>
      <c r="K28" s="528"/>
    </row>
    <row r="29" spans="3:11" ht="17" thickBot="1">
      <c r="C29" s="176" t="s">
        <v>177</v>
      </c>
      <c r="D29" s="177">
        <v>80</v>
      </c>
      <c r="E29" s="177">
        <v>85</v>
      </c>
      <c r="F29" s="177">
        <v>40</v>
      </c>
      <c r="H29" s="332"/>
      <c r="I29" s="528"/>
      <c r="J29" s="528"/>
      <c r="K29" s="528"/>
    </row>
    <row r="30" spans="3:11" ht="17" thickBot="1">
      <c r="C30" s="178" t="s">
        <v>212</v>
      </c>
      <c r="D30" s="179">
        <v>10</v>
      </c>
      <c r="E30" s="179">
        <v>8</v>
      </c>
      <c r="F30" s="179">
        <v>12</v>
      </c>
    </row>
    <row r="31" spans="3:11" ht="17" thickBot="1">
      <c r="C31" s="180" t="s">
        <v>213</v>
      </c>
      <c r="D31" s="181">
        <f>D29-D30</f>
        <v>70</v>
      </c>
      <c r="E31" s="181">
        <f t="shared" ref="E31:F31" si="1">E29-E30</f>
        <v>77</v>
      </c>
      <c r="F31" s="181">
        <f t="shared" si="1"/>
        <v>28</v>
      </c>
    </row>
    <row r="32" spans="3:11" ht="17" thickBot="1">
      <c r="C32" s="36" t="s">
        <v>46</v>
      </c>
      <c r="D32" s="37">
        <f>+D26+D27-D29</f>
        <v>-80</v>
      </c>
      <c r="E32" s="37">
        <f>+E26+E27-E29</f>
        <v>-65</v>
      </c>
      <c r="F32" s="37">
        <f t="shared" ref="F32" si="2">+F26+F27-F29</f>
        <v>-40</v>
      </c>
      <c r="H32" s="333"/>
      <c r="I32" s="529"/>
      <c r="J32" s="529"/>
      <c r="K32" s="529"/>
    </row>
    <row r="33" spans="3:11" ht="17" thickBot="1">
      <c r="C33" s="34" t="s">
        <v>47</v>
      </c>
      <c r="D33" s="35">
        <f>+D32+D25</f>
        <v>270</v>
      </c>
      <c r="E33" s="35">
        <f>+E32+E25</f>
        <v>925</v>
      </c>
      <c r="F33" s="35">
        <f t="shared" ref="F33" si="3">+F32+F25</f>
        <v>1171.6800000000012</v>
      </c>
      <c r="H33" s="332"/>
      <c r="I33" s="528"/>
      <c r="J33" s="528"/>
      <c r="K33" s="528"/>
    </row>
    <row r="34" spans="3:11" ht="17" thickBot="1">
      <c r="C34" s="34" t="s">
        <v>48</v>
      </c>
      <c r="D34" s="35">
        <v>27</v>
      </c>
      <c r="E34" s="35">
        <v>85</v>
      </c>
      <c r="F34" s="35">
        <v>100</v>
      </c>
      <c r="H34" s="332"/>
      <c r="I34" s="528"/>
      <c r="J34" s="528"/>
      <c r="K34" s="528"/>
    </row>
    <row r="35" spans="3:11" ht="17" thickBot="1">
      <c r="C35" s="36" t="s">
        <v>49</v>
      </c>
      <c r="D35" s="37">
        <f>+D33-D34</f>
        <v>243</v>
      </c>
      <c r="E35" s="37">
        <f t="shared" ref="E35:F35" si="4">+E33-E34</f>
        <v>840</v>
      </c>
      <c r="F35" s="37">
        <f t="shared" si="4"/>
        <v>1071.6800000000012</v>
      </c>
      <c r="H35" s="333"/>
      <c r="I35" s="529"/>
      <c r="J35" s="529"/>
      <c r="K35" s="529"/>
    </row>
    <row r="36" spans="3:11" ht="17" thickBot="1">
      <c r="C36" s="34" t="s">
        <v>50</v>
      </c>
      <c r="D36" s="35">
        <v>10</v>
      </c>
      <c r="E36" s="35">
        <v>600</v>
      </c>
      <c r="F36" s="35">
        <v>850</v>
      </c>
      <c r="H36" s="332"/>
      <c r="I36" s="528"/>
      <c r="J36" s="528"/>
      <c r="K36" s="528"/>
    </row>
    <row r="37" spans="3:11" ht="17" thickBot="1">
      <c r="C37" s="34" t="s">
        <v>51</v>
      </c>
      <c r="D37" s="35">
        <f>+D35-D36</f>
        <v>233</v>
      </c>
      <c r="E37" s="35">
        <f t="shared" ref="E37:F37" si="5">+E35-E36</f>
        <v>240</v>
      </c>
      <c r="F37" s="35">
        <f t="shared" si="5"/>
        <v>221.6800000000012</v>
      </c>
      <c r="H37" s="332"/>
      <c r="I37" s="528"/>
      <c r="J37" s="528"/>
      <c r="K37" s="528"/>
    </row>
    <row r="38" spans="3:11" ht="17" thickBot="1">
      <c r="C38" s="38"/>
      <c r="D38" s="39"/>
      <c r="E38" s="39"/>
      <c r="F38" s="39"/>
      <c r="H38" s="530"/>
      <c r="I38" s="528"/>
      <c r="J38" s="528"/>
      <c r="K38" s="528"/>
    </row>
    <row r="39" spans="3:11" ht="17" thickBot="1">
      <c r="C39" s="176" t="s">
        <v>52</v>
      </c>
      <c r="D39" s="177">
        <v>800</v>
      </c>
      <c r="E39" s="177">
        <v>500</v>
      </c>
      <c r="F39" s="177">
        <v>600</v>
      </c>
      <c r="H39" s="332"/>
      <c r="I39" s="528"/>
      <c r="J39" s="528"/>
      <c r="K39" s="528"/>
    </row>
    <row r="40" spans="3:11" ht="17" thickBot="1">
      <c r="C40" s="178" t="s">
        <v>53</v>
      </c>
      <c r="D40" s="179">
        <v>100</v>
      </c>
      <c r="E40" s="179">
        <v>110</v>
      </c>
      <c r="F40" s="179">
        <v>130</v>
      </c>
      <c r="H40" s="332"/>
      <c r="I40" s="528"/>
      <c r="J40" s="528"/>
      <c r="K40" s="528"/>
    </row>
    <row r="41" spans="3:11" ht="17" thickBot="1">
      <c r="C41" s="182" t="s">
        <v>214</v>
      </c>
      <c r="D41" s="183">
        <f>D39-D40</f>
        <v>700</v>
      </c>
      <c r="E41" s="183">
        <f t="shared" ref="E41:F41" si="6">E39-E40</f>
        <v>390</v>
      </c>
      <c r="F41" s="183">
        <f t="shared" si="6"/>
        <v>470</v>
      </c>
    </row>
    <row r="42" spans="3:11" ht="17" thickBot="1">
      <c r="C42" s="172" t="s">
        <v>54</v>
      </c>
      <c r="D42" s="173">
        <v>0</v>
      </c>
      <c r="E42" s="173">
        <v>100</v>
      </c>
      <c r="F42" s="173">
        <v>0</v>
      </c>
      <c r="H42" s="332"/>
      <c r="I42" s="528"/>
      <c r="J42" s="528"/>
      <c r="K42" s="528"/>
    </row>
    <row r="43" spans="3:11" ht="17" thickBot="1">
      <c r="C43" s="34" t="s">
        <v>55</v>
      </c>
      <c r="D43" s="35">
        <v>300</v>
      </c>
      <c r="E43" s="35">
        <v>733.33</v>
      </c>
      <c r="F43" s="35">
        <v>1108.8</v>
      </c>
      <c r="H43" s="332"/>
      <c r="I43" s="528"/>
      <c r="J43" s="528"/>
      <c r="K43" s="528"/>
    </row>
    <row r="44" spans="3:11" ht="17" thickBot="1">
      <c r="C44" s="34" t="s">
        <v>56</v>
      </c>
      <c r="D44" s="35">
        <v>250</v>
      </c>
      <c r="E44" s="35">
        <v>870.83</v>
      </c>
      <c r="F44" s="35">
        <v>768.24</v>
      </c>
      <c r="H44" s="332"/>
      <c r="I44" s="528"/>
      <c r="J44" s="528"/>
      <c r="K44" s="528"/>
    </row>
    <row r="45" spans="3:11" ht="17" thickBot="1">
      <c r="C45" s="36" t="s">
        <v>57</v>
      </c>
      <c r="D45" s="40">
        <f>+D39+D42+D43+D44</f>
        <v>1350</v>
      </c>
      <c r="E45" s="40">
        <f t="shared" ref="E45:F45" si="7">+E39+E42+E43+E44</f>
        <v>2204.16</v>
      </c>
      <c r="F45" s="40">
        <f t="shared" si="7"/>
        <v>2477.04</v>
      </c>
      <c r="H45" s="333"/>
      <c r="I45" s="531"/>
      <c r="J45" s="531"/>
      <c r="K45" s="531"/>
    </row>
    <row r="46" spans="3:11" ht="17" thickBot="1">
      <c r="C46" s="184" t="s">
        <v>58</v>
      </c>
      <c r="D46" s="185">
        <f>D47-D45</f>
        <v>1028</v>
      </c>
      <c r="E46" s="185">
        <f t="shared" ref="E46:F46" si="8">E47-E45</f>
        <v>904.77</v>
      </c>
      <c r="F46" s="185">
        <f t="shared" si="8"/>
        <v>1082.54</v>
      </c>
      <c r="H46" s="332"/>
      <c r="I46" s="528"/>
      <c r="J46" s="528"/>
      <c r="K46" s="528"/>
    </row>
    <row r="47" spans="3:11" ht="17" thickBot="1">
      <c r="C47" s="186" t="s">
        <v>59</v>
      </c>
      <c r="D47" s="187">
        <v>2378</v>
      </c>
      <c r="E47" s="187">
        <v>3108.93</v>
      </c>
      <c r="F47" s="187">
        <v>3559.58</v>
      </c>
      <c r="H47" s="333"/>
      <c r="I47" s="529"/>
      <c r="J47" s="529"/>
      <c r="K47" s="529"/>
    </row>
    <row r="48" spans="3:11" ht="17" thickBot="1">
      <c r="C48" s="34" t="s">
        <v>60</v>
      </c>
      <c r="D48" s="35">
        <v>300</v>
      </c>
      <c r="E48" s="35">
        <v>250</v>
      </c>
      <c r="F48" s="35">
        <v>100</v>
      </c>
      <c r="H48" s="332"/>
      <c r="I48" s="528"/>
      <c r="J48" s="528"/>
      <c r="K48" s="528"/>
    </row>
    <row r="49" spans="2:16" ht="17" thickBot="1">
      <c r="C49" s="178" t="s">
        <v>215</v>
      </c>
      <c r="D49" s="179">
        <v>80</v>
      </c>
      <c r="E49" s="179">
        <v>120</v>
      </c>
      <c r="F49" s="179">
        <v>50</v>
      </c>
      <c r="H49" s="532"/>
      <c r="I49" s="532"/>
      <c r="J49" s="532"/>
      <c r="K49" s="532"/>
    </row>
    <row r="50" spans="2:16" ht="17" thickBot="1">
      <c r="C50" s="180" t="s">
        <v>216</v>
      </c>
      <c r="D50" s="181">
        <f>D48-D49</f>
        <v>220</v>
      </c>
      <c r="E50" s="181">
        <f t="shared" ref="E50:F50" si="9">E48-E49</f>
        <v>130</v>
      </c>
      <c r="F50" s="181">
        <f t="shared" si="9"/>
        <v>50</v>
      </c>
      <c r="H50" s="532"/>
      <c r="I50" s="532"/>
      <c r="J50" s="532"/>
      <c r="K50" s="532"/>
    </row>
    <row r="51" spans="2:16" ht="17" thickBot="1">
      <c r="C51" s="34" t="s">
        <v>61</v>
      </c>
      <c r="D51" s="35">
        <v>300</v>
      </c>
      <c r="E51" s="35">
        <v>238.33</v>
      </c>
      <c r="F51" s="35">
        <v>444.31</v>
      </c>
      <c r="H51" s="332"/>
      <c r="I51" s="528"/>
      <c r="J51" s="528"/>
      <c r="K51" s="528"/>
    </row>
    <row r="52" spans="2:16" ht="17" thickBot="1">
      <c r="C52" s="36" t="s">
        <v>62</v>
      </c>
      <c r="D52" s="37">
        <f>+D48+D51</f>
        <v>600</v>
      </c>
      <c r="E52" s="37">
        <f t="shared" ref="E52" si="10">+E48+E51</f>
        <v>488.33000000000004</v>
      </c>
      <c r="F52" s="37">
        <f>+F48+F51</f>
        <v>544.30999999999995</v>
      </c>
      <c r="H52" s="333"/>
      <c r="I52" s="529"/>
      <c r="J52" s="529"/>
      <c r="K52" s="529"/>
    </row>
    <row r="53" spans="2:16" ht="17" thickBot="1">
      <c r="C53" s="34" t="s">
        <v>63</v>
      </c>
      <c r="D53" s="35">
        <v>500</v>
      </c>
      <c r="E53" s="35">
        <v>600</v>
      </c>
      <c r="F53" s="35">
        <v>300</v>
      </c>
      <c r="H53" s="332"/>
      <c r="I53" s="528"/>
      <c r="J53" s="528"/>
      <c r="K53" s="528"/>
    </row>
    <row r="54" spans="2:16" ht="17" thickBot="1">
      <c r="C54" s="34" t="s">
        <v>64</v>
      </c>
      <c r="D54" s="35">
        <v>1278</v>
      </c>
      <c r="E54" s="35">
        <v>2020.6</v>
      </c>
      <c r="F54" s="35">
        <v>2715.27</v>
      </c>
      <c r="H54" s="332"/>
      <c r="I54" s="528"/>
      <c r="J54" s="528"/>
      <c r="K54" s="528"/>
    </row>
    <row r="55" spans="2:16" ht="17" thickBot="1">
      <c r="C55" s="36" t="s">
        <v>65</v>
      </c>
      <c r="D55" s="37">
        <f>+D52+D53+D54</f>
        <v>2378</v>
      </c>
      <c r="E55" s="37">
        <f t="shared" ref="E55:F55" si="11">+E52+E53+E54</f>
        <v>3108.93</v>
      </c>
      <c r="F55" s="37">
        <f t="shared" si="11"/>
        <v>3559.58</v>
      </c>
      <c r="H55" s="333"/>
      <c r="I55" s="529"/>
      <c r="J55" s="529"/>
      <c r="K55" s="529"/>
    </row>
    <row r="57" spans="2:16">
      <c r="D57" s="13"/>
      <c r="E57" s="13"/>
      <c r="F57" s="13"/>
    </row>
    <row r="58" spans="2:16">
      <c r="B58" t="s">
        <v>178</v>
      </c>
      <c r="C58" t="s">
        <v>122</v>
      </c>
      <c r="H58" s="81"/>
      <c r="I58" s="533"/>
      <c r="J58" s="533"/>
      <c r="K58" s="533"/>
    </row>
    <row r="59" spans="2:16">
      <c r="M59" s="81" t="s">
        <v>122</v>
      </c>
      <c r="N59" s="188">
        <f>D34/D33</f>
        <v>0.1</v>
      </c>
      <c r="O59" s="188">
        <f>E34/E33</f>
        <v>9.1891891891891897E-2</v>
      </c>
      <c r="P59" s="188">
        <f>F34/F33</f>
        <v>8.5347535163184399E-2</v>
      </c>
    </row>
    <row r="60" spans="2:16" ht="18">
      <c r="C60" s="81" t="s">
        <v>179</v>
      </c>
      <c r="H60" s="189"/>
      <c r="I60" s="80"/>
      <c r="J60" s="80"/>
    </row>
    <row r="61" spans="2:16" ht="18">
      <c r="C61" t="s">
        <v>26</v>
      </c>
      <c r="E61" s="12">
        <f>E25</f>
        <v>990</v>
      </c>
      <c r="F61" s="12">
        <f>F25</f>
        <v>1211.6800000000012</v>
      </c>
      <c r="H61" s="190"/>
      <c r="I61" s="88"/>
      <c r="J61" s="88"/>
      <c r="K61" s="88"/>
      <c r="M61" s="189" t="s">
        <v>217</v>
      </c>
      <c r="N61" s="80"/>
      <c r="O61" s="80"/>
    </row>
    <row r="62" spans="2:16">
      <c r="B62" t="s">
        <v>180</v>
      </c>
      <c r="C62" s="154" t="s">
        <v>181</v>
      </c>
      <c r="H62" s="154"/>
      <c r="I62" s="88"/>
      <c r="J62" s="88"/>
      <c r="K62" s="88"/>
      <c r="M62" s="190" t="s">
        <v>26</v>
      </c>
      <c r="N62" s="88"/>
      <c r="O62" s="88">
        <f>E25</f>
        <v>990</v>
      </c>
      <c r="P62" s="88">
        <f>F25</f>
        <v>1211.6800000000012</v>
      </c>
    </row>
    <row r="63" spans="2:16">
      <c r="C63" s="81" t="s">
        <v>67</v>
      </c>
      <c r="H63" s="191"/>
      <c r="I63" s="155"/>
      <c r="J63" s="155"/>
      <c r="K63" s="155"/>
      <c r="M63" s="154" t="s">
        <v>218</v>
      </c>
      <c r="N63" s="88"/>
      <c r="O63" s="89">
        <f>-E30</f>
        <v>-8</v>
      </c>
      <c r="P63" s="89">
        <f>-F30</f>
        <v>-12</v>
      </c>
    </row>
    <row r="64" spans="2:16">
      <c r="B64" t="s">
        <v>182</v>
      </c>
      <c r="C64" t="s">
        <v>183</v>
      </c>
      <c r="H64" s="154"/>
      <c r="I64" s="88"/>
      <c r="J64" s="88"/>
      <c r="K64" s="88"/>
      <c r="M64" s="191" t="s">
        <v>67</v>
      </c>
      <c r="N64" s="155"/>
      <c r="O64" s="192">
        <f>SUM(O62:O63)</f>
        <v>982</v>
      </c>
      <c r="P64" s="192">
        <f>SUM(P62:P63)</f>
        <v>1199.6800000000012</v>
      </c>
    </row>
    <row r="65" spans="2:16">
      <c r="B65" t="s">
        <v>184</v>
      </c>
      <c r="C65" t="s">
        <v>34</v>
      </c>
      <c r="H65" s="81"/>
      <c r="I65" s="88"/>
      <c r="J65" s="155"/>
      <c r="K65" s="155"/>
      <c r="M65" s="154" t="s">
        <v>183</v>
      </c>
      <c r="N65" s="88"/>
      <c r="O65" s="89">
        <f>O64*O59</f>
        <v>90.237837837837844</v>
      </c>
      <c r="P65" s="89">
        <f>P64*P59</f>
        <v>102.38973098456916</v>
      </c>
    </row>
    <row r="66" spans="2:16">
      <c r="C66" s="156" t="s">
        <v>185</v>
      </c>
      <c r="H66" s="193"/>
      <c r="I66" s="88"/>
      <c r="J66" s="88"/>
      <c r="K66" s="88"/>
      <c r="M66" s="81" t="s">
        <v>89</v>
      </c>
      <c r="N66" s="88"/>
      <c r="O66" s="155">
        <f>O64-O65</f>
        <v>891.76216216216221</v>
      </c>
      <c r="P66" s="155">
        <f>P64-P65</f>
        <v>1097.2902690154319</v>
      </c>
    </row>
    <row r="67" spans="2:16">
      <c r="C67" s="157" t="s">
        <v>186</v>
      </c>
      <c r="H67" s="157"/>
      <c r="I67" s="80"/>
      <c r="J67" s="194"/>
      <c r="K67" s="194"/>
      <c r="M67" s="193" t="s">
        <v>41</v>
      </c>
      <c r="N67" s="88"/>
      <c r="O67" s="88">
        <f>+E23</f>
        <v>150</v>
      </c>
      <c r="P67" s="88">
        <f>+F23</f>
        <v>180</v>
      </c>
    </row>
    <row r="68" spans="2:16">
      <c r="C68" s="157" t="s">
        <v>187</v>
      </c>
      <c r="H68" s="157"/>
      <c r="I68" s="80"/>
      <c r="J68" s="194"/>
      <c r="K68" s="194"/>
      <c r="M68" s="157" t="s">
        <v>188</v>
      </c>
      <c r="N68" s="80"/>
      <c r="O68" s="194">
        <f>+D40-E40</f>
        <v>-10</v>
      </c>
      <c r="P68" s="194">
        <f>+E40-F40</f>
        <v>-20</v>
      </c>
    </row>
    <row r="69" spans="2:16">
      <c r="C69" s="157" t="s">
        <v>188</v>
      </c>
      <c r="H69" s="157"/>
      <c r="I69" s="80"/>
      <c r="J69" s="194"/>
      <c r="K69" s="194"/>
      <c r="M69" s="157" t="s">
        <v>187</v>
      </c>
      <c r="N69" s="80"/>
      <c r="O69" s="194">
        <f>+D43-E43</f>
        <v>-433.33000000000004</v>
      </c>
      <c r="P69" s="194">
        <f>+E43-F43</f>
        <v>-375.46999999999991</v>
      </c>
    </row>
    <row r="70" spans="2:16">
      <c r="C70" s="158" t="s">
        <v>189</v>
      </c>
      <c r="H70" s="158"/>
      <c r="I70" s="80"/>
      <c r="J70" s="194"/>
      <c r="K70" s="194"/>
      <c r="M70" s="157" t="s">
        <v>186</v>
      </c>
      <c r="N70" s="80"/>
      <c r="O70" s="194">
        <f>+D44-E44</f>
        <v>-620.83000000000004</v>
      </c>
      <c r="P70" s="194">
        <f>+E44-F44</f>
        <v>102.59000000000003</v>
      </c>
    </row>
    <row r="71" spans="2:16">
      <c r="C71" s="158" t="s">
        <v>190</v>
      </c>
      <c r="H71" s="158"/>
      <c r="I71" s="80"/>
      <c r="J71" s="194"/>
      <c r="K71" s="194"/>
      <c r="M71" s="158" t="s">
        <v>189</v>
      </c>
      <c r="N71" s="80"/>
      <c r="O71" s="194">
        <f>+E51-D51</f>
        <v>-61.669999999999987</v>
      </c>
      <c r="P71" s="194">
        <f>+F51-E51</f>
        <v>205.98</v>
      </c>
    </row>
    <row r="72" spans="2:16" ht="17" thickBot="1">
      <c r="C72" s="81" t="s">
        <v>191</v>
      </c>
      <c r="H72" s="81"/>
      <c r="I72" s="81"/>
      <c r="J72" s="155"/>
      <c r="K72" s="155"/>
      <c r="M72" s="158" t="s">
        <v>219</v>
      </c>
      <c r="N72" s="80"/>
      <c r="O72" s="195">
        <f>+E49-D49</f>
        <v>40</v>
      </c>
      <c r="P72" s="195">
        <f>+F49-E49</f>
        <v>-70</v>
      </c>
    </row>
    <row r="73" spans="2:16" ht="17" thickTop="1">
      <c r="C73" s="81"/>
      <c r="H73" s="80"/>
      <c r="I73" s="80"/>
      <c r="J73" s="80"/>
      <c r="M73" s="196" t="s">
        <v>191</v>
      </c>
      <c r="N73" s="196"/>
      <c r="O73" s="197">
        <f>SUM(O66:O72)</f>
        <v>-44.067837837837857</v>
      </c>
      <c r="P73" s="197">
        <f>SUM(P66:P72)</f>
        <v>1120.3902690154321</v>
      </c>
    </row>
    <row r="74" spans="2:16">
      <c r="C74" s="157" t="s">
        <v>192</v>
      </c>
      <c r="H74" s="157"/>
      <c r="I74" s="80"/>
      <c r="J74" s="88"/>
      <c r="K74" s="88"/>
      <c r="M74" s="80"/>
      <c r="N74" s="80"/>
      <c r="O74" s="80"/>
    </row>
    <row r="75" spans="2:16">
      <c r="B75" t="s">
        <v>180</v>
      </c>
      <c r="C75" s="159" t="s">
        <v>185</v>
      </c>
      <c r="H75" s="159"/>
      <c r="I75" s="80"/>
      <c r="J75" s="88"/>
      <c r="K75" s="88"/>
      <c r="M75" s="157" t="s">
        <v>220</v>
      </c>
      <c r="N75" s="80"/>
      <c r="O75" s="88">
        <f>+D46-E46</f>
        <v>123.23000000000002</v>
      </c>
      <c r="P75" s="88">
        <f>+E46-F46</f>
        <v>-177.76999999999998</v>
      </c>
    </row>
    <row r="76" spans="2:16">
      <c r="C76" s="81" t="s">
        <v>193</v>
      </c>
      <c r="H76" s="157"/>
      <c r="I76" s="80"/>
      <c r="J76" s="88"/>
      <c r="K76" s="88"/>
      <c r="M76" s="159" t="s">
        <v>41</v>
      </c>
      <c r="N76" s="80"/>
      <c r="O76" s="88">
        <f>-O67</f>
        <v>-150</v>
      </c>
      <c r="P76" s="88">
        <f>-P67</f>
        <v>-180</v>
      </c>
    </row>
    <row r="77" spans="2:16">
      <c r="H77" s="162"/>
      <c r="I77" s="80"/>
      <c r="J77" s="88"/>
      <c r="K77" s="88"/>
      <c r="M77" s="157" t="s">
        <v>194</v>
      </c>
      <c r="N77" s="80"/>
      <c r="O77" s="88">
        <f>D42-E42</f>
        <v>-100</v>
      </c>
      <c r="P77" s="88">
        <f>E42-F42</f>
        <v>100</v>
      </c>
    </row>
    <row r="78" spans="2:16">
      <c r="C78" s="160" t="s">
        <v>35</v>
      </c>
      <c r="H78" s="163"/>
      <c r="I78" s="80"/>
      <c r="J78" s="88"/>
      <c r="K78" s="88"/>
      <c r="M78" s="162" t="s">
        <v>195</v>
      </c>
      <c r="N78" s="80"/>
      <c r="O78" s="88">
        <f>E26</f>
        <v>20</v>
      </c>
      <c r="P78" s="88">
        <f>F26</f>
        <v>0</v>
      </c>
    </row>
    <row r="79" spans="2:16">
      <c r="H79" s="162"/>
      <c r="I79" s="80"/>
      <c r="J79" s="88"/>
      <c r="K79" s="88"/>
      <c r="M79" s="163" t="s">
        <v>197</v>
      </c>
      <c r="N79" s="80"/>
      <c r="O79" s="88">
        <f>-O78*O$59</f>
        <v>-1.8378378378378379</v>
      </c>
      <c r="P79" s="88">
        <f>-P78*P$59</f>
        <v>0</v>
      </c>
    </row>
    <row r="80" spans="2:16">
      <c r="C80" s="157" t="s">
        <v>194</v>
      </c>
      <c r="H80" s="163"/>
      <c r="I80" s="80"/>
      <c r="J80" s="88"/>
      <c r="K80" s="88"/>
      <c r="M80" s="162" t="s">
        <v>43</v>
      </c>
      <c r="N80" s="80"/>
      <c r="O80" s="88">
        <f>E27</f>
        <v>0</v>
      </c>
      <c r="P80" s="88">
        <f>F27</f>
        <v>0</v>
      </c>
    </row>
    <row r="81" spans="2:16">
      <c r="C81" s="162" t="s">
        <v>195</v>
      </c>
      <c r="H81" s="81"/>
      <c r="I81" s="81"/>
      <c r="J81" s="155"/>
      <c r="K81" s="155"/>
      <c r="M81" s="163" t="s">
        <v>198</v>
      </c>
      <c r="N81" s="80"/>
      <c r="O81" s="88">
        <f>-O80*O$59</f>
        <v>0</v>
      </c>
      <c r="P81" s="88">
        <f>-P80*P$59</f>
        <v>0</v>
      </c>
    </row>
    <row r="82" spans="2:16">
      <c r="B82" t="s">
        <v>196</v>
      </c>
      <c r="C82" s="163" t="s">
        <v>197</v>
      </c>
      <c r="M82" s="198" t="s">
        <v>193</v>
      </c>
      <c r="N82" s="198"/>
      <c r="O82" s="199">
        <f>SUM(O75:O81)</f>
        <v>-108.60783783783782</v>
      </c>
      <c r="P82" s="199">
        <f>SUM(P75:P81)</f>
        <v>-257.77</v>
      </c>
    </row>
    <row r="83" spans="2:16" ht="17" thickBot="1">
      <c r="C83" s="162" t="s">
        <v>43</v>
      </c>
      <c r="H83" s="81"/>
      <c r="I83" s="81"/>
      <c r="J83" s="155"/>
      <c r="K83" s="155"/>
    </row>
    <row r="84" spans="2:16" ht="17" thickBot="1">
      <c r="C84" s="163" t="s">
        <v>198</v>
      </c>
      <c r="H84" s="80"/>
      <c r="I84" s="80"/>
      <c r="J84" s="80"/>
      <c r="M84" s="200" t="s">
        <v>35</v>
      </c>
      <c r="N84" s="201"/>
      <c r="O84" s="202">
        <f>+O82+O73</f>
        <v>-152.67567567567568</v>
      </c>
      <c r="P84" s="203">
        <f>+P82+P73</f>
        <v>862.62026901543209</v>
      </c>
    </row>
    <row r="85" spans="2:16">
      <c r="B85" t="s">
        <v>180</v>
      </c>
      <c r="C85" s="154" t="s">
        <v>199</v>
      </c>
      <c r="H85" s="154"/>
      <c r="I85" s="80"/>
      <c r="J85" s="88"/>
      <c r="K85" s="88"/>
      <c r="M85" s="80"/>
      <c r="N85" s="80"/>
      <c r="O85" s="80"/>
    </row>
    <row r="86" spans="2:16">
      <c r="C86" s="164" t="s">
        <v>201</v>
      </c>
      <c r="H86" s="164"/>
      <c r="I86" s="80"/>
      <c r="J86" s="88"/>
      <c r="K86" s="88"/>
      <c r="M86" s="154" t="s">
        <v>199</v>
      </c>
      <c r="N86" s="80"/>
      <c r="O86" s="88">
        <f>-E31</f>
        <v>-77</v>
      </c>
      <c r="P86" s="88">
        <f>-F31</f>
        <v>-28</v>
      </c>
    </row>
    <row r="87" spans="2:16">
      <c r="C87" s="158" t="s">
        <v>202</v>
      </c>
      <c r="H87" s="158"/>
      <c r="I87" s="80"/>
      <c r="J87" s="88"/>
      <c r="K87" s="88"/>
      <c r="M87" s="164" t="s">
        <v>201</v>
      </c>
      <c r="N87" s="80"/>
      <c r="O87" s="88">
        <f>-O86*O59</f>
        <v>7.0756756756756758</v>
      </c>
      <c r="P87" s="88">
        <f>-P86*P59</f>
        <v>2.3897309845691632</v>
      </c>
    </row>
    <row r="88" spans="2:16">
      <c r="H88" s="158"/>
      <c r="I88" s="80"/>
      <c r="J88" s="88"/>
      <c r="K88" s="88"/>
      <c r="M88" s="158" t="s">
        <v>221</v>
      </c>
      <c r="N88" s="80"/>
      <c r="O88" s="88">
        <f>+E50-D50</f>
        <v>-90</v>
      </c>
      <c r="P88" s="88">
        <f>+F50-E50</f>
        <v>-80</v>
      </c>
    </row>
    <row r="89" spans="2:16">
      <c r="C89" s="160" t="s">
        <v>125</v>
      </c>
      <c r="H89" s="80"/>
      <c r="I89" s="80"/>
      <c r="J89" s="80"/>
      <c r="K89" s="80"/>
      <c r="M89" s="158" t="s">
        <v>222</v>
      </c>
      <c r="N89" s="80"/>
      <c r="O89" s="88">
        <f>+E53-D53</f>
        <v>100</v>
      </c>
      <c r="P89" s="88">
        <f>+F53-E53</f>
        <v>-300</v>
      </c>
    </row>
    <row r="90" spans="2:16" ht="17" thickBot="1">
      <c r="H90" s="81"/>
      <c r="I90" s="81"/>
      <c r="J90" s="155"/>
      <c r="K90" s="155"/>
      <c r="M90" s="80"/>
      <c r="N90" s="80"/>
      <c r="O90" s="80"/>
      <c r="P90" s="80"/>
    </row>
    <row r="91" spans="2:16" ht="17" thickBot="1">
      <c r="B91" t="s">
        <v>180</v>
      </c>
      <c r="C91" s="154" t="s">
        <v>203</v>
      </c>
      <c r="H91" s="80"/>
      <c r="I91" s="80"/>
      <c r="J91" s="80"/>
      <c r="M91" s="204" t="s">
        <v>125</v>
      </c>
      <c r="N91" s="205"/>
      <c r="O91" s="206">
        <f>SUM(O84:O89)</f>
        <v>-212.60000000000002</v>
      </c>
      <c r="P91" s="207">
        <f>SUM(P84:P89)</f>
        <v>457.01000000000124</v>
      </c>
    </row>
    <row r="92" spans="2:16">
      <c r="B92" t="s">
        <v>204</v>
      </c>
      <c r="C92" s="165" t="s">
        <v>205</v>
      </c>
      <c r="H92" s="154"/>
      <c r="I92" s="80"/>
      <c r="J92" s="88"/>
      <c r="K92" s="88"/>
      <c r="M92" s="80"/>
      <c r="N92" s="80"/>
      <c r="O92" s="80"/>
    </row>
    <row r="93" spans="2:16">
      <c r="C93" s="80"/>
      <c r="H93" s="165"/>
      <c r="I93" s="80"/>
      <c r="J93" s="88"/>
      <c r="K93" s="88"/>
      <c r="M93" s="154" t="s">
        <v>203</v>
      </c>
      <c r="N93" s="80"/>
      <c r="O93" s="88">
        <f>-E36</f>
        <v>-600</v>
      </c>
      <c r="P93" s="88">
        <f>-F36</f>
        <v>-850</v>
      </c>
    </row>
    <row r="94" spans="2:16">
      <c r="C94" s="166" t="s">
        <v>206</v>
      </c>
      <c r="H94" s="80"/>
      <c r="I94" s="80"/>
      <c r="J94" s="80"/>
      <c r="M94" s="165" t="s">
        <v>205</v>
      </c>
      <c r="N94" s="80"/>
      <c r="O94" s="88">
        <f>+E54-D54-E37</f>
        <v>502.59999999999991</v>
      </c>
      <c r="P94" s="88">
        <f>+F54-E54-F37</f>
        <v>472.98999999999887</v>
      </c>
    </row>
    <row r="95" spans="2:16" ht="17" thickBot="1">
      <c r="C95" s="167"/>
      <c r="H95" s="166"/>
      <c r="I95" s="81"/>
      <c r="J95" s="155"/>
      <c r="K95" s="155"/>
      <c r="M95" s="80"/>
      <c r="N95" s="80"/>
      <c r="O95" s="80"/>
    </row>
    <row r="96" spans="2:16" ht="17" thickBot="1">
      <c r="C96" s="168" t="s">
        <v>207</v>
      </c>
      <c r="H96" s="167"/>
      <c r="I96" s="80"/>
      <c r="J96" s="88"/>
      <c r="M96" s="208" t="s">
        <v>206</v>
      </c>
      <c r="N96" s="209"/>
      <c r="O96" s="210">
        <f>SUM(O91:O94)</f>
        <v>-310.00000000000011</v>
      </c>
      <c r="P96" s="211">
        <f>SUM(P91:P94)</f>
        <v>80.000000000000114</v>
      </c>
    </row>
    <row r="97" spans="2:16" ht="17" thickBot="1">
      <c r="B97" t="s">
        <v>180</v>
      </c>
      <c r="C97" s="169" t="s">
        <v>208</v>
      </c>
      <c r="H97" s="534"/>
      <c r="I97" s="535"/>
      <c r="J97" s="536"/>
      <c r="K97" s="536"/>
      <c r="M97" s="167"/>
      <c r="N97" s="80"/>
      <c r="O97" s="88"/>
    </row>
    <row r="98" spans="2:16" ht="17" thickBot="1">
      <c r="C98" s="166" t="s">
        <v>209</v>
      </c>
      <c r="M98" s="212" t="s">
        <v>223</v>
      </c>
      <c r="N98" s="213"/>
      <c r="O98" s="214">
        <f>E41-D41</f>
        <v>-310</v>
      </c>
      <c r="P98" s="215">
        <f>F41-E41</f>
        <v>80</v>
      </c>
    </row>
    <row r="99" spans="2:16">
      <c r="M99" s="80"/>
    </row>
    <row r="100" spans="2:16">
      <c r="M100" s="81"/>
    </row>
    <row r="101" spans="2:16">
      <c r="C101" s="166" t="s">
        <v>210</v>
      </c>
      <c r="M101" s="80"/>
    </row>
    <row r="102" spans="2:16">
      <c r="C102" s="80"/>
      <c r="E102" s="79"/>
    </row>
    <row r="103" spans="2:16">
      <c r="C103" s="81"/>
      <c r="E103" s="79"/>
    </row>
    <row r="104" spans="2:16">
      <c r="C104" s="80"/>
    </row>
    <row r="105" spans="2:16">
      <c r="C105" s="81"/>
      <c r="D105" s="216"/>
      <c r="E105" s="217"/>
      <c r="F105" s="217"/>
    </row>
    <row r="106" spans="2:16">
      <c r="C106" s="80"/>
    </row>
    <row r="107" spans="2:16">
      <c r="E107" s="12"/>
      <c r="F107" s="12"/>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E86D-53AE-8E4A-A67D-80647B54B127}">
  <sheetPr codeName="Sheet49"/>
  <dimension ref="A9:F56"/>
  <sheetViews>
    <sheetView workbookViewId="0">
      <selection activeCell="B17" sqref="B17:B20"/>
    </sheetView>
  </sheetViews>
  <sheetFormatPr baseColWidth="10" defaultColWidth="8.83203125" defaultRowHeight="16"/>
  <cols>
    <col min="1" max="1" width="13.5" bestFit="1" customWidth="1"/>
    <col min="2" max="2" width="60.83203125" style="218" bestFit="1" customWidth="1"/>
    <col min="3" max="3" width="30.33203125" bestFit="1" customWidth="1"/>
    <col min="4" max="6" width="13.6640625" customWidth="1"/>
  </cols>
  <sheetData>
    <row r="9" spans="2:6" ht="17" thickBot="1"/>
    <row r="10" spans="2:6" ht="17" thickBot="1">
      <c r="C10" s="32"/>
      <c r="D10" s="33">
        <f ca="1">+E10-1</f>
        <v>2021</v>
      </c>
      <c r="E10" s="33">
        <f ca="1">+F10-1</f>
        <v>2022</v>
      </c>
      <c r="F10" s="33">
        <f ca="1">+YEAR(TODAY())-1</f>
        <v>2023</v>
      </c>
    </row>
    <row r="11" spans="2:6" ht="17" thickBot="1">
      <c r="C11" s="34" t="s">
        <v>3</v>
      </c>
      <c r="D11" s="35">
        <v>20000</v>
      </c>
      <c r="E11" s="35">
        <v>22000</v>
      </c>
      <c r="F11" s="35">
        <v>25000</v>
      </c>
    </row>
    <row r="12" spans="2:6" ht="17" thickBot="1">
      <c r="B12" s="219" t="s">
        <v>224</v>
      </c>
      <c r="C12" s="220" t="s">
        <v>38</v>
      </c>
      <c r="D12" s="221">
        <v>0</v>
      </c>
      <c r="E12" s="221">
        <v>500</v>
      </c>
      <c r="F12" s="221">
        <v>1000</v>
      </c>
    </row>
    <row r="13" spans="2:6" ht="17" thickBot="1">
      <c r="C13" s="34" t="s">
        <v>39</v>
      </c>
      <c r="D13" s="35">
        <v>10000</v>
      </c>
      <c r="E13" s="35">
        <v>12000</v>
      </c>
      <c r="F13" s="35">
        <v>13000</v>
      </c>
    </row>
    <row r="14" spans="2:6" ht="17" thickBot="1">
      <c r="C14" s="34" t="s">
        <v>40</v>
      </c>
      <c r="D14" s="35">
        <v>5000</v>
      </c>
      <c r="E14" s="35">
        <v>6000</v>
      </c>
      <c r="F14" s="35">
        <v>7000</v>
      </c>
    </row>
    <row r="15" spans="2:6" ht="17" thickBot="1">
      <c r="C15" s="34" t="s">
        <v>41</v>
      </c>
      <c r="D15" s="35">
        <v>250</v>
      </c>
      <c r="E15" s="35">
        <v>150</v>
      </c>
      <c r="F15" s="35">
        <v>180</v>
      </c>
    </row>
    <row r="16" spans="2:6" ht="17" thickBot="1">
      <c r="C16" s="36" t="s">
        <v>26</v>
      </c>
      <c r="D16" s="37">
        <f>+D11+D12-D13-D14-D15</f>
        <v>4750</v>
      </c>
      <c r="E16" s="37">
        <f>+E11+E12-E13-E14-E15</f>
        <v>4350</v>
      </c>
      <c r="F16" s="37">
        <f>+F11+F12-F13-F14-F15</f>
        <v>5820</v>
      </c>
    </row>
    <row r="17" spans="2:6" ht="17" thickBot="1">
      <c r="B17" s="537" t="s">
        <v>225</v>
      </c>
      <c r="C17" s="222" t="s">
        <v>42</v>
      </c>
      <c r="D17" s="223">
        <v>100</v>
      </c>
      <c r="E17" s="223">
        <v>0</v>
      </c>
      <c r="F17" s="223">
        <v>120</v>
      </c>
    </row>
    <row r="18" spans="2:6" ht="17" thickBot="1">
      <c r="B18" s="537"/>
      <c r="C18" s="222" t="s">
        <v>43</v>
      </c>
      <c r="D18" s="223">
        <v>0</v>
      </c>
      <c r="E18" s="223">
        <v>10</v>
      </c>
      <c r="F18" s="223">
        <v>50</v>
      </c>
    </row>
    <row r="19" spans="2:6" ht="17" thickBot="1">
      <c r="B19" s="537"/>
      <c r="C19" s="222" t="s">
        <v>177</v>
      </c>
      <c r="D19" s="223">
        <v>80</v>
      </c>
      <c r="E19" s="223">
        <v>85</v>
      </c>
      <c r="F19" s="223">
        <v>40</v>
      </c>
    </row>
    <row r="20" spans="2:6" ht="17" thickBot="1">
      <c r="B20" s="537"/>
      <c r="C20" s="224" t="s">
        <v>46</v>
      </c>
      <c r="D20" s="225">
        <f>+D17+D18-D19</f>
        <v>20</v>
      </c>
      <c r="E20" s="225">
        <f t="shared" ref="E20:F20" si="0">+E17+E18-E19</f>
        <v>-75</v>
      </c>
      <c r="F20" s="225">
        <f t="shared" si="0"/>
        <v>130</v>
      </c>
    </row>
    <row r="21" spans="2:6" ht="17" thickBot="1">
      <c r="C21" s="34" t="s">
        <v>47</v>
      </c>
      <c r="D21" s="35">
        <f>+D20+D16</f>
        <v>4770</v>
      </c>
      <c r="E21" s="35">
        <f t="shared" ref="E21:F21" si="1">+E20+E16</f>
        <v>4275</v>
      </c>
      <c r="F21" s="35">
        <f t="shared" si="1"/>
        <v>5950</v>
      </c>
    </row>
    <row r="22" spans="2:6" ht="17" thickBot="1">
      <c r="C22" s="34" t="s">
        <v>48</v>
      </c>
      <c r="D22" s="35">
        <v>500</v>
      </c>
      <c r="E22" s="35">
        <v>400</v>
      </c>
      <c r="F22" s="35">
        <v>600</v>
      </c>
    </row>
    <row r="23" spans="2:6" ht="17" thickBot="1">
      <c r="C23" s="36" t="s">
        <v>49</v>
      </c>
      <c r="D23" s="37">
        <f>+D21-D22</f>
        <v>4270</v>
      </c>
      <c r="E23" s="37">
        <f t="shared" ref="E23:F23" si="2">+E21-E22</f>
        <v>3875</v>
      </c>
      <c r="F23" s="37">
        <f t="shared" si="2"/>
        <v>5350</v>
      </c>
    </row>
    <row r="24" spans="2:6" ht="17" thickBot="1">
      <c r="C24" s="34" t="s">
        <v>50</v>
      </c>
      <c r="D24" s="35">
        <v>2800</v>
      </c>
      <c r="E24" s="35">
        <v>2900</v>
      </c>
      <c r="F24" s="35">
        <v>3400</v>
      </c>
    </row>
    <row r="25" spans="2:6" ht="17" thickBot="1">
      <c r="C25" s="34" t="s">
        <v>51</v>
      </c>
      <c r="D25" s="35">
        <f>+D23-D24</f>
        <v>1470</v>
      </c>
      <c r="E25" s="35">
        <f t="shared" ref="E25:F25" si="3">+E23-E24</f>
        <v>975</v>
      </c>
      <c r="F25" s="35">
        <f t="shared" si="3"/>
        <v>1950</v>
      </c>
    </row>
    <row r="26" spans="2:6" ht="17" thickBot="1">
      <c r="C26" s="38"/>
      <c r="D26" s="39"/>
      <c r="E26" s="39"/>
      <c r="F26" s="39"/>
    </row>
    <row r="27" spans="2:6" ht="17" thickBot="1">
      <c r="C27" s="34" t="s">
        <v>52</v>
      </c>
      <c r="D27" s="35">
        <v>500</v>
      </c>
      <c r="E27" s="35">
        <v>600</v>
      </c>
      <c r="F27" s="35">
        <v>400</v>
      </c>
    </row>
    <row r="28" spans="2:6" ht="17" thickBot="1">
      <c r="B28" s="219" t="s">
        <v>226</v>
      </c>
      <c r="C28" s="226" t="s">
        <v>227</v>
      </c>
      <c r="D28" s="227">
        <v>500</v>
      </c>
      <c r="E28" s="227">
        <v>550</v>
      </c>
      <c r="F28" s="227">
        <v>400</v>
      </c>
    </row>
    <row r="29" spans="2:6" ht="17" thickBot="1">
      <c r="B29" s="228" t="s">
        <v>228</v>
      </c>
      <c r="C29" s="229" t="s">
        <v>54</v>
      </c>
      <c r="D29" s="230">
        <v>0</v>
      </c>
      <c r="E29" s="230">
        <v>50</v>
      </c>
      <c r="F29" s="230">
        <v>0</v>
      </c>
    </row>
    <row r="30" spans="2:6" ht="17" thickBot="1">
      <c r="C30" s="34" t="s">
        <v>55</v>
      </c>
      <c r="D30" s="35">
        <v>300</v>
      </c>
      <c r="E30" s="35">
        <v>800</v>
      </c>
      <c r="F30" s="35">
        <v>1200</v>
      </c>
    </row>
    <row r="31" spans="2:6" ht="17" thickBot="1">
      <c r="C31" s="34" t="s">
        <v>56</v>
      </c>
      <c r="D31" s="35">
        <v>400</v>
      </c>
      <c r="E31" s="35">
        <v>500</v>
      </c>
      <c r="F31" s="35">
        <v>700</v>
      </c>
    </row>
    <row r="32" spans="2:6" ht="17" thickBot="1">
      <c r="C32" s="36" t="s">
        <v>57</v>
      </c>
      <c r="D32" s="40">
        <f>SUM(D27:D31)</f>
        <v>1700</v>
      </c>
      <c r="E32" s="40">
        <f t="shared" ref="E32:F32" si="4">SUM(E27:E31)</f>
        <v>2500</v>
      </c>
      <c r="F32" s="40">
        <f t="shared" si="4"/>
        <v>2700</v>
      </c>
    </row>
    <row r="33" spans="1:6" ht="17" thickBot="1">
      <c r="B33" s="219" t="s">
        <v>229</v>
      </c>
      <c r="C33" s="226" t="s">
        <v>58</v>
      </c>
      <c r="D33" s="227">
        <v>1500</v>
      </c>
      <c r="E33" s="227">
        <v>1800</v>
      </c>
      <c r="F33" s="227">
        <v>2200</v>
      </c>
    </row>
    <row r="34" spans="1:6" ht="17" thickBot="1">
      <c r="C34" s="36" t="s">
        <v>59</v>
      </c>
      <c r="D34" s="37">
        <f>+D33+D32</f>
        <v>3200</v>
      </c>
      <c r="E34" s="37">
        <f t="shared" ref="E34:F34" si="5">+E33+E32</f>
        <v>4300</v>
      </c>
      <c r="F34" s="37">
        <f t="shared" si="5"/>
        <v>4900</v>
      </c>
    </row>
    <row r="35" spans="1:6" ht="17" thickBot="1">
      <c r="B35" s="228" t="s">
        <v>228</v>
      </c>
      <c r="C35" s="222" t="s">
        <v>60</v>
      </c>
      <c r="D35" s="223">
        <v>300</v>
      </c>
      <c r="E35" s="223">
        <v>250</v>
      </c>
      <c r="F35" s="223">
        <v>100</v>
      </c>
    </row>
    <row r="36" spans="1:6" ht="17" thickBot="1">
      <c r="C36" s="34" t="s">
        <v>61</v>
      </c>
      <c r="D36" s="35">
        <v>300</v>
      </c>
      <c r="E36" s="35">
        <v>240</v>
      </c>
      <c r="F36" s="35">
        <v>450</v>
      </c>
    </row>
    <row r="37" spans="1:6" ht="17" thickBot="1">
      <c r="C37" s="36" t="s">
        <v>62</v>
      </c>
      <c r="D37" s="37">
        <f>+D35+D36</f>
        <v>600</v>
      </c>
      <c r="E37" s="37">
        <f>+E35+E36</f>
        <v>490</v>
      </c>
      <c r="F37" s="37">
        <f>+F35+F36</f>
        <v>550</v>
      </c>
    </row>
    <row r="38" spans="1:6" ht="17" thickBot="1">
      <c r="C38" s="34" t="s">
        <v>63</v>
      </c>
      <c r="D38" s="35">
        <v>1000</v>
      </c>
      <c r="E38" s="35">
        <v>1600</v>
      </c>
      <c r="F38" s="35">
        <v>2100</v>
      </c>
    </row>
    <row r="39" spans="1:6" ht="17" thickBot="1">
      <c r="C39" s="34" t="s">
        <v>64</v>
      </c>
      <c r="D39" s="35">
        <f>+D34-D37-D38</f>
        <v>1600</v>
      </c>
      <c r="E39" s="35">
        <f t="shared" ref="E39:F39" si="6">+E34-E37-E38</f>
        <v>2210</v>
      </c>
      <c r="F39" s="35">
        <f t="shared" si="6"/>
        <v>2250</v>
      </c>
    </row>
    <row r="40" spans="1:6" ht="17" thickBot="1">
      <c r="C40" s="36" t="s">
        <v>65</v>
      </c>
      <c r="D40" s="37">
        <f>+D37+D38+D39</f>
        <v>3200</v>
      </c>
      <c r="E40" s="37">
        <f t="shared" ref="E40:F40" si="7">+E37+E38+E39</f>
        <v>4300</v>
      </c>
      <c r="F40" s="37">
        <f t="shared" si="7"/>
        <v>4900</v>
      </c>
    </row>
    <row r="42" spans="1:6">
      <c r="B42" s="231" t="s">
        <v>230</v>
      </c>
      <c r="C42" s="232" t="s">
        <v>231</v>
      </c>
      <c r="D42" s="233"/>
      <c r="E42" s="234">
        <v>0.12</v>
      </c>
      <c r="F42" s="234">
        <v>0.06</v>
      </c>
    </row>
    <row r="43" spans="1:6">
      <c r="E43" s="14"/>
      <c r="F43" s="14"/>
    </row>
    <row r="44" spans="1:6">
      <c r="C44" t="s">
        <v>232</v>
      </c>
      <c r="D44" s="13">
        <f>D22/D21</f>
        <v>0.10482180293501048</v>
      </c>
      <c r="E44" s="13">
        <f>E22/E21</f>
        <v>9.3567251461988299E-2</v>
      </c>
      <c r="F44" s="13">
        <f>F22/F21</f>
        <v>0.10084033613445378</v>
      </c>
    </row>
    <row r="46" spans="1:6">
      <c r="B46" s="235" t="s">
        <v>233</v>
      </c>
      <c r="C46" s="236" t="s">
        <v>234</v>
      </c>
      <c r="E46" s="237">
        <f>(E11/D11-1)*(1-E42)</f>
        <v>8.8000000000000078E-2</v>
      </c>
      <c r="F46" s="237">
        <f>(F11/E11-1)*(1-F42)</f>
        <v>0.12818181818181826</v>
      </c>
    </row>
    <row r="47" spans="1:6">
      <c r="A47" s="538" t="s">
        <v>235</v>
      </c>
      <c r="B47" s="238" t="s">
        <v>236</v>
      </c>
      <c r="C47" t="s">
        <v>237</v>
      </c>
      <c r="D47" s="79">
        <f>D30/D11*360</f>
        <v>5.3999999999999995</v>
      </c>
      <c r="E47" s="79">
        <f>E30/E11*360</f>
        <v>13.09090909090909</v>
      </c>
      <c r="F47" s="79">
        <f>F30/F11*360</f>
        <v>17.28</v>
      </c>
    </row>
    <row r="48" spans="1:6">
      <c r="A48" s="538"/>
      <c r="B48" s="238" t="s">
        <v>238</v>
      </c>
      <c r="C48" t="s">
        <v>239</v>
      </c>
      <c r="D48" s="79">
        <f>D36/D13*360</f>
        <v>10.799999999999999</v>
      </c>
      <c r="E48" s="79">
        <f>E36/E13*360</f>
        <v>7.2</v>
      </c>
      <c r="F48" s="79">
        <f>F36/F13*360</f>
        <v>12.461538461538462</v>
      </c>
    </row>
    <row r="49" spans="1:6">
      <c r="A49" s="538"/>
      <c r="B49" s="238" t="s">
        <v>240</v>
      </c>
      <c r="C49" t="s">
        <v>477</v>
      </c>
      <c r="D49" s="79">
        <f>D31/(D13+D14)*360</f>
        <v>9.6000000000000014</v>
      </c>
      <c r="E49" s="79">
        <f>E31/(E13+E14)*360</f>
        <v>10</v>
      </c>
      <c r="F49" s="79">
        <f>F31/(F13+F14)*360</f>
        <v>12.600000000000001</v>
      </c>
    </row>
    <row r="50" spans="1:6">
      <c r="A50" s="239"/>
    </row>
    <row r="51" spans="1:6">
      <c r="A51" s="240"/>
      <c r="B51" s="241" t="s">
        <v>241</v>
      </c>
      <c r="C51" s="236" t="s">
        <v>242</v>
      </c>
      <c r="D51" s="237">
        <f>(D38+D35)/(D39+D38+D35)</f>
        <v>0.44827586206896552</v>
      </c>
      <c r="E51" s="237">
        <f>(E38+E35)/(E39+E38+E35)</f>
        <v>0.45566502463054187</v>
      </c>
      <c r="F51" s="237">
        <f>(F38+F35)/(F39+F38+F35)</f>
        <v>0.4943820224719101</v>
      </c>
    </row>
    <row r="52" spans="1:6">
      <c r="B52" s="235" t="s">
        <v>243</v>
      </c>
      <c r="C52" s="169" t="s">
        <v>244</v>
      </c>
      <c r="D52" s="242">
        <f>D16*(1-D44)/D39</f>
        <v>2.6575602725366876</v>
      </c>
      <c r="E52" s="242">
        <f>E16*(1-E44)/E39</f>
        <v>1.7841549575295705</v>
      </c>
      <c r="F52" s="242">
        <f>F16*(1-F44)/F39</f>
        <v>2.3258263305322133</v>
      </c>
    </row>
    <row r="53" spans="1:6">
      <c r="B53" s="235" t="s">
        <v>245</v>
      </c>
      <c r="C53" s="169" t="s">
        <v>246</v>
      </c>
      <c r="D53" s="243">
        <f>(D38)/D39</f>
        <v>0.625</v>
      </c>
      <c r="E53" s="243">
        <f t="shared" ref="E53" si="8">(E38)/E39</f>
        <v>0.72398190045248867</v>
      </c>
      <c r="F53" s="243">
        <f>(F38+F35)/F39</f>
        <v>0.97777777777777775</v>
      </c>
    </row>
    <row r="54" spans="1:6">
      <c r="A54" s="244"/>
      <c r="B54" s="235" t="s">
        <v>247</v>
      </c>
      <c r="C54" s="236" t="s">
        <v>248</v>
      </c>
      <c r="D54" s="245">
        <f>D16*(1-D44)/((D28+D30+D31+D33)-D36)</f>
        <v>1.7717068483577918</v>
      </c>
      <c r="E54" s="245">
        <f t="shared" ref="E54:F54" si="9">E16*(1-E44)/((E28+E30+E31+E33)-E36)</f>
        <v>1.1562998405103668</v>
      </c>
      <c r="F54" s="245">
        <f t="shared" si="9"/>
        <v>1.2921257391845629</v>
      </c>
    </row>
    <row r="55" spans="1:6">
      <c r="A55" t="s">
        <v>249</v>
      </c>
      <c r="B55" s="525" t="s">
        <v>478</v>
      </c>
    </row>
    <row r="56" spans="1:6">
      <c r="B56" s="526" t="s">
        <v>479</v>
      </c>
    </row>
  </sheetData>
  <mergeCells count="2">
    <mergeCell ref="B17:B20"/>
    <mergeCell ref="A47:A4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11083-B6A6-C641-9A59-F5465F20B773}">
  <sheetPr codeName="Sheet10"/>
  <dimension ref="B1:H107"/>
  <sheetViews>
    <sheetView topLeftCell="A60" workbookViewId="0">
      <selection activeCell="E87" sqref="E87"/>
    </sheetView>
  </sheetViews>
  <sheetFormatPr baseColWidth="10" defaultColWidth="8.83203125" defaultRowHeight="16"/>
  <cols>
    <col min="2" max="2" width="22.6640625" bestFit="1" customWidth="1"/>
    <col min="3" max="3" width="45.1640625" bestFit="1" customWidth="1"/>
    <col min="5" max="6" width="8.83203125" style="218"/>
    <col min="8" max="8" width="13.5" bestFit="1" customWidth="1"/>
  </cols>
  <sheetData>
    <row r="1" spans="2:3" ht="17" thickBot="1"/>
    <row r="2" spans="2:3" ht="18">
      <c r="B2" s="1" t="str">
        <f>+[4]Admin!C12</f>
        <v>Date</v>
      </c>
      <c r="C2" s="124"/>
    </row>
    <row r="3" spans="2:3" ht="18">
      <c r="B3" s="3" t="str">
        <f>+[4]Admin!C13</f>
        <v>Student name</v>
      </c>
      <c r="C3" s="4"/>
    </row>
    <row r="4" spans="2:3" ht="18">
      <c r="B4" s="3" t="str">
        <f>+[4]Admin!C14</f>
        <v>Neptun code</v>
      </c>
      <c r="C4" s="4"/>
    </row>
    <row r="5" spans="2:3" ht="18">
      <c r="B5" s="3"/>
      <c r="C5" s="5"/>
    </row>
    <row r="6" spans="2:3" ht="18">
      <c r="B6" s="3" t="str">
        <f>+[4]Admin!C16</f>
        <v>Study program</v>
      </c>
      <c r="C6" s="5" t="str">
        <f>+[4]Admin!D16</f>
        <v>Master in Finance</v>
      </c>
    </row>
    <row r="7" spans="2:3" ht="19" thickBot="1">
      <c r="B7" s="6" t="str">
        <f>+[4]Admin!C17</f>
        <v>Instructor</v>
      </c>
      <c r="C7" s="7" t="str">
        <f>+[4]Admin!D17</f>
        <v>Péter Juhász, PhD, CFA</v>
      </c>
    </row>
    <row r="8" spans="2:3" ht="17" thickBot="1"/>
    <row r="9" spans="2:3" ht="21" thickBot="1">
      <c r="B9" s="8" t="s">
        <v>0</v>
      </c>
      <c r="C9" s="9"/>
    </row>
    <row r="17" spans="2:8" ht="17" thickBot="1"/>
    <row r="18" spans="2:8" ht="17" thickBot="1">
      <c r="C18" s="32"/>
      <c r="D18" s="33">
        <v>2018</v>
      </c>
      <c r="E18" s="246">
        <v>2019</v>
      </c>
      <c r="F18" s="246">
        <v>2020</v>
      </c>
      <c r="H18" s="24" t="s">
        <v>250</v>
      </c>
    </row>
    <row r="19" spans="2:8" ht="17" thickBot="1">
      <c r="C19" s="247" t="s">
        <v>3</v>
      </c>
      <c r="D19" s="248">
        <v>12000</v>
      </c>
      <c r="E19" s="249">
        <v>13500</v>
      </c>
      <c r="F19" s="249">
        <v>15000</v>
      </c>
    </row>
    <row r="20" spans="2:8" ht="17" thickBot="1">
      <c r="C20" s="247" t="s">
        <v>38</v>
      </c>
      <c r="D20" s="248">
        <v>170</v>
      </c>
      <c r="E20" s="249">
        <v>250</v>
      </c>
      <c r="F20" s="249">
        <v>300</v>
      </c>
      <c r="H20" s="250" t="s">
        <v>251</v>
      </c>
    </row>
    <row r="21" spans="2:8" ht="17" thickBot="1">
      <c r="C21" s="251" t="s">
        <v>252</v>
      </c>
      <c r="D21" s="252">
        <v>50</v>
      </c>
      <c r="E21" s="253">
        <v>100</v>
      </c>
      <c r="F21" s="253">
        <v>150</v>
      </c>
    </row>
    <row r="22" spans="2:8" ht="17" thickBot="1">
      <c r="C22" s="254" t="s">
        <v>253</v>
      </c>
      <c r="D22" s="255">
        <f>D20-D21</f>
        <v>120</v>
      </c>
      <c r="E22" s="256">
        <f t="shared" ref="E22:F22" si="0">E20-E21</f>
        <v>150</v>
      </c>
      <c r="F22" s="256">
        <f t="shared" si="0"/>
        <v>150</v>
      </c>
    </row>
    <row r="23" spans="2:8" ht="17" thickBot="1">
      <c r="C23" s="247" t="s">
        <v>39</v>
      </c>
      <c r="D23" s="248">
        <v>7680</v>
      </c>
      <c r="E23" s="249">
        <v>8580</v>
      </c>
      <c r="F23" s="249">
        <v>9300</v>
      </c>
      <c r="H23" s="257" t="s">
        <v>254</v>
      </c>
    </row>
    <row r="24" spans="2:8" ht="17" thickBot="1">
      <c r="C24" s="247" t="s">
        <v>40</v>
      </c>
      <c r="D24" s="248">
        <v>3840</v>
      </c>
      <c r="E24" s="249">
        <v>3960</v>
      </c>
      <c r="F24" s="249">
        <v>4200</v>
      </c>
      <c r="H24" s="258" t="s">
        <v>255</v>
      </c>
    </row>
    <row r="25" spans="2:8" ht="17" thickBot="1">
      <c r="B25" s="258"/>
      <c r="C25" s="259" t="s">
        <v>41</v>
      </c>
      <c r="D25" s="255">
        <v>250</v>
      </c>
      <c r="E25" s="256">
        <v>150</v>
      </c>
      <c r="F25" s="256">
        <v>180</v>
      </c>
      <c r="H25" s="73" t="s">
        <v>256</v>
      </c>
    </row>
    <row r="26" spans="2:8" ht="17" thickBot="1">
      <c r="C26" s="247" t="s">
        <v>211</v>
      </c>
      <c r="D26" s="248">
        <v>50</v>
      </c>
      <c r="E26" s="249">
        <v>70</v>
      </c>
      <c r="F26" s="249">
        <v>80</v>
      </c>
    </row>
    <row r="27" spans="2:8" ht="17" thickBot="1">
      <c r="C27" s="251" t="s">
        <v>257</v>
      </c>
      <c r="D27" s="252">
        <v>0</v>
      </c>
      <c r="E27" s="253">
        <v>50</v>
      </c>
      <c r="F27" s="253">
        <v>30</v>
      </c>
    </row>
    <row r="28" spans="2:8" ht="17" thickBot="1">
      <c r="C28" s="254" t="s">
        <v>258</v>
      </c>
      <c r="D28" s="255">
        <f>D26-D27</f>
        <v>50</v>
      </c>
      <c r="E28" s="256">
        <f t="shared" ref="E28:F28" si="1">E26-E27</f>
        <v>20</v>
      </c>
      <c r="F28" s="256">
        <f t="shared" si="1"/>
        <v>50</v>
      </c>
    </row>
    <row r="29" spans="2:8" ht="17" thickBot="1">
      <c r="B29" s="260" t="s">
        <v>259</v>
      </c>
      <c r="C29" s="261" t="s">
        <v>26</v>
      </c>
      <c r="D29" s="262">
        <f>+D19+D20-D23-D24-D25-D26</f>
        <v>350</v>
      </c>
      <c r="E29" s="263">
        <f>+E19+E20-E23-E24-E25-E26</f>
        <v>990</v>
      </c>
      <c r="F29" s="263">
        <f>+F19+F20-F23-F24-F25-F26</f>
        <v>1540</v>
      </c>
    </row>
    <row r="30" spans="2:8" ht="17" thickBot="1">
      <c r="C30" s="264" t="s">
        <v>42</v>
      </c>
      <c r="D30" s="265">
        <v>0</v>
      </c>
      <c r="E30" s="266">
        <v>0</v>
      </c>
      <c r="F30" s="266">
        <v>0</v>
      </c>
    </row>
    <row r="31" spans="2:8" ht="17" thickBot="1">
      <c r="C31" s="264" t="s">
        <v>43</v>
      </c>
      <c r="D31" s="265">
        <v>0</v>
      </c>
      <c r="E31" s="266">
        <v>50</v>
      </c>
      <c r="F31" s="266">
        <v>0</v>
      </c>
    </row>
    <row r="32" spans="2:8" ht="17" thickBot="1">
      <c r="C32" s="247" t="s">
        <v>177</v>
      </c>
      <c r="D32" s="248">
        <v>80</v>
      </c>
      <c r="E32" s="249">
        <v>85</v>
      </c>
      <c r="F32" s="249">
        <v>40</v>
      </c>
    </row>
    <row r="33" spans="3:6" ht="17" thickBot="1">
      <c r="C33" s="254" t="s">
        <v>212</v>
      </c>
      <c r="D33" s="255">
        <v>10</v>
      </c>
      <c r="E33" s="256">
        <v>8</v>
      </c>
      <c r="F33" s="256">
        <v>12</v>
      </c>
    </row>
    <row r="34" spans="3:6" ht="17" thickBot="1">
      <c r="C34" s="267" t="s">
        <v>260</v>
      </c>
      <c r="D34" s="268">
        <f>D32-D33</f>
        <v>70</v>
      </c>
      <c r="E34" s="269">
        <f t="shared" ref="E34:F34" si="2">E32-E33</f>
        <v>77</v>
      </c>
      <c r="F34" s="269">
        <f t="shared" si="2"/>
        <v>28</v>
      </c>
    </row>
    <row r="35" spans="3:6" ht="17" thickBot="1">
      <c r="C35" s="270" t="s">
        <v>46</v>
      </c>
      <c r="D35" s="271">
        <f>+D30+D31-D32</f>
        <v>-80</v>
      </c>
      <c r="E35" s="272">
        <f t="shared" ref="E35:F35" si="3">+E30+E31-E32</f>
        <v>-35</v>
      </c>
      <c r="F35" s="272">
        <f t="shared" si="3"/>
        <v>-40</v>
      </c>
    </row>
    <row r="36" spans="3:6" ht="17" thickBot="1">
      <c r="C36" s="247" t="s">
        <v>47</v>
      </c>
      <c r="D36" s="248">
        <f>+D35+D29</f>
        <v>270</v>
      </c>
      <c r="E36" s="249">
        <f t="shared" ref="E36:F36" si="4">+E35+E29</f>
        <v>955</v>
      </c>
      <c r="F36" s="249">
        <f t="shared" si="4"/>
        <v>1500</v>
      </c>
    </row>
    <row r="37" spans="3:6" ht="17" thickBot="1">
      <c r="C37" s="34" t="s">
        <v>48</v>
      </c>
      <c r="D37" s="35">
        <v>27</v>
      </c>
      <c r="E37" s="273">
        <v>85</v>
      </c>
      <c r="F37" s="273">
        <v>100</v>
      </c>
    </row>
    <row r="38" spans="3:6" ht="17" thickBot="1">
      <c r="C38" s="270" t="s">
        <v>49</v>
      </c>
      <c r="D38" s="271">
        <f>+D36-D37</f>
        <v>243</v>
      </c>
      <c r="E38" s="272">
        <f t="shared" ref="E38:F38" si="5">+E36-E37</f>
        <v>870</v>
      </c>
      <c r="F38" s="272">
        <f t="shared" si="5"/>
        <v>1400</v>
      </c>
    </row>
    <row r="39" spans="3:6" ht="17" thickBot="1">
      <c r="C39" s="274" t="s">
        <v>50</v>
      </c>
      <c r="D39" s="268">
        <v>10</v>
      </c>
      <c r="E39" s="269">
        <v>600</v>
      </c>
      <c r="F39" s="269">
        <v>850</v>
      </c>
    </row>
    <row r="40" spans="3:6" ht="17" thickBot="1">
      <c r="C40" s="274" t="s">
        <v>51</v>
      </c>
      <c r="D40" s="268">
        <f>+D38-D39</f>
        <v>233</v>
      </c>
      <c r="E40" s="269">
        <f t="shared" ref="E40:F40" si="6">+E38-E39</f>
        <v>270</v>
      </c>
      <c r="F40" s="269">
        <f t="shared" si="6"/>
        <v>550</v>
      </c>
    </row>
    <row r="41" spans="3:6" ht="17" thickBot="1">
      <c r="C41" s="38"/>
      <c r="D41" s="39"/>
      <c r="E41" s="275"/>
      <c r="F41" s="275"/>
    </row>
    <row r="42" spans="3:6" ht="17" thickBot="1">
      <c r="C42" s="247" t="s">
        <v>52</v>
      </c>
      <c r="D42" s="248">
        <v>200</v>
      </c>
      <c r="E42" s="249">
        <v>300</v>
      </c>
      <c r="F42" s="249">
        <v>250</v>
      </c>
    </row>
    <row r="43" spans="3:6" ht="17" thickBot="1">
      <c r="C43" s="254" t="s">
        <v>53</v>
      </c>
      <c r="D43" s="255">
        <v>100</v>
      </c>
      <c r="E43" s="256">
        <v>110</v>
      </c>
      <c r="F43" s="256">
        <v>130</v>
      </c>
    </row>
    <row r="44" spans="3:6" ht="17" thickBot="1">
      <c r="C44" s="251" t="s">
        <v>87</v>
      </c>
      <c r="D44" s="252">
        <f>D42-D43</f>
        <v>100</v>
      </c>
      <c r="E44" s="253">
        <f t="shared" ref="E44:F44" si="7">E42-E43</f>
        <v>190</v>
      </c>
      <c r="F44" s="253">
        <f t="shared" si="7"/>
        <v>120</v>
      </c>
    </row>
    <row r="45" spans="3:6" ht="17" thickBot="1">
      <c r="C45" s="264" t="s">
        <v>54</v>
      </c>
      <c r="D45" s="265">
        <v>0</v>
      </c>
      <c r="E45" s="266">
        <v>0</v>
      </c>
      <c r="F45" s="266">
        <v>0</v>
      </c>
    </row>
    <row r="46" spans="3:6" ht="17" thickBot="1">
      <c r="C46" s="259" t="s">
        <v>55</v>
      </c>
      <c r="D46" s="255">
        <v>300</v>
      </c>
      <c r="E46" s="256">
        <v>400</v>
      </c>
      <c r="F46" s="256">
        <v>500</v>
      </c>
    </row>
    <row r="47" spans="3:6" ht="17" thickBot="1">
      <c r="C47" s="259" t="s">
        <v>56</v>
      </c>
      <c r="D47" s="255">
        <v>250</v>
      </c>
      <c r="E47" s="256">
        <v>300</v>
      </c>
      <c r="F47" s="256">
        <v>400</v>
      </c>
    </row>
    <row r="48" spans="3:6" ht="17" thickBot="1">
      <c r="C48" s="270" t="s">
        <v>57</v>
      </c>
      <c r="D48" s="276">
        <f>+D42+D45+D46+D47</f>
        <v>750</v>
      </c>
      <c r="E48" s="277">
        <f t="shared" ref="E48:F48" si="8">+E42+E45+E46+E47</f>
        <v>1000</v>
      </c>
      <c r="F48" s="277">
        <f t="shared" si="8"/>
        <v>1150</v>
      </c>
    </row>
    <row r="49" spans="2:6" ht="17" thickBot="1">
      <c r="C49" s="264" t="s">
        <v>58</v>
      </c>
      <c r="D49" s="265">
        <v>1000</v>
      </c>
      <c r="E49" s="266">
        <v>1200</v>
      </c>
      <c r="F49" s="266">
        <v>1500</v>
      </c>
    </row>
    <row r="50" spans="2:6" ht="17" thickBot="1">
      <c r="C50" s="270" t="s">
        <v>59</v>
      </c>
      <c r="D50" s="271">
        <f>+D49+D48</f>
        <v>1750</v>
      </c>
      <c r="E50" s="272">
        <f t="shared" ref="E50:F50" si="9">+E49+E48</f>
        <v>2200</v>
      </c>
      <c r="F50" s="272">
        <f t="shared" si="9"/>
        <v>2650</v>
      </c>
    </row>
    <row r="51" spans="2:6" ht="17" thickBot="1">
      <c r="C51" s="247" t="s">
        <v>60</v>
      </c>
      <c r="D51" s="248">
        <v>300</v>
      </c>
      <c r="E51" s="249">
        <v>250</v>
      </c>
      <c r="F51" s="249">
        <v>100</v>
      </c>
    </row>
    <row r="52" spans="2:6" ht="17" thickBot="1">
      <c r="C52" s="254" t="s">
        <v>215</v>
      </c>
      <c r="D52" s="255">
        <v>80</v>
      </c>
      <c r="E52" s="256">
        <v>120</v>
      </c>
      <c r="F52" s="256">
        <v>50</v>
      </c>
    </row>
    <row r="53" spans="2:6" ht="17" thickBot="1">
      <c r="C53" s="267" t="s">
        <v>261</v>
      </c>
      <c r="D53" s="268">
        <f>D51-D52</f>
        <v>220</v>
      </c>
      <c r="E53" s="269">
        <f t="shared" ref="E53:F53" si="10">E51-E52</f>
        <v>130</v>
      </c>
      <c r="F53" s="269">
        <f t="shared" si="10"/>
        <v>50</v>
      </c>
    </row>
    <row r="54" spans="2:6" ht="17" thickBot="1">
      <c r="C54" s="259" t="s">
        <v>61</v>
      </c>
      <c r="D54" s="255">
        <v>300</v>
      </c>
      <c r="E54" s="256">
        <v>320</v>
      </c>
      <c r="F54" s="256">
        <v>400</v>
      </c>
    </row>
    <row r="55" spans="2:6" ht="17" thickBot="1">
      <c r="C55" s="270" t="s">
        <v>62</v>
      </c>
      <c r="D55" s="271">
        <f>+D51+D54</f>
        <v>600</v>
      </c>
      <c r="E55" s="272">
        <f t="shared" ref="E55" si="11">+E51+E54</f>
        <v>570</v>
      </c>
      <c r="F55" s="272">
        <f>+F51+F54</f>
        <v>500</v>
      </c>
    </row>
    <row r="56" spans="2:6" ht="17" thickBot="1">
      <c r="C56" s="274" t="s">
        <v>63</v>
      </c>
      <c r="D56" s="268">
        <v>500</v>
      </c>
      <c r="E56" s="269">
        <v>600</v>
      </c>
      <c r="F56" s="269">
        <v>300</v>
      </c>
    </row>
    <row r="57" spans="2:6" ht="17" thickBot="1">
      <c r="C57" s="274" t="s">
        <v>64</v>
      </c>
      <c r="D57" s="268">
        <f>+D50-D55-D56</f>
        <v>650</v>
      </c>
      <c r="E57" s="269">
        <f t="shared" ref="E57:F57" si="12">+E50-E55-E56</f>
        <v>1030</v>
      </c>
      <c r="F57" s="269">
        <f t="shared" si="12"/>
        <v>1850</v>
      </c>
    </row>
    <row r="58" spans="2:6" ht="17" thickBot="1">
      <c r="C58" s="270" t="s">
        <v>65</v>
      </c>
      <c r="D58" s="271">
        <f>+D55+D56+D57</f>
        <v>1750</v>
      </c>
      <c r="E58" s="272">
        <f t="shared" ref="E58:F58" si="13">+E55+E56+E57</f>
        <v>2200</v>
      </c>
      <c r="F58" s="272">
        <f t="shared" si="13"/>
        <v>2650</v>
      </c>
    </row>
    <row r="60" spans="2:6">
      <c r="C60" t="s">
        <v>262</v>
      </c>
      <c r="E60" s="278">
        <f>E37/E36</f>
        <v>8.9005235602094238E-2</v>
      </c>
      <c r="F60" s="278">
        <f>F37/F36</f>
        <v>6.6666666666666666E-2</v>
      </c>
    </row>
    <row r="63" spans="2:6">
      <c r="C63" s="279" t="s">
        <v>26</v>
      </c>
      <c r="E63" s="280">
        <f>E29</f>
        <v>990</v>
      </c>
      <c r="F63" s="218">
        <f>F29</f>
        <v>1540</v>
      </c>
    </row>
    <row r="64" spans="2:6">
      <c r="B64" t="s">
        <v>113</v>
      </c>
      <c r="C64" s="281" t="s">
        <v>263</v>
      </c>
      <c r="D64" s="12"/>
      <c r="E64" s="280">
        <f>-E21</f>
        <v>-100</v>
      </c>
      <c r="F64" s="280">
        <f>-F21</f>
        <v>-150</v>
      </c>
    </row>
    <row r="65" spans="2:6">
      <c r="B65" t="s">
        <v>113</v>
      </c>
      <c r="C65" s="282" t="s">
        <v>264</v>
      </c>
      <c r="E65" s="280">
        <f>E27</f>
        <v>50</v>
      </c>
      <c r="F65" s="280">
        <f>F27</f>
        <v>30</v>
      </c>
    </row>
    <row r="66" spans="2:6">
      <c r="B66" t="s">
        <v>113</v>
      </c>
      <c r="C66" s="283" t="s">
        <v>265</v>
      </c>
      <c r="D66" s="284"/>
      <c r="E66" s="285">
        <f>-E33</f>
        <v>-8</v>
      </c>
      <c r="F66" s="285">
        <f>-F33</f>
        <v>-12</v>
      </c>
    </row>
    <row r="67" spans="2:6">
      <c r="B67" t="s">
        <v>266</v>
      </c>
      <c r="C67" s="286" t="s">
        <v>67</v>
      </c>
      <c r="E67" s="280">
        <f>SUM(E63:E66)</f>
        <v>932</v>
      </c>
      <c r="F67" s="218">
        <f>SUM(F63:F66)</f>
        <v>1408</v>
      </c>
    </row>
    <row r="68" spans="2:6">
      <c r="B68" t="s">
        <v>267</v>
      </c>
      <c r="C68" s="287" t="s">
        <v>268</v>
      </c>
      <c r="D68" s="284"/>
      <c r="E68" s="288">
        <f>-E67*E$60</f>
        <v>-82.952879581151834</v>
      </c>
      <c r="F68" s="288">
        <f>-F67*F$60</f>
        <v>-93.86666666666666</v>
      </c>
    </row>
    <row r="69" spans="2:6">
      <c r="B69" t="s">
        <v>266</v>
      </c>
      <c r="C69" s="286" t="s">
        <v>34</v>
      </c>
      <c r="E69" s="289">
        <f>SUM(E67:E68)</f>
        <v>849.04712041884818</v>
      </c>
      <c r="F69" s="289">
        <f>SUM(F67:F68)</f>
        <v>1314.1333333333334</v>
      </c>
    </row>
    <row r="70" spans="2:6">
      <c r="B70" t="s">
        <v>113</v>
      </c>
      <c r="C70" s="290" t="s">
        <v>41</v>
      </c>
      <c r="E70" s="280">
        <f>E25</f>
        <v>150</v>
      </c>
      <c r="F70" s="280">
        <f>F25</f>
        <v>180</v>
      </c>
    </row>
    <row r="71" spans="2:6">
      <c r="B71" t="s">
        <v>269</v>
      </c>
      <c r="C71" s="291" t="s">
        <v>270</v>
      </c>
      <c r="E71" s="280">
        <f>D43-E43</f>
        <v>-10</v>
      </c>
      <c r="F71" s="280">
        <f>E43-F43</f>
        <v>-20</v>
      </c>
    </row>
    <row r="72" spans="2:6">
      <c r="B72" t="s">
        <v>269</v>
      </c>
      <c r="C72" s="291" t="s">
        <v>271</v>
      </c>
      <c r="E72" s="280">
        <f>D46-E46</f>
        <v>-100</v>
      </c>
      <c r="F72" s="280">
        <f>E46-F46</f>
        <v>-100</v>
      </c>
    </row>
    <row r="73" spans="2:6">
      <c r="B73" t="s">
        <v>269</v>
      </c>
      <c r="C73" s="291" t="s">
        <v>272</v>
      </c>
      <c r="E73" s="280">
        <f>D47-E47</f>
        <v>-50</v>
      </c>
      <c r="F73" s="280">
        <f>E47-F47</f>
        <v>-100</v>
      </c>
    </row>
    <row r="74" spans="2:6">
      <c r="B74" t="s">
        <v>273</v>
      </c>
      <c r="C74" s="290" t="s">
        <v>274</v>
      </c>
      <c r="E74" s="280">
        <f>E52-D52</f>
        <v>40</v>
      </c>
      <c r="F74" s="280">
        <f>F52-E52</f>
        <v>-70</v>
      </c>
    </row>
    <row r="75" spans="2:6">
      <c r="B75" t="s">
        <v>273</v>
      </c>
      <c r="C75" s="292" t="s">
        <v>275</v>
      </c>
      <c r="D75" s="284"/>
      <c r="E75" s="285">
        <f>E54-D54</f>
        <v>20</v>
      </c>
      <c r="F75" s="285">
        <f>F54-E54</f>
        <v>80</v>
      </c>
    </row>
    <row r="76" spans="2:6">
      <c r="B76" t="s">
        <v>266</v>
      </c>
      <c r="C76" s="293" t="s">
        <v>191</v>
      </c>
      <c r="E76" s="294">
        <f>SUM(E69:E75)</f>
        <v>899.04712041884818</v>
      </c>
      <c r="F76" s="294">
        <f>SUM(F69:F75)</f>
        <v>1284.1333333333334</v>
      </c>
    </row>
    <row r="77" spans="2:6">
      <c r="E77" s="289"/>
      <c r="F77" s="289"/>
    </row>
    <row r="78" spans="2:6">
      <c r="B78" t="s">
        <v>269</v>
      </c>
      <c r="C78" s="295" t="s">
        <v>276</v>
      </c>
      <c r="E78" s="289">
        <f>D45-E45</f>
        <v>0</v>
      </c>
      <c r="F78" s="289">
        <f>E45-F45</f>
        <v>0</v>
      </c>
    </row>
    <row r="79" spans="2:6">
      <c r="B79" t="s">
        <v>269</v>
      </c>
      <c r="C79" s="295" t="s">
        <v>277</v>
      </c>
      <c r="E79" s="289">
        <f>D49-E49</f>
        <v>-200</v>
      </c>
      <c r="F79" s="289">
        <f>E49-F49</f>
        <v>-300</v>
      </c>
    </row>
    <row r="80" spans="2:6">
      <c r="B80" t="s">
        <v>113</v>
      </c>
      <c r="C80" s="295" t="str">
        <f>C70</f>
        <v>D&amp;A</v>
      </c>
      <c r="D80" s="296"/>
      <c r="E80" s="297">
        <f>-E70</f>
        <v>-150</v>
      </c>
      <c r="F80" s="297">
        <f t="shared" ref="F80" si="14">-F70</f>
        <v>-180</v>
      </c>
    </row>
    <row r="81" spans="2:6">
      <c r="B81" t="s">
        <v>113</v>
      </c>
      <c r="C81" s="298" t="s">
        <v>42</v>
      </c>
      <c r="E81" s="289">
        <f>E30</f>
        <v>0</v>
      </c>
      <c r="F81" s="289">
        <f>F30</f>
        <v>0</v>
      </c>
    </row>
    <row r="82" spans="2:6">
      <c r="B82" t="s">
        <v>278</v>
      </c>
      <c r="C82" s="299" t="s">
        <v>279</v>
      </c>
      <c r="E82" s="289">
        <f>-E81*E60</f>
        <v>0</v>
      </c>
      <c r="F82" s="289">
        <f>-F81*F60</f>
        <v>0</v>
      </c>
    </row>
    <row r="83" spans="2:6">
      <c r="B83" t="s">
        <v>113</v>
      </c>
      <c r="C83" s="298" t="s">
        <v>43</v>
      </c>
      <c r="E83" s="289">
        <f>E31</f>
        <v>50</v>
      </c>
      <c r="F83" s="289">
        <f>F31</f>
        <v>0</v>
      </c>
    </row>
    <row r="84" spans="2:6">
      <c r="B84" t="s">
        <v>280</v>
      </c>
      <c r="C84" s="300" t="s">
        <v>281</v>
      </c>
      <c r="D84" s="284"/>
      <c r="E84" s="288">
        <f>-E83*E60</f>
        <v>-4.4502617801047117</v>
      </c>
      <c r="F84" s="288">
        <f>-F83*F60</f>
        <v>0</v>
      </c>
    </row>
    <row r="85" spans="2:6">
      <c r="C85" s="301" t="s">
        <v>193</v>
      </c>
      <c r="E85" s="294">
        <f>SUM(E78:E84)</f>
        <v>-304.45026178010471</v>
      </c>
      <c r="F85" s="294">
        <f>SUM(F78:F84)</f>
        <v>-480</v>
      </c>
    </row>
    <row r="87" spans="2:6">
      <c r="C87" s="302" t="s">
        <v>35</v>
      </c>
      <c r="E87" s="303">
        <f>E76+E85</f>
        <v>594.59685863874347</v>
      </c>
      <c r="F87" s="303">
        <f>F76+F85</f>
        <v>804.13333333333344</v>
      </c>
    </row>
    <row r="89" spans="2:6">
      <c r="C89" s="304" t="s">
        <v>282</v>
      </c>
      <c r="E89" s="289">
        <f>-E34</f>
        <v>-77</v>
      </c>
      <c r="F89" s="289">
        <f>-F34</f>
        <v>-28</v>
      </c>
    </row>
    <row r="90" spans="2:6">
      <c r="C90" s="305" t="s">
        <v>283</v>
      </c>
      <c r="E90" s="289">
        <f>-E89*E60</f>
        <v>6.8534031413612562</v>
      </c>
      <c r="F90" s="289">
        <f>-F89*F60</f>
        <v>1.8666666666666667</v>
      </c>
    </row>
    <row r="91" spans="2:6">
      <c r="C91" s="306" t="s">
        <v>284</v>
      </c>
      <c r="E91" s="280">
        <f>E53-D53</f>
        <v>-90</v>
      </c>
      <c r="F91" s="280">
        <f>F53-E53</f>
        <v>-80</v>
      </c>
    </row>
    <row r="92" spans="2:6">
      <c r="C92" s="307" t="s">
        <v>285</v>
      </c>
      <c r="D92" s="284"/>
      <c r="E92" s="285">
        <f>E56-D56</f>
        <v>100</v>
      </c>
      <c r="F92" s="285">
        <f>F56-E56</f>
        <v>-300</v>
      </c>
    </row>
    <row r="93" spans="2:6">
      <c r="C93" s="308" t="s">
        <v>125</v>
      </c>
      <c r="E93" s="294">
        <f>+SUM(E87:E92)</f>
        <v>534.45026178010471</v>
      </c>
      <c r="F93" s="294">
        <f>+SUM(F87:F92)</f>
        <v>398.00000000000011</v>
      </c>
    </row>
    <row r="94" spans="2:6">
      <c r="C94" s="304" t="s">
        <v>50</v>
      </c>
      <c r="E94" s="280">
        <f>-E39</f>
        <v>-600</v>
      </c>
      <c r="F94" s="280">
        <f>-F39</f>
        <v>-850</v>
      </c>
    </row>
    <row r="95" spans="2:6" ht="17" thickBot="1">
      <c r="C95" s="309" t="s">
        <v>286</v>
      </c>
      <c r="E95" s="280">
        <f>E57-D57-E40</f>
        <v>110</v>
      </c>
      <c r="F95" s="280">
        <f>F57-E57-F40</f>
        <v>270</v>
      </c>
    </row>
    <row r="96" spans="2:6" ht="17" thickBot="1">
      <c r="C96" s="310" t="s">
        <v>287</v>
      </c>
      <c r="D96" s="311"/>
      <c r="E96" s="312">
        <f>SUM(E93:E95)</f>
        <v>44.450261780104711</v>
      </c>
      <c r="F96" s="313">
        <f>SUM(F93:F95)</f>
        <v>-181.99999999999989</v>
      </c>
    </row>
    <row r="98" spans="2:6">
      <c r="C98" s="282" t="s">
        <v>288</v>
      </c>
      <c r="E98" s="289">
        <f>E21</f>
        <v>100</v>
      </c>
      <c r="F98" s="289">
        <f>F21</f>
        <v>150</v>
      </c>
    </row>
    <row r="99" spans="2:6">
      <c r="C99" s="314" t="s">
        <v>289</v>
      </c>
      <c r="E99" s="289">
        <f>-E98*E60</f>
        <v>-8.9005235602094235</v>
      </c>
      <c r="F99" s="289">
        <f>-F98*F60</f>
        <v>-10</v>
      </c>
    </row>
    <row r="100" spans="2:6">
      <c r="C100" s="281" t="s">
        <v>290</v>
      </c>
      <c r="E100" s="289">
        <f>-E27</f>
        <v>-50</v>
      </c>
      <c r="F100" s="289">
        <f>-F27</f>
        <v>-30</v>
      </c>
    </row>
    <row r="101" spans="2:6" ht="17" thickBot="1">
      <c r="C101" s="315" t="s">
        <v>201</v>
      </c>
      <c r="E101" s="289">
        <f>-E100*E60</f>
        <v>4.4502617801047117</v>
      </c>
      <c r="F101" s="289">
        <f>-F100*F60</f>
        <v>2</v>
      </c>
    </row>
    <row r="102" spans="2:6" ht="17" thickBot="1">
      <c r="C102" s="316" t="s">
        <v>291</v>
      </c>
      <c r="D102" s="317"/>
      <c r="E102" s="318">
        <f>SUM(E98:E101)</f>
        <v>45.549738219895289</v>
      </c>
      <c r="F102" s="319">
        <f>SUM(F98:F101)</f>
        <v>112</v>
      </c>
    </row>
    <row r="103" spans="2:6" ht="17" thickBot="1">
      <c r="C103" s="81"/>
      <c r="D103" s="81"/>
      <c r="E103" s="320"/>
      <c r="F103" s="320"/>
    </row>
    <row r="104" spans="2:6" ht="17" thickBot="1">
      <c r="C104" s="316" t="s">
        <v>292</v>
      </c>
      <c r="D104" s="317"/>
      <c r="E104" s="318">
        <f>E96+E102</f>
        <v>90</v>
      </c>
      <c r="F104" s="319">
        <f>F96+F102</f>
        <v>-69.999999999999886</v>
      </c>
    </row>
    <row r="105" spans="2:6" ht="6.75" customHeight="1" thickBot="1">
      <c r="C105" s="81"/>
      <c r="E105" s="289"/>
      <c r="F105" s="289"/>
    </row>
    <row r="106" spans="2:6" ht="17" thickBot="1">
      <c r="C106" s="321" t="s">
        <v>293</v>
      </c>
      <c r="D106" s="322"/>
      <c r="E106" s="318">
        <f>E44-D44</f>
        <v>90</v>
      </c>
      <c r="F106" s="319">
        <f>F44-E44</f>
        <v>-70</v>
      </c>
    </row>
    <row r="107" spans="2:6">
      <c r="B107" s="323"/>
      <c r="E107" s="289"/>
      <c r="F107" s="289"/>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C91BE-ED9D-5946-AE0A-59A3C3C4DD3B}">
  <sheetPr codeName="Sheet36"/>
  <dimension ref="B8:F83"/>
  <sheetViews>
    <sheetView topLeftCell="A17" workbookViewId="0">
      <selection activeCell="H20" sqref="H20"/>
    </sheetView>
  </sheetViews>
  <sheetFormatPr baseColWidth="10" defaultColWidth="8.83203125" defaultRowHeight="16"/>
  <cols>
    <col min="2" max="2" width="22.6640625" bestFit="1" customWidth="1"/>
    <col min="3" max="3" width="42.5" bestFit="1" customWidth="1"/>
    <col min="4" max="4" width="9.5" bestFit="1" customWidth="1"/>
    <col min="5" max="6" width="11.83203125" bestFit="1" customWidth="1"/>
  </cols>
  <sheetData>
    <row r="8" spans="2:3" ht="17" thickBot="1"/>
    <row r="9" spans="2:3" ht="21" thickBot="1">
      <c r="B9" s="8" t="s">
        <v>308</v>
      </c>
      <c r="C9" s="9"/>
    </row>
    <row r="17" spans="3:6" ht="17" thickBot="1"/>
    <row r="18" spans="3:6" ht="17" thickBot="1">
      <c r="C18" s="32"/>
      <c r="D18" s="33">
        <f ca="1">+E18-1</f>
        <v>2021</v>
      </c>
      <c r="E18" s="33">
        <f ca="1">+F18-1</f>
        <v>2022</v>
      </c>
      <c r="F18" s="33">
        <f ca="1">+YEAR(TODAY())-1</f>
        <v>2023</v>
      </c>
    </row>
    <row r="19" spans="3:6" ht="17" thickBot="1">
      <c r="C19" s="34" t="s">
        <v>3</v>
      </c>
      <c r="D19" s="35">
        <v>19000</v>
      </c>
      <c r="E19" s="35">
        <v>22000</v>
      </c>
      <c r="F19" s="35">
        <v>25000</v>
      </c>
    </row>
    <row r="20" spans="3:6" ht="17" thickBot="1">
      <c r="C20" s="34" t="s">
        <v>38</v>
      </c>
      <c r="D20" s="35">
        <v>0</v>
      </c>
      <c r="E20" s="35">
        <v>500</v>
      </c>
      <c r="F20" s="35">
        <v>0</v>
      </c>
    </row>
    <row r="21" spans="3:6" ht="17" thickBot="1">
      <c r="C21" s="34" t="s">
        <v>39</v>
      </c>
      <c r="D21" s="35">
        <v>10000</v>
      </c>
      <c r="E21" s="35">
        <v>12000</v>
      </c>
      <c r="F21" s="35">
        <v>13000</v>
      </c>
    </row>
    <row r="22" spans="3:6" ht="17" thickBot="1">
      <c r="C22" s="34" t="s">
        <v>40</v>
      </c>
      <c r="D22" s="35">
        <v>5000</v>
      </c>
      <c r="E22" s="35">
        <v>6000</v>
      </c>
      <c r="F22" s="35">
        <v>7000</v>
      </c>
    </row>
    <row r="23" spans="3:6" ht="17" thickBot="1">
      <c r="C23" s="34" t="s">
        <v>41</v>
      </c>
      <c r="D23" s="35">
        <v>2000</v>
      </c>
      <c r="E23" s="35">
        <v>2300</v>
      </c>
      <c r="F23" s="35">
        <v>2500</v>
      </c>
    </row>
    <row r="24" spans="3:6" ht="17" thickBot="1">
      <c r="C24" s="36" t="s">
        <v>26</v>
      </c>
      <c r="D24" s="37">
        <f>+D19+D20-D21-D22-D23</f>
        <v>2000</v>
      </c>
      <c r="E24" s="37">
        <f t="shared" ref="E24:F24" si="0">+E19+E20-E21-E22-E23</f>
        <v>2200</v>
      </c>
      <c r="F24" s="37">
        <f t="shared" si="0"/>
        <v>2500</v>
      </c>
    </row>
    <row r="25" spans="3:6" ht="17" thickBot="1">
      <c r="C25" s="34" t="s">
        <v>42</v>
      </c>
      <c r="D25" s="35">
        <v>100</v>
      </c>
      <c r="E25" s="35">
        <v>60</v>
      </c>
      <c r="F25" s="35">
        <v>0</v>
      </c>
    </row>
    <row r="26" spans="3:6" ht="17" thickBot="1">
      <c r="C26" s="34" t="s">
        <v>43</v>
      </c>
      <c r="D26" s="35">
        <v>0</v>
      </c>
      <c r="E26" s="35">
        <v>0</v>
      </c>
      <c r="F26" s="35">
        <v>10</v>
      </c>
    </row>
    <row r="27" spans="3:6" ht="17" thickBot="1">
      <c r="C27" s="34" t="s">
        <v>44</v>
      </c>
      <c r="D27" s="35">
        <v>30</v>
      </c>
      <c r="E27" s="35">
        <v>20</v>
      </c>
      <c r="F27" s="35">
        <v>10</v>
      </c>
    </row>
    <row r="28" spans="3:6" ht="17" thickBot="1">
      <c r="C28" s="34" t="s">
        <v>45</v>
      </c>
      <c r="D28" s="35">
        <v>200</v>
      </c>
      <c r="E28" s="35">
        <v>250</v>
      </c>
      <c r="F28" s="35">
        <v>300</v>
      </c>
    </row>
    <row r="29" spans="3:6" ht="17" thickBot="1">
      <c r="C29" s="36" t="s">
        <v>46</v>
      </c>
      <c r="D29" s="37">
        <f t="shared" ref="D29" si="1">+D25+D26-D27-D28</f>
        <v>-130</v>
      </c>
      <c r="E29" s="37">
        <f>+E25+E26-E27-E28</f>
        <v>-210</v>
      </c>
      <c r="F29" s="37">
        <f>+F25+F26-F27-F28</f>
        <v>-300</v>
      </c>
    </row>
    <row r="30" spans="3:6" ht="17" thickBot="1">
      <c r="C30" s="34" t="s">
        <v>47</v>
      </c>
      <c r="D30" s="35">
        <f>+D29+D24</f>
        <v>1870</v>
      </c>
      <c r="E30" s="35">
        <f>+E29+E24</f>
        <v>1990</v>
      </c>
      <c r="F30" s="35">
        <f t="shared" ref="F30" si="2">+F29+F24</f>
        <v>2200</v>
      </c>
    </row>
    <row r="31" spans="3:6" ht="17" thickBot="1">
      <c r="C31" s="34" t="s">
        <v>48</v>
      </c>
      <c r="D31" s="35">
        <v>300</v>
      </c>
      <c r="E31" s="35">
        <v>330</v>
      </c>
      <c r="F31" s="35">
        <v>370</v>
      </c>
    </row>
    <row r="32" spans="3:6" ht="17" thickBot="1">
      <c r="C32" s="36" t="s">
        <v>49</v>
      </c>
      <c r="D32" s="37">
        <f>+D30-D31</f>
        <v>1570</v>
      </c>
      <c r="E32" s="37">
        <f t="shared" ref="E32:F32" si="3">+E30-E31</f>
        <v>1660</v>
      </c>
      <c r="F32" s="37">
        <f t="shared" si="3"/>
        <v>1830</v>
      </c>
    </row>
    <row r="33" spans="3:6" ht="17" thickBot="1">
      <c r="C33" s="34" t="s">
        <v>50</v>
      </c>
      <c r="D33" s="35">
        <v>1000</v>
      </c>
      <c r="E33" s="35">
        <v>1200</v>
      </c>
      <c r="F33" s="35">
        <v>1400</v>
      </c>
    </row>
    <row r="34" spans="3:6" ht="17" thickBot="1">
      <c r="C34" s="34" t="s">
        <v>51</v>
      </c>
      <c r="D34" s="35">
        <f>+D32-D33</f>
        <v>570</v>
      </c>
      <c r="E34" s="35">
        <f t="shared" ref="E34:F34" si="4">+E32-E33</f>
        <v>460</v>
      </c>
      <c r="F34" s="35">
        <f t="shared" si="4"/>
        <v>430</v>
      </c>
    </row>
    <row r="35" spans="3:6" ht="17" thickBot="1">
      <c r="C35" s="38"/>
      <c r="D35" s="39"/>
      <c r="E35" s="39"/>
      <c r="F35" s="39"/>
    </row>
    <row r="36" spans="3:6" ht="17" thickBot="1">
      <c r="C36" s="34" t="s">
        <v>52</v>
      </c>
      <c r="D36" s="35">
        <v>500</v>
      </c>
      <c r="E36" s="35">
        <v>600</v>
      </c>
      <c r="F36" s="35">
        <v>400</v>
      </c>
    </row>
    <row r="37" spans="3:6" ht="17" thickBot="1">
      <c r="C37" s="34" t="s">
        <v>53</v>
      </c>
      <c r="D37" s="35">
        <v>200</v>
      </c>
      <c r="E37" s="35">
        <v>220</v>
      </c>
      <c r="F37" s="35">
        <v>250</v>
      </c>
    </row>
    <row r="38" spans="3:6" ht="17" thickBot="1">
      <c r="C38" s="34" t="s">
        <v>54</v>
      </c>
      <c r="D38" s="35">
        <v>0</v>
      </c>
      <c r="E38" s="35">
        <v>50</v>
      </c>
      <c r="F38" s="35">
        <v>40</v>
      </c>
    </row>
    <row r="39" spans="3:6" ht="17" thickBot="1">
      <c r="C39" s="34" t="s">
        <v>55</v>
      </c>
      <c r="D39" s="35">
        <v>600</v>
      </c>
      <c r="E39" s="35">
        <v>800</v>
      </c>
      <c r="F39" s="35">
        <v>1000</v>
      </c>
    </row>
    <row r="40" spans="3:6" ht="17" thickBot="1">
      <c r="C40" s="34" t="s">
        <v>56</v>
      </c>
      <c r="D40" s="35">
        <v>400</v>
      </c>
      <c r="E40" s="35">
        <v>500</v>
      </c>
      <c r="F40" s="35">
        <v>450</v>
      </c>
    </row>
    <row r="41" spans="3:6" ht="17" thickBot="1">
      <c r="C41" s="36" t="s">
        <v>57</v>
      </c>
      <c r="D41" s="40">
        <f>+D36+D38+D39+D40</f>
        <v>1500</v>
      </c>
      <c r="E41" s="40">
        <f t="shared" ref="E41:F41" si="5">+E36+E38+E39+E40</f>
        <v>1950</v>
      </c>
      <c r="F41" s="40">
        <f t="shared" si="5"/>
        <v>1890</v>
      </c>
    </row>
    <row r="42" spans="3:6" ht="17" thickBot="1">
      <c r="C42" s="34" t="s">
        <v>58</v>
      </c>
      <c r="D42" s="35">
        <v>15000</v>
      </c>
      <c r="E42" s="35">
        <v>20000</v>
      </c>
      <c r="F42" s="35">
        <v>19500</v>
      </c>
    </row>
    <row r="43" spans="3:6" ht="17" thickBot="1">
      <c r="C43" s="36" t="s">
        <v>59</v>
      </c>
      <c r="D43" s="37">
        <f>+D42+D41</f>
        <v>16500</v>
      </c>
      <c r="E43" s="37">
        <f t="shared" ref="E43:F43" si="6">+E42+E41</f>
        <v>21950</v>
      </c>
      <c r="F43" s="37">
        <f t="shared" si="6"/>
        <v>21390</v>
      </c>
    </row>
    <row r="44" spans="3:6" ht="17" thickBot="1">
      <c r="C44" s="34" t="s">
        <v>60</v>
      </c>
      <c r="D44" s="35">
        <v>300</v>
      </c>
      <c r="E44" s="35">
        <v>200</v>
      </c>
      <c r="F44" s="35">
        <v>250</v>
      </c>
    </row>
    <row r="45" spans="3:6" ht="17" thickBot="1">
      <c r="C45" s="34" t="s">
        <v>61</v>
      </c>
      <c r="D45" s="35">
        <v>300</v>
      </c>
      <c r="E45" s="35">
        <v>240</v>
      </c>
      <c r="F45" s="35">
        <v>450</v>
      </c>
    </row>
    <row r="46" spans="3:6" ht="17" thickBot="1">
      <c r="C46" s="36" t="s">
        <v>62</v>
      </c>
      <c r="D46" s="37">
        <f>+D44+D45</f>
        <v>600</v>
      </c>
      <c r="E46" s="37">
        <f t="shared" ref="E46:F46" si="7">+E44+E45</f>
        <v>440</v>
      </c>
      <c r="F46" s="37">
        <f t="shared" si="7"/>
        <v>700</v>
      </c>
    </row>
    <row r="47" spans="3:6" ht="17" thickBot="1">
      <c r="C47" s="34" t="s">
        <v>63</v>
      </c>
      <c r="D47" s="35">
        <v>5000</v>
      </c>
      <c r="E47" s="35">
        <v>6000</v>
      </c>
      <c r="F47" s="35">
        <v>7000</v>
      </c>
    </row>
    <row r="48" spans="3:6" ht="17" thickBot="1">
      <c r="C48" s="34" t="s">
        <v>64</v>
      </c>
      <c r="D48" s="35">
        <f>+D43-D46-D47</f>
        <v>10900</v>
      </c>
      <c r="E48" s="35">
        <f t="shared" ref="E48:F48" si="8">+E43-E46-E47</f>
        <v>15510</v>
      </c>
      <c r="F48" s="35">
        <f t="shared" si="8"/>
        <v>13690</v>
      </c>
    </row>
    <row r="49" spans="2:6" ht="17" thickBot="1">
      <c r="C49" s="36" t="s">
        <v>65</v>
      </c>
      <c r="D49" s="37">
        <f>+D46+D47+D48</f>
        <v>16500</v>
      </c>
      <c r="E49" s="37">
        <f t="shared" ref="E49:F49" si="9">+E46+E47+E48</f>
        <v>21950</v>
      </c>
      <c r="F49" s="37">
        <f t="shared" si="9"/>
        <v>21390</v>
      </c>
    </row>
    <row r="51" spans="2:6">
      <c r="C51" t="s">
        <v>309</v>
      </c>
      <c r="E51" s="13">
        <f>E31/(E30-E25)</f>
        <v>0.17098445595854922</v>
      </c>
      <c r="F51" s="13">
        <f>F31/(F30-F25)</f>
        <v>0.16818181818181818</v>
      </c>
    </row>
    <row r="53" spans="2:6">
      <c r="C53" s="336" t="s">
        <v>310</v>
      </c>
      <c r="E53" s="79">
        <v>2021</v>
      </c>
      <c r="F53" s="79">
        <v>2022</v>
      </c>
    </row>
    <row r="54" spans="2:6">
      <c r="C54" s="337" t="s">
        <v>26</v>
      </c>
      <c r="E54" s="79">
        <f>E24</f>
        <v>2200</v>
      </c>
      <c r="F54" s="79">
        <f>F24</f>
        <v>2500</v>
      </c>
    </row>
    <row r="55" spans="2:6">
      <c r="C55" s="337" t="s">
        <v>34</v>
      </c>
      <c r="E55" s="79">
        <f>E54*(1-E51)</f>
        <v>1823.8341968911918</v>
      </c>
      <c r="F55" s="79">
        <f>F54*(1-F51)</f>
        <v>2079.5454545454545</v>
      </c>
    </row>
    <row r="56" spans="2:6">
      <c r="B56" t="s">
        <v>311</v>
      </c>
      <c r="C56" s="337" t="s">
        <v>41</v>
      </c>
      <c r="E56" s="79">
        <f>E23</f>
        <v>2300</v>
      </c>
      <c r="F56" s="79">
        <f>F23</f>
        <v>2500</v>
      </c>
    </row>
    <row r="57" spans="2:6">
      <c r="C57" s="338" t="s">
        <v>312</v>
      </c>
      <c r="E57" s="79">
        <f>E55+E56</f>
        <v>4123.8341968911918</v>
      </c>
      <c r="F57" s="79">
        <f>F55+F56</f>
        <v>4579.545454545454</v>
      </c>
    </row>
    <row r="58" spans="2:6">
      <c r="C58" s="337" t="s">
        <v>313</v>
      </c>
      <c r="E58" s="12">
        <f>D40-E40</f>
        <v>-100</v>
      </c>
      <c r="F58" s="12">
        <f>E40-F40</f>
        <v>50</v>
      </c>
    </row>
    <row r="59" spans="2:6">
      <c r="C59" s="337" t="s">
        <v>314</v>
      </c>
      <c r="E59" s="12">
        <f>D39-E39</f>
        <v>-200</v>
      </c>
      <c r="F59" s="12">
        <f>E39-F39</f>
        <v>-200</v>
      </c>
    </row>
    <row r="60" spans="2:6">
      <c r="C60" s="337" t="s">
        <v>315</v>
      </c>
      <c r="E60" s="12">
        <f>D37-E37</f>
        <v>-20</v>
      </c>
      <c r="F60" s="12">
        <f>E37-F37</f>
        <v>-30</v>
      </c>
    </row>
    <row r="61" spans="2:6">
      <c r="C61" s="337" t="s">
        <v>316</v>
      </c>
      <c r="E61" s="12">
        <f>E45-D45</f>
        <v>-60</v>
      </c>
      <c r="F61" s="12">
        <f>F45-E45</f>
        <v>210</v>
      </c>
    </row>
    <row r="62" spans="2:6">
      <c r="C62" s="337" t="s">
        <v>317</v>
      </c>
      <c r="E62" s="12">
        <f>E44-D44</f>
        <v>-100</v>
      </c>
      <c r="F62" s="12">
        <f>F44-E44</f>
        <v>50</v>
      </c>
    </row>
    <row r="63" spans="2:6">
      <c r="C63" s="338" t="s">
        <v>318</v>
      </c>
      <c r="E63" s="339">
        <f>SUM(E57:E62)</f>
        <v>3643.8341968911918</v>
      </c>
      <c r="F63" s="339">
        <f>SUM(F57:F62)</f>
        <v>4659.545454545454</v>
      </c>
    </row>
    <row r="64" spans="2:6">
      <c r="B64" t="s">
        <v>319</v>
      </c>
      <c r="C64" s="337" t="s">
        <v>320</v>
      </c>
      <c r="E64" s="12">
        <f>E42-D42</f>
        <v>5000</v>
      </c>
      <c r="F64" s="12">
        <f>F42-E42</f>
        <v>-500</v>
      </c>
    </row>
    <row r="65" spans="2:6">
      <c r="B65" t="s">
        <v>319</v>
      </c>
      <c r="C65" s="337" t="s">
        <v>41</v>
      </c>
      <c r="E65" s="12">
        <f>E23</f>
        <v>2300</v>
      </c>
      <c r="F65" s="12">
        <f>F23</f>
        <v>2500</v>
      </c>
    </row>
    <row r="66" spans="2:6">
      <c r="B66" t="s">
        <v>311</v>
      </c>
      <c r="C66" t="s">
        <v>42</v>
      </c>
      <c r="E66" s="12">
        <f>E25</f>
        <v>60</v>
      </c>
      <c r="F66" s="12">
        <f>F25</f>
        <v>0</v>
      </c>
    </row>
    <row r="67" spans="2:6">
      <c r="B67" t="s">
        <v>311</v>
      </c>
      <c r="C67" t="s">
        <v>43</v>
      </c>
      <c r="E67" s="12">
        <f>E26</f>
        <v>0</v>
      </c>
      <c r="F67" s="12">
        <f>F26</f>
        <v>10</v>
      </c>
    </row>
    <row r="68" spans="2:6">
      <c r="B68" t="s">
        <v>319</v>
      </c>
      <c r="C68" t="s">
        <v>321</v>
      </c>
      <c r="E68" s="79">
        <f>E67*E51</f>
        <v>0</v>
      </c>
      <c r="F68" s="79">
        <f>F67*F51</f>
        <v>1.6818181818181819</v>
      </c>
    </row>
    <row r="69" spans="2:6">
      <c r="C69" s="338" t="s">
        <v>193</v>
      </c>
      <c r="E69" s="12">
        <f>-E64-E65+E66+E67-E68</f>
        <v>-7240</v>
      </c>
      <c r="F69" s="12">
        <f>-F64-F65+F66+F67-F68</f>
        <v>-1991.6818181818182</v>
      </c>
    </row>
    <row r="70" spans="2:6">
      <c r="C70" s="340" t="s">
        <v>35</v>
      </c>
      <c r="E70" s="79">
        <f>E63+E69</f>
        <v>-3596.1658031088082</v>
      </c>
      <c r="F70" s="79">
        <f>F63+F69</f>
        <v>2667.863636363636</v>
      </c>
    </row>
    <row r="71" spans="2:6">
      <c r="B71" t="s">
        <v>319</v>
      </c>
      <c r="C71" s="337" t="s">
        <v>322</v>
      </c>
      <c r="E71" s="12">
        <f>E28+E27</f>
        <v>270</v>
      </c>
      <c r="F71" s="12">
        <f>F28+F27</f>
        <v>310</v>
      </c>
    </row>
    <row r="72" spans="2:6">
      <c r="B72" t="s">
        <v>311</v>
      </c>
      <c r="C72" s="337" t="s">
        <v>124</v>
      </c>
      <c r="E72">
        <f>E71*E51</f>
        <v>46.165803108808291</v>
      </c>
      <c r="F72">
        <f>F71*F51</f>
        <v>52.136363636363633</v>
      </c>
    </row>
    <row r="73" spans="2:6">
      <c r="B73" t="s">
        <v>311</v>
      </c>
      <c r="C73" t="s">
        <v>323</v>
      </c>
      <c r="E73" s="12">
        <f>E47-D47</f>
        <v>1000</v>
      </c>
      <c r="F73" s="12">
        <f>F47-E47</f>
        <v>1000</v>
      </c>
    </row>
    <row r="74" spans="2:6">
      <c r="C74" s="341" t="s">
        <v>125</v>
      </c>
      <c r="E74" s="79">
        <f>E70-E71+E72+E73</f>
        <v>-2820</v>
      </c>
      <c r="F74" s="79">
        <f>F70-F71+F72+F73</f>
        <v>3409.9999999999995</v>
      </c>
    </row>
    <row r="75" spans="2:6">
      <c r="B75" t="s">
        <v>319</v>
      </c>
      <c r="C75" s="337" t="s">
        <v>324</v>
      </c>
      <c r="E75" s="12">
        <f>E33</f>
        <v>1200</v>
      </c>
      <c r="F75" s="12">
        <f>F33</f>
        <v>1400</v>
      </c>
    </row>
    <row r="76" spans="2:6">
      <c r="B76" t="s">
        <v>311</v>
      </c>
      <c r="C76" s="337" t="s">
        <v>325</v>
      </c>
      <c r="E76" s="12">
        <f>(E48-D48)-E34</f>
        <v>4150</v>
      </c>
      <c r="F76" s="12">
        <f>(F48-E48)-F34</f>
        <v>-2250</v>
      </c>
    </row>
    <row r="77" spans="2:6">
      <c r="C77" s="342" t="s">
        <v>326</v>
      </c>
      <c r="D77" s="325"/>
      <c r="E77" s="343">
        <f>E74-E75+E76</f>
        <v>130</v>
      </c>
      <c r="F77" s="343">
        <f>F74-F75+F76</f>
        <v>-240.00000000000045</v>
      </c>
    </row>
    <row r="79" spans="2:6">
      <c r="C79" t="s">
        <v>87</v>
      </c>
      <c r="D79" s="12">
        <f>D36-D37</f>
        <v>300</v>
      </c>
      <c r="E79" s="12">
        <f>E36-E37</f>
        <v>380</v>
      </c>
      <c r="F79" s="12">
        <f>F36-F37</f>
        <v>150</v>
      </c>
    </row>
    <row r="80" spans="2:6">
      <c r="C80" s="12" t="s">
        <v>54</v>
      </c>
      <c r="D80" s="12">
        <f>D15</f>
        <v>0</v>
      </c>
      <c r="E80" s="12">
        <f>E38</f>
        <v>50</v>
      </c>
      <c r="F80" s="12">
        <f>F38</f>
        <v>40</v>
      </c>
    </row>
    <row r="81" spans="3:6">
      <c r="C81" t="s">
        <v>88</v>
      </c>
      <c r="D81" s="12">
        <f>D79+D80</f>
        <v>300</v>
      </c>
      <c r="E81" s="12">
        <f t="shared" ref="E81:F81" si="10">E79+E80</f>
        <v>430</v>
      </c>
      <c r="F81" s="12">
        <f t="shared" si="10"/>
        <v>190</v>
      </c>
    </row>
    <row r="82" spans="3:6">
      <c r="C82" s="334" t="s">
        <v>86</v>
      </c>
      <c r="D82" s="325"/>
      <c r="E82" s="66">
        <f>E81-D81</f>
        <v>130</v>
      </c>
      <c r="F82" s="66">
        <f>F81-E81</f>
        <v>-240</v>
      </c>
    </row>
    <row r="83" spans="3:6">
      <c r="C83" t="s">
        <v>327</v>
      </c>
      <c r="E83" s="79">
        <f>E77-E82</f>
        <v>0</v>
      </c>
      <c r="F83" s="79">
        <f>F77-F82</f>
        <v>-4.5474735088646412E-13</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10C23-B732-8041-9DD4-FE68ABB888AA}">
  <sheetPr codeName="Sheet40"/>
  <dimension ref="C2:O82"/>
  <sheetViews>
    <sheetView workbookViewId="0">
      <selection activeCell="G25" sqref="G25"/>
    </sheetView>
  </sheetViews>
  <sheetFormatPr baseColWidth="10" defaultColWidth="8.83203125" defaultRowHeight="16"/>
  <cols>
    <col min="1" max="1" width="3.33203125" customWidth="1"/>
    <col min="2" max="2" width="39" bestFit="1" customWidth="1"/>
    <col min="3" max="3" width="33.33203125" bestFit="1" customWidth="1"/>
    <col min="4" max="4" width="10.1640625" bestFit="1" customWidth="1"/>
    <col min="5" max="6" width="14.1640625" bestFit="1" customWidth="1"/>
    <col min="8" max="8" width="22.83203125" customWidth="1"/>
    <col min="9" max="9" width="8.5" bestFit="1" customWidth="1"/>
    <col min="10" max="10" width="9.5" bestFit="1" customWidth="1"/>
    <col min="13" max="13" width="71.1640625" bestFit="1" customWidth="1"/>
    <col min="14" max="14" width="18.83203125" bestFit="1" customWidth="1"/>
    <col min="15" max="15" width="9.5" bestFit="1" customWidth="1"/>
  </cols>
  <sheetData>
    <row r="2" spans="3:15">
      <c r="O2" s="379"/>
    </row>
    <row r="7" spans="3:15" ht="17" thickBot="1"/>
    <row r="8" spans="3:15" ht="17" thickBot="1">
      <c r="C8" s="327"/>
      <c r="D8" s="328">
        <v>2019</v>
      </c>
      <c r="E8" s="328">
        <v>2020</v>
      </c>
      <c r="F8" s="328">
        <v>2021</v>
      </c>
      <c r="H8" s="332" t="s">
        <v>6</v>
      </c>
      <c r="J8" s="13">
        <v>0.10625</v>
      </c>
      <c r="K8" s="13">
        <v>4.7058823529411764E-2</v>
      </c>
    </row>
    <row r="9" spans="3:15" ht="17" thickBot="1">
      <c r="C9" s="247" t="s">
        <v>52</v>
      </c>
      <c r="D9" s="248">
        <v>400</v>
      </c>
      <c r="E9" s="248">
        <v>450</v>
      </c>
      <c r="F9" s="248">
        <v>520</v>
      </c>
      <c r="H9" s="332" t="s">
        <v>33</v>
      </c>
      <c r="J9" s="13">
        <v>5.991902834008097E-2</v>
      </c>
      <c r="K9" s="13">
        <v>0.15555555555555556</v>
      </c>
    </row>
    <row r="10" spans="3:15" ht="17" thickBot="1">
      <c r="C10" s="247" t="s">
        <v>87</v>
      </c>
      <c r="D10" s="248">
        <v>100</v>
      </c>
      <c r="E10" s="248">
        <v>110</v>
      </c>
      <c r="F10" s="248">
        <v>130</v>
      </c>
      <c r="H10" t="s">
        <v>26</v>
      </c>
      <c r="I10" s="12">
        <v>1250</v>
      </c>
      <c r="J10" s="12">
        <v>1250</v>
      </c>
      <c r="K10" s="12">
        <v>620</v>
      </c>
    </row>
    <row r="11" spans="3:15" ht="17" thickBot="1">
      <c r="C11" s="34" t="s">
        <v>294</v>
      </c>
      <c r="D11" s="329">
        <v>300</v>
      </c>
      <c r="E11" s="329">
        <v>340</v>
      </c>
      <c r="F11" s="329">
        <v>390</v>
      </c>
      <c r="H11" s="332" t="s">
        <v>296</v>
      </c>
      <c r="I11" s="12"/>
      <c r="J11" s="12">
        <v>8</v>
      </c>
      <c r="K11" s="12">
        <v>12</v>
      </c>
    </row>
    <row r="12" spans="3:15" ht="17" thickBot="1">
      <c r="C12" s="247" t="s">
        <v>54</v>
      </c>
      <c r="D12" s="248">
        <v>30</v>
      </c>
      <c r="E12" s="248">
        <v>200</v>
      </c>
      <c r="F12" s="248">
        <v>0</v>
      </c>
      <c r="H12" s="333" t="s">
        <v>297</v>
      </c>
      <c r="I12" s="380"/>
      <c r="J12" s="380">
        <v>1242</v>
      </c>
      <c r="K12" s="380">
        <v>608</v>
      </c>
    </row>
    <row r="13" spans="3:15" ht="17" thickBot="1">
      <c r="C13" s="247" t="s">
        <v>55</v>
      </c>
      <c r="D13" s="248">
        <v>300</v>
      </c>
      <c r="E13" s="248">
        <v>720</v>
      </c>
      <c r="F13" s="248">
        <v>1200</v>
      </c>
      <c r="H13" s="333" t="s">
        <v>89</v>
      </c>
      <c r="I13" s="326"/>
      <c r="J13" s="380">
        <v>1167.5805668016194</v>
      </c>
      <c r="K13" s="380">
        <v>513.42222222222222</v>
      </c>
    </row>
    <row r="14" spans="3:15" ht="17" thickBot="1">
      <c r="C14" s="247" t="s">
        <v>56</v>
      </c>
      <c r="D14" s="248">
        <v>800</v>
      </c>
      <c r="E14" s="248">
        <v>650</v>
      </c>
      <c r="F14" s="248">
        <v>750</v>
      </c>
      <c r="H14" s="381" t="s">
        <v>41</v>
      </c>
      <c r="I14" s="382">
        <v>250</v>
      </c>
      <c r="J14" s="382">
        <v>150</v>
      </c>
      <c r="K14" s="382">
        <v>180</v>
      </c>
    </row>
    <row r="15" spans="3:15" ht="17" thickBot="1">
      <c r="C15" s="270" t="s">
        <v>57</v>
      </c>
      <c r="D15" s="276">
        <v>1530</v>
      </c>
      <c r="E15" s="276">
        <v>2020</v>
      </c>
      <c r="F15" s="276">
        <v>2470</v>
      </c>
      <c r="H15" t="s">
        <v>294</v>
      </c>
      <c r="J15" s="12">
        <v>-40</v>
      </c>
      <c r="K15" s="12">
        <v>-50</v>
      </c>
    </row>
    <row r="16" spans="3:15" ht="17" thickBot="1">
      <c r="C16" s="247" t="s">
        <v>58</v>
      </c>
      <c r="D16" s="248">
        <v>2000</v>
      </c>
      <c r="E16" s="248">
        <v>1900</v>
      </c>
      <c r="F16" s="248">
        <v>1850</v>
      </c>
      <c r="H16" s="333" t="s">
        <v>298</v>
      </c>
      <c r="I16" s="326"/>
      <c r="J16" s="380">
        <v>-420</v>
      </c>
      <c r="K16" s="380">
        <v>-480</v>
      </c>
    </row>
    <row r="17" spans="3:12" ht="17" thickBot="1">
      <c r="C17" s="270" t="s">
        <v>59</v>
      </c>
      <c r="D17" s="271">
        <v>3530</v>
      </c>
      <c r="E17" s="271">
        <v>3920</v>
      </c>
      <c r="F17" s="271">
        <v>4320</v>
      </c>
      <c r="H17" s="326" t="s">
        <v>299</v>
      </c>
      <c r="I17" s="326"/>
      <c r="J17" s="380">
        <v>150</v>
      </c>
      <c r="K17" s="380">
        <v>-100</v>
      </c>
    </row>
    <row r="18" spans="3:12" ht="17" thickBot="1">
      <c r="C18" s="247" t="s">
        <v>60</v>
      </c>
      <c r="D18" s="248">
        <v>300</v>
      </c>
      <c r="E18" s="248">
        <v>250</v>
      </c>
      <c r="F18" s="248">
        <v>100</v>
      </c>
      <c r="H18" s="332" t="s">
        <v>300</v>
      </c>
      <c r="J18" s="12">
        <v>-100</v>
      </c>
      <c r="K18" s="12">
        <v>-100</v>
      </c>
    </row>
    <row r="19" spans="3:12" ht="17" thickBot="1">
      <c r="C19" s="247" t="s">
        <v>261</v>
      </c>
      <c r="D19" s="248">
        <v>100</v>
      </c>
      <c r="E19" s="248">
        <v>150</v>
      </c>
      <c r="F19" s="248">
        <v>100</v>
      </c>
      <c r="H19" s="83" t="s">
        <v>301</v>
      </c>
      <c r="I19" s="83"/>
      <c r="J19" s="383">
        <v>50</v>
      </c>
      <c r="K19" s="383">
        <v>150</v>
      </c>
    </row>
    <row r="20" spans="3:12" ht="17" thickBot="1">
      <c r="C20" s="34" t="s">
        <v>295</v>
      </c>
      <c r="D20" s="329">
        <v>200</v>
      </c>
      <c r="E20" s="329">
        <v>100</v>
      </c>
      <c r="F20" s="329">
        <v>0</v>
      </c>
      <c r="H20" s="333" t="s">
        <v>302</v>
      </c>
      <c r="I20" s="31"/>
      <c r="J20" s="71">
        <v>957.5805668016194</v>
      </c>
      <c r="K20" s="71">
        <v>113.42222222222222</v>
      </c>
    </row>
    <row r="21" spans="3:12" ht="17" thickBot="1">
      <c r="C21" s="247" t="s">
        <v>61</v>
      </c>
      <c r="D21" s="248">
        <v>250</v>
      </c>
      <c r="E21" s="248">
        <v>300</v>
      </c>
      <c r="F21" s="248">
        <v>450</v>
      </c>
      <c r="H21" s="12" t="s">
        <v>41</v>
      </c>
      <c r="I21" s="12">
        <v>-250</v>
      </c>
      <c r="J21" s="12">
        <v>-150</v>
      </c>
      <c r="K21" s="12">
        <v>-180</v>
      </c>
    </row>
    <row r="22" spans="3:12" ht="17" thickBot="1">
      <c r="C22" s="270" t="s">
        <v>62</v>
      </c>
      <c r="D22" s="271">
        <v>550</v>
      </c>
      <c r="E22" s="271">
        <v>550</v>
      </c>
      <c r="F22" s="271">
        <v>550</v>
      </c>
      <c r="H22" t="s">
        <v>303</v>
      </c>
      <c r="J22" s="12">
        <v>100</v>
      </c>
      <c r="K22" s="12">
        <v>50</v>
      </c>
    </row>
    <row r="23" spans="3:12" ht="17" thickBot="1">
      <c r="C23" s="247" t="s">
        <v>63</v>
      </c>
      <c r="D23" s="248">
        <v>500</v>
      </c>
      <c r="E23" s="248">
        <v>600</v>
      </c>
      <c r="F23" s="248">
        <v>300</v>
      </c>
      <c r="H23" s="12" t="s">
        <v>42</v>
      </c>
      <c r="I23" s="12">
        <v>20</v>
      </c>
      <c r="J23" s="12">
        <v>50</v>
      </c>
      <c r="K23" s="12">
        <v>0</v>
      </c>
    </row>
    <row r="24" spans="3:12" ht="17" thickBot="1">
      <c r="C24" s="247" t="s">
        <v>64</v>
      </c>
      <c r="D24" s="248">
        <v>2480</v>
      </c>
      <c r="E24" s="248">
        <v>2770</v>
      </c>
      <c r="F24" s="248">
        <v>3470</v>
      </c>
      <c r="H24" s="12" t="s">
        <v>43</v>
      </c>
      <c r="I24" s="12">
        <v>0</v>
      </c>
      <c r="J24" s="12">
        <v>70</v>
      </c>
      <c r="K24" s="12">
        <v>50</v>
      </c>
    </row>
    <row r="25" spans="3:12" ht="17" thickBot="1">
      <c r="C25" s="270" t="s">
        <v>65</v>
      </c>
      <c r="D25" s="271">
        <v>3530</v>
      </c>
      <c r="E25" s="271">
        <v>3920</v>
      </c>
      <c r="F25" s="271">
        <v>4320</v>
      </c>
      <c r="H25" t="s">
        <v>304</v>
      </c>
      <c r="J25" s="12">
        <v>4.1943319838056681</v>
      </c>
      <c r="K25" s="12">
        <v>7.7777777777777777</v>
      </c>
    </row>
    <row r="26" spans="3:12" ht="17" thickBot="1">
      <c r="C26" s="24"/>
      <c r="D26" s="24"/>
      <c r="E26" s="24"/>
      <c r="F26" s="24"/>
      <c r="H26" s="31" t="s">
        <v>305</v>
      </c>
      <c r="I26" s="31"/>
      <c r="J26" s="71">
        <v>65.805668016194332</v>
      </c>
      <c r="K26" s="71">
        <v>-87.777777777777771</v>
      </c>
    </row>
    <row r="27" spans="3:12" ht="17" thickBot="1">
      <c r="C27" s="327"/>
      <c r="D27" s="328">
        <v>2019</v>
      </c>
      <c r="E27" s="328">
        <v>2020</v>
      </c>
      <c r="F27" s="328">
        <v>2021</v>
      </c>
      <c r="H27" s="334" t="s">
        <v>35</v>
      </c>
      <c r="I27" s="334"/>
      <c r="J27" s="335">
        <v>1023.3862348178137</v>
      </c>
      <c r="K27" s="335">
        <v>25.644444444444446</v>
      </c>
    </row>
    <row r="28" spans="3:12">
      <c r="C28" s="330" t="s">
        <v>3</v>
      </c>
      <c r="D28" s="331">
        <v>14000</v>
      </c>
      <c r="E28" s="331">
        <v>15000</v>
      </c>
      <c r="F28" s="331">
        <v>16000</v>
      </c>
      <c r="H28" t="s">
        <v>306</v>
      </c>
      <c r="J28" s="12">
        <v>77</v>
      </c>
      <c r="K28" s="12">
        <v>28</v>
      </c>
    </row>
    <row r="29" spans="3:12" ht="17" thickBot="1">
      <c r="C29" s="247" t="s">
        <v>38</v>
      </c>
      <c r="D29" s="248">
        <v>200</v>
      </c>
      <c r="E29" s="248">
        <v>100</v>
      </c>
      <c r="F29" s="248">
        <v>0</v>
      </c>
      <c r="H29" t="s">
        <v>307</v>
      </c>
      <c r="J29" s="12">
        <v>4.6137651821862349</v>
      </c>
      <c r="K29" s="12">
        <v>4.3555555555555561</v>
      </c>
    </row>
    <row r="30" spans="3:12" ht="17" thickBot="1">
      <c r="C30" s="247" t="s">
        <v>39</v>
      </c>
      <c r="D30" s="248">
        <v>8000</v>
      </c>
      <c r="E30" s="248">
        <v>8500</v>
      </c>
      <c r="F30" s="248">
        <v>8700</v>
      </c>
      <c r="H30" t="s">
        <v>37</v>
      </c>
      <c r="J30" s="12">
        <v>150</v>
      </c>
      <c r="K30" s="12">
        <v>-350</v>
      </c>
    </row>
    <row r="31" spans="3:12" ht="17" thickBot="1">
      <c r="C31" s="247" t="s">
        <v>40</v>
      </c>
      <c r="D31" s="248">
        <v>4200</v>
      </c>
      <c r="E31" s="248">
        <v>4500</v>
      </c>
      <c r="F31" s="248">
        <v>5500</v>
      </c>
      <c r="H31" s="334" t="s">
        <v>125</v>
      </c>
      <c r="I31" s="334"/>
      <c r="J31" s="335">
        <v>1101</v>
      </c>
      <c r="K31" s="335">
        <v>-348</v>
      </c>
    </row>
    <row r="32" spans="3:12" ht="17" thickBot="1">
      <c r="C32" s="247" t="s">
        <v>41</v>
      </c>
      <c r="D32" s="248">
        <v>250</v>
      </c>
      <c r="E32" s="248">
        <v>150</v>
      </c>
      <c r="F32" s="248">
        <v>180</v>
      </c>
      <c r="H32" s="12" t="s">
        <v>50</v>
      </c>
      <c r="I32" s="12">
        <v>500</v>
      </c>
      <c r="J32" s="12">
        <v>600</v>
      </c>
      <c r="K32" s="12">
        <v>200</v>
      </c>
      <c r="L32" s="12">
        <f>+K31+K33-K32</f>
        <v>-180</v>
      </c>
    </row>
    <row r="33" spans="3:11" ht="17" thickBot="1">
      <c r="C33" s="247" t="s">
        <v>211</v>
      </c>
      <c r="D33" s="248">
        <v>500</v>
      </c>
      <c r="E33" s="248">
        <v>700</v>
      </c>
      <c r="F33" s="248">
        <v>1000</v>
      </c>
      <c r="H33" t="s">
        <v>85</v>
      </c>
      <c r="J33" s="12">
        <f>+E24-D24-E44</f>
        <v>-321</v>
      </c>
      <c r="K33" s="12">
        <f>+F24-E24-F44</f>
        <v>368</v>
      </c>
    </row>
    <row r="34" spans="3:11" ht="17" thickBot="1">
      <c r="C34" s="270" t="s">
        <v>26</v>
      </c>
      <c r="D34" s="271">
        <v>1250</v>
      </c>
      <c r="E34" s="271">
        <v>1250</v>
      </c>
      <c r="F34" s="271">
        <v>620</v>
      </c>
      <c r="H34" s="31" t="s">
        <v>86</v>
      </c>
      <c r="I34" s="31"/>
      <c r="J34" s="71">
        <v>180</v>
      </c>
      <c r="K34" s="71">
        <v>-180</v>
      </c>
    </row>
    <row r="35" spans="3:11" ht="17" thickBot="1">
      <c r="C35" s="247" t="s">
        <v>42</v>
      </c>
      <c r="D35" s="248">
        <v>20</v>
      </c>
      <c r="E35" s="248">
        <v>50</v>
      </c>
      <c r="F35" s="248">
        <v>0</v>
      </c>
      <c r="J35" s="12"/>
      <c r="K35" s="12"/>
    </row>
    <row r="36" spans="3:11" ht="17" thickBot="1">
      <c r="C36" s="247" t="s">
        <v>43</v>
      </c>
      <c r="D36" s="248">
        <v>0</v>
      </c>
      <c r="E36" s="248">
        <v>70</v>
      </c>
      <c r="F36" s="248">
        <v>50</v>
      </c>
      <c r="H36" s="12" t="s">
        <v>87</v>
      </c>
      <c r="I36" s="12">
        <v>100</v>
      </c>
      <c r="J36" s="12">
        <v>110</v>
      </c>
      <c r="K36" s="12">
        <v>130</v>
      </c>
    </row>
    <row r="37" spans="3:11" ht="17" thickBot="1">
      <c r="C37" s="247" t="s">
        <v>177</v>
      </c>
      <c r="D37" s="248">
        <v>80</v>
      </c>
      <c r="E37" s="248">
        <v>85</v>
      </c>
      <c r="F37" s="248">
        <v>40</v>
      </c>
      <c r="H37" s="12" t="s">
        <v>54</v>
      </c>
      <c r="I37" s="12">
        <v>30</v>
      </c>
      <c r="J37" s="12">
        <v>200</v>
      </c>
      <c r="K37" s="12">
        <v>0</v>
      </c>
    </row>
    <row r="38" spans="3:11" ht="17" thickBot="1">
      <c r="C38" s="247" t="s">
        <v>212</v>
      </c>
      <c r="D38" s="248">
        <v>10</v>
      </c>
      <c r="E38" s="248">
        <v>8</v>
      </c>
      <c r="F38" s="248">
        <v>12</v>
      </c>
      <c r="H38" t="s">
        <v>88</v>
      </c>
      <c r="I38" s="12">
        <v>130</v>
      </c>
      <c r="J38" s="12">
        <v>310</v>
      </c>
      <c r="K38" s="12">
        <v>130</v>
      </c>
    </row>
    <row r="39" spans="3:11" ht="17" thickBot="1">
      <c r="C39" s="270" t="s">
        <v>46</v>
      </c>
      <c r="D39" s="271">
        <v>-60</v>
      </c>
      <c r="E39" s="271">
        <v>35</v>
      </c>
      <c r="F39" s="271">
        <v>10</v>
      </c>
      <c r="H39" s="31" t="s">
        <v>86</v>
      </c>
      <c r="J39" s="71">
        <v>180</v>
      </c>
      <c r="K39" s="71">
        <v>-180</v>
      </c>
    </row>
    <row r="40" spans="3:11" ht="17" thickBot="1">
      <c r="C40" s="247" t="s">
        <v>47</v>
      </c>
      <c r="D40" s="248">
        <v>1190</v>
      </c>
      <c r="E40" s="248">
        <v>1285</v>
      </c>
      <c r="F40" s="248">
        <v>630</v>
      </c>
      <c r="G40" s="12"/>
      <c r="J40" s="12"/>
    </row>
    <row r="41" spans="3:11" ht="17" thickBot="1">
      <c r="C41" s="247" t="s">
        <v>48</v>
      </c>
      <c r="D41" s="248">
        <v>23</v>
      </c>
      <c r="E41" s="248">
        <v>74</v>
      </c>
      <c r="F41" s="248">
        <v>98</v>
      </c>
      <c r="H41" s="12"/>
      <c r="I41" s="12"/>
    </row>
    <row r="42" spans="3:11" ht="17" thickBot="1">
      <c r="C42" s="270" t="s">
        <v>49</v>
      </c>
      <c r="D42" s="271">
        <v>1167</v>
      </c>
      <c r="E42" s="271">
        <v>1211</v>
      </c>
      <c r="F42" s="271">
        <v>532</v>
      </c>
      <c r="H42" s="12"/>
      <c r="I42" s="12"/>
    </row>
    <row r="43" spans="3:11" ht="17" thickBot="1">
      <c r="C43" s="247" t="s">
        <v>50</v>
      </c>
      <c r="D43" s="248">
        <v>500</v>
      </c>
      <c r="E43" s="248">
        <v>600</v>
      </c>
      <c r="F43" s="248">
        <v>200</v>
      </c>
      <c r="H43" s="12"/>
      <c r="I43" s="12"/>
    </row>
    <row r="44" spans="3:11" ht="17" thickBot="1">
      <c r="C44" s="247" t="s">
        <v>51</v>
      </c>
      <c r="D44" s="248">
        <v>667</v>
      </c>
      <c r="E44" s="248">
        <v>611</v>
      </c>
      <c r="F44" s="248">
        <v>332</v>
      </c>
      <c r="G44" s="12"/>
      <c r="H44" s="12"/>
      <c r="I44" s="12"/>
    </row>
    <row r="47" spans="3:11">
      <c r="C47" s="42" t="s">
        <v>33</v>
      </c>
      <c r="D47" s="43"/>
      <c r="E47" s="44">
        <f>(E41/(E40-E35))</f>
        <v>5.991902834008097E-2</v>
      </c>
      <c r="F47" s="344">
        <f>(F41/(F40-F35))</f>
        <v>0.15555555555555556</v>
      </c>
      <c r="G47" t="s">
        <v>328</v>
      </c>
    </row>
    <row r="49" spans="3:7">
      <c r="C49" s="345" t="s">
        <v>26</v>
      </c>
      <c r="D49" s="345"/>
      <c r="E49" s="346">
        <f>E34</f>
        <v>1250</v>
      </c>
      <c r="F49" s="347">
        <f>F34</f>
        <v>620</v>
      </c>
    </row>
    <row r="50" spans="3:7">
      <c r="C50" s="348" t="s">
        <v>329</v>
      </c>
      <c r="D50" s="348"/>
      <c r="E50" s="349">
        <f>E38</f>
        <v>8</v>
      </c>
      <c r="F50" s="350">
        <f>F38</f>
        <v>12</v>
      </c>
    </row>
    <row r="51" spans="3:7">
      <c r="C51" s="348" t="s">
        <v>67</v>
      </c>
      <c r="D51" s="348"/>
      <c r="E51" s="351">
        <f>+E49-E50</f>
        <v>1242</v>
      </c>
      <c r="F51" s="352">
        <f>+F49-F50</f>
        <v>608</v>
      </c>
    </row>
    <row r="52" spans="3:7">
      <c r="C52" s="348" t="s">
        <v>34</v>
      </c>
      <c r="D52" s="348"/>
      <c r="E52" s="351">
        <f>E51*(1-E47)</f>
        <v>1167.5805668016194</v>
      </c>
      <c r="F52" s="352">
        <f>F51*(1-F47)</f>
        <v>513.42222222222222</v>
      </c>
    </row>
    <row r="53" spans="3:7">
      <c r="C53" s="348" t="s">
        <v>41</v>
      </c>
      <c r="D53" s="348"/>
      <c r="E53" s="351">
        <f>E32</f>
        <v>150</v>
      </c>
      <c r="F53" s="352">
        <f>F32</f>
        <v>180</v>
      </c>
    </row>
    <row r="54" spans="3:7">
      <c r="C54" s="353" t="s">
        <v>68</v>
      </c>
      <c r="D54" s="353"/>
      <c r="E54" s="354">
        <f>E52+E53</f>
        <v>1317.5805668016194</v>
      </c>
      <c r="F54" s="355">
        <f>F52+F53</f>
        <v>693.42222222222222</v>
      </c>
    </row>
    <row r="55" spans="3:7">
      <c r="C55" s="348" t="s">
        <v>69</v>
      </c>
      <c r="D55" s="348"/>
      <c r="E55" s="351">
        <f>D14-E14</f>
        <v>150</v>
      </c>
      <c r="F55" s="352">
        <f>E14-F14</f>
        <v>-100</v>
      </c>
      <c r="G55" t="s">
        <v>338</v>
      </c>
    </row>
    <row r="56" spans="3:7">
      <c r="C56" s="348" t="s">
        <v>70</v>
      </c>
      <c r="D56" s="348"/>
      <c r="E56" s="351">
        <f>D13-E13</f>
        <v>-420</v>
      </c>
      <c r="F56" s="352">
        <f>E13-F13</f>
        <v>-480</v>
      </c>
      <c r="G56" t="s">
        <v>338</v>
      </c>
    </row>
    <row r="57" spans="3:7">
      <c r="C57" s="348" t="s">
        <v>71</v>
      </c>
      <c r="D57" s="348"/>
      <c r="E57" s="351">
        <f>D11-E11</f>
        <v>-40</v>
      </c>
      <c r="F57" s="352">
        <f>E11-F11</f>
        <v>-50</v>
      </c>
      <c r="G57" t="s">
        <v>338</v>
      </c>
    </row>
    <row r="58" spans="3:7">
      <c r="C58" s="348" t="s">
        <v>72</v>
      </c>
      <c r="D58" s="348"/>
      <c r="E58" s="351">
        <f>E21-D21</f>
        <v>50</v>
      </c>
      <c r="F58" s="352">
        <f>F21-E21</f>
        <v>150</v>
      </c>
      <c r="G58" t="s">
        <v>333</v>
      </c>
    </row>
    <row r="59" spans="3:7">
      <c r="C59" s="348" t="s">
        <v>73</v>
      </c>
      <c r="D59" s="348"/>
      <c r="E59" s="351">
        <f>E20-D20</f>
        <v>-100</v>
      </c>
      <c r="F59" s="352">
        <f>F20-E20</f>
        <v>-100</v>
      </c>
      <c r="G59" t="s">
        <v>333</v>
      </c>
    </row>
    <row r="60" spans="3:7">
      <c r="C60" s="356" t="s">
        <v>74</v>
      </c>
      <c r="D60" s="356"/>
      <c r="E60" s="357">
        <f>+E54+SUM(E55:E59)</f>
        <v>957.5805668016194</v>
      </c>
      <c r="F60" s="358">
        <f>+F54+SUM(F55:F59)</f>
        <v>113.42222222222222</v>
      </c>
    </row>
    <row r="61" spans="3:7">
      <c r="C61" s="348" t="s">
        <v>41</v>
      </c>
      <c r="D61" s="348"/>
      <c r="E61" s="349">
        <f>-E53</f>
        <v>-150</v>
      </c>
      <c r="F61" s="350">
        <f>-F53</f>
        <v>-180</v>
      </c>
    </row>
    <row r="62" spans="3:7">
      <c r="C62" s="359" t="s">
        <v>75</v>
      </c>
      <c r="D62" s="359"/>
      <c r="E62" s="349">
        <f>D16-E16</f>
        <v>100</v>
      </c>
      <c r="F62" s="350">
        <f>E16-F16</f>
        <v>50</v>
      </c>
      <c r="G62" t="s">
        <v>338</v>
      </c>
    </row>
    <row r="63" spans="3:7">
      <c r="C63" s="359" t="s">
        <v>76</v>
      </c>
      <c r="D63" s="359"/>
      <c r="E63" s="349">
        <f>E35</f>
        <v>50</v>
      </c>
      <c r="F63" s="350">
        <f>F35</f>
        <v>0</v>
      </c>
    </row>
    <row r="64" spans="3:7">
      <c r="C64" s="359" t="s">
        <v>77</v>
      </c>
      <c r="D64" s="359"/>
      <c r="E64" s="349">
        <f>E36</f>
        <v>70</v>
      </c>
      <c r="F64" s="350">
        <f>F36</f>
        <v>50</v>
      </c>
    </row>
    <row r="65" spans="3:8">
      <c r="C65" s="359" t="s">
        <v>78</v>
      </c>
      <c r="D65" s="359"/>
      <c r="E65" s="360">
        <f>E64*E47</f>
        <v>4.1943319838056681</v>
      </c>
      <c r="F65" s="361">
        <f>F64*F47</f>
        <v>7.7777777777777777</v>
      </c>
    </row>
    <row r="66" spans="3:8">
      <c r="C66" s="356" t="s">
        <v>79</v>
      </c>
      <c r="D66" s="356"/>
      <c r="E66" s="357">
        <f>SUM(E61:E64)-E65</f>
        <v>65.805668016194332</v>
      </c>
      <c r="F66" s="358">
        <f>SUM(F61:F64)-F65</f>
        <v>-87.777777777777771</v>
      </c>
    </row>
    <row r="67" spans="3:8">
      <c r="C67" s="362" t="s">
        <v>80</v>
      </c>
      <c r="D67" s="362"/>
      <c r="E67" s="363">
        <f>E60+E66</f>
        <v>1023.3862348178137</v>
      </c>
      <c r="F67" s="364">
        <f>F60+F66</f>
        <v>25.644444444444446</v>
      </c>
    </row>
    <row r="68" spans="3:8">
      <c r="C68" s="348" t="s">
        <v>330</v>
      </c>
      <c r="D68" s="348"/>
      <c r="E68" s="349">
        <f>(E37-E38)</f>
        <v>77</v>
      </c>
      <c r="F68" s="350">
        <f>(F37-F38)</f>
        <v>28</v>
      </c>
      <c r="G68" t="s">
        <v>331</v>
      </c>
    </row>
    <row r="69" spans="3:8">
      <c r="C69" s="348" t="s">
        <v>82</v>
      </c>
      <c r="D69" s="348"/>
      <c r="E69" s="360">
        <f>E68*E47</f>
        <v>4.6137651821862349</v>
      </c>
      <c r="F69" s="361">
        <f>F68*F47</f>
        <v>4.3555555555555561</v>
      </c>
    </row>
    <row r="70" spans="3:8">
      <c r="C70" s="365" t="s">
        <v>332</v>
      </c>
      <c r="D70" s="365"/>
      <c r="E70" s="349">
        <f>(E23+E19)-(D19+D23)</f>
        <v>150</v>
      </c>
      <c r="F70" s="350">
        <f>(F23+F19)-(E19+E23)</f>
        <v>-350</v>
      </c>
      <c r="G70" t="s">
        <v>333</v>
      </c>
      <c r="H70" t="s">
        <v>339</v>
      </c>
    </row>
    <row r="71" spans="3:8">
      <c r="C71" s="366" t="s">
        <v>84</v>
      </c>
      <c r="D71" s="366"/>
      <c r="E71" s="367">
        <f>E67-E68+E69+E70</f>
        <v>1101</v>
      </c>
      <c r="F71" s="368">
        <f>F67-F68+F69+F70</f>
        <v>-348</v>
      </c>
    </row>
    <row r="72" spans="3:8">
      <c r="C72" s="360"/>
      <c r="D72" s="360"/>
      <c r="E72" s="360"/>
      <c r="F72" s="360"/>
    </row>
    <row r="73" spans="3:8">
      <c r="C73" s="369" t="s">
        <v>50</v>
      </c>
      <c r="D73" s="346"/>
      <c r="E73" s="346">
        <f>E43</f>
        <v>600</v>
      </c>
      <c r="F73" s="347">
        <f>F43</f>
        <v>200</v>
      </c>
    </row>
    <row r="74" spans="3:8">
      <c r="C74" s="370" t="s">
        <v>85</v>
      </c>
      <c r="D74" s="349"/>
      <c r="E74" s="349">
        <f>E24-D24-E44</f>
        <v>-321</v>
      </c>
      <c r="F74" s="350">
        <f>F24-E24-F44</f>
        <v>368</v>
      </c>
      <c r="G74" t="s">
        <v>334</v>
      </c>
    </row>
    <row r="75" spans="3:8">
      <c r="C75" s="371" t="s">
        <v>86</v>
      </c>
      <c r="D75" s="372"/>
      <c r="E75" s="372">
        <f>+E71-E73+E74</f>
        <v>180</v>
      </c>
      <c r="F75" s="373">
        <f>+F71-F73+F74</f>
        <v>-180</v>
      </c>
    </row>
    <row r="76" spans="3:8">
      <c r="C76" s="374"/>
      <c r="D76" s="360"/>
      <c r="E76" s="375"/>
      <c r="F76" s="375"/>
    </row>
    <row r="77" spans="3:8">
      <c r="C77" s="349" t="s">
        <v>335</v>
      </c>
      <c r="D77" s="349">
        <f>D10</f>
        <v>100</v>
      </c>
      <c r="E77" s="349">
        <f>E10</f>
        <v>110</v>
      </c>
      <c r="F77" s="349">
        <f>F10</f>
        <v>130</v>
      </c>
      <c r="G77" t="s">
        <v>336</v>
      </c>
    </row>
    <row r="78" spans="3:8">
      <c r="C78" s="349" t="s">
        <v>54</v>
      </c>
      <c r="D78" s="349">
        <f>D12</f>
        <v>30</v>
      </c>
      <c r="E78" s="349">
        <f>E12</f>
        <v>200</v>
      </c>
      <c r="F78" s="349">
        <f>F12</f>
        <v>0</v>
      </c>
    </row>
    <row r="79" spans="3:8">
      <c r="C79" s="360" t="s">
        <v>88</v>
      </c>
      <c r="D79" s="349">
        <f>+SUM(D77:D78)</f>
        <v>130</v>
      </c>
      <c r="E79" s="349">
        <f>+SUM(E77:E78)</f>
        <v>310</v>
      </c>
      <c r="F79" s="349">
        <f>+SUM(F77:F78)</f>
        <v>130</v>
      </c>
    </row>
    <row r="80" spans="3:8">
      <c r="C80" s="376" t="s">
        <v>86</v>
      </c>
      <c r="D80" s="377"/>
      <c r="E80" s="378">
        <f>+E79-D79</f>
        <v>180</v>
      </c>
      <c r="F80" s="378">
        <f>+F79-E79</f>
        <v>-180</v>
      </c>
    </row>
    <row r="82" spans="3:6">
      <c r="C82" t="s">
        <v>337</v>
      </c>
      <c r="E82" s="12">
        <f>E75-E80</f>
        <v>0</v>
      </c>
      <c r="F82" s="12">
        <f>F75-F80</f>
        <v>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F02DB-48E0-F74C-8E80-C6A62FD14F62}">
  <sheetPr codeName="Sheet4"/>
  <dimension ref="A11:J27"/>
  <sheetViews>
    <sheetView workbookViewId="0">
      <selection activeCell="B11" sqref="B11"/>
    </sheetView>
  </sheetViews>
  <sheetFormatPr baseColWidth="10" defaultColWidth="9.1640625" defaultRowHeight="16"/>
  <cols>
    <col min="1" max="1" width="9.1640625" style="80"/>
    <col min="2" max="2" width="40.83203125" style="80" bestFit="1" customWidth="1"/>
    <col min="3" max="3" width="28" style="80" bestFit="1" customWidth="1"/>
    <col min="4" max="4" width="10.1640625" style="80" bestFit="1" customWidth="1"/>
    <col min="5" max="6" width="13.83203125" style="80" bestFit="1" customWidth="1"/>
    <col min="7" max="7" width="10.33203125" style="80" bestFit="1" customWidth="1"/>
    <col min="8" max="8" width="12.5" style="80" bestFit="1" customWidth="1"/>
    <col min="9" max="10" width="13.83203125" style="80" bestFit="1" customWidth="1"/>
    <col min="11" max="16384" width="9.1640625" style="80"/>
  </cols>
  <sheetData>
    <row r="11" spans="3:10">
      <c r="D11" s="92">
        <v>2020</v>
      </c>
      <c r="E11" s="92">
        <v>2021</v>
      </c>
      <c r="F11" s="92">
        <v>2022</v>
      </c>
      <c r="G11" s="92">
        <v>2023</v>
      </c>
      <c r="H11" s="92">
        <v>2024</v>
      </c>
      <c r="I11" s="92">
        <v>2025</v>
      </c>
      <c r="J11" s="92">
        <v>2026</v>
      </c>
    </row>
    <row r="12" spans="3:10">
      <c r="C12" s="80" t="s">
        <v>3</v>
      </c>
      <c r="D12" s="88">
        <v>20000</v>
      </c>
      <c r="E12" s="88">
        <f t="shared" ref="E12:J12" si="0">D12*(1+E18)</f>
        <v>22000</v>
      </c>
      <c r="F12" s="88">
        <f t="shared" si="0"/>
        <v>23980</v>
      </c>
      <c r="G12" s="88">
        <f t="shared" si="0"/>
        <v>25898.400000000001</v>
      </c>
      <c r="H12" s="88">
        <f t="shared" si="0"/>
        <v>27711.288000000004</v>
      </c>
      <c r="I12" s="88">
        <f t="shared" si="0"/>
        <v>29373.965280000008</v>
      </c>
      <c r="J12" s="88">
        <f t="shared" si="0"/>
        <v>30842.66354400001</v>
      </c>
    </row>
    <row r="13" spans="3:10">
      <c r="C13" s="80" t="s">
        <v>4</v>
      </c>
      <c r="D13" s="93">
        <v>0.01</v>
      </c>
      <c r="E13" s="93">
        <f t="shared" ref="E13:J13" si="1">E23/(1-E14)/E12</f>
        <v>1.0000000000000002E-2</v>
      </c>
      <c r="F13" s="93">
        <f t="shared" si="1"/>
        <v>1.0227272727272729E-2</v>
      </c>
      <c r="G13" s="93">
        <f t="shared" si="1"/>
        <v>1.0227272727272729E-2</v>
      </c>
      <c r="H13" s="93">
        <f t="shared" si="1"/>
        <v>1.0227272727272729E-2</v>
      </c>
      <c r="I13" s="93">
        <f t="shared" si="1"/>
        <v>1.0227272727272727E-2</v>
      </c>
      <c r="J13" s="93">
        <f t="shared" si="1"/>
        <v>1.0227272727272729E-2</v>
      </c>
    </row>
    <row r="14" spans="3:10">
      <c r="C14" s="80" t="s">
        <v>134</v>
      </c>
      <c r="D14" s="94">
        <v>0.1</v>
      </c>
      <c r="E14" s="94">
        <v>0.1</v>
      </c>
      <c r="F14" s="94">
        <v>0.12</v>
      </c>
      <c r="G14" s="94">
        <v>0.12</v>
      </c>
      <c r="H14" s="94">
        <v>0.12</v>
      </c>
      <c r="I14" s="94">
        <v>0.12</v>
      </c>
      <c r="J14" s="94">
        <v>0.12</v>
      </c>
    </row>
    <row r="15" spans="3:10">
      <c r="C15" s="80" t="s">
        <v>6</v>
      </c>
      <c r="D15" s="94">
        <v>0.04</v>
      </c>
      <c r="E15" s="94">
        <v>0.04</v>
      </c>
      <c r="F15" s="94">
        <v>0.06</v>
      </c>
      <c r="G15" s="94">
        <v>0.06</v>
      </c>
      <c r="H15" s="94">
        <v>0.06</v>
      </c>
      <c r="I15" s="94">
        <v>0.06</v>
      </c>
      <c r="J15" s="94">
        <v>0.06</v>
      </c>
    </row>
    <row r="16" spans="3:10">
      <c r="C16" s="80" t="s">
        <v>1</v>
      </c>
      <c r="D16" s="88">
        <v>10000</v>
      </c>
      <c r="E16" s="88">
        <f t="shared" ref="E16:J16" si="2">D16+D26</f>
        <v>10120</v>
      </c>
      <c r="F16" s="88">
        <f t="shared" si="2"/>
        <v>10247.285714285714</v>
      </c>
      <c r="G16" s="88">
        <f t="shared" si="2"/>
        <v>10380.098021978021</v>
      </c>
      <c r="H16" s="88">
        <f t="shared" si="2"/>
        <v>10516.064621978021</v>
      </c>
      <c r="I16" s="88">
        <f t="shared" si="2"/>
        <v>10652.101853978022</v>
      </c>
      <c r="J16" s="88">
        <f t="shared" si="2"/>
        <v>10784.284697738021</v>
      </c>
    </row>
    <row r="17" spans="1:10">
      <c r="C17" s="80" t="s">
        <v>9</v>
      </c>
      <c r="D17" s="93"/>
      <c r="E17" s="93">
        <v>0.15</v>
      </c>
      <c r="F17" s="93">
        <v>0.14000000000000001</v>
      </c>
      <c r="G17" s="93">
        <v>0.13</v>
      </c>
      <c r="H17" s="93">
        <v>0.12</v>
      </c>
      <c r="I17" s="93">
        <v>0.11</v>
      </c>
      <c r="J17" s="93">
        <v>0.1</v>
      </c>
    </row>
    <row r="18" spans="1:10">
      <c r="C18" s="80" t="s">
        <v>11</v>
      </c>
      <c r="D18" s="93">
        <f>E17*D25</f>
        <v>0.1</v>
      </c>
      <c r="E18" s="93">
        <v>0.1</v>
      </c>
      <c r="F18" s="93">
        <v>0.09</v>
      </c>
      <c r="G18" s="93">
        <v>0.08</v>
      </c>
      <c r="H18" s="93">
        <v>7.0000000000000007E-2</v>
      </c>
      <c r="I18" s="93">
        <v>0.06</v>
      </c>
      <c r="J18" s="93">
        <v>0.05</v>
      </c>
    </row>
    <row r="19" spans="1:10">
      <c r="C19" s="80" t="s">
        <v>135</v>
      </c>
      <c r="D19" s="93">
        <v>0.08</v>
      </c>
      <c r="E19" s="93">
        <v>0.08</v>
      </c>
      <c r="F19" s="93">
        <v>0.08</v>
      </c>
      <c r="G19" s="93">
        <v>0.08</v>
      </c>
      <c r="H19" s="93">
        <v>0.08</v>
      </c>
      <c r="I19" s="93">
        <v>0.08</v>
      </c>
      <c r="J19" s="93">
        <v>0.08</v>
      </c>
    </row>
    <row r="20" spans="1:10">
      <c r="C20" s="80" t="s">
        <v>136</v>
      </c>
      <c r="D20" s="93">
        <v>0.3</v>
      </c>
      <c r="E20" s="93">
        <v>0.4</v>
      </c>
      <c r="F20" s="93">
        <v>0.5</v>
      </c>
      <c r="G20" s="93">
        <v>0.5</v>
      </c>
      <c r="H20" s="93">
        <v>0.5</v>
      </c>
      <c r="I20" s="93">
        <v>0.5</v>
      </c>
      <c r="J20" s="93">
        <v>0.5</v>
      </c>
    </row>
    <row r="21" spans="1:10" ht="17" thickBot="1"/>
    <row r="22" spans="1:10">
      <c r="A22" s="80">
        <v>2</v>
      </c>
      <c r="B22" s="80" t="s">
        <v>137</v>
      </c>
      <c r="C22" s="95" t="s">
        <v>8</v>
      </c>
      <c r="D22" s="96">
        <f>D23/D16</f>
        <v>1.7999999999999999E-2</v>
      </c>
      <c r="E22" s="96">
        <f t="shared" ref="E22:J22" si="3">E23/E16</f>
        <v>1.9565217391304349E-2</v>
      </c>
      <c r="F22" s="96">
        <f t="shared" si="3"/>
        <v>2.1061186934519253E-2</v>
      </c>
      <c r="G22" s="96">
        <f t="shared" si="3"/>
        <v>2.2455048064717938E-2</v>
      </c>
      <c r="H22" s="96">
        <f t="shared" si="3"/>
        <v>2.3716247566486409E-2</v>
      </c>
      <c r="I22" s="96">
        <f t="shared" si="3"/>
        <v>2.4818171206396501E-2</v>
      </c>
      <c r="J22" s="96">
        <f t="shared" si="3"/>
        <v>2.5739673949281287E-2</v>
      </c>
    </row>
    <row r="23" spans="1:10">
      <c r="A23" s="80">
        <v>1</v>
      </c>
      <c r="B23" s="80" t="s">
        <v>138</v>
      </c>
      <c r="C23" s="97" t="s">
        <v>89</v>
      </c>
      <c r="D23" s="98">
        <f>D13*D12*(1-D14)</f>
        <v>180</v>
      </c>
      <c r="E23" s="98">
        <f t="shared" ref="E23:J23" si="4">D23*(1+E18)</f>
        <v>198.00000000000003</v>
      </c>
      <c r="F23" s="98">
        <f t="shared" si="4"/>
        <v>215.82000000000005</v>
      </c>
      <c r="G23" s="98">
        <f t="shared" si="4"/>
        <v>233.08560000000006</v>
      </c>
      <c r="H23" s="98">
        <f t="shared" si="4"/>
        <v>249.40159200000008</v>
      </c>
      <c r="I23" s="98">
        <f t="shared" si="4"/>
        <v>264.36568752000011</v>
      </c>
      <c r="J23" s="98">
        <f t="shared" si="4"/>
        <v>277.58397189600015</v>
      </c>
    </row>
    <row r="24" spans="1:10">
      <c r="A24" s="80">
        <v>5</v>
      </c>
      <c r="B24" s="80" t="s">
        <v>139</v>
      </c>
      <c r="C24" s="97" t="s">
        <v>35</v>
      </c>
      <c r="D24" s="98">
        <f>D23-D26</f>
        <v>59.999999999999986</v>
      </c>
      <c r="E24" s="98">
        <f t="shared" ref="E24:J24" si="5">E23-E26</f>
        <v>70.714285714285737</v>
      </c>
      <c r="F24" s="98">
        <f t="shared" si="5"/>
        <v>83.007692307692309</v>
      </c>
      <c r="G24" s="98">
        <f t="shared" si="5"/>
        <v>97.119000000000028</v>
      </c>
      <c r="H24" s="98">
        <f t="shared" si="5"/>
        <v>113.36436000000003</v>
      </c>
      <c r="I24" s="98">
        <f t="shared" si="5"/>
        <v>132.18284376000005</v>
      </c>
      <c r="J24" s="98">
        <f t="shared" si="5"/>
        <v>277.58397189600015</v>
      </c>
    </row>
    <row r="25" spans="1:10">
      <c r="A25" s="80">
        <v>3</v>
      </c>
      <c r="B25" s="80" t="s">
        <v>140</v>
      </c>
      <c r="C25" s="99" t="s">
        <v>10</v>
      </c>
      <c r="D25" s="100">
        <f>E18/E17</f>
        <v>0.66666666666666674</v>
      </c>
      <c r="E25" s="100">
        <f t="shared" ref="E25:I25" si="6">F18/F17</f>
        <v>0.64285714285714279</v>
      </c>
      <c r="F25" s="100">
        <f t="shared" si="6"/>
        <v>0.61538461538461542</v>
      </c>
      <c r="G25" s="100">
        <f t="shared" si="6"/>
        <v>0.58333333333333337</v>
      </c>
      <c r="H25" s="100">
        <f t="shared" si="6"/>
        <v>0.54545454545454541</v>
      </c>
      <c r="I25" s="100">
        <f t="shared" si="6"/>
        <v>0.5</v>
      </c>
      <c r="J25" s="101"/>
    </row>
    <row r="26" spans="1:10">
      <c r="A26" s="80">
        <v>4</v>
      </c>
      <c r="B26" s="80" t="s">
        <v>141</v>
      </c>
      <c r="C26" s="99" t="s">
        <v>2</v>
      </c>
      <c r="D26" s="102">
        <f>D23*D25</f>
        <v>120.00000000000001</v>
      </c>
      <c r="E26" s="102">
        <f t="shared" ref="E26:I26" si="7">E23*E25</f>
        <v>127.28571428571429</v>
      </c>
      <c r="F26" s="102">
        <f t="shared" si="7"/>
        <v>132.81230769230774</v>
      </c>
      <c r="G26" s="102">
        <f t="shared" si="7"/>
        <v>135.96660000000003</v>
      </c>
      <c r="H26" s="102">
        <f t="shared" si="7"/>
        <v>136.03723200000005</v>
      </c>
      <c r="I26" s="102">
        <f t="shared" si="7"/>
        <v>132.18284376000005</v>
      </c>
      <c r="J26" s="102"/>
    </row>
    <row r="27" spans="1:10" ht="17" thickBot="1">
      <c r="A27" s="80">
        <v>1</v>
      </c>
      <c r="B27" s="80" t="s">
        <v>142</v>
      </c>
      <c r="C27" s="103" t="s">
        <v>143</v>
      </c>
      <c r="D27" s="104">
        <f>D19-D20*D15*D14</f>
        <v>7.8799999999999995E-2</v>
      </c>
      <c r="E27" s="104">
        <f t="shared" ref="E27:J27" si="8">E19-E20*E15*E14</f>
        <v>7.8399999999999997E-2</v>
      </c>
      <c r="F27" s="104">
        <f t="shared" si="8"/>
        <v>7.6399999999999996E-2</v>
      </c>
      <c r="G27" s="104">
        <f t="shared" si="8"/>
        <v>7.6399999999999996E-2</v>
      </c>
      <c r="H27" s="104">
        <f t="shared" si="8"/>
        <v>7.6399999999999996E-2</v>
      </c>
      <c r="I27" s="104">
        <f t="shared" si="8"/>
        <v>7.6399999999999996E-2</v>
      </c>
      <c r="J27" s="104">
        <f t="shared" si="8"/>
        <v>7.6399999999999996E-2</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E7F75-110E-F345-A403-F45A000BE5C8}">
  <sheetPr codeName="Sheet13"/>
  <dimension ref="A1:I54"/>
  <sheetViews>
    <sheetView topLeftCell="A18" workbookViewId="0">
      <selection activeCell="L45" sqref="L45"/>
    </sheetView>
  </sheetViews>
  <sheetFormatPr baseColWidth="10" defaultColWidth="9.1640625" defaultRowHeight="16"/>
  <cols>
    <col min="1" max="1" width="9.1640625" style="80"/>
    <col min="2" max="2" width="22.6640625" style="80" bestFit="1" customWidth="1"/>
    <col min="3" max="3" width="42.5" style="80" bestFit="1" customWidth="1"/>
    <col min="4" max="4" width="12.6640625" style="80" bestFit="1" customWidth="1"/>
    <col min="5" max="5" width="12.33203125" style="80" customWidth="1"/>
    <col min="6" max="9" width="10.6640625" style="80" bestFit="1" customWidth="1"/>
    <col min="10" max="16384" width="9.1640625" style="80"/>
  </cols>
  <sheetData>
    <row r="1" spans="1:3" ht="17" thickBot="1">
      <c r="A1" s="80" t="s">
        <v>111</v>
      </c>
    </row>
    <row r="2" spans="1:3">
      <c r="B2" s="105" t="str">
        <f>+[5]Admin!C12</f>
        <v>Date</v>
      </c>
      <c r="C2" s="106">
        <f>+[5]Admin!D12</f>
        <v>44208</v>
      </c>
    </row>
    <row r="3" spans="1:3">
      <c r="B3" s="107" t="str">
        <f>+[5]Admin!C13</f>
        <v>Student name</v>
      </c>
      <c r="C3" s="108" t="str">
        <f>+[5]Admin!D13</f>
        <v>Sam Sample</v>
      </c>
    </row>
    <row r="4" spans="1:3">
      <c r="B4" s="107" t="str">
        <f>+[5]Admin!C14</f>
        <v>Neptun code</v>
      </c>
      <c r="C4" s="108" t="str">
        <f>+[5]Admin!D14</f>
        <v>ABCD1234</v>
      </c>
    </row>
    <row r="5" spans="1:3">
      <c r="B5" s="107"/>
      <c r="C5" s="109"/>
    </row>
    <row r="6" spans="1:3">
      <c r="B6" s="107" t="str">
        <f>+[5]Admin!C16</f>
        <v>Study program</v>
      </c>
      <c r="C6" s="109" t="str">
        <f>+[5]Admin!D16</f>
        <v>Master in Finance</v>
      </c>
    </row>
    <row r="7" spans="1:3" ht="17" thickBot="1">
      <c r="B7" s="110" t="str">
        <f>+[5]Admin!C17</f>
        <v>Instructor</v>
      </c>
      <c r="C7" s="111" t="str">
        <f>+[5]Admin!D17</f>
        <v>Péter Juhász, PhD, CFA</v>
      </c>
    </row>
    <row r="8" spans="1:3" ht="17" thickBot="1"/>
    <row r="9" spans="1:3" ht="17" thickBot="1">
      <c r="B9" s="112" t="s">
        <v>23</v>
      </c>
      <c r="C9" s="113"/>
    </row>
    <row r="25" spans="3:9">
      <c r="D25" s="92">
        <v>2020</v>
      </c>
      <c r="E25" s="92">
        <v>2021</v>
      </c>
      <c r="F25" s="92">
        <v>2022</v>
      </c>
      <c r="G25" s="92">
        <v>2023</v>
      </c>
      <c r="H25" s="92">
        <v>2024</v>
      </c>
      <c r="I25" s="92">
        <v>2025</v>
      </c>
    </row>
    <row r="26" spans="3:9">
      <c r="C26" s="80" t="s">
        <v>3</v>
      </c>
      <c r="D26" s="88">
        <v>10000</v>
      </c>
      <c r="E26" s="88">
        <v>12000</v>
      </c>
      <c r="F26" s="88">
        <v>14000</v>
      </c>
      <c r="G26" s="88">
        <v>16000</v>
      </c>
      <c r="H26" s="88">
        <v>18000</v>
      </c>
      <c r="I26" s="88">
        <v>20000</v>
      </c>
    </row>
    <row r="27" spans="3:9">
      <c r="C27" s="80" t="s">
        <v>144</v>
      </c>
      <c r="D27" s="88">
        <v>5000</v>
      </c>
      <c r="E27" s="88">
        <v>5600</v>
      </c>
      <c r="F27" s="88">
        <v>6200</v>
      </c>
      <c r="G27" s="88">
        <v>6800</v>
      </c>
      <c r="H27" s="88">
        <v>7400</v>
      </c>
      <c r="I27" s="88">
        <v>8000</v>
      </c>
    </row>
    <row r="28" spans="3:9">
      <c r="C28" s="80" t="s">
        <v>145</v>
      </c>
      <c r="D28" s="88">
        <v>3200</v>
      </c>
      <c r="E28" s="88">
        <v>3500</v>
      </c>
      <c r="F28" s="88">
        <v>3800</v>
      </c>
      <c r="G28" s="88">
        <v>4100</v>
      </c>
      <c r="H28" s="88">
        <v>4400</v>
      </c>
      <c r="I28" s="88">
        <v>4700</v>
      </c>
    </row>
    <row r="29" spans="3:9">
      <c r="C29" s="80" t="s">
        <v>146</v>
      </c>
      <c r="D29" s="114">
        <v>700</v>
      </c>
      <c r="E29" s="114">
        <v>850</v>
      </c>
      <c r="F29" s="114">
        <v>1000</v>
      </c>
      <c r="G29" s="114">
        <v>1150</v>
      </c>
      <c r="H29" s="114">
        <v>1300</v>
      </c>
      <c r="I29" s="114">
        <v>1450</v>
      </c>
    </row>
    <row r="30" spans="3:9">
      <c r="C30" s="80" t="s">
        <v>147</v>
      </c>
      <c r="D30" s="88">
        <f>+D26-D27-D28-D29</f>
        <v>1100</v>
      </c>
      <c r="E30" s="88">
        <f t="shared" ref="E30:I30" si="0">+E26-E27-E28-E29</f>
        <v>2050</v>
      </c>
      <c r="F30" s="88">
        <f t="shared" si="0"/>
        <v>3000</v>
      </c>
      <c r="G30" s="88">
        <f t="shared" si="0"/>
        <v>3950</v>
      </c>
      <c r="H30" s="88">
        <f t="shared" si="0"/>
        <v>4900</v>
      </c>
      <c r="I30" s="88">
        <f t="shared" si="0"/>
        <v>5850</v>
      </c>
    </row>
    <row r="31" spans="3:9">
      <c r="C31" s="80" t="s">
        <v>148</v>
      </c>
      <c r="D31" s="88">
        <v>200</v>
      </c>
      <c r="E31" s="88">
        <v>170</v>
      </c>
      <c r="F31" s="88">
        <v>195</v>
      </c>
      <c r="G31" s="88">
        <v>220</v>
      </c>
      <c r="H31" s="88">
        <v>245</v>
      </c>
      <c r="I31" s="88">
        <v>270</v>
      </c>
    </row>
    <row r="32" spans="3:9">
      <c r="C32" s="80" t="s">
        <v>47</v>
      </c>
      <c r="D32" s="114">
        <f>+D30-D31</f>
        <v>900</v>
      </c>
      <c r="E32" s="114">
        <f t="shared" ref="E32:I32" si="1">+E30-E31</f>
        <v>1880</v>
      </c>
      <c r="F32" s="114">
        <f t="shared" si="1"/>
        <v>2805</v>
      </c>
      <c r="G32" s="114">
        <f t="shared" si="1"/>
        <v>3730</v>
      </c>
      <c r="H32" s="114">
        <f t="shared" si="1"/>
        <v>4655</v>
      </c>
      <c r="I32" s="114">
        <f t="shared" si="1"/>
        <v>5580</v>
      </c>
    </row>
    <row r="33" spans="2:9">
      <c r="C33" s="80" t="s">
        <v>49</v>
      </c>
      <c r="D33" s="114">
        <v>850</v>
      </c>
      <c r="E33" s="114">
        <v>1400</v>
      </c>
      <c r="F33" s="114">
        <v>1950</v>
      </c>
      <c r="G33" s="114">
        <v>2500</v>
      </c>
      <c r="H33" s="114">
        <v>3050</v>
      </c>
      <c r="I33" s="114">
        <v>3600</v>
      </c>
    </row>
    <row r="34" spans="2:9">
      <c r="C34" s="80" t="s">
        <v>50</v>
      </c>
      <c r="D34" s="114">
        <v>600</v>
      </c>
      <c r="E34" s="114">
        <v>1000</v>
      </c>
      <c r="F34" s="114">
        <v>1400</v>
      </c>
      <c r="G34" s="114">
        <v>1800</v>
      </c>
      <c r="H34" s="114">
        <v>2200</v>
      </c>
      <c r="I34" s="114">
        <v>2600</v>
      </c>
    </row>
    <row r="35" spans="2:9">
      <c r="D35" s="93"/>
      <c r="E35" s="93"/>
      <c r="F35" s="93"/>
      <c r="G35" s="93"/>
      <c r="H35" s="93"/>
      <c r="I35" s="93"/>
    </row>
    <row r="36" spans="2:9">
      <c r="C36" s="80" t="s">
        <v>58</v>
      </c>
      <c r="D36" s="114">
        <v>7500</v>
      </c>
      <c r="E36" s="114">
        <v>8600</v>
      </c>
      <c r="F36" s="114">
        <v>9700</v>
      </c>
      <c r="G36" s="114">
        <v>10800</v>
      </c>
      <c r="H36" s="114">
        <v>11900</v>
      </c>
      <c r="I36" s="114">
        <v>13000</v>
      </c>
    </row>
    <row r="37" spans="2:9">
      <c r="C37" s="80" t="s">
        <v>56</v>
      </c>
      <c r="D37" s="114">
        <v>800</v>
      </c>
      <c r="E37" s="114">
        <v>890</v>
      </c>
      <c r="F37" s="114">
        <v>980</v>
      </c>
      <c r="G37" s="114">
        <v>1070</v>
      </c>
      <c r="H37" s="114">
        <v>1160</v>
      </c>
      <c r="I37" s="114">
        <v>1250</v>
      </c>
    </row>
    <row r="38" spans="2:9">
      <c r="C38" s="80" t="s">
        <v>55</v>
      </c>
      <c r="D38" s="114">
        <v>780</v>
      </c>
      <c r="E38" s="114">
        <v>840</v>
      </c>
      <c r="F38" s="114">
        <v>900</v>
      </c>
      <c r="G38" s="114">
        <v>960</v>
      </c>
      <c r="H38" s="114">
        <v>1020</v>
      </c>
      <c r="I38" s="114">
        <v>1080</v>
      </c>
    </row>
    <row r="39" spans="2:9">
      <c r="C39" s="80" t="s">
        <v>52</v>
      </c>
      <c r="D39" s="114">
        <v>250</v>
      </c>
      <c r="E39" s="114">
        <v>340</v>
      </c>
      <c r="F39" s="114">
        <v>430</v>
      </c>
      <c r="G39" s="114">
        <v>520</v>
      </c>
      <c r="H39" s="114">
        <v>610</v>
      </c>
      <c r="I39" s="114">
        <v>700</v>
      </c>
    </row>
    <row r="40" spans="2:9">
      <c r="D40" s="93"/>
      <c r="E40" s="93"/>
      <c r="F40" s="93"/>
      <c r="G40" s="93"/>
      <c r="H40" s="93"/>
      <c r="I40" s="93"/>
    </row>
    <row r="41" spans="2:9">
      <c r="C41" s="80" t="s">
        <v>61</v>
      </c>
      <c r="D41" s="114">
        <v>520</v>
      </c>
      <c r="E41" s="114">
        <v>590</v>
      </c>
      <c r="F41" s="114">
        <v>660</v>
      </c>
      <c r="G41" s="114">
        <v>730</v>
      </c>
      <c r="H41" s="114">
        <v>800</v>
      </c>
      <c r="I41" s="114">
        <v>870</v>
      </c>
    </row>
    <row r="42" spans="2:9">
      <c r="C42" s="80" t="s">
        <v>149</v>
      </c>
      <c r="D42" s="114">
        <v>120</v>
      </c>
      <c r="E42" s="114">
        <v>160</v>
      </c>
      <c r="F42" s="114">
        <v>200</v>
      </c>
      <c r="G42" s="114">
        <v>240</v>
      </c>
      <c r="H42" s="114">
        <v>280</v>
      </c>
      <c r="I42" s="114">
        <v>320</v>
      </c>
    </row>
    <row r="43" spans="2:9">
      <c r="C43" s="80" t="s">
        <v>118</v>
      </c>
      <c r="D43" s="114">
        <v>3000</v>
      </c>
      <c r="E43" s="114">
        <v>3400</v>
      </c>
      <c r="F43" s="114">
        <v>3800</v>
      </c>
      <c r="G43" s="114">
        <v>4200</v>
      </c>
      <c r="H43" s="114">
        <v>4600</v>
      </c>
      <c r="I43" s="114">
        <v>5000</v>
      </c>
    </row>
    <row r="44" spans="2:9">
      <c r="C44" s="80" t="s">
        <v>64</v>
      </c>
      <c r="D44" s="114">
        <f>SUM(D36:D39)-SUM(D41:D43)</f>
        <v>5690</v>
      </c>
      <c r="E44" s="114">
        <f t="shared" ref="E44:I44" si="2">SUM(E36:E39)-SUM(E41:E43)</f>
        <v>6520</v>
      </c>
      <c r="F44" s="114">
        <f t="shared" si="2"/>
        <v>7350</v>
      </c>
      <c r="G44" s="114">
        <f t="shared" si="2"/>
        <v>8180</v>
      </c>
      <c r="H44" s="114">
        <f t="shared" si="2"/>
        <v>9010</v>
      </c>
      <c r="I44" s="114">
        <f t="shared" si="2"/>
        <v>9840</v>
      </c>
    </row>
    <row r="45" spans="2:9">
      <c r="C45" s="80" t="s">
        <v>31</v>
      </c>
      <c r="D45" s="114">
        <f>D43+D44</f>
        <v>8690</v>
      </c>
      <c r="E45" s="114">
        <f t="shared" ref="E45:I45" si="3">E43+E44</f>
        <v>9920</v>
      </c>
      <c r="F45" s="114">
        <f t="shared" si="3"/>
        <v>11150</v>
      </c>
      <c r="G45" s="114">
        <f t="shared" si="3"/>
        <v>12380</v>
      </c>
      <c r="H45" s="114">
        <f t="shared" si="3"/>
        <v>13610</v>
      </c>
      <c r="I45" s="114">
        <f t="shared" si="3"/>
        <v>14840</v>
      </c>
    </row>
    <row r="46" spans="2:9">
      <c r="C46" s="80" t="s">
        <v>122</v>
      </c>
      <c r="D46" s="115">
        <f>(D32-D33)/D32</f>
        <v>5.5555555555555552E-2</v>
      </c>
      <c r="E46" s="115">
        <f t="shared" ref="E46:I46" si="4">(E32-E33)/E32</f>
        <v>0.25531914893617019</v>
      </c>
      <c r="F46" s="115">
        <f t="shared" si="4"/>
        <v>0.30481283422459893</v>
      </c>
      <c r="G46" s="115">
        <f t="shared" si="4"/>
        <v>0.32975871313672922</v>
      </c>
      <c r="H46" s="115">
        <f t="shared" si="4"/>
        <v>0.34479054779806662</v>
      </c>
      <c r="I46" s="115">
        <f t="shared" si="4"/>
        <v>0.35483870967741937</v>
      </c>
    </row>
    <row r="47" spans="2:9" ht="17" thickBot="1"/>
    <row r="48" spans="2:9">
      <c r="B48" s="80" t="s">
        <v>150</v>
      </c>
      <c r="C48" s="95" t="s">
        <v>8</v>
      </c>
      <c r="D48" s="116"/>
      <c r="E48" s="117">
        <f>E50/D45</f>
        <v>0.17567269789192763</v>
      </c>
      <c r="F48" s="117">
        <f t="shared" ref="F48:H48" si="5">F50/E45</f>
        <v>0.2102380541659479</v>
      </c>
      <c r="G48" s="117">
        <f t="shared" si="5"/>
        <v>0.23743973839550847</v>
      </c>
      <c r="H48" s="117">
        <f t="shared" si="5"/>
        <v>0.25933168948218688</v>
      </c>
      <c r="I48" s="117">
        <f>I50/H45</f>
        <v>0.27731032684695789</v>
      </c>
    </row>
    <row r="49" spans="2:9">
      <c r="B49" s="80" t="s">
        <v>151</v>
      </c>
      <c r="C49" s="97" t="s">
        <v>9</v>
      </c>
      <c r="D49" s="118"/>
      <c r="E49" s="119">
        <f>(E50-D50)/D53</f>
        <v>5.6122768215415675E-2</v>
      </c>
      <c r="F49" s="119">
        <f t="shared" ref="F49:I49" si="6">(F50-E50)/E53</f>
        <v>0.45444370133768458</v>
      </c>
      <c r="G49" s="119">
        <f t="shared" si="6"/>
        <v>0.45682242746643614</v>
      </c>
      <c r="H49" s="119">
        <f t="shared" si="6"/>
        <v>0.45778311599963756</v>
      </c>
      <c r="I49" s="119">
        <f t="shared" si="6"/>
        <v>0.45826604276229499</v>
      </c>
    </row>
    <row r="50" spans="2:9">
      <c r="B50" s="80" t="s">
        <v>152</v>
      </c>
      <c r="C50" s="97" t="s">
        <v>89</v>
      </c>
      <c r="D50" s="120">
        <f>D30*(1-D46)</f>
        <v>1038.8888888888889</v>
      </c>
      <c r="E50" s="120">
        <f t="shared" ref="E50:I50" si="7">E30*(1-E46)</f>
        <v>1526.5957446808511</v>
      </c>
      <c r="F50" s="120">
        <f t="shared" si="7"/>
        <v>2085.5614973262032</v>
      </c>
      <c r="G50" s="120">
        <f t="shared" si="7"/>
        <v>2647.4530831099196</v>
      </c>
      <c r="H50" s="120">
        <f t="shared" si="7"/>
        <v>3210.5263157894738</v>
      </c>
      <c r="I50" s="120">
        <f t="shared" si="7"/>
        <v>3774.1935483870966</v>
      </c>
    </row>
    <row r="51" spans="2:9">
      <c r="B51" s="80" t="s">
        <v>114</v>
      </c>
      <c r="C51" s="97" t="s">
        <v>35</v>
      </c>
      <c r="D51" s="120">
        <f>D50-D53</f>
        <v>-7651.1111111111113</v>
      </c>
      <c r="E51" s="120">
        <f t="shared" ref="E51:I51" si="8">E50-E53</f>
        <v>296.59574468085111</v>
      </c>
      <c r="F51" s="120">
        <f t="shared" si="8"/>
        <v>855.56149732620315</v>
      </c>
      <c r="G51" s="120">
        <f t="shared" si="8"/>
        <v>1417.4530831099196</v>
      </c>
      <c r="H51" s="120">
        <f t="shared" si="8"/>
        <v>1980.5263157894738</v>
      </c>
      <c r="I51" s="120">
        <f t="shared" si="8"/>
        <v>2544.1935483870966</v>
      </c>
    </row>
    <row r="52" spans="2:9">
      <c r="B52" s="80" t="s">
        <v>153</v>
      </c>
      <c r="C52" s="99" t="s">
        <v>10</v>
      </c>
      <c r="D52" s="121">
        <f>D53/D50</f>
        <v>8.3647058823529417</v>
      </c>
      <c r="E52" s="121">
        <f t="shared" ref="E52:I52" si="9">E53/E50</f>
        <v>0.80571428571428572</v>
      </c>
      <c r="F52" s="121">
        <f t="shared" si="9"/>
        <v>0.58976923076923082</v>
      </c>
      <c r="G52" s="121">
        <f t="shared" si="9"/>
        <v>0.46459746835443039</v>
      </c>
      <c r="H52" s="121">
        <f t="shared" si="9"/>
        <v>0.38311475409836065</v>
      </c>
      <c r="I52" s="121">
        <f t="shared" si="9"/>
        <v>0.32589743589743592</v>
      </c>
    </row>
    <row r="53" spans="2:9">
      <c r="B53" s="80" t="s">
        <v>154</v>
      </c>
      <c r="C53" s="99" t="s">
        <v>155</v>
      </c>
      <c r="D53" s="122">
        <f>D45</f>
        <v>8690</v>
      </c>
      <c r="E53" s="122">
        <f>E45-D45</f>
        <v>1230</v>
      </c>
      <c r="F53" s="122">
        <f t="shared" ref="F53:I53" si="10">F45-E45</f>
        <v>1230</v>
      </c>
      <c r="G53" s="122">
        <f t="shared" si="10"/>
        <v>1230</v>
      </c>
      <c r="H53" s="122">
        <f t="shared" si="10"/>
        <v>1230</v>
      </c>
      <c r="I53" s="122">
        <f t="shared" si="10"/>
        <v>1230</v>
      </c>
    </row>
    <row r="54" spans="2:9">
      <c r="B54" s="80" t="s">
        <v>156</v>
      </c>
      <c r="C54" s="99" t="s">
        <v>11</v>
      </c>
      <c r="D54" s="123"/>
      <c r="E54" s="100">
        <f>E49*D52</f>
        <v>0.46945044942541819</v>
      </c>
      <c r="F54" s="100">
        <f t="shared" ref="F54:I54" si="11">F49*E52</f>
        <v>0.3661517822206487</v>
      </c>
      <c r="G54" s="100">
        <f t="shared" si="11"/>
        <v>0.26941981164501277</v>
      </c>
      <c r="H54" s="100">
        <f t="shared" si="11"/>
        <v>0.21268487674883416</v>
      </c>
      <c r="I54" s="100">
        <f t="shared" si="11"/>
        <v>0.17556848228450547</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39576-9F6B-AC4A-BFC0-42A47ECCC1A5}">
  <sheetPr codeName="Sheet26"/>
  <dimension ref="A1:M57"/>
  <sheetViews>
    <sheetView topLeftCell="A4" workbookViewId="0">
      <selection activeCell="N40" sqref="N40"/>
    </sheetView>
  </sheetViews>
  <sheetFormatPr baseColWidth="10" defaultColWidth="8.83203125" defaultRowHeight="16"/>
  <cols>
    <col min="2" max="2" width="22.6640625" bestFit="1" customWidth="1"/>
    <col min="3" max="3" width="42.5" bestFit="1" customWidth="1"/>
    <col min="4" max="10" width="13" customWidth="1"/>
  </cols>
  <sheetData>
    <row r="1" spans="1:3" ht="17" thickBot="1">
      <c r="A1" t="s">
        <v>111</v>
      </c>
    </row>
    <row r="2" spans="1:3" ht="18">
      <c r="B2" s="1" t="str">
        <f>+[4]Admin!C12</f>
        <v>Date</v>
      </c>
      <c r="C2" s="124">
        <f>+[4]Admin!D12</f>
        <v>44201</v>
      </c>
    </row>
    <row r="3" spans="1:3" ht="18">
      <c r="B3" s="3" t="str">
        <f>+[4]Admin!C13</f>
        <v>Student name</v>
      </c>
      <c r="C3" s="4" t="str">
        <f>+[4]Admin!D13</f>
        <v>Balsam Khalaf</v>
      </c>
    </row>
    <row r="4" spans="1:3" ht="18">
      <c r="B4" s="3" t="str">
        <f>+[4]Admin!C14</f>
        <v>Neptun code</v>
      </c>
      <c r="C4" s="4" t="str">
        <f>+[4]Admin!D14</f>
        <v>HA86QX</v>
      </c>
    </row>
    <row r="5" spans="1:3" ht="18">
      <c r="B5" s="3"/>
      <c r="C5" s="5"/>
    </row>
    <row r="6" spans="1:3" ht="18">
      <c r="B6" s="3" t="str">
        <f>+[4]Admin!C16</f>
        <v>Study program</v>
      </c>
      <c r="C6" s="5" t="str">
        <f>+[4]Admin!D16</f>
        <v>Master in Finance</v>
      </c>
    </row>
    <row r="7" spans="1:3" ht="19" thickBot="1">
      <c r="B7" s="6" t="str">
        <f>+[4]Admin!C17</f>
        <v>Instructor</v>
      </c>
      <c r="C7" s="7" t="str">
        <f>+[4]Admin!D17</f>
        <v>Péter Juhász, PhD, CFA</v>
      </c>
    </row>
    <row r="8" spans="1:3" ht="17" thickBot="1"/>
    <row r="9" spans="1:3" ht="21" thickBot="1">
      <c r="B9" s="8" t="s">
        <v>0</v>
      </c>
      <c r="C9" s="9"/>
    </row>
    <row r="25" spans="3:12" s="125" customFormat="1" ht="34">
      <c r="D25" s="126">
        <v>2020</v>
      </c>
      <c r="E25" s="126">
        <v>2021</v>
      </c>
      <c r="F25" s="126">
        <v>2022</v>
      </c>
      <c r="G25" s="126">
        <v>2023</v>
      </c>
      <c r="H25" s="126">
        <v>2024</v>
      </c>
      <c r="I25" s="126">
        <v>2025</v>
      </c>
      <c r="J25" s="127" t="s">
        <v>157</v>
      </c>
    </row>
    <row r="26" spans="3:12">
      <c r="C26" t="s">
        <v>158</v>
      </c>
      <c r="D26" s="128">
        <v>5000</v>
      </c>
      <c r="E26" s="128">
        <v>6000</v>
      </c>
      <c r="F26" s="128">
        <v>7000</v>
      </c>
      <c r="G26" s="128">
        <v>8000</v>
      </c>
      <c r="H26" s="128">
        <v>9000</v>
      </c>
      <c r="I26" s="128">
        <v>10000</v>
      </c>
      <c r="J26" s="128">
        <v>11000</v>
      </c>
      <c r="K26" s="128">
        <v>11000</v>
      </c>
      <c r="L26" s="128">
        <v>11000</v>
      </c>
    </row>
    <row r="27" spans="3:12">
      <c r="C27" t="s">
        <v>159</v>
      </c>
      <c r="D27" s="128">
        <v>5500</v>
      </c>
      <c r="E27" s="128">
        <v>6500</v>
      </c>
      <c r="F27" s="128">
        <v>7500</v>
      </c>
      <c r="G27" s="128">
        <v>8500</v>
      </c>
      <c r="H27" s="128">
        <v>9500</v>
      </c>
      <c r="I27" s="128">
        <v>10500</v>
      </c>
      <c r="J27" s="128">
        <v>11500</v>
      </c>
      <c r="K27" s="128">
        <v>11500</v>
      </c>
      <c r="L27" s="128">
        <v>11500</v>
      </c>
    </row>
    <row r="28" spans="3:12">
      <c r="C28" t="s">
        <v>160</v>
      </c>
      <c r="D28" s="12">
        <v>1</v>
      </c>
      <c r="E28" s="12">
        <v>1.05</v>
      </c>
      <c r="F28" s="12">
        <v>1.1000000000000001</v>
      </c>
      <c r="G28" s="12">
        <v>1.1499999999999999</v>
      </c>
      <c r="H28" s="12">
        <v>1.1499999999999999</v>
      </c>
      <c r="I28" s="12">
        <v>1.1499999999999999</v>
      </c>
      <c r="J28" s="12">
        <v>1.1499999999999999</v>
      </c>
      <c r="K28" s="12">
        <v>1.1499999999999999</v>
      </c>
      <c r="L28" s="12">
        <v>1.1499999999999999</v>
      </c>
    </row>
    <row r="29" spans="3:12">
      <c r="C29" t="s">
        <v>4</v>
      </c>
      <c r="D29" s="13">
        <v>0.1</v>
      </c>
      <c r="E29" s="13">
        <v>0.1</v>
      </c>
      <c r="F29" s="13">
        <v>0.1</v>
      </c>
      <c r="G29" s="13">
        <v>0.1</v>
      </c>
      <c r="H29" s="13">
        <v>0.1</v>
      </c>
      <c r="I29" s="13">
        <v>0.1</v>
      </c>
      <c r="J29" s="13">
        <v>0.1</v>
      </c>
      <c r="K29" s="13">
        <v>0.1</v>
      </c>
      <c r="L29" s="13">
        <v>0.1</v>
      </c>
    </row>
    <row r="30" spans="3:12">
      <c r="C30" t="s">
        <v>161</v>
      </c>
      <c r="D30" s="14">
        <v>0.1</v>
      </c>
      <c r="E30" s="14">
        <v>0.1</v>
      </c>
      <c r="F30" s="14">
        <v>0.1</v>
      </c>
      <c r="G30" s="14">
        <v>0.1</v>
      </c>
      <c r="H30" s="14">
        <v>0.15</v>
      </c>
      <c r="I30" s="14">
        <v>0.15</v>
      </c>
      <c r="J30" s="14">
        <v>0.15</v>
      </c>
      <c r="K30" s="14">
        <v>0.15</v>
      </c>
      <c r="L30" s="14">
        <v>0.15</v>
      </c>
    </row>
    <row r="31" spans="3:12">
      <c r="C31" t="s">
        <v>6</v>
      </c>
      <c r="D31" s="14">
        <v>0.04</v>
      </c>
      <c r="E31" s="14">
        <v>0.04</v>
      </c>
      <c r="F31" s="14">
        <v>0.06</v>
      </c>
      <c r="G31" s="14">
        <v>0.06</v>
      </c>
      <c r="H31" s="14">
        <v>0.06</v>
      </c>
      <c r="I31" s="14">
        <v>0.06</v>
      </c>
      <c r="J31" s="14">
        <v>0.06</v>
      </c>
      <c r="K31" s="14">
        <v>0.06</v>
      </c>
      <c r="L31" s="14">
        <v>0.06</v>
      </c>
    </row>
    <row r="32" spans="3:12">
      <c r="C32" t="s">
        <v>135</v>
      </c>
      <c r="D32" s="13">
        <v>0.08</v>
      </c>
      <c r="E32" s="13">
        <v>0.08</v>
      </c>
      <c r="F32" s="13">
        <v>0.08</v>
      </c>
      <c r="G32" s="13">
        <v>0.08</v>
      </c>
      <c r="H32" s="13">
        <v>0.08</v>
      </c>
      <c r="I32" s="13">
        <v>0.08</v>
      </c>
      <c r="J32" s="13">
        <v>0.08</v>
      </c>
      <c r="K32" s="13">
        <v>0.08</v>
      </c>
      <c r="L32" s="13">
        <v>0.08</v>
      </c>
    </row>
    <row r="33" spans="1:13">
      <c r="C33" s="129" t="s">
        <v>25</v>
      </c>
      <c r="D33" s="13">
        <v>0.3</v>
      </c>
      <c r="E33" s="13">
        <v>0.4</v>
      </c>
      <c r="F33" s="13">
        <v>0.5</v>
      </c>
      <c r="G33" s="13">
        <v>0.5</v>
      </c>
      <c r="H33" s="13">
        <v>0.5</v>
      </c>
      <c r="I33" s="13">
        <v>0.5</v>
      </c>
      <c r="J33" s="13">
        <v>0.5</v>
      </c>
      <c r="K33" s="13">
        <v>0.5</v>
      </c>
      <c r="L33" s="13">
        <v>0.5</v>
      </c>
    </row>
    <row r="34" spans="1:13" ht="17" thickBot="1"/>
    <row r="35" spans="1:13">
      <c r="C35" s="15" t="s">
        <v>162</v>
      </c>
      <c r="D35" s="130">
        <f>D37/D42</f>
        <v>6.93E-2</v>
      </c>
      <c r="E35" s="130">
        <f t="shared" ref="E35:J35" si="0">E37/E42</f>
        <v>6.1425E-2</v>
      </c>
      <c r="F35" s="130">
        <f t="shared" si="0"/>
        <v>5.3035714285714283E-2</v>
      </c>
      <c r="G35" s="130">
        <f t="shared" si="0"/>
        <v>5.4984375000000002E-2</v>
      </c>
      <c r="H35" s="130">
        <f t="shared" si="0"/>
        <v>5.1590277777777777E-2</v>
      </c>
      <c r="I35" s="130">
        <f t="shared" si="0"/>
        <v>5.1318749999999989E-2</v>
      </c>
      <c r="J35" s="131">
        <f t="shared" si="0"/>
        <v>5.1096590909090911E-2</v>
      </c>
    </row>
    <row r="36" spans="1:13">
      <c r="C36" s="17" t="s">
        <v>163</v>
      </c>
      <c r="D36" s="132"/>
      <c r="E36" s="133">
        <f>(E37-D37)/D40</f>
        <v>4.1737500000000004E-2</v>
      </c>
      <c r="F36" s="133">
        <f t="shared" ref="F36:J36" si="1">(F37-E37)/E40</f>
        <v>3.2062500000000001E-2</v>
      </c>
      <c r="G36" s="133">
        <f t="shared" si="1"/>
        <v>6.8625000000000005E-2</v>
      </c>
      <c r="H36" s="133">
        <f t="shared" si="1"/>
        <v>2.4437500000000001E-2</v>
      </c>
      <c r="I36" s="133">
        <f t="shared" si="1"/>
        <v>4.8874999999999884E-2</v>
      </c>
      <c r="J36" s="134">
        <f t="shared" si="1"/>
        <v>4.8875000000000113E-2</v>
      </c>
    </row>
    <row r="37" spans="1:13">
      <c r="B37" t="s">
        <v>164</v>
      </c>
      <c r="C37" s="135" t="s">
        <v>89</v>
      </c>
      <c r="D37" s="136">
        <f>D47*(1-D57)</f>
        <v>495</v>
      </c>
      <c r="E37" s="136">
        <f t="shared" ref="E37:J37" si="2">E47*(1-E57)</f>
        <v>614.25</v>
      </c>
      <c r="F37" s="136">
        <f t="shared" si="2"/>
        <v>742.5</v>
      </c>
      <c r="G37" s="136">
        <f t="shared" si="2"/>
        <v>879.75</v>
      </c>
      <c r="H37" s="136">
        <f t="shared" si="2"/>
        <v>928.625</v>
      </c>
      <c r="I37" s="136">
        <f t="shared" si="2"/>
        <v>1026.3749999999998</v>
      </c>
      <c r="J37" s="137">
        <f t="shared" si="2"/>
        <v>1124.125</v>
      </c>
    </row>
    <row r="38" spans="1:13">
      <c r="C38" s="138" t="s">
        <v>35</v>
      </c>
      <c r="D38" s="136">
        <f>D37-D40</f>
        <v>-2362.1428571428569</v>
      </c>
      <c r="E38" s="136">
        <f t="shared" ref="E38:J38" si="3">E37-E40</f>
        <v>-3385.75</v>
      </c>
      <c r="F38" s="136">
        <f t="shared" si="3"/>
        <v>-1257.5</v>
      </c>
      <c r="G38" s="136">
        <f t="shared" si="3"/>
        <v>-1120.25</v>
      </c>
      <c r="H38" s="136">
        <f t="shared" si="3"/>
        <v>-1071.375</v>
      </c>
      <c r="I38" s="136">
        <f t="shared" si="3"/>
        <v>-973.62500000000023</v>
      </c>
      <c r="J38" s="137">
        <f t="shared" si="3"/>
        <v>1124.125</v>
      </c>
    </row>
    <row r="39" spans="1:13">
      <c r="C39" s="17" t="s">
        <v>165</v>
      </c>
      <c r="D39" s="139">
        <f>D40/D37</f>
        <v>5.7720057720057714</v>
      </c>
      <c r="E39" s="139">
        <f t="shared" ref="E39:J39" si="4">E40/E37</f>
        <v>6.5120065120065123</v>
      </c>
      <c r="F39" s="139">
        <f t="shared" si="4"/>
        <v>2.6936026936026938</v>
      </c>
      <c r="G39" s="139">
        <f t="shared" si="4"/>
        <v>2.2733731173628873</v>
      </c>
      <c r="H39" s="139">
        <f t="shared" si="4"/>
        <v>2.1537219006595771</v>
      </c>
      <c r="I39" s="139">
        <f t="shared" si="4"/>
        <v>1.9486055291681894</v>
      </c>
      <c r="J39" s="140">
        <f t="shared" si="4"/>
        <v>0</v>
      </c>
    </row>
    <row r="40" spans="1:13" ht="17" thickBot="1">
      <c r="C40" s="20" t="s">
        <v>2</v>
      </c>
      <c r="D40" s="141">
        <f>E42-D42</f>
        <v>2857.1428571428569</v>
      </c>
      <c r="E40" s="141">
        <f t="shared" ref="E40:H40" si="5">F42-E42</f>
        <v>4000</v>
      </c>
      <c r="F40" s="141">
        <f t="shared" si="5"/>
        <v>2000</v>
      </c>
      <c r="G40" s="141">
        <f t="shared" si="5"/>
        <v>2000</v>
      </c>
      <c r="H40" s="141">
        <f t="shared" si="5"/>
        <v>2000</v>
      </c>
      <c r="I40" s="141">
        <f>J42-I42</f>
        <v>2000</v>
      </c>
      <c r="J40" s="142">
        <f>K42-J42</f>
        <v>0</v>
      </c>
    </row>
    <row r="41" spans="1:13">
      <c r="B41" t="s">
        <v>95</v>
      </c>
    </row>
    <row r="42" spans="1:13">
      <c r="A42">
        <v>2</v>
      </c>
      <c r="B42" t="s">
        <v>166</v>
      </c>
      <c r="C42" s="143" t="s">
        <v>1</v>
      </c>
      <c r="D42" s="144">
        <f>D44/(1-D33)</f>
        <v>7142.8571428571431</v>
      </c>
      <c r="E42" s="144">
        <f t="shared" ref="E42:L42" si="6">E44/(1-E33)</f>
        <v>10000</v>
      </c>
      <c r="F42" s="144">
        <f t="shared" si="6"/>
        <v>14000</v>
      </c>
      <c r="G42" s="144">
        <f t="shared" si="6"/>
        <v>16000</v>
      </c>
      <c r="H42" s="144">
        <f t="shared" si="6"/>
        <v>18000</v>
      </c>
      <c r="I42" s="144">
        <f t="shared" si="6"/>
        <v>20000</v>
      </c>
      <c r="J42" s="144">
        <f t="shared" si="6"/>
        <v>22000</v>
      </c>
      <c r="K42" s="144">
        <f t="shared" si="6"/>
        <v>22000</v>
      </c>
      <c r="L42" s="144">
        <f t="shared" si="6"/>
        <v>22000</v>
      </c>
      <c r="M42" s="12"/>
    </row>
    <row r="43" spans="1:13">
      <c r="A43">
        <v>3</v>
      </c>
      <c r="B43" t="s">
        <v>167</v>
      </c>
      <c r="C43" s="145" t="s">
        <v>168</v>
      </c>
      <c r="D43" s="144">
        <f>D42*D33</f>
        <v>2142.8571428571427</v>
      </c>
      <c r="E43" s="144">
        <f t="shared" ref="E43:L43" si="7">E42*E33</f>
        <v>4000</v>
      </c>
      <c r="F43" s="144">
        <f t="shared" si="7"/>
        <v>7000</v>
      </c>
      <c r="G43" s="144">
        <f t="shared" si="7"/>
        <v>8000</v>
      </c>
      <c r="H43" s="144">
        <f t="shared" si="7"/>
        <v>9000</v>
      </c>
      <c r="I43" s="144">
        <f t="shared" si="7"/>
        <v>10000</v>
      </c>
      <c r="J43" s="144">
        <f t="shared" si="7"/>
        <v>11000</v>
      </c>
      <c r="K43" s="144">
        <f t="shared" si="7"/>
        <v>11000</v>
      </c>
      <c r="L43" s="144">
        <f t="shared" si="7"/>
        <v>11000</v>
      </c>
    </row>
    <row r="44" spans="1:13">
      <c r="A44">
        <v>1</v>
      </c>
      <c r="B44" t="s">
        <v>113</v>
      </c>
      <c r="C44" s="146" t="s">
        <v>169</v>
      </c>
      <c r="D44" s="144">
        <f>D26</f>
        <v>5000</v>
      </c>
      <c r="E44" s="144">
        <f t="shared" ref="E44:L44" si="8">E26</f>
        <v>6000</v>
      </c>
      <c r="F44" s="144">
        <f t="shared" si="8"/>
        <v>7000</v>
      </c>
      <c r="G44" s="144">
        <f t="shared" si="8"/>
        <v>8000</v>
      </c>
      <c r="H44" s="144">
        <f t="shared" si="8"/>
        <v>9000</v>
      </c>
      <c r="I44" s="144">
        <f t="shared" si="8"/>
        <v>10000</v>
      </c>
      <c r="J44" s="144">
        <f t="shared" si="8"/>
        <v>11000</v>
      </c>
      <c r="K44" s="144">
        <f t="shared" si="8"/>
        <v>11000</v>
      </c>
      <c r="L44" s="144">
        <f t="shared" si="8"/>
        <v>11000</v>
      </c>
      <c r="M44" s="12"/>
    </row>
    <row r="45" spans="1:13">
      <c r="B45" t="s">
        <v>170</v>
      </c>
    </row>
    <row r="46" spans="1:13">
      <c r="A46">
        <v>4</v>
      </c>
      <c r="B46" t="s">
        <v>171</v>
      </c>
      <c r="C46" s="31" t="s">
        <v>3</v>
      </c>
      <c r="D46" s="147">
        <f>D27*D28</f>
        <v>5500</v>
      </c>
      <c r="E46" s="147">
        <f t="shared" ref="E46:L46" si="9">E27*E28</f>
        <v>6825</v>
      </c>
      <c r="F46" s="147">
        <f t="shared" si="9"/>
        <v>8250</v>
      </c>
      <c r="G46" s="147">
        <f t="shared" si="9"/>
        <v>9775</v>
      </c>
      <c r="H46" s="147">
        <f t="shared" si="9"/>
        <v>10925</v>
      </c>
      <c r="I46" s="147">
        <f t="shared" si="9"/>
        <v>12074.999999999998</v>
      </c>
      <c r="J46" s="147">
        <f t="shared" si="9"/>
        <v>13224.999999999998</v>
      </c>
      <c r="K46" s="147">
        <f t="shared" si="9"/>
        <v>13224.999999999998</v>
      </c>
      <c r="L46" s="147">
        <f t="shared" si="9"/>
        <v>13224.999999999998</v>
      </c>
      <c r="M46" s="147"/>
    </row>
    <row r="47" spans="1:13">
      <c r="A47">
        <v>5</v>
      </c>
      <c r="B47" t="s">
        <v>172</v>
      </c>
      <c r="C47" s="148" t="s">
        <v>26</v>
      </c>
      <c r="D47" s="147">
        <f>D46*D29</f>
        <v>550</v>
      </c>
      <c r="E47" s="147">
        <f t="shared" ref="E47:L47" si="10">E46*E29</f>
        <v>682.5</v>
      </c>
      <c r="F47" s="147">
        <f t="shared" si="10"/>
        <v>825</v>
      </c>
      <c r="G47" s="147">
        <f t="shared" si="10"/>
        <v>977.5</v>
      </c>
      <c r="H47" s="147">
        <f t="shared" si="10"/>
        <v>1092.5</v>
      </c>
      <c r="I47" s="147">
        <f t="shared" si="10"/>
        <v>1207.4999999999998</v>
      </c>
      <c r="J47" s="147">
        <f t="shared" si="10"/>
        <v>1322.5</v>
      </c>
      <c r="K47" s="147">
        <f t="shared" si="10"/>
        <v>1322.5</v>
      </c>
      <c r="L47" s="147">
        <f t="shared" si="10"/>
        <v>1322.5</v>
      </c>
      <c r="M47" s="147"/>
    </row>
    <row r="48" spans="1:13" ht="15" customHeight="1">
      <c r="A48">
        <v>6</v>
      </c>
      <c r="B48" t="s">
        <v>173</v>
      </c>
      <c r="C48" t="s">
        <v>174</v>
      </c>
      <c r="D48" s="147">
        <f>D43*D31</f>
        <v>85.714285714285708</v>
      </c>
      <c r="E48" s="147">
        <f t="shared" ref="E48:L48" si="11">E43*E31</f>
        <v>160</v>
      </c>
      <c r="F48" s="147">
        <f t="shared" si="11"/>
        <v>420</v>
      </c>
      <c r="G48" s="147">
        <f t="shared" si="11"/>
        <v>480</v>
      </c>
      <c r="H48" s="147">
        <f t="shared" si="11"/>
        <v>540</v>
      </c>
      <c r="I48" s="147">
        <f t="shared" si="11"/>
        <v>600</v>
      </c>
      <c r="J48" s="147">
        <f t="shared" si="11"/>
        <v>660</v>
      </c>
      <c r="K48" s="147">
        <f t="shared" si="11"/>
        <v>660</v>
      </c>
      <c r="L48" s="147">
        <f t="shared" si="11"/>
        <v>660</v>
      </c>
      <c r="M48" s="147"/>
    </row>
    <row r="49" spans="1:13" ht="15" customHeight="1">
      <c r="A49">
        <v>7</v>
      </c>
      <c r="C49" t="s">
        <v>47</v>
      </c>
      <c r="D49" s="147">
        <f>D47-D48</f>
        <v>464.28571428571428</v>
      </c>
      <c r="E49" s="147">
        <f t="shared" ref="E49:L49" si="12">E47-E48</f>
        <v>522.5</v>
      </c>
      <c r="F49" s="147">
        <f t="shared" si="12"/>
        <v>405</v>
      </c>
      <c r="G49" s="147">
        <f t="shared" si="12"/>
        <v>497.5</v>
      </c>
      <c r="H49" s="147">
        <f t="shared" si="12"/>
        <v>552.5</v>
      </c>
      <c r="I49" s="147">
        <f t="shared" si="12"/>
        <v>607.49999999999977</v>
      </c>
      <c r="J49" s="147">
        <f t="shared" si="12"/>
        <v>662.5</v>
      </c>
      <c r="K49" s="147">
        <f t="shared" si="12"/>
        <v>662.5</v>
      </c>
      <c r="L49" s="147">
        <f t="shared" si="12"/>
        <v>662.5</v>
      </c>
      <c r="M49" s="147"/>
    </row>
    <row r="50" spans="1:13" ht="15" customHeight="1">
      <c r="A50">
        <v>8</v>
      </c>
      <c r="B50" s="149" t="s">
        <v>175</v>
      </c>
      <c r="C50" t="s">
        <v>48</v>
      </c>
      <c r="D50" s="150">
        <f t="shared" ref="D50:L50" si="13">+IF(D49&lt;0,0,D49*D30)</f>
        <v>46.428571428571431</v>
      </c>
      <c r="E50" s="150">
        <f t="shared" si="13"/>
        <v>52.25</v>
      </c>
      <c r="F50" s="150">
        <f t="shared" si="13"/>
        <v>40.5</v>
      </c>
      <c r="G50" s="150">
        <f t="shared" si="13"/>
        <v>49.75</v>
      </c>
      <c r="H50" s="150">
        <f t="shared" si="13"/>
        <v>82.875</v>
      </c>
      <c r="I50" s="150">
        <f t="shared" si="13"/>
        <v>91.124999999999957</v>
      </c>
      <c r="J50" s="150">
        <f t="shared" si="13"/>
        <v>99.375</v>
      </c>
      <c r="K50" s="150">
        <f t="shared" si="13"/>
        <v>99.375</v>
      </c>
      <c r="L50" s="150">
        <f t="shared" si="13"/>
        <v>99.375</v>
      </c>
      <c r="M50" s="150"/>
    </row>
    <row r="51" spans="1:13" ht="15" customHeight="1">
      <c r="A51">
        <v>9</v>
      </c>
      <c r="C51" t="s">
        <v>49</v>
      </c>
      <c r="D51" s="151">
        <f>D49-D50</f>
        <v>417.85714285714283</v>
      </c>
      <c r="E51" s="151">
        <f t="shared" ref="E51:L51" si="14">E49-E50</f>
        <v>470.25</v>
      </c>
      <c r="F51" s="151">
        <f t="shared" si="14"/>
        <v>364.5</v>
      </c>
      <c r="G51" s="151">
        <f t="shared" si="14"/>
        <v>447.75</v>
      </c>
      <c r="H51" s="151">
        <f t="shared" si="14"/>
        <v>469.625</v>
      </c>
      <c r="I51" s="151">
        <f t="shared" si="14"/>
        <v>516.37499999999977</v>
      </c>
      <c r="J51" s="151">
        <f t="shared" si="14"/>
        <v>563.125</v>
      </c>
      <c r="K51" s="151">
        <f t="shared" si="14"/>
        <v>563.125</v>
      </c>
      <c r="L51" s="151">
        <f t="shared" si="14"/>
        <v>563.125</v>
      </c>
    </row>
    <row r="52" spans="1:13" ht="15" customHeight="1">
      <c r="A52">
        <v>10</v>
      </c>
      <c r="C52" t="s">
        <v>50</v>
      </c>
      <c r="D52" s="150">
        <f>+D51-D53</f>
        <v>0</v>
      </c>
      <c r="E52" s="150">
        <f t="shared" ref="E52:L52" si="15">+E51-E53</f>
        <v>0</v>
      </c>
      <c r="F52" s="150">
        <f t="shared" si="15"/>
        <v>0</v>
      </c>
      <c r="G52" s="150">
        <f t="shared" si="15"/>
        <v>0</v>
      </c>
      <c r="H52" s="150">
        <f t="shared" si="15"/>
        <v>0</v>
      </c>
      <c r="I52" s="150">
        <f t="shared" si="15"/>
        <v>0</v>
      </c>
      <c r="J52" s="150">
        <f t="shared" si="15"/>
        <v>563.125</v>
      </c>
      <c r="K52" s="150">
        <f t="shared" si="15"/>
        <v>563.125</v>
      </c>
      <c r="L52" s="150">
        <f t="shared" si="15"/>
        <v>563.125</v>
      </c>
    </row>
    <row r="53" spans="1:13" ht="15" customHeight="1">
      <c r="A53">
        <v>10</v>
      </c>
      <c r="C53" t="s">
        <v>51</v>
      </c>
      <c r="D53" s="150">
        <f>+IF(D51&lt;0,D51,MAX(0,MIN(D51,D55)))</f>
        <v>417.85714285714283</v>
      </c>
      <c r="E53" s="150">
        <f t="shared" ref="E53:K53" si="16">+IF(E51&lt;0,E51,MAX(0,MIN(E51,E55)))</f>
        <v>470.25</v>
      </c>
      <c r="F53" s="150">
        <f t="shared" si="16"/>
        <v>364.5</v>
      </c>
      <c r="G53" s="150">
        <f t="shared" si="16"/>
        <v>447.75</v>
      </c>
      <c r="H53" s="150">
        <f t="shared" si="16"/>
        <v>469.625</v>
      </c>
      <c r="I53" s="150">
        <f t="shared" si="16"/>
        <v>516.37499999999977</v>
      </c>
      <c r="J53" s="150">
        <f t="shared" si="16"/>
        <v>0</v>
      </c>
      <c r="K53" s="150">
        <f t="shared" si="16"/>
        <v>0</v>
      </c>
    </row>
    <row r="54" spans="1:13">
      <c r="A54">
        <v>10</v>
      </c>
      <c r="B54" t="s">
        <v>176</v>
      </c>
      <c r="D54" s="150"/>
    </row>
    <row r="55" spans="1:13" ht="15" customHeight="1">
      <c r="A55">
        <v>10</v>
      </c>
      <c r="C55" t="s">
        <v>119</v>
      </c>
      <c r="D55" s="150">
        <f>+E44-D44</f>
        <v>1000</v>
      </c>
      <c r="E55" s="150">
        <f t="shared" ref="E55:I55" si="17">+F44-E44</f>
        <v>1000</v>
      </c>
      <c r="F55" s="150">
        <f t="shared" si="17"/>
        <v>1000</v>
      </c>
      <c r="G55" s="150">
        <f t="shared" si="17"/>
        <v>1000</v>
      </c>
      <c r="H55" s="150">
        <f t="shared" si="17"/>
        <v>1000</v>
      </c>
      <c r="I55" s="150">
        <f t="shared" si="17"/>
        <v>1000</v>
      </c>
      <c r="J55" s="150">
        <f>+K44-J44</f>
        <v>0</v>
      </c>
      <c r="K55" s="150">
        <f t="shared" ref="K55" si="18">+L44-K44</f>
        <v>0</v>
      </c>
    </row>
    <row r="56" spans="1:13" ht="15" customHeight="1">
      <c r="A56">
        <v>10</v>
      </c>
      <c r="C56" t="s">
        <v>120</v>
      </c>
      <c r="D56" s="150">
        <f>+D55-D53</f>
        <v>582.14285714285711</v>
      </c>
      <c r="E56" s="150">
        <f t="shared" ref="E56:K56" si="19">+E55-E53</f>
        <v>529.75</v>
      </c>
      <c r="F56" s="150">
        <f t="shared" si="19"/>
        <v>635.5</v>
      </c>
      <c r="G56" s="150">
        <f t="shared" si="19"/>
        <v>552.25</v>
      </c>
      <c r="H56" s="150">
        <f t="shared" si="19"/>
        <v>530.375</v>
      </c>
      <c r="I56" s="150">
        <f t="shared" si="19"/>
        <v>483.62500000000023</v>
      </c>
      <c r="J56" s="150">
        <f t="shared" si="19"/>
        <v>0</v>
      </c>
      <c r="K56" s="150">
        <f t="shared" si="19"/>
        <v>0</v>
      </c>
    </row>
    <row r="57" spans="1:13">
      <c r="A57">
        <v>10</v>
      </c>
      <c r="C57" s="152" t="s">
        <v>122</v>
      </c>
      <c r="D57" s="153">
        <f>+D50/D49</f>
        <v>0.1</v>
      </c>
      <c r="E57" s="153">
        <f t="shared" ref="E57:K57" si="20">+E50/E49</f>
        <v>0.1</v>
      </c>
      <c r="F57" s="153">
        <f t="shared" si="20"/>
        <v>0.1</v>
      </c>
      <c r="G57" s="153">
        <f t="shared" si="20"/>
        <v>0.1</v>
      </c>
      <c r="H57" s="153">
        <f t="shared" si="20"/>
        <v>0.15</v>
      </c>
      <c r="I57" s="153">
        <f t="shared" si="20"/>
        <v>0.15</v>
      </c>
      <c r="J57" s="153">
        <f t="shared" si="20"/>
        <v>0.15</v>
      </c>
      <c r="K57" s="153">
        <f t="shared" si="20"/>
        <v>0.15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B6082-6769-3442-8945-32B4EC9ECAE2}">
  <sheetPr codeName="Sheet44"/>
  <dimension ref="A2:N131"/>
  <sheetViews>
    <sheetView workbookViewId="0">
      <selection activeCell="M31" sqref="M31"/>
    </sheetView>
  </sheetViews>
  <sheetFormatPr baseColWidth="10" defaultColWidth="9.5" defaultRowHeight="16"/>
  <cols>
    <col min="1" max="1" width="3.83203125" style="384" customWidth="1"/>
    <col min="2" max="2" width="23.83203125" style="384" customWidth="1"/>
    <col min="3" max="3" width="13.5" style="384" bestFit="1" customWidth="1"/>
    <col min="4" max="4" width="11" style="384" bestFit="1" customWidth="1"/>
    <col min="5" max="7" width="13.6640625" style="384" bestFit="1" customWidth="1"/>
    <col min="8" max="13" width="11.5" style="384" bestFit="1" customWidth="1"/>
    <col min="14" max="14" width="11" style="384" bestFit="1" customWidth="1"/>
    <col min="15" max="16384" width="9.5" style="384"/>
  </cols>
  <sheetData>
    <row r="2" spans="2:14">
      <c r="C2" s="385">
        <f t="shared" ref="C2:F2" si="0">+D2-1</f>
        <v>2019</v>
      </c>
      <c r="D2" s="385">
        <f t="shared" si="0"/>
        <v>2020</v>
      </c>
      <c r="E2" s="385">
        <f t="shared" si="0"/>
        <v>2021</v>
      </c>
      <c r="F2" s="385">
        <f t="shared" si="0"/>
        <v>2022</v>
      </c>
      <c r="G2" s="385">
        <f>+H2-1</f>
        <v>2023</v>
      </c>
      <c r="H2" s="385">
        <v>2024</v>
      </c>
      <c r="I2" s="385">
        <f>+H2+1</f>
        <v>2025</v>
      </c>
      <c r="J2" s="385">
        <f t="shared" ref="J2:M2" si="1">+I2+1</f>
        <v>2026</v>
      </c>
      <c r="K2" s="385">
        <f t="shared" si="1"/>
        <v>2027</v>
      </c>
      <c r="L2" s="385">
        <f t="shared" si="1"/>
        <v>2028</v>
      </c>
      <c r="M2" s="385">
        <f t="shared" si="1"/>
        <v>2029</v>
      </c>
      <c r="N2" s="83"/>
    </row>
    <row r="3" spans="2:14">
      <c r="B3" s="386" t="s">
        <v>340</v>
      </c>
      <c r="C3" s="387">
        <v>10000</v>
      </c>
      <c r="D3" s="387">
        <v>10700</v>
      </c>
      <c r="E3" s="387">
        <v>11400</v>
      </c>
      <c r="F3" s="387">
        <v>12100</v>
      </c>
      <c r="G3" s="387">
        <v>12800</v>
      </c>
      <c r="H3" s="388">
        <f t="shared" ref="H3:N3" si="2">G$3*(1+H$27)</f>
        <v>14719.999999999998</v>
      </c>
      <c r="I3" s="388">
        <f t="shared" si="2"/>
        <v>16486.399999999998</v>
      </c>
      <c r="J3" s="388">
        <f t="shared" si="2"/>
        <v>17805.311999999998</v>
      </c>
      <c r="K3" s="388">
        <f t="shared" si="2"/>
        <v>18873.630719999997</v>
      </c>
      <c r="L3" s="388">
        <f t="shared" si="2"/>
        <v>19817.312255999997</v>
      </c>
      <c r="M3" s="388">
        <f t="shared" si="2"/>
        <v>20808.177868799998</v>
      </c>
      <c r="N3" s="389">
        <f t="shared" si="2"/>
        <v>21848.58676224</v>
      </c>
    </row>
    <row r="4" spans="2:14">
      <c r="B4" s="390" t="s">
        <v>341</v>
      </c>
      <c r="C4" s="391">
        <v>6500</v>
      </c>
      <c r="D4" s="391">
        <v>6900</v>
      </c>
      <c r="E4" s="391">
        <v>7300</v>
      </c>
      <c r="F4" s="391">
        <v>7800</v>
      </c>
      <c r="G4" s="391">
        <v>8200</v>
      </c>
      <c r="H4" s="392">
        <f>H$3*H$28</f>
        <v>9126.4</v>
      </c>
      <c r="I4" s="392">
        <f t="shared" ref="I4:M4" si="3">I$3*I$28</f>
        <v>10221.567999999999</v>
      </c>
      <c r="J4" s="392">
        <f t="shared" si="3"/>
        <v>11039.293439999999</v>
      </c>
      <c r="K4" s="392">
        <f t="shared" si="3"/>
        <v>11701.651046399998</v>
      </c>
      <c r="L4" s="392">
        <f t="shared" si="3"/>
        <v>12286.733598719999</v>
      </c>
      <c r="M4" s="392">
        <f t="shared" si="3"/>
        <v>12901.070278655998</v>
      </c>
      <c r="N4" s="393"/>
    </row>
    <row r="5" spans="2:14">
      <c r="B5" s="390" t="s">
        <v>342</v>
      </c>
      <c r="C5" s="391">
        <v>1800</v>
      </c>
      <c r="D5" s="391">
        <v>2000</v>
      </c>
      <c r="E5" s="391">
        <v>2100</v>
      </c>
      <c r="F5" s="391">
        <v>2200</v>
      </c>
      <c r="G5" s="391">
        <v>2400</v>
      </c>
      <c r="H5" s="392">
        <f>H$3*H$29</f>
        <v>2355.1999999999998</v>
      </c>
      <c r="I5" s="392">
        <f t="shared" ref="I5:M5" si="4">I$3*I$29</f>
        <v>2637.8239999999996</v>
      </c>
      <c r="J5" s="392">
        <f t="shared" si="4"/>
        <v>2848.8499199999997</v>
      </c>
      <c r="K5" s="392">
        <f t="shared" si="4"/>
        <v>3019.7809151999995</v>
      </c>
      <c r="L5" s="392">
        <f t="shared" si="4"/>
        <v>3170.7699609599995</v>
      </c>
      <c r="M5" s="392">
        <f t="shared" si="4"/>
        <v>3329.3084590079998</v>
      </c>
      <c r="N5" s="393"/>
    </row>
    <row r="6" spans="2:14">
      <c r="B6" s="390" t="s">
        <v>343</v>
      </c>
      <c r="C6" s="391">
        <v>735</v>
      </c>
      <c r="D6" s="391">
        <v>750</v>
      </c>
      <c r="E6" s="391">
        <v>800</v>
      </c>
      <c r="F6" s="391">
        <v>890</v>
      </c>
      <c r="G6" s="391">
        <v>970</v>
      </c>
      <c r="H6" s="394">
        <f>G$18*H$30</f>
        <v>996</v>
      </c>
      <c r="I6" s="392">
        <f t="shared" ref="I6:M6" si="5">H$18*I$30</f>
        <v>1094.69696</v>
      </c>
      <c r="J6" s="392">
        <f t="shared" si="5"/>
        <v>1182.2727167999999</v>
      </c>
      <c r="K6" s="392">
        <f t="shared" si="5"/>
        <v>1253.2090798080001</v>
      </c>
      <c r="L6" s="392">
        <f t="shared" si="5"/>
        <v>1315.8695337984</v>
      </c>
      <c r="M6" s="392">
        <f t="shared" si="5"/>
        <v>1381.66301048832</v>
      </c>
      <c r="N6" s="393"/>
    </row>
    <row r="7" spans="2:14">
      <c r="B7" s="390" t="s">
        <v>344</v>
      </c>
      <c r="C7" s="391">
        <v>965</v>
      </c>
      <c r="D7" s="391">
        <v>1050</v>
      </c>
      <c r="E7" s="391">
        <v>1200</v>
      </c>
      <c r="F7" s="391">
        <v>1210</v>
      </c>
      <c r="G7" s="391">
        <v>1230</v>
      </c>
      <c r="H7" s="392">
        <f>H3-H4-H5-H6</f>
        <v>2242.3999999999987</v>
      </c>
      <c r="I7" s="392">
        <f t="shared" ref="I7:M7" si="6">I3-I4-I5-I6</f>
        <v>2532.3110399999987</v>
      </c>
      <c r="J7" s="392">
        <f t="shared" si="6"/>
        <v>2734.8959231999988</v>
      </c>
      <c r="K7" s="392">
        <f t="shared" si="6"/>
        <v>2898.989678592</v>
      </c>
      <c r="L7" s="392">
        <f t="shared" si="6"/>
        <v>3043.9391625215994</v>
      </c>
      <c r="M7" s="392">
        <f t="shared" si="6"/>
        <v>3196.1361206476804</v>
      </c>
      <c r="N7" s="393"/>
    </row>
    <row r="8" spans="2:14">
      <c r="B8" s="390" t="s">
        <v>345</v>
      </c>
      <c r="C8" s="391">
        <v>0</v>
      </c>
      <c r="D8" s="391">
        <v>0</v>
      </c>
      <c r="E8" s="391">
        <v>0</v>
      </c>
      <c r="F8" s="391">
        <v>0</v>
      </c>
      <c r="G8" s="391">
        <v>0</v>
      </c>
      <c r="H8" s="392">
        <f t="shared" ref="H8:M8" si="7">G$24*H$37</f>
        <v>0</v>
      </c>
      <c r="I8" s="392">
        <f t="shared" si="7"/>
        <v>0</v>
      </c>
      <c r="J8" s="392">
        <f t="shared" si="7"/>
        <v>51.970628266666672</v>
      </c>
      <c r="K8" s="392">
        <f t="shared" si="7"/>
        <v>111.77878118400001</v>
      </c>
      <c r="L8" s="392">
        <f t="shared" si="7"/>
        <v>175.80157894655997</v>
      </c>
      <c r="M8" s="392">
        <f t="shared" si="7"/>
        <v>245.64439310745601</v>
      </c>
      <c r="N8" s="393"/>
    </row>
    <row r="9" spans="2:14">
      <c r="B9" s="390" t="s">
        <v>346</v>
      </c>
      <c r="C9" s="391">
        <v>965</v>
      </c>
      <c r="D9" s="391">
        <v>1050</v>
      </c>
      <c r="E9" s="391">
        <v>1200</v>
      </c>
      <c r="F9" s="391">
        <v>1210</v>
      </c>
      <c r="G9" s="391">
        <v>1230</v>
      </c>
      <c r="H9" s="392">
        <f>H7-H8</f>
        <v>2242.3999999999987</v>
      </c>
      <c r="I9" s="392">
        <f t="shared" ref="I9:M9" si="8">I7-I8</f>
        <v>2532.3110399999987</v>
      </c>
      <c r="J9" s="392">
        <f t="shared" si="8"/>
        <v>2682.9252949333322</v>
      </c>
      <c r="K9" s="392">
        <f t="shared" si="8"/>
        <v>2787.2108974080002</v>
      </c>
      <c r="L9" s="392">
        <f t="shared" si="8"/>
        <v>2868.1375835750396</v>
      </c>
      <c r="M9" s="392">
        <f t="shared" si="8"/>
        <v>2950.4917275402245</v>
      </c>
      <c r="N9" s="393"/>
    </row>
    <row r="10" spans="2:14">
      <c r="B10" s="390" t="s">
        <v>347</v>
      </c>
      <c r="C10" s="391">
        <v>100</v>
      </c>
      <c r="D10" s="391">
        <v>90</v>
      </c>
      <c r="E10" s="391">
        <v>110</v>
      </c>
      <c r="F10" s="391">
        <v>100</v>
      </c>
      <c r="G10" s="391">
        <v>90</v>
      </c>
      <c r="H10" s="392">
        <f>H$9*H$38</f>
        <v>448.47999999999979</v>
      </c>
      <c r="I10" s="392">
        <f t="shared" ref="I10:M10" si="9">I$9*I$38</f>
        <v>506.46220799999975</v>
      </c>
      <c r="J10" s="392">
        <f t="shared" si="9"/>
        <v>536.58505898666647</v>
      </c>
      <c r="K10" s="392">
        <f t="shared" si="9"/>
        <v>557.44217948160008</v>
      </c>
      <c r="L10" s="392">
        <f t="shared" si="9"/>
        <v>573.62751671500791</v>
      </c>
      <c r="M10" s="392">
        <f t="shared" si="9"/>
        <v>590.09834550804487</v>
      </c>
      <c r="N10" s="393"/>
    </row>
    <row r="11" spans="2:14">
      <c r="B11" s="390" t="s">
        <v>348</v>
      </c>
      <c r="C11" s="391">
        <v>865</v>
      </c>
      <c r="D11" s="391">
        <v>960</v>
      </c>
      <c r="E11" s="391">
        <v>1090</v>
      </c>
      <c r="F11" s="391">
        <v>1110</v>
      </c>
      <c r="G11" s="391">
        <v>1140</v>
      </c>
      <c r="H11" s="392">
        <f>H9-H10</f>
        <v>1793.9199999999989</v>
      </c>
      <c r="I11" s="392">
        <f t="shared" ref="I11:M11" si="10">I9-I10</f>
        <v>2025.848831999999</v>
      </c>
      <c r="J11" s="392">
        <f t="shared" si="10"/>
        <v>2146.3402359466659</v>
      </c>
      <c r="K11" s="392">
        <f t="shared" si="10"/>
        <v>2229.7687179264003</v>
      </c>
      <c r="L11" s="392">
        <f t="shared" si="10"/>
        <v>2294.5100668600317</v>
      </c>
      <c r="M11" s="392">
        <f t="shared" si="10"/>
        <v>2360.3933820321795</v>
      </c>
      <c r="N11" s="393"/>
    </row>
    <row r="12" spans="2:14">
      <c r="B12" s="395" t="s">
        <v>349</v>
      </c>
      <c r="C12" s="392"/>
      <c r="D12" s="392">
        <f>D11-D13</f>
        <v>525</v>
      </c>
      <c r="E12" s="392">
        <f t="shared" ref="E12:M12" si="11">E11-E13</f>
        <v>35</v>
      </c>
      <c r="F12" s="392">
        <f t="shared" si="11"/>
        <v>595</v>
      </c>
      <c r="G12" s="392">
        <f t="shared" si="11"/>
        <v>615</v>
      </c>
      <c r="H12" s="396">
        <f>H11-H13</f>
        <v>437.38222222222316</v>
      </c>
      <c r="I12" s="392">
        <f t="shared" si="11"/>
        <v>1551.0732231111099</v>
      </c>
      <c r="J12" s="392">
        <f t="shared" si="11"/>
        <v>1881.0960418133313</v>
      </c>
      <c r="K12" s="392">
        <f t="shared" si="11"/>
        <v>2229.7687179264003</v>
      </c>
      <c r="L12" s="392">
        <f t="shared" si="11"/>
        <v>2294.5100668600317</v>
      </c>
      <c r="M12" s="392">
        <f t="shared" si="11"/>
        <v>1658.5522588680174</v>
      </c>
      <c r="N12" s="397"/>
    </row>
    <row r="13" spans="2:14">
      <c r="B13" s="398" t="s">
        <v>350</v>
      </c>
      <c r="C13" s="399"/>
      <c r="D13" s="400">
        <f>IF(D11&lt;0,D11,MAX(MIN(D15,D11),0))</f>
        <v>435</v>
      </c>
      <c r="E13" s="401">
        <f t="shared" ref="E13:M13" si="12">IF(E11&lt;0,E11,MAX(MIN(E15,E11),0))</f>
        <v>1055</v>
      </c>
      <c r="F13" s="401">
        <f t="shared" si="12"/>
        <v>515</v>
      </c>
      <c r="G13" s="401">
        <f t="shared" si="12"/>
        <v>525</v>
      </c>
      <c r="H13" s="402">
        <f>IF(H11&lt;0,H11,MAX(MIN(H15,H11),0))</f>
        <v>1356.5377777777758</v>
      </c>
      <c r="I13" s="401">
        <f t="shared" si="12"/>
        <v>474.77560888888911</v>
      </c>
      <c r="J13" s="401">
        <f t="shared" si="12"/>
        <v>265.24419413333453</v>
      </c>
      <c r="K13" s="401">
        <f t="shared" si="12"/>
        <v>0</v>
      </c>
      <c r="L13" s="401">
        <f t="shared" si="12"/>
        <v>0</v>
      </c>
      <c r="M13" s="401">
        <f t="shared" si="12"/>
        <v>701.84112316416213</v>
      </c>
      <c r="N13" s="403"/>
    </row>
    <row r="14" spans="2:14">
      <c r="C14" s="404" t="s">
        <v>351</v>
      </c>
      <c r="D14" s="405"/>
      <c r="E14" s="405"/>
      <c r="F14" s="405"/>
      <c r="G14" s="405"/>
      <c r="H14" s="406"/>
      <c r="I14" s="405"/>
      <c r="J14" s="405"/>
      <c r="K14" s="405"/>
      <c r="L14" s="405"/>
      <c r="M14" s="405"/>
    </row>
    <row r="15" spans="2:14">
      <c r="B15" s="407" t="s">
        <v>352</v>
      </c>
      <c r="C15" s="388"/>
      <c r="D15" s="388">
        <f>D25-C25</f>
        <v>435</v>
      </c>
      <c r="E15" s="388">
        <f t="shared" ref="E15:M15" si="13">E25-D25</f>
        <v>1055</v>
      </c>
      <c r="F15" s="388">
        <f t="shared" si="13"/>
        <v>515</v>
      </c>
      <c r="G15" s="388">
        <f t="shared" si="13"/>
        <v>525</v>
      </c>
      <c r="H15" s="408">
        <f t="shared" si="13"/>
        <v>1356.5377777777758</v>
      </c>
      <c r="I15" s="388">
        <f t="shared" si="13"/>
        <v>474.77560888888911</v>
      </c>
      <c r="J15" s="388">
        <f t="shared" si="13"/>
        <v>265.24419413333453</v>
      </c>
      <c r="K15" s="409">
        <f t="shared" si="13"/>
        <v>-140.00118988800023</v>
      </c>
      <c r="L15" s="409">
        <f t="shared" si="13"/>
        <v>-194.7339276288003</v>
      </c>
      <c r="M15" s="388">
        <f t="shared" si="13"/>
        <v>701.84112316416213</v>
      </c>
      <c r="N15" s="410"/>
    </row>
    <row r="16" spans="2:14">
      <c r="B16" s="398" t="s">
        <v>353</v>
      </c>
      <c r="C16" s="399"/>
      <c r="D16" s="401">
        <f>D15-D13</f>
        <v>0</v>
      </c>
      <c r="E16" s="401">
        <f t="shared" ref="E16:M16" si="14">E15-E13</f>
        <v>0</v>
      </c>
      <c r="F16" s="401">
        <f t="shared" si="14"/>
        <v>0</v>
      </c>
      <c r="G16" s="401">
        <f t="shared" si="14"/>
        <v>0</v>
      </c>
      <c r="H16" s="402">
        <f t="shared" si="14"/>
        <v>0</v>
      </c>
      <c r="I16" s="401">
        <f t="shared" si="14"/>
        <v>0</v>
      </c>
      <c r="J16" s="401">
        <f t="shared" si="14"/>
        <v>0</v>
      </c>
      <c r="K16" s="401">
        <f t="shared" si="14"/>
        <v>-140.00118988800023</v>
      </c>
      <c r="L16" s="401">
        <f t="shared" si="14"/>
        <v>-194.7339276288003</v>
      </c>
      <c r="M16" s="401">
        <f t="shared" si="14"/>
        <v>0</v>
      </c>
      <c r="N16" s="411"/>
    </row>
    <row r="17" spans="2:14">
      <c r="C17" s="405"/>
      <c r="D17" s="405"/>
      <c r="E17" s="405"/>
      <c r="F17" s="405"/>
      <c r="G17" s="405"/>
      <c r="H17" s="412" t="s">
        <v>354</v>
      </c>
      <c r="I17" s="405"/>
      <c r="J17" s="405"/>
      <c r="K17" s="405"/>
      <c r="L17" s="405"/>
      <c r="M17" s="405"/>
    </row>
    <row r="18" spans="2:14">
      <c r="B18" s="413" t="s">
        <v>355</v>
      </c>
      <c r="C18" s="387">
        <v>9500</v>
      </c>
      <c r="D18" s="387">
        <v>10000</v>
      </c>
      <c r="E18" s="387">
        <v>11000</v>
      </c>
      <c r="F18" s="387">
        <v>11500</v>
      </c>
      <c r="G18" s="387">
        <v>12000</v>
      </c>
      <c r="H18" s="414">
        <f>I$3*I$31</f>
        <v>13189.119999999999</v>
      </c>
      <c r="I18" s="388">
        <f t="shared" ref="I18:M18" si="15">J$3*J$31</f>
        <v>14244.249599999999</v>
      </c>
      <c r="J18" s="388">
        <f t="shared" si="15"/>
        <v>15098.904575999999</v>
      </c>
      <c r="K18" s="388">
        <f t="shared" si="15"/>
        <v>15853.849804799998</v>
      </c>
      <c r="L18" s="388">
        <f t="shared" si="15"/>
        <v>16646.542295039999</v>
      </c>
      <c r="M18" s="388">
        <f t="shared" si="15"/>
        <v>17478.869409792002</v>
      </c>
      <c r="N18" s="415"/>
    </row>
    <row r="19" spans="2:14">
      <c r="B19" s="416" t="s">
        <v>356</v>
      </c>
      <c r="C19" s="391">
        <v>115</v>
      </c>
      <c r="D19" s="391">
        <v>130</v>
      </c>
      <c r="E19" s="391">
        <v>135</v>
      </c>
      <c r="F19" s="391">
        <v>140</v>
      </c>
      <c r="G19" s="391">
        <v>155</v>
      </c>
      <c r="H19" s="392">
        <f>H$4*H$32/360</f>
        <v>177.45777777777778</v>
      </c>
      <c r="I19" s="392">
        <f t="shared" ref="I19:M19" si="16">I$4*I$32/360</f>
        <v>198.7527111111111</v>
      </c>
      <c r="J19" s="392">
        <f t="shared" si="16"/>
        <v>214.652928</v>
      </c>
      <c r="K19" s="392">
        <f t="shared" si="16"/>
        <v>227.53210367999995</v>
      </c>
      <c r="L19" s="392">
        <f t="shared" si="16"/>
        <v>238.908708864</v>
      </c>
      <c r="M19" s="392">
        <f t="shared" si="16"/>
        <v>250.85414430719996</v>
      </c>
      <c r="N19" s="393"/>
    </row>
    <row r="20" spans="2:14">
      <c r="B20" s="416" t="s">
        <v>55</v>
      </c>
      <c r="C20" s="391">
        <v>0</v>
      </c>
      <c r="D20" s="391">
        <v>0</v>
      </c>
      <c r="E20" s="391">
        <v>0</v>
      </c>
      <c r="F20" s="391">
        <v>0</v>
      </c>
      <c r="G20" s="391">
        <v>0</v>
      </c>
      <c r="H20" s="392">
        <f>H$3*H$33/360</f>
        <v>81.777777777777771</v>
      </c>
      <c r="I20" s="392">
        <f t="shared" ref="I20:M20" si="17">I$3*I$33/360</f>
        <v>228.97777777777773</v>
      </c>
      <c r="J20" s="392">
        <f t="shared" si="17"/>
        <v>494.59199999999998</v>
      </c>
      <c r="K20" s="392">
        <f t="shared" si="17"/>
        <v>524.26751999999999</v>
      </c>
      <c r="L20" s="392">
        <f t="shared" si="17"/>
        <v>550.48089599999992</v>
      </c>
      <c r="M20" s="392">
        <f t="shared" si="17"/>
        <v>578.00494079999999</v>
      </c>
      <c r="N20" s="393"/>
    </row>
    <row r="21" spans="2:14">
      <c r="B21" s="416" t="s">
        <v>52</v>
      </c>
      <c r="C21" s="391">
        <v>430</v>
      </c>
      <c r="D21" s="391">
        <v>400</v>
      </c>
      <c r="E21" s="391">
        <v>470</v>
      </c>
      <c r="F21" s="391">
        <v>500</v>
      </c>
      <c r="G21" s="391">
        <v>520</v>
      </c>
      <c r="H21" s="392">
        <f>H$3*H$34</f>
        <v>588.79999999999995</v>
      </c>
      <c r="I21" s="392">
        <f t="shared" ref="I21:M21" si="18">I$3*I$34</f>
        <v>659.4559999999999</v>
      </c>
      <c r="J21" s="392">
        <f t="shared" si="18"/>
        <v>712.21247999999991</v>
      </c>
      <c r="K21" s="392">
        <f t="shared" si="18"/>
        <v>754.94522879999988</v>
      </c>
      <c r="L21" s="392">
        <f t="shared" si="18"/>
        <v>792.69249023999987</v>
      </c>
      <c r="M21" s="392">
        <f t="shared" si="18"/>
        <v>832.32711475199994</v>
      </c>
      <c r="N21" s="393"/>
    </row>
    <row r="22" spans="2:14">
      <c r="B22" s="416"/>
      <c r="C22" s="391"/>
      <c r="D22" s="391"/>
      <c r="E22" s="391"/>
      <c r="F22" s="391"/>
      <c r="G22" s="391"/>
      <c r="H22" s="417"/>
      <c r="I22" s="417"/>
      <c r="J22" s="417"/>
      <c r="K22" s="417"/>
      <c r="L22" s="417"/>
      <c r="M22" s="417"/>
      <c r="N22" s="393"/>
    </row>
    <row r="23" spans="2:14">
      <c r="B23" s="416" t="s">
        <v>61</v>
      </c>
      <c r="C23" s="391">
        <v>300</v>
      </c>
      <c r="D23" s="391">
        <v>350</v>
      </c>
      <c r="E23" s="391">
        <v>370</v>
      </c>
      <c r="F23" s="391">
        <v>390</v>
      </c>
      <c r="G23" s="391">
        <v>400</v>
      </c>
      <c r="H23" s="392">
        <f>H$35/360*H$4</f>
        <v>405.6177777777778</v>
      </c>
      <c r="I23" s="392">
        <f t="shared" ref="I23:M23" si="19">I$35/360*I$4</f>
        <v>482.68515555555553</v>
      </c>
      <c r="J23" s="392">
        <f t="shared" si="19"/>
        <v>551.96467199999995</v>
      </c>
      <c r="K23" s="392">
        <f t="shared" si="19"/>
        <v>617.58713855999997</v>
      </c>
      <c r="L23" s="392">
        <f t="shared" si="19"/>
        <v>682.59631103999993</v>
      </c>
      <c r="M23" s="392">
        <f t="shared" si="19"/>
        <v>716.72612659199979</v>
      </c>
      <c r="N23" s="393"/>
    </row>
    <row r="24" spans="2:14">
      <c r="B24" s="416" t="s">
        <v>118</v>
      </c>
      <c r="C24" s="391">
        <v>0</v>
      </c>
      <c r="D24" s="391">
        <v>0</v>
      </c>
      <c r="E24" s="391">
        <v>0</v>
      </c>
      <c r="F24" s="391">
        <v>0</v>
      </c>
      <c r="G24" s="391">
        <v>0</v>
      </c>
      <c r="H24" s="396">
        <f>H$36*(H$18+H$19+H$20+H$21-H$23)</f>
        <v>0</v>
      </c>
      <c r="I24" s="392">
        <f t="shared" ref="I24:M24" si="20">I$36*(I$18+I$19+I$20+I$21-I$23)</f>
        <v>742.43754666666666</v>
      </c>
      <c r="J24" s="392">
        <f t="shared" si="20"/>
        <v>1596.8397312</v>
      </c>
      <c r="K24" s="392">
        <f t="shared" si="20"/>
        <v>2511.4511278079995</v>
      </c>
      <c r="L24" s="392">
        <f t="shared" si="20"/>
        <v>3509.2056158207997</v>
      </c>
      <c r="M24" s="392">
        <f t="shared" si="20"/>
        <v>3684.6658966118407</v>
      </c>
      <c r="N24" s="393"/>
    </row>
    <row r="25" spans="2:14">
      <c r="B25" s="418" t="s">
        <v>64</v>
      </c>
      <c r="C25" s="419">
        <v>9745</v>
      </c>
      <c r="D25" s="419">
        <v>10180</v>
      </c>
      <c r="E25" s="419">
        <v>11235</v>
      </c>
      <c r="F25" s="419">
        <v>11750</v>
      </c>
      <c r="G25" s="419">
        <v>12275</v>
      </c>
      <c r="H25" s="402">
        <f>SUM(H18:H21)-SUM(H23:H24)</f>
        <v>13631.537777777776</v>
      </c>
      <c r="I25" s="401">
        <f t="shared" ref="I25:M25" si="21">SUM(I18:I21)-SUM(I23:I24)</f>
        <v>14106.313386666665</v>
      </c>
      <c r="J25" s="401">
        <f t="shared" si="21"/>
        <v>14371.557580799999</v>
      </c>
      <c r="K25" s="401">
        <f t="shared" si="21"/>
        <v>14231.556390911999</v>
      </c>
      <c r="L25" s="401">
        <f t="shared" si="21"/>
        <v>14036.822463283199</v>
      </c>
      <c r="M25" s="401">
        <f t="shared" si="21"/>
        <v>14738.663586447361</v>
      </c>
      <c r="N25" s="411"/>
    </row>
    <row r="27" spans="2:14">
      <c r="B27" s="420" t="s">
        <v>357</v>
      </c>
      <c r="C27" s="421"/>
      <c r="D27" s="422"/>
      <c r="E27" s="422"/>
      <c r="F27" s="422"/>
      <c r="G27" s="422"/>
      <c r="H27" s="423">
        <v>0.15</v>
      </c>
      <c r="I27" s="423">
        <v>0.12</v>
      </c>
      <c r="J27" s="423">
        <v>0.08</v>
      </c>
      <c r="K27" s="423">
        <v>0.06</v>
      </c>
      <c r="L27" s="423">
        <v>0.05</v>
      </c>
      <c r="M27" s="423">
        <v>0.05</v>
      </c>
      <c r="N27" s="424">
        <v>0.05</v>
      </c>
    </row>
    <row r="28" spans="2:14">
      <c r="B28" s="425" t="s">
        <v>358</v>
      </c>
      <c r="C28" s="426"/>
      <c r="D28" s="426"/>
      <c r="E28" s="426"/>
      <c r="F28" s="426"/>
      <c r="G28" s="426"/>
      <c r="H28" s="427">
        <v>0.62</v>
      </c>
      <c r="I28" s="427">
        <v>0.62</v>
      </c>
      <c r="J28" s="427">
        <v>0.62</v>
      </c>
      <c r="K28" s="427">
        <v>0.62</v>
      </c>
      <c r="L28" s="427">
        <v>0.62</v>
      </c>
      <c r="M28" s="427">
        <v>0.62</v>
      </c>
      <c r="N28" s="428"/>
    </row>
    <row r="29" spans="2:14">
      <c r="B29" s="425" t="s">
        <v>359</v>
      </c>
      <c r="C29" s="426"/>
      <c r="D29" s="426"/>
      <c r="E29" s="426"/>
      <c r="F29" s="426"/>
      <c r="G29" s="426"/>
      <c r="H29" s="427">
        <v>0.16</v>
      </c>
      <c r="I29" s="427">
        <v>0.16</v>
      </c>
      <c r="J29" s="427">
        <v>0.16</v>
      </c>
      <c r="K29" s="427">
        <v>0.16</v>
      </c>
      <c r="L29" s="427">
        <v>0.16</v>
      </c>
      <c r="M29" s="427">
        <v>0.16</v>
      </c>
      <c r="N29" s="428"/>
    </row>
    <row r="30" spans="2:14">
      <c r="B30" s="425" t="s">
        <v>360</v>
      </c>
      <c r="C30" s="429"/>
      <c r="D30" s="426"/>
      <c r="E30" s="426"/>
      <c r="F30" s="426"/>
      <c r="G30" s="426"/>
      <c r="H30" s="430">
        <v>8.3000000000000004E-2</v>
      </c>
      <c r="I30" s="430">
        <v>8.3000000000000004E-2</v>
      </c>
      <c r="J30" s="430">
        <v>8.3000000000000004E-2</v>
      </c>
      <c r="K30" s="430">
        <v>8.3000000000000004E-2</v>
      </c>
      <c r="L30" s="430">
        <v>8.3000000000000004E-2</v>
      </c>
      <c r="M30" s="430">
        <v>8.3000000000000004E-2</v>
      </c>
      <c r="N30" s="428"/>
    </row>
    <row r="31" spans="2:14">
      <c r="B31" s="425" t="s">
        <v>361</v>
      </c>
      <c r="C31" s="429"/>
      <c r="D31" s="431"/>
      <c r="E31" s="431"/>
      <c r="F31" s="431"/>
      <c r="G31" s="431"/>
      <c r="H31" s="429"/>
      <c r="I31" s="431">
        <v>0.8</v>
      </c>
      <c r="J31" s="431">
        <v>0.8</v>
      </c>
      <c r="K31" s="431">
        <v>0.8</v>
      </c>
      <c r="L31" s="431">
        <v>0.8</v>
      </c>
      <c r="M31" s="431">
        <v>0.8</v>
      </c>
      <c r="N31" s="432">
        <v>0.8</v>
      </c>
    </row>
    <row r="32" spans="2:14">
      <c r="B32" s="425" t="s">
        <v>362</v>
      </c>
      <c r="C32" s="431"/>
      <c r="D32" s="431"/>
      <c r="E32" s="431"/>
      <c r="F32" s="431"/>
      <c r="G32" s="431"/>
      <c r="H32" s="431">
        <v>7</v>
      </c>
      <c r="I32" s="431">
        <v>7</v>
      </c>
      <c r="J32" s="431">
        <v>7</v>
      </c>
      <c r="K32" s="431">
        <v>7</v>
      </c>
      <c r="L32" s="431">
        <v>7</v>
      </c>
      <c r="M32" s="431">
        <v>7</v>
      </c>
      <c r="N32" s="428"/>
    </row>
    <row r="33" spans="1:14">
      <c r="B33" s="425" t="s">
        <v>363</v>
      </c>
      <c r="C33" s="431"/>
      <c r="D33" s="431"/>
      <c r="E33" s="431"/>
      <c r="F33" s="431"/>
      <c r="G33" s="431"/>
      <c r="H33" s="431">
        <v>2</v>
      </c>
      <c r="I33" s="431">
        <v>5</v>
      </c>
      <c r="J33" s="431">
        <v>10</v>
      </c>
      <c r="K33" s="431">
        <v>10</v>
      </c>
      <c r="L33" s="431">
        <v>10</v>
      </c>
      <c r="M33" s="431">
        <v>10</v>
      </c>
      <c r="N33" s="428"/>
    </row>
    <row r="34" spans="1:14">
      <c r="B34" s="425" t="s">
        <v>364</v>
      </c>
      <c r="C34" s="426"/>
      <c r="D34" s="426"/>
      <c r="E34" s="426"/>
      <c r="F34" s="426"/>
      <c r="G34" s="426"/>
      <c r="H34" s="426">
        <v>0.04</v>
      </c>
      <c r="I34" s="426">
        <v>0.04</v>
      </c>
      <c r="J34" s="426">
        <v>0.04</v>
      </c>
      <c r="K34" s="426">
        <v>0.04</v>
      </c>
      <c r="L34" s="426">
        <v>0.04</v>
      </c>
      <c r="M34" s="426">
        <v>0.04</v>
      </c>
      <c r="N34" s="428"/>
    </row>
    <row r="35" spans="1:14">
      <c r="B35" s="425" t="s">
        <v>365</v>
      </c>
      <c r="C35" s="431"/>
      <c r="D35" s="431"/>
      <c r="E35" s="431"/>
      <c r="F35" s="431"/>
      <c r="G35" s="431"/>
      <c r="H35" s="431">
        <v>16</v>
      </c>
      <c r="I35" s="431">
        <v>17</v>
      </c>
      <c r="J35" s="431">
        <v>18</v>
      </c>
      <c r="K35" s="431">
        <v>19</v>
      </c>
      <c r="L35" s="431">
        <v>20</v>
      </c>
      <c r="M35" s="431">
        <v>20</v>
      </c>
      <c r="N35" s="428"/>
    </row>
    <row r="36" spans="1:14">
      <c r="B36" s="425" t="s">
        <v>366</v>
      </c>
      <c r="C36" s="426"/>
      <c r="D36" s="426"/>
      <c r="E36" s="426"/>
      <c r="F36" s="426"/>
      <c r="G36" s="426"/>
      <c r="H36" s="426">
        <v>0</v>
      </c>
      <c r="I36" s="426">
        <v>0.05</v>
      </c>
      <c r="J36" s="426">
        <v>0.1</v>
      </c>
      <c r="K36" s="426">
        <v>0.15</v>
      </c>
      <c r="L36" s="426">
        <v>0.2</v>
      </c>
      <c r="M36" s="426">
        <v>0.2</v>
      </c>
      <c r="N36" s="428"/>
    </row>
    <row r="37" spans="1:14">
      <c r="B37" s="425" t="s">
        <v>367</v>
      </c>
      <c r="C37" s="429"/>
      <c r="D37" s="429"/>
      <c r="E37" s="429"/>
      <c r="F37" s="429"/>
      <c r="G37" s="429"/>
      <c r="H37" s="429"/>
      <c r="I37" s="430">
        <v>7.0000000000000007E-2</v>
      </c>
      <c r="J37" s="430">
        <v>7.0000000000000007E-2</v>
      </c>
      <c r="K37" s="430">
        <v>7.0000000000000007E-2</v>
      </c>
      <c r="L37" s="430">
        <v>7.0000000000000007E-2</v>
      </c>
      <c r="M37" s="430">
        <v>7.0000000000000007E-2</v>
      </c>
      <c r="N37" s="428"/>
    </row>
    <row r="38" spans="1:14">
      <c r="B38" s="433" t="s">
        <v>33</v>
      </c>
      <c r="C38" s="434">
        <f>C10/C9</f>
        <v>0.10362694300518134</v>
      </c>
      <c r="D38" s="434">
        <f t="shared" ref="D38:G38" si="22">D10/D9</f>
        <v>8.5714285714285715E-2</v>
      </c>
      <c r="E38" s="434">
        <f t="shared" si="22"/>
        <v>9.166666666666666E-2</v>
      </c>
      <c r="F38" s="434">
        <f t="shared" si="22"/>
        <v>8.2644628099173556E-2</v>
      </c>
      <c r="G38" s="434">
        <f t="shared" si="22"/>
        <v>7.3170731707317069E-2</v>
      </c>
      <c r="H38" s="435">
        <v>0.2</v>
      </c>
      <c r="I38" s="435">
        <v>0.2</v>
      </c>
      <c r="J38" s="435">
        <v>0.2</v>
      </c>
      <c r="K38" s="435">
        <v>0.2</v>
      </c>
      <c r="L38" s="435">
        <v>0.2</v>
      </c>
      <c r="M38" s="435">
        <v>0.2</v>
      </c>
      <c r="N38" s="436"/>
    </row>
    <row r="40" spans="1:14">
      <c r="A40" s="384" t="s">
        <v>368</v>
      </c>
      <c r="B40" s="437" t="s">
        <v>369</v>
      </c>
    </row>
    <row r="41" spans="1:14">
      <c r="B41" s="45" t="s">
        <v>370</v>
      </c>
      <c r="C41" s="388">
        <f>C7</f>
        <v>965</v>
      </c>
      <c r="D41" s="388">
        <f t="shared" ref="D41:M41" si="23">D7</f>
        <v>1050</v>
      </c>
      <c r="E41" s="388">
        <f t="shared" si="23"/>
        <v>1200</v>
      </c>
      <c r="F41" s="388">
        <f t="shared" si="23"/>
        <v>1210</v>
      </c>
      <c r="G41" s="388">
        <f t="shared" si="23"/>
        <v>1230</v>
      </c>
      <c r="H41" s="388">
        <f t="shared" si="23"/>
        <v>2242.3999999999987</v>
      </c>
      <c r="I41" s="388">
        <f t="shared" si="23"/>
        <v>2532.3110399999987</v>
      </c>
      <c r="J41" s="388">
        <f t="shared" si="23"/>
        <v>2734.8959231999988</v>
      </c>
      <c r="K41" s="388">
        <f t="shared" si="23"/>
        <v>2898.989678592</v>
      </c>
      <c r="L41" s="388">
        <f t="shared" si="23"/>
        <v>3043.9391625215994</v>
      </c>
      <c r="M41" s="389">
        <f t="shared" si="23"/>
        <v>3196.1361206476804</v>
      </c>
      <c r="N41" s="438"/>
    </row>
    <row r="42" spans="1:14">
      <c r="B42" s="48" t="s">
        <v>371</v>
      </c>
      <c r="C42" s="392">
        <f>C41-C10</f>
        <v>865</v>
      </c>
      <c r="D42" s="392">
        <f t="shared" ref="D42:G42" si="24">D41-D10</f>
        <v>960</v>
      </c>
      <c r="E42" s="392">
        <f t="shared" si="24"/>
        <v>1090</v>
      </c>
      <c r="F42" s="392">
        <f t="shared" si="24"/>
        <v>1110</v>
      </c>
      <c r="G42" s="392">
        <f t="shared" si="24"/>
        <v>1140</v>
      </c>
      <c r="H42" s="439">
        <f>H41*(1-H38)</f>
        <v>1793.9199999999992</v>
      </c>
      <c r="I42" s="440">
        <f t="shared" ref="I42:M42" si="25">I41*(1-I38)</f>
        <v>2025.848831999999</v>
      </c>
      <c r="J42" s="440">
        <f t="shared" si="25"/>
        <v>2187.916738559999</v>
      </c>
      <c r="K42" s="440">
        <f t="shared" si="25"/>
        <v>2319.1917428736001</v>
      </c>
      <c r="L42" s="440">
        <f t="shared" si="25"/>
        <v>2435.1513300172796</v>
      </c>
      <c r="M42" s="441">
        <f t="shared" si="25"/>
        <v>2556.9088965181445</v>
      </c>
      <c r="N42" s="442"/>
    </row>
    <row r="43" spans="1:14">
      <c r="B43" s="48" t="s">
        <v>372</v>
      </c>
      <c r="C43" s="392">
        <f>C6</f>
        <v>735</v>
      </c>
      <c r="D43" s="392">
        <f t="shared" ref="D43:M43" si="26">D6</f>
        <v>750</v>
      </c>
      <c r="E43" s="392">
        <f t="shared" si="26"/>
        <v>800</v>
      </c>
      <c r="F43" s="392">
        <f t="shared" si="26"/>
        <v>890</v>
      </c>
      <c r="G43" s="392">
        <f t="shared" si="26"/>
        <v>970</v>
      </c>
      <c r="H43" s="392">
        <f t="shared" si="26"/>
        <v>996</v>
      </c>
      <c r="I43" s="392">
        <f t="shared" si="26"/>
        <v>1094.69696</v>
      </c>
      <c r="J43" s="392">
        <f t="shared" si="26"/>
        <v>1182.2727167999999</v>
      </c>
      <c r="K43" s="392">
        <f t="shared" si="26"/>
        <v>1253.2090798080001</v>
      </c>
      <c r="L43" s="392">
        <f t="shared" si="26"/>
        <v>1315.8695337984</v>
      </c>
      <c r="M43" s="443">
        <f t="shared" si="26"/>
        <v>1381.66301048832</v>
      </c>
      <c r="N43" s="444"/>
    </row>
    <row r="44" spans="1:14">
      <c r="B44" s="48" t="s">
        <v>373</v>
      </c>
      <c r="C44" s="392">
        <f>C42+C43</f>
        <v>1600</v>
      </c>
      <c r="D44" s="392">
        <f t="shared" ref="D44:M44" si="27">D42+D43</f>
        <v>1710</v>
      </c>
      <c r="E44" s="392">
        <f t="shared" si="27"/>
        <v>1890</v>
      </c>
      <c r="F44" s="392">
        <f t="shared" si="27"/>
        <v>2000</v>
      </c>
      <c r="G44" s="392">
        <f t="shared" si="27"/>
        <v>2110</v>
      </c>
      <c r="H44" s="392">
        <f t="shared" si="27"/>
        <v>2789.9199999999992</v>
      </c>
      <c r="I44" s="392">
        <f t="shared" si="27"/>
        <v>3120.545791999999</v>
      </c>
      <c r="J44" s="392">
        <f t="shared" si="27"/>
        <v>3370.1894553599986</v>
      </c>
      <c r="K44" s="392">
        <f t="shared" si="27"/>
        <v>3572.4008226816004</v>
      </c>
      <c r="L44" s="392">
        <f t="shared" si="27"/>
        <v>3751.0208638156796</v>
      </c>
      <c r="M44" s="443">
        <f t="shared" si="27"/>
        <v>3938.5719070064642</v>
      </c>
      <c r="N44" s="442"/>
    </row>
    <row r="45" spans="1:14">
      <c r="B45" s="48" t="s">
        <v>374</v>
      </c>
      <c r="C45" s="417"/>
      <c r="D45" s="392">
        <f>C19-D19</f>
        <v>-15</v>
      </c>
      <c r="E45" s="392">
        <f t="shared" ref="E45:M45" si="28">D19-E19</f>
        <v>-5</v>
      </c>
      <c r="F45" s="392">
        <f t="shared" si="28"/>
        <v>-5</v>
      </c>
      <c r="G45" s="392">
        <f t="shared" si="28"/>
        <v>-15</v>
      </c>
      <c r="H45" s="392">
        <f t="shared" si="28"/>
        <v>-22.457777777777778</v>
      </c>
      <c r="I45" s="392">
        <f t="shared" si="28"/>
        <v>-21.294933333333319</v>
      </c>
      <c r="J45" s="392">
        <f t="shared" si="28"/>
        <v>-15.900216888888906</v>
      </c>
      <c r="K45" s="392">
        <f t="shared" si="28"/>
        <v>-12.879175679999946</v>
      </c>
      <c r="L45" s="392">
        <f t="shared" si="28"/>
        <v>-11.376605184000056</v>
      </c>
      <c r="M45" s="443">
        <f t="shared" si="28"/>
        <v>-11.945435443199955</v>
      </c>
      <c r="N45" s="442"/>
    </row>
    <row r="46" spans="1:14">
      <c r="B46" s="48" t="s">
        <v>375</v>
      </c>
      <c r="C46" s="417"/>
      <c r="D46" s="392">
        <f t="shared" ref="D46:M47" si="29">C20-D20</f>
        <v>0</v>
      </c>
      <c r="E46" s="392">
        <f t="shared" si="29"/>
        <v>0</v>
      </c>
      <c r="F46" s="392">
        <f t="shared" si="29"/>
        <v>0</v>
      </c>
      <c r="G46" s="392">
        <f t="shared" si="29"/>
        <v>0</v>
      </c>
      <c r="H46" s="392">
        <f t="shared" si="29"/>
        <v>-81.777777777777771</v>
      </c>
      <c r="I46" s="392">
        <f t="shared" si="29"/>
        <v>-147.19999999999996</v>
      </c>
      <c r="J46" s="392">
        <f t="shared" si="29"/>
        <v>-265.61422222222222</v>
      </c>
      <c r="K46" s="392">
        <f t="shared" si="29"/>
        <v>-29.675520000000006</v>
      </c>
      <c r="L46" s="392">
        <f t="shared" si="29"/>
        <v>-26.213375999999926</v>
      </c>
      <c r="M46" s="443">
        <f t="shared" si="29"/>
        <v>-27.52404480000007</v>
      </c>
      <c r="N46" s="442"/>
    </row>
    <row r="47" spans="1:14">
      <c r="B47" s="48" t="s">
        <v>376</v>
      </c>
      <c r="C47" s="417"/>
      <c r="D47" s="392">
        <f t="shared" si="29"/>
        <v>30</v>
      </c>
      <c r="E47" s="392">
        <f t="shared" si="29"/>
        <v>-70</v>
      </c>
      <c r="F47" s="392">
        <f t="shared" si="29"/>
        <v>-30</v>
      </c>
      <c r="G47" s="392">
        <f t="shared" si="29"/>
        <v>-20</v>
      </c>
      <c r="H47" s="392">
        <f t="shared" si="29"/>
        <v>-68.799999999999955</v>
      </c>
      <c r="I47" s="392">
        <f t="shared" si="29"/>
        <v>-70.655999999999949</v>
      </c>
      <c r="J47" s="392">
        <f t="shared" si="29"/>
        <v>-52.75648000000001</v>
      </c>
      <c r="K47" s="392">
        <f t="shared" si="29"/>
        <v>-42.732748799999968</v>
      </c>
      <c r="L47" s="392">
        <f t="shared" si="29"/>
        <v>-37.747261439999988</v>
      </c>
      <c r="M47" s="443">
        <f t="shared" si="29"/>
        <v>-39.634624512000073</v>
      </c>
      <c r="N47" s="442"/>
    </row>
    <row r="48" spans="1:14">
      <c r="B48" s="48" t="s">
        <v>377</v>
      </c>
      <c r="C48" s="392"/>
      <c r="D48" s="392">
        <f>D23-C23</f>
        <v>50</v>
      </c>
      <c r="E48" s="392">
        <f t="shared" ref="E48:M48" si="30">E23-D23</f>
        <v>20</v>
      </c>
      <c r="F48" s="392">
        <f t="shared" si="30"/>
        <v>20</v>
      </c>
      <c r="G48" s="392">
        <f t="shared" si="30"/>
        <v>10</v>
      </c>
      <c r="H48" s="392">
        <f t="shared" si="30"/>
        <v>5.6177777777778033</v>
      </c>
      <c r="I48" s="392">
        <f t="shared" si="30"/>
        <v>77.067377777777722</v>
      </c>
      <c r="J48" s="392">
        <f t="shared" si="30"/>
        <v>69.279516444444425</v>
      </c>
      <c r="K48" s="392">
        <f t="shared" si="30"/>
        <v>65.622466560000021</v>
      </c>
      <c r="L48" s="392">
        <f t="shared" si="30"/>
        <v>65.009172479999961</v>
      </c>
      <c r="M48" s="443">
        <f t="shared" si="30"/>
        <v>34.129815551999855</v>
      </c>
      <c r="N48" s="442"/>
    </row>
    <row r="49" spans="1:13">
      <c r="B49" s="445" t="s">
        <v>378</v>
      </c>
      <c r="C49" s="446"/>
      <c r="D49" s="402">
        <f>D44+D45+D46+D47+D48</f>
        <v>1775</v>
      </c>
      <c r="E49" s="402">
        <f t="shared" ref="E49:M49" si="31">E44+E45+E46+E47+E48</f>
        <v>1835</v>
      </c>
      <c r="F49" s="402">
        <f t="shared" si="31"/>
        <v>1985</v>
      </c>
      <c r="G49" s="402">
        <f t="shared" si="31"/>
        <v>2085</v>
      </c>
      <c r="H49" s="402">
        <f t="shared" si="31"/>
        <v>2622.5022222222219</v>
      </c>
      <c r="I49" s="402">
        <f t="shared" si="31"/>
        <v>2958.462236444444</v>
      </c>
      <c r="J49" s="402">
        <f t="shared" si="31"/>
        <v>3105.1980526933321</v>
      </c>
      <c r="K49" s="402">
        <f t="shared" si="31"/>
        <v>3552.7358447616007</v>
      </c>
      <c r="L49" s="402">
        <f t="shared" si="31"/>
        <v>3740.6927936716793</v>
      </c>
      <c r="M49" s="447">
        <f t="shared" si="31"/>
        <v>3893.5976178032643</v>
      </c>
    </row>
    <row r="50" spans="1:13">
      <c r="B50" s="45" t="s">
        <v>379</v>
      </c>
      <c r="C50" s="448"/>
      <c r="D50" s="388">
        <f>C18-D18</f>
        <v>-500</v>
      </c>
      <c r="E50" s="388">
        <f t="shared" ref="E50:M50" si="32">D18-E18</f>
        <v>-1000</v>
      </c>
      <c r="F50" s="388">
        <f t="shared" si="32"/>
        <v>-500</v>
      </c>
      <c r="G50" s="388">
        <f t="shared" si="32"/>
        <v>-500</v>
      </c>
      <c r="H50" s="388">
        <f t="shared" si="32"/>
        <v>-1189.119999999999</v>
      </c>
      <c r="I50" s="388">
        <f t="shared" si="32"/>
        <v>-1055.1296000000002</v>
      </c>
      <c r="J50" s="388">
        <f t="shared" si="32"/>
        <v>-854.65497599999981</v>
      </c>
      <c r="K50" s="388">
        <f t="shared" si="32"/>
        <v>-754.94522879999931</v>
      </c>
      <c r="L50" s="388">
        <f t="shared" si="32"/>
        <v>-792.69249024000055</v>
      </c>
      <c r="M50" s="389">
        <f t="shared" si="32"/>
        <v>-832.32711475200267</v>
      </c>
    </row>
    <row r="51" spans="1:13">
      <c r="B51" s="48" t="s">
        <v>343</v>
      </c>
      <c r="C51" s="392"/>
      <c r="D51" s="392">
        <f>D43</f>
        <v>750</v>
      </c>
      <c r="E51" s="392">
        <f t="shared" ref="E51:M51" si="33">E43</f>
        <v>800</v>
      </c>
      <c r="F51" s="392">
        <f t="shared" si="33"/>
        <v>890</v>
      </c>
      <c r="G51" s="392">
        <f t="shared" si="33"/>
        <v>970</v>
      </c>
      <c r="H51" s="392">
        <f t="shared" si="33"/>
        <v>996</v>
      </c>
      <c r="I51" s="392">
        <f t="shared" si="33"/>
        <v>1094.69696</v>
      </c>
      <c r="J51" s="392">
        <f t="shared" si="33"/>
        <v>1182.2727167999999</v>
      </c>
      <c r="K51" s="392">
        <f t="shared" si="33"/>
        <v>1253.2090798080001</v>
      </c>
      <c r="L51" s="392">
        <f t="shared" si="33"/>
        <v>1315.8695337984</v>
      </c>
      <c r="M51" s="443">
        <f t="shared" si="33"/>
        <v>1381.66301048832</v>
      </c>
    </row>
    <row r="52" spans="1:13">
      <c r="B52" s="445" t="s">
        <v>380</v>
      </c>
      <c r="C52" s="446"/>
      <c r="D52" s="402">
        <f>D50-D51</f>
        <v>-1250</v>
      </c>
      <c r="E52" s="402">
        <f t="shared" ref="E52:M52" si="34">E50-E51</f>
        <v>-1800</v>
      </c>
      <c r="F52" s="402">
        <f t="shared" si="34"/>
        <v>-1390</v>
      </c>
      <c r="G52" s="402">
        <f t="shared" si="34"/>
        <v>-1470</v>
      </c>
      <c r="H52" s="402">
        <f t="shared" si="34"/>
        <v>-2185.119999999999</v>
      </c>
      <c r="I52" s="402">
        <f t="shared" si="34"/>
        <v>-2149.8265600000004</v>
      </c>
      <c r="J52" s="402">
        <f t="shared" si="34"/>
        <v>-2036.9276927999997</v>
      </c>
      <c r="K52" s="402">
        <f t="shared" si="34"/>
        <v>-2008.1543086079994</v>
      </c>
      <c r="L52" s="402">
        <f t="shared" si="34"/>
        <v>-2108.5620240384005</v>
      </c>
      <c r="M52" s="447">
        <f t="shared" si="34"/>
        <v>-2213.9901252403224</v>
      </c>
    </row>
    <row r="53" spans="1:13">
      <c r="B53" s="449" t="s">
        <v>80</v>
      </c>
      <c r="C53" s="450"/>
      <c r="D53" s="451">
        <f>D49+D52</f>
        <v>525</v>
      </c>
      <c r="E53" s="451">
        <f t="shared" ref="E53:M53" si="35">E49+E52</f>
        <v>35</v>
      </c>
      <c r="F53" s="451">
        <f t="shared" si="35"/>
        <v>595</v>
      </c>
      <c r="G53" s="451">
        <f t="shared" si="35"/>
        <v>615</v>
      </c>
      <c r="H53" s="451">
        <f t="shared" si="35"/>
        <v>437.38222222222294</v>
      </c>
      <c r="I53" s="451">
        <f t="shared" si="35"/>
        <v>808.63567644444356</v>
      </c>
      <c r="J53" s="451">
        <f t="shared" si="35"/>
        <v>1068.2703598933324</v>
      </c>
      <c r="K53" s="451">
        <f t="shared" si="35"/>
        <v>1544.5815361536013</v>
      </c>
      <c r="L53" s="451">
        <f t="shared" si="35"/>
        <v>1632.1307696332788</v>
      </c>
      <c r="M53" s="452">
        <f t="shared" si="35"/>
        <v>1679.6074925629418</v>
      </c>
    </row>
    <row r="54" spans="1:13">
      <c r="B54" s="45" t="s">
        <v>381</v>
      </c>
      <c r="C54" s="453" t="s">
        <v>382</v>
      </c>
      <c r="D54" s="454">
        <f>-D8</f>
        <v>0</v>
      </c>
      <c r="E54" s="388">
        <f t="shared" ref="E54:M54" si="36">-E8</f>
        <v>0</v>
      </c>
      <c r="F54" s="388">
        <f t="shared" si="36"/>
        <v>0</v>
      </c>
      <c r="G54" s="388">
        <f t="shared" si="36"/>
        <v>0</v>
      </c>
      <c r="H54" s="388">
        <f t="shared" si="36"/>
        <v>0</v>
      </c>
      <c r="I54" s="388">
        <f t="shared" si="36"/>
        <v>0</v>
      </c>
      <c r="J54" s="388">
        <f t="shared" si="36"/>
        <v>-51.970628266666672</v>
      </c>
      <c r="K54" s="388">
        <f t="shared" si="36"/>
        <v>-111.77878118400001</v>
      </c>
      <c r="L54" s="388">
        <f t="shared" si="36"/>
        <v>-175.80157894655997</v>
      </c>
      <c r="M54" s="389">
        <f t="shared" si="36"/>
        <v>-245.64439310745601</v>
      </c>
    </row>
    <row r="55" spans="1:13">
      <c r="B55" s="48" t="s">
        <v>383</v>
      </c>
      <c r="C55" s="417"/>
      <c r="D55" s="392">
        <f>-(D54*D38)</f>
        <v>0</v>
      </c>
      <c r="E55" s="392">
        <f t="shared" ref="E55:M55" si="37">-(E54*E38)</f>
        <v>0</v>
      </c>
      <c r="F55" s="392">
        <f t="shared" si="37"/>
        <v>0</v>
      </c>
      <c r="G55" s="392">
        <f t="shared" si="37"/>
        <v>0</v>
      </c>
      <c r="H55" s="392">
        <f t="shared" si="37"/>
        <v>0</v>
      </c>
      <c r="I55" s="392">
        <f t="shared" si="37"/>
        <v>0</v>
      </c>
      <c r="J55" s="392">
        <f t="shared" si="37"/>
        <v>10.394125653333335</v>
      </c>
      <c r="K55" s="392">
        <f t="shared" si="37"/>
        <v>22.355756236800005</v>
      </c>
      <c r="L55" s="392">
        <f t="shared" si="37"/>
        <v>35.160315789311994</v>
      </c>
      <c r="M55" s="443">
        <f t="shared" si="37"/>
        <v>49.128878621491204</v>
      </c>
    </row>
    <row r="56" spans="1:13">
      <c r="B56" s="63" t="s">
        <v>384</v>
      </c>
      <c r="C56" s="399"/>
      <c r="D56" s="401">
        <f>D24-C24</f>
        <v>0</v>
      </c>
      <c r="E56" s="401">
        <f t="shared" ref="E56:M56" si="38">E24-D24</f>
        <v>0</v>
      </c>
      <c r="F56" s="401">
        <f t="shared" si="38"/>
        <v>0</v>
      </c>
      <c r="G56" s="401">
        <f t="shared" si="38"/>
        <v>0</v>
      </c>
      <c r="H56" s="401">
        <f t="shared" si="38"/>
        <v>0</v>
      </c>
      <c r="I56" s="401">
        <f t="shared" si="38"/>
        <v>742.43754666666666</v>
      </c>
      <c r="J56" s="401">
        <f t="shared" si="38"/>
        <v>854.4021845333333</v>
      </c>
      <c r="K56" s="401">
        <f t="shared" si="38"/>
        <v>914.6113966079995</v>
      </c>
      <c r="L56" s="401">
        <f t="shared" si="38"/>
        <v>997.75448801280027</v>
      </c>
      <c r="M56" s="455">
        <f t="shared" si="38"/>
        <v>175.46028079104099</v>
      </c>
    </row>
    <row r="57" spans="1:13">
      <c r="B57" s="456" t="s">
        <v>84</v>
      </c>
      <c r="C57" s="457"/>
      <c r="D57" s="458">
        <f>SUM(D53:D56)</f>
        <v>525</v>
      </c>
      <c r="E57" s="458">
        <f t="shared" ref="E57:M57" si="39">SUM(E53:E56)</f>
        <v>35</v>
      </c>
      <c r="F57" s="458">
        <f t="shared" si="39"/>
        <v>595</v>
      </c>
      <c r="G57" s="458">
        <f t="shared" si="39"/>
        <v>615</v>
      </c>
      <c r="H57" s="458">
        <f t="shared" si="39"/>
        <v>437.38222222222294</v>
      </c>
      <c r="I57" s="458">
        <f t="shared" si="39"/>
        <v>1551.0732231111101</v>
      </c>
      <c r="J57" s="458">
        <f t="shared" si="39"/>
        <v>1881.0960418133322</v>
      </c>
      <c r="K57" s="458">
        <f t="shared" si="39"/>
        <v>2369.7699078144005</v>
      </c>
      <c r="L57" s="458">
        <f t="shared" si="39"/>
        <v>2489.243994488831</v>
      </c>
      <c r="M57" s="459">
        <f t="shared" si="39"/>
        <v>1658.552258868018</v>
      </c>
    </row>
    <row r="58" spans="1:13">
      <c r="B58" s="460" t="s">
        <v>385</v>
      </c>
      <c r="C58" s="461" t="s">
        <v>382</v>
      </c>
      <c r="D58" s="462">
        <f>-D12</f>
        <v>-525</v>
      </c>
      <c r="E58" s="460">
        <f t="shared" ref="E58:M58" si="40">-E12</f>
        <v>-35</v>
      </c>
      <c r="F58" s="460">
        <f t="shared" si="40"/>
        <v>-595</v>
      </c>
      <c r="G58" s="460">
        <f t="shared" si="40"/>
        <v>-615</v>
      </c>
      <c r="H58" s="460">
        <f t="shared" si="40"/>
        <v>-437.38222222222316</v>
      </c>
      <c r="I58" s="460">
        <f t="shared" si="40"/>
        <v>-1551.0732231111099</v>
      </c>
      <c r="J58" s="460">
        <f t="shared" si="40"/>
        <v>-1881.0960418133313</v>
      </c>
      <c r="K58" s="460">
        <f t="shared" si="40"/>
        <v>-2229.7687179264003</v>
      </c>
      <c r="L58" s="460">
        <f t="shared" si="40"/>
        <v>-2294.5100668600317</v>
      </c>
      <c r="M58" s="460">
        <f t="shared" si="40"/>
        <v>-1658.5522588680174</v>
      </c>
    </row>
    <row r="59" spans="1:13">
      <c r="B59" s="462" t="s">
        <v>386</v>
      </c>
      <c r="C59" s="405"/>
      <c r="D59" s="405"/>
      <c r="E59" s="405"/>
      <c r="F59" s="405"/>
      <c r="G59" s="405"/>
      <c r="H59" s="405"/>
      <c r="I59" s="405"/>
      <c r="J59" s="405"/>
      <c r="K59" s="462">
        <f>K57+K58</f>
        <v>140.00118988800023</v>
      </c>
      <c r="L59" s="462">
        <f>L57+L58</f>
        <v>194.73392762879939</v>
      </c>
      <c r="M59" s="405"/>
    </row>
    <row r="60" spans="1:13">
      <c r="J60" s="442"/>
      <c r="K60" s="442"/>
      <c r="L60" s="442"/>
      <c r="M60" s="442"/>
    </row>
    <row r="62" spans="1:13">
      <c r="A62" s="384" t="s">
        <v>387</v>
      </c>
      <c r="B62" s="463" t="s">
        <v>388</v>
      </c>
    </row>
    <row r="63" spans="1:13">
      <c r="B63" s="464" t="s">
        <v>389</v>
      </c>
      <c r="C63" s="465"/>
      <c r="D63" s="408">
        <f>C25+C24</f>
        <v>9745</v>
      </c>
      <c r="E63" s="408">
        <f t="shared" ref="E63:M63" si="41">D25+D24</f>
        <v>10180</v>
      </c>
      <c r="F63" s="408">
        <f t="shared" si="41"/>
        <v>11235</v>
      </c>
      <c r="G63" s="408">
        <f t="shared" si="41"/>
        <v>11750</v>
      </c>
      <c r="H63" s="408">
        <f t="shared" si="41"/>
        <v>12275</v>
      </c>
      <c r="I63" s="408">
        <f t="shared" si="41"/>
        <v>13631.537777777776</v>
      </c>
      <c r="J63" s="408">
        <f t="shared" si="41"/>
        <v>14848.750933333331</v>
      </c>
      <c r="K63" s="408">
        <f t="shared" si="41"/>
        <v>15968.397311999999</v>
      </c>
      <c r="L63" s="408">
        <f t="shared" si="41"/>
        <v>16743.007518719998</v>
      </c>
      <c r="M63" s="466">
        <f t="shared" si="41"/>
        <v>17546.028079103999</v>
      </c>
    </row>
    <row r="64" spans="1:13">
      <c r="B64" s="395" t="s">
        <v>390</v>
      </c>
      <c r="C64" s="417"/>
      <c r="D64" s="392">
        <f>E63-D63</f>
        <v>435</v>
      </c>
      <c r="E64" s="392">
        <f t="shared" ref="E64:M64" si="42">F63-E63</f>
        <v>1055</v>
      </c>
      <c r="F64" s="392">
        <f t="shared" si="42"/>
        <v>515</v>
      </c>
      <c r="G64" s="392">
        <f t="shared" si="42"/>
        <v>525</v>
      </c>
      <c r="H64" s="392">
        <f t="shared" si="42"/>
        <v>1356.5377777777758</v>
      </c>
      <c r="I64" s="392">
        <f t="shared" si="42"/>
        <v>1217.2131555555552</v>
      </c>
      <c r="J64" s="392">
        <f t="shared" si="42"/>
        <v>1119.6463786666682</v>
      </c>
      <c r="K64" s="392">
        <f t="shared" si="42"/>
        <v>774.61020671999904</v>
      </c>
      <c r="L64" s="392">
        <f t="shared" si="42"/>
        <v>803.02056038400042</v>
      </c>
      <c r="M64" s="443">
        <f t="shared" si="42"/>
        <v>-17546.028079103999</v>
      </c>
    </row>
    <row r="65" spans="2:13">
      <c r="B65" s="395" t="s">
        <v>391</v>
      </c>
      <c r="C65" s="392">
        <f>C11</f>
        <v>865</v>
      </c>
      <c r="D65" s="392">
        <f>D42</f>
        <v>960</v>
      </c>
      <c r="E65" s="392">
        <f t="shared" ref="E65:M65" si="43">E42</f>
        <v>1090</v>
      </c>
      <c r="F65" s="392">
        <f t="shared" si="43"/>
        <v>1110</v>
      </c>
      <c r="G65" s="392">
        <f t="shared" si="43"/>
        <v>1140</v>
      </c>
      <c r="H65" s="392">
        <f t="shared" si="43"/>
        <v>1793.9199999999992</v>
      </c>
      <c r="I65" s="392">
        <f t="shared" si="43"/>
        <v>2025.848831999999</v>
      </c>
      <c r="J65" s="392">
        <f t="shared" si="43"/>
        <v>2187.916738559999</v>
      </c>
      <c r="K65" s="392">
        <f t="shared" si="43"/>
        <v>2319.1917428736001</v>
      </c>
      <c r="L65" s="392">
        <f t="shared" si="43"/>
        <v>2435.1513300172796</v>
      </c>
      <c r="M65" s="443">
        <f t="shared" si="43"/>
        <v>2556.9088965181445</v>
      </c>
    </row>
    <row r="66" spans="2:13">
      <c r="B66" s="395" t="s">
        <v>392</v>
      </c>
      <c r="C66" s="392"/>
      <c r="D66" s="392">
        <f>D53</f>
        <v>525</v>
      </c>
      <c r="E66" s="392">
        <f t="shared" ref="E66:M66" si="44">E53</f>
        <v>35</v>
      </c>
      <c r="F66" s="392">
        <f t="shared" si="44"/>
        <v>595</v>
      </c>
      <c r="G66" s="392">
        <f t="shared" si="44"/>
        <v>615</v>
      </c>
      <c r="H66" s="392">
        <f t="shared" si="44"/>
        <v>437.38222222222294</v>
      </c>
      <c r="I66" s="392">
        <f t="shared" si="44"/>
        <v>808.63567644444356</v>
      </c>
      <c r="J66" s="392">
        <f t="shared" si="44"/>
        <v>1068.2703598933324</v>
      </c>
      <c r="K66" s="392">
        <f t="shared" si="44"/>
        <v>1544.5815361536013</v>
      </c>
      <c r="L66" s="392">
        <f t="shared" si="44"/>
        <v>1632.1307696332788</v>
      </c>
      <c r="M66" s="443">
        <f t="shared" si="44"/>
        <v>1679.6074925629418</v>
      </c>
    </row>
    <row r="67" spans="2:13">
      <c r="B67" s="395" t="s">
        <v>393</v>
      </c>
      <c r="C67" s="467"/>
      <c r="D67" s="468">
        <f>D65/C65-1</f>
        <v>0.10982658959537561</v>
      </c>
      <c r="E67" s="468">
        <f t="shared" ref="E67:M67" si="45">E65/D65-1</f>
        <v>0.13541666666666674</v>
      </c>
      <c r="F67" s="468">
        <f t="shared" si="45"/>
        <v>1.8348623853210899E-2</v>
      </c>
      <c r="G67" s="468">
        <f t="shared" si="45"/>
        <v>2.7027027027026973E-2</v>
      </c>
      <c r="H67" s="468">
        <f t="shared" si="45"/>
        <v>0.57361403508771858</v>
      </c>
      <c r="I67" s="468">
        <f t="shared" si="45"/>
        <v>0.12928605066000709</v>
      </c>
      <c r="J67" s="468">
        <f t="shared" si="45"/>
        <v>8.0000000000000071E-2</v>
      </c>
      <c r="K67" s="468">
        <f t="shared" si="45"/>
        <v>6.0000000000000497E-2</v>
      </c>
      <c r="L67" s="468">
        <f t="shared" si="45"/>
        <v>4.9999999999999822E-2</v>
      </c>
      <c r="M67" s="469">
        <f t="shared" si="45"/>
        <v>5.0000000000000266E-2</v>
      </c>
    </row>
    <row r="68" spans="2:13">
      <c r="B68" s="395" t="s">
        <v>394</v>
      </c>
      <c r="C68" s="467"/>
      <c r="D68" s="468">
        <f>D65/D63</f>
        <v>9.8512057465366856E-2</v>
      </c>
      <c r="E68" s="468">
        <f t="shared" ref="E68:M68" si="46">E65/E63</f>
        <v>0.10707269155206287</v>
      </c>
      <c r="F68" s="468">
        <f t="shared" si="46"/>
        <v>9.879839786381843E-2</v>
      </c>
      <c r="G68" s="468">
        <f t="shared" si="46"/>
        <v>9.7021276595744679E-2</v>
      </c>
      <c r="H68" s="468">
        <f t="shared" si="46"/>
        <v>0.14614419551934821</v>
      </c>
      <c r="I68" s="468">
        <f t="shared" si="46"/>
        <v>0.14861484192213084</v>
      </c>
      <c r="J68" s="468">
        <f t="shared" si="46"/>
        <v>0.14734685418208729</v>
      </c>
      <c r="K68" s="468">
        <f t="shared" si="46"/>
        <v>0.14523635012079542</v>
      </c>
      <c r="L68" s="468">
        <f t="shared" si="46"/>
        <v>0.14544288577154307</v>
      </c>
      <c r="M68" s="469">
        <f t="shared" si="46"/>
        <v>0.14572579531906887</v>
      </c>
    </row>
    <row r="69" spans="2:13">
      <c r="B69" s="395" t="s">
        <v>395</v>
      </c>
      <c r="C69" s="467"/>
      <c r="D69" s="468">
        <f>(D65-C65)/D64</f>
        <v>0.21839080459770116</v>
      </c>
      <c r="E69" s="468">
        <f t="shared" ref="E69:M69" si="47">(E65-D65)/E64</f>
        <v>0.12322274881516587</v>
      </c>
      <c r="F69" s="468">
        <f t="shared" si="47"/>
        <v>3.8834951456310676E-2</v>
      </c>
      <c r="G69" s="468">
        <f t="shared" si="47"/>
        <v>5.7142857142857141E-2</v>
      </c>
      <c r="H69" s="468">
        <f t="shared" si="47"/>
        <v>0.48205071079643941</v>
      </c>
      <c r="I69" s="468">
        <f t="shared" si="47"/>
        <v>0.19054085222579104</v>
      </c>
      <c r="J69" s="468">
        <f t="shared" si="47"/>
        <v>0.14474919014430135</v>
      </c>
      <c r="K69" s="468">
        <f t="shared" si="47"/>
        <v>0.16947233999080721</v>
      </c>
      <c r="L69" s="468">
        <f t="shared" si="47"/>
        <v>0.14440425670823201</v>
      </c>
      <c r="M69" s="469">
        <f t="shared" si="47"/>
        <v>-6.9393235866223755E-3</v>
      </c>
    </row>
    <row r="70" spans="2:13">
      <c r="B70" s="398" t="s">
        <v>396</v>
      </c>
      <c r="C70" s="470"/>
      <c r="D70" s="471">
        <f>D64/D65</f>
        <v>0.453125</v>
      </c>
      <c r="E70" s="471">
        <f t="shared" ref="E70:M70" si="48">E64/E65</f>
        <v>0.9678899082568807</v>
      </c>
      <c r="F70" s="471">
        <f t="shared" si="48"/>
        <v>0.46396396396396394</v>
      </c>
      <c r="G70" s="471">
        <f t="shared" si="48"/>
        <v>0.46052631578947367</v>
      </c>
      <c r="H70" s="471">
        <f t="shared" si="48"/>
        <v>0.75618632814048359</v>
      </c>
      <c r="I70" s="471">
        <f t="shared" si="48"/>
        <v>0.60084105799437848</v>
      </c>
      <c r="J70" s="471">
        <f t="shared" si="48"/>
        <v>0.51174085326646179</v>
      </c>
      <c r="K70" s="471">
        <f t="shared" si="48"/>
        <v>0.33400007097309531</v>
      </c>
      <c r="L70" s="471">
        <f t="shared" si="48"/>
        <v>0.32976207699515014</v>
      </c>
      <c r="M70" s="472">
        <f t="shared" si="48"/>
        <v>-6.8622030698853598</v>
      </c>
    </row>
    <row r="102" spans="2:13">
      <c r="B102" s="444" t="str">
        <f>+B7</f>
        <v>=Operational profit</v>
      </c>
      <c r="C102" s="444"/>
      <c r="D102" s="444">
        <f t="shared" ref="D102:M102" si="49">+D7</f>
        <v>1050</v>
      </c>
      <c r="E102" s="444">
        <f t="shared" si="49"/>
        <v>1200</v>
      </c>
      <c r="F102" s="444">
        <f t="shared" si="49"/>
        <v>1210</v>
      </c>
      <c r="G102" s="444">
        <f t="shared" si="49"/>
        <v>1230</v>
      </c>
      <c r="H102" s="444">
        <f t="shared" si="49"/>
        <v>2242.3999999999987</v>
      </c>
      <c r="I102" s="444">
        <f t="shared" si="49"/>
        <v>2532.3110399999987</v>
      </c>
      <c r="J102" s="444">
        <f t="shared" si="49"/>
        <v>2734.8959231999988</v>
      </c>
      <c r="K102" s="444">
        <f t="shared" si="49"/>
        <v>2898.989678592</v>
      </c>
      <c r="L102" s="444">
        <f t="shared" si="49"/>
        <v>3043.9391625215994</v>
      </c>
      <c r="M102" s="444">
        <f t="shared" si="49"/>
        <v>3196.1361206476804</v>
      </c>
    </row>
    <row r="103" spans="2:13">
      <c r="B103" s="384" t="s">
        <v>89</v>
      </c>
      <c r="D103" s="444">
        <f t="shared" ref="D103:M103" si="50">+D102*(1-D38)</f>
        <v>960</v>
      </c>
      <c r="E103" s="444">
        <f t="shared" si="50"/>
        <v>1090</v>
      </c>
      <c r="F103" s="444">
        <f t="shared" si="50"/>
        <v>1110</v>
      </c>
      <c r="G103" s="444">
        <f t="shared" si="50"/>
        <v>1140</v>
      </c>
      <c r="H103" s="444">
        <f t="shared" si="50"/>
        <v>1793.9199999999992</v>
      </c>
      <c r="I103" s="444">
        <f t="shared" si="50"/>
        <v>2025.848831999999</v>
      </c>
      <c r="J103" s="444">
        <f t="shared" si="50"/>
        <v>2187.916738559999</v>
      </c>
      <c r="K103" s="444">
        <f t="shared" si="50"/>
        <v>2319.1917428736001</v>
      </c>
      <c r="L103" s="444">
        <f t="shared" si="50"/>
        <v>2435.1513300172796</v>
      </c>
      <c r="M103" s="444">
        <f t="shared" si="50"/>
        <v>2556.9088965181445</v>
      </c>
    </row>
    <row r="104" spans="2:13">
      <c r="B104" s="384" t="s">
        <v>41</v>
      </c>
      <c r="D104" s="444">
        <f t="shared" ref="D104:M104" si="51">+D6</f>
        <v>750</v>
      </c>
      <c r="E104" s="444">
        <f t="shared" si="51"/>
        <v>800</v>
      </c>
      <c r="F104" s="444">
        <f t="shared" si="51"/>
        <v>890</v>
      </c>
      <c r="G104" s="444">
        <f t="shared" si="51"/>
        <v>970</v>
      </c>
      <c r="H104" s="444">
        <f t="shared" si="51"/>
        <v>996</v>
      </c>
      <c r="I104" s="444">
        <f t="shared" si="51"/>
        <v>1094.69696</v>
      </c>
      <c r="J104" s="444">
        <f t="shared" si="51"/>
        <v>1182.2727167999999</v>
      </c>
      <c r="K104" s="444">
        <f t="shared" si="51"/>
        <v>1253.2090798080001</v>
      </c>
      <c r="L104" s="444">
        <f t="shared" si="51"/>
        <v>1315.8695337984</v>
      </c>
      <c r="M104" s="444">
        <f t="shared" si="51"/>
        <v>1381.66301048832</v>
      </c>
    </row>
    <row r="105" spans="2:13">
      <c r="B105" s="384" t="s">
        <v>68</v>
      </c>
      <c r="D105" s="444">
        <f>+D103+D104</f>
        <v>1710</v>
      </c>
      <c r="E105" s="444">
        <f t="shared" ref="E105:M105" si="52">+E103+E104</f>
        <v>1890</v>
      </c>
      <c r="F105" s="444">
        <f t="shared" si="52"/>
        <v>2000</v>
      </c>
      <c r="G105" s="444">
        <f t="shared" si="52"/>
        <v>2110</v>
      </c>
      <c r="H105" s="444">
        <f t="shared" si="52"/>
        <v>2789.9199999999992</v>
      </c>
      <c r="I105" s="444">
        <f t="shared" si="52"/>
        <v>3120.545791999999</v>
      </c>
      <c r="J105" s="444">
        <f t="shared" si="52"/>
        <v>3370.1894553599986</v>
      </c>
      <c r="K105" s="444">
        <f t="shared" si="52"/>
        <v>3572.4008226816004</v>
      </c>
      <c r="L105" s="444">
        <f t="shared" si="52"/>
        <v>3751.0208638156796</v>
      </c>
      <c r="M105" s="444">
        <f t="shared" si="52"/>
        <v>3938.5719070064642</v>
      </c>
    </row>
    <row r="106" spans="2:13">
      <c r="B106" s="384" t="s">
        <v>299</v>
      </c>
      <c r="D106" s="444">
        <f>+C19-D19</f>
        <v>-15</v>
      </c>
      <c r="E106" s="444">
        <f>+D19-E19</f>
        <v>-5</v>
      </c>
      <c r="F106" s="444">
        <f>+E19-F19</f>
        <v>-5</v>
      </c>
      <c r="G106" s="444">
        <f>+F19-G19</f>
        <v>-15</v>
      </c>
      <c r="H106" s="444">
        <f>+G19-H19</f>
        <v>-22.457777777777778</v>
      </c>
      <c r="I106" s="444" t="e">
        <f>+H19-H17</f>
        <v>#VALUE!</v>
      </c>
      <c r="J106" s="444" t="e">
        <f>+H17-I17</f>
        <v>#VALUE!</v>
      </c>
      <c r="K106" s="444">
        <f>+I17-K19</f>
        <v>-227.53210367999995</v>
      </c>
      <c r="L106" s="444">
        <f>+K19-L19</f>
        <v>-11.376605184000056</v>
      </c>
      <c r="M106" s="444">
        <f>+L19-M19</f>
        <v>-11.945435443199955</v>
      </c>
    </row>
    <row r="107" spans="2:13">
      <c r="B107" s="384" t="s">
        <v>397</v>
      </c>
      <c r="D107" s="444">
        <f>+C20-D20</f>
        <v>0</v>
      </c>
      <c r="E107" s="444">
        <f t="shared" ref="E107:M108" si="53">+D20-E20</f>
        <v>0</v>
      </c>
      <c r="F107" s="444">
        <f t="shared" si="53"/>
        <v>0</v>
      </c>
      <c r="G107" s="444">
        <f t="shared" si="53"/>
        <v>0</v>
      </c>
      <c r="H107" s="444">
        <f t="shared" si="53"/>
        <v>-81.777777777777771</v>
      </c>
      <c r="I107" s="444">
        <f t="shared" si="53"/>
        <v>-147.19999999999996</v>
      </c>
      <c r="J107" s="444">
        <f t="shared" si="53"/>
        <v>-265.61422222222222</v>
      </c>
      <c r="K107" s="444">
        <f t="shared" si="53"/>
        <v>-29.675520000000006</v>
      </c>
      <c r="L107" s="444">
        <f t="shared" si="53"/>
        <v>-26.213375999999926</v>
      </c>
      <c r="M107" s="444">
        <f t="shared" si="53"/>
        <v>-27.52404480000007</v>
      </c>
    </row>
    <row r="108" spans="2:13">
      <c r="B108" s="384" t="s">
        <v>398</v>
      </c>
      <c r="D108" s="444">
        <f>+C21-D21</f>
        <v>30</v>
      </c>
      <c r="E108" s="444">
        <f t="shared" si="53"/>
        <v>-70</v>
      </c>
      <c r="F108" s="444">
        <f t="shared" si="53"/>
        <v>-30</v>
      </c>
      <c r="G108" s="444">
        <f t="shared" si="53"/>
        <v>-20</v>
      </c>
      <c r="H108" s="444">
        <f t="shared" si="53"/>
        <v>-68.799999999999955</v>
      </c>
      <c r="I108" s="444">
        <f t="shared" si="53"/>
        <v>-70.655999999999949</v>
      </c>
      <c r="J108" s="444">
        <f t="shared" si="53"/>
        <v>-52.75648000000001</v>
      </c>
      <c r="K108" s="444">
        <f t="shared" si="53"/>
        <v>-42.732748799999968</v>
      </c>
      <c r="L108" s="444">
        <f t="shared" si="53"/>
        <v>-37.747261439999988</v>
      </c>
      <c r="M108" s="444">
        <f t="shared" si="53"/>
        <v>-39.634624512000073</v>
      </c>
    </row>
    <row r="109" spans="2:13">
      <c r="B109" s="384" t="s">
        <v>301</v>
      </c>
      <c r="D109" s="444">
        <f t="shared" ref="D109:M109" si="54">+D23-C23</f>
        <v>50</v>
      </c>
      <c r="E109" s="444">
        <f t="shared" si="54"/>
        <v>20</v>
      </c>
      <c r="F109" s="444">
        <f t="shared" si="54"/>
        <v>20</v>
      </c>
      <c r="G109" s="444">
        <f t="shared" si="54"/>
        <v>10</v>
      </c>
      <c r="H109" s="444">
        <f t="shared" si="54"/>
        <v>5.6177777777778033</v>
      </c>
      <c r="I109" s="444">
        <f t="shared" si="54"/>
        <v>77.067377777777722</v>
      </c>
      <c r="J109" s="444">
        <f t="shared" si="54"/>
        <v>69.279516444444425</v>
      </c>
      <c r="K109" s="444">
        <f t="shared" si="54"/>
        <v>65.622466560000021</v>
      </c>
      <c r="L109" s="444">
        <f t="shared" si="54"/>
        <v>65.009172479999961</v>
      </c>
      <c r="M109" s="444">
        <f t="shared" si="54"/>
        <v>34.129815551999855</v>
      </c>
    </row>
    <row r="110" spans="2:13">
      <c r="B110" s="384" t="s">
        <v>399</v>
      </c>
      <c r="D110" s="444">
        <f>+D105+D106+D107+D108+D109</f>
        <v>1775</v>
      </c>
      <c r="E110" s="444">
        <f t="shared" ref="E110:M110" si="55">+E105+E106+E107+E108+E109</f>
        <v>1835</v>
      </c>
      <c r="F110" s="444">
        <f t="shared" si="55"/>
        <v>1985</v>
      </c>
      <c r="G110" s="444">
        <f t="shared" si="55"/>
        <v>2085</v>
      </c>
      <c r="H110" s="444">
        <f t="shared" si="55"/>
        <v>2622.5022222222219</v>
      </c>
      <c r="I110" s="444" t="e">
        <f t="shared" si="55"/>
        <v>#VALUE!</v>
      </c>
      <c r="J110" s="444" t="e">
        <f t="shared" si="55"/>
        <v>#VALUE!</v>
      </c>
      <c r="K110" s="444">
        <f t="shared" si="55"/>
        <v>3338.0829167616002</v>
      </c>
      <c r="L110" s="444">
        <f t="shared" si="55"/>
        <v>3740.6927936716793</v>
      </c>
      <c r="M110" s="444">
        <f t="shared" si="55"/>
        <v>3893.5976178032643</v>
      </c>
    </row>
    <row r="111" spans="2:13">
      <c r="B111" s="384" t="s">
        <v>400</v>
      </c>
      <c r="D111" s="444">
        <f>+C18-D18</f>
        <v>-500</v>
      </c>
      <c r="E111" s="444">
        <f>+D18-E18</f>
        <v>-1000</v>
      </c>
      <c r="F111" s="444">
        <f>+E18-F18</f>
        <v>-500</v>
      </c>
      <c r="G111" s="444">
        <f>+F18-G18</f>
        <v>-500</v>
      </c>
      <c r="H111" s="444">
        <f>+G18-H18</f>
        <v>-1189.119999999999</v>
      </c>
      <c r="I111" s="444">
        <f>+H18-H16</f>
        <v>13189.119999999999</v>
      </c>
      <c r="J111" s="444">
        <f>+H16-I16</f>
        <v>0</v>
      </c>
      <c r="K111" s="444">
        <f>+I16-K18</f>
        <v>-15853.849804799998</v>
      </c>
      <c r="L111" s="444">
        <f>+K18-L18</f>
        <v>-792.69249024000055</v>
      </c>
      <c r="M111" s="444">
        <f>+L18-M18</f>
        <v>-832.32711475200267</v>
      </c>
    </row>
    <row r="112" spans="2:13">
      <c r="B112" s="384" t="s">
        <v>41</v>
      </c>
      <c r="D112" s="444">
        <f>-D104</f>
        <v>-750</v>
      </c>
      <c r="E112" s="444">
        <f t="shared" ref="E112:M112" si="56">-E104</f>
        <v>-800</v>
      </c>
      <c r="F112" s="444">
        <f t="shared" si="56"/>
        <v>-890</v>
      </c>
      <c r="G112" s="444">
        <f t="shared" si="56"/>
        <v>-970</v>
      </c>
      <c r="H112" s="444">
        <f t="shared" si="56"/>
        <v>-996</v>
      </c>
      <c r="I112" s="444">
        <f t="shared" si="56"/>
        <v>-1094.69696</v>
      </c>
      <c r="J112" s="444">
        <f t="shared" si="56"/>
        <v>-1182.2727167999999</v>
      </c>
      <c r="K112" s="444">
        <f t="shared" si="56"/>
        <v>-1253.2090798080001</v>
      </c>
      <c r="L112" s="444">
        <f t="shared" si="56"/>
        <v>-1315.8695337984</v>
      </c>
      <c r="M112" s="444">
        <f t="shared" si="56"/>
        <v>-1381.66301048832</v>
      </c>
    </row>
    <row r="113" spans="2:13">
      <c r="B113" s="384" t="s">
        <v>401</v>
      </c>
      <c r="D113" s="444">
        <f>+D111+D112</f>
        <v>-1250</v>
      </c>
      <c r="E113" s="444">
        <f t="shared" ref="E113:M113" si="57">+E111+E112</f>
        <v>-1800</v>
      </c>
      <c r="F113" s="444">
        <f t="shared" si="57"/>
        <v>-1390</v>
      </c>
      <c r="G113" s="444">
        <f t="shared" si="57"/>
        <v>-1470</v>
      </c>
      <c r="H113" s="444">
        <f t="shared" si="57"/>
        <v>-2185.119999999999</v>
      </c>
      <c r="I113" s="444">
        <f t="shared" si="57"/>
        <v>12094.42304</v>
      </c>
      <c r="J113" s="444">
        <f t="shared" si="57"/>
        <v>-1182.2727167999999</v>
      </c>
      <c r="K113" s="444">
        <f t="shared" si="57"/>
        <v>-17107.058884607999</v>
      </c>
      <c r="L113" s="444">
        <f t="shared" si="57"/>
        <v>-2108.5620240384005</v>
      </c>
      <c r="M113" s="444">
        <f t="shared" si="57"/>
        <v>-2213.9901252403224</v>
      </c>
    </row>
    <row r="114" spans="2:13">
      <c r="B114" s="384" t="s">
        <v>35</v>
      </c>
      <c r="D114" s="444">
        <f>+D113+D110</f>
        <v>525</v>
      </c>
      <c r="E114" s="444">
        <f t="shared" ref="E114:M114" si="58">+E113+E110</f>
        <v>35</v>
      </c>
      <c r="F114" s="444">
        <f t="shared" si="58"/>
        <v>595</v>
      </c>
      <c r="G114" s="444">
        <f t="shared" si="58"/>
        <v>615</v>
      </c>
      <c r="H114" s="444">
        <f t="shared" si="58"/>
        <v>437.38222222222294</v>
      </c>
      <c r="I114" s="444" t="e">
        <f t="shared" si="58"/>
        <v>#VALUE!</v>
      </c>
      <c r="J114" s="444" t="e">
        <f t="shared" si="58"/>
        <v>#VALUE!</v>
      </c>
      <c r="K114" s="444">
        <f t="shared" si="58"/>
        <v>-13768.9759678464</v>
      </c>
      <c r="L114" s="444">
        <f t="shared" si="58"/>
        <v>1632.1307696332788</v>
      </c>
      <c r="M114" s="444">
        <f t="shared" si="58"/>
        <v>1679.6074925629418</v>
      </c>
    </row>
    <row r="115" spans="2:13">
      <c r="B115" s="384" t="str">
        <f>+B8</f>
        <v>-Interest</v>
      </c>
      <c r="D115" s="444">
        <f t="shared" ref="D115:M115" si="59">-D8</f>
        <v>0</v>
      </c>
      <c r="E115" s="444">
        <f t="shared" si="59"/>
        <v>0</v>
      </c>
      <c r="F115" s="444">
        <f t="shared" si="59"/>
        <v>0</v>
      </c>
      <c r="G115" s="444">
        <f t="shared" si="59"/>
        <v>0</v>
      </c>
      <c r="H115" s="444">
        <f t="shared" si="59"/>
        <v>0</v>
      </c>
      <c r="I115" s="444">
        <f t="shared" si="59"/>
        <v>0</v>
      </c>
      <c r="J115" s="444">
        <f t="shared" si="59"/>
        <v>-51.970628266666672</v>
      </c>
      <c r="K115" s="444">
        <f t="shared" si="59"/>
        <v>-111.77878118400001</v>
      </c>
      <c r="L115" s="444">
        <f t="shared" si="59"/>
        <v>-175.80157894655997</v>
      </c>
      <c r="M115" s="444">
        <f t="shared" si="59"/>
        <v>-245.64439310745601</v>
      </c>
    </row>
    <row r="116" spans="2:13">
      <c r="B116" s="384" t="s">
        <v>201</v>
      </c>
      <c r="D116" s="444">
        <f t="shared" ref="D116:M116" si="60">-D115*D38</f>
        <v>0</v>
      </c>
      <c r="E116" s="444">
        <f t="shared" si="60"/>
        <v>0</v>
      </c>
      <c r="F116" s="444">
        <f t="shared" si="60"/>
        <v>0</v>
      </c>
      <c r="G116" s="444">
        <f t="shared" si="60"/>
        <v>0</v>
      </c>
      <c r="H116" s="444">
        <f t="shared" si="60"/>
        <v>0</v>
      </c>
      <c r="I116" s="444">
        <f t="shared" si="60"/>
        <v>0</v>
      </c>
      <c r="J116" s="444">
        <f t="shared" si="60"/>
        <v>10.394125653333335</v>
      </c>
      <c r="K116" s="444">
        <f t="shared" si="60"/>
        <v>22.355756236800005</v>
      </c>
      <c r="L116" s="444">
        <f t="shared" si="60"/>
        <v>35.160315789311994</v>
      </c>
      <c r="M116" s="444">
        <f t="shared" si="60"/>
        <v>49.128878621491204</v>
      </c>
    </row>
    <row r="117" spans="2:13">
      <c r="B117" s="384" t="s">
        <v>83</v>
      </c>
      <c r="D117" s="444">
        <f t="shared" ref="D117:M117" si="61">+D24-C24</f>
        <v>0</v>
      </c>
      <c r="E117" s="444">
        <f t="shared" si="61"/>
        <v>0</v>
      </c>
      <c r="F117" s="444">
        <f t="shared" si="61"/>
        <v>0</v>
      </c>
      <c r="G117" s="444">
        <f t="shared" si="61"/>
        <v>0</v>
      </c>
      <c r="H117" s="444">
        <f t="shared" si="61"/>
        <v>0</v>
      </c>
      <c r="I117" s="444">
        <f t="shared" si="61"/>
        <v>742.43754666666666</v>
      </c>
      <c r="J117" s="444">
        <f t="shared" si="61"/>
        <v>854.4021845333333</v>
      </c>
      <c r="K117" s="444">
        <f t="shared" si="61"/>
        <v>914.6113966079995</v>
      </c>
      <c r="L117" s="444">
        <f t="shared" si="61"/>
        <v>997.75448801280027</v>
      </c>
      <c r="M117" s="444">
        <f t="shared" si="61"/>
        <v>175.46028079104099</v>
      </c>
    </row>
    <row r="118" spans="2:13">
      <c r="B118" s="384" t="s">
        <v>125</v>
      </c>
      <c r="D118" s="444">
        <f>SUM(D114:D117)</f>
        <v>525</v>
      </c>
      <c r="E118" s="444">
        <f t="shared" ref="E118:M118" si="62">SUM(E114:E117)</f>
        <v>35</v>
      </c>
      <c r="F118" s="444">
        <f t="shared" si="62"/>
        <v>595</v>
      </c>
      <c r="G118" s="444">
        <f t="shared" si="62"/>
        <v>615</v>
      </c>
      <c r="H118" s="444">
        <f t="shared" si="62"/>
        <v>437.38222222222294</v>
      </c>
      <c r="I118" s="444" t="e">
        <f t="shared" si="62"/>
        <v>#VALUE!</v>
      </c>
      <c r="J118" s="444" t="e">
        <f t="shared" si="62"/>
        <v>#VALUE!</v>
      </c>
      <c r="K118" s="444">
        <f t="shared" si="62"/>
        <v>-12943.787596185601</v>
      </c>
      <c r="L118" s="444">
        <f t="shared" si="62"/>
        <v>2489.243994488831</v>
      </c>
      <c r="M118" s="444">
        <f t="shared" si="62"/>
        <v>1658.552258868018</v>
      </c>
    </row>
    <row r="119" spans="2:13">
      <c r="B119" s="384" t="str">
        <f>+B12</f>
        <v>-Dividend</v>
      </c>
      <c r="D119" s="444">
        <f t="shared" ref="D119:M119" si="63">-D12</f>
        <v>-525</v>
      </c>
      <c r="E119" s="444">
        <f t="shared" si="63"/>
        <v>-35</v>
      </c>
      <c r="F119" s="444">
        <f t="shared" si="63"/>
        <v>-595</v>
      </c>
      <c r="G119" s="444">
        <f t="shared" si="63"/>
        <v>-615</v>
      </c>
      <c r="H119" s="444">
        <f t="shared" si="63"/>
        <v>-437.38222222222316</v>
      </c>
      <c r="I119" s="444">
        <f t="shared" si="63"/>
        <v>-1551.0732231111099</v>
      </c>
      <c r="J119" s="444">
        <f t="shared" si="63"/>
        <v>-1881.0960418133313</v>
      </c>
      <c r="K119" s="444">
        <f t="shared" si="63"/>
        <v>-2229.7687179264003</v>
      </c>
      <c r="L119" s="444">
        <f t="shared" si="63"/>
        <v>-2294.5100668600317</v>
      </c>
      <c r="M119" s="444">
        <f t="shared" si="63"/>
        <v>-1658.5522588680174</v>
      </c>
    </row>
    <row r="120" spans="2:13">
      <c r="B120" s="384" t="s">
        <v>402</v>
      </c>
      <c r="D120" s="444">
        <f>+D25-C25-D13</f>
        <v>0</v>
      </c>
      <c r="E120" s="444">
        <f>+E25-D25-E13</f>
        <v>0</v>
      </c>
      <c r="F120" s="444">
        <f>+F25-E25-F13</f>
        <v>0</v>
      </c>
      <c r="G120" s="444">
        <f>+G25-F25-G13</f>
        <v>0</v>
      </c>
      <c r="H120" s="444" t="e">
        <f>+H25-G25-#REF!</f>
        <v>#REF!</v>
      </c>
      <c r="I120" s="444" t="e">
        <f>+I25-H25-#REF!</f>
        <v>#REF!</v>
      </c>
      <c r="J120" s="444">
        <f>+J25-I25-J13</f>
        <v>0</v>
      </c>
      <c r="K120" s="444">
        <f>+K25-J25-K13</f>
        <v>-140.00118988800023</v>
      </c>
      <c r="L120" s="444">
        <f>+L25-K25-L13</f>
        <v>-194.7339276288003</v>
      </c>
      <c r="M120" s="444">
        <f>+M25-L25-M13</f>
        <v>0</v>
      </c>
    </row>
    <row r="121" spans="2:13">
      <c r="B121" s="384" t="s">
        <v>403</v>
      </c>
      <c r="D121" s="444">
        <f>+D118+D119+D120</f>
        <v>0</v>
      </c>
      <c r="E121" s="444">
        <f t="shared" ref="E121:M121" si="64">+E118+E119+E120</f>
        <v>0</v>
      </c>
      <c r="F121" s="444">
        <f t="shared" si="64"/>
        <v>0</v>
      </c>
      <c r="G121" s="444">
        <f t="shared" si="64"/>
        <v>0</v>
      </c>
      <c r="H121" s="444" t="e">
        <f t="shared" si="64"/>
        <v>#REF!</v>
      </c>
      <c r="I121" s="444" t="e">
        <f t="shared" si="64"/>
        <v>#VALUE!</v>
      </c>
      <c r="J121" s="444" t="e">
        <f t="shared" si="64"/>
        <v>#VALUE!</v>
      </c>
      <c r="K121" s="444">
        <f t="shared" si="64"/>
        <v>-15313.557504</v>
      </c>
      <c r="L121" s="444">
        <f t="shared" si="64"/>
        <v>-9.0949470177292824E-13</v>
      </c>
      <c r="M121" s="444">
        <f t="shared" si="64"/>
        <v>6.8212102632969618E-13</v>
      </c>
    </row>
    <row r="124" spans="2:13">
      <c r="B124" s="384" t="s">
        <v>1</v>
      </c>
      <c r="D124" s="444">
        <f t="shared" ref="D124:M124" si="65">+C24+C25</f>
        <v>9745</v>
      </c>
      <c r="E124" s="444">
        <f t="shared" si="65"/>
        <v>10180</v>
      </c>
      <c r="F124" s="444">
        <f t="shared" si="65"/>
        <v>11235</v>
      </c>
      <c r="G124" s="444">
        <f t="shared" si="65"/>
        <v>11750</v>
      </c>
      <c r="H124" s="444">
        <f t="shared" si="65"/>
        <v>12275</v>
      </c>
      <c r="I124" s="444">
        <f t="shared" si="65"/>
        <v>13631.537777777776</v>
      </c>
      <c r="J124" s="444">
        <f t="shared" si="65"/>
        <v>14848.750933333331</v>
      </c>
      <c r="K124" s="444">
        <f t="shared" si="65"/>
        <v>15968.397311999999</v>
      </c>
      <c r="L124" s="444">
        <f t="shared" si="65"/>
        <v>16743.007518719998</v>
      </c>
      <c r="M124" s="444">
        <f t="shared" si="65"/>
        <v>17546.028079103999</v>
      </c>
    </row>
    <row r="125" spans="2:13">
      <c r="B125" s="384" t="s">
        <v>2</v>
      </c>
      <c r="D125" s="444">
        <f>+E124-D124</f>
        <v>435</v>
      </c>
      <c r="E125" s="444">
        <f t="shared" ref="E125:M125" si="66">+F124-E124</f>
        <v>1055</v>
      </c>
      <c r="F125" s="444">
        <f t="shared" si="66"/>
        <v>515</v>
      </c>
      <c r="G125" s="444">
        <f t="shared" si="66"/>
        <v>525</v>
      </c>
      <c r="H125" s="444">
        <f t="shared" si="66"/>
        <v>1356.5377777777758</v>
      </c>
      <c r="I125" s="444">
        <f t="shared" si="66"/>
        <v>1217.2131555555552</v>
      </c>
      <c r="J125" s="444">
        <f t="shared" si="66"/>
        <v>1119.6463786666682</v>
      </c>
      <c r="K125" s="444">
        <f t="shared" si="66"/>
        <v>774.61020671999904</v>
      </c>
      <c r="L125" s="444">
        <f t="shared" si="66"/>
        <v>803.02056038400042</v>
      </c>
      <c r="M125" s="444">
        <f t="shared" si="66"/>
        <v>-17546.028079103999</v>
      </c>
    </row>
    <row r="126" spans="2:13">
      <c r="B126" s="384" t="s">
        <v>89</v>
      </c>
      <c r="D126" s="444">
        <f>+D103</f>
        <v>960</v>
      </c>
      <c r="E126" s="444">
        <f t="shared" ref="E126:M126" si="67">+E103</f>
        <v>1090</v>
      </c>
      <c r="F126" s="444">
        <f t="shared" si="67"/>
        <v>1110</v>
      </c>
      <c r="G126" s="444">
        <f t="shared" si="67"/>
        <v>1140</v>
      </c>
      <c r="H126" s="444">
        <f t="shared" si="67"/>
        <v>1793.9199999999992</v>
      </c>
      <c r="I126" s="444">
        <f t="shared" si="67"/>
        <v>2025.848831999999</v>
      </c>
      <c r="J126" s="444">
        <f t="shared" si="67"/>
        <v>2187.916738559999</v>
      </c>
      <c r="K126" s="444">
        <f t="shared" si="67"/>
        <v>2319.1917428736001</v>
      </c>
      <c r="L126" s="444">
        <f t="shared" si="67"/>
        <v>2435.1513300172796</v>
      </c>
      <c r="M126" s="444">
        <f t="shared" si="67"/>
        <v>2556.9088965181445</v>
      </c>
    </row>
    <row r="127" spans="2:13">
      <c r="B127" s="384" t="s">
        <v>35</v>
      </c>
      <c r="D127" s="444">
        <f>+D114</f>
        <v>525</v>
      </c>
      <c r="E127" s="444">
        <f t="shared" ref="E127:M127" si="68">+E114</f>
        <v>35</v>
      </c>
      <c r="F127" s="444">
        <f t="shared" si="68"/>
        <v>595</v>
      </c>
      <c r="G127" s="444">
        <f t="shared" si="68"/>
        <v>615</v>
      </c>
      <c r="H127" s="444">
        <f t="shared" si="68"/>
        <v>437.38222222222294</v>
      </c>
      <c r="I127" s="444" t="e">
        <f t="shared" si="68"/>
        <v>#VALUE!</v>
      </c>
      <c r="J127" s="444" t="e">
        <f t="shared" si="68"/>
        <v>#VALUE!</v>
      </c>
      <c r="K127" s="444">
        <f t="shared" si="68"/>
        <v>-13768.9759678464</v>
      </c>
      <c r="L127" s="444">
        <f t="shared" si="68"/>
        <v>1632.1307696332788</v>
      </c>
      <c r="M127" s="444">
        <f t="shared" si="68"/>
        <v>1679.6074925629418</v>
      </c>
    </row>
    <row r="128" spans="2:13">
      <c r="B128" s="384" t="s">
        <v>11</v>
      </c>
      <c r="D128" s="473">
        <f>+E103/D103-1</f>
        <v>0.13541666666666674</v>
      </c>
      <c r="E128" s="473">
        <f t="shared" ref="E128:L128" si="69">+F103/E103-1</f>
        <v>1.8348623853210899E-2</v>
      </c>
      <c r="F128" s="473">
        <f t="shared" si="69"/>
        <v>2.7027027027026973E-2</v>
      </c>
      <c r="G128" s="473">
        <f t="shared" si="69"/>
        <v>0.57361403508771858</v>
      </c>
      <c r="H128" s="473">
        <f t="shared" si="69"/>
        <v>0.12928605066000709</v>
      </c>
      <c r="I128" s="473">
        <f t="shared" si="69"/>
        <v>8.0000000000000071E-2</v>
      </c>
      <c r="J128" s="473">
        <f t="shared" si="69"/>
        <v>6.0000000000000497E-2</v>
      </c>
      <c r="K128" s="473">
        <f t="shared" si="69"/>
        <v>4.9999999999999822E-2</v>
      </c>
      <c r="L128" s="473">
        <f t="shared" si="69"/>
        <v>5.0000000000000266E-2</v>
      </c>
      <c r="M128" s="473"/>
    </row>
    <row r="129" spans="2:13">
      <c r="B129" s="384" t="s">
        <v>8</v>
      </c>
      <c r="D129" s="473">
        <f>+D126/D124</f>
        <v>9.8512057465366856E-2</v>
      </c>
      <c r="E129" s="473">
        <f t="shared" ref="E129:M129" si="70">+E126/E124</f>
        <v>0.10707269155206287</v>
      </c>
      <c r="F129" s="473">
        <f t="shared" si="70"/>
        <v>9.879839786381843E-2</v>
      </c>
      <c r="G129" s="473">
        <f t="shared" si="70"/>
        <v>9.7021276595744679E-2</v>
      </c>
      <c r="H129" s="473">
        <f t="shared" si="70"/>
        <v>0.14614419551934821</v>
      </c>
      <c r="I129" s="473">
        <f t="shared" si="70"/>
        <v>0.14861484192213084</v>
      </c>
      <c r="J129" s="473">
        <f t="shared" si="70"/>
        <v>0.14734685418208729</v>
      </c>
      <c r="K129" s="473">
        <f t="shared" si="70"/>
        <v>0.14523635012079542</v>
      </c>
      <c r="L129" s="473">
        <f t="shared" si="70"/>
        <v>0.14544288577154307</v>
      </c>
      <c r="M129" s="473">
        <f t="shared" si="70"/>
        <v>0.14572579531906887</v>
      </c>
    </row>
    <row r="130" spans="2:13">
      <c r="B130" s="384" t="s">
        <v>9</v>
      </c>
      <c r="E130" s="473">
        <f>+(E126-D126)/D125</f>
        <v>0.2988505747126437</v>
      </c>
      <c r="F130" s="473">
        <f t="shared" ref="F130:M130" si="71">+(F126-E126)/E125</f>
        <v>1.8957345971563982E-2</v>
      </c>
      <c r="G130" s="473">
        <f t="shared" si="71"/>
        <v>5.8252427184466021E-2</v>
      </c>
      <c r="H130" s="473">
        <f t="shared" si="71"/>
        <v>1.2455619047619031</v>
      </c>
      <c r="I130" s="473">
        <f t="shared" si="71"/>
        <v>0.17097115598205903</v>
      </c>
      <c r="J130" s="473">
        <f t="shared" si="71"/>
        <v>0.13314669318212358</v>
      </c>
      <c r="K130" s="473">
        <f t="shared" si="71"/>
        <v>0.11724684401688512</v>
      </c>
      <c r="L130" s="473">
        <f t="shared" si="71"/>
        <v>0.14970056699187781</v>
      </c>
      <c r="M130" s="473">
        <f t="shared" si="71"/>
        <v>0.15162446954364531</v>
      </c>
    </row>
    <row r="131" spans="2:13">
      <c r="B131" s="384" t="s">
        <v>10</v>
      </c>
      <c r="D131" s="473">
        <f>+D125/D126</f>
        <v>0.453125</v>
      </c>
      <c r="E131" s="473">
        <f t="shared" ref="E131:M131" si="72">+E125/E126</f>
        <v>0.9678899082568807</v>
      </c>
      <c r="F131" s="473">
        <f t="shared" si="72"/>
        <v>0.46396396396396394</v>
      </c>
      <c r="G131" s="473">
        <f t="shared" si="72"/>
        <v>0.46052631578947367</v>
      </c>
      <c r="H131" s="473">
        <f t="shared" si="72"/>
        <v>0.75618632814048359</v>
      </c>
      <c r="I131" s="473">
        <f t="shared" si="72"/>
        <v>0.60084105799437848</v>
      </c>
      <c r="J131" s="473">
        <f t="shared" si="72"/>
        <v>0.51174085326646179</v>
      </c>
      <c r="K131" s="473">
        <f t="shared" si="72"/>
        <v>0.33400007097309531</v>
      </c>
      <c r="L131" s="473">
        <f t="shared" si="72"/>
        <v>0.32976207699515014</v>
      </c>
      <c r="M131" s="473">
        <f t="shared" si="72"/>
        <v>-6.8622030698853598</v>
      </c>
    </row>
  </sheetData>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CCC7A-D846-C34F-9956-6F6E4C94FD67}">
  <sheetPr codeName="Sheet47"/>
  <dimension ref="B1:T104"/>
  <sheetViews>
    <sheetView zoomScaleNormal="100" workbookViewId="0">
      <selection activeCell="D99" sqref="D99"/>
    </sheetView>
  </sheetViews>
  <sheetFormatPr baseColWidth="10" defaultColWidth="8.83203125" defaultRowHeight="16"/>
  <cols>
    <col min="2" max="2" width="67.83203125" customWidth="1"/>
    <col min="3" max="3" width="25.1640625" bestFit="1" customWidth="1"/>
    <col min="4" max="9" width="11.1640625" bestFit="1" customWidth="1"/>
    <col min="10" max="10" width="8.6640625" bestFit="1" customWidth="1"/>
    <col min="11" max="11" width="6.5" bestFit="1" customWidth="1"/>
    <col min="12" max="12" width="66.33203125" bestFit="1" customWidth="1"/>
  </cols>
  <sheetData>
    <row r="1" spans="2:12">
      <c r="K1" s="474"/>
      <c r="L1" s="80"/>
    </row>
    <row r="2" spans="2:12">
      <c r="B2" t="s">
        <v>404</v>
      </c>
      <c r="D2" s="11"/>
      <c r="E2" s="11"/>
      <c r="F2" s="11"/>
      <c r="G2" s="11"/>
      <c r="H2" s="11"/>
      <c r="I2" s="11"/>
      <c r="J2" s="11"/>
      <c r="K2" s="474"/>
      <c r="L2" s="80"/>
    </row>
    <row r="3" spans="2:12">
      <c r="D3" s="12"/>
      <c r="E3" s="11"/>
      <c r="F3" s="11"/>
      <c r="G3" s="11"/>
      <c r="H3" s="11"/>
      <c r="I3" s="11"/>
      <c r="J3" s="11"/>
      <c r="K3" s="474"/>
      <c r="L3" s="80"/>
    </row>
    <row r="4" spans="2:12">
      <c r="B4" t="s">
        <v>405</v>
      </c>
      <c r="D4" s="12"/>
      <c r="E4" s="41"/>
      <c r="F4" s="41"/>
      <c r="G4" s="41"/>
      <c r="H4" s="41"/>
      <c r="I4" s="41"/>
      <c r="J4" s="41"/>
      <c r="K4" s="474"/>
      <c r="L4" s="80"/>
    </row>
    <row r="5" spans="2:12">
      <c r="D5" s="41"/>
      <c r="E5" s="41"/>
      <c r="F5" s="41"/>
      <c r="G5" s="41"/>
      <c r="H5" s="41"/>
      <c r="I5" s="41"/>
      <c r="J5" s="41"/>
      <c r="K5" s="474"/>
      <c r="L5" s="80"/>
    </row>
    <row r="6" spans="2:12">
      <c r="D6" s="14"/>
      <c r="E6" s="14"/>
      <c r="F6" s="14"/>
      <c r="G6" s="14"/>
      <c r="H6" s="14"/>
      <c r="I6" s="14"/>
      <c r="J6" s="14"/>
      <c r="K6" s="474"/>
      <c r="L6" s="80"/>
    </row>
    <row r="7" spans="2:12">
      <c r="D7" s="14"/>
      <c r="E7" s="14"/>
      <c r="F7" s="14"/>
      <c r="G7" s="14"/>
      <c r="H7" s="14"/>
      <c r="I7" s="14"/>
      <c r="J7" s="14"/>
      <c r="K7" s="474"/>
      <c r="L7" s="80"/>
    </row>
    <row r="8" spans="2:12">
      <c r="D8" s="14"/>
      <c r="E8" s="14"/>
      <c r="F8" s="14"/>
      <c r="G8" s="14"/>
      <c r="H8" s="14"/>
      <c r="I8" s="14"/>
      <c r="J8" s="14"/>
      <c r="K8" s="474"/>
      <c r="L8" s="80"/>
    </row>
    <row r="9" spans="2:12">
      <c r="D9" s="14"/>
      <c r="E9" s="14"/>
      <c r="F9" s="14"/>
      <c r="G9" s="14"/>
      <c r="H9" s="14"/>
      <c r="I9" s="14"/>
      <c r="J9" s="14"/>
      <c r="K9" s="474"/>
      <c r="L9" s="80"/>
    </row>
    <row r="10" spans="2:12">
      <c r="D10" s="14"/>
      <c r="E10" s="14"/>
      <c r="F10" s="14"/>
      <c r="G10" s="14"/>
      <c r="H10" s="14"/>
      <c r="I10" s="14"/>
      <c r="J10" s="14"/>
      <c r="K10" s="474"/>
      <c r="L10" s="80"/>
    </row>
    <row r="11" spans="2:12">
      <c r="D11" s="14"/>
      <c r="E11" s="14"/>
      <c r="F11" s="14"/>
      <c r="G11" s="14"/>
      <c r="H11" s="14"/>
      <c r="I11" s="14"/>
      <c r="J11" s="14"/>
      <c r="K11" s="474"/>
      <c r="L11" s="81"/>
    </row>
    <row r="12" spans="2:12">
      <c r="D12" s="14"/>
      <c r="E12" s="14"/>
      <c r="F12" s="14"/>
      <c r="G12" s="14"/>
      <c r="H12" s="14"/>
      <c r="I12" s="14"/>
      <c r="J12" s="14"/>
      <c r="K12" s="475"/>
      <c r="L12" s="81"/>
    </row>
    <row r="13" spans="2:12">
      <c r="D13" s="14"/>
      <c r="E13" s="14"/>
      <c r="F13" s="14"/>
      <c r="G13" s="14"/>
      <c r="H13" s="14"/>
      <c r="I13" s="14"/>
      <c r="J13" s="14"/>
      <c r="K13" s="474"/>
      <c r="L13" s="81"/>
    </row>
    <row r="14" spans="2:12">
      <c r="D14" s="14"/>
      <c r="E14" s="14"/>
      <c r="F14" s="14"/>
      <c r="G14" s="14"/>
      <c r="H14" s="14"/>
      <c r="I14" s="14"/>
      <c r="J14" s="14"/>
      <c r="K14" s="474"/>
      <c r="L14" s="81"/>
    </row>
    <row r="15" spans="2:12">
      <c r="D15" s="14"/>
      <c r="E15" s="14"/>
      <c r="F15" s="14"/>
      <c r="G15" s="14"/>
      <c r="H15" s="14"/>
      <c r="I15" s="14"/>
      <c r="J15" s="14"/>
      <c r="K15" s="474"/>
      <c r="L15" s="81"/>
    </row>
    <row r="16" spans="2:12">
      <c r="D16" s="14"/>
      <c r="E16" s="14"/>
      <c r="F16" s="14"/>
      <c r="G16" s="14"/>
      <c r="H16" s="14"/>
      <c r="I16" s="14"/>
      <c r="J16" s="14"/>
      <c r="K16" s="474"/>
      <c r="L16" s="81"/>
    </row>
    <row r="17" spans="2:12">
      <c r="D17" s="14"/>
      <c r="E17" s="14"/>
      <c r="F17" s="14"/>
      <c r="G17" s="14"/>
      <c r="H17" s="14"/>
      <c r="I17" s="14"/>
      <c r="J17" s="14"/>
      <c r="K17" s="474"/>
      <c r="L17" s="80"/>
    </row>
    <row r="18" spans="2:12">
      <c r="B18" s="476"/>
    </row>
    <row r="19" spans="2:12">
      <c r="B19" s="80"/>
      <c r="D19" s="14"/>
      <c r="E19" s="14"/>
      <c r="F19" s="14"/>
      <c r="G19" s="14"/>
    </row>
    <row r="20" spans="2:12">
      <c r="B20" s="476" t="s">
        <v>406</v>
      </c>
    </row>
    <row r="21" spans="2:12">
      <c r="B21" s="80" t="s">
        <v>407</v>
      </c>
      <c r="C21" s="477" t="s">
        <v>8</v>
      </c>
      <c r="D21" s="478"/>
      <c r="E21" s="478"/>
      <c r="F21" s="478"/>
      <c r="G21" s="478"/>
      <c r="H21" s="478"/>
      <c r="I21" s="478"/>
    </row>
    <row r="22" spans="2:12">
      <c r="B22" s="80" t="s">
        <v>408</v>
      </c>
      <c r="C22" s="477" t="s">
        <v>9</v>
      </c>
      <c r="D22" s="478"/>
      <c r="E22" s="478"/>
      <c r="F22" s="478"/>
      <c r="G22" s="478"/>
      <c r="H22" s="478"/>
      <c r="I22" s="478"/>
      <c r="J22" s="479">
        <f>I22</f>
        <v>0</v>
      </c>
      <c r="L22" t="s">
        <v>409</v>
      </c>
    </row>
    <row r="23" spans="2:12">
      <c r="B23" s="80" t="s">
        <v>410</v>
      </c>
      <c r="C23" s="477" t="s">
        <v>10</v>
      </c>
      <c r="D23" s="478"/>
      <c r="E23" s="478"/>
      <c r="F23" s="478"/>
      <c r="G23" s="478"/>
      <c r="H23" s="478"/>
      <c r="I23" s="478"/>
      <c r="J23" s="479"/>
    </row>
    <row r="24" spans="2:12">
      <c r="B24" s="80" t="s">
        <v>411</v>
      </c>
      <c r="C24" s="477" t="s">
        <v>11</v>
      </c>
      <c r="D24" s="478"/>
      <c r="E24" s="478"/>
      <c r="F24" s="478"/>
      <c r="G24" s="478"/>
      <c r="H24" s="478"/>
      <c r="I24" s="478"/>
      <c r="J24" s="479">
        <f t="shared" ref="J24" si="0">I24</f>
        <v>0</v>
      </c>
    </row>
    <row r="25" spans="2:12">
      <c r="B25" s="80"/>
      <c r="D25" s="87"/>
      <c r="E25" s="87"/>
      <c r="F25" s="87"/>
      <c r="G25" s="87"/>
      <c r="H25" s="87"/>
      <c r="I25" s="87"/>
      <c r="J25" s="479"/>
    </row>
    <row r="26" spans="2:12">
      <c r="B26" s="80"/>
      <c r="C26" s="480" t="s">
        <v>33</v>
      </c>
      <c r="D26" s="481"/>
      <c r="E26" s="481"/>
      <c r="F26" s="481"/>
      <c r="G26" s="481"/>
      <c r="H26" s="481"/>
      <c r="I26" s="481"/>
      <c r="J26" s="479"/>
    </row>
    <row r="27" spans="2:12">
      <c r="B27" s="80"/>
      <c r="D27" s="87"/>
      <c r="E27" s="87"/>
      <c r="F27" s="87"/>
      <c r="G27" s="87"/>
      <c r="H27" s="87"/>
      <c r="I27" s="87"/>
      <c r="J27" s="479"/>
    </row>
    <row r="28" spans="2:12">
      <c r="B28" s="80"/>
      <c r="C28" s="258" t="s">
        <v>135</v>
      </c>
      <c r="D28" s="482"/>
      <c r="E28" s="482"/>
      <c r="F28" s="482"/>
      <c r="G28" s="482"/>
      <c r="H28" s="482"/>
      <c r="I28" s="482"/>
      <c r="J28" s="479"/>
    </row>
    <row r="29" spans="2:12">
      <c r="B29" s="80"/>
      <c r="C29" s="258" t="s">
        <v>6</v>
      </c>
      <c r="D29" s="482"/>
      <c r="E29" s="482"/>
      <c r="F29" s="482"/>
      <c r="G29" s="482"/>
      <c r="H29" s="482"/>
      <c r="I29" s="482"/>
      <c r="J29" s="479"/>
      <c r="K29" s="14"/>
    </row>
    <row r="30" spans="2:12">
      <c r="B30" s="80" t="s">
        <v>412</v>
      </c>
      <c r="C30" s="258" t="s">
        <v>413</v>
      </c>
      <c r="D30" s="482">
        <f>(D28-D29*D34)/(1-D34)</f>
        <v>0</v>
      </c>
      <c r="E30" s="482">
        <f t="shared" ref="E30:I30" si="1">(E28-E29*E34)/(1-E34)</f>
        <v>0</v>
      </c>
      <c r="F30" s="482">
        <f t="shared" si="1"/>
        <v>0</v>
      </c>
      <c r="G30" s="482">
        <f t="shared" si="1"/>
        <v>0</v>
      </c>
      <c r="H30" s="482">
        <f t="shared" si="1"/>
        <v>0</v>
      </c>
      <c r="I30" s="482">
        <f t="shared" si="1"/>
        <v>0</v>
      </c>
      <c r="J30" s="479"/>
    </row>
    <row r="31" spans="2:12">
      <c r="B31" s="80" t="s">
        <v>414</v>
      </c>
      <c r="C31" s="258" t="s">
        <v>143</v>
      </c>
      <c r="D31" s="482">
        <f>D28-D29*D34*D26</f>
        <v>0</v>
      </c>
      <c r="E31" s="482">
        <f t="shared" ref="E31:I31" si="2">E28-E29*E34*E26</f>
        <v>0</v>
      </c>
      <c r="F31" s="482">
        <f t="shared" si="2"/>
        <v>0</v>
      </c>
      <c r="G31" s="482">
        <f t="shared" si="2"/>
        <v>0</v>
      </c>
      <c r="H31" s="482">
        <f t="shared" si="2"/>
        <v>0</v>
      </c>
      <c r="I31" s="482">
        <f t="shared" si="2"/>
        <v>0</v>
      </c>
      <c r="J31" s="479">
        <f>I31</f>
        <v>0</v>
      </c>
    </row>
    <row r="32" spans="2:12">
      <c r="D32" s="87"/>
      <c r="E32" s="87"/>
      <c r="F32" s="87"/>
      <c r="G32" s="87"/>
      <c r="H32" s="87"/>
      <c r="I32" s="87"/>
    </row>
    <row r="33" spans="2:12">
      <c r="C33" s="483" t="s">
        <v>415</v>
      </c>
      <c r="D33" s="484"/>
      <c r="E33" s="484"/>
      <c r="F33" s="484"/>
      <c r="G33" s="484"/>
      <c r="H33" s="484"/>
      <c r="I33" s="484"/>
    </row>
    <row r="34" spans="2:12">
      <c r="B34" t="s">
        <v>416</v>
      </c>
      <c r="C34" s="483" t="s">
        <v>417</v>
      </c>
      <c r="D34" s="484"/>
      <c r="E34" s="484"/>
      <c r="F34" s="484"/>
      <c r="G34" s="484"/>
      <c r="H34" s="484"/>
      <c r="I34" s="484"/>
    </row>
    <row r="35" spans="2:12">
      <c r="D35" s="485"/>
      <c r="E35" s="485"/>
      <c r="F35" s="485"/>
      <c r="G35" s="485"/>
      <c r="H35" s="485"/>
      <c r="I35" s="485"/>
    </row>
    <row r="36" spans="2:12">
      <c r="B36" s="486" t="s">
        <v>418</v>
      </c>
      <c r="C36" s="80"/>
      <c r="D36" s="80"/>
      <c r="E36" s="80"/>
      <c r="F36" s="80"/>
      <c r="G36" s="80"/>
      <c r="H36" s="80"/>
      <c r="I36" s="80"/>
      <c r="J36" s="80"/>
    </row>
    <row r="37" spans="2:12">
      <c r="B37" t="s">
        <v>419</v>
      </c>
      <c r="C37" s="81" t="s">
        <v>128</v>
      </c>
      <c r="D37" s="487"/>
      <c r="E37" s="487"/>
      <c r="F37" s="487"/>
      <c r="G37" s="487"/>
      <c r="H37" s="487"/>
      <c r="I37" s="487"/>
      <c r="J37" s="487"/>
      <c r="L37" t="s">
        <v>420</v>
      </c>
    </row>
    <row r="38" spans="2:12">
      <c r="B38" s="80"/>
      <c r="C38" s="81" t="s">
        <v>129</v>
      </c>
      <c r="D38" s="487"/>
      <c r="E38" s="487"/>
      <c r="F38" s="487"/>
      <c r="G38" s="487"/>
      <c r="H38" s="487"/>
      <c r="I38" s="487"/>
      <c r="J38" s="487"/>
      <c r="L38" t="s">
        <v>421</v>
      </c>
    </row>
    <row r="39" spans="2:12">
      <c r="B39" s="80"/>
      <c r="C39" s="81" t="s">
        <v>130</v>
      </c>
      <c r="D39" s="487"/>
      <c r="E39" s="487"/>
      <c r="F39" s="487"/>
      <c r="G39" s="487"/>
      <c r="H39" s="487"/>
      <c r="I39" s="487"/>
      <c r="J39" s="487"/>
    </row>
    <row r="40" spans="2:12">
      <c r="B40" s="80"/>
      <c r="C40" s="81"/>
      <c r="D40" s="88"/>
      <c r="E40" s="88"/>
      <c r="F40" s="88"/>
      <c r="G40" s="88"/>
      <c r="H40" s="88"/>
      <c r="I40" s="88"/>
      <c r="J40" s="88"/>
    </row>
    <row r="41" spans="2:12">
      <c r="B41" s="486" t="s">
        <v>422</v>
      </c>
      <c r="C41" s="80"/>
      <c r="D41" s="80"/>
      <c r="E41" s="80"/>
      <c r="F41" s="80"/>
      <c r="G41" s="80"/>
      <c r="H41" s="80"/>
      <c r="I41" s="80"/>
      <c r="J41" s="80"/>
    </row>
    <row r="42" spans="2:12">
      <c r="B42" s="80"/>
      <c r="C42" s="81" t="s">
        <v>3</v>
      </c>
      <c r="D42" s="88"/>
      <c r="E42" s="88"/>
      <c r="F42" s="88"/>
      <c r="G42" s="88"/>
      <c r="H42" s="88"/>
      <c r="I42" s="88"/>
      <c r="J42" s="88"/>
    </row>
    <row r="43" spans="2:12">
      <c r="B43" s="80" t="s">
        <v>423</v>
      </c>
      <c r="C43" s="81" t="s">
        <v>26</v>
      </c>
      <c r="D43" s="487"/>
      <c r="E43" s="487"/>
      <c r="F43" s="487"/>
      <c r="G43" s="487"/>
      <c r="H43" s="487"/>
      <c r="I43" s="487"/>
      <c r="J43" s="80"/>
    </row>
    <row r="44" spans="2:12">
      <c r="B44" s="80" t="s">
        <v>424</v>
      </c>
      <c r="C44" s="81" t="s">
        <v>174</v>
      </c>
      <c r="D44" s="488">
        <f t="shared" ref="D44:I44" si="3">+D38*D29</f>
        <v>0</v>
      </c>
      <c r="E44" s="488">
        <f t="shared" si="3"/>
        <v>0</v>
      </c>
      <c r="F44" s="488">
        <f t="shared" si="3"/>
        <v>0</v>
      </c>
      <c r="G44" s="488">
        <f t="shared" si="3"/>
        <v>0</v>
      </c>
      <c r="H44" s="488">
        <f t="shared" si="3"/>
        <v>0</v>
      </c>
      <c r="I44" s="488">
        <f t="shared" si="3"/>
        <v>0</v>
      </c>
      <c r="J44" s="80"/>
    </row>
    <row r="45" spans="2:12">
      <c r="B45" s="80" t="s">
        <v>425</v>
      </c>
      <c r="C45" s="81" t="s">
        <v>47</v>
      </c>
      <c r="D45" s="488">
        <f>D43-D44</f>
        <v>0</v>
      </c>
      <c r="E45" s="488">
        <f t="shared" ref="E45:I45" si="4">E43-E44</f>
        <v>0</v>
      </c>
      <c r="F45" s="488">
        <f t="shared" si="4"/>
        <v>0</v>
      </c>
      <c r="G45" s="488">
        <f t="shared" si="4"/>
        <v>0</v>
      </c>
      <c r="H45" s="488">
        <f t="shared" si="4"/>
        <v>0</v>
      </c>
      <c r="I45" s="488">
        <f t="shared" si="4"/>
        <v>0</v>
      </c>
      <c r="J45" s="80"/>
    </row>
    <row r="46" spans="2:12">
      <c r="B46" s="82" t="s">
        <v>426</v>
      </c>
      <c r="C46" s="81" t="s">
        <v>48</v>
      </c>
      <c r="D46" s="488">
        <f t="shared" ref="D46:I46" si="5">+IF(D45&lt;0,0,D45*D26)</f>
        <v>0</v>
      </c>
      <c r="E46" s="488">
        <f t="shared" si="5"/>
        <v>0</v>
      </c>
      <c r="F46" s="488">
        <f t="shared" si="5"/>
        <v>0</v>
      </c>
      <c r="G46" s="488">
        <f t="shared" si="5"/>
        <v>0</v>
      </c>
      <c r="H46" s="488">
        <f t="shared" si="5"/>
        <v>0</v>
      </c>
      <c r="I46" s="488">
        <f t="shared" si="5"/>
        <v>0</v>
      </c>
      <c r="J46" s="80"/>
    </row>
    <row r="47" spans="2:12">
      <c r="B47" s="80" t="s">
        <v>427</v>
      </c>
      <c r="C47" s="81" t="s">
        <v>49</v>
      </c>
      <c r="D47" s="488">
        <f>D45-D46</f>
        <v>0</v>
      </c>
      <c r="E47" s="488">
        <f t="shared" ref="E47:I47" si="6">E45-E46</f>
        <v>0</v>
      </c>
      <c r="F47" s="488">
        <f t="shared" si="6"/>
        <v>0</v>
      </c>
      <c r="G47" s="488">
        <f t="shared" si="6"/>
        <v>0</v>
      </c>
      <c r="H47" s="488">
        <f t="shared" si="6"/>
        <v>0</v>
      </c>
      <c r="I47" s="488">
        <f t="shared" si="6"/>
        <v>0</v>
      </c>
      <c r="J47" s="80"/>
    </row>
    <row r="48" spans="2:12">
      <c r="B48" s="80" t="s">
        <v>428</v>
      </c>
      <c r="C48" s="81" t="s">
        <v>50</v>
      </c>
      <c r="D48" s="488">
        <f>+D47-D49</f>
        <v>0</v>
      </c>
      <c r="E48" s="488">
        <f t="shared" ref="E48:I48" si="7">+E47-E49</f>
        <v>0</v>
      </c>
      <c r="F48" s="488">
        <f t="shared" si="7"/>
        <v>0</v>
      </c>
      <c r="G48" s="488">
        <f t="shared" si="7"/>
        <v>0</v>
      </c>
      <c r="H48" s="488">
        <f t="shared" si="7"/>
        <v>0</v>
      </c>
      <c r="I48" s="488">
        <f t="shared" si="7"/>
        <v>0</v>
      </c>
      <c r="J48" s="80"/>
    </row>
    <row r="49" spans="2:20">
      <c r="B49" s="80"/>
      <c r="C49" s="81" t="s">
        <v>51</v>
      </c>
      <c r="D49" s="488">
        <f>+IF(D47&lt;0,D47,MAX(0,MIN(D47,D51)))</f>
        <v>0</v>
      </c>
      <c r="E49" s="488">
        <f t="shared" ref="E49:I49" si="8">+IF(E47&lt;0,E47,MAX(0,MIN(E47,E51)))</f>
        <v>0</v>
      </c>
      <c r="F49" s="488">
        <f t="shared" si="8"/>
        <v>0</v>
      </c>
      <c r="G49" s="488">
        <f t="shared" si="8"/>
        <v>0</v>
      </c>
      <c r="H49" s="488">
        <f t="shared" si="8"/>
        <v>0</v>
      </c>
      <c r="I49" s="488">
        <f t="shared" si="8"/>
        <v>0</v>
      </c>
      <c r="J49" s="80"/>
    </row>
    <row r="50" spans="2:20">
      <c r="B50" s="80"/>
      <c r="C50" s="81"/>
      <c r="D50" s="80"/>
      <c r="E50" s="80"/>
      <c r="F50" s="80"/>
      <c r="G50" s="80"/>
      <c r="H50" s="80"/>
      <c r="I50" s="80"/>
      <c r="J50" s="80"/>
    </row>
    <row r="51" spans="2:20">
      <c r="B51" s="80"/>
      <c r="C51" s="81" t="s">
        <v>119</v>
      </c>
      <c r="D51" s="488">
        <f t="shared" ref="D51:I51" si="9">+E39-D39</f>
        <v>0</v>
      </c>
      <c r="E51" s="488">
        <f t="shared" si="9"/>
        <v>0</v>
      </c>
      <c r="F51" s="488">
        <f t="shared" si="9"/>
        <v>0</v>
      </c>
      <c r="G51" s="488">
        <f t="shared" si="9"/>
        <v>0</v>
      </c>
      <c r="H51" s="488">
        <f t="shared" si="9"/>
        <v>0</v>
      </c>
      <c r="I51" s="488">
        <f t="shared" si="9"/>
        <v>0</v>
      </c>
      <c r="J51" s="88"/>
    </row>
    <row r="52" spans="2:20">
      <c r="B52" s="80" t="s">
        <v>429</v>
      </c>
      <c r="C52" s="81" t="s">
        <v>120</v>
      </c>
      <c r="D52" s="488">
        <f>+D51-D49</f>
        <v>0</v>
      </c>
      <c r="E52" s="488">
        <f t="shared" ref="E52:I52" si="10">+E51-E49</f>
        <v>0</v>
      </c>
      <c r="F52" s="488">
        <f t="shared" si="10"/>
        <v>0</v>
      </c>
      <c r="G52" s="488">
        <f t="shared" si="10"/>
        <v>0</v>
      </c>
      <c r="H52" s="488">
        <f t="shared" si="10"/>
        <v>0</v>
      </c>
      <c r="I52" s="488">
        <f t="shared" si="10"/>
        <v>0</v>
      </c>
      <c r="J52" s="88"/>
    </row>
    <row r="53" spans="2:20">
      <c r="B53" s="80" t="s">
        <v>430</v>
      </c>
      <c r="C53" s="81" t="s">
        <v>121</v>
      </c>
      <c r="D53" s="115" t="e">
        <f>D48/D47</f>
        <v>#DIV/0!</v>
      </c>
      <c r="E53" s="115" t="e">
        <f t="shared" ref="E53:I53" si="11">E48/E47</f>
        <v>#DIV/0!</v>
      </c>
      <c r="F53" s="115" t="e">
        <f t="shared" si="11"/>
        <v>#DIV/0!</v>
      </c>
      <c r="G53" s="115" t="e">
        <f t="shared" si="11"/>
        <v>#DIV/0!</v>
      </c>
      <c r="H53" s="115" t="e">
        <f t="shared" si="11"/>
        <v>#DIV/0!</v>
      </c>
      <c r="I53" s="115" t="e">
        <f t="shared" si="11"/>
        <v>#DIV/0!</v>
      </c>
      <c r="J53" s="324"/>
    </row>
    <row r="54" spans="2:20">
      <c r="B54" s="80" t="s">
        <v>431</v>
      </c>
      <c r="C54" s="84" t="s">
        <v>122</v>
      </c>
      <c r="D54" s="115" t="e">
        <f>+D46/D45</f>
        <v>#DIV/0!</v>
      </c>
      <c r="E54" s="115" t="e">
        <f t="shared" ref="E54:I54" si="12">+E46/E45</f>
        <v>#DIV/0!</v>
      </c>
      <c r="F54" s="115" t="e">
        <f t="shared" si="12"/>
        <v>#DIV/0!</v>
      </c>
      <c r="G54" s="115" t="e">
        <f t="shared" si="12"/>
        <v>#DIV/0!</v>
      </c>
      <c r="H54" s="115" t="e">
        <f t="shared" si="12"/>
        <v>#DIV/0!</v>
      </c>
      <c r="I54" s="115" t="e">
        <f t="shared" si="12"/>
        <v>#DIV/0!</v>
      </c>
      <c r="J54" s="324"/>
    </row>
    <row r="55" spans="2:20">
      <c r="B55" s="80"/>
      <c r="C55" s="84"/>
      <c r="D55" s="115"/>
      <c r="E55" s="115"/>
      <c r="F55" s="115"/>
      <c r="G55" s="115"/>
      <c r="H55" s="115"/>
      <c r="I55" s="115"/>
      <c r="J55" s="324"/>
    </row>
    <row r="56" spans="2:20">
      <c r="B56" s="486" t="s">
        <v>432</v>
      </c>
      <c r="C56" s="489"/>
      <c r="D56" s="489"/>
      <c r="E56" s="489"/>
      <c r="F56" s="489"/>
      <c r="G56" s="489"/>
      <c r="H56" s="489"/>
      <c r="I56" s="489"/>
      <c r="J56" s="489"/>
      <c r="O56" s="490"/>
      <c r="P56" s="490"/>
      <c r="Q56" s="490"/>
      <c r="R56" s="490"/>
      <c r="S56" s="490"/>
      <c r="T56" s="490"/>
    </row>
    <row r="57" spans="2:20">
      <c r="B57" s="80" t="s">
        <v>433</v>
      </c>
      <c r="C57" s="491" t="s">
        <v>34</v>
      </c>
      <c r="D57" s="492"/>
      <c r="E57" s="492"/>
      <c r="F57" s="492"/>
      <c r="G57" s="492"/>
      <c r="H57" s="492"/>
      <c r="I57" s="492"/>
      <c r="J57" s="489"/>
      <c r="O57" s="490"/>
      <c r="P57" s="490"/>
      <c r="Q57" s="490"/>
      <c r="R57" s="490"/>
      <c r="S57" s="490"/>
      <c r="T57" s="490"/>
    </row>
    <row r="58" spans="2:20">
      <c r="B58" s="80" t="s">
        <v>434</v>
      </c>
      <c r="C58" s="491" t="s">
        <v>2</v>
      </c>
      <c r="D58" s="492"/>
      <c r="E58" s="492"/>
      <c r="F58" s="492"/>
      <c r="G58" s="492"/>
      <c r="H58" s="492"/>
      <c r="I58" s="492"/>
      <c r="J58" s="493"/>
      <c r="O58" s="490"/>
      <c r="P58" s="490"/>
      <c r="Q58" s="490"/>
      <c r="R58" s="490"/>
      <c r="S58" s="490"/>
      <c r="T58" s="490"/>
    </row>
    <row r="59" spans="2:20">
      <c r="B59" s="80" t="s">
        <v>435</v>
      </c>
      <c r="C59" s="494" t="s">
        <v>35</v>
      </c>
      <c r="D59" s="495">
        <f>D57-D58</f>
        <v>0</v>
      </c>
      <c r="E59" s="495">
        <f t="shared" ref="E59:I59" si="13">E57-E58</f>
        <v>0</v>
      </c>
      <c r="F59" s="495">
        <f t="shared" si="13"/>
        <v>0</v>
      </c>
      <c r="G59" s="495">
        <f t="shared" si="13"/>
        <v>0</v>
      </c>
      <c r="H59" s="495">
        <f t="shared" si="13"/>
        <v>0</v>
      </c>
      <c r="I59" s="495">
        <f t="shared" si="13"/>
        <v>0</v>
      </c>
      <c r="J59" s="493"/>
      <c r="O59" s="490"/>
      <c r="P59" s="490"/>
      <c r="Q59" s="490"/>
      <c r="R59" s="490"/>
      <c r="S59" s="490"/>
      <c r="T59" s="490"/>
    </row>
    <row r="60" spans="2:20">
      <c r="B60" s="80"/>
      <c r="C60" s="491" t="s">
        <v>174</v>
      </c>
      <c r="D60" s="496">
        <f t="shared" ref="D60:I60" si="14">+D44</f>
        <v>0</v>
      </c>
      <c r="E60" s="496">
        <f t="shared" si="14"/>
        <v>0</v>
      </c>
      <c r="F60" s="496">
        <f t="shared" si="14"/>
        <v>0</v>
      </c>
      <c r="G60" s="496">
        <f t="shared" si="14"/>
        <v>0</v>
      </c>
      <c r="H60" s="496">
        <f t="shared" si="14"/>
        <v>0</v>
      </c>
      <c r="I60" s="496">
        <f t="shared" si="14"/>
        <v>0</v>
      </c>
      <c r="J60" s="489"/>
      <c r="O60" s="490"/>
      <c r="P60" s="490"/>
      <c r="Q60" s="490"/>
      <c r="R60" s="490"/>
      <c r="S60" s="490"/>
      <c r="T60" s="490"/>
    </row>
    <row r="61" spans="2:20">
      <c r="B61" s="80" t="s">
        <v>436</v>
      </c>
      <c r="C61" s="491" t="s">
        <v>201</v>
      </c>
      <c r="D61" s="496" t="e">
        <f t="shared" ref="D61:I61" si="15">D60*D54</f>
        <v>#DIV/0!</v>
      </c>
      <c r="E61" s="496" t="e">
        <f t="shared" si="15"/>
        <v>#DIV/0!</v>
      </c>
      <c r="F61" s="496" t="e">
        <f t="shared" si="15"/>
        <v>#DIV/0!</v>
      </c>
      <c r="G61" s="496" t="e">
        <f t="shared" si="15"/>
        <v>#DIV/0!</v>
      </c>
      <c r="H61" s="496" t="e">
        <f t="shared" si="15"/>
        <v>#DIV/0!</v>
      </c>
      <c r="I61" s="496" t="e">
        <f t="shared" si="15"/>
        <v>#DIV/0!</v>
      </c>
      <c r="J61" s="489"/>
      <c r="O61" s="490"/>
      <c r="P61" s="490"/>
      <c r="Q61" s="490"/>
      <c r="R61" s="490"/>
      <c r="S61" s="490"/>
      <c r="T61" s="490"/>
    </row>
    <row r="62" spans="2:20">
      <c r="B62" s="80"/>
      <c r="C62" s="491" t="s">
        <v>83</v>
      </c>
      <c r="D62" s="496">
        <f t="shared" ref="D62:I62" si="16">E38-D38</f>
        <v>0</v>
      </c>
      <c r="E62" s="496">
        <f t="shared" si="16"/>
        <v>0</v>
      </c>
      <c r="F62" s="496">
        <f t="shared" si="16"/>
        <v>0</v>
      </c>
      <c r="G62" s="496">
        <f t="shared" si="16"/>
        <v>0</v>
      </c>
      <c r="H62" s="496">
        <f t="shared" si="16"/>
        <v>0</v>
      </c>
      <c r="I62" s="496">
        <f t="shared" si="16"/>
        <v>0</v>
      </c>
      <c r="J62" s="493"/>
      <c r="O62" s="490"/>
      <c r="P62" s="490"/>
      <c r="Q62" s="490"/>
      <c r="R62" s="490"/>
      <c r="S62" s="490"/>
      <c r="T62" s="490"/>
    </row>
    <row r="63" spans="2:20">
      <c r="B63" s="80" t="s">
        <v>437</v>
      </c>
      <c r="C63" s="497" t="s">
        <v>125</v>
      </c>
      <c r="D63" s="498" t="e">
        <f>D59-D60+D61+D62</f>
        <v>#DIV/0!</v>
      </c>
      <c r="E63" s="498" t="e">
        <f t="shared" ref="E63:I63" si="17">E59-E60+E61+E62</f>
        <v>#DIV/0!</v>
      </c>
      <c r="F63" s="498" t="e">
        <f t="shared" si="17"/>
        <v>#DIV/0!</v>
      </c>
      <c r="G63" s="498" t="e">
        <f t="shared" si="17"/>
        <v>#DIV/0!</v>
      </c>
      <c r="H63" s="498" t="e">
        <f t="shared" si="17"/>
        <v>#DIV/0!</v>
      </c>
      <c r="I63" s="498" t="e">
        <f t="shared" si="17"/>
        <v>#DIV/0!</v>
      </c>
      <c r="J63" s="493"/>
      <c r="O63" s="490"/>
      <c r="P63" s="490"/>
      <c r="Q63" s="490"/>
      <c r="R63" s="490"/>
      <c r="S63" s="490"/>
      <c r="T63" s="490"/>
    </row>
    <row r="64" spans="2:20">
      <c r="B64" s="80"/>
      <c r="C64" s="491" t="s">
        <v>50</v>
      </c>
      <c r="D64" s="496">
        <f t="shared" ref="D64:I64" si="18">-D48</f>
        <v>0</v>
      </c>
      <c r="E64" s="496">
        <f t="shared" si="18"/>
        <v>0</v>
      </c>
      <c r="F64" s="496">
        <f t="shared" si="18"/>
        <v>0</v>
      </c>
      <c r="G64" s="496">
        <f t="shared" si="18"/>
        <v>0</v>
      </c>
      <c r="H64" s="496">
        <f t="shared" si="18"/>
        <v>0</v>
      </c>
      <c r="I64" s="496">
        <f t="shared" si="18"/>
        <v>0</v>
      </c>
      <c r="J64" s="489"/>
      <c r="O64" s="490"/>
      <c r="P64" s="490"/>
      <c r="Q64" s="490"/>
      <c r="R64" s="490"/>
      <c r="S64" s="490"/>
      <c r="T64" s="490"/>
    </row>
    <row r="65" spans="2:20">
      <c r="B65" s="80"/>
      <c r="C65" s="499" t="s">
        <v>126</v>
      </c>
      <c r="D65" s="500">
        <f t="shared" ref="D65:I65" si="19">D51-D49</f>
        <v>0</v>
      </c>
      <c r="E65" s="500">
        <f t="shared" si="19"/>
        <v>0</v>
      </c>
      <c r="F65" s="500">
        <f t="shared" si="19"/>
        <v>0</v>
      </c>
      <c r="G65" s="500">
        <f t="shared" si="19"/>
        <v>0</v>
      </c>
      <c r="H65" s="500">
        <f t="shared" si="19"/>
        <v>0</v>
      </c>
      <c r="I65" s="500">
        <f t="shared" si="19"/>
        <v>0</v>
      </c>
      <c r="J65" s="501"/>
      <c r="O65" s="490"/>
      <c r="P65" s="490"/>
      <c r="Q65" s="490"/>
      <c r="R65" s="490"/>
      <c r="S65" s="490"/>
      <c r="T65" s="490"/>
    </row>
    <row r="66" spans="2:20">
      <c r="B66" s="80"/>
      <c r="C66" s="491" t="s">
        <v>127</v>
      </c>
      <c r="D66" s="496" t="e">
        <f>SUM(D63:D65)</f>
        <v>#DIV/0!</v>
      </c>
      <c r="E66" s="496" t="e">
        <f t="shared" ref="E66:I66" si="20">SUM(E63:E65)</f>
        <v>#DIV/0!</v>
      </c>
      <c r="F66" s="496" t="e">
        <f t="shared" si="20"/>
        <v>#DIV/0!</v>
      </c>
      <c r="G66" s="496" t="e">
        <f t="shared" si="20"/>
        <v>#DIV/0!</v>
      </c>
      <c r="H66" s="496" t="e">
        <f t="shared" si="20"/>
        <v>#DIV/0!</v>
      </c>
      <c r="I66" s="496" t="e">
        <f t="shared" si="20"/>
        <v>#DIV/0!</v>
      </c>
      <c r="J66" s="493"/>
      <c r="O66" s="490"/>
      <c r="P66" s="490"/>
      <c r="Q66" s="490"/>
      <c r="R66" s="490"/>
      <c r="S66" s="490"/>
      <c r="T66" s="490"/>
    </row>
    <row r="67" spans="2:20">
      <c r="O67" s="490"/>
      <c r="P67" s="490"/>
      <c r="Q67" s="490"/>
      <c r="R67" s="490"/>
      <c r="S67" s="490"/>
      <c r="T67" s="490"/>
    </row>
    <row r="68" spans="2:20">
      <c r="O68" s="490"/>
      <c r="P68" s="490"/>
      <c r="Q68" s="490"/>
      <c r="R68" s="490"/>
      <c r="S68" s="490"/>
      <c r="T68" s="490"/>
    </row>
    <row r="69" spans="2:20">
      <c r="B69" s="502" t="s">
        <v>438</v>
      </c>
      <c r="C69" t="s">
        <v>439</v>
      </c>
      <c r="D69" s="503" t="e">
        <f t="shared" ref="D69:I69" si="21">D59+D61</f>
        <v>#DIV/0!</v>
      </c>
      <c r="E69" s="503" t="e">
        <f t="shared" si="21"/>
        <v>#DIV/0!</v>
      </c>
      <c r="F69" s="503" t="e">
        <f t="shared" si="21"/>
        <v>#DIV/0!</v>
      </c>
      <c r="G69" s="503" t="e">
        <f t="shared" si="21"/>
        <v>#DIV/0!</v>
      </c>
      <c r="H69" s="503" t="e">
        <f t="shared" si="21"/>
        <v>#DIV/0!</v>
      </c>
      <c r="I69" s="503" t="e">
        <f t="shared" si="21"/>
        <v>#DIV/0!</v>
      </c>
      <c r="J69" s="503"/>
      <c r="O69" s="490"/>
      <c r="P69" s="490"/>
      <c r="Q69" s="490"/>
      <c r="R69" s="490"/>
      <c r="S69" s="490"/>
      <c r="T69" s="490"/>
    </row>
    <row r="70" spans="2:20">
      <c r="B70" s="502"/>
      <c r="C70" t="s">
        <v>135</v>
      </c>
      <c r="D70" s="87">
        <f t="shared" ref="D70:I70" si="22">D28</f>
        <v>0</v>
      </c>
      <c r="E70" s="87">
        <f t="shared" si="22"/>
        <v>0</v>
      </c>
      <c r="F70" s="87">
        <f t="shared" si="22"/>
        <v>0</v>
      </c>
      <c r="G70" s="87">
        <f t="shared" si="22"/>
        <v>0</v>
      </c>
      <c r="H70" s="87">
        <f t="shared" si="22"/>
        <v>0</v>
      </c>
      <c r="I70" s="87">
        <f t="shared" si="22"/>
        <v>0</v>
      </c>
      <c r="J70" s="503"/>
      <c r="O70" s="490"/>
      <c r="P70" s="490"/>
      <c r="Q70" s="490"/>
      <c r="R70" s="490"/>
      <c r="S70" s="490"/>
      <c r="T70" s="490"/>
    </row>
    <row r="71" spans="2:20">
      <c r="B71" s="360" t="s">
        <v>440</v>
      </c>
      <c r="C71" s="504" t="s">
        <v>441</v>
      </c>
      <c r="D71" s="505" t="e">
        <f t="shared" ref="D71:G71" si="23">(E71+D69)/(1+D70)</f>
        <v>#DIV/0!</v>
      </c>
      <c r="E71" s="505" t="e">
        <f t="shared" si="23"/>
        <v>#DIV/0!</v>
      </c>
      <c r="F71" s="505" t="e">
        <f t="shared" si="23"/>
        <v>#DIV/0!</v>
      </c>
      <c r="G71" s="505" t="e">
        <f t="shared" si="23"/>
        <v>#DIV/0!</v>
      </c>
      <c r="H71" s="505" t="e">
        <f>(I71+H69)/(1+H70)</f>
        <v>#DIV/0!</v>
      </c>
      <c r="I71" s="505" t="e">
        <f>I69/(I70-I24)</f>
        <v>#DIV/0!</v>
      </c>
      <c r="J71" s="506"/>
      <c r="L71" t="s">
        <v>442</v>
      </c>
      <c r="O71" s="490"/>
      <c r="P71" s="490"/>
      <c r="Q71" s="490"/>
      <c r="R71" s="490"/>
      <c r="S71" s="490"/>
      <c r="T71" s="490"/>
    </row>
    <row r="72" spans="2:20">
      <c r="B72" s="507"/>
      <c r="C72" s="83"/>
      <c r="D72" s="506"/>
      <c r="E72" s="506"/>
      <c r="F72" s="506"/>
      <c r="G72" s="506"/>
      <c r="H72" s="506"/>
      <c r="I72" s="506"/>
      <c r="J72" s="506"/>
      <c r="O72" s="508"/>
      <c r="P72" s="508"/>
      <c r="Q72" s="508"/>
      <c r="R72" s="508"/>
      <c r="S72" s="508"/>
      <c r="T72" s="508"/>
    </row>
    <row r="73" spans="2:20">
      <c r="B73" s="507"/>
      <c r="D73" s="490"/>
      <c r="E73" s="490"/>
      <c r="F73" s="490"/>
      <c r="G73" s="490"/>
      <c r="H73" s="490"/>
      <c r="I73" s="490"/>
      <c r="J73" s="508"/>
    </row>
    <row r="74" spans="2:20">
      <c r="B74" s="502" t="s">
        <v>443</v>
      </c>
      <c r="C74" t="s">
        <v>125</v>
      </c>
      <c r="D74" s="503" t="e">
        <f t="shared" ref="D74:I74" si="24">D63</f>
        <v>#DIV/0!</v>
      </c>
      <c r="E74" s="503" t="e">
        <f t="shared" si="24"/>
        <v>#DIV/0!</v>
      </c>
      <c r="F74" s="503" t="e">
        <f t="shared" si="24"/>
        <v>#DIV/0!</v>
      </c>
      <c r="G74" s="503" t="e">
        <f t="shared" si="24"/>
        <v>#DIV/0!</v>
      </c>
      <c r="H74" s="503" t="e">
        <f t="shared" si="24"/>
        <v>#DIV/0!</v>
      </c>
      <c r="I74" s="503" t="e">
        <f t="shared" si="24"/>
        <v>#DIV/0!</v>
      </c>
      <c r="J74" s="503"/>
    </row>
    <row r="75" spans="2:20">
      <c r="B75" s="502"/>
      <c r="C75" t="s">
        <v>413</v>
      </c>
      <c r="D75" s="87">
        <f t="shared" ref="D75:I75" si="25">D30</f>
        <v>0</v>
      </c>
      <c r="E75" s="87">
        <f t="shared" si="25"/>
        <v>0</v>
      </c>
      <c r="F75" s="87">
        <f t="shared" si="25"/>
        <v>0</v>
      </c>
      <c r="G75" s="87">
        <f t="shared" si="25"/>
        <v>0</v>
      </c>
      <c r="H75" s="87">
        <f t="shared" si="25"/>
        <v>0</v>
      </c>
      <c r="I75" s="87">
        <f t="shared" si="25"/>
        <v>0</v>
      </c>
      <c r="J75" s="503"/>
    </row>
    <row r="76" spans="2:20">
      <c r="C76" s="509" t="s">
        <v>169</v>
      </c>
      <c r="D76" s="510" t="e">
        <f t="shared" ref="D76:G76" si="26">(E76+D74)/(1+D75)</f>
        <v>#DIV/0!</v>
      </c>
      <c r="E76" s="510" t="e">
        <f t="shared" si="26"/>
        <v>#DIV/0!</v>
      </c>
      <c r="F76" s="510" t="e">
        <f t="shared" si="26"/>
        <v>#DIV/0!</v>
      </c>
      <c r="G76" s="510" t="e">
        <f t="shared" si="26"/>
        <v>#DIV/0!</v>
      </c>
      <c r="H76" s="510" t="e">
        <f>(I76+H74)/(1+H75)</f>
        <v>#DIV/0!</v>
      </c>
      <c r="I76" s="511" t="e">
        <f>I74/(I75-I24)</f>
        <v>#DIV/0!</v>
      </c>
      <c r="J76" s="508"/>
    </row>
    <row r="77" spans="2:20">
      <c r="C77" t="s">
        <v>168</v>
      </c>
      <c r="D77" s="506">
        <f>D38</f>
        <v>0</v>
      </c>
      <c r="E77" s="506">
        <f t="shared" ref="E77:I77" si="27">E38</f>
        <v>0</v>
      </c>
      <c r="F77" s="506">
        <f t="shared" si="27"/>
        <v>0</v>
      </c>
      <c r="G77" s="506">
        <f t="shared" si="27"/>
        <v>0</v>
      </c>
      <c r="H77" s="506">
        <f t="shared" si="27"/>
        <v>0</v>
      </c>
      <c r="I77" s="506">
        <f t="shared" si="27"/>
        <v>0</v>
      </c>
      <c r="J77" s="508"/>
    </row>
    <row r="78" spans="2:20">
      <c r="C78" s="504" t="s">
        <v>441</v>
      </c>
      <c r="D78" s="505" t="e">
        <f>+D76+D77</f>
        <v>#DIV/0!</v>
      </c>
      <c r="E78" s="505" t="e">
        <f t="shared" ref="E78:I78" si="28">+E76+E77</f>
        <v>#DIV/0!</v>
      </c>
      <c r="F78" s="505" t="e">
        <f t="shared" si="28"/>
        <v>#DIV/0!</v>
      </c>
      <c r="G78" s="505" t="e">
        <f t="shared" si="28"/>
        <v>#DIV/0!</v>
      </c>
      <c r="H78" s="505" t="e">
        <f t="shared" si="28"/>
        <v>#DIV/0!</v>
      </c>
      <c r="I78" s="505" t="e">
        <f t="shared" si="28"/>
        <v>#DIV/0!</v>
      </c>
      <c r="J78" s="512"/>
      <c r="L78" t="s">
        <v>444</v>
      </c>
    </row>
    <row r="79" spans="2:20">
      <c r="C79" t="s">
        <v>337</v>
      </c>
      <c r="D79" s="503" t="e">
        <f>+D78-D$84</f>
        <v>#DIV/0!</v>
      </c>
      <c r="E79" s="503" t="e">
        <f t="shared" ref="E79:I79" si="29">+E78-E$84</f>
        <v>#DIV/0!</v>
      </c>
      <c r="F79" s="503" t="e">
        <f t="shared" si="29"/>
        <v>#DIV/0!</v>
      </c>
      <c r="G79" s="503" t="e">
        <f t="shared" si="29"/>
        <v>#DIV/0!</v>
      </c>
      <c r="H79" s="503" t="e">
        <f t="shared" si="29"/>
        <v>#DIV/0!</v>
      </c>
      <c r="I79" s="503" t="e">
        <f t="shared" si="29"/>
        <v>#DIV/0!</v>
      </c>
      <c r="J79" s="503"/>
    </row>
    <row r="80" spans="2:20">
      <c r="D80" s="503"/>
      <c r="E80" s="503"/>
      <c r="F80" s="503"/>
      <c r="G80" s="503"/>
      <c r="H80" s="503"/>
      <c r="I80" s="503"/>
      <c r="J80" s="503"/>
    </row>
    <row r="82" spans="2:12">
      <c r="B82" s="502" t="s">
        <v>445</v>
      </c>
      <c r="C82" t="s">
        <v>35</v>
      </c>
      <c r="D82" s="490">
        <f t="shared" ref="D82:I82" si="30">D59</f>
        <v>0</v>
      </c>
      <c r="E82" s="490">
        <f t="shared" si="30"/>
        <v>0</v>
      </c>
      <c r="F82" s="490">
        <f t="shared" si="30"/>
        <v>0</v>
      </c>
      <c r="G82" s="490">
        <f t="shared" si="30"/>
        <v>0</v>
      </c>
      <c r="H82" s="490">
        <f t="shared" si="30"/>
        <v>0</v>
      </c>
      <c r="I82" s="490">
        <f t="shared" si="30"/>
        <v>0</v>
      </c>
      <c r="J82" s="14"/>
    </row>
    <row r="83" spans="2:12">
      <c r="C83" t="s">
        <v>143</v>
      </c>
      <c r="D83" s="87">
        <f t="shared" ref="D83:I83" si="31">D31</f>
        <v>0</v>
      </c>
      <c r="E83" s="87">
        <f t="shared" si="31"/>
        <v>0</v>
      </c>
      <c r="F83" s="87">
        <f t="shared" si="31"/>
        <v>0</v>
      </c>
      <c r="G83" s="87">
        <f t="shared" si="31"/>
        <v>0</v>
      </c>
      <c r="H83" s="87">
        <f t="shared" si="31"/>
        <v>0</v>
      </c>
      <c r="I83" s="87">
        <f t="shared" si="31"/>
        <v>0</v>
      </c>
      <c r="J83" s="508"/>
    </row>
    <row r="84" spans="2:12">
      <c r="B84" t="s">
        <v>446</v>
      </c>
      <c r="C84" s="504" t="s">
        <v>441</v>
      </c>
      <c r="D84" s="505" t="e">
        <f t="shared" ref="D84:G84" si="32">(E84+D82)/(1+D83)</f>
        <v>#DIV/0!</v>
      </c>
      <c r="E84" s="505" t="e">
        <f t="shared" si="32"/>
        <v>#DIV/0!</v>
      </c>
      <c r="F84" s="505" t="e">
        <f t="shared" si="32"/>
        <v>#DIV/0!</v>
      </c>
      <c r="G84" s="505" t="e">
        <f t="shared" si="32"/>
        <v>#DIV/0!</v>
      </c>
      <c r="H84" s="505" t="e">
        <f>(I84+H82)/(1+H83)</f>
        <v>#DIV/0!</v>
      </c>
      <c r="I84" s="505" t="e">
        <f>+I82/(I83-I24)</f>
        <v>#DIV/0!</v>
      </c>
      <c r="J84" s="506"/>
      <c r="L84" t="s">
        <v>447</v>
      </c>
    </row>
    <row r="85" spans="2:12">
      <c r="C85" t="s">
        <v>337</v>
      </c>
      <c r="D85" s="503" t="e">
        <f>+D84-D$84</f>
        <v>#DIV/0!</v>
      </c>
      <c r="E85" s="503" t="e">
        <f t="shared" ref="E85:I85" si="33">+E84-E$84</f>
        <v>#DIV/0!</v>
      </c>
      <c r="F85" s="503" t="e">
        <f t="shared" si="33"/>
        <v>#DIV/0!</v>
      </c>
      <c r="G85" s="503" t="e">
        <f t="shared" si="33"/>
        <v>#DIV/0!</v>
      </c>
      <c r="H85" s="503" t="e">
        <f t="shared" si="33"/>
        <v>#DIV/0!</v>
      </c>
      <c r="I85" s="503" t="e">
        <f t="shared" si="33"/>
        <v>#DIV/0!</v>
      </c>
      <c r="J85" s="503"/>
    </row>
    <row r="86" spans="2:12">
      <c r="D86" s="503"/>
      <c r="E86" s="503"/>
      <c r="F86" s="503"/>
      <c r="G86" s="503"/>
      <c r="H86" s="503"/>
      <c r="I86" s="503"/>
      <c r="J86" s="503"/>
    </row>
    <row r="87" spans="2:12">
      <c r="J87" s="508"/>
    </row>
    <row r="88" spans="2:12">
      <c r="B88" s="502" t="s">
        <v>448</v>
      </c>
      <c r="C88" t="s">
        <v>449</v>
      </c>
      <c r="D88" s="490">
        <f t="shared" ref="D88:I88" si="34">D57</f>
        <v>0</v>
      </c>
      <c r="E88" s="490">
        <f t="shared" si="34"/>
        <v>0</v>
      </c>
      <c r="F88" s="490">
        <f t="shared" si="34"/>
        <v>0</v>
      </c>
      <c r="G88" s="490">
        <f t="shared" si="34"/>
        <v>0</v>
      </c>
      <c r="H88" s="490">
        <f t="shared" si="34"/>
        <v>0</v>
      </c>
      <c r="I88" s="490">
        <f t="shared" si="34"/>
        <v>0</v>
      </c>
      <c r="J88" s="508"/>
    </row>
    <row r="89" spans="2:12">
      <c r="C89" t="s">
        <v>450</v>
      </c>
      <c r="D89" s="490">
        <f>D92*D31</f>
        <v>0</v>
      </c>
      <c r="E89" s="490">
        <f t="shared" ref="E89:I89" si="35">E92*E83</f>
        <v>0</v>
      </c>
      <c r="F89" s="490">
        <f t="shared" si="35"/>
        <v>0</v>
      </c>
      <c r="G89" s="490">
        <f t="shared" si="35"/>
        <v>0</v>
      </c>
      <c r="H89" s="490">
        <f t="shared" si="35"/>
        <v>0</v>
      </c>
      <c r="I89" s="490">
        <f t="shared" si="35"/>
        <v>0</v>
      </c>
      <c r="J89" s="508"/>
    </row>
    <row r="90" spans="2:12">
      <c r="B90" t="s">
        <v>451</v>
      </c>
      <c r="C90" t="s">
        <v>452</v>
      </c>
      <c r="D90" s="490">
        <f>+D88-D89</f>
        <v>0</v>
      </c>
      <c r="E90" s="490">
        <f t="shared" ref="E90:I90" si="36">+E88-E89</f>
        <v>0</v>
      </c>
      <c r="F90" s="490">
        <f t="shared" si="36"/>
        <v>0</v>
      </c>
      <c r="G90" s="490">
        <f t="shared" si="36"/>
        <v>0</v>
      </c>
      <c r="H90" s="490">
        <f t="shared" si="36"/>
        <v>0</v>
      </c>
      <c r="I90" s="490">
        <f t="shared" si="36"/>
        <v>0</v>
      </c>
      <c r="J90" s="508"/>
    </row>
    <row r="91" spans="2:12">
      <c r="B91" t="s">
        <v>453</v>
      </c>
      <c r="C91" s="509" t="s">
        <v>454</v>
      </c>
      <c r="D91" s="511" t="e">
        <f>+(D90+E91)/(1+D31)</f>
        <v>#DIV/0!</v>
      </c>
      <c r="E91" s="511" t="e">
        <f>+(E90+F91)/(1+E31)</f>
        <v>#DIV/0!</v>
      </c>
      <c r="F91" s="511" t="e">
        <f>+(F90+G91)/(1+F31)</f>
        <v>#DIV/0!</v>
      </c>
      <c r="G91" s="511" t="e">
        <f>+(G90+H91)/(1+G31)</f>
        <v>#DIV/0!</v>
      </c>
      <c r="H91" s="511" t="e">
        <f>+(H90+I91)/(1+H31)</f>
        <v>#DIV/0!</v>
      </c>
      <c r="I91" s="513" t="e">
        <f>+I90/I31+I58*(J22-J31)/(J31*(J31-J24))</f>
        <v>#DIV/0!</v>
      </c>
      <c r="J91" s="508"/>
      <c r="L91" t="s">
        <v>455</v>
      </c>
    </row>
    <row r="92" spans="2:12">
      <c r="C92" t="s">
        <v>456</v>
      </c>
      <c r="D92" s="490">
        <f t="shared" ref="D92:I92" si="37">D37</f>
        <v>0</v>
      </c>
      <c r="E92" s="490">
        <f t="shared" si="37"/>
        <v>0</v>
      </c>
      <c r="F92" s="490">
        <f t="shared" si="37"/>
        <v>0</v>
      </c>
      <c r="G92" s="490">
        <f t="shared" si="37"/>
        <v>0</v>
      </c>
      <c r="H92" s="490">
        <f t="shared" si="37"/>
        <v>0</v>
      </c>
      <c r="I92" s="490">
        <f t="shared" si="37"/>
        <v>0</v>
      </c>
      <c r="J92" s="508"/>
    </row>
    <row r="93" spans="2:12">
      <c r="C93" s="504" t="s">
        <v>441</v>
      </c>
      <c r="D93" s="505" t="e">
        <f>D92+D91</f>
        <v>#DIV/0!</v>
      </c>
      <c r="E93" s="505" t="e">
        <f t="shared" ref="E93:H93" si="38">E92+E91</f>
        <v>#DIV/0!</v>
      </c>
      <c r="F93" s="505" t="e">
        <f t="shared" si="38"/>
        <v>#DIV/0!</v>
      </c>
      <c r="G93" s="505" t="e">
        <f t="shared" si="38"/>
        <v>#DIV/0!</v>
      </c>
      <c r="H93" s="505" t="e">
        <f t="shared" si="38"/>
        <v>#DIV/0!</v>
      </c>
      <c r="I93" s="505" t="e">
        <f>I92+I91</f>
        <v>#DIV/0!</v>
      </c>
      <c r="J93" s="506"/>
    </row>
    <row r="94" spans="2:12">
      <c r="C94" t="s">
        <v>337</v>
      </c>
      <c r="D94" s="503" t="e">
        <f>+D93-D$84</f>
        <v>#DIV/0!</v>
      </c>
      <c r="E94" s="503" t="e">
        <f t="shared" ref="E94:I94" si="39">+E93-E$84</f>
        <v>#DIV/0!</v>
      </c>
      <c r="F94" s="503" t="e">
        <f t="shared" si="39"/>
        <v>#DIV/0!</v>
      </c>
      <c r="G94" s="503" t="e">
        <f t="shared" si="39"/>
        <v>#DIV/0!</v>
      </c>
      <c r="H94" s="503" t="e">
        <f t="shared" si="39"/>
        <v>#DIV/0!</v>
      </c>
      <c r="I94" s="503" t="e">
        <f t="shared" si="39"/>
        <v>#DIV/0!</v>
      </c>
      <c r="J94" s="503"/>
    </row>
    <row r="95" spans="2:12">
      <c r="D95" s="503"/>
      <c r="E95" s="503"/>
      <c r="F95" s="503"/>
      <c r="G95" s="503"/>
      <c r="H95" s="503"/>
      <c r="I95" s="503"/>
      <c r="J95" s="503"/>
    </row>
    <row r="96" spans="2:12">
      <c r="B96" s="502" t="s">
        <v>457</v>
      </c>
      <c r="D96" s="490"/>
      <c r="E96" s="490"/>
      <c r="F96" s="490"/>
      <c r="G96" s="490"/>
      <c r="H96" s="490"/>
      <c r="I96" s="490"/>
      <c r="J96" s="503"/>
    </row>
    <row r="97" spans="3:10">
      <c r="C97" t="s">
        <v>458</v>
      </c>
      <c r="D97" s="490">
        <f t="shared" ref="D97:I97" si="40">D39</f>
        <v>0</v>
      </c>
      <c r="E97" s="490">
        <f t="shared" si="40"/>
        <v>0</v>
      </c>
      <c r="F97" s="490">
        <f t="shared" si="40"/>
        <v>0</v>
      </c>
      <c r="G97" s="490">
        <f t="shared" si="40"/>
        <v>0</v>
      </c>
      <c r="H97" s="490">
        <f t="shared" si="40"/>
        <v>0</v>
      </c>
      <c r="I97" s="490">
        <f t="shared" si="40"/>
        <v>0</v>
      </c>
      <c r="J97" s="503"/>
    </row>
    <row r="98" spans="3:10">
      <c r="C98" t="s">
        <v>459</v>
      </c>
      <c r="D98" s="490">
        <f t="shared" ref="D98:I98" si="41">+D97*D30</f>
        <v>0</v>
      </c>
      <c r="E98" s="490">
        <f t="shared" si="41"/>
        <v>0</v>
      </c>
      <c r="F98" s="490">
        <f t="shared" si="41"/>
        <v>0</v>
      </c>
      <c r="G98" s="490">
        <f t="shared" si="41"/>
        <v>0</v>
      </c>
      <c r="H98" s="490">
        <f t="shared" si="41"/>
        <v>0</v>
      </c>
      <c r="I98" s="490">
        <f t="shared" si="41"/>
        <v>0</v>
      </c>
      <c r="J98" s="503"/>
    </row>
    <row r="99" spans="3:10">
      <c r="C99" t="s">
        <v>460</v>
      </c>
      <c r="D99" s="490">
        <f>+D47-D98</f>
        <v>0</v>
      </c>
      <c r="E99" s="490">
        <f t="shared" ref="D99:I99" si="42">+E47-E98</f>
        <v>0</v>
      </c>
      <c r="F99" s="490">
        <f t="shared" si="42"/>
        <v>0</v>
      </c>
      <c r="G99" s="490">
        <f t="shared" si="42"/>
        <v>0</v>
      </c>
      <c r="H99" s="490">
        <f t="shared" si="42"/>
        <v>0</v>
      </c>
      <c r="I99" s="490">
        <f t="shared" si="42"/>
        <v>0</v>
      </c>
      <c r="J99" s="503"/>
    </row>
    <row r="100" spans="3:10">
      <c r="C100" s="509" t="s">
        <v>461</v>
      </c>
      <c r="D100" s="511" t="e">
        <f>(D99+E100)/(1+D30)</f>
        <v>#DIV/0!</v>
      </c>
      <c r="E100" s="511" t="e">
        <f>(E99+F100)/(1+E30)</f>
        <v>#DIV/0!</v>
      </c>
      <c r="F100" s="511" t="e">
        <f>(F99+G100)/(1+F30)</f>
        <v>#DIV/0!</v>
      </c>
      <c r="G100" s="511" t="e">
        <f>(G99+H100)/(1+G30)</f>
        <v>#DIV/0!</v>
      </c>
      <c r="H100" s="511" t="e">
        <f>(H99+I100)/(1+H30)</f>
        <v>#DIV/0!</v>
      </c>
      <c r="I100" s="513" t="e">
        <f>I76-I39</f>
        <v>#DIV/0!</v>
      </c>
      <c r="J100" s="514"/>
    </row>
    <row r="101" spans="3:10">
      <c r="C101" t="s">
        <v>169</v>
      </c>
      <c r="D101" s="490" t="e">
        <f>D97+D100</f>
        <v>#DIV/0!</v>
      </c>
      <c r="E101" s="490" t="e">
        <f t="shared" ref="E101:I101" si="43">E97+E100</f>
        <v>#DIV/0!</v>
      </c>
      <c r="F101" s="490" t="e">
        <f t="shared" si="43"/>
        <v>#DIV/0!</v>
      </c>
      <c r="G101" s="490" t="e">
        <f t="shared" si="43"/>
        <v>#DIV/0!</v>
      </c>
      <c r="H101" s="490" t="e">
        <f t="shared" si="43"/>
        <v>#DIV/0!</v>
      </c>
      <c r="I101" s="490" t="e">
        <f t="shared" si="43"/>
        <v>#DIV/0!</v>
      </c>
      <c r="J101" s="503"/>
    </row>
    <row r="102" spans="3:10">
      <c r="C102" t="s">
        <v>168</v>
      </c>
      <c r="D102" s="490">
        <f t="shared" ref="D102:I102" si="44">+D38</f>
        <v>0</v>
      </c>
      <c r="E102" s="490">
        <f t="shared" si="44"/>
        <v>0</v>
      </c>
      <c r="F102" s="490">
        <f t="shared" si="44"/>
        <v>0</v>
      </c>
      <c r="G102" s="490">
        <f t="shared" si="44"/>
        <v>0</v>
      </c>
      <c r="H102" s="490">
        <f t="shared" si="44"/>
        <v>0</v>
      </c>
      <c r="I102" s="490">
        <f t="shared" si="44"/>
        <v>0</v>
      </c>
      <c r="J102" s="503"/>
    </row>
    <row r="103" spans="3:10">
      <c r="C103" s="504" t="s">
        <v>441</v>
      </c>
      <c r="D103" s="505" t="e">
        <f>+D101+D102</f>
        <v>#DIV/0!</v>
      </c>
      <c r="E103" s="505" t="e">
        <f t="shared" ref="E103:I103" si="45">+E101+E102</f>
        <v>#DIV/0!</v>
      </c>
      <c r="F103" s="505" t="e">
        <f t="shared" si="45"/>
        <v>#DIV/0!</v>
      </c>
      <c r="G103" s="505" t="e">
        <f t="shared" si="45"/>
        <v>#DIV/0!</v>
      </c>
      <c r="H103" s="505" t="e">
        <f t="shared" si="45"/>
        <v>#DIV/0!</v>
      </c>
      <c r="I103" s="505" t="e">
        <f t="shared" si="45"/>
        <v>#DIV/0!</v>
      </c>
      <c r="J103" s="506"/>
    </row>
    <row r="104" spans="3:10">
      <c r="C104" t="s">
        <v>337</v>
      </c>
      <c r="D104" s="490" t="e">
        <f>+D103-D$84</f>
        <v>#DIV/0!</v>
      </c>
      <c r="E104" s="490" t="e">
        <f t="shared" ref="E104:I104" si="46">+E103-E$84</f>
        <v>#DIV/0!</v>
      </c>
      <c r="F104" s="490" t="e">
        <f t="shared" si="46"/>
        <v>#DIV/0!</v>
      </c>
      <c r="G104" s="490" t="e">
        <f t="shared" si="46"/>
        <v>#DIV/0!</v>
      </c>
      <c r="H104" s="490" t="e">
        <f t="shared" si="46"/>
        <v>#DIV/0!</v>
      </c>
      <c r="I104" s="490" t="e">
        <f t="shared" si="46"/>
        <v>#DIV/0!</v>
      </c>
      <c r="J104" s="503"/>
    </row>
  </sheetData>
  <pageMargins left="0.7" right="0.7" top="0.75" bottom="0.75" header="0.3" footer="0.3"/>
  <pageSetup paperSize="9" orientation="portrait" horizontalDpi="0" verticalDpi="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22D41-0E8D-8743-80B0-AFF795D952C2}">
  <sheetPr codeName="Sheet48"/>
  <dimension ref="B2:L45"/>
  <sheetViews>
    <sheetView tabSelected="1" workbookViewId="0">
      <selection activeCell="D8" sqref="D8"/>
    </sheetView>
  </sheetViews>
  <sheetFormatPr baseColWidth="10" defaultColWidth="8.83203125" defaultRowHeight="16"/>
  <cols>
    <col min="1" max="1" width="4.6640625" customWidth="1"/>
    <col min="2" max="2" width="44.83203125" bestFit="1" customWidth="1"/>
    <col min="3" max="5" width="6.1640625" bestFit="1" customWidth="1"/>
    <col min="6" max="6" width="39.83203125" bestFit="1" customWidth="1"/>
  </cols>
  <sheetData>
    <row r="2" spans="2:6">
      <c r="B2" s="42" t="s">
        <v>33</v>
      </c>
      <c r="C2" s="43"/>
      <c r="D2" s="44"/>
      <c r="E2" s="344"/>
      <c r="F2" t="s">
        <v>328</v>
      </c>
    </row>
    <row r="4" spans="2:6">
      <c r="B4" s="345" t="s">
        <v>26</v>
      </c>
      <c r="C4" s="345"/>
      <c r="D4" s="346"/>
      <c r="E4" s="347"/>
    </row>
    <row r="5" spans="2:6">
      <c r="B5" s="348" t="s">
        <v>329</v>
      </c>
      <c r="C5" s="348"/>
      <c r="D5" s="349"/>
      <c r="E5" s="350"/>
    </row>
    <row r="6" spans="2:6">
      <c r="B6" s="348" t="s">
        <v>67</v>
      </c>
      <c r="C6" s="348"/>
      <c r="D6" s="351">
        <f>+D4-D5</f>
        <v>0</v>
      </c>
      <c r="E6" s="352">
        <f>+E4-E5</f>
        <v>0</v>
      </c>
      <c r="F6" t="s">
        <v>462</v>
      </c>
    </row>
    <row r="7" spans="2:6">
      <c r="B7" s="348" t="s">
        <v>34</v>
      </c>
      <c r="C7" s="348"/>
      <c r="D7" s="351">
        <f>D6*(1-D2)</f>
        <v>0</v>
      </c>
      <c r="E7" s="352">
        <f>E6*(1-E2)</f>
        <v>0</v>
      </c>
    </row>
    <row r="8" spans="2:6">
      <c r="B8" s="348" t="s">
        <v>41</v>
      </c>
      <c r="C8" s="348"/>
      <c r="D8" s="351"/>
      <c r="E8" s="352"/>
    </row>
    <row r="9" spans="2:6">
      <c r="B9" s="353" t="s">
        <v>68</v>
      </c>
      <c r="C9" s="353"/>
      <c r="D9" s="354">
        <f>D7+D8</f>
        <v>0</v>
      </c>
      <c r="E9" s="355">
        <f>E7+E8</f>
        <v>0</v>
      </c>
    </row>
    <row r="10" spans="2:6">
      <c r="B10" s="348" t="s">
        <v>69</v>
      </c>
      <c r="C10" s="348"/>
      <c r="D10" s="351"/>
      <c r="E10" s="352"/>
      <c r="F10" t="s">
        <v>338</v>
      </c>
    </row>
    <row r="11" spans="2:6">
      <c r="B11" s="348" t="s">
        <v>70</v>
      </c>
      <c r="C11" s="348"/>
      <c r="D11" s="351"/>
      <c r="E11" s="352"/>
      <c r="F11" t="s">
        <v>338</v>
      </c>
    </row>
    <row r="12" spans="2:6">
      <c r="B12" s="348" t="s">
        <v>463</v>
      </c>
      <c r="C12" s="348"/>
      <c r="D12" s="351"/>
      <c r="E12" s="352"/>
      <c r="F12" t="s">
        <v>464</v>
      </c>
    </row>
    <row r="13" spans="2:6">
      <c r="B13" s="348" t="s">
        <v>72</v>
      </c>
      <c r="C13" s="348"/>
      <c r="D13" s="351"/>
      <c r="E13" s="352"/>
      <c r="F13" t="s">
        <v>333</v>
      </c>
    </row>
    <row r="14" spans="2:6">
      <c r="B14" s="348" t="s">
        <v>465</v>
      </c>
      <c r="C14" s="348"/>
      <c r="D14" s="351"/>
      <c r="E14" s="352"/>
      <c r="F14" t="s">
        <v>466</v>
      </c>
    </row>
    <row r="15" spans="2:6">
      <c r="B15" s="356" t="s">
        <v>74</v>
      </c>
      <c r="C15" s="356"/>
      <c r="D15" s="357">
        <f>+D9+SUM(D10:D14)</f>
        <v>0</v>
      </c>
      <c r="E15" s="358">
        <f>+E9+SUM(E10:E14)</f>
        <v>0</v>
      </c>
    </row>
    <row r="16" spans="2:6">
      <c r="B16" s="348" t="s">
        <v>41</v>
      </c>
      <c r="C16" s="348"/>
      <c r="D16" s="349">
        <f>-D8</f>
        <v>0</v>
      </c>
      <c r="E16" s="350">
        <f>-E8</f>
        <v>0</v>
      </c>
    </row>
    <row r="17" spans="2:6">
      <c r="B17" s="359" t="s">
        <v>75</v>
      </c>
      <c r="C17" s="359"/>
      <c r="D17" s="349"/>
      <c r="E17" s="350"/>
      <c r="F17" t="s">
        <v>467</v>
      </c>
    </row>
    <row r="18" spans="2:6">
      <c r="B18" s="359" t="s">
        <v>76</v>
      </c>
      <c r="C18" s="359"/>
      <c r="D18" s="349"/>
      <c r="E18" s="350"/>
    </row>
    <row r="19" spans="2:6">
      <c r="B19" s="359" t="s">
        <v>77</v>
      </c>
      <c r="C19" s="359"/>
      <c r="D19" s="349"/>
      <c r="E19" s="350"/>
    </row>
    <row r="20" spans="2:6">
      <c r="B20" s="359" t="s">
        <v>78</v>
      </c>
      <c r="C20" s="359"/>
      <c r="D20" s="360">
        <f>D19*D2</f>
        <v>0</v>
      </c>
      <c r="E20" s="361">
        <f>E19*E2</f>
        <v>0</v>
      </c>
    </row>
    <row r="21" spans="2:6">
      <c r="B21" s="356" t="s">
        <v>79</v>
      </c>
      <c r="C21" s="356"/>
      <c r="D21" s="357">
        <f>SUM(D16:D19)-D20</f>
        <v>0</v>
      </c>
      <c r="E21" s="358">
        <f>SUM(E16:E19)-E20</f>
        <v>0</v>
      </c>
    </row>
    <row r="22" spans="2:6">
      <c r="B22" s="362" t="s">
        <v>468</v>
      </c>
      <c r="C22" s="362"/>
      <c r="D22" s="363">
        <f>D15+D21</f>
        <v>0</v>
      </c>
      <c r="E22" s="364">
        <f>E15+E21</f>
        <v>0</v>
      </c>
    </row>
    <row r="23" spans="2:6">
      <c r="B23" s="348" t="s">
        <v>330</v>
      </c>
      <c r="C23" s="348"/>
      <c r="D23" s="349"/>
      <c r="E23" s="350"/>
      <c r="F23" t="s">
        <v>469</v>
      </c>
    </row>
    <row r="24" spans="2:6">
      <c r="B24" s="348" t="s">
        <v>82</v>
      </c>
      <c r="C24" s="348"/>
      <c r="D24" s="360">
        <f>D23*D2</f>
        <v>0</v>
      </c>
      <c r="E24" s="361">
        <f>E23*E2</f>
        <v>0</v>
      </c>
    </row>
    <row r="25" spans="2:6">
      <c r="B25" s="348" t="s">
        <v>470</v>
      </c>
      <c r="C25" s="348"/>
      <c r="D25" s="360"/>
      <c r="E25" s="361"/>
      <c r="F25" t="s">
        <v>471</v>
      </c>
    </row>
    <row r="26" spans="2:6">
      <c r="B26" s="365" t="s">
        <v>472</v>
      </c>
      <c r="C26" s="365"/>
      <c r="D26" s="349"/>
      <c r="E26" s="350"/>
      <c r="F26" t="s">
        <v>333</v>
      </c>
    </row>
    <row r="27" spans="2:6">
      <c r="B27" s="366" t="s">
        <v>473</v>
      </c>
      <c r="C27" s="366"/>
      <c r="D27" s="367">
        <f>D22-D23+D24+D26</f>
        <v>0</v>
      </c>
      <c r="E27" s="368">
        <f>E22-E23+E24+E26</f>
        <v>0</v>
      </c>
    </row>
    <row r="28" spans="2:6">
      <c r="B28" s="360"/>
      <c r="C28" s="360"/>
      <c r="D28" s="360"/>
      <c r="E28" s="360"/>
    </row>
    <row r="29" spans="2:6">
      <c r="B29" s="369" t="s">
        <v>50</v>
      </c>
      <c r="C29" s="346"/>
      <c r="D29" s="346"/>
      <c r="E29" s="347"/>
    </row>
    <row r="30" spans="2:6">
      <c r="B30" s="370" t="s">
        <v>85</v>
      </c>
      <c r="C30" s="349"/>
      <c r="D30" s="349"/>
      <c r="E30" s="350"/>
      <c r="F30" t="s">
        <v>334</v>
      </c>
    </row>
    <row r="31" spans="2:6">
      <c r="B31" s="371" t="s">
        <v>86</v>
      </c>
      <c r="C31" s="372"/>
      <c r="D31" s="372">
        <f>+D27-D29+D30</f>
        <v>0</v>
      </c>
      <c r="E31" s="373">
        <f>+E27-E29+E30</f>
        <v>0</v>
      </c>
    </row>
    <row r="32" spans="2:6">
      <c r="B32" s="374"/>
      <c r="C32" s="360"/>
      <c r="D32" s="375"/>
      <c r="E32" s="375"/>
    </row>
    <row r="33" spans="2:12">
      <c r="B33" s="349" t="s">
        <v>335</v>
      </c>
      <c r="C33" s="349"/>
      <c r="D33" s="349"/>
      <c r="E33" s="349"/>
      <c r="F33" t="s">
        <v>474</v>
      </c>
    </row>
    <row r="34" spans="2:12">
      <c r="B34" s="349" t="s">
        <v>54</v>
      </c>
      <c r="C34" s="349"/>
      <c r="D34" s="349"/>
      <c r="E34" s="349"/>
    </row>
    <row r="35" spans="2:12">
      <c r="B35" s="360" t="s">
        <v>88</v>
      </c>
      <c r="C35" s="349">
        <f>+SUM(C33:C34)</f>
        <v>0</v>
      </c>
      <c r="D35" s="349">
        <f>+SUM(D33:D34)</f>
        <v>0</v>
      </c>
      <c r="E35" s="349">
        <f>+SUM(E33:E34)</f>
        <v>0</v>
      </c>
    </row>
    <row r="36" spans="2:12">
      <c r="B36" s="376" t="s">
        <v>86</v>
      </c>
      <c r="C36" s="377"/>
      <c r="D36" s="378">
        <f>+D35-C35</f>
        <v>0</v>
      </c>
      <c r="E36" s="378">
        <f>+E35-D35</f>
        <v>0</v>
      </c>
    </row>
    <row r="38" spans="2:12">
      <c r="B38" t="s">
        <v>337</v>
      </c>
      <c r="D38" s="12">
        <f>D31-D36</f>
        <v>0</v>
      </c>
      <c r="E38" s="12">
        <f>E31-E36</f>
        <v>0</v>
      </c>
    </row>
    <row r="39" spans="2:12">
      <c r="D39" s="12"/>
      <c r="E39" s="12"/>
    </row>
    <row r="41" spans="2:12">
      <c r="B41" s="515" t="s">
        <v>288</v>
      </c>
      <c r="C41" s="90"/>
      <c r="D41" s="516"/>
      <c r="E41" s="517"/>
      <c r="G41" s="539" t="s">
        <v>475</v>
      </c>
      <c r="H41" s="539"/>
      <c r="I41" s="539"/>
      <c r="J41" s="539"/>
      <c r="K41" s="539"/>
      <c r="L41" s="539"/>
    </row>
    <row r="42" spans="2:12">
      <c r="B42" s="518" t="s">
        <v>289</v>
      </c>
      <c r="D42" s="289"/>
      <c r="E42" s="519"/>
      <c r="G42" s="539"/>
      <c r="H42" s="539"/>
      <c r="I42" s="539"/>
      <c r="J42" s="539"/>
      <c r="K42" s="539"/>
      <c r="L42" s="539"/>
    </row>
    <row r="43" spans="2:12">
      <c r="B43" s="520" t="s">
        <v>290</v>
      </c>
      <c r="D43" s="289"/>
      <c r="E43" s="519"/>
      <c r="G43" s="539"/>
      <c r="H43" s="539"/>
      <c r="I43" s="539"/>
      <c r="J43" s="539"/>
      <c r="K43" s="539"/>
      <c r="L43" s="539"/>
    </row>
    <row r="44" spans="2:12">
      <c r="B44" s="521" t="s">
        <v>201</v>
      </c>
      <c r="D44" s="289"/>
      <c r="E44" s="519"/>
      <c r="G44" s="539"/>
      <c r="H44" s="539"/>
      <c r="I44" s="539"/>
      <c r="J44" s="539"/>
      <c r="K44" s="539"/>
      <c r="L44" s="539"/>
    </row>
    <row r="45" spans="2:12">
      <c r="B45" s="371" t="s">
        <v>476</v>
      </c>
      <c r="C45" s="522"/>
      <c r="D45" s="523">
        <f>SUM(D41:D44)</f>
        <v>0</v>
      </c>
      <c r="E45" s="524">
        <f>SUM(E41:E44)</f>
        <v>0</v>
      </c>
      <c r="G45" s="539"/>
      <c r="H45" s="539"/>
      <c r="I45" s="539"/>
      <c r="J45" s="539"/>
      <c r="K45" s="539"/>
      <c r="L45" s="539"/>
    </row>
  </sheetData>
  <mergeCells count="1">
    <mergeCell ref="G41:L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12.21</vt:lpstr>
      <vt:lpstr>12.22</vt:lpstr>
      <vt:lpstr>12.23</vt:lpstr>
      <vt:lpstr>3YCF</vt:lpstr>
      <vt:lpstr>3YCF1</vt:lpstr>
      <vt:lpstr>3YCF2</vt:lpstr>
      <vt:lpstr>3YCF3</vt:lpstr>
      <vt:lpstr>3YCF13</vt:lpstr>
      <vt:lpstr>3YCF16</vt:lpstr>
      <vt:lpstr>FITMT3</vt:lpstr>
      <vt:lpstr>FITMT7</vt:lpstr>
      <vt:lpstr>FITMT14</vt:lpstr>
      <vt:lpstr>Kebab_shop</vt:lpstr>
      <vt:lpstr>Sheet47</vt:lpstr>
      <vt:lpstr>Sheet48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Bangani Mridul Kumar</dc:creator>
  <cp:lastModifiedBy>Bangani Mridul Kumar</cp:lastModifiedBy>
  <dcterms:created xsi:type="dcterms:W3CDTF">2024-01-11T13:27:19Z</dcterms:created>
  <dcterms:modified xsi:type="dcterms:W3CDTF">2024-01-17T08:53:27Z</dcterms:modified>
</cp:coreProperties>
</file>